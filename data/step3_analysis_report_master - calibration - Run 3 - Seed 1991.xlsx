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fuveduvn-my.sharepoint.com/personal/mpp26_duypham_student_fulbright_edu_vn/Documents/FSMPP/18. Thesis/Final Data/"/>
    </mc:Choice>
  </mc:AlternateContent>
  <xr:revisionPtr revIDLastSave="2139" documentId="13_ncr:1_{8DA829A7-D392-410C-B92C-4D9E531A3674}" xr6:coauthVersionLast="47" xr6:coauthVersionMax="47" xr10:uidLastSave="{C82D0034-2C07-47C8-BB95-FA605D037E7C}"/>
  <bookViews>
    <workbookView xWindow="-98" yWindow="-98" windowWidth="21795" windowHeight="13875" activeTab="4" xr2:uid="{00000000-000D-0000-FFFF-FFFF00000000}"/>
  </bookViews>
  <sheets>
    <sheet name="step3_calibration" sheetId="18" r:id="rId1"/>
    <sheet name="survey_responses" sheetId="16" r:id="rId2"/>
    <sheet name="step3_combined_data" sheetId="12" r:id="rId3"/>
    <sheet name="AIx" sheetId="20" r:id="rId4"/>
    <sheet name="Insights" sheetId="21" r:id="rId5"/>
    <sheet name="EMD" sheetId="19" r:id="rId6"/>
    <sheet name="SUMMARY_REPORT" sheetId="10" r:id="rId7"/>
    <sheet name="CM_REPORT" sheetId="11" r:id="rId8"/>
    <sheet name="CM_ENF1" sheetId="1" r:id="rId9"/>
    <sheet name="CM_ENF2" sheetId="2" r:id="rId10"/>
    <sheet name="CM_FAC1" sheetId="3" r:id="rId11"/>
    <sheet name="CM_FAC2" sheetId="4" r:id="rId12"/>
    <sheet name="CM_TRU1" sheetId="5" r:id="rId13"/>
    <sheet name="CM_TRU2" sheetId="6" r:id="rId14"/>
    <sheet name="CM_TRU3" sheetId="7" r:id="rId15"/>
    <sheet name="CM_TRU4" sheetId="8" r:id="rId16"/>
    <sheet name="CM_OUT1" sheetId="9" r:id="rId17"/>
  </sheets>
  <externalReferences>
    <externalReference r:id="rId18"/>
  </externalReferences>
  <definedNames>
    <definedName name="ExternalData_1" localSheetId="1" hidden="1">survey_responses!$A$1:$Q$404</definedName>
    <definedName name="ExternalData_3" localSheetId="0" hidden="1">step3_calibration!$A$1:$AS$404</definedName>
  </definedNames>
  <calcPr calcId="191029"/>
  <pivotCaches>
    <pivotCache cacheId="15" r:id="rId1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1" i="21" l="1"/>
  <c r="C71" i="21"/>
  <c r="B71" i="21"/>
  <c r="D70" i="21"/>
  <c r="C70" i="21"/>
  <c r="B70" i="21"/>
  <c r="D69" i="21"/>
  <c r="C69" i="21"/>
  <c r="B69" i="21"/>
  <c r="D68" i="21"/>
  <c r="C68" i="21"/>
  <c r="E68" i="21" s="1"/>
  <c r="I68" i="21" s="1"/>
  <c r="B68" i="21"/>
  <c r="D67" i="21"/>
  <c r="C67" i="21"/>
  <c r="B67" i="21"/>
  <c r="E67" i="21" s="1"/>
  <c r="D66" i="21"/>
  <c r="C66" i="21"/>
  <c r="B66" i="21"/>
  <c r="D65" i="21"/>
  <c r="C65" i="21"/>
  <c r="E65" i="21" s="1"/>
  <c r="B65" i="21"/>
  <c r="D64" i="21"/>
  <c r="C64" i="21"/>
  <c r="E64" i="21" s="1"/>
  <c r="B64" i="21"/>
  <c r="D61" i="21"/>
  <c r="C61" i="21"/>
  <c r="B61" i="21"/>
  <c r="D60" i="21"/>
  <c r="C60" i="21"/>
  <c r="B60" i="21"/>
  <c r="D59" i="21"/>
  <c r="C59" i="21"/>
  <c r="B59" i="21"/>
  <c r="D58" i="21"/>
  <c r="C58" i="21"/>
  <c r="B58" i="21"/>
  <c r="D57" i="21"/>
  <c r="C57" i="21"/>
  <c r="B57" i="21"/>
  <c r="D56" i="21"/>
  <c r="C56" i="21"/>
  <c r="B56" i="21"/>
  <c r="D55" i="21"/>
  <c r="C55" i="21"/>
  <c r="B55" i="21"/>
  <c r="D54" i="21"/>
  <c r="C54" i="21"/>
  <c r="B54" i="21"/>
  <c r="D79" i="21"/>
  <c r="C79" i="21"/>
  <c r="B79" i="21"/>
  <c r="D78" i="21"/>
  <c r="C78" i="21"/>
  <c r="B78" i="21"/>
  <c r="D77" i="21"/>
  <c r="E77" i="21" s="1"/>
  <c r="C77" i="21"/>
  <c r="B77" i="21"/>
  <c r="D76" i="21"/>
  <c r="C76" i="21"/>
  <c r="E76" i="21" s="1"/>
  <c r="H76" i="21" s="1"/>
  <c r="B76" i="21"/>
  <c r="D75" i="21"/>
  <c r="C75" i="21"/>
  <c r="B75" i="21"/>
  <c r="D74" i="21"/>
  <c r="C74" i="21"/>
  <c r="B74" i="21"/>
  <c r="D51" i="21"/>
  <c r="C51" i="21"/>
  <c r="B51" i="21"/>
  <c r="D50" i="21"/>
  <c r="C50" i="21"/>
  <c r="B50" i="21"/>
  <c r="D49" i="21"/>
  <c r="C49" i="21"/>
  <c r="B49" i="21"/>
  <c r="D48" i="21"/>
  <c r="C48" i="21"/>
  <c r="B48" i="21"/>
  <c r="D47" i="21"/>
  <c r="C47" i="21"/>
  <c r="B47" i="21"/>
  <c r="D46" i="21"/>
  <c r="E46" i="21" s="1"/>
  <c r="J46" i="21" s="1"/>
  <c r="C46" i="21"/>
  <c r="B46" i="21"/>
  <c r="D43" i="21"/>
  <c r="C43" i="21"/>
  <c r="B43" i="21"/>
  <c r="D42" i="21"/>
  <c r="C42" i="21"/>
  <c r="B42" i="21"/>
  <c r="E42" i="21" s="1"/>
  <c r="D41" i="21"/>
  <c r="C41" i="21"/>
  <c r="B41" i="21"/>
  <c r="D40" i="21"/>
  <c r="C40" i="21"/>
  <c r="B40" i="21"/>
  <c r="D39" i="21"/>
  <c r="C39" i="21"/>
  <c r="B39" i="21"/>
  <c r="D38" i="21"/>
  <c r="C38" i="21"/>
  <c r="B38" i="21"/>
  <c r="D35" i="21"/>
  <c r="C35" i="21"/>
  <c r="B35" i="21"/>
  <c r="D34" i="21"/>
  <c r="C34" i="21"/>
  <c r="B34" i="21"/>
  <c r="D33" i="21"/>
  <c r="C33" i="21"/>
  <c r="B33" i="21"/>
  <c r="D32" i="21"/>
  <c r="C32" i="21"/>
  <c r="B32" i="21"/>
  <c r="D31" i="21"/>
  <c r="E31" i="21" s="1"/>
  <c r="C31" i="21"/>
  <c r="B31" i="21"/>
  <c r="D30" i="21"/>
  <c r="C30" i="21"/>
  <c r="B30" i="21"/>
  <c r="E30" i="21" s="1"/>
  <c r="H30" i="21" s="1"/>
  <c r="E32" i="21"/>
  <c r="D27" i="21"/>
  <c r="C27" i="21"/>
  <c r="E27" i="21" s="1"/>
  <c r="J27" i="21" s="1"/>
  <c r="B27" i="21"/>
  <c r="D26" i="21"/>
  <c r="C26" i="21"/>
  <c r="B26" i="21"/>
  <c r="D25" i="21"/>
  <c r="C25" i="21"/>
  <c r="B25" i="21"/>
  <c r="D24" i="21"/>
  <c r="C24" i="21"/>
  <c r="B24" i="21"/>
  <c r="D23" i="21"/>
  <c r="C23" i="21"/>
  <c r="B23" i="21"/>
  <c r="D22" i="21"/>
  <c r="C22" i="21"/>
  <c r="B22" i="21"/>
  <c r="D19" i="21"/>
  <c r="C19" i="21"/>
  <c r="B19" i="21"/>
  <c r="D18" i="21"/>
  <c r="C18" i="21"/>
  <c r="B18" i="21"/>
  <c r="D17" i="21"/>
  <c r="C17" i="21"/>
  <c r="B17" i="21"/>
  <c r="D16" i="21"/>
  <c r="C16" i="21"/>
  <c r="B16" i="21"/>
  <c r="D15" i="21"/>
  <c r="C15" i="21"/>
  <c r="B15" i="21"/>
  <c r="D14" i="21"/>
  <c r="C14" i="21"/>
  <c r="B14" i="21"/>
  <c r="D11" i="21"/>
  <c r="C11" i="21"/>
  <c r="B11" i="21"/>
  <c r="D10" i="21"/>
  <c r="C10" i="21"/>
  <c r="B10" i="21"/>
  <c r="D7" i="21"/>
  <c r="C7" i="21"/>
  <c r="B7" i="21"/>
  <c r="D6" i="21"/>
  <c r="C6" i="21"/>
  <c r="B6" i="21"/>
  <c r="D3" i="21"/>
  <c r="C3" i="21"/>
  <c r="B3" i="21"/>
  <c r="D2" i="21"/>
  <c r="C2" i="21"/>
  <c r="B2" i="21"/>
  <c r="E78" i="21"/>
  <c r="E26" i="21"/>
  <c r="H26" i="21" s="1"/>
  <c r="AM3" i="20"/>
  <c r="AN3" i="20"/>
  <c r="AM4" i="20"/>
  <c r="AN4" i="20"/>
  <c r="AM5" i="20"/>
  <c r="AN5" i="20"/>
  <c r="AM6" i="20"/>
  <c r="AN6" i="20"/>
  <c r="AM7" i="20"/>
  <c r="AN7" i="20"/>
  <c r="AM8" i="20"/>
  <c r="AN8" i="20"/>
  <c r="AM9" i="20"/>
  <c r="AN9" i="20"/>
  <c r="AM10" i="20"/>
  <c r="AN10" i="20"/>
  <c r="AM11" i="20"/>
  <c r="AN11" i="20"/>
  <c r="AM12" i="20"/>
  <c r="AN12" i="20"/>
  <c r="AM13" i="20"/>
  <c r="AN13" i="20"/>
  <c r="AM14" i="20"/>
  <c r="AN14" i="20"/>
  <c r="AM15" i="20"/>
  <c r="AN15" i="20"/>
  <c r="AM16" i="20"/>
  <c r="AN16" i="20"/>
  <c r="AM17" i="20"/>
  <c r="AN17" i="20"/>
  <c r="AM18" i="20"/>
  <c r="AN18" i="20"/>
  <c r="AM19" i="20"/>
  <c r="AN19" i="20"/>
  <c r="AM20" i="20"/>
  <c r="AN20" i="20"/>
  <c r="AM21" i="20"/>
  <c r="AN21" i="20"/>
  <c r="AM22" i="20"/>
  <c r="AN22" i="20"/>
  <c r="AM23" i="20"/>
  <c r="AN23" i="20"/>
  <c r="AM24" i="20"/>
  <c r="AN24" i="20"/>
  <c r="AM25" i="20"/>
  <c r="AN25" i="20"/>
  <c r="AM26" i="20"/>
  <c r="AN26" i="20"/>
  <c r="AM27" i="20"/>
  <c r="AN27" i="20"/>
  <c r="AM28" i="20"/>
  <c r="AN28" i="20"/>
  <c r="AM29" i="20"/>
  <c r="AN29" i="20"/>
  <c r="AM30" i="20"/>
  <c r="AN30" i="20"/>
  <c r="AM31" i="20"/>
  <c r="AN31" i="20"/>
  <c r="AM32" i="20"/>
  <c r="AN32" i="20"/>
  <c r="AM33" i="20"/>
  <c r="AN33" i="20"/>
  <c r="AM34" i="20"/>
  <c r="AN34" i="20"/>
  <c r="AM35" i="20"/>
  <c r="AN35" i="20"/>
  <c r="AM36" i="20"/>
  <c r="AN36" i="20"/>
  <c r="AM37" i="20"/>
  <c r="AN37" i="20"/>
  <c r="AM38" i="20"/>
  <c r="AN38" i="20"/>
  <c r="AM39" i="20"/>
  <c r="AN39" i="20"/>
  <c r="AM40" i="20"/>
  <c r="AN40" i="20"/>
  <c r="AM41" i="20"/>
  <c r="AN41" i="20"/>
  <c r="AM42" i="20"/>
  <c r="AN42" i="20"/>
  <c r="AM43" i="20"/>
  <c r="AN43" i="20"/>
  <c r="AM44" i="20"/>
  <c r="AN44" i="20"/>
  <c r="AM45" i="20"/>
  <c r="AN45" i="20"/>
  <c r="AM46" i="20"/>
  <c r="AN46" i="20"/>
  <c r="AM47" i="20"/>
  <c r="AN47" i="20"/>
  <c r="AM48" i="20"/>
  <c r="AN48" i="20"/>
  <c r="AM49" i="20"/>
  <c r="AN49" i="20"/>
  <c r="AM50" i="20"/>
  <c r="AN50" i="20"/>
  <c r="AM51" i="20"/>
  <c r="AN51" i="20"/>
  <c r="AM52" i="20"/>
  <c r="AN52" i="20"/>
  <c r="AM53" i="20"/>
  <c r="AN53" i="20"/>
  <c r="AM54" i="20"/>
  <c r="AN54" i="20"/>
  <c r="AM55" i="20"/>
  <c r="AN55" i="20"/>
  <c r="AM56" i="20"/>
  <c r="AN56" i="20"/>
  <c r="AM57" i="20"/>
  <c r="AN57" i="20"/>
  <c r="AM58" i="20"/>
  <c r="AN58" i="20"/>
  <c r="AM59" i="20"/>
  <c r="AN59" i="20"/>
  <c r="AM60" i="20"/>
  <c r="AN60" i="20"/>
  <c r="AM61" i="20"/>
  <c r="AN61" i="20"/>
  <c r="AM62" i="20"/>
  <c r="AN62" i="20"/>
  <c r="AM63" i="20"/>
  <c r="AN63" i="20"/>
  <c r="AM64" i="20"/>
  <c r="AN64" i="20"/>
  <c r="AM65" i="20"/>
  <c r="AN65" i="20"/>
  <c r="AM66" i="20"/>
  <c r="AN66" i="20"/>
  <c r="AM67" i="20"/>
  <c r="AN67" i="20"/>
  <c r="AM68" i="20"/>
  <c r="AN68" i="20"/>
  <c r="AM69" i="20"/>
  <c r="AN69" i="20"/>
  <c r="AM70" i="20"/>
  <c r="AN70" i="20"/>
  <c r="AM71" i="20"/>
  <c r="AN71" i="20"/>
  <c r="AM72" i="20"/>
  <c r="AN72" i="20"/>
  <c r="AM73" i="20"/>
  <c r="AN73" i="20"/>
  <c r="AM74" i="20"/>
  <c r="AN74" i="20"/>
  <c r="AM75" i="20"/>
  <c r="AN75" i="20"/>
  <c r="AM76" i="20"/>
  <c r="AN76" i="20"/>
  <c r="AM77" i="20"/>
  <c r="AN77" i="20"/>
  <c r="AM78" i="20"/>
  <c r="AN78" i="20"/>
  <c r="AM79" i="20"/>
  <c r="AN79" i="20"/>
  <c r="AM80" i="20"/>
  <c r="AN80" i="20"/>
  <c r="AM81" i="20"/>
  <c r="AN81" i="20"/>
  <c r="AM82" i="20"/>
  <c r="AN82" i="20"/>
  <c r="AM83" i="20"/>
  <c r="AN83" i="20"/>
  <c r="AM84" i="20"/>
  <c r="AN84" i="20"/>
  <c r="AM85" i="20"/>
  <c r="AN85" i="20"/>
  <c r="AM86" i="20"/>
  <c r="AN86" i="20"/>
  <c r="AM87" i="20"/>
  <c r="AN87" i="20"/>
  <c r="AM88" i="20"/>
  <c r="AN88" i="20"/>
  <c r="AM89" i="20"/>
  <c r="AN89" i="20"/>
  <c r="AM90" i="20"/>
  <c r="AN90" i="20"/>
  <c r="AM91" i="20"/>
  <c r="AN91" i="20"/>
  <c r="AM92" i="20"/>
  <c r="AN92" i="20"/>
  <c r="AM93" i="20"/>
  <c r="AN93" i="20"/>
  <c r="AM94" i="20"/>
  <c r="AN94" i="20"/>
  <c r="AM95" i="20"/>
  <c r="AN95" i="20"/>
  <c r="AM96" i="20"/>
  <c r="AN96" i="20"/>
  <c r="AM97" i="20"/>
  <c r="AN97" i="20"/>
  <c r="AM98" i="20"/>
  <c r="AN98" i="20"/>
  <c r="AM99" i="20"/>
  <c r="AN99" i="20"/>
  <c r="AM100" i="20"/>
  <c r="AN100" i="20"/>
  <c r="AM101" i="20"/>
  <c r="AN101" i="20"/>
  <c r="AM102" i="20"/>
  <c r="AN102" i="20"/>
  <c r="AM103" i="20"/>
  <c r="AN103" i="20"/>
  <c r="AM104" i="20"/>
  <c r="AN104" i="20"/>
  <c r="AM105" i="20"/>
  <c r="AN105" i="20"/>
  <c r="AM106" i="20"/>
  <c r="AN106" i="20"/>
  <c r="AM107" i="20"/>
  <c r="AN107" i="20"/>
  <c r="AM108" i="20"/>
  <c r="AN108" i="20"/>
  <c r="AM109" i="20"/>
  <c r="AN109" i="20"/>
  <c r="AM110" i="20"/>
  <c r="AN110" i="20"/>
  <c r="AM111" i="20"/>
  <c r="AN111" i="20"/>
  <c r="AM112" i="20"/>
  <c r="AN112" i="20"/>
  <c r="AM113" i="20"/>
  <c r="AN113" i="20"/>
  <c r="AM114" i="20"/>
  <c r="AN114" i="20"/>
  <c r="AM115" i="20"/>
  <c r="AN115" i="20"/>
  <c r="AM116" i="20"/>
  <c r="AN116" i="20"/>
  <c r="AM117" i="20"/>
  <c r="AN117" i="20"/>
  <c r="AM118" i="20"/>
  <c r="AN118" i="20"/>
  <c r="AM119" i="20"/>
  <c r="AN119" i="20"/>
  <c r="AM120" i="20"/>
  <c r="AN120" i="20"/>
  <c r="AM121" i="20"/>
  <c r="AN121" i="20"/>
  <c r="AM122" i="20"/>
  <c r="AN122" i="20"/>
  <c r="AM123" i="20"/>
  <c r="AN123" i="20"/>
  <c r="AM124" i="20"/>
  <c r="AN124" i="20"/>
  <c r="AM125" i="20"/>
  <c r="AN125" i="20"/>
  <c r="AM126" i="20"/>
  <c r="AN126" i="20"/>
  <c r="AM127" i="20"/>
  <c r="AN127" i="20"/>
  <c r="AM128" i="20"/>
  <c r="AN128" i="20"/>
  <c r="AM129" i="20"/>
  <c r="AN129" i="20"/>
  <c r="AM130" i="20"/>
  <c r="AN130" i="20"/>
  <c r="AM131" i="20"/>
  <c r="AN131" i="20"/>
  <c r="AM132" i="20"/>
  <c r="AN132" i="20"/>
  <c r="AM133" i="20"/>
  <c r="AN133" i="20"/>
  <c r="AM134" i="20"/>
  <c r="AN134" i="20"/>
  <c r="AM135" i="20"/>
  <c r="AN135" i="20"/>
  <c r="AM136" i="20"/>
  <c r="AN136" i="20"/>
  <c r="AM137" i="20"/>
  <c r="AN137" i="20"/>
  <c r="AM138" i="20"/>
  <c r="AN138" i="20"/>
  <c r="AM139" i="20"/>
  <c r="AN139" i="20"/>
  <c r="AM140" i="20"/>
  <c r="AN140" i="20"/>
  <c r="AM141" i="20"/>
  <c r="AN141" i="20"/>
  <c r="AM142" i="20"/>
  <c r="AN142" i="20"/>
  <c r="AM143" i="20"/>
  <c r="AN143" i="20"/>
  <c r="AM144" i="20"/>
  <c r="AN144" i="20"/>
  <c r="AM145" i="20"/>
  <c r="AN145" i="20"/>
  <c r="AM146" i="20"/>
  <c r="AN146" i="20"/>
  <c r="AM147" i="20"/>
  <c r="AN147" i="20"/>
  <c r="AM148" i="20"/>
  <c r="AN148" i="20"/>
  <c r="AM149" i="20"/>
  <c r="AN149" i="20"/>
  <c r="AM150" i="20"/>
  <c r="AN150" i="20"/>
  <c r="AM151" i="20"/>
  <c r="AN151" i="20"/>
  <c r="AM152" i="20"/>
  <c r="AN152" i="20"/>
  <c r="AM153" i="20"/>
  <c r="AN153" i="20"/>
  <c r="AM154" i="20"/>
  <c r="AN154" i="20"/>
  <c r="AM155" i="20"/>
  <c r="AN155" i="20"/>
  <c r="AM156" i="20"/>
  <c r="AN156" i="20"/>
  <c r="AM157" i="20"/>
  <c r="AN157" i="20"/>
  <c r="AM158" i="20"/>
  <c r="AN158" i="20"/>
  <c r="AM159" i="20"/>
  <c r="AN159" i="20"/>
  <c r="AM160" i="20"/>
  <c r="AN160" i="20"/>
  <c r="AM161" i="20"/>
  <c r="AN161" i="20"/>
  <c r="AM162" i="20"/>
  <c r="AN162" i="20"/>
  <c r="AM163" i="20"/>
  <c r="AN163" i="20"/>
  <c r="AM164" i="20"/>
  <c r="AN164" i="20"/>
  <c r="AM165" i="20"/>
  <c r="AN165" i="20"/>
  <c r="AM166" i="20"/>
  <c r="AN166" i="20"/>
  <c r="AM167" i="20"/>
  <c r="AN167" i="20"/>
  <c r="AM168" i="20"/>
  <c r="AN168" i="20"/>
  <c r="AM169" i="20"/>
  <c r="AN169" i="20"/>
  <c r="AM170" i="20"/>
  <c r="AN170" i="20"/>
  <c r="AM171" i="20"/>
  <c r="AN171" i="20"/>
  <c r="AM172" i="20"/>
  <c r="AN172" i="20"/>
  <c r="AM173" i="20"/>
  <c r="AN173" i="20"/>
  <c r="AM174" i="20"/>
  <c r="AN174" i="20"/>
  <c r="AM175" i="20"/>
  <c r="AN175" i="20"/>
  <c r="AM176" i="20"/>
  <c r="AN176" i="20"/>
  <c r="AM177" i="20"/>
  <c r="AN177" i="20"/>
  <c r="AM178" i="20"/>
  <c r="AN178" i="20"/>
  <c r="AM179" i="20"/>
  <c r="AN179" i="20"/>
  <c r="AM180" i="20"/>
  <c r="AN180" i="20"/>
  <c r="AM181" i="20"/>
  <c r="AN181" i="20"/>
  <c r="AM182" i="20"/>
  <c r="AN182" i="20"/>
  <c r="AM183" i="20"/>
  <c r="AN183" i="20"/>
  <c r="AM184" i="20"/>
  <c r="AN184" i="20"/>
  <c r="AM185" i="20"/>
  <c r="AN185" i="20"/>
  <c r="AM186" i="20"/>
  <c r="AN186" i="20"/>
  <c r="AM187" i="20"/>
  <c r="AN187" i="20"/>
  <c r="AM188" i="20"/>
  <c r="AN188" i="20"/>
  <c r="AM189" i="20"/>
  <c r="AN189" i="20"/>
  <c r="AM190" i="20"/>
  <c r="AN190" i="20"/>
  <c r="AM191" i="20"/>
  <c r="AN191" i="20"/>
  <c r="AM192" i="20"/>
  <c r="AN192" i="20"/>
  <c r="AM193" i="20"/>
  <c r="AN193" i="20"/>
  <c r="AM194" i="20"/>
  <c r="AN194" i="20"/>
  <c r="AM195" i="20"/>
  <c r="AN195" i="20"/>
  <c r="AM196" i="20"/>
  <c r="AN196" i="20"/>
  <c r="AM197" i="20"/>
  <c r="AN197" i="20"/>
  <c r="AM198" i="20"/>
  <c r="AN198" i="20"/>
  <c r="AM199" i="20"/>
  <c r="AN199" i="20"/>
  <c r="AM200" i="20"/>
  <c r="AN200" i="20"/>
  <c r="AM201" i="20"/>
  <c r="AN201" i="20"/>
  <c r="AM202" i="20"/>
  <c r="AN202" i="20"/>
  <c r="AM203" i="20"/>
  <c r="AN203" i="20"/>
  <c r="AM204" i="20"/>
  <c r="AN204" i="20"/>
  <c r="AM205" i="20"/>
  <c r="AN205" i="20"/>
  <c r="AM206" i="20"/>
  <c r="AN206" i="20"/>
  <c r="AM207" i="20"/>
  <c r="AN207" i="20"/>
  <c r="AM208" i="20"/>
  <c r="AN208" i="20"/>
  <c r="AM209" i="20"/>
  <c r="AN209" i="20"/>
  <c r="AM210" i="20"/>
  <c r="AN210" i="20"/>
  <c r="AM211" i="20"/>
  <c r="AN211" i="20"/>
  <c r="AM212" i="20"/>
  <c r="AN212" i="20"/>
  <c r="AM213" i="20"/>
  <c r="AN213" i="20"/>
  <c r="AM214" i="20"/>
  <c r="AN214" i="20"/>
  <c r="AM215" i="20"/>
  <c r="AN215" i="20"/>
  <c r="AM216" i="20"/>
  <c r="AN216" i="20"/>
  <c r="AM217" i="20"/>
  <c r="AN217" i="20"/>
  <c r="AM218" i="20"/>
  <c r="AN218" i="20"/>
  <c r="AM219" i="20"/>
  <c r="AN219" i="20"/>
  <c r="AM220" i="20"/>
  <c r="AN220" i="20"/>
  <c r="AM221" i="20"/>
  <c r="AN221" i="20"/>
  <c r="AM222" i="20"/>
  <c r="AN222" i="20"/>
  <c r="AM223" i="20"/>
  <c r="AN223" i="20"/>
  <c r="AM224" i="20"/>
  <c r="AN224" i="20"/>
  <c r="AM225" i="20"/>
  <c r="AN225" i="20"/>
  <c r="AM226" i="20"/>
  <c r="AN226" i="20"/>
  <c r="AM227" i="20"/>
  <c r="AN227" i="20"/>
  <c r="AM228" i="20"/>
  <c r="AN228" i="20"/>
  <c r="AM229" i="20"/>
  <c r="AN229" i="20"/>
  <c r="AM230" i="20"/>
  <c r="AN230" i="20"/>
  <c r="AM231" i="20"/>
  <c r="AN231" i="20"/>
  <c r="AM232" i="20"/>
  <c r="AN232" i="20"/>
  <c r="AM233" i="20"/>
  <c r="AN233" i="20"/>
  <c r="AM234" i="20"/>
  <c r="AN234" i="20"/>
  <c r="AM235" i="20"/>
  <c r="AN235" i="20"/>
  <c r="AM236" i="20"/>
  <c r="AN236" i="20"/>
  <c r="AM237" i="20"/>
  <c r="AN237" i="20"/>
  <c r="AM238" i="20"/>
  <c r="AN238" i="20"/>
  <c r="AM239" i="20"/>
  <c r="AN239" i="20"/>
  <c r="AM240" i="20"/>
  <c r="AN240" i="20"/>
  <c r="AM241" i="20"/>
  <c r="AN241" i="20"/>
  <c r="AM242" i="20"/>
  <c r="AN242" i="20"/>
  <c r="AM243" i="20"/>
  <c r="AN243" i="20"/>
  <c r="AM244" i="20"/>
  <c r="AN244" i="20"/>
  <c r="AM245" i="20"/>
  <c r="AN245" i="20"/>
  <c r="AM246" i="20"/>
  <c r="AN246" i="20"/>
  <c r="AM247" i="20"/>
  <c r="AN247" i="20"/>
  <c r="AM248" i="20"/>
  <c r="AN248" i="20"/>
  <c r="AM249" i="20"/>
  <c r="AN249" i="20"/>
  <c r="AM250" i="20"/>
  <c r="AN250" i="20"/>
  <c r="AM251" i="20"/>
  <c r="AN251" i="20"/>
  <c r="AM252" i="20"/>
  <c r="AN252" i="20"/>
  <c r="AM253" i="20"/>
  <c r="AN253" i="20"/>
  <c r="AM254" i="20"/>
  <c r="AN254" i="20"/>
  <c r="AM255" i="20"/>
  <c r="AN255" i="20"/>
  <c r="AM256" i="20"/>
  <c r="AN256" i="20"/>
  <c r="AM257" i="20"/>
  <c r="AN257" i="20"/>
  <c r="AM258" i="20"/>
  <c r="AN258" i="20"/>
  <c r="AM259" i="20"/>
  <c r="AN259" i="20"/>
  <c r="AM260" i="20"/>
  <c r="AN260" i="20"/>
  <c r="AM261" i="20"/>
  <c r="AN261" i="20"/>
  <c r="AM262" i="20"/>
  <c r="AN262" i="20"/>
  <c r="AM263" i="20"/>
  <c r="AN263" i="20"/>
  <c r="AM264" i="20"/>
  <c r="AN264" i="20"/>
  <c r="AM265" i="20"/>
  <c r="AN265" i="20"/>
  <c r="AM266" i="20"/>
  <c r="AN266" i="20"/>
  <c r="AM267" i="20"/>
  <c r="AN267" i="20"/>
  <c r="AM268" i="20"/>
  <c r="AN268" i="20"/>
  <c r="AM269" i="20"/>
  <c r="AN269" i="20"/>
  <c r="AM270" i="20"/>
  <c r="AN270" i="20"/>
  <c r="AM271" i="20"/>
  <c r="AN271" i="20"/>
  <c r="AM272" i="20"/>
  <c r="AN272" i="20"/>
  <c r="AM273" i="20"/>
  <c r="AN273" i="20"/>
  <c r="AM274" i="20"/>
  <c r="AN274" i="20"/>
  <c r="AM275" i="20"/>
  <c r="AN275" i="20"/>
  <c r="AM276" i="20"/>
  <c r="AN276" i="20"/>
  <c r="AM277" i="20"/>
  <c r="AN277" i="20"/>
  <c r="AM278" i="20"/>
  <c r="AN278" i="20"/>
  <c r="AM279" i="20"/>
  <c r="AN279" i="20"/>
  <c r="AM280" i="20"/>
  <c r="AN280" i="20"/>
  <c r="AM281" i="20"/>
  <c r="AN281" i="20"/>
  <c r="AM282" i="20"/>
  <c r="AN282" i="20"/>
  <c r="AM283" i="20"/>
  <c r="AN283" i="20"/>
  <c r="AM284" i="20"/>
  <c r="AN284" i="20"/>
  <c r="AM285" i="20"/>
  <c r="AN285" i="20"/>
  <c r="AM286" i="20"/>
  <c r="AN286" i="20"/>
  <c r="AM287" i="20"/>
  <c r="AN287" i="20"/>
  <c r="AM288" i="20"/>
  <c r="AN288" i="20"/>
  <c r="AM289" i="20"/>
  <c r="AN289" i="20"/>
  <c r="AM290" i="20"/>
  <c r="AN290" i="20"/>
  <c r="AM291" i="20"/>
  <c r="AN291" i="20"/>
  <c r="AM292" i="20"/>
  <c r="AN292" i="20"/>
  <c r="AM293" i="20"/>
  <c r="AN293" i="20"/>
  <c r="AM294" i="20"/>
  <c r="AN294" i="20"/>
  <c r="AM295" i="20"/>
  <c r="AN295" i="20"/>
  <c r="AM296" i="20"/>
  <c r="AN296" i="20"/>
  <c r="AM297" i="20"/>
  <c r="AN297" i="20"/>
  <c r="AM298" i="20"/>
  <c r="AN298" i="20"/>
  <c r="AM299" i="20"/>
  <c r="AN299" i="20"/>
  <c r="AM300" i="20"/>
  <c r="AN300" i="20"/>
  <c r="AM301" i="20"/>
  <c r="AN301" i="20"/>
  <c r="AM302" i="20"/>
  <c r="AN302" i="20"/>
  <c r="AM303" i="20"/>
  <c r="AN303" i="20"/>
  <c r="AM304" i="20"/>
  <c r="AN304" i="20"/>
  <c r="AM305" i="20"/>
  <c r="AN305" i="20"/>
  <c r="AM306" i="20"/>
  <c r="AN306" i="20"/>
  <c r="AM307" i="20"/>
  <c r="AN307" i="20"/>
  <c r="AM308" i="20"/>
  <c r="AN308" i="20"/>
  <c r="AM309" i="20"/>
  <c r="AN309" i="20"/>
  <c r="AM310" i="20"/>
  <c r="AN310" i="20"/>
  <c r="AM311" i="20"/>
  <c r="AN311" i="20"/>
  <c r="AM312" i="20"/>
  <c r="AN312" i="20"/>
  <c r="AM313" i="20"/>
  <c r="AN313" i="20"/>
  <c r="AM314" i="20"/>
  <c r="AN314" i="20"/>
  <c r="AM315" i="20"/>
  <c r="AN315" i="20"/>
  <c r="AM316" i="20"/>
  <c r="AN316" i="20"/>
  <c r="AM317" i="20"/>
  <c r="AN317" i="20"/>
  <c r="AM318" i="20"/>
  <c r="AN318" i="20"/>
  <c r="AM319" i="20"/>
  <c r="AN319" i="20"/>
  <c r="AM320" i="20"/>
  <c r="AN320" i="20"/>
  <c r="AM321" i="20"/>
  <c r="AN321" i="20"/>
  <c r="AM322" i="20"/>
  <c r="AN322" i="20"/>
  <c r="AM323" i="20"/>
  <c r="AN323" i="20"/>
  <c r="AM324" i="20"/>
  <c r="AN324" i="20"/>
  <c r="AM325" i="20"/>
  <c r="AN325" i="20"/>
  <c r="AM326" i="20"/>
  <c r="AN326" i="20"/>
  <c r="AM327" i="20"/>
  <c r="AN327" i="20"/>
  <c r="AM328" i="20"/>
  <c r="AN328" i="20"/>
  <c r="AM329" i="20"/>
  <c r="AN329" i="20"/>
  <c r="AM330" i="20"/>
  <c r="AN330" i="20"/>
  <c r="AM331" i="20"/>
  <c r="AN331" i="20"/>
  <c r="AM332" i="20"/>
  <c r="AN332" i="20"/>
  <c r="AM333" i="20"/>
  <c r="AN333" i="20"/>
  <c r="AM334" i="20"/>
  <c r="AN334" i="20"/>
  <c r="AM335" i="20"/>
  <c r="AN335" i="20"/>
  <c r="AM336" i="20"/>
  <c r="AN336" i="20"/>
  <c r="AM337" i="20"/>
  <c r="AN337" i="20"/>
  <c r="AM338" i="20"/>
  <c r="AN338" i="20"/>
  <c r="AM339" i="20"/>
  <c r="AN339" i="20"/>
  <c r="AM340" i="20"/>
  <c r="AN340" i="20"/>
  <c r="AM341" i="20"/>
  <c r="AN341" i="20"/>
  <c r="AM342" i="20"/>
  <c r="AN342" i="20"/>
  <c r="AM343" i="20"/>
  <c r="AN343" i="20"/>
  <c r="AM344" i="20"/>
  <c r="AN344" i="20"/>
  <c r="AM345" i="20"/>
  <c r="AN345" i="20"/>
  <c r="AM346" i="20"/>
  <c r="AN346" i="20"/>
  <c r="AM347" i="20"/>
  <c r="AN347" i="20"/>
  <c r="AM348" i="20"/>
  <c r="AN348" i="20"/>
  <c r="AM349" i="20"/>
  <c r="AN349" i="20"/>
  <c r="AM350" i="20"/>
  <c r="AN350" i="20"/>
  <c r="AM351" i="20"/>
  <c r="AN351" i="20"/>
  <c r="AM352" i="20"/>
  <c r="AN352" i="20"/>
  <c r="AM353" i="20"/>
  <c r="AN353" i="20"/>
  <c r="AM354" i="20"/>
  <c r="AN354" i="20"/>
  <c r="AM355" i="20"/>
  <c r="AN355" i="20"/>
  <c r="AM356" i="20"/>
  <c r="AN356" i="20"/>
  <c r="AM357" i="20"/>
  <c r="AN357" i="20"/>
  <c r="AM358" i="20"/>
  <c r="AN358" i="20"/>
  <c r="AM359" i="20"/>
  <c r="AN359" i="20"/>
  <c r="AM360" i="20"/>
  <c r="AN360" i="20"/>
  <c r="AM361" i="20"/>
  <c r="AN361" i="20"/>
  <c r="AM362" i="20"/>
  <c r="AN362" i="20"/>
  <c r="AM363" i="20"/>
  <c r="AN363" i="20"/>
  <c r="AM364" i="20"/>
  <c r="AN364" i="20"/>
  <c r="AM365" i="20"/>
  <c r="AN365" i="20"/>
  <c r="AM366" i="20"/>
  <c r="AN366" i="20"/>
  <c r="AM367" i="20"/>
  <c r="AN367" i="20"/>
  <c r="AM368" i="20"/>
  <c r="AN368" i="20"/>
  <c r="AM369" i="20"/>
  <c r="AN369" i="20"/>
  <c r="AM370" i="20"/>
  <c r="AN370" i="20"/>
  <c r="AM371" i="20"/>
  <c r="AN371" i="20"/>
  <c r="AM372" i="20"/>
  <c r="AN372" i="20"/>
  <c r="AM373" i="20"/>
  <c r="AN373" i="20"/>
  <c r="AM374" i="20"/>
  <c r="AN374" i="20"/>
  <c r="AM375" i="20"/>
  <c r="AN375" i="20"/>
  <c r="AM376" i="20"/>
  <c r="AN376" i="20"/>
  <c r="AM377" i="20"/>
  <c r="AN377" i="20"/>
  <c r="AM378" i="20"/>
  <c r="AN378" i="20"/>
  <c r="AM379" i="20"/>
  <c r="AN379" i="20"/>
  <c r="AM380" i="20"/>
  <c r="AN380" i="20"/>
  <c r="AM381" i="20"/>
  <c r="AN381" i="20"/>
  <c r="AM382" i="20"/>
  <c r="AN382" i="20"/>
  <c r="AM383" i="20"/>
  <c r="AN383" i="20"/>
  <c r="AM384" i="20"/>
  <c r="AN384" i="20"/>
  <c r="AM385" i="20"/>
  <c r="AN385" i="20"/>
  <c r="AM386" i="20"/>
  <c r="AN386" i="20"/>
  <c r="AM387" i="20"/>
  <c r="AN387" i="20"/>
  <c r="AM388" i="20"/>
  <c r="AN388" i="20"/>
  <c r="AM389" i="20"/>
  <c r="AN389" i="20"/>
  <c r="AM390" i="20"/>
  <c r="AN390" i="20"/>
  <c r="AM391" i="20"/>
  <c r="AN391" i="20"/>
  <c r="AM392" i="20"/>
  <c r="AN392" i="20"/>
  <c r="AM393" i="20"/>
  <c r="AN393" i="20"/>
  <c r="AM394" i="20"/>
  <c r="AN394" i="20"/>
  <c r="AM395" i="20"/>
  <c r="AN395" i="20"/>
  <c r="AM396" i="20"/>
  <c r="AN396" i="20"/>
  <c r="AM397" i="20"/>
  <c r="AN397" i="20"/>
  <c r="AM398" i="20"/>
  <c r="AN398" i="20"/>
  <c r="AM399" i="20"/>
  <c r="AN399" i="20"/>
  <c r="AM400" i="20"/>
  <c r="AN400" i="20"/>
  <c r="AM401" i="20"/>
  <c r="AN401" i="20"/>
  <c r="AM402" i="20"/>
  <c r="AN402" i="20"/>
  <c r="AM403" i="20"/>
  <c r="AN403" i="20"/>
  <c r="AM404" i="20"/>
  <c r="AN404" i="20"/>
  <c r="AN2" i="20"/>
  <c r="AM2" i="20"/>
  <c r="E61" i="21" l="1"/>
  <c r="J61" i="21" s="1"/>
  <c r="E56" i="21"/>
  <c r="E55" i="21"/>
  <c r="H55" i="21" s="1"/>
  <c r="E54" i="21"/>
  <c r="I77" i="21"/>
  <c r="J77" i="21"/>
  <c r="E51" i="21"/>
  <c r="H51" i="21" s="1"/>
  <c r="E40" i="21"/>
  <c r="H40" i="21" s="1"/>
  <c r="J32" i="21"/>
  <c r="I32" i="21"/>
  <c r="I26" i="21"/>
  <c r="J26" i="21"/>
  <c r="H27" i="21"/>
  <c r="E17" i="21"/>
  <c r="I17" i="21" s="1"/>
  <c r="E15" i="21"/>
  <c r="H15" i="21" s="1"/>
  <c r="J15" i="21"/>
  <c r="I46" i="21"/>
  <c r="I27" i="21"/>
  <c r="H32" i="21"/>
  <c r="H64" i="21"/>
  <c r="J68" i="21"/>
  <c r="E18" i="21"/>
  <c r="J18" i="21" s="1"/>
  <c r="E14" i="21"/>
  <c r="I14" i="21" s="1"/>
  <c r="E16" i="21"/>
  <c r="I16" i="21" s="1"/>
  <c r="E39" i="21"/>
  <c r="I39" i="21" s="1"/>
  <c r="E41" i="21"/>
  <c r="I41" i="21" s="1"/>
  <c r="E50" i="21"/>
  <c r="I50" i="21" s="1"/>
  <c r="H46" i="21"/>
  <c r="H39" i="21"/>
  <c r="E66" i="21"/>
  <c r="I66" i="21" s="1"/>
  <c r="H77" i="21"/>
  <c r="E11" i="21"/>
  <c r="I11" i="21" s="1"/>
  <c r="E43" i="21"/>
  <c r="J43" i="21" s="1"/>
  <c r="H68" i="21"/>
  <c r="I56" i="21"/>
  <c r="J56" i="21"/>
  <c r="H56" i="21"/>
  <c r="H54" i="21"/>
  <c r="I54" i="21"/>
  <c r="H78" i="21"/>
  <c r="J78" i="21"/>
  <c r="I7" i="21"/>
  <c r="J54" i="21"/>
  <c r="I78" i="21"/>
  <c r="J64" i="21"/>
  <c r="J67" i="21"/>
  <c r="H67" i="21"/>
  <c r="I76" i="21"/>
  <c r="I42" i="21"/>
  <c r="J42" i="21"/>
  <c r="H42" i="21"/>
  <c r="H65" i="21"/>
  <c r="I65" i="21"/>
  <c r="I67" i="21"/>
  <c r="J76" i="21"/>
  <c r="I15" i="21"/>
  <c r="I31" i="21"/>
  <c r="J31" i="21"/>
  <c r="H31" i="21"/>
  <c r="I40" i="21"/>
  <c r="H61" i="21"/>
  <c r="J65" i="21"/>
  <c r="E25" i="21"/>
  <c r="J25" i="21" s="1"/>
  <c r="I30" i="21"/>
  <c r="E75" i="21"/>
  <c r="J75" i="21" s="1"/>
  <c r="E7" i="21"/>
  <c r="J7" i="21" s="1"/>
  <c r="E10" i="21"/>
  <c r="E24" i="21"/>
  <c r="J24" i="21" s="1"/>
  <c r="J30" i="21"/>
  <c r="E35" i="21"/>
  <c r="H35" i="21" s="1"/>
  <c r="E38" i="21"/>
  <c r="E49" i="21"/>
  <c r="H49" i="21" s="1"/>
  <c r="J55" i="21"/>
  <c r="E60" i="21"/>
  <c r="J60" i="21" s="1"/>
  <c r="E71" i="21"/>
  <c r="I71" i="21" s="1"/>
  <c r="E74" i="21"/>
  <c r="H74" i="21" s="1"/>
  <c r="E3" i="21"/>
  <c r="J3" i="21" s="1"/>
  <c r="E6" i="21"/>
  <c r="E23" i="21"/>
  <c r="J23" i="21" s="1"/>
  <c r="E34" i="21"/>
  <c r="J34" i="21" s="1"/>
  <c r="E48" i="21"/>
  <c r="J48" i="21" s="1"/>
  <c r="E59" i="21"/>
  <c r="J59" i="21" s="1"/>
  <c r="I64" i="21"/>
  <c r="E70" i="21"/>
  <c r="I70" i="21" s="1"/>
  <c r="E2" i="21"/>
  <c r="E19" i="21"/>
  <c r="J19" i="21" s="1"/>
  <c r="E22" i="21"/>
  <c r="E33" i="21"/>
  <c r="J33" i="21" s="1"/>
  <c r="E47" i="21"/>
  <c r="H47" i="21" s="1"/>
  <c r="E58" i="21"/>
  <c r="J58" i="21" s="1"/>
  <c r="E69" i="21"/>
  <c r="J69" i="21" s="1"/>
  <c r="E57" i="21"/>
  <c r="H57" i="21" s="1"/>
  <c r="E79" i="21"/>
  <c r="I79" i="21" s="1"/>
  <c r="AO3" i="20"/>
  <c r="AO4" i="20"/>
  <c r="AO5" i="20"/>
  <c r="AO6" i="20"/>
  <c r="AO7" i="20"/>
  <c r="AO8" i="20"/>
  <c r="AO9" i="20"/>
  <c r="AO10" i="20"/>
  <c r="AO11" i="20"/>
  <c r="AO12" i="20"/>
  <c r="AO13" i="20"/>
  <c r="AO14" i="20"/>
  <c r="AO15" i="20"/>
  <c r="AO16" i="20"/>
  <c r="AO17" i="20"/>
  <c r="AO18" i="20"/>
  <c r="AO19" i="20"/>
  <c r="AO20" i="20"/>
  <c r="AO21" i="20"/>
  <c r="AO22" i="20"/>
  <c r="AO23" i="20"/>
  <c r="AO24" i="20"/>
  <c r="AO25" i="20"/>
  <c r="AP25" i="20" s="1"/>
  <c r="AO26" i="20"/>
  <c r="AO27" i="20"/>
  <c r="AO28" i="20"/>
  <c r="AO29" i="20"/>
  <c r="AO30" i="20"/>
  <c r="AO31" i="20"/>
  <c r="AO32" i="20"/>
  <c r="AO33" i="20"/>
  <c r="AP33" i="20" s="1"/>
  <c r="AO34" i="20"/>
  <c r="AO35" i="20"/>
  <c r="AO36" i="20"/>
  <c r="AO37" i="20"/>
  <c r="AO38" i="20"/>
  <c r="AO39" i="20"/>
  <c r="AO40" i="20"/>
  <c r="AO41" i="20"/>
  <c r="AO42" i="20"/>
  <c r="AO43" i="20"/>
  <c r="AO44" i="20"/>
  <c r="AO45" i="20"/>
  <c r="AO46" i="20"/>
  <c r="AO47" i="20"/>
  <c r="AO48" i="20"/>
  <c r="AO49" i="20"/>
  <c r="AP49" i="20" s="1"/>
  <c r="AO50" i="20"/>
  <c r="AO51" i="20"/>
  <c r="AO52" i="20"/>
  <c r="AO53" i="20"/>
  <c r="AO54" i="20"/>
  <c r="AO55" i="20"/>
  <c r="AO56" i="20"/>
  <c r="AO57" i="20"/>
  <c r="AP57" i="20" s="1"/>
  <c r="AO58" i="20"/>
  <c r="AO59" i="20"/>
  <c r="AO60" i="20"/>
  <c r="AO61" i="20"/>
  <c r="AO62" i="20"/>
  <c r="AO63" i="20"/>
  <c r="AO64" i="20"/>
  <c r="AO65" i="20"/>
  <c r="AP65" i="20" s="1"/>
  <c r="AO66" i="20"/>
  <c r="AO67" i="20"/>
  <c r="AO68" i="20"/>
  <c r="AO69" i="20"/>
  <c r="AO70" i="20"/>
  <c r="AO71" i="20"/>
  <c r="AO72" i="20"/>
  <c r="AO73" i="20"/>
  <c r="AO74" i="20"/>
  <c r="AO75" i="20"/>
  <c r="AO76" i="20"/>
  <c r="AO77" i="20"/>
  <c r="AO78" i="20"/>
  <c r="AO79" i="20"/>
  <c r="AO80" i="20"/>
  <c r="AO81" i="20"/>
  <c r="AO82" i="20"/>
  <c r="AO83" i="20"/>
  <c r="AO84" i="20"/>
  <c r="AO85" i="20"/>
  <c r="AO86" i="20"/>
  <c r="AO87" i="20"/>
  <c r="AO88" i="20"/>
  <c r="AO89" i="20"/>
  <c r="AO90" i="20"/>
  <c r="AO91" i="20"/>
  <c r="AO92" i="20"/>
  <c r="AO93" i="20"/>
  <c r="AO94" i="20"/>
  <c r="AO95" i="20"/>
  <c r="AO96" i="20"/>
  <c r="AO97" i="20"/>
  <c r="AP97" i="20" s="1"/>
  <c r="AO98" i="20"/>
  <c r="AO99" i="20"/>
  <c r="AO100" i="20"/>
  <c r="AO101" i="20"/>
  <c r="AO102" i="20"/>
  <c r="AO103" i="20"/>
  <c r="AO104" i="20"/>
  <c r="AO105" i="20"/>
  <c r="AO106" i="20"/>
  <c r="AO107" i="20"/>
  <c r="AO108" i="20"/>
  <c r="AO109" i="20"/>
  <c r="AO110" i="20"/>
  <c r="AO111" i="20"/>
  <c r="AO112" i="20"/>
  <c r="AO113" i="20"/>
  <c r="AO114" i="20"/>
  <c r="AO115" i="20"/>
  <c r="AO116" i="20"/>
  <c r="AO117" i="20"/>
  <c r="AO118" i="20"/>
  <c r="AO119" i="20"/>
  <c r="AO120" i="20"/>
  <c r="AO121" i="20"/>
  <c r="AP121" i="20" s="1"/>
  <c r="AO122" i="20"/>
  <c r="AO123" i="20"/>
  <c r="AO124" i="20"/>
  <c r="AO125" i="20"/>
  <c r="AO126" i="20"/>
  <c r="AO127" i="20"/>
  <c r="AO128" i="20"/>
  <c r="AO129" i="20"/>
  <c r="AP129" i="20" s="1"/>
  <c r="AO130" i="20"/>
  <c r="AO131" i="20"/>
  <c r="AO132" i="20"/>
  <c r="AO133" i="20"/>
  <c r="AO134" i="20"/>
  <c r="AO135" i="20"/>
  <c r="AO136" i="20"/>
  <c r="AO137" i="20"/>
  <c r="AP137" i="20" s="1"/>
  <c r="AO138" i="20"/>
  <c r="AO139" i="20"/>
  <c r="AO140" i="20"/>
  <c r="AO141" i="20"/>
  <c r="AO142" i="20"/>
  <c r="AO143" i="20"/>
  <c r="AO144" i="20"/>
  <c r="AO145" i="20"/>
  <c r="AP145" i="20" s="1"/>
  <c r="AO146" i="20"/>
  <c r="AO147" i="20"/>
  <c r="AO148" i="20"/>
  <c r="AO149" i="20"/>
  <c r="AO150" i="20"/>
  <c r="AO151" i="20"/>
  <c r="AO152" i="20"/>
  <c r="AO153" i="20"/>
  <c r="AP153" i="20" s="1"/>
  <c r="AO154" i="20"/>
  <c r="AO155" i="20"/>
  <c r="AO156" i="20"/>
  <c r="AO157" i="20"/>
  <c r="AO158" i="20"/>
  <c r="AO159" i="20"/>
  <c r="AO160" i="20"/>
  <c r="AO161" i="20"/>
  <c r="AO162" i="20"/>
  <c r="AO163" i="20"/>
  <c r="AO164" i="20"/>
  <c r="AO165" i="20"/>
  <c r="AO166" i="20"/>
  <c r="AO167" i="20"/>
  <c r="AO168" i="20"/>
  <c r="AO169" i="20"/>
  <c r="AO170" i="20"/>
  <c r="AO171" i="20"/>
  <c r="AO172" i="20"/>
  <c r="AO173" i="20"/>
  <c r="AO174" i="20"/>
  <c r="AO175" i="20"/>
  <c r="AO176" i="20"/>
  <c r="AO177" i="20"/>
  <c r="AO178" i="20"/>
  <c r="AO179" i="20"/>
  <c r="AO180" i="20"/>
  <c r="AO181" i="20"/>
  <c r="AO182" i="20"/>
  <c r="AO183" i="20"/>
  <c r="AO184" i="20"/>
  <c r="AO185" i="20"/>
  <c r="AP185" i="20" s="1"/>
  <c r="AO186" i="20"/>
  <c r="AO187" i="20"/>
  <c r="AO188" i="20"/>
  <c r="AO189" i="20"/>
  <c r="AO190" i="20"/>
  <c r="AO191" i="20"/>
  <c r="AO192" i="20"/>
  <c r="AO193" i="20"/>
  <c r="AO194" i="20"/>
  <c r="AO195" i="20"/>
  <c r="AO196" i="20"/>
  <c r="AO197" i="20"/>
  <c r="AO198" i="20"/>
  <c r="AO199" i="20"/>
  <c r="AO200" i="20"/>
  <c r="AO201" i="20"/>
  <c r="AO202" i="20"/>
  <c r="AO203" i="20"/>
  <c r="AO204" i="20"/>
  <c r="AO205" i="20"/>
  <c r="AO206" i="20"/>
  <c r="AO207" i="20"/>
  <c r="AO208" i="20"/>
  <c r="AO209" i="20"/>
  <c r="AP209" i="20" s="1"/>
  <c r="AO210" i="20"/>
  <c r="AO211" i="20"/>
  <c r="AO212" i="20"/>
  <c r="AO213" i="20"/>
  <c r="AO214" i="20"/>
  <c r="AO215" i="20"/>
  <c r="AO216" i="20"/>
  <c r="AO217" i="20"/>
  <c r="AP217" i="20" s="1"/>
  <c r="AO218" i="20"/>
  <c r="AO219" i="20"/>
  <c r="AO220" i="20"/>
  <c r="AO221" i="20"/>
  <c r="AO222" i="20"/>
  <c r="AO223" i="20"/>
  <c r="AO224" i="20"/>
  <c r="AO225" i="20"/>
  <c r="AP225" i="20" s="1"/>
  <c r="AO226" i="20"/>
  <c r="AO227" i="20"/>
  <c r="AO228" i="20"/>
  <c r="AO229" i="20"/>
  <c r="AO230" i="20"/>
  <c r="AO231" i="20"/>
  <c r="AO232" i="20"/>
  <c r="AO233" i="20"/>
  <c r="AP233" i="20" s="1"/>
  <c r="AO234" i="20"/>
  <c r="AO235" i="20"/>
  <c r="AO236" i="20"/>
  <c r="AO237" i="20"/>
  <c r="AO238" i="20"/>
  <c r="AO239" i="20"/>
  <c r="AO240" i="20"/>
  <c r="AO241" i="20"/>
  <c r="AP241" i="20" s="1"/>
  <c r="AO242" i="20"/>
  <c r="AO243" i="20"/>
  <c r="AO244" i="20"/>
  <c r="AO245" i="20"/>
  <c r="AO246" i="20"/>
  <c r="AO247" i="20"/>
  <c r="AO248" i="20"/>
  <c r="AO249" i="20"/>
  <c r="AP249" i="20" s="1"/>
  <c r="AO250" i="20"/>
  <c r="AO251" i="20"/>
  <c r="AO252" i="20"/>
  <c r="AO253" i="20"/>
  <c r="AO254" i="20"/>
  <c r="AO255" i="20"/>
  <c r="AO256" i="20"/>
  <c r="AO257" i="20"/>
  <c r="AO258" i="20"/>
  <c r="AO259" i="20"/>
  <c r="AO260" i="20"/>
  <c r="AO261" i="20"/>
  <c r="AO262" i="20"/>
  <c r="AO263" i="20"/>
  <c r="AO264" i="20"/>
  <c r="AO265" i="20"/>
  <c r="AO266" i="20"/>
  <c r="AO267" i="20"/>
  <c r="AO268" i="20"/>
  <c r="AO269" i="20"/>
  <c r="AO270" i="20"/>
  <c r="AO271" i="20"/>
  <c r="AO272" i="20"/>
  <c r="AO273" i="20"/>
  <c r="AO274" i="20"/>
  <c r="AO275" i="20"/>
  <c r="AO276" i="20"/>
  <c r="AO277" i="20"/>
  <c r="AO278" i="20"/>
  <c r="AO279" i="20"/>
  <c r="AO280" i="20"/>
  <c r="AO281" i="20"/>
  <c r="AP281" i="20" s="1"/>
  <c r="AO282" i="20"/>
  <c r="AO283" i="20"/>
  <c r="AO284" i="20"/>
  <c r="AO285" i="20"/>
  <c r="AO286" i="20"/>
  <c r="AO287" i="20"/>
  <c r="AO288" i="20"/>
  <c r="AO289" i="20"/>
  <c r="AO290" i="20"/>
  <c r="AO291" i="20"/>
  <c r="AO292" i="20"/>
  <c r="AO293" i="20"/>
  <c r="AO294" i="20"/>
  <c r="AO295" i="20"/>
  <c r="AO296" i="20"/>
  <c r="AO297" i="20"/>
  <c r="AP297" i="20" s="1"/>
  <c r="AO298" i="20"/>
  <c r="AO299" i="20"/>
  <c r="AO300" i="20"/>
  <c r="AO301" i="20"/>
  <c r="AO302" i="20"/>
  <c r="AO303" i="20"/>
  <c r="AO304" i="20"/>
  <c r="AO305" i="20"/>
  <c r="AP305" i="20" s="1"/>
  <c r="AO306" i="20"/>
  <c r="AO307" i="20"/>
  <c r="AO308" i="20"/>
  <c r="AO309" i="20"/>
  <c r="AO310" i="20"/>
  <c r="AO311" i="20"/>
  <c r="AO312" i="20"/>
  <c r="AO313" i="20"/>
  <c r="AO314" i="20"/>
  <c r="AO315" i="20"/>
  <c r="AO316" i="20"/>
  <c r="AO317" i="20"/>
  <c r="AO318" i="20"/>
  <c r="AO319" i="20"/>
  <c r="AO320" i="20"/>
  <c r="AO321" i="20"/>
  <c r="AO322" i="20"/>
  <c r="AO323" i="20"/>
  <c r="AO324" i="20"/>
  <c r="AO325" i="20"/>
  <c r="AO326" i="20"/>
  <c r="AO327" i="20"/>
  <c r="AO328" i="20"/>
  <c r="AO329" i="20"/>
  <c r="AO330" i="20"/>
  <c r="AO331" i="20"/>
  <c r="AO332" i="20"/>
  <c r="AO333" i="20"/>
  <c r="AO334" i="20"/>
  <c r="AO335" i="20"/>
  <c r="AO336" i="20"/>
  <c r="AO337" i="20"/>
  <c r="AP337" i="20" s="1"/>
  <c r="AO338" i="20"/>
  <c r="AO339" i="20"/>
  <c r="AO340" i="20"/>
  <c r="AO341" i="20"/>
  <c r="AO342" i="20"/>
  <c r="AO343" i="20"/>
  <c r="AO344" i="20"/>
  <c r="AO345" i="20"/>
  <c r="AP345" i="20" s="1"/>
  <c r="AO346" i="20"/>
  <c r="AO347" i="20"/>
  <c r="AO348" i="20"/>
  <c r="AO349" i="20"/>
  <c r="AO350" i="20"/>
  <c r="AO351" i="20"/>
  <c r="AO352" i="20"/>
  <c r="AO353" i="20"/>
  <c r="AP353" i="20" s="1"/>
  <c r="AO354" i="20"/>
  <c r="AO355" i="20"/>
  <c r="AO356" i="20"/>
  <c r="AO357" i="20"/>
  <c r="AO358" i="20"/>
  <c r="AO359" i="20"/>
  <c r="AO360" i="20"/>
  <c r="AO361" i="20"/>
  <c r="AP361" i="20" s="1"/>
  <c r="AO362" i="20"/>
  <c r="AO363" i="20"/>
  <c r="AO364" i="20"/>
  <c r="AO365" i="20"/>
  <c r="AO366" i="20"/>
  <c r="AO367" i="20"/>
  <c r="AO368" i="20"/>
  <c r="AO369" i="20"/>
  <c r="AO370" i="20"/>
  <c r="AO371" i="20"/>
  <c r="AO372" i="20"/>
  <c r="AO373" i="20"/>
  <c r="AO374" i="20"/>
  <c r="AO375" i="20"/>
  <c r="AO376" i="20"/>
  <c r="AO377" i="20"/>
  <c r="AO378" i="20"/>
  <c r="AO379" i="20"/>
  <c r="AO380" i="20"/>
  <c r="AO381" i="20"/>
  <c r="AO382" i="20"/>
  <c r="AO383" i="20"/>
  <c r="AO384" i="20"/>
  <c r="AO385" i="20"/>
  <c r="AP385" i="20" s="1"/>
  <c r="AO386" i="20"/>
  <c r="AO387" i="20"/>
  <c r="AO388" i="20"/>
  <c r="AO389" i="20"/>
  <c r="AO390" i="20"/>
  <c r="AO391" i="20"/>
  <c r="AO392" i="20"/>
  <c r="AO393" i="20"/>
  <c r="AP393" i="20" s="1"/>
  <c r="AO394" i="20"/>
  <c r="AO395" i="20"/>
  <c r="AO396" i="20"/>
  <c r="AO397" i="20"/>
  <c r="AO398" i="20"/>
  <c r="AO399" i="20"/>
  <c r="AO400" i="20"/>
  <c r="AO401" i="20"/>
  <c r="AP401" i="20" s="1"/>
  <c r="AO402" i="20"/>
  <c r="AO403" i="20"/>
  <c r="AO404" i="20"/>
  <c r="AO2" i="20"/>
  <c r="AG3" i="20"/>
  <c r="AG4" i="20"/>
  <c r="AG5" i="20"/>
  <c r="AG6" i="20"/>
  <c r="AG7" i="20"/>
  <c r="AG8" i="20"/>
  <c r="AG9" i="20"/>
  <c r="AG10" i="20"/>
  <c r="AH10" i="20" s="1"/>
  <c r="AG11" i="20"/>
  <c r="AG12" i="20"/>
  <c r="AG13" i="20"/>
  <c r="AG14" i="20"/>
  <c r="AG15" i="20"/>
  <c r="AG16" i="20"/>
  <c r="AG17" i="20"/>
  <c r="AG18" i="20"/>
  <c r="AH18" i="20" s="1"/>
  <c r="AG19" i="20"/>
  <c r="AG20" i="20"/>
  <c r="AG21" i="20"/>
  <c r="AG22" i="20"/>
  <c r="AG23" i="20"/>
  <c r="AG24" i="20"/>
  <c r="AG25" i="20"/>
  <c r="AG26" i="20"/>
  <c r="AH26" i="20" s="1"/>
  <c r="AG27" i="20"/>
  <c r="AG28" i="20"/>
  <c r="AG29" i="20"/>
  <c r="AG30" i="20"/>
  <c r="AG31" i="20"/>
  <c r="AG32" i="20"/>
  <c r="AG33" i="20"/>
  <c r="AG34" i="20"/>
  <c r="AH34" i="20" s="1"/>
  <c r="AG35" i="20"/>
  <c r="AG36" i="20"/>
  <c r="AG37" i="20"/>
  <c r="AG38" i="20"/>
  <c r="AG39" i="20"/>
  <c r="AG40" i="20"/>
  <c r="AG41" i="20"/>
  <c r="AG42" i="20"/>
  <c r="AH42" i="20" s="1"/>
  <c r="AG43" i="20"/>
  <c r="AG44" i="20"/>
  <c r="AG45" i="20"/>
  <c r="AG46" i="20"/>
  <c r="AG47" i="20"/>
  <c r="AG48" i="20"/>
  <c r="AG49" i="20"/>
  <c r="AG50" i="20"/>
  <c r="AG51" i="20"/>
  <c r="AG52" i="20"/>
  <c r="AG53" i="20"/>
  <c r="AG54" i="20"/>
  <c r="AG55" i="20"/>
  <c r="AG56" i="20"/>
  <c r="AG57" i="20"/>
  <c r="AG58" i="20"/>
  <c r="AH58" i="20" s="1"/>
  <c r="AG59" i="20"/>
  <c r="AG60" i="20"/>
  <c r="AG61" i="20"/>
  <c r="AG62" i="20"/>
  <c r="AG63" i="20"/>
  <c r="AG64" i="20"/>
  <c r="AG65" i="20"/>
  <c r="AG66" i="20"/>
  <c r="AH66" i="20" s="1"/>
  <c r="AG67" i="20"/>
  <c r="AG68" i="20"/>
  <c r="AG69" i="20"/>
  <c r="AG70" i="20"/>
  <c r="AG71" i="20"/>
  <c r="AG72" i="20"/>
  <c r="AG73" i="20"/>
  <c r="AG74" i="20"/>
  <c r="AH74" i="20" s="1"/>
  <c r="AG75" i="20"/>
  <c r="AG76" i="20"/>
  <c r="AG77" i="20"/>
  <c r="AG78" i="20"/>
  <c r="AG79" i="20"/>
  <c r="AG80" i="20"/>
  <c r="AG81" i="20"/>
  <c r="AG82" i="20"/>
  <c r="AH82" i="20" s="1"/>
  <c r="AG83" i="20"/>
  <c r="AG84" i="20"/>
  <c r="AG85" i="20"/>
  <c r="AG86" i="20"/>
  <c r="AG87" i="20"/>
  <c r="AG88" i="20"/>
  <c r="AG89" i="20"/>
  <c r="AG90" i="20"/>
  <c r="AH90" i="20" s="1"/>
  <c r="AG91" i="20"/>
  <c r="AG92" i="20"/>
  <c r="AG93" i="20"/>
  <c r="AG94" i="20"/>
  <c r="AG95" i="20"/>
  <c r="AG96" i="20"/>
  <c r="AG97" i="20"/>
  <c r="AG98" i="20"/>
  <c r="AH98" i="20" s="1"/>
  <c r="AG99" i="20"/>
  <c r="AG100" i="20"/>
  <c r="AG101" i="20"/>
  <c r="AG102" i="20"/>
  <c r="AG103" i="20"/>
  <c r="AG104" i="20"/>
  <c r="AG105" i="20"/>
  <c r="AG106" i="20"/>
  <c r="AH106" i="20" s="1"/>
  <c r="AG107" i="20"/>
  <c r="AG108" i="20"/>
  <c r="AG109" i="20"/>
  <c r="AG110" i="20"/>
  <c r="AG111" i="20"/>
  <c r="AG112" i="20"/>
  <c r="AG113" i="20"/>
  <c r="AG114" i="20"/>
  <c r="AG115" i="20"/>
  <c r="AG116" i="20"/>
  <c r="AG117" i="20"/>
  <c r="AG118" i="20"/>
  <c r="AG119" i="20"/>
  <c r="AG120" i="20"/>
  <c r="AG121" i="20"/>
  <c r="AG122" i="20"/>
  <c r="AH122" i="20" s="1"/>
  <c r="AG123" i="20"/>
  <c r="AG124" i="20"/>
  <c r="AG125" i="20"/>
  <c r="AG126" i="20"/>
  <c r="AG127" i="20"/>
  <c r="AG128" i="20"/>
  <c r="AG129" i="20"/>
  <c r="AG130" i="20"/>
  <c r="AH130" i="20" s="1"/>
  <c r="AG131" i="20"/>
  <c r="AG132" i="20"/>
  <c r="AG133" i="20"/>
  <c r="AG134" i="20"/>
  <c r="AG135" i="20"/>
  <c r="AG136" i="20"/>
  <c r="AG137" i="20"/>
  <c r="AG138" i="20"/>
  <c r="AH138" i="20" s="1"/>
  <c r="AG139" i="20"/>
  <c r="AG140" i="20"/>
  <c r="AG141" i="20"/>
  <c r="AG142" i="20"/>
  <c r="AG143" i="20"/>
  <c r="AG144" i="20"/>
  <c r="AG145" i="20"/>
  <c r="AG146" i="20"/>
  <c r="AH146" i="20" s="1"/>
  <c r="AG147" i="20"/>
  <c r="AG148" i="20"/>
  <c r="AG149" i="20"/>
  <c r="AG150" i="20"/>
  <c r="AG151" i="20"/>
  <c r="AG152" i="20"/>
  <c r="AG153" i="20"/>
  <c r="AG154" i="20"/>
  <c r="AH154" i="20" s="1"/>
  <c r="AG155" i="20"/>
  <c r="AG156" i="20"/>
  <c r="AG157" i="20"/>
  <c r="AG158" i="20"/>
  <c r="AG159" i="20"/>
  <c r="AG160" i="20"/>
  <c r="AG161" i="20"/>
  <c r="AG162" i="20"/>
  <c r="AH162" i="20" s="1"/>
  <c r="AG163" i="20"/>
  <c r="AG164" i="20"/>
  <c r="AG165" i="20"/>
  <c r="AG166" i="20"/>
  <c r="AG167" i="20"/>
  <c r="AG168" i="20"/>
  <c r="AG169" i="20"/>
  <c r="AG170" i="20"/>
  <c r="AH170" i="20" s="1"/>
  <c r="AG171" i="20"/>
  <c r="AG172" i="20"/>
  <c r="AG173" i="20"/>
  <c r="AG174" i="20"/>
  <c r="AG175" i="20"/>
  <c r="AG176" i="20"/>
  <c r="AG177" i="20"/>
  <c r="AG178" i="20"/>
  <c r="AH178" i="20" s="1"/>
  <c r="AG179" i="20"/>
  <c r="AG180" i="20"/>
  <c r="AG181" i="20"/>
  <c r="AG182" i="20"/>
  <c r="AG183" i="20"/>
  <c r="AG184" i="20"/>
  <c r="AG185" i="20"/>
  <c r="AG186" i="20"/>
  <c r="AH186" i="20" s="1"/>
  <c r="AG187" i="20"/>
  <c r="AG188" i="20"/>
  <c r="AG189" i="20"/>
  <c r="AG190" i="20"/>
  <c r="AG191" i="20"/>
  <c r="AG192" i="20"/>
  <c r="AG193" i="20"/>
  <c r="AG194" i="20"/>
  <c r="AH194" i="20" s="1"/>
  <c r="AG195" i="20"/>
  <c r="AG196" i="20"/>
  <c r="AG197" i="20"/>
  <c r="AG198" i="20"/>
  <c r="AG199" i="20"/>
  <c r="AG200" i="20"/>
  <c r="AG201" i="20"/>
  <c r="AG202" i="20"/>
  <c r="AH202" i="20" s="1"/>
  <c r="AG203" i="20"/>
  <c r="AG204" i="20"/>
  <c r="AG205" i="20"/>
  <c r="AG206" i="20"/>
  <c r="AG207" i="20"/>
  <c r="AG208" i="20"/>
  <c r="AG209" i="20"/>
  <c r="AG210" i="20"/>
  <c r="AH210" i="20" s="1"/>
  <c r="AG211" i="20"/>
  <c r="AG212" i="20"/>
  <c r="AG213" i="20"/>
  <c r="AG214" i="20"/>
  <c r="AG215" i="20"/>
  <c r="AG216" i="20"/>
  <c r="AG217" i="20"/>
  <c r="AG218" i="20"/>
  <c r="AH218" i="20" s="1"/>
  <c r="AG219" i="20"/>
  <c r="AG220" i="20"/>
  <c r="AG221" i="20"/>
  <c r="AG222" i="20"/>
  <c r="AG223" i="20"/>
  <c r="AG224" i="20"/>
  <c r="AG225" i="20"/>
  <c r="AG226" i="20"/>
  <c r="AG227" i="20"/>
  <c r="AG228" i="20"/>
  <c r="AG229" i="20"/>
  <c r="AG230" i="20"/>
  <c r="AG231" i="20"/>
  <c r="AG232" i="20"/>
  <c r="AG233" i="20"/>
  <c r="AG234" i="20"/>
  <c r="AH234" i="20" s="1"/>
  <c r="AG235" i="20"/>
  <c r="AG236" i="20"/>
  <c r="AG237" i="20"/>
  <c r="AG238" i="20"/>
  <c r="AG239" i="20"/>
  <c r="AG240" i="20"/>
  <c r="AG241" i="20"/>
  <c r="AG242" i="20"/>
  <c r="AG243" i="20"/>
  <c r="AG244" i="20"/>
  <c r="AG245" i="20"/>
  <c r="AG246" i="20"/>
  <c r="AG247" i="20"/>
  <c r="AG248" i="20"/>
  <c r="AG249" i="20"/>
  <c r="AG250" i="20"/>
  <c r="AH250" i="20" s="1"/>
  <c r="AG251" i="20"/>
  <c r="AG252" i="20"/>
  <c r="AG253" i="20"/>
  <c r="AG254" i="20"/>
  <c r="AG255" i="20"/>
  <c r="AG256" i="20"/>
  <c r="AG257" i="20"/>
  <c r="AG258" i="20"/>
  <c r="AH258" i="20" s="1"/>
  <c r="AG259" i="20"/>
  <c r="AG260" i="20"/>
  <c r="AG261" i="20"/>
  <c r="AG262" i="20"/>
  <c r="AG263" i="20"/>
  <c r="AG264" i="20"/>
  <c r="AG265" i="20"/>
  <c r="AG266" i="20"/>
  <c r="AH266" i="20" s="1"/>
  <c r="AG267" i="20"/>
  <c r="AG268" i="20"/>
  <c r="AG269" i="20"/>
  <c r="AG270" i="20"/>
  <c r="AG271" i="20"/>
  <c r="AG272" i="20"/>
  <c r="AG273" i="20"/>
  <c r="AG274" i="20"/>
  <c r="AH274" i="20" s="1"/>
  <c r="AG275" i="20"/>
  <c r="AG276" i="20"/>
  <c r="AG277" i="20"/>
  <c r="AG278" i="20"/>
  <c r="AG279" i="20"/>
  <c r="AG280" i="20"/>
  <c r="AG281" i="20"/>
  <c r="AG282" i="20"/>
  <c r="AH282" i="20" s="1"/>
  <c r="AG283" i="20"/>
  <c r="AG284" i="20"/>
  <c r="AG285" i="20"/>
  <c r="AG286" i="20"/>
  <c r="AG287" i="20"/>
  <c r="AG288" i="20"/>
  <c r="AG289" i="20"/>
  <c r="AG290" i="20"/>
  <c r="AH290" i="20" s="1"/>
  <c r="AG291" i="20"/>
  <c r="AG292" i="20"/>
  <c r="AG293" i="20"/>
  <c r="AG294" i="20"/>
  <c r="AG295" i="20"/>
  <c r="AG296" i="20"/>
  <c r="AG297" i="20"/>
  <c r="AG298" i="20"/>
  <c r="AH298" i="20" s="1"/>
  <c r="AG299" i="20"/>
  <c r="AG300" i="20"/>
  <c r="AG301" i="20"/>
  <c r="AG302" i="20"/>
  <c r="AG303" i="20"/>
  <c r="AG304" i="20"/>
  <c r="AG305" i="20"/>
  <c r="AG306" i="20"/>
  <c r="AH306" i="20" s="1"/>
  <c r="AG307" i="20"/>
  <c r="AG308" i="20"/>
  <c r="AG309" i="20"/>
  <c r="AG310" i="20"/>
  <c r="AG311" i="20"/>
  <c r="AG312" i="20"/>
  <c r="AG313" i="20"/>
  <c r="AG314" i="20"/>
  <c r="AH314" i="20" s="1"/>
  <c r="AG315" i="20"/>
  <c r="AG316" i="20"/>
  <c r="AG317" i="20"/>
  <c r="AG318" i="20"/>
  <c r="AG319" i="20"/>
  <c r="AG320" i="20"/>
  <c r="AG321" i="20"/>
  <c r="AG322" i="20"/>
  <c r="AH322" i="20" s="1"/>
  <c r="AG323" i="20"/>
  <c r="AG324" i="20"/>
  <c r="AG325" i="20"/>
  <c r="AG326" i="20"/>
  <c r="AG327" i="20"/>
  <c r="AG328" i="20"/>
  <c r="AG329" i="20"/>
  <c r="AG330" i="20"/>
  <c r="AH330" i="20" s="1"/>
  <c r="AG331" i="20"/>
  <c r="AG332" i="20"/>
  <c r="AG333" i="20"/>
  <c r="AG334" i="20"/>
  <c r="AG335" i="20"/>
  <c r="AG336" i="20"/>
  <c r="AG337" i="20"/>
  <c r="AG338" i="20"/>
  <c r="AH338" i="20" s="1"/>
  <c r="AG339" i="20"/>
  <c r="AG340" i="20"/>
  <c r="AG341" i="20"/>
  <c r="AG342" i="20"/>
  <c r="AG343" i="20"/>
  <c r="AG344" i="20"/>
  <c r="AG345" i="20"/>
  <c r="AG346" i="20"/>
  <c r="AH346" i="20" s="1"/>
  <c r="AG347" i="20"/>
  <c r="AG348" i="20"/>
  <c r="AG349" i="20"/>
  <c r="AG350" i="20"/>
  <c r="AG351" i="20"/>
  <c r="AG352" i="20"/>
  <c r="AG353" i="20"/>
  <c r="AG354" i="20"/>
  <c r="AH354" i="20" s="1"/>
  <c r="AG355" i="20"/>
  <c r="AG356" i="20"/>
  <c r="AG357" i="20"/>
  <c r="AG358" i="20"/>
  <c r="AG359" i="20"/>
  <c r="AG360" i="20"/>
  <c r="AG361" i="20"/>
  <c r="AG362" i="20"/>
  <c r="AH362" i="20" s="1"/>
  <c r="AG363" i="20"/>
  <c r="AG364" i="20"/>
  <c r="AG365" i="20"/>
  <c r="AG366" i="20"/>
  <c r="AG367" i="20"/>
  <c r="AG368" i="20"/>
  <c r="AG369" i="20"/>
  <c r="AG370" i="20"/>
  <c r="AH370" i="20" s="1"/>
  <c r="AG371" i="20"/>
  <c r="AG372" i="20"/>
  <c r="AG373" i="20"/>
  <c r="AG374" i="20"/>
  <c r="AG375" i="20"/>
  <c r="AG376" i="20"/>
  <c r="AG377" i="20"/>
  <c r="AG378" i="20"/>
  <c r="AH378" i="20" s="1"/>
  <c r="AG379" i="20"/>
  <c r="AG380" i="20"/>
  <c r="AG381" i="20"/>
  <c r="AG382" i="20"/>
  <c r="AG383" i="20"/>
  <c r="AG384" i="20"/>
  <c r="AG385" i="20"/>
  <c r="AG386" i="20"/>
  <c r="AH386" i="20" s="1"/>
  <c r="AG387" i="20"/>
  <c r="AG388" i="20"/>
  <c r="AG389" i="20"/>
  <c r="AG390" i="20"/>
  <c r="AG391" i="20"/>
  <c r="AG392" i="20"/>
  <c r="AG393" i="20"/>
  <c r="AG394" i="20"/>
  <c r="AH394" i="20" s="1"/>
  <c r="AG395" i="20"/>
  <c r="AG396" i="20"/>
  <c r="AG397" i="20"/>
  <c r="AG398" i="20"/>
  <c r="AG399" i="20"/>
  <c r="AG400" i="20"/>
  <c r="AG401" i="20"/>
  <c r="AG402" i="20"/>
  <c r="AH402" i="20" s="1"/>
  <c r="AG403" i="20"/>
  <c r="AG404" i="20"/>
  <c r="AG2" i="20"/>
  <c r="AC3" i="20"/>
  <c r="AC4" i="20"/>
  <c r="AC5" i="20"/>
  <c r="AC6" i="20"/>
  <c r="AC7" i="20"/>
  <c r="AC8" i="20"/>
  <c r="AC9" i="20"/>
  <c r="AD9" i="20" s="1"/>
  <c r="AC10" i="20"/>
  <c r="AC11" i="20"/>
  <c r="AC12" i="20"/>
  <c r="AC13" i="20"/>
  <c r="AC14" i="20"/>
  <c r="AC15" i="20"/>
  <c r="AC16" i="20"/>
  <c r="AD16" i="20" s="1"/>
  <c r="AC17" i="20"/>
  <c r="AD17" i="20" s="1"/>
  <c r="AC18" i="20"/>
  <c r="AC19" i="20"/>
  <c r="AC20" i="20"/>
  <c r="AC21" i="20"/>
  <c r="AC22" i="20"/>
  <c r="AC23" i="20"/>
  <c r="AC24" i="20"/>
  <c r="AD24" i="20" s="1"/>
  <c r="AC25" i="20"/>
  <c r="AD25" i="20" s="1"/>
  <c r="AC26" i="20"/>
  <c r="AC27" i="20"/>
  <c r="AC28" i="20"/>
  <c r="AC29" i="20"/>
  <c r="AC30" i="20"/>
  <c r="AC31" i="20"/>
  <c r="AC32" i="20"/>
  <c r="AD32" i="20" s="1"/>
  <c r="AC33" i="20"/>
  <c r="AD33" i="20" s="1"/>
  <c r="AC34" i="20"/>
  <c r="AC35" i="20"/>
  <c r="AC36" i="20"/>
  <c r="AC37" i="20"/>
  <c r="AC38" i="20"/>
  <c r="AC39" i="20"/>
  <c r="AC40" i="20"/>
  <c r="AD40" i="20" s="1"/>
  <c r="AC41" i="20"/>
  <c r="AD41" i="20" s="1"/>
  <c r="AC42" i="20"/>
  <c r="AC43" i="20"/>
  <c r="AC44" i="20"/>
  <c r="AC45" i="20"/>
  <c r="AC46" i="20"/>
  <c r="AC47" i="20"/>
  <c r="AC48" i="20"/>
  <c r="AC49" i="20"/>
  <c r="AD49" i="20" s="1"/>
  <c r="AC50" i="20"/>
  <c r="AC51" i="20"/>
  <c r="AC52" i="20"/>
  <c r="AC53" i="20"/>
  <c r="AC54" i="20"/>
  <c r="AC55" i="20"/>
  <c r="AC56" i="20"/>
  <c r="AC57" i="20"/>
  <c r="AD57" i="20" s="1"/>
  <c r="AC58" i="20"/>
  <c r="AC59" i="20"/>
  <c r="AC60" i="20"/>
  <c r="AC61" i="20"/>
  <c r="AC62" i="20"/>
  <c r="AC63" i="20"/>
  <c r="AC64" i="20"/>
  <c r="AD64" i="20" s="1"/>
  <c r="AC65" i="20"/>
  <c r="AC66" i="20"/>
  <c r="AC67" i="20"/>
  <c r="AC68" i="20"/>
  <c r="AC69" i="20"/>
  <c r="AC70" i="20"/>
  <c r="AC71" i="20"/>
  <c r="AC72" i="20"/>
  <c r="AD72" i="20" s="1"/>
  <c r="AC73" i="20"/>
  <c r="AD73" i="20" s="1"/>
  <c r="AC74" i="20"/>
  <c r="AC75" i="20"/>
  <c r="AC76" i="20"/>
  <c r="AC77" i="20"/>
  <c r="AC78" i="20"/>
  <c r="AC79" i="20"/>
  <c r="AC80" i="20"/>
  <c r="AD80" i="20" s="1"/>
  <c r="AC81" i="20"/>
  <c r="AD81" i="20" s="1"/>
  <c r="AC82" i="20"/>
  <c r="AC83" i="20"/>
  <c r="AC84" i="20"/>
  <c r="AC85" i="20"/>
  <c r="AC86" i="20"/>
  <c r="AC87" i="20"/>
  <c r="AC88" i="20"/>
  <c r="AD88" i="20" s="1"/>
  <c r="AC89" i="20"/>
  <c r="AD89" i="20" s="1"/>
  <c r="AC90" i="20"/>
  <c r="AC91" i="20"/>
  <c r="AC92" i="20"/>
  <c r="AC93" i="20"/>
  <c r="AC94" i="20"/>
  <c r="AC95" i="20"/>
  <c r="AC96" i="20"/>
  <c r="AD96" i="20" s="1"/>
  <c r="AC97" i="20"/>
  <c r="AD97" i="20" s="1"/>
  <c r="AC98" i="20"/>
  <c r="AC99" i="20"/>
  <c r="AC100" i="20"/>
  <c r="AC101" i="20"/>
  <c r="AC102" i="20"/>
  <c r="AC103" i="20"/>
  <c r="AC104" i="20"/>
  <c r="AD104" i="20" s="1"/>
  <c r="AC105" i="20"/>
  <c r="AC106" i="20"/>
  <c r="AC107" i="20"/>
  <c r="AC108" i="20"/>
  <c r="AC109" i="20"/>
  <c r="AC110" i="20"/>
  <c r="AC111" i="20"/>
  <c r="AC112" i="20"/>
  <c r="AD112" i="20" s="1"/>
  <c r="AC113" i="20"/>
  <c r="AD113" i="20" s="1"/>
  <c r="AC114" i="20"/>
  <c r="AC115" i="20"/>
  <c r="AC116" i="20"/>
  <c r="AC117" i="20"/>
  <c r="AC118" i="20"/>
  <c r="AC119" i="20"/>
  <c r="AC120" i="20"/>
  <c r="AD120" i="20" s="1"/>
  <c r="AC121" i="20"/>
  <c r="AD121" i="20" s="1"/>
  <c r="AC122" i="20"/>
  <c r="AC123" i="20"/>
  <c r="AC124" i="20"/>
  <c r="AC125" i="20"/>
  <c r="AC126" i="20"/>
  <c r="AC127" i="20"/>
  <c r="AC128" i="20"/>
  <c r="AD128" i="20" s="1"/>
  <c r="AC129" i="20"/>
  <c r="AD129" i="20" s="1"/>
  <c r="AC130" i="20"/>
  <c r="AC131" i="20"/>
  <c r="AC132" i="20"/>
  <c r="AC133" i="20"/>
  <c r="AC134" i="20"/>
  <c r="AC135" i="20"/>
  <c r="AC136" i="20"/>
  <c r="AD136" i="20" s="1"/>
  <c r="AC137" i="20"/>
  <c r="AD137" i="20" s="1"/>
  <c r="AC138" i="20"/>
  <c r="AC139" i="20"/>
  <c r="AC140" i="20"/>
  <c r="AC141" i="20"/>
  <c r="AC142" i="20"/>
  <c r="AC143" i="20"/>
  <c r="AC144" i="20"/>
  <c r="AD144" i="20" s="1"/>
  <c r="AC145" i="20"/>
  <c r="AD145" i="20" s="1"/>
  <c r="AC146" i="20"/>
  <c r="AC147" i="20"/>
  <c r="AC148" i="20"/>
  <c r="AC149" i="20"/>
  <c r="AC150" i="20"/>
  <c r="AC151" i="20"/>
  <c r="AC152" i="20"/>
  <c r="AC153" i="20"/>
  <c r="AD153" i="20" s="1"/>
  <c r="AC154" i="20"/>
  <c r="AC155" i="20"/>
  <c r="AC156" i="20"/>
  <c r="AC157" i="20"/>
  <c r="AC158" i="20"/>
  <c r="AC159" i="20"/>
  <c r="AC160" i="20"/>
  <c r="AC161" i="20"/>
  <c r="AD161" i="20" s="1"/>
  <c r="AC162" i="20"/>
  <c r="AC163" i="20"/>
  <c r="AC164" i="20"/>
  <c r="AC165" i="20"/>
  <c r="AC166" i="20"/>
  <c r="AC167" i="20"/>
  <c r="AC168" i="20"/>
  <c r="AD168" i="20" s="1"/>
  <c r="AC169" i="20"/>
  <c r="AD169" i="20" s="1"/>
  <c r="AC170" i="20"/>
  <c r="AC171" i="20"/>
  <c r="AC172" i="20"/>
  <c r="AC173" i="20"/>
  <c r="AC174" i="20"/>
  <c r="AC175" i="20"/>
  <c r="AC176" i="20"/>
  <c r="AD176" i="20" s="1"/>
  <c r="AC177" i="20"/>
  <c r="AD177" i="20" s="1"/>
  <c r="AC178" i="20"/>
  <c r="AC179" i="20"/>
  <c r="AC180" i="20"/>
  <c r="AC181" i="20"/>
  <c r="AC182" i="20"/>
  <c r="AC183" i="20"/>
  <c r="AC184" i="20"/>
  <c r="AD184" i="20" s="1"/>
  <c r="AC185" i="20"/>
  <c r="AD185" i="20" s="1"/>
  <c r="AC186" i="20"/>
  <c r="AC187" i="20"/>
  <c r="AC188" i="20"/>
  <c r="AC189" i="20"/>
  <c r="AC190" i="20"/>
  <c r="AC191" i="20"/>
  <c r="AC192" i="20"/>
  <c r="AD192" i="20" s="1"/>
  <c r="AC193" i="20"/>
  <c r="AD193" i="20" s="1"/>
  <c r="AC194" i="20"/>
  <c r="AC195" i="20"/>
  <c r="AC196" i="20"/>
  <c r="AC197" i="20"/>
  <c r="AC198" i="20"/>
  <c r="AC199" i="20"/>
  <c r="AC200" i="20"/>
  <c r="AD200" i="20" s="1"/>
  <c r="AC201" i="20"/>
  <c r="AD201" i="20" s="1"/>
  <c r="AC202" i="20"/>
  <c r="AC203" i="20"/>
  <c r="AC204" i="20"/>
  <c r="AC205" i="20"/>
  <c r="AC206" i="20"/>
  <c r="AC207" i="20"/>
  <c r="AC208" i="20"/>
  <c r="AC209" i="20"/>
  <c r="AD209" i="20" s="1"/>
  <c r="AC210" i="20"/>
  <c r="AC211" i="20"/>
  <c r="AC212" i="20"/>
  <c r="AC213" i="20"/>
  <c r="AC214" i="20"/>
  <c r="AC215" i="20"/>
  <c r="AC216" i="20"/>
  <c r="AD216" i="20" s="1"/>
  <c r="AC217" i="20"/>
  <c r="AD217" i="20" s="1"/>
  <c r="AC218" i="20"/>
  <c r="AC219" i="20"/>
  <c r="AC220" i="20"/>
  <c r="AC221" i="20"/>
  <c r="AC222" i="20"/>
  <c r="AC223" i="20"/>
  <c r="AC224" i="20"/>
  <c r="AD224" i="20" s="1"/>
  <c r="AC225" i="20"/>
  <c r="AD225" i="20" s="1"/>
  <c r="AC226" i="20"/>
  <c r="AC227" i="20"/>
  <c r="AC228" i="20"/>
  <c r="AC229" i="20"/>
  <c r="AC230" i="20"/>
  <c r="AC231" i="20"/>
  <c r="AC232" i="20"/>
  <c r="AD232" i="20" s="1"/>
  <c r="AC233" i="20"/>
  <c r="AD233" i="20" s="1"/>
  <c r="AC234" i="20"/>
  <c r="AC235" i="20"/>
  <c r="AC236" i="20"/>
  <c r="AC237" i="20"/>
  <c r="AC238" i="20"/>
  <c r="AC239" i="20"/>
  <c r="AC240" i="20"/>
  <c r="AC241" i="20"/>
  <c r="AD241" i="20" s="1"/>
  <c r="AC242" i="20"/>
  <c r="AC243" i="20"/>
  <c r="AC244" i="20"/>
  <c r="AC245" i="20"/>
  <c r="AC246" i="20"/>
  <c r="AC247" i="20"/>
  <c r="AC248" i="20"/>
  <c r="AD248" i="20" s="1"/>
  <c r="AC249" i="20"/>
  <c r="AD249" i="20" s="1"/>
  <c r="AC250" i="20"/>
  <c r="AC251" i="20"/>
  <c r="AC252" i="20"/>
  <c r="AC253" i="20"/>
  <c r="AC254" i="20"/>
  <c r="AC255" i="20"/>
  <c r="AC256" i="20"/>
  <c r="AC257" i="20"/>
  <c r="AD257" i="20" s="1"/>
  <c r="AC258" i="20"/>
  <c r="AC259" i="20"/>
  <c r="AC260" i="20"/>
  <c r="AC261" i="20"/>
  <c r="AC262" i="20"/>
  <c r="AC263" i="20"/>
  <c r="AC264" i="20"/>
  <c r="AD264" i="20" s="1"/>
  <c r="AC265" i="20"/>
  <c r="AD265" i="20" s="1"/>
  <c r="AC266" i="20"/>
  <c r="AC267" i="20"/>
  <c r="AC268" i="20"/>
  <c r="AC269" i="20"/>
  <c r="AC270" i="20"/>
  <c r="AC271" i="20"/>
  <c r="AC272" i="20"/>
  <c r="AD272" i="20" s="1"/>
  <c r="AC273" i="20"/>
  <c r="AD273" i="20" s="1"/>
  <c r="AC274" i="20"/>
  <c r="AC275" i="20"/>
  <c r="AC276" i="20"/>
  <c r="AC277" i="20"/>
  <c r="AC278" i="20"/>
  <c r="AC279" i="20"/>
  <c r="AC280" i="20"/>
  <c r="AD280" i="20" s="1"/>
  <c r="AC281" i="20"/>
  <c r="AD281" i="20" s="1"/>
  <c r="AC282" i="20"/>
  <c r="AC283" i="20"/>
  <c r="AC284" i="20"/>
  <c r="AC285" i="20"/>
  <c r="AC286" i="20"/>
  <c r="AC287" i="20"/>
  <c r="AC288" i="20"/>
  <c r="AD288" i="20" s="1"/>
  <c r="AC289" i="20"/>
  <c r="AD289" i="20" s="1"/>
  <c r="AC290" i="20"/>
  <c r="AC291" i="20"/>
  <c r="AC292" i="20"/>
  <c r="AC293" i="20"/>
  <c r="AC294" i="20"/>
  <c r="AC295" i="20"/>
  <c r="AC296" i="20"/>
  <c r="AD296" i="20" s="1"/>
  <c r="AC297" i="20"/>
  <c r="AC298" i="20"/>
  <c r="AC299" i="20"/>
  <c r="AC300" i="20"/>
  <c r="AC301" i="20"/>
  <c r="AC302" i="20"/>
  <c r="AC303" i="20"/>
  <c r="AC304" i="20"/>
  <c r="AD304" i="20" s="1"/>
  <c r="AC305" i="20"/>
  <c r="AD305" i="20" s="1"/>
  <c r="AC306" i="20"/>
  <c r="AC307" i="20"/>
  <c r="AC308" i="20"/>
  <c r="AC309" i="20"/>
  <c r="AC310" i="20"/>
  <c r="AC311" i="20"/>
  <c r="AC312" i="20"/>
  <c r="AD312" i="20" s="1"/>
  <c r="AC313" i="20"/>
  <c r="AC314" i="20"/>
  <c r="AC315" i="20"/>
  <c r="AC316" i="20"/>
  <c r="AC317" i="20"/>
  <c r="AC318" i="20"/>
  <c r="AC319" i="20"/>
  <c r="AC320" i="20"/>
  <c r="AD320" i="20" s="1"/>
  <c r="AC321" i="20"/>
  <c r="AD321" i="20" s="1"/>
  <c r="AC322" i="20"/>
  <c r="AC323" i="20"/>
  <c r="AC324" i="20"/>
  <c r="AC325" i="20"/>
  <c r="AC326" i="20"/>
  <c r="AC327" i="20"/>
  <c r="AC328" i="20"/>
  <c r="AD328" i="20" s="1"/>
  <c r="AC329" i="20"/>
  <c r="AD329" i="20" s="1"/>
  <c r="AC330" i="20"/>
  <c r="AC331" i="20"/>
  <c r="AC332" i="20"/>
  <c r="AC333" i="20"/>
  <c r="AC334" i="20"/>
  <c r="AC335" i="20"/>
  <c r="AC336" i="20"/>
  <c r="AC337" i="20"/>
  <c r="AD337" i="20" s="1"/>
  <c r="AC338" i="20"/>
  <c r="AC339" i="20"/>
  <c r="AC340" i="20"/>
  <c r="AC341" i="20"/>
  <c r="AC342" i="20"/>
  <c r="AC343" i="20"/>
  <c r="AC344" i="20"/>
  <c r="AD344" i="20" s="1"/>
  <c r="AC345" i="20"/>
  <c r="AD345" i="20" s="1"/>
  <c r="AC346" i="20"/>
  <c r="AC347" i="20"/>
  <c r="AC348" i="20"/>
  <c r="AC349" i="20"/>
  <c r="AC350" i="20"/>
  <c r="AC351" i="20"/>
  <c r="AC352" i="20"/>
  <c r="AC353" i="20"/>
  <c r="AD353" i="20" s="1"/>
  <c r="AC354" i="20"/>
  <c r="AC355" i="20"/>
  <c r="AC356" i="20"/>
  <c r="AC357" i="20"/>
  <c r="AC358" i="20"/>
  <c r="AC359" i="20"/>
  <c r="AC360" i="20"/>
  <c r="AD360" i="20" s="1"/>
  <c r="AC361" i="20"/>
  <c r="AD361" i="20" s="1"/>
  <c r="AC362" i="20"/>
  <c r="AC363" i="20"/>
  <c r="AC364" i="20"/>
  <c r="AC365" i="20"/>
  <c r="AC366" i="20"/>
  <c r="AC367" i="20"/>
  <c r="AC368" i="20"/>
  <c r="AD368" i="20" s="1"/>
  <c r="AC369" i="20"/>
  <c r="AD369" i="20" s="1"/>
  <c r="AC370" i="20"/>
  <c r="AC371" i="20"/>
  <c r="AC372" i="20"/>
  <c r="AC373" i="20"/>
  <c r="AC374" i="20"/>
  <c r="AC375" i="20"/>
  <c r="AC376" i="20"/>
  <c r="AD376" i="20" s="1"/>
  <c r="AC377" i="20"/>
  <c r="AD377" i="20" s="1"/>
  <c r="AC378" i="20"/>
  <c r="AC379" i="20"/>
  <c r="AC380" i="20"/>
  <c r="AC381" i="20"/>
  <c r="AC382" i="20"/>
  <c r="AC383" i="20"/>
  <c r="AC384" i="20"/>
  <c r="AD384" i="20" s="1"/>
  <c r="AC385" i="20"/>
  <c r="AC386" i="20"/>
  <c r="AC387" i="20"/>
  <c r="AC388" i="20"/>
  <c r="AC389" i="20"/>
  <c r="AC390" i="20"/>
  <c r="AC391" i="20"/>
  <c r="AC392" i="20"/>
  <c r="AD392" i="20" s="1"/>
  <c r="AC393" i="20"/>
  <c r="AD393" i="20" s="1"/>
  <c r="AC394" i="20"/>
  <c r="AC395" i="20"/>
  <c r="AC396" i="20"/>
  <c r="AC397" i="20"/>
  <c r="AC398" i="20"/>
  <c r="AC399" i="20"/>
  <c r="AC400" i="20"/>
  <c r="AD400" i="20" s="1"/>
  <c r="AC401" i="20"/>
  <c r="AD401" i="20" s="1"/>
  <c r="AC402" i="20"/>
  <c r="AC403" i="20"/>
  <c r="AC404" i="20"/>
  <c r="AC2" i="20"/>
  <c r="Y3" i="20"/>
  <c r="Y4" i="20"/>
  <c r="Y5" i="20"/>
  <c r="Y6" i="20"/>
  <c r="Y7" i="20"/>
  <c r="Y8" i="20"/>
  <c r="Y9" i="20"/>
  <c r="Y10" i="20"/>
  <c r="Y11" i="20"/>
  <c r="Y12" i="20"/>
  <c r="Y13" i="20"/>
  <c r="Y14" i="20"/>
  <c r="Y15" i="20"/>
  <c r="Y16" i="20"/>
  <c r="Y17" i="20"/>
  <c r="Y18" i="20"/>
  <c r="Y19" i="20"/>
  <c r="Y20" i="20"/>
  <c r="Y21" i="20"/>
  <c r="Y22" i="20"/>
  <c r="Y23" i="20"/>
  <c r="Y24" i="20"/>
  <c r="Y25" i="20"/>
  <c r="Z25" i="20" s="1"/>
  <c r="Y26" i="20"/>
  <c r="Y27" i="20"/>
  <c r="Y28" i="20"/>
  <c r="Y29" i="20"/>
  <c r="Y30" i="20"/>
  <c r="Y31" i="20"/>
  <c r="Y32" i="20"/>
  <c r="Y33" i="20"/>
  <c r="Z33" i="20" s="1"/>
  <c r="Y34" i="20"/>
  <c r="Y35" i="20"/>
  <c r="Y36" i="20"/>
  <c r="Y37" i="20"/>
  <c r="Y38" i="20"/>
  <c r="Y39" i="20"/>
  <c r="Y40" i="20"/>
  <c r="Y41" i="20"/>
  <c r="Z41" i="20" s="1"/>
  <c r="Y42" i="20"/>
  <c r="Y43" i="20"/>
  <c r="Y44" i="20"/>
  <c r="Y45" i="20"/>
  <c r="Y46" i="20"/>
  <c r="Y47" i="20"/>
  <c r="Y48" i="20"/>
  <c r="Y49" i="20"/>
  <c r="Z49" i="20" s="1"/>
  <c r="Y50" i="20"/>
  <c r="Y51" i="20"/>
  <c r="Y52" i="20"/>
  <c r="Y53" i="20"/>
  <c r="Y54" i="20"/>
  <c r="Y55" i="20"/>
  <c r="Y56" i="20"/>
  <c r="Y57" i="20"/>
  <c r="Y58" i="20"/>
  <c r="Y59" i="20"/>
  <c r="Y60" i="20"/>
  <c r="Y61" i="20"/>
  <c r="Y62" i="20"/>
  <c r="Y63" i="20"/>
  <c r="Y64" i="20"/>
  <c r="Y65" i="20"/>
  <c r="Z65" i="20" s="1"/>
  <c r="Y66" i="20"/>
  <c r="Y67" i="20"/>
  <c r="Y68" i="20"/>
  <c r="Y69" i="20"/>
  <c r="Y70" i="20"/>
  <c r="Y71" i="20"/>
  <c r="Y72" i="20"/>
  <c r="Y73" i="20"/>
  <c r="Z73" i="20" s="1"/>
  <c r="Y74" i="20"/>
  <c r="Y75" i="20"/>
  <c r="Y76" i="20"/>
  <c r="Y77" i="20"/>
  <c r="Y78" i="20"/>
  <c r="Y79" i="20"/>
  <c r="Y80" i="20"/>
  <c r="Y81" i="20"/>
  <c r="Z81" i="20" s="1"/>
  <c r="Y82" i="20"/>
  <c r="Y83" i="20"/>
  <c r="Y84" i="20"/>
  <c r="Y85" i="20"/>
  <c r="Y86" i="20"/>
  <c r="Y87" i="20"/>
  <c r="Y88" i="20"/>
  <c r="Y89" i="20"/>
  <c r="Z89" i="20" s="1"/>
  <c r="Y90" i="20"/>
  <c r="Y91" i="20"/>
  <c r="Y92" i="20"/>
  <c r="Y93" i="20"/>
  <c r="Y94" i="20"/>
  <c r="Y95" i="20"/>
  <c r="Y96" i="20"/>
  <c r="Y97" i="20"/>
  <c r="Z97" i="20" s="1"/>
  <c r="Y98" i="20"/>
  <c r="Y99" i="20"/>
  <c r="Y100" i="20"/>
  <c r="Y101" i="20"/>
  <c r="Y102" i="20"/>
  <c r="Y103" i="20"/>
  <c r="Y104" i="20"/>
  <c r="Y105" i="20"/>
  <c r="Z105" i="20" s="1"/>
  <c r="Y106" i="20"/>
  <c r="Y107" i="20"/>
  <c r="Y108" i="20"/>
  <c r="Y109" i="20"/>
  <c r="Y110" i="20"/>
  <c r="Y111" i="20"/>
  <c r="Y112" i="20"/>
  <c r="Y113" i="20"/>
  <c r="Z113" i="20" s="1"/>
  <c r="Y114" i="20"/>
  <c r="Y115" i="20"/>
  <c r="Y116" i="20"/>
  <c r="Y117" i="20"/>
  <c r="Y118" i="20"/>
  <c r="Y119" i="20"/>
  <c r="Y120" i="20"/>
  <c r="Y121" i="20"/>
  <c r="Z121" i="20" s="1"/>
  <c r="Y122" i="20"/>
  <c r="Y123" i="20"/>
  <c r="Y124" i="20"/>
  <c r="Y125" i="20"/>
  <c r="Y126" i="20"/>
  <c r="Y127" i="20"/>
  <c r="Y128" i="20"/>
  <c r="Y129" i="20"/>
  <c r="Z129" i="20" s="1"/>
  <c r="Y130" i="20"/>
  <c r="Y131" i="20"/>
  <c r="Y132" i="20"/>
  <c r="Y133" i="20"/>
  <c r="Y134" i="20"/>
  <c r="Y135" i="20"/>
  <c r="Y136" i="20"/>
  <c r="Y137" i="20"/>
  <c r="Z137" i="20" s="1"/>
  <c r="Y138" i="20"/>
  <c r="Y139" i="20"/>
  <c r="Y140" i="20"/>
  <c r="Y141" i="20"/>
  <c r="Y142" i="20"/>
  <c r="Y143" i="20"/>
  <c r="Y144" i="20"/>
  <c r="Y145" i="20"/>
  <c r="Z145" i="20" s="1"/>
  <c r="Y146" i="20"/>
  <c r="Y147" i="20"/>
  <c r="Y148" i="20"/>
  <c r="Y149" i="20"/>
  <c r="Y150" i="20"/>
  <c r="Y151" i="20"/>
  <c r="Y152" i="20"/>
  <c r="Y153" i="20"/>
  <c r="Z153" i="20" s="1"/>
  <c r="Y154" i="20"/>
  <c r="Y155" i="20"/>
  <c r="Y156" i="20"/>
  <c r="Y157" i="20"/>
  <c r="Y158" i="20"/>
  <c r="Y159" i="20"/>
  <c r="Y160" i="20"/>
  <c r="Y161" i="20"/>
  <c r="Z161" i="20" s="1"/>
  <c r="Y162" i="20"/>
  <c r="Y163" i="20"/>
  <c r="Y164" i="20"/>
  <c r="Y165" i="20"/>
  <c r="Y166" i="20"/>
  <c r="Y167" i="20"/>
  <c r="Y168" i="20"/>
  <c r="Y169" i="20"/>
  <c r="Z169" i="20" s="1"/>
  <c r="Y170" i="20"/>
  <c r="Y171" i="20"/>
  <c r="Y172" i="20"/>
  <c r="Y173" i="20"/>
  <c r="Y174" i="20"/>
  <c r="Y175" i="20"/>
  <c r="Y176" i="20"/>
  <c r="Y177" i="20"/>
  <c r="Z177" i="20" s="1"/>
  <c r="Y178" i="20"/>
  <c r="Y179" i="20"/>
  <c r="Y180" i="20"/>
  <c r="Y181" i="20"/>
  <c r="Y182" i="20"/>
  <c r="Y183" i="20"/>
  <c r="Y184" i="20"/>
  <c r="Y185" i="20"/>
  <c r="Z185" i="20" s="1"/>
  <c r="Y186" i="20"/>
  <c r="Y187" i="20"/>
  <c r="Y188" i="20"/>
  <c r="Y189" i="20"/>
  <c r="Y190" i="20"/>
  <c r="Y191" i="20"/>
  <c r="Y192" i="20"/>
  <c r="Y193" i="20"/>
  <c r="Y194" i="20"/>
  <c r="Y195" i="20"/>
  <c r="Y196" i="20"/>
  <c r="Y197" i="20"/>
  <c r="Y198" i="20"/>
  <c r="Y199" i="20"/>
  <c r="Y200" i="20"/>
  <c r="Y201" i="20"/>
  <c r="Z201" i="20" s="1"/>
  <c r="Y202" i="20"/>
  <c r="Y203" i="20"/>
  <c r="Y204" i="20"/>
  <c r="Y205" i="20"/>
  <c r="Y206" i="20"/>
  <c r="Y207" i="20"/>
  <c r="Y208" i="20"/>
  <c r="Y209" i="20"/>
  <c r="Z209" i="20" s="1"/>
  <c r="Y210" i="20"/>
  <c r="Y211" i="20"/>
  <c r="Y212" i="20"/>
  <c r="Y213" i="20"/>
  <c r="Y214" i="20"/>
  <c r="Y215" i="20"/>
  <c r="Y216" i="20"/>
  <c r="Y217" i="20"/>
  <c r="Z217" i="20" s="1"/>
  <c r="Y218" i="20"/>
  <c r="Y219" i="20"/>
  <c r="Y220" i="20"/>
  <c r="Y221" i="20"/>
  <c r="Y222" i="20"/>
  <c r="Y223" i="20"/>
  <c r="Y224" i="20"/>
  <c r="Y225" i="20"/>
  <c r="Z225" i="20" s="1"/>
  <c r="Y226" i="20"/>
  <c r="Y227" i="20"/>
  <c r="Y228" i="20"/>
  <c r="Y229" i="20"/>
  <c r="Y230" i="20"/>
  <c r="Y231" i="20"/>
  <c r="Y232" i="20"/>
  <c r="Y233" i="20"/>
  <c r="Z233" i="20" s="1"/>
  <c r="Y234" i="20"/>
  <c r="Y235" i="20"/>
  <c r="Y236" i="20"/>
  <c r="Y237" i="20"/>
  <c r="Y238" i="20"/>
  <c r="Y239" i="20"/>
  <c r="Y240" i="20"/>
  <c r="Y241" i="20"/>
  <c r="Z241" i="20" s="1"/>
  <c r="Y242" i="20"/>
  <c r="Y243" i="20"/>
  <c r="Y244" i="20"/>
  <c r="Y245" i="20"/>
  <c r="Y246" i="20"/>
  <c r="Y247" i="20"/>
  <c r="Y248" i="20"/>
  <c r="Y249" i="20"/>
  <c r="Z249" i="20" s="1"/>
  <c r="Y250" i="20"/>
  <c r="Y251" i="20"/>
  <c r="Y252" i="20"/>
  <c r="Y253" i="20"/>
  <c r="Y254" i="20"/>
  <c r="Y255" i="20"/>
  <c r="Y256" i="20"/>
  <c r="Y257" i="20"/>
  <c r="Z257" i="20" s="1"/>
  <c r="Y258" i="20"/>
  <c r="Y259" i="20"/>
  <c r="Y260" i="20"/>
  <c r="Y261" i="20"/>
  <c r="Y262" i="20"/>
  <c r="Y263" i="20"/>
  <c r="Y264" i="20"/>
  <c r="Y265" i="20"/>
  <c r="Y266" i="20"/>
  <c r="Y267" i="20"/>
  <c r="Y268" i="20"/>
  <c r="Y269" i="20"/>
  <c r="Y270" i="20"/>
  <c r="Y271" i="20"/>
  <c r="Y272" i="20"/>
  <c r="Y273" i="20"/>
  <c r="Z273" i="20" s="1"/>
  <c r="Y274" i="20"/>
  <c r="Y275" i="20"/>
  <c r="Y276" i="20"/>
  <c r="Y277" i="20"/>
  <c r="Y278" i="20"/>
  <c r="Y279" i="20"/>
  <c r="Y280" i="20"/>
  <c r="Y281" i="20"/>
  <c r="Z281" i="20" s="1"/>
  <c r="Y282" i="20"/>
  <c r="Y283" i="20"/>
  <c r="Y284" i="20"/>
  <c r="Y285" i="20"/>
  <c r="Y286" i="20"/>
  <c r="Y287" i="20"/>
  <c r="Y288" i="20"/>
  <c r="Y289" i="20"/>
  <c r="Z289" i="20" s="1"/>
  <c r="Y290" i="20"/>
  <c r="Y291" i="20"/>
  <c r="Y292" i="20"/>
  <c r="Y293" i="20"/>
  <c r="Y294" i="20"/>
  <c r="Y295" i="20"/>
  <c r="Y296" i="20"/>
  <c r="Y297" i="20"/>
  <c r="Z297" i="20" s="1"/>
  <c r="Y298" i="20"/>
  <c r="Y299" i="20"/>
  <c r="Y300" i="20"/>
  <c r="Y301" i="20"/>
  <c r="Y302" i="20"/>
  <c r="Y303" i="20"/>
  <c r="Y304" i="20"/>
  <c r="Y305" i="20"/>
  <c r="Y306" i="20"/>
  <c r="Y307" i="20"/>
  <c r="Y308" i="20"/>
  <c r="Y309" i="20"/>
  <c r="Y310" i="20"/>
  <c r="Y311" i="20"/>
  <c r="Y312" i="20"/>
  <c r="Y313" i="20"/>
  <c r="Z313" i="20" s="1"/>
  <c r="Y314" i="20"/>
  <c r="Y315" i="20"/>
  <c r="Y316" i="20"/>
  <c r="Y317" i="20"/>
  <c r="Y318" i="20"/>
  <c r="Y319" i="20"/>
  <c r="Y320" i="20"/>
  <c r="Y321" i="20"/>
  <c r="Z321" i="20" s="1"/>
  <c r="Y322" i="20"/>
  <c r="Y323" i="20"/>
  <c r="Y324" i="20"/>
  <c r="Y325" i="20"/>
  <c r="Y326" i="20"/>
  <c r="Y327" i="20"/>
  <c r="Y328" i="20"/>
  <c r="Y329" i="20"/>
  <c r="Z329" i="20" s="1"/>
  <c r="Y330" i="20"/>
  <c r="Y331" i="20"/>
  <c r="Y332" i="20"/>
  <c r="Y333" i="20"/>
  <c r="Y334" i="20"/>
  <c r="Y335" i="20"/>
  <c r="Y336" i="20"/>
  <c r="Y337" i="20"/>
  <c r="Z337" i="20" s="1"/>
  <c r="Y338" i="20"/>
  <c r="Y339" i="20"/>
  <c r="Y340" i="20"/>
  <c r="Y341" i="20"/>
  <c r="Y342" i="20"/>
  <c r="Y343" i="20"/>
  <c r="Y344" i="20"/>
  <c r="Y345" i="20"/>
  <c r="Y346" i="20"/>
  <c r="Y347" i="20"/>
  <c r="Y348" i="20"/>
  <c r="Y349" i="20"/>
  <c r="Y350" i="20"/>
  <c r="Y351" i="20"/>
  <c r="Y352" i="20"/>
  <c r="Y353" i="20"/>
  <c r="Z353" i="20" s="1"/>
  <c r="Y354" i="20"/>
  <c r="Y355" i="20"/>
  <c r="Y356" i="20"/>
  <c r="Y357" i="20"/>
  <c r="Y358" i="20"/>
  <c r="Y359" i="20"/>
  <c r="Y360" i="20"/>
  <c r="Y361" i="20"/>
  <c r="Z361" i="20" s="1"/>
  <c r="Y362" i="20"/>
  <c r="Y363" i="20"/>
  <c r="Y364" i="20"/>
  <c r="Y365" i="20"/>
  <c r="Y366" i="20"/>
  <c r="Y367" i="20"/>
  <c r="Y368" i="20"/>
  <c r="Y369" i="20"/>
  <c r="Z369" i="20" s="1"/>
  <c r="Y370" i="20"/>
  <c r="Y371" i="20"/>
  <c r="Y372" i="20"/>
  <c r="Y373" i="20"/>
  <c r="Y374" i="20"/>
  <c r="Y375" i="20"/>
  <c r="Y376" i="20"/>
  <c r="Y377" i="20"/>
  <c r="Z377" i="20" s="1"/>
  <c r="Y378" i="20"/>
  <c r="Y379" i="20"/>
  <c r="Y380" i="20"/>
  <c r="Y381" i="20"/>
  <c r="Y382" i="20"/>
  <c r="Y383" i="20"/>
  <c r="Y384" i="20"/>
  <c r="Y385" i="20"/>
  <c r="Z385" i="20" s="1"/>
  <c r="Y386" i="20"/>
  <c r="Y387" i="20"/>
  <c r="Y388" i="20"/>
  <c r="Y389" i="20"/>
  <c r="Y390" i="20"/>
  <c r="Y391" i="20"/>
  <c r="Y392" i="20"/>
  <c r="Y393" i="20"/>
  <c r="Z393" i="20" s="1"/>
  <c r="Y394" i="20"/>
  <c r="Y395" i="20"/>
  <c r="Y396" i="20"/>
  <c r="Y397" i="20"/>
  <c r="Y398" i="20"/>
  <c r="Y399" i="20"/>
  <c r="Y400" i="20"/>
  <c r="Y401" i="20"/>
  <c r="Z401" i="20" s="1"/>
  <c r="Y402" i="20"/>
  <c r="Y403" i="20"/>
  <c r="Y404" i="20"/>
  <c r="Y2" i="20"/>
  <c r="U3" i="20"/>
  <c r="U4" i="20"/>
  <c r="U5" i="20"/>
  <c r="U6" i="20"/>
  <c r="U7" i="20"/>
  <c r="U8" i="20"/>
  <c r="U9" i="20"/>
  <c r="U10" i="20"/>
  <c r="U11" i="20"/>
  <c r="U12" i="20"/>
  <c r="U13" i="20"/>
  <c r="U14" i="20"/>
  <c r="U15" i="20"/>
  <c r="U16" i="20"/>
  <c r="U17" i="20"/>
  <c r="U18" i="20"/>
  <c r="V18" i="20" s="1"/>
  <c r="U19" i="20"/>
  <c r="U20" i="20"/>
  <c r="U21" i="20"/>
  <c r="U22" i="20"/>
  <c r="U23" i="20"/>
  <c r="U24" i="20"/>
  <c r="U25" i="20"/>
  <c r="U26" i="20"/>
  <c r="U27" i="20"/>
  <c r="U28" i="20"/>
  <c r="U29" i="20"/>
  <c r="U30" i="20"/>
  <c r="U31" i="20"/>
  <c r="U32" i="20"/>
  <c r="U33" i="20"/>
  <c r="U34" i="20"/>
  <c r="V34" i="20" s="1"/>
  <c r="U35" i="20"/>
  <c r="U36" i="20"/>
  <c r="U37" i="20"/>
  <c r="U38" i="20"/>
  <c r="U39" i="20"/>
  <c r="U40" i="20"/>
  <c r="U41" i="20"/>
  <c r="U42" i="20"/>
  <c r="V42" i="20" s="1"/>
  <c r="U43" i="20"/>
  <c r="U44" i="20"/>
  <c r="U45" i="20"/>
  <c r="U46" i="20"/>
  <c r="U47" i="20"/>
  <c r="U48" i="20"/>
  <c r="U49" i="20"/>
  <c r="U50" i="20"/>
  <c r="V50" i="20" s="1"/>
  <c r="U51" i="20"/>
  <c r="U52" i="20"/>
  <c r="U53" i="20"/>
  <c r="U54" i="20"/>
  <c r="U55" i="20"/>
  <c r="U56" i="20"/>
  <c r="U57" i="20"/>
  <c r="U58" i="20"/>
  <c r="U59" i="20"/>
  <c r="U60" i="20"/>
  <c r="U61" i="20"/>
  <c r="U62" i="20"/>
  <c r="U63" i="20"/>
  <c r="U64" i="20"/>
  <c r="U65" i="20"/>
  <c r="U66" i="20"/>
  <c r="V66" i="20" s="1"/>
  <c r="U67" i="20"/>
  <c r="U68" i="20"/>
  <c r="U69" i="20"/>
  <c r="U70" i="20"/>
  <c r="U71" i="20"/>
  <c r="U72" i="20"/>
  <c r="U73" i="20"/>
  <c r="U74" i="20"/>
  <c r="V74" i="20" s="1"/>
  <c r="U75" i="20"/>
  <c r="U76" i="20"/>
  <c r="U77" i="20"/>
  <c r="U78" i="20"/>
  <c r="U79" i="20"/>
  <c r="U80" i="20"/>
  <c r="U81" i="20"/>
  <c r="U82" i="20"/>
  <c r="U83" i="20"/>
  <c r="U84" i="20"/>
  <c r="U85" i="20"/>
  <c r="U86" i="20"/>
  <c r="U87" i="20"/>
  <c r="U88" i="20"/>
  <c r="U89" i="20"/>
  <c r="U90" i="20"/>
  <c r="V90" i="20" s="1"/>
  <c r="U91" i="20"/>
  <c r="U92" i="20"/>
  <c r="U93" i="20"/>
  <c r="U94" i="20"/>
  <c r="U95" i="20"/>
  <c r="U96" i="20"/>
  <c r="U97" i="20"/>
  <c r="U98" i="20"/>
  <c r="V98" i="20" s="1"/>
  <c r="U99" i="20"/>
  <c r="U100" i="20"/>
  <c r="U101" i="20"/>
  <c r="U102" i="20"/>
  <c r="U103" i="20"/>
  <c r="U104" i="20"/>
  <c r="U105" i="20"/>
  <c r="U106" i="20"/>
  <c r="V106" i="20" s="1"/>
  <c r="U107" i="20"/>
  <c r="U108" i="20"/>
  <c r="U109" i="20"/>
  <c r="U110" i="20"/>
  <c r="U111" i="20"/>
  <c r="U112" i="20"/>
  <c r="U113" i="20"/>
  <c r="U114" i="20"/>
  <c r="V114" i="20" s="1"/>
  <c r="U115" i="20"/>
  <c r="U116" i="20"/>
  <c r="U117" i="20"/>
  <c r="U118" i="20"/>
  <c r="U119" i="20"/>
  <c r="U120" i="20"/>
  <c r="U121" i="20"/>
  <c r="U122" i="20"/>
  <c r="V122" i="20" s="1"/>
  <c r="U123" i="20"/>
  <c r="U124" i="20"/>
  <c r="U125" i="20"/>
  <c r="U126" i="20"/>
  <c r="U127" i="20"/>
  <c r="U128" i="20"/>
  <c r="U129" i="20"/>
  <c r="U130" i="20"/>
  <c r="U131" i="20"/>
  <c r="U132" i="20"/>
  <c r="U133" i="20"/>
  <c r="U134" i="20"/>
  <c r="U135" i="20"/>
  <c r="U136" i="20"/>
  <c r="U137" i="20"/>
  <c r="U138" i="20"/>
  <c r="U139" i="20"/>
  <c r="U140" i="20"/>
  <c r="U141" i="20"/>
  <c r="U142" i="20"/>
  <c r="U143" i="20"/>
  <c r="U144" i="20"/>
  <c r="U145" i="20"/>
  <c r="U146" i="20"/>
  <c r="U147" i="20"/>
  <c r="U148" i="20"/>
  <c r="U149" i="20"/>
  <c r="U150" i="20"/>
  <c r="U151" i="20"/>
  <c r="U152" i="20"/>
  <c r="U153" i="20"/>
  <c r="U154" i="20"/>
  <c r="V154" i="20" s="1"/>
  <c r="U155" i="20"/>
  <c r="U156" i="20"/>
  <c r="U157" i="20"/>
  <c r="U158" i="20"/>
  <c r="U159" i="20"/>
  <c r="U160" i="20"/>
  <c r="U161" i="20"/>
  <c r="U162" i="20"/>
  <c r="V162" i="20" s="1"/>
  <c r="U163" i="20"/>
  <c r="U164" i="20"/>
  <c r="U165" i="20"/>
  <c r="U166" i="20"/>
  <c r="U167" i="20"/>
  <c r="U168" i="20"/>
  <c r="U169" i="20"/>
  <c r="U170" i="20"/>
  <c r="V170" i="20" s="1"/>
  <c r="U171" i="20"/>
  <c r="U172" i="20"/>
  <c r="U173" i="20"/>
  <c r="U174" i="20"/>
  <c r="U175" i="20"/>
  <c r="U176" i="20"/>
  <c r="U177" i="20"/>
  <c r="U178" i="20"/>
  <c r="V178" i="20" s="1"/>
  <c r="U179" i="20"/>
  <c r="U180" i="20"/>
  <c r="U181" i="20"/>
  <c r="U182" i="20"/>
  <c r="U183" i="20"/>
  <c r="U184" i="20"/>
  <c r="U185" i="20"/>
  <c r="U186" i="20"/>
  <c r="V186" i="20" s="1"/>
  <c r="U187" i="20"/>
  <c r="U188" i="20"/>
  <c r="U189" i="20"/>
  <c r="U190" i="20"/>
  <c r="U191" i="20"/>
  <c r="U192" i="20"/>
  <c r="U193" i="20"/>
  <c r="U194" i="20"/>
  <c r="V194" i="20" s="1"/>
  <c r="U195" i="20"/>
  <c r="U196" i="20"/>
  <c r="U197" i="20"/>
  <c r="U198" i="20"/>
  <c r="U199" i="20"/>
  <c r="U200" i="20"/>
  <c r="U201" i="20"/>
  <c r="U202" i="20"/>
  <c r="V202" i="20" s="1"/>
  <c r="U203" i="20"/>
  <c r="U204" i="20"/>
  <c r="U205" i="20"/>
  <c r="U206" i="20"/>
  <c r="U207" i="20"/>
  <c r="U208" i="20"/>
  <c r="U209" i="20"/>
  <c r="U210" i="20"/>
  <c r="V210" i="20" s="1"/>
  <c r="U211" i="20"/>
  <c r="U212" i="20"/>
  <c r="U213" i="20"/>
  <c r="U214" i="20"/>
  <c r="U215" i="20"/>
  <c r="U216" i="20"/>
  <c r="U217" i="20"/>
  <c r="U218" i="20"/>
  <c r="U219" i="20"/>
  <c r="U220" i="20"/>
  <c r="U221" i="20"/>
  <c r="U222" i="20"/>
  <c r="U223" i="20"/>
  <c r="U224" i="20"/>
  <c r="U225" i="20"/>
  <c r="U226" i="20"/>
  <c r="V226" i="20" s="1"/>
  <c r="U227" i="20"/>
  <c r="U228" i="20"/>
  <c r="U229" i="20"/>
  <c r="U230" i="20"/>
  <c r="U231" i="20"/>
  <c r="U232" i="20"/>
  <c r="U233" i="20"/>
  <c r="U234" i="20"/>
  <c r="V234" i="20" s="1"/>
  <c r="U235" i="20"/>
  <c r="U236" i="20"/>
  <c r="U237" i="20"/>
  <c r="U238" i="20"/>
  <c r="U239" i="20"/>
  <c r="U240" i="20"/>
  <c r="U241" i="20"/>
  <c r="U242" i="20"/>
  <c r="V242" i="20" s="1"/>
  <c r="U243" i="20"/>
  <c r="U244" i="20"/>
  <c r="U245" i="20"/>
  <c r="U246" i="20"/>
  <c r="U247" i="20"/>
  <c r="U248" i="20"/>
  <c r="U249" i="20"/>
  <c r="U250" i="20"/>
  <c r="V250" i="20" s="1"/>
  <c r="U251" i="20"/>
  <c r="U252" i="20"/>
  <c r="U253" i="20"/>
  <c r="U254" i="20"/>
  <c r="U255" i="20"/>
  <c r="U256" i="20"/>
  <c r="U257" i="20"/>
  <c r="U258" i="20"/>
  <c r="V258" i="20" s="1"/>
  <c r="U259" i="20"/>
  <c r="U260" i="20"/>
  <c r="U261" i="20"/>
  <c r="U262" i="20"/>
  <c r="U263" i="20"/>
  <c r="U264" i="20"/>
  <c r="U265" i="20"/>
  <c r="U266" i="20"/>
  <c r="V266" i="20" s="1"/>
  <c r="U267" i="20"/>
  <c r="U268" i="20"/>
  <c r="U269" i="20"/>
  <c r="U270" i="20"/>
  <c r="U271" i="20"/>
  <c r="U272" i="20"/>
  <c r="U273" i="20"/>
  <c r="U274" i="20"/>
  <c r="U275" i="20"/>
  <c r="U276" i="20"/>
  <c r="U277" i="20"/>
  <c r="U278" i="20"/>
  <c r="U279" i="20"/>
  <c r="U280" i="20"/>
  <c r="U281" i="20"/>
  <c r="U282" i="20"/>
  <c r="V282" i="20" s="1"/>
  <c r="U283" i="20"/>
  <c r="U284" i="20"/>
  <c r="U285" i="20"/>
  <c r="U286" i="20"/>
  <c r="U287" i="20"/>
  <c r="U288" i="20"/>
  <c r="U289" i="20"/>
  <c r="U290" i="20"/>
  <c r="V290" i="20" s="1"/>
  <c r="U291" i="20"/>
  <c r="U292" i="20"/>
  <c r="U293" i="20"/>
  <c r="U294" i="20"/>
  <c r="U295" i="20"/>
  <c r="U296" i="20"/>
  <c r="U297" i="20"/>
  <c r="U298" i="20"/>
  <c r="V298" i="20" s="1"/>
  <c r="U299" i="20"/>
  <c r="U300" i="20"/>
  <c r="U301" i="20"/>
  <c r="U302" i="20"/>
  <c r="U303" i="20"/>
  <c r="U304" i="20"/>
  <c r="U305" i="20"/>
  <c r="U306" i="20"/>
  <c r="V306" i="20" s="1"/>
  <c r="U307" i="20"/>
  <c r="U308" i="20"/>
  <c r="U309" i="20"/>
  <c r="U310" i="20"/>
  <c r="U311" i="20"/>
  <c r="U312" i="20"/>
  <c r="U313" i="20"/>
  <c r="U314" i="20"/>
  <c r="V314" i="20" s="1"/>
  <c r="U315" i="20"/>
  <c r="U316" i="20"/>
  <c r="U317" i="20"/>
  <c r="U318" i="20"/>
  <c r="U319" i="20"/>
  <c r="U320" i="20"/>
  <c r="U321" i="20"/>
  <c r="U322" i="20"/>
  <c r="V322" i="20" s="1"/>
  <c r="U323" i="20"/>
  <c r="U324" i="20"/>
  <c r="U325" i="20"/>
  <c r="U326" i="20"/>
  <c r="U327" i="20"/>
  <c r="U328" i="20"/>
  <c r="U329" i="20"/>
  <c r="U330" i="20"/>
  <c r="V330" i="20" s="1"/>
  <c r="U331" i="20"/>
  <c r="U332" i="20"/>
  <c r="U333" i="20"/>
  <c r="U334" i="20"/>
  <c r="U335" i="20"/>
  <c r="U336" i="20"/>
  <c r="U337" i="20"/>
  <c r="U338" i="20"/>
  <c r="V338" i="20" s="1"/>
  <c r="U339" i="20"/>
  <c r="U340" i="20"/>
  <c r="U341" i="20"/>
  <c r="U342" i="20"/>
  <c r="U343" i="20"/>
  <c r="U344" i="20"/>
  <c r="U345" i="20"/>
  <c r="U346" i="20"/>
  <c r="V346" i="20" s="1"/>
  <c r="U347" i="20"/>
  <c r="U348" i="20"/>
  <c r="U349" i="20"/>
  <c r="U350" i="20"/>
  <c r="U351" i="20"/>
  <c r="U352" i="20"/>
  <c r="U353" i="20"/>
  <c r="U354" i="20"/>
  <c r="V354" i="20" s="1"/>
  <c r="U355" i="20"/>
  <c r="U356" i="20"/>
  <c r="U357" i="20"/>
  <c r="U358" i="20"/>
  <c r="U359" i="20"/>
  <c r="U360" i="20"/>
  <c r="U361" i="20"/>
  <c r="U362" i="20"/>
  <c r="V362" i="20" s="1"/>
  <c r="U363" i="20"/>
  <c r="U364" i="20"/>
  <c r="U365" i="20"/>
  <c r="U366" i="20"/>
  <c r="U367" i="20"/>
  <c r="U368" i="20"/>
  <c r="U369" i="20"/>
  <c r="U370" i="20"/>
  <c r="V370" i="20" s="1"/>
  <c r="U371" i="20"/>
  <c r="U372" i="20"/>
  <c r="U373" i="20"/>
  <c r="U374" i="20"/>
  <c r="U375" i="20"/>
  <c r="U376" i="20"/>
  <c r="U377" i="20"/>
  <c r="U378" i="20"/>
  <c r="V378" i="20" s="1"/>
  <c r="U379" i="20"/>
  <c r="U380" i="20"/>
  <c r="U381" i="20"/>
  <c r="U382" i="20"/>
  <c r="U383" i="20"/>
  <c r="U384" i="20"/>
  <c r="U385" i="20"/>
  <c r="U386" i="20"/>
  <c r="V386" i="20" s="1"/>
  <c r="U387" i="20"/>
  <c r="U388" i="20"/>
  <c r="U389" i="20"/>
  <c r="U390" i="20"/>
  <c r="U391" i="20"/>
  <c r="U392" i="20"/>
  <c r="U393" i="20"/>
  <c r="U394" i="20"/>
  <c r="V394" i="20" s="1"/>
  <c r="U395" i="20"/>
  <c r="U396" i="20"/>
  <c r="U397" i="20"/>
  <c r="U398" i="20"/>
  <c r="U399" i="20"/>
  <c r="U400" i="20"/>
  <c r="U401" i="20"/>
  <c r="U402" i="20"/>
  <c r="V402" i="20" s="1"/>
  <c r="U403" i="20"/>
  <c r="U404" i="20"/>
  <c r="U2" i="20"/>
  <c r="O3" i="20"/>
  <c r="O4" i="20"/>
  <c r="O5" i="20"/>
  <c r="O6" i="20"/>
  <c r="O7" i="20"/>
  <c r="O8" i="20"/>
  <c r="O9" i="20"/>
  <c r="P9" i="20" s="1"/>
  <c r="O10" i="20"/>
  <c r="O11" i="20"/>
  <c r="O12" i="20"/>
  <c r="O13" i="20"/>
  <c r="O14" i="20"/>
  <c r="O15" i="20"/>
  <c r="O16" i="20"/>
  <c r="O17" i="20"/>
  <c r="P17" i="20" s="1"/>
  <c r="O18" i="20"/>
  <c r="O19" i="20"/>
  <c r="O20" i="20"/>
  <c r="O21" i="20"/>
  <c r="O22" i="20"/>
  <c r="O23" i="20"/>
  <c r="O24" i="20"/>
  <c r="O25" i="20"/>
  <c r="O26" i="20"/>
  <c r="O27" i="20"/>
  <c r="O28" i="20"/>
  <c r="O29" i="20"/>
  <c r="O30" i="20"/>
  <c r="O31" i="20"/>
  <c r="O32" i="20"/>
  <c r="O33" i="20"/>
  <c r="O34" i="20"/>
  <c r="O35" i="20"/>
  <c r="O36" i="20"/>
  <c r="O37" i="20"/>
  <c r="O38" i="20"/>
  <c r="O39" i="20"/>
  <c r="O40" i="20"/>
  <c r="O41" i="20"/>
  <c r="P41" i="20" s="1"/>
  <c r="O42" i="20"/>
  <c r="O43" i="20"/>
  <c r="O44" i="20"/>
  <c r="O45" i="20"/>
  <c r="O46" i="20"/>
  <c r="O47" i="20"/>
  <c r="O48" i="20"/>
  <c r="O49" i="20"/>
  <c r="O50" i="20"/>
  <c r="O51" i="20"/>
  <c r="O52" i="20"/>
  <c r="O53" i="20"/>
  <c r="O54" i="20"/>
  <c r="O55" i="20"/>
  <c r="O56" i="20"/>
  <c r="O57" i="20"/>
  <c r="P57" i="20" s="1"/>
  <c r="O58" i="20"/>
  <c r="O59" i="20"/>
  <c r="O60" i="20"/>
  <c r="O61" i="20"/>
  <c r="O62" i="20"/>
  <c r="O63" i="20"/>
  <c r="O64" i="20"/>
  <c r="O65" i="20"/>
  <c r="P65" i="20" s="1"/>
  <c r="S65" i="20" s="1"/>
  <c r="O66" i="20"/>
  <c r="O67" i="20"/>
  <c r="O68" i="20"/>
  <c r="O69" i="20"/>
  <c r="O70" i="20"/>
  <c r="O71" i="20"/>
  <c r="O72" i="20"/>
  <c r="O73" i="20"/>
  <c r="O74" i="20"/>
  <c r="O75" i="20"/>
  <c r="O76" i="20"/>
  <c r="O77" i="20"/>
  <c r="O78" i="20"/>
  <c r="O79" i="20"/>
  <c r="O80" i="20"/>
  <c r="O81" i="20"/>
  <c r="P81" i="20" s="1"/>
  <c r="O82" i="20"/>
  <c r="O83" i="20"/>
  <c r="O84" i="20"/>
  <c r="O85" i="20"/>
  <c r="O86" i="20"/>
  <c r="O87" i="20"/>
  <c r="O88" i="20"/>
  <c r="O89" i="20"/>
  <c r="P89" i="20" s="1"/>
  <c r="S89" i="20" s="1"/>
  <c r="O90" i="20"/>
  <c r="O91" i="20"/>
  <c r="O92" i="20"/>
  <c r="O93" i="20"/>
  <c r="O94" i="20"/>
  <c r="O95" i="20"/>
  <c r="O96" i="20"/>
  <c r="O97" i="20"/>
  <c r="P97" i="20" s="1"/>
  <c r="O98" i="20"/>
  <c r="O99" i="20"/>
  <c r="O100" i="20"/>
  <c r="O101" i="20"/>
  <c r="O102" i="20"/>
  <c r="O103" i="20"/>
  <c r="O104" i="20"/>
  <c r="O105" i="20"/>
  <c r="O106" i="20"/>
  <c r="O107" i="20"/>
  <c r="O108" i="20"/>
  <c r="O109" i="20"/>
  <c r="O110" i="20"/>
  <c r="O111" i="20"/>
  <c r="O112" i="20"/>
  <c r="O113" i="20"/>
  <c r="P113" i="20" s="1"/>
  <c r="S113" i="20" s="1"/>
  <c r="O114" i="20"/>
  <c r="O115" i="20"/>
  <c r="O116" i="20"/>
  <c r="O117" i="20"/>
  <c r="O118" i="20"/>
  <c r="O119" i="20"/>
  <c r="O120" i="20"/>
  <c r="O121" i="20"/>
  <c r="P121" i="20" s="1"/>
  <c r="O122" i="20"/>
  <c r="O123" i="20"/>
  <c r="O124" i="20"/>
  <c r="O125" i="20"/>
  <c r="O126" i="20"/>
  <c r="O127" i="20"/>
  <c r="O128" i="20"/>
  <c r="O129" i="20"/>
  <c r="O130" i="20"/>
  <c r="O131" i="20"/>
  <c r="O132" i="20"/>
  <c r="O133" i="20"/>
  <c r="O134" i="20"/>
  <c r="O135" i="20"/>
  <c r="O136" i="20"/>
  <c r="O137" i="20"/>
  <c r="P137" i="20" s="1"/>
  <c r="O138" i="20"/>
  <c r="O139" i="20"/>
  <c r="O140" i="20"/>
  <c r="O141" i="20"/>
  <c r="O142" i="20"/>
  <c r="O143" i="20"/>
  <c r="O144" i="20"/>
  <c r="O145" i="20"/>
  <c r="P145" i="20" s="1"/>
  <c r="O146" i="20"/>
  <c r="O147" i="20"/>
  <c r="O148" i="20"/>
  <c r="O149" i="20"/>
  <c r="O150" i="20"/>
  <c r="O151" i="20"/>
  <c r="O152" i="20"/>
  <c r="O153" i="20"/>
  <c r="P153" i="20" s="1"/>
  <c r="O154" i="20"/>
  <c r="O155" i="20"/>
  <c r="O156" i="20"/>
  <c r="O157" i="20"/>
  <c r="O158" i="20"/>
  <c r="O159" i="20"/>
  <c r="O160" i="20"/>
  <c r="O161" i="20"/>
  <c r="P161" i="20" s="1"/>
  <c r="O162" i="20"/>
  <c r="O163" i="20"/>
  <c r="O164" i="20"/>
  <c r="O165" i="20"/>
  <c r="O166" i="20"/>
  <c r="O167" i="20"/>
  <c r="O168" i="20"/>
  <c r="O169" i="20"/>
  <c r="O170" i="20"/>
  <c r="O171" i="20"/>
  <c r="O172" i="20"/>
  <c r="O173" i="20"/>
  <c r="O174" i="20"/>
  <c r="O175" i="20"/>
  <c r="O176" i="20"/>
  <c r="O177" i="20"/>
  <c r="P177" i="20" s="1"/>
  <c r="O178" i="20"/>
  <c r="O179" i="20"/>
  <c r="O180" i="20"/>
  <c r="O181" i="20"/>
  <c r="O182" i="20"/>
  <c r="O183" i="20"/>
  <c r="O184" i="20"/>
  <c r="O185" i="20"/>
  <c r="P185" i="20" s="1"/>
  <c r="O186" i="20"/>
  <c r="O187" i="20"/>
  <c r="O188" i="20"/>
  <c r="O189" i="20"/>
  <c r="O190" i="20"/>
  <c r="O191" i="20"/>
  <c r="O192" i="20"/>
  <c r="O193" i="20"/>
  <c r="O194" i="20"/>
  <c r="O195" i="20"/>
  <c r="O196" i="20"/>
  <c r="O197" i="20"/>
  <c r="O198" i="20"/>
  <c r="O199" i="20"/>
  <c r="O200" i="20"/>
  <c r="O201" i="20"/>
  <c r="O202" i="20"/>
  <c r="O203" i="20"/>
  <c r="O204" i="20"/>
  <c r="O205" i="20"/>
  <c r="O206" i="20"/>
  <c r="O207" i="20"/>
  <c r="O208" i="20"/>
  <c r="O209" i="20"/>
  <c r="P209" i="20" s="1"/>
  <c r="O210" i="20"/>
  <c r="O211" i="20"/>
  <c r="O212" i="20"/>
  <c r="O213" i="20"/>
  <c r="O214" i="20"/>
  <c r="O215" i="20"/>
  <c r="O216" i="20"/>
  <c r="O217" i="20"/>
  <c r="P217" i="20" s="1"/>
  <c r="O218" i="20"/>
  <c r="O219" i="20"/>
  <c r="O220" i="20"/>
  <c r="O221" i="20"/>
  <c r="O222" i="20"/>
  <c r="O223" i="20"/>
  <c r="O224" i="20"/>
  <c r="O225" i="20"/>
  <c r="P225" i="20" s="1"/>
  <c r="O226" i="20"/>
  <c r="O227" i="20"/>
  <c r="O228" i="20"/>
  <c r="O229" i="20"/>
  <c r="O230" i="20"/>
  <c r="O231" i="20"/>
  <c r="O232" i="20"/>
  <c r="O233" i="20"/>
  <c r="O234" i="20"/>
  <c r="O235" i="20"/>
  <c r="O236" i="20"/>
  <c r="O237" i="20"/>
  <c r="O238" i="20"/>
  <c r="O239" i="20"/>
  <c r="O240" i="20"/>
  <c r="O241" i="20"/>
  <c r="P241" i="20" s="1"/>
  <c r="O242" i="20"/>
  <c r="O243" i="20"/>
  <c r="O244" i="20"/>
  <c r="O245" i="20"/>
  <c r="O246" i="20"/>
  <c r="O247" i="20"/>
  <c r="O248" i="20"/>
  <c r="O249" i="20"/>
  <c r="P249" i="20" s="1"/>
  <c r="O250" i="20"/>
  <c r="O251" i="20"/>
  <c r="O252" i="20"/>
  <c r="O253" i="20"/>
  <c r="O254" i="20"/>
  <c r="O255" i="20"/>
  <c r="O256" i="20"/>
  <c r="O257" i="20"/>
  <c r="P257" i="20" s="1"/>
  <c r="O258" i="20"/>
  <c r="O259" i="20"/>
  <c r="O260" i="20"/>
  <c r="O261" i="20"/>
  <c r="O262" i="20"/>
  <c r="O263" i="20"/>
  <c r="O264" i="20"/>
  <c r="O265" i="20"/>
  <c r="P265" i="20" s="1"/>
  <c r="O266" i="20"/>
  <c r="O267" i="20"/>
  <c r="O268" i="20"/>
  <c r="O269" i="20"/>
  <c r="O270" i="20"/>
  <c r="O271" i="20"/>
  <c r="O272" i="20"/>
  <c r="O273" i="20"/>
  <c r="P273" i="20" s="1"/>
  <c r="O274" i="20"/>
  <c r="O275" i="20"/>
  <c r="O276" i="20"/>
  <c r="O277" i="20"/>
  <c r="O278" i="20"/>
  <c r="O279" i="20"/>
  <c r="O280" i="20"/>
  <c r="O281" i="20"/>
  <c r="P281" i="20" s="1"/>
  <c r="O282" i="20"/>
  <c r="O283" i="20"/>
  <c r="O284" i="20"/>
  <c r="O285" i="20"/>
  <c r="O286" i="20"/>
  <c r="O287" i="20"/>
  <c r="O288" i="20"/>
  <c r="O289" i="20"/>
  <c r="P289" i="20" s="1"/>
  <c r="O290" i="20"/>
  <c r="O291" i="20"/>
  <c r="O292" i="20"/>
  <c r="O293" i="20"/>
  <c r="O294" i="20"/>
  <c r="O295" i="20"/>
  <c r="O296" i="20"/>
  <c r="O297" i="20"/>
  <c r="P297" i="20" s="1"/>
  <c r="O298" i="20"/>
  <c r="O299" i="20"/>
  <c r="O300" i="20"/>
  <c r="O301" i="20"/>
  <c r="O302" i="20"/>
  <c r="O303" i="20"/>
  <c r="O304" i="20"/>
  <c r="O305" i="20"/>
  <c r="P305" i="20" s="1"/>
  <c r="O306" i="20"/>
  <c r="O307" i="20"/>
  <c r="O308" i="20"/>
  <c r="O309" i="20"/>
  <c r="O310" i="20"/>
  <c r="O311" i="20"/>
  <c r="O312" i="20"/>
  <c r="O313" i="20"/>
  <c r="P313" i="20" s="1"/>
  <c r="O314" i="20"/>
  <c r="O315" i="20"/>
  <c r="O316" i="20"/>
  <c r="O317" i="20"/>
  <c r="O318" i="20"/>
  <c r="O319" i="20"/>
  <c r="O320" i="20"/>
  <c r="O321" i="20"/>
  <c r="P321" i="20" s="1"/>
  <c r="O322" i="20"/>
  <c r="O323" i="20"/>
  <c r="O324" i="20"/>
  <c r="O325" i="20"/>
  <c r="O326" i="20"/>
  <c r="O327" i="20"/>
  <c r="O328" i="20"/>
  <c r="O329" i="20"/>
  <c r="O330" i="20"/>
  <c r="O331" i="20"/>
  <c r="O332" i="20"/>
  <c r="O333" i="20"/>
  <c r="O334" i="20"/>
  <c r="O335" i="20"/>
  <c r="O336" i="20"/>
  <c r="O337" i="20"/>
  <c r="P337" i="20" s="1"/>
  <c r="O338" i="20"/>
  <c r="O339" i="20"/>
  <c r="O340" i="20"/>
  <c r="O341" i="20"/>
  <c r="O342" i="20"/>
  <c r="O343" i="20"/>
  <c r="O344" i="20"/>
  <c r="O345" i="20"/>
  <c r="O346" i="20"/>
  <c r="O347" i="20"/>
  <c r="O348" i="20"/>
  <c r="O349" i="20"/>
  <c r="O350" i="20"/>
  <c r="O351" i="20"/>
  <c r="O352" i="20"/>
  <c r="O353" i="20"/>
  <c r="P353" i="20" s="1"/>
  <c r="O354" i="20"/>
  <c r="O355" i="20"/>
  <c r="O356" i="20"/>
  <c r="O357" i="20"/>
  <c r="O358" i="20"/>
  <c r="O359" i="20"/>
  <c r="O360" i="20"/>
  <c r="O361" i="20"/>
  <c r="P361" i="20" s="1"/>
  <c r="O362" i="20"/>
  <c r="O363" i="20"/>
  <c r="O364" i="20"/>
  <c r="O365" i="20"/>
  <c r="O366" i="20"/>
  <c r="O367" i="20"/>
  <c r="O368" i="20"/>
  <c r="O369" i="20"/>
  <c r="P369" i="20" s="1"/>
  <c r="O370" i="20"/>
  <c r="O371" i="20"/>
  <c r="O372" i="20"/>
  <c r="O373" i="20"/>
  <c r="O374" i="20"/>
  <c r="O375" i="20"/>
  <c r="O376" i="20"/>
  <c r="O377" i="20"/>
  <c r="P377" i="20" s="1"/>
  <c r="O378" i="20"/>
  <c r="O379" i="20"/>
  <c r="O380" i="20"/>
  <c r="O381" i="20"/>
  <c r="O382" i="20"/>
  <c r="O383" i="20"/>
  <c r="O384" i="20"/>
  <c r="O385" i="20"/>
  <c r="P385" i="20" s="1"/>
  <c r="O386" i="20"/>
  <c r="O387" i="20"/>
  <c r="O388" i="20"/>
  <c r="O389" i="20"/>
  <c r="O390" i="20"/>
  <c r="O391" i="20"/>
  <c r="O392" i="20"/>
  <c r="O393" i="20"/>
  <c r="P393" i="20" s="1"/>
  <c r="O394" i="20"/>
  <c r="O395" i="20"/>
  <c r="O396" i="20"/>
  <c r="O397" i="20"/>
  <c r="O398" i="20"/>
  <c r="O399" i="20"/>
  <c r="O400" i="20"/>
  <c r="O401" i="20"/>
  <c r="P401" i="20" s="1"/>
  <c r="O402" i="20"/>
  <c r="O403" i="20"/>
  <c r="O404" i="20"/>
  <c r="O2" i="20"/>
  <c r="K3" i="20"/>
  <c r="K4" i="20"/>
  <c r="K5" i="20"/>
  <c r="K6" i="20"/>
  <c r="K7" i="20"/>
  <c r="K8" i="20"/>
  <c r="K9" i="20"/>
  <c r="K10" i="20"/>
  <c r="L10" i="20" s="1"/>
  <c r="K11" i="20"/>
  <c r="K12" i="20"/>
  <c r="K13" i="20"/>
  <c r="K14" i="20"/>
  <c r="K15" i="20"/>
  <c r="K16" i="20"/>
  <c r="K17" i="20"/>
  <c r="K18" i="20"/>
  <c r="L18" i="20" s="1"/>
  <c r="K19" i="20"/>
  <c r="K20" i="20"/>
  <c r="K21" i="20"/>
  <c r="K22" i="20"/>
  <c r="K23" i="20"/>
  <c r="K24" i="20"/>
  <c r="K25" i="20"/>
  <c r="K26" i="20"/>
  <c r="L26" i="20" s="1"/>
  <c r="K27" i="20"/>
  <c r="K28" i="20"/>
  <c r="K29" i="20"/>
  <c r="K30" i="20"/>
  <c r="K31" i="20"/>
  <c r="K32" i="20"/>
  <c r="K33" i="20"/>
  <c r="K34" i="20"/>
  <c r="L34" i="20" s="1"/>
  <c r="K35" i="20"/>
  <c r="K36" i="20"/>
  <c r="K37" i="20"/>
  <c r="K38" i="20"/>
  <c r="K39" i="20"/>
  <c r="K40" i="20"/>
  <c r="K41" i="20"/>
  <c r="K42" i="20"/>
  <c r="L42" i="20" s="1"/>
  <c r="K43" i="20"/>
  <c r="K44" i="20"/>
  <c r="K45" i="20"/>
  <c r="K46" i="20"/>
  <c r="K47" i="20"/>
  <c r="K48" i="20"/>
  <c r="K49" i="20"/>
  <c r="K50" i="20"/>
  <c r="L50" i="20" s="1"/>
  <c r="K51" i="20"/>
  <c r="K52" i="20"/>
  <c r="K53" i="20"/>
  <c r="K54" i="20"/>
  <c r="K55" i="20"/>
  <c r="K56" i="20"/>
  <c r="K57" i="20"/>
  <c r="K58" i="20"/>
  <c r="L58" i="20" s="1"/>
  <c r="K59" i="20"/>
  <c r="K60" i="20"/>
  <c r="K61" i="20"/>
  <c r="K62" i="20"/>
  <c r="K63" i="20"/>
  <c r="K64" i="20"/>
  <c r="K65" i="20"/>
  <c r="K66" i="20"/>
  <c r="L66" i="20" s="1"/>
  <c r="K67" i="20"/>
  <c r="K68" i="20"/>
  <c r="K69" i="20"/>
  <c r="K70" i="20"/>
  <c r="K71" i="20"/>
  <c r="K72" i="20"/>
  <c r="K73" i="20"/>
  <c r="K74" i="20"/>
  <c r="L74" i="20" s="1"/>
  <c r="K75" i="20"/>
  <c r="K76" i="20"/>
  <c r="K77" i="20"/>
  <c r="K78" i="20"/>
  <c r="K79" i="20"/>
  <c r="K80" i="20"/>
  <c r="K81" i="20"/>
  <c r="K82" i="20"/>
  <c r="L82" i="20" s="1"/>
  <c r="K83" i="20"/>
  <c r="K84" i="20"/>
  <c r="K85" i="20"/>
  <c r="K86" i="20"/>
  <c r="K87" i="20"/>
  <c r="K88" i="20"/>
  <c r="K89" i="20"/>
  <c r="K90" i="20"/>
  <c r="L90" i="20" s="1"/>
  <c r="K91" i="20"/>
  <c r="K92" i="20"/>
  <c r="K93" i="20"/>
  <c r="K94" i="20"/>
  <c r="K95" i="20"/>
  <c r="K96" i="20"/>
  <c r="K97" i="20"/>
  <c r="K98" i="20"/>
  <c r="K99" i="20"/>
  <c r="K100" i="20"/>
  <c r="K101" i="20"/>
  <c r="K102" i="20"/>
  <c r="K103" i="20"/>
  <c r="K104" i="20"/>
  <c r="K105" i="20"/>
  <c r="K106" i="20"/>
  <c r="L106" i="20" s="1"/>
  <c r="K107" i="20"/>
  <c r="K108" i="20"/>
  <c r="K109" i="20"/>
  <c r="K110" i="20"/>
  <c r="K111" i="20"/>
  <c r="K112" i="20"/>
  <c r="K113" i="20"/>
  <c r="K114" i="20"/>
  <c r="L114" i="20" s="1"/>
  <c r="K115" i="20"/>
  <c r="K116" i="20"/>
  <c r="K117" i="20"/>
  <c r="K118" i="20"/>
  <c r="K119" i="20"/>
  <c r="K120" i="20"/>
  <c r="K121" i="20"/>
  <c r="K122" i="20"/>
  <c r="L122" i="20" s="1"/>
  <c r="K123" i="20"/>
  <c r="K124" i="20"/>
  <c r="K125" i="20"/>
  <c r="K126" i="20"/>
  <c r="K127" i="20"/>
  <c r="K128" i="20"/>
  <c r="K129" i="20"/>
  <c r="K130" i="20"/>
  <c r="L130" i="20" s="1"/>
  <c r="K131" i="20"/>
  <c r="K132" i="20"/>
  <c r="K133" i="20"/>
  <c r="K134" i="20"/>
  <c r="K135" i="20"/>
  <c r="K136" i="20"/>
  <c r="K137" i="20"/>
  <c r="K138" i="20"/>
  <c r="L138" i="20" s="1"/>
  <c r="K139" i="20"/>
  <c r="K140" i="20"/>
  <c r="K141" i="20"/>
  <c r="K142" i="20"/>
  <c r="K143" i="20"/>
  <c r="K144" i="20"/>
  <c r="K145" i="20"/>
  <c r="K146" i="20"/>
  <c r="K147" i="20"/>
  <c r="K148" i="20"/>
  <c r="K149" i="20"/>
  <c r="K150" i="20"/>
  <c r="K151" i="20"/>
  <c r="K152" i="20"/>
  <c r="K153" i="20"/>
  <c r="K154" i="20"/>
  <c r="L154" i="20" s="1"/>
  <c r="K155" i="20"/>
  <c r="K156" i="20"/>
  <c r="K157" i="20"/>
  <c r="K158" i="20"/>
  <c r="K159" i="20"/>
  <c r="K160" i="20"/>
  <c r="K161" i="20"/>
  <c r="K162" i="20"/>
  <c r="L162" i="20" s="1"/>
  <c r="K163" i="20"/>
  <c r="K164" i="20"/>
  <c r="K165" i="20"/>
  <c r="K166" i="20"/>
  <c r="K167" i="20"/>
  <c r="K168" i="20"/>
  <c r="K169" i="20"/>
  <c r="K170" i="20"/>
  <c r="L170" i="20" s="1"/>
  <c r="K171" i="20"/>
  <c r="K172" i="20"/>
  <c r="K173" i="20"/>
  <c r="K174" i="20"/>
  <c r="K175" i="20"/>
  <c r="K176" i="20"/>
  <c r="K177" i="20"/>
  <c r="K178" i="20"/>
  <c r="K179" i="20"/>
  <c r="K180" i="20"/>
  <c r="K181" i="20"/>
  <c r="K182" i="20"/>
  <c r="K183" i="20"/>
  <c r="K184" i="20"/>
  <c r="K185" i="20"/>
  <c r="K186" i="20"/>
  <c r="L186" i="20" s="1"/>
  <c r="K187" i="20"/>
  <c r="K188" i="20"/>
  <c r="K189" i="20"/>
  <c r="K190" i="20"/>
  <c r="K191" i="20"/>
  <c r="K192" i="20"/>
  <c r="K193" i="20"/>
  <c r="K194" i="20"/>
  <c r="L194" i="20" s="1"/>
  <c r="K195" i="20"/>
  <c r="K196" i="20"/>
  <c r="K197" i="20"/>
  <c r="K198" i="20"/>
  <c r="K199" i="20"/>
  <c r="K200" i="20"/>
  <c r="K201" i="20"/>
  <c r="K202" i="20"/>
  <c r="L202" i="20" s="1"/>
  <c r="K203" i="20"/>
  <c r="K204" i="20"/>
  <c r="K205" i="20"/>
  <c r="K206" i="20"/>
  <c r="K207" i="20"/>
  <c r="K208" i="20"/>
  <c r="K209" i="20"/>
  <c r="K210" i="20"/>
  <c r="L210" i="20" s="1"/>
  <c r="K211" i="20"/>
  <c r="K212" i="20"/>
  <c r="K213" i="20"/>
  <c r="K214" i="20"/>
  <c r="K215" i="20"/>
  <c r="K216" i="20"/>
  <c r="K217" i="20"/>
  <c r="K218" i="20"/>
  <c r="L218" i="20" s="1"/>
  <c r="K219" i="20"/>
  <c r="K220" i="20"/>
  <c r="K221" i="20"/>
  <c r="K222" i="20"/>
  <c r="K223" i="20"/>
  <c r="K224" i="20"/>
  <c r="K225" i="20"/>
  <c r="K226" i="20"/>
  <c r="K227" i="20"/>
  <c r="K228" i="20"/>
  <c r="K229" i="20"/>
  <c r="K230" i="20"/>
  <c r="K231" i="20"/>
  <c r="K232" i="20"/>
  <c r="K233" i="20"/>
  <c r="K234" i="20"/>
  <c r="L234" i="20" s="1"/>
  <c r="K235" i="20"/>
  <c r="K236" i="20"/>
  <c r="K237" i="20"/>
  <c r="K238" i="20"/>
  <c r="K239" i="20"/>
  <c r="K240" i="20"/>
  <c r="K241" i="20"/>
  <c r="K242" i="20"/>
  <c r="L242" i="20" s="1"/>
  <c r="K243" i="20"/>
  <c r="K244" i="20"/>
  <c r="K245" i="20"/>
  <c r="K246" i="20"/>
  <c r="K247" i="20"/>
  <c r="K248" i="20"/>
  <c r="K249" i="20"/>
  <c r="K250" i="20"/>
  <c r="L250" i="20" s="1"/>
  <c r="K251" i="20"/>
  <c r="K252" i="20"/>
  <c r="K253" i="20"/>
  <c r="K254" i="20"/>
  <c r="K255" i="20"/>
  <c r="K256" i="20"/>
  <c r="K257" i="20"/>
  <c r="K258" i="20"/>
  <c r="L258" i="20" s="1"/>
  <c r="K259" i="20"/>
  <c r="K260" i="20"/>
  <c r="K261" i="20"/>
  <c r="K262" i="20"/>
  <c r="K263" i="20"/>
  <c r="K264" i="20"/>
  <c r="K265" i="20"/>
  <c r="K266" i="20"/>
  <c r="L266" i="20" s="1"/>
  <c r="K267" i="20"/>
  <c r="K268" i="20"/>
  <c r="K269" i="20"/>
  <c r="K270" i="20"/>
  <c r="K271" i="20"/>
  <c r="K272" i="20"/>
  <c r="K273" i="20"/>
  <c r="K274" i="20"/>
  <c r="L274" i="20" s="1"/>
  <c r="K275" i="20"/>
  <c r="K276" i="20"/>
  <c r="K277" i="20"/>
  <c r="K278" i="20"/>
  <c r="K279" i="20"/>
  <c r="K280" i="20"/>
  <c r="K281" i="20"/>
  <c r="K282" i="20"/>
  <c r="L282" i="20" s="1"/>
  <c r="K283" i="20"/>
  <c r="K284" i="20"/>
  <c r="K285" i="20"/>
  <c r="K286" i="20"/>
  <c r="K287" i="20"/>
  <c r="K288" i="20"/>
  <c r="K289" i="20"/>
  <c r="K290" i="20"/>
  <c r="L290" i="20" s="1"/>
  <c r="K291" i="20"/>
  <c r="K292" i="20"/>
  <c r="K293" i="20"/>
  <c r="K294" i="20"/>
  <c r="K295" i="20"/>
  <c r="K296" i="20"/>
  <c r="K297" i="20"/>
  <c r="K298" i="20"/>
  <c r="K299" i="20"/>
  <c r="K300" i="20"/>
  <c r="K301" i="20"/>
  <c r="K302" i="20"/>
  <c r="K303" i="20"/>
  <c r="K304" i="20"/>
  <c r="K305" i="20"/>
  <c r="K306" i="20"/>
  <c r="L306" i="20" s="1"/>
  <c r="K307" i="20"/>
  <c r="K308" i="20"/>
  <c r="K309" i="20"/>
  <c r="K310" i="20"/>
  <c r="K311" i="20"/>
  <c r="K312" i="20"/>
  <c r="K313" i="20"/>
  <c r="K314" i="20"/>
  <c r="L314" i="20" s="1"/>
  <c r="K315" i="20"/>
  <c r="K316" i="20"/>
  <c r="K317" i="20"/>
  <c r="K318" i="20"/>
  <c r="K319" i="20"/>
  <c r="K320" i="20"/>
  <c r="K321" i="20"/>
  <c r="K322" i="20"/>
  <c r="L322" i="20" s="1"/>
  <c r="K323" i="20"/>
  <c r="K324" i="20"/>
  <c r="K325" i="20"/>
  <c r="K326" i="20"/>
  <c r="K327" i="20"/>
  <c r="K328" i="20"/>
  <c r="K329" i="20"/>
  <c r="K330" i="20"/>
  <c r="L330" i="20" s="1"/>
  <c r="K331" i="20"/>
  <c r="K332" i="20"/>
  <c r="K333" i="20"/>
  <c r="K334" i="20"/>
  <c r="K335" i="20"/>
  <c r="K336" i="20"/>
  <c r="K337" i="20"/>
  <c r="K338" i="20"/>
  <c r="K339" i="20"/>
  <c r="K340" i="20"/>
  <c r="K341" i="20"/>
  <c r="K342" i="20"/>
  <c r="K343" i="20"/>
  <c r="K344" i="20"/>
  <c r="K345" i="20"/>
  <c r="K346" i="20"/>
  <c r="L346" i="20" s="1"/>
  <c r="K347" i="20"/>
  <c r="K348" i="20"/>
  <c r="K349" i="20"/>
  <c r="K350" i="20"/>
  <c r="K351" i="20"/>
  <c r="K352" i="20"/>
  <c r="K353" i="20"/>
  <c r="K354" i="20"/>
  <c r="L354" i="20" s="1"/>
  <c r="K355" i="20"/>
  <c r="K356" i="20"/>
  <c r="K357" i="20"/>
  <c r="K358" i="20"/>
  <c r="K359" i="20"/>
  <c r="K360" i="20"/>
  <c r="K361" i="20"/>
  <c r="K362" i="20"/>
  <c r="L362" i="20" s="1"/>
  <c r="K363" i="20"/>
  <c r="K364" i="20"/>
  <c r="K365" i="20"/>
  <c r="K366" i="20"/>
  <c r="K367" i="20"/>
  <c r="K368" i="20"/>
  <c r="K369" i="20"/>
  <c r="K370" i="20"/>
  <c r="L370" i="20" s="1"/>
  <c r="K371" i="20"/>
  <c r="K372" i="20"/>
  <c r="K373" i="20"/>
  <c r="K374" i="20"/>
  <c r="K375" i="20"/>
  <c r="K376" i="20"/>
  <c r="K377" i="20"/>
  <c r="K378" i="20"/>
  <c r="L378" i="20" s="1"/>
  <c r="K379" i="20"/>
  <c r="K380" i="20"/>
  <c r="K381" i="20"/>
  <c r="K382" i="20"/>
  <c r="K383" i="20"/>
  <c r="K384" i="20"/>
  <c r="K385" i="20"/>
  <c r="K386" i="20"/>
  <c r="L386" i="20" s="1"/>
  <c r="K387" i="20"/>
  <c r="K388" i="20"/>
  <c r="K389" i="20"/>
  <c r="K390" i="20"/>
  <c r="K391" i="20"/>
  <c r="K392" i="20"/>
  <c r="K393" i="20"/>
  <c r="K394" i="20"/>
  <c r="L394" i="20" s="1"/>
  <c r="K395" i="20"/>
  <c r="K396" i="20"/>
  <c r="K397" i="20"/>
  <c r="K398" i="20"/>
  <c r="K399" i="20"/>
  <c r="K400" i="20"/>
  <c r="K401" i="20"/>
  <c r="K402" i="20"/>
  <c r="K403" i="20"/>
  <c r="K404" i="20"/>
  <c r="K2" i="20"/>
  <c r="E3" i="20"/>
  <c r="E4" i="20"/>
  <c r="E5" i="20"/>
  <c r="E6" i="20"/>
  <c r="E7" i="20"/>
  <c r="E8" i="20"/>
  <c r="E9" i="20"/>
  <c r="F9" i="20" s="1"/>
  <c r="E10" i="20"/>
  <c r="E11" i="20"/>
  <c r="E12" i="20"/>
  <c r="E13" i="20"/>
  <c r="E14" i="20"/>
  <c r="E15" i="20"/>
  <c r="E16" i="20"/>
  <c r="E17" i="20"/>
  <c r="F17" i="20" s="1"/>
  <c r="E18" i="20"/>
  <c r="E19" i="20"/>
  <c r="E20" i="20"/>
  <c r="E21" i="20"/>
  <c r="E22" i="20"/>
  <c r="E23" i="20"/>
  <c r="E24" i="20"/>
  <c r="E25" i="20"/>
  <c r="F25" i="20" s="1"/>
  <c r="E26" i="20"/>
  <c r="E27" i="20"/>
  <c r="E28" i="20"/>
  <c r="E29" i="20"/>
  <c r="E30" i="20"/>
  <c r="E31" i="20"/>
  <c r="E32" i="20"/>
  <c r="E33" i="20"/>
  <c r="F33" i="20" s="1"/>
  <c r="E34" i="20"/>
  <c r="E35" i="20"/>
  <c r="E36" i="20"/>
  <c r="E37" i="20"/>
  <c r="E38" i="20"/>
  <c r="E39" i="20"/>
  <c r="E40" i="20"/>
  <c r="E41" i="20"/>
  <c r="E42" i="20"/>
  <c r="E43" i="20"/>
  <c r="E44" i="20"/>
  <c r="E45" i="20"/>
  <c r="E46" i="20"/>
  <c r="E47" i="20"/>
  <c r="E48" i="20"/>
  <c r="E49" i="20"/>
  <c r="F49" i="20" s="1"/>
  <c r="E50" i="20"/>
  <c r="E51" i="20"/>
  <c r="E52" i="20"/>
  <c r="E53" i="20"/>
  <c r="E54" i="20"/>
  <c r="E55" i="20"/>
  <c r="E56" i="20"/>
  <c r="E57" i="20"/>
  <c r="F57" i="20" s="1"/>
  <c r="E58" i="20"/>
  <c r="E59" i="20"/>
  <c r="E60" i="20"/>
  <c r="E61" i="20"/>
  <c r="E62" i="20"/>
  <c r="E63" i="20"/>
  <c r="E64" i="20"/>
  <c r="E65" i="20"/>
  <c r="E66" i="20"/>
  <c r="E67" i="20"/>
  <c r="E68" i="20"/>
  <c r="E69" i="20"/>
  <c r="E70" i="20"/>
  <c r="E71" i="20"/>
  <c r="E72" i="20"/>
  <c r="E73" i="20"/>
  <c r="F73" i="20" s="1"/>
  <c r="E74" i="20"/>
  <c r="E75" i="20"/>
  <c r="E76" i="20"/>
  <c r="E77" i="20"/>
  <c r="E78" i="20"/>
  <c r="E79" i="20"/>
  <c r="E80" i="20"/>
  <c r="E81" i="20"/>
  <c r="F81" i="20" s="1"/>
  <c r="E82" i="20"/>
  <c r="E83" i="20"/>
  <c r="E84" i="20"/>
  <c r="E85" i="20"/>
  <c r="E86" i="20"/>
  <c r="E87" i="20"/>
  <c r="E88" i="20"/>
  <c r="E89" i="20"/>
  <c r="F89" i="20" s="1"/>
  <c r="E90" i="20"/>
  <c r="E91" i="20"/>
  <c r="E92" i="20"/>
  <c r="E93" i="20"/>
  <c r="E94" i="20"/>
  <c r="E95" i="20"/>
  <c r="E96" i="20"/>
  <c r="E97" i="20"/>
  <c r="F97" i="20" s="1"/>
  <c r="E98" i="20"/>
  <c r="E99" i="20"/>
  <c r="E100" i="20"/>
  <c r="E101" i="20"/>
  <c r="E102" i="20"/>
  <c r="E103" i="20"/>
  <c r="E104" i="20"/>
  <c r="E105" i="20"/>
  <c r="F105" i="20" s="1"/>
  <c r="E106" i="20"/>
  <c r="E107" i="20"/>
  <c r="E108" i="20"/>
  <c r="E109" i="20"/>
  <c r="E110" i="20"/>
  <c r="E111" i="20"/>
  <c r="E112" i="20"/>
  <c r="E113" i="20"/>
  <c r="F113" i="20" s="1"/>
  <c r="E114" i="20"/>
  <c r="E115" i="20"/>
  <c r="E116" i="20"/>
  <c r="E117" i="20"/>
  <c r="E118" i="20"/>
  <c r="E119" i="20"/>
  <c r="E120" i="20"/>
  <c r="E121" i="20"/>
  <c r="E122" i="20"/>
  <c r="E123" i="20"/>
  <c r="E124" i="20"/>
  <c r="E125" i="20"/>
  <c r="E126" i="20"/>
  <c r="E127" i="20"/>
  <c r="E128" i="20"/>
  <c r="E129" i="20"/>
  <c r="F129" i="20" s="1"/>
  <c r="E130" i="20"/>
  <c r="E131" i="20"/>
  <c r="E132" i="20"/>
  <c r="E133" i="20"/>
  <c r="E134" i="20"/>
  <c r="E135" i="20"/>
  <c r="E136" i="20"/>
  <c r="E137" i="20"/>
  <c r="F137" i="20" s="1"/>
  <c r="E138" i="20"/>
  <c r="E139" i="20"/>
  <c r="E140" i="20"/>
  <c r="E141" i="20"/>
  <c r="E142" i="20"/>
  <c r="E143" i="20"/>
  <c r="E144" i="20"/>
  <c r="E145" i="20"/>
  <c r="F145" i="20" s="1"/>
  <c r="E146" i="20"/>
  <c r="E147" i="20"/>
  <c r="E148" i="20"/>
  <c r="E149" i="20"/>
  <c r="E150" i="20"/>
  <c r="E151" i="20"/>
  <c r="E152" i="20"/>
  <c r="E153" i="20"/>
  <c r="F153" i="20" s="1"/>
  <c r="E154" i="20"/>
  <c r="E155" i="20"/>
  <c r="E156" i="20"/>
  <c r="E157" i="20"/>
  <c r="E158" i="20"/>
  <c r="E159" i="20"/>
  <c r="E160" i="20"/>
  <c r="E161" i="20"/>
  <c r="F161" i="20" s="1"/>
  <c r="E162" i="20"/>
  <c r="E163" i="20"/>
  <c r="E164" i="20"/>
  <c r="E165" i="20"/>
  <c r="E166" i="20"/>
  <c r="E167" i="20"/>
  <c r="E168" i="20"/>
  <c r="E169" i="20"/>
  <c r="F169" i="20" s="1"/>
  <c r="E170" i="20"/>
  <c r="E171" i="20"/>
  <c r="E172" i="20"/>
  <c r="E173" i="20"/>
  <c r="E174" i="20"/>
  <c r="E175" i="20"/>
  <c r="E176" i="20"/>
  <c r="E177" i="20"/>
  <c r="F177" i="20" s="1"/>
  <c r="E178" i="20"/>
  <c r="E179" i="20"/>
  <c r="E180" i="20"/>
  <c r="E181" i="20"/>
  <c r="E182" i="20"/>
  <c r="E183" i="20"/>
  <c r="E184" i="20"/>
  <c r="E185" i="20"/>
  <c r="E186" i="20"/>
  <c r="E187" i="20"/>
  <c r="E188" i="20"/>
  <c r="E189" i="20"/>
  <c r="E190" i="20"/>
  <c r="E191" i="20"/>
  <c r="E192" i="20"/>
  <c r="E193" i="20"/>
  <c r="F193" i="20" s="1"/>
  <c r="E194" i="20"/>
  <c r="E195" i="20"/>
  <c r="E196" i="20"/>
  <c r="E197" i="20"/>
  <c r="E198" i="20"/>
  <c r="E199" i="20"/>
  <c r="E200" i="20"/>
  <c r="E201" i="20"/>
  <c r="F201" i="20" s="1"/>
  <c r="E202" i="20"/>
  <c r="E203" i="20"/>
  <c r="E204" i="20"/>
  <c r="E205" i="20"/>
  <c r="E206" i="20"/>
  <c r="E207" i="20"/>
  <c r="E208" i="20"/>
  <c r="E209" i="20"/>
  <c r="F209" i="20" s="1"/>
  <c r="E210" i="20"/>
  <c r="E211" i="20"/>
  <c r="E212" i="20"/>
  <c r="E213" i="20"/>
  <c r="E214" i="20"/>
  <c r="E215" i="20"/>
  <c r="E216" i="20"/>
  <c r="E217" i="20"/>
  <c r="F217" i="20" s="1"/>
  <c r="E218" i="20"/>
  <c r="E219" i="20"/>
  <c r="E220" i="20"/>
  <c r="E221" i="20"/>
  <c r="E222" i="20"/>
  <c r="E223" i="20"/>
  <c r="E224" i="20"/>
  <c r="E225" i="20"/>
  <c r="F225" i="20" s="1"/>
  <c r="E226" i="20"/>
  <c r="E227" i="20"/>
  <c r="E228" i="20"/>
  <c r="E229" i="20"/>
  <c r="E230" i="20"/>
  <c r="E231" i="20"/>
  <c r="E232" i="20"/>
  <c r="E233" i="20"/>
  <c r="F233" i="20" s="1"/>
  <c r="E234" i="20"/>
  <c r="E235" i="20"/>
  <c r="E236" i="20"/>
  <c r="E237" i="20"/>
  <c r="E238" i="20"/>
  <c r="E239" i="20"/>
  <c r="E240" i="20"/>
  <c r="E241" i="20"/>
  <c r="F241" i="20" s="1"/>
  <c r="E242" i="20"/>
  <c r="E243" i="20"/>
  <c r="E244" i="20"/>
  <c r="E245" i="20"/>
  <c r="E246" i="20"/>
  <c r="E247" i="20"/>
  <c r="E248" i="20"/>
  <c r="E249" i="20"/>
  <c r="E250" i="20"/>
  <c r="E251" i="20"/>
  <c r="E252" i="20"/>
  <c r="E253" i="20"/>
  <c r="E254" i="20"/>
  <c r="E255" i="20"/>
  <c r="E256" i="20"/>
  <c r="E257" i="20"/>
  <c r="F257" i="20" s="1"/>
  <c r="E258" i="20"/>
  <c r="E259" i="20"/>
  <c r="E260" i="20"/>
  <c r="E261" i="20"/>
  <c r="E262" i="20"/>
  <c r="E263" i="20"/>
  <c r="E264" i="20"/>
  <c r="E265" i="20"/>
  <c r="F265" i="20" s="1"/>
  <c r="E266" i="20"/>
  <c r="E267" i="20"/>
  <c r="E268" i="20"/>
  <c r="E269" i="20"/>
  <c r="E270" i="20"/>
  <c r="E271" i="20"/>
  <c r="E272" i="20"/>
  <c r="E273" i="20"/>
  <c r="F273" i="20" s="1"/>
  <c r="E274" i="20"/>
  <c r="E275" i="20"/>
  <c r="E276" i="20"/>
  <c r="E277" i="20"/>
  <c r="E278" i="20"/>
  <c r="E279" i="20"/>
  <c r="E280" i="20"/>
  <c r="E281" i="20"/>
  <c r="F281" i="20" s="1"/>
  <c r="E282" i="20"/>
  <c r="E283" i="20"/>
  <c r="E284" i="20"/>
  <c r="E285" i="20"/>
  <c r="E286" i="20"/>
  <c r="E287" i="20"/>
  <c r="E288" i="20"/>
  <c r="E289" i="20"/>
  <c r="F289" i="20" s="1"/>
  <c r="E290" i="20"/>
  <c r="E291" i="20"/>
  <c r="E292" i="20"/>
  <c r="E293" i="20"/>
  <c r="E294" i="20"/>
  <c r="E295" i="20"/>
  <c r="E296" i="20"/>
  <c r="E297" i="20"/>
  <c r="F297" i="20" s="1"/>
  <c r="E298" i="20"/>
  <c r="E299" i="20"/>
  <c r="E300" i="20"/>
  <c r="E301" i="20"/>
  <c r="E302" i="20"/>
  <c r="E303" i="20"/>
  <c r="E304" i="20"/>
  <c r="E305" i="20"/>
  <c r="F305" i="20" s="1"/>
  <c r="E306" i="20"/>
  <c r="E307" i="20"/>
  <c r="E308" i="20"/>
  <c r="E309" i="20"/>
  <c r="E310" i="20"/>
  <c r="E311" i="20"/>
  <c r="E312" i="20"/>
  <c r="E313" i="20"/>
  <c r="F313" i="20" s="1"/>
  <c r="E314" i="20"/>
  <c r="E315" i="20"/>
  <c r="E316" i="20"/>
  <c r="E317" i="20"/>
  <c r="E318" i="20"/>
  <c r="E319" i="20"/>
  <c r="E320" i="20"/>
  <c r="E321" i="20"/>
  <c r="E322" i="20"/>
  <c r="E323" i="20"/>
  <c r="E324" i="20"/>
  <c r="E325" i="20"/>
  <c r="E326" i="20"/>
  <c r="E327" i="20"/>
  <c r="E328" i="20"/>
  <c r="E329" i="20"/>
  <c r="F329" i="20" s="1"/>
  <c r="E330" i="20"/>
  <c r="E331" i="20"/>
  <c r="E332" i="20"/>
  <c r="E333" i="20"/>
  <c r="E334" i="20"/>
  <c r="E335" i="20"/>
  <c r="E336" i="20"/>
  <c r="E337" i="20"/>
  <c r="E338" i="20"/>
  <c r="E339" i="20"/>
  <c r="E340" i="20"/>
  <c r="E341" i="20"/>
  <c r="E342" i="20"/>
  <c r="E343" i="20"/>
  <c r="E344" i="20"/>
  <c r="E345" i="20"/>
  <c r="F345" i="20" s="1"/>
  <c r="E346" i="20"/>
  <c r="E347" i="20"/>
  <c r="E348" i="20"/>
  <c r="E349" i="20"/>
  <c r="E350" i="20"/>
  <c r="E351" i="20"/>
  <c r="E352" i="20"/>
  <c r="E353" i="20"/>
  <c r="F353" i="20" s="1"/>
  <c r="E354" i="20"/>
  <c r="E355" i="20"/>
  <c r="E356" i="20"/>
  <c r="E357" i="20"/>
  <c r="E358" i="20"/>
  <c r="E359" i="20"/>
  <c r="E360" i="20"/>
  <c r="E361" i="20"/>
  <c r="E362" i="20"/>
  <c r="E363" i="20"/>
  <c r="E364" i="20"/>
  <c r="E365" i="20"/>
  <c r="E366" i="20"/>
  <c r="E367" i="20"/>
  <c r="E368" i="20"/>
  <c r="E369" i="20"/>
  <c r="F369" i="20" s="1"/>
  <c r="E370" i="20"/>
  <c r="E371" i="20"/>
  <c r="E372" i="20"/>
  <c r="E373" i="20"/>
  <c r="E374" i="20"/>
  <c r="E375" i="20"/>
  <c r="E376" i="20"/>
  <c r="E377" i="20"/>
  <c r="E378" i="20"/>
  <c r="E379" i="20"/>
  <c r="E380" i="20"/>
  <c r="E381" i="20"/>
  <c r="E382" i="20"/>
  <c r="E383" i="20"/>
  <c r="E384" i="20"/>
  <c r="E385" i="20"/>
  <c r="F385" i="20" s="1"/>
  <c r="E386" i="20"/>
  <c r="E387" i="20"/>
  <c r="E388" i="20"/>
  <c r="E389" i="20"/>
  <c r="E390" i="20"/>
  <c r="E391" i="20"/>
  <c r="E392" i="20"/>
  <c r="E393" i="20"/>
  <c r="F393" i="20" s="1"/>
  <c r="E394" i="20"/>
  <c r="E395" i="20"/>
  <c r="E396" i="20"/>
  <c r="E397" i="20"/>
  <c r="E398" i="20"/>
  <c r="E399" i="20"/>
  <c r="E400" i="20"/>
  <c r="E401" i="20"/>
  <c r="F401" i="20" s="1"/>
  <c r="E402" i="20"/>
  <c r="E403" i="20"/>
  <c r="E404" i="20"/>
  <c r="E2" i="20"/>
  <c r="A3" i="20"/>
  <c r="A4" i="20"/>
  <c r="A5" i="20"/>
  <c r="A6" i="20"/>
  <c r="A7" i="20"/>
  <c r="A8" i="20"/>
  <c r="A9" i="20"/>
  <c r="B9" i="20" s="1"/>
  <c r="A10" i="20"/>
  <c r="B10" i="20" s="1"/>
  <c r="A11" i="20"/>
  <c r="A12" i="20"/>
  <c r="A13" i="20"/>
  <c r="A14" i="20"/>
  <c r="A15" i="20"/>
  <c r="A16" i="20"/>
  <c r="A17" i="20"/>
  <c r="A18" i="20"/>
  <c r="B18" i="20" s="1"/>
  <c r="A19" i="20"/>
  <c r="A20" i="20"/>
  <c r="A21" i="20"/>
  <c r="A22" i="20"/>
  <c r="A23" i="20"/>
  <c r="A24" i="20"/>
  <c r="A25" i="20"/>
  <c r="B25" i="20" s="1"/>
  <c r="A26" i="20"/>
  <c r="B26" i="20" s="1"/>
  <c r="A27" i="20"/>
  <c r="A28" i="20"/>
  <c r="A29" i="20"/>
  <c r="A30" i="20"/>
  <c r="A31" i="20"/>
  <c r="A32" i="20"/>
  <c r="A33" i="20"/>
  <c r="B33" i="20" s="1"/>
  <c r="A34" i="20"/>
  <c r="B34" i="20" s="1"/>
  <c r="A35" i="20"/>
  <c r="A36" i="20"/>
  <c r="A37" i="20"/>
  <c r="A38" i="20"/>
  <c r="A39" i="20"/>
  <c r="A40" i="20"/>
  <c r="A41" i="20"/>
  <c r="A42" i="20"/>
  <c r="B42" i="20" s="1"/>
  <c r="A43" i="20"/>
  <c r="A44" i="20"/>
  <c r="A45" i="20"/>
  <c r="A46" i="20"/>
  <c r="A47" i="20"/>
  <c r="A48" i="20"/>
  <c r="A49" i="20"/>
  <c r="B49" i="20" s="1"/>
  <c r="A50" i="20"/>
  <c r="B50" i="20" s="1"/>
  <c r="A51" i="20"/>
  <c r="A52" i="20"/>
  <c r="A53" i="20"/>
  <c r="A54" i="20"/>
  <c r="A55" i="20"/>
  <c r="A56" i="20"/>
  <c r="A57" i="20"/>
  <c r="B57" i="20" s="1"/>
  <c r="A58" i="20"/>
  <c r="B58" i="20" s="1"/>
  <c r="A59" i="20"/>
  <c r="A60" i="20"/>
  <c r="A61" i="20"/>
  <c r="A62" i="20"/>
  <c r="A63" i="20"/>
  <c r="A64" i="20"/>
  <c r="A65" i="20"/>
  <c r="B65" i="20" s="1"/>
  <c r="A66" i="20"/>
  <c r="B66" i="20" s="1"/>
  <c r="A67" i="20"/>
  <c r="A68" i="20"/>
  <c r="A69" i="20"/>
  <c r="A70" i="20"/>
  <c r="A71" i="20"/>
  <c r="A72" i="20"/>
  <c r="A73" i="20"/>
  <c r="B73" i="20" s="1"/>
  <c r="A74" i="20"/>
  <c r="B74" i="20" s="1"/>
  <c r="A75" i="20"/>
  <c r="A76" i="20"/>
  <c r="A77" i="20"/>
  <c r="A78" i="20"/>
  <c r="A79" i="20"/>
  <c r="A80" i="20"/>
  <c r="A81" i="20"/>
  <c r="A82" i="20"/>
  <c r="B82" i="20" s="1"/>
  <c r="A83" i="20"/>
  <c r="A84" i="20"/>
  <c r="A85" i="20"/>
  <c r="A86" i="20"/>
  <c r="A87" i="20"/>
  <c r="A88" i="20"/>
  <c r="A89" i="20"/>
  <c r="B89" i="20" s="1"/>
  <c r="A90" i="20"/>
  <c r="B90" i="20" s="1"/>
  <c r="A91" i="20"/>
  <c r="A92" i="20"/>
  <c r="A93" i="20"/>
  <c r="A94" i="20"/>
  <c r="A95" i="20"/>
  <c r="A96" i="20"/>
  <c r="A97" i="20"/>
  <c r="B97" i="20" s="1"/>
  <c r="A98" i="20"/>
  <c r="B98" i="20" s="1"/>
  <c r="A99" i="20"/>
  <c r="A100" i="20"/>
  <c r="A101" i="20"/>
  <c r="A102" i="20"/>
  <c r="A103" i="20"/>
  <c r="A104" i="20"/>
  <c r="A105" i="20"/>
  <c r="B105" i="20" s="1"/>
  <c r="A106" i="20"/>
  <c r="B106" i="20" s="1"/>
  <c r="A107" i="20"/>
  <c r="A108" i="20"/>
  <c r="A109" i="20"/>
  <c r="A110" i="20"/>
  <c r="A111" i="20"/>
  <c r="A112" i="20"/>
  <c r="A113" i="20"/>
  <c r="A114" i="20"/>
  <c r="A115" i="20"/>
  <c r="A116" i="20"/>
  <c r="A117" i="20"/>
  <c r="A118" i="20"/>
  <c r="A119" i="20"/>
  <c r="A120" i="20"/>
  <c r="A121" i="20"/>
  <c r="B121" i="20" s="1"/>
  <c r="A122" i="20"/>
  <c r="B122" i="20" s="1"/>
  <c r="A123" i="20"/>
  <c r="A124" i="20"/>
  <c r="A125" i="20"/>
  <c r="A126" i="20"/>
  <c r="A127" i="20"/>
  <c r="A128" i="20"/>
  <c r="A129" i="20"/>
  <c r="A130" i="20"/>
  <c r="B130" i="20" s="1"/>
  <c r="A131" i="20"/>
  <c r="A132" i="20"/>
  <c r="A133" i="20"/>
  <c r="A134" i="20"/>
  <c r="A135" i="20"/>
  <c r="A136" i="20"/>
  <c r="A137" i="20"/>
  <c r="B137" i="20" s="1"/>
  <c r="A138" i="20"/>
  <c r="B138" i="20" s="1"/>
  <c r="A139" i="20"/>
  <c r="A140" i="20"/>
  <c r="A141" i="20"/>
  <c r="A142" i="20"/>
  <c r="A143" i="20"/>
  <c r="A144" i="20"/>
  <c r="A145" i="20"/>
  <c r="B145" i="20" s="1"/>
  <c r="A146" i="20"/>
  <c r="B146" i="20" s="1"/>
  <c r="A147" i="20"/>
  <c r="A148" i="20"/>
  <c r="A149" i="20"/>
  <c r="A150" i="20"/>
  <c r="A151" i="20"/>
  <c r="A152" i="20"/>
  <c r="A153" i="20"/>
  <c r="B153" i="20" s="1"/>
  <c r="A154" i="20"/>
  <c r="B154" i="20" s="1"/>
  <c r="A155" i="20"/>
  <c r="A156" i="20"/>
  <c r="A157" i="20"/>
  <c r="A158" i="20"/>
  <c r="A159" i="20"/>
  <c r="A160" i="20"/>
  <c r="A161" i="20"/>
  <c r="A162" i="20"/>
  <c r="B162" i="20" s="1"/>
  <c r="A163" i="20"/>
  <c r="A164" i="20"/>
  <c r="A165" i="20"/>
  <c r="A166" i="20"/>
  <c r="A167" i="20"/>
  <c r="A168" i="20"/>
  <c r="A169" i="20"/>
  <c r="A170" i="20"/>
  <c r="B170" i="20" s="1"/>
  <c r="A171" i="20"/>
  <c r="A172" i="20"/>
  <c r="A173" i="20"/>
  <c r="A174" i="20"/>
  <c r="A175" i="20"/>
  <c r="A176" i="20"/>
  <c r="A177" i="20"/>
  <c r="B177" i="20" s="1"/>
  <c r="A178" i="20"/>
  <c r="B178" i="20" s="1"/>
  <c r="A179" i="20"/>
  <c r="A180" i="20"/>
  <c r="A181" i="20"/>
  <c r="A182" i="20"/>
  <c r="A183" i="20"/>
  <c r="A184" i="20"/>
  <c r="A185" i="20"/>
  <c r="A186" i="20"/>
  <c r="B186" i="20" s="1"/>
  <c r="A187" i="20"/>
  <c r="A188" i="20"/>
  <c r="A189" i="20"/>
  <c r="A190" i="20"/>
  <c r="A191" i="20"/>
  <c r="A192" i="20"/>
  <c r="A193" i="20"/>
  <c r="B193" i="20" s="1"/>
  <c r="A194" i="20"/>
  <c r="B194" i="20" s="1"/>
  <c r="A195" i="20"/>
  <c r="A196" i="20"/>
  <c r="A197" i="20"/>
  <c r="A198" i="20"/>
  <c r="A199" i="20"/>
  <c r="A200" i="20"/>
  <c r="A201" i="20"/>
  <c r="B201" i="20" s="1"/>
  <c r="A202" i="20"/>
  <c r="B202" i="20" s="1"/>
  <c r="A203" i="20"/>
  <c r="A204" i="20"/>
  <c r="A205" i="20"/>
  <c r="A206" i="20"/>
  <c r="A207" i="20"/>
  <c r="A208" i="20"/>
  <c r="A209" i="20"/>
  <c r="B209" i="20" s="1"/>
  <c r="A210" i="20"/>
  <c r="B210" i="20" s="1"/>
  <c r="A211" i="20"/>
  <c r="A212" i="20"/>
  <c r="A213" i="20"/>
  <c r="A214" i="20"/>
  <c r="A215" i="20"/>
  <c r="A216" i="20"/>
  <c r="A217" i="20"/>
  <c r="B217" i="20" s="1"/>
  <c r="A218" i="20"/>
  <c r="B218" i="20" s="1"/>
  <c r="A219" i="20"/>
  <c r="A220" i="20"/>
  <c r="A221" i="20"/>
  <c r="A222" i="20"/>
  <c r="A223" i="20"/>
  <c r="A224" i="20"/>
  <c r="A225" i="20"/>
  <c r="A226" i="20"/>
  <c r="B226" i="20" s="1"/>
  <c r="A227" i="20"/>
  <c r="A228" i="20"/>
  <c r="A229" i="20"/>
  <c r="A230" i="20"/>
  <c r="A231" i="20"/>
  <c r="A232" i="20"/>
  <c r="A233" i="20"/>
  <c r="A234" i="20"/>
  <c r="B234" i="20" s="1"/>
  <c r="A235" i="20"/>
  <c r="A236" i="20"/>
  <c r="A237" i="20"/>
  <c r="A238" i="20"/>
  <c r="A239" i="20"/>
  <c r="A240" i="20"/>
  <c r="A241" i="20"/>
  <c r="B241" i="20" s="1"/>
  <c r="A242" i="20"/>
  <c r="B242" i="20" s="1"/>
  <c r="A243" i="20"/>
  <c r="A244" i="20"/>
  <c r="A245" i="20"/>
  <c r="A246" i="20"/>
  <c r="A247" i="20"/>
  <c r="A248" i="20"/>
  <c r="A249" i="20"/>
  <c r="B249" i="20" s="1"/>
  <c r="A250" i="20"/>
  <c r="B250" i="20" s="1"/>
  <c r="A251" i="20"/>
  <c r="A252" i="20"/>
  <c r="A253" i="20"/>
  <c r="A254" i="20"/>
  <c r="A255" i="20"/>
  <c r="A256" i="20"/>
  <c r="A257" i="20"/>
  <c r="B257" i="20" s="1"/>
  <c r="A258" i="20"/>
  <c r="B258" i="20" s="1"/>
  <c r="A259" i="20"/>
  <c r="A260" i="20"/>
  <c r="A261" i="20"/>
  <c r="A262" i="20"/>
  <c r="A263" i="20"/>
  <c r="A264" i="20"/>
  <c r="A265" i="20"/>
  <c r="B265" i="20" s="1"/>
  <c r="A266" i="20"/>
  <c r="B266" i="20" s="1"/>
  <c r="A267" i="20"/>
  <c r="A268" i="20"/>
  <c r="A269" i="20"/>
  <c r="A270" i="20"/>
  <c r="A271" i="20"/>
  <c r="A272" i="20"/>
  <c r="A273" i="20"/>
  <c r="B273" i="20" s="1"/>
  <c r="A274" i="20"/>
  <c r="B274" i="20" s="1"/>
  <c r="A275" i="20"/>
  <c r="A276" i="20"/>
  <c r="A277" i="20"/>
  <c r="A278" i="20"/>
  <c r="A279" i="20"/>
  <c r="A280" i="20"/>
  <c r="A281" i="20"/>
  <c r="A282" i="20"/>
  <c r="A283" i="20"/>
  <c r="A284" i="20"/>
  <c r="A285" i="20"/>
  <c r="A286" i="20"/>
  <c r="A287" i="20"/>
  <c r="A288" i="20"/>
  <c r="A289" i="20"/>
  <c r="B289" i="20" s="1"/>
  <c r="A290" i="20"/>
  <c r="B290" i="20" s="1"/>
  <c r="A291" i="20"/>
  <c r="A292" i="20"/>
  <c r="A293" i="20"/>
  <c r="A294" i="20"/>
  <c r="A295" i="20"/>
  <c r="A296" i="20"/>
  <c r="A297" i="20"/>
  <c r="B297" i="20" s="1"/>
  <c r="A298" i="20"/>
  <c r="B298" i="20" s="1"/>
  <c r="A299" i="20"/>
  <c r="A300" i="20"/>
  <c r="A301" i="20"/>
  <c r="A302" i="20"/>
  <c r="A303" i="20"/>
  <c r="A304" i="20"/>
  <c r="A305" i="20"/>
  <c r="A306" i="20"/>
  <c r="B306" i="20" s="1"/>
  <c r="A307" i="20"/>
  <c r="A308" i="20"/>
  <c r="A309" i="20"/>
  <c r="A310" i="20"/>
  <c r="A311" i="20"/>
  <c r="A312" i="20"/>
  <c r="A313" i="20"/>
  <c r="B313" i="20" s="1"/>
  <c r="A314" i="20"/>
  <c r="B314" i="20" s="1"/>
  <c r="A315" i="20"/>
  <c r="A316" i="20"/>
  <c r="A317" i="20"/>
  <c r="A318" i="20"/>
  <c r="A319" i="20"/>
  <c r="A320" i="20"/>
  <c r="A321" i="20"/>
  <c r="B321" i="20" s="1"/>
  <c r="A322" i="20"/>
  <c r="B322" i="20" s="1"/>
  <c r="A323" i="20"/>
  <c r="A324" i="20"/>
  <c r="A325" i="20"/>
  <c r="A326" i="20"/>
  <c r="A327" i="20"/>
  <c r="A328" i="20"/>
  <c r="A329" i="20"/>
  <c r="B329" i="20" s="1"/>
  <c r="A330" i="20"/>
  <c r="B330" i="20" s="1"/>
  <c r="A331" i="20"/>
  <c r="A332" i="20"/>
  <c r="A333" i="20"/>
  <c r="A334" i="20"/>
  <c r="A335" i="20"/>
  <c r="A336" i="20"/>
  <c r="A337" i="20"/>
  <c r="B337" i="20" s="1"/>
  <c r="A338" i="20"/>
  <c r="B338" i="20" s="1"/>
  <c r="A339" i="20"/>
  <c r="A340" i="20"/>
  <c r="A341" i="20"/>
  <c r="A342" i="20"/>
  <c r="A343" i="20"/>
  <c r="A344" i="20"/>
  <c r="A345" i="20"/>
  <c r="B345" i="20" s="1"/>
  <c r="A346" i="20"/>
  <c r="A347" i="20"/>
  <c r="A348" i="20"/>
  <c r="A349" i="20"/>
  <c r="A350" i="20"/>
  <c r="A351" i="20"/>
  <c r="A352" i="20"/>
  <c r="A353" i="20"/>
  <c r="B353" i="20" s="1"/>
  <c r="A354" i="20"/>
  <c r="B354" i="20" s="1"/>
  <c r="A355" i="20"/>
  <c r="A356" i="20"/>
  <c r="A357" i="20"/>
  <c r="A358" i="20"/>
  <c r="A359" i="20"/>
  <c r="A360" i="20"/>
  <c r="A361" i="20"/>
  <c r="A362" i="20"/>
  <c r="B362" i="20" s="1"/>
  <c r="A363" i="20"/>
  <c r="A364" i="20"/>
  <c r="A365" i="20"/>
  <c r="A366" i="20"/>
  <c r="A367" i="20"/>
  <c r="A368" i="20"/>
  <c r="A369" i="20"/>
  <c r="B369" i="20" s="1"/>
  <c r="A370" i="20"/>
  <c r="B370" i="20" s="1"/>
  <c r="A371" i="20"/>
  <c r="A372" i="20"/>
  <c r="A373" i="20"/>
  <c r="A374" i="20"/>
  <c r="A375" i="20"/>
  <c r="A376" i="20"/>
  <c r="A377" i="20"/>
  <c r="B377" i="20" s="1"/>
  <c r="A378" i="20"/>
  <c r="B378" i="20" s="1"/>
  <c r="A379" i="20"/>
  <c r="A380" i="20"/>
  <c r="A381" i="20"/>
  <c r="A382" i="20"/>
  <c r="A383" i="20"/>
  <c r="A384" i="20"/>
  <c r="A385" i="20"/>
  <c r="A386" i="20"/>
  <c r="B386" i="20" s="1"/>
  <c r="A387" i="20"/>
  <c r="A388" i="20"/>
  <c r="A389" i="20"/>
  <c r="A390" i="20"/>
  <c r="A391" i="20"/>
  <c r="A392" i="20"/>
  <c r="A393" i="20"/>
  <c r="B393" i="20" s="1"/>
  <c r="A394" i="20"/>
  <c r="B394" i="20" s="1"/>
  <c r="A395" i="20"/>
  <c r="A396" i="20"/>
  <c r="A397" i="20"/>
  <c r="A398" i="20"/>
  <c r="A399" i="20"/>
  <c r="A400" i="20"/>
  <c r="A401" i="20"/>
  <c r="B401" i="20" s="1"/>
  <c r="A402" i="20"/>
  <c r="B402" i="20" s="1"/>
  <c r="A403" i="20"/>
  <c r="A404" i="20"/>
  <c r="A2" i="20"/>
  <c r="AQ404" i="20"/>
  <c r="AP404" i="20"/>
  <c r="AI404" i="20"/>
  <c r="AJ404" i="20" s="1"/>
  <c r="AH404" i="20"/>
  <c r="AE404" i="20"/>
  <c r="AF404" i="20" s="1"/>
  <c r="AD404" i="20"/>
  <c r="AA404" i="20"/>
  <c r="AB404" i="20" s="1"/>
  <c r="Z404" i="20"/>
  <c r="W404" i="20"/>
  <c r="X404" i="20" s="1"/>
  <c r="V404" i="20"/>
  <c r="R404" i="20"/>
  <c r="Q404" i="20"/>
  <c r="P404" i="20"/>
  <c r="M404" i="20"/>
  <c r="N404" i="20" s="1"/>
  <c r="L404" i="20"/>
  <c r="S404" i="20" s="1"/>
  <c r="G404" i="20"/>
  <c r="H404" i="20" s="1"/>
  <c r="F404" i="20"/>
  <c r="C404" i="20"/>
  <c r="D404" i="20" s="1"/>
  <c r="J404" i="20" s="1"/>
  <c r="B404" i="20"/>
  <c r="I404" i="20" s="1"/>
  <c r="AQ403" i="20"/>
  <c r="AS403" i="20" s="1"/>
  <c r="AP403" i="20"/>
  <c r="AI403" i="20"/>
  <c r="AJ403" i="20" s="1"/>
  <c r="AH403" i="20"/>
  <c r="AE403" i="20"/>
  <c r="AF403" i="20" s="1"/>
  <c r="AD403" i="20"/>
  <c r="AA403" i="20"/>
  <c r="AB403" i="20" s="1"/>
  <c r="Z403" i="20"/>
  <c r="W403" i="20"/>
  <c r="X403" i="20" s="1"/>
  <c r="V403" i="20"/>
  <c r="Q403" i="20"/>
  <c r="R403" i="20" s="1"/>
  <c r="P403" i="20"/>
  <c r="N403" i="20"/>
  <c r="T403" i="20" s="1"/>
  <c r="M403" i="20"/>
  <c r="L403" i="20"/>
  <c r="H403" i="20"/>
  <c r="G403" i="20"/>
  <c r="F403" i="20"/>
  <c r="C403" i="20"/>
  <c r="D403" i="20" s="1"/>
  <c r="B403" i="20"/>
  <c r="AS402" i="20"/>
  <c r="AQ402" i="20"/>
  <c r="AR402" i="20" s="1"/>
  <c r="AP402" i="20"/>
  <c r="AI402" i="20"/>
  <c r="AJ402" i="20" s="1"/>
  <c r="AE402" i="20"/>
  <c r="AF402" i="20" s="1"/>
  <c r="AD402" i="20"/>
  <c r="AB402" i="20"/>
  <c r="AA402" i="20"/>
  <c r="Z402" i="20"/>
  <c r="W402" i="20"/>
  <c r="X402" i="20" s="1"/>
  <c r="Q402" i="20"/>
  <c r="R402" i="20" s="1"/>
  <c r="P402" i="20"/>
  <c r="M402" i="20"/>
  <c r="N402" i="20" s="1"/>
  <c r="T402" i="20" s="1"/>
  <c r="L402" i="20"/>
  <c r="G402" i="20"/>
  <c r="H402" i="20" s="1"/>
  <c r="F402" i="20"/>
  <c r="D402" i="20"/>
  <c r="C402" i="20"/>
  <c r="AQ401" i="20"/>
  <c r="AR401" i="20" s="1"/>
  <c r="AS401" i="20"/>
  <c r="AJ401" i="20"/>
  <c r="AI401" i="20"/>
  <c r="AH401" i="20"/>
  <c r="AF401" i="20"/>
  <c r="AE401" i="20"/>
  <c r="AA401" i="20"/>
  <c r="AB401" i="20" s="1"/>
  <c r="X401" i="20"/>
  <c r="W401" i="20"/>
  <c r="V401" i="20"/>
  <c r="Q401" i="20"/>
  <c r="R401" i="20" s="1"/>
  <c r="M401" i="20"/>
  <c r="N401" i="20" s="1"/>
  <c r="L401" i="20"/>
  <c r="G401" i="20"/>
  <c r="H401" i="20" s="1"/>
  <c r="J401" i="20" s="1"/>
  <c r="D401" i="20"/>
  <c r="C401" i="20"/>
  <c r="AR400" i="20"/>
  <c r="AQ400" i="20"/>
  <c r="AS400" i="20" s="1"/>
  <c r="AI400" i="20"/>
  <c r="AJ400" i="20" s="1"/>
  <c r="AH400" i="20"/>
  <c r="AE400" i="20"/>
  <c r="AF400" i="20" s="1"/>
  <c r="AA400" i="20"/>
  <c r="AB400" i="20" s="1"/>
  <c r="Z400" i="20"/>
  <c r="W400" i="20"/>
  <c r="X400" i="20" s="1"/>
  <c r="V400" i="20"/>
  <c r="Q400" i="20"/>
  <c r="R400" i="20" s="1"/>
  <c r="P400" i="20"/>
  <c r="N400" i="20"/>
  <c r="M400" i="20"/>
  <c r="L400" i="20"/>
  <c r="G400" i="20"/>
  <c r="H400" i="20" s="1"/>
  <c r="F400" i="20"/>
  <c r="C400" i="20"/>
  <c r="D400" i="20" s="1"/>
  <c r="B400" i="20"/>
  <c r="AQ399" i="20"/>
  <c r="AS399" i="20" s="1"/>
  <c r="AP399" i="20"/>
  <c r="AI399" i="20"/>
  <c r="AJ399" i="20" s="1"/>
  <c r="AH399" i="20"/>
  <c r="AF399" i="20"/>
  <c r="AE399" i="20"/>
  <c r="AD399" i="20"/>
  <c r="AA399" i="20"/>
  <c r="AB399" i="20" s="1"/>
  <c r="Z399" i="20"/>
  <c r="X399" i="20"/>
  <c r="W399" i="20"/>
  <c r="V399" i="20"/>
  <c r="AK399" i="20" s="1"/>
  <c r="Q399" i="20"/>
  <c r="R399" i="20" s="1"/>
  <c r="P399" i="20"/>
  <c r="N399" i="20"/>
  <c r="M399" i="20"/>
  <c r="L399" i="20"/>
  <c r="S399" i="20" s="1"/>
  <c r="H399" i="20"/>
  <c r="G399" i="20"/>
  <c r="F399" i="20"/>
  <c r="C399" i="20"/>
  <c r="D399" i="20" s="1"/>
  <c r="J399" i="20" s="1"/>
  <c r="B399" i="20"/>
  <c r="I399" i="20" s="1"/>
  <c r="AQ398" i="20"/>
  <c r="AP398" i="20"/>
  <c r="AI398" i="20"/>
  <c r="AJ398" i="20" s="1"/>
  <c r="AH398" i="20"/>
  <c r="AF398" i="20"/>
  <c r="AE398" i="20"/>
  <c r="AD398" i="20"/>
  <c r="AA398" i="20"/>
  <c r="AB398" i="20" s="1"/>
  <c r="Z398" i="20"/>
  <c r="X398" i="20"/>
  <c r="W398" i="20"/>
  <c r="V398" i="20"/>
  <c r="Q398" i="20"/>
  <c r="R398" i="20" s="1"/>
  <c r="P398" i="20"/>
  <c r="M398" i="20"/>
  <c r="N398" i="20" s="1"/>
  <c r="L398" i="20"/>
  <c r="H398" i="20"/>
  <c r="G398" i="20"/>
  <c r="F398" i="20"/>
  <c r="C398" i="20"/>
  <c r="D398" i="20" s="1"/>
  <c r="B398" i="20"/>
  <c r="I398" i="20" s="1"/>
  <c r="AQ397" i="20"/>
  <c r="AP397" i="20"/>
  <c r="AI397" i="20"/>
  <c r="AJ397" i="20" s="1"/>
  <c r="AH397" i="20"/>
  <c r="AE397" i="20"/>
  <c r="AF397" i="20" s="1"/>
  <c r="AD397" i="20"/>
  <c r="AB397" i="20"/>
  <c r="AA397" i="20"/>
  <c r="Z397" i="20"/>
  <c r="X397" i="20"/>
  <c r="AL397" i="20" s="1"/>
  <c r="W397" i="20"/>
  <c r="V397" i="20"/>
  <c r="Q397" i="20"/>
  <c r="R397" i="20" s="1"/>
  <c r="P397" i="20"/>
  <c r="N397" i="20"/>
  <c r="M397" i="20"/>
  <c r="L397" i="20"/>
  <c r="H397" i="20"/>
  <c r="G397" i="20"/>
  <c r="F397" i="20"/>
  <c r="D397" i="20"/>
  <c r="J397" i="20" s="1"/>
  <c r="C397" i="20"/>
  <c r="B397" i="20"/>
  <c r="I397" i="20" s="1"/>
  <c r="AQ396" i="20"/>
  <c r="AP396" i="20"/>
  <c r="AI396" i="20"/>
  <c r="AJ396" i="20" s="1"/>
  <c r="AH396" i="20"/>
  <c r="AE396" i="20"/>
  <c r="AF396" i="20" s="1"/>
  <c r="AD396" i="20"/>
  <c r="AA396" i="20"/>
  <c r="AB396" i="20" s="1"/>
  <c r="Z396" i="20"/>
  <c r="W396" i="20"/>
  <c r="X396" i="20" s="1"/>
  <c r="V396" i="20"/>
  <c r="R396" i="20"/>
  <c r="Q396" i="20"/>
  <c r="P396" i="20"/>
  <c r="M396" i="20"/>
  <c r="N396" i="20" s="1"/>
  <c r="L396" i="20"/>
  <c r="S396" i="20" s="1"/>
  <c r="G396" i="20"/>
  <c r="H396" i="20" s="1"/>
  <c r="F396" i="20"/>
  <c r="C396" i="20"/>
  <c r="D396" i="20" s="1"/>
  <c r="J396" i="20" s="1"/>
  <c r="B396" i="20"/>
  <c r="I396" i="20" s="1"/>
  <c r="AQ395" i="20"/>
  <c r="AR395" i="20" s="1"/>
  <c r="AP395" i="20"/>
  <c r="AS395" i="20"/>
  <c r="AJ395" i="20"/>
  <c r="AI395" i="20"/>
  <c r="AH395" i="20"/>
  <c r="AE395" i="20"/>
  <c r="AF395" i="20" s="1"/>
  <c r="AD395" i="20"/>
  <c r="AA395" i="20"/>
  <c r="AB395" i="20" s="1"/>
  <c r="Z395" i="20"/>
  <c r="W395" i="20"/>
  <c r="X395" i="20" s="1"/>
  <c r="V395" i="20"/>
  <c r="R395" i="20"/>
  <c r="Q395" i="20"/>
  <c r="P395" i="20"/>
  <c r="M395" i="20"/>
  <c r="N395" i="20" s="1"/>
  <c r="T395" i="20" s="1"/>
  <c r="L395" i="20"/>
  <c r="G395" i="20"/>
  <c r="H395" i="20" s="1"/>
  <c r="F395" i="20"/>
  <c r="D395" i="20"/>
  <c r="C395" i="20"/>
  <c r="B395" i="20"/>
  <c r="AQ394" i="20"/>
  <c r="AP394" i="20"/>
  <c r="AI394" i="20"/>
  <c r="AJ394" i="20" s="1"/>
  <c r="AE394" i="20"/>
  <c r="AF394" i="20" s="1"/>
  <c r="AD394" i="20"/>
  <c r="AA394" i="20"/>
  <c r="AB394" i="20" s="1"/>
  <c r="Z394" i="20"/>
  <c r="W394" i="20"/>
  <c r="X394" i="20" s="1"/>
  <c r="Q394" i="20"/>
  <c r="R394" i="20" s="1"/>
  <c r="P394" i="20"/>
  <c r="M394" i="20"/>
  <c r="N394" i="20" s="1"/>
  <c r="G394" i="20"/>
  <c r="H394" i="20" s="1"/>
  <c r="F394" i="20"/>
  <c r="C394" i="20"/>
  <c r="D394" i="20" s="1"/>
  <c r="AR393" i="20"/>
  <c r="AQ393" i="20"/>
  <c r="AJ393" i="20"/>
  <c r="AI393" i="20"/>
  <c r="AH393" i="20"/>
  <c r="AF393" i="20"/>
  <c r="AE393" i="20"/>
  <c r="AB393" i="20"/>
  <c r="AA393" i="20"/>
  <c r="X393" i="20"/>
  <c r="AL393" i="20" s="1"/>
  <c r="W393" i="20"/>
  <c r="V393" i="20"/>
  <c r="Q393" i="20"/>
  <c r="R393" i="20" s="1"/>
  <c r="N393" i="20"/>
  <c r="M393" i="20"/>
  <c r="L393" i="20"/>
  <c r="H393" i="20"/>
  <c r="G393" i="20"/>
  <c r="C393" i="20"/>
  <c r="D393" i="20" s="1"/>
  <c r="J393" i="20" s="1"/>
  <c r="AQ392" i="20"/>
  <c r="AS392" i="20" s="1"/>
  <c r="AP392" i="20"/>
  <c r="AI392" i="20"/>
  <c r="AJ392" i="20" s="1"/>
  <c r="AH392" i="20"/>
  <c r="AE392" i="20"/>
  <c r="AF392" i="20" s="1"/>
  <c r="AA392" i="20"/>
  <c r="AB392" i="20" s="1"/>
  <c r="Z392" i="20"/>
  <c r="W392" i="20"/>
  <c r="X392" i="20" s="1"/>
  <c r="AL392" i="20" s="1"/>
  <c r="V392" i="20"/>
  <c r="Q392" i="20"/>
  <c r="R392" i="20" s="1"/>
  <c r="P392" i="20"/>
  <c r="M392" i="20"/>
  <c r="N392" i="20" s="1"/>
  <c r="L392" i="20"/>
  <c r="G392" i="20"/>
  <c r="H392" i="20" s="1"/>
  <c r="F392" i="20"/>
  <c r="C392" i="20"/>
  <c r="D392" i="20" s="1"/>
  <c r="J392" i="20" s="1"/>
  <c r="B392" i="20"/>
  <c r="I392" i="20" s="1"/>
  <c r="AR391" i="20"/>
  <c r="AQ391" i="20"/>
  <c r="AS391" i="20" s="1"/>
  <c r="AP391" i="20"/>
  <c r="AI391" i="20"/>
  <c r="AJ391" i="20" s="1"/>
  <c r="AH391" i="20"/>
  <c r="AF391" i="20"/>
  <c r="AE391" i="20"/>
  <c r="AD391" i="20"/>
  <c r="AA391" i="20"/>
  <c r="AB391" i="20" s="1"/>
  <c r="Z391" i="20"/>
  <c r="W391" i="20"/>
  <c r="X391" i="20" s="1"/>
  <c r="V391" i="20"/>
  <c r="T391" i="20"/>
  <c r="R391" i="20"/>
  <c r="Q391" i="20"/>
  <c r="P391" i="20"/>
  <c r="M391" i="20"/>
  <c r="N391" i="20" s="1"/>
  <c r="L391" i="20"/>
  <c r="S391" i="20" s="1"/>
  <c r="G391" i="20"/>
  <c r="H391" i="20" s="1"/>
  <c r="F391" i="20"/>
  <c r="C391" i="20"/>
  <c r="D391" i="20" s="1"/>
  <c r="J391" i="20" s="1"/>
  <c r="B391" i="20"/>
  <c r="AQ390" i="20"/>
  <c r="AR390" i="20" s="1"/>
  <c r="AI390" i="20"/>
  <c r="AJ390" i="20" s="1"/>
  <c r="AH390" i="20"/>
  <c r="AF390" i="20"/>
  <c r="AE390" i="20"/>
  <c r="AD390" i="20"/>
  <c r="AA390" i="20"/>
  <c r="AB390" i="20" s="1"/>
  <c r="Z390" i="20"/>
  <c r="W390" i="20"/>
  <c r="X390" i="20" s="1"/>
  <c r="AL390" i="20" s="1"/>
  <c r="V390" i="20"/>
  <c r="Q390" i="20"/>
  <c r="R390" i="20" s="1"/>
  <c r="P390" i="20"/>
  <c r="M390" i="20"/>
  <c r="N390" i="20" s="1"/>
  <c r="L390" i="20"/>
  <c r="S390" i="20" s="1"/>
  <c r="G390" i="20"/>
  <c r="H390" i="20" s="1"/>
  <c r="F390" i="20"/>
  <c r="I390" i="20" s="1"/>
  <c r="C390" i="20"/>
  <c r="D390" i="20" s="1"/>
  <c r="B390" i="20"/>
  <c r="AQ389" i="20"/>
  <c r="AS389" i="20" s="1"/>
  <c r="AP389" i="20"/>
  <c r="AI389" i="20"/>
  <c r="AJ389" i="20" s="1"/>
  <c r="AH389" i="20"/>
  <c r="AF389" i="20"/>
  <c r="AE389" i="20"/>
  <c r="AD389" i="20"/>
  <c r="AA389" i="20"/>
  <c r="AB389" i="20" s="1"/>
  <c r="Z389" i="20"/>
  <c r="W389" i="20"/>
  <c r="X389" i="20" s="1"/>
  <c r="AL389" i="20" s="1"/>
  <c r="V389" i="20"/>
  <c r="Q389" i="20"/>
  <c r="R389" i="20" s="1"/>
  <c r="P389" i="20"/>
  <c r="M389" i="20"/>
  <c r="N389" i="20" s="1"/>
  <c r="L389" i="20"/>
  <c r="S389" i="20" s="1"/>
  <c r="H389" i="20"/>
  <c r="J389" i="20" s="1"/>
  <c r="G389" i="20"/>
  <c r="F389" i="20"/>
  <c r="D389" i="20"/>
  <c r="C389" i="20"/>
  <c r="B389" i="20"/>
  <c r="AQ388" i="20"/>
  <c r="AP388" i="20"/>
  <c r="AI388" i="20"/>
  <c r="AJ388" i="20" s="1"/>
  <c r="AH388" i="20"/>
  <c r="AE388" i="20"/>
  <c r="AF388" i="20" s="1"/>
  <c r="AD388" i="20"/>
  <c r="AA388" i="20"/>
  <c r="AB388" i="20" s="1"/>
  <c r="Z388" i="20"/>
  <c r="W388" i="20"/>
  <c r="X388" i="20" s="1"/>
  <c r="V388" i="20"/>
  <c r="R388" i="20"/>
  <c r="Q388" i="20"/>
  <c r="P388" i="20"/>
  <c r="M388" i="20"/>
  <c r="N388" i="20" s="1"/>
  <c r="L388" i="20"/>
  <c r="G388" i="20"/>
  <c r="H388" i="20" s="1"/>
  <c r="F388" i="20"/>
  <c r="C388" i="20"/>
  <c r="D388" i="20" s="1"/>
  <c r="J388" i="20" s="1"/>
  <c r="B388" i="20"/>
  <c r="AR387" i="20"/>
  <c r="AQ387" i="20"/>
  <c r="AS387" i="20" s="1"/>
  <c r="AP387" i="20"/>
  <c r="AJ387" i="20"/>
  <c r="AI387" i="20"/>
  <c r="AH387" i="20"/>
  <c r="AE387" i="20"/>
  <c r="AF387" i="20" s="1"/>
  <c r="AD387" i="20"/>
  <c r="AA387" i="20"/>
  <c r="AB387" i="20" s="1"/>
  <c r="Z387" i="20"/>
  <c r="W387" i="20"/>
  <c r="X387" i="20" s="1"/>
  <c r="V387" i="20"/>
  <c r="R387" i="20"/>
  <c r="T387" i="20" s="1"/>
  <c r="Q387" i="20"/>
  <c r="P387" i="20"/>
  <c r="N387" i="20"/>
  <c r="M387" i="20"/>
  <c r="L387" i="20"/>
  <c r="G387" i="20"/>
  <c r="H387" i="20" s="1"/>
  <c r="F387" i="20"/>
  <c r="D387" i="20"/>
  <c r="C387" i="20"/>
  <c r="B387" i="20"/>
  <c r="I387" i="20" s="1"/>
  <c r="AQ386" i="20"/>
  <c r="AS386" i="20" s="1"/>
  <c r="AP386" i="20"/>
  <c r="AJ386" i="20"/>
  <c r="AI386" i="20"/>
  <c r="AE386" i="20"/>
  <c r="AF386" i="20" s="1"/>
  <c r="AD386" i="20"/>
  <c r="AB386" i="20"/>
  <c r="AA386" i="20"/>
  <c r="Z386" i="20"/>
  <c r="W386" i="20"/>
  <c r="X386" i="20" s="1"/>
  <c r="Q386" i="20"/>
  <c r="R386" i="20" s="1"/>
  <c r="P386" i="20"/>
  <c r="M386" i="20"/>
  <c r="N386" i="20" s="1"/>
  <c r="G386" i="20"/>
  <c r="H386" i="20" s="1"/>
  <c r="F386" i="20"/>
  <c r="C386" i="20"/>
  <c r="D386" i="20" s="1"/>
  <c r="AQ385" i="20"/>
  <c r="AR385" i="20" s="1"/>
  <c r="AJ385" i="20"/>
  <c r="AI385" i="20"/>
  <c r="AH385" i="20"/>
  <c r="AE385" i="20"/>
  <c r="AF385" i="20" s="1"/>
  <c r="AD385" i="20"/>
  <c r="AA385" i="20"/>
  <c r="AB385" i="20" s="1"/>
  <c r="AL385" i="20" s="1"/>
  <c r="X385" i="20"/>
  <c r="W385" i="20"/>
  <c r="V385" i="20"/>
  <c r="Q385" i="20"/>
  <c r="R385" i="20" s="1"/>
  <c r="N385" i="20"/>
  <c r="M385" i="20"/>
  <c r="L385" i="20"/>
  <c r="J385" i="20"/>
  <c r="H385" i="20"/>
  <c r="G385" i="20"/>
  <c r="C385" i="20"/>
  <c r="D385" i="20" s="1"/>
  <c r="B385" i="20"/>
  <c r="AQ384" i="20"/>
  <c r="AS384" i="20" s="1"/>
  <c r="AP384" i="20"/>
  <c r="AI384" i="20"/>
  <c r="AJ384" i="20" s="1"/>
  <c r="AH384" i="20"/>
  <c r="AE384" i="20"/>
  <c r="AF384" i="20" s="1"/>
  <c r="AA384" i="20"/>
  <c r="AB384" i="20" s="1"/>
  <c r="Z384" i="20"/>
  <c r="W384" i="20"/>
  <c r="X384" i="20" s="1"/>
  <c r="V384" i="20"/>
  <c r="Q384" i="20"/>
  <c r="R384" i="20" s="1"/>
  <c r="P384" i="20"/>
  <c r="N384" i="20"/>
  <c r="M384" i="20"/>
  <c r="L384" i="20"/>
  <c r="G384" i="20"/>
  <c r="H384" i="20" s="1"/>
  <c r="F384" i="20"/>
  <c r="C384" i="20"/>
  <c r="D384" i="20" s="1"/>
  <c r="B384" i="20"/>
  <c r="AR383" i="20"/>
  <c r="AQ383" i="20"/>
  <c r="AS383" i="20" s="1"/>
  <c r="AP383" i="20"/>
  <c r="AI383" i="20"/>
  <c r="AJ383" i="20" s="1"/>
  <c r="AH383" i="20"/>
  <c r="AE383" i="20"/>
  <c r="AF383" i="20" s="1"/>
  <c r="AD383" i="20"/>
  <c r="AA383" i="20"/>
  <c r="AB383" i="20" s="1"/>
  <c r="Z383" i="20"/>
  <c r="W383" i="20"/>
  <c r="X383" i="20" s="1"/>
  <c r="AL383" i="20" s="1"/>
  <c r="V383" i="20"/>
  <c r="AK383" i="20" s="1"/>
  <c r="Q383" i="20"/>
  <c r="R383" i="20" s="1"/>
  <c r="P383" i="20"/>
  <c r="N383" i="20"/>
  <c r="M383" i="20"/>
  <c r="L383" i="20"/>
  <c r="S383" i="20" s="1"/>
  <c r="G383" i="20"/>
  <c r="H383" i="20" s="1"/>
  <c r="F383" i="20"/>
  <c r="C383" i="20"/>
  <c r="D383" i="20" s="1"/>
  <c r="J383" i="20" s="1"/>
  <c r="B383" i="20"/>
  <c r="I383" i="20" s="1"/>
  <c r="AQ382" i="20"/>
  <c r="AR382" i="20" s="1"/>
  <c r="AI382" i="20"/>
  <c r="AJ382" i="20" s="1"/>
  <c r="AH382" i="20"/>
  <c r="AE382" i="20"/>
  <c r="AF382" i="20" s="1"/>
  <c r="AD382" i="20"/>
  <c r="AA382" i="20"/>
  <c r="AB382" i="20" s="1"/>
  <c r="Z382" i="20"/>
  <c r="X382" i="20"/>
  <c r="W382" i="20"/>
  <c r="V382" i="20"/>
  <c r="Q382" i="20"/>
  <c r="R382" i="20" s="1"/>
  <c r="P382" i="20"/>
  <c r="M382" i="20"/>
  <c r="N382" i="20" s="1"/>
  <c r="L382" i="20"/>
  <c r="I382" i="20"/>
  <c r="H382" i="20"/>
  <c r="G382" i="20"/>
  <c r="F382" i="20"/>
  <c r="C382" i="20"/>
  <c r="D382" i="20" s="1"/>
  <c r="B382" i="20"/>
  <c r="AQ381" i="20"/>
  <c r="AS381" i="20" s="1"/>
  <c r="AP381" i="20"/>
  <c r="AI381" i="20"/>
  <c r="AJ381" i="20" s="1"/>
  <c r="AH381" i="20"/>
  <c r="AE381" i="20"/>
  <c r="AF381" i="20" s="1"/>
  <c r="AD381" i="20"/>
  <c r="AB381" i="20"/>
  <c r="AA381" i="20"/>
  <c r="Z381" i="20"/>
  <c r="X381" i="20"/>
  <c r="W381" i="20"/>
  <c r="V381" i="20"/>
  <c r="Q381" i="20"/>
  <c r="R381" i="20" s="1"/>
  <c r="P381" i="20"/>
  <c r="N381" i="20"/>
  <c r="M381" i="20"/>
  <c r="L381" i="20"/>
  <c r="G381" i="20"/>
  <c r="H381" i="20" s="1"/>
  <c r="F381" i="20"/>
  <c r="C381" i="20"/>
  <c r="D381" i="20" s="1"/>
  <c r="B381" i="20"/>
  <c r="AQ380" i="20"/>
  <c r="AR380" i="20" s="1"/>
  <c r="AP380" i="20"/>
  <c r="AI380" i="20"/>
  <c r="AJ380" i="20" s="1"/>
  <c r="AH380" i="20"/>
  <c r="AE380" i="20"/>
  <c r="AF380" i="20" s="1"/>
  <c r="AD380" i="20"/>
  <c r="AA380" i="20"/>
  <c r="AB380" i="20" s="1"/>
  <c r="Z380" i="20"/>
  <c r="W380" i="20"/>
  <c r="X380" i="20" s="1"/>
  <c r="V380" i="20"/>
  <c r="AK380" i="20" s="1"/>
  <c r="Q380" i="20"/>
  <c r="R380" i="20" s="1"/>
  <c r="P380" i="20"/>
  <c r="M380" i="20"/>
  <c r="N380" i="20" s="1"/>
  <c r="T380" i="20" s="1"/>
  <c r="L380" i="20"/>
  <c r="S380" i="20" s="1"/>
  <c r="G380" i="20"/>
  <c r="H380" i="20" s="1"/>
  <c r="F380" i="20"/>
  <c r="C380" i="20"/>
  <c r="D380" i="20" s="1"/>
  <c r="B380" i="20"/>
  <c r="AQ379" i="20"/>
  <c r="AP379" i="20"/>
  <c r="AI379" i="20"/>
  <c r="AJ379" i="20" s="1"/>
  <c r="AH379" i="20"/>
  <c r="AE379" i="20"/>
  <c r="AF379" i="20" s="1"/>
  <c r="AD379" i="20"/>
  <c r="AA379" i="20"/>
  <c r="AB379" i="20" s="1"/>
  <c r="Z379" i="20"/>
  <c r="W379" i="20"/>
  <c r="X379" i="20" s="1"/>
  <c r="V379" i="20"/>
  <c r="R379" i="20"/>
  <c r="Q379" i="20"/>
  <c r="P379" i="20"/>
  <c r="S379" i="20" s="1"/>
  <c r="M379" i="20"/>
  <c r="N379" i="20" s="1"/>
  <c r="L379" i="20"/>
  <c r="G379" i="20"/>
  <c r="H379" i="20" s="1"/>
  <c r="F379" i="20"/>
  <c r="C379" i="20"/>
  <c r="D379" i="20" s="1"/>
  <c r="J379" i="20" s="1"/>
  <c r="B379" i="20"/>
  <c r="I379" i="20" s="1"/>
  <c r="AQ378" i="20"/>
  <c r="AS378" i="20" s="1"/>
  <c r="AP378" i="20"/>
  <c r="AI378" i="20"/>
  <c r="AJ378" i="20" s="1"/>
  <c r="AE378" i="20"/>
  <c r="AF378" i="20" s="1"/>
  <c r="AD378" i="20"/>
  <c r="AA378" i="20"/>
  <c r="AB378" i="20" s="1"/>
  <c r="Z378" i="20"/>
  <c r="W378" i="20"/>
  <c r="X378" i="20" s="1"/>
  <c r="Q378" i="20"/>
  <c r="R378" i="20" s="1"/>
  <c r="P378" i="20"/>
  <c r="M378" i="20"/>
  <c r="N378" i="20" s="1"/>
  <c r="G378" i="20"/>
  <c r="H378" i="20" s="1"/>
  <c r="F378" i="20"/>
  <c r="C378" i="20"/>
  <c r="D378" i="20" s="1"/>
  <c r="J378" i="20" s="1"/>
  <c r="AQ377" i="20"/>
  <c r="AR377" i="20" s="1"/>
  <c r="AI377" i="20"/>
  <c r="AJ377" i="20" s="1"/>
  <c r="AH377" i="20"/>
  <c r="AE377" i="20"/>
  <c r="AF377" i="20" s="1"/>
  <c r="AB377" i="20"/>
  <c r="AA377" i="20"/>
  <c r="X377" i="20"/>
  <c r="W377" i="20"/>
  <c r="V377" i="20"/>
  <c r="Q377" i="20"/>
  <c r="R377" i="20" s="1"/>
  <c r="M377" i="20"/>
  <c r="N377" i="20" s="1"/>
  <c r="T377" i="20" s="1"/>
  <c r="L377" i="20"/>
  <c r="H377" i="20"/>
  <c r="G377" i="20"/>
  <c r="F377" i="20"/>
  <c r="C377" i="20"/>
  <c r="D377" i="20" s="1"/>
  <c r="J377" i="20" s="1"/>
  <c r="AQ376" i="20"/>
  <c r="AR376" i="20" s="1"/>
  <c r="AS376" i="20"/>
  <c r="AI376" i="20"/>
  <c r="AJ376" i="20" s="1"/>
  <c r="AH376" i="20"/>
  <c r="AE376" i="20"/>
  <c r="AF376" i="20" s="1"/>
  <c r="AA376" i="20"/>
  <c r="AB376" i="20" s="1"/>
  <c r="Z376" i="20"/>
  <c r="W376" i="20"/>
  <c r="X376" i="20" s="1"/>
  <c r="V376" i="20"/>
  <c r="Q376" i="20"/>
  <c r="R376" i="20" s="1"/>
  <c r="P376" i="20"/>
  <c r="M376" i="20"/>
  <c r="N376" i="20" s="1"/>
  <c r="T376" i="20" s="1"/>
  <c r="L376" i="20"/>
  <c r="G376" i="20"/>
  <c r="H376" i="20" s="1"/>
  <c r="F376" i="20"/>
  <c r="C376" i="20"/>
  <c r="D376" i="20" s="1"/>
  <c r="B376" i="20"/>
  <c r="I376" i="20" s="1"/>
  <c r="AQ375" i="20"/>
  <c r="AS375" i="20" s="1"/>
  <c r="AP375" i="20"/>
  <c r="AI375" i="20"/>
  <c r="AJ375" i="20" s="1"/>
  <c r="AH375" i="20"/>
  <c r="AE375" i="20"/>
  <c r="AF375" i="20" s="1"/>
  <c r="AD375" i="20"/>
  <c r="AA375" i="20"/>
  <c r="AB375" i="20" s="1"/>
  <c r="Z375" i="20"/>
  <c r="W375" i="20"/>
  <c r="X375" i="20" s="1"/>
  <c r="V375" i="20"/>
  <c r="R375" i="20"/>
  <c r="Q375" i="20"/>
  <c r="P375" i="20"/>
  <c r="M375" i="20"/>
  <c r="N375" i="20" s="1"/>
  <c r="L375" i="20"/>
  <c r="G375" i="20"/>
  <c r="H375" i="20" s="1"/>
  <c r="F375" i="20"/>
  <c r="C375" i="20"/>
  <c r="D375" i="20" s="1"/>
  <c r="B375" i="20"/>
  <c r="I375" i="20" s="1"/>
  <c r="AQ374" i="20"/>
  <c r="AP374" i="20"/>
  <c r="AI374" i="20"/>
  <c r="AJ374" i="20" s="1"/>
  <c r="AH374" i="20"/>
  <c r="AE374" i="20"/>
  <c r="AF374" i="20" s="1"/>
  <c r="AD374" i="20"/>
  <c r="AA374" i="20"/>
  <c r="AB374" i="20" s="1"/>
  <c r="Z374" i="20"/>
  <c r="W374" i="20"/>
  <c r="X374" i="20" s="1"/>
  <c r="V374" i="20"/>
  <c r="Q374" i="20"/>
  <c r="R374" i="20" s="1"/>
  <c r="P374" i="20"/>
  <c r="M374" i="20"/>
  <c r="N374" i="20" s="1"/>
  <c r="T374" i="20" s="1"/>
  <c r="L374" i="20"/>
  <c r="G374" i="20"/>
  <c r="H374" i="20" s="1"/>
  <c r="F374" i="20"/>
  <c r="D374" i="20"/>
  <c r="C374" i="20"/>
  <c r="B374" i="20"/>
  <c r="I374" i="20" s="1"/>
  <c r="AQ373" i="20"/>
  <c r="AR373" i="20" s="1"/>
  <c r="AI373" i="20"/>
  <c r="AJ373" i="20" s="1"/>
  <c r="AH373" i="20"/>
  <c r="AF373" i="20"/>
  <c r="AE373" i="20"/>
  <c r="AD373" i="20"/>
  <c r="AA373" i="20"/>
  <c r="AB373" i="20" s="1"/>
  <c r="Z373" i="20"/>
  <c r="X373" i="20"/>
  <c r="W373" i="20"/>
  <c r="V373" i="20"/>
  <c r="Q373" i="20"/>
  <c r="R373" i="20" s="1"/>
  <c r="P373" i="20"/>
  <c r="M373" i="20"/>
  <c r="N373" i="20" s="1"/>
  <c r="L373" i="20"/>
  <c r="G373" i="20"/>
  <c r="H373" i="20" s="1"/>
  <c r="F373" i="20"/>
  <c r="D373" i="20"/>
  <c r="C373" i="20"/>
  <c r="B373" i="20"/>
  <c r="I373" i="20" s="1"/>
  <c r="AQ372" i="20"/>
  <c r="AR372" i="20" s="1"/>
  <c r="AP372" i="20"/>
  <c r="AL372" i="20"/>
  <c r="AI372" i="20"/>
  <c r="AJ372" i="20" s="1"/>
  <c r="AH372" i="20"/>
  <c r="AE372" i="20"/>
  <c r="AF372" i="20" s="1"/>
  <c r="AD372" i="20"/>
  <c r="AA372" i="20"/>
  <c r="AB372" i="20" s="1"/>
  <c r="Z372" i="20"/>
  <c r="W372" i="20"/>
  <c r="X372" i="20" s="1"/>
  <c r="V372" i="20"/>
  <c r="Q372" i="20"/>
  <c r="R372" i="20" s="1"/>
  <c r="P372" i="20"/>
  <c r="M372" i="20"/>
  <c r="N372" i="20" s="1"/>
  <c r="T372" i="20" s="1"/>
  <c r="L372" i="20"/>
  <c r="S372" i="20" s="1"/>
  <c r="G372" i="20"/>
  <c r="H372" i="20" s="1"/>
  <c r="F372" i="20"/>
  <c r="C372" i="20"/>
  <c r="D372" i="20" s="1"/>
  <c r="B372" i="20"/>
  <c r="AQ371" i="20"/>
  <c r="AP371" i="20"/>
  <c r="AI371" i="20"/>
  <c r="AJ371" i="20" s="1"/>
  <c r="AH371" i="20"/>
  <c r="AE371" i="20"/>
  <c r="AF371" i="20" s="1"/>
  <c r="AD371" i="20"/>
  <c r="AA371" i="20"/>
  <c r="AB371" i="20" s="1"/>
  <c r="Z371" i="20"/>
  <c r="X371" i="20"/>
  <c r="W371" i="20"/>
  <c r="V371" i="20"/>
  <c r="Q371" i="20"/>
  <c r="R371" i="20" s="1"/>
  <c r="P371" i="20"/>
  <c r="N371" i="20"/>
  <c r="M371" i="20"/>
  <c r="L371" i="20"/>
  <c r="S371" i="20" s="1"/>
  <c r="H371" i="20"/>
  <c r="G371" i="20"/>
  <c r="F371" i="20"/>
  <c r="C371" i="20"/>
  <c r="D371" i="20" s="1"/>
  <c r="J371" i="20" s="1"/>
  <c r="B371" i="20"/>
  <c r="I371" i="20" s="1"/>
  <c r="AQ370" i="20"/>
  <c r="AS370" i="20" s="1"/>
  <c r="AP370" i="20"/>
  <c r="AI370" i="20"/>
  <c r="AJ370" i="20" s="1"/>
  <c r="AF370" i="20"/>
  <c r="AE370" i="20"/>
  <c r="AD370" i="20"/>
  <c r="AA370" i="20"/>
  <c r="AB370" i="20" s="1"/>
  <c r="Z370" i="20"/>
  <c r="W370" i="20"/>
  <c r="X370" i="20" s="1"/>
  <c r="Q370" i="20"/>
  <c r="R370" i="20" s="1"/>
  <c r="P370" i="20"/>
  <c r="M370" i="20"/>
  <c r="N370" i="20" s="1"/>
  <c r="G370" i="20"/>
  <c r="H370" i="20" s="1"/>
  <c r="F370" i="20"/>
  <c r="C370" i="20"/>
  <c r="D370" i="20" s="1"/>
  <c r="AR369" i="20"/>
  <c r="AQ369" i="20"/>
  <c r="AP369" i="20"/>
  <c r="AI369" i="20"/>
  <c r="AJ369" i="20" s="1"/>
  <c r="AH369" i="20"/>
  <c r="AE369" i="20"/>
  <c r="AF369" i="20" s="1"/>
  <c r="AB369" i="20"/>
  <c r="AA369" i="20"/>
  <c r="W369" i="20"/>
  <c r="X369" i="20" s="1"/>
  <c r="V369" i="20"/>
  <c r="Q369" i="20"/>
  <c r="R369" i="20" s="1"/>
  <c r="M369" i="20"/>
  <c r="N369" i="20" s="1"/>
  <c r="T369" i="20" s="1"/>
  <c r="L369" i="20"/>
  <c r="G369" i="20"/>
  <c r="H369" i="20" s="1"/>
  <c r="D369" i="20"/>
  <c r="C369" i="20"/>
  <c r="AQ368" i="20"/>
  <c r="AR368" i="20" s="1"/>
  <c r="AS368" i="20"/>
  <c r="AI368" i="20"/>
  <c r="AJ368" i="20" s="1"/>
  <c r="AH368" i="20"/>
  <c r="AE368" i="20"/>
  <c r="AF368" i="20" s="1"/>
  <c r="AA368" i="20"/>
  <c r="AB368" i="20" s="1"/>
  <c r="Z368" i="20"/>
  <c r="W368" i="20"/>
  <c r="X368" i="20" s="1"/>
  <c r="V368" i="20"/>
  <c r="Q368" i="20"/>
  <c r="R368" i="20" s="1"/>
  <c r="P368" i="20"/>
  <c r="M368" i="20"/>
  <c r="N368" i="20" s="1"/>
  <c r="L368" i="20"/>
  <c r="S368" i="20" s="1"/>
  <c r="G368" i="20"/>
  <c r="H368" i="20" s="1"/>
  <c r="F368" i="20"/>
  <c r="C368" i="20"/>
  <c r="D368" i="20" s="1"/>
  <c r="B368" i="20"/>
  <c r="I368" i="20" s="1"/>
  <c r="AQ367" i="20"/>
  <c r="AP367" i="20"/>
  <c r="AI367" i="20"/>
  <c r="AJ367" i="20" s="1"/>
  <c r="AH367" i="20"/>
  <c r="AF367" i="20"/>
  <c r="AE367" i="20"/>
  <c r="AD367" i="20"/>
  <c r="AB367" i="20"/>
  <c r="AA367" i="20"/>
  <c r="Z367" i="20"/>
  <c r="X367" i="20"/>
  <c r="W367" i="20"/>
  <c r="V367" i="20"/>
  <c r="Q367" i="20"/>
  <c r="R367" i="20" s="1"/>
  <c r="P367" i="20"/>
  <c r="M367" i="20"/>
  <c r="N367" i="20" s="1"/>
  <c r="T367" i="20" s="1"/>
  <c r="L367" i="20"/>
  <c r="G367" i="20"/>
  <c r="H367" i="20" s="1"/>
  <c r="F367" i="20"/>
  <c r="C367" i="20"/>
  <c r="D367" i="20" s="1"/>
  <c r="B367" i="20"/>
  <c r="AR366" i="20"/>
  <c r="AQ366" i="20"/>
  <c r="AS366" i="20" s="1"/>
  <c r="AP366" i="20"/>
  <c r="AI366" i="20"/>
  <c r="AJ366" i="20" s="1"/>
  <c r="AH366" i="20"/>
  <c r="AE366" i="20"/>
  <c r="AF366" i="20" s="1"/>
  <c r="AD366" i="20"/>
  <c r="AA366" i="20"/>
  <c r="AB366" i="20" s="1"/>
  <c r="Z366" i="20"/>
  <c r="W366" i="20"/>
  <c r="X366" i="20" s="1"/>
  <c r="V366" i="20"/>
  <c r="Q366" i="20"/>
  <c r="R366" i="20" s="1"/>
  <c r="P366" i="20"/>
  <c r="M366" i="20"/>
  <c r="N366" i="20" s="1"/>
  <c r="T366" i="20" s="1"/>
  <c r="L366" i="20"/>
  <c r="S366" i="20" s="1"/>
  <c r="G366" i="20"/>
  <c r="H366" i="20" s="1"/>
  <c r="F366" i="20"/>
  <c r="C366" i="20"/>
  <c r="D366" i="20" s="1"/>
  <c r="B366" i="20"/>
  <c r="I366" i="20" s="1"/>
  <c r="AQ365" i="20"/>
  <c r="AS365" i="20" s="1"/>
  <c r="AP365" i="20"/>
  <c r="AJ365" i="20"/>
  <c r="AI365" i="20"/>
  <c r="AH365" i="20"/>
  <c r="AE365" i="20"/>
  <c r="AF365" i="20" s="1"/>
  <c r="AD365" i="20"/>
  <c r="AA365" i="20"/>
  <c r="AB365" i="20" s="1"/>
  <c r="Z365" i="20"/>
  <c r="W365" i="20"/>
  <c r="X365" i="20" s="1"/>
  <c r="V365" i="20"/>
  <c r="Q365" i="20"/>
  <c r="R365" i="20" s="1"/>
  <c r="P365" i="20"/>
  <c r="M365" i="20"/>
  <c r="N365" i="20" s="1"/>
  <c r="T365" i="20" s="1"/>
  <c r="L365" i="20"/>
  <c r="S365" i="20" s="1"/>
  <c r="H365" i="20"/>
  <c r="G365" i="20"/>
  <c r="F365" i="20"/>
  <c r="C365" i="20"/>
  <c r="D365" i="20" s="1"/>
  <c r="J365" i="20" s="1"/>
  <c r="B365" i="20"/>
  <c r="I365" i="20" s="1"/>
  <c r="AQ364" i="20"/>
  <c r="AR364" i="20" s="1"/>
  <c r="AP364" i="20"/>
  <c r="AI364" i="20"/>
  <c r="AJ364" i="20" s="1"/>
  <c r="AH364" i="20"/>
  <c r="AE364" i="20"/>
  <c r="AF364" i="20" s="1"/>
  <c r="AD364" i="20"/>
  <c r="AA364" i="20"/>
  <c r="AB364" i="20" s="1"/>
  <c r="Z364" i="20"/>
  <c r="W364" i="20"/>
  <c r="X364" i="20" s="1"/>
  <c r="V364" i="20"/>
  <c r="Q364" i="20"/>
  <c r="R364" i="20" s="1"/>
  <c r="P364" i="20"/>
  <c r="S364" i="20" s="1"/>
  <c r="M364" i="20"/>
  <c r="N364" i="20" s="1"/>
  <c r="L364" i="20"/>
  <c r="G364" i="20"/>
  <c r="H364" i="20" s="1"/>
  <c r="F364" i="20"/>
  <c r="C364" i="20"/>
  <c r="D364" i="20" s="1"/>
  <c r="J364" i="20" s="1"/>
  <c r="B364" i="20"/>
  <c r="I364" i="20" s="1"/>
  <c r="AQ363" i="20"/>
  <c r="AS363" i="20" s="1"/>
  <c r="AP363" i="20"/>
  <c r="AJ363" i="20"/>
  <c r="AI363" i="20"/>
  <c r="AH363" i="20"/>
  <c r="AE363" i="20"/>
  <c r="AF363" i="20" s="1"/>
  <c r="AD363" i="20"/>
  <c r="AB363" i="20"/>
  <c r="AA363" i="20"/>
  <c r="Z363" i="20"/>
  <c r="W363" i="20"/>
  <c r="X363" i="20" s="1"/>
  <c r="V363" i="20"/>
  <c r="Q363" i="20"/>
  <c r="R363" i="20" s="1"/>
  <c r="P363" i="20"/>
  <c r="M363" i="20"/>
  <c r="N363" i="20" s="1"/>
  <c r="L363" i="20"/>
  <c r="G363" i="20"/>
  <c r="H363" i="20" s="1"/>
  <c r="F363" i="20"/>
  <c r="C363" i="20"/>
  <c r="D363" i="20" s="1"/>
  <c r="J363" i="20" s="1"/>
  <c r="B363" i="20"/>
  <c r="I363" i="20" s="1"/>
  <c r="AS362" i="20"/>
  <c r="AQ362" i="20"/>
  <c r="AR362" i="20" s="1"/>
  <c r="AP362" i="20"/>
  <c r="AI362" i="20"/>
  <c r="AJ362" i="20" s="1"/>
  <c r="AE362" i="20"/>
  <c r="AF362" i="20" s="1"/>
  <c r="AD362" i="20"/>
  <c r="AA362" i="20"/>
  <c r="AB362" i="20" s="1"/>
  <c r="Z362" i="20"/>
  <c r="W362" i="20"/>
  <c r="X362" i="20" s="1"/>
  <c r="Q362" i="20"/>
  <c r="R362" i="20" s="1"/>
  <c r="P362" i="20"/>
  <c r="M362" i="20"/>
  <c r="N362" i="20" s="1"/>
  <c r="T362" i="20" s="1"/>
  <c r="G362" i="20"/>
  <c r="H362" i="20" s="1"/>
  <c r="F362" i="20"/>
  <c r="D362" i="20"/>
  <c r="J362" i="20" s="1"/>
  <c r="C362" i="20"/>
  <c r="AR361" i="20"/>
  <c r="AQ361" i="20"/>
  <c r="AI361" i="20"/>
  <c r="AJ361" i="20" s="1"/>
  <c r="AH361" i="20"/>
  <c r="AE361" i="20"/>
  <c r="AF361" i="20" s="1"/>
  <c r="AA361" i="20"/>
  <c r="AB361" i="20" s="1"/>
  <c r="W361" i="20"/>
  <c r="X361" i="20" s="1"/>
  <c r="V361" i="20"/>
  <c r="Q361" i="20"/>
  <c r="R361" i="20" s="1"/>
  <c r="M361" i="20"/>
  <c r="N361" i="20" s="1"/>
  <c r="T361" i="20" s="1"/>
  <c r="L361" i="20"/>
  <c r="G361" i="20"/>
  <c r="H361" i="20" s="1"/>
  <c r="F361" i="20"/>
  <c r="C361" i="20"/>
  <c r="D361" i="20" s="1"/>
  <c r="B361" i="20"/>
  <c r="AR360" i="20"/>
  <c r="AQ360" i="20"/>
  <c r="AS360" i="20" s="1"/>
  <c r="AP360" i="20"/>
  <c r="AI360" i="20"/>
  <c r="AJ360" i="20" s="1"/>
  <c r="AH360" i="20"/>
  <c r="AE360" i="20"/>
  <c r="AF360" i="20" s="1"/>
  <c r="AA360" i="20"/>
  <c r="AB360" i="20" s="1"/>
  <c r="Z360" i="20"/>
  <c r="W360" i="20"/>
  <c r="X360" i="20" s="1"/>
  <c r="V360" i="20"/>
  <c r="R360" i="20"/>
  <c r="T360" i="20" s="1"/>
  <c r="Q360" i="20"/>
  <c r="P360" i="20"/>
  <c r="M360" i="20"/>
  <c r="N360" i="20" s="1"/>
  <c r="L360" i="20"/>
  <c r="G360" i="20"/>
  <c r="H360" i="20" s="1"/>
  <c r="F360" i="20"/>
  <c r="C360" i="20"/>
  <c r="D360" i="20" s="1"/>
  <c r="J360" i="20" s="1"/>
  <c r="B360" i="20"/>
  <c r="AQ359" i="20"/>
  <c r="AP359" i="20"/>
  <c r="AI359" i="20"/>
  <c r="AJ359" i="20" s="1"/>
  <c r="AH359" i="20"/>
  <c r="AE359" i="20"/>
  <c r="AF359" i="20" s="1"/>
  <c r="AD359" i="20"/>
  <c r="AA359" i="20"/>
  <c r="AB359" i="20" s="1"/>
  <c r="Z359" i="20"/>
  <c r="W359" i="20"/>
  <c r="X359" i="20" s="1"/>
  <c r="V359" i="20"/>
  <c r="Q359" i="20"/>
  <c r="R359" i="20" s="1"/>
  <c r="P359" i="20"/>
  <c r="M359" i="20"/>
  <c r="N359" i="20" s="1"/>
  <c r="L359" i="20"/>
  <c r="G359" i="20"/>
  <c r="H359" i="20" s="1"/>
  <c r="F359" i="20"/>
  <c r="C359" i="20"/>
  <c r="D359" i="20" s="1"/>
  <c r="B359" i="20"/>
  <c r="AQ358" i="20"/>
  <c r="AS358" i="20" s="1"/>
  <c r="AP358" i="20"/>
  <c r="AJ358" i="20"/>
  <c r="AI358" i="20"/>
  <c r="AH358" i="20"/>
  <c r="AE358" i="20"/>
  <c r="AF358" i="20" s="1"/>
  <c r="AD358" i="20"/>
  <c r="AB358" i="20"/>
  <c r="AA358" i="20"/>
  <c r="Z358" i="20"/>
  <c r="W358" i="20"/>
  <c r="X358" i="20" s="1"/>
  <c r="V358" i="20"/>
  <c r="Q358" i="20"/>
  <c r="R358" i="20" s="1"/>
  <c r="P358" i="20"/>
  <c r="N358" i="20"/>
  <c r="M358" i="20"/>
  <c r="L358" i="20"/>
  <c r="S358" i="20" s="1"/>
  <c r="G358" i="20"/>
  <c r="H358" i="20" s="1"/>
  <c r="F358" i="20"/>
  <c r="C358" i="20"/>
  <c r="D358" i="20" s="1"/>
  <c r="B358" i="20"/>
  <c r="AQ357" i="20"/>
  <c r="AP357" i="20"/>
  <c r="AI357" i="20"/>
  <c r="AJ357" i="20" s="1"/>
  <c r="AH357" i="20"/>
  <c r="AE357" i="20"/>
  <c r="AF357" i="20" s="1"/>
  <c r="AD357" i="20"/>
  <c r="AA357" i="20"/>
  <c r="AB357" i="20" s="1"/>
  <c r="Z357" i="20"/>
  <c r="W357" i="20"/>
  <c r="X357" i="20" s="1"/>
  <c r="V357" i="20"/>
  <c r="Q357" i="20"/>
  <c r="R357" i="20" s="1"/>
  <c r="P357" i="20"/>
  <c r="M357" i="20"/>
  <c r="N357" i="20" s="1"/>
  <c r="L357" i="20"/>
  <c r="J357" i="20"/>
  <c r="G357" i="20"/>
  <c r="H357" i="20" s="1"/>
  <c r="F357" i="20"/>
  <c r="C357" i="20"/>
  <c r="D357" i="20" s="1"/>
  <c r="B357" i="20"/>
  <c r="AQ356" i="20"/>
  <c r="AS356" i="20" s="1"/>
  <c r="AP356" i="20"/>
  <c r="AI356" i="20"/>
  <c r="AJ356" i="20" s="1"/>
  <c r="AH356" i="20"/>
  <c r="AF356" i="20"/>
  <c r="AE356" i="20"/>
  <c r="AD356" i="20"/>
  <c r="AA356" i="20"/>
  <c r="AB356" i="20" s="1"/>
  <c r="Z356" i="20"/>
  <c r="W356" i="20"/>
  <c r="X356" i="20" s="1"/>
  <c r="AL356" i="20" s="1"/>
  <c r="V356" i="20"/>
  <c r="R356" i="20"/>
  <c r="Q356" i="20"/>
  <c r="P356" i="20"/>
  <c r="M356" i="20"/>
  <c r="N356" i="20" s="1"/>
  <c r="L356" i="20"/>
  <c r="G356" i="20"/>
  <c r="H356" i="20" s="1"/>
  <c r="F356" i="20"/>
  <c r="C356" i="20"/>
  <c r="D356" i="20" s="1"/>
  <c r="J356" i="20" s="1"/>
  <c r="B356" i="20"/>
  <c r="AQ355" i="20"/>
  <c r="AS355" i="20" s="1"/>
  <c r="AP355" i="20"/>
  <c r="AJ355" i="20"/>
  <c r="AI355" i="20"/>
  <c r="AH355" i="20"/>
  <c r="AK355" i="20" s="1"/>
  <c r="AE355" i="20"/>
  <c r="AF355" i="20" s="1"/>
  <c r="AD355" i="20"/>
  <c r="AA355" i="20"/>
  <c r="AB355" i="20" s="1"/>
  <c r="Z355" i="20"/>
  <c r="W355" i="20"/>
  <c r="X355" i="20" s="1"/>
  <c r="V355" i="20"/>
  <c r="Q355" i="20"/>
  <c r="R355" i="20" s="1"/>
  <c r="P355" i="20"/>
  <c r="M355" i="20"/>
  <c r="N355" i="20" s="1"/>
  <c r="T355" i="20" s="1"/>
  <c r="L355" i="20"/>
  <c r="S355" i="20" s="1"/>
  <c r="G355" i="20"/>
  <c r="H355" i="20" s="1"/>
  <c r="F355" i="20"/>
  <c r="C355" i="20"/>
  <c r="D355" i="20" s="1"/>
  <c r="J355" i="20" s="1"/>
  <c r="B355" i="20"/>
  <c r="AQ354" i="20"/>
  <c r="AR354" i="20" s="1"/>
  <c r="AP354" i="20"/>
  <c r="AS354" i="20"/>
  <c r="AI354" i="20"/>
  <c r="AJ354" i="20" s="1"/>
  <c r="AE354" i="20"/>
  <c r="AF354" i="20" s="1"/>
  <c r="AD354" i="20"/>
  <c r="AA354" i="20"/>
  <c r="AB354" i="20" s="1"/>
  <c r="Z354" i="20"/>
  <c r="W354" i="20"/>
  <c r="X354" i="20" s="1"/>
  <c r="Q354" i="20"/>
  <c r="R354" i="20" s="1"/>
  <c r="P354" i="20"/>
  <c r="M354" i="20"/>
  <c r="N354" i="20" s="1"/>
  <c r="H354" i="20"/>
  <c r="G354" i="20"/>
  <c r="F354" i="20"/>
  <c r="C354" i="20"/>
  <c r="D354" i="20" s="1"/>
  <c r="AQ353" i="20"/>
  <c r="AR353" i="20" s="1"/>
  <c r="AI353" i="20"/>
  <c r="AJ353" i="20" s="1"/>
  <c r="AH353" i="20"/>
  <c r="AE353" i="20"/>
  <c r="AF353" i="20" s="1"/>
  <c r="AA353" i="20"/>
  <c r="AB353" i="20" s="1"/>
  <c r="W353" i="20"/>
  <c r="X353" i="20" s="1"/>
  <c r="V353" i="20"/>
  <c r="Q353" i="20"/>
  <c r="R353" i="20" s="1"/>
  <c r="N353" i="20"/>
  <c r="T353" i="20" s="1"/>
  <c r="M353" i="20"/>
  <c r="L353" i="20"/>
  <c r="G353" i="20"/>
  <c r="H353" i="20" s="1"/>
  <c r="C353" i="20"/>
  <c r="D353" i="20" s="1"/>
  <c r="AQ352" i="20"/>
  <c r="AP352" i="20"/>
  <c r="AI352" i="20"/>
  <c r="AJ352" i="20" s="1"/>
  <c r="AH352" i="20"/>
  <c r="AE352" i="20"/>
  <c r="AF352" i="20" s="1"/>
  <c r="AD352" i="20"/>
  <c r="AA352" i="20"/>
  <c r="AB352" i="20" s="1"/>
  <c r="AL352" i="20" s="1"/>
  <c r="Z352" i="20"/>
  <c r="W352" i="20"/>
  <c r="X352" i="20" s="1"/>
  <c r="V352" i="20"/>
  <c r="Q352" i="20"/>
  <c r="R352" i="20" s="1"/>
  <c r="P352" i="20"/>
  <c r="N352" i="20"/>
  <c r="T352" i="20" s="1"/>
  <c r="M352" i="20"/>
  <c r="L352" i="20"/>
  <c r="G352" i="20"/>
  <c r="H352" i="20" s="1"/>
  <c r="F352" i="20"/>
  <c r="C352" i="20"/>
  <c r="D352" i="20" s="1"/>
  <c r="B352" i="20"/>
  <c r="AQ351" i="20"/>
  <c r="AS351" i="20" s="1"/>
  <c r="AP351" i="20"/>
  <c r="AI351" i="20"/>
  <c r="AJ351" i="20" s="1"/>
  <c r="AH351" i="20"/>
  <c r="AE351" i="20"/>
  <c r="AF351" i="20" s="1"/>
  <c r="AD351" i="20"/>
  <c r="AA351" i="20"/>
  <c r="AB351" i="20" s="1"/>
  <c r="Z351" i="20"/>
  <c r="X351" i="20"/>
  <c r="W351" i="20"/>
  <c r="V351" i="20"/>
  <c r="Q351" i="20"/>
  <c r="R351" i="20" s="1"/>
  <c r="P351" i="20"/>
  <c r="M351" i="20"/>
  <c r="N351" i="20" s="1"/>
  <c r="L351" i="20"/>
  <c r="G351" i="20"/>
  <c r="H351" i="20" s="1"/>
  <c r="F351" i="20"/>
  <c r="C351" i="20"/>
  <c r="D351" i="20" s="1"/>
  <c r="J351" i="20" s="1"/>
  <c r="B351" i="20"/>
  <c r="I351" i="20" s="1"/>
  <c r="AQ350" i="20"/>
  <c r="AS350" i="20" s="1"/>
  <c r="AP350" i="20"/>
  <c r="AI350" i="20"/>
  <c r="AJ350" i="20" s="1"/>
  <c r="AH350" i="20"/>
  <c r="AE350" i="20"/>
  <c r="AF350" i="20" s="1"/>
  <c r="AD350" i="20"/>
  <c r="AB350" i="20"/>
  <c r="AA350" i="20"/>
  <c r="Z350" i="20"/>
  <c r="X350" i="20"/>
  <c r="W350" i="20"/>
  <c r="V350" i="20"/>
  <c r="Q350" i="20"/>
  <c r="R350" i="20" s="1"/>
  <c r="P350" i="20"/>
  <c r="M350" i="20"/>
  <c r="N350" i="20" s="1"/>
  <c r="L350" i="20"/>
  <c r="S350" i="20" s="1"/>
  <c r="H350" i="20"/>
  <c r="G350" i="20"/>
  <c r="F350" i="20"/>
  <c r="C350" i="20"/>
  <c r="D350" i="20" s="1"/>
  <c r="J350" i="20" s="1"/>
  <c r="B350" i="20"/>
  <c r="AQ349" i="20"/>
  <c r="AR349" i="20" s="1"/>
  <c r="AI349" i="20"/>
  <c r="AJ349" i="20" s="1"/>
  <c r="AH349" i="20"/>
  <c r="AE349" i="20"/>
  <c r="AF349" i="20" s="1"/>
  <c r="AD349" i="20"/>
  <c r="AA349" i="20"/>
  <c r="AB349" i="20" s="1"/>
  <c r="Z349" i="20"/>
  <c r="W349" i="20"/>
  <c r="X349" i="20" s="1"/>
  <c r="V349" i="20"/>
  <c r="AK349" i="20" s="1"/>
  <c r="R349" i="20"/>
  <c r="Q349" i="20"/>
  <c r="P349" i="20"/>
  <c r="S349" i="20" s="1"/>
  <c r="M349" i="20"/>
  <c r="N349" i="20" s="1"/>
  <c r="T349" i="20" s="1"/>
  <c r="L349" i="20"/>
  <c r="J349" i="20"/>
  <c r="G349" i="20"/>
  <c r="H349" i="20" s="1"/>
  <c r="F349" i="20"/>
  <c r="C349" i="20"/>
  <c r="D349" i="20" s="1"/>
  <c r="B349" i="20"/>
  <c r="AQ348" i="20"/>
  <c r="AS348" i="20" s="1"/>
  <c r="AP348" i="20"/>
  <c r="AI348" i="20"/>
  <c r="AJ348" i="20" s="1"/>
  <c r="AH348" i="20"/>
  <c r="AE348" i="20"/>
  <c r="AF348" i="20" s="1"/>
  <c r="AD348" i="20"/>
  <c r="AA348" i="20"/>
  <c r="AB348" i="20" s="1"/>
  <c r="Z348" i="20"/>
  <c r="W348" i="20"/>
  <c r="X348" i="20" s="1"/>
  <c r="V348" i="20"/>
  <c r="R348" i="20"/>
  <c r="Q348" i="20"/>
  <c r="P348" i="20"/>
  <c r="M348" i="20"/>
  <c r="N348" i="20" s="1"/>
  <c r="T348" i="20" s="1"/>
  <c r="L348" i="20"/>
  <c r="G348" i="20"/>
  <c r="H348" i="20" s="1"/>
  <c r="F348" i="20"/>
  <c r="D348" i="20"/>
  <c r="C348" i="20"/>
  <c r="B348" i="20"/>
  <c r="AQ347" i="20"/>
  <c r="AR347" i="20" s="1"/>
  <c r="AP347" i="20"/>
  <c r="AJ347" i="20"/>
  <c r="AI347" i="20"/>
  <c r="AH347" i="20"/>
  <c r="AE347" i="20"/>
  <c r="AF347" i="20" s="1"/>
  <c r="AD347" i="20"/>
  <c r="AA347" i="20"/>
  <c r="AB347" i="20" s="1"/>
  <c r="Z347" i="20"/>
  <c r="W347" i="20"/>
  <c r="X347" i="20" s="1"/>
  <c r="V347" i="20"/>
  <c r="Q347" i="20"/>
  <c r="R347" i="20" s="1"/>
  <c r="P347" i="20"/>
  <c r="M347" i="20"/>
  <c r="N347" i="20" s="1"/>
  <c r="T347" i="20" s="1"/>
  <c r="L347" i="20"/>
  <c r="G347" i="20"/>
  <c r="H347" i="20" s="1"/>
  <c r="F347" i="20"/>
  <c r="D347" i="20"/>
  <c r="C347" i="20"/>
  <c r="B347" i="20"/>
  <c r="AQ346" i="20"/>
  <c r="AR346" i="20" s="1"/>
  <c r="AJ346" i="20"/>
  <c r="AI346" i="20"/>
  <c r="AF346" i="20"/>
  <c r="AE346" i="20"/>
  <c r="AD346" i="20"/>
  <c r="AA346" i="20"/>
  <c r="AB346" i="20" s="1"/>
  <c r="Z346" i="20"/>
  <c r="W346" i="20"/>
  <c r="X346" i="20" s="1"/>
  <c r="Q346" i="20"/>
  <c r="R346" i="20" s="1"/>
  <c r="P346" i="20"/>
  <c r="N346" i="20"/>
  <c r="M346" i="20"/>
  <c r="G346" i="20"/>
  <c r="H346" i="20" s="1"/>
  <c r="F346" i="20"/>
  <c r="C346" i="20"/>
  <c r="D346" i="20" s="1"/>
  <c r="B346" i="20"/>
  <c r="AQ345" i="20"/>
  <c r="AI345" i="20"/>
  <c r="AJ345" i="20" s="1"/>
  <c r="AH345" i="20"/>
  <c r="AE345" i="20"/>
  <c r="AF345" i="20" s="1"/>
  <c r="AA345" i="20"/>
  <c r="AB345" i="20" s="1"/>
  <c r="Z345" i="20"/>
  <c r="W345" i="20"/>
  <c r="X345" i="20" s="1"/>
  <c r="V345" i="20"/>
  <c r="Q345" i="20"/>
  <c r="R345" i="20" s="1"/>
  <c r="P345" i="20"/>
  <c r="M345" i="20"/>
  <c r="N345" i="20" s="1"/>
  <c r="L345" i="20"/>
  <c r="G345" i="20"/>
  <c r="H345" i="20" s="1"/>
  <c r="C345" i="20"/>
  <c r="D345" i="20" s="1"/>
  <c r="AR344" i="20"/>
  <c r="AQ344" i="20"/>
  <c r="AS344" i="20" s="1"/>
  <c r="AP344" i="20"/>
  <c r="AI344" i="20"/>
  <c r="AJ344" i="20" s="1"/>
  <c r="AH344" i="20"/>
  <c r="AE344" i="20"/>
  <c r="AF344" i="20" s="1"/>
  <c r="AB344" i="20"/>
  <c r="AA344" i="20"/>
  <c r="Z344" i="20"/>
  <c r="W344" i="20"/>
  <c r="X344" i="20" s="1"/>
  <c r="V344" i="20"/>
  <c r="Q344" i="20"/>
  <c r="R344" i="20" s="1"/>
  <c r="P344" i="20"/>
  <c r="N344" i="20"/>
  <c r="T344" i="20" s="1"/>
  <c r="M344" i="20"/>
  <c r="L344" i="20"/>
  <c r="H344" i="20"/>
  <c r="G344" i="20"/>
  <c r="F344" i="20"/>
  <c r="C344" i="20"/>
  <c r="D344" i="20" s="1"/>
  <c r="B344" i="20"/>
  <c r="AQ343" i="20"/>
  <c r="AS343" i="20" s="1"/>
  <c r="AP343" i="20"/>
  <c r="AI343" i="20"/>
  <c r="AJ343" i="20" s="1"/>
  <c r="AH343" i="20"/>
  <c r="AE343" i="20"/>
  <c r="AF343" i="20" s="1"/>
  <c r="AD343" i="20"/>
  <c r="AA343" i="20"/>
  <c r="AB343" i="20" s="1"/>
  <c r="Z343" i="20"/>
  <c r="W343" i="20"/>
  <c r="X343" i="20" s="1"/>
  <c r="V343" i="20"/>
  <c r="Q343" i="20"/>
  <c r="R343" i="20" s="1"/>
  <c r="P343" i="20"/>
  <c r="M343" i="20"/>
  <c r="N343" i="20" s="1"/>
  <c r="L343" i="20"/>
  <c r="G343" i="20"/>
  <c r="H343" i="20" s="1"/>
  <c r="F343" i="20"/>
  <c r="C343" i="20"/>
  <c r="D343" i="20" s="1"/>
  <c r="J343" i="20" s="1"/>
  <c r="B343" i="20"/>
  <c r="AR342" i="20"/>
  <c r="AQ342" i="20"/>
  <c r="AS342" i="20" s="1"/>
  <c r="AJ342" i="20"/>
  <c r="AI342" i="20"/>
  <c r="AH342" i="20"/>
  <c r="AE342" i="20"/>
  <c r="AF342" i="20" s="1"/>
  <c r="AD342" i="20"/>
  <c r="AB342" i="20"/>
  <c r="AA342" i="20"/>
  <c r="Z342" i="20"/>
  <c r="W342" i="20"/>
  <c r="X342" i="20" s="1"/>
  <c r="AL342" i="20" s="1"/>
  <c r="V342" i="20"/>
  <c r="Q342" i="20"/>
  <c r="R342" i="20" s="1"/>
  <c r="P342" i="20"/>
  <c r="N342" i="20"/>
  <c r="M342" i="20"/>
  <c r="L342" i="20"/>
  <c r="S342" i="20" s="1"/>
  <c r="G342" i="20"/>
  <c r="H342" i="20" s="1"/>
  <c r="F342" i="20"/>
  <c r="D342" i="20"/>
  <c r="C342" i="20"/>
  <c r="B342" i="20"/>
  <c r="I342" i="20" s="1"/>
  <c r="AS341" i="20"/>
  <c r="AQ341" i="20"/>
  <c r="AR341" i="20" s="1"/>
  <c r="AP341" i="20"/>
  <c r="AI341" i="20"/>
  <c r="AJ341" i="20" s="1"/>
  <c r="AH341" i="20"/>
  <c r="AE341" i="20"/>
  <c r="AF341" i="20" s="1"/>
  <c r="AD341" i="20"/>
  <c r="AA341" i="20"/>
  <c r="AB341" i="20" s="1"/>
  <c r="Z341" i="20"/>
  <c r="W341" i="20"/>
  <c r="X341" i="20" s="1"/>
  <c r="V341" i="20"/>
  <c r="Q341" i="20"/>
  <c r="R341" i="20" s="1"/>
  <c r="P341" i="20"/>
  <c r="N341" i="20"/>
  <c r="M341" i="20"/>
  <c r="L341" i="20"/>
  <c r="G341" i="20"/>
  <c r="H341" i="20" s="1"/>
  <c r="F341" i="20"/>
  <c r="C341" i="20"/>
  <c r="D341" i="20" s="1"/>
  <c r="J341" i="20" s="1"/>
  <c r="B341" i="20"/>
  <c r="AQ340" i="20"/>
  <c r="AP340" i="20"/>
  <c r="AJ340" i="20"/>
  <c r="AI340" i="20"/>
  <c r="AH340" i="20"/>
  <c r="AE340" i="20"/>
  <c r="AF340" i="20" s="1"/>
  <c r="AD340" i="20"/>
  <c r="AA340" i="20"/>
  <c r="AB340" i="20" s="1"/>
  <c r="Z340" i="20"/>
  <c r="W340" i="20"/>
  <c r="X340" i="20" s="1"/>
  <c r="V340" i="20"/>
  <c r="Q340" i="20"/>
  <c r="R340" i="20" s="1"/>
  <c r="P340" i="20"/>
  <c r="N340" i="20"/>
  <c r="M340" i="20"/>
  <c r="L340" i="20"/>
  <c r="S340" i="20" s="1"/>
  <c r="G340" i="20"/>
  <c r="H340" i="20" s="1"/>
  <c r="F340" i="20"/>
  <c r="C340" i="20"/>
  <c r="D340" i="20" s="1"/>
  <c r="J340" i="20" s="1"/>
  <c r="B340" i="20"/>
  <c r="I340" i="20" s="1"/>
  <c r="AQ339" i="20"/>
  <c r="AR339" i="20" s="1"/>
  <c r="AI339" i="20"/>
  <c r="AJ339" i="20" s="1"/>
  <c r="AH339" i="20"/>
  <c r="AE339" i="20"/>
  <c r="AF339" i="20" s="1"/>
  <c r="AD339" i="20"/>
  <c r="AA339" i="20"/>
  <c r="AB339" i="20" s="1"/>
  <c r="Z339" i="20"/>
  <c r="W339" i="20"/>
  <c r="X339" i="20" s="1"/>
  <c r="V339" i="20"/>
  <c r="AK339" i="20" s="1"/>
  <c r="Q339" i="20"/>
  <c r="R339" i="20" s="1"/>
  <c r="P339" i="20"/>
  <c r="M339" i="20"/>
  <c r="N339" i="20" s="1"/>
  <c r="T339" i="20" s="1"/>
  <c r="L339" i="20"/>
  <c r="S339" i="20" s="1"/>
  <c r="H339" i="20"/>
  <c r="G339" i="20"/>
  <c r="F339" i="20"/>
  <c r="C339" i="20"/>
  <c r="D339" i="20" s="1"/>
  <c r="B339" i="20"/>
  <c r="AR338" i="20"/>
  <c r="AQ338" i="20"/>
  <c r="AS338" i="20" s="1"/>
  <c r="AP338" i="20"/>
  <c r="AJ338" i="20"/>
  <c r="AI338" i="20"/>
  <c r="AE338" i="20"/>
  <c r="AF338" i="20" s="1"/>
  <c r="AD338" i="20"/>
  <c r="AB338" i="20"/>
  <c r="AA338" i="20"/>
  <c r="Z338" i="20"/>
  <c r="X338" i="20"/>
  <c r="W338" i="20"/>
  <c r="Q338" i="20"/>
  <c r="R338" i="20" s="1"/>
  <c r="P338" i="20"/>
  <c r="M338" i="20"/>
  <c r="N338" i="20" s="1"/>
  <c r="L338" i="20"/>
  <c r="G338" i="20"/>
  <c r="H338" i="20" s="1"/>
  <c r="F338" i="20"/>
  <c r="C338" i="20"/>
  <c r="D338" i="20" s="1"/>
  <c r="AQ337" i="20"/>
  <c r="AI337" i="20"/>
  <c r="AJ337" i="20" s="1"/>
  <c r="AH337" i="20"/>
  <c r="AE337" i="20"/>
  <c r="AF337" i="20" s="1"/>
  <c r="AA337" i="20"/>
  <c r="AB337" i="20" s="1"/>
  <c r="W337" i="20"/>
  <c r="X337" i="20" s="1"/>
  <c r="V337" i="20"/>
  <c r="Q337" i="20"/>
  <c r="R337" i="20" s="1"/>
  <c r="M337" i="20"/>
  <c r="N337" i="20" s="1"/>
  <c r="T337" i="20" s="1"/>
  <c r="L337" i="20"/>
  <c r="G337" i="20"/>
  <c r="H337" i="20" s="1"/>
  <c r="F337" i="20"/>
  <c r="C337" i="20"/>
  <c r="D337" i="20" s="1"/>
  <c r="AQ336" i="20"/>
  <c r="AS336" i="20" s="1"/>
  <c r="AP336" i="20"/>
  <c r="AJ336" i="20"/>
  <c r="AI336" i="20"/>
  <c r="AH336" i="20"/>
  <c r="AE336" i="20"/>
  <c r="AF336" i="20" s="1"/>
  <c r="AD336" i="20"/>
  <c r="AA336" i="20"/>
  <c r="AB336" i="20" s="1"/>
  <c r="Z336" i="20"/>
  <c r="W336" i="20"/>
  <c r="X336" i="20" s="1"/>
  <c r="V336" i="20"/>
  <c r="Q336" i="20"/>
  <c r="R336" i="20" s="1"/>
  <c r="P336" i="20"/>
  <c r="M336" i="20"/>
  <c r="N336" i="20" s="1"/>
  <c r="T336" i="20" s="1"/>
  <c r="L336" i="20"/>
  <c r="H336" i="20"/>
  <c r="G336" i="20"/>
  <c r="F336" i="20"/>
  <c r="D336" i="20"/>
  <c r="C336" i="20"/>
  <c r="B336" i="20"/>
  <c r="I336" i="20" s="1"/>
  <c r="AR335" i="20"/>
  <c r="AQ335" i="20"/>
  <c r="AS335" i="20" s="1"/>
  <c r="AP335" i="20"/>
  <c r="AI335" i="20"/>
  <c r="AJ335" i="20" s="1"/>
  <c r="AH335" i="20"/>
  <c r="AE335" i="20"/>
  <c r="AF335" i="20" s="1"/>
  <c r="AD335" i="20"/>
  <c r="AA335" i="20"/>
  <c r="AB335" i="20" s="1"/>
  <c r="Z335" i="20"/>
  <c r="W335" i="20"/>
  <c r="X335" i="20" s="1"/>
  <c r="V335" i="20"/>
  <c r="Q335" i="20"/>
  <c r="R335" i="20" s="1"/>
  <c r="P335" i="20"/>
  <c r="M335" i="20"/>
  <c r="N335" i="20" s="1"/>
  <c r="L335" i="20"/>
  <c r="G335" i="20"/>
  <c r="H335" i="20" s="1"/>
  <c r="F335" i="20"/>
  <c r="D335" i="20"/>
  <c r="C335" i="20"/>
  <c r="B335" i="20"/>
  <c r="I335" i="20" s="1"/>
  <c r="AQ334" i="20"/>
  <c r="AR334" i="20" s="1"/>
  <c r="AI334" i="20"/>
  <c r="AJ334" i="20" s="1"/>
  <c r="AH334" i="20"/>
  <c r="AE334" i="20"/>
  <c r="AF334" i="20" s="1"/>
  <c r="AD334" i="20"/>
  <c r="AB334" i="20"/>
  <c r="AA334" i="20"/>
  <c r="Z334" i="20"/>
  <c r="X334" i="20"/>
  <c r="W334" i="20"/>
  <c r="V334" i="20"/>
  <c r="R334" i="20"/>
  <c r="Q334" i="20"/>
  <c r="P334" i="20"/>
  <c r="M334" i="20"/>
  <c r="N334" i="20" s="1"/>
  <c r="T334" i="20" s="1"/>
  <c r="L334" i="20"/>
  <c r="S334" i="20" s="1"/>
  <c r="H334" i="20"/>
  <c r="G334" i="20"/>
  <c r="F334" i="20"/>
  <c r="C334" i="20"/>
  <c r="D334" i="20" s="1"/>
  <c r="B334" i="20"/>
  <c r="I334" i="20" s="1"/>
  <c r="AQ333" i="20"/>
  <c r="AR333" i="20" s="1"/>
  <c r="AP333" i="20"/>
  <c r="AI333" i="20"/>
  <c r="AJ333" i="20" s="1"/>
  <c r="AH333" i="20"/>
  <c r="AE333" i="20"/>
  <c r="AF333" i="20" s="1"/>
  <c r="AD333" i="20"/>
  <c r="AA333" i="20"/>
  <c r="AB333" i="20" s="1"/>
  <c r="Z333" i="20"/>
  <c r="W333" i="20"/>
  <c r="X333" i="20" s="1"/>
  <c r="AL333" i="20" s="1"/>
  <c r="V333" i="20"/>
  <c r="AK333" i="20" s="1"/>
  <c r="Q333" i="20"/>
  <c r="R333" i="20" s="1"/>
  <c r="P333" i="20"/>
  <c r="M333" i="20"/>
  <c r="N333" i="20" s="1"/>
  <c r="T333" i="20" s="1"/>
  <c r="L333" i="20"/>
  <c r="S333" i="20" s="1"/>
  <c r="G333" i="20"/>
  <c r="H333" i="20" s="1"/>
  <c r="F333" i="20"/>
  <c r="C333" i="20"/>
  <c r="D333" i="20" s="1"/>
  <c r="B333" i="20"/>
  <c r="AQ332" i="20"/>
  <c r="AP332" i="20"/>
  <c r="AJ332" i="20"/>
  <c r="AI332" i="20"/>
  <c r="AH332" i="20"/>
  <c r="AF332" i="20"/>
  <c r="AE332" i="20"/>
  <c r="AD332" i="20"/>
  <c r="AB332" i="20"/>
  <c r="AA332" i="20"/>
  <c r="Z332" i="20"/>
  <c r="W332" i="20"/>
  <c r="X332" i="20" s="1"/>
  <c r="AL332" i="20" s="1"/>
  <c r="V332" i="20"/>
  <c r="R332" i="20"/>
  <c r="Q332" i="20"/>
  <c r="P332" i="20"/>
  <c r="M332" i="20"/>
  <c r="N332" i="20" s="1"/>
  <c r="L332" i="20"/>
  <c r="S332" i="20" s="1"/>
  <c r="H332" i="20"/>
  <c r="G332" i="20"/>
  <c r="F332" i="20"/>
  <c r="C332" i="20"/>
  <c r="D332" i="20" s="1"/>
  <c r="B332" i="20"/>
  <c r="AQ331" i="20"/>
  <c r="AS331" i="20" s="1"/>
  <c r="AP331" i="20"/>
  <c r="AI331" i="20"/>
  <c r="AJ331" i="20" s="1"/>
  <c r="AH331" i="20"/>
  <c r="AE331" i="20"/>
  <c r="AF331" i="20" s="1"/>
  <c r="AD331" i="20"/>
  <c r="AA331" i="20"/>
  <c r="AB331" i="20" s="1"/>
  <c r="Z331" i="20"/>
  <c r="W331" i="20"/>
  <c r="X331" i="20" s="1"/>
  <c r="V331" i="20"/>
  <c r="Q331" i="20"/>
  <c r="R331" i="20" s="1"/>
  <c r="P331" i="20"/>
  <c r="M331" i="20"/>
  <c r="N331" i="20" s="1"/>
  <c r="L331" i="20"/>
  <c r="G331" i="20"/>
  <c r="H331" i="20" s="1"/>
  <c r="F331" i="20"/>
  <c r="I331" i="20" s="1"/>
  <c r="C331" i="20"/>
  <c r="D331" i="20" s="1"/>
  <c r="B331" i="20"/>
  <c r="AS330" i="20"/>
  <c r="AR330" i="20"/>
  <c r="AQ330" i="20"/>
  <c r="AP330" i="20"/>
  <c r="AI330" i="20"/>
  <c r="AJ330" i="20" s="1"/>
  <c r="AE330" i="20"/>
  <c r="AF330" i="20" s="1"/>
  <c r="AD330" i="20"/>
  <c r="AB330" i="20"/>
  <c r="AA330" i="20"/>
  <c r="Z330" i="20"/>
  <c r="W330" i="20"/>
  <c r="X330" i="20" s="1"/>
  <c r="AL330" i="20" s="1"/>
  <c r="Q330" i="20"/>
  <c r="R330" i="20" s="1"/>
  <c r="P330" i="20"/>
  <c r="M330" i="20"/>
  <c r="N330" i="20" s="1"/>
  <c r="H330" i="20"/>
  <c r="G330" i="20"/>
  <c r="F330" i="20"/>
  <c r="C330" i="20"/>
  <c r="D330" i="20" s="1"/>
  <c r="J330" i="20" s="1"/>
  <c r="AQ329" i="20"/>
  <c r="AR329" i="20" s="1"/>
  <c r="AI329" i="20"/>
  <c r="AJ329" i="20" s="1"/>
  <c r="AH329" i="20"/>
  <c r="AE329" i="20"/>
  <c r="AF329" i="20" s="1"/>
  <c r="AA329" i="20"/>
  <c r="AB329" i="20" s="1"/>
  <c r="X329" i="20"/>
  <c r="W329" i="20"/>
  <c r="V329" i="20"/>
  <c r="Q329" i="20"/>
  <c r="R329" i="20" s="1"/>
  <c r="P329" i="20"/>
  <c r="M329" i="20"/>
  <c r="N329" i="20" s="1"/>
  <c r="L329" i="20"/>
  <c r="H329" i="20"/>
  <c r="G329" i="20"/>
  <c r="C329" i="20"/>
  <c r="D329" i="20" s="1"/>
  <c r="J329" i="20" s="1"/>
  <c r="AS328" i="20"/>
  <c r="AQ328" i="20"/>
  <c r="AR328" i="20" s="1"/>
  <c r="AP328" i="20"/>
  <c r="AI328" i="20"/>
  <c r="AJ328" i="20" s="1"/>
  <c r="AH328" i="20"/>
  <c r="AF328" i="20"/>
  <c r="AE328" i="20"/>
  <c r="AA328" i="20"/>
  <c r="AB328" i="20" s="1"/>
  <c r="Z328" i="20"/>
  <c r="X328" i="20"/>
  <c r="W328" i="20"/>
  <c r="V328" i="20"/>
  <c r="Q328" i="20"/>
  <c r="R328" i="20" s="1"/>
  <c r="P328" i="20"/>
  <c r="M328" i="20"/>
  <c r="N328" i="20" s="1"/>
  <c r="L328" i="20"/>
  <c r="G328" i="20"/>
  <c r="H328" i="20" s="1"/>
  <c r="F328" i="20"/>
  <c r="C328" i="20"/>
  <c r="D328" i="20" s="1"/>
  <c r="B328" i="20"/>
  <c r="I328" i="20" s="1"/>
  <c r="AQ327" i="20"/>
  <c r="AS327" i="20" s="1"/>
  <c r="AP327" i="20"/>
  <c r="AI327" i="20"/>
  <c r="AJ327" i="20" s="1"/>
  <c r="AH327" i="20"/>
  <c r="AF327" i="20"/>
  <c r="AE327" i="20"/>
  <c r="AD327" i="20"/>
  <c r="AA327" i="20"/>
  <c r="AB327" i="20" s="1"/>
  <c r="Z327" i="20"/>
  <c r="W327" i="20"/>
  <c r="X327" i="20" s="1"/>
  <c r="V327" i="20"/>
  <c r="AK327" i="20" s="1"/>
  <c r="Q327" i="20"/>
  <c r="R327" i="20" s="1"/>
  <c r="P327" i="20"/>
  <c r="M327" i="20"/>
  <c r="N327" i="20" s="1"/>
  <c r="L327" i="20"/>
  <c r="H327" i="20"/>
  <c r="J327" i="20" s="1"/>
  <c r="G327" i="20"/>
  <c r="F327" i="20"/>
  <c r="C327" i="20"/>
  <c r="D327" i="20" s="1"/>
  <c r="B327" i="20"/>
  <c r="I327" i="20" s="1"/>
  <c r="AQ326" i="20"/>
  <c r="AP326" i="20"/>
  <c r="AJ326" i="20"/>
  <c r="AI326" i="20"/>
  <c r="AH326" i="20"/>
  <c r="AE326" i="20"/>
  <c r="AF326" i="20" s="1"/>
  <c r="AD326" i="20"/>
  <c r="AA326" i="20"/>
  <c r="AB326" i="20" s="1"/>
  <c r="Z326" i="20"/>
  <c r="W326" i="20"/>
  <c r="X326" i="20" s="1"/>
  <c r="V326" i="20"/>
  <c r="Q326" i="20"/>
  <c r="R326" i="20" s="1"/>
  <c r="P326" i="20"/>
  <c r="M326" i="20"/>
  <c r="N326" i="20" s="1"/>
  <c r="L326" i="20"/>
  <c r="S326" i="20" s="1"/>
  <c r="G326" i="20"/>
  <c r="H326" i="20" s="1"/>
  <c r="F326" i="20"/>
  <c r="D326" i="20"/>
  <c r="C326" i="20"/>
  <c r="B326" i="20"/>
  <c r="AQ325" i="20"/>
  <c r="AR325" i="20" s="1"/>
  <c r="AS325" i="20"/>
  <c r="AJ325" i="20"/>
  <c r="AI325" i="20"/>
  <c r="AH325" i="20"/>
  <c r="AE325" i="20"/>
  <c r="AF325" i="20" s="1"/>
  <c r="AD325" i="20"/>
  <c r="AA325" i="20"/>
  <c r="AB325" i="20" s="1"/>
  <c r="Z325" i="20"/>
  <c r="W325" i="20"/>
  <c r="X325" i="20" s="1"/>
  <c r="V325" i="20"/>
  <c r="Q325" i="20"/>
  <c r="R325" i="20" s="1"/>
  <c r="T325" i="20" s="1"/>
  <c r="P325" i="20"/>
  <c r="M325" i="20"/>
  <c r="N325" i="20" s="1"/>
  <c r="L325" i="20"/>
  <c r="G325" i="20"/>
  <c r="H325" i="20" s="1"/>
  <c r="F325" i="20"/>
  <c r="C325" i="20"/>
  <c r="D325" i="20" s="1"/>
  <c r="B325" i="20"/>
  <c r="I325" i="20" s="1"/>
  <c r="AR324" i="20"/>
  <c r="AQ324" i="20"/>
  <c r="AJ324" i="20"/>
  <c r="AI324" i="20"/>
  <c r="AH324" i="20"/>
  <c r="AE324" i="20"/>
  <c r="AF324" i="20" s="1"/>
  <c r="AD324" i="20"/>
  <c r="AB324" i="20"/>
  <c r="AA324" i="20"/>
  <c r="Z324" i="20"/>
  <c r="W324" i="20"/>
  <c r="X324" i="20" s="1"/>
  <c r="AL324" i="20" s="1"/>
  <c r="V324" i="20"/>
  <c r="Q324" i="20"/>
  <c r="R324" i="20" s="1"/>
  <c r="P324" i="20"/>
  <c r="M324" i="20"/>
  <c r="N324" i="20" s="1"/>
  <c r="T324" i="20" s="1"/>
  <c r="L324" i="20"/>
  <c r="G324" i="20"/>
  <c r="H324" i="20" s="1"/>
  <c r="J324" i="20" s="1"/>
  <c r="F324" i="20"/>
  <c r="I324" i="20" s="1"/>
  <c r="D324" i="20"/>
  <c r="C324" i="20"/>
  <c r="B324" i="20"/>
  <c r="AQ323" i="20"/>
  <c r="AS323" i="20" s="1"/>
  <c r="AP323" i="20"/>
  <c r="AI323" i="20"/>
  <c r="AJ323" i="20" s="1"/>
  <c r="AH323" i="20"/>
  <c r="AE323" i="20"/>
  <c r="AF323" i="20" s="1"/>
  <c r="AD323" i="20"/>
  <c r="AA323" i="20"/>
  <c r="AB323" i="20" s="1"/>
  <c r="Z323" i="20"/>
  <c r="W323" i="20"/>
  <c r="X323" i="20" s="1"/>
  <c r="V323" i="20"/>
  <c r="Q323" i="20"/>
  <c r="R323" i="20" s="1"/>
  <c r="P323" i="20"/>
  <c r="N323" i="20"/>
  <c r="T323" i="20" s="1"/>
  <c r="M323" i="20"/>
  <c r="L323" i="20"/>
  <c r="S323" i="20" s="1"/>
  <c r="G323" i="20"/>
  <c r="H323" i="20" s="1"/>
  <c r="F323" i="20"/>
  <c r="C323" i="20"/>
  <c r="D323" i="20" s="1"/>
  <c r="J323" i="20" s="1"/>
  <c r="B323" i="20"/>
  <c r="I323" i="20" s="1"/>
  <c r="AQ322" i="20"/>
  <c r="AP322" i="20"/>
  <c r="AI322" i="20"/>
  <c r="AJ322" i="20" s="1"/>
  <c r="AE322" i="20"/>
  <c r="AF322" i="20" s="1"/>
  <c r="AD322" i="20"/>
  <c r="AA322" i="20"/>
  <c r="AB322" i="20" s="1"/>
  <c r="Z322" i="20"/>
  <c r="X322" i="20"/>
  <c r="W322" i="20"/>
  <c r="Q322" i="20"/>
  <c r="R322" i="20" s="1"/>
  <c r="P322" i="20"/>
  <c r="M322" i="20"/>
  <c r="N322" i="20" s="1"/>
  <c r="T322" i="20" s="1"/>
  <c r="G322" i="20"/>
  <c r="H322" i="20" s="1"/>
  <c r="F322" i="20"/>
  <c r="C322" i="20"/>
  <c r="D322" i="20" s="1"/>
  <c r="AQ321" i="20"/>
  <c r="AR321" i="20" s="1"/>
  <c r="AI321" i="20"/>
  <c r="AJ321" i="20" s="1"/>
  <c r="AH321" i="20"/>
  <c r="AF321" i="20"/>
  <c r="AE321" i="20"/>
  <c r="AA321" i="20"/>
  <c r="AB321" i="20" s="1"/>
  <c r="X321" i="20"/>
  <c r="AL321" i="20" s="1"/>
  <c r="W321" i="20"/>
  <c r="V321" i="20"/>
  <c r="Q321" i="20"/>
  <c r="R321" i="20" s="1"/>
  <c r="M321" i="20"/>
  <c r="N321" i="20" s="1"/>
  <c r="T321" i="20" s="1"/>
  <c r="L321" i="20"/>
  <c r="G321" i="20"/>
  <c r="H321" i="20" s="1"/>
  <c r="F321" i="20"/>
  <c r="C321" i="20"/>
  <c r="D321" i="20" s="1"/>
  <c r="AQ320" i="20"/>
  <c r="AR320" i="20" s="1"/>
  <c r="AP320" i="20"/>
  <c r="AI320" i="20"/>
  <c r="AJ320" i="20" s="1"/>
  <c r="AH320" i="20"/>
  <c r="AE320" i="20"/>
  <c r="AF320" i="20" s="1"/>
  <c r="AA320" i="20"/>
  <c r="AB320" i="20" s="1"/>
  <c r="Z320" i="20"/>
  <c r="X320" i="20"/>
  <c r="W320" i="20"/>
  <c r="V320" i="20"/>
  <c r="Q320" i="20"/>
  <c r="R320" i="20" s="1"/>
  <c r="P320" i="20"/>
  <c r="S320" i="20" s="1"/>
  <c r="N320" i="20"/>
  <c r="M320" i="20"/>
  <c r="L320" i="20"/>
  <c r="G320" i="20"/>
  <c r="H320" i="20" s="1"/>
  <c r="F320" i="20"/>
  <c r="C320" i="20"/>
  <c r="D320" i="20" s="1"/>
  <c r="J320" i="20" s="1"/>
  <c r="B320" i="20"/>
  <c r="AQ319" i="20"/>
  <c r="AP319" i="20"/>
  <c r="AI319" i="20"/>
  <c r="AJ319" i="20" s="1"/>
  <c r="AH319" i="20"/>
  <c r="AF319" i="20"/>
  <c r="AE319" i="20"/>
  <c r="AD319" i="20"/>
  <c r="AA319" i="20"/>
  <c r="AB319" i="20" s="1"/>
  <c r="Z319" i="20"/>
  <c r="W319" i="20"/>
  <c r="X319" i="20" s="1"/>
  <c r="V319" i="20"/>
  <c r="R319" i="20"/>
  <c r="Q319" i="20"/>
  <c r="P319" i="20"/>
  <c r="S319" i="20" s="1"/>
  <c r="M319" i="20"/>
  <c r="N319" i="20" s="1"/>
  <c r="L319" i="20"/>
  <c r="G319" i="20"/>
  <c r="H319" i="20" s="1"/>
  <c r="F319" i="20"/>
  <c r="C319" i="20"/>
  <c r="D319" i="20" s="1"/>
  <c r="J319" i="20" s="1"/>
  <c r="B319" i="20"/>
  <c r="I319" i="20" s="1"/>
  <c r="AQ318" i="20"/>
  <c r="AP318" i="20"/>
  <c r="AI318" i="20"/>
  <c r="AJ318" i="20" s="1"/>
  <c r="AH318" i="20"/>
  <c r="AE318" i="20"/>
  <c r="AF318" i="20" s="1"/>
  <c r="AD318" i="20"/>
  <c r="AA318" i="20"/>
  <c r="AB318" i="20" s="1"/>
  <c r="Z318" i="20"/>
  <c r="W318" i="20"/>
  <c r="X318" i="20" s="1"/>
  <c r="V318" i="20"/>
  <c r="R318" i="20"/>
  <c r="Q318" i="20"/>
  <c r="P318" i="20"/>
  <c r="M318" i="20"/>
  <c r="N318" i="20" s="1"/>
  <c r="T318" i="20" s="1"/>
  <c r="L318" i="20"/>
  <c r="H318" i="20"/>
  <c r="G318" i="20"/>
  <c r="F318" i="20"/>
  <c r="D318" i="20"/>
  <c r="C318" i="20"/>
  <c r="B318" i="20"/>
  <c r="I318" i="20" s="1"/>
  <c r="AS317" i="20"/>
  <c r="AR317" i="20"/>
  <c r="AQ317" i="20"/>
  <c r="AP317" i="20"/>
  <c r="AI317" i="20"/>
  <c r="AJ317" i="20" s="1"/>
  <c r="AH317" i="20"/>
  <c r="AE317" i="20"/>
  <c r="AF317" i="20" s="1"/>
  <c r="AD317" i="20"/>
  <c r="AB317" i="20"/>
  <c r="AA317" i="20"/>
  <c r="Z317" i="20"/>
  <c r="W317" i="20"/>
  <c r="X317" i="20" s="1"/>
  <c r="V317" i="20"/>
  <c r="Q317" i="20"/>
  <c r="R317" i="20" s="1"/>
  <c r="P317" i="20"/>
  <c r="M317" i="20"/>
  <c r="N317" i="20" s="1"/>
  <c r="T317" i="20" s="1"/>
  <c r="L317" i="20"/>
  <c r="G317" i="20"/>
  <c r="H317" i="20" s="1"/>
  <c r="F317" i="20"/>
  <c r="D317" i="20"/>
  <c r="J317" i="20" s="1"/>
  <c r="C317" i="20"/>
  <c r="B317" i="20"/>
  <c r="I317" i="20" s="1"/>
  <c r="AR316" i="20"/>
  <c r="AQ316" i="20"/>
  <c r="AS316" i="20" s="1"/>
  <c r="AI316" i="20"/>
  <c r="AJ316" i="20" s="1"/>
  <c r="AH316" i="20"/>
  <c r="AE316" i="20"/>
  <c r="AF316" i="20" s="1"/>
  <c r="AD316" i="20"/>
  <c r="AB316" i="20"/>
  <c r="AA316" i="20"/>
  <c r="Z316" i="20"/>
  <c r="W316" i="20"/>
  <c r="X316" i="20" s="1"/>
  <c r="V316" i="20"/>
  <c r="Q316" i="20"/>
  <c r="R316" i="20" s="1"/>
  <c r="P316" i="20"/>
  <c r="N316" i="20"/>
  <c r="T316" i="20" s="1"/>
  <c r="M316" i="20"/>
  <c r="L316" i="20"/>
  <c r="G316" i="20"/>
  <c r="H316" i="20" s="1"/>
  <c r="F316" i="20"/>
  <c r="C316" i="20"/>
  <c r="D316" i="20" s="1"/>
  <c r="B316" i="20"/>
  <c r="AQ315" i="20"/>
  <c r="AS315" i="20" s="1"/>
  <c r="AP315" i="20"/>
  <c r="AI315" i="20"/>
  <c r="AJ315" i="20" s="1"/>
  <c r="AH315" i="20"/>
  <c r="AE315" i="20"/>
  <c r="AF315" i="20" s="1"/>
  <c r="AD315" i="20"/>
  <c r="AA315" i="20"/>
  <c r="AB315" i="20" s="1"/>
  <c r="AL315" i="20" s="1"/>
  <c r="Z315" i="20"/>
  <c r="W315" i="20"/>
  <c r="X315" i="20" s="1"/>
  <c r="V315" i="20"/>
  <c r="Q315" i="20"/>
  <c r="R315" i="20" s="1"/>
  <c r="P315" i="20"/>
  <c r="S315" i="20" s="1"/>
  <c r="M315" i="20"/>
  <c r="N315" i="20" s="1"/>
  <c r="L315" i="20"/>
  <c r="G315" i="20"/>
  <c r="H315" i="20" s="1"/>
  <c r="F315" i="20"/>
  <c r="C315" i="20"/>
  <c r="D315" i="20" s="1"/>
  <c r="J315" i="20" s="1"/>
  <c r="B315" i="20"/>
  <c r="AQ314" i="20"/>
  <c r="AR314" i="20" s="1"/>
  <c r="AP314" i="20"/>
  <c r="AI314" i="20"/>
  <c r="AJ314" i="20" s="1"/>
  <c r="AE314" i="20"/>
  <c r="AF314" i="20" s="1"/>
  <c r="AD314" i="20"/>
  <c r="AA314" i="20"/>
  <c r="AB314" i="20" s="1"/>
  <c r="Z314" i="20"/>
  <c r="X314" i="20"/>
  <c r="W314" i="20"/>
  <c r="Q314" i="20"/>
  <c r="R314" i="20" s="1"/>
  <c r="P314" i="20"/>
  <c r="M314" i="20"/>
  <c r="N314" i="20" s="1"/>
  <c r="G314" i="20"/>
  <c r="H314" i="20" s="1"/>
  <c r="F314" i="20"/>
  <c r="D314" i="20"/>
  <c r="C314" i="20"/>
  <c r="AQ313" i="20"/>
  <c r="AR313" i="20" s="1"/>
  <c r="AI313" i="20"/>
  <c r="AJ313" i="20" s="1"/>
  <c r="AH313" i="20"/>
  <c r="AE313" i="20"/>
  <c r="AF313" i="20" s="1"/>
  <c r="AD313" i="20"/>
  <c r="AA313" i="20"/>
  <c r="AB313" i="20" s="1"/>
  <c r="W313" i="20"/>
  <c r="X313" i="20" s="1"/>
  <c r="V313" i="20"/>
  <c r="Q313" i="20"/>
  <c r="R313" i="20" s="1"/>
  <c r="M313" i="20"/>
  <c r="N313" i="20" s="1"/>
  <c r="L313" i="20"/>
  <c r="G313" i="20"/>
  <c r="H313" i="20" s="1"/>
  <c r="C313" i="20"/>
  <c r="D313" i="20" s="1"/>
  <c r="AQ312" i="20"/>
  <c r="AP312" i="20"/>
  <c r="AI312" i="20"/>
  <c r="AJ312" i="20" s="1"/>
  <c r="AH312" i="20"/>
  <c r="AE312" i="20"/>
  <c r="AF312" i="20" s="1"/>
  <c r="AA312" i="20"/>
  <c r="AB312" i="20" s="1"/>
  <c r="Z312" i="20"/>
  <c r="X312" i="20"/>
  <c r="W312" i="20"/>
  <c r="V312" i="20"/>
  <c r="R312" i="20"/>
  <c r="Q312" i="20"/>
  <c r="P312" i="20"/>
  <c r="M312" i="20"/>
  <c r="N312" i="20" s="1"/>
  <c r="L312" i="20"/>
  <c r="S312" i="20" s="1"/>
  <c r="G312" i="20"/>
  <c r="H312" i="20" s="1"/>
  <c r="F312" i="20"/>
  <c r="C312" i="20"/>
  <c r="D312" i="20" s="1"/>
  <c r="B312" i="20"/>
  <c r="I312" i="20" s="1"/>
  <c r="AQ311" i="20"/>
  <c r="AP311" i="20"/>
  <c r="AI311" i="20"/>
  <c r="AJ311" i="20" s="1"/>
  <c r="AH311" i="20"/>
  <c r="AF311" i="20"/>
  <c r="AE311" i="20"/>
  <c r="AD311" i="20"/>
  <c r="AA311" i="20"/>
  <c r="AB311" i="20" s="1"/>
  <c r="Z311" i="20"/>
  <c r="X311" i="20"/>
  <c r="W311" i="20"/>
  <c r="V311" i="20"/>
  <c r="R311" i="20"/>
  <c r="Q311" i="20"/>
  <c r="P311" i="20"/>
  <c r="M311" i="20"/>
  <c r="N311" i="20" s="1"/>
  <c r="T311" i="20" s="1"/>
  <c r="L311" i="20"/>
  <c r="H311" i="20"/>
  <c r="G311" i="20"/>
  <c r="F311" i="20"/>
  <c r="C311" i="20"/>
  <c r="D311" i="20" s="1"/>
  <c r="J311" i="20" s="1"/>
  <c r="B311" i="20"/>
  <c r="I311" i="20" s="1"/>
  <c r="AQ310" i="20"/>
  <c r="AP310" i="20"/>
  <c r="AJ310" i="20"/>
  <c r="AI310" i="20"/>
  <c r="AH310" i="20"/>
  <c r="AE310" i="20"/>
  <c r="AF310" i="20" s="1"/>
  <c r="AD310" i="20"/>
  <c r="AA310" i="20"/>
  <c r="AB310" i="20" s="1"/>
  <c r="Z310" i="20"/>
  <c r="X310" i="20"/>
  <c r="W310" i="20"/>
  <c r="V310" i="20"/>
  <c r="Q310" i="20"/>
  <c r="R310" i="20" s="1"/>
  <c r="P310" i="20"/>
  <c r="M310" i="20"/>
  <c r="N310" i="20" s="1"/>
  <c r="L310" i="20"/>
  <c r="I310" i="20"/>
  <c r="H310" i="20"/>
  <c r="G310" i="20"/>
  <c r="F310" i="20"/>
  <c r="C310" i="20"/>
  <c r="D310" i="20" s="1"/>
  <c r="B310" i="20"/>
  <c r="AS309" i="20"/>
  <c r="AR309" i="20"/>
  <c r="AQ309" i="20"/>
  <c r="AP309" i="20"/>
  <c r="AJ309" i="20"/>
  <c r="AI309" i="20"/>
  <c r="AH309" i="20"/>
  <c r="AE309" i="20"/>
  <c r="AF309" i="20" s="1"/>
  <c r="AD309" i="20"/>
  <c r="AB309" i="20"/>
  <c r="AA309" i="20"/>
  <c r="Z309" i="20"/>
  <c r="W309" i="20"/>
  <c r="X309" i="20" s="1"/>
  <c r="V309" i="20"/>
  <c r="Q309" i="20"/>
  <c r="R309" i="20" s="1"/>
  <c r="P309" i="20"/>
  <c r="N309" i="20"/>
  <c r="T309" i="20" s="1"/>
  <c r="M309" i="20"/>
  <c r="L309" i="20"/>
  <c r="S309" i="20" s="1"/>
  <c r="G309" i="20"/>
  <c r="H309" i="20" s="1"/>
  <c r="F309" i="20"/>
  <c r="C309" i="20"/>
  <c r="D309" i="20" s="1"/>
  <c r="J309" i="20" s="1"/>
  <c r="B309" i="20"/>
  <c r="I309" i="20" s="1"/>
  <c r="AQ308" i="20"/>
  <c r="AP308" i="20"/>
  <c r="AI308" i="20"/>
  <c r="AJ308" i="20" s="1"/>
  <c r="AH308" i="20"/>
  <c r="AF308" i="20"/>
  <c r="AE308" i="20"/>
  <c r="AD308" i="20"/>
  <c r="AA308" i="20"/>
  <c r="AB308" i="20" s="1"/>
  <c r="AL308" i="20" s="1"/>
  <c r="Z308" i="20"/>
  <c r="X308" i="20"/>
  <c r="W308" i="20"/>
  <c r="V308" i="20"/>
  <c r="R308" i="20"/>
  <c r="Q308" i="20"/>
  <c r="P308" i="20"/>
  <c r="M308" i="20"/>
  <c r="N308" i="20" s="1"/>
  <c r="L308" i="20"/>
  <c r="H308" i="20"/>
  <c r="G308" i="20"/>
  <c r="F308" i="20"/>
  <c r="C308" i="20"/>
  <c r="D308" i="20" s="1"/>
  <c r="J308" i="20" s="1"/>
  <c r="B308" i="20"/>
  <c r="I308" i="20" s="1"/>
  <c r="AQ307" i="20"/>
  <c r="AS307" i="20" s="1"/>
  <c r="AP307" i="20"/>
  <c r="AI307" i="20"/>
  <c r="AJ307" i="20" s="1"/>
  <c r="AH307" i="20"/>
  <c r="AE307" i="20"/>
  <c r="AF307" i="20" s="1"/>
  <c r="AD307" i="20"/>
  <c r="AA307" i="20"/>
  <c r="AB307" i="20" s="1"/>
  <c r="Z307" i="20"/>
  <c r="X307" i="20"/>
  <c r="W307" i="20"/>
  <c r="V307" i="20"/>
  <c r="Q307" i="20"/>
  <c r="R307" i="20" s="1"/>
  <c r="P307" i="20"/>
  <c r="N307" i="20"/>
  <c r="T307" i="20" s="1"/>
  <c r="M307" i="20"/>
  <c r="L307" i="20"/>
  <c r="H307" i="20"/>
  <c r="G307" i="20"/>
  <c r="F307" i="20"/>
  <c r="C307" i="20"/>
  <c r="D307" i="20" s="1"/>
  <c r="B307" i="20"/>
  <c r="I307" i="20" s="1"/>
  <c r="AQ306" i="20"/>
  <c r="AP306" i="20"/>
  <c r="AI306" i="20"/>
  <c r="AJ306" i="20" s="1"/>
  <c r="AF306" i="20"/>
  <c r="AE306" i="20"/>
  <c r="AD306" i="20"/>
  <c r="AA306" i="20"/>
  <c r="AB306" i="20" s="1"/>
  <c r="Z306" i="20"/>
  <c r="W306" i="20"/>
  <c r="X306" i="20" s="1"/>
  <c r="R306" i="20"/>
  <c r="Q306" i="20"/>
  <c r="P306" i="20"/>
  <c r="M306" i="20"/>
  <c r="N306" i="20" s="1"/>
  <c r="H306" i="20"/>
  <c r="G306" i="20"/>
  <c r="F306" i="20"/>
  <c r="C306" i="20"/>
  <c r="D306" i="20" s="1"/>
  <c r="J306" i="20" s="1"/>
  <c r="AQ305" i="20"/>
  <c r="AI305" i="20"/>
  <c r="AJ305" i="20" s="1"/>
  <c r="AH305" i="20"/>
  <c r="AE305" i="20"/>
  <c r="AF305" i="20" s="1"/>
  <c r="AA305" i="20"/>
  <c r="AB305" i="20" s="1"/>
  <c r="Z305" i="20"/>
  <c r="W305" i="20"/>
  <c r="X305" i="20" s="1"/>
  <c r="AL305" i="20" s="1"/>
  <c r="V305" i="20"/>
  <c r="Q305" i="20"/>
  <c r="R305" i="20" s="1"/>
  <c r="M305" i="20"/>
  <c r="N305" i="20" s="1"/>
  <c r="L305" i="20"/>
  <c r="G305" i="20"/>
  <c r="H305" i="20" s="1"/>
  <c r="C305" i="20"/>
  <c r="D305" i="20" s="1"/>
  <c r="J305" i="20" s="1"/>
  <c r="B305" i="20"/>
  <c r="AQ304" i="20"/>
  <c r="AS304" i="20" s="1"/>
  <c r="AP304" i="20"/>
  <c r="AI304" i="20"/>
  <c r="AJ304" i="20" s="1"/>
  <c r="AH304" i="20"/>
  <c r="AE304" i="20"/>
  <c r="AF304" i="20" s="1"/>
  <c r="AA304" i="20"/>
  <c r="AB304" i="20" s="1"/>
  <c r="Z304" i="20"/>
  <c r="W304" i="20"/>
  <c r="X304" i="20" s="1"/>
  <c r="V304" i="20"/>
  <c r="R304" i="20"/>
  <c r="Q304" i="20"/>
  <c r="P304" i="20"/>
  <c r="M304" i="20"/>
  <c r="N304" i="20" s="1"/>
  <c r="T304" i="20" s="1"/>
  <c r="L304" i="20"/>
  <c r="G304" i="20"/>
  <c r="H304" i="20" s="1"/>
  <c r="F304" i="20"/>
  <c r="D304" i="20"/>
  <c r="C304" i="20"/>
  <c r="B304" i="20"/>
  <c r="AQ303" i="20"/>
  <c r="AP303" i="20"/>
  <c r="AI303" i="20"/>
  <c r="AJ303" i="20" s="1"/>
  <c r="AH303" i="20"/>
  <c r="AE303" i="20"/>
  <c r="AF303" i="20" s="1"/>
  <c r="AD303" i="20"/>
  <c r="AA303" i="20"/>
  <c r="AB303" i="20" s="1"/>
  <c r="Z303" i="20"/>
  <c r="W303" i="20"/>
  <c r="X303" i="20" s="1"/>
  <c r="V303" i="20"/>
  <c r="R303" i="20"/>
  <c r="T303" i="20" s="1"/>
  <c r="Q303" i="20"/>
  <c r="P303" i="20"/>
  <c r="M303" i="20"/>
  <c r="N303" i="20" s="1"/>
  <c r="L303" i="20"/>
  <c r="S303" i="20" s="1"/>
  <c r="G303" i="20"/>
  <c r="H303" i="20" s="1"/>
  <c r="F303" i="20"/>
  <c r="C303" i="20"/>
  <c r="D303" i="20" s="1"/>
  <c r="J303" i="20" s="1"/>
  <c r="B303" i="20"/>
  <c r="AQ302" i="20"/>
  <c r="AR302" i="20" s="1"/>
  <c r="AP302" i="20"/>
  <c r="AJ302" i="20"/>
  <c r="AI302" i="20"/>
  <c r="AH302" i="20"/>
  <c r="AE302" i="20"/>
  <c r="AF302" i="20" s="1"/>
  <c r="AD302" i="20"/>
  <c r="AA302" i="20"/>
  <c r="AB302" i="20" s="1"/>
  <c r="Z302" i="20"/>
  <c r="W302" i="20"/>
  <c r="X302" i="20" s="1"/>
  <c r="V302" i="20"/>
  <c r="Q302" i="20"/>
  <c r="R302" i="20" s="1"/>
  <c r="P302" i="20"/>
  <c r="M302" i="20"/>
  <c r="N302" i="20" s="1"/>
  <c r="L302" i="20"/>
  <c r="S302" i="20" s="1"/>
  <c r="H302" i="20"/>
  <c r="G302" i="20"/>
  <c r="F302" i="20"/>
  <c r="D302" i="20"/>
  <c r="C302" i="20"/>
  <c r="B302" i="20"/>
  <c r="I302" i="20" s="1"/>
  <c r="AQ301" i="20"/>
  <c r="AS301" i="20" s="1"/>
  <c r="AP301" i="20"/>
  <c r="AJ301" i="20"/>
  <c r="AI301" i="20"/>
  <c r="AH301" i="20"/>
  <c r="AE301" i="20"/>
  <c r="AF301" i="20" s="1"/>
  <c r="AD301" i="20"/>
  <c r="AB301" i="20"/>
  <c r="AA301" i="20"/>
  <c r="Z301" i="20"/>
  <c r="W301" i="20"/>
  <c r="X301" i="20" s="1"/>
  <c r="AL301" i="20" s="1"/>
  <c r="V301" i="20"/>
  <c r="Q301" i="20"/>
  <c r="R301" i="20" s="1"/>
  <c r="P301" i="20"/>
  <c r="M301" i="20"/>
  <c r="N301" i="20" s="1"/>
  <c r="L301" i="20"/>
  <c r="G301" i="20"/>
  <c r="H301" i="20" s="1"/>
  <c r="F301" i="20"/>
  <c r="D301" i="20"/>
  <c r="J301" i="20" s="1"/>
  <c r="C301" i="20"/>
  <c r="B301" i="20"/>
  <c r="AQ300" i="20"/>
  <c r="AR300" i="20" s="1"/>
  <c r="AP300" i="20"/>
  <c r="AI300" i="20"/>
  <c r="AJ300" i="20" s="1"/>
  <c r="AH300" i="20"/>
  <c r="AF300" i="20"/>
  <c r="AE300" i="20"/>
  <c r="AD300" i="20"/>
  <c r="AA300" i="20"/>
  <c r="AB300" i="20" s="1"/>
  <c r="Z300" i="20"/>
  <c r="W300" i="20"/>
  <c r="X300" i="20" s="1"/>
  <c r="V300" i="20"/>
  <c r="T300" i="20"/>
  <c r="R300" i="20"/>
  <c r="Q300" i="20"/>
  <c r="P300" i="20"/>
  <c r="N300" i="20"/>
  <c r="M300" i="20"/>
  <c r="L300" i="20"/>
  <c r="G300" i="20"/>
  <c r="H300" i="20" s="1"/>
  <c r="F300" i="20"/>
  <c r="C300" i="20"/>
  <c r="D300" i="20" s="1"/>
  <c r="J300" i="20" s="1"/>
  <c r="B300" i="20"/>
  <c r="AQ299" i="20"/>
  <c r="AS299" i="20" s="1"/>
  <c r="AP299" i="20"/>
  <c r="AI299" i="20"/>
  <c r="AJ299" i="20" s="1"/>
  <c r="AH299" i="20"/>
  <c r="AE299" i="20"/>
  <c r="AF299" i="20" s="1"/>
  <c r="AD299" i="20"/>
  <c r="AA299" i="20"/>
  <c r="AB299" i="20" s="1"/>
  <c r="Z299" i="20"/>
  <c r="X299" i="20"/>
  <c r="W299" i="20"/>
  <c r="V299" i="20"/>
  <c r="Q299" i="20"/>
  <c r="R299" i="20" s="1"/>
  <c r="P299" i="20"/>
  <c r="M299" i="20"/>
  <c r="N299" i="20" s="1"/>
  <c r="T299" i="20" s="1"/>
  <c r="L299" i="20"/>
  <c r="G299" i="20"/>
  <c r="H299" i="20" s="1"/>
  <c r="F299" i="20"/>
  <c r="C299" i="20"/>
  <c r="D299" i="20" s="1"/>
  <c r="B299" i="20"/>
  <c r="AQ298" i="20"/>
  <c r="AS298" i="20" s="1"/>
  <c r="AP298" i="20"/>
  <c r="AI298" i="20"/>
  <c r="AJ298" i="20" s="1"/>
  <c r="AE298" i="20"/>
  <c r="AF298" i="20" s="1"/>
  <c r="AD298" i="20"/>
  <c r="AB298" i="20"/>
  <c r="AA298" i="20"/>
  <c r="Z298" i="20"/>
  <c r="W298" i="20"/>
  <c r="X298" i="20" s="1"/>
  <c r="Q298" i="20"/>
  <c r="R298" i="20" s="1"/>
  <c r="P298" i="20"/>
  <c r="M298" i="20"/>
  <c r="N298" i="20" s="1"/>
  <c r="L298" i="20"/>
  <c r="G298" i="20"/>
  <c r="H298" i="20" s="1"/>
  <c r="F298" i="20"/>
  <c r="C298" i="20"/>
  <c r="D298" i="20" s="1"/>
  <c r="AQ297" i="20"/>
  <c r="AI297" i="20"/>
  <c r="AJ297" i="20" s="1"/>
  <c r="AH297" i="20"/>
  <c r="AE297" i="20"/>
  <c r="AF297" i="20" s="1"/>
  <c r="AD297" i="20"/>
  <c r="AA297" i="20"/>
  <c r="AB297" i="20" s="1"/>
  <c r="X297" i="20"/>
  <c r="W297" i="20"/>
  <c r="V297" i="20"/>
  <c r="Q297" i="20"/>
  <c r="R297" i="20" s="1"/>
  <c r="M297" i="20"/>
  <c r="N297" i="20" s="1"/>
  <c r="L297" i="20"/>
  <c r="G297" i="20"/>
  <c r="H297" i="20" s="1"/>
  <c r="C297" i="20"/>
  <c r="D297" i="20" s="1"/>
  <c r="J297" i="20" s="1"/>
  <c r="AS296" i="20"/>
  <c r="AQ296" i="20"/>
  <c r="AR296" i="20" s="1"/>
  <c r="AP296" i="20"/>
  <c r="AJ296" i="20"/>
  <c r="AI296" i="20"/>
  <c r="AH296" i="20"/>
  <c r="AE296" i="20"/>
  <c r="AF296" i="20" s="1"/>
  <c r="AB296" i="20"/>
  <c r="AA296" i="20"/>
  <c r="Z296" i="20"/>
  <c r="W296" i="20"/>
  <c r="X296" i="20" s="1"/>
  <c r="V296" i="20"/>
  <c r="Q296" i="20"/>
  <c r="R296" i="20" s="1"/>
  <c r="P296" i="20"/>
  <c r="N296" i="20"/>
  <c r="M296" i="20"/>
  <c r="L296" i="20"/>
  <c r="S296" i="20" s="1"/>
  <c r="G296" i="20"/>
  <c r="H296" i="20" s="1"/>
  <c r="F296" i="20"/>
  <c r="C296" i="20"/>
  <c r="D296" i="20" s="1"/>
  <c r="J296" i="20" s="1"/>
  <c r="B296" i="20"/>
  <c r="AQ295" i="20"/>
  <c r="AS295" i="20" s="1"/>
  <c r="AP295" i="20"/>
  <c r="AI295" i="20"/>
  <c r="AJ295" i="20" s="1"/>
  <c r="AH295" i="20"/>
  <c r="AE295" i="20"/>
  <c r="AF295" i="20" s="1"/>
  <c r="AD295" i="20"/>
  <c r="AA295" i="20"/>
  <c r="AB295" i="20" s="1"/>
  <c r="Z295" i="20"/>
  <c r="W295" i="20"/>
  <c r="X295" i="20" s="1"/>
  <c r="V295" i="20"/>
  <c r="Q295" i="20"/>
  <c r="R295" i="20" s="1"/>
  <c r="P295" i="20"/>
  <c r="S295" i="20" s="1"/>
  <c r="M295" i="20"/>
  <c r="N295" i="20" s="1"/>
  <c r="L295" i="20"/>
  <c r="G295" i="20"/>
  <c r="H295" i="20" s="1"/>
  <c r="F295" i="20"/>
  <c r="C295" i="20"/>
  <c r="D295" i="20" s="1"/>
  <c r="J295" i="20" s="1"/>
  <c r="B295" i="20"/>
  <c r="I295" i="20" s="1"/>
  <c r="AQ294" i="20"/>
  <c r="AR294" i="20" s="1"/>
  <c r="AP294" i="20"/>
  <c r="AI294" i="20"/>
  <c r="AJ294" i="20" s="1"/>
  <c r="AH294" i="20"/>
  <c r="AE294" i="20"/>
  <c r="AF294" i="20" s="1"/>
  <c r="AD294" i="20"/>
  <c r="AA294" i="20"/>
  <c r="AB294" i="20" s="1"/>
  <c r="Z294" i="20"/>
  <c r="W294" i="20"/>
  <c r="X294" i="20" s="1"/>
  <c r="V294" i="20"/>
  <c r="Q294" i="20"/>
  <c r="R294" i="20" s="1"/>
  <c r="P294" i="20"/>
  <c r="M294" i="20"/>
  <c r="N294" i="20" s="1"/>
  <c r="T294" i="20" s="1"/>
  <c r="L294" i="20"/>
  <c r="S294" i="20" s="1"/>
  <c r="G294" i="20"/>
  <c r="H294" i="20" s="1"/>
  <c r="F294" i="20"/>
  <c r="C294" i="20"/>
  <c r="D294" i="20" s="1"/>
  <c r="B294" i="20"/>
  <c r="I294" i="20" s="1"/>
  <c r="AQ293" i="20"/>
  <c r="AP293" i="20"/>
  <c r="AJ293" i="20"/>
  <c r="AI293" i="20"/>
  <c r="AH293" i="20"/>
  <c r="AE293" i="20"/>
  <c r="AF293" i="20" s="1"/>
  <c r="AD293" i="20"/>
  <c r="AA293" i="20"/>
  <c r="AB293" i="20" s="1"/>
  <c r="Z293" i="20"/>
  <c r="W293" i="20"/>
  <c r="X293" i="20" s="1"/>
  <c r="V293" i="20"/>
  <c r="R293" i="20"/>
  <c r="Q293" i="20"/>
  <c r="P293" i="20"/>
  <c r="N293" i="20"/>
  <c r="T293" i="20" s="1"/>
  <c r="M293" i="20"/>
  <c r="L293" i="20"/>
  <c r="S293" i="20" s="1"/>
  <c r="G293" i="20"/>
  <c r="H293" i="20" s="1"/>
  <c r="F293" i="20"/>
  <c r="C293" i="20"/>
  <c r="D293" i="20" s="1"/>
  <c r="B293" i="20"/>
  <c r="AQ292" i="20"/>
  <c r="AS292" i="20" s="1"/>
  <c r="AP292" i="20"/>
  <c r="AI292" i="20"/>
  <c r="AJ292" i="20" s="1"/>
  <c r="AH292" i="20"/>
  <c r="AE292" i="20"/>
  <c r="AF292" i="20" s="1"/>
  <c r="AD292" i="20"/>
  <c r="AA292" i="20"/>
  <c r="AB292" i="20" s="1"/>
  <c r="Z292" i="20"/>
  <c r="W292" i="20"/>
  <c r="X292" i="20" s="1"/>
  <c r="AL292" i="20" s="1"/>
  <c r="V292" i="20"/>
  <c r="Q292" i="20"/>
  <c r="R292" i="20" s="1"/>
  <c r="P292" i="20"/>
  <c r="N292" i="20"/>
  <c r="T292" i="20" s="1"/>
  <c r="M292" i="20"/>
  <c r="L292" i="20"/>
  <c r="G292" i="20"/>
  <c r="H292" i="20" s="1"/>
  <c r="F292" i="20"/>
  <c r="C292" i="20"/>
  <c r="D292" i="20" s="1"/>
  <c r="B292" i="20"/>
  <c r="AQ291" i="20"/>
  <c r="AS291" i="20" s="1"/>
  <c r="AP291" i="20"/>
  <c r="AI291" i="20"/>
  <c r="AJ291" i="20" s="1"/>
  <c r="AH291" i="20"/>
  <c r="AF291" i="20"/>
  <c r="AE291" i="20"/>
  <c r="AD291" i="20"/>
  <c r="AB291" i="20"/>
  <c r="AA291" i="20"/>
  <c r="Z291" i="20"/>
  <c r="W291" i="20"/>
  <c r="X291" i="20" s="1"/>
  <c r="V291" i="20"/>
  <c r="Q291" i="20"/>
  <c r="R291" i="20" s="1"/>
  <c r="T291" i="20" s="1"/>
  <c r="P291" i="20"/>
  <c r="M291" i="20"/>
  <c r="N291" i="20" s="1"/>
  <c r="L291" i="20"/>
  <c r="S291" i="20" s="1"/>
  <c r="G291" i="20"/>
  <c r="H291" i="20" s="1"/>
  <c r="F291" i="20"/>
  <c r="C291" i="20"/>
  <c r="D291" i="20" s="1"/>
  <c r="B291" i="20"/>
  <c r="AQ290" i="20"/>
  <c r="AP290" i="20"/>
  <c r="AI290" i="20"/>
  <c r="AJ290" i="20" s="1"/>
  <c r="AE290" i="20"/>
  <c r="AF290" i="20" s="1"/>
  <c r="AD290" i="20"/>
  <c r="AA290" i="20"/>
  <c r="AB290" i="20" s="1"/>
  <c r="Z290" i="20"/>
  <c r="X290" i="20"/>
  <c r="W290" i="20"/>
  <c r="Q290" i="20"/>
  <c r="R290" i="20" s="1"/>
  <c r="P290" i="20"/>
  <c r="M290" i="20"/>
  <c r="N290" i="20" s="1"/>
  <c r="G290" i="20"/>
  <c r="H290" i="20" s="1"/>
  <c r="J290" i="20" s="1"/>
  <c r="F290" i="20"/>
  <c r="C290" i="20"/>
  <c r="D290" i="20" s="1"/>
  <c r="AQ289" i="20"/>
  <c r="AR289" i="20" s="1"/>
  <c r="AJ289" i="20"/>
  <c r="AI289" i="20"/>
  <c r="AH289" i="20"/>
  <c r="AE289" i="20"/>
  <c r="AF289" i="20" s="1"/>
  <c r="AA289" i="20"/>
  <c r="AB289" i="20" s="1"/>
  <c r="W289" i="20"/>
  <c r="X289" i="20" s="1"/>
  <c r="AL289" i="20" s="1"/>
  <c r="V289" i="20"/>
  <c r="R289" i="20"/>
  <c r="Q289" i="20"/>
  <c r="M289" i="20"/>
  <c r="N289" i="20" s="1"/>
  <c r="T289" i="20" s="1"/>
  <c r="L289" i="20"/>
  <c r="G289" i="20"/>
  <c r="H289" i="20" s="1"/>
  <c r="C289" i="20"/>
  <c r="D289" i="20" s="1"/>
  <c r="AQ288" i="20"/>
  <c r="AS288" i="20" s="1"/>
  <c r="AP288" i="20"/>
  <c r="AI288" i="20"/>
  <c r="AJ288" i="20" s="1"/>
  <c r="AH288" i="20"/>
  <c r="AE288" i="20"/>
  <c r="AF288" i="20" s="1"/>
  <c r="AA288" i="20"/>
  <c r="AB288" i="20" s="1"/>
  <c r="Z288" i="20"/>
  <c r="W288" i="20"/>
  <c r="X288" i="20" s="1"/>
  <c r="V288" i="20"/>
  <c r="Q288" i="20"/>
  <c r="R288" i="20" s="1"/>
  <c r="P288" i="20"/>
  <c r="M288" i="20"/>
  <c r="N288" i="20" s="1"/>
  <c r="L288" i="20"/>
  <c r="G288" i="20"/>
  <c r="H288" i="20" s="1"/>
  <c r="F288" i="20"/>
  <c r="C288" i="20"/>
  <c r="D288" i="20" s="1"/>
  <c r="B288" i="20"/>
  <c r="AR287" i="20"/>
  <c r="AQ287" i="20"/>
  <c r="AP287" i="20"/>
  <c r="AI287" i="20"/>
  <c r="AJ287" i="20" s="1"/>
  <c r="AH287" i="20"/>
  <c r="AE287" i="20"/>
  <c r="AF287" i="20" s="1"/>
  <c r="AD287" i="20"/>
  <c r="AB287" i="20"/>
  <c r="AA287" i="20"/>
  <c r="Z287" i="20"/>
  <c r="W287" i="20"/>
  <c r="X287" i="20" s="1"/>
  <c r="V287" i="20"/>
  <c r="R287" i="20"/>
  <c r="T287" i="20" s="1"/>
  <c r="Q287" i="20"/>
  <c r="P287" i="20"/>
  <c r="N287" i="20"/>
  <c r="M287" i="20"/>
  <c r="L287" i="20"/>
  <c r="G287" i="20"/>
  <c r="H287" i="20" s="1"/>
  <c r="J287" i="20" s="1"/>
  <c r="F287" i="20"/>
  <c r="C287" i="20"/>
  <c r="D287" i="20" s="1"/>
  <c r="B287" i="20"/>
  <c r="AQ286" i="20"/>
  <c r="AS286" i="20" s="1"/>
  <c r="AP286" i="20"/>
  <c r="AJ286" i="20"/>
  <c r="AI286" i="20"/>
  <c r="AH286" i="20"/>
  <c r="AE286" i="20"/>
  <c r="AF286" i="20" s="1"/>
  <c r="AD286" i="20"/>
  <c r="AA286" i="20"/>
  <c r="AB286" i="20" s="1"/>
  <c r="Z286" i="20"/>
  <c r="W286" i="20"/>
  <c r="X286" i="20" s="1"/>
  <c r="V286" i="20"/>
  <c r="Q286" i="20"/>
  <c r="R286" i="20" s="1"/>
  <c r="P286" i="20"/>
  <c r="M286" i="20"/>
  <c r="N286" i="20" s="1"/>
  <c r="L286" i="20"/>
  <c r="G286" i="20"/>
  <c r="H286" i="20" s="1"/>
  <c r="F286" i="20"/>
  <c r="D286" i="20"/>
  <c r="J286" i="20" s="1"/>
  <c r="C286" i="20"/>
  <c r="B286" i="20"/>
  <c r="I286" i="20" s="1"/>
  <c r="AR285" i="20"/>
  <c r="AQ285" i="20"/>
  <c r="AP285" i="20"/>
  <c r="AI285" i="20"/>
  <c r="AJ285" i="20" s="1"/>
  <c r="AH285" i="20"/>
  <c r="AF285" i="20"/>
  <c r="AE285" i="20"/>
  <c r="AD285" i="20"/>
  <c r="AA285" i="20"/>
  <c r="AB285" i="20" s="1"/>
  <c r="Z285" i="20"/>
  <c r="W285" i="20"/>
  <c r="X285" i="20" s="1"/>
  <c r="V285" i="20"/>
  <c r="Q285" i="20"/>
  <c r="R285" i="20" s="1"/>
  <c r="T285" i="20" s="1"/>
  <c r="P285" i="20"/>
  <c r="M285" i="20"/>
  <c r="N285" i="20" s="1"/>
  <c r="L285" i="20"/>
  <c r="G285" i="20"/>
  <c r="H285" i="20" s="1"/>
  <c r="F285" i="20"/>
  <c r="D285" i="20"/>
  <c r="J285" i="20" s="1"/>
  <c r="C285" i="20"/>
  <c r="B285" i="20"/>
  <c r="I285" i="20" s="1"/>
  <c r="AQ284" i="20"/>
  <c r="AS284" i="20" s="1"/>
  <c r="AP284" i="20"/>
  <c r="AI284" i="20"/>
  <c r="AJ284" i="20" s="1"/>
  <c r="AH284" i="20"/>
  <c r="AE284" i="20"/>
  <c r="AF284" i="20" s="1"/>
  <c r="AD284" i="20"/>
  <c r="AA284" i="20"/>
  <c r="AB284" i="20" s="1"/>
  <c r="Z284" i="20"/>
  <c r="W284" i="20"/>
  <c r="X284" i="20" s="1"/>
  <c r="V284" i="20"/>
  <c r="Q284" i="20"/>
  <c r="R284" i="20" s="1"/>
  <c r="P284" i="20"/>
  <c r="M284" i="20"/>
  <c r="N284" i="20" s="1"/>
  <c r="L284" i="20"/>
  <c r="S284" i="20" s="1"/>
  <c r="G284" i="20"/>
  <c r="H284" i="20" s="1"/>
  <c r="F284" i="20"/>
  <c r="C284" i="20"/>
  <c r="D284" i="20" s="1"/>
  <c r="B284" i="20"/>
  <c r="AQ283" i="20"/>
  <c r="AR283" i="20" s="1"/>
  <c r="AP283" i="20"/>
  <c r="AI283" i="20"/>
  <c r="AJ283" i="20" s="1"/>
  <c r="AH283" i="20"/>
  <c r="AE283" i="20"/>
  <c r="AF283" i="20" s="1"/>
  <c r="AD283" i="20"/>
  <c r="AA283" i="20"/>
  <c r="AB283" i="20" s="1"/>
  <c r="Z283" i="20"/>
  <c r="W283" i="20"/>
  <c r="X283" i="20" s="1"/>
  <c r="V283" i="20"/>
  <c r="AK283" i="20" s="1"/>
  <c r="Q283" i="20"/>
  <c r="R283" i="20" s="1"/>
  <c r="P283" i="20"/>
  <c r="S283" i="20" s="1"/>
  <c r="N283" i="20"/>
  <c r="M283" i="20"/>
  <c r="L283" i="20"/>
  <c r="G283" i="20"/>
  <c r="H283" i="20" s="1"/>
  <c r="F283" i="20"/>
  <c r="C283" i="20"/>
  <c r="D283" i="20" s="1"/>
  <c r="J283" i="20" s="1"/>
  <c r="B283" i="20"/>
  <c r="AQ282" i="20"/>
  <c r="AP282" i="20"/>
  <c r="AI282" i="20"/>
  <c r="AJ282" i="20" s="1"/>
  <c r="AF282" i="20"/>
  <c r="AE282" i="20"/>
  <c r="AD282" i="20"/>
  <c r="AA282" i="20"/>
  <c r="AB282" i="20" s="1"/>
  <c r="Z282" i="20"/>
  <c r="X282" i="20"/>
  <c r="W282" i="20"/>
  <c r="Q282" i="20"/>
  <c r="R282" i="20" s="1"/>
  <c r="P282" i="20"/>
  <c r="M282" i="20"/>
  <c r="N282" i="20" s="1"/>
  <c r="G282" i="20"/>
  <c r="H282" i="20" s="1"/>
  <c r="F282" i="20"/>
  <c r="C282" i="20"/>
  <c r="D282" i="20" s="1"/>
  <c r="B282" i="20"/>
  <c r="AR281" i="20"/>
  <c r="AQ281" i="20"/>
  <c r="AI281" i="20"/>
  <c r="AJ281" i="20" s="1"/>
  <c r="AH281" i="20"/>
  <c r="AF281" i="20"/>
  <c r="AE281" i="20"/>
  <c r="AA281" i="20"/>
  <c r="AB281" i="20" s="1"/>
  <c r="W281" i="20"/>
  <c r="X281" i="20" s="1"/>
  <c r="V281" i="20"/>
  <c r="Q281" i="20"/>
  <c r="R281" i="20" s="1"/>
  <c r="M281" i="20"/>
  <c r="N281" i="20" s="1"/>
  <c r="T281" i="20" s="1"/>
  <c r="L281" i="20"/>
  <c r="G281" i="20"/>
  <c r="H281" i="20" s="1"/>
  <c r="C281" i="20"/>
  <c r="D281" i="20" s="1"/>
  <c r="B281" i="20"/>
  <c r="AS280" i="20"/>
  <c r="AR280" i="20"/>
  <c r="AQ280" i="20"/>
  <c r="AP280" i="20"/>
  <c r="AI280" i="20"/>
  <c r="AJ280" i="20" s="1"/>
  <c r="AH280" i="20"/>
  <c r="AE280" i="20"/>
  <c r="AF280" i="20" s="1"/>
  <c r="AA280" i="20"/>
  <c r="AB280" i="20" s="1"/>
  <c r="Z280" i="20"/>
  <c r="W280" i="20"/>
  <c r="X280" i="20" s="1"/>
  <c r="V280" i="20"/>
  <c r="Q280" i="20"/>
  <c r="R280" i="20" s="1"/>
  <c r="P280" i="20"/>
  <c r="M280" i="20"/>
  <c r="N280" i="20" s="1"/>
  <c r="L280" i="20"/>
  <c r="G280" i="20"/>
  <c r="H280" i="20" s="1"/>
  <c r="F280" i="20"/>
  <c r="C280" i="20"/>
  <c r="D280" i="20" s="1"/>
  <c r="B280" i="20"/>
  <c r="AQ279" i="20"/>
  <c r="AP279" i="20"/>
  <c r="AI279" i="20"/>
  <c r="AJ279" i="20" s="1"/>
  <c r="AH279" i="20"/>
  <c r="AF279" i="20"/>
  <c r="AE279" i="20"/>
  <c r="AD279" i="20"/>
  <c r="AA279" i="20"/>
  <c r="AB279" i="20" s="1"/>
  <c r="Z279" i="20"/>
  <c r="W279" i="20"/>
  <c r="X279" i="20" s="1"/>
  <c r="V279" i="20"/>
  <c r="Q279" i="20"/>
  <c r="R279" i="20" s="1"/>
  <c r="T279" i="20" s="1"/>
  <c r="P279" i="20"/>
  <c r="M279" i="20"/>
  <c r="N279" i="20" s="1"/>
  <c r="L279" i="20"/>
  <c r="G279" i="20"/>
  <c r="H279" i="20" s="1"/>
  <c r="F279" i="20"/>
  <c r="C279" i="20"/>
  <c r="D279" i="20" s="1"/>
  <c r="B279" i="20"/>
  <c r="I279" i="20" s="1"/>
  <c r="AS278" i="20"/>
  <c r="AR278" i="20"/>
  <c r="AQ278" i="20"/>
  <c r="AP278" i="20"/>
  <c r="AI278" i="20"/>
  <c r="AJ278" i="20" s="1"/>
  <c r="AH278" i="20"/>
  <c r="AE278" i="20"/>
  <c r="AF278" i="20" s="1"/>
  <c r="AD278" i="20"/>
  <c r="AB278" i="20"/>
  <c r="AA278" i="20"/>
  <c r="Z278" i="20"/>
  <c r="W278" i="20"/>
  <c r="X278" i="20" s="1"/>
  <c r="V278" i="20"/>
  <c r="Q278" i="20"/>
  <c r="R278" i="20" s="1"/>
  <c r="P278" i="20"/>
  <c r="M278" i="20"/>
  <c r="N278" i="20" s="1"/>
  <c r="L278" i="20"/>
  <c r="G278" i="20"/>
  <c r="H278" i="20" s="1"/>
  <c r="F278" i="20"/>
  <c r="C278" i="20"/>
  <c r="D278" i="20" s="1"/>
  <c r="J278" i="20" s="1"/>
  <c r="B278" i="20"/>
  <c r="AQ277" i="20"/>
  <c r="AP277" i="20"/>
  <c r="AJ277" i="20"/>
  <c r="AI277" i="20"/>
  <c r="AH277" i="20"/>
  <c r="AE277" i="20"/>
  <c r="AF277" i="20" s="1"/>
  <c r="AD277" i="20"/>
  <c r="AA277" i="20"/>
  <c r="AB277" i="20" s="1"/>
  <c r="Z277" i="20"/>
  <c r="X277" i="20"/>
  <c r="W277" i="20"/>
  <c r="V277" i="20"/>
  <c r="R277" i="20"/>
  <c r="Q277" i="20"/>
  <c r="P277" i="20"/>
  <c r="S277" i="20" s="1"/>
  <c r="M277" i="20"/>
  <c r="N277" i="20" s="1"/>
  <c r="L277" i="20"/>
  <c r="G277" i="20"/>
  <c r="H277" i="20" s="1"/>
  <c r="F277" i="20"/>
  <c r="C277" i="20"/>
  <c r="D277" i="20" s="1"/>
  <c r="B277" i="20"/>
  <c r="AQ276" i="20"/>
  <c r="AP276" i="20"/>
  <c r="AI276" i="20"/>
  <c r="AJ276" i="20" s="1"/>
  <c r="AH276" i="20"/>
  <c r="AF276" i="20"/>
  <c r="AE276" i="20"/>
  <c r="AD276" i="20"/>
  <c r="AA276" i="20"/>
  <c r="AB276" i="20" s="1"/>
  <c r="Z276" i="20"/>
  <c r="W276" i="20"/>
  <c r="X276" i="20" s="1"/>
  <c r="V276" i="20"/>
  <c r="Q276" i="20"/>
  <c r="R276" i="20" s="1"/>
  <c r="P276" i="20"/>
  <c r="M276" i="20"/>
  <c r="N276" i="20" s="1"/>
  <c r="L276" i="20"/>
  <c r="G276" i="20"/>
  <c r="H276" i="20" s="1"/>
  <c r="F276" i="20"/>
  <c r="C276" i="20"/>
  <c r="D276" i="20" s="1"/>
  <c r="B276" i="20"/>
  <c r="AQ275" i="20"/>
  <c r="AP275" i="20"/>
  <c r="AI275" i="20"/>
  <c r="AJ275" i="20" s="1"/>
  <c r="AH275" i="20"/>
  <c r="AE275" i="20"/>
  <c r="AF275" i="20" s="1"/>
  <c r="AD275" i="20"/>
  <c r="AA275" i="20"/>
  <c r="AB275" i="20" s="1"/>
  <c r="Z275" i="20"/>
  <c r="W275" i="20"/>
  <c r="X275" i="20" s="1"/>
  <c r="V275" i="20"/>
  <c r="Q275" i="20"/>
  <c r="R275" i="20" s="1"/>
  <c r="P275" i="20"/>
  <c r="M275" i="20"/>
  <c r="N275" i="20" s="1"/>
  <c r="L275" i="20"/>
  <c r="S275" i="20" s="1"/>
  <c r="G275" i="20"/>
  <c r="H275" i="20" s="1"/>
  <c r="F275" i="20"/>
  <c r="C275" i="20"/>
  <c r="D275" i="20" s="1"/>
  <c r="B275" i="20"/>
  <c r="I275" i="20" s="1"/>
  <c r="AQ274" i="20"/>
  <c r="AP274" i="20"/>
  <c r="AI274" i="20"/>
  <c r="AJ274" i="20" s="1"/>
  <c r="AF274" i="20"/>
  <c r="AE274" i="20"/>
  <c r="AD274" i="20"/>
  <c r="AA274" i="20"/>
  <c r="AB274" i="20" s="1"/>
  <c r="Z274" i="20"/>
  <c r="W274" i="20"/>
  <c r="X274" i="20" s="1"/>
  <c r="V274" i="20"/>
  <c r="Q274" i="20"/>
  <c r="R274" i="20" s="1"/>
  <c r="P274" i="20"/>
  <c r="M274" i="20"/>
  <c r="N274" i="20" s="1"/>
  <c r="H274" i="20"/>
  <c r="G274" i="20"/>
  <c r="F274" i="20"/>
  <c r="C274" i="20"/>
  <c r="D274" i="20" s="1"/>
  <c r="J274" i="20" s="1"/>
  <c r="AQ273" i="20"/>
  <c r="AR273" i="20" s="1"/>
  <c r="AL273" i="20"/>
  <c r="AI273" i="20"/>
  <c r="AJ273" i="20" s="1"/>
  <c r="AH273" i="20"/>
  <c r="AE273" i="20"/>
  <c r="AF273" i="20" s="1"/>
  <c r="AA273" i="20"/>
  <c r="AB273" i="20" s="1"/>
  <c r="W273" i="20"/>
  <c r="X273" i="20" s="1"/>
  <c r="V273" i="20"/>
  <c r="Q273" i="20"/>
  <c r="R273" i="20" s="1"/>
  <c r="N273" i="20"/>
  <c r="M273" i="20"/>
  <c r="L273" i="20"/>
  <c r="G273" i="20"/>
  <c r="H273" i="20" s="1"/>
  <c r="C273" i="20"/>
  <c r="D273" i="20" s="1"/>
  <c r="AQ272" i="20"/>
  <c r="AP272" i="20"/>
  <c r="AJ272" i="20"/>
  <c r="AI272" i="20"/>
  <c r="AH272" i="20"/>
  <c r="AE272" i="20"/>
  <c r="AF272" i="20" s="1"/>
  <c r="AA272" i="20"/>
  <c r="AB272" i="20" s="1"/>
  <c r="Z272" i="20"/>
  <c r="W272" i="20"/>
  <c r="X272" i="20" s="1"/>
  <c r="V272" i="20"/>
  <c r="R272" i="20"/>
  <c r="Q272" i="20"/>
  <c r="P272" i="20"/>
  <c r="M272" i="20"/>
  <c r="N272" i="20" s="1"/>
  <c r="L272" i="20"/>
  <c r="G272" i="20"/>
  <c r="H272" i="20" s="1"/>
  <c r="F272" i="20"/>
  <c r="D272" i="20"/>
  <c r="J272" i="20" s="1"/>
  <c r="C272" i="20"/>
  <c r="B272" i="20"/>
  <c r="AQ271" i="20"/>
  <c r="AS271" i="20" s="1"/>
  <c r="AP271" i="20"/>
  <c r="AI271" i="20"/>
  <c r="AJ271" i="20" s="1"/>
  <c r="AH271" i="20"/>
  <c r="AE271" i="20"/>
  <c r="AF271" i="20" s="1"/>
  <c r="AD271" i="20"/>
  <c r="AA271" i="20"/>
  <c r="AB271" i="20" s="1"/>
  <c r="Z271" i="20"/>
  <c r="W271" i="20"/>
  <c r="X271" i="20" s="1"/>
  <c r="V271" i="20"/>
  <c r="Q271" i="20"/>
  <c r="R271" i="20" s="1"/>
  <c r="P271" i="20"/>
  <c r="N271" i="20"/>
  <c r="M271" i="20"/>
  <c r="L271" i="20"/>
  <c r="G271" i="20"/>
  <c r="H271" i="20" s="1"/>
  <c r="F271" i="20"/>
  <c r="C271" i="20"/>
  <c r="D271" i="20" s="1"/>
  <c r="B271" i="20"/>
  <c r="AS270" i="20"/>
  <c r="AR270" i="20"/>
  <c r="AQ270" i="20"/>
  <c r="AP270" i="20"/>
  <c r="AI270" i="20"/>
  <c r="AJ270" i="20" s="1"/>
  <c r="AH270" i="20"/>
  <c r="AE270" i="20"/>
  <c r="AF270" i="20" s="1"/>
  <c r="AD270" i="20"/>
  <c r="AB270" i="20"/>
  <c r="AA270" i="20"/>
  <c r="Z270" i="20"/>
  <c r="W270" i="20"/>
  <c r="X270" i="20" s="1"/>
  <c r="V270" i="20"/>
  <c r="AK270" i="20" s="1"/>
  <c r="Q270" i="20"/>
  <c r="R270" i="20" s="1"/>
  <c r="P270" i="20"/>
  <c r="N270" i="20"/>
  <c r="T270" i="20" s="1"/>
  <c r="M270" i="20"/>
  <c r="L270" i="20"/>
  <c r="G270" i="20"/>
  <c r="H270" i="20" s="1"/>
  <c r="F270" i="20"/>
  <c r="D270" i="20"/>
  <c r="C270" i="20"/>
  <c r="B270" i="20"/>
  <c r="AR269" i="20"/>
  <c r="AQ269" i="20"/>
  <c r="AS269" i="20" s="1"/>
  <c r="AP269" i="20"/>
  <c r="AI269" i="20"/>
  <c r="AJ269" i="20" s="1"/>
  <c r="AH269" i="20"/>
  <c r="AF269" i="20"/>
  <c r="AE269" i="20"/>
  <c r="AD269" i="20"/>
  <c r="AA269" i="20"/>
  <c r="AB269" i="20" s="1"/>
  <c r="Z269" i="20"/>
  <c r="W269" i="20"/>
  <c r="X269" i="20" s="1"/>
  <c r="V269" i="20"/>
  <c r="R269" i="20"/>
  <c r="Q269" i="20"/>
  <c r="P269" i="20"/>
  <c r="M269" i="20"/>
  <c r="N269" i="20" s="1"/>
  <c r="L269" i="20"/>
  <c r="G269" i="20"/>
  <c r="H269" i="20" s="1"/>
  <c r="F269" i="20"/>
  <c r="D269" i="20"/>
  <c r="C269" i="20"/>
  <c r="B269" i="20"/>
  <c r="AQ268" i="20"/>
  <c r="AS268" i="20" s="1"/>
  <c r="AP268" i="20"/>
  <c r="AI268" i="20"/>
  <c r="AJ268" i="20" s="1"/>
  <c r="AH268" i="20"/>
  <c r="AE268" i="20"/>
  <c r="AF268" i="20" s="1"/>
  <c r="AD268" i="20"/>
  <c r="AA268" i="20"/>
  <c r="AB268" i="20" s="1"/>
  <c r="Z268" i="20"/>
  <c r="X268" i="20"/>
  <c r="W268" i="20"/>
  <c r="V268" i="20"/>
  <c r="Q268" i="20"/>
  <c r="R268" i="20" s="1"/>
  <c r="P268" i="20"/>
  <c r="N268" i="20"/>
  <c r="M268" i="20"/>
  <c r="L268" i="20"/>
  <c r="H268" i="20"/>
  <c r="G268" i="20"/>
  <c r="F268" i="20"/>
  <c r="C268" i="20"/>
  <c r="D268" i="20" s="1"/>
  <c r="J268" i="20" s="1"/>
  <c r="B268" i="20"/>
  <c r="AQ267" i="20"/>
  <c r="AS267" i="20" s="1"/>
  <c r="AP267" i="20"/>
  <c r="AJ267" i="20"/>
  <c r="AI267" i="20"/>
  <c r="AH267" i="20"/>
  <c r="AE267" i="20"/>
  <c r="AF267" i="20" s="1"/>
  <c r="AD267" i="20"/>
  <c r="AB267" i="20"/>
  <c r="AA267" i="20"/>
  <c r="Z267" i="20"/>
  <c r="W267" i="20"/>
  <c r="X267" i="20" s="1"/>
  <c r="V267" i="20"/>
  <c r="AK267" i="20" s="1"/>
  <c r="Q267" i="20"/>
  <c r="R267" i="20" s="1"/>
  <c r="P267" i="20"/>
  <c r="N267" i="20"/>
  <c r="T267" i="20" s="1"/>
  <c r="M267" i="20"/>
  <c r="L267" i="20"/>
  <c r="S267" i="20" s="1"/>
  <c r="G267" i="20"/>
  <c r="H267" i="20" s="1"/>
  <c r="F267" i="20"/>
  <c r="C267" i="20"/>
  <c r="D267" i="20" s="1"/>
  <c r="B267" i="20"/>
  <c r="AQ266" i="20"/>
  <c r="AP266" i="20"/>
  <c r="AI266" i="20"/>
  <c r="AJ266" i="20" s="1"/>
  <c r="AE266" i="20"/>
  <c r="AF266" i="20" s="1"/>
  <c r="AD266" i="20"/>
  <c r="AA266" i="20"/>
  <c r="AB266" i="20" s="1"/>
  <c r="Z266" i="20"/>
  <c r="W266" i="20"/>
  <c r="X266" i="20" s="1"/>
  <c r="R266" i="20"/>
  <c r="Q266" i="20"/>
  <c r="P266" i="20"/>
  <c r="M266" i="20"/>
  <c r="N266" i="20" s="1"/>
  <c r="G266" i="20"/>
  <c r="H266" i="20" s="1"/>
  <c r="F266" i="20"/>
  <c r="C266" i="20"/>
  <c r="D266" i="20" s="1"/>
  <c r="AR265" i="20"/>
  <c r="AQ265" i="20"/>
  <c r="AJ265" i="20"/>
  <c r="AI265" i="20"/>
  <c r="AH265" i="20"/>
  <c r="AE265" i="20"/>
  <c r="AF265" i="20" s="1"/>
  <c r="AB265" i="20"/>
  <c r="AA265" i="20"/>
  <c r="Z265" i="20"/>
  <c r="W265" i="20"/>
  <c r="X265" i="20" s="1"/>
  <c r="V265" i="20"/>
  <c r="Q265" i="20"/>
  <c r="R265" i="20" s="1"/>
  <c r="M265" i="20"/>
  <c r="N265" i="20" s="1"/>
  <c r="T265" i="20" s="1"/>
  <c r="L265" i="20"/>
  <c r="G265" i="20"/>
  <c r="H265" i="20" s="1"/>
  <c r="D265" i="20"/>
  <c r="C265" i="20"/>
  <c r="AQ264" i="20"/>
  <c r="AS264" i="20" s="1"/>
  <c r="AP264" i="20"/>
  <c r="AI264" i="20"/>
  <c r="AJ264" i="20" s="1"/>
  <c r="AH264" i="20"/>
  <c r="AE264" i="20"/>
  <c r="AF264" i="20" s="1"/>
  <c r="AB264" i="20"/>
  <c r="AA264" i="20"/>
  <c r="Z264" i="20"/>
  <c r="W264" i="20"/>
  <c r="X264" i="20" s="1"/>
  <c r="V264" i="20"/>
  <c r="Q264" i="20"/>
  <c r="R264" i="20" s="1"/>
  <c r="P264" i="20"/>
  <c r="M264" i="20"/>
  <c r="N264" i="20" s="1"/>
  <c r="L264" i="20"/>
  <c r="G264" i="20"/>
  <c r="H264" i="20" s="1"/>
  <c r="F264" i="20"/>
  <c r="C264" i="20"/>
  <c r="D264" i="20" s="1"/>
  <c r="B264" i="20"/>
  <c r="I264" i="20" s="1"/>
  <c r="AQ263" i="20"/>
  <c r="AS263" i="20" s="1"/>
  <c r="AP263" i="20"/>
  <c r="AI263" i="20"/>
  <c r="AJ263" i="20" s="1"/>
  <c r="AH263" i="20"/>
  <c r="AE263" i="20"/>
  <c r="AF263" i="20" s="1"/>
  <c r="AD263" i="20"/>
  <c r="AA263" i="20"/>
  <c r="AB263" i="20" s="1"/>
  <c r="Z263" i="20"/>
  <c r="X263" i="20"/>
  <c r="W263" i="20"/>
  <c r="V263" i="20"/>
  <c r="Q263" i="20"/>
  <c r="R263" i="20" s="1"/>
  <c r="P263" i="20"/>
  <c r="M263" i="20"/>
  <c r="N263" i="20" s="1"/>
  <c r="T263" i="20" s="1"/>
  <c r="L263" i="20"/>
  <c r="G263" i="20"/>
  <c r="H263" i="20" s="1"/>
  <c r="F263" i="20"/>
  <c r="C263" i="20"/>
  <c r="D263" i="20" s="1"/>
  <c r="J263" i="20" s="1"/>
  <c r="B263" i="20"/>
  <c r="I263" i="20" s="1"/>
  <c r="AR262" i="20"/>
  <c r="AQ262" i="20"/>
  <c r="AS262" i="20" s="1"/>
  <c r="AP262" i="20"/>
  <c r="AJ262" i="20"/>
  <c r="AI262" i="20"/>
  <c r="AH262" i="20"/>
  <c r="AE262" i="20"/>
  <c r="AF262" i="20" s="1"/>
  <c r="AD262" i="20"/>
  <c r="AK262" i="20" s="1"/>
  <c r="AB262" i="20"/>
  <c r="AA262" i="20"/>
  <c r="Z262" i="20"/>
  <c r="W262" i="20"/>
  <c r="X262" i="20" s="1"/>
  <c r="AL262" i="20" s="1"/>
  <c r="V262" i="20"/>
  <c r="T262" i="20"/>
  <c r="Q262" i="20"/>
  <c r="R262" i="20" s="1"/>
  <c r="P262" i="20"/>
  <c r="N262" i="20"/>
  <c r="M262" i="20"/>
  <c r="L262" i="20"/>
  <c r="G262" i="20"/>
  <c r="H262" i="20" s="1"/>
  <c r="F262" i="20"/>
  <c r="D262" i="20"/>
  <c r="C262" i="20"/>
  <c r="B262" i="20"/>
  <c r="AQ261" i="20"/>
  <c r="AP261" i="20"/>
  <c r="AI261" i="20"/>
  <c r="AJ261" i="20" s="1"/>
  <c r="AH261" i="20"/>
  <c r="AE261" i="20"/>
  <c r="AF261" i="20" s="1"/>
  <c r="AD261" i="20"/>
  <c r="AA261" i="20"/>
  <c r="AB261" i="20" s="1"/>
  <c r="Z261" i="20"/>
  <c r="W261" i="20"/>
  <c r="X261" i="20" s="1"/>
  <c r="V261" i="20"/>
  <c r="Q261" i="20"/>
  <c r="R261" i="20" s="1"/>
  <c r="P261" i="20"/>
  <c r="M261" i="20"/>
  <c r="N261" i="20" s="1"/>
  <c r="L261" i="20"/>
  <c r="S261" i="20" s="1"/>
  <c r="G261" i="20"/>
  <c r="H261" i="20" s="1"/>
  <c r="F261" i="20"/>
  <c r="C261" i="20"/>
  <c r="D261" i="20" s="1"/>
  <c r="J261" i="20" s="1"/>
  <c r="B261" i="20"/>
  <c r="I261" i="20" s="1"/>
  <c r="AQ260" i="20"/>
  <c r="AP260" i="20"/>
  <c r="AI260" i="20"/>
  <c r="AJ260" i="20" s="1"/>
  <c r="AH260" i="20"/>
  <c r="AE260" i="20"/>
  <c r="AF260" i="20" s="1"/>
  <c r="AD260" i="20"/>
  <c r="AA260" i="20"/>
  <c r="AB260" i="20" s="1"/>
  <c r="Z260" i="20"/>
  <c r="W260" i="20"/>
  <c r="X260" i="20" s="1"/>
  <c r="V260" i="20"/>
  <c r="Q260" i="20"/>
  <c r="R260" i="20" s="1"/>
  <c r="P260" i="20"/>
  <c r="N260" i="20"/>
  <c r="M260" i="20"/>
  <c r="L260" i="20"/>
  <c r="G260" i="20"/>
  <c r="H260" i="20" s="1"/>
  <c r="F260" i="20"/>
  <c r="C260" i="20"/>
  <c r="D260" i="20" s="1"/>
  <c r="B260" i="20"/>
  <c r="AR259" i="20"/>
  <c r="AQ259" i="20"/>
  <c r="AS259" i="20" s="1"/>
  <c r="AP259" i="20"/>
  <c r="AI259" i="20"/>
  <c r="AJ259" i="20" s="1"/>
  <c r="AH259" i="20"/>
  <c r="AE259" i="20"/>
  <c r="AF259" i="20" s="1"/>
  <c r="AD259" i="20"/>
  <c r="AA259" i="20"/>
  <c r="AB259" i="20" s="1"/>
  <c r="Z259" i="20"/>
  <c r="W259" i="20"/>
  <c r="X259" i="20" s="1"/>
  <c r="V259" i="20"/>
  <c r="Q259" i="20"/>
  <c r="R259" i="20" s="1"/>
  <c r="P259" i="20"/>
  <c r="M259" i="20"/>
  <c r="N259" i="20" s="1"/>
  <c r="T259" i="20" s="1"/>
  <c r="L259" i="20"/>
  <c r="G259" i="20"/>
  <c r="H259" i="20" s="1"/>
  <c r="F259" i="20"/>
  <c r="D259" i="20"/>
  <c r="J259" i="20" s="1"/>
  <c r="C259" i="20"/>
  <c r="B259" i="20"/>
  <c r="I259" i="20" s="1"/>
  <c r="AQ258" i="20"/>
  <c r="AP258" i="20"/>
  <c r="AI258" i="20"/>
  <c r="AJ258" i="20" s="1"/>
  <c r="AE258" i="20"/>
  <c r="AF258" i="20" s="1"/>
  <c r="AD258" i="20"/>
  <c r="AA258" i="20"/>
  <c r="AB258" i="20" s="1"/>
  <c r="Z258" i="20"/>
  <c r="W258" i="20"/>
  <c r="X258" i="20" s="1"/>
  <c r="R258" i="20"/>
  <c r="T258" i="20" s="1"/>
  <c r="Q258" i="20"/>
  <c r="P258" i="20"/>
  <c r="N258" i="20"/>
  <c r="M258" i="20"/>
  <c r="G258" i="20"/>
  <c r="H258" i="20" s="1"/>
  <c r="F258" i="20"/>
  <c r="C258" i="20"/>
  <c r="D258" i="20" s="1"/>
  <c r="AQ257" i="20"/>
  <c r="AR257" i="20" s="1"/>
  <c r="AP257" i="20"/>
  <c r="AI257" i="20"/>
  <c r="AJ257" i="20" s="1"/>
  <c r="AH257" i="20"/>
  <c r="AE257" i="20"/>
  <c r="AF257" i="20" s="1"/>
  <c r="AA257" i="20"/>
  <c r="AB257" i="20" s="1"/>
  <c r="AL257" i="20" s="1"/>
  <c r="W257" i="20"/>
  <c r="X257" i="20" s="1"/>
  <c r="V257" i="20"/>
  <c r="Q257" i="20"/>
  <c r="R257" i="20" s="1"/>
  <c r="N257" i="20"/>
  <c r="T257" i="20" s="1"/>
  <c r="M257" i="20"/>
  <c r="L257" i="20"/>
  <c r="G257" i="20"/>
  <c r="H257" i="20" s="1"/>
  <c r="C257" i="20"/>
  <c r="D257" i="20" s="1"/>
  <c r="J257" i="20" s="1"/>
  <c r="AS256" i="20"/>
  <c r="AR256" i="20"/>
  <c r="AQ256" i="20"/>
  <c r="AP256" i="20"/>
  <c r="AJ256" i="20"/>
  <c r="AI256" i="20"/>
  <c r="AH256" i="20"/>
  <c r="AE256" i="20"/>
  <c r="AF256" i="20" s="1"/>
  <c r="AD256" i="20"/>
  <c r="AA256" i="20"/>
  <c r="AB256" i="20" s="1"/>
  <c r="Z256" i="20"/>
  <c r="X256" i="20"/>
  <c r="W256" i="20"/>
  <c r="V256" i="20"/>
  <c r="Q256" i="20"/>
  <c r="R256" i="20" s="1"/>
  <c r="T256" i="20" s="1"/>
  <c r="P256" i="20"/>
  <c r="M256" i="20"/>
  <c r="N256" i="20" s="1"/>
  <c r="L256" i="20"/>
  <c r="G256" i="20"/>
  <c r="H256" i="20" s="1"/>
  <c r="F256" i="20"/>
  <c r="D256" i="20"/>
  <c r="J256" i="20" s="1"/>
  <c r="C256" i="20"/>
  <c r="B256" i="20"/>
  <c r="AQ255" i="20"/>
  <c r="AS255" i="20" s="1"/>
  <c r="AP255" i="20"/>
  <c r="AI255" i="20"/>
  <c r="AJ255" i="20" s="1"/>
  <c r="AH255" i="20"/>
  <c r="AE255" i="20"/>
  <c r="AF255" i="20" s="1"/>
  <c r="AD255" i="20"/>
  <c r="AA255" i="20"/>
  <c r="AB255" i="20" s="1"/>
  <c r="Z255" i="20"/>
  <c r="W255" i="20"/>
  <c r="X255" i="20" s="1"/>
  <c r="V255" i="20"/>
  <c r="R255" i="20"/>
  <c r="Q255" i="20"/>
  <c r="P255" i="20"/>
  <c r="M255" i="20"/>
  <c r="N255" i="20" s="1"/>
  <c r="L255" i="20"/>
  <c r="H255" i="20"/>
  <c r="G255" i="20"/>
  <c r="F255" i="20"/>
  <c r="C255" i="20"/>
  <c r="D255" i="20" s="1"/>
  <c r="J255" i="20" s="1"/>
  <c r="B255" i="20"/>
  <c r="AR254" i="20"/>
  <c r="AQ254" i="20"/>
  <c r="AS254" i="20" s="1"/>
  <c r="AP254" i="20"/>
  <c r="AJ254" i="20"/>
  <c r="AI254" i="20"/>
  <c r="AH254" i="20"/>
  <c r="AE254" i="20"/>
  <c r="AF254" i="20" s="1"/>
  <c r="AD254" i="20"/>
  <c r="AB254" i="20"/>
  <c r="AA254" i="20"/>
  <c r="Z254" i="20"/>
  <c r="W254" i="20"/>
  <c r="X254" i="20" s="1"/>
  <c r="V254" i="20"/>
  <c r="Q254" i="20"/>
  <c r="R254" i="20" s="1"/>
  <c r="P254" i="20"/>
  <c r="N254" i="20"/>
  <c r="M254" i="20"/>
  <c r="L254" i="20"/>
  <c r="G254" i="20"/>
  <c r="H254" i="20" s="1"/>
  <c r="F254" i="20"/>
  <c r="D254" i="20"/>
  <c r="J254" i="20" s="1"/>
  <c r="C254" i="20"/>
  <c r="B254" i="20"/>
  <c r="AR253" i="20"/>
  <c r="AQ253" i="20"/>
  <c r="AS253" i="20" s="1"/>
  <c r="AP253" i="20"/>
  <c r="AI253" i="20"/>
  <c r="AJ253" i="20" s="1"/>
  <c r="AH253" i="20"/>
  <c r="AE253" i="20"/>
  <c r="AF253" i="20" s="1"/>
  <c r="AD253" i="20"/>
  <c r="AA253" i="20"/>
  <c r="AB253" i="20" s="1"/>
  <c r="Z253" i="20"/>
  <c r="W253" i="20"/>
  <c r="X253" i="20" s="1"/>
  <c r="V253" i="20"/>
  <c r="R253" i="20"/>
  <c r="Q253" i="20"/>
  <c r="P253" i="20"/>
  <c r="M253" i="20"/>
  <c r="N253" i="20" s="1"/>
  <c r="L253" i="20"/>
  <c r="G253" i="20"/>
  <c r="H253" i="20" s="1"/>
  <c r="F253" i="20"/>
  <c r="D253" i="20"/>
  <c r="J253" i="20" s="1"/>
  <c r="C253" i="20"/>
  <c r="B253" i="20"/>
  <c r="I253" i="20" s="1"/>
  <c r="AQ252" i="20"/>
  <c r="AS252" i="20" s="1"/>
  <c r="AP252" i="20"/>
  <c r="AI252" i="20"/>
  <c r="AJ252" i="20" s="1"/>
  <c r="AH252" i="20"/>
  <c r="AE252" i="20"/>
  <c r="AF252" i="20" s="1"/>
  <c r="AD252" i="20"/>
  <c r="AA252" i="20"/>
  <c r="AB252" i="20" s="1"/>
  <c r="Z252" i="20"/>
  <c r="W252" i="20"/>
  <c r="X252" i="20" s="1"/>
  <c r="V252" i="20"/>
  <c r="Q252" i="20"/>
  <c r="R252" i="20" s="1"/>
  <c r="P252" i="20"/>
  <c r="N252" i="20"/>
  <c r="M252" i="20"/>
  <c r="L252" i="20"/>
  <c r="G252" i="20"/>
  <c r="H252" i="20" s="1"/>
  <c r="F252" i="20"/>
  <c r="D252" i="20"/>
  <c r="C252" i="20"/>
  <c r="B252" i="20"/>
  <c r="I252" i="20" s="1"/>
  <c r="AR251" i="20"/>
  <c r="AQ251" i="20"/>
  <c r="AI251" i="20"/>
  <c r="AJ251" i="20" s="1"/>
  <c r="AH251" i="20"/>
  <c r="AF251" i="20"/>
  <c r="AE251" i="20"/>
  <c r="AD251" i="20"/>
  <c r="AB251" i="20"/>
  <c r="AA251" i="20"/>
  <c r="Z251" i="20"/>
  <c r="W251" i="20"/>
  <c r="X251" i="20" s="1"/>
  <c r="V251" i="20"/>
  <c r="Q251" i="20"/>
  <c r="R251" i="20" s="1"/>
  <c r="P251" i="20"/>
  <c r="N251" i="20"/>
  <c r="M251" i="20"/>
  <c r="L251" i="20"/>
  <c r="S251" i="20" s="1"/>
  <c r="G251" i="20"/>
  <c r="H251" i="20" s="1"/>
  <c r="F251" i="20"/>
  <c r="D251" i="20"/>
  <c r="C251" i="20"/>
  <c r="B251" i="20"/>
  <c r="I251" i="20" s="1"/>
  <c r="AQ250" i="20"/>
  <c r="AR250" i="20" s="1"/>
  <c r="AI250" i="20"/>
  <c r="AJ250" i="20" s="1"/>
  <c r="AE250" i="20"/>
  <c r="AF250" i="20" s="1"/>
  <c r="AD250" i="20"/>
  <c r="AA250" i="20"/>
  <c r="AB250" i="20" s="1"/>
  <c r="Z250" i="20"/>
  <c r="W250" i="20"/>
  <c r="X250" i="20" s="1"/>
  <c r="Q250" i="20"/>
  <c r="R250" i="20" s="1"/>
  <c r="P250" i="20"/>
  <c r="M250" i="20"/>
  <c r="N250" i="20" s="1"/>
  <c r="T250" i="20" s="1"/>
  <c r="G250" i="20"/>
  <c r="H250" i="20" s="1"/>
  <c r="F250" i="20"/>
  <c r="C250" i="20"/>
  <c r="D250" i="20" s="1"/>
  <c r="AQ249" i="20"/>
  <c r="AS249" i="20" s="1"/>
  <c r="AI249" i="20"/>
  <c r="AJ249" i="20" s="1"/>
  <c r="AH249" i="20"/>
  <c r="AE249" i="20"/>
  <c r="AF249" i="20" s="1"/>
  <c r="AA249" i="20"/>
  <c r="AB249" i="20" s="1"/>
  <c r="AL249" i="20" s="1"/>
  <c r="X249" i="20"/>
  <c r="W249" i="20"/>
  <c r="V249" i="20"/>
  <c r="R249" i="20"/>
  <c r="Q249" i="20"/>
  <c r="M249" i="20"/>
  <c r="N249" i="20" s="1"/>
  <c r="T249" i="20" s="1"/>
  <c r="L249" i="20"/>
  <c r="H249" i="20"/>
  <c r="G249" i="20"/>
  <c r="F249" i="20"/>
  <c r="D249" i="20"/>
  <c r="C249" i="20"/>
  <c r="AQ248" i="20"/>
  <c r="AP248" i="20"/>
  <c r="AI248" i="20"/>
  <c r="AJ248" i="20" s="1"/>
  <c r="AH248" i="20"/>
  <c r="AE248" i="20"/>
  <c r="AF248" i="20" s="1"/>
  <c r="AA248" i="20"/>
  <c r="AB248" i="20" s="1"/>
  <c r="Z248" i="20"/>
  <c r="W248" i="20"/>
  <c r="X248" i="20" s="1"/>
  <c r="V248" i="20"/>
  <c r="Q248" i="20"/>
  <c r="R248" i="20" s="1"/>
  <c r="P248" i="20"/>
  <c r="M248" i="20"/>
  <c r="N248" i="20" s="1"/>
  <c r="T248" i="20" s="1"/>
  <c r="L248" i="20"/>
  <c r="G248" i="20"/>
  <c r="H248" i="20" s="1"/>
  <c r="F248" i="20"/>
  <c r="C248" i="20"/>
  <c r="D248" i="20" s="1"/>
  <c r="B248" i="20"/>
  <c r="I248" i="20" s="1"/>
  <c r="AR247" i="20"/>
  <c r="AQ247" i="20"/>
  <c r="AS247" i="20" s="1"/>
  <c r="AP247" i="20"/>
  <c r="AJ247" i="20"/>
  <c r="AI247" i="20"/>
  <c r="AH247" i="20"/>
  <c r="AE247" i="20"/>
  <c r="AF247" i="20" s="1"/>
  <c r="AD247" i="20"/>
  <c r="AA247" i="20"/>
  <c r="AB247" i="20" s="1"/>
  <c r="Z247" i="20"/>
  <c r="X247" i="20"/>
  <c r="AL247" i="20" s="1"/>
  <c r="W247" i="20"/>
  <c r="V247" i="20"/>
  <c r="AK247" i="20" s="1"/>
  <c r="R247" i="20"/>
  <c r="Q247" i="20"/>
  <c r="P247" i="20"/>
  <c r="M247" i="20"/>
  <c r="N247" i="20" s="1"/>
  <c r="T247" i="20" s="1"/>
  <c r="L247" i="20"/>
  <c r="H247" i="20"/>
  <c r="G247" i="20"/>
  <c r="F247" i="20"/>
  <c r="D247" i="20"/>
  <c r="C247" i="20"/>
  <c r="B247" i="20"/>
  <c r="AQ246" i="20"/>
  <c r="AP246" i="20"/>
  <c r="AI246" i="20"/>
  <c r="AJ246" i="20" s="1"/>
  <c r="AH246" i="20"/>
  <c r="AE246" i="20"/>
  <c r="AF246" i="20" s="1"/>
  <c r="AD246" i="20"/>
  <c r="AA246" i="20"/>
  <c r="AB246" i="20" s="1"/>
  <c r="Z246" i="20"/>
  <c r="W246" i="20"/>
  <c r="X246" i="20" s="1"/>
  <c r="V246" i="20"/>
  <c r="Q246" i="20"/>
  <c r="R246" i="20" s="1"/>
  <c r="P246" i="20"/>
  <c r="M246" i="20"/>
  <c r="N246" i="20" s="1"/>
  <c r="L246" i="20"/>
  <c r="S246" i="20" s="1"/>
  <c r="G246" i="20"/>
  <c r="H246" i="20" s="1"/>
  <c r="F246" i="20"/>
  <c r="C246" i="20"/>
  <c r="D246" i="20" s="1"/>
  <c r="B246" i="20"/>
  <c r="AS245" i="20"/>
  <c r="AR245" i="20"/>
  <c r="AQ245" i="20"/>
  <c r="AP245" i="20"/>
  <c r="AI245" i="20"/>
  <c r="AJ245" i="20" s="1"/>
  <c r="AH245" i="20"/>
  <c r="AE245" i="20"/>
  <c r="AF245" i="20" s="1"/>
  <c r="AD245" i="20"/>
  <c r="AA245" i="20"/>
  <c r="AB245" i="20" s="1"/>
  <c r="Z245" i="20"/>
  <c r="X245" i="20"/>
  <c r="W245" i="20"/>
  <c r="V245" i="20"/>
  <c r="R245" i="20"/>
  <c r="Q245" i="20"/>
  <c r="P245" i="20"/>
  <c r="M245" i="20"/>
  <c r="N245" i="20" s="1"/>
  <c r="L245" i="20"/>
  <c r="S245" i="20" s="1"/>
  <c r="G245" i="20"/>
  <c r="H245" i="20" s="1"/>
  <c r="F245" i="20"/>
  <c r="C245" i="20"/>
  <c r="D245" i="20" s="1"/>
  <c r="J245" i="20" s="1"/>
  <c r="B245" i="20"/>
  <c r="AS244" i="20"/>
  <c r="AR244" i="20"/>
  <c r="AQ244" i="20"/>
  <c r="AP244" i="20"/>
  <c r="AJ244" i="20"/>
  <c r="AI244" i="20"/>
  <c r="AH244" i="20"/>
  <c r="AE244" i="20"/>
  <c r="AF244" i="20" s="1"/>
  <c r="AD244" i="20"/>
  <c r="AB244" i="20"/>
  <c r="AA244" i="20"/>
  <c r="Z244" i="20"/>
  <c r="W244" i="20"/>
  <c r="X244" i="20" s="1"/>
  <c r="V244" i="20"/>
  <c r="AK244" i="20" s="1"/>
  <c r="Q244" i="20"/>
  <c r="R244" i="20" s="1"/>
  <c r="T244" i="20" s="1"/>
  <c r="P244" i="20"/>
  <c r="M244" i="20"/>
  <c r="N244" i="20" s="1"/>
  <c r="L244" i="20"/>
  <c r="S244" i="20" s="1"/>
  <c r="G244" i="20"/>
  <c r="H244" i="20" s="1"/>
  <c r="F244" i="20"/>
  <c r="C244" i="20"/>
  <c r="D244" i="20" s="1"/>
  <c r="J244" i="20" s="1"/>
  <c r="B244" i="20"/>
  <c r="AR243" i="20"/>
  <c r="AQ243" i="20"/>
  <c r="AS243" i="20" s="1"/>
  <c r="AP243" i="20"/>
  <c r="AJ243" i="20"/>
  <c r="AI243" i="20"/>
  <c r="AH243" i="20"/>
  <c r="AE243" i="20"/>
  <c r="AF243" i="20" s="1"/>
  <c r="AD243" i="20"/>
  <c r="AB243" i="20"/>
  <c r="AA243" i="20"/>
  <c r="Z243" i="20"/>
  <c r="X243" i="20"/>
  <c r="W243" i="20"/>
  <c r="V243" i="20"/>
  <c r="T243" i="20"/>
  <c r="R243" i="20"/>
  <c r="Q243" i="20"/>
  <c r="P243" i="20"/>
  <c r="N243" i="20"/>
  <c r="M243" i="20"/>
  <c r="L243" i="20"/>
  <c r="S243" i="20" s="1"/>
  <c r="G243" i="20"/>
  <c r="H243" i="20" s="1"/>
  <c r="F243" i="20"/>
  <c r="C243" i="20"/>
  <c r="D243" i="20" s="1"/>
  <c r="B243" i="20"/>
  <c r="AQ242" i="20"/>
  <c r="AR242" i="20" s="1"/>
  <c r="AI242" i="20"/>
  <c r="AJ242" i="20" s="1"/>
  <c r="AH242" i="20"/>
  <c r="AE242" i="20"/>
  <c r="AF242" i="20" s="1"/>
  <c r="AD242" i="20"/>
  <c r="AA242" i="20"/>
  <c r="AB242" i="20" s="1"/>
  <c r="Z242" i="20"/>
  <c r="W242" i="20"/>
  <c r="X242" i="20" s="1"/>
  <c r="Q242" i="20"/>
  <c r="R242" i="20" s="1"/>
  <c r="P242" i="20"/>
  <c r="N242" i="20"/>
  <c r="M242" i="20"/>
  <c r="G242" i="20"/>
  <c r="H242" i="20" s="1"/>
  <c r="F242" i="20"/>
  <c r="C242" i="20"/>
  <c r="D242" i="20" s="1"/>
  <c r="J242" i="20" s="1"/>
  <c r="AR241" i="20"/>
  <c r="AQ241" i="20"/>
  <c r="AJ241" i="20"/>
  <c r="AI241" i="20"/>
  <c r="AH241" i="20"/>
  <c r="AE241" i="20"/>
  <c r="AF241" i="20" s="1"/>
  <c r="AB241" i="20"/>
  <c r="AA241" i="20"/>
  <c r="W241" i="20"/>
  <c r="X241" i="20" s="1"/>
  <c r="AL241" i="20" s="1"/>
  <c r="V241" i="20"/>
  <c r="Q241" i="20"/>
  <c r="R241" i="20" s="1"/>
  <c r="T241" i="20" s="1"/>
  <c r="N241" i="20"/>
  <c r="M241" i="20"/>
  <c r="L241" i="20"/>
  <c r="G241" i="20"/>
  <c r="H241" i="20" s="1"/>
  <c r="C241" i="20"/>
  <c r="D241" i="20" s="1"/>
  <c r="AQ240" i="20"/>
  <c r="AP240" i="20"/>
  <c r="AI240" i="20"/>
  <c r="AJ240" i="20" s="1"/>
  <c r="AH240" i="20"/>
  <c r="AE240" i="20"/>
  <c r="AF240" i="20" s="1"/>
  <c r="AD240" i="20"/>
  <c r="AA240" i="20"/>
  <c r="AB240" i="20" s="1"/>
  <c r="Z240" i="20"/>
  <c r="X240" i="20"/>
  <c r="W240" i="20"/>
  <c r="V240" i="20"/>
  <c r="Q240" i="20"/>
  <c r="R240" i="20" s="1"/>
  <c r="P240" i="20"/>
  <c r="M240" i="20"/>
  <c r="N240" i="20" s="1"/>
  <c r="L240" i="20"/>
  <c r="G240" i="20"/>
  <c r="H240" i="20" s="1"/>
  <c r="F240" i="20"/>
  <c r="C240" i="20"/>
  <c r="D240" i="20" s="1"/>
  <c r="B240" i="20"/>
  <c r="AS239" i="20"/>
  <c r="AR239" i="20"/>
  <c r="AQ239" i="20"/>
  <c r="AP239" i="20"/>
  <c r="AJ239" i="20"/>
  <c r="AI239" i="20"/>
  <c r="AH239" i="20"/>
  <c r="AF239" i="20"/>
  <c r="AE239" i="20"/>
  <c r="AD239" i="20"/>
  <c r="AA239" i="20"/>
  <c r="AB239" i="20" s="1"/>
  <c r="Z239" i="20"/>
  <c r="W239" i="20"/>
  <c r="X239" i="20" s="1"/>
  <c r="AL239" i="20" s="1"/>
  <c r="V239" i="20"/>
  <c r="R239" i="20"/>
  <c r="Q239" i="20"/>
  <c r="P239" i="20"/>
  <c r="N239" i="20"/>
  <c r="M239" i="20"/>
  <c r="L239" i="20"/>
  <c r="G239" i="20"/>
  <c r="H239" i="20" s="1"/>
  <c r="F239" i="20"/>
  <c r="D239" i="20"/>
  <c r="C239" i="20"/>
  <c r="B239" i="20"/>
  <c r="AS238" i="20"/>
  <c r="AQ238" i="20"/>
  <c r="AR238" i="20" s="1"/>
  <c r="AP238" i="20"/>
  <c r="AI238" i="20"/>
  <c r="AJ238" i="20" s="1"/>
  <c r="AH238" i="20"/>
  <c r="AE238" i="20"/>
  <c r="AF238" i="20" s="1"/>
  <c r="AD238" i="20"/>
  <c r="AK238" i="20" s="1"/>
  <c r="AA238" i="20"/>
  <c r="AB238" i="20" s="1"/>
  <c r="Z238" i="20"/>
  <c r="W238" i="20"/>
  <c r="X238" i="20" s="1"/>
  <c r="V238" i="20"/>
  <c r="R238" i="20"/>
  <c r="Q238" i="20"/>
  <c r="P238" i="20"/>
  <c r="M238" i="20"/>
  <c r="N238" i="20" s="1"/>
  <c r="L238" i="20"/>
  <c r="S238" i="20" s="1"/>
  <c r="G238" i="20"/>
  <c r="H238" i="20" s="1"/>
  <c r="F238" i="20"/>
  <c r="C238" i="20"/>
  <c r="D238" i="20" s="1"/>
  <c r="J238" i="20" s="1"/>
  <c r="B238" i="20"/>
  <c r="I238" i="20" s="1"/>
  <c r="AR237" i="20"/>
  <c r="AQ237" i="20"/>
  <c r="AS237" i="20" s="1"/>
  <c r="AP237" i="20"/>
  <c r="AJ237" i="20"/>
  <c r="AI237" i="20"/>
  <c r="AH237" i="20"/>
  <c r="AE237" i="20"/>
  <c r="AF237" i="20" s="1"/>
  <c r="AD237" i="20"/>
  <c r="AA237" i="20"/>
  <c r="AB237" i="20" s="1"/>
  <c r="Z237" i="20"/>
  <c r="W237" i="20"/>
  <c r="X237" i="20" s="1"/>
  <c r="V237" i="20"/>
  <c r="R237" i="20"/>
  <c r="Q237" i="20"/>
  <c r="P237" i="20"/>
  <c r="N237" i="20"/>
  <c r="M237" i="20"/>
  <c r="L237" i="20"/>
  <c r="G237" i="20"/>
  <c r="H237" i="20" s="1"/>
  <c r="J237" i="20" s="1"/>
  <c r="F237" i="20"/>
  <c r="D237" i="20"/>
  <c r="C237" i="20"/>
  <c r="B237" i="20"/>
  <c r="AQ236" i="20"/>
  <c r="AS236" i="20" s="1"/>
  <c r="AP236" i="20"/>
  <c r="AJ236" i="20"/>
  <c r="AI236" i="20"/>
  <c r="AH236" i="20"/>
  <c r="AE236" i="20"/>
  <c r="AF236" i="20" s="1"/>
  <c r="AD236" i="20"/>
  <c r="AA236" i="20"/>
  <c r="AB236" i="20" s="1"/>
  <c r="Z236" i="20"/>
  <c r="W236" i="20"/>
  <c r="X236" i="20" s="1"/>
  <c r="V236" i="20"/>
  <c r="Q236" i="20"/>
  <c r="R236" i="20" s="1"/>
  <c r="P236" i="20"/>
  <c r="M236" i="20"/>
  <c r="N236" i="20" s="1"/>
  <c r="T236" i="20" s="1"/>
  <c r="L236" i="20"/>
  <c r="G236" i="20"/>
  <c r="H236" i="20" s="1"/>
  <c r="F236" i="20"/>
  <c r="D236" i="20"/>
  <c r="C236" i="20"/>
  <c r="B236" i="20"/>
  <c r="I236" i="20" s="1"/>
  <c r="AQ235" i="20"/>
  <c r="AR235" i="20" s="1"/>
  <c r="AP235" i="20"/>
  <c r="AI235" i="20"/>
  <c r="AJ235" i="20" s="1"/>
  <c r="AH235" i="20"/>
  <c r="AE235" i="20"/>
  <c r="AF235" i="20" s="1"/>
  <c r="AD235" i="20"/>
  <c r="AA235" i="20"/>
  <c r="AB235" i="20" s="1"/>
  <c r="Z235" i="20"/>
  <c r="X235" i="20"/>
  <c r="W235" i="20"/>
  <c r="V235" i="20"/>
  <c r="R235" i="20"/>
  <c r="Q235" i="20"/>
  <c r="P235" i="20"/>
  <c r="M235" i="20"/>
  <c r="N235" i="20" s="1"/>
  <c r="L235" i="20"/>
  <c r="H235" i="20"/>
  <c r="G235" i="20"/>
  <c r="F235" i="20"/>
  <c r="C235" i="20"/>
  <c r="D235" i="20" s="1"/>
  <c r="B235" i="20"/>
  <c r="I235" i="20" s="1"/>
  <c r="AS234" i="20"/>
  <c r="AQ234" i="20"/>
  <c r="AR234" i="20" s="1"/>
  <c r="AP234" i="20"/>
  <c r="AI234" i="20"/>
  <c r="AJ234" i="20" s="1"/>
  <c r="AE234" i="20"/>
  <c r="AF234" i="20" s="1"/>
  <c r="AD234" i="20"/>
  <c r="AA234" i="20"/>
  <c r="AB234" i="20" s="1"/>
  <c r="Z234" i="20"/>
  <c r="W234" i="20"/>
  <c r="X234" i="20" s="1"/>
  <c r="Q234" i="20"/>
  <c r="R234" i="20" s="1"/>
  <c r="P234" i="20"/>
  <c r="M234" i="20"/>
  <c r="N234" i="20" s="1"/>
  <c r="G234" i="20"/>
  <c r="H234" i="20" s="1"/>
  <c r="F234" i="20"/>
  <c r="C234" i="20"/>
  <c r="D234" i="20" s="1"/>
  <c r="AQ233" i="20"/>
  <c r="AI233" i="20"/>
  <c r="AJ233" i="20" s="1"/>
  <c r="AH233" i="20"/>
  <c r="AE233" i="20"/>
  <c r="AF233" i="20" s="1"/>
  <c r="AA233" i="20"/>
  <c r="AB233" i="20" s="1"/>
  <c r="W233" i="20"/>
  <c r="X233" i="20" s="1"/>
  <c r="V233" i="20"/>
  <c r="T233" i="20"/>
  <c r="R233" i="20"/>
  <c r="Q233" i="20"/>
  <c r="P233" i="20"/>
  <c r="N233" i="20"/>
  <c r="M233" i="20"/>
  <c r="L233" i="20"/>
  <c r="H233" i="20"/>
  <c r="G233" i="20"/>
  <c r="C233" i="20"/>
  <c r="D233" i="20" s="1"/>
  <c r="B233" i="20"/>
  <c r="AQ232" i="20"/>
  <c r="AP232" i="20"/>
  <c r="AI232" i="20"/>
  <c r="AJ232" i="20" s="1"/>
  <c r="AH232" i="20"/>
  <c r="AF232" i="20"/>
  <c r="AE232" i="20"/>
  <c r="AA232" i="20"/>
  <c r="AB232" i="20" s="1"/>
  <c r="Z232" i="20"/>
  <c r="X232" i="20"/>
  <c r="W232" i="20"/>
  <c r="V232" i="20"/>
  <c r="Q232" i="20"/>
  <c r="R232" i="20" s="1"/>
  <c r="P232" i="20"/>
  <c r="M232" i="20"/>
  <c r="N232" i="20" s="1"/>
  <c r="L232" i="20"/>
  <c r="G232" i="20"/>
  <c r="H232" i="20" s="1"/>
  <c r="F232" i="20"/>
  <c r="C232" i="20"/>
  <c r="D232" i="20" s="1"/>
  <c r="B232" i="20"/>
  <c r="I232" i="20" s="1"/>
  <c r="AQ231" i="20"/>
  <c r="AP231" i="20"/>
  <c r="AJ231" i="20"/>
  <c r="AI231" i="20"/>
  <c r="AH231" i="20"/>
  <c r="AE231" i="20"/>
  <c r="AF231" i="20" s="1"/>
  <c r="AD231" i="20"/>
  <c r="AA231" i="20"/>
  <c r="AB231" i="20" s="1"/>
  <c r="Z231" i="20"/>
  <c r="X231" i="20"/>
  <c r="W231" i="20"/>
  <c r="V231" i="20"/>
  <c r="Q231" i="20"/>
  <c r="R231" i="20" s="1"/>
  <c r="P231" i="20"/>
  <c r="S231" i="20" s="1"/>
  <c r="M231" i="20"/>
  <c r="N231" i="20" s="1"/>
  <c r="L231" i="20"/>
  <c r="G231" i="20"/>
  <c r="H231" i="20" s="1"/>
  <c r="F231" i="20"/>
  <c r="C231" i="20"/>
  <c r="D231" i="20" s="1"/>
  <c r="B231" i="20"/>
  <c r="I231" i="20" s="1"/>
  <c r="AS230" i="20"/>
  <c r="AR230" i="20"/>
  <c r="AQ230" i="20"/>
  <c r="AP230" i="20"/>
  <c r="AI230" i="20"/>
  <c r="AJ230" i="20" s="1"/>
  <c r="AH230" i="20"/>
  <c r="AF230" i="20"/>
  <c r="AE230" i="20"/>
  <c r="AD230" i="20"/>
  <c r="AA230" i="20"/>
  <c r="AB230" i="20" s="1"/>
  <c r="Z230" i="20"/>
  <c r="W230" i="20"/>
  <c r="X230" i="20" s="1"/>
  <c r="V230" i="20"/>
  <c r="R230" i="20"/>
  <c r="Q230" i="20"/>
  <c r="P230" i="20"/>
  <c r="M230" i="20"/>
  <c r="N230" i="20" s="1"/>
  <c r="L230" i="20"/>
  <c r="S230" i="20" s="1"/>
  <c r="G230" i="20"/>
  <c r="H230" i="20" s="1"/>
  <c r="F230" i="20"/>
  <c r="D230" i="20"/>
  <c r="C230" i="20"/>
  <c r="B230" i="20"/>
  <c r="I230" i="20" s="1"/>
  <c r="AS229" i="20"/>
  <c r="AQ229" i="20"/>
  <c r="AR229" i="20" s="1"/>
  <c r="AP229" i="20"/>
  <c r="AI229" i="20"/>
  <c r="AJ229" i="20" s="1"/>
  <c r="AH229" i="20"/>
  <c r="AE229" i="20"/>
  <c r="AF229" i="20" s="1"/>
  <c r="AD229" i="20"/>
  <c r="AA229" i="20"/>
  <c r="AB229" i="20" s="1"/>
  <c r="Z229" i="20"/>
  <c r="W229" i="20"/>
  <c r="X229" i="20" s="1"/>
  <c r="V229" i="20"/>
  <c r="AK229" i="20" s="1"/>
  <c r="Q229" i="20"/>
  <c r="R229" i="20" s="1"/>
  <c r="P229" i="20"/>
  <c r="M229" i="20"/>
  <c r="N229" i="20" s="1"/>
  <c r="L229" i="20"/>
  <c r="S229" i="20" s="1"/>
  <c r="G229" i="20"/>
  <c r="H229" i="20" s="1"/>
  <c r="J229" i="20" s="1"/>
  <c r="F229" i="20"/>
  <c r="C229" i="20"/>
  <c r="D229" i="20" s="1"/>
  <c r="B229" i="20"/>
  <c r="AQ228" i="20"/>
  <c r="AS228" i="20" s="1"/>
  <c r="AP228" i="20"/>
  <c r="AI228" i="20"/>
  <c r="AJ228" i="20" s="1"/>
  <c r="AH228" i="20"/>
  <c r="AE228" i="20"/>
  <c r="AF228" i="20" s="1"/>
  <c r="AD228" i="20"/>
  <c r="AA228" i="20"/>
  <c r="AB228" i="20" s="1"/>
  <c r="Z228" i="20"/>
  <c r="W228" i="20"/>
  <c r="X228" i="20" s="1"/>
  <c r="V228" i="20"/>
  <c r="Q228" i="20"/>
  <c r="R228" i="20" s="1"/>
  <c r="P228" i="20"/>
  <c r="M228" i="20"/>
  <c r="N228" i="20" s="1"/>
  <c r="L228" i="20"/>
  <c r="S228" i="20" s="1"/>
  <c r="G228" i="20"/>
  <c r="H228" i="20" s="1"/>
  <c r="F228" i="20"/>
  <c r="C228" i="20"/>
  <c r="D228" i="20" s="1"/>
  <c r="B228" i="20"/>
  <c r="I228" i="20" s="1"/>
  <c r="AS227" i="20"/>
  <c r="AR227" i="20"/>
  <c r="AQ227" i="20"/>
  <c r="AP227" i="20"/>
  <c r="AJ227" i="20"/>
  <c r="AI227" i="20"/>
  <c r="AH227" i="20"/>
  <c r="AE227" i="20"/>
  <c r="AF227" i="20" s="1"/>
  <c r="AD227" i="20"/>
  <c r="AB227" i="20"/>
  <c r="AA227" i="20"/>
  <c r="Z227" i="20"/>
  <c r="W227" i="20"/>
  <c r="X227" i="20" s="1"/>
  <c r="V227" i="20"/>
  <c r="Q227" i="20"/>
  <c r="R227" i="20" s="1"/>
  <c r="P227" i="20"/>
  <c r="M227" i="20"/>
  <c r="N227" i="20" s="1"/>
  <c r="T227" i="20" s="1"/>
  <c r="L227" i="20"/>
  <c r="S227" i="20" s="1"/>
  <c r="G227" i="20"/>
  <c r="H227" i="20" s="1"/>
  <c r="F227" i="20"/>
  <c r="D227" i="20"/>
  <c r="J227" i="20" s="1"/>
  <c r="C227" i="20"/>
  <c r="B227" i="20"/>
  <c r="I227" i="20" s="1"/>
  <c r="AQ226" i="20"/>
  <c r="AP226" i="20"/>
  <c r="AI226" i="20"/>
  <c r="AJ226" i="20" s="1"/>
  <c r="AH226" i="20"/>
  <c r="AE226" i="20"/>
  <c r="AF226" i="20" s="1"/>
  <c r="AD226" i="20"/>
  <c r="AB226" i="20"/>
  <c r="AL226" i="20" s="1"/>
  <c r="AA226" i="20"/>
  <c r="Z226" i="20"/>
  <c r="X226" i="20"/>
  <c r="W226" i="20"/>
  <c r="Q226" i="20"/>
  <c r="R226" i="20" s="1"/>
  <c r="P226" i="20"/>
  <c r="N226" i="20"/>
  <c r="M226" i="20"/>
  <c r="L226" i="20"/>
  <c r="G226" i="20"/>
  <c r="H226" i="20" s="1"/>
  <c r="F226" i="20"/>
  <c r="C226" i="20"/>
  <c r="D226" i="20" s="1"/>
  <c r="J226" i="20" s="1"/>
  <c r="AQ225" i="20"/>
  <c r="AI225" i="20"/>
  <c r="AJ225" i="20" s="1"/>
  <c r="AH225" i="20"/>
  <c r="AE225" i="20"/>
  <c r="AF225" i="20" s="1"/>
  <c r="AA225" i="20"/>
  <c r="AB225" i="20" s="1"/>
  <c r="W225" i="20"/>
  <c r="X225" i="20" s="1"/>
  <c r="AL225" i="20" s="1"/>
  <c r="V225" i="20"/>
  <c r="Q225" i="20"/>
  <c r="R225" i="20" s="1"/>
  <c r="N225" i="20"/>
  <c r="M225" i="20"/>
  <c r="L225" i="20"/>
  <c r="G225" i="20"/>
  <c r="H225" i="20" s="1"/>
  <c r="C225" i="20"/>
  <c r="D225" i="20" s="1"/>
  <c r="J225" i="20" s="1"/>
  <c r="B225" i="20"/>
  <c r="AQ224" i="20"/>
  <c r="AS224" i="20" s="1"/>
  <c r="AP224" i="20"/>
  <c r="AI224" i="20"/>
  <c r="AJ224" i="20" s="1"/>
  <c r="AH224" i="20"/>
  <c r="AF224" i="20"/>
  <c r="AE224" i="20"/>
  <c r="AA224" i="20"/>
  <c r="AB224" i="20" s="1"/>
  <c r="Z224" i="20"/>
  <c r="W224" i="20"/>
  <c r="X224" i="20" s="1"/>
  <c r="V224" i="20"/>
  <c r="R224" i="20"/>
  <c r="Q224" i="20"/>
  <c r="P224" i="20"/>
  <c r="M224" i="20"/>
  <c r="N224" i="20" s="1"/>
  <c r="T224" i="20" s="1"/>
  <c r="L224" i="20"/>
  <c r="S224" i="20" s="1"/>
  <c r="H224" i="20"/>
  <c r="G224" i="20"/>
  <c r="F224" i="20"/>
  <c r="C224" i="20"/>
  <c r="D224" i="20" s="1"/>
  <c r="J224" i="20" s="1"/>
  <c r="B224" i="20"/>
  <c r="AQ223" i="20"/>
  <c r="AP223" i="20"/>
  <c r="AI223" i="20"/>
  <c r="AJ223" i="20" s="1"/>
  <c r="AH223" i="20"/>
  <c r="AF223" i="20"/>
  <c r="AE223" i="20"/>
  <c r="AD223" i="20"/>
  <c r="AA223" i="20"/>
  <c r="AB223" i="20" s="1"/>
  <c r="Z223" i="20"/>
  <c r="X223" i="20"/>
  <c r="AL223" i="20" s="1"/>
  <c r="W223" i="20"/>
  <c r="V223" i="20"/>
  <c r="Q223" i="20"/>
  <c r="R223" i="20" s="1"/>
  <c r="P223" i="20"/>
  <c r="M223" i="20"/>
  <c r="N223" i="20" s="1"/>
  <c r="L223" i="20"/>
  <c r="H223" i="20"/>
  <c r="G223" i="20"/>
  <c r="F223" i="20"/>
  <c r="C223" i="20"/>
  <c r="D223" i="20" s="1"/>
  <c r="B223" i="20"/>
  <c r="AQ222" i="20"/>
  <c r="AS222" i="20" s="1"/>
  <c r="AP222" i="20"/>
  <c r="AI222" i="20"/>
  <c r="AJ222" i="20" s="1"/>
  <c r="AH222" i="20"/>
  <c r="AE222" i="20"/>
  <c r="AF222" i="20" s="1"/>
  <c r="AD222" i="20"/>
  <c r="AB222" i="20"/>
  <c r="AA222" i="20"/>
  <c r="Z222" i="20"/>
  <c r="W222" i="20"/>
  <c r="X222" i="20" s="1"/>
  <c r="AL222" i="20" s="1"/>
  <c r="V222" i="20"/>
  <c r="Q222" i="20"/>
  <c r="R222" i="20" s="1"/>
  <c r="P222" i="20"/>
  <c r="M222" i="20"/>
  <c r="N222" i="20" s="1"/>
  <c r="L222" i="20"/>
  <c r="G222" i="20"/>
  <c r="H222" i="20" s="1"/>
  <c r="F222" i="20"/>
  <c r="C222" i="20"/>
  <c r="D222" i="20" s="1"/>
  <c r="B222" i="20"/>
  <c r="AS221" i="20"/>
  <c r="AQ221" i="20"/>
  <c r="AR221" i="20" s="1"/>
  <c r="AP221" i="20"/>
  <c r="AI221" i="20"/>
  <c r="AJ221" i="20" s="1"/>
  <c r="AH221" i="20"/>
  <c r="AE221" i="20"/>
  <c r="AF221" i="20" s="1"/>
  <c r="AD221" i="20"/>
  <c r="AA221" i="20"/>
  <c r="AB221" i="20" s="1"/>
  <c r="Z221" i="20"/>
  <c r="W221" i="20"/>
  <c r="X221" i="20" s="1"/>
  <c r="V221" i="20"/>
  <c r="R221" i="20"/>
  <c r="Q221" i="20"/>
  <c r="P221" i="20"/>
  <c r="S221" i="20" s="1"/>
  <c r="M221" i="20"/>
  <c r="N221" i="20" s="1"/>
  <c r="L221" i="20"/>
  <c r="G221" i="20"/>
  <c r="H221" i="20" s="1"/>
  <c r="F221" i="20"/>
  <c r="C221" i="20"/>
  <c r="D221" i="20" s="1"/>
  <c r="B221" i="20"/>
  <c r="I221" i="20" s="1"/>
  <c r="AQ220" i="20"/>
  <c r="AS220" i="20" s="1"/>
  <c r="AP220" i="20"/>
  <c r="AJ220" i="20"/>
  <c r="AI220" i="20"/>
  <c r="AH220" i="20"/>
  <c r="AE220" i="20"/>
  <c r="AF220" i="20" s="1"/>
  <c r="AD220" i="20"/>
  <c r="AA220" i="20"/>
  <c r="AB220" i="20" s="1"/>
  <c r="Z220" i="20"/>
  <c r="W220" i="20"/>
  <c r="X220" i="20" s="1"/>
  <c r="V220" i="20"/>
  <c r="AK220" i="20" s="1"/>
  <c r="Q220" i="20"/>
  <c r="R220" i="20" s="1"/>
  <c r="P220" i="20"/>
  <c r="M220" i="20"/>
  <c r="N220" i="20" s="1"/>
  <c r="L220" i="20"/>
  <c r="J220" i="20"/>
  <c r="H220" i="20"/>
  <c r="G220" i="20"/>
  <c r="F220" i="20"/>
  <c r="D220" i="20"/>
  <c r="C220" i="20"/>
  <c r="B220" i="20"/>
  <c r="I220" i="20" s="1"/>
  <c r="AR219" i="20"/>
  <c r="AQ219" i="20"/>
  <c r="AS219" i="20" s="1"/>
  <c r="AP219" i="20"/>
  <c r="AI219" i="20"/>
  <c r="AJ219" i="20" s="1"/>
  <c r="AH219" i="20"/>
  <c r="AE219" i="20"/>
  <c r="AF219" i="20" s="1"/>
  <c r="AD219" i="20"/>
  <c r="AA219" i="20"/>
  <c r="AB219" i="20" s="1"/>
  <c r="Z219" i="20"/>
  <c r="W219" i="20"/>
  <c r="X219" i="20" s="1"/>
  <c r="V219" i="20"/>
  <c r="Q219" i="20"/>
  <c r="R219" i="20" s="1"/>
  <c r="P219" i="20"/>
  <c r="M219" i="20"/>
  <c r="N219" i="20" s="1"/>
  <c r="T219" i="20" s="1"/>
  <c r="L219" i="20"/>
  <c r="S219" i="20" s="1"/>
  <c r="G219" i="20"/>
  <c r="H219" i="20" s="1"/>
  <c r="F219" i="20"/>
  <c r="I219" i="20" s="1"/>
  <c r="C219" i="20"/>
  <c r="D219" i="20" s="1"/>
  <c r="J219" i="20" s="1"/>
  <c r="B219" i="20"/>
  <c r="AR218" i="20"/>
  <c r="AQ218" i="20"/>
  <c r="AS218" i="20"/>
  <c r="AJ218" i="20"/>
  <c r="AI218" i="20"/>
  <c r="AE218" i="20"/>
  <c r="AF218" i="20" s="1"/>
  <c r="AD218" i="20"/>
  <c r="AB218" i="20"/>
  <c r="AA218" i="20"/>
  <c r="Z218" i="20"/>
  <c r="X218" i="20"/>
  <c r="AL218" i="20" s="1"/>
  <c r="W218" i="20"/>
  <c r="V218" i="20"/>
  <c r="R218" i="20"/>
  <c r="Q218" i="20"/>
  <c r="P218" i="20"/>
  <c r="M218" i="20"/>
  <c r="N218" i="20" s="1"/>
  <c r="T218" i="20" s="1"/>
  <c r="H218" i="20"/>
  <c r="J218" i="20" s="1"/>
  <c r="G218" i="20"/>
  <c r="F218" i="20"/>
  <c r="D218" i="20"/>
  <c r="C218" i="20"/>
  <c r="AQ217" i="20"/>
  <c r="AR217" i="20" s="1"/>
  <c r="AI217" i="20"/>
  <c r="AJ217" i="20" s="1"/>
  <c r="AH217" i="20"/>
  <c r="AE217" i="20"/>
  <c r="AF217" i="20" s="1"/>
  <c r="AA217" i="20"/>
  <c r="AB217" i="20" s="1"/>
  <c r="W217" i="20"/>
  <c r="X217" i="20" s="1"/>
  <c r="V217" i="20"/>
  <c r="Q217" i="20"/>
  <c r="R217" i="20" s="1"/>
  <c r="M217" i="20"/>
  <c r="N217" i="20" s="1"/>
  <c r="L217" i="20"/>
  <c r="G217" i="20"/>
  <c r="H217" i="20" s="1"/>
  <c r="C217" i="20"/>
  <c r="D217" i="20" s="1"/>
  <c r="AQ216" i="20"/>
  <c r="AS216" i="20" s="1"/>
  <c r="AP216" i="20"/>
  <c r="AI216" i="20"/>
  <c r="AJ216" i="20" s="1"/>
  <c r="AH216" i="20"/>
  <c r="AF216" i="20"/>
  <c r="AE216" i="20"/>
  <c r="AA216" i="20"/>
  <c r="AB216" i="20" s="1"/>
  <c r="Z216" i="20"/>
  <c r="W216" i="20"/>
  <c r="X216" i="20" s="1"/>
  <c r="V216" i="20"/>
  <c r="R216" i="20"/>
  <c r="Q216" i="20"/>
  <c r="P216" i="20"/>
  <c r="N216" i="20"/>
  <c r="M216" i="20"/>
  <c r="L216" i="20"/>
  <c r="S216" i="20" s="1"/>
  <c r="G216" i="20"/>
  <c r="H216" i="20" s="1"/>
  <c r="F216" i="20"/>
  <c r="C216" i="20"/>
  <c r="D216" i="20" s="1"/>
  <c r="B216" i="20"/>
  <c r="AS215" i="20"/>
  <c r="AQ215" i="20"/>
  <c r="AR215" i="20" s="1"/>
  <c r="AP215" i="20"/>
  <c r="AI215" i="20"/>
  <c r="AJ215" i="20" s="1"/>
  <c r="AH215" i="20"/>
  <c r="AF215" i="20"/>
  <c r="AE215" i="20"/>
  <c r="AD215" i="20"/>
  <c r="AA215" i="20"/>
  <c r="AB215" i="20" s="1"/>
  <c r="Z215" i="20"/>
  <c r="AK215" i="20" s="1"/>
  <c r="W215" i="20"/>
  <c r="X215" i="20" s="1"/>
  <c r="AL215" i="20" s="1"/>
  <c r="V215" i="20"/>
  <c r="Q215" i="20"/>
  <c r="R215" i="20" s="1"/>
  <c r="P215" i="20"/>
  <c r="M215" i="20"/>
  <c r="N215" i="20" s="1"/>
  <c r="L215" i="20"/>
  <c r="G215" i="20"/>
  <c r="H215" i="20" s="1"/>
  <c r="F215" i="20"/>
  <c r="C215" i="20"/>
  <c r="D215" i="20" s="1"/>
  <c r="B215" i="20"/>
  <c r="I215" i="20" s="1"/>
  <c r="AS214" i="20"/>
  <c r="AR214" i="20"/>
  <c r="AQ214" i="20"/>
  <c r="AP214" i="20"/>
  <c r="AJ214" i="20"/>
  <c r="AI214" i="20"/>
  <c r="AH214" i="20"/>
  <c r="AF214" i="20"/>
  <c r="AE214" i="20"/>
  <c r="AD214" i="20"/>
  <c r="AA214" i="20"/>
  <c r="AB214" i="20" s="1"/>
  <c r="Z214" i="20"/>
  <c r="W214" i="20"/>
  <c r="X214" i="20" s="1"/>
  <c r="V214" i="20"/>
  <c r="Q214" i="20"/>
  <c r="R214" i="20" s="1"/>
  <c r="T214" i="20" s="1"/>
  <c r="P214" i="20"/>
  <c r="N214" i="20"/>
  <c r="M214" i="20"/>
  <c r="L214" i="20"/>
  <c r="H214" i="20"/>
  <c r="J214" i="20" s="1"/>
  <c r="G214" i="20"/>
  <c r="F214" i="20"/>
  <c r="D214" i="20"/>
  <c r="C214" i="20"/>
  <c r="B214" i="20"/>
  <c r="I214" i="20" s="1"/>
  <c r="AQ213" i="20"/>
  <c r="AR213" i="20" s="1"/>
  <c r="AP213" i="20"/>
  <c r="AS213" i="20"/>
  <c r="AI213" i="20"/>
  <c r="AJ213" i="20" s="1"/>
  <c r="AH213" i="20"/>
  <c r="AE213" i="20"/>
  <c r="AF213" i="20" s="1"/>
  <c r="AD213" i="20"/>
  <c r="AA213" i="20"/>
  <c r="AB213" i="20" s="1"/>
  <c r="Z213" i="20"/>
  <c r="AK213" i="20" s="1"/>
  <c r="W213" i="20"/>
  <c r="X213" i="20" s="1"/>
  <c r="AL213" i="20" s="1"/>
  <c r="V213" i="20"/>
  <c r="Q213" i="20"/>
  <c r="R213" i="20" s="1"/>
  <c r="P213" i="20"/>
  <c r="M213" i="20"/>
  <c r="N213" i="20" s="1"/>
  <c r="L213" i="20"/>
  <c r="S213" i="20" s="1"/>
  <c r="G213" i="20"/>
  <c r="H213" i="20" s="1"/>
  <c r="F213" i="20"/>
  <c r="C213" i="20"/>
  <c r="D213" i="20" s="1"/>
  <c r="J213" i="20" s="1"/>
  <c r="B213" i="20"/>
  <c r="I213" i="20" s="1"/>
  <c r="AQ212" i="20"/>
  <c r="AS212" i="20" s="1"/>
  <c r="AP212" i="20"/>
  <c r="AI212" i="20"/>
  <c r="AJ212" i="20" s="1"/>
  <c r="AH212" i="20"/>
  <c r="AF212" i="20"/>
  <c r="AE212" i="20"/>
  <c r="AD212" i="20"/>
  <c r="AB212" i="20"/>
  <c r="AA212" i="20"/>
  <c r="Z212" i="20"/>
  <c r="W212" i="20"/>
  <c r="X212" i="20" s="1"/>
  <c r="V212" i="20"/>
  <c r="R212" i="20"/>
  <c r="Q212" i="20"/>
  <c r="P212" i="20"/>
  <c r="M212" i="20"/>
  <c r="N212" i="20" s="1"/>
  <c r="L212" i="20"/>
  <c r="G212" i="20"/>
  <c r="H212" i="20" s="1"/>
  <c r="J212" i="20" s="1"/>
  <c r="F212" i="20"/>
  <c r="D212" i="20"/>
  <c r="C212" i="20"/>
  <c r="B212" i="20"/>
  <c r="AQ211" i="20"/>
  <c r="AS211" i="20" s="1"/>
  <c r="AP211" i="20"/>
  <c r="AI211" i="20"/>
  <c r="AJ211" i="20" s="1"/>
  <c r="AH211" i="20"/>
  <c r="AE211" i="20"/>
  <c r="AF211" i="20" s="1"/>
  <c r="AD211" i="20"/>
  <c r="AA211" i="20"/>
  <c r="AB211" i="20" s="1"/>
  <c r="Z211" i="20"/>
  <c r="W211" i="20"/>
  <c r="X211" i="20" s="1"/>
  <c r="V211" i="20"/>
  <c r="AK211" i="20" s="1"/>
  <c r="T211" i="20"/>
  <c r="Q211" i="20"/>
  <c r="R211" i="20" s="1"/>
  <c r="P211" i="20"/>
  <c r="M211" i="20"/>
  <c r="N211" i="20" s="1"/>
  <c r="L211" i="20"/>
  <c r="S211" i="20" s="1"/>
  <c r="G211" i="20"/>
  <c r="H211" i="20" s="1"/>
  <c r="F211" i="20"/>
  <c r="I211" i="20" s="1"/>
  <c r="C211" i="20"/>
  <c r="D211" i="20" s="1"/>
  <c r="B211" i="20"/>
  <c r="AQ210" i="20"/>
  <c r="AR210" i="20" s="1"/>
  <c r="AP210" i="20"/>
  <c r="AJ210" i="20"/>
  <c r="AI210" i="20"/>
  <c r="AF210" i="20"/>
  <c r="AE210" i="20"/>
  <c r="AD210" i="20"/>
  <c r="AA210" i="20"/>
  <c r="AB210" i="20" s="1"/>
  <c r="Z210" i="20"/>
  <c r="W210" i="20"/>
  <c r="X210" i="20" s="1"/>
  <c r="R210" i="20"/>
  <c r="Q210" i="20"/>
  <c r="P210" i="20"/>
  <c r="M210" i="20"/>
  <c r="N210" i="20" s="1"/>
  <c r="T210" i="20" s="1"/>
  <c r="H210" i="20"/>
  <c r="G210" i="20"/>
  <c r="F210" i="20"/>
  <c r="C210" i="20"/>
  <c r="D210" i="20" s="1"/>
  <c r="AQ209" i="20"/>
  <c r="AI209" i="20"/>
  <c r="AJ209" i="20" s="1"/>
  <c r="AH209" i="20"/>
  <c r="AE209" i="20"/>
  <c r="AF209" i="20" s="1"/>
  <c r="AA209" i="20"/>
  <c r="AB209" i="20" s="1"/>
  <c r="AL209" i="20" s="1"/>
  <c r="W209" i="20"/>
  <c r="X209" i="20" s="1"/>
  <c r="V209" i="20"/>
  <c r="Q209" i="20"/>
  <c r="R209" i="20" s="1"/>
  <c r="M209" i="20"/>
  <c r="N209" i="20" s="1"/>
  <c r="T209" i="20" s="1"/>
  <c r="L209" i="20"/>
  <c r="G209" i="20"/>
  <c r="H209" i="20" s="1"/>
  <c r="C209" i="20"/>
  <c r="D209" i="20" s="1"/>
  <c r="J209" i="20" s="1"/>
  <c r="AR208" i="20"/>
  <c r="AQ208" i="20"/>
  <c r="AS208" i="20" s="1"/>
  <c r="AP208" i="20"/>
  <c r="AI208" i="20"/>
  <c r="AJ208" i="20" s="1"/>
  <c r="AH208" i="20"/>
  <c r="AE208" i="20"/>
  <c r="AF208" i="20" s="1"/>
  <c r="AD208" i="20"/>
  <c r="AA208" i="20"/>
  <c r="AB208" i="20" s="1"/>
  <c r="AL208" i="20" s="1"/>
  <c r="Z208" i="20"/>
  <c r="X208" i="20"/>
  <c r="W208" i="20"/>
  <c r="V208" i="20"/>
  <c r="Q208" i="20"/>
  <c r="R208" i="20" s="1"/>
  <c r="P208" i="20"/>
  <c r="M208" i="20"/>
  <c r="N208" i="20" s="1"/>
  <c r="T208" i="20" s="1"/>
  <c r="L208" i="20"/>
  <c r="S208" i="20" s="1"/>
  <c r="G208" i="20"/>
  <c r="H208" i="20" s="1"/>
  <c r="F208" i="20"/>
  <c r="C208" i="20"/>
  <c r="D208" i="20" s="1"/>
  <c r="J208" i="20" s="1"/>
  <c r="B208" i="20"/>
  <c r="AQ207" i="20"/>
  <c r="AS207" i="20" s="1"/>
  <c r="AP207" i="20"/>
  <c r="AJ207" i="20"/>
  <c r="AI207" i="20"/>
  <c r="AH207" i="20"/>
  <c r="AE207" i="20"/>
  <c r="AF207" i="20" s="1"/>
  <c r="AD207" i="20"/>
  <c r="AA207" i="20"/>
  <c r="AB207" i="20" s="1"/>
  <c r="Z207" i="20"/>
  <c r="W207" i="20"/>
  <c r="X207" i="20" s="1"/>
  <c r="V207" i="20"/>
  <c r="Q207" i="20"/>
  <c r="R207" i="20" s="1"/>
  <c r="T207" i="20" s="1"/>
  <c r="P207" i="20"/>
  <c r="M207" i="20"/>
  <c r="N207" i="20" s="1"/>
  <c r="L207" i="20"/>
  <c r="G207" i="20"/>
  <c r="H207" i="20" s="1"/>
  <c r="F207" i="20"/>
  <c r="D207" i="20"/>
  <c r="C207" i="20"/>
  <c r="B207" i="20"/>
  <c r="AR206" i="20"/>
  <c r="AQ206" i="20"/>
  <c r="AP206" i="20"/>
  <c r="AS206" i="20"/>
  <c r="AI206" i="20"/>
  <c r="AJ206" i="20" s="1"/>
  <c r="AH206" i="20"/>
  <c r="AE206" i="20"/>
  <c r="AF206" i="20" s="1"/>
  <c r="AD206" i="20"/>
  <c r="AA206" i="20"/>
  <c r="AB206" i="20" s="1"/>
  <c r="Z206" i="20"/>
  <c r="W206" i="20"/>
  <c r="X206" i="20" s="1"/>
  <c r="AL206" i="20" s="1"/>
  <c r="V206" i="20"/>
  <c r="Q206" i="20"/>
  <c r="R206" i="20" s="1"/>
  <c r="P206" i="20"/>
  <c r="M206" i="20"/>
  <c r="N206" i="20" s="1"/>
  <c r="L206" i="20"/>
  <c r="H206" i="20"/>
  <c r="G206" i="20"/>
  <c r="F206" i="20"/>
  <c r="I206" i="20" s="1"/>
  <c r="D206" i="20"/>
  <c r="C206" i="20"/>
  <c r="B206" i="20"/>
  <c r="AQ205" i="20"/>
  <c r="AR205" i="20" s="1"/>
  <c r="AP205" i="20"/>
  <c r="AI205" i="20"/>
  <c r="AJ205" i="20" s="1"/>
  <c r="AH205" i="20"/>
  <c r="AE205" i="20"/>
  <c r="AF205" i="20" s="1"/>
  <c r="AD205" i="20"/>
  <c r="AA205" i="20"/>
  <c r="AB205" i="20" s="1"/>
  <c r="Z205" i="20"/>
  <c r="W205" i="20"/>
  <c r="X205" i="20" s="1"/>
  <c r="V205" i="20"/>
  <c r="R205" i="20"/>
  <c r="Q205" i="20"/>
  <c r="P205" i="20"/>
  <c r="N205" i="20"/>
  <c r="M205" i="20"/>
  <c r="L205" i="20"/>
  <c r="G205" i="20"/>
  <c r="H205" i="20" s="1"/>
  <c r="F205" i="20"/>
  <c r="C205" i="20"/>
  <c r="D205" i="20" s="1"/>
  <c r="J205" i="20" s="1"/>
  <c r="B205" i="20"/>
  <c r="AQ204" i="20"/>
  <c r="AS204" i="20" s="1"/>
  <c r="AP204" i="20"/>
  <c r="AI204" i="20"/>
  <c r="AJ204" i="20" s="1"/>
  <c r="AH204" i="20"/>
  <c r="AE204" i="20"/>
  <c r="AF204" i="20" s="1"/>
  <c r="AD204" i="20"/>
  <c r="AA204" i="20"/>
  <c r="AB204" i="20" s="1"/>
  <c r="Z204" i="20"/>
  <c r="W204" i="20"/>
  <c r="X204" i="20" s="1"/>
  <c r="V204" i="20"/>
  <c r="R204" i="20"/>
  <c r="Q204" i="20"/>
  <c r="P204" i="20"/>
  <c r="N204" i="20"/>
  <c r="M204" i="20"/>
  <c r="L204" i="20"/>
  <c r="H204" i="20"/>
  <c r="G204" i="20"/>
  <c r="F204" i="20"/>
  <c r="D204" i="20"/>
  <c r="J204" i="20" s="1"/>
  <c r="C204" i="20"/>
  <c r="B204" i="20"/>
  <c r="AQ203" i="20"/>
  <c r="AP203" i="20"/>
  <c r="AI203" i="20"/>
  <c r="AJ203" i="20" s="1"/>
  <c r="AH203" i="20"/>
  <c r="AE203" i="20"/>
  <c r="AF203" i="20" s="1"/>
  <c r="AD203" i="20"/>
  <c r="AA203" i="20"/>
  <c r="AB203" i="20" s="1"/>
  <c r="Z203" i="20"/>
  <c r="W203" i="20"/>
  <c r="X203" i="20" s="1"/>
  <c r="V203" i="20"/>
  <c r="Q203" i="20"/>
  <c r="R203" i="20" s="1"/>
  <c r="T203" i="20" s="1"/>
  <c r="P203" i="20"/>
  <c r="M203" i="20"/>
  <c r="N203" i="20" s="1"/>
  <c r="L203" i="20"/>
  <c r="G203" i="20"/>
  <c r="H203" i="20" s="1"/>
  <c r="F203" i="20"/>
  <c r="C203" i="20"/>
  <c r="D203" i="20" s="1"/>
  <c r="J203" i="20" s="1"/>
  <c r="B203" i="20"/>
  <c r="I203" i="20" s="1"/>
  <c r="AS202" i="20"/>
  <c r="AR202" i="20"/>
  <c r="AQ202" i="20"/>
  <c r="AP202" i="20"/>
  <c r="AI202" i="20"/>
  <c r="AJ202" i="20" s="1"/>
  <c r="AF202" i="20"/>
  <c r="AE202" i="20"/>
  <c r="AD202" i="20"/>
  <c r="AB202" i="20"/>
  <c r="AA202" i="20"/>
  <c r="Z202" i="20"/>
  <c r="W202" i="20"/>
  <c r="X202" i="20" s="1"/>
  <c r="R202" i="20"/>
  <c r="Q202" i="20"/>
  <c r="P202" i="20"/>
  <c r="M202" i="20"/>
  <c r="N202" i="20" s="1"/>
  <c r="H202" i="20"/>
  <c r="G202" i="20"/>
  <c r="F202" i="20"/>
  <c r="D202" i="20"/>
  <c r="J202" i="20" s="1"/>
  <c r="C202" i="20"/>
  <c r="AQ201" i="20"/>
  <c r="AR201" i="20" s="1"/>
  <c r="AI201" i="20"/>
  <c r="AJ201" i="20" s="1"/>
  <c r="AH201" i="20"/>
  <c r="AE201" i="20"/>
  <c r="AF201" i="20" s="1"/>
  <c r="AA201" i="20"/>
  <c r="AB201" i="20" s="1"/>
  <c r="W201" i="20"/>
  <c r="X201" i="20" s="1"/>
  <c r="V201" i="20"/>
  <c r="Q201" i="20"/>
  <c r="R201" i="20" s="1"/>
  <c r="P201" i="20"/>
  <c r="S201" i="20" s="1"/>
  <c r="M201" i="20"/>
  <c r="N201" i="20" s="1"/>
  <c r="T201" i="20" s="1"/>
  <c r="L201" i="20"/>
  <c r="G201" i="20"/>
  <c r="H201" i="20" s="1"/>
  <c r="C201" i="20"/>
  <c r="D201" i="20" s="1"/>
  <c r="AQ200" i="20"/>
  <c r="AS200" i="20" s="1"/>
  <c r="AP200" i="20"/>
  <c r="AJ200" i="20"/>
  <c r="AI200" i="20"/>
  <c r="AH200" i="20"/>
  <c r="AE200" i="20"/>
  <c r="AF200" i="20" s="1"/>
  <c r="AB200" i="20"/>
  <c r="AA200" i="20"/>
  <c r="Z200" i="20"/>
  <c r="W200" i="20"/>
  <c r="X200" i="20" s="1"/>
  <c r="AL200" i="20" s="1"/>
  <c r="V200" i="20"/>
  <c r="R200" i="20"/>
  <c r="Q200" i="20"/>
  <c r="P200" i="20"/>
  <c r="N200" i="20"/>
  <c r="M200" i="20"/>
  <c r="L200" i="20"/>
  <c r="G200" i="20"/>
  <c r="H200" i="20" s="1"/>
  <c r="F200" i="20"/>
  <c r="D200" i="20"/>
  <c r="J200" i="20" s="1"/>
  <c r="C200" i="20"/>
  <c r="B200" i="20"/>
  <c r="AQ199" i="20"/>
  <c r="AP199" i="20"/>
  <c r="AI199" i="20"/>
  <c r="AJ199" i="20" s="1"/>
  <c r="AH199" i="20"/>
  <c r="AE199" i="20"/>
  <c r="AF199" i="20" s="1"/>
  <c r="AD199" i="20"/>
  <c r="AB199" i="20"/>
  <c r="AA199" i="20"/>
  <c r="Z199" i="20"/>
  <c r="W199" i="20"/>
  <c r="X199" i="20" s="1"/>
  <c r="V199" i="20"/>
  <c r="T199" i="20"/>
  <c r="Q199" i="20"/>
  <c r="R199" i="20" s="1"/>
  <c r="P199" i="20"/>
  <c r="M199" i="20"/>
  <c r="N199" i="20" s="1"/>
  <c r="L199" i="20"/>
  <c r="G199" i="20"/>
  <c r="H199" i="20" s="1"/>
  <c r="F199" i="20"/>
  <c r="C199" i="20"/>
  <c r="D199" i="20" s="1"/>
  <c r="B199" i="20"/>
  <c r="AR198" i="20"/>
  <c r="AQ198" i="20"/>
  <c r="AS198" i="20" s="1"/>
  <c r="AP198" i="20"/>
  <c r="AI198" i="20"/>
  <c r="AJ198" i="20" s="1"/>
  <c r="AH198" i="20"/>
  <c r="AE198" i="20"/>
  <c r="AF198" i="20" s="1"/>
  <c r="AD198" i="20"/>
  <c r="AA198" i="20"/>
  <c r="AB198" i="20" s="1"/>
  <c r="Z198" i="20"/>
  <c r="W198" i="20"/>
  <c r="X198" i="20" s="1"/>
  <c r="V198" i="20"/>
  <c r="R198" i="20"/>
  <c r="T198" i="20" s="1"/>
  <c r="Q198" i="20"/>
  <c r="P198" i="20"/>
  <c r="M198" i="20"/>
  <c r="N198" i="20" s="1"/>
  <c r="L198" i="20"/>
  <c r="S198" i="20" s="1"/>
  <c r="H198" i="20"/>
  <c r="G198" i="20"/>
  <c r="F198" i="20"/>
  <c r="C198" i="20"/>
  <c r="D198" i="20" s="1"/>
  <c r="J198" i="20" s="1"/>
  <c r="B198" i="20"/>
  <c r="I198" i="20" s="1"/>
  <c r="AQ197" i="20"/>
  <c r="AS197" i="20" s="1"/>
  <c r="AP197" i="20"/>
  <c r="AI197" i="20"/>
  <c r="AJ197" i="20" s="1"/>
  <c r="AH197" i="20"/>
  <c r="AE197" i="20"/>
  <c r="AF197" i="20" s="1"/>
  <c r="AD197" i="20"/>
  <c r="AA197" i="20"/>
  <c r="AB197" i="20" s="1"/>
  <c r="Z197" i="20"/>
  <c r="X197" i="20"/>
  <c r="W197" i="20"/>
  <c r="V197" i="20"/>
  <c r="Q197" i="20"/>
  <c r="R197" i="20" s="1"/>
  <c r="P197" i="20"/>
  <c r="M197" i="20"/>
  <c r="N197" i="20" s="1"/>
  <c r="L197" i="20"/>
  <c r="G197" i="20"/>
  <c r="H197" i="20" s="1"/>
  <c r="F197" i="20"/>
  <c r="C197" i="20"/>
  <c r="D197" i="20" s="1"/>
  <c r="B197" i="20"/>
  <c r="AR196" i="20"/>
  <c r="AQ196" i="20"/>
  <c r="AS196" i="20" s="1"/>
  <c r="AP196" i="20"/>
  <c r="AI196" i="20"/>
  <c r="AJ196" i="20" s="1"/>
  <c r="AH196" i="20"/>
  <c r="AE196" i="20"/>
  <c r="AF196" i="20" s="1"/>
  <c r="AD196" i="20"/>
  <c r="AB196" i="20"/>
  <c r="AA196" i="20"/>
  <c r="Z196" i="20"/>
  <c r="W196" i="20"/>
  <c r="X196" i="20" s="1"/>
  <c r="V196" i="20"/>
  <c r="Q196" i="20"/>
  <c r="R196" i="20" s="1"/>
  <c r="P196" i="20"/>
  <c r="M196" i="20"/>
  <c r="N196" i="20" s="1"/>
  <c r="L196" i="20"/>
  <c r="G196" i="20"/>
  <c r="H196" i="20" s="1"/>
  <c r="F196" i="20"/>
  <c r="C196" i="20"/>
  <c r="D196" i="20" s="1"/>
  <c r="B196" i="20"/>
  <c r="AQ195" i="20"/>
  <c r="AS195" i="20" s="1"/>
  <c r="AP195" i="20"/>
  <c r="AI195" i="20"/>
  <c r="AJ195" i="20" s="1"/>
  <c r="AH195" i="20"/>
  <c r="AE195" i="20"/>
  <c r="AF195" i="20" s="1"/>
  <c r="AD195" i="20"/>
  <c r="AA195" i="20"/>
  <c r="AB195" i="20" s="1"/>
  <c r="Z195" i="20"/>
  <c r="W195" i="20"/>
  <c r="X195" i="20" s="1"/>
  <c r="V195" i="20"/>
  <c r="Q195" i="20"/>
  <c r="R195" i="20" s="1"/>
  <c r="P195" i="20"/>
  <c r="M195" i="20"/>
  <c r="N195" i="20" s="1"/>
  <c r="T195" i="20" s="1"/>
  <c r="L195" i="20"/>
  <c r="S195" i="20" s="1"/>
  <c r="G195" i="20"/>
  <c r="H195" i="20" s="1"/>
  <c r="F195" i="20"/>
  <c r="C195" i="20"/>
  <c r="D195" i="20" s="1"/>
  <c r="J195" i="20" s="1"/>
  <c r="B195" i="20"/>
  <c r="AR194" i="20"/>
  <c r="AQ194" i="20"/>
  <c r="AP194" i="20"/>
  <c r="AJ194" i="20"/>
  <c r="AI194" i="20"/>
  <c r="AE194" i="20"/>
  <c r="AF194" i="20" s="1"/>
  <c r="AD194" i="20"/>
  <c r="AA194" i="20"/>
  <c r="AB194" i="20" s="1"/>
  <c r="Z194" i="20"/>
  <c r="X194" i="20"/>
  <c r="W194" i="20"/>
  <c r="Q194" i="20"/>
  <c r="R194" i="20" s="1"/>
  <c r="T194" i="20" s="1"/>
  <c r="P194" i="20"/>
  <c r="N194" i="20"/>
  <c r="M194" i="20"/>
  <c r="G194" i="20"/>
  <c r="H194" i="20" s="1"/>
  <c r="F194" i="20"/>
  <c r="D194" i="20"/>
  <c r="J194" i="20" s="1"/>
  <c r="C194" i="20"/>
  <c r="AR193" i="20"/>
  <c r="AQ193" i="20"/>
  <c r="AI193" i="20"/>
  <c r="AJ193" i="20" s="1"/>
  <c r="AH193" i="20"/>
  <c r="AE193" i="20"/>
  <c r="AF193" i="20" s="1"/>
  <c r="AB193" i="20"/>
  <c r="AA193" i="20"/>
  <c r="Z193" i="20"/>
  <c r="W193" i="20"/>
  <c r="X193" i="20" s="1"/>
  <c r="V193" i="20"/>
  <c r="Q193" i="20"/>
  <c r="R193" i="20" s="1"/>
  <c r="P193" i="20"/>
  <c r="N193" i="20"/>
  <c r="T193" i="20" s="1"/>
  <c r="M193" i="20"/>
  <c r="L193" i="20"/>
  <c r="G193" i="20"/>
  <c r="H193" i="20" s="1"/>
  <c r="D193" i="20"/>
  <c r="J193" i="20" s="1"/>
  <c r="C193" i="20"/>
  <c r="AQ192" i="20"/>
  <c r="AP192" i="20"/>
  <c r="AI192" i="20"/>
  <c r="AJ192" i="20" s="1"/>
  <c r="AH192" i="20"/>
  <c r="AF192" i="20"/>
  <c r="AE192" i="20"/>
  <c r="AA192" i="20"/>
  <c r="AB192" i="20" s="1"/>
  <c r="Z192" i="20"/>
  <c r="X192" i="20"/>
  <c r="W192" i="20"/>
  <c r="V192" i="20"/>
  <c r="Q192" i="20"/>
  <c r="R192" i="20" s="1"/>
  <c r="P192" i="20"/>
  <c r="S192" i="20" s="1"/>
  <c r="M192" i="20"/>
  <c r="N192" i="20" s="1"/>
  <c r="L192" i="20"/>
  <c r="G192" i="20"/>
  <c r="H192" i="20" s="1"/>
  <c r="F192" i="20"/>
  <c r="C192" i="20"/>
  <c r="D192" i="20" s="1"/>
  <c r="J192" i="20" s="1"/>
  <c r="B192" i="20"/>
  <c r="I192" i="20" s="1"/>
  <c r="AQ191" i="20"/>
  <c r="AS191" i="20" s="1"/>
  <c r="AP191" i="20"/>
  <c r="AI191" i="20"/>
  <c r="AJ191" i="20" s="1"/>
  <c r="AH191" i="20"/>
  <c r="AE191" i="20"/>
  <c r="AF191" i="20" s="1"/>
  <c r="AD191" i="20"/>
  <c r="AA191" i="20"/>
  <c r="AB191" i="20" s="1"/>
  <c r="Z191" i="20"/>
  <c r="W191" i="20"/>
  <c r="X191" i="20" s="1"/>
  <c r="V191" i="20"/>
  <c r="Q191" i="20"/>
  <c r="R191" i="20" s="1"/>
  <c r="P191" i="20"/>
  <c r="N191" i="20"/>
  <c r="T191" i="20" s="1"/>
  <c r="M191" i="20"/>
  <c r="L191" i="20"/>
  <c r="H191" i="20"/>
  <c r="G191" i="20"/>
  <c r="F191" i="20"/>
  <c r="C191" i="20"/>
  <c r="D191" i="20" s="1"/>
  <c r="J191" i="20" s="1"/>
  <c r="B191" i="20"/>
  <c r="AQ190" i="20"/>
  <c r="AS190" i="20" s="1"/>
  <c r="AP190" i="20"/>
  <c r="AI190" i="20"/>
  <c r="AJ190" i="20" s="1"/>
  <c r="AH190" i="20"/>
  <c r="AE190" i="20"/>
  <c r="AF190" i="20" s="1"/>
  <c r="AD190" i="20"/>
  <c r="AA190" i="20"/>
  <c r="AB190" i="20" s="1"/>
  <c r="Z190" i="20"/>
  <c r="X190" i="20"/>
  <c r="W190" i="20"/>
  <c r="V190" i="20"/>
  <c r="Q190" i="20"/>
  <c r="R190" i="20" s="1"/>
  <c r="P190" i="20"/>
  <c r="M190" i="20"/>
  <c r="N190" i="20" s="1"/>
  <c r="T190" i="20" s="1"/>
  <c r="L190" i="20"/>
  <c r="S190" i="20" s="1"/>
  <c r="G190" i="20"/>
  <c r="H190" i="20" s="1"/>
  <c r="F190" i="20"/>
  <c r="C190" i="20"/>
  <c r="D190" i="20" s="1"/>
  <c r="B190" i="20"/>
  <c r="AQ189" i="20"/>
  <c r="AS189" i="20" s="1"/>
  <c r="AP189" i="20"/>
  <c r="AI189" i="20"/>
  <c r="AJ189" i="20" s="1"/>
  <c r="AH189" i="20"/>
  <c r="AE189" i="20"/>
  <c r="AF189" i="20" s="1"/>
  <c r="AD189" i="20"/>
  <c r="AA189" i="20"/>
  <c r="AB189" i="20" s="1"/>
  <c r="Z189" i="20"/>
  <c r="W189" i="20"/>
  <c r="X189" i="20" s="1"/>
  <c r="V189" i="20"/>
  <c r="Q189" i="20"/>
  <c r="R189" i="20" s="1"/>
  <c r="P189" i="20"/>
  <c r="M189" i="20"/>
  <c r="N189" i="20" s="1"/>
  <c r="L189" i="20"/>
  <c r="G189" i="20"/>
  <c r="H189" i="20" s="1"/>
  <c r="J189" i="20" s="1"/>
  <c r="F189" i="20"/>
  <c r="C189" i="20"/>
  <c r="D189" i="20" s="1"/>
  <c r="B189" i="20"/>
  <c r="AS188" i="20"/>
  <c r="AQ188" i="20"/>
  <c r="AR188" i="20" s="1"/>
  <c r="AP188" i="20"/>
  <c r="AI188" i="20"/>
  <c r="AJ188" i="20" s="1"/>
  <c r="AH188" i="20"/>
  <c r="AE188" i="20"/>
  <c r="AF188" i="20" s="1"/>
  <c r="AD188" i="20"/>
  <c r="AA188" i="20"/>
  <c r="AB188" i="20" s="1"/>
  <c r="Z188" i="20"/>
  <c r="W188" i="20"/>
  <c r="X188" i="20" s="1"/>
  <c r="V188" i="20"/>
  <c r="Q188" i="20"/>
  <c r="R188" i="20" s="1"/>
  <c r="P188" i="20"/>
  <c r="M188" i="20"/>
  <c r="N188" i="20" s="1"/>
  <c r="L188" i="20"/>
  <c r="S188" i="20" s="1"/>
  <c r="G188" i="20"/>
  <c r="H188" i="20" s="1"/>
  <c r="F188" i="20"/>
  <c r="C188" i="20"/>
  <c r="D188" i="20" s="1"/>
  <c r="B188" i="20"/>
  <c r="AQ187" i="20"/>
  <c r="AP187" i="20"/>
  <c r="AI187" i="20"/>
  <c r="AJ187" i="20" s="1"/>
  <c r="AH187" i="20"/>
  <c r="AE187" i="20"/>
  <c r="AF187" i="20" s="1"/>
  <c r="AD187" i="20"/>
  <c r="AB187" i="20"/>
  <c r="AA187" i="20"/>
  <c r="Z187" i="20"/>
  <c r="W187" i="20"/>
  <c r="X187" i="20" s="1"/>
  <c r="V187" i="20"/>
  <c r="R187" i="20"/>
  <c r="Q187" i="20"/>
  <c r="P187" i="20"/>
  <c r="S187" i="20" s="1"/>
  <c r="M187" i="20"/>
  <c r="N187" i="20" s="1"/>
  <c r="L187" i="20"/>
  <c r="G187" i="20"/>
  <c r="H187" i="20" s="1"/>
  <c r="F187" i="20"/>
  <c r="D187" i="20"/>
  <c r="J187" i="20" s="1"/>
  <c r="C187" i="20"/>
  <c r="B187" i="20"/>
  <c r="AQ186" i="20"/>
  <c r="AR186" i="20" s="1"/>
  <c r="AP186" i="20"/>
  <c r="AI186" i="20"/>
  <c r="AJ186" i="20" s="1"/>
  <c r="AE186" i="20"/>
  <c r="AF186" i="20" s="1"/>
  <c r="AD186" i="20"/>
  <c r="AB186" i="20"/>
  <c r="AA186" i="20"/>
  <c r="Z186" i="20"/>
  <c r="W186" i="20"/>
  <c r="X186" i="20" s="1"/>
  <c r="Q186" i="20"/>
  <c r="R186" i="20" s="1"/>
  <c r="P186" i="20"/>
  <c r="N186" i="20"/>
  <c r="M186" i="20"/>
  <c r="G186" i="20"/>
  <c r="H186" i="20" s="1"/>
  <c r="F186" i="20"/>
  <c r="C186" i="20"/>
  <c r="D186" i="20" s="1"/>
  <c r="AQ185" i="20"/>
  <c r="AR185" i="20" s="1"/>
  <c r="AJ185" i="20"/>
  <c r="AI185" i="20"/>
  <c r="AH185" i="20"/>
  <c r="AE185" i="20"/>
  <c r="AF185" i="20" s="1"/>
  <c r="AA185" i="20"/>
  <c r="AB185" i="20" s="1"/>
  <c r="W185" i="20"/>
  <c r="X185" i="20" s="1"/>
  <c r="V185" i="20"/>
  <c r="T185" i="20"/>
  <c r="Q185" i="20"/>
  <c r="R185" i="20" s="1"/>
  <c r="M185" i="20"/>
  <c r="N185" i="20" s="1"/>
  <c r="L185" i="20"/>
  <c r="G185" i="20"/>
  <c r="H185" i="20" s="1"/>
  <c r="F185" i="20"/>
  <c r="C185" i="20"/>
  <c r="D185" i="20" s="1"/>
  <c r="B185" i="20"/>
  <c r="AQ184" i="20"/>
  <c r="AP184" i="20"/>
  <c r="AI184" i="20"/>
  <c r="AJ184" i="20" s="1"/>
  <c r="AH184" i="20"/>
  <c r="AE184" i="20"/>
  <c r="AF184" i="20" s="1"/>
  <c r="AA184" i="20"/>
  <c r="AB184" i="20" s="1"/>
  <c r="Z184" i="20"/>
  <c r="W184" i="20"/>
  <c r="X184" i="20" s="1"/>
  <c r="V184" i="20"/>
  <c r="Q184" i="20"/>
  <c r="R184" i="20" s="1"/>
  <c r="P184" i="20"/>
  <c r="N184" i="20"/>
  <c r="M184" i="20"/>
  <c r="L184" i="20"/>
  <c r="H184" i="20"/>
  <c r="G184" i="20"/>
  <c r="F184" i="20"/>
  <c r="I184" i="20" s="1"/>
  <c r="C184" i="20"/>
  <c r="D184" i="20" s="1"/>
  <c r="J184" i="20" s="1"/>
  <c r="B184" i="20"/>
  <c r="AQ183" i="20"/>
  <c r="AS183" i="20" s="1"/>
  <c r="AP183" i="20"/>
  <c r="AI183" i="20"/>
  <c r="AJ183" i="20" s="1"/>
  <c r="AH183" i="20"/>
  <c r="AE183" i="20"/>
  <c r="AF183" i="20" s="1"/>
  <c r="AD183" i="20"/>
  <c r="AA183" i="20"/>
  <c r="AB183" i="20" s="1"/>
  <c r="Z183" i="20"/>
  <c r="W183" i="20"/>
  <c r="X183" i="20" s="1"/>
  <c r="AL183" i="20" s="1"/>
  <c r="V183" i="20"/>
  <c r="Q183" i="20"/>
  <c r="R183" i="20" s="1"/>
  <c r="P183" i="20"/>
  <c r="N183" i="20"/>
  <c r="M183" i="20"/>
  <c r="L183" i="20"/>
  <c r="G183" i="20"/>
  <c r="H183" i="20" s="1"/>
  <c r="F183" i="20"/>
  <c r="C183" i="20"/>
  <c r="D183" i="20" s="1"/>
  <c r="B183" i="20"/>
  <c r="AQ182" i="20"/>
  <c r="AP182" i="20"/>
  <c r="AI182" i="20"/>
  <c r="AJ182" i="20" s="1"/>
  <c r="AH182" i="20"/>
  <c r="AF182" i="20"/>
  <c r="AE182" i="20"/>
  <c r="AD182" i="20"/>
  <c r="AA182" i="20"/>
  <c r="AB182" i="20" s="1"/>
  <c r="Z182" i="20"/>
  <c r="W182" i="20"/>
  <c r="X182" i="20" s="1"/>
  <c r="V182" i="20"/>
  <c r="T182" i="20"/>
  <c r="R182" i="20"/>
  <c r="Q182" i="20"/>
  <c r="P182" i="20"/>
  <c r="M182" i="20"/>
  <c r="N182" i="20" s="1"/>
  <c r="L182" i="20"/>
  <c r="S182" i="20" s="1"/>
  <c r="G182" i="20"/>
  <c r="H182" i="20" s="1"/>
  <c r="F182" i="20"/>
  <c r="C182" i="20"/>
  <c r="D182" i="20" s="1"/>
  <c r="B182" i="20"/>
  <c r="I182" i="20" s="1"/>
  <c r="AQ181" i="20"/>
  <c r="AS181" i="20" s="1"/>
  <c r="AP181" i="20"/>
  <c r="AI181" i="20"/>
  <c r="AJ181" i="20" s="1"/>
  <c r="AH181" i="20"/>
  <c r="AF181" i="20"/>
  <c r="AE181" i="20"/>
  <c r="AD181" i="20"/>
  <c r="AA181" i="20"/>
  <c r="AB181" i="20" s="1"/>
  <c r="Z181" i="20"/>
  <c r="W181" i="20"/>
  <c r="X181" i="20" s="1"/>
  <c r="V181" i="20"/>
  <c r="R181" i="20"/>
  <c r="Q181" i="20"/>
  <c r="P181" i="20"/>
  <c r="M181" i="20"/>
  <c r="N181" i="20" s="1"/>
  <c r="L181" i="20"/>
  <c r="G181" i="20"/>
  <c r="H181" i="20" s="1"/>
  <c r="J181" i="20" s="1"/>
  <c r="F181" i="20"/>
  <c r="C181" i="20"/>
  <c r="D181" i="20" s="1"/>
  <c r="B181" i="20"/>
  <c r="I181" i="20" s="1"/>
  <c r="AS180" i="20"/>
  <c r="AQ180" i="20"/>
  <c r="AR180" i="20" s="1"/>
  <c r="AP180" i="20"/>
  <c r="AI180" i="20"/>
  <c r="AJ180" i="20" s="1"/>
  <c r="AH180" i="20"/>
  <c r="AE180" i="20"/>
  <c r="AF180" i="20" s="1"/>
  <c r="AD180" i="20"/>
  <c r="AA180" i="20"/>
  <c r="AB180" i="20" s="1"/>
  <c r="Z180" i="20"/>
  <c r="W180" i="20"/>
  <c r="X180" i="20" s="1"/>
  <c r="V180" i="20"/>
  <c r="R180" i="20"/>
  <c r="Q180" i="20"/>
  <c r="P180" i="20"/>
  <c r="M180" i="20"/>
  <c r="N180" i="20" s="1"/>
  <c r="L180" i="20"/>
  <c r="G180" i="20"/>
  <c r="H180" i="20" s="1"/>
  <c r="F180" i="20"/>
  <c r="C180" i="20"/>
  <c r="D180" i="20" s="1"/>
  <c r="B180" i="20"/>
  <c r="AQ179" i="20"/>
  <c r="AS179" i="20" s="1"/>
  <c r="AP179" i="20"/>
  <c r="AI179" i="20"/>
  <c r="AJ179" i="20" s="1"/>
  <c r="AH179" i="20"/>
  <c r="AE179" i="20"/>
  <c r="AF179" i="20" s="1"/>
  <c r="AD179" i="20"/>
  <c r="AA179" i="20"/>
  <c r="AB179" i="20" s="1"/>
  <c r="Z179" i="20"/>
  <c r="W179" i="20"/>
  <c r="X179" i="20" s="1"/>
  <c r="V179" i="20"/>
  <c r="R179" i="20"/>
  <c r="Q179" i="20"/>
  <c r="P179" i="20"/>
  <c r="M179" i="20"/>
  <c r="N179" i="20" s="1"/>
  <c r="T179" i="20" s="1"/>
  <c r="L179" i="20"/>
  <c r="S179" i="20" s="1"/>
  <c r="G179" i="20"/>
  <c r="H179" i="20" s="1"/>
  <c r="F179" i="20"/>
  <c r="C179" i="20"/>
  <c r="D179" i="20" s="1"/>
  <c r="B179" i="20"/>
  <c r="I179" i="20" s="1"/>
  <c r="AQ178" i="20"/>
  <c r="AR178" i="20" s="1"/>
  <c r="AP178" i="20"/>
  <c r="AI178" i="20"/>
  <c r="AJ178" i="20" s="1"/>
  <c r="AE178" i="20"/>
  <c r="AF178" i="20" s="1"/>
  <c r="AD178" i="20"/>
  <c r="AB178" i="20"/>
  <c r="AA178" i="20"/>
  <c r="Z178" i="20"/>
  <c r="W178" i="20"/>
  <c r="X178" i="20" s="1"/>
  <c r="Q178" i="20"/>
  <c r="R178" i="20" s="1"/>
  <c r="T178" i="20" s="1"/>
  <c r="P178" i="20"/>
  <c r="N178" i="20"/>
  <c r="M178" i="20"/>
  <c r="L178" i="20"/>
  <c r="G178" i="20"/>
  <c r="H178" i="20" s="1"/>
  <c r="F178" i="20"/>
  <c r="D178" i="20"/>
  <c r="J178" i="20" s="1"/>
  <c r="C178" i="20"/>
  <c r="AR177" i="20"/>
  <c r="AQ177" i="20"/>
  <c r="AJ177" i="20"/>
  <c r="AI177" i="20"/>
  <c r="AH177" i="20"/>
  <c r="AE177" i="20"/>
  <c r="AF177" i="20" s="1"/>
  <c r="AB177" i="20"/>
  <c r="AL177" i="20" s="1"/>
  <c r="AA177" i="20"/>
  <c r="W177" i="20"/>
  <c r="X177" i="20" s="1"/>
  <c r="V177" i="20"/>
  <c r="Q177" i="20"/>
  <c r="R177" i="20" s="1"/>
  <c r="M177" i="20"/>
  <c r="N177" i="20" s="1"/>
  <c r="T177" i="20" s="1"/>
  <c r="L177" i="20"/>
  <c r="G177" i="20"/>
  <c r="H177" i="20" s="1"/>
  <c r="D177" i="20"/>
  <c r="C177" i="20"/>
  <c r="AQ176" i="20"/>
  <c r="AP176" i="20"/>
  <c r="AI176" i="20"/>
  <c r="AJ176" i="20" s="1"/>
  <c r="AH176" i="20"/>
  <c r="AE176" i="20"/>
  <c r="AF176" i="20" s="1"/>
  <c r="AA176" i="20"/>
  <c r="AB176" i="20" s="1"/>
  <c r="Z176" i="20"/>
  <c r="W176" i="20"/>
  <c r="X176" i="20" s="1"/>
  <c r="V176" i="20"/>
  <c r="Q176" i="20"/>
  <c r="R176" i="20" s="1"/>
  <c r="P176" i="20"/>
  <c r="M176" i="20"/>
  <c r="N176" i="20" s="1"/>
  <c r="L176" i="20"/>
  <c r="S176" i="20" s="1"/>
  <c r="J176" i="20"/>
  <c r="G176" i="20"/>
  <c r="H176" i="20" s="1"/>
  <c r="F176" i="20"/>
  <c r="C176" i="20"/>
  <c r="D176" i="20" s="1"/>
  <c r="B176" i="20"/>
  <c r="I176" i="20" s="1"/>
  <c r="AQ175" i="20"/>
  <c r="AS175" i="20" s="1"/>
  <c r="AP175" i="20"/>
  <c r="AI175" i="20"/>
  <c r="AJ175" i="20" s="1"/>
  <c r="AH175" i="20"/>
  <c r="AE175" i="20"/>
  <c r="AF175" i="20" s="1"/>
  <c r="AD175" i="20"/>
  <c r="AA175" i="20"/>
  <c r="AB175" i="20" s="1"/>
  <c r="Z175" i="20"/>
  <c r="W175" i="20"/>
  <c r="X175" i="20" s="1"/>
  <c r="V175" i="20"/>
  <c r="Q175" i="20"/>
  <c r="R175" i="20" s="1"/>
  <c r="P175" i="20"/>
  <c r="N175" i="20"/>
  <c r="M175" i="20"/>
  <c r="L175" i="20"/>
  <c r="G175" i="20"/>
  <c r="H175" i="20" s="1"/>
  <c r="F175" i="20"/>
  <c r="C175" i="20"/>
  <c r="D175" i="20" s="1"/>
  <c r="B175" i="20"/>
  <c r="AR174" i="20"/>
  <c r="AQ174" i="20"/>
  <c r="AS174" i="20" s="1"/>
  <c r="AP174" i="20"/>
  <c r="AI174" i="20"/>
  <c r="AJ174" i="20" s="1"/>
  <c r="AH174" i="20"/>
  <c r="AE174" i="20"/>
  <c r="AF174" i="20" s="1"/>
  <c r="AD174" i="20"/>
  <c r="AB174" i="20"/>
  <c r="AA174" i="20"/>
  <c r="Z174" i="20"/>
  <c r="X174" i="20"/>
  <c r="W174" i="20"/>
  <c r="V174" i="20"/>
  <c r="Q174" i="20"/>
  <c r="R174" i="20" s="1"/>
  <c r="P174" i="20"/>
  <c r="M174" i="20"/>
  <c r="N174" i="20" s="1"/>
  <c r="L174" i="20"/>
  <c r="S174" i="20" s="1"/>
  <c r="G174" i="20"/>
  <c r="H174" i="20" s="1"/>
  <c r="F174" i="20"/>
  <c r="C174" i="20"/>
  <c r="D174" i="20" s="1"/>
  <c r="B174" i="20"/>
  <c r="AQ173" i="20"/>
  <c r="AP173" i="20"/>
  <c r="AI173" i="20"/>
  <c r="AJ173" i="20" s="1"/>
  <c r="AH173" i="20"/>
  <c r="AF173" i="20"/>
  <c r="AE173" i="20"/>
  <c r="AD173" i="20"/>
  <c r="AA173" i="20"/>
  <c r="AB173" i="20" s="1"/>
  <c r="Z173" i="20"/>
  <c r="X173" i="20"/>
  <c r="W173" i="20"/>
  <c r="V173" i="20"/>
  <c r="Q173" i="20"/>
  <c r="R173" i="20" s="1"/>
  <c r="P173" i="20"/>
  <c r="M173" i="20"/>
  <c r="N173" i="20" s="1"/>
  <c r="L173" i="20"/>
  <c r="H173" i="20"/>
  <c r="G173" i="20"/>
  <c r="F173" i="20"/>
  <c r="C173" i="20"/>
  <c r="D173" i="20" s="1"/>
  <c r="B173" i="20"/>
  <c r="AQ172" i="20"/>
  <c r="AS172" i="20" s="1"/>
  <c r="AP172" i="20"/>
  <c r="AJ172" i="20"/>
  <c r="AI172" i="20"/>
  <c r="AH172" i="20"/>
  <c r="AE172" i="20"/>
  <c r="AF172" i="20" s="1"/>
  <c r="AD172" i="20"/>
  <c r="AA172" i="20"/>
  <c r="AB172" i="20" s="1"/>
  <c r="Z172" i="20"/>
  <c r="W172" i="20"/>
  <c r="X172" i="20" s="1"/>
  <c r="V172" i="20"/>
  <c r="Q172" i="20"/>
  <c r="R172" i="20" s="1"/>
  <c r="P172" i="20"/>
  <c r="M172" i="20"/>
  <c r="N172" i="20" s="1"/>
  <c r="T172" i="20" s="1"/>
  <c r="L172" i="20"/>
  <c r="G172" i="20"/>
  <c r="H172" i="20" s="1"/>
  <c r="F172" i="20"/>
  <c r="C172" i="20"/>
  <c r="D172" i="20" s="1"/>
  <c r="B172" i="20"/>
  <c r="AQ171" i="20"/>
  <c r="AS171" i="20" s="1"/>
  <c r="AP171" i="20"/>
  <c r="AI171" i="20"/>
  <c r="AJ171" i="20" s="1"/>
  <c r="AH171" i="20"/>
  <c r="AE171" i="20"/>
  <c r="AF171" i="20" s="1"/>
  <c r="AD171" i="20"/>
  <c r="AB171" i="20"/>
  <c r="AA171" i="20"/>
  <c r="Z171" i="20"/>
  <c r="W171" i="20"/>
  <c r="X171" i="20" s="1"/>
  <c r="V171" i="20"/>
  <c r="R171" i="20"/>
  <c r="Q171" i="20"/>
  <c r="P171" i="20"/>
  <c r="M171" i="20"/>
  <c r="N171" i="20" s="1"/>
  <c r="L171" i="20"/>
  <c r="G171" i="20"/>
  <c r="H171" i="20" s="1"/>
  <c r="F171" i="20"/>
  <c r="C171" i="20"/>
  <c r="D171" i="20" s="1"/>
  <c r="J171" i="20" s="1"/>
  <c r="B171" i="20"/>
  <c r="AR170" i="20"/>
  <c r="AQ170" i="20"/>
  <c r="AP170" i="20"/>
  <c r="AI170" i="20"/>
  <c r="AJ170" i="20" s="1"/>
  <c r="AE170" i="20"/>
  <c r="AF170" i="20" s="1"/>
  <c r="AD170" i="20"/>
  <c r="AB170" i="20"/>
  <c r="AA170" i="20"/>
  <c r="Z170" i="20"/>
  <c r="W170" i="20"/>
  <c r="X170" i="20" s="1"/>
  <c r="Q170" i="20"/>
  <c r="R170" i="20" s="1"/>
  <c r="P170" i="20"/>
  <c r="N170" i="20"/>
  <c r="M170" i="20"/>
  <c r="H170" i="20"/>
  <c r="G170" i="20"/>
  <c r="F170" i="20"/>
  <c r="C170" i="20"/>
  <c r="D170" i="20" s="1"/>
  <c r="AQ169" i="20"/>
  <c r="AR169" i="20" s="1"/>
  <c r="AJ169" i="20"/>
  <c r="AI169" i="20"/>
  <c r="AH169" i="20"/>
  <c r="AE169" i="20"/>
  <c r="AF169" i="20" s="1"/>
  <c r="AA169" i="20"/>
  <c r="AB169" i="20" s="1"/>
  <c r="W169" i="20"/>
  <c r="X169" i="20" s="1"/>
  <c r="V169" i="20"/>
  <c r="Q169" i="20"/>
  <c r="R169" i="20" s="1"/>
  <c r="T169" i="20" s="1"/>
  <c r="P169" i="20"/>
  <c r="M169" i="20"/>
  <c r="N169" i="20" s="1"/>
  <c r="L169" i="20"/>
  <c r="G169" i="20"/>
  <c r="H169" i="20" s="1"/>
  <c r="C169" i="20"/>
  <c r="D169" i="20" s="1"/>
  <c r="B169" i="20"/>
  <c r="AQ168" i="20"/>
  <c r="AP168" i="20"/>
  <c r="AI168" i="20"/>
  <c r="AJ168" i="20" s="1"/>
  <c r="AH168" i="20"/>
  <c r="AE168" i="20"/>
  <c r="AF168" i="20" s="1"/>
  <c r="AA168" i="20"/>
  <c r="AB168" i="20" s="1"/>
  <c r="Z168" i="20"/>
  <c r="X168" i="20"/>
  <c r="W168" i="20"/>
  <c r="V168" i="20"/>
  <c r="Q168" i="20"/>
  <c r="R168" i="20" s="1"/>
  <c r="P168" i="20"/>
  <c r="M168" i="20"/>
  <c r="N168" i="20" s="1"/>
  <c r="L168" i="20"/>
  <c r="H168" i="20"/>
  <c r="G168" i="20"/>
  <c r="F168" i="20"/>
  <c r="D168" i="20"/>
  <c r="C168" i="20"/>
  <c r="B168" i="20"/>
  <c r="I168" i="20" s="1"/>
  <c r="AQ167" i="20"/>
  <c r="AP167" i="20"/>
  <c r="AI167" i="20"/>
  <c r="AJ167" i="20" s="1"/>
  <c r="AH167" i="20"/>
  <c r="AE167" i="20"/>
  <c r="AF167" i="20" s="1"/>
  <c r="AD167" i="20"/>
  <c r="AA167" i="20"/>
  <c r="AB167" i="20" s="1"/>
  <c r="Z167" i="20"/>
  <c r="W167" i="20"/>
  <c r="X167" i="20" s="1"/>
  <c r="V167" i="20"/>
  <c r="AK167" i="20" s="1"/>
  <c r="Q167" i="20"/>
  <c r="R167" i="20" s="1"/>
  <c r="P167" i="20"/>
  <c r="S167" i="20" s="1"/>
  <c r="M167" i="20"/>
  <c r="N167" i="20" s="1"/>
  <c r="L167" i="20"/>
  <c r="I167" i="20"/>
  <c r="H167" i="20"/>
  <c r="G167" i="20"/>
  <c r="F167" i="20"/>
  <c r="C167" i="20"/>
  <c r="D167" i="20" s="1"/>
  <c r="B167" i="20"/>
  <c r="AR166" i="20"/>
  <c r="AQ166" i="20"/>
  <c r="AS166" i="20" s="1"/>
  <c r="AP166" i="20"/>
  <c r="AI166" i="20"/>
  <c r="AJ166" i="20" s="1"/>
  <c r="AH166" i="20"/>
  <c r="AF166" i="20"/>
  <c r="AE166" i="20"/>
  <c r="AD166" i="20"/>
  <c r="AA166" i="20"/>
  <c r="AB166" i="20" s="1"/>
  <c r="Z166" i="20"/>
  <c r="W166" i="20"/>
  <c r="X166" i="20" s="1"/>
  <c r="V166" i="20"/>
  <c r="Q166" i="20"/>
  <c r="R166" i="20" s="1"/>
  <c r="P166" i="20"/>
  <c r="M166" i="20"/>
  <c r="N166" i="20" s="1"/>
  <c r="T166" i="20" s="1"/>
  <c r="L166" i="20"/>
  <c r="G166" i="20"/>
  <c r="H166" i="20" s="1"/>
  <c r="F166" i="20"/>
  <c r="D166" i="20"/>
  <c r="C166" i="20"/>
  <c r="B166" i="20"/>
  <c r="AQ165" i="20"/>
  <c r="AR165" i="20" s="1"/>
  <c r="AI165" i="20"/>
  <c r="AJ165" i="20" s="1"/>
  <c r="AH165" i="20"/>
  <c r="AE165" i="20"/>
  <c r="AF165" i="20" s="1"/>
  <c r="AD165" i="20"/>
  <c r="AA165" i="20"/>
  <c r="AB165" i="20" s="1"/>
  <c r="Z165" i="20"/>
  <c r="X165" i="20"/>
  <c r="W165" i="20"/>
  <c r="V165" i="20"/>
  <c r="Q165" i="20"/>
  <c r="R165" i="20" s="1"/>
  <c r="P165" i="20"/>
  <c r="S165" i="20" s="1"/>
  <c r="M165" i="20"/>
  <c r="N165" i="20" s="1"/>
  <c r="L165" i="20"/>
  <c r="G165" i="20"/>
  <c r="H165" i="20" s="1"/>
  <c r="F165" i="20"/>
  <c r="C165" i="20"/>
  <c r="D165" i="20" s="1"/>
  <c r="B165" i="20"/>
  <c r="AS164" i="20"/>
  <c r="AQ164" i="20"/>
  <c r="AR164" i="20" s="1"/>
  <c r="AP164" i="20"/>
  <c r="AI164" i="20"/>
  <c r="AJ164" i="20" s="1"/>
  <c r="AH164" i="20"/>
  <c r="AE164" i="20"/>
  <c r="AF164" i="20" s="1"/>
  <c r="AD164" i="20"/>
  <c r="AA164" i="20"/>
  <c r="AB164" i="20" s="1"/>
  <c r="Z164" i="20"/>
  <c r="W164" i="20"/>
  <c r="X164" i="20" s="1"/>
  <c r="V164" i="20"/>
  <c r="Q164" i="20"/>
  <c r="R164" i="20" s="1"/>
  <c r="P164" i="20"/>
  <c r="M164" i="20"/>
  <c r="N164" i="20" s="1"/>
  <c r="L164" i="20"/>
  <c r="H164" i="20"/>
  <c r="G164" i="20"/>
  <c r="F164" i="20"/>
  <c r="C164" i="20"/>
  <c r="D164" i="20" s="1"/>
  <c r="B164" i="20"/>
  <c r="AQ163" i="20"/>
  <c r="AS163" i="20" s="1"/>
  <c r="AP163" i="20"/>
  <c r="AI163" i="20"/>
  <c r="AJ163" i="20" s="1"/>
  <c r="AH163" i="20"/>
  <c r="AE163" i="20"/>
  <c r="AF163" i="20" s="1"/>
  <c r="AD163" i="20"/>
  <c r="AA163" i="20"/>
  <c r="AB163" i="20" s="1"/>
  <c r="Z163" i="20"/>
  <c r="W163" i="20"/>
  <c r="X163" i="20" s="1"/>
  <c r="V163" i="20"/>
  <c r="R163" i="20"/>
  <c r="Q163" i="20"/>
  <c r="P163" i="20"/>
  <c r="M163" i="20"/>
  <c r="N163" i="20" s="1"/>
  <c r="L163" i="20"/>
  <c r="G163" i="20"/>
  <c r="H163" i="20" s="1"/>
  <c r="F163" i="20"/>
  <c r="D163" i="20"/>
  <c r="J163" i="20" s="1"/>
  <c r="C163" i="20"/>
  <c r="B163" i="20"/>
  <c r="AQ162" i="20"/>
  <c r="AP162" i="20"/>
  <c r="AI162" i="20"/>
  <c r="AJ162" i="20" s="1"/>
  <c r="AE162" i="20"/>
  <c r="AF162" i="20" s="1"/>
  <c r="AD162" i="20"/>
  <c r="AA162" i="20"/>
  <c r="AB162" i="20" s="1"/>
  <c r="Z162" i="20"/>
  <c r="W162" i="20"/>
  <c r="X162" i="20" s="1"/>
  <c r="Q162" i="20"/>
  <c r="R162" i="20" s="1"/>
  <c r="P162" i="20"/>
  <c r="M162" i="20"/>
  <c r="N162" i="20" s="1"/>
  <c r="H162" i="20"/>
  <c r="G162" i="20"/>
  <c r="F162" i="20"/>
  <c r="C162" i="20"/>
  <c r="D162" i="20" s="1"/>
  <c r="AR161" i="20"/>
  <c r="AQ161" i="20"/>
  <c r="AI161" i="20"/>
  <c r="AJ161" i="20" s="1"/>
  <c r="AH161" i="20"/>
  <c r="AE161" i="20"/>
  <c r="AF161" i="20" s="1"/>
  <c r="AA161" i="20"/>
  <c r="AB161" i="20" s="1"/>
  <c r="X161" i="20"/>
  <c r="W161" i="20"/>
  <c r="V161" i="20"/>
  <c r="Q161" i="20"/>
  <c r="R161" i="20" s="1"/>
  <c r="N161" i="20"/>
  <c r="T161" i="20" s="1"/>
  <c r="M161" i="20"/>
  <c r="L161" i="20"/>
  <c r="G161" i="20"/>
  <c r="H161" i="20" s="1"/>
  <c r="D161" i="20"/>
  <c r="C161" i="20"/>
  <c r="B161" i="20"/>
  <c r="AQ160" i="20"/>
  <c r="AP160" i="20"/>
  <c r="AJ160" i="20"/>
  <c r="AI160" i="20"/>
  <c r="AH160" i="20"/>
  <c r="AF160" i="20"/>
  <c r="AE160" i="20"/>
  <c r="AD160" i="20"/>
  <c r="AA160" i="20"/>
  <c r="AB160" i="20" s="1"/>
  <c r="AL160" i="20" s="1"/>
  <c r="Z160" i="20"/>
  <c r="W160" i="20"/>
  <c r="X160" i="20" s="1"/>
  <c r="V160" i="20"/>
  <c r="Q160" i="20"/>
  <c r="R160" i="20" s="1"/>
  <c r="P160" i="20"/>
  <c r="N160" i="20"/>
  <c r="T160" i="20" s="1"/>
  <c r="M160" i="20"/>
  <c r="L160" i="20"/>
  <c r="G160" i="20"/>
  <c r="H160" i="20" s="1"/>
  <c r="F160" i="20"/>
  <c r="C160" i="20"/>
  <c r="D160" i="20" s="1"/>
  <c r="B160" i="20"/>
  <c r="AQ159" i="20"/>
  <c r="AP159" i="20"/>
  <c r="AI159" i="20"/>
  <c r="AJ159" i="20" s="1"/>
  <c r="AH159" i="20"/>
  <c r="AE159" i="20"/>
  <c r="AF159" i="20" s="1"/>
  <c r="AD159" i="20"/>
  <c r="AA159" i="20"/>
  <c r="AB159" i="20" s="1"/>
  <c r="Z159" i="20"/>
  <c r="W159" i="20"/>
  <c r="X159" i="20" s="1"/>
  <c r="V159" i="20"/>
  <c r="Q159" i="20"/>
  <c r="R159" i="20" s="1"/>
  <c r="P159" i="20"/>
  <c r="M159" i="20"/>
  <c r="N159" i="20" s="1"/>
  <c r="T159" i="20" s="1"/>
  <c r="L159" i="20"/>
  <c r="G159" i="20"/>
  <c r="H159" i="20" s="1"/>
  <c r="F159" i="20"/>
  <c r="C159" i="20"/>
  <c r="D159" i="20" s="1"/>
  <c r="J159" i="20" s="1"/>
  <c r="B159" i="20"/>
  <c r="AQ158" i="20"/>
  <c r="AP158" i="20"/>
  <c r="AI158" i="20"/>
  <c r="AJ158" i="20" s="1"/>
  <c r="AH158" i="20"/>
  <c r="AE158" i="20"/>
  <c r="AF158" i="20" s="1"/>
  <c r="AD158" i="20"/>
  <c r="AA158" i="20"/>
  <c r="AB158" i="20" s="1"/>
  <c r="Z158" i="20"/>
  <c r="W158" i="20"/>
  <c r="X158" i="20" s="1"/>
  <c r="V158" i="20"/>
  <c r="Q158" i="20"/>
  <c r="R158" i="20" s="1"/>
  <c r="P158" i="20"/>
  <c r="M158" i="20"/>
  <c r="N158" i="20" s="1"/>
  <c r="L158" i="20"/>
  <c r="S158" i="20" s="1"/>
  <c r="J158" i="20"/>
  <c r="G158" i="20"/>
  <c r="H158" i="20" s="1"/>
  <c r="F158" i="20"/>
  <c r="C158" i="20"/>
  <c r="D158" i="20" s="1"/>
  <c r="B158" i="20"/>
  <c r="I158" i="20" s="1"/>
  <c r="AQ157" i="20"/>
  <c r="AS157" i="20" s="1"/>
  <c r="AP157" i="20"/>
  <c r="AI157" i="20"/>
  <c r="AJ157" i="20" s="1"/>
  <c r="AH157" i="20"/>
  <c r="AE157" i="20"/>
  <c r="AF157" i="20" s="1"/>
  <c r="AD157" i="20"/>
  <c r="AA157" i="20"/>
  <c r="AB157" i="20" s="1"/>
  <c r="Z157" i="20"/>
  <c r="W157" i="20"/>
  <c r="X157" i="20" s="1"/>
  <c r="V157" i="20"/>
  <c r="Q157" i="20"/>
  <c r="R157" i="20" s="1"/>
  <c r="P157" i="20"/>
  <c r="M157" i="20"/>
  <c r="N157" i="20" s="1"/>
  <c r="L157" i="20"/>
  <c r="G157" i="20"/>
  <c r="H157" i="20" s="1"/>
  <c r="F157" i="20"/>
  <c r="C157" i="20"/>
  <c r="D157" i="20" s="1"/>
  <c r="B157" i="20"/>
  <c r="AQ156" i="20"/>
  <c r="AR156" i="20" s="1"/>
  <c r="AP156" i="20"/>
  <c r="AI156" i="20"/>
  <c r="AJ156" i="20" s="1"/>
  <c r="AH156" i="20"/>
  <c r="AE156" i="20"/>
  <c r="AF156" i="20" s="1"/>
  <c r="AD156" i="20"/>
  <c r="AA156" i="20"/>
  <c r="AB156" i="20" s="1"/>
  <c r="Z156" i="20"/>
  <c r="X156" i="20"/>
  <c r="W156" i="20"/>
  <c r="V156" i="20"/>
  <c r="Q156" i="20"/>
  <c r="R156" i="20" s="1"/>
  <c r="T156" i="20" s="1"/>
  <c r="P156" i="20"/>
  <c r="M156" i="20"/>
  <c r="N156" i="20" s="1"/>
  <c r="L156" i="20"/>
  <c r="S156" i="20" s="1"/>
  <c r="G156" i="20"/>
  <c r="H156" i="20" s="1"/>
  <c r="F156" i="20"/>
  <c r="C156" i="20"/>
  <c r="D156" i="20" s="1"/>
  <c r="J156" i="20" s="1"/>
  <c r="B156" i="20"/>
  <c r="AQ155" i="20"/>
  <c r="AR155" i="20" s="1"/>
  <c r="AP155" i="20"/>
  <c r="AI155" i="20"/>
  <c r="AJ155" i="20" s="1"/>
  <c r="AH155" i="20"/>
  <c r="AE155" i="20"/>
  <c r="AF155" i="20" s="1"/>
  <c r="AD155" i="20"/>
  <c r="AA155" i="20"/>
  <c r="AB155" i="20" s="1"/>
  <c r="Z155" i="20"/>
  <c r="W155" i="20"/>
  <c r="X155" i="20" s="1"/>
  <c r="V155" i="20"/>
  <c r="Q155" i="20"/>
  <c r="R155" i="20" s="1"/>
  <c r="P155" i="20"/>
  <c r="M155" i="20"/>
  <c r="N155" i="20" s="1"/>
  <c r="L155" i="20"/>
  <c r="H155" i="20"/>
  <c r="G155" i="20"/>
  <c r="F155" i="20"/>
  <c r="C155" i="20"/>
  <c r="D155" i="20" s="1"/>
  <c r="B155" i="20"/>
  <c r="AQ154" i="20"/>
  <c r="AR154" i="20" s="1"/>
  <c r="AP154" i="20"/>
  <c r="AI154" i="20"/>
  <c r="AJ154" i="20" s="1"/>
  <c r="AE154" i="20"/>
  <c r="AF154" i="20" s="1"/>
  <c r="AD154" i="20"/>
  <c r="AA154" i="20"/>
  <c r="AB154" i="20" s="1"/>
  <c r="Z154" i="20"/>
  <c r="W154" i="20"/>
  <c r="X154" i="20" s="1"/>
  <c r="R154" i="20"/>
  <c r="Q154" i="20"/>
  <c r="P154" i="20"/>
  <c r="M154" i="20"/>
  <c r="N154" i="20" s="1"/>
  <c r="G154" i="20"/>
  <c r="H154" i="20" s="1"/>
  <c r="F154" i="20"/>
  <c r="C154" i="20"/>
  <c r="D154" i="20" s="1"/>
  <c r="J154" i="20" s="1"/>
  <c r="AQ153" i="20"/>
  <c r="AI153" i="20"/>
  <c r="AJ153" i="20" s="1"/>
  <c r="AH153" i="20"/>
  <c r="AE153" i="20"/>
  <c r="AF153" i="20" s="1"/>
  <c r="AA153" i="20"/>
  <c r="AB153" i="20" s="1"/>
  <c r="W153" i="20"/>
  <c r="X153" i="20" s="1"/>
  <c r="V153" i="20"/>
  <c r="R153" i="20"/>
  <c r="Q153" i="20"/>
  <c r="M153" i="20"/>
  <c r="N153" i="20" s="1"/>
  <c r="L153" i="20"/>
  <c r="G153" i="20"/>
  <c r="H153" i="20" s="1"/>
  <c r="C153" i="20"/>
  <c r="D153" i="20" s="1"/>
  <c r="J153" i="20" s="1"/>
  <c r="AQ152" i="20"/>
  <c r="AR152" i="20" s="1"/>
  <c r="AJ152" i="20"/>
  <c r="AI152" i="20"/>
  <c r="AH152" i="20"/>
  <c r="AE152" i="20"/>
  <c r="AF152" i="20" s="1"/>
  <c r="AD152" i="20"/>
  <c r="AB152" i="20"/>
  <c r="AA152" i="20"/>
  <c r="Z152" i="20"/>
  <c r="X152" i="20"/>
  <c r="W152" i="20"/>
  <c r="V152" i="20"/>
  <c r="Q152" i="20"/>
  <c r="R152" i="20" s="1"/>
  <c r="P152" i="20"/>
  <c r="M152" i="20"/>
  <c r="N152" i="20" s="1"/>
  <c r="T152" i="20" s="1"/>
  <c r="L152" i="20"/>
  <c r="H152" i="20"/>
  <c r="G152" i="20"/>
  <c r="F152" i="20"/>
  <c r="C152" i="20"/>
  <c r="D152" i="20" s="1"/>
  <c r="B152" i="20"/>
  <c r="AQ151" i="20"/>
  <c r="AP151" i="20"/>
  <c r="AI151" i="20"/>
  <c r="AJ151" i="20" s="1"/>
  <c r="AH151" i="20"/>
  <c r="AE151" i="20"/>
  <c r="AF151" i="20" s="1"/>
  <c r="AD151" i="20"/>
  <c r="AA151" i="20"/>
  <c r="AB151" i="20" s="1"/>
  <c r="AL151" i="20" s="1"/>
  <c r="Z151" i="20"/>
  <c r="AK151" i="20" s="1"/>
  <c r="W151" i="20"/>
  <c r="X151" i="20" s="1"/>
  <c r="V151" i="20"/>
  <c r="Q151" i="20"/>
  <c r="R151" i="20" s="1"/>
  <c r="P151" i="20"/>
  <c r="M151" i="20"/>
  <c r="N151" i="20" s="1"/>
  <c r="T151" i="20" s="1"/>
  <c r="L151" i="20"/>
  <c r="S151" i="20" s="1"/>
  <c r="G151" i="20"/>
  <c r="H151" i="20" s="1"/>
  <c r="F151" i="20"/>
  <c r="C151" i="20"/>
  <c r="D151" i="20" s="1"/>
  <c r="J151" i="20" s="1"/>
  <c r="B151" i="20"/>
  <c r="I151" i="20" s="1"/>
  <c r="AQ150" i="20"/>
  <c r="AP150" i="20"/>
  <c r="AI150" i="20"/>
  <c r="AJ150" i="20" s="1"/>
  <c r="AH150" i="20"/>
  <c r="AE150" i="20"/>
  <c r="AF150" i="20" s="1"/>
  <c r="AD150" i="20"/>
  <c r="AA150" i="20"/>
  <c r="AB150" i="20" s="1"/>
  <c r="Z150" i="20"/>
  <c r="W150" i="20"/>
  <c r="X150" i="20" s="1"/>
  <c r="V150" i="20"/>
  <c r="Q150" i="20"/>
  <c r="R150" i="20" s="1"/>
  <c r="P150" i="20"/>
  <c r="N150" i="20"/>
  <c r="M150" i="20"/>
  <c r="L150" i="20"/>
  <c r="S150" i="20" s="1"/>
  <c r="G150" i="20"/>
  <c r="H150" i="20" s="1"/>
  <c r="F150" i="20"/>
  <c r="C150" i="20"/>
  <c r="D150" i="20" s="1"/>
  <c r="J150" i="20" s="1"/>
  <c r="B150" i="20"/>
  <c r="I150" i="20" s="1"/>
  <c r="AQ149" i="20"/>
  <c r="AP149" i="20"/>
  <c r="AI149" i="20"/>
  <c r="AJ149" i="20" s="1"/>
  <c r="AH149" i="20"/>
  <c r="AE149" i="20"/>
  <c r="AF149" i="20" s="1"/>
  <c r="AD149" i="20"/>
  <c r="AA149" i="20"/>
  <c r="AB149" i="20" s="1"/>
  <c r="Z149" i="20"/>
  <c r="X149" i="20"/>
  <c r="W149" i="20"/>
  <c r="V149" i="20"/>
  <c r="Q149" i="20"/>
  <c r="R149" i="20" s="1"/>
  <c r="P149" i="20"/>
  <c r="M149" i="20"/>
  <c r="N149" i="20" s="1"/>
  <c r="T149" i="20" s="1"/>
  <c r="L149" i="20"/>
  <c r="S149" i="20" s="1"/>
  <c r="H149" i="20"/>
  <c r="G149" i="20"/>
  <c r="F149" i="20"/>
  <c r="C149" i="20"/>
  <c r="D149" i="20" s="1"/>
  <c r="B149" i="20"/>
  <c r="I149" i="20" s="1"/>
  <c r="AQ148" i="20"/>
  <c r="AP148" i="20"/>
  <c r="AI148" i="20"/>
  <c r="AJ148" i="20" s="1"/>
  <c r="AH148" i="20"/>
  <c r="AE148" i="20"/>
  <c r="AF148" i="20" s="1"/>
  <c r="AD148" i="20"/>
  <c r="AA148" i="20"/>
  <c r="AB148" i="20" s="1"/>
  <c r="Z148" i="20"/>
  <c r="X148" i="20"/>
  <c r="W148" i="20"/>
  <c r="V148" i="20"/>
  <c r="AK148" i="20" s="1"/>
  <c r="Q148" i="20"/>
  <c r="R148" i="20" s="1"/>
  <c r="P148" i="20"/>
  <c r="M148" i="20"/>
  <c r="N148" i="20" s="1"/>
  <c r="T148" i="20" s="1"/>
  <c r="L148" i="20"/>
  <c r="H148" i="20"/>
  <c r="G148" i="20"/>
  <c r="F148" i="20"/>
  <c r="C148" i="20"/>
  <c r="D148" i="20" s="1"/>
  <c r="B148" i="20"/>
  <c r="AQ147" i="20"/>
  <c r="AP147" i="20"/>
  <c r="AI147" i="20"/>
  <c r="AJ147" i="20" s="1"/>
  <c r="AH147" i="20"/>
  <c r="AE147" i="20"/>
  <c r="AF147" i="20" s="1"/>
  <c r="AD147" i="20"/>
  <c r="AA147" i="20"/>
  <c r="AB147" i="20" s="1"/>
  <c r="Z147" i="20"/>
  <c r="X147" i="20"/>
  <c r="W147" i="20"/>
  <c r="V147" i="20"/>
  <c r="AK147" i="20" s="1"/>
  <c r="Q147" i="20"/>
  <c r="R147" i="20" s="1"/>
  <c r="P147" i="20"/>
  <c r="M147" i="20"/>
  <c r="N147" i="20" s="1"/>
  <c r="L147" i="20"/>
  <c r="H147" i="20"/>
  <c r="J147" i="20" s="1"/>
  <c r="G147" i="20"/>
  <c r="F147" i="20"/>
  <c r="C147" i="20"/>
  <c r="D147" i="20" s="1"/>
  <c r="B147" i="20"/>
  <c r="AQ146" i="20"/>
  <c r="AR146" i="20" s="1"/>
  <c r="AP146" i="20"/>
  <c r="AI146" i="20"/>
  <c r="AJ146" i="20" s="1"/>
  <c r="AE146" i="20"/>
  <c r="AF146" i="20" s="1"/>
  <c r="AD146" i="20"/>
  <c r="AA146" i="20"/>
  <c r="AB146" i="20" s="1"/>
  <c r="Z146" i="20"/>
  <c r="W146" i="20"/>
  <c r="X146" i="20" s="1"/>
  <c r="V146" i="20"/>
  <c r="Q146" i="20"/>
  <c r="R146" i="20" s="1"/>
  <c r="P146" i="20"/>
  <c r="M146" i="20"/>
  <c r="N146" i="20" s="1"/>
  <c r="L146" i="20"/>
  <c r="G146" i="20"/>
  <c r="H146" i="20" s="1"/>
  <c r="F146" i="20"/>
  <c r="C146" i="20"/>
  <c r="D146" i="20" s="1"/>
  <c r="AQ145" i="20"/>
  <c r="AI145" i="20"/>
  <c r="AJ145" i="20" s="1"/>
  <c r="AH145" i="20"/>
  <c r="AE145" i="20"/>
  <c r="AF145" i="20" s="1"/>
  <c r="AA145" i="20"/>
  <c r="AB145" i="20" s="1"/>
  <c r="W145" i="20"/>
  <c r="X145" i="20" s="1"/>
  <c r="V145" i="20"/>
  <c r="R145" i="20"/>
  <c r="T145" i="20" s="1"/>
  <c r="Q145" i="20"/>
  <c r="M145" i="20"/>
  <c r="N145" i="20" s="1"/>
  <c r="L145" i="20"/>
  <c r="G145" i="20"/>
  <c r="H145" i="20" s="1"/>
  <c r="J145" i="20" s="1"/>
  <c r="C145" i="20"/>
  <c r="D145" i="20" s="1"/>
  <c r="AQ144" i="20"/>
  <c r="AR144" i="20" s="1"/>
  <c r="AJ144" i="20"/>
  <c r="AI144" i="20"/>
  <c r="AH144" i="20"/>
  <c r="AE144" i="20"/>
  <c r="AF144" i="20" s="1"/>
  <c r="AB144" i="20"/>
  <c r="AA144" i="20"/>
  <c r="Z144" i="20"/>
  <c r="W144" i="20"/>
  <c r="X144" i="20" s="1"/>
  <c r="AL144" i="20" s="1"/>
  <c r="V144" i="20"/>
  <c r="Q144" i="20"/>
  <c r="R144" i="20" s="1"/>
  <c r="P144" i="20"/>
  <c r="M144" i="20"/>
  <c r="N144" i="20" s="1"/>
  <c r="L144" i="20"/>
  <c r="G144" i="20"/>
  <c r="H144" i="20" s="1"/>
  <c r="F144" i="20"/>
  <c r="I144" i="20" s="1"/>
  <c r="D144" i="20"/>
  <c r="C144" i="20"/>
  <c r="B144" i="20"/>
  <c r="AQ143" i="20"/>
  <c r="AS143" i="20" s="1"/>
  <c r="AP143" i="20"/>
  <c r="AI143" i="20"/>
  <c r="AJ143" i="20" s="1"/>
  <c r="AH143" i="20"/>
  <c r="AE143" i="20"/>
  <c r="AF143" i="20" s="1"/>
  <c r="AD143" i="20"/>
  <c r="AA143" i="20"/>
  <c r="AB143" i="20" s="1"/>
  <c r="AL143" i="20" s="1"/>
  <c r="Z143" i="20"/>
  <c r="W143" i="20"/>
  <c r="X143" i="20" s="1"/>
  <c r="V143" i="20"/>
  <c r="T143" i="20"/>
  <c r="Q143" i="20"/>
  <c r="R143" i="20" s="1"/>
  <c r="P143" i="20"/>
  <c r="M143" i="20"/>
  <c r="N143" i="20" s="1"/>
  <c r="L143" i="20"/>
  <c r="G143" i="20"/>
  <c r="H143" i="20" s="1"/>
  <c r="F143" i="20"/>
  <c r="D143" i="20"/>
  <c r="C143" i="20"/>
  <c r="B143" i="20"/>
  <c r="AQ142" i="20"/>
  <c r="AP142" i="20"/>
  <c r="AI142" i="20"/>
  <c r="AJ142" i="20" s="1"/>
  <c r="AH142" i="20"/>
  <c r="AE142" i="20"/>
  <c r="AF142" i="20" s="1"/>
  <c r="AD142" i="20"/>
  <c r="AA142" i="20"/>
  <c r="AB142" i="20" s="1"/>
  <c r="Z142" i="20"/>
  <c r="W142" i="20"/>
  <c r="X142" i="20" s="1"/>
  <c r="AL142" i="20" s="1"/>
  <c r="V142" i="20"/>
  <c r="Q142" i="20"/>
  <c r="R142" i="20" s="1"/>
  <c r="P142" i="20"/>
  <c r="S142" i="20" s="1"/>
  <c r="N142" i="20"/>
  <c r="M142" i="20"/>
  <c r="L142" i="20"/>
  <c r="G142" i="20"/>
  <c r="H142" i="20" s="1"/>
  <c r="F142" i="20"/>
  <c r="C142" i="20"/>
  <c r="D142" i="20" s="1"/>
  <c r="J142" i="20" s="1"/>
  <c r="B142" i="20"/>
  <c r="AQ141" i="20"/>
  <c r="AP141" i="20"/>
  <c r="AI141" i="20"/>
  <c r="AJ141" i="20" s="1"/>
  <c r="AH141" i="20"/>
  <c r="AE141" i="20"/>
  <c r="AF141" i="20" s="1"/>
  <c r="AD141" i="20"/>
  <c r="AA141" i="20"/>
  <c r="AB141" i="20" s="1"/>
  <c r="Z141" i="20"/>
  <c r="W141" i="20"/>
  <c r="X141" i="20" s="1"/>
  <c r="V141" i="20"/>
  <c r="Q141" i="20"/>
  <c r="R141" i="20" s="1"/>
  <c r="P141" i="20"/>
  <c r="S141" i="20" s="1"/>
  <c r="M141" i="20"/>
  <c r="N141" i="20" s="1"/>
  <c r="L141" i="20"/>
  <c r="G141" i="20"/>
  <c r="H141" i="20" s="1"/>
  <c r="F141" i="20"/>
  <c r="D141" i="20"/>
  <c r="J141" i="20" s="1"/>
  <c r="C141" i="20"/>
  <c r="B141" i="20"/>
  <c r="AQ140" i="20"/>
  <c r="AP140" i="20"/>
  <c r="AI140" i="20"/>
  <c r="AJ140" i="20" s="1"/>
  <c r="AH140" i="20"/>
  <c r="AF140" i="20"/>
  <c r="AE140" i="20"/>
  <c r="AD140" i="20"/>
  <c r="AA140" i="20"/>
  <c r="AB140" i="20" s="1"/>
  <c r="Z140" i="20"/>
  <c r="W140" i="20"/>
  <c r="X140" i="20" s="1"/>
  <c r="V140" i="20"/>
  <c r="AK140" i="20" s="1"/>
  <c r="Q140" i="20"/>
  <c r="R140" i="20" s="1"/>
  <c r="T140" i="20" s="1"/>
  <c r="P140" i="20"/>
  <c r="S140" i="20" s="1"/>
  <c r="M140" i="20"/>
  <c r="N140" i="20" s="1"/>
  <c r="L140" i="20"/>
  <c r="H140" i="20"/>
  <c r="G140" i="20"/>
  <c r="F140" i="20"/>
  <c r="I140" i="20" s="1"/>
  <c r="C140" i="20"/>
  <c r="D140" i="20" s="1"/>
  <c r="B140" i="20"/>
  <c r="AQ139" i="20"/>
  <c r="AR139" i="20" s="1"/>
  <c r="AI139" i="20"/>
  <c r="AJ139" i="20" s="1"/>
  <c r="AH139" i="20"/>
  <c r="AE139" i="20"/>
  <c r="AF139" i="20" s="1"/>
  <c r="AD139" i="20"/>
  <c r="AA139" i="20"/>
  <c r="AB139" i="20" s="1"/>
  <c r="Z139" i="20"/>
  <c r="W139" i="20"/>
  <c r="X139" i="20" s="1"/>
  <c r="V139" i="20"/>
  <c r="Q139" i="20"/>
  <c r="R139" i="20" s="1"/>
  <c r="P139" i="20"/>
  <c r="N139" i="20"/>
  <c r="M139" i="20"/>
  <c r="L139" i="20"/>
  <c r="S139" i="20" s="1"/>
  <c r="G139" i="20"/>
  <c r="H139" i="20" s="1"/>
  <c r="F139" i="20"/>
  <c r="C139" i="20"/>
  <c r="D139" i="20" s="1"/>
  <c r="B139" i="20"/>
  <c r="AQ138" i="20"/>
  <c r="AR138" i="20" s="1"/>
  <c r="AP138" i="20"/>
  <c r="AI138" i="20"/>
  <c r="AJ138" i="20" s="1"/>
  <c r="AE138" i="20"/>
  <c r="AF138" i="20" s="1"/>
  <c r="AD138" i="20"/>
  <c r="AA138" i="20"/>
  <c r="AB138" i="20" s="1"/>
  <c r="AL138" i="20" s="1"/>
  <c r="Z138" i="20"/>
  <c r="W138" i="20"/>
  <c r="X138" i="20" s="1"/>
  <c r="V138" i="20"/>
  <c r="Q138" i="20"/>
  <c r="R138" i="20" s="1"/>
  <c r="P138" i="20"/>
  <c r="M138" i="20"/>
  <c r="N138" i="20" s="1"/>
  <c r="G138" i="20"/>
  <c r="H138" i="20" s="1"/>
  <c r="F138" i="20"/>
  <c r="C138" i="20"/>
  <c r="D138" i="20" s="1"/>
  <c r="AQ137" i="20"/>
  <c r="AJ137" i="20"/>
  <c r="AI137" i="20"/>
  <c r="AH137" i="20"/>
  <c r="AE137" i="20"/>
  <c r="AF137" i="20" s="1"/>
  <c r="AA137" i="20"/>
  <c r="AB137" i="20" s="1"/>
  <c r="W137" i="20"/>
  <c r="X137" i="20" s="1"/>
  <c r="V137" i="20"/>
  <c r="Q137" i="20"/>
  <c r="R137" i="20" s="1"/>
  <c r="T137" i="20" s="1"/>
  <c r="M137" i="20"/>
  <c r="N137" i="20" s="1"/>
  <c r="L137" i="20"/>
  <c r="H137" i="20"/>
  <c r="J137" i="20" s="1"/>
  <c r="G137" i="20"/>
  <c r="D137" i="20"/>
  <c r="C137" i="20"/>
  <c r="AQ136" i="20"/>
  <c r="AS136" i="20" s="1"/>
  <c r="AP136" i="20"/>
  <c r="AJ136" i="20"/>
  <c r="AI136" i="20"/>
  <c r="AH136" i="20"/>
  <c r="AE136" i="20"/>
  <c r="AF136" i="20" s="1"/>
  <c r="AA136" i="20"/>
  <c r="AB136" i="20" s="1"/>
  <c r="Z136" i="20"/>
  <c r="X136" i="20"/>
  <c r="W136" i="20"/>
  <c r="V136" i="20"/>
  <c r="Q136" i="20"/>
  <c r="R136" i="20" s="1"/>
  <c r="P136" i="20"/>
  <c r="M136" i="20"/>
  <c r="N136" i="20" s="1"/>
  <c r="T136" i="20" s="1"/>
  <c r="L136" i="20"/>
  <c r="G136" i="20"/>
  <c r="H136" i="20" s="1"/>
  <c r="F136" i="20"/>
  <c r="C136" i="20"/>
  <c r="D136" i="20" s="1"/>
  <c r="B136" i="20"/>
  <c r="I136" i="20" s="1"/>
  <c r="AR135" i="20"/>
  <c r="AQ135" i="20"/>
  <c r="AS135" i="20" s="1"/>
  <c r="AP135" i="20"/>
  <c r="AJ135" i="20"/>
  <c r="AI135" i="20"/>
  <c r="AH135" i="20"/>
  <c r="AE135" i="20"/>
  <c r="AF135" i="20" s="1"/>
  <c r="AD135" i="20"/>
  <c r="AB135" i="20"/>
  <c r="AA135" i="20"/>
  <c r="Z135" i="20"/>
  <c r="W135" i="20"/>
  <c r="X135" i="20" s="1"/>
  <c r="V135" i="20"/>
  <c r="Q135" i="20"/>
  <c r="R135" i="20" s="1"/>
  <c r="P135" i="20"/>
  <c r="N135" i="20"/>
  <c r="T135" i="20" s="1"/>
  <c r="M135" i="20"/>
  <c r="L135" i="20"/>
  <c r="G135" i="20"/>
  <c r="H135" i="20" s="1"/>
  <c r="J135" i="20" s="1"/>
  <c r="F135" i="20"/>
  <c r="C135" i="20"/>
  <c r="D135" i="20" s="1"/>
  <c r="B135" i="20"/>
  <c r="I135" i="20" s="1"/>
  <c r="AQ134" i="20"/>
  <c r="AP134" i="20"/>
  <c r="AI134" i="20"/>
  <c r="AJ134" i="20" s="1"/>
  <c r="AH134" i="20"/>
  <c r="AE134" i="20"/>
  <c r="AF134" i="20" s="1"/>
  <c r="AD134" i="20"/>
  <c r="AA134" i="20"/>
  <c r="AB134" i="20" s="1"/>
  <c r="Z134" i="20"/>
  <c r="W134" i="20"/>
  <c r="X134" i="20" s="1"/>
  <c r="V134" i="20"/>
  <c r="Q134" i="20"/>
  <c r="R134" i="20" s="1"/>
  <c r="P134" i="20"/>
  <c r="M134" i="20"/>
  <c r="N134" i="20" s="1"/>
  <c r="L134" i="20"/>
  <c r="S134" i="20" s="1"/>
  <c r="G134" i="20"/>
  <c r="H134" i="20" s="1"/>
  <c r="F134" i="20"/>
  <c r="C134" i="20"/>
  <c r="D134" i="20" s="1"/>
  <c r="B134" i="20"/>
  <c r="I134" i="20" s="1"/>
  <c r="AQ133" i="20"/>
  <c r="AP133" i="20"/>
  <c r="AI133" i="20"/>
  <c r="AJ133" i="20" s="1"/>
  <c r="AH133" i="20"/>
  <c r="AE133" i="20"/>
  <c r="AF133" i="20" s="1"/>
  <c r="AD133" i="20"/>
  <c r="AB133" i="20"/>
  <c r="AA133" i="20"/>
  <c r="Z133" i="20"/>
  <c r="W133" i="20"/>
  <c r="X133" i="20" s="1"/>
  <c r="V133" i="20"/>
  <c r="Q133" i="20"/>
  <c r="R133" i="20" s="1"/>
  <c r="P133" i="20"/>
  <c r="S133" i="20" s="1"/>
  <c r="M133" i="20"/>
  <c r="N133" i="20" s="1"/>
  <c r="T133" i="20" s="1"/>
  <c r="L133" i="20"/>
  <c r="G133" i="20"/>
  <c r="H133" i="20" s="1"/>
  <c r="F133" i="20"/>
  <c r="C133" i="20"/>
  <c r="D133" i="20" s="1"/>
  <c r="B133" i="20"/>
  <c r="AQ132" i="20"/>
  <c r="AP132" i="20"/>
  <c r="AI132" i="20"/>
  <c r="AJ132" i="20" s="1"/>
  <c r="AH132" i="20"/>
  <c r="AE132" i="20"/>
  <c r="AF132" i="20" s="1"/>
  <c r="AD132" i="20"/>
  <c r="AA132" i="20"/>
  <c r="AB132" i="20" s="1"/>
  <c r="Z132" i="20"/>
  <c r="X132" i="20"/>
  <c r="W132" i="20"/>
  <c r="V132" i="20"/>
  <c r="Q132" i="20"/>
  <c r="R132" i="20" s="1"/>
  <c r="P132" i="20"/>
  <c r="M132" i="20"/>
  <c r="N132" i="20" s="1"/>
  <c r="L132" i="20"/>
  <c r="H132" i="20"/>
  <c r="G132" i="20"/>
  <c r="F132" i="20"/>
  <c r="C132" i="20"/>
  <c r="D132" i="20" s="1"/>
  <c r="B132" i="20"/>
  <c r="AQ131" i="20"/>
  <c r="AR131" i="20" s="1"/>
  <c r="AP131" i="20"/>
  <c r="AS131" i="20"/>
  <c r="AI131" i="20"/>
  <c r="AJ131" i="20" s="1"/>
  <c r="AH131" i="20"/>
  <c r="AE131" i="20"/>
  <c r="AF131" i="20" s="1"/>
  <c r="AL131" i="20" s="1"/>
  <c r="AD131" i="20"/>
  <c r="AA131" i="20"/>
  <c r="AB131" i="20" s="1"/>
  <c r="Z131" i="20"/>
  <c r="X131" i="20"/>
  <c r="W131" i="20"/>
  <c r="V131" i="20"/>
  <c r="Q131" i="20"/>
  <c r="R131" i="20" s="1"/>
  <c r="P131" i="20"/>
  <c r="M131" i="20"/>
  <c r="N131" i="20" s="1"/>
  <c r="L131" i="20"/>
  <c r="S131" i="20" s="1"/>
  <c r="J131" i="20"/>
  <c r="H131" i="20"/>
  <c r="G131" i="20"/>
  <c r="F131" i="20"/>
  <c r="I131" i="20" s="1"/>
  <c r="C131" i="20"/>
  <c r="D131" i="20" s="1"/>
  <c r="B131" i="20"/>
  <c r="AQ130" i="20"/>
  <c r="AP130" i="20"/>
  <c r="AI130" i="20"/>
  <c r="AJ130" i="20" s="1"/>
  <c r="AE130" i="20"/>
  <c r="AF130" i="20" s="1"/>
  <c r="AD130" i="20"/>
  <c r="AA130" i="20"/>
  <c r="AB130" i="20" s="1"/>
  <c r="Z130" i="20"/>
  <c r="W130" i="20"/>
  <c r="X130" i="20" s="1"/>
  <c r="V130" i="20"/>
  <c r="R130" i="20"/>
  <c r="Q130" i="20"/>
  <c r="P130" i="20"/>
  <c r="M130" i="20"/>
  <c r="N130" i="20" s="1"/>
  <c r="G130" i="20"/>
  <c r="H130" i="20" s="1"/>
  <c r="F130" i="20"/>
  <c r="C130" i="20"/>
  <c r="D130" i="20" s="1"/>
  <c r="J130" i="20" s="1"/>
  <c r="AQ129" i="20"/>
  <c r="AJ129" i="20"/>
  <c r="AI129" i="20"/>
  <c r="AH129" i="20"/>
  <c r="AE129" i="20"/>
  <c r="AF129" i="20" s="1"/>
  <c r="AA129" i="20"/>
  <c r="AB129" i="20" s="1"/>
  <c r="W129" i="20"/>
  <c r="X129" i="20" s="1"/>
  <c r="V129" i="20"/>
  <c r="R129" i="20"/>
  <c r="T129" i="20" s="1"/>
  <c r="Q129" i="20"/>
  <c r="P129" i="20"/>
  <c r="M129" i="20"/>
  <c r="N129" i="20" s="1"/>
  <c r="L129" i="20"/>
  <c r="G129" i="20"/>
  <c r="H129" i="20" s="1"/>
  <c r="C129" i="20"/>
  <c r="D129" i="20" s="1"/>
  <c r="B129" i="20"/>
  <c r="AR128" i="20"/>
  <c r="AQ128" i="20"/>
  <c r="AS128" i="20" s="1"/>
  <c r="AP128" i="20"/>
  <c r="AI128" i="20"/>
  <c r="AJ128" i="20" s="1"/>
  <c r="AH128" i="20"/>
  <c r="AE128" i="20"/>
  <c r="AF128" i="20" s="1"/>
  <c r="AB128" i="20"/>
  <c r="AA128" i="20"/>
  <c r="Z128" i="20"/>
  <c r="W128" i="20"/>
  <c r="X128" i="20" s="1"/>
  <c r="V128" i="20"/>
  <c r="Q128" i="20"/>
  <c r="R128" i="20" s="1"/>
  <c r="P128" i="20"/>
  <c r="M128" i="20"/>
  <c r="N128" i="20" s="1"/>
  <c r="L128" i="20"/>
  <c r="G128" i="20"/>
  <c r="H128" i="20" s="1"/>
  <c r="F128" i="20"/>
  <c r="D128" i="20"/>
  <c r="C128" i="20"/>
  <c r="B128" i="20"/>
  <c r="I128" i="20" s="1"/>
  <c r="AQ127" i="20"/>
  <c r="AS127" i="20" s="1"/>
  <c r="AP127" i="20"/>
  <c r="AI127" i="20"/>
  <c r="AJ127" i="20" s="1"/>
  <c r="AH127" i="20"/>
  <c r="AE127" i="20"/>
  <c r="AF127" i="20" s="1"/>
  <c r="AD127" i="20"/>
  <c r="AA127" i="20"/>
  <c r="AB127" i="20" s="1"/>
  <c r="Z127" i="20"/>
  <c r="W127" i="20"/>
  <c r="X127" i="20" s="1"/>
  <c r="V127" i="20"/>
  <c r="Q127" i="20"/>
  <c r="R127" i="20" s="1"/>
  <c r="P127" i="20"/>
  <c r="M127" i="20"/>
  <c r="N127" i="20" s="1"/>
  <c r="L127" i="20"/>
  <c r="S127" i="20" s="1"/>
  <c r="G127" i="20"/>
  <c r="H127" i="20" s="1"/>
  <c r="F127" i="20"/>
  <c r="C127" i="20"/>
  <c r="D127" i="20" s="1"/>
  <c r="J127" i="20" s="1"/>
  <c r="B127" i="20"/>
  <c r="I127" i="20" s="1"/>
  <c r="AQ126" i="20"/>
  <c r="AR126" i="20" s="1"/>
  <c r="AP126" i="20"/>
  <c r="AJ126" i="20"/>
  <c r="AI126" i="20"/>
  <c r="AH126" i="20"/>
  <c r="AE126" i="20"/>
  <c r="AF126" i="20" s="1"/>
  <c r="AD126" i="20"/>
  <c r="AA126" i="20"/>
  <c r="AB126" i="20" s="1"/>
  <c r="Z126" i="20"/>
  <c r="W126" i="20"/>
  <c r="X126" i="20" s="1"/>
  <c r="V126" i="20"/>
  <c r="Q126" i="20"/>
  <c r="R126" i="20" s="1"/>
  <c r="P126" i="20"/>
  <c r="N126" i="20"/>
  <c r="M126" i="20"/>
  <c r="L126" i="20"/>
  <c r="G126" i="20"/>
  <c r="H126" i="20" s="1"/>
  <c r="F126" i="20"/>
  <c r="C126" i="20"/>
  <c r="D126" i="20" s="1"/>
  <c r="J126" i="20" s="1"/>
  <c r="B126" i="20"/>
  <c r="AR125" i="20"/>
  <c r="AQ125" i="20"/>
  <c r="AP125" i="20"/>
  <c r="AI125" i="20"/>
  <c r="AJ125" i="20" s="1"/>
  <c r="AH125" i="20"/>
  <c r="AE125" i="20"/>
  <c r="AF125" i="20" s="1"/>
  <c r="AD125" i="20"/>
  <c r="AA125" i="20"/>
  <c r="AB125" i="20" s="1"/>
  <c r="Z125" i="20"/>
  <c r="W125" i="20"/>
  <c r="X125" i="20" s="1"/>
  <c r="V125" i="20"/>
  <c r="AK125" i="20" s="1"/>
  <c r="Q125" i="20"/>
  <c r="R125" i="20" s="1"/>
  <c r="P125" i="20"/>
  <c r="M125" i="20"/>
  <c r="N125" i="20" s="1"/>
  <c r="T125" i="20" s="1"/>
  <c r="L125" i="20"/>
  <c r="G125" i="20"/>
  <c r="H125" i="20" s="1"/>
  <c r="F125" i="20"/>
  <c r="I125" i="20" s="1"/>
  <c r="C125" i="20"/>
  <c r="D125" i="20" s="1"/>
  <c r="B125" i="20"/>
  <c r="AQ124" i="20"/>
  <c r="AP124" i="20"/>
  <c r="AJ124" i="20"/>
  <c r="AI124" i="20"/>
  <c r="AH124" i="20"/>
  <c r="AE124" i="20"/>
  <c r="AF124" i="20" s="1"/>
  <c r="AD124" i="20"/>
  <c r="AA124" i="20"/>
  <c r="AB124" i="20" s="1"/>
  <c r="Z124" i="20"/>
  <c r="X124" i="20"/>
  <c r="W124" i="20"/>
  <c r="V124" i="20"/>
  <c r="R124" i="20"/>
  <c r="Q124" i="20"/>
  <c r="P124" i="20"/>
  <c r="M124" i="20"/>
  <c r="N124" i="20" s="1"/>
  <c r="L124" i="20"/>
  <c r="G124" i="20"/>
  <c r="H124" i="20" s="1"/>
  <c r="F124" i="20"/>
  <c r="C124" i="20"/>
  <c r="D124" i="20" s="1"/>
  <c r="B124" i="20"/>
  <c r="I124" i="20" s="1"/>
  <c r="AQ123" i="20"/>
  <c r="AR123" i="20" s="1"/>
  <c r="AP123" i="20"/>
  <c r="AI123" i="20"/>
  <c r="AJ123" i="20" s="1"/>
  <c r="AH123" i="20"/>
  <c r="AE123" i="20"/>
  <c r="AF123" i="20" s="1"/>
  <c r="AD123" i="20"/>
  <c r="AA123" i="20"/>
  <c r="AB123" i="20" s="1"/>
  <c r="Z123" i="20"/>
  <c r="AK123" i="20" s="1"/>
  <c r="W123" i="20"/>
  <c r="X123" i="20" s="1"/>
  <c r="AL123" i="20" s="1"/>
  <c r="V123" i="20"/>
  <c r="Q123" i="20"/>
  <c r="R123" i="20" s="1"/>
  <c r="P123" i="20"/>
  <c r="M123" i="20"/>
  <c r="N123" i="20" s="1"/>
  <c r="T123" i="20" s="1"/>
  <c r="L123" i="20"/>
  <c r="G123" i="20"/>
  <c r="H123" i="20" s="1"/>
  <c r="J123" i="20" s="1"/>
  <c r="F123" i="20"/>
  <c r="C123" i="20"/>
  <c r="D123" i="20" s="1"/>
  <c r="B123" i="20"/>
  <c r="I123" i="20" s="1"/>
  <c r="AQ122" i="20"/>
  <c r="AP122" i="20"/>
  <c r="AI122" i="20"/>
  <c r="AJ122" i="20" s="1"/>
  <c r="AF122" i="20"/>
  <c r="AE122" i="20"/>
  <c r="AD122" i="20"/>
  <c r="AA122" i="20"/>
  <c r="AB122" i="20" s="1"/>
  <c r="Z122" i="20"/>
  <c r="X122" i="20"/>
  <c r="W122" i="20"/>
  <c r="Q122" i="20"/>
  <c r="R122" i="20" s="1"/>
  <c r="P122" i="20"/>
  <c r="M122" i="20"/>
  <c r="N122" i="20" s="1"/>
  <c r="G122" i="20"/>
  <c r="H122" i="20" s="1"/>
  <c r="F122" i="20"/>
  <c r="C122" i="20"/>
  <c r="D122" i="20" s="1"/>
  <c r="AQ121" i="20"/>
  <c r="AR121" i="20" s="1"/>
  <c r="AI121" i="20"/>
  <c r="AJ121" i="20" s="1"/>
  <c r="AH121" i="20"/>
  <c r="AE121" i="20"/>
  <c r="AF121" i="20" s="1"/>
  <c r="AB121" i="20"/>
  <c r="AA121" i="20"/>
  <c r="W121" i="20"/>
  <c r="X121" i="20" s="1"/>
  <c r="V121" i="20"/>
  <c r="Q121" i="20"/>
  <c r="R121" i="20" s="1"/>
  <c r="T121" i="20" s="1"/>
  <c r="M121" i="20"/>
  <c r="N121" i="20" s="1"/>
  <c r="L121" i="20"/>
  <c r="H121" i="20"/>
  <c r="G121" i="20"/>
  <c r="F121" i="20"/>
  <c r="C121" i="20"/>
  <c r="D121" i="20" s="1"/>
  <c r="J121" i="20" s="1"/>
  <c r="AR120" i="20"/>
  <c r="AQ120" i="20"/>
  <c r="AS120" i="20" s="1"/>
  <c r="AP120" i="20"/>
  <c r="AJ120" i="20"/>
  <c r="AI120" i="20"/>
  <c r="AH120" i="20"/>
  <c r="AE120" i="20"/>
  <c r="AF120" i="20" s="1"/>
  <c r="AB120" i="20"/>
  <c r="AA120" i="20"/>
  <c r="Z120" i="20"/>
  <c r="W120" i="20"/>
  <c r="X120" i="20" s="1"/>
  <c r="V120" i="20"/>
  <c r="Q120" i="20"/>
  <c r="R120" i="20" s="1"/>
  <c r="P120" i="20"/>
  <c r="M120" i="20"/>
  <c r="N120" i="20" s="1"/>
  <c r="T120" i="20" s="1"/>
  <c r="L120" i="20"/>
  <c r="G120" i="20"/>
  <c r="H120" i="20" s="1"/>
  <c r="F120" i="20"/>
  <c r="D120" i="20"/>
  <c r="C120" i="20"/>
  <c r="B120" i="20"/>
  <c r="I120" i="20" s="1"/>
  <c r="AQ119" i="20"/>
  <c r="AP119" i="20"/>
  <c r="AI119" i="20"/>
  <c r="AJ119" i="20" s="1"/>
  <c r="AH119" i="20"/>
  <c r="AE119" i="20"/>
  <c r="AF119" i="20" s="1"/>
  <c r="AD119" i="20"/>
  <c r="AA119" i="20"/>
  <c r="AB119" i="20" s="1"/>
  <c r="Z119" i="20"/>
  <c r="W119" i="20"/>
  <c r="X119" i="20" s="1"/>
  <c r="V119" i="20"/>
  <c r="Q119" i="20"/>
  <c r="R119" i="20" s="1"/>
  <c r="P119" i="20"/>
  <c r="N119" i="20"/>
  <c r="T119" i="20" s="1"/>
  <c r="M119" i="20"/>
  <c r="L119" i="20"/>
  <c r="G119" i="20"/>
  <c r="H119" i="20" s="1"/>
  <c r="F119" i="20"/>
  <c r="C119" i="20"/>
  <c r="D119" i="20" s="1"/>
  <c r="B119" i="20"/>
  <c r="I119" i="20" s="1"/>
  <c r="AQ118" i="20"/>
  <c r="AP118" i="20"/>
  <c r="AI118" i="20"/>
  <c r="AJ118" i="20" s="1"/>
  <c r="AH118" i="20"/>
  <c r="AF118" i="20"/>
  <c r="AE118" i="20"/>
  <c r="AD118" i="20"/>
  <c r="AB118" i="20"/>
  <c r="AA118" i="20"/>
  <c r="Z118" i="20"/>
  <c r="W118" i="20"/>
  <c r="X118" i="20" s="1"/>
  <c r="AL118" i="20" s="1"/>
  <c r="V118" i="20"/>
  <c r="R118" i="20"/>
  <c r="T118" i="20" s="1"/>
  <c r="Q118" i="20"/>
  <c r="P118" i="20"/>
  <c r="N118" i="20"/>
  <c r="M118" i="20"/>
  <c r="L118" i="20"/>
  <c r="S118" i="20" s="1"/>
  <c r="H118" i="20"/>
  <c r="J118" i="20" s="1"/>
  <c r="G118" i="20"/>
  <c r="F118" i="20"/>
  <c r="D118" i="20"/>
  <c r="C118" i="20"/>
  <c r="B118" i="20"/>
  <c r="I118" i="20" s="1"/>
  <c r="AQ117" i="20"/>
  <c r="AP117" i="20"/>
  <c r="AI117" i="20"/>
  <c r="AJ117" i="20" s="1"/>
  <c r="AH117" i="20"/>
  <c r="AE117" i="20"/>
  <c r="AF117" i="20" s="1"/>
  <c r="AD117" i="20"/>
  <c r="AA117" i="20"/>
  <c r="AB117" i="20" s="1"/>
  <c r="Z117" i="20"/>
  <c r="W117" i="20"/>
  <c r="X117" i="20" s="1"/>
  <c r="V117" i="20"/>
  <c r="Q117" i="20"/>
  <c r="R117" i="20" s="1"/>
  <c r="P117" i="20"/>
  <c r="M117" i="20"/>
  <c r="N117" i="20" s="1"/>
  <c r="L117" i="20"/>
  <c r="G117" i="20"/>
  <c r="H117" i="20" s="1"/>
  <c r="F117" i="20"/>
  <c r="C117" i="20"/>
  <c r="D117" i="20" s="1"/>
  <c r="J117" i="20" s="1"/>
  <c r="B117" i="20"/>
  <c r="I117" i="20" s="1"/>
  <c r="AR116" i="20"/>
  <c r="AQ116" i="20"/>
  <c r="AS116" i="20" s="1"/>
  <c r="AP116" i="20"/>
  <c r="AI116" i="20"/>
  <c r="AJ116" i="20" s="1"/>
  <c r="AH116" i="20"/>
  <c r="AF116" i="20"/>
  <c r="AE116" i="20"/>
  <c r="AD116" i="20"/>
  <c r="AA116" i="20"/>
  <c r="AB116" i="20" s="1"/>
  <c r="Z116" i="20"/>
  <c r="W116" i="20"/>
  <c r="X116" i="20" s="1"/>
  <c r="V116" i="20"/>
  <c r="Q116" i="20"/>
  <c r="R116" i="20" s="1"/>
  <c r="T116" i="20" s="1"/>
  <c r="P116" i="20"/>
  <c r="M116" i="20"/>
  <c r="N116" i="20" s="1"/>
  <c r="L116" i="20"/>
  <c r="H116" i="20"/>
  <c r="G116" i="20"/>
  <c r="F116" i="20"/>
  <c r="C116" i="20"/>
  <c r="D116" i="20" s="1"/>
  <c r="J116" i="20" s="1"/>
  <c r="B116" i="20"/>
  <c r="I116" i="20" s="1"/>
  <c r="AQ115" i="20"/>
  <c r="AP115" i="20"/>
  <c r="AI115" i="20"/>
  <c r="AJ115" i="20" s="1"/>
  <c r="AH115" i="20"/>
  <c r="AE115" i="20"/>
  <c r="AF115" i="20" s="1"/>
  <c r="AD115" i="20"/>
  <c r="AA115" i="20"/>
  <c r="AB115" i="20" s="1"/>
  <c r="Z115" i="20"/>
  <c r="W115" i="20"/>
  <c r="X115" i="20" s="1"/>
  <c r="V115" i="20"/>
  <c r="Q115" i="20"/>
  <c r="R115" i="20" s="1"/>
  <c r="P115" i="20"/>
  <c r="M115" i="20"/>
  <c r="N115" i="20" s="1"/>
  <c r="T115" i="20" s="1"/>
  <c r="L115" i="20"/>
  <c r="G115" i="20"/>
  <c r="H115" i="20" s="1"/>
  <c r="F115" i="20"/>
  <c r="C115" i="20"/>
  <c r="D115" i="20" s="1"/>
  <c r="B115" i="20"/>
  <c r="I115" i="20" s="1"/>
  <c r="AR114" i="20"/>
  <c r="AQ114" i="20"/>
  <c r="AS114" i="20" s="1"/>
  <c r="AP114" i="20"/>
  <c r="AI114" i="20"/>
  <c r="AJ114" i="20" s="1"/>
  <c r="AH114" i="20"/>
  <c r="AE114" i="20"/>
  <c r="AF114" i="20" s="1"/>
  <c r="AD114" i="20"/>
  <c r="AA114" i="20"/>
  <c r="AB114" i="20" s="1"/>
  <c r="Z114" i="20"/>
  <c r="X114" i="20"/>
  <c r="W114" i="20"/>
  <c r="Q114" i="20"/>
  <c r="R114" i="20" s="1"/>
  <c r="P114" i="20"/>
  <c r="M114" i="20"/>
  <c r="N114" i="20" s="1"/>
  <c r="G114" i="20"/>
  <c r="H114" i="20" s="1"/>
  <c r="J114" i="20" s="1"/>
  <c r="F114" i="20"/>
  <c r="C114" i="20"/>
  <c r="D114" i="20" s="1"/>
  <c r="B114" i="20"/>
  <c r="AQ113" i="20"/>
  <c r="AR113" i="20" s="1"/>
  <c r="AI113" i="20"/>
  <c r="AJ113" i="20" s="1"/>
  <c r="AH113" i="20"/>
  <c r="AE113" i="20"/>
  <c r="AF113" i="20" s="1"/>
  <c r="AA113" i="20"/>
  <c r="AB113" i="20" s="1"/>
  <c r="W113" i="20"/>
  <c r="X113" i="20" s="1"/>
  <c r="V113" i="20"/>
  <c r="R113" i="20"/>
  <c r="Q113" i="20"/>
  <c r="M113" i="20"/>
  <c r="N113" i="20" s="1"/>
  <c r="L113" i="20"/>
  <c r="G113" i="20"/>
  <c r="H113" i="20" s="1"/>
  <c r="C113" i="20"/>
  <c r="D113" i="20" s="1"/>
  <c r="J113" i="20" s="1"/>
  <c r="B113" i="20"/>
  <c r="AQ112" i="20"/>
  <c r="AS112" i="20" s="1"/>
  <c r="AP112" i="20"/>
  <c r="AJ112" i="20"/>
  <c r="AI112" i="20"/>
  <c r="AH112" i="20"/>
  <c r="AF112" i="20"/>
  <c r="AE112" i="20"/>
  <c r="AA112" i="20"/>
  <c r="AB112" i="20" s="1"/>
  <c r="Z112" i="20"/>
  <c r="X112" i="20"/>
  <c r="W112" i="20"/>
  <c r="V112" i="20"/>
  <c r="R112" i="20"/>
  <c r="T112" i="20" s="1"/>
  <c r="Q112" i="20"/>
  <c r="P112" i="20"/>
  <c r="N112" i="20"/>
  <c r="M112" i="20"/>
  <c r="L112" i="20"/>
  <c r="G112" i="20"/>
  <c r="H112" i="20" s="1"/>
  <c r="F112" i="20"/>
  <c r="D112" i="20"/>
  <c r="C112" i="20"/>
  <c r="B112" i="20"/>
  <c r="I112" i="20" s="1"/>
  <c r="AQ111" i="20"/>
  <c r="AS111" i="20" s="1"/>
  <c r="AP111" i="20"/>
  <c r="AI111" i="20"/>
  <c r="AJ111" i="20" s="1"/>
  <c r="AH111" i="20"/>
  <c r="AE111" i="20"/>
  <c r="AF111" i="20" s="1"/>
  <c r="AD111" i="20"/>
  <c r="AA111" i="20"/>
  <c r="AB111" i="20" s="1"/>
  <c r="Z111" i="20"/>
  <c r="W111" i="20"/>
  <c r="X111" i="20" s="1"/>
  <c r="V111" i="20"/>
  <c r="Q111" i="20"/>
  <c r="R111" i="20" s="1"/>
  <c r="P111" i="20"/>
  <c r="M111" i="20"/>
  <c r="N111" i="20" s="1"/>
  <c r="T111" i="20" s="1"/>
  <c r="L111" i="20"/>
  <c r="G111" i="20"/>
  <c r="H111" i="20" s="1"/>
  <c r="F111" i="20"/>
  <c r="D111" i="20"/>
  <c r="C111" i="20"/>
  <c r="B111" i="20"/>
  <c r="AQ110" i="20"/>
  <c r="AR110" i="20" s="1"/>
  <c r="AP110" i="20"/>
  <c r="AJ110" i="20"/>
  <c r="AI110" i="20"/>
  <c r="AH110" i="20"/>
  <c r="AF110" i="20"/>
  <c r="AE110" i="20"/>
  <c r="AD110" i="20"/>
  <c r="AB110" i="20"/>
  <c r="AA110" i="20"/>
  <c r="Z110" i="20"/>
  <c r="W110" i="20"/>
  <c r="X110" i="20" s="1"/>
  <c r="V110" i="20"/>
  <c r="Q110" i="20"/>
  <c r="R110" i="20" s="1"/>
  <c r="P110" i="20"/>
  <c r="N110" i="20"/>
  <c r="M110" i="20"/>
  <c r="L110" i="20"/>
  <c r="S110" i="20" s="1"/>
  <c r="G110" i="20"/>
  <c r="H110" i="20" s="1"/>
  <c r="F110" i="20"/>
  <c r="D110" i="20"/>
  <c r="C110" i="20"/>
  <c r="B110" i="20"/>
  <c r="I110" i="20" s="1"/>
  <c r="AQ109" i="20"/>
  <c r="AP109" i="20"/>
  <c r="AI109" i="20"/>
  <c r="AJ109" i="20" s="1"/>
  <c r="AH109" i="20"/>
  <c r="AE109" i="20"/>
  <c r="AF109" i="20" s="1"/>
  <c r="AD109" i="20"/>
  <c r="AA109" i="20"/>
  <c r="AB109" i="20" s="1"/>
  <c r="Z109" i="20"/>
  <c r="W109" i="20"/>
  <c r="X109" i="20" s="1"/>
  <c r="V109" i="20"/>
  <c r="Q109" i="20"/>
  <c r="R109" i="20" s="1"/>
  <c r="P109" i="20"/>
  <c r="N109" i="20"/>
  <c r="M109" i="20"/>
  <c r="L109" i="20"/>
  <c r="S109" i="20" s="1"/>
  <c r="G109" i="20"/>
  <c r="H109" i="20" s="1"/>
  <c r="F109" i="20"/>
  <c r="C109" i="20"/>
  <c r="D109" i="20" s="1"/>
  <c r="B109" i="20"/>
  <c r="I109" i="20" s="1"/>
  <c r="AQ108" i="20"/>
  <c r="AS108" i="20" s="1"/>
  <c r="AP108" i="20"/>
  <c r="AI108" i="20"/>
  <c r="AJ108" i="20" s="1"/>
  <c r="AH108" i="20"/>
  <c r="AE108" i="20"/>
  <c r="AF108" i="20" s="1"/>
  <c r="AD108" i="20"/>
  <c r="AA108" i="20"/>
  <c r="AB108" i="20" s="1"/>
  <c r="Z108" i="20"/>
  <c r="W108" i="20"/>
  <c r="X108" i="20" s="1"/>
  <c r="V108" i="20"/>
  <c r="AK108" i="20" s="1"/>
  <c r="Q108" i="20"/>
  <c r="R108" i="20" s="1"/>
  <c r="P108" i="20"/>
  <c r="M108" i="20"/>
  <c r="N108" i="20" s="1"/>
  <c r="T108" i="20" s="1"/>
  <c r="L108" i="20"/>
  <c r="S108" i="20" s="1"/>
  <c r="G108" i="20"/>
  <c r="H108" i="20" s="1"/>
  <c r="F108" i="20"/>
  <c r="D108" i="20"/>
  <c r="C108" i="20"/>
  <c r="B108" i="20"/>
  <c r="AQ107" i="20"/>
  <c r="AP107" i="20"/>
  <c r="AI107" i="20"/>
  <c r="AJ107" i="20" s="1"/>
  <c r="AH107" i="20"/>
  <c r="AE107" i="20"/>
  <c r="AF107" i="20" s="1"/>
  <c r="AD107" i="20"/>
  <c r="AA107" i="20"/>
  <c r="AB107" i="20" s="1"/>
  <c r="Z107" i="20"/>
  <c r="W107" i="20"/>
  <c r="X107" i="20" s="1"/>
  <c r="V107" i="20"/>
  <c r="AK107" i="20" s="1"/>
  <c r="Q107" i="20"/>
  <c r="R107" i="20" s="1"/>
  <c r="P107" i="20"/>
  <c r="M107" i="20"/>
  <c r="N107" i="20" s="1"/>
  <c r="T107" i="20" s="1"/>
  <c r="L107" i="20"/>
  <c r="H107" i="20"/>
  <c r="G107" i="20"/>
  <c r="F107" i="20"/>
  <c r="C107" i="20"/>
  <c r="D107" i="20" s="1"/>
  <c r="B107" i="20"/>
  <c r="AQ106" i="20"/>
  <c r="AP106" i="20"/>
  <c r="AI106" i="20"/>
  <c r="AJ106" i="20" s="1"/>
  <c r="AE106" i="20"/>
  <c r="AF106" i="20" s="1"/>
  <c r="AD106" i="20"/>
  <c r="AA106" i="20"/>
  <c r="AB106" i="20" s="1"/>
  <c r="Z106" i="20"/>
  <c r="W106" i="20"/>
  <c r="X106" i="20" s="1"/>
  <c r="Q106" i="20"/>
  <c r="R106" i="20" s="1"/>
  <c r="P106" i="20"/>
  <c r="M106" i="20"/>
  <c r="N106" i="20" s="1"/>
  <c r="H106" i="20"/>
  <c r="G106" i="20"/>
  <c r="F106" i="20"/>
  <c r="D106" i="20"/>
  <c r="C106" i="20"/>
  <c r="AQ105" i="20"/>
  <c r="AR105" i="20" s="1"/>
  <c r="AI105" i="20"/>
  <c r="AJ105" i="20" s="1"/>
  <c r="AH105" i="20"/>
  <c r="AE105" i="20"/>
  <c r="AF105" i="20" s="1"/>
  <c r="AD105" i="20"/>
  <c r="AA105" i="20"/>
  <c r="AB105" i="20" s="1"/>
  <c r="W105" i="20"/>
  <c r="X105" i="20" s="1"/>
  <c r="V105" i="20"/>
  <c r="R105" i="20"/>
  <c r="Q105" i="20"/>
  <c r="P105" i="20"/>
  <c r="M105" i="20"/>
  <c r="N105" i="20" s="1"/>
  <c r="T105" i="20" s="1"/>
  <c r="L105" i="20"/>
  <c r="G105" i="20"/>
  <c r="H105" i="20" s="1"/>
  <c r="C105" i="20"/>
  <c r="D105" i="20" s="1"/>
  <c r="J105" i="20" s="1"/>
  <c r="AQ104" i="20"/>
  <c r="AS104" i="20" s="1"/>
  <c r="AP104" i="20"/>
  <c r="AJ104" i="20"/>
  <c r="AI104" i="20"/>
  <c r="AH104" i="20"/>
  <c r="AE104" i="20"/>
  <c r="AF104" i="20" s="1"/>
  <c r="AB104" i="20"/>
  <c r="AA104" i="20"/>
  <c r="Z104" i="20"/>
  <c r="W104" i="20"/>
  <c r="X104" i="20" s="1"/>
  <c r="V104" i="20"/>
  <c r="R104" i="20"/>
  <c r="Q104" i="20"/>
  <c r="P104" i="20"/>
  <c r="N104" i="20"/>
  <c r="M104" i="20"/>
  <c r="L104" i="20"/>
  <c r="G104" i="20"/>
  <c r="H104" i="20" s="1"/>
  <c r="F104" i="20"/>
  <c r="D104" i="20"/>
  <c r="C104" i="20"/>
  <c r="B104" i="20"/>
  <c r="I104" i="20" s="1"/>
  <c r="AS103" i="20"/>
  <c r="AQ103" i="20"/>
  <c r="AR103" i="20" s="1"/>
  <c r="AP103" i="20"/>
  <c r="AJ103" i="20"/>
  <c r="AI103" i="20"/>
  <c r="AH103" i="20"/>
  <c r="AE103" i="20"/>
  <c r="AF103" i="20" s="1"/>
  <c r="AD103" i="20"/>
  <c r="AA103" i="20"/>
  <c r="AB103" i="20" s="1"/>
  <c r="Z103" i="20"/>
  <c r="W103" i="20"/>
  <c r="X103" i="20" s="1"/>
  <c r="V103" i="20"/>
  <c r="AK103" i="20" s="1"/>
  <c r="Q103" i="20"/>
  <c r="R103" i="20" s="1"/>
  <c r="P103" i="20"/>
  <c r="M103" i="20"/>
  <c r="N103" i="20" s="1"/>
  <c r="L103" i="20"/>
  <c r="G103" i="20"/>
  <c r="H103" i="20" s="1"/>
  <c r="F103" i="20"/>
  <c r="C103" i="20"/>
  <c r="D103" i="20" s="1"/>
  <c r="J103" i="20" s="1"/>
  <c r="B103" i="20"/>
  <c r="AQ102" i="20"/>
  <c r="AR102" i="20" s="1"/>
  <c r="AP102" i="20"/>
  <c r="AJ102" i="20"/>
  <c r="AI102" i="20"/>
  <c r="AH102" i="20"/>
  <c r="AF102" i="20"/>
  <c r="AE102" i="20"/>
  <c r="AD102" i="20"/>
  <c r="AB102" i="20"/>
  <c r="AA102" i="20"/>
  <c r="Z102" i="20"/>
  <c r="W102" i="20"/>
  <c r="X102" i="20" s="1"/>
  <c r="V102" i="20"/>
  <c r="Q102" i="20"/>
  <c r="R102" i="20" s="1"/>
  <c r="P102" i="20"/>
  <c r="N102" i="20"/>
  <c r="M102" i="20"/>
  <c r="L102" i="20"/>
  <c r="S102" i="20" s="1"/>
  <c r="G102" i="20"/>
  <c r="H102" i="20" s="1"/>
  <c r="F102" i="20"/>
  <c r="I102" i="20" s="1"/>
  <c r="C102" i="20"/>
  <c r="D102" i="20" s="1"/>
  <c r="B102" i="20"/>
  <c r="AQ101" i="20"/>
  <c r="AS101" i="20" s="1"/>
  <c r="AP101" i="20"/>
  <c r="AI101" i="20"/>
  <c r="AJ101" i="20" s="1"/>
  <c r="AH101" i="20"/>
  <c r="AE101" i="20"/>
  <c r="AF101" i="20" s="1"/>
  <c r="AD101" i="20"/>
  <c r="AA101" i="20"/>
  <c r="AB101" i="20" s="1"/>
  <c r="Z101" i="20"/>
  <c r="W101" i="20"/>
  <c r="X101" i="20" s="1"/>
  <c r="V101" i="20"/>
  <c r="Q101" i="20"/>
  <c r="R101" i="20" s="1"/>
  <c r="P101" i="20"/>
  <c r="N101" i="20"/>
  <c r="M101" i="20"/>
  <c r="L101" i="20"/>
  <c r="G101" i="20"/>
  <c r="H101" i="20" s="1"/>
  <c r="F101" i="20"/>
  <c r="C101" i="20"/>
  <c r="D101" i="20" s="1"/>
  <c r="J101" i="20" s="1"/>
  <c r="B101" i="20"/>
  <c r="I101" i="20" s="1"/>
  <c r="AQ100" i="20"/>
  <c r="AS100" i="20" s="1"/>
  <c r="AP100" i="20"/>
  <c r="AI100" i="20"/>
  <c r="AJ100" i="20" s="1"/>
  <c r="AH100" i="20"/>
  <c r="AE100" i="20"/>
  <c r="AF100" i="20" s="1"/>
  <c r="AD100" i="20"/>
  <c r="AA100" i="20"/>
  <c r="AB100" i="20" s="1"/>
  <c r="Z100" i="20"/>
  <c r="X100" i="20"/>
  <c r="W100" i="20"/>
  <c r="V100" i="20"/>
  <c r="AK100" i="20" s="1"/>
  <c r="R100" i="20"/>
  <c r="Q100" i="20"/>
  <c r="P100" i="20"/>
  <c r="N100" i="20"/>
  <c r="T100" i="20" s="1"/>
  <c r="M100" i="20"/>
  <c r="L100" i="20"/>
  <c r="H100" i="20"/>
  <c r="G100" i="20"/>
  <c r="F100" i="20"/>
  <c r="C100" i="20"/>
  <c r="D100" i="20" s="1"/>
  <c r="J100" i="20" s="1"/>
  <c r="B100" i="20"/>
  <c r="I100" i="20" s="1"/>
  <c r="AQ99" i="20"/>
  <c r="AP99" i="20"/>
  <c r="AI99" i="20"/>
  <c r="AJ99" i="20" s="1"/>
  <c r="AH99" i="20"/>
  <c r="AF99" i="20"/>
  <c r="AE99" i="20"/>
  <c r="AD99" i="20"/>
  <c r="AA99" i="20"/>
  <c r="AB99" i="20" s="1"/>
  <c r="Z99" i="20"/>
  <c r="W99" i="20"/>
  <c r="X99" i="20" s="1"/>
  <c r="V99" i="20"/>
  <c r="Q99" i="20"/>
  <c r="R99" i="20" s="1"/>
  <c r="P99" i="20"/>
  <c r="M99" i="20"/>
  <c r="N99" i="20" s="1"/>
  <c r="L99" i="20"/>
  <c r="H99" i="20"/>
  <c r="G99" i="20"/>
  <c r="F99" i="20"/>
  <c r="C99" i="20"/>
  <c r="D99" i="20" s="1"/>
  <c r="J99" i="20" s="1"/>
  <c r="B99" i="20"/>
  <c r="I99" i="20" s="1"/>
  <c r="AR98" i="20"/>
  <c r="AQ98" i="20"/>
  <c r="AS98" i="20" s="1"/>
  <c r="AP98" i="20"/>
  <c r="AI98" i="20"/>
  <c r="AJ98" i="20" s="1"/>
  <c r="AE98" i="20"/>
  <c r="AF98" i="20" s="1"/>
  <c r="AD98" i="20"/>
  <c r="AB98" i="20"/>
  <c r="AA98" i="20"/>
  <c r="Z98" i="20"/>
  <c r="W98" i="20"/>
  <c r="X98" i="20" s="1"/>
  <c r="Q98" i="20"/>
  <c r="R98" i="20" s="1"/>
  <c r="P98" i="20"/>
  <c r="M98" i="20"/>
  <c r="N98" i="20" s="1"/>
  <c r="L98" i="20"/>
  <c r="G98" i="20"/>
  <c r="H98" i="20" s="1"/>
  <c r="F98" i="20"/>
  <c r="C98" i="20"/>
  <c r="D98" i="20" s="1"/>
  <c r="AQ97" i="20"/>
  <c r="AR97" i="20" s="1"/>
  <c r="AI97" i="20"/>
  <c r="AJ97" i="20" s="1"/>
  <c r="AH97" i="20"/>
  <c r="AE97" i="20"/>
  <c r="AF97" i="20" s="1"/>
  <c r="AA97" i="20"/>
  <c r="AB97" i="20" s="1"/>
  <c r="W97" i="20"/>
  <c r="X97" i="20" s="1"/>
  <c r="V97" i="20"/>
  <c r="Q97" i="20"/>
  <c r="R97" i="20" s="1"/>
  <c r="M97" i="20"/>
  <c r="N97" i="20" s="1"/>
  <c r="L97" i="20"/>
  <c r="G97" i="20"/>
  <c r="H97" i="20" s="1"/>
  <c r="C97" i="20"/>
  <c r="D97" i="20" s="1"/>
  <c r="AR96" i="20"/>
  <c r="AQ96" i="20"/>
  <c r="AS96" i="20" s="1"/>
  <c r="AP96" i="20"/>
  <c r="AJ96" i="20"/>
  <c r="AI96" i="20"/>
  <c r="AH96" i="20"/>
  <c r="AE96" i="20"/>
  <c r="AF96" i="20" s="1"/>
  <c r="AA96" i="20"/>
  <c r="AB96" i="20" s="1"/>
  <c r="Z96" i="20"/>
  <c r="W96" i="20"/>
  <c r="X96" i="20" s="1"/>
  <c r="V96" i="20"/>
  <c r="R96" i="20"/>
  <c r="Q96" i="20"/>
  <c r="P96" i="20"/>
  <c r="M96" i="20"/>
  <c r="N96" i="20" s="1"/>
  <c r="L96" i="20"/>
  <c r="G96" i="20"/>
  <c r="H96" i="20" s="1"/>
  <c r="F96" i="20"/>
  <c r="D96" i="20"/>
  <c r="C96" i="20"/>
  <c r="B96" i="20"/>
  <c r="AS95" i="20"/>
  <c r="AR95" i="20"/>
  <c r="AQ95" i="20"/>
  <c r="AP95" i="20"/>
  <c r="AI95" i="20"/>
  <c r="AJ95" i="20" s="1"/>
  <c r="AH95" i="20"/>
  <c r="AE95" i="20"/>
  <c r="AF95" i="20" s="1"/>
  <c r="AD95" i="20"/>
  <c r="AB95" i="20"/>
  <c r="AA95" i="20"/>
  <c r="Z95" i="20"/>
  <c r="W95" i="20"/>
  <c r="X95" i="20" s="1"/>
  <c r="V95" i="20"/>
  <c r="AK95" i="20" s="1"/>
  <c r="Q95" i="20"/>
  <c r="R95" i="20" s="1"/>
  <c r="P95" i="20"/>
  <c r="M95" i="20"/>
  <c r="N95" i="20" s="1"/>
  <c r="T95" i="20" s="1"/>
  <c r="L95" i="20"/>
  <c r="G95" i="20"/>
  <c r="H95" i="20" s="1"/>
  <c r="F95" i="20"/>
  <c r="C95" i="20"/>
  <c r="D95" i="20" s="1"/>
  <c r="B95" i="20"/>
  <c r="AQ94" i="20"/>
  <c r="AS94" i="20" s="1"/>
  <c r="AP94" i="20"/>
  <c r="AI94" i="20"/>
  <c r="AJ94" i="20" s="1"/>
  <c r="AH94" i="20"/>
  <c r="AF94" i="20"/>
  <c r="AE94" i="20"/>
  <c r="AD94" i="20"/>
  <c r="AB94" i="20"/>
  <c r="AA94" i="20"/>
  <c r="Z94" i="20"/>
  <c r="W94" i="20"/>
  <c r="X94" i="20" s="1"/>
  <c r="AL94" i="20" s="1"/>
  <c r="V94" i="20"/>
  <c r="Q94" i="20"/>
  <c r="R94" i="20" s="1"/>
  <c r="P94" i="20"/>
  <c r="N94" i="20"/>
  <c r="M94" i="20"/>
  <c r="L94" i="20"/>
  <c r="S94" i="20" s="1"/>
  <c r="G94" i="20"/>
  <c r="H94" i="20" s="1"/>
  <c r="F94" i="20"/>
  <c r="D94" i="20"/>
  <c r="C94" i="20"/>
  <c r="B94" i="20"/>
  <c r="I94" i="20" s="1"/>
  <c r="AQ93" i="20"/>
  <c r="AP93" i="20"/>
  <c r="AI93" i="20"/>
  <c r="AJ93" i="20" s="1"/>
  <c r="AH93" i="20"/>
  <c r="AE93" i="20"/>
  <c r="AF93" i="20" s="1"/>
  <c r="AD93" i="20"/>
  <c r="AA93" i="20"/>
  <c r="AB93" i="20" s="1"/>
  <c r="Z93" i="20"/>
  <c r="W93" i="20"/>
  <c r="X93" i="20" s="1"/>
  <c r="V93" i="20"/>
  <c r="Q93" i="20"/>
  <c r="R93" i="20" s="1"/>
  <c r="P93" i="20"/>
  <c r="N93" i="20"/>
  <c r="T93" i="20" s="1"/>
  <c r="M93" i="20"/>
  <c r="L93" i="20"/>
  <c r="S93" i="20" s="1"/>
  <c r="G93" i="20"/>
  <c r="H93" i="20" s="1"/>
  <c r="F93" i="20"/>
  <c r="C93" i="20"/>
  <c r="D93" i="20" s="1"/>
  <c r="B93" i="20"/>
  <c r="AQ92" i="20"/>
  <c r="AP92" i="20"/>
  <c r="AI92" i="20"/>
  <c r="AJ92" i="20" s="1"/>
  <c r="AH92" i="20"/>
  <c r="AE92" i="20"/>
  <c r="AF92" i="20" s="1"/>
  <c r="AD92" i="20"/>
  <c r="AA92" i="20"/>
  <c r="AB92" i="20" s="1"/>
  <c r="Z92" i="20"/>
  <c r="X92" i="20"/>
  <c r="W92" i="20"/>
  <c r="V92" i="20"/>
  <c r="Q92" i="20"/>
  <c r="R92" i="20" s="1"/>
  <c r="P92" i="20"/>
  <c r="M92" i="20"/>
  <c r="N92" i="20" s="1"/>
  <c r="T92" i="20" s="1"/>
  <c r="L92" i="20"/>
  <c r="H92" i="20"/>
  <c r="G92" i="20"/>
  <c r="F92" i="20"/>
  <c r="C92" i="20"/>
  <c r="D92" i="20" s="1"/>
  <c r="J92" i="20" s="1"/>
  <c r="B92" i="20"/>
  <c r="AQ91" i="20"/>
  <c r="AP91" i="20"/>
  <c r="AI91" i="20"/>
  <c r="AJ91" i="20" s="1"/>
  <c r="AH91" i="20"/>
  <c r="AE91" i="20"/>
  <c r="AF91" i="20" s="1"/>
  <c r="AD91" i="20"/>
  <c r="AA91" i="20"/>
  <c r="AB91" i="20" s="1"/>
  <c r="Z91" i="20"/>
  <c r="W91" i="20"/>
  <c r="X91" i="20" s="1"/>
  <c r="V91" i="20"/>
  <c r="Q91" i="20"/>
  <c r="R91" i="20" s="1"/>
  <c r="P91" i="20"/>
  <c r="M91" i="20"/>
  <c r="N91" i="20" s="1"/>
  <c r="T91" i="20" s="1"/>
  <c r="L91" i="20"/>
  <c r="S91" i="20" s="1"/>
  <c r="G91" i="20"/>
  <c r="H91" i="20" s="1"/>
  <c r="F91" i="20"/>
  <c r="C91" i="20"/>
  <c r="D91" i="20" s="1"/>
  <c r="B91" i="20"/>
  <c r="I91" i="20" s="1"/>
  <c r="AR90" i="20"/>
  <c r="AQ90" i="20"/>
  <c r="AS90" i="20" s="1"/>
  <c r="AP90" i="20"/>
  <c r="AJ90" i="20"/>
  <c r="AI90" i="20"/>
  <c r="AE90" i="20"/>
  <c r="AF90" i="20" s="1"/>
  <c r="AD90" i="20"/>
  <c r="AB90" i="20"/>
  <c r="AA90" i="20"/>
  <c r="Z90" i="20"/>
  <c r="X90" i="20"/>
  <c r="AL90" i="20" s="1"/>
  <c r="W90" i="20"/>
  <c r="Q90" i="20"/>
  <c r="R90" i="20" s="1"/>
  <c r="P90" i="20"/>
  <c r="N90" i="20"/>
  <c r="M90" i="20"/>
  <c r="G90" i="20"/>
  <c r="H90" i="20" s="1"/>
  <c r="J90" i="20" s="1"/>
  <c r="F90" i="20"/>
  <c r="C90" i="20"/>
  <c r="D90" i="20" s="1"/>
  <c r="AQ89" i="20"/>
  <c r="AP89" i="20"/>
  <c r="AI89" i="20"/>
  <c r="AJ89" i="20" s="1"/>
  <c r="AH89" i="20"/>
  <c r="AE89" i="20"/>
  <c r="AF89" i="20" s="1"/>
  <c r="AA89" i="20"/>
  <c r="AB89" i="20" s="1"/>
  <c r="W89" i="20"/>
  <c r="X89" i="20" s="1"/>
  <c r="V89" i="20"/>
  <c r="R89" i="20"/>
  <c r="Q89" i="20"/>
  <c r="M89" i="20"/>
  <c r="N89" i="20" s="1"/>
  <c r="L89" i="20"/>
  <c r="G89" i="20"/>
  <c r="H89" i="20" s="1"/>
  <c r="C89" i="20"/>
  <c r="D89" i="20" s="1"/>
  <c r="AR88" i="20"/>
  <c r="AQ88" i="20"/>
  <c r="AS88" i="20" s="1"/>
  <c r="AP88" i="20"/>
  <c r="AI88" i="20"/>
  <c r="AJ88" i="20" s="1"/>
  <c r="AH88" i="20"/>
  <c r="AE88" i="20"/>
  <c r="AF88" i="20" s="1"/>
  <c r="AB88" i="20"/>
  <c r="AA88" i="20"/>
  <c r="Z88" i="20"/>
  <c r="W88" i="20"/>
  <c r="X88" i="20" s="1"/>
  <c r="V88" i="20"/>
  <c r="Q88" i="20"/>
  <c r="R88" i="20" s="1"/>
  <c r="T88" i="20" s="1"/>
  <c r="P88" i="20"/>
  <c r="M88" i="20"/>
  <c r="N88" i="20" s="1"/>
  <c r="L88" i="20"/>
  <c r="G88" i="20"/>
  <c r="H88" i="20" s="1"/>
  <c r="F88" i="20"/>
  <c r="C88" i="20"/>
  <c r="D88" i="20" s="1"/>
  <c r="J88" i="20" s="1"/>
  <c r="B88" i="20"/>
  <c r="I88" i="20" s="1"/>
  <c r="AQ87" i="20"/>
  <c r="AR87" i="20" s="1"/>
  <c r="AP87" i="20"/>
  <c r="AJ87" i="20"/>
  <c r="AI87" i="20"/>
  <c r="AH87" i="20"/>
  <c r="AE87" i="20"/>
  <c r="AF87" i="20" s="1"/>
  <c r="AD87" i="20"/>
  <c r="AA87" i="20"/>
  <c r="AB87" i="20" s="1"/>
  <c r="Z87" i="20"/>
  <c r="W87" i="20"/>
  <c r="X87" i="20" s="1"/>
  <c r="V87" i="20"/>
  <c r="Q87" i="20"/>
  <c r="R87" i="20" s="1"/>
  <c r="P87" i="20"/>
  <c r="M87" i="20"/>
  <c r="N87" i="20" s="1"/>
  <c r="L87" i="20"/>
  <c r="S87" i="20" s="1"/>
  <c r="G87" i="20"/>
  <c r="H87" i="20" s="1"/>
  <c r="F87" i="20"/>
  <c r="D87" i="20"/>
  <c r="C87" i="20"/>
  <c r="B87" i="20"/>
  <c r="AQ86" i="20"/>
  <c r="AR86" i="20" s="1"/>
  <c r="AP86" i="20"/>
  <c r="AJ86" i="20"/>
  <c r="AI86" i="20"/>
  <c r="AH86" i="20"/>
  <c r="AE86" i="20"/>
  <c r="AF86" i="20" s="1"/>
  <c r="AD86" i="20"/>
  <c r="AB86" i="20"/>
  <c r="AL86" i="20" s="1"/>
  <c r="AA86" i="20"/>
  <c r="Z86" i="20"/>
  <c r="X86" i="20"/>
  <c r="W86" i="20"/>
  <c r="V86" i="20"/>
  <c r="Q86" i="20"/>
  <c r="R86" i="20" s="1"/>
  <c r="P86" i="20"/>
  <c r="M86" i="20"/>
  <c r="N86" i="20" s="1"/>
  <c r="T86" i="20" s="1"/>
  <c r="L86" i="20"/>
  <c r="S86" i="20" s="1"/>
  <c r="H86" i="20"/>
  <c r="G86" i="20"/>
  <c r="F86" i="20"/>
  <c r="D86" i="20"/>
  <c r="J86" i="20" s="1"/>
  <c r="C86" i="20"/>
  <c r="B86" i="20"/>
  <c r="AQ85" i="20"/>
  <c r="AS85" i="20" s="1"/>
  <c r="AP85" i="20"/>
  <c r="AI85" i="20"/>
  <c r="AJ85" i="20" s="1"/>
  <c r="AH85" i="20"/>
  <c r="AE85" i="20"/>
  <c r="AF85" i="20" s="1"/>
  <c r="AD85" i="20"/>
  <c r="AA85" i="20"/>
  <c r="AB85" i="20" s="1"/>
  <c r="Z85" i="20"/>
  <c r="W85" i="20"/>
  <c r="X85" i="20" s="1"/>
  <c r="V85" i="20"/>
  <c r="Q85" i="20"/>
  <c r="R85" i="20" s="1"/>
  <c r="P85" i="20"/>
  <c r="M85" i="20"/>
  <c r="N85" i="20" s="1"/>
  <c r="T85" i="20" s="1"/>
  <c r="L85" i="20"/>
  <c r="G85" i="20"/>
  <c r="H85" i="20" s="1"/>
  <c r="F85" i="20"/>
  <c r="I85" i="20" s="1"/>
  <c r="C85" i="20"/>
  <c r="D85" i="20" s="1"/>
  <c r="B85" i="20"/>
  <c r="AQ84" i="20"/>
  <c r="AS84" i="20" s="1"/>
  <c r="AP84" i="20"/>
  <c r="AI84" i="20"/>
  <c r="AJ84" i="20" s="1"/>
  <c r="AH84" i="20"/>
  <c r="AE84" i="20"/>
  <c r="AF84" i="20" s="1"/>
  <c r="AD84" i="20"/>
  <c r="AA84" i="20"/>
  <c r="AB84" i="20" s="1"/>
  <c r="Z84" i="20"/>
  <c r="W84" i="20"/>
  <c r="X84" i="20" s="1"/>
  <c r="V84" i="20"/>
  <c r="AK84" i="20" s="1"/>
  <c r="Q84" i="20"/>
  <c r="R84" i="20" s="1"/>
  <c r="P84" i="20"/>
  <c r="N84" i="20"/>
  <c r="M84" i="20"/>
  <c r="L84" i="20"/>
  <c r="H84" i="20"/>
  <c r="G84" i="20"/>
  <c r="F84" i="20"/>
  <c r="C84" i="20"/>
  <c r="D84" i="20" s="1"/>
  <c r="B84" i="20"/>
  <c r="AQ83" i="20"/>
  <c r="AP83" i="20"/>
  <c r="AI83" i="20"/>
  <c r="AJ83" i="20" s="1"/>
  <c r="AH83" i="20"/>
  <c r="AF83" i="20"/>
  <c r="AE83" i="20"/>
  <c r="AD83" i="20"/>
  <c r="AA83" i="20"/>
  <c r="AB83" i="20" s="1"/>
  <c r="Z83" i="20"/>
  <c r="W83" i="20"/>
  <c r="X83" i="20" s="1"/>
  <c r="V83" i="20"/>
  <c r="AK83" i="20" s="1"/>
  <c r="Q83" i="20"/>
  <c r="R83" i="20" s="1"/>
  <c r="P83" i="20"/>
  <c r="M83" i="20"/>
  <c r="N83" i="20" s="1"/>
  <c r="L83" i="20"/>
  <c r="S83" i="20" s="1"/>
  <c r="H83" i="20"/>
  <c r="G83" i="20"/>
  <c r="F83" i="20"/>
  <c r="C83" i="20"/>
  <c r="D83" i="20" s="1"/>
  <c r="B83" i="20"/>
  <c r="I83" i="20" s="1"/>
  <c r="AR82" i="20"/>
  <c r="AQ82" i="20"/>
  <c r="AS82" i="20" s="1"/>
  <c r="AP82" i="20"/>
  <c r="AI82" i="20"/>
  <c r="AJ82" i="20" s="1"/>
  <c r="AE82" i="20"/>
  <c r="AF82" i="20" s="1"/>
  <c r="AD82" i="20"/>
  <c r="AB82" i="20"/>
  <c r="AA82" i="20"/>
  <c r="Z82" i="20"/>
  <c r="W82" i="20"/>
  <c r="X82" i="20" s="1"/>
  <c r="V82" i="20"/>
  <c r="R82" i="20"/>
  <c r="Q82" i="20"/>
  <c r="P82" i="20"/>
  <c r="N82" i="20"/>
  <c r="M82" i="20"/>
  <c r="G82" i="20"/>
  <c r="H82" i="20" s="1"/>
  <c r="F82" i="20"/>
  <c r="D82" i="20"/>
  <c r="C82" i="20"/>
  <c r="AQ81" i="20"/>
  <c r="AR81" i="20" s="1"/>
  <c r="AP81" i="20"/>
  <c r="AI81" i="20"/>
  <c r="AJ81" i="20" s="1"/>
  <c r="AH81" i="20"/>
  <c r="AE81" i="20"/>
  <c r="AF81" i="20" s="1"/>
  <c r="AA81" i="20"/>
  <c r="AB81" i="20" s="1"/>
  <c r="W81" i="20"/>
  <c r="X81" i="20" s="1"/>
  <c r="V81" i="20"/>
  <c r="R81" i="20"/>
  <c r="Q81" i="20"/>
  <c r="M81" i="20"/>
  <c r="N81" i="20" s="1"/>
  <c r="L81" i="20"/>
  <c r="G81" i="20"/>
  <c r="H81" i="20" s="1"/>
  <c r="C81" i="20"/>
  <c r="D81" i="20" s="1"/>
  <c r="B81" i="20"/>
  <c r="AQ80" i="20"/>
  <c r="AS80" i="20" s="1"/>
  <c r="AP80" i="20"/>
  <c r="AJ80" i="20"/>
  <c r="AI80" i="20"/>
  <c r="AH80" i="20"/>
  <c r="AF80" i="20"/>
  <c r="AE80" i="20"/>
  <c r="AA80" i="20"/>
  <c r="AB80" i="20" s="1"/>
  <c r="Z80" i="20"/>
  <c r="X80" i="20"/>
  <c r="W80" i="20"/>
  <c r="V80" i="20"/>
  <c r="R80" i="20"/>
  <c r="Q80" i="20"/>
  <c r="P80" i="20"/>
  <c r="N80" i="20"/>
  <c r="M80" i="20"/>
  <c r="L80" i="20"/>
  <c r="G80" i="20"/>
  <c r="H80" i="20" s="1"/>
  <c r="F80" i="20"/>
  <c r="D80" i="20"/>
  <c r="C80" i="20"/>
  <c r="B80" i="20"/>
  <c r="AS79" i="20"/>
  <c r="AR79" i="20"/>
  <c r="AQ79" i="20"/>
  <c r="AP79" i="20"/>
  <c r="AI79" i="20"/>
  <c r="AJ79" i="20" s="1"/>
  <c r="AH79" i="20"/>
  <c r="AE79" i="20"/>
  <c r="AF79" i="20" s="1"/>
  <c r="AD79" i="20"/>
  <c r="AB79" i="20"/>
  <c r="AA79" i="20"/>
  <c r="Z79" i="20"/>
  <c r="W79" i="20"/>
  <c r="X79" i="20" s="1"/>
  <c r="V79" i="20"/>
  <c r="AK79" i="20" s="1"/>
  <c r="Q79" i="20"/>
  <c r="R79" i="20" s="1"/>
  <c r="T79" i="20" s="1"/>
  <c r="P79" i="20"/>
  <c r="M79" i="20"/>
  <c r="N79" i="20" s="1"/>
  <c r="L79" i="20"/>
  <c r="G79" i="20"/>
  <c r="H79" i="20" s="1"/>
  <c r="F79" i="20"/>
  <c r="C79" i="20"/>
  <c r="D79" i="20" s="1"/>
  <c r="J79" i="20" s="1"/>
  <c r="B79" i="20"/>
  <c r="AQ78" i="20"/>
  <c r="AS78" i="20" s="1"/>
  <c r="AP78" i="20"/>
  <c r="AJ78" i="20"/>
  <c r="AI78" i="20"/>
  <c r="AH78" i="20"/>
  <c r="AE78" i="20"/>
  <c r="AF78" i="20" s="1"/>
  <c r="AD78" i="20"/>
  <c r="AB78" i="20"/>
  <c r="AA78" i="20"/>
  <c r="Z78" i="20"/>
  <c r="W78" i="20"/>
  <c r="X78" i="20" s="1"/>
  <c r="V78" i="20"/>
  <c r="Q78" i="20"/>
  <c r="R78" i="20" s="1"/>
  <c r="T78" i="20" s="1"/>
  <c r="P78" i="20"/>
  <c r="N78" i="20"/>
  <c r="M78" i="20"/>
  <c r="L78" i="20"/>
  <c r="S78" i="20" s="1"/>
  <c r="G78" i="20"/>
  <c r="H78" i="20" s="1"/>
  <c r="F78" i="20"/>
  <c r="C78" i="20"/>
  <c r="D78" i="20" s="1"/>
  <c r="B78" i="20"/>
  <c r="AQ77" i="20"/>
  <c r="AS77" i="20" s="1"/>
  <c r="AP77" i="20"/>
  <c r="AI77" i="20"/>
  <c r="AJ77" i="20" s="1"/>
  <c r="AH77" i="20"/>
  <c r="AE77" i="20"/>
  <c r="AF77" i="20" s="1"/>
  <c r="AD77" i="20"/>
  <c r="AA77" i="20"/>
  <c r="AB77" i="20" s="1"/>
  <c r="Z77" i="20"/>
  <c r="W77" i="20"/>
  <c r="X77" i="20" s="1"/>
  <c r="V77" i="20"/>
  <c r="Q77" i="20"/>
  <c r="R77" i="20" s="1"/>
  <c r="P77" i="20"/>
  <c r="N77" i="20"/>
  <c r="T77" i="20" s="1"/>
  <c r="M77" i="20"/>
  <c r="L77" i="20"/>
  <c r="G77" i="20"/>
  <c r="H77" i="20" s="1"/>
  <c r="F77" i="20"/>
  <c r="C77" i="20"/>
  <c r="D77" i="20" s="1"/>
  <c r="B77" i="20"/>
  <c r="I77" i="20" s="1"/>
  <c r="AR76" i="20"/>
  <c r="AQ76" i="20"/>
  <c r="AS76" i="20" s="1"/>
  <c r="AP76" i="20"/>
  <c r="AI76" i="20"/>
  <c r="AJ76" i="20" s="1"/>
  <c r="AH76" i="20"/>
  <c r="AF76" i="20"/>
  <c r="AE76" i="20"/>
  <c r="AD76" i="20"/>
  <c r="AA76" i="20"/>
  <c r="AB76" i="20" s="1"/>
  <c r="Z76" i="20"/>
  <c r="W76" i="20"/>
  <c r="X76" i="20" s="1"/>
  <c r="V76" i="20"/>
  <c r="AK76" i="20" s="1"/>
  <c r="Q76" i="20"/>
  <c r="R76" i="20" s="1"/>
  <c r="P76" i="20"/>
  <c r="N76" i="20"/>
  <c r="T76" i="20" s="1"/>
  <c r="M76" i="20"/>
  <c r="L76" i="20"/>
  <c r="S76" i="20" s="1"/>
  <c r="H76" i="20"/>
  <c r="G76" i="20"/>
  <c r="F76" i="20"/>
  <c r="C76" i="20"/>
  <c r="D76" i="20" s="1"/>
  <c r="B76" i="20"/>
  <c r="I76" i="20" s="1"/>
  <c r="AQ75" i="20"/>
  <c r="AP75" i="20"/>
  <c r="AI75" i="20"/>
  <c r="AJ75" i="20" s="1"/>
  <c r="AH75" i="20"/>
  <c r="AF75" i="20"/>
  <c r="AE75" i="20"/>
  <c r="AD75" i="20"/>
  <c r="AA75" i="20"/>
  <c r="AB75" i="20" s="1"/>
  <c r="Z75" i="20"/>
  <c r="W75" i="20"/>
  <c r="X75" i="20" s="1"/>
  <c r="V75" i="20"/>
  <c r="Q75" i="20"/>
  <c r="R75" i="20" s="1"/>
  <c r="P75" i="20"/>
  <c r="M75" i="20"/>
  <c r="N75" i="20" s="1"/>
  <c r="L75" i="20"/>
  <c r="H75" i="20"/>
  <c r="G75" i="20"/>
  <c r="F75" i="20"/>
  <c r="C75" i="20"/>
  <c r="D75" i="20" s="1"/>
  <c r="B75" i="20"/>
  <c r="I75" i="20" s="1"/>
  <c r="AQ74" i="20"/>
  <c r="AP74" i="20"/>
  <c r="AJ74" i="20"/>
  <c r="AI74" i="20"/>
  <c r="AF74" i="20"/>
  <c r="AE74" i="20"/>
  <c r="AD74" i="20"/>
  <c r="AA74" i="20"/>
  <c r="AB74" i="20" s="1"/>
  <c r="Z74" i="20"/>
  <c r="X74" i="20"/>
  <c r="W74" i="20"/>
  <c r="R74" i="20"/>
  <c r="Q74" i="20"/>
  <c r="P74" i="20"/>
  <c r="M74" i="20"/>
  <c r="N74" i="20" s="1"/>
  <c r="T74" i="20" s="1"/>
  <c r="G74" i="20"/>
  <c r="H74" i="20" s="1"/>
  <c r="F74" i="20"/>
  <c r="D74" i="20"/>
  <c r="C74" i="20"/>
  <c r="AQ73" i="20"/>
  <c r="AR73" i="20" s="1"/>
  <c r="AI73" i="20"/>
  <c r="AJ73" i="20" s="1"/>
  <c r="AH73" i="20"/>
  <c r="AE73" i="20"/>
  <c r="AF73" i="20" s="1"/>
  <c r="AA73" i="20"/>
  <c r="AB73" i="20" s="1"/>
  <c r="W73" i="20"/>
  <c r="X73" i="20" s="1"/>
  <c r="V73" i="20"/>
  <c r="Q73" i="20"/>
  <c r="R73" i="20" s="1"/>
  <c r="P73" i="20"/>
  <c r="M73" i="20"/>
  <c r="N73" i="20" s="1"/>
  <c r="L73" i="20"/>
  <c r="G73" i="20"/>
  <c r="H73" i="20" s="1"/>
  <c r="J73" i="20" s="1"/>
  <c r="C73" i="20"/>
  <c r="D73" i="20" s="1"/>
  <c r="AR72" i="20"/>
  <c r="AQ72" i="20"/>
  <c r="AS72" i="20" s="1"/>
  <c r="AP72" i="20"/>
  <c r="AJ72" i="20"/>
  <c r="AI72" i="20"/>
  <c r="AH72" i="20"/>
  <c r="AE72" i="20"/>
  <c r="AF72" i="20" s="1"/>
  <c r="AB72" i="20"/>
  <c r="AA72" i="20"/>
  <c r="Z72" i="20"/>
  <c r="W72" i="20"/>
  <c r="X72" i="20" s="1"/>
  <c r="V72" i="20"/>
  <c r="R72" i="20"/>
  <c r="Q72" i="20"/>
  <c r="P72" i="20"/>
  <c r="N72" i="20"/>
  <c r="M72" i="20"/>
  <c r="L72" i="20"/>
  <c r="S72" i="20" s="1"/>
  <c r="G72" i="20"/>
  <c r="H72" i="20" s="1"/>
  <c r="J72" i="20" s="1"/>
  <c r="F72" i="20"/>
  <c r="C72" i="20"/>
  <c r="D72" i="20" s="1"/>
  <c r="B72" i="20"/>
  <c r="I72" i="20" s="1"/>
  <c r="AS71" i="20"/>
  <c r="AQ71" i="20"/>
  <c r="AR71" i="20" s="1"/>
  <c r="AP71" i="20"/>
  <c r="AJ71" i="20"/>
  <c r="AI71" i="20"/>
  <c r="AH71" i="20"/>
  <c r="AE71" i="20"/>
  <c r="AF71" i="20" s="1"/>
  <c r="AD71" i="20"/>
  <c r="AA71" i="20"/>
  <c r="AB71" i="20" s="1"/>
  <c r="Z71" i="20"/>
  <c r="W71" i="20"/>
  <c r="X71" i="20" s="1"/>
  <c r="V71" i="20"/>
  <c r="Q71" i="20"/>
  <c r="R71" i="20" s="1"/>
  <c r="P71" i="20"/>
  <c r="M71" i="20"/>
  <c r="N71" i="20" s="1"/>
  <c r="L71" i="20"/>
  <c r="G71" i="20"/>
  <c r="H71" i="20" s="1"/>
  <c r="F71" i="20"/>
  <c r="D71" i="20"/>
  <c r="J71" i="20" s="1"/>
  <c r="C71" i="20"/>
  <c r="B71" i="20"/>
  <c r="I71" i="20" s="1"/>
  <c r="AR70" i="20"/>
  <c r="AQ70" i="20"/>
  <c r="AS70" i="20" s="1"/>
  <c r="AP70" i="20"/>
  <c r="AI70" i="20"/>
  <c r="AJ70" i="20" s="1"/>
  <c r="AH70" i="20"/>
  <c r="AE70" i="20"/>
  <c r="AF70" i="20" s="1"/>
  <c r="AD70" i="20"/>
  <c r="AB70" i="20"/>
  <c r="AA70" i="20"/>
  <c r="Z70" i="20"/>
  <c r="W70" i="20"/>
  <c r="X70" i="20" s="1"/>
  <c r="AL70" i="20" s="1"/>
  <c r="V70" i="20"/>
  <c r="R70" i="20"/>
  <c r="Q70" i="20"/>
  <c r="P70" i="20"/>
  <c r="M70" i="20"/>
  <c r="N70" i="20" s="1"/>
  <c r="L70" i="20"/>
  <c r="S70" i="20" s="1"/>
  <c r="G70" i="20"/>
  <c r="H70" i="20" s="1"/>
  <c r="J70" i="20" s="1"/>
  <c r="F70" i="20"/>
  <c r="D70" i="20"/>
  <c r="C70" i="20"/>
  <c r="B70" i="20"/>
  <c r="I70" i="20" s="1"/>
  <c r="AQ69" i="20"/>
  <c r="AR69" i="20" s="1"/>
  <c r="AI69" i="20"/>
  <c r="AJ69" i="20" s="1"/>
  <c r="AH69" i="20"/>
  <c r="AE69" i="20"/>
  <c r="AF69" i="20" s="1"/>
  <c r="AD69" i="20"/>
  <c r="AA69" i="20"/>
  <c r="AB69" i="20" s="1"/>
  <c r="Z69" i="20"/>
  <c r="W69" i="20"/>
  <c r="X69" i="20" s="1"/>
  <c r="V69" i="20"/>
  <c r="Q69" i="20"/>
  <c r="R69" i="20" s="1"/>
  <c r="P69" i="20"/>
  <c r="N69" i="20"/>
  <c r="M69" i="20"/>
  <c r="L69" i="20"/>
  <c r="S69" i="20" s="1"/>
  <c r="G69" i="20"/>
  <c r="H69" i="20" s="1"/>
  <c r="F69" i="20"/>
  <c r="C69" i="20"/>
  <c r="D69" i="20" s="1"/>
  <c r="B69" i="20"/>
  <c r="I69" i="20" s="1"/>
  <c r="AQ68" i="20"/>
  <c r="AS68" i="20" s="1"/>
  <c r="AP68" i="20"/>
  <c r="AJ68" i="20"/>
  <c r="AI68" i="20"/>
  <c r="AH68" i="20"/>
  <c r="AE68" i="20"/>
  <c r="AF68" i="20" s="1"/>
  <c r="AD68" i="20"/>
  <c r="AA68" i="20"/>
  <c r="AB68" i="20" s="1"/>
  <c r="Z68" i="20"/>
  <c r="X68" i="20"/>
  <c r="W68" i="20"/>
  <c r="V68" i="20"/>
  <c r="AK68" i="20" s="1"/>
  <c r="R68" i="20"/>
  <c r="T68" i="20" s="1"/>
  <c r="Q68" i="20"/>
  <c r="P68" i="20"/>
  <c r="N68" i="20"/>
  <c r="M68" i="20"/>
  <c r="L68" i="20"/>
  <c r="S68" i="20" s="1"/>
  <c r="G68" i="20"/>
  <c r="H68" i="20" s="1"/>
  <c r="F68" i="20"/>
  <c r="C68" i="20"/>
  <c r="D68" i="20" s="1"/>
  <c r="J68" i="20" s="1"/>
  <c r="B68" i="20"/>
  <c r="AQ67" i="20"/>
  <c r="AP67" i="20"/>
  <c r="AI67" i="20"/>
  <c r="AJ67" i="20" s="1"/>
  <c r="AH67" i="20"/>
  <c r="AF67" i="20"/>
  <c r="AE67" i="20"/>
  <c r="AD67" i="20"/>
  <c r="AA67" i="20"/>
  <c r="AB67" i="20" s="1"/>
  <c r="Z67" i="20"/>
  <c r="W67" i="20"/>
  <c r="X67" i="20" s="1"/>
  <c r="V67" i="20"/>
  <c r="Q67" i="20"/>
  <c r="R67" i="20" s="1"/>
  <c r="P67" i="20"/>
  <c r="S67" i="20" s="1"/>
  <c r="M67" i="20"/>
  <c r="N67" i="20" s="1"/>
  <c r="L67" i="20"/>
  <c r="H67" i="20"/>
  <c r="G67" i="20"/>
  <c r="F67" i="20"/>
  <c r="C67" i="20"/>
  <c r="D67" i="20" s="1"/>
  <c r="J67" i="20" s="1"/>
  <c r="B67" i="20"/>
  <c r="I67" i="20" s="1"/>
  <c r="AR66" i="20"/>
  <c r="AQ66" i="20"/>
  <c r="AS66" i="20" s="1"/>
  <c r="AP66" i="20"/>
  <c r="AI66" i="20"/>
  <c r="AJ66" i="20" s="1"/>
  <c r="AF66" i="20"/>
  <c r="AE66" i="20"/>
  <c r="AD66" i="20"/>
  <c r="AB66" i="20"/>
  <c r="AA66" i="20"/>
  <c r="Z66" i="20"/>
  <c r="W66" i="20"/>
  <c r="X66" i="20" s="1"/>
  <c r="AL66" i="20" s="1"/>
  <c r="R66" i="20"/>
  <c r="Q66" i="20"/>
  <c r="P66" i="20"/>
  <c r="N66" i="20"/>
  <c r="M66" i="20"/>
  <c r="G66" i="20"/>
  <c r="H66" i="20" s="1"/>
  <c r="F66" i="20"/>
  <c r="D66" i="20"/>
  <c r="C66" i="20"/>
  <c r="AQ65" i="20"/>
  <c r="AJ65" i="20"/>
  <c r="AI65" i="20"/>
  <c r="AH65" i="20"/>
  <c r="AE65" i="20"/>
  <c r="AF65" i="20" s="1"/>
  <c r="AD65" i="20"/>
  <c r="AB65" i="20"/>
  <c r="AA65" i="20"/>
  <c r="W65" i="20"/>
  <c r="X65" i="20" s="1"/>
  <c r="V65" i="20"/>
  <c r="Q65" i="20"/>
  <c r="R65" i="20" s="1"/>
  <c r="M65" i="20"/>
  <c r="N65" i="20" s="1"/>
  <c r="L65" i="20"/>
  <c r="G65" i="20"/>
  <c r="H65" i="20" s="1"/>
  <c r="F65" i="20"/>
  <c r="C65" i="20"/>
  <c r="D65" i="20" s="1"/>
  <c r="AR64" i="20"/>
  <c r="AQ64" i="20"/>
  <c r="AS64" i="20" s="1"/>
  <c r="AP64" i="20"/>
  <c r="AI64" i="20"/>
  <c r="AJ64" i="20" s="1"/>
  <c r="AH64" i="20"/>
  <c r="AF64" i="20"/>
  <c r="AE64" i="20"/>
  <c r="AB64" i="20"/>
  <c r="AA64" i="20"/>
  <c r="Z64" i="20"/>
  <c r="W64" i="20"/>
  <c r="X64" i="20" s="1"/>
  <c r="V64" i="20"/>
  <c r="Q64" i="20"/>
  <c r="R64" i="20" s="1"/>
  <c r="P64" i="20"/>
  <c r="N64" i="20"/>
  <c r="M64" i="20"/>
  <c r="L64" i="20"/>
  <c r="G64" i="20"/>
  <c r="H64" i="20" s="1"/>
  <c r="F64" i="20"/>
  <c r="C64" i="20"/>
  <c r="D64" i="20" s="1"/>
  <c r="B64" i="20"/>
  <c r="AS63" i="20"/>
  <c r="AQ63" i="20"/>
  <c r="AR63" i="20" s="1"/>
  <c r="AP63" i="20"/>
  <c r="AJ63" i="20"/>
  <c r="AI63" i="20"/>
  <c r="AH63" i="20"/>
  <c r="AE63" i="20"/>
  <c r="AF63" i="20" s="1"/>
  <c r="AD63" i="20"/>
  <c r="AA63" i="20"/>
  <c r="AB63" i="20" s="1"/>
  <c r="Z63" i="20"/>
  <c r="W63" i="20"/>
  <c r="X63" i="20" s="1"/>
  <c r="V63" i="20"/>
  <c r="Q63" i="20"/>
  <c r="R63" i="20" s="1"/>
  <c r="P63" i="20"/>
  <c r="M63" i="20"/>
  <c r="N63" i="20" s="1"/>
  <c r="L63" i="20"/>
  <c r="G63" i="20"/>
  <c r="H63" i="20" s="1"/>
  <c r="F63" i="20"/>
  <c r="D63" i="20"/>
  <c r="C63" i="20"/>
  <c r="B63" i="20"/>
  <c r="I63" i="20" s="1"/>
  <c r="AQ62" i="20"/>
  <c r="AS62" i="20" s="1"/>
  <c r="AP62" i="20"/>
  <c r="AI62" i="20"/>
  <c r="AJ62" i="20" s="1"/>
  <c r="AH62" i="20"/>
  <c r="AF62" i="20"/>
  <c r="AE62" i="20"/>
  <c r="AD62" i="20"/>
  <c r="AA62" i="20"/>
  <c r="AB62" i="20" s="1"/>
  <c r="Z62" i="20"/>
  <c r="X62" i="20"/>
  <c r="W62" i="20"/>
  <c r="V62" i="20"/>
  <c r="Q62" i="20"/>
  <c r="R62" i="20" s="1"/>
  <c r="T62" i="20" s="1"/>
  <c r="P62" i="20"/>
  <c r="M62" i="20"/>
  <c r="N62" i="20" s="1"/>
  <c r="L62" i="20"/>
  <c r="H62" i="20"/>
  <c r="G62" i="20"/>
  <c r="F62" i="20"/>
  <c r="C62" i="20"/>
  <c r="D62" i="20" s="1"/>
  <c r="J62" i="20" s="1"/>
  <c r="B62" i="20"/>
  <c r="I62" i="20" s="1"/>
  <c r="AQ61" i="20"/>
  <c r="AR61" i="20" s="1"/>
  <c r="AI61" i="20"/>
  <c r="AJ61" i="20" s="1"/>
  <c r="AH61" i="20"/>
  <c r="AF61" i="20"/>
  <c r="AE61" i="20"/>
  <c r="AD61" i="20"/>
  <c r="AA61" i="20"/>
  <c r="AB61" i="20" s="1"/>
  <c r="Z61" i="20"/>
  <c r="W61" i="20"/>
  <c r="X61" i="20" s="1"/>
  <c r="V61" i="20"/>
  <c r="Q61" i="20"/>
  <c r="R61" i="20" s="1"/>
  <c r="P61" i="20"/>
  <c r="M61" i="20"/>
  <c r="N61" i="20" s="1"/>
  <c r="L61" i="20"/>
  <c r="G61" i="20"/>
  <c r="H61" i="20" s="1"/>
  <c r="F61" i="20"/>
  <c r="C61" i="20"/>
  <c r="D61" i="20" s="1"/>
  <c r="B61" i="20"/>
  <c r="AQ60" i="20"/>
  <c r="AS60" i="20" s="1"/>
  <c r="AP60" i="20"/>
  <c r="AJ60" i="20"/>
  <c r="AI60" i="20"/>
  <c r="AH60" i="20"/>
  <c r="AF60" i="20"/>
  <c r="AE60" i="20"/>
  <c r="AD60" i="20"/>
  <c r="AA60" i="20"/>
  <c r="AB60" i="20" s="1"/>
  <c r="Z60" i="20"/>
  <c r="W60" i="20"/>
  <c r="X60" i="20" s="1"/>
  <c r="V60" i="20"/>
  <c r="Q60" i="20"/>
  <c r="R60" i="20" s="1"/>
  <c r="P60" i="20"/>
  <c r="N60" i="20"/>
  <c r="M60" i="20"/>
  <c r="L60" i="20"/>
  <c r="H60" i="20"/>
  <c r="G60" i="20"/>
  <c r="F60" i="20"/>
  <c r="C60" i="20"/>
  <c r="D60" i="20" s="1"/>
  <c r="J60" i="20" s="1"/>
  <c r="B60" i="20"/>
  <c r="AQ59" i="20"/>
  <c r="AP59" i="20"/>
  <c r="AI59" i="20"/>
  <c r="AJ59" i="20" s="1"/>
  <c r="AH59" i="20"/>
  <c r="AE59" i="20"/>
  <c r="AF59" i="20" s="1"/>
  <c r="AD59" i="20"/>
  <c r="AA59" i="20"/>
  <c r="AB59" i="20" s="1"/>
  <c r="Z59" i="20"/>
  <c r="X59" i="20"/>
  <c r="W59" i="20"/>
  <c r="V59" i="20"/>
  <c r="Q59" i="20"/>
  <c r="R59" i="20" s="1"/>
  <c r="P59" i="20"/>
  <c r="M59" i="20"/>
  <c r="N59" i="20" s="1"/>
  <c r="L59" i="20"/>
  <c r="G59" i="20"/>
  <c r="H59" i="20" s="1"/>
  <c r="F59" i="20"/>
  <c r="C59" i="20"/>
  <c r="D59" i="20" s="1"/>
  <c r="B59" i="20"/>
  <c r="AQ58" i="20"/>
  <c r="AS58" i="20" s="1"/>
  <c r="AP58" i="20"/>
  <c r="AJ58" i="20"/>
  <c r="AI58" i="20"/>
  <c r="AE58" i="20"/>
  <c r="AF58" i="20" s="1"/>
  <c r="AD58" i="20"/>
  <c r="AB58" i="20"/>
  <c r="AA58" i="20"/>
  <c r="Z58" i="20"/>
  <c r="X58" i="20"/>
  <c r="W58" i="20"/>
  <c r="V58" i="20"/>
  <c r="Q58" i="20"/>
  <c r="R58" i="20" s="1"/>
  <c r="P58" i="20"/>
  <c r="M58" i="20"/>
  <c r="N58" i="20" s="1"/>
  <c r="H58" i="20"/>
  <c r="G58" i="20"/>
  <c r="F58" i="20"/>
  <c r="C58" i="20"/>
  <c r="D58" i="20" s="1"/>
  <c r="AQ57" i="20"/>
  <c r="AS57" i="20" s="1"/>
  <c r="AI57" i="20"/>
  <c r="AJ57" i="20" s="1"/>
  <c r="AH57" i="20"/>
  <c r="AE57" i="20"/>
  <c r="AF57" i="20" s="1"/>
  <c r="AA57" i="20"/>
  <c r="AB57" i="20" s="1"/>
  <c r="Z57" i="20"/>
  <c r="W57" i="20"/>
  <c r="X57" i="20" s="1"/>
  <c r="V57" i="20"/>
  <c r="T57" i="20"/>
  <c r="R57" i="20"/>
  <c r="Q57" i="20"/>
  <c r="M57" i="20"/>
  <c r="N57" i="20" s="1"/>
  <c r="L57" i="20"/>
  <c r="G57" i="20"/>
  <c r="H57" i="20" s="1"/>
  <c r="C57" i="20"/>
  <c r="D57" i="20" s="1"/>
  <c r="J57" i="20" s="1"/>
  <c r="AQ56" i="20"/>
  <c r="AS56" i="20" s="1"/>
  <c r="AP56" i="20"/>
  <c r="AJ56" i="20"/>
  <c r="AI56" i="20"/>
  <c r="AH56" i="20"/>
  <c r="AE56" i="20"/>
  <c r="AF56" i="20" s="1"/>
  <c r="AD56" i="20"/>
  <c r="AB56" i="20"/>
  <c r="AA56" i="20"/>
  <c r="Z56" i="20"/>
  <c r="W56" i="20"/>
  <c r="X56" i="20" s="1"/>
  <c r="V56" i="20"/>
  <c r="Q56" i="20"/>
  <c r="R56" i="20" s="1"/>
  <c r="P56" i="20"/>
  <c r="N56" i="20"/>
  <c r="M56" i="20"/>
  <c r="L56" i="20"/>
  <c r="G56" i="20"/>
  <c r="H56" i="20" s="1"/>
  <c r="F56" i="20"/>
  <c r="C56" i="20"/>
  <c r="D56" i="20" s="1"/>
  <c r="B56" i="20"/>
  <c r="AS55" i="20"/>
  <c r="AR55" i="20"/>
  <c r="AQ55" i="20"/>
  <c r="AP55" i="20"/>
  <c r="AI55" i="20"/>
  <c r="AJ55" i="20" s="1"/>
  <c r="AH55" i="20"/>
  <c r="AE55" i="20"/>
  <c r="AF55" i="20" s="1"/>
  <c r="AD55" i="20"/>
  <c r="AB55" i="20"/>
  <c r="AA55" i="20"/>
  <c r="Z55" i="20"/>
  <c r="W55" i="20"/>
  <c r="X55" i="20" s="1"/>
  <c r="V55" i="20"/>
  <c r="AK55" i="20" s="1"/>
  <c r="Q55" i="20"/>
  <c r="R55" i="20" s="1"/>
  <c r="P55" i="20"/>
  <c r="M55" i="20"/>
  <c r="N55" i="20" s="1"/>
  <c r="L55" i="20"/>
  <c r="S55" i="20" s="1"/>
  <c r="G55" i="20"/>
  <c r="H55" i="20" s="1"/>
  <c r="F55" i="20"/>
  <c r="C55" i="20"/>
  <c r="D55" i="20" s="1"/>
  <c r="B55" i="20"/>
  <c r="I55" i="20" s="1"/>
  <c r="AQ54" i="20"/>
  <c r="AS54" i="20" s="1"/>
  <c r="AP54" i="20"/>
  <c r="AI54" i="20"/>
  <c r="AJ54" i="20" s="1"/>
  <c r="AH54" i="20"/>
  <c r="AE54" i="20"/>
  <c r="AF54" i="20" s="1"/>
  <c r="AD54" i="20"/>
  <c r="AA54" i="20"/>
  <c r="AB54" i="20" s="1"/>
  <c r="Z54" i="20"/>
  <c r="X54" i="20"/>
  <c r="W54" i="20"/>
  <c r="V54" i="20"/>
  <c r="Q54" i="20"/>
  <c r="R54" i="20" s="1"/>
  <c r="P54" i="20"/>
  <c r="N54" i="20"/>
  <c r="M54" i="20"/>
  <c r="L54" i="20"/>
  <c r="S54" i="20" s="1"/>
  <c r="H54" i="20"/>
  <c r="G54" i="20"/>
  <c r="F54" i="20"/>
  <c r="C54" i="20"/>
  <c r="D54" i="20" s="1"/>
  <c r="B54" i="20"/>
  <c r="AQ53" i="20"/>
  <c r="AR53" i="20" s="1"/>
  <c r="AI53" i="20"/>
  <c r="AJ53" i="20" s="1"/>
  <c r="AH53" i="20"/>
  <c r="AF53" i="20"/>
  <c r="AE53" i="20"/>
  <c r="AD53" i="20"/>
  <c r="AA53" i="20"/>
  <c r="AB53" i="20" s="1"/>
  <c r="Z53" i="20"/>
  <c r="X53" i="20"/>
  <c r="AL53" i="20" s="1"/>
  <c r="W53" i="20"/>
  <c r="V53" i="20"/>
  <c r="Q53" i="20"/>
  <c r="R53" i="20" s="1"/>
  <c r="P53" i="20"/>
  <c r="N53" i="20"/>
  <c r="M53" i="20"/>
  <c r="L53" i="20"/>
  <c r="G53" i="20"/>
  <c r="H53" i="20" s="1"/>
  <c r="F53" i="20"/>
  <c r="I53" i="20" s="1"/>
  <c r="C53" i="20"/>
  <c r="D53" i="20" s="1"/>
  <c r="B53" i="20"/>
  <c r="AR52" i="20"/>
  <c r="AQ52" i="20"/>
  <c r="AS52" i="20" s="1"/>
  <c r="AP52" i="20"/>
  <c r="AI52" i="20"/>
  <c r="AJ52" i="20" s="1"/>
  <c r="AH52" i="20"/>
  <c r="AE52" i="20"/>
  <c r="AF52" i="20" s="1"/>
  <c r="AD52" i="20"/>
  <c r="AB52" i="20"/>
  <c r="AA52" i="20"/>
  <c r="Z52" i="20"/>
  <c r="X52" i="20"/>
  <c r="W52" i="20"/>
  <c r="V52" i="20"/>
  <c r="R52" i="20"/>
  <c r="Q52" i="20"/>
  <c r="P52" i="20"/>
  <c r="M52" i="20"/>
  <c r="N52" i="20" s="1"/>
  <c r="L52" i="20"/>
  <c r="S52" i="20" s="1"/>
  <c r="H52" i="20"/>
  <c r="G52" i="20"/>
  <c r="F52" i="20"/>
  <c r="C52" i="20"/>
  <c r="D52" i="20" s="1"/>
  <c r="B52" i="20"/>
  <c r="AQ51" i="20"/>
  <c r="AP51" i="20"/>
  <c r="AI51" i="20"/>
  <c r="AJ51" i="20" s="1"/>
  <c r="AH51" i="20"/>
  <c r="AF51" i="20"/>
  <c r="AE51" i="20"/>
  <c r="AD51" i="20"/>
  <c r="AA51" i="20"/>
  <c r="AB51" i="20" s="1"/>
  <c r="Z51" i="20"/>
  <c r="W51" i="20"/>
  <c r="X51" i="20" s="1"/>
  <c r="V51" i="20"/>
  <c r="Q51" i="20"/>
  <c r="R51" i="20" s="1"/>
  <c r="P51" i="20"/>
  <c r="S51" i="20" s="1"/>
  <c r="M51" i="20"/>
  <c r="N51" i="20" s="1"/>
  <c r="L51" i="20"/>
  <c r="H51" i="20"/>
  <c r="G51" i="20"/>
  <c r="F51" i="20"/>
  <c r="C51" i="20"/>
  <c r="D51" i="20" s="1"/>
  <c r="J51" i="20" s="1"/>
  <c r="B51" i="20"/>
  <c r="AR50" i="20"/>
  <c r="AQ50" i="20"/>
  <c r="AS50" i="20" s="1"/>
  <c r="AP50" i="20"/>
  <c r="AI50" i="20"/>
  <c r="AJ50" i="20" s="1"/>
  <c r="AH50" i="20"/>
  <c r="AE50" i="20"/>
  <c r="AF50" i="20" s="1"/>
  <c r="AD50" i="20"/>
  <c r="AB50" i="20"/>
  <c r="AA50" i="20"/>
  <c r="Z50" i="20"/>
  <c r="W50" i="20"/>
  <c r="X50" i="20" s="1"/>
  <c r="Q50" i="20"/>
  <c r="R50" i="20" s="1"/>
  <c r="P50" i="20"/>
  <c r="M50" i="20"/>
  <c r="N50" i="20" s="1"/>
  <c r="H50" i="20"/>
  <c r="G50" i="20"/>
  <c r="F50" i="20"/>
  <c r="C50" i="20"/>
  <c r="D50" i="20" s="1"/>
  <c r="AQ49" i="20"/>
  <c r="AS49" i="20" s="1"/>
  <c r="AJ49" i="20"/>
  <c r="AI49" i="20"/>
  <c r="AH49" i="20"/>
  <c r="AE49" i="20"/>
  <c r="AF49" i="20" s="1"/>
  <c r="AA49" i="20"/>
  <c r="AB49" i="20" s="1"/>
  <c r="W49" i="20"/>
  <c r="X49" i="20" s="1"/>
  <c r="V49" i="20"/>
  <c r="Q49" i="20"/>
  <c r="R49" i="20" s="1"/>
  <c r="T49" i="20" s="1"/>
  <c r="P49" i="20"/>
  <c r="M49" i="20"/>
  <c r="N49" i="20" s="1"/>
  <c r="L49" i="20"/>
  <c r="G49" i="20"/>
  <c r="H49" i="20" s="1"/>
  <c r="C49" i="20"/>
  <c r="D49" i="20" s="1"/>
  <c r="J49" i="20" s="1"/>
  <c r="AR48" i="20"/>
  <c r="AQ48" i="20"/>
  <c r="AS48" i="20" s="1"/>
  <c r="AJ48" i="20"/>
  <c r="AI48" i="20"/>
  <c r="AH48" i="20"/>
  <c r="AE48" i="20"/>
  <c r="AF48" i="20" s="1"/>
  <c r="AD48" i="20"/>
  <c r="AB48" i="20"/>
  <c r="AA48" i="20"/>
  <c r="Z48" i="20"/>
  <c r="W48" i="20"/>
  <c r="X48" i="20" s="1"/>
  <c r="V48" i="20"/>
  <c r="Q48" i="20"/>
  <c r="R48" i="20" s="1"/>
  <c r="P48" i="20"/>
  <c r="M48" i="20"/>
  <c r="N48" i="20" s="1"/>
  <c r="L48" i="20"/>
  <c r="I48" i="20"/>
  <c r="G48" i="20"/>
  <c r="H48" i="20" s="1"/>
  <c r="J48" i="20" s="1"/>
  <c r="F48" i="20"/>
  <c r="D48" i="20"/>
  <c r="C48" i="20"/>
  <c r="B48" i="20"/>
  <c r="AQ47" i="20"/>
  <c r="AS47" i="20" s="1"/>
  <c r="AP47" i="20"/>
  <c r="AI47" i="20"/>
  <c r="AJ47" i="20" s="1"/>
  <c r="AH47" i="20"/>
  <c r="AE47" i="20"/>
  <c r="AF47" i="20" s="1"/>
  <c r="AD47" i="20"/>
  <c r="AA47" i="20"/>
  <c r="AB47" i="20" s="1"/>
  <c r="Z47" i="20"/>
  <c r="W47" i="20"/>
  <c r="X47" i="20" s="1"/>
  <c r="V47" i="20"/>
  <c r="AK47" i="20" s="1"/>
  <c r="Q47" i="20"/>
  <c r="R47" i="20" s="1"/>
  <c r="P47" i="20"/>
  <c r="N47" i="20"/>
  <c r="M47" i="20"/>
  <c r="L47" i="20"/>
  <c r="S47" i="20" s="1"/>
  <c r="G47" i="20"/>
  <c r="H47" i="20" s="1"/>
  <c r="F47" i="20"/>
  <c r="C47" i="20"/>
  <c r="D47" i="20" s="1"/>
  <c r="B47" i="20"/>
  <c r="AQ46" i="20"/>
  <c r="AP46" i="20"/>
  <c r="AI46" i="20"/>
  <c r="AJ46" i="20" s="1"/>
  <c r="AH46" i="20"/>
  <c r="AE46" i="20"/>
  <c r="AF46" i="20" s="1"/>
  <c r="AD46" i="20"/>
  <c r="AA46" i="20"/>
  <c r="AB46" i="20" s="1"/>
  <c r="Z46" i="20"/>
  <c r="X46" i="20"/>
  <c r="W46" i="20"/>
  <c r="V46" i="20"/>
  <c r="Q46" i="20"/>
  <c r="R46" i="20" s="1"/>
  <c r="P46" i="20"/>
  <c r="N46" i="20"/>
  <c r="M46" i="20"/>
  <c r="L46" i="20"/>
  <c r="S46" i="20" s="1"/>
  <c r="H46" i="20"/>
  <c r="G46" i="20"/>
  <c r="F46" i="20"/>
  <c r="C46" i="20"/>
  <c r="D46" i="20" s="1"/>
  <c r="B46" i="20"/>
  <c r="I46" i="20" s="1"/>
  <c r="AQ45" i="20"/>
  <c r="AS45" i="20" s="1"/>
  <c r="AP45" i="20"/>
  <c r="AI45" i="20"/>
  <c r="AJ45" i="20" s="1"/>
  <c r="AH45" i="20"/>
  <c r="AF45" i="20"/>
  <c r="AE45" i="20"/>
  <c r="AD45" i="20"/>
  <c r="AA45" i="20"/>
  <c r="AB45" i="20" s="1"/>
  <c r="Z45" i="20"/>
  <c r="W45" i="20"/>
  <c r="X45" i="20" s="1"/>
  <c r="V45" i="20"/>
  <c r="Q45" i="20"/>
  <c r="R45" i="20" s="1"/>
  <c r="P45" i="20"/>
  <c r="M45" i="20"/>
  <c r="N45" i="20" s="1"/>
  <c r="T45" i="20" s="1"/>
  <c r="L45" i="20"/>
  <c r="H45" i="20"/>
  <c r="G45" i="20"/>
  <c r="F45" i="20"/>
  <c r="C45" i="20"/>
  <c r="D45" i="20" s="1"/>
  <c r="B45" i="20"/>
  <c r="I45" i="20" s="1"/>
  <c r="AQ44" i="20"/>
  <c r="AR44" i="20" s="1"/>
  <c r="AP44" i="20"/>
  <c r="AI44" i="20"/>
  <c r="AJ44" i="20" s="1"/>
  <c r="AH44" i="20"/>
  <c r="AF44" i="20"/>
  <c r="AE44" i="20"/>
  <c r="AD44" i="20"/>
  <c r="AA44" i="20"/>
  <c r="AB44" i="20" s="1"/>
  <c r="AL44" i="20" s="1"/>
  <c r="Z44" i="20"/>
  <c r="X44" i="20"/>
  <c r="W44" i="20"/>
  <c r="V44" i="20"/>
  <c r="Q44" i="20"/>
  <c r="R44" i="20" s="1"/>
  <c r="P44" i="20"/>
  <c r="M44" i="20"/>
  <c r="N44" i="20" s="1"/>
  <c r="L44" i="20"/>
  <c r="H44" i="20"/>
  <c r="G44" i="20"/>
  <c r="F44" i="20"/>
  <c r="C44" i="20"/>
  <c r="D44" i="20" s="1"/>
  <c r="B44" i="20"/>
  <c r="AQ43" i="20"/>
  <c r="AP43" i="20"/>
  <c r="AI43" i="20"/>
  <c r="AJ43" i="20" s="1"/>
  <c r="AH43" i="20"/>
  <c r="AE43" i="20"/>
  <c r="AF43" i="20" s="1"/>
  <c r="AD43" i="20"/>
  <c r="AA43" i="20"/>
  <c r="AB43" i="20" s="1"/>
  <c r="Z43" i="20"/>
  <c r="W43" i="20"/>
  <c r="X43" i="20" s="1"/>
  <c r="V43" i="20"/>
  <c r="R43" i="20"/>
  <c r="Q43" i="20"/>
  <c r="P43" i="20"/>
  <c r="M43" i="20"/>
  <c r="N43" i="20" s="1"/>
  <c r="L43" i="20"/>
  <c r="S43" i="20" s="1"/>
  <c r="J43" i="20"/>
  <c r="G43" i="20"/>
  <c r="H43" i="20" s="1"/>
  <c r="F43" i="20"/>
  <c r="C43" i="20"/>
  <c r="D43" i="20" s="1"/>
  <c r="B43" i="20"/>
  <c r="AR42" i="20"/>
  <c r="AQ42" i="20"/>
  <c r="AS42" i="20" s="1"/>
  <c r="AP42" i="20"/>
  <c r="AJ42" i="20"/>
  <c r="AI42" i="20"/>
  <c r="AE42" i="20"/>
  <c r="AF42" i="20" s="1"/>
  <c r="AD42" i="20"/>
  <c r="AB42" i="20"/>
  <c r="AA42" i="20"/>
  <c r="Z42" i="20"/>
  <c r="X42" i="20"/>
  <c r="AL42" i="20" s="1"/>
  <c r="W42" i="20"/>
  <c r="Q42" i="20"/>
  <c r="R42" i="20" s="1"/>
  <c r="T42" i="20" s="1"/>
  <c r="P42" i="20"/>
  <c r="N42" i="20"/>
  <c r="M42" i="20"/>
  <c r="G42" i="20"/>
  <c r="H42" i="20" s="1"/>
  <c r="F42" i="20"/>
  <c r="D42" i="20"/>
  <c r="C42" i="20"/>
  <c r="AR41" i="20"/>
  <c r="AQ41" i="20"/>
  <c r="AJ41" i="20"/>
  <c r="AI41" i="20"/>
  <c r="AH41" i="20"/>
  <c r="AE41" i="20"/>
  <c r="AF41" i="20" s="1"/>
  <c r="AB41" i="20"/>
  <c r="AA41" i="20"/>
  <c r="W41" i="20"/>
  <c r="X41" i="20" s="1"/>
  <c r="V41" i="20"/>
  <c r="Q41" i="20"/>
  <c r="R41" i="20" s="1"/>
  <c r="M41" i="20"/>
  <c r="N41" i="20" s="1"/>
  <c r="L41" i="20"/>
  <c r="G41" i="20"/>
  <c r="H41" i="20" s="1"/>
  <c r="F41" i="20"/>
  <c r="C41" i="20"/>
  <c r="D41" i="20" s="1"/>
  <c r="J41" i="20" s="1"/>
  <c r="B41" i="20"/>
  <c r="AR40" i="20"/>
  <c r="AQ40" i="20"/>
  <c r="AS40" i="20" s="1"/>
  <c r="AP40" i="20"/>
  <c r="AI40" i="20"/>
  <c r="AJ40" i="20" s="1"/>
  <c r="AH40" i="20"/>
  <c r="AF40" i="20"/>
  <c r="AE40" i="20"/>
  <c r="AB40" i="20"/>
  <c r="AA40" i="20"/>
  <c r="Z40" i="20"/>
  <c r="W40" i="20"/>
  <c r="X40" i="20" s="1"/>
  <c r="V40" i="20"/>
  <c r="Q40" i="20"/>
  <c r="R40" i="20" s="1"/>
  <c r="T40" i="20" s="1"/>
  <c r="P40" i="20"/>
  <c r="N40" i="20"/>
  <c r="M40" i="20"/>
  <c r="L40" i="20"/>
  <c r="H40" i="20"/>
  <c r="J40" i="20" s="1"/>
  <c r="G40" i="20"/>
  <c r="F40" i="20"/>
  <c r="D40" i="20"/>
  <c r="C40" i="20"/>
  <c r="B40" i="20"/>
  <c r="AQ39" i="20"/>
  <c r="AS39" i="20" s="1"/>
  <c r="AP39" i="20"/>
  <c r="AI39" i="20"/>
  <c r="AJ39" i="20" s="1"/>
  <c r="AH39" i="20"/>
  <c r="AE39" i="20"/>
  <c r="AF39" i="20" s="1"/>
  <c r="AD39" i="20"/>
  <c r="AA39" i="20"/>
  <c r="AB39" i="20" s="1"/>
  <c r="Z39" i="20"/>
  <c r="W39" i="20"/>
  <c r="X39" i="20" s="1"/>
  <c r="V39" i="20"/>
  <c r="Q39" i="20"/>
  <c r="R39" i="20" s="1"/>
  <c r="P39" i="20"/>
  <c r="N39" i="20"/>
  <c r="M39" i="20"/>
  <c r="L39" i="20"/>
  <c r="G39" i="20"/>
  <c r="H39" i="20" s="1"/>
  <c r="F39" i="20"/>
  <c r="C39" i="20"/>
  <c r="D39" i="20" s="1"/>
  <c r="B39" i="20"/>
  <c r="AQ38" i="20"/>
  <c r="AS38" i="20" s="1"/>
  <c r="AP38" i="20"/>
  <c r="AJ38" i="20"/>
  <c r="AI38" i="20"/>
  <c r="AH38" i="20"/>
  <c r="AE38" i="20"/>
  <c r="AF38" i="20" s="1"/>
  <c r="AD38" i="20"/>
  <c r="AA38" i="20"/>
  <c r="AB38" i="20" s="1"/>
  <c r="AL38" i="20" s="1"/>
  <c r="Z38" i="20"/>
  <c r="X38" i="20"/>
  <c r="W38" i="20"/>
  <c r="V38" i="20"/>
  <c r="T38" i="20"/>
  <c r="R38" i="20"/>
  <c r="Q38" i="20"/>
  <c r="P38" i="20"/>
  <c r="N38" i="20"/>
  <c r="M38" i="20"/>
  <c r="L38" i="20"/>
  <c r="S38" i="20" s="1"/>
  <c r="G38" i="20"/>
  <c r="H38" i="20" s="1"/>
  <c r="F38" i="20"/>
  <c r="C38" i="20"/>
  <c r="D38" i="20" s="1"/>
  <c r="B38" i="20"/>
  <c r="AQ37" i="20"/>
  <c r="AP37" i="20"/>
  <c r="AI37" i="20"/>
  <c r="AJ37" i="20" s="1"/>
  <c r="AH37" i="20"/>
  <c r="AF37" i="20"/>
  <c r="AE37" i="20"/>
  <c r="AD37" i="20"/>
  <c r="AA37" i="20"/>
  <c r="AB37" i="20" s="1"/>
  <c r="Z37" i="20"/>
  <c r="W37" i="20"/>
  <c r="X37" i="20" s="1"/>
  <c r="V37" i="20"/>
  <c r="AK37" i="20" s="1"/>
  <c r="Q37" i="20"/>
  <c r="R37" i="20" s="1"/>
  <c r="P37" i="20"/>
  <c r="M37" i="20"/>
  <c r="N37" i="20" s="1"/>
  <c r="L37" i="20"/>
  <c r="H37" i="20"/>
  <c r="G37" i="20"/>
  <c r="F37" i="20"/>
  <c r="C37" i="20"/>
  <c r="D37" i="20" s="1"/>
  <c r="B37" i="20"/>
  <c r="AR36" i="20"/>
  <c r="AQ36" i="20"/>
  <c r="AS36" i="20" s="1"/>
  <c r="AP36" i="20"/>
  <c r="AI36" i="20"/>
  <c r="AJ36" i="20" s="1"/>
  <c r="AH36" i="20"/>
  <c r="AE36" i="20"/>
  <c r="AF36" i="20" s="1"/>
  <c r="AD36" i="20"/>
  <c r="AB36" i="20"/>
  <c r="AA36" i="20"/>
  <c r="Z36" i="20"/>
  <c r="W36" i="20"/>
  <c r="X36" i="20" s="1"/>
  <c r="AL36" i="20" s="1"/>
  <c r="V36" i="20"/>
  <c r="R36" i="20"/>
  <c r="Q36" i="20"/>
  <c r="P36" i="20"/>
  <c r="M36" i="20"/>
  <c r="N36" i="20" s="1"/>
  <c r="L36" i="20"/>
  <c r="G36" i="20"/>
  <c r="H36" i="20" s="1"/>
  <c r="J36" i="20" s="1"/>
  <c r="F36" i="20"/>
  <c r="D36" i="20"/>
  <c r="C36" i="20"/>
  <c r="B36" i="20"/>
  <c r="AQ35" i="20"/>
  <c r="AP35" i="20"/>
  <c r="AI35" i="20"/>
  <c r="AJ35" i="20" s="1"/>
  <c r="AH35" i="20"/>
  <c r="AE35" i="20"/>
  <c r="AF35" i="20" s="1"/>
  <c r="AD35" i="20"/>
  <c r="AA35" i="20"/>
  <c r="AB35" i="20" s="1"/>
  <c r="Z35" i="20"/>
  <c r="W35" i="20"/>
  <c r="X35" i="20" s="1"/>
  <c r="V35" i="20"/>
  <c r="Q35" i="20"/>
  <c r="R35" i="20" s="1"/>
  <c r="P35" i="20"/>
  <c r="M35" i="20"/>
  <c r="N35" i="20" s="1"/>
  <c r="L35" i="20"/>
  <c r="G35" i="20"/>
  <c r="H35" i="20" s="1"/>
  <c r="F35" i="20"/>
  <c r="C35" i="20"/>
  <c r="D35" i="20" s="1"/>
  <c r="J35" i="20" s="1"/>
  <c r="B35" i="20"/>
  <c r="AR34" i="20"/>
  <c r="AQ34" i="20"/>
  <c r="AS34" i="20" s="1"/>
  <c r="AP34" i="20"/>
  <c r="AJ34" i="20"/>
  <c r="AI34" i="20"/>
  <c r="AE34" i="20"/>
  <c r="AF34" i="20" s="1"/>
  <c r="AD34" i="20"/>
  <c r="AA34" i="20"/>
  <c r="AB34" i="20" s="1"/>
  <c r="Z34" i="20"/>
  <c r="W34" i="20"/>
  <c r="X34" i="20" s="1"/>
  <c r="R34" i="20"/>
  <c r="Q34" i="20"/>
  <c r="P34" i="20"/>
  <c r="M34" i="20"/>
  <c r="N34" i="20" s="1"/>
  <c r="H34" i="20"/>
  <c r="J34" i="20" s="1"/>
  <c r="G34" i="20"/>
  <c r="F34" i="20"/>
  <c r="D34" i="20"/>
  <c r="C34" i="20"/>
  <c r="AQ33" i="20"/>
  <c r="AR33" i="20" s="1"/>
  <c r="AI33" i="20"/>
  <c r="AJ33" i="20" s="1"/>
  <c r="AH33" i="20"/>
  <c r="AE33" i="20"/>
  <c r="AF33" i="20" s="1"/>
  <c r="AB33" i="20"/>
  <c r="AA33" i="20"/>
  <c r="W33" i="20"/>
  <c r="X33" i="20" s="1"/>
  <c r="V33" i="20"/>
  <c r="Q33" i="20"/>
  <c r="R33" i="20" s="1"/>
  <c r="T33" i="20" s="1"/>
  <c r="P33" i="20"/>
  <c r="M33" i="20"/>
  <c r="N33" i="20" s="1"/>
  <c r="L33" i="20"/>
  <c r="G33" i="20"/>
  <c r="H33" i="20" s="1"/>
  <c r="C33" i="20"/>
  <c r="D33" i="20" s="1"/>
  <c r="AR32" i="20"/>
  <c r="AQ32" i="20"/>
  <c r="AP32" i="20"/>
  <c r="AJ32" i="20"/>
  <c r="AI32" i="20"/>
  <c r="AH32" i="20"/>
  <c r="AE32" i="20"/>
  <c r="AF32" i="20" s="1"/>
  <c r="AB32" i="20"/>
  <c r="AA32" i="20"/>
  <c r="Z32" i="20"/>
  <c r="X32" i="20"/>
  <c r="W32" i="20"/>
  <c r="V32" i="20"/>
  <c r="Q32" i="20"/>
  <c r="R32" i="20" s="1"/>
  <c r="P32" i="20"/>
  <c r="N32" i="20"/>
  <c r="M32" i="20"/>
  <c r="L32" i="20"/>
  <c r="H32" i="20"/>
  <c r="G32" i="20"/>
  <c r="F32" i="20"/>
  <c r="C32" i="20"/>
  <c r="D32" i="20" s="1"/>
  <c r="J32" i="20" s="1"/>
  <c r="B32" i="20"/>
  <c r="AQ31" i="20"/>
  <c r="AS31" i="20" s="1"/>
  <c r="AP31" i="20"/>
  <c r="AI31" i="20"/>
  <c r="AJ31" i="20" s="1"/>
  <c r="AH31" i="20"/>
  <c r="AE31" i="20"/>
  <c r="AF31" i="20" s="1"/>
  <c r="AD31" i="20"/>
  <c r="AA31" i="20"/>
  <c r="AB31" i="20" s="1"/>
  <c r="Z31" i="20"/>
  <c r="W31" i="20"/>
  <c r="X31" i="20" s="1"/>
  <c r="V31" i="20"/>
  <c r="Q31" i="20"/>
  <c r="R31" i="20" s="1"/>
  <c r="P31" i="20"/>
  <c r="M31" i="20"/>
  <c r="N31" i="20" s="1"/>
  <c r="L31" i="20"/>
  <c r="G31" i="20"/>
  <c r="H31" i="20" s="1"/>
  <c r="F31" i="20"/>
  <c r="C31" i="20"/>
  <c r="D31" i="20" s="1"/>
  <c r="J31" i="20" s="1"/>
  <c r="B31" i="20"/>
  <c r="AQ30" i="20"/>
  <c r="AS30" i="20" s="1"/>
  <c r="AP30" i="20"/>
  <c r="AI30" i="20"/>
  <c r="AJ30" i="20" s="1"/>
  <c r="AH30" i="20"/>
  <c r="AF30" i="20"/>
  <c r="AE30" i="20"/>
  <c r="AD30" i="20"/>
  <c r="AA30" i="20"/>
  <c r="AB30" i="20" s="1"/>
  <c r="Z30" i="20"/>
  <c r="W30" i="20"/>
  <c r="X30" i="20" s="1"/>
  <c r="V30" i="20"/>
  <c r="R30" i="20"/>
  <c r="Q30" i="20"/>
  <c r="P30" i="20"/>
  <c r="M30" i="20"/>
  <c r="N30" i="20" s="1"/>
  <c r="T30" i="20" s="1"/>
  <c r="L30" i="20"/>
  <c r="G30" i="20"/>
  <c r="H30" i="20" s="1"/>
  <c r="F30" i="20"/>
  <c r="C30" i="20"/>
  <c r="D30" i="20" s="1"/>
  <c r="B30" i="20"/>
  <c r="I30" i="20" s="1"/>
  <c r="AQ29" i="20"/>
  <c r="AS29" i="20" s="1"/>
  <c r="AP29" i="20"/>
  <c r="AI29" i="20"/>
  <c r="AJ29" i="20" s="1"/>
  <c r="AH29" i="20"/>
  <c r="AF29" i="20"/>
  <c r="AE29" i="20"/>
  <c r="AD29" i="20"/>
  <c r="AA29" i="20"/>
  <c r="AB29" i="20" s="1"/>
  <c r="Z29" i="20"/>
  <c r="X29" i="20"/>
  <c r="W29" i="20"/>
  <c r="V29" i="20"/>
  <c r="Q29" i="20"/>
  <c r="R29" i="20" s="1"/>
  <c r="P29" i="20"/>
  <c r="M29" i="20"/>
  <c r="N29" i="20" s="1"/>
  <c r="T29" i="20" s="1"/>
  <c r="L29" i="20"/>
  <c r="S29" i="20" s="1"/>
  <c r="G29" i="20"/>
  <c r="H29" i="20" s="1"/>
  <c r="F29" i="20"/>
  <c r="C29" i="20"/>
  <c r="D29" i="20" s="1"/>
  <c r="B29" i="20"/>
  <c r="I29" i="20" s="1"/>
  <c r="AS28" i="20"/>
  <c r="AR28" i="20"/>
  <c r="AQ28" i="20"/>
  <c r="AP28" i="20"/>
  <c r="AJ28" i="20"/>
  <c r="AI28" i="20"/>
  <c r="AH28" i="20"/>
  <c r="AE28" i="20"/>
  <c r="AF28" i="20" s="1"/>
  <c r="AD28" i="20"/>
  <c r="AA28" i="20"/>
  <c r="AB28" i="20" s="1"/>
  <c r="Z28" i="20"/>
  <c r="W28" i="20"/>
  <c r="X28" i="20" s="1"/>
  <c r="AL28" i="20" s="1"/>
  <c r="V28" i="20"/>
  <c r="R28" i="20"/>
  <c r="Q28" i="20"/>
  <c r="P28" i="20"/>
  <c r="M28" i="20"/>
  <c r="N28" i="20" s="1"/>
  <c r="T28" i="20" s="1"/>
  <c r="L28" i="20"/>
  <c r="S28" i="20" s="1"/>
  <c r="G28" i="20"/>
  <c r="H28" i="20" s="1"/>
  <c r="J28" i="20" s="1"/>
  <c r="F28" i="20"/>
  <c r="D28" i="20"/>
  <c r="C28" i="20"/>
  <c r="B28" i="20"/>
  <c r="AQ27" i="20"/>
  <c r="AP27" i="20"/>
  <c r="AI27" i="20"/>
  <c r="AJ27" i="20" s="1"/>
  <c r="AH27" i="20"/>
  <c r="AE27" i="20"/>
  <c r="AF27" i="20" s="1"/>
  <c r="AD27" i="20"/>
  <c r="AA27" i="20"/>
  <c r="AB27" i="20" s="1"/>
  <c r="Z27" i="20"/>
  <c r="W27" i="20"/>
  <c r="X27" i="20" s="1"/>
  <c r="V27" i="20"/>
  <c r="Q27" i="20"/>
  <c r="R27" i="20" s="1"/>
  <c r="P27" i="20"/>
  <c r="M27" i="20"/>
  <c r="N27" i="20" s="1"/>
  <c r="T27" i="20" s="1"/>
  <c r="L27" i="20"/>
  <c r="S27" i="20" s="1"/>
  <c r="G27" i="20"/>
  <c r="H27" i="20" s="1"/>
  <c r="J27" i="20" s="1"/>
  <c r="F27" i="20"/>
  <c r="C27" i="20"/>
  <c r="D27" i="20" s="1"/>
  <c r="B27" i="20"/>
  <c r="AQ26" i="20"/>
  <c r="AP26" i="20"/>
  <c r="AI26" i="20"/>
  <c r="AJ26" i="20" s="1"/>
  <c r="AF26" i="20"/>
  <c r="AE26" i="20"/>
  <c r="AD26" i="20"/>
  <c r="AA26" i="20"/>
  <c r="AB26" i="20" s="1"/>
  <c r="Z26" i="20"/>
  <c r="W26" i="20"/>
  <c r="X26" i="20" s="1"/>
  <c r="V26" i="20"/>
  <c r="Q26" i="20"/>
  <c r="R26" i="20" s="1"/>
  <c r="T26" i="20" s="1"/>
  <c r="P26" i="20"/>
  <c r="N26" i="20"/>
  <c r="M26" i="20"/>
  <c r="G26" i="20"/>
  <c r="H26" i="20" s="1"/>
  <c r="F26" i="20"/>
  <c r="D26" i="20"/>
  <c r="C26" i="20"/>
  <c r="AQ25" i="20"/>
  <c r="AI25" i="20"/>
  <c r="AJ25" i="20" s="1"/>
  <c r="AH25" i="20"/>
  <c r="AE25" i="20"/>
  <c r="AF25" i="20" s="1"/>
  <c r="AA25" i="20"/>
  <c r="AB25" i="20" s="1"/>
  <c r="W25" i="20"/>
  <c r="X25" i="20" s="1"/>
  <c r="V25" i="20"/>
  <c r="Q25" i="20"/>
  <c r="R25" i="20" s="1"/>
  <c r="P25" i="20"/>
  <c r="M25" i="20"/>
  <c r="N25" i="20" s="1"/>
  <c r="T25" i="20" s="1"/>
  <c r="L25" i="20"/>
  <c r="G25" i="20"/>
  <c r="H25" i="20" s="1"/>
  <c r="D25" i="20"/>
  <c r="J25" i="20" s="1"/>
  <c r="C25" i="20"/>
  <c r="AR24" i="20"/>
  <c r="AQ24" i="20"/>
  <c r="AS24" i="20" s="1"/>
  <c r="AP24" i="20"/>
  <c r="AJ24" i="20"/>
  <c r="AI24" i="20"/>
  <c r="AH24" i="20"/>
  <c r="AF24" i="20"/>
  <c r="AE24" i="20"/>
  <c r="AB24" i="20"/>
  <c r="AL24" i="20" s="1"/>
  <c r="AA24" i="20"/>
  <c r="Z24" i="20"/>
  <c r="X24" i="20"/>
  <c r="W24" i="20"/>
  <c r="V24" i="20"/>
  <c r="Q24" i="20"/>
  <c r="R24" i="20" s="1"/>
  <c r="P24" i="20"/>
  <c r="N24" i="20"/>
  <c r="M24" i="20"/>
  <c r="L24" i="20"/>
  <c r="J24" i="20"/>
  <c r="H24" i="20"/>
  <c r="G24" i="20"/>
  <c r="F24" i="20"/>
  <c r="C24" i="20"/>
  <c r="D24" i="20" s="1"/>
  <c r="B24" i="20"/>
  <c r="AQ23" i="20"/>
  <c r="AS23" i="20" s="1"/>
  <c r="AP23" i="20"/>
  <c r="AI23" i="20"/>
  <c r="AJ23" i="20" s="1"/>
  <c r="AH23" i="20"/>
  <c r="AE23" i="20"/>
  <c r="AF23" i="20" s="1"/>
  <c r="AD23" i="20"/>
  <c r="AA23" i="20"/>
  <c r="AB23" i="20" s="1"/>
  <c r="Z23" i="20"/>
  <c r="W23" i="20"/>
  <c r="X23" i="20" s="1"/>
  <c r="V23" i="20"/>
  <c r="Q23" i="20"/>
  <c r="R23" i="20" s="1"/>
  <c r="P23" i="20"/>
  <c r="N23" i="20"/>
  <c r="M23" i="20"/>
  <c r="L23" i="20"/>
  <c r="G23" i="20"/>
  <c r="H23" i="20" s="1"/>
  <c r="F23" i="20"/>
  <c r="C23" i="20"/>
  <c r="D23" i="20" s="1"/>
  <c r="B23" i="20"/>
  <c r="AQ22" i="20"/>
  <c r="AS22" i="20" s="1"/>
  <c r="AP22" i="20"/>
  <c r="AI22" i="20"/>
  <c r="AJ22" i="20" s="1"/>
  <c r="AH22" i="20"/>
  <c r="AE22" i="20"/>
  <c r="AF22" i="20" s="1"/>
  <c r="AD22" i="20"/>
  <c r="AA22" i="20"/>
  <c r="AB22" i="20" s="1"/>
  <c r="AL22" i="20" s="1"/>
  <c r="Z22" i="20"/>
  <c r="X22" i="20"/>
  <c r="W22" i="20"/>
  <c r="V22" i="20"/>
  <c r="AK22" i="20" s="1"/>
  <c r="R22" i="20"/>
  <c r="Q22" i="20"/>
  <c r="P22" i="20"/>
  <c r="M22" i="20"/>
  <c r="N22" i="20" s="1"/>
  <c r="T22" i="20" s="1"/>
  <c r="L22" i="20"/>
  <c r="G22" i="20"/>
  <c r="H22" i="20" s="1"/>
  <c r="F22" i="20"/>
  <c r="C22" i="20"/>
  <c r="D22" i="20" s="1"/>
  <c r="J22" i="20" s="1"/>
  <c r="B22" i="20"/>
  <c r="I22" i="20" s="1"/>
  <c r="AQ21" i="20"/>
  <c r="AP21" i="20"/>
  <c r="AI21" i="20"/>
  <c r="AJ21" i="20" s="1"/>
  <c r="AH21" i="20"/>
  <c r="AF21" i="20"/>
  <c r="AE21" i="20"/>
  <c r="AD21" i="20"/>
  <c r="AA21" i="20"/>
  <c r="AB21" i="20" s="1"/>
  <c r="Z21" i="20"/>
  <c r="W21" i="20"/>
  <c r="X21" i="20" s="1"/>
  <c r="V21" i="20"/>
  <c r="AK21" i="20" s="1"/>
  <c r="Q21" i="20"/>
  <c r="R21" i="20" s="1"/>
  <c r="P21" i="20"/>
  <c r="M21" i="20"/>
  <c r="N21" i="20" s="1"/>
  <c r="L21" i="20"/>
  <c r="H21" i="20"/>
  <c r="G21" i="20"/>
  <c r="F21" i="20"/>
  <c r="C21" i="20"/>
  <c r="D21" i="20" s="1"/>
  <c r="B21" i="20"/>
  <c r="AR20" i="20"/>
  <c r="AQ20" i="20"/>
  <c r="AS20" i="20" s="1"/>
  <c r="AP20" i="20"/>
  <c r="AI20" i="20"/>
  <c r="AJ20" i="20" s="1"/>
  <c r="AH20" i="20"/>
  <c r="AE20" i="20"/>
  <c r="AF20" i="20" s="1"/>
  <c r="AD20" i="20"/>
  <c r="AB20" i="20"/>
  <c r="AA20" i="20"/>
  <c r="Z20" i="20"/>
  <c r="W20" i="20"/>
  <c r="X20" i="20" s="1"/>
  <c r="AL20" i="20" s="1"/>
  <c r="V20" i="20"/>
  <c r="R20" i="20"/>
  <c r="Q20" i="20"/>
  <c r="P20" i="20"/>
  <c r="M20" i="20"/>
  <c r="N20" i="20" s="1"/>
  <c r="L20" i="20"/>
  <c r="S20" i="20" s="1"/>
  <c r="G20" i="20"/>
  <c r="H20" i="20" s="1"/>
  <c r="J20" i="20" s="1"/>
  <c r="F20" i="20"/>
  <c r="D20" i="20"/>
  <c r="C20" i="20"/>
  <c r="B20" i="20"/>
  <c r="AQ19" i="20"/>
  <c r="AP19" i="20"/>
  <c r="AI19" i="20"/>
  <c r="AJ19" i="20" s="1"/>
  <c r="AH19" i="20"/>
  <c r="AE19" i="20"/>
  <c r="AF19" i="20" s="1"/>
  <c r="AD19" i="20"/>
  <c r="AA19" i="20"/>
  <c r="AB19" i="20" s="1"/>
  <c r="Z19" i="20"/>
  <c r="W19" i="20"/>
  <c r="X19" i="20" s="1"/>
  <c r="V19" i="20"/>
  <c r="Q19" i="20"/>
  <c r="R19" i="20" s="1"/>
  <c r="P19" i="20"/>
  <c r="M19" i="20"/>
  <c r="N19" i="20" s="1"/>
  <c r="L19" i="20"/>
  <c r="S19" i="20" s="1"/>
  <c r="G19" i="20"/>
  <c r="H19" i="20" s="1"/>
  <c r="F19" i="20"/>
  <c r="C19" i="20"/>
  <c r="D19" i="20" s="1"/>
  <c r="B19" i="20"/>
  <c r="AR18" i="20"/>
  <c r="AQ18" i="20"/>
  <c r="AS18" i="20" s="1"/>
  <c r="AP18" i="20"/>
  <c r="AI18" i="20"/>
  <c r="AJ18" i="20" s="1"/>
  <c r="AE18" i="20"/>
  <c r="AF18" i="20" s="1"/>
  <c r="AD18" i="20"/>
  <c r="AA18" i="20"/>
  <c r="AB18" i="20" s="1"/>
  <c r="Z18" i="20"/>
  <c r="W18" i="20"/>
  <c r="X18" i="20" s="1"/>
  <c r="Q18" i="20"/>
  <c r="R18" i="20" s="1"/>
  <c r="T18" i="20" s="1"/>
  <c r="P18" i="20"/>
  <c r="M18" i="20"/>
  <c r="N18" i="20" s="1"/>
  <c r="H18" i="20"/>
  <c r="G18" i="20"/>
  <c r="F18" i="20"/>
  <c r="C18" i="20"/>
  <c r="D18" i="20" s="1"/>
  <c r="AQ17" i="20"/>
  <c r="AR17" i="20" s="1"/>
  <c r="AJ17" i="20"/>
  <c r="AI17" i="20"/>
  <c r="AH17" i="20"/>
  <c r="AE17" i="20"/>
  <c r="AF17" i="20" s="1"/>
  <c r="AA17" i="20"/>
  <c r="AB17" i="20" s="1"/>
  <c r="Z17" i="20"/>
  <c r="W17" i="20"/>
  <c r="X17" i="20" s="1"/>
  <c r="V17" i="20"/>
  <c r="T17" i="20"/>
  <c r="Q17" i="20"/>
  <c r="R17" i="20" s="1"/>
  <c r="M17" i="20"/>
  <c r="N17" i="20" s="1"/>
  <c r="L17" i="20"/>
  <c r="G17" i="20"/>
  <c r="H17" i="20" s="1"/>
  <c r="C17" i="20"/>
  <c r="D17" i="20" s="1"/>
  <c r="B17" i="20"/>
  <c r="AR16" i="20"/>
  <c r="AQ16" i="20"/>
  <c r="AP16" i="20"/>
  <c r="AI16" i="20"/>
  <c r="AJ16" i="20" s="1"/>
  <c r="AH16" i="20"/>
  <c r="AE16" i="20"/>
  <c r="AF16" i="20" s="1"/>
  <c r="AB16" i="20"/>
  <c r="AA16" i="20"/>
  <c r="Z16" i="20"/>
  <c r="W16" i="20"/>
  <c r="X16" i="20" s="1"/>
  <c r="V16" i="20"/>
  <c r="Q16" i="20"/>
  <c r="R16" i="20" s="1"/>
  <c r="T16" i="20" s="1"/>
  <c r="P16" i="20"/>
  <c r="M16" i="20"/>
  <c r="N16" i="20" s="1"/>
  <c r="L16" i="20"/>
  <c r="S16" i="20" s="1"/>
  <c r="G16" i="20"/>
  <c r="H16" i="20" s="1"/>
  <c r="J16" i="20" s="1"/>
  <c r="F16" i="20"/>
  <c r="D16" i="20"/>
  <c r="C16" i="20"/>
  <c r="B16" i="20"/>
  <c r="AQ15" i="20"/>
  <c r="AS15" i="20" s="1"/>
  <c r="AP15" i="20"/>
  <c r="AI15" i="20"/>
  <c r="AJ15" i="20" s="1"/>
  <c r="AH15" i="20"/>
  <c r="AE15" i="20"/>
  <c r="AF15" i="20" s="1"/>
  <c r="AD15" i="20"/>
  <c r="AA15" i="20"/>
  <c r="AB15" i="20" s="1"/>
  <c r="Z15" i="20"/>
  <c r="W15" i="20"/>
  <c r="X15" i="20" s="1"/>
  <c r="V15" i="20"/>
  <c r="Q15" i="20"/>
  <c r="R15" i="20" s="1"/>
  <c r="P15" i="20"/>
  <c r="N15" i="20"/>
  <c r="M15" i="20"/>
  <c r="L15" i="20"/>
  <c r="G15" i="20"/>
  <c r="H15" i="20" s="1"/>
  <c r="F15" i="20"/>
  <c r="C15" i="20"/>
  <c r="D15" i="20" s="1"/>
  <c r="J15" i="20" s="1"/>
  <c r="B15" i="20"/>
  <c r="I15" i="20" s="1"/>
  <c r="AQ14" i="20"/>
  <c r="AP14" i="20"/>
  <c r="AI14" i="20"/>
  <c r="AJ14" i="20" s="1"/>
  <c r="AH14" i="20"/>
  <c r="AE14" i="20"/>
  <c r="AF14" i="20" s="1"/>
  <c r="AD14" i="20"/>
  <c r="AA14" i="20"/>
  <c r="AB14" i="20" s="1"/>
  <c r="Z14" i="20"/>
  <c r="X14" i="20"/>
  <c r="W14" i="20"/>
  <c r="V14" i="20"/>
  <c r="AK14" i="20" s="1"/>
  <c r="R14" i="20"/>
  <c r="Q14" i="20"/>
  <c r="P14" i="20"/>
  <c r="M14" i="20"/>
  <c r="N14" i="20" s="1"/>
  <c r="T14" i="20" s="1"/>
  <c r="L14" i="20"/>
  <c r="S14" i="20" s="1"/>
  <c r="H14" i="20"/>
  <c r="G14" i="20"/>
  <c r="F14" i="20"/>
  <c r="C14" i="20"/>
  <c r="D14" i="20" s="1"/>
  <c r="B14" i="20"/>
  <c r="AQ13" i="20"/>
  <c r="AS13" i="20" s="1"/>
  <c r="AP13" i="20"/>
  <c r="AI13" i="20"/>
  <c r="AJ13" i="20" s="1"/>
  <c r="AH13" i="20"/>
  <c r="AE13" i="20"/>
  <c r="AF13" i="20" s="1"/>
  <c r="AD13" i="20"/>
  <c r="AA13" i="20"/>
  <c r="AB13" i="20" s="1"/>
  <c r="Z13" i="20"/>
  <c r="X13" i="20"/>
  <c r="W13" i="20"/>
  <c r="V13" i="20"/>
  <c r="Q13" i="20"/>
  <c r="R13" i="20" s="1"/>
  <c r="P13" i="20"/>
  <c r="M13" i="20"/>
  <c r="N13" i="20" s="1"/>
  <c r="L13" i="20"/>
  <c r="G13" i="20"/>
  <c r="H13" i="20" s="1"/>
  <c r="F13" i="20"/>
  <c r="C13" i="20"/>
  <c r="D13" i="20" s="1"/>
  <c r="B13" i="20"/>
  <c r="I13" i="20" s="1"/>
  <c r="AS12" i="20"/>
  <c r="AQ12" i="20"/>
  <c r="AR12" i="20" s="1"/>
  <c r="AP12" i="20"/>
  <c r="AI12" i="20"/>
  <c r="AJ12" i="20" s="1"/>
  <c r="AH12" i="20"/>
  <c r="AF12" i="20"/>
  <c r="AE12" i="20"/>
  <c r="AD12" i="20"/>
  <c r="AB12" i="20"/>
  <c r="AL12" i="20" s="1"/>
  <c r="AA12" i="20"/>
  <c r="Z12" i="20"/>
  <c r="X12" i="20"/>
  <c r="W12" i="20"/>
  <c r="V12" i="20"/>
  <c r="Q12" i="20"/>
  <c r="R12" i="20" s="1"/>
  <c r="P12" i="20"/>
  <c r="M12" i="20"/>
  <c r="N12" i="20" s="1"/>
  <c r="L12" i="20"/>
  <c r="S12" i="20" s="1"/>
  <c r="H12" i="20"/>
  <c r="G12" i="20"/>
  <c r="F12" i="20"/>
  <c r="C12" i="20"/>
  <c r="D12" i="20" s="1"/>
  <c r="B12" i="20"/>
  <c r="AQ11" i="20"/>
  <c r="AP11" i="20"/>
  <c r="AI11" i="20"/>
  <c r="AJ11" i="20" s="1"/>
  <c r="AH11" i="20"/>
  <c r="AE11" i="20"/>
  <c r="AF11" i="20" s="1"/>
  <c r="AD11" i="20"/>
  <c r="AA11" i="20"/>
  <c r="AB11" i="20" s="1"/>
  <c r="Z11" i="20"/>
  <c r="W11" i="20"/>
  <c r="X11" i="20" s="1"/>
  <c r="V11" i="20"/>
  <c r="R11" i="20"/>
  <c r="Q11" i="20"/>
  <c r="P11" i="20"/>
  <c r="M11" i="20"/>
  <c r="N11" i="20" s="1"/>
  <c r="L11" i="20"/>
  <c r="S11" i="20" s="1"/>
  <c r="J11" i="20"/>
  <c r="G11" i="20"/>
  <c r="H11" i="20" s="1"/>
  <c r="F11" i="20"/>
  <c r="C11" i="20"/>
  <c r="D11" i="20" s="1"/>
  <c r="B11" i="20"/>
  <c r="I11" i="20" s="1"/>
  <c r="AR10" i="20"/>
  <c r="AQ10" i="20"/>
  <c r="AS10" i="20" s="1"/>
  <c r="AP10" i="20"/>
  <c r="AJ10" i="20"/>
  <c r="AI10" i="20"/>
  <c r="AE10" i="20"/>
  <c r="AF10" i="20" s="1"/>
  <c r="AD10" i="20"/>
  <c r="AB10" i="20"/>
  <c r="AA10" i="20"/>
  <c r="Z10" i="20"/>
  <c r="X10" i="20"/>
  <c r="AL10" i="20" s="1"/>
  <c r="W10" i="20"/>
  <c r="V10" i="20"/>
  <c r="R10" i="20"/>
  <c r="T10" i="20" s="1"/>
  <c r="Q10" i="20"/>
  <c r="P10" i="20"/>
  <c r="M10" i="20"/>
  <c r="N10" i="20" s="1"/>
  <c r="G10" i="20"/>
  <c r="H10" i="20" s="1"/>
  <c r="F10" i="20"/>
  <c r="C10" i="20"/>
  <c r="D10" i="20" s="1"/>
  <c r="AQ9" i="20"/>
  <c r="AR9" i="20" s="1"/>
  <c r="AI9" i="20"/>
  <c r="AJ9" i="20" s="1"/>
  <c r="AH9" i="20"/>
  <c r="AE9" i="20"/>
  <c r="AF9" i="20" s="1"/>
  <c r="AA9" i="20"/>
  <c r="AB9" i="20" s="1"/>
  <c r="Z9" i="20"/>
  <c r="W9" i="20"/>
  <c r="X9" i="20" s="1"/>
  <c r="V9" i="20"/>
  <c r="Q9" i="20"/>
  <c r="R9" i="20" s="1"/>
  <c r="M9" i="20"/>
  <c r="N9" i="20" s="1"/>
  <c r="T9" i="20" s="1"/>
  <c r="L9" i="20"/>
  <c r="G9" i="20"/>
  <c r="H9" i="20" s="1"/>
  <c r="D9" i="20"/>
  <c r="J9" i="20" s="1"/>
  <c r="C9" i="20"/>
  <c r="AR8" i="20"/>
  <c r="AQ8" i="20"/>
  <c r="AS8" i="20" s="1"/>
  <c r="AP8" i="20"/>
  <c r="AJ8" i="20"/>
  <c r="AI8" i="20"/>
  <c r="AH8" i="20"/>
  <c r="AF8" i="20"/>
  <c r="AE8" i="20"/>
  <c r="AD8" i="20"/>
  <c r="AA8" i="20"/>
  <c r="AB8" i="20" s="1"/>
  <c r="AL8" i="20" s="1"/>
  <c r="Z8" i="20"/>
  <c r="X8" i="20"/>
  <c r="W8" i="20"/>
  <c r="V8" i="20"/>
  <c r="Q8" i="20"/>
  <c r="R8" i="20" s="1"/>
  <c r="P8" i="20"/>
  <c r="M8" i="20"/>
  <c r="N8" i="20" s="1"/>
  <c r="L8" i="20"/>
  <c r="S8" i="20" s="1"/>
  <c r="G8" i="20"/>
  <c r="H8" i="20" s="1"/>
  <c r="J8" i="20" s="1"/>
  <c r="F8" i="20"/>
  <c r="D8" i="20"/>
  <c r="C8" i="20"/>
  <c r="B8" i="20"/>
  <c r="AQ7" i="20"/>
  <c r="AS7" i="20" s="1"/>
  <c r="AP7" i="20"/>
  <c r="AI7" i="20"/>
  <c r="AJ7" i="20" s="1"/>
  <c r="AH7" i="20"/>
  <c r="AE7" i="20"/>
  <c r="AF7" i="20" s="1"/>
  <c r="AD7" i="20"/>
  <c r="AA7" i="20"/>
  <c r="AB7" i="20" s="1"/>
  <c r="Z7" i="20"/>
  <c r="W7" i="20"/>
  <c r="X7" i="20" s="1"/>
  <c r="AL7" i="20" s="1"/>
  <c r="V7" i="20"/>
  <c r="Q7" i="20"/>
  <c r="R7" i="20" s="1"/>
  <c r="P7" i="20"/>
  <c r="M7" i="20"/>
  <c r="N7" i="20" s="1"/>
  <c r="T7" i="20" s="1"/>
  <c r="L7" i="20"/>
  <c r="S7" i="20" s="1"/>
  <c r="G7" i="20"/>
  <c r="H7" i="20" s="1"/>
  <c r="F7" i="20"/>
  <c r="C7" i="20"/>
  <c r="D7" i="20" s="1"/>
  <c r="B7" i="20"/>
  <c r="AQ6" i="20"/>
  <c r="AS6" i="20" s="1"/>
  <c r="AP6" i="20"/>
  <c r="AJ6" i="20"/>
  <c r="AI6" i="20"/>
  <c r="AH6" i="20"/>
  <c r="AE6" i="20"/>
  <c r="AF6" i="20" s="1"/>
  <c r="AD6" i="20"/>
  <c r="AB6" i="20"/>
  <c r="AA6" i="20"/>
  <c r="Z6" i="20"/>
  <c r="W6" i="20"/>
  <c r="X6" i="20" s="1"/>
  <c r="V6" i="20"/>
  <c r="Q6" i="20"/>
  <c r="R6" i="20" s="1"/>
  <c r="P6" i="20"/>
  <c r="N6" i="20"/>
  <c r="T6" i="20" s="1"/>
  <c r="M6" i="20"/>
  <c r="L6" i="20"/>
  <c r="G6" i="20"/>
  <c r="H6" i="20" s="1"/>
  <c r="F6" i="20"/>
  <c r="D6" i="20"/>
  <c r="C6" i="20"/>
  <c r="B6" i="20"/>
  <c r="AQ5" i="20"/>
  <c r="AP5" i="20"/>
  <c r="AI5" i="20"/>
  <c r="AJ5" i="20" s="1"/>
  <c r="AH5" i="20"/>
  <c r="AE5" i="20"/>
  <c r="AF5" i="20" s="1"/>
  <c r="AD5" i="20"/>
  <c r="AA5" i="20"/>
  <c r="AB5" i="20" s="1"/>
  <c r="Z5" i="20"/>
  <c r="W5" i="20"/>
  <c r="X5" i="20" s="1"/>
  <c r="V5" i="20"/>
  <c r="Q5" i="20"/>
  <c r="R5" i="20" s="1"/>
  <c r="P5" i="20"/>
  <c r="M5" i="20"/>
  <c r="N5" i="20" s="1"/>
  <c r="L5" i="20"/>
  <c r="G5" i="20"/>
  <c r="H5" i="20" s="1"/>
  <c r="F5" i="20"/>
  <c r="I5" i="20" s="1"/>
  <c r="C5" i="20"/>
  <c r="D5" i="20" s="1"/>
  <c r="B5" i="20"/>
  <c r="AQ4" i="20"/>
  <c r="AR4" i="20" s="1"/>
  <c r="AP4" i="20"/>
  <c r="AJ4" i="20"/>
  <c r="AI4" i="20"/>
  <c r="AH4" i="20"/>
  <c r="AF4" i="20"/>
  <c r="AE4" i="20"/>
  <c r="AD4" i="20"/>
  <c r="AA4" i="20"/>
  <c r="AB4" i="20" s="1"/>
  <c r="Z4" i="20"/>
  <c r="X4" i="20"/>
  <c r="AL4" i="20" s="1"/>
  <c r="W4" i="20"/>
  <c r="V4" i="20"/>
  <c r="AK4" i="20" s="1"/>
  <c r="Q4" i="20"/>
  <c r="R4" i="20" s="1"/>
  <c r="P4" i="20"/>
  <c r="M4" i="20"/>
  <c r="N4" i="20" s="1"/>
  <c r="L4" i="20"/>
  <c r="H4" i="20"/>
  <c r="J4" i="20" s="1"/>
  <c r="G4" i="20"/>
  <c r="F4" i="20"/>
  <c r="C4" i="20"/>
  <c r="D4" i="20" s="1"/>
  <c r="B4" i="20"/>
  <c r="AQ3" i="20"/>
  <c r="AP3" i="20"/>
  <c r="AI3" i="20"/>
  <c r="AJ3" i="20" s="1"/>
  <c r="AH3" i="20"/>
  <c r="AE3" i="20"/>
  <c r="AF3" i="20" s="1"/>
  <c r="AD3" i="20"/>
  <c r="AA3" i="20"/>
  <c r="AB3" i="20" s="1"/>
  <c r="Z3" i="20"/>
  <c r="W3" i="20"/>
  <c r="X3" i="20" s="1"/>
  <c r="V3" i="20"/>
  <c r="R3" i="20"/>
  <c r="Q3" i="20"/>
  <c r="P3" i="20"/>
  <c r="S3" i="20" s="1"/>
  <c r="M3" i="20"/>
  <c r="N3" i="20" s="1"/>
  <c r="L3" i="20"/>
  <c r="G3" i="20"/>
  <c r="H3" i="20" s="1"/>
  <c r="F3" i="20"/>
  <c r="C3" i="20"/>
  <c r="D3" i="20" s="1"/>
  <c r="J3" i="20" s="1"/>
  <c r="B3" i="20"/>
  <c r="AQ2" i="20"/>
  <c r="AP2" i="20"/>
  <c r="AJ2" i="20"/>
  <c r="AI2" i="20"/>
  <c r="AH2" i="20"/>
  <c r="AE2" i="20"/>
  <c r="AF2" i="20" s="1"/>
  <c r="AD2" i="20"/>
  <c r="AA2" i="20"/>
  <c r="AB2" i="20" s="1"/>
  <c r="Z2" i="20"/>
  <c r="W2" i="20"/>
  <c r="X2" i="20" s="1"/>
  <c r="AL2" i="20" s="1"/>
  <c r="V2" i="20"/>
  <c r="Q2" i="20"/>
  <c r="R2" i="20" s="1"/>
  <c r="T2" i="20" s="1"/>
  <c r="P2" i="20"/>
  <c r="M2" i="20"/>
  <c r="N2" i="20" s="1"/>
  <c r="L2" i="20"/>
  <c r="H2" i="20"/>
  <c r="G2" i="20"/>
  <c r="F2" i="20"/>
  <c r="D2" i="20"/>
  <c r="C2" i="20"/>
  <c r="B2" i="20"/>
  <c r="I2" i="20" s="1"/>
  <c r="J66" i="21" l="1"/>
  <c r="E63" i="21"/>
  <c r="J70" i="21"/>
  <c r="I69" i="21"/>
  <c r="I61" i="21"/>
  <c r="I58" i="21"/>
  <c r="I55" i="21"/>
  <c r="H60" i="21"/>
  <c r="J50" i="21"/>
  <c r="H50" i="21"/>
  <c r="I51" i="21"/>
  <c r="J51" i="21"/>
  <c r="J39" i="21"/>
  <c r="E37" i="21"/>
  <c r="J40" i="21"/>
  <c r="I24" i="21"/>
  <c r="J17" i="21"/>
  <c r="H17" i="21"/>
  <c r="E9" i="21"/>
  <c r="J11" i="21"/>
  <c r="J10" i="21"/>
  <c r="H7" i="21"/>
  <c r="E5" i="21"/>
  <c r="H14" i="21"/>
  <c r="H58" i="21"/>
  <c r="H10" i="21"/>
  <c r="I23" i="21"/>
  <c r="J14" i="21"/>
  <c r="H16" i="21"/>
  <c r="H41" i="21"/>
  <c r="I48" i="21"/>
  <c r="I3" i="21"/>
  <c r="H25" i="21"/>
  <c r="H11" i="21"/>
  <c r="J16" i="21"/>
  <c r="H18" i="21"/>
  <c r="H43" i="21"/>
  <c r="H24" i="21"/>
  <c r="H48" i="21"/>
  <c r="H71" i="21"/>
  <c r="H66" i="21"/>
  <c r="I43" i="21"/>
  <c r="J41" i="21"/>
  <c r="J71" i="21"/>
  <c r="I25" i="21"/>
  <c r="I18" i="21"/>
  <c r="E53" i="21"/>
  <c r="E21" i="21"/>
  <c r="I22" i="21"/>
  <c r="J22" i="21"/>
  <c r="I35" i="21"/>
  <c r="E13" i="21"/>
  <c r="H59" i="21"/>
  <c r="E1" i="21"/>
  <c r="J2" i="21"/>
  <c r="E73" i="21"/>
  <c r="I74" i="21"/>
  <c r="J79" i="21"/>
  <c r="J35" i="21"/>
  <c r="H6" i="21"/>
  <c r="I49" i="21"/>
  <c r="I59" i="21"/>
  <c r="I2" i="21"/>
  <c r="J57" i="21"/>
  <c r="I57" i="21"/>
  <c r="J74" i="21"/>
  <c r="H33" i="21"/>
  <c r="J6" i="21"/>
  <c r="I19" i="21"/>
  <c r="H69" i="21"/>
  <c r="H3" i="21"/>
  <c r="I47" i="21"/>
  <c r="I38" i="21"/>
  <c r="J49" i="21"/>
  <c r="I75" i="21"/>
  <c r="E29" i="21"/>
  <c r="H70" i="21"/>
  <c r="H38" i="21"/>
  <c r="I10" i="21"/>
  <c r="H19" i="21"/>
  <c r="I34" i="21"/>
  <c r="H2" i="21"/>
  <c r="I6" i="21"/>
  <c r="I60" i="21"/>
  <c r="H75" i="21"/>
  <c r="J38" i="21"/>
  <c r="I33" i="21"/>
  <c r="E45" i="21"/>
  <c r="J47" i="21"/>
  <c r="H79" i="21"/>
  <c r="H23" i="21"/>
  <c r="H22" i="21"/>
  <c r="H34" i="21"/>
  <c r="AS25" i="20"/>
  <c r="AR25" i="20"/>
  <c r="AL32" i="20"/>
  <c r="AL401" i="20"/>
  <c r="AS231" i="20"/>
  <c r="AR231" i="20"/>
  <c r="J10" i="20"/>
  <c r="AL26" i="20"/>
  <c r="AS26" i="20"/>
  <c r="AR26" i="20"/>
  <c r="T32" i="20"/>
  <c r="AS14" i="20"/>
  <c r="AR14" i="20"/>
  <c r="AL16" i="20"/>
  <c r="AR58" i="20"/>
  <c r="AL74" i="20"/>
  <c r="AS151" i="20"/>
  <c r="AR151" i="20"/>
  <c r="AS4" i="20"/>
  <c r="J38" i="20"/>
  <c r="T58" i="20"/>
  <c r="AL58" i="20"/>
  <c r="AL60" i="20"/>
  <c r="J64" i="20"/>
  <c r="T65" i="20"/>
  <c r="J78" i="20"/>
  <c r="AL91" i="20"/>
  <c r="J6" i="20"/>
  <c r="AS2" i="20"/>
  <c r="AR2" i="20"/>
  <c r="J2" i="20"/>
  <c r="J18" i="20"/>
  <c r="AS74" i="20"/>
  <c r="AR74" i="20"/>
  <c r="AL135" i="20"/>
  <c r="T44" i="20"/>
  <c r="T60" i="20"/>
  <c r="AL61" i="20"/>
  <c r="AL63" i="20"/>
  <c r="T12" i="20"/>
  <c r="AL6" i="20"/>
  <c r="AL68" i="20"/>
  <c r="AL76" i="20"/>
  <c r="J82" i="20"/>
  <c r="J177" i="20"/>
  <c r="AL178" i="20"/>
  <c r="AL14" i="20"/>
  <c r="AL17" i="20"/>
  <c r="J19" i="20"/>
  <c r="AL23" i="20"/>
  <c r="J26" i="20"/>
  <c r="AL39" i="20"/>
  <c r="J42" i="20"/>
  <c r="J46" i="20"/>
  <c r="T46" i="20"/>
  <c r="AL69" i="20"/>
  <c r="J76" i="20"/>
  <c r="J81" i="20"/>
  <c r="T87" i="20"/>
  <c r="J98" i="20"/>
  <c r="T128" i="20"/>
  <c r="AS394" i="20"/>
  <c r="AR394" i="20"/>
  <c r="T4" i="20"/>
  <c r="T11" i="20"/>
  <c r="T13" i="20"/>
  <c r="J14" i="20"/>
  <c r="T20" i="20"/>
  <c r="AL30" i="20"/>
  <c r="AR30" i="20"/>
  <c r="AL33" i="20"/>
  <c r="T36" i="20"/>
  <c r="T41" i="20"/>
  <c r="T43" i="20"/>
  <c r="AS44" i="20"/>
  <c r="AL50" i="20"/>
  <c r="T52" i="20"/>
  <c r="J54" i="20"/>
  <c r="T54" i="20"/>
  <c r="J56" i="20"/>
  <c r="AR60" i="20"/>
  <c r="J77" i="20"/>
  <c r="J80" i="20"/>
  <c r="AL114" i="20"/>
  <c r="T117" i="20"/>
  <c r="AS119" i="20"/>
  <c r="AR119" i="20"/>
  <c r="T122" i="20"/>
  <c r="J124" i="20"/>
  <c r="AL127" i="20"/>
  <c r="T139" i="20"/>
  <c r="AR147" i="20"/>
  <c r="AS147" i="20"/>
  <c r="J152" i="20"/>
  <c r="AS154" i="20"/>
  <c r="J165" i="20"/>
  <c r="AL184" i="20"/>
  <c r="AR246" i="20"/>
  <c r="AS246" i="20"/>
  <c r="AL381" i="20"/>
  <c r="J30" i="20"/>
  <c r="AL40" i="20"/>
  <c r="T48" i="20"/>
  <c r="AL52" i="20"/>
  <c r="J59" i="20"/>
  <c r="T63" i="20"/>
  <c r="T71" i="20"/>
  <c r="J74" i="20"/>
  <c r="AL77" i="20"/>
  <c r="AL80" i="20"/>
  <c r="T81" i="20"/>
  <c r="T84" i="20"/>
  <c r="AL84" i="20"/>
  <c r="AL87" i="20"/>
  <c r="T98" i="20"/>
  <c r="AL100" i="20"/>
  <c r="T106" i="20"/>
  <c r="AL111" i="20"/>
  <c r="J128" i="20"/>
  <c r="T188" i="20"/>
  <c r="T8" i="20"/>
  <c r="AL15" i="20"/>
  <c r="T34" i="20"/>
  <c r="J45" i="20"/>
  <c r="T66" i="20"/>
  <c r="T72" i="20"/>
  <c r="AL73" i="20"/>
  <c r="J75" i="20"/>
  <c r="T82" i="20"/>
  <c r="T96" i="20"/>
  <c r="AL116" i="20"/>
  <c r="AL124" i="20"/>
  <c r="AR130" i="20"/>
  <c r="AS130" i="20"/>
  <c r="J13" i="20"/>
  <c r="T23" i="20"/>
  <c r="T24" i="20"/>
  <c r="AL31" i="20"/>
  <c r="AL34" i="20"/>
  <c r="T39" i="20"/>
  <c r="J44" i="20"/>
  <c r="J52" i="20"/>
  <c r="T55" i="20"/>
  <c r="T69" i="20"/>
  <c r="T70" i="20"/>
  <c r="AL78" i="20"/>
  <c r="J84" i="20"/>
  <c r="AL85" i="20"/>
  <c r="AL136" i="20"/>
  <c r="J139" i="20"/>
  <c r="T163" i="20"/>
  <c r="AL210" i="20"/>
  <c r="J12" i="20"/>
  <c r="AL18" i="20"/>
  <c r="J29" i="20"/>
  <c r="AL47" i="20"/>
  <c r="T50" i="20"/>
  <c r="AR56" i="20"/>
  <c r="AR78" i="20"/>
  <c r="AR80" i="20"/>
  <c r="AS87" i="20"/>
  <c r="T97" i="20"/>
  <c r="AL98" i="20"/>
  <c r="J102" i="20"/>
  <c r="AL106" i="20"/>
  <c r="AS106" i="20"/>
  <c r="AR106" i="20"/>
  <c r="AR108" i="20"/>
  <c r="J115" i="20"/>
  <c r="J129" i="20"/>
  <c r="AS132" i="20"/>
  <c r="AR132" i="20"/>
  <c r="AL139" i="20"/>
  <c r="AS148" i="20"/>
  <c r="AR148" i="20"/>
  <c r="T154" i="20"/>
  <c r="J96" i="20"/>
  <c r="AL96" i="20"/>
  <c r="J104" i="20"/>
  <c r="J112" i="20"/>
  <c r="T126" i="20"/>
  <c r="AL128" i="20"/>
  <c r="T132" i="20"/>
  <c r="T164" i="20"/>
  <c r="AL168" i="20"/>
  <c r="T174" i="20"/>
  <c r="T186" i="20"/>
  <c r="AL230" i="20"/>
  <c r="J243" i="20"/>
  <c r="J281" i="20"/>
  <c r="AS318" i="20"/>
  <c r="AR318" i="20"/>
  <c r="AS397" i="20"/>
  <c r="AR397" i="20"/>
  <c r="T90" i="20"/>
  <c r="J93" i="20"/>
  <c r="AL101" i="20"/>
  <c r="J108" i="20"/>
  <c r="AL112" i="20"/>
  <c r="T114" i="20"/>
  <c r="J122" i="20"/>
  <c r="J134" i="20"/>
  <c r="AL134" i="20"/>
  <c r="AR136" i="20"/>
  <c r="AS146" i="20"/>
  <c r="AL150" i="20"/>
  <c r="AL154" i="20"/>
  <c r="J155" i="20"/>
  <c r="AR163" i="20"/>
  <c r="T170" i="20"/>
  <c r="AR172" i="20"/>
  <c r="J174" i="20"/>
  <c r="AL180" i="20"/>
  <c r="AL193" i="20"/>
  <c r="AL202" i="20"/>
  <c r="J222" i="20"/>
  <c r="AR228" i="20"/>
  <c r="J230" i="20"/>
  <c r="AL235" i="20"/>
  <c r="AL252" i="20"/>
  <c r="AL279" i="20"/>
  <c r="AL93" i="20"/>
  <c r="AL97" i="20"/>
  <c r="AR104" i="20"/>
  <c r="AL109" i="20"/>
  <c r="AR111" i="20"/>
  <c r="AL126" i="20"/>
  <c r="J133" i="20"/>
  <c r="AL141" i="20"/>
  <c r="J146" i="20"/>
  <c r="T162" i="20"/>
  <c r="J168" i="20"/>
  <c r="AL170" i="20"/>
  <c r="J180" i="20"/>
  <c r="T226" i="20"/>
  <c r="AL245" i="20"/>
  <c r="AL254" i="20"/>
  <c r="J266" i="20"/>
  <c r="J275" i="20"/>
  <c r="AS275" i="20"/>
  <c r="AR275" i="20"/>
  <c r="AS283" i="20"/>
  <c r="AL110" i="20"/>
  <c r="T124" i="20"/>
  <c r="T130" i="20"/>
  <c r="AR143" i="20"/>
  <c r="AS155" i="20"/>
  <c r="J162" i="20"/>
  <c r="AL162" i="20"/>
  <c r="J164" i="20"/>
  <c r="T171" i="20"/>
  <c r="AL172" i="20"/>
  <c r="T187" i="20"/>
  <c r="AL204" i="20"/>
  <c r="J210" i="20"/>
  <c r="T222" i="20"/>
  <c r="AL237" i="20"/>
  <c r="AL251" i="20"/>
  <c r="AL270" i="20"/>
  <c r="J279" i="20"/>
  <c r="AR94" i="20"/>
  <c r="J97" i="20"/>
  <c r="AR112" i="20"/>
  <c r="T127" i="20"/>
  <c r="J138" i="20"/>
  <c r="T146" i="20"/>
  <c r="J173" i="20"/>
  <c r="J179" i="20"/>
  <c r="T180" i="20"/>
  <c r="AL188" i="20"/>
  <c r="T204" i="20"/>
  <c r="J280" i="20"/>
  <c r="AS326" i="20"/>
  <c r="AR326" i="20"/>
  <c r="AL346" i="20"/>
  <c r="J89" i="20"/>
  <c r="J91" i="20"/>
  <c r="J94" i="20"/>
  <c r="T94" i="20"/>
  <c r="T102" i="20"/>
  <c r="T103" i="20"/>
  <c r="J110" i="20"/>
  <c r="T110" i="20"/>
  <c r="J119" i="20"/>
  <c r="J120" i="20"/>
  <c r="AL130" i="20"/>
  <c r="AS138" i="20"/>
  <c r="T144" i="20"/>
  <c r="T150" i="20"/>
  <c r="J166" i="20"/>
  <c r="J182" i="20"/>
  <c r="J190" i="20"/>
  <c r="AL191" i="20"/>
  <c r="J197" i="20"/>
  <c r="AL216" i="20"/>
  <c r="AS226" i="20"/>
  <c r="AR226" i="20"/>
  <c r="T228" i="20"/>
  <c r="T283" i="20"/>
  <c r="AL286" i="20"/>
  <c r="J273" i="20"/>
  <c r="AS293" i="20"/>
  <c r="AR293" i="20"/>
  <c r="T363" i="20"/>
  <c r="AL196" i="20"/>
  <c r="AS210" i="20"/>
  <c r="AR211" i="20"/>
  <c r="AR222" i="20"/>
  <c r="T223" i="20"/>
  <c r="J231" i="20"/>
  <c r="AR236" i="20"/>
  <c r="J240" i="20"/>
  <c r="T246" i="20"/>
  <c r="J264" i="20"/>
  <c r="T275" i="20"/>
  <c r="T280" i="20"/>
  <c r="AR286" i="20"/>
  <c r="T288" i="20"/>
  <c r="J289" i="20"/>
  <c r="AL298" i="20"/>
  <c r="J325" i="20"/>
  <c r="T326" i="20"/>
  <c r="T328" i="20"/>
  <c r="AL334" i="20"/>
  <c r="J338" i="20"/>
  <c r="AL338" i="20"/>
  <c r="AL340" i="20"/>
  <c r="AL358" i="20"/>
  <c r="AR358" i="20"/>
  <c r="AL361" i="20"/>
  <c r="AL371" i="20"/>
  <c r="T375" i="20"/>
  <c r="AR381" i="20"/>
  <c r="AL391" i="20"/>
  <c r="T392" i="20"/>
  <c r="J196" i="20"/>
  <c r="AR207" i="20"/>
  <c r="AR220" i="20"/>
  <c r="AL229" i="20"/>
  <c r="AL233" i="20"/>
  <c r="AL242" i="20"/>
  <c r="J249" i="20"/>
  <c r="AL261" i="20"/>
  <c r="AL268" i="20"/>
  <c r="T269" i="20"/>
  <c r="AL269" i="20"/>
  <c r="T272" i="20"/>
  <c r="T286" i="20"/>
  <c r="AL290" i="20"/>
  <c r="J293" i="20"/>
  <c r="J294" i="20"/>
  <c r="J298" i="20"/>
  <c r="T302" i="20"/>
  <c r="AL316" i="20"/>
  <c r="AL331" i="20"/>
  <c r="AL336" i="20"/>
  <c r="J342" i="20"/>
  <c r="J354" i="20"/>
  <c r="T356" i="20"/>
  <c r="AL363" i="20"/>
  <c r="AS367" i="20"/>
  <c r="AR367" i="20"/>
  <c r="T200" i="20"/>
  <c r="J201" i="20"/>
  <c r="AL212" i="20"/>
  <c r="T216" i="20"/>
  <c r="T230" i="20"/>
  <c r="T235" i="20"/>
  <c r="T237" i="20"/>
  <c r="T239" i="20"/>
  <c r="T253" i="20"/>
  <c r="AL265" i="20"/>
  <c r="AL278" i="20"/>
  <c r="AL285" i="20"/>
  <c r="AL293" i="20"/>
  <c r="AL369" i="20"/>
  <c r="T379" i="20"/>
  <c r="T196" i="20"/>
  <c r="T205" i="20"/>
  <c r="J206" i="20"/>
  <c r="T206" i="20"/>
  <c r="AR212" i="20"/>
  <c r="T215" i="20"/>
  <c r="AL217" i="20"/>
  <c r="AL219" i="20"/>
  <c r="J221" i="20"/>
  <c r="J223" i="20"/>
  <c r="J228" i="20"/>
  <c r="AL228" i="20"/>
  <c r="AR249" i="20"/>
  <c r="AL250" i="20"/>
  <c r="T278" i="20"/>
  <c r="J291" i="20"/>
  <c r="AL304" i="20"/>
  <c r="T329" i="20"/>
  <c r="AS333" i="20"/>
  <c r="J346" i="20"/>
  <c r="J348" i="20"/>
  <c r="AL350" i="20"/>
  <c r="J381" i="20"/>
  <c r="T383" i="20"/>
  <c r="J390" i="20"/>
  <c r="T399" i="20"/>
  <c r="AR204" i="20"/>
  <c r="T212" i="20"/>
  <c r="J216" i="20"/>
  <c r="J217" i="20"/>
  <c r="T229" i="20"/>
  <c r="J233" i="20"/>
  <c r="J235" i="20"/>
  <c r="J236" i="20"/>
  <c r="J239" i="20"/>
  <c r="J241" i="20"/>
  <c r="J246" i="20"/>
  <c r="J251" i="20"/>
  <c r="T251" i="20"/>
  <c r="J258" i="20"/>
  <c r="J262" i="20"/>
  <c r="T268" i="20"/>
  <c r="J269" i="20"/>
  <c r="T271" i="20"/>
  <c r="J282" i="20"/>
  <c r="J288" i="20"/>
  <c r="T290" i="20"/>
  <c r="J292" i="20"/>
  <c r="AS310" i="20"/>
  <c r="AR310" i="20"/>
  <c r="J312" i="20"/>
  <c r="J328" i="20"/>
  <c r="T338" i="20"/>
  <c r="T340" i="20"/>
  <c r="J345" i="20"/>
  <c r="J358" i="20"/>
  <c r="J304" i="20"/>
  <c r="AS334" i="20"/>
  <c r="T354" i="20"/>
  <c r="T358" i="20"/>
  <c r="AL375" i="20"/>
  <c r="J403" i="20"/>
  <c r="AL299" i="20"/>
  <c r="AL320" i="20"/>
  <c r="AL329" i="20"/>
  <c r="T335" i="20"/>
  <c r="AR336" i="20"/>
  <c r="T345" i="20"/>
  <c r="AR350" i="20"/>
  <c r="T351" i="20"/>
  <c r="J352" i="20"/>
  <c r="AR365" i="20"/>
  <c r="AS372" i="20"/>
  <c r="AL384" i="20"/>
  <c r="T389" i="20"/>
  <c r="AL296" i="20"/>
  <c r="J302" i="20"/>
  <c r="AL302" i="20"/>
  <c r="T308" i="20"/>
  <c r="AL309" i="20"/>
  <c r="T310" i="20"/>
  <c r="T312" i="20"/>
  <c r="T313" i="20"/>
  <c r="T315" i="20"/>
  <c r="AL317" i="20"/>
  <c r="AL337" i="20"/>
  <c r="AL341" i="20"/>
  <c r="AS347" i="20"/>
  <c r="AL364" i="20"/>
  <c r="AL368" i="20"/>
  <c r="T370" i="20"/>
  <c r="J376" i="20"/>
  <c r="AR386" i="20"/>
  <c r="AR295" i="20"/>
  <c r="AL300" i="20"/>
  <c r="AR301" i="20"/>
  <c r="AR304" i="20"/>
  <c r="T306" i="20"/>
  <c r="J316" i="20"/>
  <c r="J336" i="20"/>
  <c r="T346" i="20"/>
  <c r="T388" i="20"/>
  <c r="J398" i="20"/>
  <c r="AL402" i="20"/>
  <c r="AL403" i="20"/>
  <c r="J310" i="20"/>
  <c r="AS320" i="20"/>
  <c r="J332" i="20"/>
  <c r="J337" i="20"/>
  <c r="AR343" i="20"/>
  <c r="AS349" i="20"/>
  <c r="J361" i="20"/>
  <c r="AL367" i="20"/>
  <c r="J368" i="20"/>
  <c r="J374" i="20"/>
  <c r="AL377" i="20"/>
  <c r="T381" i="20"/>
  <c r="AR389" i="20"/>
  <c r="T390" i="20"/>
  <c r="T394" i="20"/>
  <c r="AS377" i="20"/>
  <c r="AS369" i="20"/>
  <c r="AS321" i="20"/>
  <c r="AS289" i="20"/>
  <c r="AS273" i="20"/>
  <c r="AS265" i="20"/>
  <c r="AS257" i="20"/>
  <c r="AS201" i="20"/>
  <c r="AS193" i="20"/>
  <c r="AS177" i="20"/>
  <c r="AS169" i="20"/>
  <c r="AS161" i="20"/>
  <c r="AS113" i="20"/>
  <c r="AS105" i="20"/>
  <c r="AS73" i="20"/>
  <c r="AS41" i="20"/>
  <c r="AS17" i="20"/>
  <c r="AS9" i="20"/>
  <c r="T295" i="20"/>
  <c r="T296" i="20"/>
  <c r="T298" i="20"/>
  <c r="T301" i="20"/>
  <c r="AL311" i="20"/>
  <c r="AL313" i="20"/>
  <c r="T314" i="20"/>
  <c r="T320" i="20"/>
  <c r="J321" i="20"/>
  <c r="J322" i="20"/>
  <c r="T331" i="20"/>
  <c r="T332" i="20"/>
  <c r="J333" i="20"/>
  <c r="J334" i="20"/>
  <c r="T342" i="20"/>
  <c r="T343" i="20"/>
  <c r="J347" i="20"/>
  <c r="AL349" i="20"/>
  <c r="T350" i="20"/>
  <c r="AL353" i="20"/>
  <c r="AL357" i="20"/>
  <c r="T384" i="20"/>
  <c r="T386" i="20"/>
  <c r="AL395" i="20"/>
  <c r="T397" i="20"/>
  <c r="T400" i="20"/>
  <c r="AL400" i="20"/>
  <c r="AS33" i="20"/>
  <c r="AS65" i="20"/>
  <c r="AS153" i="20"/>
  <c r="AP193" i="20"/>
  <c r="AP273" i="20"/>
  <c r="AS281" i="20"/>
  <c r="AP9" i="20"/>
  <c r="AP17" i="20"/>
  <c r="AP41" i="20"/>
  <c r="AP105" i="20"/>
  <c r="AP177" i="20"/>
  <c r="AS185" i="20"/>
  <c r="AP321" i="20"/>
  <c r="AP377" i="20"/>
  <c r="AS137" i="20"/>
  <c r="AP161" i="20"/>
  <c r="AP169" i="20"/>
  <c r="AS233" i="20"/>
  <c r="AP265" i="20"/>
  <c r="AP73" i="20"/>
  <c r="AP289" i="20"/>
  <c r="AP113" i="20"/>
  <c r="AS121" i="20"/>
  <c r="AP201" i="20"/>
  <c r="AS241" i="20"/>
  <c r="AS361" i="20"/>
  <c r="AK58" i="20"/>
  <c r="AK146" i="20"/>
  <c r="AK246" i="20"/>
  <c r="AK293" i="20"/>
  <c r="AK358" i="20"/>
  <c r="AK227" i="20"/>
  <c r="AK36" i="20"/>
  <c r="AK116" i="20"/>
  <c r="AK347" i="20"/>
  <c r="AK391" i="20"/>
  <c r="AK88" i="20"/>
  <c r="AK159" i="20"/>
  <c r="AK239" i="20"/>
  <c r="AK272" i="20"/>
  <c r="AK288" i="20"/>
  <c r="AK72" i="20"/>
  <c r="AK222" i="20"/>
  <c r="AK230" i="20"/>
  <c r="AK237" i="20"/>
  <c r="AK332" i="20"/>
  <c r="AK334" i="20"/>
  <c r="AK360" i="20"/>
  <c r="AK381" i="20"/>
  <c r="AK6" i="20"/>
  <c r="AK48" i="20"/>
  <c r="AK92" i="20"/>
  <c r="AK196" i="20"/>
  <c r="AK277" i="20"/>
  <c r="AK300" i="20"/>
  <c r="AK336" i="20"/>
  <c r="AK387" i="20"/>
  <c r="AK304" i="20"/>
  <c r="AK63" i="20"/>
  <c r="AK112" i="20"/>
  <c r="AK139" i="20"/>
  <c r="AK175" i="20"/>
  <c r="AK251" i="20"/>
  <c r="AK254" i="20"/>
  <c r="AK320" i="20"/>
  <c r="AK372" i="20"/>
  <c r="AK109" i="20"/>
  <c r="AK111" i="20"/>
  <c r="AK157" i="20"/>
  <c r="AK216" i="20"/>
  <c r="AK245" i="20"/>
  <c r="AK269" i="20"/>
  <c r="AK296" i="20"/>
  <c r="AK369" i="20"/>
  <c r="AK361" i="20"/>
  <c r="AK128" i="20"/>
  <c r="AK60" i="20"/>
  <c r="AK190" i="20"/>
  <c r="AK199" i="20"/>
  <c r="AK276" i="20"/>
  <c r="AK366" i="20"/>
  <c r="AK368" i="20"/>
  <c r="AK375" i="20"/>
  <c r="AK403" i="20"/>
  <c r="AK2" i="20"/>
  <c r="AK65" i="20"/>
  <c r="AK81" i="20"/>
  <c r="AK87" i="20"/>
  <c r="AK124" i="20"/>
  <c r="AK177" i="20"/>
  <c r="AK188" i="20"/>
  <c r="AK197" i="20"/>
  <c r="AK224" i="20"/>
  <c r="AK335" i="20"/>
  <c r="AK337" i="20"/>
  <c r="AK344" i="20"/>
  <c r="AK400" i="20"/>
  <c r="AK38" i="20"/>
  <c r="AK73" i="20"/>
  <c r="AK113" i="20"/>
  <c r="AK208" i="20"/>
  <c r="AK236" i="20"/>
  <c r="AK295" i="20"/>
  <c r="AK340" i="20"/>
  <c r="AK49" i="20"/>
  <c r="AK30" i="20"/>
  <c r="AK129" i="20"/>
  <c r="AK185" i="20"/>
  <c r="AK233" i="20"/>
  <c r="AK302" i="20"/>
  <c r="AK307" i="20"/>
  <c r="AK395" i="20"/>
  <c r="AK97" i="20"/>
  <c r="AK121" i="20"/>
  <c r="AK26" i="20"/>
  <c r="AK136" i="20"/>
  <c r="AK137" i="20"/>
  <c r="AK180" i="20"/>
  <c r="AK232" i="20"/>
  <c r="AK241" i="20"/>
  <c r="AK309" i="20"/>
  <c r="AK352" i="20"/>
  <c r="AK33" i="20"/>
  <c r="AK35" i="20"/>
  <c r="AK105" i="20"/>
  <c r="AK217" i="20"/>
  <c r="AK321" i="20"/>
  <c r="AK394" i="20"/>
  <c r="AK378" i="20"/>
  <c r="AK346" i="20"/>
  <c r="AK322" i="20"/>
  <c r="AK306" i="20"/>
  <c r="AK298" i="20"/>
  <c r="AK266" i="20"/>
  <c r="AK250" i="20"/>
  <c r="AK234" i="20"/>
  <c r="AK122" i="20"/>
  <c r="AK106" i="20"/>
  <c r="AK98" i="20"/>
  <c r="AK90" i="20"/>
  <c r="AK74" i="20"/>
  <c r="AK66" i="20"/>
  <c r="AK50" i="20"/>
  <c r="AK42" i="20"/>
  <c r="AK34" i="20"/>
  <c r="AK18" i="20"/>
  <c r="AK5" i="20"/>
  <c r="AK10" i="20"/>
  <c r="AK20" i="20"/>
  <c r="AK46" i="20"/>
  <c r="AK82" i="20"/>
  <c r="AK110" i="20"/>
  <c r="AK149" i="20"/>
  <c r="AK243" i="20"/>
  <c r="AK281" i="20"/>
  <c r="AK310" i="20"/>
  <c r="AK313" i="20"/>
  <c r="AK359" i="20"/>
  <c r="AK389" i="20"/>
  <c r="AK17" i="20"/>
  <c r="AK19" i="20"/>
  <c r="AK57" i="20"/>
  <c r="AK181" i="20"/>
  <c r="AK189" i="20"/>
  <c r="AK193" i="20"/>
  <c r="AK200" i="20"/>
  <c r="AK228" i="20"/>
  <c r="AK301" i="20"/>
  <c r="AK326" i="20"/>
  <c r="AK164" i="20"/>
  <c r="AK165" i="20"/>
  <c r="AK365" i="20"/>
  <c r="AK397" i="20"/>
  <c r="AK201" i="20"/>
  <c r="AK9" i="20"/>
  <c r="AK25" i="20"/>
  <c r="AK130" i="20"/>
  <c r="AK311" i="20"/>
  <c r="AK402" i="20"/>
  <c r="AK41" i="20"/>
  <c r="AK71" i="20"/>
  <c r="AK127" i="20"/>
  <c r="AK154" i="20"/>
  <c r="AK207" i="20"/>
  <c r="AK256" i="20"/>
  <c r="AK343" i="20"/>
  <c r="AK377" i="20"/>
  <c r="AK330" i="20"/>
  <c r="AK132" i="20"/>
  <c r="AK353" i="20"/>
  <c r="AK119" i="20"/>
  <c r="AK214" i="20"/>
  <c r="AK280" i="20"/>
  <c r="S81" i="20"/>
  <c r="S97" i="20"/>
  <c r="S136" i="20"/>
  <c r="S249" i="20"/>
  <c r="S369" i="20"/>
  <c r="S377" i="20"/>
  <c r="S35" i="20"/>
  <c r="S36" i="20"/>
  <c r="S84" i="20"/>
  <c r="S148" i="20"/>
  <c r="S203" i="20"/>
  <c r="S241" i="20"/>
  <c r="S256" i="20"/>
  <c r="S264" i="20"/>
  <c r="S280" i="20"/>
  <c r="S285" i="20"/>
  <c r="S317" i="20"/>
  <c r="S318" i="20"/>
  <c r="S321" i="20"/>
  <c r="S357" i="20"/>
  <c r="S361" i="20"/>
  <c r="S374" i="20"/>
  <c r="S382" i="20"/>
  <c r="S388" i="20"/>
  <c r="S32" i="20"/>
  <c r="S112" i="20"/>
  <c r="S223" i="20"/>
  <c r="S226" i="20"/>
  <c r="S269" i="20"/>
  <c r="S281" i="20"/>
  <c r="S286" i="20"/>
  <c r="S300" i="20"/>
  <c r="S336" i="20"/>
  <c r="S352" i="20"/>
  <c r="S385" i="20"/>
  <c r="S397" i="20"/>
  <c r="S313" i="20"/>
  <c r="S111" i="20"/>
  <c r="S121" i="20"/>
  <c r="S123" i="20"/>
  <c r="S225" i="20"/>
  <c r="S289" i="20"/>
  <c r="S335" i="20"/>
  <c r="S353" i="20"/>
  <c r="S375" i="20"/>
  <c r="S393" i="20"/>
  <c r="S401" i="20"/>
  <c r="S137" i="20"/>
  <c r="S297" i="20"/>
  <c r="S6" i="20"/>
  <c r="S23" i="20"/>
  <c r="S24" i="20"/>
  <c r="S57" i="20"/>
  <c r="S62" i="20"/>
  <c r="S71" i="20"/>
  <c r="S85" i="20"/>
  <c r="S100" i="20"/>
  <c r="S116" i="20"/>
  <c r="S128" i="20"/>
  <c r="S146" i="20"/>
  <c r="S205" i="20"/>
  <c r="S214" i="20"/>
  <c r="S270" i="20"/>
  <c r="S338" i="20"/>
  <c r="S343" i="20"/>
  <c r="S348" i="20"/>
  <c r="S362" i="20"/>
  <c r="S354" i="20"/>
  <c r="S346" i="20"/>
  <c r="S330" i="20"/>
  <c r="S322" i="20"/>
  <c r="S306" i="20"/>
  <c r="S290" i="20"/>
  <c r="S274" i="20"/>
  <c r="S266" i="20"/>
  <c r="S258" i="20"/>
  <c r="S130" i="20"/>
  <c r="S122" i="20"/>
  <c r="S114" i="20"/>
  <c r="S90" i="20"/>
  <c r="S74" i="20"/>
  <c r="S17" i="20"/>
  <c r="S30" i="20"/>
  <c r="S39" i="20"/>
  <c r="S40" i="20"/>
  <c r="S44" i="20"/>
  <c r="S60" i="20"/>
  <c r="S63" i="20"/>
  <c r="S103" i="20"/>
  <c r="S107" i="20"/>
  <c r="S124" i="20"/>
  <c r="S145" i="20"/>
  <c r="S166" i="20"/>
  <c r="S168" i="20"/>
  <c r="S184" i="20"/>
  <c r="S220" i="20"/>
  <c r="S233" i="20"/>
  <c r="S252" i="20"/>
  <c r="S253" i="20"/>
  <c r="S271" i="20"/>
  <c r="S305" i="20"/>
  <c r="S307" i="20"/>
  <c r="S308" i="20"/>
  <c r="S311" i="20"/>
  <c r="S328" i="20"/>
  <c r="S337" i="20"/>
  <c r="S360" i="20"/>
  <c r="S402" i="20"/>
  <c r="S4" i="20"/>
  <c r="S13" i="20"/>
  <c r="S22" i="20"/>
  <c r="S33" i="20"/>
  <c r="S49" i="20"/>
  <c r="S73" i="20"/>
  <c r="S92" i="20"/>
  <c r="S95" i="20"/>
  <c r="S98" i="20"/>
  <c r="S105" i="20"/>
  <c r="S115" i="20"/>
  <c r="S129" i="20"/>
  <c r="S132" i="20"/>
  <c r="S147" i="20"/>
  <c r="S160" i="20"/>
  <c r="S199" i="20"/>
  <c r="S240" i="20"/>
  <c r="S272" i="20"/>
  <c r="S298" i="20"/>
  <c r="S331" i="20"/>
  <c r="S345" i="20"/>
  <c r="S351" i="20"/>
  <c r="S59" i="20"/>
  <c r="S138" i="20"/>
  <c r="S209" i="20"/>
  <c r="S282" i="20"/>
  <c r="S75" i="20"/>
  <c r="S99" i="20"/>
  <c r="S119" i="20"/>
  <c r="S248" i="20"/>
  <c r="S125" i="20"/>
  <c r="S207" i="20"/>
  <c r="S314" i="20"/>
  <c r="S217" i="20"/>
  <c r="I14" i="20"/>
  <c r="I31" i="20"/>
  <c r="I54" i="20"/>
  <c r="I142" i="20"/>
  <c r="I148" i="20"/>
  <c r="I197" i="20"/>
  <c r="I212" i="20"/>
  <c r="I237" i="20"/>
  <c r="I245" i="20"/>
  <c r="I260" i="20"/>
  <c r="I280" i="20"/>
  <c r="I284" i="20"/>
  <c r="I296" i="20"/>
  <c r="I346" i="20"/>
  <c r="I348" i="20"/>
  <c r="I357" i="20"/>
  <c r="I360" i="20"/>
  <c r="I384" i="20"/>
  <c r="I64" i="20"/>
  <c r="I225" i="20"/>
  <c r="I281" i="20"/>
  <c r="I8" i="20"/>
  <c r="I27" i="20"/>
  <c r="I56" i="20"/>
  <c r="I78" i="20"/>
  <c r="I79" i="20"/>
  <c r="I80" i="20"/>
  <c r="I81" i="20"/>
  <c r="I86" i="20"/>
  <c r="I95" i="20"/>
  <c r="I96" i="20"/>
  <c r="I139" i="20"/>
  <c r="I191" i="20"/>
  <c r="I195" i="20"/>
  <c r="I208" i="20"/>
  <c r="I243" i="20"/>
  <c r="I271" i="20"/>
  <c r="I300" i="20"/>
  <c r="I343" i="20"/>
  <c r="I344" i="20"/>
  <c r="I402" i="20"/>
  <c r="I394" i="20"/>
  <c r="I386" i="20"/>
  <c r="I362" i="20"/>
  <c r="I354" i="20"/>
  <c r="I322" i="20"/>
  <c r="I314" i="20"/>
  <c r="I298" i="20"/>
  <c r="I290" i="20"/>
  <c r="I274" i="20"/>
  <c r="I266" i="20"/>
  <c r="I258" i="20"/>
  <c r="I250" i="20"/>
  <c r="I226" i="20"/>
  <c r="I210" i="20"/>
  <c r="I202" i="20"/>
  <c r="I194" i="20"/>
  <c r="I186" i="20"/>
  <c r="I178" i="20"/>
  <c r="I170" i="20"/>
  <c r="I162" i="20"/>
  <c r="I154" i="20"/>
  <c r="I138" i="20"/>
  <c r="I130" i="20"/>
  <c r="I98" i="20"/>
  <c r="I74" i="20"/>
  <c r="I42" i="20"/>
  <c r="I34" i="20"/>
  <c r="I26" i="20"/>
  <c r="I18" i="20"/>
  <c r="I10" i="20"/>
  <c r="I6" i="20"/>
  <c r="I16" i="20"/>
  <c r="I24" i="20"/>
  <c r="I40" i="20"/>
  <c r="I41" i="20"/>
  <c r="I43" i="20"/>
  <c r="I59" i="20"/>
  <c r="I126" i="20"/>
  <c r="I129" i="20"/>
  <c r="I155" i="20"/>
  <c r="I165" i="20"/>
  <c r="I189" i="20"/>
  <c r="I190" i="20"/>
  <c r="I223" i="20"/>
  <c r="I233" i="20"/>
  <c r="I268" i="20"/>
  <c r="I269" i="20"/>
  <c r="I276" i="20"/>
  <c r="I277" i="20"/>
  <c r="I287" i="20"/>
  <c r="I293" i="20"/>
  <c r="I305" i="20"/>
  <c r="I332" i="20"/>
  <c r="I333" i="20"/>
  <c r="I339" i="20"/>
  <c r="I341" i="20"/>
  <c r="I349" i="20"/>
  <c r="I350" i="20"/>
  <c r="I352" i="20"/>
  <c r="I391" i="20"/>
  <c r="I395" i="20"/>
  <c r="I403" i="20"/>
  <c r="I401" i="20"/>
  <c r="I393" i="20"/>
  <c r="I377" i="20"/>
  <c r="I369" i="20"/>
  <c r="I353" i="20"/>
  <c r="I345" i="20"/>
  <c r="I329" i="20"/>
  <c r="I321" i="20"/>
  <c r="I313" i="20"/>
  <c r="I297" i="20"/>
  <c r="I265" i="20"/>
  <c r="I249" i="20"/>
  <c r="I241" i="20"/>
  <c r="I201" i="20"/>
  <c r="I153" i="20"/>
  <c r="I137" i="20"/>
  <c r="I121" i="20"/>
  <c r="I105" i="20"/>
  <c r="I97" i="20"/>
  <c r="I89" i="20"/>
  <c r="I49" i="20"/>
  <c r="I25" i="20"/>
  <c r="I9" i="20"/>
  <c r="I32" i="20"/>
  <c r="I38" i="20"/>
  <c r="I93" i="20"/>
  <c r="I107" i="20"/>
  <c r="I147" i="20"/>
  <c r="I164" i="20"/>
  <c r="I199" i="20"/>
  <c r="I356" i="20"/>
  <c r="I385" i="20"/>
  <c r="I132" i="20"/>
  <c r="I217" i="20"/>
  <c r="I240" i="20"/>
  <c r="I37" i="20"/>
  <c r="I143" i="20"/>
  <c r="I347" i="20"/>
  <c r="I61" i="20"/>
  <c r="I21" i="20"/>
  <c r="I207" i="20"/>
  <c r="I242" i="20"/>
  <c r="I359" i="20"/>
  <c r="AK44" i="20"/>
  <c r="AK28" i="20"/>
  <c r="AK12" i="20"/>
  <c r="S2" i="20"/>
  <c r="I4" i="20"/>
  <c r="S9" i="20"/>
  <c r="J17" i="20"/>
  <c r="I20" i="20"/>
  <c r="S25" i="20"/>
  <c r="J33" i="20"/>
  <c r="I36" i="20"/>
  <c r="S41" i="20"/>
  <c r="AK70" i="20"/>
  <c r="AL117" i="20"/>
  <c r="AS11" i="20"/>
  <c r="AR11" i="20"/>
  <c r="AS43" i="20"/>
  <c r="AR43" i="20"/>
  <c r="AR89" i="20"/>
  <c r="AS89" i="20"/>
  <c r="AL122" i="20"/>
  <c r="AL3" i="20"/>
  <c r="AL5" i="20"/>
  <c r="AR6" i="20"/>
  <c r="AK15" i="20"/>
  <c r="AK16" i="20"/>
  <c r="AL19" i="20"/>
  <c r="AL21" i="20"/>
  <c r="AR22" i="20"/>
  <c r="AK31" i="20"/>
  <c r="AK32" i="20"/>
  <c r="AL35" i="20"/>
  <c r="AL37" i="20"/>
  <c r="AR38" i="20"/>
  <c r="AL48" i="20"/>
  <c r="AK52" i="20"/>
  <c r="AL56" i="20"/>
  <c r="AL72" i="20"/>
  <c r="AL82" i="20"/>
  <c r="AL88" i="20"/>
  <c r="AL92" i="20"/>
  <c r="AL149" i="20"/>
  <c r="S34" i="20"/>
  <c r="AK3" i="20"/>
  <c r="S5" i="20"/>
  <c r="I7" i="20"/>
  <c r="I12" i="20"/>
  <c r="AS16" i="20"/>
  <c r="S21" i="20"/>
  <c r="I23" i="20"/>
  <c r="I28" i="20"/>
  <c r="AS32" i="20"/>
  <c r="S37" i="20"/>
  <c r="I39" i="20"/>
  <c r="I44" i="20"/>
  <c r="AK45" i="20"/>
  <c r="AK54" i="20"/>
  <c r="AL64" i="20"/>
  <c r="AS122" i="20"/>
  <c r="AR122" i="20"/>
  <c r="AK138" i="20"/>
  <c r="S18" i="20"/>
  <c r="AS133" i="20"/>
  <c r="AR133" i="20"/>
  <c r="AS27" i="20"/>
  <c r="AR27" i="20"/>
  <c r="T3" i="20"/>
  <c r="T5" i="20"/>
  <c r="AS5" i="20"/>
  <c r="J7" i="20"/>
  <c r="S10" i="20"/>
  <c r="AK13" i="20"/>
  <c r="S15" i="20"/>
  <c r="T19" i="20"/>
  <c r="T21" i="20"/>
  <c r="AS21" i="20"/>
  <c r="J23" i="20"/>
  <c r="S26" i="20"/>
  <c r="AK29" i="20"/>
  <c r="S31" i="20"/>
  <c r="T35" i="20"/>
  <c r="T37" i="20"/>
  <c r="AS37" i="20"/>
  <c r="J39" i="20"/>
  <c r="S42" i="20"/>
  <c r="AL46" i="20"/>
  <c r="AS46" i="20"/>
  <c r="AR46" i="20"/>
  <c r="T47" i="20"/>
  <c r="T56" i="20"/>
  <c r="AK62" i="20"/>
  <c r="J65" i="20"/>
  <c r="AS92" i="20"/>
  <c r="AR92" i="20"/>
  <c r="AK114" i="20"/>
  <c r="AL120" i="20"/>
  <c r="AS3" i="20"/>
  <c r="AR3" i="20"/>
  <c r="AL9" i="20"/>
  <c r="AK11" i="20"/>
  <c r="I17" i="20"/>
  <c r="AS19" i="20"/>
  <c r="AR19" i="20"/>
  <c r="AL25" i="20"/>
  <c r="AK27" i="20"/>
  <c r="I33" i="20"/>
  <c r="AS35" i="20"/>
  <c r="AR35" i="20"/>
  <c r="AL41" i="20"/>
  <c r="AK43" i="20"/>
  <c r="AL45" i="20"/>
  <c r="I47" i="20"/>
  <c r="I51" i="20"/>
  <c r="AL55" i="20"/>
  <c r="T64" i="20"/>
  <c r="AK89" i="20"/>
  <c r="AL104" i="20"/>
  <c r="AL108" i="20"/>
  <c r="I3" i="20"/>
  <c r="J5" i="20"/>
  <c r="AK7" i="20"/>
  <c r="AK8" i="20"/>
  <c r="AL11" i="20"/>
  <c r="AL13" i="20"/>
  <c r="T15" i="20"/>
  <c r="I19" i="20"/>
  <c r="J21" i="20"/>
  <c r="AK23" i="20"/>
  <c r="AK24" i="20"/>
  <c r="AL27" i="20"/>
  <c r="AL29" i="20"/>
  <c r="T31" i="20"/>
  <c r="I35" i="20"/>
  <c r="J37" i="20"/>
  <c r="AK39" i="20"/>
  <c r="AK40" i="20"/>
  <c r="AL43" i="20"/>
  <c r="S45" i="20"/>
  <c r="J47" i="20"/>
  <c r="AS75" i="20"/>
  <c r="AR75" i="20"/>
  <c r="AS53" i="20"/>
  <c r="AP53" i="20"/>
  <c r="AS61" i="20"/>
  <c r="AP61" i="20"/>
  <c r="AK85" i="20"/>
  <c r="AS115" i="20"/>
  <c r="AR115" i="20"/>
  <c r="AS117" i="20"/>
  <c r="AK131" i="20"/>
  <c r="AS144" i="20"/>
  <c r="AP144" i="20"/>
  <c r="AS187" i="20"/>
  <c r="AR187" i="20"/>
  <c r="AS346" i="20"/>
  <c r="AP346" i="20"/>
  <c r="AR49" i="20"/>
  <c r="AL54" i="20"/>
  <c r="AR54" i="20"/>
  <c r="AR57" i="20"/>
  <c r="AL62" i="20"/>
  <c r="AR62" i="20"/>
  <c r="AR65" i="20"/>
  <c r="AR68" i="20"/>
  <c r="AS69" i="20"/>
  <c r="AP69" i="20"/>
  <c r="AK86" i="20"/>
  <c r="S88" i="20"/>
  <c r="AS91" i="20"/>
  <c r="AR91" i="20"/>
  <c r="AS93" i="20"/>
  <c r="AL107" i="20"/>
  <c r="AS110" i="20"/>
  <c r="I114" i="20"/>
  <c r="AL125" i="20"/>
  <c r="AK143" i="20"/>
  <c r="AL147" i="20"/>
  <c r="AS149" i="20"/>
  <c r="AR149" i="20"/>
  <c r="AK158" i="20"/>
  <c r="AK198" i="20"/>
  <c r="S48" i="20"/>
  <c r="AL49" i="20"/>
  <c r="AS51" i="20"/>
  <c r="AR51" i="20"/>
  <c r="AK53" i="20"/>
  <c r="AL57" i="20"/>
  <c r="AS59" i="20"/>
  <c r="AR59" i="20"/>
  <c r="AK61" i="20"/>
  <c r="AL65" i="20"/>
  <c r="AS67" i="20"/>
  <c r="AR67" i="20"/>
  <c r="AL83" i="20"/>
  <c r="AS86" i="20"/>
  <c r="I90" i="20"/>
  <c r="AK99" i="20"/>
  <c r="AK101" i="20"/>
  <c r="AL103" i="20"/>
  <c r="AL113" i="20"/>
  <c r="AS124" i="20"/>
  <c r="AR124" i="20"/>
  <c r="AL145" i="20"/>
  <c r="AL152" i="20"/>
  <c r="AL157" i="20"/>
  <c r="AR209" i="20"/>
  <c r="AS209" i="20"/>
  <c r="AR5" i="20"/>
  <c r="AR13" i="20"/>
  <c r="AR21" i="20"/>
  <c r="AR29" i="20"/>
  <c r="AR37" i="20"/>
  <c r="AR45" i="20"/>
  <c r="AK51" i="20"/>
  <c r="S53" i="20"/>
  <c r="I57" i="20"/>
  <c r="AK59" i="20"/>
  <c r="S61" i="20"/>
  <c r="I65" i="20"/>
  <c r="AK67" i="20"/>
  <c r="J69" i="20"/>
  <c r="T73" i="20"/>
  <c r="AK75" i="20"/>
  <c r="AK77" i="20"/>
  <c r="AL79" i="20"/>
  <c r="AS81" i="20"/>
  <c r="T83" i="20"/>
  <c r="AR84" i="20"/>
  <c r="AL89" i="20"/>
  <c r="I92" i="20"/>
  <c r="J95" i="20"/>
  <c r="AK102" i="20"/>
  <c r="S104" i="20"/>
  <c r="AK104" i="20"/>
  <c r="AS107" i="20"/>
  <c r="AR107" i="20"/>
  <c r="T109" i="20"/>
  <c r="AS109" i="20"/>
  <c r="I111" i="20"/>
  <c r="AK120" i="20"/>
  <c r="T131" i="20"/>
  <c r="J132" i="20"/>
  <c r="AK133" i="20"/>
  <c r="AS142" i="20"/>
  <c r="AR142" i="20"/>
  <c r="S152" i="20"/>
  <c r="AS156" i="20"/>
  <c r="S162" i="20"/>
  <c r="AK163" i="20"/>
  <c r="AK169" i="20"/>
  <c r="I50" i="20"/>
  <c r="S50" i="20"/>
  <c r="I52" i="20"/>
  <c r="J55" i="20"/>
  <c r="I58" i="20"/>
  <c r="S58" i="20"/>
  <c r="I60" i="20"/>
  <c r="J63" i="20"/>
  <c r="I66" i="20"/>
  <c r="S66" i="20"/>
  <c r="I68" i="20"/>
  <c r="AK78" i="20"/>
  <c r="S80" i="20"/>
  <c r="AK80" i="20"/>
  <c r="AS83" i="20"/>
  <c r="AR83" i="20"/>
  <c r="I87" i="20"/>
  <c r="AL99" i="20"/>
  <c r="S101" i="20"/>
  <c r="AS102" i="20"/>
  <c r="I106" i="20"/>
  <c r="S106" i="20"/>
  <c r="J107" i="20"/>
  <c r="J109" i="20"/>
  <c r="T113" i="20"/>
  <c r="AK115" i="20"/>
  <c r="AK117" i="20"/>
  <c r="AL133" i="20"/>
  <c r="AK135" i="20"/>
  <c r="I152" i="20"/>
  <c r="AL179" i="20"/>
  <c r="AR7" i="20"/>
  <c r="AR15" i="20"/>
  <c r="AR23" i="20"/>
  <c r="AR31" i="20"/>
  <c r="AR39" i="20"/>
  <c r="AR47" i="20"/>
  <c r="T51" i="20"/>
  <c r="AL51" i="20"/>
  <c r="J53" i="20"/>
  <c r="T53" i="20"/>
  <c r="S56" i="20"/>
  <c r="AK56" i="20"/>
  <c r="T59" i="20"/>
  <c r="AL59" i="20"/>
  <c r="J61" i="20"/>
  <c r="T61" i="20"/>
  <c r="S64" i="20"/>
  <c r="AK64" i="20"/>
  <c r="T67" i="20"/>
  <c r="AL67" i="20"/>
  <c r="I73" i="20"/>
  <c r="AL75" i="20"/>
  <c r="S77" i="20"/>
  <c r="S79" i="20"/>
  <c r="I82" i="20"/>
  <c r="S82" i="20"/>
  <c r="J83" i="20"/>
  <c r="J85" i="20"/>
  <c r="T89" i="20"/>
  <c r="AK91" i="20"/>
  <c r="AK93" i="20"/>
  <c r="AL95" i="20"/>
  <c r="AS97" i="20"/>
  <c r="T99" i="20"/>
  <c r="AR100" i="20"/>
  <c r="AL102" i="20"/>
  <c r="T104" i="20"/>
  <c r="AL105" i="20"/>
  <c r="I108" i="20"/>
  <c r="J111" i="20"/>
  <c r="AL119" i="20"/>
  <c r="J125" i="20"/>
  <c r="AS125" i="20"/>
  <c r="J136" i="20"/>
  <c r="AS140" i="20"/>
  <c r="AR140" i="20"/>
  <c r="AL146" i="20"/>
  <c r="AL148" i="20"/>
  <c r="S153" i="20"/>
  <c r="T158" i="20"/>
  <c r="AP48" i="20"/>
  <c r="J50" i="20"/>
  <c r="J58" i="20"/>
  <c r="J66" i="20"/>
  <c r="AK69" i="20"/>
  <c r="AL71" i="20"/>
  <c r="T75" i="20"/>
  <c r="T80" i="20"/>
  <c r="AL81" i="20"/>
  <c r="I84" i="20"/>
  <c r="J87" i="20"/>
  <c r="AK94" i="20"/>
  <c r="S96" i="20"/>
  <c r="AK96" i="20"/>
  <c r="AS99" i="20"/>
  <c r="AR99" i="20"/>
  <c r="T101" i="20"/>
  <c r="I103" i="20"/>
  <c r="J106" i="20"/>
  <c r="I113" i="20"/>
  <c r="AL115" i="20"/>
  <c r="S117" i="20"/>
  <c r="AS118" i="20"/>
  <c r="AR118" i="20"/>
  <c r="AL121" i="20"/>
  <c r="I122" i="20"/>
  <c r="AS123" i="20"/>
  <c r="S126" i="20"/>
  <c r="AK134" i="20"/>
  <c r="T138" i="20"/>
  <c r="AS139" i="20"/>
  <c r="AP139" i="20"/>
  <c r="AS145" i="20"/>
  <c r="AR145" i="20"/>
  <c r="AK150" i="20"/>
  <c r="T153" i="20"/>
  <c r="T155" i="20"/>
  <c r="AK156" i="20"/>
  <c r="AS165" i="20"/>
  <c r="AP165" i="20"/>
  <c r="AL166" i="20"/>
  <c r="S171" i="20"/>
  <c r="AK172" i="20"/>
  <c r="AS203" i="20"/>
  <c r="AK205" i="20"/>
  <c r="AK219" i="20"/>
  <c r="AK126" i="20"/>
  <c r="AS134" i="20"/>
  <c r="AR134" i="20"/>
  <c r="AK144" i="20"/>
  <c r="AK145" i="20"/>
  <c r="S157" i="20"/>
  <c r="AL158" i="20"/>
  <c r="AK161" i="20"/>
  <c r="AS182" i="20"/>
  <c r="AR182" i="20"/>
  <c r="AL220" i="20"/>
  <c r="AS141" i="20"/>
  <c r="AR141" i="20"/>
  <c r="S143" i="20"/>
  <c r="S144" i="20"/>
  <c r="I145" i="20"/>
  <c r="I146" i="20"/>
  <c r="T147" i="20"/>
  <c r="J149" i="20"/>
  <c r="AS152" i="20"/>
  <c r="AP152" i="20"/>
  <c r="I157" i="20"/>
  <c r="T157" i="20"/>
  <c r="I160" i="20"/>
  <c r="AS160" i="20"/>
  <c r="AR160" i="20"/>
  <c r="AL161" i="20"/>
  <c r="AL163" i="20"/>
  <c r="AL167" i="20"/>
  <c r="AK182" i="20"/>
  <c r="AK118" i="20"/>
  <c r="AL129" i="20"/>
  <c r="AS129" i="20"/>
  <c r="T134" i="20"/>
  <c r="S135" i="20"/>
  <c r="AL137" i="20"/>
  <c r="AK141" i="20"/>
  <c r="AK142" i="20"/>
  <c r="J148" i="20"/>
  <c r="AK155" i="20"/>
  <c r="I156" i="20"/>
  <c r="AL156" i="20"/>
  <c r="J157" i="20"/>
  <c r="AL159" i="20"/>
  <c r="J160" i="20"/>
  <c r="I161" i="20"/>
  <c r="S163" i="20"/>
  <c r="T165" i="20"/>
  <c r="T173" i="20"/>
  <c r="AL185" i="20"/>
  <c r="AL190" i="20"/>
  <c r="T192" i="20"/>
  <c r="I196" i="20"/>
  <c r="AR77" i="20"/>
  <c r="AR85" i="20"/>
  <c r="AR93" i="20"/>
  <c r="AR101" i="20"/>
  <c r="AR109" i="20"/>
  <c r="AR117" i="20"/>
  <c r="S120" i="20"/>
  <c r="AS126" i="20"/>
  <c r="AR127" i="20"/>
  <c r="AR129" i="20"/>
  <c r="AR137" i="20"/>
  <c r="AL140" i="20"/>
  <c r="I141" i="20"/>
  <c r="J143" i="20"/>
  <c r="J144" i="20"/>
  <c r="AK152" i="20"/>
  <c r="AK153" i="20"/>
  <c r="AR153" i="20"/>
  <c r="S154" i="20"/>
  <c r="AS158" i="20"/>
  <c r="AR158" i="20"/>
  <c r="S159" i="20"/>
  <c r="AK160" i="20"/>
  <c r="AS167" i="20"/>
  <c r="AR167" i="20"/>
  <c r="AK174" i="20"/>
  <c r="AL175" i="20"/>
  <c r="AK176" i="20"/>
  <c r="I180" i="20"/>
  <c r="AL194" i="20"/>
  <c r="I205" i="20"/>
  <c r="AL132" i="20"/>
  <c r="I133" i="20"/>
  <c r="J140" i="20"/>
  <c r="T141" i="20"/>
  <c r="T142" i="20"/>
  <c r="AS150" i="20"/>
  <c r="AR150" i="20"/>
  <c r="AL153" i="20"/>
  <c r="S155" i="20"/>
  <c r="AL155" i="20"/>
  <c r="I159" i="20"/>
  <c r="AK162" i="20"/>
  <c r="AL164" i="20"/>
  <c r="AK166" i="20"/>
  <c r="AL169" i="20"/>
  <c r="I173" i="20"/>
  <c r="S175" i="20"/>
  <c r="AL176" i="20"/>
  <c r="AK183" i="20"/>
  <c r="AL195" i="20"/>
  <c r="AL199" i="20"/>
  <c r="AR224" i="20"/>
  <c r="AS159" i="20"/>
  <c r="AR159" i="20"/>
  <c r="AS162" i="20"/>
  <c r="S172" i="20"/>
  <c r="T176" i="20"/>
  <c r="S181" i="20"/>
  <c r="AL181" i="20"/>
  <c r="AL182" i="20"/>
  <c r="S183" i="20"/>
  <c r="AS184" i="20"/>
  <c r="AR184" i="20"/>
  <c r="S185" i="20"/>
  <c r="AK186" i="20"/>
  <c r="AS186" i="20"/>
  <c r="S189" i="20"/>
  <c r="AL189" i="20"/>
  <c r="S197" i="20"/>
  <c r="AL197" i="20"/>
  <c r="AL198" i="20"/>
  <c r="AK202" i="20"/>
  <c r="S204" i="20"/>
  <c r="AK204" i="20"/>
  <c r="AL205" i="20"/>
  <c r="I209" i="20"/>
  <c r="AK210" i="20"/>
  <c r="S215" i="20"/>
  <c r="S232" i="20"/>
  <c r="T261" i="20"/>
  <c r="AR162" i="20"/>
  <c r="J167" i="20"/>
  <c r="T167" i="20"/>
  <c r="AS168" i="20"/>
  <c r="AR168" i="20"/>
  <c r="S169" i="20"/>
  <c r="AK170" i="20"/>
  <c r="AS170" i="20"/>
  <c r="AR171" i="20"/>
  <c r="AS173" i="20"/>
  <c r="I175" i="20"/>
  <c r="T175" i="20"/>
  <c r="T181" i="20"/>
  <c r="AK184" i="20"/>
  <c r="I185" i="20"/>
  <c r="S186" i="20"/>
  <c r="AK187" i="20"/>
  <c r="T189" i="20"/>
  <c r="AL192" i="20"/>
  <c r="T197" i="20"/>
  <c r="AL201" i="20"/>
  <c r="AK203" i="20"/>
  <c r="AS217" i="20"/>
  <c r="AP218" i="20"/>
  <c r="S164" i="20"/>
  <c r="AK168" i="20"/>
  <c r="I169" i="20"/>
  <c r="S170" i="20"/>
  <c r="AK171" i="20"/>
  <c r="AK173" i="20"/>
  <c r="I174" i="20"/>
  <c r="AL174" i="20"/>
  <c r="J175" i="20"/>
  <c r="I183" i="20"/>
  <c r="T183" i="20"/>
  <c r="T184" i="20"/>
  <c r="J186" i="20"/>
  <c r="AL186" i="20"/>
  <c r="AL187" i="20"/>
  <c r="I188" i="20"/>
  <c r="AK191" i="20"/>
  <c r="J199" i="20"/>
  <c r="AS199" i="20"/>
  <c r="AR199" i="20"/>
  <c r="T202" i="20"/>
  <c r="AK209" i="20"/>
  <c r="AL214" i="20"/>
  <c r="AK221" i="20"/>
  <c r="AK226" i="20"/>
  <c r="AR157" i="20"/>
  <c r="S161" i="20"/>
  <c r="I163" i="20"/>
  <c r="AL165" i="20"/>
  <c r="I166" i="20"/>
  <c r="T168" i="20"/>
  <c r="J170" i="20"/>
  <c r="AL171" i="20"/>
  <c r="I172" i="20"/>
  <c r="AS176" i="20"/>
  <c r="AR176" i="20"/>
  <c r="S177" i="20"/>
  <c r="AK178" i="20"/>
  <c r="AS178" i="20"/>
  <c r="AR179" i="20"/>
  <c r="J183" i="20"/>
  <c r="J185" i="20"/>
  <c r="I187" i="20"/>
  <c r="J188" i="20"/>
  <c r="AR190" i="20"/>
  <c r="S191" i="20"/>
  <c r="AS192" i="20"/>
  <c r="AR192" i="20"/>
  <c r="S193" i="20"/>
  <c r="AK194" i="20"/>
  <c r="AS194" i="20"/>
  <c r="AR195" i="20"/>
  <c r="S200" i="20"/>
  <c r="AS205" i="20"/>
  <c r="AK206" i="20"/>
  <c r="AL207" i="20"/>
  <c r="I218" i="20"/>
  <c r="AL224" i="20"/>
  <c r="AS250" i="20"/>
  <c r="AP250" i="20"/>
  <c r="AS251" i="20"/>
  <c r="AP251" i="20"/>
  <c r="J161" i="20"/>
  <c r="J169" i="20"/>
  <c r="I171" i="20"/>
  <c r="J172" i="20"/>
  <c r="S173" i="20"/>
  <c r="AL173" i="20"/>
  <c r="I177" i="20"/>
  <c r="S178" i="20"/>
  <c r="AK179" i="20"/>
  <c r="S180" i="20"/>
  <c r="AK192" i="20"/>
  <c r="I193" i="20"/>
  <c r="S194" i="20"/>
  <c r="AK195" i="20"/>
  <c r="S196" i="20"/>
  <c r="AL211" i="20"/>
  <c r="T213" i="20"/>
  <c r="J215" i="20"/>
  <c r="AS223" i="20"/>
  <c r="AR223" i="20"/>
  <c r="T225" i="20"/>
  <c r="AS225" i="20"/>
  <c r="AK249" i="20"/>
  <c r="AK252" i="20"/>
  <c r="AK258" i="20"/>
  <c r="I288" i="20"/>
  <c r="AK291" i="20"/>
  <c r="AS322" i="20"/>
  <c r="AR322" i="20"/>
  <c r="AR173" i="20"/>
  <c r="AR181" i="20"/>
  <c r="AR189" i="20"/>
  <c r="AR197" i="20"/>
  <c r="S202" i="20"/>
  <c r="AR203" i="20"/>
  <c r="S212" i="20"/>
  <c r="I222" i="20"/>
  <c r="S222" i="20"/>
  <c r="AK231" i="20"/>
  <c r="AL203" i="20"/>
  <c r="S206" i="20"/>
  <c r="AK212" i="20"/>
  <c r="T220" i="20"/>
  <c r="AL221" i="20"/>
  <c r="I224" i="20"/>
  <c r="AK274" i="20"/>
  <c r="AP313" i="20"/>
  <c r="AS313" i="20"/>
  <c r="AR175" i="20"/>
  <c r="AR183" i="20"/>
  <c r="AR191" i="20"/>
  <c r="I200" i="20"/>
  <c r="AR200" i="20"/>
  <c r="AR216" i="20"/>
  <c r="S218" i="20"/>
  <c r="I229" i="20"/>
  <c r="AL231" i="20"/>
  <c r="I234" i="20"/>
  <c r="AL234" i="20"/>
  <c r="AL238" i="20"/>
  <c r="AK259" i="20"/>
  <c r="AL260" i="20"/>
  <c r="AS272" i="20"/>
  <c r="AR272" i="20"/>
  <c r="AK275" i="20"/>
  <c r="I204" i="20"/>
  <c r="J207" i="20"/>
  <c r="S210" i="20"/>
  <c r="J211" i="20"/>
  <c r="I216" i="20"/>
  <c r="T217" i="20"/>
  <c r="AK218" i="20"/>
  <c r="T221" i="20"/>
  <c r="AK223" i="20"/>
  <c r="AK225" i="20"/>
  <c r="AL227" i="20"/>
  <c r="T231" i="20"/>
  <c r="AL232" i="20"/>
  <c r="J234" i="20"/>
  <c r="AK248" i="20"/>
  <c r="T238" i="20"/>
  <c r="AK240" i="20"/>
  <c r="AK242" i="20"/>
  <c r="AL244" i="20"/>
  <c r="I246" i="20"/>
  <c r="AL248" i="20"/>
  <c r="S250" i="20"/>
  <c r="I255" i="20"/>
  <c r="AK264" i="20"/>
  <c r="J267" i="20"/>
  <c r="T273" i="20"/>
  <c r="AL276" i="20"/>
  <c r="AK286" i="20"/>
  <c r="AL287" i="20"/>
  <c r="I289" i="20"/>
  <c r="AL291" i="20"/>
  <c r="T232" i="20"/>
  <c r="AL240" i="20"/>
  <c r="S242" i="20"/>
  <c r="AS248" i="20"/>
  <c r="AR248" i="20"/>
  <c r="AK265" i="20"/>
  <c r="AK271" i="20"/>
  <c r="T277" i="20"/>
  <c r="AL281" i="20"/>
  <c r="T305" i="20"/>
  <c r="AL312" i="20"/>
  <c r="S234" i="20"/>
  <c r="S235" i="20"/>
  <c r="AL236" i="20"/>
  <c r="T240" i="20"/>
  <c r="AS242" i="20"/>
  <c r="AP242" i="20"/>
  <c r="AL243" i="20"/>
  <c r="T245" i="20"/>
  <c r="I247" i="20"/>
  <c r="S247" i="20"/>
  <c r="J248" i="20"/>
  <c r="J250" i="20"/>
  <c r="AK257" i="20"/>
  <c r="AL259" i="20"/>
  <c r="AK278" i="20"/>
  <c r="AL280" i="20"/>
  <c r="AL283" i="20"/>
  <c r="T297" i="20"/>
  <c r="AS306" i="20"/>
  <c r="AR306" i="20"/>
  <c r="AL307" i="20"/>
  <c r="AR225" i="20"/>
  <c r="J232" i="20"/>
  <c r="AS232" i="20"/>
  <c r="AR232" i="20"/>
  <c r="AR233" i="20"/>
  <c r="AK235" i="20"/>
  <c r="S237" i="20"/>
  <c r="AS240" i="20"/>
  <c r="AR240" i="20"/>
  <c r="T242" i="20"/>
  <c r="I244" i="20"/>
  <c r="AL246" i="20"/>
  <c r="J252" i="20"/>
  <c r="T254" i="20"/>
  <c r="AL255" i="20"/>
  <c r="AL256" i="20"/>
  <c r="S260" i="20"/>
  <c r="T264" i="20"/>
  <c r="J271" i="20"/>
  <c r="AK273" i="20"/>
  <c r="AL275" i="20"/>
  <c r="I282" i="20"/>
  <c r="AL284" i="20"/>
  <c r="S288" i="20"/>
  <c r="AK289" i="20"/>
  <c r="I292" i="20"/>
  <c r="AS308" i="20"/>
  <c r="AR308" i="20"/>
  <c r="AS312" i="20"/>
  <c r="AR312" i="20"/>
  <c r="T234" i="20"/>
  <c r="AS235" i="20"/>
  <c r="S236" i="20"/>
  <c r="I239" i="20"/>
  <c r="S239" i="20"/>
  <c r="J247" i="20"/>
  <c r="AS258" i="20"/>
  <c r="AR258" i="20"/>
  <c r="S259" i="20"/>
  <c r="S265" i="20"/>
  <c r="AL267" i="20"/>
  <c r="J277" i="20"/>
  <c r="AL277" i="20"/>
  <c r="AS277" i="20"/>
  <c r="AR277" i="20"/>
  <c r="I291" i="20"/>
  <c r="AS311" i="20"/>
  <c r="AR311" i="20"/>
  <c r="T252" i="20"/>
  <c r="AL258" i="20"/>
  <c r="J260" i="20"/>
  <c r="T260" i="20"/>
  <c r="J265" i="20"/>
  <c r="AS266" i="20"/>
  <c r="AR266" i="20"/>
  <c r="I270" i="20"/>
  <c r="T274" i="20"/>
  <c r="AL274" i="20"/>
  <c r="AS276" i="20"/>
  <c r="AK284" i="20"/>
  <c r="S287" i="20"/>
  <c r="AK287" i="20"/>
  <c r="AK294" i="20"/>
  <c r="AK308" i="20"/>
  <c r="AK338" i="20"/>
  <c r="AK255" i="20"/>
  <c r="I267" i="20"/>
  <c r="J270" i="20"/>
  <c r="S276" i="20"/>
  <c r="S278" i="20"/>
  <c r="AS282" i="20"/>
  <c r="AR282" i="20"/>
  <c r="AK297" i="20"/>
  <c r="AS303" i="20"/>
  <c r="AR303" i="20"/>
  <c r="AK253" i="20"/>
  <c r="S254" i="20"/>
  <c r="S257" i="20"/>
  <c r="AS261" i="20"/>
  <c r="AK263" i="20"/>
  <c r="T266" i="20"/>
  <c r="AL266" i="20"/>
  <c r="AL271" i="20"/>
  <c r="AL272" i="20"/>
  <c r="I278" i="20"/>
  <c r="AK282" i="20"/>
  <c r="J284" i="20"/>
  <c r="T284" i="20"/>
  <c r="AS287" i="20"/>
  <c r="I299" i="20"/>
  <c r="I306" i="20"/>
  <c r="S310" i="20"/>
  <c r="AL310" i="20"/>
  <c r="AL253" i="20"/>
  <c r="I254" i="20"/>
  <c r="S255" i="20"/>
  <c r="I256" i="20"/>
  <c r="AS260" i="20"/>
  <c r="AR261" i="20"/>
  <c r="S262" i="20"/>
  <c r="AR264" i="20"/>
  <c r="AR267" i="20"/>
  <c r="AK268" i="20"/>
  <c r="I272" i="20"/>
  <c r="I273" i="20"/>
  <c r="S273" i="20"/>
  <c r="J276" i="20"/>
  <c r="T276" i="20"/>
  <c r="S279" i="20"/>
  <c r="AK279" i="20"/>
  <c r="I283" i="20"/>
  <c r="AK285" i="20"/>
  <c r="AR288" i="20"/>
  <c r="AS290" i="20"/>
  <c r="AR290" i="20"/>
  <c r="AR291" i="20"/>
  <c r="AK292" i="20"/>
  <c r="AL297" i="20"/>
  <c r="J299" i="20"/>
  <c r="AK323" i="20"/>
  <c r="AP325" i="20"/>
  <c r="AK328" i="20"/>
  <c r="T255" i="20"/>
  <c r="I257" i="20"/>
  <c r="AK260" i="20"/>
  <c r="AK261" i="20"/>
  <c r="I262" i="20"/>
  <c r="S263" i="20"/>
  <c r="AL263" i="20"/>
  <c r="AL264" i="20"/>
  <c r="S268" i="20"/>
  <c r="AS274" i="20"/>
  <c r="AR274" i="20"/>
  <c r="AS279" i="20"/>
  <c r="T282" i="20"/>
  <c r="AL282" i="20"/>
  <c r="AS285" i="20"/>
  <c r="AL288" i="20"/>
  <c r="AK290" i="20"/>
  <c r="S292" i="20"/>
  <c r="AL323" i="20"/>
  <c r="AL326" i="20"/>
  <c r="AS339" i="20"/>
  <c r="AP339" i="20"/>
  <c r="AS300" i="20"/>
  <c r="AS302" i="20"/>
  <c r="J307" i="20"/>
  <c r="AK312" i="20"/>
  <c r="I316" i="20"/>
  <c r="AK318" i="20"/>
  <c r="AK329" i="20"/>
  <c r="AR255" i="20"/>
  <c r="AR263" i="20"/>
  <c r="AR271" i="20"/>
  <c r="AR279" i="20"/>
  <c r="AL294" i="20"/>
  <c r="AS294" i="20"/>
  <c r="S301" i="20"/>
  <c r="AK303" i="20"/>
  <c r="S304" i="20"/>
  <c r="AL306" i="20"/>
  <c r="AL318" i="20"/>
  <c r="AR252" i="20"/>
  <c r="AR260" i="20"/>
  <c r="AR268" i="20"/>
  <c r="AR276" i="20"/>
  <c r="AR284" i="20"/>
  <c r="AR292" i="20"/>
  <c r="AR298" i="20"/>
  <c r="AK299" i="20"/>
  <c r="I301" i="20"/>
  <c r="AL303" i="20"/>
  <c r="I304" i="20"/>
  <c r="AS305" i="20"/>
  <c r="AK317" i="20"/>
  <c r="AS324" i="20"/>
  <c r="AP324" i="20"/>
  <c r="AL295" i="20"/>
  <c r="AS297" i="20"/>
  <c r="AR297" i="20"/>
  <c r="S299" i="20"/>
  <c r="I303" i="20"/>
  <c r="AK305" i="20"/>
  <c r="AL327" i="20"/>
  <c r="S327" i="20"/>
  <c r="AS329" i="20"/>
  <c r="AP329" i="20"/>
  <c r="AL335" i="20"/>
  <c r="AR305" i="20"/>
  <c r="J313" i="20"/>
  <c r="AS314" i="20"/>
  <c r="AR315" i="20"/>
  <c r="AK325" i="20"/>
  <c r="T327" i="20"/>
  <c r="AL344" i="20"/>
  <c r="J314" i="20"/>
  <c r="AK314" i="20"/>
  <c r="AK315" i="20"/>
  <c r="J318" i="20"/>
  <c r="AK319" i="20"/>
  <c r="AS319" i="20"/>
  <c r="AR319" i="20"/>
  <c r="AL322" i="20"/>
  <c r="AK324" i="20"/>
  <c r="AL325" i="20"/>
  <c r="I326" i="20"/>
  <c r="AL328" i="20"/>
  <c r="T330" i="20"/>
  <c r="S341" i="20"/>
  <c r="AL348" i="20"/>
  <c r="AR299" i="20"/>
  <c r="AR307" i="20"/>
  <c r="I315" i="20"/>
  <c r="AK316" i="20"/>
  <c r="AP316" i="20"/>
  <c r="AR323" i="20"/>
  <c r="S325" i="20"/>
  <c r="I330" i="20"/>
  <c r="AS332" i="20"/>
  <c r="AR332" i="20"/>
  <c r="AP334" i="20"/>
  <c r="AL314" i="20"/>
  <c r="S316" i="20"/>
  <c r="T319" i="20"/>
  <c r="AL319" i="20"/>
  <c r="I320" i="20"/>
  <c r="S324" i="20"/>
  <c r="J326" i="20"/>
  <c r="S329" i="20"/>
  <c r="AS340" i="20"/>
  <c r="AR340" i="20"/>
  <c r="AL339" i="20"/>
  <c r="T341" i="20"/>
  <c r="AR345" i="20"/>
  <c r="AS345" i="20"/>
  <c r="S347" i="20"/>
  <c r="AK350" i="20"/>
  <c r="AL351" i="20"/>
  <c r="AS352" i="20"/>
  <c r="AR352" i="20"/>
  <c r="AL354" i="20"/>
  <c r="T357" i="20"/>
  <c r="J331" i="20"/>
  <c r="AL362" i="20"/>
  <c r="AR327" i="20"/>
  <c r="AS337" i="20"/>
  <c r="AR337" i="20"/>
  <c r="S344" i="20"/>
  <c r="AR348" i="20"/>
  <c r="AK331" i="20"/>
  <c r="J335" i="20"/>
  <c r="I337" i="20"/>
  <c r="J339" i="20"/>
  <c r="AK341" i="20"/>
  <c r="AL343" i="20"/>
  <c r="AK345" i="20"/>
  <c r="I338" i="20"/>
  <c r="AK342" i="20"/>
  <c r="AP342" i="20"/>
  <c r="J344" i="20"/>
  <c r="AL345" i="20"/>
  <c r="AP349" i="20"/>
  <c r="AL366" i="20"/>
  <c r="AL347" i="20"/>
  <c r="AK354" i="20"/>
  <c r="AL355" i="20"/>
  <c r="J359" i="20"/>
  <c r="J366" i="20"/>
  <c r="AL370" i="20"/>
  <c r="AS374" i="20"/>
  <c r="AR374" i="20"/>
  <c r="I355" i="20"/>
  <c r="AS357" i="20"/>
  <c r="AR357" i="20"/>
  <c r="AL360" i="20"/>
  <c r="I361" i="20"/>
  <c r="AL365" i="20"/>
  <c r="S367" i="20"/>
  <c r="S370" i="20"/>
  <c r="I358" i="20"/>
  <c r="AL359" i="20"/>
  <c r="AK362" i="20"/>
  <c r="AR331" i="20"/>
  <c r="AK348" i="20"/>
  <c r="J353" i="20"/>
  <c r="AR355" i="20"/>
  <c r="S359" i="20"/>
  <c r="AK364" i="20"/>
  <c r="AL378" i="20"/>
  <c r="AS353" i="20"/>
  <c r="T359" i="20"/>
  <c r="AK351" i="20"/>
  <c r="AR351" i="20"/>
  <c r="S356" i="20"/>
  <c r="AK356" i="20"/>
  <c r="AK357" i="20"/>
  <c r="AS359" i="20"/>
  <c r="S363" i="20"/>
  <c r="T364" i="20"/>
  <c r="J367" i="20"/>
  <c r="AK373" i="20"/>
  <c r="AR363" i="20"/>
  <c r="J369" i="20"/>
  <c r="I370" i="20"/>
  <c r="AS371" i="20"/>
  <c r="AR371" i="20"/>
  <c r="AS379" i="20"/>
  <c r="AR379" i="20"/>
  <c r="I367" i="20"/>
  <c r="T368" i="20"/>
  <c r="J370" i="20"/>
  <c r="AK371" i="20"/>
  <c r="I372" i="20"/>
  <c r="AL373" i="20"/>
  <c r="AK376" i="20"/>
  <c r="S378" i="20"/>
  <c r="I380" i="20"/>
  <c r="AR359" i="20"/>
  <c r="AS364" i="20"/>
  <c r="AP368" i="20"/>
  <c r="AK370" i="20"/>
  <c r="T371" i="20"/>
  <c r="J372" i="20"/>
  <c r="S373" i="20"/>
  <c r="J375" i="20"/>
  <c r="AL376" i="20"/>
  <c r="T378" i="20"/>
  <c r="J380" i="20"/>
  <c r="AL382" i="20"/>
  <c r="AK386" i="20"/>
  <c r="AL387" i="20"/>
  <c r="AR356" i="20"/>
  <c r="AK363" i="20"/>
  <c r="AK367" i="20"/>
  <c r="T373" i="20"/>
  <c r="AK374" i="20"/>
  <c r="AK379" i="20"/>
  <c r="AS390" i="20"/>
  <c r="AP390" i="20"/>
  <c r="AS396" i="20"/>
  <c r="AR396" i="20"/>
  <c r="AK401" i="20"/>
  <c r="J373" i="20"/>
  <c r="AS373" i="20"/>
  <c r="AP373" i="20"/>
  <c r="AL374" i="20"/>
  <c r="S376" i="20"/>
  <c r="AP376" i="20"/>
  <c r="I378" i="20"/>
  <c r="AL379" i="20"/>
  <c r="AL380" i="20"/>
  <c r="AS382" i="20"/>
  <c r="AP382" i="20"/>
  <c r="AS388" i="20"/>
  <c r="AR388" i="20"/>
  <c r="J394" i="20"/>
  <c r="AS380" i="20"/>
  <c r="T382" i="20"/>
  <c r="J384" i="20"/>
  <c r="J386" i="20"/>
  <c r="I388" i="20"/>
  <c r="S395" i="20"/>
  <c r="AK398" i="20"/>
  <c r="S400" i="20"/>
  <c r="AK404" i="20"/>
  <c r="S387" i="20"/>
  <c r="I389" i="20"/>
  <c r="AK392" i="20"/>
  <c r="AK393" i="20"/>
  <c r="AL394" i="20"/>
  <c r="AK396" i="20"/>
  <c r="T401" i="20"/>
  <c r="AL404" i="20"/>
  <c r="AR370" i="20"/>
  <c r="AR378" i="20"/>
  <c r="I381" i="20"/>
  <c r="J382" i="20"/>
  <c r="AK384" i="20"/>
  <c r="AK385" i="20"/>
  <c r="AL386" i="20"/>
  <c r="J395" i="20"/>
  <c r="AL396" i="20"/>
  <c r="AL398" i="20"/>
  <c r="AL399" i="20"/>
  <c r="AR399" i="20"/>
  <c r="S403" i="20"/>
  <c r="AR375" i="20"/>
  <c r="S381" i="20"/>
  <c r="J387" i="20"/>
  <c r="AK388" i="20"/>
  <c r="AK390" i="20"/>
  <c r="S392" i="20"/>
  <c r="T393" i="20"/>
  <c r="AS393" i="20"/>
  <c r="S394" i="20"/>
  <c r="S398" i="20"/>
  <c r="I400" i="20"/>
  <c r="J402" i="20"/>
  <c r="T404" i="20"/>
  <c r="AK382" i="20"/>
  <c r="S384" i="20"/>
  <c r="T385" i="20"/>
  <c r="AS385" i="20"/>
  <c r="S386" i="20"/>
  <c r="AL388" i="20"/>
  <c r="T396" i="20"/>
  <c r="T398" i="20"/>
  <c r="AS398" i="20"/>
  <c r="J400" i="20"/>
  <c r="AS404" i="20"/>
  <c r="AR404" i="20"/>
  <c r="AR398" i="20"/>
  <c r="AP400" i="20"/>
  <c r="AR403" i="20"/>
  <c r="AR384" i="20"/>
  <c r="AR392" i="20"/>
  <c r="AR405" i="20" l="1"/>
  <c r="AP405" i="20"/>
  <c r="AN405" i="20" l="1"/>
  <c r="AM405" i="20"/>
  <c r="AA404" i="19"/>
  <c r="AA403" i="19"/>
  <c r="AA402" i="19"/>
  <c r="AA401" i="19"/>
  <c r="AA400" i="19"/>
  <c r="AA399" i="19"/>
  <c r="AA398" i="19"/>
  <c r="AA397" i="19"/>
  <c r="AA396" i="19"/>
  <c r="AA395" i="19"/>
  <c r="AA394" i="19"/>
  <c r="AA393" i="19"/>
  <c r="AA392" i="19"/>
  <c r="AA391" i="19"/>
  <c r="AA390" i="19"/>
  <c r="AA389" i="19"/>
  <c r="AA388" i="19"/>
  <c r="AA387" i="19"/>
  <c r="AA386" i="19"/>
  <c r="AA385" i="19"/>
  <c r="AA384" i="19"/>
  <c r="AA383" i="19"/>
  <c r="AA382" i="19"/>
  <c r="AA381" i="19"/>
  <c r="AA380" i="19"/>
  <c r="AA379" i="19"/>
  <c r="AA378" i="19"/>
  <c r="AA377" i="19"/>
  <c r="AA376" i="19"/>
  <c r="AA375" i="19"/>
  <c r="AA374" i="19"/>
  <c r="AA373" i="19"/>
  <c r="AA372" i="19"/>
  <c r="AA371" i="19"/>
  <c r="AA370" i="19"/>
  <c r="AA369" i="19"/>
  <c r="AA368" i="19"/>
  <c r="AA367" i="19"/>
  <c r="AA366" i="19"/>
  <c r="AA365" i="19"/>
  <c r="AA364" i="19"/>
  <c r="AA363" i="19"/>
  <c r="AA362" i="19"/>
  <c r="AA361" i="19"/>
  <c r="AA360" i="19"/>
  <c r="AA359" i="19"/>
  <c r="AA358" i="19"/>
  <c r="AA357" i="19"/>
  <c r="AA356" i="19"/>
  <c r="AA355" i="19"/>
  <c r="AA354" i="19"/>
  <c r="AA353" i="19"/>
  <c r="AA352" i="19"/>
  <c r="AA351" i="19"/>
  <c r="AA350" i="19"/>
  <c r="AA349" i="19"/>
  <c r="AA348" i="19"/>
  <c r="AA347" i="19"/>
  <c r="AA346" i="19"/>
  <c r="AA345" i="19"/>
  <c r="AA344" i="19"/>
  <c r="AA343" i="19"/>
  <c r="AA342" i="19"/>
  <c r="AA341" i="19"/>
  <c r="AA340" i="19"/>
  <c r="AA339" i="19"/>
  <c r="AA338" i="19"/>
  <c r="AA337" i="19"/>
  <c r="AA336" i="19"/>
  <c r="AA335" i="19"/>
  <c r="AA334" i="19"/>
  <c r="AA333" i="19"/>
  <c r="AA332" i="19"/>
  <c r="AA331" i="19"/>
  <c r="AA330" i="19"/>
  <c r="AA329" i="19"/>
  <c r="AA328" i="19"/>
  <c r="AA327" i="19"/>
  <c r="AA326" i="19"/>
  <c r="AA325" i="19"/>
  <c r="AA324" i="19"/>
  <c r="AA323" i="19"/>
  <c r="AA322" i="19"/>
  <c r="AA321" i="19"/>
  <c r="AA320" i="19"/>
  <c r="AA319" i="19"/>
  <c r="AA318" i="19"/>
  <c r="AA317" i="19"/>
  <c r="AA316" i="19"/>
  <c r="AA315" i="19"/>
  <c r="AA314" i="19"/>
  <c r="AA313" i="19"/>
  <c r="AA312" i="19"/>
  <c r="AA311" i="19"/>
  <c r="AA310" i="19"/>
  <c r="AA309" i="19"/>
  <c r="AA308" i="19"/>
  <c r="AA307" i="19"/>
  <c r="AA306" i="19"/>
  <c r="AA305" i="19"/>
  <c r="AA304" i="19"/>
  <c r="AA303" i="19"/>
  <c r="AA302" i="19"/>
  <c r="AA301" i="19"/>
  <c r="AA300" i="19"/>
  <c r="AA299" i="19"/>
  <c r="AA298" i="19"/>
  <c r="AA297" i="19"/>
  <c r="AA296" i="19"/>
  <c r="AA295" i="19"/>
  <c r="AA294" i="19"/>
  <c r="AA293" i="19"/>
  <c r="AA292" i="19"/>
  <c r="AA291" i="19"/>
  <c r="AA290" i="19"/>
  <c r="AA289" i="19"/>
  <c r="AA288" i="19"/>
  <c r="AA287" i="19"/>
  <c r="AA286" i="19"/>
  <c r="AA285" i="19"/>
  <c r="AA284" i="19"/>
  <c r="AA283" i="19"/>
  <c r="AA282" i="19"/>
  <c r="AA281" i="19"/>
  <c r="AA280" i="19"/>
  <c r="AA279" i="19"/>
  <c r="AA278" i="19"/>
  <c r="AA277" i="19"/>
  <c r="AA276" i="19"/>
  <c r="AA275" i="19"/>
  <c r="AA274" i="19"/>
  <c r="AA273" i="19"/>
  <c r="AA272" i="19"/>
  <c r="AA271" i="19"/>
  <c r="AA270" i="19"/>
  <c r="AA269" i="19"/>
  <c r="AA268" i="19"/>
  <c r="AA267" i="19"/>
  <c r="AA266" i="19"/>
  <c r="AA265" i="19"/>
  <c r="AA264" i="19"/>
  <c r="AA263" i="19"/>
  <c r="AA262" i="19"/>
  <c r="AA261" i="19"/>
  <c r="AA260" i="19"/>
  <c r="AA259" i="19"/>
  <c r="AA258" i="19"/>
  <c r="AA257" i="19"/>
  <c r="AA256" i="19"/>
  <c r="AA255" i="19"/>
  <c r="AA254" i="19"/>
  <c r="AA253" i="19"/>
  <c r="AA252" i="19"/>
  <c r="AA251" i="19"/>
  <c r="AA250" i="19"/>
  <c r="AA249" i="19"/>
  <c r="AA248" i="19"/>
  <c r="AA247" i="19"/>
  <c r="AA246" i="19"/>
  <c r="AA245" i="19"/>
  <c r="AA244" i="19"/>
  <c r="AA243" i="19"/>
  <c r="AA242" i="19"/>
  <c r="AA241" i="19"/>
  <c r="AA240" i="19"/>
  <c r="AA239" i="19"/>
  <c r="AA238" i="19"/>
  <c r="AA237" i="19"/>
  <c r="AA236" i="19"/>
  <c r="AA235" i="19"/>
  <c r="AA234" i="19"/>
  <c r="AA233" i="19"/>
  <c r="AA232" i="19"/>
  <c r="AA231" i="19"/>
  <c r="AA230" i="19"/>
  <c r="AA229" i="19"/>
  <c r="AA228" i="19"/>
  <c r="AA227" i="19"/>
  <c r="AA226" i="19"/>
  <c r="AA225" i="19"/>
  <c r="AA224" i="19"/>
  <c r="AA223" i="19"/>
  <c r="AA222" i="19"/>
  <c r="AA221" i="19"/>
  <c r="AA220" i="19"/>
  <c r="AA219" i="19"/>
  <c r="AA218" i="19"/>
  <c r="AA217" i="19"/>
  <c r="AA216" i="19"/>
  <c r="AA215" i="19"/>
  <c r="AA214" i="19"/>
  <c r="AA213" i="19"/>
  <c r="AA212" i="19"/>
  <c r="AA211" i="19"/>
  <c r="AA210" i="19"/>
  <c r="AA209" i="19"/>
  <c r="AA208" i="19"/>
  <c r="AA207" i="19"/>
  <c r="AA206" i="19"/>
  <c r="AA205" i="19"/>
  <c r="AA204" i="19"/>
  <c r="AA203" i="19"/>
  <c r="AA202" i="19"/>
  <c r="AA201" i="19"/>
  <c r="AA200" i="19"/>
  <c r="AA199" i="19"/>
  <c r="AA198" i="19"/>
  <c r="AA197" i="19"/>
  <c r="AA196" i="19"/>
  <c r="AA195" i="19"/>
  <c r="AA194" i="19"/>
  <c r="AA193" i="19"/>
  <c r="AA192" i="19"/>
  <c r="AA191" i="19"/>
  <c r="AA190" i="19"/>
  <c r="AA189" i="19"/>
  <c r="AA188" i="19"/>
  <c r="AA187" i="19"/>
  <c r="AA186" i="19"/>
  <c r="AA185" i="19"/>
  <c r="AA184" i="19"/>
  <c r="AA183" i="19"/>
  <c r="AA182" i="19"/>
  <c r="AA181" i="19"/>
  <c r="AA180" i="19"/>
  <c r="AA179" i="19"/>
  <c r="AA178" i="19"/>
  <c r="AA177" i="19"/>
  <c r="AA176" i="19"/>
  <c r="AA175" i="19"/>
  <c r="AA174" i="19"/>
  <c r="AA173" i="19"/>
  <c r="AA172" i="19"/>
  <c r="AA171" i="19"/>
  <c r="AA170" i="19"/>
  <c r="AA169" i="19"/>
  <c r="AA168" i="19"/>
  <c r="AA167" i="19"/>
  <c r="AA166" i="19"/>
  <c r="AA165" i="19"/>
  <c r="AA164" i="19"/>
  <c r="AA163" i="19"/>
  <c r="AA162" i="19"/>
  <c r="AA161" i="19"/>
  <c r="AA160" i="19"/>
  <c r="AA159" i="19"/>
  <c r="AA158" i="19"/>
  <c r="AA157" i="19"/>
  <c r="AA156" i="19"/>
  <c r="AA155" i="19"/>
  <c r="AA154" i="19"/>
  <c r="AA153" i="19"/>
  <c r="AA152" i="19"/>
  <c r="AA151" i="19"/>
  <c r="AA150" i="19"/>
  <c r="AA149" i="19"/>
  <c r="AA148" i="19"/>
  <c r="AA147" i="19"/>
  <c r="AA146" i="19"/>
  <c r="AA145" i="19"/>
  <c r="AA144" i="19"/>
  <c r="AA143" i="19"/>
  <c r="AA142" i="19"/>
  <c r="AA141" i="19"/>
  <c r="AA140" i="19"/>
  <c r="AA139" i="19"/>
  <c r="AA138" i="19"/>
  <c r="AA137" i="19"/>
  <c r="AA136" i="19"/>
  <c r="AA135" i="19"/>
  <c r="AA134" i="19"/>
  <c r="AA133" i="19"/>
  <c r="AA132" i="19"/>
  <c r="AA131" i="19"/>
  <c r="AA130" i="19"/>
  <c r="AA129" i="19"/>
  <c r="AA128" i="19"/>
  <c r="AA127" i="19"/>
  <c r="AA126" i="19"/>
  <c r="AA125" i="19"/>
  <c r="AA124" i="19"/>
  <c r="AA123" i="19"/>
  <c r="AA122" i="19"/>
  <c r="AA121" i="19"/>
  <c r="AA120" i="19"/>
  <c r="AA119" i="19"/>
  <c r="AA118" i="19"/>
  <c r="AA117" i="19"/>
  <c r="AA116" i="19"/>
  <c r="AA115" i="19"/>
  <c r="AA114" i="19"/>
  <c r="AA113" i="19"/>
  <c r="AA112" i="19"/>
  <c r="AA111" i="19"/>
  <c r="AA110" i="19"/>
  <c r="AA109" i="19"/>
  <c r="AA108" i="19"/>
  <c r="AA107" i="19"/>
  <c r="AA106" i="19"/>
  <c r="AA105" i="19"/>
  <c r="AA104" i="19"/>
  <c r="AA103" i="19"/>
  <c r="AA102" i="19"/>
  <c r="AA101" i="19"/>
  <c r="AA100" i="19"/>
  <c r="AA99" i="19"/>
  <c r="AA98" i="19"/>
  <c r="AA97" i="19"/>
  <c r="AA96" i="19"/>
  <c r="AA95" i="19"/>
  <c r="AA94" i="19"/>
  <c r="AA93" i="19"/>
  <c r="AA92" i="19"/>
  <c r="AA91" i="19"/>
  <c r="AA90" i="19"/>
  <c r="AA89" i="19"/>
  <c r="AA88" i="19"/>
  <c r="AA87" i="19"/>
  <c r="AA86" i="19"/>
  <c r="AA85" i="19"/>
  <c r="AA84" i="19"/>
  <c r="AA83" i="19"/>
  <c r="AA82" i="19"/>
  <c r="AA81" i="19"/>
  <c r="AA80" i="19"/>
  <c r="AA79" i="19"/>
  <c r="AA78" i="19"/>
  <c r="AA77" i="19"/>
  <c r="AA76" i="19"/>
  <c r="AA75" i="19"/>
  <c r="AA74" i="19"/>
  <c r="AA73" i="19"/>
  <c r="AA72" i="19"/>
  <c r="AA71" i="19"/>
  <c r="AA70" i="19"/>
  <c r="AA69" i="19"/>
  <c r="AA68" i="19"/>
  <c r="AA67" i="19"/>
  <c r="AA66" i="19"/>
  <c r="AA65" i="19"/>
  <c r="AA64" i="19"/>
  <c r="AA63" i="19"/>
  <c r="AA62" i="19"/>
  <c r="AA61" i="19"/>
  <c r="AA60" i="19"/>
  <c r="AA59" i="19"/>
  <c r="AA58" i="19"/>
  <c r="AA57" i="19"/>
  <c r="AA56" i="19"/>
  <c r="AA55" i="19"/>
  <c r="AA54" i="19"/>
  <c r="AA53" i="19"/>
  <c r="AA52" i="19"/>
  <c r="AA51" i="19"/>
  <c r="AA50" i="19"/>
  <c r="AA49" i="19"/>
  <c r="AA48" i="19"/>
  <c r="AA47" i="19"/>
  <c r="AA46" i="19"/>
  <c r="AA45" i="19"/>
  <c r="AA44" i="19"/>
  <c r="AA43" i="19"/>
  <c r="AA42" i="19"/>
  <c r="AA41" i="19"/>
  <c r="AA40" i="19"/>
  <c r="AA39" i="19"/>
  <c r="AA38" i="19"/>
  <c r="AA37" i="19"/>
  <c r="AA36" i="19"/>
  <c r="AA35" i="19"/>
  <c r="AA34" i="19"/>
  <c r="AA33" i="19"/>
  <c r="AA32" i="19"/>
  <c r="AA31" i="19"/>
  <c r="AA30" i="19"/>
  <c r="AA29" i="19"/>
  <c r="AA28" i="19"/>
  <c r="AA27" i="19"/>
  <c r="AA26" i="19"/>
  <c r="AA25" i="19"/>
  <c r="AA24" i="19"/>
  <c r="AA23" i="19"/>
  <c r="AA22" i="19"/>
  <c r="AA21" i="19"/>
  <c r="AA20" i="19"/>
  <c r="AA19" i="19"/>
  <c r="AA18" i="19"/>
  <c r="AA17" i="19"/>
  <c r="AA16" i="19"/>
  <c r="AA15" i="19"/>
  <c r="AA14" i="19"/>
  <c r="AA13" i="19"/>
  <c r="AA12" i="19"/>
  <c r="AA11" i="19"/>
  <c r="AA10" i="19"/>
  <c r="AA9" i="19"/>
  <c r="AA8" i="19"/>
  <c r="AA7" i="19"/>
  <c r="AA6" i="19"/>
  <c r="AA5" i="19"/>
  <c r="AA4" i="19"/>
  <c r="AA3" i="19"/>
  <c r="AA2" i="19"/>
  <c r="X404" i="19"/>
  <c r="X403" i="19"/>
  <c r="X402" i="19"/>
  <c r="X401" i="19"/>
  <c r="X400" i="19"/>
  <c r="X399" i="19"/>
  <c r="X398" i="19"/>
  <c r="X397" i="19"/>
  <c r="X396" i="19"/>
  <c r="X395" i="19"/>
  <c r="X394" i="19"/>
  <c r="X393" i="19"/>
  <c r="X392" i="19"/>
  <c r="X391" i="19"/>
  <c r="X390" i="19"/>
  <c r="X389" i="19"/>
  <c r="X388" i="19"/>
  <c r="X387" i="19"/>
  <c r="X386" i="19"/>
  <c r="X385" i="19"/>
  <c r="X384" i="19"/>
  <c r="X383" i="19"/>
  <c r="X382" i="19"/>
  <c r="X381" i="19"/>
  <c r="X380" i="19"/>
  <c r="X379" i="19"/>
  <c r="X378" i="19"/>
  <c r="X377" i="19"/>
  <c r="X376" i="19"/>
  <c r="X375" i="19"/>
  <c r="X374" i="19"/>
  <c r="X373" i="19"/>
  <c r="X372" i="19"/>
  <c r="X371" i="19"/>
  <c r="X370" i="19"/>
  <c r="X369" i="19"/>
  <c r="X368" i="19"/>
  <c r="X367" i="19"/>
  <c r="X366" i="19"/>
  <c r="X365" i="19"/>
  <c r="X364" i="19"/>
  <c r="X363" i="19"/>
  <c r="X362" i="19"/>
  <c r="X361" i="19"/>
  <c r="X360" i="19"/>
  <c r="X359" i="19"/>
  <c r="X358" i="19"/>
  <c r="X357" i="19"/>
  <c r="X356" i="19"/>
  <c r="X355" i="19"/>
  <c r="X354" i="19"/>
  <c r="X353" i="19"/>
  <c r="X352" i="19"/>
  <c r="X351" i="19"/>
  <c r="X350" i="19"/>
  <c r="X349" i="19"/>
  <c r="X348" i="19"/>
  <c r="X347" i="19"/>
  <c r="X346" i="19"/>
  <c r="X345" i="19"/>
  <c r="X344" i="19"/>
  <c r="X343" i="19"/>
  <c r="X342" i="19"/>
  <c r="X341" i="19"/>
  <c r="X340" i="19"/>
  <c r="X339" i="19"/>
  <c r="X338" i="19"/>
  <c r="X337" i="19"/>
  <c r="X336" i="19"/>
  <c r="X335" i="19"/>
  <c r="X334" i="19"/>
  <c r="X333" i="19"/>
  <c r="X332" i="19"/>
  <c r="X331" i="19"/>
  <c r="X330" i="19"/>
  <c r="X329" i="19"/>
  <c r="X328" i="19"/>
  <c r="X327" i="19"/>
  <c r="X326" i="19"/>
  <c r="X325" i="19"/>
  <c r="X324" i="19"/>
  <c r="X323" i="19"/>
  <c r="X322" i="19"/>
  <c r="X321" i="19"/>
  <c r="X320" i="19"/>
  <c r="X319" i="19"/>
  <c r="X318" i="19"/>
  <c r="X317" i="19"/>
  <c r="X316" i="19"/>
  <c r="X315" i="19"/>
  <c r="X314" i="19"/>
  <c r="X313" i="19"/>
  <c r="X312" i="19"/>
  <c r="X311" i="19"/>
  <c r="X310" i="19"/>
  <c r="X309" i="19"/>
  <c r="X308" i="19"/>
  <c r="X307" i="19"/>
  <c r="X306" i="19"/>
  <c r="X305" i="19"/>
  <c r="X304" i="19"/>
  <c r="X303" i="19"/>
  <c r="X302" i="19"/>
  <c r="X301" i="19"/>
  <c r="X300" i="19"/>
  <c r="X299" i="19"/>
  <c r="X298" i="19"/>
  <c r="X297" i="19"/>
  <c r="X296" i="19"/>
  <c r="X295" i="19"/>
  <c r="X294" i="19"/>
  <c r="X293" i="19"/>
  <c r="X292" i="19"/>
  <c r="X291" i="19"/>
  <c r="X290" i="19"/>
  <c r="X289" i="19"/>
  <c r="X288" i="19"/>
  <c r="X287" i="19"/>
  <c r="X286" i="19"/>
  <c r="X285" i="19"/>
  <c r="X284" i="19"/>
  <c r="X283" i="19"/>
  <c r="X282" i="19"/>
  <c r="X281" i="19"/>
  <c r="X280" i="19"/>
  <c r="X279" i="19"/>
  <c r="X278" i="19"/>
  <c r="X277" i="19"/>
  <c r="X276" i="19"/>
  <c r="X275" i="19"/>
  <c r="X274" i="19"/>
  <c r="X273" i="19"/>
  <c r="X272" i="19"/>
  <c r="X271" i="19"/>
  <c r="X270" i="19"/>
  <c r="X269" i="19"/>
  <c r="X268" i="19"/>
  <c r="X267" i="19"/>
  <c r="X266" i="19"/>
  <c r="X265" i="19"/>
  <c r="X264" i="19"/>
  <c r="X263" i="19"/>
  <c r="X262" i="19"/>
  <c r="X261" i="19"/>
  <c r="X260" i="19"/>
  <c r="X259" i="19"/>
  <c r="X258" i="19"/>
  <c r="X257" i="19"/>
  <c r="X256" i="19"/>
  <c r="X255" i="19"/>
  <c r="X254" i="19"/>
  <c r="X253" i="19"/>
  <c r="X252" i="19"/>
  <c r="X251" i="19"/>
  <c r="X250" i="19"/>
  <c r="X249" i="19"/>
  <c r="X248" i="19"/>
  <c r="X247" i="19"/>
  <c r="X246" i="19"/>
  <c r="X245" i="19"/>
  <c r="X244" i="19"/>
  <c r="X243" i="19"/>
  <c r="X242" i="19"/>
  <c r="X241" i="19"/>
  <c r="X240" i="19"/>
  <c r="X239" i="19"/>
  <c r="X238" i="19"/>
  <c r="X237" i="19"/>
  <c r="X236" i="19"/>
  <c r="X235" i="19"/>
  <c r="X234" i="19"/>
  <c r="X233" i="19"/>
  <c r="X232" i="19"/>
  <c r="X231" i="19"/>
  <c r="X230" i="19"/>
  <c r="X229" i="19"/>
  <c r="X228" i="19"/>
  <c r="X227" i="19"/>
  <c r="X226" i="19"/>
  <c r="X225" i="19"/>
  <c r="X224" i="19"/>
  <c r="X223" i="19"/>
  <c r="X222" i="19"/>
  <c r="X221" i="19"/>
  <c r="X220" i="19"/>
  <c r="X219" i="19"/>
  <c r="X218" i="19"/>
  <c r="X217" i="19"/>
  <c r="X216" i="19"/>
  <c r="X215" i="19"/>
  <c r="X214" i="19"/>
  <c r="X213" i="19"/>
  <c r="X212" i="19"/>
  <c r="X211" i="19"/>
  <c r="X210" i="19"/>
  <c r="X209" i="19"/>
  <c r="X208" i="19"/>
  <c r="X207" i="19"/>
  <c r="X206" i="19"/>
  <c r="X205" i="19"/>
  <c r="X204" i="19"/>
  <c r="X203" i="19"/>
  <c r="X202" i="19"/>
  <c r="X201" i="19"/>
  <c r="X200" i="19"/>
  <c r="X199" i="19"/>
  <c r="X198" i="19"/>
  <c r="X197" i="19"/>
  <c r="X196" i="19"/>
  <c r="X195" i="19"/>
  <c r="X194" i="19"/>
  <c r="X193" i="19"/>
  <c r="X192" i="19"/>
  <c r="X191" i="19"/>
  <c r="X190" i="19"/>
  <c r="X189" i="19"/>
  <c r="X188" i="19"/>
  <c r="X187" i="19"/>
  <c r="X186" i="19"/>
  <c r="X185" i="19"/>
  <c r="X184" i="19"/>
  <c r="X183" i="19"/>
  <c r="X182" i="19"/>
  <c r="X181" i="19"/>
  <c r="X180" i="19"/>
  <c r="X179" i="19"/>
  <c r="X178" i="19"/>
  <c r="X177" i="19"/>
  <c r="X176" i="19"/>
  <c r="X175" i="19"/>
  <c r="X174" i="19"/>
  <c r="X173" i="19"/>
  <c r="X172" i="19"/>
  <c r="X171" i="19"/>
  <c r="X170" i="19"/>
  <c r="X169" i="19"/>
  <c r="X168" i="19"/>
  <c r="X167" i="19"/>
  <c r="X166" i="19"/>
  <c r="X165" i="19"/>
  <c r="X164" i="19"/>
  <c r="X163" i="19"/>
  <c r="X162" i="19"/>
  <c r="X161" i="19"/>
  <c r="X160" i="19"/>
  <c r="X159" i="19"/>
  <c r="X158" i="19"/>
  <c r="X157" i="19"/>
  <c r="X156" i="19"/>
  <c r="X155" i="19"/>
  <c r="X154" i="19"/>
  <c r="X153" i="19"/>
  <c r="X152" i="19"/>
  <c r="X151" i="19"/>
  <c r="X150" i="19"/>
  <c r="X149" i="19"/>
  <c r="X148" i="19"/>
  <c r="X147" i="19"/>
  <c r="X146" i="19"/>
  <c r="X145" i="19"/>
  <c r="X144" i="19"/>
  <c r="X143" i="19"/>
  <c r="X142" i="19"/>
  <c r="X141" i="19"/>
  <c r="X140" i="19"/>
  <c r="X139" i="19"/>
  <c r="X138" i="19"/>
  <c r="X137" i="19"/>
  <c r="X136" i="19"/>
  <c r="X135" i="19"/>
  <c r="X134" i="19"/>
  <c r="X133" i="19"/>
  <c r="X132" i="19"/>
  <c r="X131" i="19"/>
  <c r="X130" i="19"/>
  <c r="X129" i="19"/>
  <c r="X128" i="19"/>
  <c r="X127" i="19"/>
  <c r="X126" i="19"/>
  <c r="X125" i="19"/>
  <c r="X124" i="19"/>
  <c r="X123" i="19"/>
  <c r="X122" i="19"/>
  <c r="X121" i="19"/>
  <c r="X120" i="19"/>
  <c r="X119" i="19"/>
  <c r="X118" i="19"/>
  <c r="X117" i="19"/>
  <c r="X116" i="19"/>
  <c r="X115" i="19"/>
  <c r="X114" i="19"/>
  <c r="X113" i="19"/>
  <c r="X112" i="19"/>
  <c r="X111" i="19"/>
  <c r="X110" i="19"/>
  <c r="X109" i="19"/>
  <c r="X108" i="19"/>
  <c r="X107" i="19"/>
  <c r="X106" i="19"/>
  <c r="X105" i="19"/>
  <c r="X104" i="19"/>
  <c r="X103" i="19"/>
  <c r="X102" i="19"/>
  <c r="X101" i="19"/>
  <c r="X100" i="19"/>
  <c r="X99" i="19"/>
  <c r="X98" i="19"/>
  <c r="X97" i="19"/>
  <c r="X96" i="19"/>
  <c r="X95" i="19"/>
  <c r="X94" i="19"/>
  <c r="X93" i="19"/>
  <c r="X92" i="19"/>
  <c r="X91" i="19"/>
  <c r="X90" i="19"/>
  <c r="X89" i="19"/>
  <c r="X88" i="19"/>
  <c r="X87" i="19"/>
  <c r="X86" i="19"/>
  <c r="X85" i="19"/>
  <c r="X84" i="19"/>
  <c r="X83" i="19"/>
  <c r="X82" i="19"/>
  <c r="X81" i="19"/>
  <c r="X80" i="19"/>
  <c r="X79" i="19"/>
  <c r="X78" i="19"/>
  <c r="X77" i="19"/>
  <c r="X76" i="19"/>
  <c r="X75" i="19"/>
  <c r="X74" i="19"/>
  <c r="X73" i="19"/>
  <c r="X72" i="19"/>
  <c r="X71" i="19"/>
  <c r="X70" i="19"/>
  <c r="X69" i="19"/>
  <c r="X68" i="19"/>
  <c r="X67" i="19"/>
  <c r="X66" i="19"/>
  <c r="X65" i="19"/>
  <c r="X64" i="19"/>
  <c r="X63" i="19"/>
  <c r="X62" i="19"/>
  <c r="X61" i="19"/>
  <c r="X60" i="19"/>
  <c r="X59" i="19"/>
  <c r="X58" i="19"/>
  <c r="X57" i="19"/>
  <c r="X56" i="19"/>
  <c r="X55" i="19"/>
  <c r="X54" i="19"/>
  <c r="X53" i="19"/>
  <c r="X52" i="19"/>
  <c r="X51" i="19"/>
  <c r="X50" i="19"/>
  <c r="X49" i="19"/>
  <c r="X48" i="19"/>
  <c r="X47" i="19"/>
  <c r="X46" i="19"/>
  <c r="X45" i="19"/>
  <c r="X44" i="19"/>
  <c r="X43" i="19"/>
  <c r="X42" i="19"/>
  <c r="X41" i="19"/>
  <c r="X40" i="19"/>
  <c r="X39" i="19"/>
  <c r="X38" i="19"/>
  <c r="X37" i="19"/>
  <c r="X36" i="19"/>
  <c r="X35" i="19"/>
  <c r="X34" i="19"/>
  <c r="X33" i="19"/>
  <c r="X32" i="19"/>
  <c r="X31" i="19"/>
  <c r="X30" i="19"/>
  <c r="X29" i="19"/>
  <c r="X28" i="19"/>
  <c r="X27" i="19"/>
  <c r="X26" i="19"/>
  <c r="X25" i="19"/>
  <c r="X24" i="19"/>
  <c r="X23" i="19"/>
  <c r="X22" i="19"/>
  <c r="X21" i="19"/>
  <c r="X20" i="19"/>
  <c r="X19" i="19"/>
  <c r="X18" i="19"/>
  <c r="X17" i="19"/>
  <c r="X16" i="19"/>
  <c r="X15" i="19"/>
  <c r="X14" i="19"/>
  <c r="X13" i="19"/>
  <c r="X12" i="19"/>
  <c r="X11" i="19"/>
  <c r="X10" i="19"/>
  <c r="X9" i="19"/>
  <c r="X8" i="19"/>
  <c r="X7" i="19"/>
  <c r="X6" i="19"/>
  <c r="X5" i="19"/>
  <c r="X4" i="19"/>
  <c r="X3" i="19"/>
  <c r="X2" i="19"/>
  <c r="U404" i="19"/>
  <c r="U403" i="19"/>
  <c r="U402" i="19"/>
  <c r="U401" i="19"/>
  <c r="U400" i="19"/>
  <c r="U399" i="19"/>
  <c r="U398" i="19"/>
  <c r="U397" i="19"/>
  <c r="U396" i="19"/>
  <c r="U395" i="19"/>
  <c r="U394" i="19"/>
  <c r="U393" i="19"/>
  <c r="U392" i="19"/>
  <c r="U391" i="19"/>
  <c r="U390" i="19"/>
  <c r="U389" i="19"/>
  <c r="U388" i="19"/>
  <c r="U387" i="19"/>
  <c r="U386" i="19"/>
  <c r="U385" i="19"/>
  <c r="U384" i="19"/>
  <c r="U383" i="19"/>
  <c r="U382" i="19"/>
  <c r="U381" i="19"/>
  <c r="U380" i="19"/>
  <c r="U379" i="19"/>
  <c r="U378" i="19"/>
  <c r="U377" i="19"/>
  <c r="U376" i="19"/>
  <c r="U375" i="19"/>
  <c r="U374" i="19"/>
  <c r="U373" i="19"/>
  <c r="U372" i="19"/>
  <c r="U371" i="19"/>
  <c r="U370" i="19"/>
  <c r="U369" i="19"/>
  <c r="U368" i="19"/>
  <c r="U367" i="19"/>
  <c r="U366" i="19"/>
  <c r="U365" i="19"/>
  <c r="U364" i="19"/>
  <c r="U363" i="19"/>
  <c r="U362" i="19"/>
  <c r="U361" i="19"/>
  <c r="U360" i="19"/>
  <c r="U359" i="19"/>
  <c r="U358" i="19"/>
  <c r="U357" i="19"/>
  <c r="U356" i="19"/>
  <c r="U355" i="19"/>
  <c r="U354" i="19"/>
  <c r="U353" i="19"/>
  <c r="U352" i="19"/>
  <c r="U351" i="19"/>
  <c r="U350" i="19"/>
  <c r="U349" i="19"/>
  <c r="U348" i="19"/>
  <c r="U347" i="19"/>
  <c r="U346" i="19"/>
  <c r="U345" i="19"/>
  <c r="U344" i="19"/>
  <c r="U343" i="19"/>
  <c r="U342" i="19"/>
  <c r="U341" i="19"/>
  <c r="U340" i="19"/>
  <c r="U339" i="19"/>
  <c r="U338" i="19"/>
  <c r="U337" i="19"/>
  <c r="U336" i="19"/>
  <c r="U335" i="19"/>
  <c r="U334" i="19"/>
  <c r="U333" i="19"/>
  <c r="U332" i="19"/>
  <c r="U331" i="19"/>
  <c r="U330" i="19"/>
  <c r="U329" i="19"/>
  <c r="U328" i="19"/>
  <c r="U327" i="19"/>
  <c r="U326" i="19"/>
  <c r="U325" i="19"/>
  <c r="U324" i="19"/>
  <c r="U323" i="19"/>
  <c r="U322" i="19"/>
  <c r="U321" i="19"/>
  <c r="U320" i="19"/>
  <c r="U319" i="19"/>
  <c r="U318" i="19"/>
  <c r="U317" i="19"/>
  <c r="U316" i="19"/>
  <c r="U315" i="19"/>
  <c r="U314" i="19"/>
  <c r="U313" i="19"/>
  <c r="U312" i="19"/>
  <c r="U311" i="19"/>
  <c r="U310" i="19"/>
  <c r="U309" i="19"/>
  <c r="U308" i="19"/>
  <c r="U307" i="19"/>
  <c r="U306" i="19"/>
  <c r="U305" i="19"/>
  <c r="U304" i="19"/>
  <c r="U303" i="19"/>
  <c r="U302" i="19"/>
  <c r="U301" i="19"/>
  <c r="U300" i="19"/>
  <c r="U299" i="19"/>
  <c r="U298" i="19"/>
  <c r="U297" i="19"/>
  <c r="U296" i="19"/>
  <c r="U295" i="19"/>
  <c r="U294" i="19"/>
  <c r="U293" i="19"/>
  <c r="U292" i="19"/>
  <c r="U291" i="19"/>
  <c r="U290" i="19"/>
  <c r="U289" i="19"/>
  <c r="U288" i="19"/>
  <c r="U287" i="19"/>
  <c r="U286" i="19"/>
  <c r="U285" i="19"/>
  <c r="U284" i="19"/>
  <c r="U283" i="19"/>
  <c r="U282" i="19"/>
  <c r="U281" i="19"/>
  <c r="U280" i="19"/>
  <c r="U279" i="19"/>
  <c r="U278" i="19"/>
  <c r="U277" i="19"/>
  <c r="U276" i="19"/>
  <c r="U275" i="19"/>
  <c r="U274" i="19"/>
  <c r="U273" i="19"/>
  <c r="U272" i="19"/>
  <c r="U271" i="19"/>
  <c r="U270" i="19"/>
  <c r="U269" i="19"/>
  <c r="U268" i="19"/>
  <c r="U267" i="19"/>
  <c r="U266" i="19"/>
  <c r="U265" i="19"/>
  <c r="U264" i="19"/>
  <c r="U263" i="19"/>
  <c r="U262" i="19"/>
  <c r="U261" i="19"/>
  <c r="U260" i="19"/>
  <c r="U259" i="19"/>
  <c r="U258" i="19"/>
  <c r="U257" i="19"/>
  <c r="U256" i="19"/>
  <c r="U255" i="19"/>
  <c r="U254" i="19"/>
  <c r="U253" i="19"/>
  <c r="U252" i="19"/>
  <c r="U251" i="19"/>
  <c r="U250" i="19"/>
  <c r="U249" i="19"/>
  <c r="U248" i="19"/>
  <c r="U247" i="19"/>
  <c r="U246" i="19"/>
  <c r="U245" i="19"/>
  <c r="U244" i="19"/>
  <c r="U243" i="19"/>
  <c r="U242" i="19"/>
  <c r="U241" i="19"/>
  <c r="U240" i="19"/>
  <c r="U239" i="19"/>
  <c r="U238" i="19"/>
  <c r="U237" i="19"/>
  <c r="U236" i="19"/>
  <c r="U235" i="19"/>
  <c r="U234" i="19"/>
  <c r="U233" i="19"/>
  <c r="U232" i="19"/>
  <c r="U231" i="19"/>
  <c r="U230" i="19"/>
  <c r="U229" i="19"/>
  <c r="U228" i="19"/>
  <c r="U227" i="19"/>
  <c r="U226" i="19"/>
  <c r="U225" i="19"/>
  <c r="U224" i="19"/>
  <c r="U223" i="19"/>
  <c r="U222" i="19"/>
  <c r="U221" i="19"/>
  <c r="U220" i="19"/>
  <c r="U219" i="19"/>
  <c r="U218" i="19"/>
  <c r="U217" i="19"/>
  <c r="U216" i="19"/>
  <c r="U215" i="19"/>
  <c r="U214" i="19"/>
  <c r="U213" i="19"/>
  <c r="U212" i="19"/>
  <c r="U211" i="19"/>
  <c r="U210" i="19"/>
  <c r="U209" i="19"/>
  <c r="U208" i="19"/>
  <c r="U207" i="19"/>
  <c r="U206" i="19"/>
  <c r="U205" i="19"/>
  <c r="U204" i="19"/>
  <c r="U203" i="19"/>
  <c r="U202" i="19"/>
  <c r="U201" i="19"/>
  <c r="U200" i="19"/>
  <c r="U199" i="19"/>
  <c r="U198" i="19"/>
  <c r="U197" i="19"/>
  <c r="U196" i="19"/>
  <c r="U195" i="19"/>
  <c r="U194" i="19"/>
  <c r="U193" i="19"/>
  <c r="U192" i="19"/>
  <c r="U191" i="19"/>
  <c r="U190" i="19"/>
  <c r="U189" i="19"/>
  <c r="U188" i="19"/>
  <c r="U187" i="19"/>
  <c r="U186" i="19"/>
  <c r="U185" i="19"/>
  <c r="U184" i="19"/>
  <c r="U183" i="19"/>
  <c r="U182" i="19"/>
  <c r="U181" i="19"/>
  <c r="U180" i="19"/>
  <c r="U179" i="19"/>
  <c r="U178" i="19"/>
  <c r="U177" i="19"/>
  <c r="U176" i="19"/>
  <c r="U175" i="19"/>
  <c r="U174" i="19"/>
  <c r="U173" i="19"/>
  <c r="U172" i="19"/>
  <c r="U171" i="19"/>
  <c r="U170" i="19"/>
  <c r="U169" i="19"/>
  <c r="U168" i="19"/>
  <c r="U167" i="19"/>
  <c r="U166" i="19"/>
  <c r="U165" i="19"/>
  <c r="U164" i="19"/>
  <c r="U163" i="19"/>
  <c r="U162" i="19"/>
  <c r="U161" i="19"/>
  <c r="U160" i="19"/>
  <c r="U159" i="19"/>
  <c r="U158" i="19"/>
  <c r="U157" i="19"/>
  <c r="U156" i="19"/>
  <c r="U155" i="19"/>
  <c r="U154" i="19"/>
  <c r="U153" i="19"/>
  <c r="U152" i="19"/>
  <c r="U151" i="19"/>
  <c r="U150" i="19"/>
  <c r="U149" i="19"/>
  <c r="U148" i="19"/>
  <c r="U147" i="19"/>
  <c r="U146" i="19"/>
  <c r="U145" i="19"/>
  <c r="U144" i="19"/>
  <c r="U143" i="19"/>
  <c r="U142" i="19"/>
  <c r="U141" i="19"/>
  <c r="U140" i="19"/>
  <c r="U139" i="19"/>
  <c r="U138" i="19"/>
  <c r="U137" i="19"/>
  <c r="U136" i="19"/>
  <c r="U135" i="19"/>
  <c r="U134" i="19"/>
  <c r="U133" i="19"/>
  <c r="U132" i="19"/>
  <c r="U131" i="19"/>
  <c r="U130" i="19"/>
  <c r="U129" i="19"/>
  <c r="U128" i="19"/>
  <c r="U127" i="19"/>
  <c r="U126" i="19"/>
  <c r="U125" i="19"/>
  <c r="U124" i="19"/>
  <c r="U123" i="19"/>
  <c r="U122" i="19"/>
  <c r="U121" i="19"/>
  <c r="U120" i="19"/>
  <c r="U119" i="19"/>
  <c r="U118" i="19"/>
  <c r="U117" i="19"/>
  <c r="U116" i="19"/>
  <c r="U115" i="19"/>
  <c r="U114" i="19"/>
  <c r="U113" i="19"/>
  <c r="U112" i="19"/>
  <c r="U111" i="19"/>
  <c r="U110" i="19"/>
  <c r="U109" i="19"/>
  <c r="U108" i="19"/>
  <c r="U107" i="19"/>
  <c r="U106" i="19"/>
  <c r="U105" i="19"/>
  <c r="U104" i="19"/>
  <c r="U103" i="19"/>
  <c r="U102" i="19"/>
  <c r="U101" i="19"/>
  <c r="U100" i="19"/>
  <c r="U99" i="19"/>
  <c r="U98" i="19"/>
  <c r="U97" i="19"/>
  <c r="U96" i="19"/>
  <c r="U95" i="19"/>
  <c r="U94" i="19"/>
  <c r="U93" i="19"/>
  <c r="U92" i="19"/>
  <c r="U91" i="19"/>
  <c r="U90" i="19"/>
  <c r="U89" i="19"/>
  <c r="U88" i="19"/>
  <c r="U87" i="19"/>
  <c r="U86" i="19"/>
  <c r="U85" i="19"/>
  <c r="U84" i="19"/>
  <c r="U83" i="19"/>
  <c r="U82" i="19"/>
  <c r="U81" i="19"/>
  <c r="U80" i="19"/>
  <c r="U79" i="19"/>
  <c r="U78" i="19"/>
  <c r="U77" i="19"/>
  <c r="U76" i="19"/>
  <c r="U75" i="19"/>
  <c r="U74" i="19"/>
  <c r="U73" i="19"/>
  <c r="U72" i="19"/>
  <c r="U71" i="19"/>
  <c r="U70" i="19"/>
  <c r="U69" i="19"/>
  <c r="U68" i="19"/>
  <c r="U67" i="19"/>
  <c r="U66" i="19"/>
  <c r="U65" i="19"/>
  <c r="U64" i="19"/>
  <c r="U63" i="19"/>
  <c r="U62" i="19"/>
  <c r="U61" i="19"/>
  <c r="U60" i="19"/>
  <c r="U59" i="19"/>
  <c r="U58" i="19"/>
  <c r="U57" i="19"/>
  <c r="U56" i="19"/>
  <c r="U55" i="19"/>
  <c r="U54" i="19"/>
  <c r="U53" i="19"/>
  <c r="U52" i="19"/>
  <c r="U51" i="19"/>
  <c r="U50" i="19"/>
  <c r="U49" i="19"/>
  <c r="U48" i="19"/>
  <c r="U47" i="19"/>
  <c r="U46" i="19"/>
  <c r="U45" i="19"/>
  <c r="U44" i="19"/>
  <c r="U43" i="19"/>
  <c r="U42" i="19"/>
  <c r="U41" i="19"/>
  <c r="U40" i="19"/>
  <c r="U39" i="19"/>
  <c r="U38" i="19"/>
  <c r="U37" i="19"/>
  <c r="U36" i="19"/>
  <c r="U35" i="19"/>
  <c r="U34" i="19"/>
  <c r="U33" i="19"/>
  <c r="U32" i="19"/>
  <c r="U31" i="19"/>
  <c r="U30" i="19"/>
  <c r="U29" i="19"/>
  <c r="U28" i="19"/>
  <c r="U27" i="19"/>
  <c r="U26" i="19"/>
  <c r="U25" i="19"/>
  <c r="U24" i="19"/>
  <c r="U23" i="19"/>
  <c r="U22" i="19"/>
  <c r="U21" i="19"/>
  <c r="U20" i="19"/>
  <c r="U19" i="19"/>
  <c r="U18" i="19"/>
  <c r="U17" i="19"/>
  <c r="U16" i="19"/>
  <c r="U15" i="19"/>
  <c r="U14" i="19"/>
  <c r="U13" i="19"/>
  <c r="U12" i="19"/>
  <c r="U11" i="19"/>
  <c r="U10" i="19"/>
  <c r="U9" i="19"/>
  <c r="U8" i="19"/>
  <c r="U7" i="19"/>
  <c r="U6" i="19"/>
  <c r="U5" i="19"/>
  <c r="U4" i="19"/>
  <c r="U3" i="19"/>
  <c r="U2" i="19"/>
  <c r="R404" i="19"/>
  <c r="R403" i="19"/>
  <c r="R402" i="19"/>
  <c r="R401" i="19"/>
  <c r="R400" i="19"/>
  <c r="R399" i="19"/>
  <c r="R398" i="19"/>
  <c r="R397" i="19"/>
  <c r="R396" i="19"/>
  <c r="R395" i="19"/>
  <c r="R394" i="19"/>
  <c r="R393" i="19"/>
  <c r="R392" i="19"/>
  <c r="R391" i="19"/>
  <c r="R390" i="19"/>
  <c r="R389" i="19"/>
  <c r="R388" i="19"/>
  <c r="R387" i="19"/>
  <c r="R386" i="19"/>
  <c r="R385" i="19"/>
  <c r="R384" i="19"/>
  <c r="R383" i="19"/>
  <c r="R382" i="19"/>
  <c r="R381" i="19"/>
  <c r="R380" i="19"/>
  <c r="R379" i="19"/>
  <c r="R378" i="19"/>
  <c r="R377" i="19"/>
  <c r="R376" i="19"/>
  <c r="R375" i="19"/>
  <c r="R374" i="19"/>
  <c r="R373" i="19"/>
  <c r="R372" i="19"/>
  <c r="R371" i="19"/>
  <c r="R370" i="19"/>
  <c r="R369" i="19"/>
  <c r="R368" i="19"/>
  <c r="R367" i="19"/>
  <c r="R366" i="19"/>
  <c r="R365" i="19"/>
  <c r="R364" i="19"/>
  <c r="R363" i="19"/>
  <c r="R362" i="19"/>
  <c r="R361" i="19"/>
  <c r="R360" i="19"/>
  <c r="R359" i="19"/>
  <c r="R358" i="19"/>
  <c r="R357" i="19"/>
  <c r="R356" i="19"/>
  <c r="R355" i="19"/>
  <c r="R354" i="19"/>
  <c r="R353" i="19"/>
  <c r="R352" i="19"/>
  <c r="R351" i="19"/>
  <c r="R350" i="19"/>
  <c r="R349" i="19"/>
  <c r="R348" i="19"/>
  <c r="R347" i="19"/>
  <c r="R346" i="19"/>
  <c r="R345" i="19"/>
  <c r="R344" i="19"/>
  <c r="R343" i="19"/>
  <c r="R342" i="19"/>
  <c r="R341" i="19"/>
  <c r="R340" i="19"/>
  <c r="R339" i="19"/>
  <c r="R338" i="19"/>
  <c r="R337" i="19"/>
  <c r="R336" i="19"/>
  <c r="R335" i="19"/>
  <c r="R334" i="19"/>
  <c r="R333" i="19"/>
  <c r="R332" i="19"/>
  <c r="R331" i="19"/>
  <c r="R330" i="19"/>
  <c r="R329" i="19"/>
  <c r="R328" i="19"/>
  <c r="R327" i="19"/>
  <c r="R326" i="19"/>
  <c r="R325" i="19"/>
  <c r="R324" i="19"/>
  <c r="R323" i="19"/>
  <c r="R322" i="19"/>
  <c r="R321" i="19"/>
  <c r="R320" i="19"/>
  <c r="R319" i="19"/>
  <c r="R318" i="19"/>
  <c r="R317" i="19"/>
  <c r="R316" i="19"/>
  <c r="R315" i="19"/>
  <c r="R314" i="19"/>
  <c r="R313" i="19"/>
  <c r="R312" i="19"/>
  <c r="R311" i="19"/>
  <c r="R310" i="19"/>
  <c r="R309" i="19"/>
  <c r="R308" i="19"/>
  <c r="R307" i="19"/>
  <c r="R306" i="19"/>
  <c r="R305" i="19"/>
  <c r="R304" i="19"/>
  <c r="R303" i="19"/>
  <c r="R302" i="19"/>
  <c r="R301" i="19"/>
  <c r="R300" i="19"/>
  <c r="R299" i="19"/>
  <c r="R298" i="19"/>
  <c r="R297" i="19"/>
  <c r="R296" i="19"/>
  <c r="R295" i="19"/>
  <c r="R294" i="19"/>
  <c r="R293" i="19"/>
  <c r="R292" i="19"/>
  <c r="R291" i="19"/>
  <c r="R290" i="19"/>
  <c r="R289" i="19"/>
  <c r="R288" i="19"/>
  <c r="R287" i="19"/>
  <c r="R286" i="19"/>
  <c r="R285" i="19"/>
  <c r="R284" i="19"/>
  <c r="R283" i="19"/>
  <c r="R282" i="19"/>
  <c r="R281" i="19"/>
  <c r="R280" i="19"/>
  <c r="R279" i="19"/>
  <c r="R278" i="19"/>
  <c r="R277" i="19"/>
  <c r="R276" i="19"/>
  <c r="R275" i="19"/>
  <c r="R274" i="19"/>
  <c r="R273" i="19"/>
  <c r="R272" i="19"/>
  <c r="R271" i="19"/>
  <c r="R270" i="19"/>
  <c r="R269" i="19"/>
  <c r="R268" i="19"/>
  <c r="R267" i="19"/>
  <c r="R266" i="19"/>
  <c r="R265" i="19"/>
  <c r="R264" i="19"/>
  <c r="R263" i="19"/>
  <c r="R262" i="19"/>
  <c r="R261" i="19"/>
  <c r="R260" i="19"/>
  <c r="R259" i="19"/>
  <c r="R258" i="19"/>
  <c r="R257" i="19"/>
  <c r="R256" i="19"/>
  <c r="R255" i="19"/>
  <c r="R254" i="19"/>
  <c r="R253" i="19"/>
  <c r="R252" i="19"/>
  <c r="R251" i="19"/>
  <c r="R250" i="19"/>
  <c r="R249" i="19"/>
  <c r="R248" i="19"/>
  <c r="R247" i="19"/>
  <c r="R246" i="19"/>
  <c r="R245" i="19"/>
  <c r="R244" i="19"/>
  <c r="R243" i="19"/>
  <c r="R242" i="19"/>
  <c r="R241" i="19"/>
  <c r="R240" i="19"/>
  <c r="R239" i="19"/>
  <c r="R238" i="19"/>
  <c r="R237" i="19"/>
  <c r="R236" i="19"/>
  <c r="R235" i="19"/>
  <c r="R234" i="19"/>
  <c r="R233" i="19"/>
  <c r="R232" i="19"/>
  <c r="R231" i="19"/>
  <c r="R230" i="19"/>
  <c r="R229" i="19"/>
  <c r="R228" i="19"/>
  <c r="R227" i="19"/>
  <c r="R226" i="19"/>
  <c r="R225" i="19"/>
  <c r="R224" i="19"/>
  <c r="R223" i="19"/>
  <c r="R222" i="19"/>
  <c r="R221" i="19"/>
  <c r="R220" i="19"/>
  <c r="R219" i="19"/>
  <c r="R218" i="19"/>
  <c r="R217" i="19"/>
  <c r="R216" i="19"/>
  <c r="R215" i="19"/>
  <c r="R214" i="19"/>
  <c r="R213" i="19"/>
  <c r="R212" i="19"/>
  <c r="R211" i="19"/>
  <c r="R210" i="19"/>
  <c r="R209" i="19"/>
  <c r="R208" i="19"/>
  <c r="R207" i="19"/>
  <c r="R206" i="19"/>
  <c r="R205" i="19"/>
  <c r="R204" i="19"/>
  <c r="R203" i="19"/>
  <c r="R202" i="19"/>
  <c r="R201" i="19"/>
  <c r="R200" i="19"/>
  <c r="R199" i="19"/>
  <c r="R198" i="19"/>
  <c r="R197" i="19"/>
  <c r="R196" i="19"/>
  <c r="R195" i="19"/>
  <c r="R194" i="19"/>
  <c r="R193" i="19"/>
  <c r="R192" i="19"/>
  <c r="R191" i="19"/>
  <c r="R190" i="19"/>
  <c r="R189" i="19"/>
  <c r="R188" i="19"/>
  <c r="R187" i="19"/>
  <c r="R186" i="19"/>
  <c r="R185" i="19"/>
  <c r="R184" i="19"/>
  <c r="R183" i="19"/>
  <c r="R182" i="19"/>
  <c r="R181" i="19"/>
  <c r="R180" i="19"/>
  <c r="R179" i="19"/>
  <c r="R178" i="19"/>
  <c r="R177" i="19"/>
  <c r="R176" i="19"/>
  <c r="R175" i="19"/>
  <c r="R174" i="19"/>
  <c r="R173" i="19"/>
  <c r="R172" i="19"/>
  <c r="R171" i="19"/>
  <c r="R170" i="19"/>
  <c r="R169" i="19"/>
  <c r="R168" i="19"/>
  <c r="R167" i="19"/>
  <c r="R166" i="19"/>
  <c r="R165" i="19"/>
  <c r="R164" i="19"/>
  <c r="R163" i="19"/>
  <c r="R162" i="19"/>
  <c r="R161" i="19"/>
  <c r="R160" i="19"/>
  <c r="R159" i="19"/>
  <c r="R158" i="19"/>
  <c r="R157" i="19"/>
  <c r="R156" i="19"/>
  <c r="R155" i="19"/>
  <c r="R154" i="19"/>
  <c r="R153" i="19"/>
  <c r="R152" i="19"/>
  <c r="R151" i="19"/>
  <c r="R150" i="19"/>
  <c r="R149" i="19"/>
  <c r="R148" i="19"/>
  <c r="R147" i="19"/>
  <c r="R146" i="19"/>
  <c r="R145" i="19"/>
  <c r="R144" i="19"/>
  <c r="R143" i="19"/>
  <c r="R142" i="19"/>
  <c r="R141" i="19"/>
  <c r="R140" i="19"/>
  <c r="R139" i="19"/>
  <c r="R138" i="19"/>
  <c r="R137" i="19"/>
  <c r="R136" i="19"/>
  <c r="R135" i="19"/>
  <c r="R134" i="19"/>
  <c r="R133" i="19"/>
  <c r="R132" i="19"/>
  <c r="R131" i="19"/>
  <c r="R130" i="19"/>
  <c r="R129" i="19"/>
  <c r="R128" i="19"/>
  <c r="R127" i="19"/>
  <c r="R126" i="19"/>
  <c r="R125" i="19"/>
  <c r="R124" i="19"/>
  <c r="R123" i="19"/>
  <c r="R122" i="19"/>
  <c r="R121" i="19"/>
  <c r="R120" i="19"/>
  <c r="R119" i="19"/>
  <c r="R118" i="19"/>
  <c r="R117" i="19"/>
  <c r="R116" i="19"/>
  <c r="R115" i="19"/>
  <c r="R114" i="19"/>
  <c r="R113" i="19"/>
  <c r="R112" i="19"/>
  <c r="R111" i="19"/>
  <c r="R110" i="19"/>
  <c r="R109" i="19"/>
  <c r="R108" i="19"/>
  <c r="R107" i="19"/>
  <c r="R106" i="19"/>
  <c r="R105" i="19"/>
  <c r="R104" i="19"/>
  <c r="R103" i="19"/>
  <c r="R102" i="19"/>
  <c r="R101" i="19"/>
  <c r="R100" i="19"/>
  <c r="R99" i="19"/>
  <c r="R98" i="19"/>
  <c r="R97" i="19"/>
  <c r="R96" i="19"/>
  <c r="R95" i="19"/>
  <c r="R94" i="19"/>
  <c r="R93" i="19"/>
  <c r="R92" i="19"/>
  <c r="R91" i="19"/>
  <c r="R90" i="19"/>
  <c r="R89" i="19"/>
  <c r="R88" i="19"/>
  <c r="R87" i="19"/>
  <c r="R86" i="19"/>
  <c r="R85" i="19"/>
  <c r="R84" i="19"/>
  <c r="R83" i="19"/>
  <c r="R82" i="19"/>
  <c r="R81" i="19"/>
  <c r="R80" i="19"/>
  <c r="R79" i="19"/>
  <c r="R78" i="19"/>
  <c r="R77" i="19"/>
  <c r="R76" i="19"/>
  <c r="R75" i="19"/>
  <c r="R74" i="19"/>
  <c r="R73" i="19"/>
  <c r="R72" i="19"/>
  <c r="R71" i="19"/>
  <c r="R70" i="19"/>
  <c r="R69" i="19"/>
  <c r="R68" i="19"/>
  <c r="R67" i="19"/>
  <c r="R66" i="19"/>
  <c r="R65" i="19"/>
  <c r="R64" i="19"/>
  <c r="R63" i="19"/>
  <c r="R62" i="19"/>
  <c r="R61" i="19"/>
  <c r="R60" i="19"/>
  <c r="R59" i="19"/>
  <c r="R58" i="19"/>
  <c r="R57" i="19"/>
  <c r="R56" i="19"/>
  <c r="R55" i="19"/>
  <c r="R54" i="19"/>
  <c r="R53" i="19"/>
  <c r="R52" i="19"/>
  <c r="R51" i="19"/>
  <c r="R50" i="19"/>
  <c r="R49" i="19"/>
  <c r="R48" i="19"/>
  <c r="R47" i="19"/>
  <c r="R46" i="19"/>
  <c r="R45" i="19"/>
  <c r="R44" i="19"/>
  <c r="R43" i="19"/>
  <c r="R42" i="19"/>
  <c r="R41" i="19"/>
  <c r="R40" i="19"/>
  <c r="R39" i="19"/>
  <c r="R38" i="19"/>
  <c r="R37" i="19"/>
  <c r="R36" i="19"/>
  <c r="R35" i="19"/>
  <c r="R34" i="19"/>
  <c r="R33" i="19"/>
  <c r="R32" i="19"/>
  <c r="R31" i="19"/>
  <c r="R30" i="19"/>
  <c r="R29" i="19"/>
  <c r="R28" i="19"/>
  <c r="R27" i="19"/>
  <c r="R26" i="19"/>
  <c r="R25" i="19"/>
  <c r="R24" i="19"/>
  <c r="R23" i="19"/>
  <c r="R22" i="19"/>
  <c r="R21" i="19"/>
  <c r="R20" i="19"/>
  <c r="R19" i="19"/>
  <c r="R18" i="19"/>
  <c r="R17" i="19"/>
  <c r="R16" i="19"/>
  <c r="R15" i="19"/>
  <c r="R14" i="19"/>
  <c r="R13" i="19"/>
  <c r="R12" i="19"/>
  <c r="R11" i="19"/>
  <c r="R10" i="19"/>
  <c r="R9" i="19"/>
  <c r="R8" i="19"/>
  <c r="R7" i="19"/>
  <c r="R6" i="19"/>
  <c r="R5" i="19"/>
  <c r="R4" i="19"/>
  <c r="R3" i="19"/>
  <c r="R2" i="19"/>
  <c r="O404" i="19"/>
  <c r="O403" i="19"/>
  <c r="O402" i="19"/>
  <c r="O401" i="19"/>
  <c r="O400" i="19"/>
  <c r="O399" i="19"/>
  <c r="O398" i="19"/>
  <c r="O397" i="19"/>
  <c r="O396" i="19"/>
  <c r="O395" i="19"/>
  <c r="O394" i="19"/>
  <c r="O393" i="19"/>
  <c r="O392" i="19"/>
  <c r="O391" i="19"/>
  <c r="O390" i="19"/>
  <c r="O389" i="19"/>
  <c r="O388" i="19"/>
  <c r="O387" i="19"/>
  <c r="O386" i="19"/>
  <c r="O385" i="19"/>
  <c r="O384" i="19"/>
  <c r="O383" i="19"/>
  <c r="O382" i="19"/>
  <c r="O381" i="19"/>
  <c r="O380" i="19"/>
  <c r="O379" i="19"/>
  <c r="O378" i="19"/>
  <c r="O377" i="19"/>
  <c r="O376" i="19"/>
  <c r="O375" i="19"/>
  <c r="O374" i="19"/>
  <c r="O373" i="19"/>
  <c r="O372" i="19"/>
  <c r="O371" i="19"/>
  <c r="O370" i="19"/>
  <c r="O369" i="19"/>
  <c r="O368" i="19"/>
  <c r="O367" i="19"/>
  <c r="O366" i="19"/>
  <c r="O365" i="19"/>
  <c r="O364" i="19"/>
  <c r="O363" i="19"/>
  <c r="O362" i="19"/>
  <c r="O361" i="19"/>
  <c r="O360" i="19"/>
  <c r="O359" i="19"/>
  <c r="O358" i="19"/>
  <c r="O357" i="19"/>
  <c r="O356" i="19"/>
  <c r="O355" i="19"/>
  <c r="O354" i="19"/>
  <c r="O353" i="19"/>
  <c r="O352" i="19"/>
  <c r="O351" i="19"/>
  <c r="O350" i="19"/>
  <c r="O349" i="19"/>
  <c r="O348" i="19"/>
  <c r="O347" i="19"/>
  <c r="O346" i="19"/>
  <c r="O345" i="19"/>
  <c r="O344" i="19"/>
  <c r="O343" i="19"/>
  <c r="O342" i="19"/>
  <c r="O341" i="19"/>
  <c r="O340" i="19"/>
  <c r="O339" i="19"/>
  <c r="O338" i="19"/>
  <c r="O337" i="19"/>
  <c r="O336" i="19"/>
  <c r="O335" i="19"/>
  <c r="O334" i="19"/>
  <c r="O333" i="19"/>
  <c r="O332" i="19"/>
  <c r="O331" i="19"/>
  <c r="O330" i="19"/>
  <c r="O329" i="19"/>
  <c r="O328" i="19"/>
  <c r="O327" i="19"/>
  <c r="O326" i="19"/>
  <c r="O325" i="19"/>
  <c r="O324" i="19"/>
  <c r="O323" i="19"/>
  <c r="O322" i="19"/>
  <c r="O321" i="19"/>
  <c r="O320" i="19"/>
  <c r="O319" i="19"/>
  <c r="O318" i="19"/>
  <c r="O317" i="19"/>
  <c r="O316" i="19"/>
  <c r="O315" i="19"/>
  <c r="O314" i="19"/>
  <c r="O313" i="19"/>
  <c r="O312" i="19"/>
  <c r="O311" i="19"/>
  <c r="O310" i="19"/>
  <c r="O309" i="19"/>
  <c r="O308" i="19"/>
  <c r="O307" i="19"/>
  <c r="O306" i="19"/>
  <c r="O305" i="19"/>
  <c r="O304" i="19"/>
  <c r="O303" i="19"/>
  <c r="O302" i="19"/>
  <c r="O301" i="19"/>
  <c r="O300" i="19"/>
  <c r="O299" i="19"/>
  <c r="O298" i="19"/>
  <c r="O297" i="19"/>
  <c r="O296" i="19"/>
  <c r="O295" i="19"/>
  <c r="O294" i="19"/>
  <c r="O293" i="19"/>
  <c r="O292" i="19"/>
  <c r="O291" i="19"/>
  <c r="O290" i="19"/>
  <c r="O289" i="19"/>
  <c r="O288" i="19"/>
  <c r="O287" i="19"/>
  <c r="O286" i="19"/>
  <c r="O285" i="19"/>
  <c r="O284" i="19"/>
  <c r="O283" i="19"/>
  <c r="O282" i="19"/>
  <c r="O281" i="19"/>
  <c r="O280" i="19"/>
  <c r="O279" i="19"/>
  <c r="O278" i="19"/>
  <c r="O277" i="19"/>
  <c r="O276" i="19"/>
  <c r="O275" i="19"/>
  <c r="O274" i="19"/>
  <c r="O273" i="19"/>
  <c r="O272" i="19"/>
  <c r="O271" i="19"/>
  <c r="O270" i="19"/>
  <c r="O269" i="19"/>
  <c r="O268" i="19"/>
  <c r="O267" i="19"/>
  <c r="O266" i="19"/>
  <c r="O265" i="19"/>
  <c r="O264" i="19"/>
  <c r="O263" i="19"/>
  <c r="O262" i="19"/>
  <c r="O261" i="19"/>
  <c r="O260" i="19"/>
  <c r="O259" i="19"/>
  <c r="O258" i="19"/>
  <c r="O257" i="19"/>
  <c r="O256" i="19"/>
  <c r="O255" i="19"/>
  <c r="O254" i="19"/>
  <c r="O253" i="19"/>
  <c r="O252" i="19"/>
  <c r="O251" i="19"/>
  <c r="O250" i="19"/>
  <c r="O249" i="19"/>
  <c r="O248" i="19"/>
  <c r="O247" i="19"/>
  <c r="O246" i="19"/>
  <c r="O245" i="19"/>
  <c r="O244" i="19"/>
  <c r="O243" i="19"/>
  <c r="O242" i="19"/>
  <c r="O241" i="19"/>
  <c r="O240" i="19"/>
  <c r="O239" i="19"/>
  <c r="O238" i="19"/>
  <c r="O237" i="19"/>
  <c r="O236" i="19"/>
  <c r="O235" i="19"/>
  <c r="O234" i="19"/>
  <c r="O233" i="19"/>
  <c r="O232" i="19"/>
  <c r="O231" i="19"/>
  <c r="O230" i="19"/>
  <c r="O229" i="19"/>
  <c r="O228" i="19"/>
  <c r="O227" i="19"/>
  <c r="O226" i="19"/>
  <c r="O225" i="19"/>
  <c r="O224" i="19"/>
  <c r="O223" i="19"/>
  <c r="O222" i="19"/>
  <c r="O221" i="19"/>
  <c r="O220" i="19"/>
  <c r="O219" i="19"/>
  <c r="O218" i="19"/>
  <c r="O217" i="19"/>
  <c r="O216" i="19"/>
  <c r="O215" i="19"/>
  <c r="O214" i="19"/>
  <c r="O213" i="19"/>
  <c r="O212" i="19"/>
  <c r="O211" i="19"/>
  <c r="O210" i="19"/>
  <c r="O209" i="19"/>
  <c r="O208" i="19"/>
  <c r="O207" i="19"/>
  <c r="O206" i="19"/>
  <c r="O205" i="19"/>
  <c r="O204" i="19"/>
  <c r="O203" i="19"/>
  <c r="O202" i="19"/>
  <c r="O201" i="19"/>
  <c r="O200" i="19"/>
  <c r="O199" i="19"/>
  <c r="O198" i="19"/>
  <c r="O197" i="19"/>
  <c r="O196" i="19"/>
  <c r="O195" i="19"/>
  <c r="O194" i="19"/>
  <c r="O193" i="19"/>
  <c r="O192" i="19"/>
  <c r="O191" i="19"/>
  <c r="O190" i="19"/>
  <c r="O189" i="19"/>
  <c r="O188" i="19"/>
  <c r="O187" i="19"/>
  <c r="O186" i="19"/>
  <c r="O185" i="19"/>
  <c r="O184" i="19"/>
  <c r="O183" i="19"/>
  <c r="O182" i="19"/>
  <c r="O181" i="19"/>
  <c r="O180" i="19"/>
  <c r="O179" i="19"/>
  <c r="O178" i="19"/>
  <c r="O177" i="19"/>
  <c r="O176" i="19"/>
  <c r="O175" i="19"/>
  <c r="O174" i="19"/>
  <c r="O173" i="19"/>
  <c r="O172" i="19"/>
  <c r="O171" i="19"/>
  <c r="O170" i="19"/>
  <c r="O169" i="19"/>
  <c r="O168" i="19"/>
  <c r="O167" i="19"/>
  <c r="O166" i="19"/>
  <c r="O165" i="19"/>
  <c r="O164" i="19"/>
  <c r="O163" i="19"/>
  <c r="O162" i="19"/>
  <c r="O161" i="19"/>
  <c r="O160" i="19"/>
  <c r="O159" i="19"/>
  <c r="O158" i="19"/>
  <c r="O157" i="19"/>
  <c r="O156" i="19"/>
  <c r="O155" i="19"/>
  <c r="O154" i="19"/>
  <c r="O153" i="19"/>
  <c r="O152" i="19"/>
  <c r="O151" i="19"/>
  <c r="O150" i="19"/>
  <c r="O149" i="19"/>
  <c r="O148" i="19"/>
  <c r="O147" i="19"/>
  <c r="O146" i="19"/>
  <c r="O145" i="19"/>
  <c r="O144" i="19"/>
  <c r="O143" i="19"/>
  <c r="O142" i="19"/>
  <c r="O141" i="19"/>
  <c r="O140" i="19"/>
  <c r="O139" i="19"/>
  <c r="O138" i="19"/>
  <c r="O137" i="19"/>
  <c r="O136" i="19"/>
  <c r="O135" i="19"/>
  <c r="O134" i="19"/>
  <c r="O133" i="19"/>
  <c r="O132" i="19"/>
  <c r="O131" i="19"/>
  <c r="O130" i="19"/>
  <c r="O129" i="19"/>
  <c r="O128" i="19"/>
  <c r="O127" i="19"/>
  <c r="O126" i="19"/>
  <c r="O125" i="19"/>
  <c r="O124" i="19"/>
  <c r="O123" i="19"/>
  <c r="O122" i="19"/>
  <c r="O121" i="19"/>
  <c r="O120" i="19"/>
  <c r="O119" i="19"/>
  <c r="O118" i="19"/>
  <c r="O117" i="19"/>
  <c r="O116" i="19"/>
  <c r="O115" i="19"/>
  <c r="O114" i="19"/>
  <c r="O113" i="19"/>
  <c r="O112" i="19"/>
  <c r="O111" i="19"/>
  <c r="O110" i="19"/>
  <c r="O109" i="19"/>
  <c r="O108" i="19"/>
  <c r="O107" i="19"/>
  <c r="O106" i="19"/>
  <c r="O105" i="19"/>
  <c r="O104" i="19"/>
  <c r="O103" i="19"/>
  <c r="O102" i="19"/>
  <c r="O101" i="19"/>
  <c r="O100" i="19"/>
  <c r="O99" i="19"/>
  <c r="O98" i="19"/>
  <c r="O97" i="19"/>
  <c r="O96" i="19"/>
  <c r="O95" i="19"/>
  <c r="O94" i="19"/>
  <c r="O93" i="19"/>
  <c r="O92" i="19"/>
  <c r="O91" i="19"/>
  <c r="O90" i="19"/>
  <c r="O89" i="19"/>
  <c r="O88" i="19"/>
  <c r="O87" i="19"/>
  <c r="O86" i="19"/>
  <c r="O85" i="19"/>
  <c r="O84" i="19"/>
  <c r="O83" i="19"/>
  <c r="O82" i="19"/>
  <c r="O81" i="19"/>
  <c r="O80" i="19"/>
  <c r="O79" i="19"/>
  <c r="O78" i="19"/>
  <c r="O77" i="19"/>
  <c r="O76" i="19"/>
  <c r="O75" i="19"/>
  <c r="O74" i="19"/>
  <c r="O73" i="19"/>
  <c r="O72" i="19"/>
  <c r="O71" i="19"/>
  <c r="O70" i="19"/>
  <c r="O69" i="19"/>
  <c r="O68" i="19"/>
  <c r="O67" i="19"/>
  <c r="O66" i="19"/>
  <c r="O65" i="19"/>
  <c r="O64" i="19"/>
  <c r="O63" i="19"/>
  <c r="O62" i="19"/>
  <c r="O61" i="19"/>
  <c r="O60" i="19"/>
  <c r="O59" i="19"/>
  <c r="O58" i="19"/>
  <c r="O57" i="19"/>
  <c r="O56" i="19"/>
  <c r="O55" i="19"/>
  <c r="O54" i="19"/>
  <c r="O53" i="19"/>
  <c r="O52" i="19"/>
  <c r="O51" i="19"/>
  <c r="O50" i="19"/>
  <c r="O49" i="19"/>
  <c r="O48" i="19"/>
  <c r="O47" i="19"/>
  <c r="O46" i="19"/>
  <c r="O45" i="19"/>
  <c r="O44" i="19"/>
  <c r="O43" i="19"/>
  <c r="O42" i="19"/>
  <c r="O41" i="19"/>
  <c r="O40" i="19"/>
  <c r="O39" i="19"/>
  <c r="O38" i="19"/>
  <c r="O37" i="19"/>
  <c r="O36" i="19"/>
  <c r="O35" i="19"/>
  <c r="O34" i="19"/>
  <c r="O33" i="19"/>
  <c r="O32" i="19"/>
  <c r="O31" i="19"/>
  <c r="O30" i="19"/>
  <c r="O29" i="19"/>
  <c r="O28" i="19"/>
  <c r="O27" i="19"/>
  <c r="O26" i="19"/>
  <c r="O25" i="19"/>
  <c r="O24" i="19"/>
  <c r="O23" i="19"/>
  <c r="O22" i="19"/>
  <c r="O21" i="19"/>
  <c r="O20" i="19"/>
  <c r="O19" i="19"/>
  <c r="O18" i="19"/>
  <c r="O17" i="19"/>
  <c r="O16" i="19"/>
  <c r="O15" i="19"/>
  <c r="O14" i="19"/>
  <c r="O13" i="19"/>
  <c r="O12" i="19"/>
  <c r="O11" i="19"/>
  <c r="O10" i="19"/>
  <c r="O9" i="19"/>
  <c r="O8" i="19"/>
  <c r="O7" i="19"/>
  <c r="O6" i="19"/>
  <c r="O5" i="19"/>
  <c r="O4" i="19"/>
  <c r="O3" i="19"/>
  <c r="O2" i="19"/>
  <c r="L404" i="19"/>
  <c r="L403" i="19"/>
  <c r="L402" i="19"/>
  <c r="L401" i="19"/>
  <c r="L400" i="19"/>
  <c r="L399" i="19"/>
  <c r="L398" i="19"/>
  <c r="L397" i="19"/>
  <c r="L396" i="19"/>
  <c r="L395" i="19"/>
  <c r="L394" i="19"/>
  <c r="L393" i="19"/>
  <c r="L392" i="19"/>
  <c r="L391" i="19"/>
  <c r="L390" i="19"/>
  <c r="L389" i="19"/>
  <c r="L388" i="19"/>
  <c r="L387" i="19"/>
  <c r="L386" i="19"/>
  <c r="L385" i="19"/>
  <c r="L384" i="19"/>
  <c r="L383" i="19"/>
  <c r="L382" i="19"/>
  <c r="L381" i="19"/>
  <c r="L380" i="19"/>
  <c r="L379" i="19"/>
  <c r="L378" i="19"/>
  <c r="L377" i="19"/>
  <c r="L376" i="19"/>
  <c r="L375" i="19"/>
  <c r="L374" i="19"/>
  <c r="L373" i="19"/>
  <c r="L372" i="19"/>
  <c r="L371" i="19"/>
  <c r="L370" i="19"/>
  <c r="L369" i="19"/>
  <c r="L368" i="19"/>
  <c r="L367" i="19"/>
  <c r="L366" i="19"/>
  <c r="L365" i="19"/>
  <c r="L364" i="19"/>
  <c r="L363" i="19"/>
  <c r="L362" i="19"/>
  <c r="L361" i="19"/>
  <c r="L360" i="19"/>
  <c r="L359" i="19"/>
  <c r="L358" i="19"/>
  <c r="L357" i="19"/>
  <c r="L356" i="19"/>
  <c r="L355" i="19"/>
  <c r="L354" i="19"/>
  <c r="L353" i="19"/>
  <c r="L352" i="19"/>
  <c r="L351" i="19"/>
  <c r="L350" i="19"/>
  <c r="L349" i="19"/>
  <c r="L348" i="19"/>
  <c r="L347" i="19"/>
  <c r="L346" i="19"/>
  <c r="L345" i="19"/>
  <c r="L344" i="19"/>
  <c r="L343" i="19"/>
  <c r="L342" i="19"/>
  <c r="L341" i="19"/>
  <c r="L340" i="19"/>
  <c r="L339" i="19"/>
  <c r="L338" i="19"/>
  <c r="L337" i="19"/>
  <c r="L336" i="19"/>
  <c r="L335" i="19"/>
  <c r="L334" i="19"/>
  <c r="L333" i="19"/>
  <c r="L332" i="19"/>
  <c r="L331" i="19"/>
  <c r="L330" i="19"/>
  <c r="L329" i="19"/>
  <c r="L328" i="19"/>
  <c r="L327" i="19"/>
  <c r="L326" i="19"/>
  <c r="L325" i="19"/>
  <c r="L324" i="19"/>
  <c r="L323" i="19"/>
  <c r="L322" i="19"/>
  <c r="L321" i="19"/>
  <c r="L320" i="19"/>
  <c r="L319" i="19"/>
  <c r="L318" i="19"/>
  <c r="L317" i="19"/>
  <c r="L316" i="19"/>
  <c r="L315" i="19"/>
  <c r="L314" i="19"/>
  <c r="L313" i="19"/>
  <c r="L312" i="19"/>
  <c r="L311" i="19"/>
  <c r="L310" i="19"/>
  <c r="L309" i="19"/>
  <c r="L308" i="19"/>
  <c r="L307" i="19"/>
  <c r="L306" i="19"/>
  <c r="L305" i="19"/>
  <c r="L304" i="19"/>
  <c r="L303" i="19"/>
  <c r="L302" i="19"/>
  <c r="L301" i="19"/>
  <c r="L300" i="19"/>
  <c r="L299" i="19"/>
  <c r="L298" i="19"/>
  <c r="L297" i="19"/>
  <c r="L296" i="19"/>
  <c r="L295" i="19"/>
  <c r="L294" i="19"/>
  <c r="L293" i="19"/>
  <c r="L292" i="19"/>
  <c r="L291" i="19"/>
  <c r="L290" i="19"/>
  <c r="L289" i="19"/>
  <c r="L288" i="19"/>
  <c r="L287" i="19"/>
  <c r="L286" i="19"/>
  <c r="L285" i="19"/>
  <c r="L284" i="19"/>
  <c r="L283" i="19"/>
  <c r="L282" i="19"/>
  <c r="L281" i="19"/>
  <c r="L280" i="19"/>
  <c r="L279" i="19"/>
  <c r="L278" i="19"/>
  <c r="L277" i="19"/>
  <c r="L276" i="19"/>
  <c r="L275" i="19"/>
  <c r="L274" i="19"/>
  <c r="L273" i="19"/>
  <c r="L272" i="19"/>
  <c r="L271" i="19"/>
  <c r="L270" i="19"/>
  <c r="L269" i="19"/>
  <c r="L268" i="19"/>
  <c r="L267" i="19"/>
  <c r="L266" i="19"/>
  <c r="L265" i="19"/>
  <c r="L264" i="19"/>
  <c r="L263" i="19"/>
  <c r="L262" i="19"/>
  <c r="L261" i="19"/>
  <c r="L260" i="19"/>
  <c r="L259" i="19"/>
  <c r="L258" i="19"/>
  <c r="L257" i="19"/>
  <c r="L256" i="19"/>
  <c r="L255" i="19"/>
  <c r="L254" i="19"/>
  <c r="L253" i="19"/>
  <c r="L252" i="19"/>
  <c r="L251" i="19"/>
  <c r="L250" i="19"/>
  <c r="L249" i="19"/>
  <c r="L248" i="19"/>
  <c r="L247" i="19"/>
  <c r="L246" i="19"/>
  <c r="L245" i="19"/>
  <c r="L244" i="19"/>
  <c r="L243" i="19"/>
  <c r="L242" i="19"/>
  <c r="L241" i="19"/>
  <c r="L240" i="19"/>
  <c r="L239" i="19"/>
  <c r="L238" i="19"/>
  <c r="L237" i="19"/>
  <c r="L236" i="19"/>
  <c r="L235" i="19"/>
  <c r="L234" i="19"/>
  <c r="L233" i="19"/>
  <c r="L232" i="19"/>
  <c r="L231" i="19"/>
  <c r="L230" i="19"/>
  <c r="L229" i="19"/>
  <c r="L228" i="19"/>
  <c r="L227" i="19"/>
  <c r="L226" i="19"/>
  <c r="L225" i="19"/>
  <c r="L224" i="19"/>
  <c r="L223" i="19"/>
  <c r="L222" i="19"/>
  <c r="L221" i="19"/>
  <c r="L220" i="19"/>
  <c r="L219" i="19"/>
  <c r="L218" i="19"/>
  <c r="L217" i="19"/>
  <c r="L216" i="19"/>
  <c r="L215" i="19"/>
  <c r="L214" i="19"/>
  <c r="L213" i="19"/>
  <c r="L212" i="19"/>
  <c r="L211" i="19"/>
  <c r="L210" i="19"/>
  <c r="L209" i="19"/>
  <c r="L208" i="19"/>
  <c r="L207" i="19"/>
  <c r="L206" i="19"/>
  <c r="L205" i="19"/>
  <c r="L204" i="19"/>
  <c r="L203" i="19"/>
  <c r="L202" i="19"/>
  <c r="L201" i="19"/>
  <c r="L200" i="19"/>
  <c r="L199" i="19"/>
  <c r="L198" i="19"/>
  <c r="L197" i="19"/>
  <c r="L196" i="19"/>
  <c r="L195" i="19"/>
  <c r="L194" i="19"/>
  <c r="L193" i="19"/>
  <c r="L192" i="19"/>
  <c r="L191" i="19"/>
  <c r="L190" i="19"/>
  <c r="L189" i="19"/>
  <c r="L188" i="19"/>
  <c r="L187" i="19"/>
  <c r="L186" i="19"/>
  <c r="L185" i="19"/>
  <c r="L184" i="19"/>
  <c r="L183" i="19"/>
  <c r="L182" i="19"/>
  <c r="L181" i="19"/>
  <c r="L180" i="19"/>
  <c r="L179" i="19"/>
  <c r="L178" i="19"/>
  <c r="L177" i="19"/>
  <c r="L176" i="19"/>
  <c r="L175" i="19"/>
  <c r="L174" i="19"/>
  <c r="L173" i="19"/>
  <c r="L172" i="19"/>
  <c r="L171" i="19"/>
  <c r="L170" i="19"/>
  <c r="L169" i="19"/>
  <c r="L168" i="19"/>
  <c r="L167" i="19"/>
  <c r="L166" i="19"/>
  <c r="L165" i="19"/>
  <c r="L164" i="19"/>
  <c r="L163" i="19"/>
  <c r="L162" i="19"/>
  <c r="L161" i="19"/>
  <c r="L160" i="19"/>
  <c r="L159" i="19"/>
  <c r="L158" i="19"/>
  <c r="L157" i="19"/>
  <c r="L156" i="19"/>
  <c r="L155" i="19"/>
  <c r="L154" i="19"/>
  <c r="L153" i="19"/>
  <c r="L152" i="19"/>
  <c r="L151" i="19"/>
  <c r="L150" i="19"/>
  <c r="L149" i="19"/>
  <c r="L148" i="19"/>
  <c r="L147" i="19"/>
  <c r="L146" i="19"/>
  <c r="L145" i="19"/>
  <c r="L144" i="19"/>
  <c r="L143" i="19"/>
  <c r="L142" i="19"/>
  <c r="L141" i="19"/>
  <c r="L140" i="19"/>
  <c r="L139" i="19"/>
  <c r="L138" i="19"/>
  <c r="L137" i="19"/>
  <c r="L136" i="19"/>
  <c r="L135" i="19"/>
  <c r="L134" i="19"/>
  <c r="L133" i="19"/>
  <c r="L132" i="19"/>
  <c r="L131" i="19"/>
  <c r="L130" i="19"/>
  <c r="L129" i="19"/>
  <c r="L128" i="19"/>
  <c r="L127" i="19"/>
  <c r="L126" i="19"/>
  <c r="L125" i="19"/>
  <c r="L124" i="19"/>
  <c r="L123" i="19"/>
  <c r="L122" i="19"/>
  <c r="L121" i="19"/>
  <c r="L120" i="19"/>
  <c r="L119" i="19"/>
  <c r="L118" i="19"/>
  <c r="L117" i="19"/>
  <c r="L116" i="19"/>
  <c r="L115" i="19"/>
  <c r="L114" i="19"/>
  <c r="L113" i="19"/>
  <c r="L112" i="19"/>
  <c r="L111" i="19"/>
  <c r="L110" i="19"/>
  <c r="L109" i="19"/>
  <c r="L108" i="19"/>
  <c r="L107" i="19"/>
  <c r="L106" i="19"/>
  <c r="L105" i="19"/>
  <c r="L104" i="19"/>
  <c r="L103" i="19"/>
  <c r="L102" i="19"/>
  <c r="L101" i="19"/>
  <c r="L100" i="19"/>
  <c r="L99" i="19"/>
  <c r="L98" i="19"/>
  <c r="L97" i="19"/>
  <c r="L96" i="19"/>
  <c r="L95" i="19"/>
  <c r="L94" i="19"/>
  <c r="L93" i="19"/>
  <c r="L92" i="19"/>
  <c r="L91" i="19"/>
  <c r="L90" i="19"/>
  <c r="L89" i="19"/>
  <c r="L88" i="19"/>
  <c r="L87" i="19"/>
  <c r="L86" i="19"/>
  <c r="L85" i="19"/>
  <c r="L84" i="19"/>
  <c r="L83" i="19"/>
  <c r="L82" i="19"/>
  <c r="L81" i="19"/>
  <c r="L80" i="19"/>
  <c r="L79" i="19"/>
  <c r="L78" i="19"/>
  <c r="L77" i="19"/>
  <c r="L76" i="19"/>
  <c r="L75" i="19"/>
  <c r="L74" i="19"/>
  <c r="L73" i="19"/>
  <c r="L72" i="19"/>
  <c r="L71" i="19"/>
  <c r="L70" i="19"/>
  <c r="L69" i="19"/>
  <c r="L68" i="19"/>
  <c r="L67" i="19"/>
  <c r="L66" i="19"/>
  <c r="L65" i="19"/>
  <c r="L64" i="19"/>
  <c r="L63" i="19"/>
  <c r="L62" i="19"/>
  <c r="L61" i="19"/>
  <c r="L60" i="19"/>
  <c r="L59" i="19"/>
  <c r="L58" i="19"/>
  <c r="L57" i="19"/>
  <c r="L56" i="19"/>
  <c r="L55" i="19"/>
  <c r="L54" i="19"/>
  <c r="L53" i="19"/>
  <c r="L52" i="19"/>
  <c r="L51" i="19"/>
  <c r="L50" i="19"/>
  <c r="L49" i="19"/>
  <c r="L48" i="19"/>
  <c r="L47" i="19"/>
  <c r="L46" i="19"/>
  <c r="L45" i="19"/>
  <c r="L44" i="19"/>
  <c r="L43" i="19"/>
  <c r="L42" i="19"/>
  <c r="L41" i="19"/>
  <c r="L40" i="19"/>
  <c r="L39" i="19"/>
  <c r="L38" i="19"/>
  <c r="L37" i="19"/>
  <c r="L36" i="19"/>
  <c r="L35" i="19"/>
  <c r="L34" i="19"/>
  <c r="L33" i="19"/>
  <c r="L32" i="19"/>
  <c r="L31" i="19"/>
  <c r="L30" i="19"/>
  <c r="L29" i="19"/>
  <c r="L28" i="19"/>
  <c r="L27" i="19"/>
  <c r="L26" i="19"/>
  <c r="L25" i="19"/>
  <c r="L24" i="19"/>
  <c r="L23" i="19"/>
  <c r="L22" i="19"/>
  <c r="L21" i="19"/>
  <c r="L20" i="19"/>
  <c r="L19" i="19"/>
  <c r="L18" i="19"/>
  <c r="L17" i="19"/>
  <c r="L16" i="19"/>
  <c r="L15" i="19"/>
  <c r="L14" i="19"/>
  <c r="L13" i="19"/>
  <c r="L12" i="19"/>
  <c r="L11" i="19"/>
  <c r="L10" i="19"/>
  <c r="L9" i="19"/>
  <c r="L8" i="19"/>
  <c r="L7" i="19"/>
  <c r="L6" i="19"/>
  <c r="L5" i="19"/>
  <c r="L4" i="19"/>
  <c r="L3" i="19"/>
  <c r="L2" i="19"/>
  <c r="I404" i="19"/>
  <c r="I403" i="19"/>
  <c r="I402" i="19"/>
  <c r="I401" i="19"/>
  <c r="I400" i="19"/>
  <c r="I399" i="19"/>
  <c r="I398" i="19"/>
  <c r="I397" i="19"/>
  <c r="I396" i="19"/>
  <c r="I395" i="19"/>
  <c r="I394" i="19"/>
  <c r="I393" i="19"/>
  <c r="I392" i="19"/>
  <c r="I391" i="19"/>
  <c r="I390" i="19"/>
  <c r="I389" i="19"/>
  <c r="I388" i="19"/>
  <c r="I387" i="19"/>
  <c r="I386" i="19"/>
  <c r="I385" i="19"/>
  <c r="I384" i="19"/>
  <c r="I383" i="19"/>
  <c r="I382" i="19"/>
  <c r="I381" i="19"/>
  <c r="I380" i="19"/>
  <c r="I379" i="19"/>
  <c r="I378" i="19"/>
  <c r="I377" i="19"/>
  <c r="I376" i="19"/>
  <c r="I375" i="19"/>
  <c r="I374" i="19"/>
  <c r="I373" i="19"/>
  <c r="I372" i="19"/>
  <c r="I371" i="19"/>
  <c r="I370" i="19"/>
  <c r="I369" i="19"/>
  <c r="I368" i="19"/>
  <c r="I367" i="19"/>
  <c r="I366" i="19"/>
  <c r="I365" i="19"/>
  <c r="I364" i="19"/>
  <c r="I363" i="19"/>
  <c r="I362" i="19"/>
  <c r="I361" i="19"/>
  <c r="I360" i="19"/>
  <c r="I359" i="19"/>
  <c r="I358" i="19"/>
  <c r="I357" i="19"/>
  <c r="I356" i="19"/>
  <c r="I355" i="19"/>
  <c r="I354" i="19"/>
  <c r="I353" i="19"/>
  <c r="I352" i="19"/>
  <c r="I351" i="19"/>
  <c r="I350" i="19"/>
  <c r="I349" i="19"/>
  <c r="I348" i="19"/>
  <c r="I347" i="19"/>
  <c r="I346" i="19"/>
  <c r="I345" i="19"/>
  <c r="I344" i="19"/>
  <c r="I343" i="19"/>
  <c r="I342" i="19"/>
  <c r="I341" i="19"/>
  <c r="I340" i="19"/>
  <c r="I339" i="19"/>
  <c r="I338" i="19"/>
  <c r="I337" i="19"/>
  <c r="I336" i="19"/>
  <c r="I335" i="19"/>
  <c r="I334" i="19"/>
  <c r="I333" i="19"/>
  <c r="I332" i="19"/>
  <c r="I331" i="19"/>
  <c r="I330" i="19"/>
  <c r="I329" i="19"/>
  <c r="I328" i="19"/>
  <c r="I327" i="19"/>
  <c r="I326" i="19"/>
  <c r="I325" i="19"/>
  <c r="I324" i="19"/>
  <c r="I323" i="19"/>
  <c r="I322" i="19"/>
  <c r="I321" i="19"/>
  <c r="I320" i="19"/>
  <c r="I319" i="19"/>
  <c r="I318" i="19"/>
  <c r="I317" i="19"/>
  <c r="I316" i="19"/>
  <c r="I315" i="19"/>
  <c r="I314" i="19"/>
  <c r="I313" i="19"/>
  <c r="I312" i="19"/>
  <c r="I311" i="19"/>
  <c r="I310" i="19"/>
  <c r="I309" i="19"/>
  <c r="I308" i="19"/>
  <c r="I307" i="19"/>
  <c r="I306" i="19"/>
  <c r="I305" i="19"/>
  <c r="I304" i="19"/>
  <c r="I303" i="19"/>
  <c r="I302" i="19"/>
  <c r="I301" i="19"/>
  <c r="I300" i="19"/>
  <c r="I299" i="19"/>
  <c r="I298" i="19"/>
  <c r="I297" i="19"/>
  <c r="I296" i="19"/>
  <c r="I295" i="19"/>
  <c r="I294" i="19"/>
  <c r="I293" i="19"/>
  <c r="I292" i="19"/>
  <c r="I291" i="19"/>
  <c r="I290" i="19"/>
  <c r="I289" i="19"/>
  <c r="I288" i="19"/>
  <c r="I287" i="19"/>
  <c r="I286" i="19"/>
  <c r="I285" i="19"/>
  <c r="I284" i="19"/>
  <c r="I283" i="19"/>
  <c r="I282" i="19"/>
  <c r="I281" i="19"/>
  <c r="I280" i="19"/>
  <c r="I279" i="19"/>
  <c r="I278" i="19"/>
  <c r="I277" i="19"/>
  <c r="I276" i="19"/>
  <c r="I275" i="19"/>
  <c r="I274" i="19"/>
  <c r="I273" i="19"/>
  <c r="I272" i="19"/>
  <c r="I271" i="19"/>
  <c r="I270" i="19"/>
  <c r="I269" i="19"/>
  <c r="I268" i="19"/>
  <c r="I267" i="19"/>
  <c r="I266" i="19"/>
  <c r="I265" i="19"/>
  <c r="I264" i="19"/>
  <c r="I263" i="19"/>
  <c r="I262" i="19"/>
  <c r="I261" i="19"/>
  <c r="I260" i="19"/>
  <c r="I259" i="19"/>
  <c r="I258" i="19"/>
  <c r="I257" i="19"/>
  <c r="I256" i="19"/>
  <c r="I255" i="19"/>
  <c r="I254" i="19"/>
  <c r="I253" i="19"/>
  <c r="I252" i="19"/>
  <c r="I251" i="19"/>
  <c r="I250" i="19"/>
  <c r="I249" i="19"/>
  <c r="I248" i="19"/>
  <c r="I247" i="19"/>
  <c r="I246" i="19"/>
  <c r="I245" i="19"/>
  <c r="I244" i="19"/>
  <c r="I243" i="19"/>
  <c r="I242" i="19"/>
  <c r="I241" i="19"/>
  <c r="I240" i="19"/>
  <c r="I239" i="19"/>
  <c r="I238" i="19"/>
  <c r="I237" i="19"/>
  <c r="I236" i="19"/>
  <c r="I235" i="19"/>
  <c r="I234" i="19"/>
  <c r="I233" i="19"/>
  <c r="I232" i="19"/>
  <c r="I231" i="19"/>
  <c r="I230" i="19"/>
  <c r="I229" i="19"/>
  <c r="I228" i="19"/>
  <c r="I227" i="19"/>
  <c r="I226" i="19"/>
  <c r="I225" i="19"/>
  <c r="I224" i="19"/>
  <c r="I223" i="19"/>
  <c r="I222" i="19"/>
  <c r="I221" i="19"/>
  <c r="I220" i="19"/>
  <c r="I219" i="19"/>
  <c r="I218" i="19"/>
  <c r="I217" i="19"/>
  <c r="I216" i="19"/>
  <c r="I215" i="19"/>
  <c r="I214" i="19"/>
  <c r="I213" i="19"/>
  <c r="I212" i="19"/>
  <c r="I211" i="19"/>
  <c r="I210" i="19"/>
  <c r="I209" i="19"/>
  <c r="I208" i="19"/>
  <c r="I207" i="19"/>
  <c r="I206" i="19"/>
  <c r="I205" i="19"/>
  <c r="I204" i="19"/>
  <c r="I203" i="19"/>
  <c r="I202" i="19"/>
  <c r="I201" i="19"/>
  <c r="I200" i="19"/>
  <c r="I199" i="19"/>
  <c r="I198" i="19"/>
  <c r="I197" i="19"/>
  <c r="I196" i="19"/>
  <c r="I195" i="19"/>
  <c r="I194" i="19"/>
  <c r="I193" i="19"/>
  <c r="I192" i="19"/>
  <c r="I191" i="19"/>
  <c r="I190" i="19"/>
  <c r="I189" i="19"/>
  <c r="I188" i="19"/>
  <c r="I187" i="19"/>
  <c r="I186" i="19"/>
  <c r="I185" i="19"/>
  <c r="I184" i="19"/>
  <c r="I183" i="19"/>
  <c r="I182" i="19"/>
  <c r="I181" i="19"/>
  <c r="I180" i="19"/>
  <c r="I179" i="19"/>
  <c r="I178" i="19"/>
  <c r="I177" i="19"/>
  <c r="I176" i="19"/>
  <c r="I175" i="19"/>
  <c r="I174" i="19"/>
  <c r="I173" i="19"/>
  <c r="I172" i="19"/>
  <c r="I171" i="19"/>
  <c r="I170" i="19"/>
  <c r="I169" i="19"/>
  <c r="I168" i="19"/>
  <c r="I167" i="19"/>
  <c r="I166" i="19"/>
  <c r="I165" i="19"/>
  <c r="I164" i="19"/>
  <c r="I163" i="19"/>
  <c r="I162" i="19"/>
  <c r="I161" i="19"/>
  <c r="I160" i="19"/>
  <c r="I159" i="19"/>
  <c r="I158" i="19"/>
  <c r="I157" i="19"/>
  <c r="I156" i="19"/>
  <c r="I155" i="19"/>
  <c r="I154" i="19"/>
  <c r="I153" i="19"/>
  <c r="I152" i="19"/>
  <c r="I151" i="19"/>
  <c r="I150" i="19"/>
  <c r="I149" i="19"/>
  <c r="I148" i="19"/>
  <c r="I147" i="19"/>
  <c r="I146" i="19"/>
  <c r="I145" i="19"/>
  <c r="I144" i="19"/>
  <c r="I143" i="19"/>
  <c r="I142" i="19"/>
  <c r="I141" i="19"/>
  <c r="I140" i="19"/>
  <c r="I139" i="19"/>
  <c r="I138" i="19"/>
  <c r="I137" i="19"/>
  <c r="I136" i="19"/>
  <c r="I135" i="19"/>
  <c r="I134" i="19"/>
  <c r="I133" i="19"/>
  <c r="I132" i="19"/>
  <c r="I131" i="19"/>
  <c r="I130" i="19"/>
  <c r="I129" i="19"/>
  <c r="I128" i="19"/>
  <c r="I127" i="19"/>
  <c r="I126" i="19"/>
  <c r="I125" i="19"/>
  <c r="I124" i="19"/>
  <c r="I123" i="19"/>
  <c r="I122" i="19"/>
  <c r="I121" i="19"/>
  <c r="I120" i="19"/>
  <c r="I119" i="19"/>
  <c r="I118" i="19"/>
  <c r="I117" i="19"/>
  <c r="I116" i="19"/>
  <c r="I115" i="19"/>
  <c r="I114" i="19"/>
  <c r="I113" i="19"/>
  <c r="I112" i="19"/>
  <c r="I111" i="19"/>
  <c r="I110" i="19"/>
  <c r="I109" i="19"/>
  <c r="I108" i="19"/>
  <c r="I107" i="19"/>
  <c r="I106" i="19"/>
  <c r="I105" i="19"/>
  <c r="I104" i="19"/>
  <c r="I103" i="19"/>
  <c r="I102" i="19"/>
  <c r="I101" i="19"/>
  <c r="I100" i="19"/>
  <c r="I99" i="19"/>
  <c r="I98" i="19"/>
  <c r="I97" i="19"/>
  <c r="I96" i="19"/>
  <c r="I95" i="19"/>
  <c r="I94" i="19"/>
  <c r="I93" i="19"/>
  <c r="I92" i="19"/>
  <c r="I91" i="19"/>
  <c r="I90" i="19"/>
  <c r="I89" i="19"/>
  <c r="I88" i="19"/>
  <c r="I87" i="19"/>
  <c r="I86" i="19"/>
  <c r="I85" i="19"/>
  <c r="I84" i="19"/>
  <c r="I83" i="19"/>
  <c r="I82" i="19"/>
  <c r="I81" i="19"/>
  <c r="I80" i="19"/>
  <c r="I79" i="19"/>
  <c r="I78" i="19"/>
  <c r="I77" i="19"/>
  <c r="I76" i="19"/>
  <c r="I75" i="19"/>
  <c r="I74" i="19"/>
  <c r="I73" i="19"/>
  <c r="I72" i="19"/>
  <c r="I71" i="19"/>
  <c r="I70" i="19"/>
  <c r="I69" i="19"/>
  <c r="I68" i="19"/>
  <c r="I67" i="19"/>
  <c r="I66" i="19"/>
  <c r="I65" i="19"/>
  <c r="I64" i="19"/>
  <c r="I63" i="19"/>
  <c r="I62" i="19"/>
  <c r="I61" i="19"/>
  <c r="I60" i="19"/>
  <c r="I59" i="19"/>
  <c r="I58" i="19"/>
  <c r="I57" i="19"/>
  <c r="I56" i="19"/>
  <c r="I55" i="19"/>
  <c r="I54" i="19"/>
  <c r="I53" i="19"/>
  <c r="I52" i="19"/>
  <c r="I51" i="19"/>
  <c r="I50" i="19"/>
  <c r="I49" i="19"/>
  <c r="I48" i="19"/>
  <c r="I47" i="19"/>
  <c r="I46" i="19"/>
  <c r="I45" i="19"/>
  <c r="I44" i="19"/>
  <c r="I43" i="19"/>
  <c r="I42" i="19"/>
  <c r="I41" i="19"/>
  <c r="I40" i="19"/>
  <c r="I39" i="19"/>
  <c r="I38" i="19"/>
  <c r="I37" i="19"/>
  <c r="I36" i="19"/>
  <c r="I35" i="19"/>
  <c r="I34" i="19"/>
  <c r="I33" i="19"/>
  <c r="I32" i="19"/>
  <c r="I31" i="19"/>
  <c r="I30" i="19"/>
  <c r="I29" i="19"/>
  <c r="I28" i="19"/>
  <c r="I27" i="19"/>
  <c r="I26" i="19"/>
  <c r="I25" i="19"/>
  <c r="I24" i="19"/>
  <c r="I23" i="19"/>
  <c r="I22" i="19"/>
  <c r="I21" i="19"/>
  <c r="I20" i="19"/>
  <c r="I19" i="19"/>
  <c r="I18" i="19"/>
  <c r="I17" i="19"/>
  <c r="I16" i="19"/>
  <c r="I15" i="19"/>
  <c r="I14" i="19"/>
  <c r="I13" i="19"/>
  <c r="I12" i="19"/>
  <c r="I11" i="19"/>
  <c r="I10" i="19"/>
  <c r="I9" i="19"/>
  <c r="I8" i="19"/>
  <c r="I7" i="19"/>
  <c r="I6" i="19"/>
  <c r="I5" i="19"/>
  <c r="I4" i="19"/>
  <c r="I3" i="19"/>
  <c r="I2" i="19"/>
  <c r="F404" i="19"/>
  <c r="F403" i="19"/>
  <c r="F402" i="19"/>
  <c r="F401" i="19"/>
  <c r="F400" i="19"/>
  <c r="F399" i="19"/>
  <c r="F398" i="19"/>
  <c r="F397" i="19"/>
  <c r="F396" i="19"/>
  <c r="F395" i="19"/>
  <c r="F394" i="19"/>
  <c r="F393" i="19"/>
  <c r="F392" i="19"/>
  <c r="F391" i="19"/>
  <c r="F390" i="19"/>
  <c r="F389" i="19"/>
  <c r="F388" i="19"/>
  <c r="F387" i="19"/>
  <c r="F386" i="19"/>
  <c r="F385" i="19"/>
  <c r="F384" i="19"/>
  <c r="F383" i="19"/>
  <c r="F382" i="19"/>
  <c r="F381" i="19"/>
  <c r="F380" i="19"/>
  <c r="F379" i="19"/>
  <c r="F378" i="19"/>
  <c r="F377" i="19"/>
  <c r="F376" i="19"/>
  <c r="F375" i="19"/>
  <c r="F374" i="19"/>
  <c r="F373" i="19"/>
  <c r="F372" i="19"/>
  <c r="F371" i="19"/>
  <c r="F370" i="19"/>
  <c r="F369" i="19"/>
  <c r="F368" i="19"/>
  <c r="F367" i="19"/>
  <c r="F366" i="19"/>
  <c r="F365" i="19"/>
  <c r="F364" i="19"/>
  <c r="F363" i="19"/>
  <c r="F362" i="19"/>
  <c r="F361" i="19"/>
  <c r="F360" i="19"/>
  <c r="F359" i="19"/>
  <c r="F358" i="19"/>
  <c r="F357" i="19"/>
  <c r="F356" i="19"/>
  <c r="F355" i="19"/>
  <c r="F354" i="19"/>
  <c r="F353" i="19"/>
  <c r="F352" i="19"/>
  <c r="F351" i="19"/>
  <c r="F350" i="19"/>
  <c r="F349" i="19"/>
  <c r="F348" i="19"/>
  <c r="F347" i="19"/>
  <c r="F346" i="19"/>
  <c r="F345" i="19"/>
  <c r="F344" i="19"/>
  <c r="F343" i="19"/>
  <c r="F342" i="19"/>
  <c r="F341" i="19"/>
  <c r="F340" i="19"/>
  <c r="F339" i="19"/>
  <c r="F338" i="19"/>
  <c r="F337" i="19"/>
  <c r="F336" i="19"/>
  <c r="F335" i="19"/>
  <c r="F334" i="19"/>
  <c r="F333" i="19"/>
  <c r="F332" i="19"/>
  <c r="F331" i="19"/>
  <c r="F330" i="19"/>
  <c r="F329" i="19"/>
  <c r="F328" i="19"/>
  <c r="F327" i="19"/>
  <c r="F326" i="19"/>
  <c r="F325" i="19"/>
  <c r="F324" i="19"/>
  <c r="F323" i="19"/>
  <c r="F322" i="19"/>
  <c r="F321" i="19"/>
  <c r="F320" i="19"/>
  <c r="F319" i="19"/>
  <c r="F318" i="19"/>
  <c r="F317" i="19"/>
  <c r="F316" i="19"/>
  <c r="F315" i="19"/>
  <c r="F314" i="19"/>
  <c r="F313" i="19"/>
  <c r="F312" i="19"/>
  <c r="F311" i="19"/>
  <c r="F310" i="19"/>
  <c r="F309" i="19"/>
  <c r="F308" i="19"/>
  <c r="F307" i="19"/>
  <c r="F306" i="19"/>
  <c r="F305" i="19"/>
  <c r="F304" i="19"/>
  <c r="F303" i="19"/>
  <c r="F302" i="19"/>
  <c r="F301" i="19"/>
  <c r="F300" i="19"/>
  <c r="F299" i="19"/>
  <c r="F298" i="19"/>
  <c r="F297" i="19"/>
  <c r="F296" i="19"/>
  <c r="F295" i="19"/>
  <c r="F294" i="19"/>
  <c r="F293" i="19"/>
  <c r="F292" i="19"/>
  <c r="F291" i="19"/>
  <c r="F290" i="19"/>
  <c r="F289" i="19"/>
  <c r="F288" i="19"/>
  <c r="F287" i="19"/>
  <c r="F286" i="19"/>
  <c r="F285" i="19"/>
  <c r="F284" i="19"/>
  <c r="F283" i="19"/>
  <c r="F282" i="19"/>
  <c r="F281" i="19"/>
  <c r="F280" i="19"/>
  <c r="F279" i="19"/>
  <c r="F278" i="19"/>
  <c r="F277" i="19"/>
  <c r="F276" i="19"/>
  <c r="F275" i="19"/>
  <c r="F274" i="19"/>
  <c r="F273" i="19"/>
  <c r="F272" i="19"/>
  <c r="F271" i="19"/>
  <c r="F270" i="19"/>
  <c r="F269" i="19"/>
  <c r="F268" i="19"/>
  <c r="F267" i="19"/>
  <c r="F266" i="19"/>
  <c r="F265" i="19"/>
  <c r="F264" i="19"/>
  <c r="F263" i="19"/>
  <c r="F262" i="19"/>
  <c r="F261" i="19"/>
  <c r="F260" i="19"/>
  <c r="F259" i="19"/>
  <c r="F258" i="19"/>
  <c r="F257" i="19"/>
  <c r="F256" i="19"/>
  <c r="F255" i="19"/>
  <c r="F254" i="19"/>
  <c r="F253" i="19"/>
  <c r="F252" i="19"/>
  <c r="F251" i="19"/>
  <c r="F250" i="19"/>
  <c r="F249" i="19"/>
  <c r="F248" i="19"/>
  <c r="F247" i="19"/>
  <c r="F246" i="19"/>
  <c r="F245" i="19"/>
  <c r="F244" i="19"/>
  <c r="F243" i="19"/>
  <c r="F242" i="19"/>
  <c r="F241" i="19"/>
  <c r="F240" i="19"/>
  <c r="F239" i="19"/>
  <c r="F238" i="19"/>
  <c r="F237" i="19"/>
  <c r="F236" i="19"/>
  <c r="F235" i="19"/>
  <c r="F234" i="19"/>
  <c r="F233" i="19"/>
  <c r="F232" i="19"/>
  <c r="F231" i="19"/>
  <c r="F230" i="19"/>
  <c r="F229" i="19"/>
  <c r="F228" i="19"/>
  <c r="F227" i="19"/>
  <c r="F226" i="19"/>
  <c r="F225" i="19"/>
  <c r="F224" i="19"/>
  <c r="F223" i="19"/>
  <c r="F222" i="19"/>
  <c r="F221" i="19"/>
  <c r="F220" i="19"/>
  <c r="F219" i="19"/>
  <c r="F218" i="19"/>
  <c r="F217" i="19"/>
  <c r="F216" i="19"/>
  <c r="F215" i="19"/>
  <c r="F214" i="19"/>
  <c r="F213" i="19"/>
  <c r="F212" i="19"/>
  <c r="F211" i="19"/>
  <c r="F210" i="19"/>
  <c r="F209" i="19"/>
  <c r="F208" i="19"/>
  <c r="F207" i="19"/>
  <c r="F206" i="19"/>
  <c r="F205" i="19"/>
  <c r="F204" i="19"/>
  <c r="F203" i="19"/>
  <c r="F202" i="19"/>
  <c r="F201" i="19"/>
  <c r="F200" i="19"/>
  <c r="F199" i="19"/>
  <c r="F198" i="19"/>
  <c r="F197" i="19"/>
  <c r="F196" i="19"/>
  <c r="F195" i="19"/>
  <c r="F194" i="19"/>
  <c r="F193" i="19"/>
  <c r="F192" i="19"/>
  <c r="F191" i="19"/>
  <c r="F190" i="19"/>
  <c r="F189" i="19"/>
  <c r="F188" i="19"/>
  <c r="F187" i="19"/>
  <c r="F186" i="19"/>
  <c r="F185" i="19"/>
  <c r="F184" i="19"/>
  <c r="F183" i="19"/>
  <c r="F182" i="19"/>
  <c r="F181" i="19"/>
  <c r="F180" i="19"/>
  <c r="F179" i="19"/>
  <c r="F178" i="19"/>
  <c r="F177" i="19"/>
  <c r="F176" i="19"/>
  <c r="F175" i="19"/>
  <c r="F174" i="19"/>
  <c r="F173" i="19"/>
  <c r="F172" i="19"/>
  <c r="F171" i="19"/>
  <c r="F170" i="19"/>
  <c r="F169" i="19"/>
  <c r="F168" i="19"/>
  <c r="F167" i="19"/>
  <c r="F166" i="19"/>
  <c r="F165" i="19"/>
  <c r="F164" i="19"/>
  <c r="F163" i="19"/>
  <c r="F162" i="19"/>
  <c r="F161" i="19"/>
  <c r="F160" i="19"/>
  <c r="F159" i="19"/>
  <c r="F158" i="19"/>
  <c r="F157" i="19"/>
  <c r="F156" i="19"/>
  <c r="F155" i="19"/>
  <c r="F154" i="19"/>
  <c r="F153" i="19"/>
  <c r="F152" i="19"/>
  <c r="F151" i="19"/>
  <c r="F150" i="19"/>
  <c r="F149" i="19"/>
  <c r="F148" i="19"/>
  <c r="F147" i="19"/>
  <c r="F146" i="19"/>
  <c r="F145" i="19"/>
  <c r="F144" i="19"/>
  <c r="F143" i="19"/>
  <c r="F142" i="19"/>
  <c r="F141" i="19"/>
  <c r="F140" i="19"/>
  <c r="F139" i="19"/>
  <c r="F138" i="19"/>
  <c r="F137" i="19"/>
  <c r="F136" i="19"/>
  <c r="F135" i="19"/>
  <c r="F134" i="19"/>
  <c r="F133" i="19"/>
  <c r="F132" i="19"/>
  <c r="F131" i="19"/>
  <c r="F130" i="19"/>
  <c r="F129" i="19"/>
  <c r="F128" i="19"/>
  <c r="F127" i="19"/>
  <c r="F126" i="19"/>
  <c r="F125" i="19"/>
  <c r="F124" i="19"/>
  <c r="F123" i="19"/>
  <c r="F122" i="19"/>
  <c r="F121" i="19"/>
  <c r="F120" i="19"/>
  <c r="F119" i="19"/>
  <c r="F118" i="19"/>
  <c r="F117" i="19"/>
  <c r="F116" i="19"/>
  <c r="F115" i="19"/>
  <c r="F114" i="19"/>
  <c r="F113" i="19"/>
  <c r="F112" i="19"/>
  <c r="F111" i="19"/>
  <c r="F110" i="19"/>
  <c r="F109" i="19"/>
  <c r="F108" i="19"/>
  <c r="F107" i="19"/>
  <c r="F106" i="19"/>
  <c r="F105" i="19"/>
  <c r="F104" i="19"/>
  <c r="F103" i="19"/>
  <c r="F102" i="19"/>
  <c r="F101" i="19"/>
  <c r="F100" i="19"/>
  <c r="F99" i="19"/>
  <c r="F98" i="19"/>
  <c r="F97" i="19"/>
  <c r="F96" i="19"/>
  <c r="F95" i="19"/>
  <c r="F94" i="19"/>
  <c r="F93" i="19"/>
  <c r="F92" i="19"/>
  <c r="F91" i="19"/>
  <c r="F90" i="19"/>
  <c r="F89" i="19"/>
  <c r="F88" i="19"/>
  <c r="F87" i="19"/>
  <c r="F86" i="19"/>
  <c r="F85" i="19"/>
  <c r="F84" i="19"/>
  <c r="F83" i="19"/>
  <c r="F82" i="19"/>
  <c r="F81" i="19"/>
  <c r="F80" i="19"/>
  <c r="F79" i="19"/>
  <c r="F78" i="19"/>
  <c r="F77" i="19"/>
  <c r="F76" i="19"/>
  <c r="F75" i="19"/>
  <c r="F74" i="19"/>
  <c r="F73" i="19"/>
  <c r="F72" i="19"/>
  <c r="F71" i="19"/>
  <c r="F70" i="19"/>
  <c r="F69" i="19"/>
  <c r="F68" i="19"/>
  <c r="F67" i="19"/>
  <c r="F66" i="19"/>
  <c r="F65" i="19"/>
  <c r="F64" i="19"/>
  <c r="F63" i="19"/>
  <c r="F62" i="19"/>
  <c r="F61" i="19"/>
  <c r="F60" i="19"/>
  <c r="F59" i="19"/>
  <c r="F58" i="19"/>
  <c r="F57" i="19"/>
  <c r="F56" i="19"/>
  <c r="F55" i="19"/>
  <c r="F54" i="19"/>
  <c r="F53" i="19"/>
  <c r="F52" i="19"/>
  <c r="F51" i="19"/>
  <c r="F50" i="19"/>
  <c r="F49" i="19"/>
  <c r="F48" i="19"/>
  <c r="F47" i="19"/>
  <c r="F46" i="19"/>
  <c r="F45" i="19"/>
  <c r="F44" i="19"/>
  <c r="F43" i="19"/>
  <c r="F42" i="19"/>
  <c r="F41" i="19"/>
  <c r="F40" i="19"/>
  <c r="F39" i="19"/>
  <c r="F38" i="19"/>
  <c r="F37" i="19"/>
  <c r="F36" i="19"/>
  <c r="F35" i="19"/>
  <c r="F34" i="19"/>
  <c r="F33" i="19"/>
  <c r="F32" i="19"/>
  <c r="F31" i="19"/>
  <c r="F30" i="19"/>
  <c r="F29" i="19"/>
  <c r="F28" i="19"/>
  <c r="F27" i="19"/>
  <c r="F26" i="19"/>
  <c r="F25" i="19"/>
  <c r="F24" i="19"/>
  <c r="F23" i="19"/>
  <c r="F22" i="19"/>
  <c r="F21" i="19"/>
  <c r="F20" i="19"/>
  <c r="F19" i="19"/>
  <c r="F18" i="19"/>
  <c r="F17" i="19"/>
  <c r="F16" i="19"/>
  <c r="F15" i="19"/>
  <c r="F14" i="19"/>
  <c r="F13" i="19"/>
  <c r="F12" i="19"/>
  <c r="F11" i="19"/>
  <c r="F10" i="19"/>
  <c r="F9" i="19"/>
  <c r="F8" i="19"/>
  <c r="F7" i="19"/>
  <c r="F6" i="19"/>
  <c r="F5" i="19"/>
  <c r="F4" i="19"/>
  <c r="F3" i="19"/>
  <c r="F2" i="19"/>
  <c r="C3" i="19"/>
  <c r="C4"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140" i="19"/>
  <c r="C141" i="19"/>
  <c r="C142" i="19"/>
  <c r="C143" i="19"/>
  <c r="C144" i="19"/>
  <c r="C145" i="19"/>
  <c r="C146" i="19"/>
  <c r="C147" i="19"/>
  <c r="C148" i="19"/>
  <c r="C149" i="19"/>
  <c r="C150" i="19"/>
  <c r="C151" i="19"/>
  <c r="C152" i="19"/>
  <c r="C153" i="19"/>
  <c r="C154" i="19"/>
  <c r="C155" i="19"/>
  <c r="C156" i="19"/>
  <c r="C157" i="19"/>
  <c r="C158" i="19"/>
  <c r="C159" i="19"/>
  <c r="C160" i="19"/>
  <c r="C161" i="19"/>
  <c r="C162" i="19"/>
  <c r="C163" i="19"/>
  <c r="C164" i="19"/>
  <c r="C165" i="19"/>
  <c r="C166" i="19"/>
  <c r="C167" i="19"/>
  <c r="C168" i="19"/>
  <c r="C169" i="19"/>
  <c r="C170" i="19"/>
  <c r="C171" i="19"/>
  <c r="C172" i="19"/>
  <c r="C173" i="19"/>
  <c r="C174" i="19"/>
  <c r="C175" i="19"/>
  <c r="C176" i="19"/>
  <c r="C177" i="19"/>
  <c r="C178" i="19"/>
  <c r="C179" i="19"/>
  <c r="C180" i="19"/>
  <c r="C181" i="19"/>
  <c r="C182" i="19"/>
  <c r="C183" i="19"/>
  <c r="C184" i="19"/>
  <c r="C185" i="19"/>
  <c r="C186" i="19"/>
  <c r="C187" i="19"/>
  <c r="C188" i="19"/>
  <c r="C189" i="19"/>
  <c r="C190" i="19"/>
  <c r="C191" i="19"/>
  <c r="C192" i="19"/>
  <c r="C193" i="19"/>
  <c r="C194" i="19"/>
  <c r="C195" i="19"/>
  <c r="C196" i="19"/>
  <c r="C197" i="19"/>
  <c r="C198" i="19"/>
  <c r="C199" i="19"/>
  <c r="C200" i="19"/>
  <c r="C201" i="19"/>
  <c r="C202" i="19"/>
  <c r="C203" i="19"/>
  <c r="C204" i="19"/>
  <c r="C205" i="19"/>
  <c r="C206" i="19"/>
  <c r="C207" i="19"/>
  <c r="C208" i="19"/>
  <c r="C209" i="19"/>
  <c r="C210" i="19"/>
  <c r="C211" i="19"/>
  <c r="C212" i="19"/>
  <c r="C213" i="19"/>
  <c r="C214" i="19"/>
  <c r="C215" i="19"/>
  <c r="C216" i="19"/>
  <c r="C217" i="19"/>
  <c r="C218" i="19"/>
  <c r="C219" i="19"/>
  <c r="C220" i="19"/>
  <c r="C221" i="19"/>
  <c r="C222" i="19"/>
  <c r="C223" i="19"/>
  <c r="C224" i="19"/>
  <c r="C225" i="19"/>
  <c r="C226" i="19"/>
  <c r="C227" i="19"/>
  <c r="C228" i="19"/>
  <c r="C229" i="19"/>
  <c r="C230" i="19"/>
  <c r="C231" i="19"/>
  <c r="C232" i="19"/>
  <c r="C233" i="19"/>
  <c r="C234" i="19"/>
  <c r="C235" i="19"/>
  <c r="C236" i="19"/>
  <c r="C237" i="19"/>
  <c r="C238" i="19"/>
  <c r="C239" i="19"/>
  <c r="C240" i="19"/>
  <c r="C241" i="19"/>
  <c r="C242" i="19"/>
  <c r="C243" i="19"/>
  <c r="C244" i="19"/>
  <c r="C245" i="19"/>
  <c r="C246" i="19"/>
  <c r="C247" i="19"/>
  <c r="C248" i="19"/>
  <c r="C249" i="19"/>
  <c r="C250" i="19"/>
  <c r="C251" i="19"/>
  <c r="C252" i="19"/>
  <c r="C253" i="19"/>
  <c r="C254" i="19"/>
  <c r="C255" i="19"/>
  <c r="C256" i="19"/>
  <c r="C257" i="19"/>
  <c r="C258" i="19"/>
  <c r="C259" i="19"/>
  <c r="C260" i="19"/>
  <c r="C261" i="19"/>
  <c r="C262" i="19"/>
  <c r="C263" i="19"/>
  <c r="C264" i="19"/>
  <c r="C265" i="19"/>
  <c r="C266" i="19"/>
  <c r="C267" i="19"/>
  <c r="C268" i="19"/>
  <c r="C269" i="19"/>
  <c r="C270" i="19"/>
  <c r="C271" i="19"/>
  <c r="C272" i="19"/>
  <c r="C273" i="19"/>
  <c r="C274" i="19"/>
  <c r="C275" i="19"/>
  <c r="C276" i="19"/>
  <c r="C277" i="19"/>
  <c r="C278" i="19"/>
  <c r="C279" i="19"/>
  <c r="C280" i="19"/>
  <c r="C281" i="19"/>
  <c r="C282" i="19"/>
  <c r="C283" i="19"/>
  <c r="C284" i="19"/>
  <c r="C285" i="19"/>
  <c r="C286" i="19"/>
  <c r="C287" i="19"/>
  <c r="C288" i="19"/>
  <c r="C289" i="19"/>
  <c r="C290" i="19"/>
  <c r="C291" i="19"/>
  <c r="C292" i="19"/>
  <c r="C293" i="19"/>
  <c r="C294" i="19"/>
  <c r="C295" i="19"/>
  <c r="C296" i="19"/>
  <c r="C297" i="19"/>
  <c r="C298" i="19"/>
  <c r="C299" i="19"/>
  <c r="C300" i="19"/>
  <c r="C301" i="19"/>
  <c r="C302" i="19"/>
  <c r="C303" i="19"/>
  <c r="C304" i="19"/>
  <c r="C305" i="19"/>
  <c r="C306" i="19"/>
  <c r="C307" i="19"/>
  <c r="C308" i="19"/>
  <c r="C309" i="19"/>
  <c r="C310" i="19"/>
  <c r="C311" i="19"/>
  <c r="C312" i="19"/>
  <c r="C313" i="19"/>
  <c r="C314" i="19"/>
  <c r="C315" i="19"/>
  <c r="C316" i="19"/>
  <c r="C317" i="19"/>
  <c r="C318" i="19"/>
  <c r="C319" i="19"/>
  <c r="C320" i="19"/>
  <c r="C321" i="19"/>
  <c r="C322" i="19"/>
  <c r="C323" i="19"/>
  <c r="C324" i="19"/>
  <c r="C325" i="19"/>
  <c r="C326" i="19"/>
  <c r="C327" i="19"/>
  <c r="C328" i="19"/>
  <c r="C329" i="19"/>
  <c r="C330" i="19"/>
  <c r="C331" i="19"/>
  <c r="C332" i="19"/>
  <c r="C333" i="19"/>
  <c r="C334" i="19"/>
  <c r="C335" i="19"/>
  <c r="C336" i="19"/>
  <c r="C337" i="19"/>
  <c r="C338" i="19"/>
  <c r="C339" i="19"/>
  <c r="C340" i="19"/>
  <c r="C341" i="19"/>
  <c r="C342" i="19"/>
  <c r="C343" i="19"/>
  <c r="C344" i="19"/>
  <c r="C345" i="19"/>
  <c r="C346" i="19"/>
  <c r="C347" i="19"/>
  <c r="C348" i="19"/>
  <c r="C349" i="19"/>
  <c r="C350" i="19"/>
  <c r="C351" i="19"/>
  <c r="C352" i="19"/>
  <c r="C353" i="19"/>
  <c r="C354" i="19"/>
  <c r="C355" i="19"/>
  <c r="C356" i="19"/>
  <c r="C357" i="19"/>
  <c r="C358" i="19"/>
  <c r="C359" i="19"/>
  <c r="C360" i="19"/>
  <c r="C361" i="19"/>
  <c r="C362" i="19"/>
  <c r="C363" i="19"/>
  <c r="C364" i="19"/>
  <c r="C365" i="19"/>
  <c r="C366" i="19"/>
  <c r="C367" i="19"/>
  <c r="C368" i="19"/>
  <c r="C369" i="19"/>
  <c r="C370" i="19"/>
  <c r="C371" i="19"/>
  <c r="C372" i="19"/>
  <c r="C373" i="19"/>
  <c r="C374" i="19"/>
  <c r="C375" i="19"/>
  <c r="C376" i="19"/>
  <c r="C377" i="19"/>
  <c r="C378" i="19"/>
  <c r="C379" i="19"/>
  <c r="C380" i="19"/>
  <c r="C381" i="19"/>
  <c r="C382" i="19"/>
  <c r="C383" i="19"/>
  <c r="C384" i="19"/>
  <c r="C385" i="19"/>
  <c r="C386" i="19"/>
  <c r="C387" i="19"/>
  <c r="C388" i="19"/>
  <c r="C389" i="19"/>
  <c r="C390" i="19"/>
  <c r="C391" i="19"/>
  <c r="C392" i="19"/>
  <c r="C393" i="19"/>
  <c r="C394" i="19"/>
  <c r="C395" i="19"/>
  <c r="C396" i="19"/>
  <c r="C397" i="19"/>
  <c r="C398" i="19"/>
  <c r="C399" i="19"/>
  <c r="C400" i="19"/>
  <c r="C401" i="19"/>
  <c r="C402" i="19"/>
  <c r="C403" i="19"/>
  <c r="C404" i="19"/>
  <c r="C2" i="19"/>
  <c r="I10" i="10"/>
  <c r="H10" i="10"/>
  <c r="G10" i="10"/>
  <c r="I9" i="10"/>
  <c r="H9" i="10"/>
  <c r="G9" i="10"/>
  <c r="I8" i="10"/>
  <c r="H8" i="10"/>
  <c r="G8" i="10"/>
  <c r="I7" i="10"/>
  <c r="H7" i="10"/>
  <c r="G7" i="10"/>
  <c r="I6" i="10"/>
  <c r="H6" i="10"/>
  <c r="G6" i="10"/>
  <c r="I5" i="10"/>
  <c r="H5" i="10"/>
  <c r="G5" i="10"/>
  <c r="I4" i="10"/>
  <c r="H4" i="10"/>
  <c r="G4" i="10"/>
  <c r="I3" i="10"/>
  <c r="H3" i="10"/>
  <c r="G3" i="10"/>
  <c r="I2" i="10"/>
  <c r="H2" i="10"/>
  <c r="G2" i="10"/>
  <c r="BH408" i="12"/>
  <c r="BH407" i="12"/>
  <c r="BH406" i="12"/>
  <c r="BC408" i="12"/>
  <c r="BC407" i="12"/>
  <c r="BC406" i="12"/>
  <c r="AX408" i="12"/>
  <c r="AX407" i="12"/>
  <c r="AX406" i="12"/>
  <c r="AS408" i="12"/>
  <c r="AS407" i="12"/>
  <c r="AS406" i="12"/>
  <c r="AN408" i="12"/>
  <c r="AN407" i="12"/>
  <c r="AN406" i="12"/>
  <c r="AI408" i="12"/>
  <c r="AI407" i="12"/>
  <c r="AI406" i="12"/>
  <c r="AD408" i="12"/>
  <c r="AD407" i="12"/>
  <c r="AD406" i="12"/>
  <c r="Y408" i="12"/>
  <c r="Y407" i="12"/>
  <c r="Y406" i="12"/>
  <c r="BH409" i="12"/>
  <c r="BC409" i="12"/>
  <c r="T408" i="12"/>
  <c r="T407" i="12"/>
  <c r="T406" i="12"/>
  <c r="BH192" i="12"/>
  <c r="BH193" i="12"/>
  <c r="BH194" i="12"/>
  <c r="BH195" i="12"/>
  <c r="BH196" i="12"/>
  <c r="BH197" i="12"/>
  <c r="BH198" i="12"/>
  <c r="BH199" i="12"/>
  <c r="BH200" i="12"/>
  <c r="BH201" i="12"/>
  <c r="BH202" i="12"/>
  <c r="BH203" i="12"/>
  <c r="BH204" i="12"/>
  <c r="BH205" i="12"/>
  <c r="BH206" i="12"/>
  <c r="BH207" i="12"/>
  <c r="BH208" i="12"/>
  <c r="BH209" i="12"/>
  <c r="BH210" i="12"/>
  <c r="BH211" i="12"/>
  <c r="BH212" i="12"/>
  <c r="BH213" i="12"/>
  <c r="BH214" i="12"/>
  <c r="BH215" i="12"/>
  <c r="BH216" i="12"/>
  <c r="BH217" i="12"/>
  <c r="BH218" i="12"/>
  <c r="BH219" i="12"/>
  <c r="BH220" i="12"/>
  <c r="BH221" i="12"/>
  <c r="BH222" i="12"/>
  <c r="BH223" i="12"/>
  <c r="BH224" i="12"/>
  <c r="BH225" i="12"/>
  <c r="BH226" i="12"/>
  <c r="BH227" i="12"/>
  <c r="BH228" i="12"/>
  <c r="BH229" i="12"/>
  <c r="BH230" i="12"/>
  <c r="BH231" i="12"/>
  <c r="BH232" i="12"/>
  <c r="BH233" i="12"/>
  <c r="BH234" i="12"/>
  <c r="BH235" i="12"/>
  <c r="BH236" i="12"/>
  <c r="BH237" i="12"/>
  <c r="BH238" i="12"/>
  <c r="BH239" i="12"/>
  <c r="BH240" i="12"/>
  <c r="BH241" i="12"/>
  <c r="BH242" i="12"/>
  <c r="BH243" i="12"/>
  <c r="BH244" i="12"/>
  <c r="BH245" i="12"/>
  <c r="BH246" i="12"/>
  <c r="BH247" i="12"/>
  <c r="BH248" i="12"/>
  <c r="BH249" i="12"/>
  <c r="BH250" i="12"/>
  <c r="BH251" i="12"/>
  <c r="BH252" i="12"/>
  <c r="BH253" i="12"/>
  <c r="BH254" i="12"/>
  <c r="BH255" i="12"/>
  <c r="BH256" i="12"/>
  <c r="BH257" i="12"/>
  <c r="BH258" i="12"/>
  <c r="BH259" i="12"/>
  <c r="BH260" i="12"/>
  <c r="BH261" i="12"/>
  <c r="BH262" i="12"/>
  <c r="BH263" i="12"/>
  <c r="BH264" i="12"/>
  <c r="BH265" i="12"/>
  <c r="BH266" i="12"/>
  <c r="BH267" i="12"/>
  <c r="BH268" i="12"/>
  <c r="BH269" i="12"/>
  <c r="BH270" i="12"/>
  <c r="BH271" i="12"/>
  <c r="BH272" i="12"/>
  <c r="BH273" i="12"/>
  <c r="BH274" i="12"/>
  <c r="BH275" i="12"/>
  <c r="BH276" i="12"/>
  <c r="BH277" i="12"/>
  <c r="BH278" i="12"/>
  <c r="BH279" i="12"/>
  <c r="BH280" i="12"/>
  <c r="BH281" i="12"/>
  <c r="BH282" i="12"/>
  <c r="BH283" i="12"/>
  <c r="BH284" i="12"/>
  <c r="BH285" i="12"/>
  <c r="BH286" i="12"/>
  <c r="BH287" i="12"/>
  <c r="BH288" i="12"/>
  <c r="BH289" i="12"/>
  <c r="BH290" i="12"/>
  <c r="BH291" i="12"/>
  <c r="BH292" i="12"/>
  <c r="BH293" i="12"/>
  <c r="BH294" i="12"/>
  <c r="BH295" i="12"/>
  <c r="BH296" i="12"/>
  <c r="BH297" i="12"/>
  <c r="BH298" i="12"/>
  <c r="BH299" i="12"/>
  <c r="BH300" i="12"/>
  <c r="BH301" i="12"/>
  <c r="BH302" i="12"/>
  <c r="BH303" i="12"/>
  <c r="BH304" i="12"/>
  <c r="BH305" i="12"/>
  <c r="BH306" i="12"/>
  <c r="BH307" i="12"/>
  <c r="BH308" i="12"/>
  <c r="BH309" i="12"/>
  <c r="BH310" i="12"/>
  <c r="BH311" i="12"/>
  <c r="BH312" i="12"/>
  <c r="BH313" i="12"/>
  <c r="BH314" i="12"/>
  <c r="BH315" i="12"/>
  <c r="BH316" i="12"/>
  <c r="BH317" i="12"/>
  <c r="BH318" i="12"/>
  <c r="BH319" i="12"/>
  <c r="BH320" i="12"/>
  <c r="BH321" i="12"/>
  <c r="BH322" i="12"/>
  <c r="BH323" i="12"/>
  <c r="BH324" i="12"/>
  <c r="BH325" i="12"/>
  <c r="BH326" i="12"/>
  <c r="BH327" i="12"/>
  <c r="BH328" i="12"/>
  <c r="BH329" i="12"/>
  <c r="BH330" i="12"/>
  <c r="BH331" i="12"/>
  <c r="BH332" i="12"/>
  <c r="BH333" i="12"/>
  <c r="BH334" i="12"/>
  <c r="BH335" i="12"/>
  <c r="BH336" i="12"/>
  <c r="BH337" i="12"/>
  <c r="BH338" i="12"/>
  <c r="BH339" i="12"/>
  <c r="BH340" i="12"/>
  <c r="BH341" i="12"/>
  <c r="BH342" i="12"/>
  <c r="BH343" i="12"/>
  <c r="BH344" i="12"/>
  <c r="BH345" i="12"/>
  <c r="BH346" i="12"/>
  <c r="BH347" i="12"/>
  <c r="BH348" i="12"/>
  <c r="BH349" i="12"/>
  <c r="BH350" i="12"/>
  <c r="BH351" i="12"/>
  <c r="BH352" i="12"/>
  <c r="BH353" i="12"/>
  <c r="BH354" i="12"/>
  <c r="BH355" i="12"/>
  <c r="BH356" i="12"/>
  <c r="BH357" i="12"/>
  <c r="BH358" i="12"/>
  <c r="BH359" i="12"/>
  <c r="BH360" i="12"/>
  <c r="BH361" i="12"/>
  <c r="BH362" i="12"/>
  <c r="BH363" i="12"/>
  <c r="BH364" i="12"/>
  <c r="BH365" i="12"/>
  <c r="BH366" i="12"/>
  <c r="BH367" i="12"/>
  <c r="BH368" i="12"/>
  <c r="BH369" i="12"/>
  <c r="BH370" i="12"/>
  <c r="BH371" i="12"/>
  <c r="BH372" i="12"/>
  <c r="BH373" i="12"/>
  <c r="BH374" i="12"/>
  <c r="BH375" i="12"/>
  <c r="BH376" i="12"/>
  <c r="BH377" i="12"/>
  <c r="BH378" i="12"/>
  <c r="BH379" i="12"/>
  <c r="BH380" i="12"/>
  <c r="BH381" i="12"/>
  <c r="BH382" i="12"/>
  <c r="BH383" i="12"/>
  <c r="BH384" i="12"/>
  <c r="BH385" i="12"/>
  <c r="BH386" i="12"/>
  <c r="BH387" i="12"/>
  <c r="BH388" i="12"/>
  <c r="BH389" i="12"/>
  <c r="BH390" i="12"/>
  <c r="BH391" i="12"/>
  <c r="BH392" i="12"/>
  <c r="BH393" i="12"/>
  <c r="BH394" i="12"/>
  <c r="BH395" i="12"/>
  <c r="BH396" i="12"/>
  <c r="BH397" i="12"/>
  <c r="BH398" i="12"/>
  <c r="BH399" i="12"/>
  <c r="BH400" i="12"/>
  <c r="BH401" i="12"/>
  <c r="BH402" i="12"/>
  <c r="BH403" i="12"/>
  <c r="BH404" i="12"/>
  <c r="BG192" i="12"/>
  <c r="BG193" i="12"/>
  <c r="BG194" i="12"/>
  <c r="BG195" i="12"/>
  <c r="BG196" i="12"/>
  <c r="BG197" i="12"/>
  <c r="BG198" i="12"/>
  <c r="BG199" i="12"/>
  <c r="BG200" i="12"/>
  <c r="BG201" i="12"/>
  <c r="BG202" i="12"/>
  <c r="BG203" i="12"/>
  <c r="BG204" i="12"/>
  <c r="BG205" i="12"/>
  <c r="BG206" i="12"/>
  <c r="BG207" i="12"/>
  <c r="BG208" i="12"/>
  <c r="BG209" i="12"/>
  <c r="BG210" i="12"/>
  <c r="BG211" i="12"/>
  <c r="BG212" i="12"/>
  <c r="BG213" i="12"/>
  <c r="BG214" i="12"/>
  <c r="BG215" i="12"/>
  <c r="BG216" i="12"/>
  <c r="BG217" i="12"/>
  <c r="BG218" i="12"/>
  <c r="BG219" i="12"/>
  <c r="BG220" i="12"/>
  <c r="BG221" i="12"/>
  <c r="BG222" i="12"/>
  <c r="BG223" i="12"/>
  <c r="BG224" i="12"/>
  <c r="BG225" i="12"/>
  <c r="BG226" i="12"/>
  <c r="BG227" i="12"/>
  <c r="BG228" i="12"/>
  <c r="BG229" i="12"/>
  <c r="BG230" i="12"/>
  <c r="BG231" i="12"/>
  <c r="BG232" i="12"/>
  <c r="BG233" i="12"/>
  <c r="BG234" i="12"/>
  <c r="BG235" i="12"/>
  <c r="BG236" i="12"/>
  <c r="BG237" i="12"/>
  <c r="BG238" i="12"/>
  <c r="BG239" i="12"/>
  <c r="BG240" i="12"/>
  <c r="BG241" i="12"/>
  <c r="BG242" i="12"/>
  <c r="BG243" i="12"/>
  <c r="BG244" i="12"/>
  <c r="BG245" i="12"/>
  <c r="BG246" i="12"/>
  <c r="BG247" i="12"/>
  <c r="BG248" i="12"/>
  <c r="BG249" i="12"/>
  <c r="BG250" i="12"/>
  <c r="BG251" i="12"/>
  <c r="BG252" i="12"/>
  <c r="BG253" i="12"/>
  <c r="BG254" i="12"/>
  <c r="BG255" i="12"/>
  <c r="BG256" i="12"/>
  <c r="BG257" i="12"/>
  <c r="BG258" i="12"/>
  <c r="BG259" i="12"/>
  <c r="BG260" i="12"/>
  <c r="BG261" i="12"/>
  <c r="BG262" i="12"/>
  <c r="BG263" i="12"/>
  <c r="BG264" i="12"/>
  <c r="BG265" i="12"/>
  <c r="BG266" i="12"/>
  <c r="BG267" i="12"/>
  <c r="BG268" i="12"/>
  <c r="BG269" i="12"/>
  <c r="BG270" i="12"/>
  <c r="BG271" i="12"/>
  <c r="BG272" i="12"/>
  <c r="BG273" i="12"/>
  <c r="BG274" i="12"/>
  <c r="BG275" i="12"/>
  <c r="BG276" i="12"/>
  <c r="BG277" i="12"/>
  <c r="BG278" i="12"/>
  <c r="BG279" i="12"/>
  <c r="BG280" i="12"/>
  <c r="BG281" i="12"/>
  <c r="BG282" i="12"/>
  <c r="BG283" i="12"/>
  <c r="BG284" i="12"/>
  <c r="BG285" i="12"/>
  <c r="BG286" i="12"/>
  <c r="BG287" i="12"/>
  <c r="BG288" i="12"/>
  <c r="BG289" i="12"/>
  <c r="BG290" i="12"/>
  <c r="BG291" i="12"/>
  <c r="BG292" i="12"/>
  <c r="BG293" i="12"/>
  <c r="BG294" i="12"/>
  <c r="BG295" i="12"/>
  <c r="BG296" i="12"/>
  <c r="BG297" i="12"/>
  <c r="BG298" i="12"/>
  <c r="BG299" i="12"/>
  <c r="BG300" i="12"/>
  <c r="BG301" i="12"/>
  <c r="BG302" i="12"/>
  <c r="BG303" i="12"/>
  <c r="BG304" i="12"/>
  <c r="BG305" i="12"/>
  <c r="BG306" i="12"/>
  <c r="BG307" i="12"/>
  <c r="BG308" i="12"/>
  <c r="BG309" i="12"/>
  <c r="BG310" i="12"/>
  <c r="BG311" i="12"/>
  <c r="BG312" i="12"/>
  <c r="BG313" i="12"/>
  <c r="BG314" i="12"/>
  <c r="BG315" i="12"/>
  <c r="BG316" i="12"/>
  <c r="BG317" i="12"/>
  <c r="BG318" i="12"/>
  <c r="BG319" i="12"/>
  <c r="BG320" i="12"/>
  <c r="BG321" i="12"/>
  <c r="BG322" i="12"/>
  <c r="BG323" i="12"/>
  <c r="BG324" i="12"/>
  <c r="BG325" i="12"/>
  <c r="BG326" i="12"/>
  <c r="BG327" i="12"/>
  <c r="BG328" i="12"/>
  <c r="BG329" i="12"/>
  <c r="BG330" i="12"/>
  <c r="BG331" i="12"/>
  <c r="BG332" i="12"/>
  <c r="BG333" i="12"/>
  <c r="BG334" i="12"/>
  <c r="BG335" i="12"/>
  <c r="BG336" i="12"/>
  <c r="BG337" i="12"/>
  <c r="BG338" i="12"/>
  <c r="BG339" i="12"/>
  <c r="BG340" i="12"/>
  <c r="BG341" i="12"/>
  <c r="BG342" i="12"/>
  <c r="BG343" i="12"/>
  <c r="BG344" i="12"/>
  <c r="BG345" i="12"/>
  <c r="BG346" i="12"/>
  <c r="BG347" i="12"/>
  <c r="BG348" i="12"/>
  <c r="BG349" i="12"/>
  <c r="BG350" i="12"/>
  <c r="BG351" i="12"/>
  <c r="BG352" i="12"/>
  <c r="BG353" i="12"/>
  <c r="BG354" i="12"/>
  <c r="BG355" i="12"/>
  <c r="BG356" i="12"/>
  <c r="BG357" i="12"/>
  <c r="BG358" i="12"/>
  <c r="BG359" i="12"/>
  <c r="BG360" i="12"/>
  <c r="BG361" i="12"/>
  <c r="BG362" i="12"/>
  <c r="BG363" i="12"/>
  <c r="BG364" i="12"/>
  <c r="BG365" i="12"/>
  <c r="BG366" i="12"/>
  <c r="BG367" i="12"/>
  <c r="BG368" i="12"/>
  <c r="BG369" i="12"/>
  <c r="BG370" i="12"/>
  <c r="BG371" i="12"/>
  <c r="BG372" i="12"/>
  <c r="BG373" i="12"/>
  <c r="BG374" i="12"/>
  <c r="BG375" i="12"/>
  <c r="BG376" i="12"/>
  <c r="BG377" i="12"/>
  <c r="BG378" i="12"/>
  <c r="BG379" i="12"/>
  <c r="BG380" i="12"/>
  <c r="BG381" i="12"/>
  <c r="BG382" i="12"/>
  <c r="BG383" i="12"/>
  <c r="BG384" i="12"/>
  <c r="BG385" i="12"/>
  <c r="BG386" i="12"/>
  <c r="BG387" i="12"/>
  <c r="BG388" i="12"/>
  <c r="BG389" i="12"/>
  <c r="BG390" i="12"/>
  <c r="BG391" i="12"/>
  <c r="BG392" i="12"/>
  <c r="BG393" i="12"/>
  <c r="BG394" i="12"/>
  <c r="BG395" i="12"/>
  <c r="BG396" i="12"/>
  <c r="BG397" i="12"/>
  <c r="BG398" i="12"/>
  <c r="BG399" i="12"/>
  <c r="BG400" i="12"/>
  <c r="BG401" i="12"/>
  <c r="BG402" i="12"/>
  <c r="BG403" i="12"/>
  <c r="BG404" i="12"/>
  <c r="BE192" i="12"/>
  <c r="BF192" i="12" s="1"/>
  <c r="BE193" i="12"/>
  <c r="BE194" i="12"/>
  <c r="BF194" i="12" s="1"/>
  <c r="BE195" i="12"/>
  <c r="BF195" i="12" s="1"/>
  <c r="BE196" i="12"/>
  <c r="BE197" i="12"/>
  <c r="BF197" i="12" s="1"/>
  <c r="BE198" i="12"/>
  <c r="BF198" i="12" s="1"/>
  <c r="BE199" i="12"/>
  <c r="BF199" i="12" s="1"/>
  <c r="BE200" i="12"/>
  <c r="BF200" i="12" s="1"/>
  <c r="BE201" i="12"/>
  <c r="BE202" i="12"/>
  <c r="BF202" i="12" s="1"/>
  <c r="BE203" i="12"/>
  <c r="BF203" i="12" s="1"/>
  <c r="BE204" i="12"/>
  <c r="BE205" i="12"/>
  <c r="BF205" i="12" s="1"/>
  <c r="BE206" i="12"/>
  <c r="BF206" i="12" s="1"/>
  <c r="BE207" i="12"/>
  <c r="BF207" i="12" s="1"/>
  <c r="BE208" i="12"/>
  <c r="BF208" i="12" s="1"/>
  <c r="BE209" i="12"/>
  <c r="BE210" i="12"/>
  <c r="BF210" i="12" s="1"/>
  <c r="BE211" i="12"/>
  <c r="BF211" i="12" s="1"/>
  <c r="BE212" i="12"/>
  <c r="BE213" i="12"/>
  <c r="BF213" i="12" s="1"/>
  <c r="BE214" i="12"/>
  <c r="BF214" i="12" s="1"/>
  <c r="BE215" i="12"/>
  <c r="BF215" i="12" s="1"/>
  <c r="BE216" i="12"/>
  <c r="BF216" i="12" s="1"/>
  <c r="BE217" i="12"/>
  <c r="BE218" i="12"/>
  <c r="BF218" i="12" s="1"/>
  <c r="BE219" i="12"/>
  <c r="BF219" i="12" s="1"/>
  <c r="BE220" i="12"/>
  <c r="BE221" i="12"/>
  <c r="BF221" i="12" s="1"/>
  <c r="BE222" i="12"/>
  <c r="BF222" i="12" s="1"/>
  <c r="BE223" i="12"/>
  <c r="BF223" i="12" s="1"/>
  <c r="BE224" i="12"/>
  <c r="BF224" i="12" s="1"/>
  <c r="BE225" i="12"/>
  <c r="BI225" i="12" s="1"/>
  <c r="BE226" i="12"/>
  <c r="BF226" i="12" s="1"/>
  <c r="BE227" i="12"/>
  <c r="BF227" i="12" s="1"/>
  <c r="BE228" i="12"/>
  <c r="BE229" i="12"/>
  <c r="BF229" i="12" s="1"/>
  <c r="BE230" i="12"/>
  <c r="BF230" i="12" s="1"/>
  <c r="BE231" i="12"/>
  <c r="BF231" i="12" s="1"/>
  <c r="BE232" i="12"/>
  <c r="BF232" i="12" s="1"/>
  <c r="BE233" i="12"/>
  <c r="BE234" i="12"/>
  <c r="BF234" i="12" s="1"/>
  <c r="BE235" i="12"/>
  <c r="BF235" i="12" s="1"/>
  <c r="BE236" i="12"/>
  <c r="BE237" i="12"/>
  <c r="BF237" i="12" s="1"/>
  <c r="BE238" i="12"/>
  <c r="BF238" i="12" s="1"/>
  <c r="BE239" i="12"/>
  <c r="BF239" i="12" s="1"/>
  <c r="BE240" i="12"/>
  <c r="BF240" i="12" s="1"/>
  <c r="BE241" i="12"/>
  <c r="BE242" i="12"/>
  <c r="BF242" i="12" s="1"/>
  <c r="BE243" i="12"/>
  <c r="BF243" i="12" s="1"/>
  <c r="BE244" i="12"/>
  <c r="BE245" i="12"/>
  <c r="BF245" i="12" s="1"/>
  <c r="BE246" i="12"/>
  <c r="BF246" i="12" s="1"/>
  <c r="BE247" i="12"/>
  <c r="BF247" i="12" s="1"/>
  <c r="BE248" i="12"/>
  <c r="BF248" i="12" s="1"/>
  <c r="BE249" i="12"/>
  <c r="BE250" i="12"/>
  <c r="BF250" i="12" s="1"/>
  <c r="BE251" i="12"/>
  <c r="BF251" i="12" s="1"/>
  <c r="BE252" i="12"/>
  <c r="BE253" i="12"/>
  <c r="BF253" i="12" s="1"/>
  <c r="BE254" i="12"/>
  <c r="BF254" i="12" s="1"/>
  <c r="BE255" i="12"/>
  <c r="BF255" i="12" s="1"/>
  <c r="BE256" i="12"/>
  <c r="BF256" i="12" s="1"/>
  <c r="BE257" i="12"/>
  <c r="BE258" i="12"/>
  <c r="BF258" i="12" s="1"/>
  <c r="BE259" i="12"/>
  <c r="BF259" i="12" s="1"/>
  <c r="BE260" i="12"/>
  <c r="BE261" i="12"/>
  <c r="BF261" i="12" s="1"/>
  <c r="BE262" i="12"/>
  <c r="BF262" i="12" s="1"/>
  <c r="BE263" i="12"/>
  <c r="BF263" i="12" s="1"/>
  <c r="BE264" i="12"/>
  <c r="BF264" i="12" s="1"/>
  <c r="BE265" i="12"/>
  <c r="BE266" i="12"/>
  <c r="BF266" i="12" s="1"/>
  <c r="BE267" i="12"/>
  <c r="BF267" i="12" s="1"/>
  <c r="BE268" i="12"/>
  <c r="BE269" i="12"/>
  <c r="BF269" i="12" s="1"/>
  <c r="BE270" i="12"/>
  <c r="BF270" i="12" s="1"/>
  <c r="BE271" i="12"/>
  <c r="BF271" i="12" s="1"/>
  <c r="BE272" i="12"/>
  <c r="BF272" i="12" s="1"/>
  <c r="BE273" i="12"/>
  <c r="BE274" i="12"/>
  <c r="BF274" i="12" s="1"/>
  <c r="BE275" i="12"/>
  <c r="BF275" i="12" s="1"/>
  <c r="BE276" i="12"/>
  <c r="BE277" i="12"/>
  <c r="BF277" i="12" s="1"/>
  <c r="BE278" i="12"/>
  <c r="BF278" i="12" s="1"/>
  <c r="BE279" i="12"/>
  <c r="BF279" i="12" s="1"/>
  <c r="BE280" i="12"/>
  <c r="BF280" i="12" s="1"/>
  <c r="BE281" i="12"/>
  <c r="BE282" i="12"/>
  <c r="BF282" i="12" s="1"/>
  <c r="BE283" i="12"/>
  <c r="BF283" i="12" s="1"/>
  <c r="BE284" i="12"/>
  <c r="BE285" i="12"/>
  <c r="BF285" i="12" s="1"/>
  <c r="BE286" i="12"/>
  <c r="BF286" i="12" s="1"/>
  <c r="BE287" i="12"/>
  <c r="BF287" i="12" s="1"/>
  <c r="BE288" i="12"/>
  <c r="BF288" i="12" s="1"/>
  <c r="BE289" i="12"/>
  <c r="BI289" i="12" s="1"/>
  <c r="BE290" i="12"/>
  <c r="BF290" i="12" s="1"/>
  <c r="BE291" i="12"/>
  <c r="BF291" i="12" s="1"/>
  <c r="BE292" i="12"/>
  <c r="BE293" i="12"/>
  <c r="BF293" i="12" s="1"/>
  <c r="BE294" i="12"/>
  <c r="BF294" i="12" s="1"/>
  <c r="BE295" i="12"/>
  <c r="BF295" i="12" s="1"/>
  <c r="BE296" i="12"/>
  <c r="BF296" i="12" s="1"/>
  <c r="BE297" i="12"/>
  <c r="BE298" i="12"/>
  <c r="BF298" i="12" s="1"/>
  <c r="BE299" i="12"/>
  <c r="BF299" i="12" s="1"/>
  <c r="BE300" i="12"/>
  <c r="BE301" i="12"/>
  <c r="BF301" i="12" s="1"/>
  <c r="BE302" i="12"/>
  <c r="BF302" i="12" s="1"/>
  <c r="BE303" i="12"/>
  <c r="BF303" i="12" s="1"/>
  <c r="BE304" i="12"/>
  <c r="BF304" i="12" s="1"/>
  <c r="BE305" i="12"/>
  <c r="BE306" i="12"/>
  <c r="BF306" i="12" s="1"/>
  <c r="BE307" i="12"/>
  <c r="BF307" i="12" s="1"/>
  <c r="BE308" i="12"/>
  <c r="BE309" i="12"/>
  <c r="BF309" i="12" s="1"/>
  <c r="BE310" i="12"/>
  <c r="BF310" i="12" s="1"/>
  <c r="BE311" i="12"/>
  <c r="BF311" i="12" s="1"/>
  <c r="BE312" i="12"/>
  <c r="BF312" i="12" s="1"/>
  <c r="BE313" i="12"/>
  <c r="BE314" i="12"/>
  <c r="BF314" i="12" s="1"/>
  <c r="BE315" i="12"/>
  <c r="BF315" i="12" s="1"/>
  <c r="BE316" i="12"/>
  <c r="BE317" i="12"/>
  <c r="BF317" i="12" s="1"/>
  <c r="BE318" i="12"/>
  <c r="BF318" i="12" s="1"/>
  <c r="BE319" i="12"/>
  <c r="BF319" i="12" s="1"/>
  <c r="BE320" i="12"/>
  <c r="BF320" i="12" s="1"/>
  <c r="BE321" i="12"/>
  <c r="BE322" i="12"/>
  <c r="BF322" i="12" s="1"/>
  <c r="BE323" i="12"/>
  <c r="BF323" i="12" s="1"/>
  <c r="BE324" i="12"/>
  <c r="BE325" i="12"/>
  <c r="BF325" i="12" s="1"/>
  <c r="BE326" i="12"/>
  <c r="BF326" i="12" s="1"/>
  <c r="BE327" i="12"/>
  <c r="BF327" i="12" s="1"/>
  <c r="BE328" i="12"/>
  <c r="BF328" i="12" s="1"/>
  <c r="BE329" i="12"/>
  <c r="BE330" i="12"/>
  <c r="BF330" i="12" s="1"/>
  <c r="BE331" i="12"/>
  <c r="BF331" i="12" s="1"/>
  <c r="BE332" i="12"/>
  <c r="BE333" i="12"/>
  <c r="BF333" i="12" s="1"/>
  <c r="BE334" i="12"/>
  <c r="BF334" i="12" s="1"/>
  <c r="BE335" i="12"/>
  <c r="BF335" i="12" s="1"/>
  <c r="BE336" i="12"/>
  <c r="BF336" i="12" s="1"/>
  <c r="BE337" i="12"/>
  <c r="BE338" i="12"/>
  <c r="BF338" i="12" s="1"/>
  <c r="BE339" i="12"/>
  <c r="BF339" i="12" s="1"/>
  <c r="BE340" i="12"/>
  <c r="BE341" i="12"/>
  <c r="BF341" i="12" s="1"/>
  <c r="BE342" i="12"/>
  <c r="BF342" i="12" s="1"/>
  <c r="BE343" i="12"/>
  <c r="BF343" i="12" s="1"/>
  <c r="BE344" i="12"/>
  <c r="BF344" i="12" s="1"/>
  <c r="BE345" i="12"/>
  <c r="BE346" i="12"/>
  <c r="BF346" i="12" s="1"/>
  <c r="BE347" i="12"/>
  <c r="BF347" i="12" s="1"/>
  <c r="BE348" i="12"/>
  <c r="BE349" i="12"/>
  <c r="BF349" i="12" s="1"/>
  <c r="BE350" i="12"/>
  <c r="BF350" i="12" s="1"/>
  <c r="BE351" i="12"/>
  <c r="BF351" i="12" s="1"/>
  <c r="BE352" i="12"/>
  <c r="BF352" i="12" s="1"/>
  <c r="BE353" i="12"/>
  <c r="BI353" i="12" s="1"/>
  <c r="BE354" i="12"/>
  <c r="BF354" i="12" s="1"/>
  <c r="BE355" i="12"/>
  <c r="BF355" i="12" s="1"/>
  <c r="BE356" i="12"/>
  <c r="BE357" i="12"/>
  <c r="BF357" i="12" s="1"/>
  <c r="BE358" i="12"/>
  <c r="BF358" i="12" s="1"/>
  <c r="BE359" i="12"/>
  <c r="BF359" i="12" s="1"/>
  <c r="BE360" i="12"/>
  <c r="BF360" i="12" s="1"/>
  <c r="BE361" i="12"/>
  <c r="BE362" i="12"/>
  <c r="BF362" i="12" s="1"/>
  <c r="BE363" i="12"/>
  <c r="BF363" i="12" s="1"/>
  <c r="BE364" i="12"/>
  <c r="BE365" i="12"/>
  <c r="BF365" i="12" s="1"/>
  <c r="BE366" i="12"/>
  <c r="BF366" i="12" s="1"/>
  <c r="BE367" i="12"/>
  <c r="BF367" i="12" s="1"/>
  <c r="BE368" i="12"/>
  <c r="BF368" i="12" s="1"/>
  <c r="BE369" i="12"/>
  <c r="BE370" i="12"/>
  <c r="BF370" i="12" s="1"/>
  <c r="BE371" i="12"/>
  <c r="BF371" i="12" s="1"/>
  <c r="BE372" i="12"/>
  <c r="BE373" i="12"/>
  <c r="BF373" i="12" s="1"/>
  <c r="BE374" i="12"/>
  <c r="BF374" i="12" s="1"/>
  <c r="BE375" i="12"/>
  <c r="BF375" i="12" s="1"/>
  <c r="BE376" i="12"/>
  <c r="BF376" i="12" s="1"/>
  <c r="BE377" i="12"/>
  <c r="BE378" i="12"/>
  <c r="BF378" i="12" s="1"/>
  <c r="BE379" i="12"/>
  <c r="BF379" i="12" s="1"/>
  <c r="BE380" i="12"/>
  <c r="BE381" i="12"/>
  <c r="BF381" i="12" s="1"/>
  <c r="BE382" i="12"/>
  <c r="BF382" i="12" s="1"/>
  <c r="BE383" i="12"/>
  <c r="BF383" i="12" s="1"/>
  <c r="BE384" i="12"/>
  <c r="BF384" i="12" s="1"/>
  <c r="BE385" i="12"/>
  <c r="BE386" i="12"/>
  <c r="BF386" i="12" s="1"/>
  <c r="BE387" i="12"/>
  <c r="BF387" i="12" s="1"/>
  <c r="BE388" i="12"/>
  <c r="BE389" i="12"/>
  <c r="BF389" i="12" s="1"/>
  <c r="BE390" i="12"/>
  <c r="BF390" i="12" s="1"/>
  <c r="BE391" i="12"/>
  <c r="BF391" i="12" s="1"/>
  <c r="BE392" i="12"/>
  <c r="BF392" i="12" s="1"/>
  <c r="BE393" i="12"/>
  <c r="BE394" i="12"/>
  <c r="BF394" i="12" s="1"/>
  <c r="BE395" i="12"/>
  <c r="BF395" i="12" s="1"/>
  <c r="BE396" i="12"/>
  <c r="BE397" i="12"/>
  <c r="BF397" i="12" s="1"/>
  <c r="BE398" i="12"/>
  <c r="BF398" i="12" s="1"/>
  <c r="BE399" i="12"/>
  <c r="BF399" i="12" s="1"/>
  <c r="BE400" i="12"/>
  <c r="BF400" i="12" s="1"/>
  <c r="BE401" i="12"/>
  <c r="BE402" i="12"/>
  <c r="BF402" i="12" s="1"/>
  <c r="BE403" i="12"/>
  <c r="BF403" i="12" s="1"/>
  <c r="BE404" i="12"/>
  <c r="BE3" i="12"/>
  <c r="BE4" i="12"/>
  <c r="BE5" i="12"/>
  <c r="BE6" i="12"/>
  <c r="BE7" i="12"/>
  <c r="BE8" i="12"/>
  <c r="BE9" i="12"/>
  <c r="BE10" i="12"/>
  <c r="BE11" i="12"/>
  <c r="BE12" i="12"/>
  <c r="BE13" i="12"/>
  <c r="BE14" i="12"/>
  <c r="BE15" i="12"/>
  <c r="BE16" i="12"/>
  <c r="BE17" i="12"/>
  <c r="BE18" i="12"/>
  <c r="BE19" i="12"/>
  <c r="BE20" i="12"/>
  <c r="BE21" i="12"/>
  <c r="BE22" i="12"/>
  <c r="BE23" i="12"/>
  <c r="BE24" i="12"/>
  <c r="BE25" i="12"/>
  <c r="BE26" i="12"/>
  <c r="BE27" i="12"/>
  <c r="BE28" i="12"/>
  <c r="BE29" i="12"/>
  <c r="BE30" i="12"/>
  <c r="BE31" i="12"/>
  <c r="BE32" i="12"/>
  <c r="BE33" i="12"/>
  <c r="BE34" i="12"/>
  <c r="BE35" i="12"/>
  <c r="BE36" i="12"/>
  <c r="BE37" i="12"/>
  <c r="BE38" i="12"/>
  <c r="BE39" i="12"/>
  <c r="BE40" i="12"/>
  <c r="BE41" i="12"/>
  <c r="BE42" i="12"/>
  <c r="BE43" i="12"/>
  <c r="BE44" i="12"/>
  <c r="BE45" i="12"/>
  <c r="BE46" i="12"/>
  <c r="BE47" i="12"/>
  <c r="BE48" i="12"/>
  <c r="BE49" i="12"/>
  <c r="BE50" i="12"/>
  <c r="BE51" i="12"/>
  <c r="BE52" i="12"/>
  <c r="BE53" i="12"/>
  <c r="BE54" i="12"/>
  <c r="BE55" i="12"/>
  <c r="BE56" i="12"/>
  <c r="BE57" i="12"/>
  <c r="BE58" i="12"/>
  <c r="BE59" i="12"/>
  <c r="BE60" i="12"/>
  <c r="BE61" i="12"/>
  <c r="BE62" i="12"/>
  <c r="BE63" i="12"/>
  <c r="BE64" i="12"/>
  <c r="BE65" i="12"/>
  <c r="BE66" i="12"/>
  <c r="BE67" i="12"/>
  <c r="BE68" i="12"/>
  <c r="BE69" i="12"/>
  <c r="BE70" i="12"/>
  <c r="BE71" i="12"/>
  <c r="BE72" i="12"/>
  <c r="BE73" i="12"/>
  <c r="BE74" i="12"/>
  <c r="BE75" i="12"/>
  <c r="BE76" i="12"/>
  <c r="BE77" i="12"/>
  <c r="BE78" i="12"/>
  <c r="BE79" i="12"/>
  <c r="BE80" i="12"/>
  <c r="BE81" i="12"/>
  <c r="BE82" i="12"/>
  <c r="BE83" i="12"/>
  <c r="BE84" i="12"/>
  <c r="BE85" i="12"/>
  <c r="BE86" i="12"/>
  <c r="BE87" i="12"/>
  <c r="BE88" i="12"/>
  <c r="BE89" i="12"/>
  <c r="BE90" i="12"/>
  <c r="BE91" i="12"/>
  <c r="BE92" i="12"/>
  <c r="BE93" i="12"/>
  <c r="BE94" i="12"/>
  <c r="BE95" i="12"/>
  <c r="BE96" i="12"/>
  <c r="BE97" i="12"/>
  <c r="BE98" i="12"/>
  <c r="BE99" i="12"/>
  <c r="BE100" i="12"/>
  <c r="BE101" i="12"/>
  <c r="BE102" i="12"/>
  <c r="BE103" i="12"/>
  <c r="BE104" i="12"/>
  <c r="BE105" i="12"/>
  <c r="BE106" i="12"/>
  <c r="BE107" i="12"/>
  <c r="BE108" i="12"/>
  <c r="BE109" i="12"/>
  <c r="BE110" i="12"/>
  <c r="BE111" i="12"/>
  <c r="BE112" i="12"/>
  <c r="BE113" i="12"/>
  <c r="BE114" i="12"/>
  <c r="BE115" i="12"/>
  <c r="BE116" i="12"/>
  <c r="BE117" i="12"/>
  <c r="BE118" i="12"/>
  <c r="BE119" i="12"/>
  <c r="BE120" i="12"/>
  <c r="BE121" i="12"/>
  <c r="BE122" i="12"/>
  <c r="BE123" i="12"/>
  <c r="BE124" i="12"/>
  <c r="BE125" i="12"/>
  <c r="BE126" i="12"/>
  <c r="BE127" i="12"/>
  <c r="BE128" i="12"/>
  <c r="BE129" i="12"/>
  <c r="BE130" i="12"/>
  <c r="BE131" i="12"/>
  <c r="BE132" i="12"/>
  <c r="BE133" i="12"/>
  <c r="BE134" i="12"/>
  <c r="BE135" i="12"/>
  <c r="BE136" i="12"/>
  <c r="BE137" i="12"/>
  <c r="BE138" i="12"/>
  <c r="BE139" i="12"/>
  <c r="BE140" i="12"/>
  <c r="BE141" i="12"/>
  <c r="BE142" i="12"/>
  <c r="BE143" i="12"/>
  <c r="BE144" i="12"/>
  <c r="BE145" i="12"/>
  <c r="BE146" i="12"/>
  <c r="BE147" i="12"/>
  <c r="BE148" i="12"/>
  <c r="BE149" i="12"/>
  <c r="BE150" i="12"/>
  <c r="BE151" i="12"/>
  <c r="BE152" i="12"/>
  <c r="BE153" i="12"/>
  <c r="BE154" i="12"/>
  <c r="BE155" i="12"/>
  <c r="BE156" i="12"/>
  <c r="BE157" i="12"/>
  <c r="BE158" i="12"/>
  <c r="BE159" i="12"/>
  <c r="BE160" i="12"/>
  <c r="BE161" i="12"/>
  <c r="BE162" i="12"/>
  <c r="BE163" i="12"/>
  <c r="BE164" i="12"/>
  <c r="BE165" i="12"/>
  <c r="BE166" i="12"/>
  <c r="BE167" i="12"/>
  <c r="BE168" i="12"/>
  <c r="BE169" i="12"/>
  <c r="BE170" i="12"/>
  <c r="BE171" i="12"/>
  <c r="BE172" i="12"/>
  <c r="BE173" i="12"/>
  <c r="BE174" i="12"/>
  <c r="BE175" i="12"/>
  <c r="BE176" i="12"/>
  <c r="BE177" i="12"/>
  <c r="BE178" i="12"/>
  <c r="BE179" i="12"/>
  <c r="BE180" i="12"/>
  <c r="BE181" i="12"/>
  <c r="BE182" i="12"/>
  <c r="BE183" i="12"/>
  <c r="BE184" i="12"/>
  <c r="BE185" i="12"/>
  <c r="BE186" i="12"/>
  <c r="BE187" i="12"/>
  <c r="BE188" i="12"/>
  <c r="BE189" i="12"/>
  <c r="BE190" i="12"/>
  <c r="BE191" i="12"/>
  <c r="BE2" i="12"/>
  <c r="BC192" i="12"/>
  <c r="BC193" i="12"/>
  <c r="BC194" i="12"/>
  <c r="BC195" i="12"/>
  <c r="BC196" i="12"/>
  <c r="BC197" i="12"/>
  <c r="BC198" i="12"/>
  <c r="BC199" i="12"/>
  <c r="BC200" i="12"/>
  <c r="BC201" i="12"/>
  <c r="BC202" i="12"/>
  <c r="BC203" i="12"/>
  <c r="BC204" i="12"/>
  <c r="BC205" i="12"/>
  <c r="BC206" i="12"/>
  <c r="BC207" i="12"/>
  <c r="BC208" i="12"/>
  <c r="BC209" i="12"/>
  <c r="BC210" i="12"/>
  <c r="BC211" i="12"/>
  <c r="BC212" i="12"/>
  <c r="BC213" i="12"/>
  <c r="BC214" i="12"/>
  <c r="BC215" i="12"/>
  <c r="BC216" i="12"/>
  <c r="BC217" i="12"/>
  <c r="BC218" i="12"/>
  <c r="BC219" i="12"/>
  <c r="BC220" i="12"/>
  <c r="BC221" i="12"/>
  <c r="BC222" i="12"/>
  <c r="BC223" i="12"/>
  <c r="BC224" i="12"/>
  <c r="BC225" i="12"/>
  <c r="BC226" i="12"/>
  <c r="BC227" i="12"/>
  <c r="BC228" i="12"/>
  <c r="BC229" i="12"/>
  <c r="BC230" i="12"/>
  <c r="BC231" i="12"/>
  <c r="BC232" i="12"/>
  <c r="BC233" i="12"/>
  <c r="BC234" i="12"/>
  <c r="BC235" i="12"/>
  <c r="BC236" i="12"/>
  <c r="BC237" i="12"/>
  <c r="BC238" i="12"/>
  <c r="BC239" i="12"/>
  <c r="BC240" i="12"/>
  <c r="BC241" i="12"/>
  <c r="BC242" i="12"/>
  <c r="BC243" i="12"/>
  <c r="BC244" i="12"/>
  <c r="BC245" i="12"/>
  <c r="BC246" i="12"/>
  <c r="BC247" i="12"/>
  <c r="BC248" i="12"/>
  <c r="BC249" i="12"/>
  <c r="BC250" i="12"/>
  <c r="BC251" i="12"/>
  <c r="BC252" i="12"/>
  <c r="BC253" i="12"/>
  <c r="BC254" i="12"/>
  <c r="BC255" i="12"/>
  <c r="BC256" i="12"/>
  <c r="BC257" i="12"/>
  <c r="BC258" i="12"/>
  <c r="BC259" i="12"/>
  <c r="BC260" i="12"/>
  <c r="BC261" i="12"/>
  <c r="BC262" i="12"/>
  <c r="BC263" i="12"/>
  <c r="BC264" i="12"/>
  <c r="BC265" i="12"/>
  <c r="BC266" i="12"/>
  <c r="BC267" i="12"/>
  <c r="BC268" i="12"/>
  <c r="BC269" i="12"/>
  <c r="BC270" i="12"/>
  <c r="BC271" i="12"/>
  <c r="BC272" i="12"/>
  <c r="BC273" i="12"/>
  <c r="BC274" i="12"/>
  <c r="BC275" i="12"/>
  <c r="BC276" i="12"/>
  <c r="BC277" i="12"/>
  <c r="BC278" i="12"/>
  <c r="BC279" i="12"/>
  <c r="BC280" i="12"/>
  <c r="BC281" i="12"/>
  <c r="BC282" i="12"/>
  <c r="BC283" i="12"/>
  <c r="BC284" i="12"/>
  <c r="BC285" i="12"/>
  <c r="BC286" i="12"/>
  <c r="BC287" i="12"/>
  <c r="BC288" i="12"/>
  <c r="BC289" i="12"/>
  <c r="BC290" i="12"/>
  <c r="BC291" i="12"/>
  <c r="BC292" i="12"/>
  <c r="BC293" i="12"/>
  <c r="BC294" i="12"/>
  <c r="BC295" i="12"/>
  <c r="BC296" i="12"/>
  <c r="BC297" i="12"/>
  <c r="BC298" i="12"/>
  <c r="BC299" i="12"/>
  <c r="BC300" i="12"/>
  <c r="BC301" i="12"/>
  <c r="BC302" i="12"/>
  <c r="BC303" i="12"/>
  <c r="BC304" i="12"/>
  <c r="BC305" i="12"/>
  <c r="BC306" i="12"/>
  <c r="BC307" i="12"/>
  <c r="BC308" i="12"/>
  <c r="BC309" i="12"/>
  <c r="BC310" i="12"/>
  <c r="BC311" i="12"/>
  <c r="BC312" i="12"/>
  <c r="BC313" i="12"/>
  <c r="BC314" i="12"/>
  <c r="BC315" i="12"/>
  <c r="BC316" i="12"/>
  <c r="BC317" i="12"/>
  <c r="BC318" i="12"/>
  <c r="BC319" i="12"/>
  <c r="BC320" i="12"/>
  <c r="BC321" i="12"/>
  <c r="BC322" i="12"/>
  <c r="BC323" i="12"/>
  <c r="BC324" i="12"/>
  <c r="BC325" i="12"/>
  <c r="BC326" i="12"/>
  <c r="BC327" i="12"/>
  <c r="BC328" i="12"/>
  <c r="BC329" i="12"/>
  <c r="BC330" i="12"/>
  <c r="BC331" i="12"/>
  <c r="BC332" i="12"/>
  <c r="BC333" i="12"/>
  <c r="BC334" i="12"/>
  <c r="BC335" i="12"/>
  <c r="BC336" i="12"/>
  <c r="BC337" i="12"/>
  <c r="BC338" i="12"/>
  <c r="BC339" i="12"/>
  <c r="BC340" i="12"/>
  <c r="BC341" i="12"/>
  <c r="BC342" i="12"/>
  <c r="BC343" i="12"/>
  <c r="BC344" i="12"/>
  <c r="BC345" i="12"/>
  <c r="BC346" i="12"/>
  <c r="BC347" i="12"/>
  <c r="BC348" i="12"/>
  <c r="BC349" i="12"/>
  <c r="BC350" i="12"/>
  <c r="BC351" i="12"/>
  <c r="BC352" i="12"/>
  <c r="BC353" i="12"/>
  <c r="BC354" i="12"/>
  <c r="BC355" i="12"/>
  <c r="BC356" i="12"/>
  <c r="BC357" i="12"/>
  <c r="BC358" i="12"/>
  <c r="BC359" i="12"/>
  <c r="BC360" i="12"/>
  <c r="BC361" i="12"/>
  <c r="BC362" i="12"/>
  <c r="BC363" i="12"/>
  <c r="BC364" i="12"/>
  <c r="BC365" i="12"/>
  <c r="BC366" i="12"/>
  <c r="BC367" i="12"/>
  <c r="BC368" i="12"/>
  <c r="BC369" i="12"/>
  <c r="BC370" i="12"/>
  <c r="BC371" i="12"/>
  <c r="BC372" i="12"/>
  <c r="BC373" i="12"/>
  <c r="BC374" i="12"/>
  <c r="BC375" i="12"/>
  <c r="BC376" i="12"/>
  <c r="BC377" i="12"/>
  <c r="BC378" i="12"/>
  <c r="BC379" i="12"/>
  <c r="BC380" i="12"/>
  <c r="BC381" i="12"/>
  <c r="BC382" i="12"/>
  <c r="BC383" i="12"/>
  <c r="BC384" i="12"/>
  <c r="BC385" i="12"/>
  <c r="BC386" i="12"/>
  <c r="BC387" i="12"/>
  <c r="BC388" i="12"/>
  <c r="BC389" i="12"/>
  <c r="BC390" i="12"/>
  <c r="BC391" i="12"/>
  <c r="BC392" i="12"/>
  <c r="BC393" i="12"/>
  <c r="BC394" i="12"/>
  <c r="BC395" i="12"/>
  <c r="BC396" i="12"/>
  <c r="BC397" i="12"/>
  <c r="BC398" i="12"/>
  <c r="BC399" i="12"/>
  <c r="BC400" i="12"/>
  <c r="BC401" i="12"/>
  <c r="BC402" i="12"/>
  <c r="BC403" i="12"/>
  <c r="BC404" i="12"/>
  <c r="BB192" i="12"/>
  <c r="BB193" i="12"/>
  <c r="BB194" i="12"/>
  <c r="BB195" i="12"/>
  <c r="BB196" i="12"/>
  <c r="BB197" i="12"/>
  <c r="BB198" i="12"/>
  <c r="BB199" i="12"/>
  <c r="BB200" i="12"/>
  <c r="BB201" i="12"/>
  <c r="BB202" i="12"/>
  <c r="BB203" i="12"/>
  <c r="BB204" i="12"/>
  <c r="BB205" i="12"/>
  <c r="BB206" i="12"/>
  <c r="BB207" i="12"/>
  <c r="BB208" i="12"/>
  <c r="BB209" i="12"/>
  <c r="BB210" i="12"/>
  <c r="BB211" i="12"/>
  <c r="BB212" i="12"/>
  <c r="BB213" i="12"/>
  <c r="BB214" i="12"/>
  <c r="BB215" i="12"/>
  <c r="BB216" i="12"/>
  <c r="BB217" i="12"/>
  <c r="BB218" i="12"/>
  <c r="BB219" i="12"/>
  <c r="BB220" i="12"/>
  <c r="BB221" i="12"/>
  <c r="BB222" i="12"/>
  <c r="BB223" i="12"/>
  <c r="BB224" i="12"/>
  <c r="BB225" i="12"/>
  <c r="BB226" i="12"/>
  <c r="BB227" i="12"/>
  <c r="BB228" i="12"/>
  <c r="BB229" i="12"/>
  <c r="BB230" i="12"/>
  <c r="BB231" i="12"/>
  <c r="BB232" i="12"/>
  <c r="BB233" i="12"/>
  <c r="BB234" i="12"/>
  <c r="BB235" i="12"/>
  <c r="BB236" i="12"/>
  <c r="BB237" i="12"/>
  <c r="BB238" i="12"/>
  <c r="BB239" i="12"/>
  <c r="BB240" i="12"/>
  <c r="BB241" i="12"/>
  <c r="BB242" i="12"/>
  <c r="BB243" i="12"/>
  <c r="BB244" i="12"/>
  <c r="BB245" i="12"/>
  <c r="BB246" i="12"/>
  <c r="BB247" i="12"/>
  <c r="BB248" i="12"/>
  <c r="BB249" i="12"/>
  <c r="BB250" i="12"/>
  <c r="BB251" i="12"/>
  <c r="BB252" i="12"/>
  <c r="BB253" i="12"/>
  <c r="BB254" i="12"/>
  <c r="BB255" i="12"/>
  <c r="BB256" i="12"/>
  <c r="BB257" i="12"/>
  <c r="BB258" i="12"/>
  <c r="BB259" i="12"/>
  <c r="BB260" i="12"/>
  <c r="BB261" i="12"/>
  <c r="BB262" i="12"/>
  <c r="BB263" i="12"/>
  <c r="BB264" i="12"/>
  <c r="BB265" i="12"/>
  <c r="BB266" i="12"/>
  <c r="BB267" i="12"/>
  <c r="BB268" i="12"/>
  <c r="BB269" i="12"/>
  <c r="BB270" i="12"/>
  <c r="BB271" i="12"/>
  <c r="BB272" i="12"/>
  <c r="BB273" i="12"/>
  <c r="BB274" i="12"/>
  <c r="BB275" i="12"/>
  <c r="BB276" i="12"/>
  <c r="BB277" i="12"/>
  <c r="BB278" i="12"/>
  <c r="BB279" i="12"/>
  <c r="BB280" i="12"/>
  <c r="BB281" i="12"/>
  <c r="BB282" i="12"/>
  <c r="BB283" i="12"/>
  <c r="BB284" i="12"/>
  <c r="BB285" i="12"/>
  <c r="BB286" i="12"/>
  <c r="BB287" i="12"/>
  <c r="BB288" i="12"/>
  <c r="BB289" i="12"/>
  <c r="BB290" i="12"/>
  <c r="BB291" i="12"/>
  <c r="BB292" i="12"/>
  <c r="BB293" i="12"/>
  <c r="BB294" i="12"/>
  <c r="BB295" i="12"/>
  <c r="BB296" i="12"/>
  <c r="BB297" i="12"/>
  <c r="BB298" i="12"/>
  <c r="BB299" i="12"/>
  <c r="BB300" i="12"/>
  <c r="BB301" i="12"/>
  <c r="BB302" i="12"/>
  <c r="BB303" i="12"/>
  <c r="BB304" i="12"/>
  <c r="BB305" i="12"/>
  <c r="BB306" i="12"/>
  <c r="BB307" i="12"/>
  <c r="BB308" i="12"/>
  <c r="BB309" i="12"/>
  <c r="BB310" i="12"/>
  <c r="BB311" i="12"/>
  <c r="BB312" i="12"/>
  <c r="BB313" i="12"/>
  <c r="BB314" i="12"/>
  <c r="BB315" i="12"/>
  <c r="BB316" i="12"/>
  <c r="BB317" i="12"/>
  <c r="BB318" i="12"/>
  <c r="BB319" i="12"/>
  <c r="BB320" i="12"/>
  <c r="BB321" i="12"/>
  <c r="BB322" i="12"/>
  <c r="BB323" i="12"/>
  <c r="BB324" i="12"/>
  <c r="BB325" i="12"/>
  <c r="BB326" i="12"/>
  <c r="BB327" i="12"/>
  <c r="BB328" i="12"/>
  <c r="BB329" i="12"/>
  <c r="BB330" i="12"/>
  <c r="BB331" i="12"/>
  <c r="BB332" i="12"/>
  <c r="BB333" i="12"/>
  <c r="BB334" i="12"/>
  <c r="BB335" i="12"/>
  <c r="BB336" i="12"/>
  <c r="BB337" i="12"/>
  <c r="BB338" i="12"/>
  <c r="BB339" i="12"/>
  <c r="BB340" i="12"/>
  <c r="BB341" i="12"/>
  <c r="BB342" i="12"/>
  <c r="BB343" i="12"/>
  <c r="BB344" i="12"/>
  <c r="BB345" i="12"/>
  <c r="BB346" i="12"/>
  <c r="BB347" i="12"/>
  <c r="BB348" i="12"/>
  <c r="BB349" i="12"/>
  <c r="BB350" i="12"/>
  <c r="BB351" i="12"/>
  <c r="BB352" i="12"/>
  <c r="BB353" i="12"/>
  <c r="BB354" i="12"/>
  <c r="BB355" i="12"/>
  <c r="BB356" i="12"/>
  <c r="BB357" i="12"/>
  <c r="BB358" i="12"/>
  <c r="BB359" i="12"/>
  <c r="BB360" i="12"/>
  <c r="BB361" i="12"/>
  <c r="BB362" i="12"/>
  <c r="BB363" i="12"/>
  <c r="BB364" i="12"/>
  <c r="BB365" i="12"/>
  <c r="BB366" i="12"/>
  <c r="BB367" i="12"/>
  <c r="BB368" i="12"/>
  <c r="BB369" i="12"/>
  <c r="BB370" i="12"/>
  <c r="BB371" i="12"/>
  <c r="BB372" i="12"/>
  <c r="BB373" i="12"/>
  <c r="BB374" i="12"/>
  <c r="BB375" i="12"/>
  <c r="BB376" i="12"/>
  <c r="BB377" i="12"/>
  <c r="BB378" i="12"/>
  <c r="BB379" i="12"/>
  <c r="BB380" i="12"/>
  <c r="BB381" i="12"/>
  <c r="BB382" i="12"/>
  <c r="BB383" i="12"/>
  <c r="BB384" i="12"/>
  <c r="BB385" i="12"/>
  <c r="BB386" i="12"/>
  <c r="BB387" i="12"/>
  <c r="BB388" i="12"/>
  <c r="BB389" i="12"/>
  <c r="BB390" i="12"/>
  <c r="BB391" i="12"/>
  <c r="BB392" i="12"/>
  <c r="BB393" i="12"/>
  <c r="BB394" i="12"/>
  <c r="BB395" i="12"/>
  <c r="BB396" i="12"/>
  <c r="BB397" i="12"/>
  <c r="BB398" i="12"/>
  <c r="BB399" i="12"/>
  <c r="BB400" i="12"/>
  <c r="BB401" i="12"/>
  <c r="BB402" i="12"/>
  <c r="BB403" i="12"/>
  <c r="BB404" i="12"/>
  <c r="AZ192" i="12"/>
  <c r="BD192" i="12" s="1"/>
  <c r="AZ193" i="12"/>
  <c r="BD193" i="12" s="1"/>
  <c r="AZ194" i="12"/>
  <c r="AZ195" i="12"/>
  <c r="BD195" i="12" s="1"/>
  <c r="AZ196" i="12"/>
  <c r="BD196" i="12" s="1"/>
  <c r="AZ197" i="12"/>
  <c r="BD197" i="12" s="1"/>
  <c r="AZ198" i="12"/>
  <c r="BD198" i="12" s="1"/>
  <c r="AZ199" i="12"/>
  <c r="BD199" i="12" s="1"/>
  <c r="AZ200" i="12"/>
  <c r="BD200" i="12" s="1"/>
  <c r="AZ201" i="12"/>
  <c r="BD201" i="12" s="1"/>
  <c r="AZ202" i="12"/>
  <c r="AZ203" i="12"/>
  <c r="BD203" i="12" s="1"/>
  <c r="AZ204" i="12"/>
  <c r="BD204" i="12" s="1"/>
  <c r="AZ205" i="12"/>
  <c r="BD205" i="12" s="1"/>
  <c r="AZ206" i="12"/>
  <c r="BD206" i="12" s="1"/>
  <c r="AZ207" i="12"/>
  <c r="BD207" i="12" s="1"/>
  <c r="AZ208" i="12"/>
  <c r="BD208" i="12" s="1"/>
  <c r="AZ209" i="12"/>
  <c r="BD209" i="12" s="1"/>
  <c r="AZ210" i="12"/>
  <c r="AZ211" i="12"/>
  <c r="BD211" i="12" s="1"/>
  <c r="AZ212" i="12"/>
  <c r="BD212" i="12" s="1"/>
  <c r="AZ213" i="12"/>
  <c r="BD213" i="12" s="1"/>
  <c r="AZ214" i="12"/>
  <c r="BD214" i="12" s="1"/>
  <c r="AZ215" i="12"/>
  <c r="BD215" i="12" s="1"/>
  <c r="AZ216" i="12"/>
  <c r="BD216" i="12" s="1"/>
  <c r="AZ217" i="12"/>
  <c r="BD217" i="12" s="1"/>
  <c r="AZ218" i="12"/>
  <c r="AZ219" i="12"/>
  <c r="BD219" i="12" s="1"/>
  <c r="AZ220" i="12"/>
  <c r="BD220" i="12" s="1"/>
  <c r="AZ221" i="12"/>
  <c r="BD221" i="12" s="1"/>
  <c r="AZ222" i="12"/>
  <c r="BD222" i="12" s="1"/>
  <c r="AZ223" i="12"/>
  <c r="BD223" i="12" s="1"/>
  <c r="AZ224" i="12"/>
  <c r="BD224" i="12" s="1"/>
  <c r="AZ225" i="12"/>
  <c r="BD225" i="12" s="1"/>
  <c r="AZ226" i="12"/>
  <c r="AZ227" i="12"/>
  <c r="BD227" i="12" s="1"/>
  <c r="AZ228" i="12"/>
  <c r="BD228" i="12" s="1"/>
  <c r="AZ229" i="12"/>
  <c r="BD229" i="12" s="1"/>
  <c r="AZ230" i="12"/>
  <c r="BD230" i="12" s="1"/>
  <c r="AZ231" i="12"/>
  <c r="BD231" i="12" s="1"/>
  <c r="AZ232" i="12"/>
  <c r="BD232" i="12" s="1"/>
  <c r="AZ233" i="12"/>
  <c r="BA233" i="12" s="1"/>
  <c r="AZ234" i="12"/>
  <c r="AZ235" i="12"/>
  <c r="BD235" i="12" s="1"/>
  <c r="AZ236" i="12"/>
  <c r="BD236" i="12" s="1"/>
  <c r="AZ237" i="12"/>
  <c r="BD237" i="12" s="1"/>
  <c r="AZ238" i="12"/>
  <c r="BD238" i="12" s="1"/>
  <c r="AZ239" i="12"/>
  <c r="BD239" i="12" s="1"/>
  <c r="AZ240" i="12"/>
  <c r="BD240" i="12" s="1"/>
  <c r="AZ241" i="12"/>
  <c r="BD241" i="12" s="1"/>
  <c r="AZ242" i="12"/>
  <c r="AZ243" i="12"/>
  <c r="BD243" i="12" s="1"/>
  <c r="AZ244" i="12"/>
  <c r="BD244" i="12" s="1"/>
  <c r="AZ245" i="12"/>
  <c r="BD245" i="12" s="1"/>
  <c r="AZ246" i="12"/>
  <c r="BD246" i="12" s="1"/>
  <c r="AZ247" i="12"/>
  <c r="BD247" i="12" s="1"/>
  <c r="AZ248" i="12"/>
  <c r="BD248" i="12" s="1"/>
  <c r="AZ249" i="12"/>
  <c r="BD249" i="12" s="1"/>
  <c r="AZ250" i="12"/>
  <c r="AZ251" i="12"/>
  <c r="BD251" i="12" s="1"/>
  <c r="AZ252" i="12"/>
  <c r="BD252" i="12" s="1"/>
  <c r="AZ253" i="12"/>
  <c r="BD253" i="12" s="1"/>
  <c r="AZ254" i="12"/>
  <c r="BD254" i="12" s="1"/>
  <c r="AZ255" i="12"/>
  <c r="BD255" i="12" s="1"/>
  <c r="AZ256" i="12"/>
  <c r="BD256" i="12" s="1"/>
  <c r="AZ257" i="12"/>
  <c r="BD257" i="12" s="1"/>
  <c r="AZ258" i="12"/>
  <c r="AZ259" i="12"/>
  <c r="BD259" i="12" s="1"/>
  <c r="AZ260" i="12"/>
  <c r="BD260" i="12" s="1"/>
  <c r="AZ261" i="12"/>
  <c r="BD261" i="12" s="1"/>
  <c r="AZ262" i="12"/>
  <c r="BD262" i="12" s="1"/>
  <c r="AZ263" i="12"/>
  <c r="BD263" i="12" s="1"/>
  <c r="AZ264" i="12"/>
  <c r="BD264" i="12" s="1"/>
  <c r="AZ265" i="12"/>
  <c r="BD265" i="12" s="1"/>
  <c r="AZ266" i="12"/>
  <c r="AZ267" i="12"/>
  <c r="BD267" i="12" s="1"/>
  <c r="AZ268" i="12"/>
  <c r="BD268" i="12" s="1"/>
  <c r="AZ269" i="12"/>
  <c r="BD269" i="12" s="1"/>
  <c r="AZ270" i="12"/>
  <c r="BD270" i="12" s="1"/>
  <c r="AZ271" i="12"/>
  <c r="BD271" i="12" s="1"/>
  <c r="AZ272" i="12"/>
  <c r="BD272" i="12" s="1"/>
  <c r="AZ273" i="12"/>
  <c r="BD273" i="12" s="1"/>
  <c r="AZ274" i="12"/>
  <c r="AZ275" i="12"/>
  <c r="BD275" i="12" s="1"/>
  <c r="AZ276" i="12"/>
  <c r="BA276" i="12" s="1"/>
  <c r="AZ277" i="12"/>
  <c r="BA277" i="12" s="1"/>
  <c r="AZ278" i="12"/>
  <c r="BA278" i="12" s="1"/>
  <c r="AZ279" i="12"/>
  <c r="BD279" i="12" s="1"/>
  <c r="AZ280" i="12"/>
  <c r="BA280" i="12" s="1"/>
  <c r="AZ281" i="12"/>
  <c r="BD281" i="12" s="1"/>
  <c r="AZ282" i="12"/>
  <c r="AZ283" i="12"/>
  <c r="BD283" i="12" s="1"/>
  <c r="AZ284" i="12"/>
  <c r="BA284" i="12" s="1"/>
  <c r="AZ285" i="12"/>
  <c r="BA285" i="12" s="1"/>
  <c r="AZ286" i="12"/>
  <c r="BA286" i="12" s="1"/>
  <c r="AZ287" i="12"/>
  <c r="BD287" i="12" s="1"/>
  <c r="AZ288" i="12"/>
  <c r="BA288" i="12" s="1"/>
  <c r="AZ289" i="12"/>
  <c r="BD289" i="12" s="1"/>
  <c r="AZ290" i="12"/>
  <c r="AZ291" i="12"/>
  <c r="BD291" i="12" s="1"/>
  <c r="AZ292" i="12"/>
  <c r="BA292" i="12" s="1"/>
  <c r="AZ293" i="12"/>
  <c r="BA293" i="12" s="1"/>
  <c r="AZ294" i="12"/>
  <c r="BA294" i="12" s="1"/>
  <c r="AZ295" i="12"/>
  <c r="BD295" i="12" s="1"/>
  <c r="AZ296" i="12"/>
  <c r="BA296" i="12" s="1"/>
  <c r="AZ297" i="12"/>
  <c r="BD297" i="12" s="1"/>
  <c r="AZ298" i="12"/>
  <c r="AZ299" i="12"/>
  <c r="BD299" i="12" s="1"/>
  <c r="AZ300" i="12"/>
  <c r="BA300" i="12" s="1"/>
  <c r="AZ301" i="12"/>
  <c r="BA301" i="12" s="1"/>
  <c r="AZ302" i="12"/>
  <c r="BA302" i="12" s="1"/>
  <c r="AZ303" i="12"/>
  <c r="BD303" i="12" s="1"/>
  <c r="AZ304" i="12"/>
  <c r="BA304" i="12" s="1"/>
  <c r="AZ305" i="12"/>
  <c r="BD305" i="12" s="1"/>
  <c r="AZ306" i="12"/>
  <c r="AZ307" i="12"/>
  <c r="BD307" i="12" s="1"/>
  <c r="AZ308" i="12"/>
  <c r="BA308" i="12" s="1"/>
  <c r="AZ309" i="12"/>
  <c r="BA309" i="12" s="1"/>
  <c r="AZ310" i="12"/>
  <c r="BA310" i="12" s="1"/>
  <c r="AZ311" i="12"/>
  <c r="BD311" i="12" s="1"/>
  <c r="AZ312" i="12"/>
  <c r="BA312" i="12" s="1"/>
  <c r="AZ313" i="12"/>
  <c r="BD313" i="12" s="1"/>
  <c r="AZ314" i="12"/>
  <c r="AZ315" i="12"/>
  <c r="BD315" i="12" s="1"/>
  <c r="AZ316" i="12"/>
  <c r="BA316" i="12" s="1"/>
  <c r="AZ317" i="12"/>
  <c r="BA317" i="12" s="1"/>
  <c r="AZ318" i="12"/>
  <c r="BA318" i="12" s="1"/>
  <c r="AZ319" i="12"/>
  <c r="BD319" i="12" s="1"/>
  <c r="AZ320" i="12"/>
  <c r="BA320" i="12" s="1"/>
  <c r="AZ321" i="12"/>
  <c r="BD321" i="12" s="1"/>
  <c r="AZ322" i="12"/>
  <c r="AZ323" i="12"/>
  <c r="BD323" i="12" s="1"/>
  <c r="AZ324" i="12"/>
  <c r="BA324" i="12" s="1"/>
  <c r="AZ325" i="12"/>
  <c r="BA325" i="12" s="1"/>
  <c r="AZ326" i="12"/>
  <c r="BA326" i="12" s="1"/>
  <c r="AZ327" i="12"/>
  <c r="BD327" i="12" s="1"/>
  <c r="AZ328" i="12"/>
  <c r="BA328" i="12" s="1"/>
  <c r="AZ329" i="12"/>
  <c r="BD329" i="12" s="1"/>
  <c r="AZ330" i="12"/>
  <c r="AZ331" i="12"/>
  <c r="BD331" i="12" s="1"/>
  <c r="AZ332" i="12"/>
  <c r="BA332" i="12" s="1"/>
  <c r="AZ333" i="12"/>
  <c r="BA333" i="12" s="1"/>
  <c r="AZ334" i="12"/>
  <c r="BA334" i="12" s="1"/>
  <c r="AZ335" i="12"/>
  <c r="BD335" i="12" s="1"/>
  <c r="AZ336" i="12"/>
  <c r="BA336" i="12" s="1"/>
  <c r="AZ337" i="12"/>
  <c r="BD337" i="12" s="1"/>
  <c r="AZ338" i="12"/>
  <c r="AZ339" i="12"/>
  <c r="BD339" i="12" s="1"/>
  <c r="AZ340" i="12"/>
  <c r="BA340" i="12" s="1"/>
  <c r="AZ341" i="12"/>
  <c r="BA341" i="12" s="1"/>
  <c r="AZ342" i="12"/>
  <c r="BA342" i="12" s="1"/>
  <c r="AZ343" i="12"/>
  <c r="BD343" i="12" s="1"/>
  <c r="AZ344" i="12"/>
  <c r="BA344" i="12" s="1"/>
  <c r="AZ345" i="12"/>
  <c r="BD345" i="12" s="1"/>
  <c r="AZ346" i="12"/>
  <c r="AZ347" i="12"/>
  <c r="BD347" i="12" s="1"/>
  <c r="AZ348" i="12"/>
  <c r="BA348" i="12" s="1"/>
  <c r="AZ349" i="12"/>
  <c r="BA349" i="12" s="1"/>
  <c r="AZ350" i="12"/>
  <c r="BA350" i="12" s="1"/>
  <c r="AZ351" i="12"/>
  <c r="BD351" i="12" s="1"/>
  <c r="AZ352" i="12"/>
  <c r="BA352" i="12" s="1"/>
  <c r="AZ353" i="12"/>
  <c r="BD353" i="12" s="1"/>
  <c r="AZ354" i="12"/>
  <c r="AZ355" i="12"/>
  <c r="BD355" i="12" s="1"/>
  <c r="AZ356" i="12"/>
  <c r="BA356" i="12" s="1"/>
  <c r="AZ357" i="12"/>
  <c r="BA357" i="12" s="1"/>
  <c r="AZ358" i="12"/>
  <c r="BA358" i="12" s="1"/>
  <c r="AZ359" i="12"/>
  <c r="BD359" i="12" s="1"/>
  <c r="AZ360" i="12"/>
  <c r="BA360" i="12" s="1"/>
  <c r="AZ361" i="12"/>
  <c r="BD361" i="12" s="1"/>
  <c r="AZ362" i="12"/>
  <c r="AZ363" i="12"/>
  <c r="BD363" i="12" s="1"/>
  <c r="AZ364" i="12"/>
  <c r="BA364" i="12" s="1"/>
  <c r="AZ365" i="12"/>
  <c r="BA365" i="12" s="1"/>
  <c r="AZ366" i="12"/>
  <c r="BA366" i="12" s="1"/>
  <c r="AZ367" i="12"/>
  <c r="BD367" i="12" s="1"/>
  <c r="AZ368" i="12"/>
  <c r="BA368" i="12" s="1"/>
  <c r="AZ369" i="12"/>
  <c r="BD369" i="12" s="1"/>
  <c r="AZ370" i="12"/>
  <c r="AZ371" i="12"/>
  <c r="BD371" i="12" s="1"/>
  <c r="AZ372" i="12"/>
  <c r="BA372" i="12" s="1"/>
  <c r="AZ373" i="12"/>
  <c r="BA373" i="12" s="1"/>
  <c r="AZ374" i="12"/>
  <c r="BA374" i="12" s="1"/>
  <c r="AZ375" i="12"/>
  <c r="BD375" i="12" s="1"/>
  <c r="AZ376" i="12"/>
  <c r="BA376" i="12" s="1"/>
  <c r="AZ377" i="12"/>
  <c r="BD377" i="12" s="1"/>
  <c r="AZ378" i="12"/>
  <c r="AZ379" i="12"/>
  <c r="BD379" i="12" s="1"/>
  <c r="AZ380" i="12"/>
  <c r="BA380" i="12" s="1"/>
  <c r="AZ381" i="12"/>
  <c r="BA381" i="12" s="1"/>
  <c r="AZ382" i="12"/>
  <c r="BA382" i="12" s="1"/>
  <c r="AZ383" i="12"/>
  <c r="BD383" i="12" s="1"/>
  <c r="AZ384" i="12"/>
  <c r="BA384" i="12" s="1"/>
  <c r="AZ385" i="12"/>
  <c r="BD385" i="12" s="1"/>
  <c r="AZ386" i="12"/>
  <c r="AZ387" i="12"/>
  <c r="BD387" i="12" s="1"/>
  <c r="AZ388" i="12"/>
  <c r="BA388" i="12" s="1"/>
  <c r="AZ389" i="12"/>
  <c r="BA389" i="12" s="1"/>
  <c r="AZ390" i="12"/>
  <c r="BA390" i="12" s="1"/>
  <c r="AZ391" i="12"/>
  <c r="BD391" i="12" s="1"/>
  <c r="AZ392" i="12"/>
  <c r="BA392" i="12" s="1"/>
  <c r="AZ393" i="12"/>
  <c r="BD393" i="12" s="1"/>
  <c r="AZ394" i="12"/>
  <c r="AZ395" i="12"/>
  <c r="BD395" i="12" s="1"/>
  <c r="AZ396" i="12"/>
  <c r="BA396" i="12" s="1"/>
  <c r="AZ397" i="12"/>
  <c r="BA397" i="12" s="1"/>
  <c r="AZ398" i="12"/>
  <c r="BA398" i="12" s="1"/>
  <c r="AZ399" i="12"/>
  <c r="BD399" i="12" s="1"/>
  <c r="AZ400" i="12"/>
  <c r="BA400" i="12" s="1"/>
  <c r="AZ401" i="12"/>
  <c r="BD401" i="12" s="1"/>
  <c r="AZ402" i="12"/>
  <c r="AZ403" i="12"/>
  <c r="BD403" i="12" s="1"/>
  <c r="AZ404" i="12"/>
  <c r="BA404" i="12" s="1"/>
  <c r="AZ3" i="12"/>
  <c r="AZ4" i="12"/>
  <c r="AZ5" i="12"/>
  <c r="AZ6" i="12"/>
  <c r="AZ7" i="12"/>
  <c r="AZ8" i="12"/>
  <c r="AZ9" i="12"/>
  <c r="AZ10" i="12"/>
  <c r="AZ11" i="12"/>
  <c r="AZ12" i="12"/>
  <c r="AZ13" i="12"/>
  <c r="AZ14" i="12"/>
  <c r="AZ15" i="12"/>
  <c r="AZ16" i="12"/>
  <c r="AZ17" i="12"/>
  <c r="AZ18" i="12"/>
  <c r="AZ19" i="12"/>
  <c r="AZ20" i="12"/>
  <c r="AZ21" i="12"/>
  <c r="AZ22" i="12"/>
  <c r="AZ23" i="12"/>
  <c r="AZ24" i="12"/>
  <c r="AZ25" i="12"/>
  <c r="AZ26" i="12"/>
  <c r="AZ27" i="12"/>
  <c r="AZ28" i="12"/>
  <c r="AZ29" i="12"/>
  <c r="AZ30" i="12"/>
  <c r="AZ31" i="12"/>
  <c r="AZ32" i="12"/>
  <c r="AZ33" i="12"/>
  <c r="AZ34" i="12"/>
  <c r="AZ35" i="12"/>
  <c r="AZ36" i="12"/>
  <c r="AZ37" i="12"/>
  <c r="AZ38" i="12"/>
  <c r="AZ39" i="12"/>
  <c r="AZ40" i="12"/>
  <c r="AZ41" i="12"/>
  <c r="AZ42" i="12"/>
  <c r="AZ43" i="12"/>
  <c r="AZ44" i="12"/>
  <c r="AZ45" i="12"/>
  <c r="AZ46" i="12"/>
  <c r="AZ47" i="12"/>
  <c r="AZ48" i="12"/>
  <c r="AZ49" i="12"/>
  <c r="AZ50" i="12"/>
  <c r="AZ51" i="12"/>
  <c r="AZ52" i="12"/>
  <c r="AZ53" i="12"/>
  <c r="AZ54" i="12"/>
  <c r="AZ55" i="12"/>
  <c r="AZ56" i="12"/>
  <c r="AZ57" i="12"/>
  <c r="AZ58" i="12"/>
  <c r="AZ59" i="12"/>
  <c r="AZ60" i="12"/>
  <c r="AZ61" i="12"/>
  <c r="AZ62" i="12"/>
  <c r="AZ63" i="12"/>
  <c r="AZ64" i="12"/>
  <c r="AZ65" i="12"/>
  <c r="AZ66" i="12"/>
  <c r="AZ67" i="12"/>
  <c r="AZ68" i="12"/>
  <c r="AZ69" i="12"/>
  <c r="AZ70" i="12"/>
  <c r="AZ71" i="12"/>
  <c r="AZ72" i="12"/>
  <c r="AZ73" i="12"/>
  <c r="AZ74" i="12"/>
  <c r="AZ75" i="12"/>
  <c r="AZ76" i="12"/>
  <c r="AZ77" i="12"/>
  <c r="AZ78" i="12"/>
  <c r="AZ79" i="12"/>
  <c r="AZ80" i="12"/>
  <c r="AZ81" i="12"/>
  <c r="AZ82" i="12"/>
  <c r="AZ83" i="12"/>
  <c r="AZ84" i="12"/>
  <c r="AZ85" i="12"/>
  <c r="AZ86" i="12"/>
  <c r="AZ87" i="12"/>
  <c r="AZ88" i="12"/>
  <c r="AZ89" i="12"/>
  <c r="AZ90" i="12"/>
  <c r="AZ91" i="12"/>
  <c r="AZ92" i="12"/>
  <c r="AZ93" i="12"/>
  <c r="AZ94" i="12"/>
  <c r="AZ95" i="12"/>
  <c r="AZ96" i="12"/>
  <c r="AZ97" i="12"/>
  <c r="AZ98" i="12"/>
  <c r="AZ99" i="12"/>
  <c r="AZ100" i="12"/>
  <c r="AZ101" i="12"/>
  <c r="AZ102" i="12"/>
  <c r="AZ103" i="12"/>
  <c r="AZ104" i="12"/>
  <c r="AZ105" i="12"/>
  <c r="AZ106" i="12"/>
  <c r="AZ107" i="12"/>
  <c r="AZ108" i="12"/>
  <c r="AZ109" i="12"/>
  <c r="AZ110" i="12"/>
  <c r="AZ111" i="12"/>
  <c r="AZ112" i="12"/>
  <c r="AZ113" i="12"/>
  <c r="AZ114" i="12"/>
  <c r="AZ115" i="12"/>
  <c r="AZ116" i="12"/>
  <c r="AZ117" i="12"/>
  <c r="AZ118" i="12"/>
  <c r="AZ119" i="12"/>
  <c r="AZ120" i="12"/>
  <c r="AZ121" i="12"/>
  <c r="AZ122" i="12"/>
  <c r="AZ123" i="12"/>
  <c r="AZ124" i="12"/>
  <c r="AZ125" i="12"/>
  <c r="AZ126" i="12"/>
  <c r="AZ127" i="12"/>
  <c r="AZ128" i="12"/>
  <c r="AZ129" i="12"/>
  <c r="AZ130" i="12"/>
  <c r="AZ131" i="12"/>
  <c r="AZ132" i="12"/>
  <c r="AZ133" i="12"/>
  <c r="AZ134" i="12"/>
  <c r="AZ135" i="12"/>
  <c r="AZ136" i="12"/>
  <c r="AZ137" i="12"/>
  <c r="AZ138" i="12"/>
  <c r="AZ139" i="12"/>
  <c r="AZ140" i="12"/>
  <c r="AZ141" i="12"/>
  <c r="AZ142" i="12"/>
  <c r="AZ143" i="12"/>
  <c r="AZ144" i="12"/>
  <c r="AZ145" i="12"/>
  <c r="AZ146" i="12"/>
  <c r="AZ147" i="12"/>
  <c r="AZ148" i="12"/>
  <c r="AZ149" i="12"/>
  <c r="AZ150" i="12"/>
  <c r="AZ151" i="12"/>
  <c r="AZ152" i="12"/>
  <c r="AZ153" i="12"/>
  <c r="AZ154" i="12"/>
  <c r="AZ155" i="12"/>
  <c r="AZ156" i="12"/>
  <c r="AZ157" i="12"/>
  <c r="AZ158" i="12"/>
  <c r="AZ159" i="12"/>
  <c r="AZ160" i="12"/>
  <c r="AZ161" i="12"/>
  <c r="AZ162" i="12"/>
  <c r="AZ163" i="12"/>
  <c r="AZ164" i="12"/>
  <c r="AZ165" i="12"/>
  <c r="AZ166" i="12"/>
  <c r="AZ167" i="12"/>
  <c r="AZ168" i="12"/>
  <c r="AZ169" i="12"/>
  <c r="AZ170" i="12"/>
  <c r="AZ171" i="12"/>
  <c r="AZ172" i="12"/>
  <c r="AZ173" i="12"/>
  <c r="AZ174" i="12"/>
  <c r="AZ175" i="12"/>
  <c r="AZ176" i="12"/>
  <c r="AZ177" i="12"/>
  <c r="AZ178" i="12"/>
  <c r="AZ179" i="12"/>
  <c r="AZ180" i="12"/>
  <c r="AZ181" i="12"/>
  <c r="AZ182" i="12"/>
  <c r="AZ183" i="12"/>
  <c r="AZ184" i="12"/>
  <c r="AZ185" i="12"/>
  <c r="AZ186" i="12"/>
  <c r="AZ187" i="12"/>
  <c r="AZ188" i="12"/>
  <c r="AZ189" i="12"/>
  <c r="AZ190" i="12"/>
  <c r="AZ191" i="12"/>
  <c r="AZ2" i="12"/>
  <c r="AX192" i="12"/>
  <c r="AX193" i="12"/>
  <c r="AX194" i="12"/>
  <c r="AX195" i="12"/>
  <c r="AX196" i="12"/>
  <c r="AX197" i="12"/>
  <c r="AX198" i="12"/>
  <c r="AX199" i="12"/>
  <c r="AX200" i="12"/>
  <c r="AX201" i="12"/>
  <c r="AX202" i="12"/>
  <c r="AX203" i="12"/>
  <c r="AX204" i="12"/>
  <c r="AX205" i="12"/>
  <c r="AX206" i="12"/>
  <c r="AX207" i="12"/>
  <c r="AX208" i="12"/>
  <c r="AX209" i="12"/>
  <c r="AX210" i="12"/>
  <c r="AX211" i="12"/>
  <c r="AX212" i="12"/>
  <c r="AX213" i="12"/>
  <c r="AX214" i="12"/>
  <c r="AX215" i="12"/>
  <c r="AX216" i="12"/>
  <c r="AX217" i="12"/>
  <c r="AX218" i="12"/>
  <c r="AX219" i="12"/>
  <c r="AX220" i="12"/>
  <c r="AX221" i="12"/>
  <c r="AX222" i="12"/>
  <c r="AX223" i="12"/>
  <c r="AX224" i="12"/>
  <c r="AX225" i="12"/>
  <c r="AX226" i="12"/>
  <c r="AX227" i="12"/>
  <c r="AX228" i="12"/>
  <c r="AX229" i="12"/>
  <c r="AX230" i="12"/>
  <c r="AX231" i="12"/>
  <c r="AX232" i="12"/>
  <c r="AX233" i="12"/>
  <c r="AX234" i="12"/>
  <c r="AX235" i="12"/>
  <c r="AX236" i="12"/>
  <c r="AX237" i="12"/>
  <c r="AX238" i="12"/>
  <c r="AX239" i="12"/>
  <c r="AX240" i="12"/>
  <c r="AX241" i="12"/>
  <c r="AX242" i="12"/>
  <c r="AX243" i="12"/>
  <c r="AX244" i="12"/>
  <c r="AX245" i="12"/>
  <c r="AX246" i="12"/>
  <c r="AX247" i="12"/>
  <c r="AX248" i="12"/>
  <c r="AX249" i="12"/>
  <c r="AX250" i="12"/>
  <c r="AX251" i="12"/>
  <c r="AX252" i="12"/>
  <c r="AX253" i="12"/>
  <c r="AX254" i="12"/>
  <c r="AX255" i="12"/>
  <c r="AX256" i="12"/>
  <c r="AX257" i="12"/>
  <c r="AX258" i="12"/>
  <c r="AX259" i="12"/>
  <c r="AX260" i="12"/>
  <c r="AX261" i="12"/>
  <c r="AX262" i="12"/>
  <c r="AX263" i="12"/>
  <c r="AX264" i="12"/>
  <c r="AX265" i="12"/>
  <c r="AX266" i="12"/>
  <c r="AX267" i="12"/>
  <c r="AX268" i="12"/>
  <c r="AX269" i="12"/>
  <c r="AX270" i="12"/>
  <c r="AX271" i="12"/>
  <c r="AX272" i="12"/>
  <c r="AX273" i="12"/>
  <c r="AX274" i="12"/>
  <c r="AX275" i="12"/>
  <c r="AX276" i="12"/>
  <c r="AX277" i="12"/>
  <c r="AX278" i="12"/>
  <c r="AX279" i="12"/>
  <c r="AX280" i="12"/>
  <c r="AX281" i="12"/>
  <c r="AX282" i="12"/>
  <c r="AX283" i="12"/>
  <c r="AX284" i="12"/>
  <c r="AX285" i="12"/>
  <c r="AX286" i="12"/>
  <c r="AX287" i="12"/>
  <c r="AX288" i="12"/>
  <c r="AX289" i="12"/>
  <c r="AX290" i="12"/>
  <c r="AX291" i="12"/>
  <c r="AX292" i="12"/>
  <c r="AX293" i="12"/>
  <c r="AX294" i="12"/>
  <c r="AX295" i="12"/>
  <c r="AX296" i="12"/>
  <c r="AX297" i="12"/>
  <c r="AX298" i="12"/>
  <c r="AX299" i="12"/>
  <c r="AX300" i="12"/>
  <c r="AX301" i="12"/>
  <c r="AX302" i="12"/>
  <c r="AX303" i="12"/>
  <c r="AX304" i="12"/>
  <c r="AX305" i="12"/>
  <c r="AX306" i="12"/>
  <c r="AX307" i="12"/>
  <c r="AX308" i="12"/>
  <c r="AX309" i="12"/>
  <c r="AX310" i="12"/>
  <c r="AX311" i="12"/>
  <c r="AX312" i="12"/>
  <c r="AX313" i="12"/>
  <c r="AX314" i="12"/>
  <c r="AX315" i="12"/>
  <c r="AX316" i="12"/>
  <c r="AX317" i="12"/>
  <c r="AX318" i="12"/>
  <c r="AX319" i="12"/>
  <c r="AX320" i="12"/>
  <c r="AX321" i="12"/>
  <c r="AX322" i="12"/>
  <c r="AX323" i="12"/>
  <c r="AX324" i="12"/>
  <c r="AX325" i="12"/>
  <c r="AX326" i="12"/>
  <c r="AX327" i="12"/>
  <c r="AX328" i="12"/>
  <c r="AX329" i="12"/>
  <c r="AX330" i="12"/>
  <c r="AX331" i="12"/>
  <c r="AX332" i="12"/>
  <c r="AX333" i="12"/>
  <c r="AX334" i="12"/>
  <c r="AX335" i="12"/>
  <c r="AX336" i="12"/>
  <c r="AX337" i="12"/>
  <c r="AX338" i="12"/>
  <c r="AX339" i="12"/>
  <c r="AX340" i="12"/>
  <c r="AX341" i="12"/>
  <c r="AX342" i="12"/>
  <c r="AX343" i="12"/>
  <c r="AX344" i="12"/>
  <c r="AX345" i="12"/>
  <c r="AX346" i="12"/>
  <c r="AX347" i="12"/>
  <c r="AX348" i="12"/>
  <c r="AX349" i="12"/>
  <c r="AX350" i="12"/>
  <c r="AX351" i="12"/>
  <c r="AX352" i="12"/>
  <c r="AX353" i="12"/>
  <c r="AX354" i="12"/>
  <c r="AX355" i="12"/>
  <c r="AX356" i="12"/>
  <c r="AX357" i="12"/>
  <c r="AX358" i="12"/>
  <c r="AX359" i="12"/>
  <c r="AX360" i="12"/>
  <c r="AX361" i="12"/>
  <c r="AX362" i="12"/>
  <c r="AX363" i="12"/>
  <c r="AX364" i="12"/>
  <c r="AX365" i="12"/>
  <c r="AX366" i="12"/>
  <c r="AX367" i="12"/>
  <c r="AX368" i="12"/>
  <c r="AX369" i="12"/>
  <c r="AX370" i="12"/>
  <c r="AX371" i="12"/>
  <c r="AX372" i="12"/>
  <c r="AX373" i="12"/>
  <c r="AX374" i="12"/>
  <c r="AX375" i="12"/>
  <c r="AX376" i="12"/>
  <c r="AX377" i="12"/>
  <c r="AX378" i="12"/>
  <c r="AX379" i="12"/>
  <c r="AX380" i="12"/>
  <c r="AX381" i="12"/>
  <c r="AX382" i="12"/>
  <c r="AX383" i="12"/>
  <c r="AX384" i="12"/>
  <c r="AX385" i="12"/>
  <c r="AX386" i="12"/>
  <c r="AX387" i="12"/>
  <c r="AX388" i="12"/>
  <c r="AX389" i="12"/>
  <c r="AX390" i="12"/>
  <c r="AX391" i="12"/>
  <c r="AX392" i="12"/>
  <c r="AX393" i="12"/>
  <c r="AX394" i="12"/>
  <c r="AX395" i="12"/>
  <c r="AX396" i="12"/>
  <c r="AX397" i="12"/>
  <c r="AX398" i="12"/>
  <c r="AX399" i="12"/>
  <c r="AX400" i="12"/>
  <c r="AX401" i="12"/>
  <c r="AX402" i="12"/>
  <c r="AX403" i="12"/>
  <c r="AX404" i="12"/>
  <c r="AW192" i="12"/>
  <c r="AW193" i="12"/>
  <c r="AW194" i="12"/>
  <c r="AW195" i="12"/>
  <c r="AW196" i="12"/>
  <c r="AW197" i="12"/>
  <c r="AW198" i="12"/>
  <c r="AW199" i="12"/>
  <c r="AW200" i="12"/>
  <c r="AW201" i="12"/>
  <c r="AW202" i="12"/>
  <c r="AW203" i="12"/>
  <c r="AW204" i="12"/>
  <c r="AW205" i="12"/>
  <c r="AW206" i="12"/>
  <c r="AW207" i="12"/>
  <c r="AW208" i="12"/>
  <c r="AW209" i="12"/>
  <c r="AW210" i="12"/>
  <c r="AW211" i="12"/>
  <c r="AW212" i="12"/>
  <c r="AW213" i="12"/>
  <c r="AW214" i="12"/>
  <c r="AW215" i="12"/>
  <c r="AW216" i="12"/>
  <c r="AW217" i="12"/>
  <c r="AW218" i="12"/>
  <c r="AW219" i="12"/>
  <c r="AW220" i="12"/>
  <c r="AW221" i="12"/>
  <c r="AW222" i="12"/>
  <c r="AW223" i="12"/>
  <c r="AW224" i="12"/>
  <c r="AW225" i="12"/>
  <c r="AW226" i="12"/>
  <c r="AW227" i="12"/>
  <c r="AW228" i="12"/>
  <c r="AW229" i="12"/>
  <c r="AW230" i="12"/>
  <c r="AW231" i="12"/>
  <c r="AW232" i="12"/>
  <c r="AW233" i="12"/>
  <c r="AW234" i="12"/>
  <c r="AW235" i="12"/>
  <c r="AW236" i="12"/>
  <c r="AW237" i="12"/>
  <c r="AW238" i="12"/>
  <c r="AW239" i="12"/>
  <c r="AW240" i="12"/>
  <c r="AW241" i="12"/>
  <c r="AW242" i="12"/>
  <c r="AW243" i="12"/>
  <c r="AW244" i="12"/>
  <c r="AW245" i="12"/>
  <c r="AW246" i="12"/>
  <c r="AW247" i="12"/>
  <c r="AW248" i="12"/>
  <c r="AW249" i="12"/>
  <c r="AW250" i="12"/>
  <c r="AW251" i="12"/>
  <c r="AW252" i="12"/>
  <c r="AW253" i="12"/>
  <c r="AW254" i="12"/>
  <c r="AW255" i="12"/>
  <c r="AW256" i="12"/>
  <c r="AW257" i="12"/>
  <c r="AW258" i="12"/>
  <c r="AW259" i="12"/>
  <c r="AW260" i="12"/>
  <c r="AW261" i="12"/>
  <c r="AW262" i="12"/>
  <c r="AW263" i="12"/>
  <c r="AW264" i="12"/>
  <c r="AW265" i="12"/>
  <c r="AW266" i="12"/>
  <c r="AW267" i="12"/>
  <c r="AW268" i="12"/>
  <c r="AW269" i="12"/>
  <c r="AW270" i="12"/>
  <c r="AW271" i="12"/>
  <c r="AW272" i="12"/>
  <c r="AW273" i="12"/>
  <c r="AW274" i="12"/>
  <c r="AW275" i="12"/>
  <c r="AW276" i="12"/>
  <c r="AW277" i="12"/>
  <c r="AW278" i="12"/>
  <c r="AW279" i="12"/>
  <c r="AW280" i="12"/>
  <c r="AW281" i="12"/>
  <c r="AW282" i="12"/>
  <c r="AW283" i="12"/>
  <c r="AW284" i="12"/>
  <c r="AW285" i="12"/>
  <c r="AW286" i="12"/>
  <c r="AW287" i="12"/>
  <c r="AW288" i="12"/>
  <c r="AW289" i="12"/>
  <c r="AW290" i="12"/>
  <c r="AW291" i="12"/>
  <c r="AW292" i="12"/>
  <c r="AW293" i="12"/>
  <c r="AW294" i="12"/>
  <c r="AW295" i="12"/>
  <c r="AW296" i="12"/>
  <c r="AW297" i="12"/>
  <c r="AW298" i="12"/>
  <c r="AW299" i="12"/>
  <c r="AW300" i="12"/>
  <c r="AW301" i="12"/>
  <c r="AW302" i="12"/>
  <c r="AW303" i="12"/>
  <c r="AW304" i="12"/>
  <c r="AW305" i="12"/>
  <c r="AW306" i="12"/>
  <c r="AW307" i="12"/>
  <c r="AW308" i="12"/>
  <c r="AW309" i="12"/>
  <c r="AW310" i="12"/>
  <c r="AW311" i="12"/>
  <c r="AW312" i="12"/>
  <c r="AW313" i="12"/>
  <c r="AW314" i="12"/>
  <c r="AW315" i="12"/>
  <c r="AW316" i="12"/>
  <c r="AW317" i="12"/>
  <c r="AW318" i="12"/>
  <c r="AW319" i="12"/>
  <c r="AW320" i="12"/>
  <c r="AW321" i="12"/>
  <c r="AW322" i="12"/>
  <c r="AW323" i="12"/>
  <c r="AW324" i="12"/>
  <c r="AW325" i="12"/>
  <c r="AW326" i="12"/>
  <c r="AW327" i="12"/>
  <c r="AW328" i="12"/>
  <c r="AW329" i="12"/>
  <c r="AW330" i="12"/>
  <c r="AW331" i="12"/>
  <c r="AW332" i="12"/>
  <c r="AW333" i="12"/>
  <c r="AW334" i="12"/>
  <c r="AW335" i="12"/>
  <c r="AW336" i="12"/>
  <c r="AW337" i="12"/>
  <c r="AW338" i="12"/>
  <c r="AW339" i="12"/>
  <c r="AW340" i="12"/>
  <c r="AW341" i="12"/>
  <c r="AW342" i="12"/>
  <c r="AW343" i="12"/>
  <c r="AW344" i="12"/>
  <c r="AW345" i="12"/>
  <c r="AW346" i="12"/>
  <c r="AW347" i="12"/>
  <c r="AW348" i="12"/>
  <c r="AW349" i="12"/>
  <c r="AW350" i="12"/>
  <c r="AW351" i="12"/>
  <c r="AW352" i="12"/>
  <c r="AW353" i="12"/>
  <c r="AW354" i="12"/>
  <c r="AW355" i="12"/>
  <c r="AW356" i="12"/>
  <c r="AW357" i="12"/>
  <c r="AW358" i="12"/>
  <c r="AW359" i="12"/>
  <c r="AW360" i="12"/>
  <c r="AW361" i="12"/>
  <c r="AW362" i="12"/>
  <c r="AW363" i="12"/>
  <c r="AW364" i="12"/>
  <c r="AW365" i="12"/>
  <c r="AW366" i="12"/>
  <c r="AW367" i="12"/>
  <c r="AW368" i="12"/>
  <c r="AW369" i="12"/>
  <c r="AW370" i="12"/>
  <c r="AW371" i="12"/>
  <c r="AW372" i="12"/>
  <c r="AW373" i="12"/>
  <c r="AW374" i="12"/>
  <c r="AW375" i="12"/>
  <c r="AW376" i="12"/>
  <c r="AW377" i="12"/>
  <c r="AW378" i="12"/>
  <c r="AW379" i="12"/>
  <c r="AW380" i="12"/>
  <c r="AW381" i="12"/>
  <c r="AW382" i="12"/>
  <c r="AW383" i="12"/>
  <c r="AW384" i="12"/>
  <c r="AW385" i="12"/>
  <c r="AW386" i="12"/>
  <c r="AW387" i="12"/>
  <c r="AW388" i="12"/>
  <c r="AW389" i="12"/>
  <c r="AW390" i="12"/>
  <c r="AW391" i="12"/>
  <c r="AW392" i="12"/>
  <c r="AW393" i="12"/>
  <c r="AW394" i="12"/>
  <c r="AW395" i="12"/>
  <c r="AW396" i="12"/>
  <c r="AW397" i="12"/>
  <c r="AW398" i="12"/>
  <c r="AW399" i="12"/>
  <c r="AW400" i="12"/>
  <c r="AW401" i="12"/>
  <c r="AW402" i="12"/>
  <c r="AW403" i="12"/>
  <c r="AW404" i="12"/>
  <c r="AU192" i="12"/>
  <c r="AY192" i="12" s="1"/>
  <c r="AU193" i="12"/>
  <c r="AV193" i="12" s="1"/>
  <c r="AU194" i="12"/>
  <c r="AY194" i="12" s="1"/>
  <c r="AU195" i="12"/>
  <c r="AU196" i="12"/>
  <c r="AY196" i="12" s="1"/>
  <c r="AU197" i="12"/>
  <c r="AU198" i="12"/>
  <c r="AU199" i="12"/>
  <c r="AU200" i="12"/>
  <c r="AY200" i="12" s="1"/>
  <c r="AU201" i="12"/>
  <c r="AV201" i="12" s="1"/>
  <c r="AU202" i="12"/>
  <c r="AY202" i="12" s="1"/>
  <c r="AU203" i="12"/>
  <c r="AU204" i="12"/>
  <c r="AY204" i="12" s="1"/>
  <c r="AU205" i="12"/>
  <c r="AU206" i="12"/>
  <c r="AU207" i="12"/>
  <c r="AV207" i="12" s="1"/>
  <c r="AU208" i="12"/>
  <c r="AY208" i="12" s="1"/>
  <c r="AU209" i="12"/>
  <c r="AV209" i="12" s="1"/>
  <c r="AU210" i="12"/>
  <c r="AY210" i="12" s="1"/>
  <c r="AU211" i="12"/>
  <c r="AU212" i="12"/>
  <c r="AY212" i="12" s="1"/>
  <c r="AU213" i="12"/>
  <c r="AU214" i="12"/>
  <c r="AU215" i="12"/>
  <c r="AU216" i="12"/>
  <c r="AY216" i="12" s="1"/>
  <c r="AU217" i="12"/>
  <c r="AV217" i="12" s="1"/>
  <c r="AU218" i="12"/>
  <c r="AY218" i="12" s="1"/>
  <c r="AU219" i="12"/>
  <c r="AU220" i="12"/>
  <c r="AY220" i="12" s="1"/>
  <c r="AU221" i="12"/>
  <c r="AU222" i="12"/>
  <c r="AU223" i="12"/>
  <c r="AU224" i="12"/>
  <c r="AY224" i="12" s="1"/>
  <c r="AU225" i="12"/>
  <c r="AV225" i="12" s="1"/>
  <c r="AU226" i="12"/>
  <c r="AY226" i="12" s="1"/>
  <c r="AU227" i="12"/>
  <c r="AU228" i="12"/>
  <c r="AY228" i="12" s="1"/>
  <c r="AU229" i="12"/>
  <c r="AU230" i="12"/>
  <c r="AU231" i="12"/>
  <c r="AU232" i="12"/>
  <c r="AY232" i="12" s="1"/>
  <c r="AU233" i="12"/>
  <c r="AV233" i="12" s="1"/>
  <c r="AU234" i="12"/>
  <c r="AY234" i="12" s="1"/>
  <c r="AU235" i="12"/>
  <c r="AU236" i="12"/>
  <c r="AY236" i="12" s="1"/>
  <c r="AU237" i="12"/>
  <c r="AU238" i="12"/>
  <c r="AU239" i="12"/>
  <c r="AV239" i="12" s="1"/>
  <c r="AU240" i="12"/>
  <c r="AY240" i="12" s="1"/>
  <c r="AU241" i="12"/>
  <c r="AV241" i="12" s="1"/>
  <c r="AU242" i="12"/>
  <c r="AY242" i="12" s="1"/>
  <c r="AU243" i="12"/>
  <c r="AU244" i="12"/>
  <c r="AY244" i="12" s="1"/>
  <c r="AU245" i="12"/>
  <c r="AU246" i="12"/>
  <c r="AU247" i="12"/>
  <c r="AU248" i="12"/>
  <c r="AY248" i="12" s="1"/>
  <c r="AU249" i="12"/>
  <c r="AV249" i="12" s="1"/>
  <c r="AU250" i="12"/>
  <c r="AY250" i="12" s="1"/>
  <c r="AU251" i="12"/>
  <c r="AU252" i="12"/>
  <c r="AY252" i="12" s="1"/>
  <c r="AU253" i="12"/>
  <c r="AU254" i="12"/>
  <c r="AU255" i="12"/>
  <c r="AU256" i="12"/>
  <c r="AY256" i="12" s="1"/>
  <c r="AU257" i="12"/>
  <c r="AV257" i="12" s="1"/>
  <c r="AU258" i="12"/>
  <c r="AY258" i="12" s="1"/>
  <c r="AU259" i="12"/>
  <c r="AU260" i="12"/>
  <c r="AY260" i="12" s="1"/>
  <c r="AU261" i="12"/>
  <c r="AU262" i="12"/>
  <c r="AU263" i="12"/>
  <c r="AU264" i="12"/>
  <c r="AY264" i="12" s="1"/>
  <c r="AU265" i="12"/>
  <c r="AV265" i="12" s="1"/>
  <c r="AU266" i="12"/>
  <c r="AY266" i="12" s="1"/>
  <c r="AU267" i="12"/>
  <c r="AU268" i="12"/>
  <c r="AY268" i="12" s="1"/>
  <c r="AU269" i="12"/>
  <c r="AU270" i="12"/>
  <c r="AU271" i="12"/>
  <c r="AV271" i="12" s="1"/>
  <c r="AU272" i="12"/>
  <c r="AY272" i="12" s="1"/>
  <c r="AU273" i="12"/>
  <c r="AV273" i="12" s="1"/>
  <c r="AU274" i="12"/>
  <c r="AY274" i="12" s="1"/>
  <c r="AU275" i="12"/>
  <c r="AU276" i="12"/>
  <c r="AY276" i="12" s="1"/>
  <c r="AU277" i="12"/>
  <c r="AU278" i="12"/>
  <c r="AU279" i="12"/>
  <c r="AU280" i="12"/>
  <c r="AY280" i="12" s="1"/>
  <c r="AU281" i="12"/>
  <c r="AV281" i="12" s="1"/>
  <c r="AU282" i="12"/>
  <c r="AY282" i="12" s="1"/>
  <c r="AU283" i="12"/>
  <c r="AY283" i="12" s="1"/>
  <c r="AU284" i="12"/>
  <c r="AY284" i="12" s="1"/>
  <c r="AU285" i="12"/>
  <c r="AU286" i="12"/>
  <c r="AU287" i="12"/>
  <c r="AU288" i="12"/>
  <c r="AY288" i="12" s="1"/>
  <c r="AU289" i="12"/>
  <c r="AY289" i="12" s="1"/>
  <c r="AU290" i="12"/>
  <c r="AY290" i="12" s="1"/>
  <c r="AU291" i="12"/>
  <c r="AY291" i="12" s="1"/>
  <c r="AU292" i="12"/>
  <c r="AY292" i="12" s="1"/>
  <c r="AU293" i="12"/>
  <c r="AY293" i="12" s="1"/>
  <c r="AU294" i="12"/>
  <c r="AU295" i="12"/>
  <c r="AU296" i="12"/>
  <c r="AY296" i="12" s="1"/>
  <c r="AU297" i="12"/>
  <c r="AV297" i="12" s="1"/>
  <c r="AU298" i="12"/>
  <c r="AY298" i="12" s="1"/>
  <c r="AU299" i="12"/>
  <c r="AY299" i="12" s="1"/>
  <c r="AU300" i="12"/>
  <c r="AY300" i="12" s="1"/>
  <c r="AU301" i="12"/>
  <c r="AY301" i="12" s="1"/>
  <c r="AU302" i="12"/>
  <c r="AU303" i="12"/>
  <c r="AV303" i="12" s="1"/>
  <c r="AU304" i="12"/>
  <c r="AY304" i="12" s="1"/>
  <c r="AU305" i="12"/>
  <c r="AV305" i="12" s="1"/>
  <c r="AU306" i="12"/>
  <c r="AY306" i="12" s="1"/>
  <c r="AU307" i="12"/>
  <c r="AY307" i="12" s="1"/>
  <c r="AU308" i="12"/>
  <c r="AY308" i="12" s="1"/>
  <c r="AU309" i="12"/>
  <c r="AY309" i="12" s="1"/>
  <c r="AU310" i="12"/>
  <c r="AU311" i="12"/>
  <c r="AU312" i="12"/>
  <c r="AY312" i="12" s="1"/>
  <c r="AU313" i="12"/>
  <c r="AY313" i="12" s="1"/>
  <c r="AU314" i="12"/>
  <c r="AY314" i="12" s="1"/>
  <c r="AU315" i="12"/>
  <c r="AY315" i="12" s="1"/>
  <c r="AU316" i="12"/>
  <c r="AY316" i="12" s="1"/>
  <c r="AU317" i="12"/>
  <c r="AY317" i="12" s="1"/>
  <c r="AU318" i="12"/>
  <c r="AU319" i="12"/>
  <c r="AU320" i="12"/>
  <c r="AY320" i="12" s="1"/>
  <c r="AU321" i="12"/>
  <c r="AY321" i="12" s="1"/>
  <c r="AU322" i="12"/>
  <c r="AY322" i="12" s="1"/>
  <c r="AU323" i="12"/>
  <c r="AY323" i="12" s="1"/>
  <c r="AU324" i="12"/>
  <c r="AY324" i="12" s="1"/>
  <c r="AU325" i="12"/>
  <c r="AY325" i="12" s="1"/>
  <c r="AU326" i="12"/>
  <c r="AU327" i="12"/>
  <c r="AU328" i="12"/>
  <c r="AY328" i="12" s="1"/>
  <c r="AU329" i="12"/>
  <c r="AV329" i="12" s="1"/>
  <c r="AU330" i="12"/>
  <c r="AY330" i="12" s="1"/>
  <c r="AU331" i="12"/>
  <c r="AY331" i="12" s="1"/>
  <c r="AU332" i="12"/>
  <c r="AY332" i="12" s="1"/>
  <c r="AU333" i="12"/>
  <c r="AY333" i="12" s="1"/>
  <c r="AU334" i="12"/>
  <c r="AU335" i="12"/>
  <c r="AV335" i="12" s="1"/>
  <c r="AU336" i="12"/>
  <c r="AY336" i="12" s="1"/>
  <c r="AU337" i="12"/>
  <c r="AV337" i="12" s="1"/>
  <c r="AU338" i="12"/>
  <c r="AY338" i="12" s="1"/>
  <c r="AU339" i="12"/>
  <c r="AY339" i="12" s="1"/>
  <c r="AU340" i="12"/>
  <c r="AY340" i="12" s="1"/>
  <c r="AU341" i="12"/>
  <c r="AY341" i="12" s="1"/>
  <c r="AU342" i="12"/>
  <c r="AU343" i="12"/>
  <c r="AU344" i="12"/>
  <c r="AY344" i="12" s="1"/>
  <c r="AU345" i="12"/>
  <c r="AY345" i="12" s="1"/>
  <c r="AU346" i="12"/>
  <c r="AY346" i="12" s="1"/>
  <c r="AU347" i="12"/>
  <c r="AY347" i="12" s="1"/>
  <c r="AU348" i="12"/>
  <c r="AY348" i="12" s="1"/>
  <c r="AU349" i="12"/>
  <c r="AY349" i="12" s="1"/>
  <c r="AU350" i="12"/>
  <c r="AU351" i="12"/>
  <c r="AU352" i="12"/>
  <c r="AY352" i="12" s="1"/>
  <c r="AU353" i="12"/>
  <c r="AV353" i="12" s="1"/>
  <c r="AU354" i="12"/>
  <c r="AY354" i="12" s="1"/>
  <c r="AU355" i="12"/>
  <c r="AV355" i="12" s="1"/>
  <c r="AU356" i="12"/>
  <c r="AY356" i="12" s="1"/>
  <c r="AU357" i="12"/>
  <c r="AY357" i="12" s="1"/>
  <c r="AU358" i="12"/>
  <c r="AU359" i="12"/>
  <c r="AU360" i="12"/>
  <c r="AY360" i="12" s="1"/>
  <c r="AU361" i="12"/>
  <c r="AY361" i="12" s="1"/>
  <c r="AU362" i="12"/>
  <c r="AY362" i="12" s="1"/>
  <c r="AU363" i="12"/>
  <c r="AY363" i="12" s="1"/>
  <c r="AU364" i="12"/>
  <c r="AY364" i="12" s="1"/>
  <c r="AU365" i="12"/>
  <c r="AY365" i="12" s="1"/>
  <c r="AU366" i="12"/>
  <c r="AU367" i="12"/>
  <c r="AU368" i="12"/>
  <c r="AY368" i="12" s="1"/>
  <c r="AU369" i="12"/>
  <c r="AY369" i="12" s="1"/>
  <c r="AU370" i="12"/>
  <c r="AY370" i="12" s="1"/>
  <c r="AU371" i="12"/>
  <c r="AY371" i="12" s="1"/>
  <c r="AU372" i="12"/>
  <c r="AY372" i="12" s="1"/>
  <c r="AU373" i="12"/>
  <c r="AY373" i="12" s="1"/>
  <c r="AU374" i="12"/>
  <c r="AU375" i="12"/>
  <c r="AU376" i="12"/>
  <c r="AY376" i="12" s="1"/>
  <c r="AU377" i="12"/>
  <c r="AV377" i="12" s="1"/>
  <c r="AU378" i="12"/>
  <c r="AY378" i="12" s="1"/>
  <c r="AU379" i="12"/>
  <c r="AV379" i="12" s="1"/>
  <c r="AU380" i="12"/>
  <c r="AY380" i="12" s="1"/>
  <c r="AU381" i="12"/>
  <c r="AY381" i="12" s="1"/>
  <c r="AU382" i="12"/>
  <c r="AU383" i="12"/>
  <c r="AU384" i="12"/>
  <c r="AY384" i="12" s="1"/>
  <c r="AU385" i="12"/>
  <c r="AY385" i="12" s="1"/>
  <c r="AU386" i="12"/>
  <c r="AY386" i="12" s="1"/>
  <c r="AU387" i="12"/>
  <c r="AY387" i="12" s="1"/>
  <c r="AU388" i="12"/>
  <c r="AY388" i="12" s="1"/>
  <c r="AU389" i="12"/>
  <c r="AY389" i="12" s="1"/>
  <c r="AU390" i="12"/>
  <c r="AU391" i="12"/>
  <c r="AU392" i="12"/>
  <c r="AY392" i="12" s="1"/>
  <c r="AU393" i="12"/>
  <c r="AV393" i="12" s="1"/>
  <c r="AU394" i="12"/>
  <c r="AY394" i="12" s="1"/>
  <c r="AU395" i="12"/>
  <c r="AY395" i="12" s="1"/>
  <c r="AU396" i="12"/>
  <c r="AY396" i="12" s="1"/>
  <c r="AU397" i="12"/>
  <c r="AY397" i="12" s="1"/>
  <c r="AU398" i="12"/>
  <c r="AU399" i="12"/>
  <c r="AV399" i="12" s="1"/>
  <c r="AU400" i="12"/>
  <c r="AY400" i="12" s="1"/>
  <c r="AU401" i="12"/>
  <c r="AV401" i="12" s="1"/>
  <c r="AU402" i="12"/>
  <c r="AY402" i="12" s="1"/>
  <c r="AU403" i="12"/>
  <c r="AY403" i="12" s="1"/>
  <c r="AU404" i="12"/>
  <c r="AY404" i="12" s="1"/>
  <c r="AU3" i="12"/>
  <c r="AU4" i="12"/>
  <c r="AU5" i="12"/>
  <c r="AU6" i="12"/>
  <c r="AU7" i="12"/>
  <c r="AU8" i="12"/>
  <c r="AU9" i="12"/>
  <c r="AU10" i="12"/>
  <c r="AU11" i="12"/>
  <c r="AU12" i="12"/>
  <c r="AU13" i="12"/>
  <c r="AU14" i="12"/>
  <c r="AU15" i="12"/>
  <c r="AU16" i="12"/>
  <c r="AU17" i="12"/>
  <c r="AU18" i="12"/>
  <c r="AU19" i="12"/>
  <c r="AU20" i="12"/>
  <c r="AU21" i="12"/>
  <c r="AU22" i="12"/>
  <c r="AU23" i="12"/>
  <c r="AU24" i="12"/>
  <c r="AU25" i="12"/>
  <c r="AU26" i="12"/>
  <c r="AU27" i="12"/>
  <c r="AU28" i="12"/>
  <c r="AU29" i="12"/>
  <c r="AU30" i="12"/>
  <c r="AU31" i="12"/>
  <c r="AU32" i="12"/>
  <c r="AU33" i="12"/>
  <c r="AU34" i="12"/>
  <c r="AU35" i="12"/>
  <c r="AU36" i="12"/>
  <c r="AU37" i="12"/>
  <c r="AU38" i="12"/>
  <c r="AU39" i="12"/>
  <c r="AU40" i="12"/>
  <c r="AU41" i="12"/>
  <c r="AU42" i="12"/>
  <c r="AU43" i="12"/>
  <c r="AU44" i="12"/>
  <c r="AU45" i="12"/>
  <c r="AU46" i="12"/>
  <c r="AU47" i="12"/>
  <c r="AU48" i="12"/>
  <c r="AU49" i="12"/>
  <c r="AU50" i="12"/>
  <c r="AU51" i="12"/>
  <c r="AU52" i="12"/>
  <c r="AU53" i="12"/>
  <c r="AU54" i="12"/>
  <c r="AU55" i="12"/>
  <c r="AU56" i="12"/>
  <c r="AU57" i="12"/>
  <c r="AU58" i="12"/>
  <c r="AU59" i="12"/>
  <c r="AU60" i="12"/>
  <c r="AU61" i="12"/>
  <c r="AU62" i="12"/>
  <c r="AU63" i="12"/>
  <c r="AU64" i="12"/>
  <c r="AU65" i="12"/>
  <c r="AU66" i="12"/>
  <c r="AU67" i="12"/>
  <c r="AU68" i="12"/>
  <c r="AU69" i="12"/>
  <c r="AU70" i="12"/>
  <c r="AU71" i="12"/>
  <c r="AU72" i="12"/>
  <c r="AU73" i="12"/>
  <c r="AU74" i="12"/>
  <c r="AU75" i="12"/>
  <c r="AU76" i="12"/>
  <c r="AU77" i="12"/>
  <c r="AU78" i="12"/>
  <c r="AU79" i="12"/>
  <c r="AU80" i="12"/>
  <c r="AU81" i="12"/>
  <c r="AU82" i="12"/>
  <c r="AU83" i="12"/>
  <c r="AU84" i="12"/>
  <c r="AU85" i="12"/>
  <c r="AU86" i="12"/>
  <c r="AU87" i="12"/>
  <c r="AU88" i="12"/>
  <c r="AU89" i="12"/>
  <c r="AU90" i="12"/>
  <c r="AU91" i="12"/>
  <c r="AU92" i="12"/>
  <c r="AU93" i="12"/>
  <c r="AU94" i="12"/>
  <c r="AU95" i="12"/>
  <c r="AU96" i="12"/>
  <c r="AU97" i="12"/>
  <c r="AU98" i="12"/>
  <c r="AU99" i="12"/>
  <c r="AU100" i="12"/>
  <c r="AU101" i="12"/>
  <c r="AU102" i="12"/>
  <c r="AU103" i="12"/>
  <c r="AU104" i="12"/>
  <c r="AU105" i="12"/>
  <c r="AU106" i="12"/>
  <c r="AU107" i="12"/>
  <c r="AU108" i="12"/>
  <c r="AU109" i="12"/>
  <c r="AU110" i="12"/>
  <c r="AU111" i="12"/>
  <c r="AU112" i="12"/>
  <c r="AU113" i="12"/>
  <c r="AU114" i="12"/>
  <c r="AU115" i="12"/>
  <c r="AU116" i="12"/>
  <c r="AU117" i="12"/>
  <c r="AU118" i="12"/>
  <c r="AU119" i="12"/>
  <c r="AU120" i="12"/>
  <c r="AU121" i="12"/>
  <c r="AU122" i="12"/>
  <c r="AU123" i="12"/>
  <c r="AU124" i="12"/>
  <c r="AU125" i="12"/>
  <c r="AU126" i="12"/>
  <c r="AU127" i="12"/>
  <c r="AU128" i="12"/>
  <c r="AU129" i="12"/>
  <c r="AU130" i="12"/>
  <c r="AU131" i="12"/>
  <c r="AU132" i="12"/>
  <c r="AU133" i="12"/>
  <c r="AU134" i="12"/>
  <c r="AU135" i="12"/>
  <c r="AU136" i="12"/>
  <c r="AU137" i="12"/>
  <c r="AU138" i="12"/>
  <c r="AU139" i="12"/>
  <c r="AU140" i="12"/>
  <c r="AU141" i="12"/>
  <c r="AU142" i="12"/>
  <c r="AU143" i="12"/>
  <c r="AU144" i="12"/>
  <c r="AU145" i="12"/>
  <c r="AU146" i="12"/>
  <c r="AU147" i="12"/>
  <c r="AU148" i="12"/>
  <c r="AU149" i="12"/>
  <c r="AU150" i="12"/>
  <c r="AU151" i="12"/>
  <c r="AU152" i="12"/>
  <c r="AU153" i="12"/>
  <c r="AU154" i="12"/>
  <c r="AU155" i="12"/>
  <c r="AU156" i="12"/>
  <c r="AU157" i="12"/>
  <c r="AU158" i="12"/>
  <c r="AU159" i="12"/>
  <c r="AU160" i="12"/>
  <c r="AU161" i="12"/>
  <c r="AU162" i="12"/>
  <c r="AU163" i="12"/>
  <c r="AU164" i="12"/>
  <c r="AU165" i="12"/>
  <c r="AU166" i="12"/>
  <c r="AU167" i="12"/>
  <c r="AU168" i="12"/>
  <c r="AU169" i="12"/>
  <c r="AU170" i="12"/>
  <c r="AU171" i="12"/>
  <c r="AU172" i="12"/>
  <c r="AU173" i="12"/>
  <c r="AU174" i="12"/>
  <c r="AU175" i="12"/>
  <c r="AU176" i="12"/>
  <c r="AU177" i="12"/>
  <c r="AU178" i="12"/>
  <c r="AU179" i="12"/>
  <c r="AU180" i="12"/>
  <c r="AU181" i="12"/>
  <c r="AU182" i="12"/>
  <c r="AU183" i="12"/>
  <c r="AU184" i="12"/>
  <c r="AU185" i="12"/>
  <c r="AU186" i="12"/>
  <c r="AU187" i="12"/>
  <c r="AU188" i="12"/>
  <c r="AU189" i="12"/>
  <c r="AU190" i="12"/>
  <c r="AU191" i="12"/>
  <c r="AU2" i="12"/>
  <c r="AS192" i="12"/>
  <c r="AS193" i="12"/>
  <c r="AS194" i="12"/>
  <c r="AS195" i="12"/>
  <c r="AS196" i="12"/>
  <c r="AS197" i="12"/>
  <c r="AS198" i="12"/>
  <c r="AS199" i="12"/>
  <c r="AS200" i="12"/>
  <c r="AS201" i="12"/>
  <c r="AS202" i="12"/>
  <c r="AS203" i="12"/>
  <c r="AS204" i="12"/>
  <c r="AS205" i="12"/>
  <c r="AS206" i="12"/>
  <c r="AS207" i="12"/>
  <c r="AS208" i="12"/>
  <c r="AS209" i="12"/>
  <c r="AS210" i="12"/>
  <c r="AS211" i="12"/>
  <c r="AS212" i="12"/>
  <c r="AS213" i="12"/>
  <c r="AS214" i="12"/>
  <c r="AS215" i="12"/>
  <c r="AS216" i="12"/>
  <c r="AS217" i="12"/>
  <c r="AS218" i="12"/>
  <c r="AS219" i="12"/>
  <c r="AS220" i="12"/>
  <c r="AS221" i="12"/>
  <c r="AS222" i="12"/>
  <c r="AS223" i="12"/>
  <c r="AS224" i="12"/>
  <c r="AS225" i="12"/>
  <c r="AS226" i="12"/>
  <c r="AS227" i="12"/>
  <c r="AS228" i="12"/>
  <c r="AS229" i="12"/>
  <c r="AS230" i="12"/>
  <c r="AS231" i="12"/>
  <c r="AS232" i="12"/>
  <c r="AS233" i="12"/>
  <c r="AS234" i="12"/>
  <c r="AS235" i="12"/>
  <c r="AS236" i="12"/>
  <c r="AS237" i="12"/>
  <c r="AS238" i="12"/>
  <c r="AS239" i="12"/>
  <c r="AS240" i="12"/>
  <c r="AS241" i="12"/>
  <c r="AS242" i="12"/>
  <c r="AS243" i="12"/>
  <c r="AS244" i="12"/>
  <c r="AS245" i="12"/>
  <c r="AS246" i="12"/>
  <c r="AS247" i="12"/>
  <c r="AS248" i="12"/>
  <c r="AS249" i="12"/>
  <c r="AS250" i="12"/>
  <c r="AS251" i="12"/>
  <c r="AS252" i="12"/>
  <c r="AS253" i="12"/>
  <c r="AS254" i="12"/>
  <c r="AS255" i="12"/>
  <c r="AS256" i="12"/>
  <c r="AS257" i="12"/>
  <c r="AS258" i="12"/>
  <c r="AS259" i="12"/>
  <c r="AS260" i="12"/>
  <c r="AS261" i="12"/>
  <c r="AS262" i="12"/>
  <c r="AS263" i="12"/>
  <c r="AS264" i="12"/>
  <c r="AS265" i="12"/>
  <c r="AS266" i="12"/>
  <c r="AS267" i="12"/>
  <c r="AS268" i="12"/>
  <c r="AS269" i="12"/>
  <c r="AS270" i="12"/>
  <c r="AS271" i="12"/>
  <c r="AS272" i="12"/>
  <c r="AS273" i="12"/>
  <c r="AS274" i="12"/>
  <c r="AS275" i="12"/>
  <c r="AS276" i="12"/>
  <c r="AS277" i="12"/>
  <c r="AS278" i="12"/>
  <c r="AS279" i="12"/>
  <c r="AS280" i="12"/>
  <c r="AS281" i="12"/>
  <c r="AS282" i="12"/>
  <c r="AS283" i="12"/>
  <c r="AS284" i="12"/>
  <c r="AS285" i="12"/>
  <c r="AS286" i="12"/>
  <c r="AS287" i="12"/>
  <c r="AS288" i="12"/>
  <c r="AS289" i="12"/>
  <c r="AS290" i="12"/>
  <c r="AS291" i="12"/>
  <c r="AS292" i="12"/>
  <c r="AS293" i="12"/>
  <c r="AS294" i="12"/>
  <c r="AS295" i="12"/>
  <c r="AS296" i="12"/>
  <c r="AS297" i="12"/>
  <c r="AS298" i="12"/>
  <c r="AS299" i="12"/>
  <c r="AS300" i="12"/>
  <c r="AS301" i="12"/>
  <c r="AS302" i="12"/>
  <c r="AS303" i="12"/>
  <c r="AS304" i="12"/>
  <c r="AS305" i="12"/>
  <c r="AS306" i="12"/>
  <c r="AS307" i="12"/>
  <c r="AS308" i="12"/>
  <c r="AS309" i="12"/>
  <c r="AS310" i="12"/>
  <c r="AS311" i="12"/>
  <c r="AS312" i="12"/>
  <c r="AS313" i="12"/>
  <c r="AS314" i="12"/>
  <c r="AS315" i="12"/>
  <c r="AS316" i="12"/>
  <c r="AS317" i="12"/>
  <c r="AS318" i="12"/>
  <c r="AS319" i="12"/>
  <c r="AS320" i="12"/>
  <c r="AS321" i="12"/>
  <c r="AS322" i="12"/>
  <c r="AS323" i="12"/>
  <c r="AS324" i="12"/>
  <c r="AS325" i="12"/>
  <c r="AS326" i="12"/>
  <c r="AS327" i="12"/>
  <c r="AS328" i="12"/>
  <c r="AS329" i="12"/>
  <c r="AS330" i="12"/>
  <c r="AS331" i="12"/>
  <c r="AS332" i="12"/>
  <c r="AS333" i="12"/>
  <c r="AS334" i="12"/>
  <c r="AS335" i="12"/>
  <c r="AS336" i="12"/>
  <c r="AS337" i="12"/>
  <c r="AS338" i="12"/>
  <c r="AS339" i="12"/>
  <c r="AS340" i="12"/>
  <c r="AS341" i="12"/>
  <c r="AS342" i="12"/>
  <c r="AS343" i="12"/>
  <c r="AS344" i="12"/>
  <c r="AS345" i="12"/>
  <c r="AS346" i="12"/>
  <c r="AS347" i="12"/>
  <c r="AS348" i="12"/>
  <c r="AS349" i="12"/>
  <c r="AS350" i="12"/>
  <c r="AS351" i="12"/>
  <c r="AS352" i="12"/>
  <c r="AS353" i="12"/>
  <c r="AS354" i="12"/>
  <c r="AS355" i="12"/>
  <c r="AS356" i="12"/>
  <c r="AS357" i="12"/>
  <c r="AS358" i="12"/>
  <c r="AS359" i="12"/>
  <c r="AS360" i="12"/>
  <c r="AS361" i="12"/>
  <c r="AS362" i="12"/>
  <c r="AS363" i="12"/>
  <c r="AS364" i="12"/>
  <c r="AS365" i="12"/>
  <c r="AS366" i="12"/>
  <c r="AS367" i="12"/>
  <c r="AS368" i="12"/>
  <c r="AS369" i="12"/>
  <c r="AS370" i="12"/>
  <c r="AS371" i="12"/>
  <c r="AS372" i="12"/>
  <c r="AS373" i="12"/>
  <c r="AS374" i="12"/>
  <c r="AS375" i="12"/>
  <c r="AS376" i="12"/>
  <c r="AS377" i="12"/>
  <c r="AS378" i="12"/>
  <c r="AS379" i="12"/>
  <c r="AS380" i="12"/>
  <c r="AS381" i="12"/>
  <c r="AS382" i="12"/>
  <c r="AS383" i="12"/>
  <c r="AS384" i="12"/>
  <c r="AS385" i="12"/>
  <c r="AS386" i="12"/>
  <c r="AS387" i="12"/>
  <c r="AS388" i="12"/>
  <c r="AS389" i="12"/>
  <c r="AS390" i="12"/>
  <c r="AS391" i="12"/>
  <c r="AS392" i="12"/>
  <c r="AS393" i="12"/>
  <c r="AS394" i="12"/>
  <c r="AS395" i="12"/>
  <c r="AS396" i="12"/>
  <c r="AS397" i="12"/>
  <c r="AS398" i="12"/>
  <c r="AS399" i="12"/>
  <c r="AS400" i="12"/>
  <c r="AS401" i="12"/>
  <c r="AS402" i="12"/>
  <c r="AS403" i="12"/>
  <c r="AS404" i="12"/>
  <c r="AR192" i="12"/>
  <c r="AR193" i="12"/>
  <c r="AR194" i="12"/>
  <c r="AR195" i="12"/>
  <c r="AR196" i="12"/>
  <c r="AR197" i="12"/>
  <c r="AR198" i="12"/>
  <c r="AR199" i="12"/>
  <c r="AR200" i="12"/>
  <c r="AR201" i="12"/>
  <c r="AR202" i="12"/>
  <c r="AR203" i="12"/>
  <c r="AR204" i="12"/>
  <c r="AR205" i="12"/>
  <c r="AR206" i="12"/>
  <c r="AR207" i="12"/>
  <c r="AR208" i="12"/>
  <c r="AR209" i="12"/>
  <c r="AR210" i="12"/>
  <c r="AR211" i="12"/>
  <c r="AR212" i="12"/>
  <c r="AR213" i="12"/>
  <c r="AR214" i="12"/>
  <c r="AR215" i="12"/>
  <c r="AR216" i="12"/>
  <c r="AR217" i="12"/>
  <c r="AR218" i="12"/>
  <c r="AR219" i="12"/>
  <c r="AR220" i="12"/>
  <c r="AR221" i="12"/>
  <c r="AR222" i="12"/>
  <c r="AR223" i="12"/>
  <c r="AR224" i="12"/>
  <c r="AR225" i="12"/>
  <c r="AR226" i="12"/>
  <c r="AR227" i="12"/>
  <c r="AR228" i="12"/>
  <c r="AR229" i="12"/>
  <c r="AR230" i="12"/>
  <c r="AR231" i="12"/>
  <c r="AR232" i="12"/>
  <c r="AR233" i="12"/>
  <c r="AR234" i="12"/>
  <c r="AR235" i="12"/>
  <c r="AR236" i="12"/>
  <c r="AR237" i="12"/>
  <c r="AR238" i="12"/>
  <c r="AR239" i="12"/>
  <c r="AR240" i="12"/>
  <c r="AR241" i="12"/>
  <c r="AR242" i="12"/>
  <c r="AR243" i="12"/>
  <c r="AR244" i="12"/>
  <c r="AR245" i="12"/>
  <c r="AR246" i="12"/>
  <c r="AR247" i="12"/>
  <c r="AR248" i="12"/>
  <c r="AR249" i="12"/>
  <c r="AR250" i="12"/>
  <c r="AR251" i="12"/>
  <c r="AR252" i="12"/>
  <c r="AR253" i="12"/>
  <c r="AR254" i="12"/>
  <c r="AR255" i="12"/>
  <c r="AR256" i="12"/>
  <c r="AR257" i="12"/>
  <c r="AR258" i="12"/>
  <c r="AR259" i="12"/>
  <c r="AR260" i="12"/>
  <c r="AR261" i="12"/>
  <c r="AR262" i="12"/>
  <c r="AR263" i="12"/>
  <c r="AR264" i="12"/>
  <c r="AR265" i="12"/>
  <c r="AR266" i="12"/>
  <c r="AR267" i="12"/>
  <c r="AR268" i="12"/>
  <c r="AR269" i="12"/>
  <c r="AR270" i="12"/>
  <c r="AR271" i="12"/>
  <c r="AR272" i="12"/>
  <c r="AR273" i="12"/>
  <c r="AR274" i="12"/>
  <c r="AR275" i="12"/>
  <c r="AR276" i="12"/>
  <c r="AR277" i="12"/>
  <c r="AR278" i="12"/>
  <c r="AR279" i="12"/>
  <c r="AR280" i="12"/>
  <c r="AR281" i="12"/>
  <c r="AR282" i="12"/>
  <c r="AR283" i="12"/>
  <c r="AR284" i="12"/>
  <c r="AR285" i="12"/>
  <c r="AR286" i="12"/>
  <c r="AR287" i="12"/>
  <c r="AR288" i="12"/>
  <c r="AR289" i="12"/>
  <c r="AR290" i="12"/>
  <c r="AR291" i="12"/>
  <c r="AR292" i="12"/>
  <c r="AR293" i="12"/>
  <c r="AR294" i="12"/>
  <c r="AR295" i="12"/>
  <c r="AR296" i="12"/>
  <c r="AR297" i="12"/>
  <c r="AR298" i="12"/>
  <c r="AR299" i="12"/>
  <c r="AR300" i="12"/>
  <c r="AR301" i="12"/>
  <c r="AR302" i="12"/>
  <c r="AR303" i="12"/>
  <c r="AR304" i="12"/>
  <c r="AR305" i="12"/>
  <c r="AR306" i="12"/>
  <c r="AR307" i="12"/>
  <c r="AR308" i="12"/>
  <c r="AR309" i="12"/>
  <c r="AR310" i="12"/>
  <c r="AR311" i="12"/>
  <c r="AR312" i="12"/>
  <c r="AR313" i="12"/>
  <c r="AR314" i="12"/>
  <c r="AR315" i="12"/>
  <c r="AR316" i="12"/>
  <c r="AR317" i="12"/>
  <c r="AR318" i="12"/>
  <c r="AR319" i="12"/>
  <c r="AR320" i="12"/>
  <c r="AR321" i="12"/>
  <c r="AR322" i="12"/>
  <c r="AR323" i="12"/>
  <c r="AR324" i="12"/>
  <c r="AR325" i="12"/>
  <c r="AR326" i="12"/>
  <c r="AR327" i="12"/>
  <c r="AR328" i="12"/>
  <c r="AR329" i="12"/>
  <c r="AR330" i="12"/>
  <c r="AR331" i="12"/>
  <c r="AR332" i="12"/>
  <c r="AR333" i="12"/>
  <c r="AR334" i="12"/>
  <c r="AR335" i="12"/>
  <c r="AR336" i="12"/>
  <c r="AR337" i="12"/>
  <c r="AR338" i="12"/>
  <c r="AR339" i="12"/>
  <c r="AR340" i="12"/>
  <c r="AR341" i="12"/>
  <c r="AR342" i="12"/>
  <c r="AR343" i="12"/>
  <c r="AR344" i="12"/>
  <c r="AR345" i="12"/>
  <c r="AR346" i="12"/>
  <c r="AR347" i="12"/>
  <c r="AR348" i="12"/>
  <c r="AR349" i="12"/>
  <c r="AR350" i="12"/>
  <c r="AR351" i="12"/>
  <c r="AR352" i="12"/>
  <c r="AR353" i="12"/>
  <c r="AR354" i="12"/>
  <c r="AR355" i="12"/>
  <c r="AR356" i="12"/>
  <c r="AR357" i="12"/>
  <c r="AR358" i="12"/>
  <c r="AR359" i="12"/>
  <c r="AR360" i="12"/>
  <c r="AR361" i="12"/>
  <c r="AR362" i="12"/>
  <c r="AR363" i="12"/>
  <c r="AR364" i="12"/>
  <c r="AR365" i="12"/>
  <c r="AR366" i="12"/>
  <c r="AR367" i="12"/>
  <c r="AR368" i="12"/>
  <c r="AR369" i="12"/>
  <c r="AR370" i="12"/>
  <c r="AR371" i="12"/>
  <c r="AR372" i="12"/>
  <c r="AR373" i="12"/>
  <c r="AR374" i="12"/>
  <c r="AR375" i="12"/>
  <c r="AR376" i="12"/>
  <c r="AR377" i="12"/>
  <c r="AR378" i="12"/>
  <c r="AR379" i="12"/>
  <c r="AR380" i="12"/>
  <c r="AR381" i="12"/>
  <c r="AR382" i="12"/>
  <c r="AR383" i="12"/>
  <c r="AR384" i="12"/>
  <c r="AR385" i="12"/>
  <c r="AR386" i="12"/>
  <c r="AR387" i="12"/>
  <c r="AR388" i="12"/>
  <c r="AR389" i="12"/>
  <c r="AR390" i="12"/>
  <c r="AR391" i="12"/>
  <c r="AR392" i="12"/>
  <c r="AR393" i="12"/>
  <c r="AR394" i="12"/>
  <c r="AR395" i="12"/>
  <c r="AR396" i="12"/>
  <c r="AR397" i="12"/>
  <c r="AR398" i="12"/>
  <c r="AR399" i="12"/>
  <c r="AR400" i="12"/>
  <c r="AR401" i="12"/>
  <c r="AR402" i="12"/>
  <c r="AR403" i="12"/>
  <c r="AR404" i="12"/>
  <c r="AP192" i="12"/>
  <c r="AP193" i="12"/>
  <c r="AT193" i="12" s="1"/>
  <c r="AP194" i="12"/>
  <c r="AP195" i="12"/>
  <c r="AT195" i="12" s="1"/>
  <c r="AP196" i="12"/>
  <c r="AP197" i="12"/>
  <c r="AT197" i="12" s="1"/>
  <c r="AP198" i="12"/>
  <c r="AP199" i="12"/>
  <c r="AT199" i="12" s="1"/>
  <c r="AP200" i="12"/>
  <c r="AP201" i="12"/>
  <c r="AT201" i="12" s="1"/>
  <c r="AP202" i="12"/>
  <c r="AP203" i="12"/>
  <c r="AT203" i="12" s="1"/>
  <c r="AP204" i="12"/>
  <c r="AP205" i="12"/>
  <c r="AT205" i="12" s="1"/>
  <c r="AP206" i="12"/>
  <c r="AP207" i="12"/>
  <c r="AT207" i="12" s="1"/>
  <c r="AP208" i="12"/>
  <c r="AP209" i="12"/>
  <c r="AT209" i="12" s="1"/>
  <c r="AP210" i="12"/>
  <c r="AP211" i="12"/>
  <c r="AT211" i="12" s="1"/>
  <c r="AP212" i="12"/>
  <c r="AP213" i="12"/>
  <c r="AT213" i="12" s="1"/>
  <c r="AP214" i="12"/>
  <c r="AP215" i="12"/>
  <c r="AT215" i="12" s="1"/>
  <c r="AP216" i="12"/>
  <c r="AP217" i="12"/>
  <c r="AT217" i="12" s="1"/>
  <c r="AP218" i="12"/>
  <c r="AP219" i="12"/>
  <c r="AT219" i="12" s="1"/>
  <c r="AP220" i="12"/>
  <c r="AQ220" i="12" s="1"/>
  <c r="AP221" i="12"/>
  <c r="AT221" i="12" s="1"/>
  <c r="AP222" i="12"/>
  <c r="AP223" i="12"/>
  <c r="AT223" i="12" s="1"/>
  <c r="AP224" i="12"/>
  <c r="AP225" i="12"/>
  <c r="AT225" i="12" s="1"/>
  <c r="AP226" i="12"/>
  <c r="AP227" i="12"/>
  <c r="AT227" i="12" s="1"/>
  <c r="AP228" i="12"/>
  <c r="AQ228" i="12" s="1"/>
  <c r="AP229" i="12"/>
  <c r="AT229" i="12" s="1"/>
  <c r="AP230" i="12"/>
  <c r="AP231" i="12"/>
  <c r="AT231" i="12" s="1"/>
  <c r="AP232" i="12"/>
  <c r="AP233" i="12"/>
  <c r="AT233" i="12" s="1"/>
  <c r="AP234" i="12"/>
  <c r="AP235" i="12"/>
  <c r="AT235" i="12" s="1"/>
  <c r="AP236" i="12"/>
  <c r="AP237" i="12"/>
  <c r="AT237" i="12" s="1"/>
  <c r="AP238" i="12"/>
  <c r="AP239" i="12"/>
  <c r="AT239" i="12" s="1"/>
  <c r="AP240" i="12"/>
  <c r="AP241" i="12"/>
  <c r="AT241" i="12" s="1"/>
  <c r="AP242" i="12"/>
  <c r="AP243" i="12"/>
  <c r="AT243" i="12" s="1"/>
  <c r="AP244" i="12"/>
  <c r="AQ244" i="12" s="1"/>
  <c r="AP245" i="12"/>
  <c r="AT245" i="12" s="1"/>
  <c r="AP246" i="12"/>
  <c r="AP247" i="12"/>
  <c r="AT247" i="12" s="1"/>
  <c r="AP248" i="12"/>
  <c r="AP249" i="12"/>
  <c r="AT249" i="12" s="1"/>
  <c r="AP250" i="12"/>
  <c r="AP251" i="12"/>
  <c r="AT251" i="12" s="1"/>
  <c r="AP252" i="12"/>
  <c r="AP253" i="12"/>
  <c r="AT253" i="12" s="1"/>
  <c r="AP254" i="12"/>
  <c r="AP255" i="12"/>
  <c r="AT255" i="12" s="1"/>
  <c r="AP256" i="12"/>
  <c r="AP257" i="12"/>
  <c r="AT257" i="12" s="1"/>
  <c r="AP258" i="12"/>
  <c r="AP259" i="12"/>
  <c r="AT259" i="12" s="1"/>
  <c r="AP260" i="12"/>
  <c r="AP261" i="12"/>
  <c r="AT261" i="12" s="1"/>
  <c r="AP262" i="12"/>
  <c r="AP263" i="12"/>
  <c r="AT263" i="12" s="1"/>
  <c r="AP264" i="12"/>
  <c r="AP265" i="12"/>
  <c r="AT265" i="12" s="1"/>
  <c r="AP266" i="12"/>
  <c r="AP267" i="12"/>
  <c r="AT267" i="12" s="1"/>
  <c r="AP268" i="12"/>
  <c r="AQ268" i="12" s="1"/>
  <c r="AP269" i="12"/>
  <c r="AT269" i="12" s="1"/>
  <c r="AP270" i="12"/>
  <c r="AP271" i="12"/>
  <c r="AT271" i="12" s="1"/>
  <c r="AP272" i="12"/>
  <c r="AP273" i="12"/>
  <c r="AT273" i="12" s="1"/>
  <c r="AP274" i="12"/>
  <c r="AP275" i="12"/>
  <c r="AT275" i="12" s="1"/>
  <c r="AP276" i="12"/>
  <c r="AP277" i="12"/>
  <c r="AT277" i="12" s="1"/>
  <c r="AP278" i="12"/>
  <c r="AP279" i="12"/>
  <c r="AT279" i="12" s="1"/>
  <c r="AP280" i="12"/>
  <c r="AP281" i="12"/>
  <c r="AT281" i="12" s="1"/>
  <c r="AP282" i="12"/>
  <c r="AP283" i="12"/>
  <c r="AT283" i="12" s="1"/>
  <c r="AP284" i="12"/>
  <c r="AQ284" i="12" s="1"/>
  <c r="AP285" i="12"/>
  <c r="AT285" i="12" s="1"/>
  <c r="AP286" i="12"/>
  <c r="AP287" i="12"/>
  <c r="AT287" i="12" s="1"/>
  <c r="AP288" i="12"/>
  <c r="AP289" i="12"/>
  <c r="AT289" i="12" s="1"/>
  <c r="AP290" i="12"/>
  <c r="AP291" i="12"/>
  <c r="AT291" i="12" s="1"/>
  <c r="AP292" i="12"/>
  <c r="AQ292" i="12" s="1"/>
  <c r="AP293" i="12"/>
  <c r="AT293" i="12" s="1"/>
  <c r="AP294" i="12"/>
  <c r="AP295" i="12"/>
  <c r="AT295" i="12" s="1"/>
  <c r="AP296" i="12"/>
  <c r="AP297" i="12"/>
  <c r="AT297" i="12" s="1"/>
  <c r="AP298" i="12"/>
  <c r="AP299" i="12"/>
  <c r="AT299" i="12" s="1"/>
  <c r="AP300" i="12"/>
  <c r="AQ300" i="12" s="1"/>
  <c r="AP301" i="12"/>
  <c r="AT301" i="12" s="1"/>
  <c r="AP302" i="12"/>
  <c r="AP303" i="12"/>
  <c r="AT303" i="12" s="1"/>
  <c r="AP304" i="12"/>
  <c r="AP305" i="12"/>
  <c r="AT305" i="12" s="1"/>
  <c r="AP306" i="12"/>
  <c r="AP307" i="12"/>
  <c r="AT307" i="12" s="1"/>
  <c r="AP308" i="12"/>
  <c r="AQ308" i="12" s="1"/>
  <c r="AP309" i="12"/>
  <c r="AT309" i="12" s="1"/>
  <c r="AP310" i="12"/>
  <c r="AP311" i="12"/>
  <c r="AT311" i="12" s="1"/>
  <c r="AP312" i="12"/>
  <c r="AP313" i="12"/>
  <c r="AT313" i="12" s="1"/>
  <c r="AP314" i="12"/>
  <c r="AP315" i="12"/>
  <c r="AT315" i="12" s="1"/>
  <c r="AP316" i="12"/>
  <c r="AP317" i="12"/>
  <c r="AT317" i="12" s="1"/>
  <c r="AP318" i="12"/>
  <c r="AP319" i="12"/>
  <c r="AT319" i="12" s="1"/>
  <c r="AP320" i="12"/>
  <c r="AP321" i="12"/>
  <c r="AT321" i="12" s="1"/>
  <c r="AP322" i="12"/>
  <c r="AP323" i="12"/>
  <c r="AT323" i="12" s="1"/>
  <c r="AP324" i="12"/>
  <c r="AP325" i="12"/>
  <c r="AT325" i="12" s="1"/>
  <c r="AP326" i="12"/>
  <c r="AP327" i="12"/>
  <c r="AT327" i="12" s="1"/>
  <c r="AP328" i="12"/>
  <c r="AP329" i="12"/>
  <c r="AT329" i="12" s="1"/>
  <c r="AP330" i="12"/>
  <c r="AP331" i="12"/>
  <c r="AT331" i="12" s="1"/>
  <c r="AP332" i="12"/>
  <c r="AQ332" i="12" s="1"/>
  <c r="AP333" i="12"/>
  <c r="AT333" i="12" s="1"/>
  <c r="AP334" i="12"/>
  <c r="AP335" i="12"/>
  <c r="AT335" i="12" s="1"/>
  <c r="AP336" i="12"/>
  <c r="AP337" i="12"/>
  <c r="AT337" i="12" s="1"/>
  <c r="AP338" i="12"/>
  <c r="AP339" i="12"/>
  <c r="AT339" i="12" s="1"/>
  <c r="AP340" i="12"/>
  <c r="AQ340" i="12" s="1"/>
  <c r="AP341" i="12"/>
  <c r="AT341" i="12" s="1"/>
  <c r="AP342" i="12"/>
  <c r="AP343" i="12"/>
  <c r="AT343" i="12" s="1"/>
  <c r="AP344" i="12"/>
  <c r="AP345" i="12"/>
  <c r="AT345" i="12" s="1"/>
  <c r="AP346" i="12"/>
  <c r="AP347" i="12"/>
  <c r="AT347" i="12" s="1"/>
  <c r="AP348" i="12"/>
  <c r="AQ348" i="12" s="1"/>
  <c r="AP349" i="12"/>
  <c r="AT349" i="12" s="1"/>
  <c r="AP350" i="12"/>
  <c r="AP351" i="12"/>
  <c r="AT351" i="12" s="1"/>
  <c r="AP352" i="12"/>
  <c r="AP353" i="12"/>
  <c r="AT353" i="12" s="1"/>
  <c r="AP354" i="12"/>
  <c r="AP355" i="12"/>
  <c r="AT355" i="12" s="1"/>
  <c r="AP356" i="12"/>
  <c r="AQ356" i="12" s="1"/>
  <c r="AP357" i="12"/>
  <c r="AT357" i="12" s="1"/>
  <c r="AP358" i="12"/>
  <c r="AP359" i="12"/>
  <c r="AT359" i="12" s="1"/>
  <c r="AP360" i="12"/>
  <c r="AP361" i="12"/>
  <c r="AT361" i="12" s="1"/>
  <c r="AP362" i="12"/>
  <c r="AP363" i="12"/>
  <c r="AT363" i="12" s="1"/>
  <c r="AP364" i="12"/>
  <c r="AQ364" i="12" s="1"/>
  <c r="AP365" i="12"/>
  <c r="AT365" i="12" s="1"/>
  <c r="AP366" i="12"/>
  <c r="AP367" i="12"/>
  <c r="AT367" i="12" s="1"/>
  <c r="AP368" i="12"/>
  <c r="AP369" i="12"/>
  <c r="AT369" i="12" s="1"/>
  <c r="AP370" i="12"/>
  <c r="AP371" i="12"/>
  <c r="AT371" i="12" s="1"/>
  <c r="AP372" i="12"/>
  <c r="AQ372" i="12" s="1"/>
  <c r="AP373" i="12"/>
  <c r="AT373" i="12" s="1"/>
  <c r="AP374" i="12"/>
  <c r="AP375" i="12"/>
  <c r="AT375" i="12" s="1"/>
  <c r="AP376" i="12"/>
  <c r="AP377" i="12"/>
  <c r="AT377" i="12" s="1"/>
  <c r="AP378" i="12"/>
  <c r="AP379" i="12"/>
  <c r="AT379" i="12" s="1"/>
  <c r="AP380" i="12"/>
  <c r="AQ380" i="12" s="1"/>
  <c r="AP381" i="12"/>
  <c r="AT381" i="12" s="1"/>
  <c r="AP382" i="12"/>
  <c r="AP383" i="12"/>
  <c r="AT383" i="12" s="1"/>
  <c r="AP384" i="12"/>
  <c r="AP385" i="12"/>
  <c r="AT385" i="12" s="1"/>
  <c r="AP386" i="12"/>
  <c r="AP387" i="12"/>
  <c r="AT387" i="12" s="1"/>
  <c r="AP388" i="12"/>
  <c r="AP389" i="12"/>
  <c r="AT389" i="12" s="1"/>
  <c r="AP390" i="12"/>
  <c r="AP391" i="12"/>
  <c r="AT391" i="12" s="1"/>
  <c r="AP392" i="12"/>
  <c r="AP393" i="12"/>
  <c r="AT393" i="12" s="1"/>
  <c r="AP394" i="12"/>
  <c r="AP395" i="12"/>
  <c r="AT395" i="12" s="1"/>
  <c r="AP396" i="12"/>
  <c r="AQ396" i="12" s="1"/>
  <c r="AP397" i="12"/>
  <c r="AT397" i="12" s="1"/>
  <c r="AP398" i="12"/>
  <c r="AP399" i="12"/>
  <c r="AT399" i="12" s="1"/>
  <c r="AP400" i="12"/>
  <c r="AP401" i="12"/>
  <c r="AT401" i="12" s="1"/>
  <c r="AP402" i="12"/>
  <c r="AP403" i="12"/>
  <c r="AT403" i="12" s="1"/>
  <c r="AP404" i="12"/>
  <c r="AQ404" i="12" s="1"/>
  <c r="AP3" i="12"/>
  <c r="AP4" i="12"/>
  <c r="AP5" i="12"/>
  <c r="AP6" i="12"/>
  <c r="AP7" i="12"/>
  <c r="AP8" i="12"/>
  <c r="AP9" i="12"/>
  <c r="AP10" i="12"/>
  <c r="AP11" i="12"/>
  <c r="AP12" i="12"/>
  <c r="AP13" i="12"/>
  <c r="AP14" i="12"/>
  <c r="AP15" i="12"/>
  <c r="AP16" i="12"/>
  <c r="AP17" i="12"/>
  <c r="AP18" i="12"/>
  <c r="AP19" i="12"/>
  <c r="AP20" i="12"/>
  <c r="AP21" i="12"/>
  <c r="AP22" i="12"/>
  <c r="AP23" i="12"/>
  <c r="AP24" i="12"/>
  <c r="AP25" i="12"/>
  <c r="AP26" i="12"/>
  <c r="AP27" i="12"/>
  <c r="AP28" i="12"/>
  <c r="AP29" i="12"/>
  <c r="AP30" i="12"/>
  <c r="AP31" i="12"/>
  <c r="AP32" i="12"/>
  <c r="AP33" i="12"/>
  <c r="AP34" i="12"/>
  <c r="AP35" i="12"/>
  <c r="AP36" i="12"/>
  <c r="AP37" i="12"/>
  <c r="AP38" i="12"/>
  <c r="AP39" i="12"/>
  <c r="AP40" i="12"/>
  <c r="AP41" i="12"/>
  <c r="AP42" i="12"/>
  <c r="AP43" i="12"/>
  <c r="AP44" i="12"/>
  <c r="AP45" i="12"/>
  <c r="AP46" i="12"/>
  <c r="AP47" i="12"/>
  <c r="AP48" i="12"/>
  <c r="AP49" i="12"/>
  <c r="AP50" i="12"/>
  <c r="AP51" i="12"/>
  <c r="AP52" i="12"/>
  <c r="AP53" i="12"/>
  <c r="AP54" i="12"/>
  <c r="AP55" i="12"/>
  <c r="AP56" i="12"/>
  <c r="AP57" i="12"/>
  <c r="AP58" i="12"/>
  <c r="AP59" i="12"/>
  <c r="AP60" i="12"/>
  <c r="AP61" i="12"/>
  <c r="AP62" i="12"/>
  <c r="AP63" i="12"/>
  <c r="AP64" i="12"/>
  <c r="AP65" i="12"/>
  <c r="AP66" i="12"/>
  <c r="AP67" i="12"/>
  <c r="AP68" i="12"/>
  <c r="AP69" i="12"/>
  <c r="AP70" i="12"/>
  <c r="AP71" i="12"/>
  <c r="AP72" i="12"/>
  <c r="AP73" i="12"/>
  <c r="AP74" i="12"/>
  <c r="AP75" i="12"/>
  <c r="AP76" i="12"/>
  <c r="AP77" i="12"/>
  <c r="AP78" i="12"/>
  <c r="AP79" i="12"/>
  <c r="AP80" i="12"/>
  <c r="AP81" i="12"/>
  <c r="AP82" i="12"/>
  <c r="AP83" i="12"/>
  <c r="AP84" i="12"/>
  <c r="AP85" i="12"/>
  <c r="AP86" i="12"/>
  <c r="AP87" i="12"/>
  <c r="AP88" i="12"/>
  <c r="AP89" i="12"/>
  <c r="AP90" i="12"/>
  <c r="AP91" i="12"/>
  <c r="AP92" i="12"/>
  <c r="AP93" i="12"/>
  <c r="AP94" i="12"/>
  <c r="AP95" i="12"/>
  <c r="AP96" i="12"/>
  <c r="AP97" i="12"/>
  <c r="AP98" i="12"/>
  <c r="AP99" i="12"/>
  <c r="AP100" i="12"/>
  <c r="AP101" i="12"/>
  <c r="AP102" i="12"/>
  <c r="AP103" i="12"/>
  <c r="AP104" i="12"/>
  <c r="AP105" i="12"/>
  <c r="AP106" i="12"/>
  <c r="AP107" i="12"/>
  <c r="AP108" i="12"/>
  <c r="AP109" i="12"/>
  <c r="AP110" i="12"/>
  <c r="AP111" i="12"/>
  <c r="AP112" i="12"/>
  <c r="AP113" i="12"/>
  <c r="AP114" i="12"/>
  <c r="AP115" i="12"/>
  <c r="AP116" i="12"/>
  <c r="AP117" i="12"/>
  <c r="AP118" i="12"/>
  <c r="AP119" i="12"/>
  <c r="AP120" i="12"/>
  <c r="AP121" i="12"/>
  <c r="AP122" i="12"/>
  <c r="AP123" i="12"/>
  <c r="AP124" i="12"/>
  <c r="AP125" i="12"/>
  <c r="AP126" i="12"/>
  <c r="AP127" i="12"/>
  <c r="AP128" i="12"/>
  <c r="AP129" i="12"/>
  <c r="AP130" i="12"/>
  <c r="AP131" i="12"/>
  <c r="AP132" i="12"/>
  <c r="AP133" i="12"/>
  <c r="AP134" i="12"/>
  <c r="AP135" i="12"/>
  <c r="AP136" i="12"/>
  <c r="AP137" i="12"/>
  <c r="AP138" i="12"/>
  <c r="AP139" i="12"/>
  <c r="AP140" i="12"/>
  <c r="AP141" i="12"/>
  <c r="AP142" i="12"/>
  <c r="AP143" i="12"/>
  <c r="AP144" i="12"/>
  <c r="AP145" i="12"/>
  <c r="AP146" i="12"/>
  <c r="AP147" i="12"/>
  <c r="AP148" i="12"/>
  <c r="AP149" i="12"/>
  <c r="AP150" i="12"/>
  <c r="AP151" i="12"/>
  <c r="AP152" i="12"/>
  <c r="AP153" i="12"/>
  <c r="AP154" i="12"/>
  <c r="AP155" i="12"/>
  <c r="AP156" i="12"/>
  <c r="AP157" i="12"/>
  <c r="AP158" i="12"/>
  <c r="AP159" i="12"/>
  <c r="AP160" i="12"/>
  <c r="AP161" i="12"/>
  <c r="AP162" i="12"/>
  <c r="AP163" i="12"/>
  <c r="AP164" i="12"/>
  <c r="AP165" i="12"/>
  <c r="AP166" i="12"/>
  <c r="AP167" i="12"/>
  <c r="AP168" i="12"/>
  <c r="AP169" i="12"/>
  <c r="AP170" i="12"/>
  <c r="AP171" i="12"/>
  <c r="AP172" i="12"/>
  <c r="AP173" i="12"/>
  <c r="AP174" i="12"/>
  <c r="AP175" i="12"/>
  <c r="AP176" i="12"/>
  <c r="AP177" i="12"/>
  <c r="AP178" i="12"/>
  <c r="AP179" i="12"/>
  <c r="AP180" i="12"/>
  <c r="AP181" i="12"/>
  <c r="AP182" i="12"/>
  <c r="AP183" i="12"/>
  <c r="AP184" i="12"/>
  <c r="AP185" i="12"/>
  <c r="AP186" i="12"/>
  <c r="AP187" i="12"/>
  <c r="AP188" i="12"/>
  <c r="AP189" i="12"/>
  <c r="AP190" i="12"/>
  <c r="AP191" i="12"/>
  <c r="AP2" i="12"/>
  <c r="AN192" i="12"/>
  <c r="AN193" i="12"/>
  <c r="AN194" i="12"/>
  <c r="AN195" i="12"/>
  <c r="AN196" i="12"/>
  <c r="AN197" i="12"/>
  <c r="AN198" i="12"/>
  <c r="AN199" i="12"/>
  <c r="AN200" i="12"/>
  <c r="AN201" i="12"/>
  <c r="AN202" i="12"/>
  <c r="AN203" i="12"/>
  <c r="AN204" i="12"/>
  <c r="AN205" i="12"/>
  <c r="AN206" i="12"/>
  <c r="AN207" i="12"/>
  <c r="AN208" i="12"/>
  <c r="AN209" i="12"/>
  <c r="AN210" i="12"/>
  <c r="AN211" i="12"/>
  <c r="AN212" i="12"/>
  <c r="AN213" i="12"/>
  <c r="AN214" i="12"/>
  <c r="AN215" i="12"/>
  <c r="AN216" i="12"/>
  <c r="AN217" i="12"/>
  <c r="AN218" i="12"/>
  <c r="AN219" i="12"/>
  <c r="AN220" i="12"/>
  <c r="AN221" i="12"/>
  <c r="AN222" i="12"/>
  <c r="AN223" i="12"/>
  <c r="AN224" i="12"/>
  <c r="AN225" i="12"/>
  <c r="AN226" i="12"/>
  <c r="AN227" i="12"/>
  <c r="AN228" i="12"/>
  <c r="AN229" i="12"/>
  <c r="AN230" i="12"/>
  <c r="AN231" i="12"/>
  <c r="AN232" i="12"/>
  <c r="AN233" i="12"/>
  <c r="AN234" i="12"/>
  <c r="AN235" i="12"/>
  <c r="AN236" i="12"/>
  <c r="AN237" i="12"/>
  <c r="AN238" i="12"/>
  <c r="AN239" i="12"/>
  <c r="AN240" i="12"/>
  <c r="AN241" i="12"/>
  <c r="AN242" i="12"/>
  <c r="AN243" i="12"/>
  <c r="AN244" i="12"/>
  <c r="AN245" i="12"/>
  <c r="AN246" i="12"/>
  <c r="AN247" i="12"/>
  <c r="AN248" i="12"/>
  <c r="AN249" i="12"/>
  <c r="AN250" i="12"/>
  <c r="AN251" i="12"/>
  <c r="AN252" i="12"/>
  <c r="AN253" i="12"/>
  <c r="AN254" i="12"/>
  <c r="AN255" i="12"/>
  <c r="AN256" i="12"/>
  <c r="AN257" i="12"/>
  <c r="AN258" i="12"/>
  <c r="AN259" i="12"/>
  <c r="AN260" i="12"/>
  <c r="AN261" i="12"/>
  <c r="AN262" i="12"/>
  <c r="AN263" i="12"/>
  <c r="AN264" i="12"/>
  <c r="AN265" i="12"/>
  <c r="AN266" i="12"/>
  <c r="AN267" i="12"/>
  <c r="AN268" i="12"/>
  <c r="AN269" i="12"/>
  <c r="AN270" i="12"/>
  <c r="AN271" i="12"/>
  <c r="AN272" i="12"/>
  <c r="AN273" i="12"/>
  <c r="AN274" i="12"/>
  <c r="AN275" i="12"/>
  <c r="AN276" i="12"/>
  <c r="AN277" i="12"/>
  <c r="AN278" i="12"/>
  <c r="AN279" i="12"/>
  <c r="AN280" i="12"/>
  <c r="AN281" i="12"/>
  <c r="AN282" i="12"/>
  <c r="AN283" i="12"/>
  <c r="AN284" i="12"/>
  <c r="AN285" i="12"/>
  <c r="AN286" i="12"/>
  <c r="AN287" i="12"/>
  <c r="AN288" i="12"/>
  <c r="AN289" i="12"/>
  <c r="AN290" i="12"/>
  <c r="AN291" i="12"/>
  <c r="AN292" i="12"/>
  <c r="AN293" i="12"/>
  <c r="AN294" i="12"/>
  <c r="AN295" i="12"/>
  <c r="AN296" i="12"/>
  <c r="AN297" i="12"/>
  <c r="AN298" i="12"/>
  <c r="AN299" i="12"/>
  <c r="AN300" i="12"/>
  <c r="AN301" i="12"/>
  <c r="AN302" i="12"/>
  <c r="AN303" i="12"/>
  <c r="AN304" i="12"/>
  <c r="AN305" i="12"/>
  <c r="AN306" i="12"/>
  <c r="AN307" i="12"/>
  <c r="AN308" i="12"/>
  <c r="AN309" i="12"/>
  <c r="AN310" i="12"/>
  <c r="AN311" i="12"/>
  <c r="AN312" i="12"/>
  <c r="AN313" i="12"/>
  <c r="AN314" i="12"/>
  <c r="AN315" i="12"/>
  <c r="AN316" i="12"/>
  <c r="AN317" i="12"/>
  <c r="AN318" i="12"/>
  <c r="AN319" i="12"/>
  <c r="AN320" i="12"/>
  <c r="AN321" i="12"/>
  <c r="AN322" i="12"/>
  <c r="AN323" i="12"/>
  <c r="AN324" i="12"/>
  <c r="AN325" i="12"/>
  <c r="AN326" i="12"/>
  <c r="AN327" i="12"/>
  <c r="AN328" i="12"/>
  <c r="AN329" i="12"/>
  <c r="AN330" i="12"/>
  <c r="AN331" i="12"/>
  <c r="AN332" i="12"/>
  <c r="AN333" i="12"/>
  <c r="AN334" i="12"/>
  <c r="AN335" i="12"/>
  <c r="AN336" i="12"/>
  <c r="AN337" i="12"/>
  <c r="AN338" i="12"/>
  <c r="AN339" i="12"/>
  <c r="AN340" i="12"/>
  <c r="AN341" i="12"/>
  <c r="AN342" i="12"/>
  <c r="AN343" i="12"/>
  <c r="AN344" i="12"/>
  <c r="AN345" i="12"/>
  <c r="AN346" i="12"/>
  <c r="AN347" i="12"/>
  <c r="AN348" i="12"/>
  <c r="AN349" i="12"/>
  <c r="AN350" i="12"/>
  <c r="AN351" i="12"/>
  <c r="AN352" i="12"/>
  <c r="AN353" i="12"/>
  <c r="AN354" i="12"/>
  <c r="AN355" i="12"/>
  <c r="AN356" i="12"/>
  <c r="AN357" i="12"/>
  <c r="AN358" i="12"/>
  <c r="AN359" i="12"/>
  <c r="AN360" i="12"/>
  <c r="AN361" i="12"/>
  <c r="AN362" i="12"/>
  <c r="AN363" i="12"/>
  <c r="AN364" i="12"/>
  <c r="AN365" i="12"/>
  <c r="AN366" i="12"/>
  <c r="AN367" i="12"/>
  <c r="AN368" i="12"/>
  <c r="AN369" i="12"/>
  <c r="AN370" i="12"/>
  <c r="AN371" i="12"/>
  <c r="AN372" i="12"/>
  <c r="AN373" i="12"/>
  <c r="AN374" i="12"/>
  <c r="AN375" i="12"/>
  <c r="AN376" i="12"/>
  <c r="AN377" i="12"/>
  <c r="AN378" i="12"/>
  <c r="AN379" i="12"/>
  <c r="AN380" i="12"/>
  <c r="AN381" i="12"/>
  <c r="AN382" i="12"/>
  <c r="AN383" i="12"/>
  <c r="AN384" i="12"/>
  <c r="AN385" i="12"/>
  <c r="AN386" i="12"/>
  <c r="AN387" i="12"/>
  <c r="AN388" i="12"/>
  <c r="AN389" i="12"/>
  <c r="AN390" i="12"/>
  <c r="AN391" i="12"/>
  <c r="AN392" i="12"/>
  <c r="AN393" i="12"/>
  <c r="AN394" i="12"/>
  <c r="AN395" i="12"/>
  <c r="AN396" i="12"/>
  <c r="AN397" i="12"/>
  <c r="AN398" i="12"/>
  <c r="AN399" i="12"/>
  <c r="AN400" i="12"/>
  <c r="AN401" i="12"/>
  <c r="AN402" i="12"/>
  <c r="AN403" i="12"/>
  <c r="AN404" i="12"/>
  <c r="AM192" i="12"/>
  <c r="AM193" i="12"/>
  <c r="AM194" i="12"/>
  <c r="AM195" i="12"/>
  <c r="AM196" i="12"/>
  <c r="AM197" i="12"/>
  <c r="AM198" i="12"/>
  <c r="AM199" i="12"/>
  <c r="AM200" i="12"/>
  <c r="AM201" i="12"/>
  <c r="AM202" i="12"/>
  <c r="AM203" i="12"/>
  <c r="AM204" i="12"/>
  <c r="AM205" i="12"/>
  <c r="AM206" i="12"/>
  <c r="AM207" i="12"/>
  <c r="AM208" i="12"/>
  <c r="AM209" i="12"/>
  <c r="AM210" i="12"/>
  <c r="AM211" i="12"/>
  <c r="AM212" i="12"/>
  <c r="AM213" i="12"/>
  <c r="AM214" i="12"/>
  <c r="AM215" i="12"/>
  <c r="AM216" i="12"/>
  <c r="AM217" i="12"/>
  <c r="AM218" i="12"/>
  <c r="AM219" i="12"/>
  <c r="AM220" i="12"/>
  <c r="AM221" i="12"/>
  <c r="AM222" i="12"/>
  <c r="AM223" i="12"/>
  <c r="AM224" i="12"/>
  <c r="AM225" i="12"/>
  <c r="AM226" i="12"/>
  <c r="AM227" i="12"/>
  <c r="AM228" i="12"/>
  <c r="AM229" i="12"/>
  <c r="AM230" i="12"/>
  <c r="AM231" i="12"/>
  <c r="AM232" i="12"/>
  <c r="AM233" i="12"/>
  <c r="AM234" i="12"/>
  <c r="AM235" i="12"/>
  <c r="AM236" i="12"/>
  <c r="AM237" i="12"/>
  <c r="AM238" i="12"/>
  <c r="AM239" i="12"/>
  <c r="AM240" i="12"/>
  <c r="AM241" i="12"/>
  <c r="AM242" i="12"/>
  <c r="AM243" i="12"/>
  <c r="AM244" i="12"/>
  <c r="AM245" i="12"/>
  <c r="AM246" i="12"/>
  <c r="AM247" i="12"/>
  <c r="AM248" i="12"/>
  <c r="AM249" i="12"/>
  <c r="AM250" i="12"/>
  <c r="AM251" i="12"/>
  <c r="AM252" i="12"/>
  <c r="AM253" i="12"/>
  <c r="AM254" i="12"/>
  <c r="AM255" i="12"/>
  <c r="AM256" i="12"/>
  <c r="AM257" i="12"/>
  <c r="AM258" i="12"/>
  <c r="AM259" i="12"/>
  <c r="AM260" i="12"/>
  <c r="AM261" i="12"/>
  <c r="AM262" i="12"/>
  <c r="AM263" i="12"/>
  <c r="AM264" i="12"/>
  <c r="AM265" i="12"/>
  <c r="AM266" i="12"/>
  <c r="AM267" i="12"/>
  <c r="AM268" i="12"/>
  <c r="AM269" i="12"/>
  <c r="AM270" i="12"/>
  <c r="AM271" i="12"/>
  <c r="AM272" i="12"/>
  <c r="AM273" i="12"/>
  <c r="AM274" i="12"/>
  <c r="AM275" i="12"/>
  <c r="AM276" i="12"/>
  <c r="AM277" i="12"/>
  <c r="AM278" i="12"/>
  <c r="AM279" i="12"/>
  <c r="AM280" i="12"/>
  <c r="AM281" i="12"/>
  <c r="AM282" i="12"/>
  <c r="AM283" i="12"/>
  <c r="AM284" i="12"/>
  <c r="AM285" i="12"/>
  <c r="AM286" i="12"/>
  <c r="AM287" i="12"/>
  <c r="AM288" i="12"/>
  <c r="AM289" i="12"/>
  <c r="AM290" i="12"/>
  <c r="AM291" i="12"/>
  <c r="AM292" i="12"/>
  <c r="AM293" i="12"/>
  <c r="AM294" i="12"/>
  <c r="AM295" i="12"/>
  <c r="AM296" i="12"/>
  <c r="AM297" i="12"/>
  <c r="AM298" i="12"/>
  <c r="AM299" i="12"/>
  <c r="AM300" i="12"/>
  <c r="AM301" i="12"/>
  <c r="AM302" i="12"/>
  <c r="AM303" i="12"/>
  <c r="AM304" i="12"/>
  <c r="AM305" i="12"/>
  <c r="AM306" i="12"/>
  <c r="AM307" i="12"/>
  <c r="AM308" i="12"/>
  <c r="AM309" i="12"/>
  <c r="AM310" i="12"/>
  <c r="AM311" i="12"/>
  <c r="AM312" i="12"/>
  <c r="AM313" i="12"/>
  <c r="AM314" i="12"/>
  <c r="AM315" i="12"/>
  <c r="AM316" i="12"/>
  <c r="AM317" i="12"/>
  <c r="AM318" i="12"/>
  <c r="AM319" i="12"/>
  <c r="AM320" i="12"/>
  <c r="AM321" i="12"/>
  <c r="AM322" i="12"/>
  <c r="AM323" i="12"/>
  <c r="AM324" i="12"/>
  <c r="AM325" i="12"/>
  <c r="AM326" i="12"/>
  <c r="AM327" i="12"/>
  <c r="AM328" i="12"/>
  <c r="AM329" i="12"/>
  <c r="AM330" i="12"/>
  <c r="AM331" i="12"/>
  <c r="AM332" i="12"/>
  <c r="AM333" i="12"/>
  <c r="AM334" i="12"/>
  <c r="AM335" i="12"/>
  <c r="AM336" i="12"/>
  <c r="AM337" i="12"/>
  <c r="AM338" i="12"/>
  <c r="AM339" i="12"/>
  <c r="AM340" i="12"/>
  <c r="AM341" i="12"/>
  <c r="AM342" i="12"/>
  <c r="AM343" i="12"/>
  <c r="AM344" i="12"/>
  <c r="AM345" i="12"/>
  <c r="AM346" i="12"/>
  <c r="AM347" i="12"/>
  <c r="AM348" i="12"/>
  <c r="AM349" i="12"/>
  <c r="AM350" i="12"/>
  <c r="AM351" i="12"/>
  <c r="AM352" i="12"/>
  <c r="AM353" i="12"/>
  <c r="AM354" i="12"/>
  <c r="AM355" i="12"/>
  <c r="AM356" i="12"/>
  <c r="AM357" i="12"/>
  <c r="AM358" i="12"/>
  <c r="AM359" i="12"/>
  <c r="AM360" i="12"/>
  <c r="AM361" i="12"/>
  <c r="AM362" i="12"/>
  <c r="AM363" i="12"/>
  <c r="AM364" i="12"/>
  <c r="AM365" i="12"/>
  <c r="AM366" i="12"/>
  <c r="AM367" i="12"/>
  <c r="AM368" i="12"/>
  <c r="AM369" i="12"/>
  <c r="AM370" i="12"/>
  <c r="AM371" i="12"/>
  <c r="AM372" i="12"/>
  <c r="AM373" i="12"/>
  <c r="AM374" i="12"/>
  <c r="AM375" i="12"/>
  <c r="AM376" i="12"/>
  <c r="AM377" i="12"/>
  <c r="AM378" i="12"/>
  <c r="AM379" i="12"/>
  <c r="AM380" i="12"/>
  <c r="AM381" i="12"/>
  <c r="AM382" i="12"/>
  <c r="AM383" i="12"/>
  <c r="AM384" i="12"/>
  <c r="AM385" i="12"/>
  <c r="AM386" i="12"/>
  <c r="AM387" i="12"/>
  <c r="AM388" i="12"/>
  <c r="AM389" i="12"/>
  <c r="AM390" i="12"/>
  <c r="AM391" i="12"/>
  <c r="AM392" i="12"/>
  <c r="AM393" i="12"/>
  <c r="AM394" i="12"/>
  <c r="AM395" i="12"/>
  <c r="AM396" i="12"/>
  <c r="AM397" i="12"/>
  <c r="AM398" i="12"/>
  <c r="AM399" i="12"/>
  <c r="AM400" i="12"/>
  <c r="AM401" i="12"/>
  <c r="AM402" i="12"/>
  <c r="AM403" i="12"/>
  <c r="AM404" i="12"/>
  <c r="AK192" i="12"/>
  <c r="AO192" i="12" s="1"/>
  <c r="AK193" i="12"/>
  <c r="AO193" i="12" s="1"/>
  <c r="AK194" i="12"/>
  <c r="AO194" i="12" s="1"/>
  <c r="AK195" i="12"/>
  <c r="AO195" i="12" s="1"/>
  <c r="AK196" i="12"/>
  <c r="AL196" i="12" s="1"/>
  <c r="AK197" i="12"/>
  <c r="AL197" i="12" s="1"/>
  <c r="AK198" i="12"/>
  <c r="AK199" i="12"/>
  <c r="AL199" i="12" s="1"/>
  <c r="AK200" i="12"/>
  <c r="AL200" i="12" s="1"/>
  <c r="AK201" i="12"/>
  <c r="AO201" i="12" s="1"/>
  <c r="AK202" i="12"/>
  <c r="AO202" i="12" s="1"/>
  <c r="AK203" i="12"/>
  <c r="AO203" i="12" s="1"/>
  <c r="AK204" i="12"/>
  <c r="AL204" i="12" s="1"/>
  <c r="AK205" i="12"/>
  <c r="AL205" i="12" s="1"/>
  <c r="AK206" i="12"/>
  <c r="AK207" i="12"/>
  <c r="AL207" i="12" s="1"/>
  <c r="AK208" i="12"/>
  <c r="AL208" i="12" s="1"/>
  <c r="AK209" i="12"/>
  <c r="AL209" i="12" s="1"/>
  <c r="AK210" i="12"/>
  <c r="AL210" i="12" s="1"/>
  <c r="AK211" i="12"/>
  <c r="AO211" i="12" s="1"/>
  <c r="AK212" i="12"/>
  <c r="AL212" i="12" s="1"/>
  <c r="AK213" i="12"/>
  <c r="AL213" i="12" s="1"/>
  <c r="AK214" i="12"/>
  <c r="AK215" i="12"/>
  <c r="AL215" i="12" s="1"/>
  <c r="AK216" i="12"/>
  <c r="AL216" i="12" s="1"/>
  <c r="AK217" i="12"/>
  <c r="AL217" i="12" s="1"/>
  <c r="AK218" i="12"/>
  <c r="AO218" i="12" s="1"/>
  <c r="AK219" i="12"/>
  <c r="AO219" i="12" s="1"/>
  <c r="AK220" i="12"/>
  <c r="AL220" i="12" s="1"/>
  <c r="AK221" i="12"/>
  <c r="AL221" i="12" s="1"/>
  <c r="AK222" i="12"/>
  <c r="AK223" i="12"/>
  <c r="AL223" i="12" s="1"/>
  <c r="AK224" i="12"/>
  <c r="AL224" i="12" s="1"/>
  <c r="AK225" i="12"/>
  <c r="AL225" i="12" s="1"/>
  <c r="AK226" i="12"/>
  <c r="AL226" i="12" s="1"/>
  <c r="AK227" i="12"/>
  <c r="AO227" i="12" s="1"/>
  <c r="AK228" i="12"/>
  <c r="AL228" i="12" s="1"/>
  <c r="AK229" i="12"/>
  <c r="AL229" i="12" s="1"/>
  <c r="AK230" i="12"/>
  <c r="AK231" i="12"/>
  <c r="AL231" i="12" s="1"/>
  <c r="AK232" i="12"/>
  <c r="AL232" i="12" s="1"/>
  <c r="AK233" i="12"/>
  <c r="AL233" i="12" s="1"/>
  <c r="AK234" i="12"/>
  <c r="AO234" i="12" s="1"/>
  <c r="AK235" i="12"/>
  <c r="AO235" i="12" s="1"/>
  <c r="AK236" i="12"/>
  <c r="AL236" i="12" s="1"/>
  <c r="AK237" i="12"/>
  <c r="AL237" i="12" s="1"/>
  <c r="AK238" i="12"/>
  <c r="AK239" i="12"/>
  <c r="AL239" i="12" s="1"/>
  <c r="AK240" i="12"/>
  <c r="AL240" i="12" s="1"/>
  <c r="AK241" i="12"/>
  <c r="AL241" i="12" s="1"/>
  <c r="AK242" i="12"/>
  <c r="AO242" i="12" s="1"/>
  <c r="AK243" i="12"/>
  <c r="AO243" i="12" s="1"/>
  <c r="AK244" i="12"/>
  <c r="AL244" i="12" s="1"/>
  <c r="AK245" i="12"/>
  <c r="AL245" i="12" s="1"/>
  <c r="AK246" i="12"/>
  <c r="AK247" i="12"/>
  <c r="AL247" i="12" s="1"/>
  <c r="AK248" i="12"/>
  <c r="AL248" i="12" s="1"/>
  <c r="AK249" i="12"/>
  <c r="AL249" i="12" s="1"/>
  <c r="AK250" i="12"/>
  <c r="AL250" i="12" s="1"/>
  <c r="AK251" i="12"/>
  <c r="AO251" i="12" s="1"/>
  <c r="AK252" i="12"/>
  <c r="AL252" i="12" s="1"/>
  <c r="AK253" i="12"/>
  <c r="AL253" i="12" s="1"/>
  <c r="AK254" i="12"/>
  <c r="AK255" i="12"/>
  <c r="AL255" i="12" s="1"/>
  <c r="AK256" i="12"/>
  <c r="AL256" i="12" s="1"/>
  <c r="AK257" i="12"/>
  <c r="AL257" i="12" s="1"/>
  <c r="AK258" i="12"/>
  <c r="AL258" i="12" s="1"/>
  <c r="AK259" i="12"/>
  <c r="AO259" i="12" s="1"/>
  <c r="AK260" i="12"/>
  <c r="AL260" i="12" s="1"/>
  <c r="AK261" i="12"/>
  <c r="AL261" i="12" s="1"/>
  <c r="AK262" i="12"/>
  <c r="AK263" i="12"/>
  <c r="AL263" i="12" s="1"/>
  <c r="AK264" i="12"/>
  <c r="AL264" i="12" s="1"/>
  <c r="AK265" i="12"/>
  <c r="AL265" i="12" s="1"/>
  <c r="AK266" i="12"/>
  <c r="AO266" i="12" s="1"/>
  <c r="AK267" i="12"/>
  <c r="AO267" i="12" s="1"/>
  <c r="AK268" i="12"/>
  <c r="AL268" i="12" s="1"/>
  <c r="AK269" i="12"/>
  <c r="AL269" i="12" s="1"/>
  <c r="AK270" i="12"/>
  <c r="AK271" i="12"/>
  <c r="AL271" i="12" s="1"/>
  <c r="AK272" i="12"/>
  <c r="AL272" i="12" s="1"/>
  <c r="AK273" i="12"/>
  <c r="AL273" i="12" s="1"/>
  <c r="AK274" i="12"/>
  <c r="AL274" i="12" s="1"/>
  <c r="AK275" i="12"/>
  <c r="AO275" i="12" s="1"/>
  <c r="AK276" i="12"/>
  <c r="AL276" i="12" s="1"/>
  <c r="AK277" i="12"/>
  <c r="AL277" i="12" s="1"/>
  <c r="AK278" i="12"/>
  <c r="AK279" i="12"/>
  <c r="AL279" i="12" s="1"/>
  <c r="AK280" i="12"/>
  <c r="AL280" i="12" s="1"/>
  <c r="AK281" i="12"/>
  <c r="AL281" i="12" s="1"/>
  <c r="AK282" i="12"/>
  <c r="AO282" i="12" s="1"/>
  <c r="AK283" i="12"/>
  <c r="AO283" i="12" s="1"/>
  <c r="AK284" i="12"/>
  <c r="AL284" i="12" s="1"/>
  <c r="AK285" i="12"/>
  <c r="AL285" i="12" s="1"/>
  <c r="AK286" i="12"/>
  <c r="AK287" i="12"/>
  <c r="AL287" i="12" s="1"/>
  <c r="AK288" i="12"/>
  <c r="AL288" i="12" s="1"/>
  <c r="AK289" i="12"/>
  <c r="AL289" i="12" s="1"/>
  <c r="AK290" i="12"/>
  <c r="AL290" i="12" s="1"/>
  <c r="AK291" i="12"/>
  <c r="AO291" i="12" s="1"/>
  <c r="AK292" i="12"/>
  <c r="AL292" i="12" s="1"/>
  <c r="AK293" i="12"/>
  <c r="AL293" i="12" s="1"/>
  <c r="AK294" i="12"/>
  <c r="AK295" i="12"/>
  <c r="AL295" i="12" s="1"/>
  <c r="AK296" i="12"/>
  <c r="AL296" i="12" s="1"/>
  <c r="AK297" i="12"/>
  <c r="AL297" i="12" s="1"/>
  <c r="AK298" i="12"/>
  <c r="AO298" i="12" s="1"/>
  <c r="AK299" i="12"/>
  <c r="AO299" i="12" s="1"/>
  <c r="AK300" i="12"/>
  <c r="AL300" i="12" s="1"/>
  <c r="AK301" i="12"/>
  <c r="AL301" i="12" s="1"/>
  <c r="AK302" i="12"/>
  <c r="AK303" i="12"/>
  <c r="AL303" i="12" s="1"/>
  <c r="AK304" i="12"/>
  <c r="AL304" i="12" s="1"/>
  <c r="AK305" i="12"/>
  <c r="AL305" i="12" s="1"/>
  <c r="AK306" i="12"/>
  <c r="AO306" i="12" s="1"/>
  <c r="AK307" i="12"/>
  <c r="AO307" i="12" s="1"/>
  <c r="AK308" i="12"/>
  <c r="AL308" i="12" s="1"/>
  <c r="AK309" i="12"/>
  <c r="AL309" i="12" s="1"/>
  <c r="AK310" i="12"/>
  <c r="AK311" i="12"/>
  <c r="AL311" i="12" s="1"/>
  <c r="AK312" i="12"/>
  <c r="AL312" i="12" s="1"/>
  <c r="AK313" i="12"/>
  <c r="AL313" i="12" s="1"/>
  <c r="AK314" i="12"/>
  <c r="AL314" i="12" s="1"/>
  <c r="AK315" i="12"/>
  <c r="AO315" i="12" s="1"/>
  <c r="AK316" i="12"/>
  <c r="AL316" i="12" s="1"/>
  <c r="AK317" i="12"/>
  <c r="AL317" i="12" s="1"/>
  <c r="AK318" i="12"/>
  <c r="AK319" i="12"/>
  <c r="AL319" i="12" s="1"/>
  <c r="AK320" i="12"/>
  <c r="AL320" i="12" s="1"/>
  <c r="AK321" i="12"/>
  <c r="AL321" i="12" s="1"/>
  <c r="AK322" i="12"/>
  <c r="AL322" i="12" s="1"/>
  <c r="AK323" i="12"/>
  <c r="AO323" i="12" s="1"/>
  <c r="AK324" i="12"/>
  <c r="AL324" i="12" s="1"/>
  <c r="AK325" i="12"/>
  <c r="AL325" i="12" s="1"/>
  <c r="AK326" i="12"/>
  <c r="AK327" i="12"/>
  <c r="AL327" i="12" s="1"/>
  <c r="AK328" i="12"/>
  <c r="AL328" i="12" s="1"/>
  <c r="AK329" i="12"/>
  <c r="AL329" i="12" s="1"/>
  <c r="AK330" i="12"/>
  <c r="AO330" i="12" s="1"/>
  <c r="AK331" i="12"/>
  <c r="AO331" i="12" s="1"/>
  <c r="AK332" i="12"/>
  <c r="AL332" i="12" s="1"/>
  <c r="AK333" i="12"/>
  <c r="AL333" i="12" s="1"/>
  <c r="AK334" i="12"/>
  <c r="AK335" i="12"/>
  <c r="AL335" i="12" s="1"/>
  <c r="AK336" i="12"/>
  <c r="AL336" i="12" s="1"/>
  <c r="AK337" i="12"/>
  <c r="AL337" i="12" s="1"/>
  <c r="AK338" i="12"/>
  <c r="AL338" i="12" s="1"/>
  <c r="AK339" i="12"/>
  <c r="AO339" i="12" s="1"/>
  <c r="AK340" i="12"/>
  <c r="AL340" i="12" s="1"/>
  <c r="AK341" i="12"/>
  <c r="AL341" i="12" s="1"/>
  <c r="AK342" i="12"/>
  <c r="AK343" i="12"/>
  <c r="AL343" i="12" s="1"/>
  <c r="AK344" i="12"/>
  <c r="AL344" i="12" s="1"/>
  <c r="AK345" i="12"/>
  <c r="AL345" i="12" s="1"/>
  <c r="AK346" i="12"/>
  <c r="AO346" i="12" s="1"/>
  <c r="AK347" i="12"/>
  <c r="AO347" i="12" s="1"/>
  <c r="AK348" i="12"/>
  <c r="AL348" i="12" s="1"/>
  <c r="AK349" i="12"/>
  <c r="AL349" i="12" s="1"/>
  <c r="AK350" i="12"/>
  <c r="AK351" i="12"/>
  <c r="AL351" i="12" s="1"/>
  <c r="AK352" i="12"/>
  <c r="AL352" i="12" s="1"/>
  <c r="AK353" i="12"/>
  <c r="AL353" i="12" s="1"/>
  <c r="AK354" i="12"/>
  <c r="AO354" i="12" s="1"/>
  <c r="AK355" i="12"/>
  <c r="AO355" i="12" s="1"/>
  <c r="AK356" i="12"/>
  <c r="AL356" i="12" s="1"/>
  <c r="AK357" i="12"/>
  <c r="AL357" i="12" s="1"/>
  <c r="AK358" i="12"/>
  <c r="AK359" i="12"/>
  <c r="AL359" i="12" s="1"/>
  <c r="AK360" i="12"/>
  <c r="AL360" i="12" s="1"/>
  <c r="AK361" i="12"/>
  <c r="AL361" i="12" s="1"/>
  <c r="AK362" i="12"/>
  <c r="AO362" i="12" s="1"/>
  <c r="AK363" i="12"/>
  <c r="AO363" i="12" s="1"/>
  <c r="AK364" i="12"/>
  <c r="AL364" i="12" s="1"/>
  <c r="AK365" i="12"/>
  <c r="AL365" i="12" s="1"/>
  <c r="AK366" i="12"/>
  <c r="AK367" i="12"/>
  <c r="AL367" i="12" s="1"/>
  <c r="AK368" i="12"/>
  <c r="AL368" i="12" s="1"/>
  <c r="AK369" i="12"/>
  <c r="AL369" i="12" s="1"/>
  <c r="AK370" i="12"/>
  <c r="AO370" i="12" s="1"/>
  <c r="AK371" i="12"/>
  <c r="AO371" i="12" s="1"/>
  <c r="AK372" i="12"/>
  <c r="AL372" i="12" s="1"/>
  <c r="AK373" i="12"/>
  <c r="AL373" i="12" s="1"/>
  <c r="AK374" i="12"/>
  <c r="AK375" i="12"/>
  <c r="AL375" i="12" s="1"/>
  <c r="AK376" i="12"/>
  <c r="AL376" i="12" s="1"/>
  <c r="AK377" i="12"/>
  <c r="AL377" i="12" s="1"/>
  <c r="AK378" i="12"/>
  <c r="AL378" i="12" s="1"/>
  <c r="AK379" i="12"/>
  <c r="AO379" i="12" s="1"/>
  <c r="AK380" i="12"/>
  <c r="AL380" i="12" s="1"/>
  <c r="AK381" i="12"/>
  <c r="AL381" i="12" s="1"/>
  <c r="AK382" i="12"/>
  <c r="AK383" i="12"/>
  <c r="AL383" i="12" s="1"/>
  <c r="AK384" i="12"/>
  <c r="AL384" i="12" s="1"/>
  <c r="AK385" i="12"/>
  <c r="AL385" i="12" s="1"/>
  <c r="AK386" i="12"/>
  <c r="AL386" i="12" s="1"/>
  <c r="AK387" i="12"/>
  <c r="AO387" i="12" s="1"/>
  <c r="AK388" i="12"/>
  <c r="AL388" i="12" s="1"/>
  <c r="AK389" i="12"/>
  <c r="AL389" i="12" s="1"/>
  <c r="AK390" i="12"/>
  <c r="AK391" i="12"/>
  <c r="AL391" i="12" s="1"/>
  <c r="AK392" i="12"/>
  <c r="AL392" i="12" s="1"/>
  <c r="AK393" i="12"/>
  <c r="AL393" i="12" s="1"/>
  <c r="AK394" i="12"/>
  <c r="AO394" i="12" s="1"/>
  <c r="AK395" i="12"/>
  <c r="AO395" i="12" s="1"/>
  <c r="AK396" i="12"/>
  <c r="AL396" i="12" s="1"/>
  <c r="AK397" i="12"/>
  <c r="AL397" i="12" s="1"/>
  <c r="AK398" i="12"/>
  <c r="AK399" i="12"/>
  <c r="AL399" i="12" s="1"/>
  <c r="AK400" i="12"/>
  <c r="AL400" i="12" s="1"/>
  <c r="AK401" i="12"/>
  <c r="AL401" i="12" s="1"/>
  <c r="AK402" i="12"/>
  <c r="AL402" i="12" s="1"/>
  <c r="AK403" i="12"/>
  <c r="AO403" i="12" s="1"/>
  <c r="AK404" i="12"/>
  <c r="AL404" i="12" s="1"/>
  <c r="AK3" i="12"/>
  <c r="AK4" i="12"/>
  <c r="AK5" i="12"/>
  <c r="AK6" i="12"/>
  <c r="AK7" i="12"/>
  <c r="AK8" i="12"/>
  <c r="AK9" i="12"/>
  <c r="AK10" i="12"/>
  <c r="AK11" i="12"/>
  <c r="AK12" i="12"/>
  <c r="AK13" i="12"/>
  <c r="AK14" i="12"/>
  <c r="AK15" i="12"/>
  <c r="AK16" i="12"/>
  <c r="AK17" i="12"/>
  <c r="AK18" i="12"/>
  <c r="AK19" i="12"/>
  <c r="AK20" i="12"/>
  <c r="AK21" i="12"/>
  <c r="AK22" i="12"/>
  <c r="AK23" i="12"/>
  <c r="AK24" i="12"/>
  <c r="AK25" i="12"/>
  <c r="AK26" i="12"/>
  <c r="AK27" i="12"/>
  <c r="AK28" i="12"/>
  <c r="AK29" i="12"/>
  <c r="AK30" i="12"/>
  <c r="AK31" i="12"/>
  <c r="AK32" i="12"/>
  <c r="AK33" i="12"/>
  <c r="AK34" i="12"/>
  <c r="AK35" i="12"/>
  <c r="AK36" i="12"/>
  <c r="AK37" i="12"/>
  <c r="AK38" i="12"/>
  <c r="AK39" i="12"/>
  <c r="AK40" i="12"/>
  <c r="AK41" i="12"/>
  <c r="AK42" i="12"/>
  <c r="AK43" i="12"/>
  <c r="AK44" i="12"/>
  <c r="AK45" i="12"/>
  <c r="AK46" i="12"/>
  <c r="AK47" i="12"/>
  <c r="AK48" i="12"/>
  <c r="AK49" i="12"/>
  <c r="AK50" i="12"/>
  <c r="AK51" i="12"/>
  <c r="AK52" i="12"/>
  <c r="AK53" i="12"/>
  <c r="AK54" i="12"/>
  <c r="AK55" i="12"/>
  <c r="AK56" i="12"/>
  <c r="AK57" i="12"/>
  <c r="AK58" i="12"/>
  <c r="AK59" i="12"/>
  <c r="AK60" i="12"/>
  <c r="AK61" i="12"/>
  <c r="AK62" i="12"/>
  <c r="AK63" i="12"/>
  <c r="AK64" i="12"/>
  <c r="AK65" i="12"/>
  <c r="AK66" i="12"/>
  <c r="AK67" i="12"/>
  <c r="AK68" i="12"/>
  <c r="AK69" i="12"/>
  <c r="AK70" i="12"/>
  <c r="AK71" i="12"/>
  <c r="AK72" i="12"/>
  <c r="AK73" i="12"/>
  <c r="AK74" i="12"/>
  <c r="AK75" i="12"/>
  <c r="AK76" i="12"/>
  <c r="AK77" i="12"/>
  <c r="AK78" i="12"/>
  <c r="AK79" i="12"/>
  <c r="AK80" i="12"/>
  <c r="AK81" i="12"/>
  <c r="AK82" i="12"/>
  <c r="AK83" i="12"/>
  <c r="AK84" i="12"/>
  <c r="AK85" i="12"/>
  <c r="AK86" i="12"/>
  <c r="AK87" i="12"/>
  <c r="AK88" i="12"/>
  <c r="AK89" i="12"/>
  <c r="AK90" i="12"/>
  <c r="AK91" i="12"/>
  <c r="AK92" i="12"/>
  <c r="AK93" i="12"/>
  <c r="AK94" i="12"/>
  <c r="AK95" i="12"/>
  <c r="AK96" i="12"/>
  <c r="AK97" i="12"/>
  <c r="AK98" i="12"/>
  <c r="AK99" i="12"/>
  <c r="AK100" i="12"/>
  <c r="AK101" i="12"/>
  <c r="AK102" i="12"/>
  <c r="AK103" i="12"/>
  <c r="AK104" i="12"/>
  <c r="AK105" i="12"/>
  <c r="AK106" i="12"/>
  <c r="AK107" i="12"/>
  <c r="AK108" i="12"/>
  <c r="AK109" i="12"/>
  <c r="AK110" i="12"/>
  <c r="AK111" i="12"/>
  <c r="AK112" i="12"/>
  <c r="AK113" i="12"/>
  <c r="AK114" i="12"/>
  <c r="AK115" i="12"/>
  <c r="AK116" i="12"/>
  <c r="AK117" i="12"/>
  <c r="AK118" i="12"/>
  <c r="AK119" i="12"/>
  <c r="AK120" i="12"/>
  <c r="AK121" i="12"/>
  <c r="AK122" i="12"/>
  <c r="AK123" i="12"/>
  <c r="AK124" i="12"/>
  <c r="AK125" i="12"/>
  <c r="AK126" i="12"/>
  <c r="AK127" i="12"/>
  <c r="AK128" i="12"/>
  <c r="AK129" i="12"/>
  <c r="AK130" i="12"/>
  <c r="AK131" i="12"/>
  <c r="AK132" i="12"/>
  <c r="AK133" i="12"/>
  <c r="AK134" i="12"/>
  <c r="AK135" i="12"/>
  <c r="AK136" i="12"/>
  <c r="AK137" i="12"/>
  <c r="AK138" i="12"/>
  <c r="AK139" i="12"/>
  <c r="AK140" i="12"/>
  <c r="AK141" i="12"/>
  <c r="AK142" i="12"/>
  <c r="AK143" i="12"/>
  <c r="AK144" i="12"/>
  <c r="AK145" i="12"/>
  <c r="AK146" i="12"/>
  <c r="AK147" i="12"/>
  <c r="AK148" i="12"/>
  <c r="AK149" i="12"/>
  <c r="AK150" i="12"/>
  <c r="AK151" i="12"/>
  <c r="AK152" i="12"/>
  <c r="AK153" i="12"/>
  <c r="AK154" i="12"/>
  <c r="AK155" i="12"/>
  <c r="AK156" i="12"/>
  <c r="AK157" i="12"/>
  <c r="AK158" i="12"/>
  <c r="AK159" i="12"/>
  <c r="AK160" i="12"/>
  <c r="AK161" i="12"/>
  <c r="AK162" i="12"/>
  <c r="AK163" i="12"/>
  <c r="AK164" i="12"/>
  <c r="AK165" i="12"/>
  <c r="AK166" i="12"/>
  <c r="AK167" i="12"/>
  <c r="AK168" i="12"/>
  <c r="AK169" i="12"/>
  <c r="AK170" i="12"/>
  <c r="AK171" i="12"/>
  <c r="AK172" i="12"/>
  <c r="AK173" i="12"/>
  <c r="AK174" i="12"/>
  <c r="AK175" i="12"/>
  <c r="AK176" i="12"/>
  <c r="AK177" i="12"/>
  <c r="AK178" i="12"/>
  <c r="AK179" i="12"/>
  <c r="AK180" i="12"/>
  <c r="AK181" i="12"/>
  <c r="AK182" i="12"/>
  <c r="AK183" i="12"/>
  <c r="AK184" i="12"/>
  <c r="AK185" i="12"/>
  <c r="AK186" i="12"/>
  <c r="AK187" i="12"/>
  <c r="AK188" i="12"/>
  <c r="AK189" i="12"/>
  <c r="AK190" i="12"/>
  <c r="AK191" i="12"/>
  <c r="AK2" i="12"/>
  <c r="AI192" i="12"/>
  <c r="AI193" i="12"/>
  <c r="AI194" i="12"/>
  <c r="AI195" i="12"/>
  <c r="AI196" i="12"/>
  <c r="AI197" i="12"/>
  <c r="AI198" i="12"/>
  <c r="AI199" i="12"/>
  <c r="AI200" i="12"/>
  <c r="AI201" i="12"/>
  <c r="AI202" i="12"/>
  <c r="AI203" i="12"/>
  <c r="AI204" i="12"/>
  <c r="AI205" i="12"/>
  <c r="AI206" i="12"/>
  <c r="AI207" i="12"/>
  <c r="AI208" i="12"/>
  <c r="AI209" i="12"/>
  <c r="AI210" i="12"/>
  <c r="AI211" i="12"/>
  <c r="AI212" i="12"/>
  <c r="AI213" i="12"/>
  <c r="AI214" i="12"/>
  <c r="AI215" i="12"/>
  <c r="AI216" i="12"/>
  <c r="AI217" i="12"/>
  <c r="AI218" i="12"/>
  <c r="AI219" i="12"/>
  <c r="AI220" i="12"/>
  <c r="AI221" i="12"/>
  <c r="AI222" i="12"/>
  <c r="AI223" i="12"/>
  <c r="AI224" i="12"/>
  <c r="AI225" i="12"/>
  <c r="AI226" i="12"/>
  <c r="AI227" i="12"/>
  <c r="AI228" i="12"/>
  <c r="AI229" i="12"/>
  <c r="AI230" i="12"/>
  <c r="AI231" i="12"/>
  <c r="AI232" i="12"/>
  <c r="AI233" i="12"/>
  <c r="AI234" i="12"/>
  <c r="AI235" i="12"/>
  <c r="AI236" i="12"/>
  <c r="AI237" i="12"/>
  <c r="AI238" i="12"/>
  <c r="AI239" i="12"/>
  <c r="AI240" i="12"/>
  <c r="AI241" i="12"/>
  <c r="AI242" i="12"/>
  <c r="AI243" i="12"/>
  <c r="AI244" i="12"/>
  <c r="AI245" i="12"/>
  <c r="AI246" i="12"/>
  <c r="AI247" i="12"/>
  <c r="AI248" i="12"/>
  <c r="AI249" i="12"/>
  <c r="AI250" i="12"/>
  <c r="AI251" i="12"/>
  <c r="AI252" i="12"/>
  <c r="AI253" i="12"/>
  <c r="AI254" i="12"/>
  <c r="AI255" i="12"/>
  <c r="AI256" i="12"/>
  <c r="AI257" i="12"/>
  <c r="AI258" i="12"/>
  <c r="AI259" i="12"/>
  <c r="AI260" i="12"/>
  <c r="AI261" i="12"/>
  <c r="AI262" i="12"/>
  <c r="AI263" i="12"/>
  <c r="AI264" i="12"/>
  <c r="AI265" i="12"/>
  <c r="AI266" i="12"/>
  <c r="AI267" i="12"/>
  <c r="AI268" i="12"/>
  <c r="AI269" i="12"/>
  <c r="AI270" i="12"/>
  <c r="AI271" i="12"/>
  <c r="AI272" i="12"/>
  <c r="AI273" i="12"/>
  <c r="AI274" i="12"/>
  <c r="AI275" i="12"/>
  <c r="AI276" i="12"/>
  <c r="AI277" i="12"/>
  <c r="AI278" i="12"/>
  <c r="AI279" i="12"/>
  <c r="AI280" i="12"/>
  <c r="AI281" i="12"/>
  <c r="AI282" i="12"/>
  <c r="AI283" i="12"/>
  <c r="AI284" i="12"/>
  <c r="AI285" i="12"/>
  <c r="AI286" i="12"/>
  <c r="AI287" i="12"/>
  <c r="AI288" i="12"/>
  <c r="AI289" i="12"/>
  <c r="AI290" i="12"/>
  <c r="AI291" i="12"/>
  <c r="AI292" i="12"/>
  <c r="AI293" i="12"/>
  <c r="AI294" i="12"/>
  <c r="AI295" i="12"/>
  <c r="AI296" i="12"/>
  <c r="AI297" i="12"/>
  <c r="AI298" i="12"/>
  <c r="AI299" i="12"/>
  <c r="AI300" i="12"/>
  <c r="AI301" i="12"/>
  <c r="AI302" i="12"/>
  <c r="AI303" i="12"/>
  <c r="AI304" i="12"/>
  <c r="AI305" i="12"/>
  <c r="AI306" i="12"/>
  <c r="AI307" i="12"/>
  <c r="AI308" i="12"/>
  <c r="AI309" i="12"/>
  <c r="AI310" i="12"/>
  <c r="AI311" i="12"/>
  <c r="AI312" i="12"/>
  <c r="AI313" i="12"/>
  <c r="AI314" i="12"/>
  <c r="AI315" i="12"/>
  <c r="AI316" i="12"/>
  <c r="AI317" i="12"/>
  <c r="AI318" i="12"/>
  <c r="AI319" i="12"/>
  <c r="AI320" i="12"/>
  <c r="AI321" i="12"/>
  <c r="AI322" i="12"/>
  <c r="AI323" i="12"/>
  <c r="AI324" i="12"/>
  <c r="AI325" i="12"/>
  <c r="AI326" i="12"/>
  <c r="AI327" i="12"/>
  <c r="AI328" i="12"/>
  <c r="AI329" i="12"/>
  <c r="AI330" i="12"/>
  <c r="AI331" i="12"/>
  <c r="AI332" i="12"/>
  <c r="AI333" i="12"/>
  <c r="AI334" i="12"/>
  <c r="AI335" i="12"/>
  <c r="AI336" i="12"/>
  <c r="AI337" i="12"/>
  <c r="AI338" i="12"/>
  <c r="AI339" i="12"/>
  <c r="AI340" i="12"/>
  <c r="AI341" i="12"/>
  <c r="AI342" i="12"/>
  <c r="AI343" i="12"/>
  <c r="AI344" i="12"/>
  <c r="AI345" i="12"/>
  <c r="AI346" i="12"/>
  <c r="AI347" i="12"/>
  <c r="AI348" i="12"/>
  <c r="AI349" i="12"/>
  <c r="AI350" i="12"/>
  <c r="AI351" i="12"/>
  <c r="AI352" i="12"/>
  <c r="AI353" i="12"/>
  <c r="AI354" i="12"/>
  <c r="AI355" i="12"/>
  <c r="AI356" i="12"/>
  <c r="AI357" i="12"/>
  <c r="AI358" i="12"/>
  <c r="AI359" i="12"/>
  <c r="AI360" i="12"/>
  <c r="AI361" i="12"/>
  <c r="AI362" i="12"/>
  <c r="AI363" i="12"/>
  <c r="AI364" i="12"/>
  <c r="AI365" i="12"/>
  <c r="AI366" i="12"/>
  <c r="AI367" i="12"/>
  <c r="AI368" i="12"/>
  <c r="AI369" i="12"/>
  <c r="AI370" i="12"/>
  <c r="AI371" i="12"/>
  <c r="AI372" i="12"/>
  <c r="AI373" i="12"/>
  <c r="AI374" i="12"/>
  <c r="AI375" i="12"/>
  <c r="AI376" i="12"/>
  <c r="AI377" i="12"/>
  <c r="AI378" i="12"/>
  <c r="AI379" i="12"/>
  <c r="AI380" i="12"/>
  <c r="AI381" i="12"/>
  <c r="AI382" i="12"/>
  <c r="AI383" i="12"/>
  <c r="AI384" i="12"/>
  <c r="AI385" i="12"/>
  <c r="AI386" i="12"/>
  <c r="AI387" i="12"/>
  <c r="AI388" i="12"/>
  <c r="AI389" i="12"/>
  <c r="AI390" i="12"/>
  <c r="AI391" i="12"/>
  <c r="AI392" i="12"/>
  <c r="AI393" i="12"/>
  <c r="AI394" i="12"/>
  <c r="AI395" i="12"/>
  <c r="AI396" i="12"/>
  <c r="AI397" i="12"/>
  <c r="AI398" i="12"/>
  <c r="AI399" i="12"/>
  <c r="AI400" i="12"/>
  <c r="AI401" i="12"/>
  <c r="AI402" i="12"/>
  <c r="AI403" i="12"/>
  <c r="AI404" i="12"/>
  <c r="AH192" i="12"/>
  <c r="AH193" i="12"/>
  <c r="AH194" i="12"/>
  <c r="AH195" i="12"/>
  <c r="AH196" i="12"/>
  <c r="AH197" i="12"/>
  <c r="AH198" i="12"/>
  <c r="AH199" i="12"/>
  <c r="AH200" i="12"/>
  <c r="AH201" i="12"/>
  <c r="AH202" i="12"/>
  <c r="AH203" i="12"/>
  <c r="AH204" i="12"/>
  <c r="AH205" i="12"/>
  <c r="AH206" i="12"/>
  <c r="AH207" i="12"/>
  <c r="AH208" i="12"/>
  <c r="AH209" i="12"/>
  <c r="AH210" i="12"/>
  <c r="AH211" i="12"/>
  <c r="AH212" i="12"/>
  <c r="AH213" i="12"/>
  <c r="AH214" i="12"/>
  <c r="AH215" i="12"/>
  <c r="AH216" i="12"/>
  <c r="AH217" i="12"/>
  <c r="AH218" i="12"/>
  <c r="AH219" i="12"/>
  <c r="AH220" i="12"/>
  <c r="AH221" i="12"/>
  <c r="AH222" i="12"/>
  <c r="AH223" i="12"/>
  <c r="AH224" i="12"/>
  <c r="AH225" i="12"/>
  <c r="AH226" i="12"/>
  <c r="AH227" i="12"/>
  <c r="AH228" i="12"/>
  <c r="AH229" i="12"/>
  <c r="AH230" i="12"/>
  <c r="AH231" i="12"/>
  <c r="AH232" i="12"/>
  <c r="AH233" i="12"/>
  <c r="AH234" i="12"/>
  <c r="AH235" i="12"/>
  <c r="AH236" i="12"/>
  <c r="AH237" i="12"/>
  <c r="AH238" i="12"/>
  <c r="AH239" i="12"/>
  <c r="AH240" i="12"/>
  <c r="AH241" i="12"/>
  <c r="AH242" i="12"/>
  <c r="AH243" i="12"/>
  <c r="AH244" i="12"/>
  <c r="AH245" i="12"/>
  <c r="AH246" i="12"/>
  <c r="AH247" i="12"/>
  <c r="AH248" i="12"/>
  <c r="AH249" i="12"/>
  <c r="AH250" i="12"/>
  <c r="AH251" i="12"/>
  <c r="AH252" i="12"/>
  <c r="AH253" i="12"/>
  <c r="AH254" i="12"/>
  <c r="AH255" i="12"/>
  <c r="AH256" i="12"/>
  <c r="AH257" i="12"/>
  <c r="AH258" i="12"/>
  <c r="AH259" i="12"/>
  <c r="AH260" i="12"/>
  <c r="AH261" i="12"/>
  <c r="AH262" i="12"/>
  <c r="AH263" i="12"/>
  <c r="AH264" i="12"/>
  <c r="AH265" i="12"/>
  <c r="AH266" i="12"/>
  <c r="AH267" i="12"/>
  <c r="AH268" i="12"/>
  <c r="AH269" i="12"/>
  <c r="AH270" i="12"/>
  <c r="AH271" i="12"/>
  <c r="AH272" i="12"/>
  <c r="AH273" i="12"/>
  <c r="AH274" i="12"/>
  <c r="AH275" i="12"/>
  <c r="AH276" i="12"/>
  <c r="AH277" i="12"/>
  <c r="AH278" i="12"/>
  <c r="AH279" i="12"/>
  <c r="AH280" i="12"/>
  <c r="AH281" i="12"/>
  <c r="AH282" i="12"/>
  <c r="AH283" i="12"/>
  <c r="AH284" i="12"/>
  <c r="AH285" i="12"/>
  <c r="AH286" i="12"/>
  <c r="AH287" i="12"/>
  <c r="AH288" i="12"/>
  <c r="AH289" i="12"/>
  <c r="AH290" i="12"/>
  <c r="AH291" i="12"/>
  <c r="AH292" i="12"/>
  <c r="AH293" i="12"/>
  <c r="AH294" i="12"/>
  <c r="AH295" i="12"/>
  <c r="AH296" i="12"/>
  <c r="AH297" i="12"/>
  <c r="AH298" i="12"/>
  <c r="AH299" i="12"/>
  <c r="AH300" i="12"/>
  <c r="AH301" i="12"/>
  <c r="AH302" i="12"/>
  <c r="AH303" i="12"/>
  <c r="AH304" i="12"/>
  <c r="AH305" i="12"/>
  <c r="AH306" i="12"/>
  <c r="AH307" i="12"/>
  <c r="AH308" i="12"/>
  <c r="AH309" i="12"/>
  <c r="AH310" i="12"/>
  <c r="AH311" i="12"/>
  <c r="AH312" i="12"/>
  <c r="AH313" i="12"/>
  <c r="AH314" i="12"/>
  <c r="AH315" i="12"/>
  <c r="AH316" i="12"/>
  <c r="AH317" i="12"/>
  <c r="AH318" i="12"/>
  <c r="AH319" i="12"/>
  <c r="AH320" i="12"/>
  <c r="AH321" i="12"/>
  <c r="AH322" i="12"/>
  <c r="AH323" i="12"/>
  <c r="AH324" i="12"/>
  <c r="AH325" i="12"/>
  <c r="AH326" i="12"/>
  <c r="AH327" i="12"/>
  <c r="AH328" i="12"/>
  <c r="AH329" i="12"/>
  <c r="AH330" i="12"/>
  <c r="AH331" i="12"/>
  <c r="AH332" i="12"/>
  <c r="AH333" i="12"/>
  <c r="AH334" i="12"/>
  <c r="AH335" i="12"/>
  <c r="AH336" i="12"/>
  <c r="AH337" i="12"/>
  <c r="AH338" i="12"/>
  <c r="AH339" i="12"/>
  <c r="AH340" i="12"/>
  <c r="AH341" i="12"/>
  <c r="AH342" i="12"/>
  <c r="AH343" i="12"/>
  <c r="AH344" i="12"/>
  <c r="AH345" i="12"/>
  <c r="AH346" i="12"/>
  <c r="AH347" i="12"/>
  <c r="AH348" i="12"/>
  <c r="AH349" i="12"/>
  <c r="AH350" i="12"/>
  <c r="AH351" i="12"/>
  <c r="AH352" i="12"/>
  <c r="AH353" i="12"/>
  <c r="AH354" i="12"/>
  <c r="AH355" i="12"/>
  <c r="AH356" i="12"/>
  <c r="AH357" i="12"/>
  <c r="AH358" i="12"/>
  <c r="AH359" i="12"/>
  <c r="AH360" i="12"/>
  <c r="AH361" i="12"/>
  <c r="AH362" i="12"/>
  <c r="AH363" i="12"/>
  <c r="AH364" i="12"/>
  <c r="AH365" i="12"/>
  <c r="AH366" i="12"/>
  <c r="AH367" i="12"/>
  <c r="AH368" i="12"/>
  <c r="AH369" i="12"/>
  <c r="AH370" i="12"/>
  <c r="AH371" i="12"/>
  <c r="AH372" i="12"/>
  <c r="AH373" i="12"/>
  <c r="AH374" i="12"/>
  <c r="AH375" i="12"/>
  <c r="AH376" i="12"/>
  <c r="AH377" i="12"/>
  <c r="AH378" i="12"/>
  <c r="AH379" i="12"/>
  <c r="AH380" i="12"/>
  <c r="AH381" i="12"/>
  <c r="AH382" i="12"/>
  <c r="AH383" i="12"/>
  <c r="AH384" i="12"/>
  <c r="AH385" i="12"/>
  <c r="AH386" i="12"/>
  <c r="AH387" i="12"/>
  <c r="AH388" i="12"/>
  <c r="AH389" i="12"/>
  <c r="AH390" i="12"/>
  <c r="AH391" i="12"/>
  <c r="AH392" i="12"/>
  <c r="AH393" i="12"/>
  <c r="AH394" i="12"/>
  <c r="AH395" i="12"/>
  <c r="AH396" i="12"/>
  <c r="AH397" i="12"/>
  <c r="AH398" i="12"/>
  <c r="AH399" i="12"/>
  <c r="AH400" i="12"/>
  <c r="AH401" i="12"/>
  <c r="AH402" i="12"/>
  <c r="AH403" i="12"/>
  <c r="AH404" i="12"/>
  <c r="AF192" i="12"/>
  <c r="AJ192" i="12" s="1"/>
  <c r="AF193" i="12"/>
  <c r="AJ193" i="12" s="1"/>
  <c r="AF194" i="12"/>
  <c r="AF195" i="12"/>
  <c r="AG195" i="12" s="1"/>
  <c r="AF196" i="12"/>
  <c r="AJ196" i="12" s="1"/>
  <c r="AF197" i="12"/>
  <c r="AJ197" i="12" s="1"/>
  <c r="AF198" i="12"/>
  <c r="AG198" i="12" s="1"/>
  <c r="AF199" i="12"/>
  <c r="AJ199" i="12" s="1"/>
  <c r="AF200" i="12"/>
  <c r="AJ200" i="12" s="1"/>
  <c r="AF201" i="12"/>
  <c r="AJ201" i="12" s="1"/>
  <c r="AF202" i="12"/>
  <c r="AG202" i="12" s="1"/>
  <c r="AF203" i="12"/>
  <c r="AG203" i="12" s="1"/>
  <c r="AF204" i="12"/>
  <c r="AJ204" i="12" s="1"/>
  <c r="AF205" i="12"/>
  <c r="AJ205" i="12" s="1"/>
  <c r="AF206" i="12"/>
  <c r="AJ206" i="12" s="1"/>
  <c r="AF207" i="12"/>
  <c r="AJ207" i="12" s="1"/>
  <c r="AF208" i="12"/>
  <c r="AJ208" i="12" s="1"/>
  <c r="AF209" i="12"/>
  <c r="AJ209" i="12" s="1"/>
  <c r="AF210" i="12"/>
  <c r="AF211" i="12"/>
  <c r="AJ211" i="12" s="1"/>
  <c r="AF212" i="12"/>
  <c r="AJ212" i="12" s="1"/>
  <c r="AF213" i="12"/>
  <c r="AJ213" i="12" s="1"/>
  <c r="AF214" i="12"/>
  <c r="AJ214" i="12" s="1"/>
  <c r="AF215" i="12"/>
  <c r="AJ215" i="12" s="1"/>
  <c r="AF216" i="12"/>
  <c r="AJ216" i="12" s="1"/>
  <c r="AF217" i="12"/>
  <c r="AJ217" i="12" s="1"/>
  <c r="AF218" i="12"/>
  <c r="AF219" i="12"/>
  <c r="AF220" i="12"/>
  <c r="AJ220" i="12" s="1"/>
  <c r="AF221" i="12"/>
  <c r="AJ221" i="12" s="1"/>
  <c r="AF222" i="12"/>
  <c r="AJ222" i="12" s="1"/>
  <c r="AF223" i="12"/>
  <c r="AJ223" i="12" s="1"/>
  <c r="AF224" i="12"/>
  <c r="AJ224" i="12" s="1"/>
  <c r="AF225" i="12"/>
  <c r="AJ225" i="12" s="1"/>
  <c r="AF226" i="12"/>
  <c r="AF227" i="12"/>
  <c r="AJ227" i="12" s="1"/>
  <c r="AF228" i="12"/>
  <c r="AJ228" i="12" s="1"/>
  <c r="AF229" i="12"/>
  <c r="AJ229" i="12" s="1"/>
  <c r="AF230" i="12"/>
  <c r="AG230" i="12" s="1"/>
  <c r="AF231" i="12"/>
  <c r="AJ231" i="12" s="1"/>
  <c r="AF232" i="12"/>
  <c r="AJ232" i="12" s="1"/>
  <c r="AF233" i="12"/>
  <c r="AJ233" i="12" s="1"/>
  <c r="AF234" i="12"/>
  <c r="AF235" i="12"/>
  <c r="AG235" i="12" s="1"/>
  <c r="AF236" i="12"/>
  <c r="AJ236" i="12" s="1"/>
  <c r="AF237" i="12"/>
  <c r="AJ237" i="12" s="1"/>
  <c r="AF238" i="12"/>
  <c r="AJ238" i="12" s="1"/>
  <c r="AF239" i="12"/>
  <c r="AJ239" i="12" s="1"/>
  <c r="AF240" i="12"/>
  <c r="AJ240" i="12" s="1"/>
  <c r="AF241" i="12"/>
  <c r="AJ241" i="12" s="1"/>
  <c r="AF242" i="12"/>
  <c r="AF243" i="12"/>
  <c r="AG243" i="12" s="1"/>
  <c r="AF244" i="12"/>
  <c r="AJ244" i="12" s="1"/>
  <c r="AF245" i="12"/>
  <c r="AJ245" i="12" s="1"/>
  <c r="AF246" i="12"/>
  <c r="AJ246" i="12" s="1"/>
  <c r="AF247" i="12"/>
  <c r="AJ247" i="12" s="1"/>
  <c r="AF248" i="12"/>
  <c r="AJ248" i="12" s="1"/>
  <c r="AF249" i="12"/>
  <c r="AJ249" i="12" s="1"/>
  <c r="AF250" i="12"/>
  <c r="AF251" i="12"/>
  <c r="AF252" i="12"/>
  <c r="AJ252" i="12" s="1"/>
  <c r="AF253" i="12"/>
  <c r="AJ253" i="12" s="1"/>
  <c r="AF254" i="12"/>
  <c r="AJ254" i="12" s="1"/>
  <c r="AF255" i="12"/>
  <c r="AJ255" i="12" s="1"/>
  <c r="AF256" i="12"/>
  <c r="AJ256" i="12" s="1"/>
  <c r="AF257" i="12"/>
  <c r="AJ257" i="12" s="1"/>
  <c r="AF258" i="12"/>
  <c r="AF259" i="12"/>
  <c r="AG259" i="12" s="1"/>
  <c r="AF260" i="12"/>
  <c r="AJ260" i="12" s="1"/>
  <c r="AF261" i="12"/>
  <c r="AJ261" i="12" s="1"/>
  <c r="AF262" i="12"/>
  <c r="AG262" i="12" s="1"/>
  <c r="AF263" i="12"/>
  <c r="AJ263" i="12" s="1"/>
  <c r="AF264" i="12"/>
  <c r="AJ264" i="12" s="1"/>
  <c r="AF265" i="12"/>
  <c r="AJ265" i="12" s="1"/>
  <c r="AF266" i="12"/>
  <c r="AG266" i="12" s="1"/>
  <c r="AF267" i="12"/>
  <c r="AG267" i="12" s="1"/>
  <c r="AF268" i="12"/>
  <c r="AJ268" i="12" s="1"/>
  <c r="AF269" i="12"/>
  <c r="AJ269" i="12" s="1"/>
  <c r="AF270" i="12"/>
  <c r="AJ270" i="12" s="1"/>
  <c r="AF271" i="12"/>
  <c r="AJ271" i="12" s="1"/>
  <c r="AF272" i="12"/>
  <c r="AJ272" i="12" s="1"/>
  <c r="AF273" i="12"/>
  <c r="AJ273" i="12" s="1"/>
  <c r="AF274" i="12"/>
  <c r="AF275" i="12"/>
  <c r="AJ275" i="12" s="1"/>
  <c r="AF276" i="12"/>
  <c r="AJ276" i="12" s="1"/>
  <c r="AF277" i="12"/>
  <c r="AJ277" i="12" s="1"/>
  <c r="AF278" i="12"/>
  <c r="AJ278" i="12" s="1"/>
  <c r="AF279" i="12"/>
  <c r="AJ279" i="12" s="1"/>
  <c r="AF280" i="12"/>
  <c r="AJ280" i="12" s="1"/>
  <c r="AF281" i="12"/>
  <c r="AJ281" i="12" s="1"/>
  <c r="AF282" i="12"/>
  <c r="AF283" i="12"/>
  <c r="AF284" i="12"/>
  <c r="AJ284" i="12" s="1"/>
  <c r="AF285" i="12"/>
  <c r="AJ285" i="12" s="1"/>
  <c r="AF286" i="12"/>
  <c r="AG286" i="12" s="1"/>
  <c r="AF287" i="12"/>
  <c r="AJ287" i="12" s="1"/>
  <c r="AF288" i="12"/>
  <c r="AJ288" i="12" s="1"/>
  <c r="AF289" i="12"/>
  <c r="AJ289" i="12" s="1"/>
  <c r="AF290" i="12"/>
  <c r="AF291" i="12"/>
  <c r="AJ291" i="12" s="1"/>
  <c r="AF292" i="12"/>
  <c r="AJ292" i="12" s="1"/>
  <c r="AF293" i="12"/>
  <c r="AJ293" i="12" s="1"/>
  <c r="AF294" i="12"/>
  <c r="AJ294" i="12" s="1"/>
  <c r="AF295" i="12"/>
  <c r="AJ295" i="12" s="1"/>
  <c r="AF296" i="12"/>
  <c r="AJ296" i="12" s="1"/>
  <c r="AF297" i="12"/>
  <c r="AJ297" i="12" s="1"/>
  <c r="AF298" i="12"/>
  <c r="AF299" i="12"/>
  <c r="AG299" i="12" s="1"/>
  <c r="AF300" i="12"/>
  <c r="AJ300" i="12" s="1"/>
  <c r="AF301" i="12"/>
  <c r="AJ301" i="12" s="1"/>
  <c r="AF302" i="12"/>
  <c r="AJ302" i="12" s="1"/>
  <c r="AF303" i="12"/>
  <c r="AJ303" i="12" s="1"/>
  <c r="AF304" i="12"/>
  <c r="AJ304" i="12" s="1"/>
  <c r="AF305" i="12"/>
  <c r="AJ305" i="12" s="1"/>
  <c r="AF306" i="12"/>
  <c r="AF307" i="12"/>
  <c r="AF308" i="12"/>
  <c r="AJ308" i="12" s="1"/>
  <c r="AF309" i="12"/>
  <c r="AJ309" i="12" s="1"/>
  <c r="AF310" i="12"/>
  <c r="AJ310" i="12" s="1"/>
  <c r="AF311" i="12"/>
  <c r="AJ311" i="12" s="1"/>
  <c r="AF312" i="12"/>
  <c r="AJ312" i="12" s="1"/>
  <c r="AF313" i="12"/>
  <c r="AJ313" i="12" s="1"/>
  <c r="AF314" i="12"/>
  <c r="AF315" i="12"/>
  <c r="AF316" i="12"/>
  <c r="AJ316" i="12" s="1"/>
  <c r="AF317" i="12"/>
  <c r="AJ317" i="12" s="1"/>
  <c r="AF318" i="12"/>
  <c r="AJ318" i="12" s="1"/>
  <c r="AF319" i="12"/>
  <c r="AJ319" i="12" s="1"/>
  <c r="AF320" i="12"/>
  <c r="AJ320" i="12" s="1"/>
  <c r="AF321" i="12"/>
  <c r="AJ321" i="12" s="1"/>
  <c r="AF322" i="12"/>
  <c r="AF323" i="12"/>
  <c r="AG323" i="12" s="1"/>
  <c r="AF324" i="12"/>
  <c r="AJ324" i="12" s="1"/>
  <c r="AF325" i="12"/>
  <c r="AJ325" i="12" s="1"/>
  <c r="AF326" i="12"/>
  <c r="AJ326" i="12" s="1"/>
  <c r="AF327" i="12"/>
  <c r="AJ327" i="12" s="1"/>
  <c r="AF328" i="12"/>
  <c r="AJ328" i="12" s="1"/>
  <c r="AF329" i="12"/>
  <c r="AJ329" i="12" s="1"/>
  <c r="AF330" i="12"/>
  <c r="AG330" i="12" s="1"/>
  <c r="AF331" i="12"/>
  <c r="AG331" i="12" s="1"/>
  <c r="AF332" i="12"/>
  <c r="AJ332" i="12" s="1"/>
  <c r="AF333" i="12"/>
  <c r="AJ333" i="12" s="1"/>
  <c r="AF334" i="12"/>
  <c r="AJ334" i="12" s="1"/>
  <c r="AF335" i="12"/>
  <c r="AJ335" i="12" s="1"/>
  <c r="AF336" i="12"/>
  <c r="AJ336" i="12" s="1"/>
  <c r="AF337" i="12"/>
  <c r="AJ337" i="12" s="1"/>
  <c r="AF338" i="12"/>
  <c r="AF339" i="12"/>
  <c r="AJ339" i="12" s="1"/>
  <c r="AF340" i="12"/>
  <c r="AJ340" i="12" s="1"/>
  <c r="AF341" i="12"/>
  <c r="AJ341" i="12" s="1"/>
  <c r="AF342" i="12"/>
  <c r="AJ342" i="12" s="1"/>
  <c r="AF343" i="12"/>
  <c r="AJ343" i="12" s="1"/>
  <c r="AF344" i="12"/>
  <c r="AJ344" i="12" s="1"/>
  <c r="AF345" i="12"/>
  <c r="AJ345" i="12" s="1"/>
  <c r="AF346" i="12"/>
  <c r="AF347" i="12"/>
  <c r="AF348" i="12"/>
  <c r="AJ348" i="12" s="1"/>
  <c r="AF349" i="12"/>
  <c r="AG349" i="12" s="1"/>
  <c r="AF350" i="12"/>
  <c r="AJ350" i="12" s="1"/>
  <c r="AF351" i="12"/>
  <c r="AJ351" i="12" s="1"/>
  <c r="AF352" i="12"/>
  <c r="AG352" i="12" s="1"/>
  <c r="AF353" i="12"/>
  <c r="AG353" i="12" s="1"/>
  <c r="AF354" i="12"/>
  <c r="AF355" i="12"/>
  <c r="AG355" i="12" s="1"/>
  <c r="AF356" i="12"/>
  <c r="AG356" i="12" s="1"/>
  <c r="AF357" i="12"/>
  <c r="AG357" i="12" s="1"/>
  <c r="AF358" i="12"/>
  <c r="AJ358" i="12" s="1"/>
  <c r="AF359" i="12"/>
  <c r="AJ359" i="12" s="1"/>
  <c r="AF360" i="12"/>
  <c r="AG360" i="12" s="1"/>
  <c r="AF361" i="12"/>
  <c r="AG361" i="12" s="1"/>
  <c r="AF362" i="12"/>
  <c r="AF363" i="12"/>
  <c r="AG363" i="12" s="1"/>
  <c r="AF364" i="12"/>
  <c r="AG364" i="12" s="1"/>
  <c r="AF365" i="12"/>
  <c r="AG365" i="12" s="1"/>
  <c r="AF366" i="12"/>
  <c r="AJ366" i="12" s="1"/>
  <c r="AF367" i="12"/>
  <c r="AJ367" i="12" s="1"/>
  <c r="AF368" i="12"/>
  <c r="AG368" i="12" s="1"/>
  <c r="AF369" i="12"/>
  <c r="AG369" i="12" s="1"/>
  <c r="AF370" i="12"/>
  <c r="AF371" i="12"/>
  <c r="AG371" i="12" s="1"/>
  <c r="AF372" i="12"/>
  <c r="AG372" i="12" s="1"/>
  <c r="AF373" i="12"/>
  <c r="AG373" i="12" s="1"/>
  <c r="AF374" i="12"/>
  <c r="AJ374" i="12" s="1"/>
  <c r="AF375" i="12"/>
  <c r="AJ375" i="12" s="1"/>
  <c r="AF376" i="12"/>
  <c r="AG376" i="12" s="1"/>
  <c r="AF377" i="12"/>
  <c r="AF378" i="12"/>
  <c r="AF379" i="12"/>
  <c r="AG379" i="12" s="1"/>
  <c r="AF380" i="12"/>
  <c r="AG380" i="12" s="1"/>
  <c r="AF381" i="12"/>
  <c r="AG381" i="12" s="1"/>
  <c r="AF382" i="12"/>
  <c r="AJ382" i="12" s="1"/>
  <c r="AF383" i="12"/>
  <c r="AJ383" i="12" s="1"/>
  <c r="AF384" i="12"/>
  <c r="AG384" i="12" s="1"/>
  <c r="AF385" i="12"/>
  <c r="AF386" i="12"/>
  <c r="AF387" i="12"/>
  <c r="AG387" i="12" s="1"/>
  <c r="AF388" i="12"/>
  <c r="AG388" i="12" s="1"/>
  <c r="AF389" i="12"/>
  <c r="AG389" i="12" s="1"/>
  <c r="AF390" i="12"/>
  <c r="AJ390" i="12" s="1"/>
  <c r="AF391" i="12"/>
  <c r="AJ391" i="12" s="1"/>
  <c r="AF392" i="12"/>
  <c r="AG392" i="12" s="1"/>
  <c r="AF393" i="12"/>
  <c r="AF394" i="12"/>
  <c r="AF395" i="12"/>
  <c r="AG395" i="12" s="1"/>
  <c r="AF396" i="12"/>
  <c r="AG396" i="12" s="1"/>
  <c r="AF397" i="12"/>
  <c r="AG397" i="12" s="1"/>
  <c r="AF398" i="12"/>
  <c r="AJ398" i="12" s="1"/>
  <c r="AF399" i="12"/>
  <c r="AJ399" i="12" s="1"/>
  <c r="AF400" i="12"/>
  <c r="AG400" i="12" s="1"/>
  <c r="AF401" i="12"/>
  <c r="AF402" i="12"/>
  <c r="AF403" i="12"/>
  <c r="AG403" i="12" s="1"/>
  <c r="AF404" i="12"/>
  <c r="AJ404" i="12" s="1"/>
  <c r="AF3" i="12"/>
  <c r="AF4" i="12"/>
  <c r="AF5" i="12"/>
  <c r="AF6" i="12"/>
  <c r="AF7" i="12"/>
  <c r="AF8" i="12"/>
  <c r="AF9" i="12"/>
  <c r="AF10" i="12"/>
  <c r="AF11" i="12"/>
  <c r="AF12" i="12"/>
  <c r="AF13" i="12"/>
  <c r="AF14" i="12"/>
  <c r="AF15" i="12"/>
  <c r="AF16" i="12"/>
  <c r="AF17" i="12"/>
  <c r="AF18" i="12"/>
  <c r="AF19" i="12"/>
  <c r="AF20" i="12"/>
  <c r="AF21" i="12"/>
  <c r="AF22" i="12"/>
  <c r="AF23" i="12"/>
  <c r="AF24" i="12"/>
  <c r="AF25" i="12"/>
  <c r="AF26" i="12"/>
  <c r="AF27" i="12"/>
  <c r="AF28" i="12"/>
  <c r="AF29" i="12"/>
  <c r="AF30" i="12"/>
  <c r="AF31" i="12"/>
  <c r="AF32" i="12"/>
  <c r="AF33" i="12"/>
  <c r="AF34" i="12"/>
  <c r="AF35" i="12"/>
  <c r="AF36" i="12"/>
  <c r="AF37" i="12"/>
  <c r="AF38" i="12"/>
  <c r="AF39" i="12"/>
  <c r="AF40" i="12"/>
  <c r="AF41" i="12"/>
  <c r="AF42" i="12"/>
  <c r="AF43" i="12"/>
  <c r="AF44" i="12"/>
  <c r="AF45" i="12"/>
  <c r="AF46" i="12"/>
  <c r="AF47" i="12"/>
  <c r="AF48" i="12"/>
  <c r="AF49" i="12"/>
  <c r="AF50" i="12"/>
  <c r="AF51" i="12"/>
  <c r="AF52" i="12"/>
  <c r="AF53" i="12"/>
  <c r="AF54" i="12"/>
  <c r="AF55" i="12"/>
  <c r="AF56" i="12"/>
  <c r="AF57" i="12"/>
  <c r="AF58" i="12"/>
  <c r="AF59" i="12"/>
  <c r="AF60" i="12"/>
  <c r="AF61" i="12"/>
  <c r="AF62" i="12"/>
  <c r="AF63" i="12"/>
  <c r="AF64" i="12"/>
  <c r="AF65" i="12"/>
  <c r="AF66" i="12"/>
  <c r="AF67" i="12"/>
  <c r="AF68" i="12"/>
  <c r="AF69" i="12"/>
  <c r="AF70" i="12"/>
  <c r="AF71" i="12"/>
  <c r="AF72" i="12"/>
  <c r="AF73" i="12"/>
  <c r="AF74" i="12"/>
  <c r="AF75" i="12"/>
  <c r="AF76" i="12"/>
  <c r="AF77" i="12"/>
  <c r="AF78" i="12"/>
  <c r="AF79" i="12"/>
  <c r="AF80" i="12"/>
  <c r="AF81" i="12"/>
  <c r="AF82" i="12"/>
  <c r="AF83" i="12"/>
  <c r="AF84" i="12"/>
  <c r="AF85" i="12"/>
  <c r="AF86" i="12"/>
  <c r="AF87" i="12"/>
  <c r="AF88" i="12"/>
  <c r="AF89" i="12"/>
  <c r="AF90" i="12"/>
  <c r="AF91" i="12"/>
  <c r="AF92" i="12"/>
  <c r="AF93" i="12"/>
  <c r="AF94" i="12"/>
  <c r="AF95" i="12"/>
  <c r="AF96" i="12"/>
  <c r="AF97" i="12"/>
  <c r="AF98" i="12"/>
  <c r="AF99" i="12"/>
  <c r="AF100" i="12"/>
  <c r="AF101" i="12"/>
  <c r="AF102" i="12"/>
  <c r="AF103" i="12"/>
  <c r="AF104" i="12"/>
  <c r="AF105" i="12"/>
  <c r="AF106" i="12"/>
  <c r="AF107" i="12"/>
  <c r="AF108" i="12"/>
  <c r="AF109" i="12"/>
  <c r="AF110" i="12"/>
  <c r="AF111" i="12"/>
  <c r="AF112" i="12"/>
  <c r="AF113" i="12"/>
  <c r="AF114" i="12"/>
  <c r="AF115" i="12"/>
  <c r="AF116" i="12"/>
  <c r="AF117" i="12"/>
  <c r="AF118" i="12"/>
  <c r="AF119" i="12"/>
  <c r="AF120" i="12"/>
  <c r="AF121" i="12"/>
  <c r="AF122" i="12"/>
  <c r="AF123" i="12"/>
  <c r="AF124" i="12"/>
  <c r="AF125" i="12"/>
  <c r="AF126" i="12"/>
  <c r="AF127" i="12"/>
  <c r="AF128" i="12"/>
  <c r="AF129" i="12"/>
  <c r="AF130" i="12"/>
  <c r="AF131" i="12"/>
  <c r="AF132" i="12"/>
  <c r="AF133" i="12"/>
  <c r="AF134" i="12"/>
  <c r="AF135" i="12"/>
  <c r="AF136" i="12"/>
  <c r="AF137" i="12"/>
  <c r="AF138" i="12"/>
  <c r="AF139" i="12"/>
  <c r="AF140" i="12"/>
  <c r="AF141" i="12"/>
  <c r="AF142" i="12"/>
  <c r="AF143" i="12"/>
  <c r="AF144" i="12"/>
  <c r="AF145" i="12"/>
  <c r="AF146" i="12"/>
  <c r="AF147" i="12"/>
  <c r="AF148" i="12"/>
  <c r="AF149" i="12"/>
  <c r="AF150" i="12"/>
  <c r="AF151" i="12"/>
  <c r="AF152" i="12"/>
  <c r="AF153" i="12"/>
  <c r="AF154" i="12"/>
  <c r="AF155" i="12"/>
  <c r="AF156" i="12"/>
  <c r="AF157" i="12"/>
  <c r="AF158" i="12"/>
  <c r="AF159" i="12"/>
  <c r="AF160" i="12"/>
  <c r="AF161" i="12"/>
  <c r="AF162" i="12"/>
  <c r="AF163" i="12"/>
  <c r="AF164" i="12"/>
  <c r="AF165" i="12"/>
  <c r="AF166" i="12"/>
  <c r="AF167" i="12"/>
  <c r="AF168" i="12"/>
  <c r="AF169" i="12"/>
  <c r="AF170" i="12"/>
  <c r="AF171" i="12"/>
  <c r="AF172" i="12"/>
  <c r="AF173" i="12"/>
  <c r="AF174" i="12"/>
  <c r="AF175" i="12"/>
  <c r="AF176" i="12"/>
  <c r="AF177" i="12"/>
  <c r="AF178" i="12"/>
  <c r="AF179" i="12"/>
  <c r="AF180" i="12"/>
  <c r="AF181" i="12"/>
  <c r="AF182" i="12"/>
  <c r="AF183" i="12"/>
  <c r="AF184" i="12"/>
  <c r="AF185" i="12"/>
  <c r="AF186" i="12"/>
  <c r="AF187" i="12"/>
  <c r="AF188" i="12"/>
  <c r="AF189" i="12"/>
  <c r="AF190" i="12"/>
  <c r="AF191" i="12"/>
  <c r="AF2" i="12"/>
  <c r="AD192" i="12"/>
  <c r="AD193" i="12"/>
  <c r="AD194" i="12"/>
  <c r="AD195" i="12"/>
  <c r="AD196" i="12"/>
  <c r="AD197" i="12"/>
  <c r="AD198" i="12"/>
  <c r="AD199" i="12"/>
  <c r="AD200" i="12"/>
  <c r="AD201" i="12"/>
  <c r="AD202" i="12"/>
  <c r="AD203" i="12"/>
  <c r="AD204" i="12"/>
  <c r="AD205" i="12"/>
  <c r="AD206" i="12"/>
  <c r="AD207" i="12"/>
  <c r="AD208" i="12"/>
  <c r="AD209" i="12"/>
  <c r="AD210" i="12"/>
  <c r="AD211" i="12"/>
  <c r="AD212" i="12"/>
  <c r="AD213" i="12"/>
  <c r="AD214" i="12"/>
  <c r="AD215" i="12"/>
  <c r="AD216" i="12"/>
  <c r="AD217" i="12"/>
  <c r="AD218" i="12"/>
  <c r="AD219" i="12"/>
  <c r="AD220" i="12"/>
  <c r="AD221" i="12"/>
  <c r="AD222" i="12"/>
  <c r="AD223" i="12"/>
  <c r="AD224" i="12"/>
  <c r="AD225" i="12"/>
  <c r="AD226" i="12"/>
  <c r="AD227" i="12"/>
  <c r="AD228" i="12"/>
  <c r="AD229" i="12"/>
  <c r="AD230" i="12"/>
  <c r="AD231" i="12"/>
  <c r="AD232" i="12"/>
  <c r="AD233" i="12"/>
  <c r="AD234" i="12"/>
  <c r="AD235" i="12"/>
  <c r="AD236" i="12"/>
  <c r="AD237" i="12"/>
  <c r="AD238" i="12"/>
  <c r="AD239" i="12"/>
  <c r="AD240" i="12"/>
  <c r="AD241" i="12"/>
  <c r="AD242" i="12"/>
  <c r="AD243" i="12"/>
  <c r="AD244" i="12"/>
  <c r="AD245" i="12"/>
  <c r="AD246" i="12"/>
  <c r="AD247" i="12"/>
  <c r="AD248" i="12"/>
  <c r="AD249" i="12"/>
  <c r="AD250" i="12"/>
  <c r="AD251" i="12"/>
  <c r="AD252" i="12"/>
  <c r="AD253" i="12"/>
  <c r="AD254" i="12"/>
  <c r="AD255" i="12"/>
  <c r="AD256" i="12"/>
  <c r="AD257" i="12"/>
  <c r="AD258" i="12"/>
  <c r="AD259" i="12"/>
  <c r="AD260" i="12"/>
  <c r="AD261" i="12"/>
  <c r="AD262" i="12"/>
  <c r="AD263" i="12"/>
  <c r="AD264" i="12"/>
  <c r="AD265" i="12"/>
  <c r="AD266" i="12"/>
  <c r="AD267" i="12"/>
  <c r="AD268" i="12"/>
  <c r="AD269" i="12"/>
  <c r="AD270" i="12"/>
  <c r="AD271" i="12"/>
  <c r="AD272" i="12"/>
  <c r="AD273" i="12"/>
  <c r="AD274" i="12"/>
  <c r="AD275" i="12"/>
  <c r="AD276" i="12"/>
  <c r="AD277" i="12"/>
  <c r="AD278" i="12"/>
  <c r="AD279" i="12"/>
  <c r="AD280" i="12"/>
  <c r="AD281" i="12"/>
  <c r="AD282" i="12"/>
  <c r="AD283" i="12"/>
  <c r="AD284" i="12"/>
  <c r="AD285" i="12"/>
  <c r="AD286" i="12"/>
  <c r="AD287" i="12"/>
  <c r="AD288" i="12"/>
  <c r="AD289" i="12"/>
  <c r="AD290" i="12"/>
  <c r="AD291" i="12"/>
  <c r="AD292" i="12"/>
  <c r="AD293" i="12"/>
  <c r="AD294" i="12"/>
  <c r="AD295" i="12"/>
  <c r="AD296" i="12"/>
  <c r="AD297" i="12"/>
  <c r="AD298" i="12"/>
  <c r="AD299" i="12"/>
  <c r="AD300" i="12"/>
  <c r="AD301" i="12"/>
  <c r="AD302" i="12"/>
  <c r="AD303" i="12"/>
  <c r="AD304" i="12"/>
  <c r="AD305" i="12"/>
  <c r="AD306" i="12"/>
  <c r="AD307" i="12"/>
  <c r="AD308" i="12"/>
  <c r="AD309" i="12"/>
  <c r="AD310" i="12"/>
  <c r="AD311" i="12"/>
  <c r="AD312" i="12"/>
  <c r="AD313" i="12"/>
  <c r="AD314" i="12"/>
  <c r="AD315" i="12"/>
  <c r="AD316" i="12"/>
  <c r="AD317" i="12"/>
  <c r="AD318" i="12"/>
  <c r="AD319" i="12"/>
  <c r="AD320" i="12"/>
  <c r="AD321" i="12"/>
  <c r="AD322" i="12"/>
  <c r="AD323" i="12"/>
  <c r="AD324" i="12"/>
  <c r="AD325" i="12"/>
  <c r="AD326" i="12"/>
  <c r="AD327" i="12"/>
  <c r="AD328" i="12"/>
  <c r="AD329" i="12"/>
  <c r="AD330" i="12"/>
  <c r="AD331" i="12"/>
  <c r="AD332" i="12"/>
  <c r="AD333" i="12"/>
  <c r="AD334" i="12"/>
  <c r="AD335" i="12"/>
  <c r="AD336" i="12"/>
  <c r="AD337" i="12"/>
  <c r="AD338" i="12"/>
  <c r="AD339" i="12"/>
  <c r="AD340" i="12"/>
  <c r="AD341" i="12"/>
  <c r="AD342" i="12"/>
  <c r="AD343" i="12"/>
  <c r="AD344" i="12"/>
  <c r="AD345" i="12"/>
  <c r="AD346" i="12"/>
  <c r="AD347" i="12"/>
  <c r="AD348" i="12"/>
  <c r="AD349" i="12"/>
  <c r="AD350" i="12"/>
  <c r="AD351" i="12"/>
  <c r="AD352" i="12"/>
  <c r="AD353" i="12"/>
  <c r="AD354" i="12"/>
  <c r="AD355" i="12"/>
  <c r="AD356" i="12"/>
  <c r="AD357" i="12"/>
  <c r="AD358" i="12"/>
  <c r="AD359" i="12"/>
  <c r="AD360" i="12"/>
  <c r="AD361" i="12"/>
  <c r="AD362" i="12"/>
  <c r="AD363" i="12"/>
  <c r="AD364" i="12"/>
  <c r="AD365" i="12"/>
  <c r="AD366" i="12"/>
  <c r="AD367" i="12"/>
  <c r="AD368" i="12"/>
  <c r="AD369" i="12"/>
  <c r="AD370" i="12"/>
  <c r="AD371" i="12"/>
  <c r="AD372" i="12"/>
  <c r="AD373" i="12"/>
  <c r="AD374" i="12"/>
  <c r="AD375" i="12"/>
  <c r="AD376" i="12"/>
  <c r="AD377" i="12"/>
  <c r="AD378" i="12"/>
  <c r="AD379" i="12"/>
  <c r="AD380" i="12"/>
  <c r="AD381" i="12"/>
  <c r="AD382" i="12"/>
  <c r="AD383" i="12"/>
  <c r="AD384" i="12"/>
  <c r="AD385" i="12"/>
  <c r="AD386" i="12"/>
  <c r="AD387" i="12"/>
  <c r="AD388" i="12"/>
  <c r="AD389" i="12"/>
  <c r="AD390" i="12"/>
  <c r="AD391" i="12"/>
  <c r="AD392" i="12"/>
  <c r="AD393" i="12"/>
  <c r="AD394" i="12"/>
  <c r="AD395" i="12"/>
  <c r="AD396" i="12"/>
  <c r="AD397" i="12"/>
  <c r="AD398" i="12"/>
  <c r="AD399" i="12"/>
  <c r="AD400" i="12"/>
  <c r="AD401" i="12"/>
  <c r="AD402" i="12"/>
  <c r="AD403" i="12"/>
  <c r="AD404" i="12"/>
  <c r="AC192" i="12"/>
  <c r="AC193" i="12"/>
  <c r="AC194" i="12"/>
  <c r="AC195" i="12"/>
  <c r="AC196" i="12"/>
  <c r="AC197" i="12"/>
  <c r="AC198" i="12"/>
  <c r="AC199" i="12"/>
  <c r="AC200" i="12"/>
  <c r="AC201" i="12"/>
  <c r="AC202" i="12"/>
  <c r="AC203" i="12"/>
  <c r="AC204" i="12"/>
  <c r="AC205" i="12"/>
  <c r="AC206" i="12"/>
  <c r="AC207" i="12"/>
  <c r="AC208" i="12"/>
  <c r="AC209" i="12"/>
  <c r="AC210" i="12"/>
  <c r="AC211" i="12"/>
  <c r="AC212" i="12"/>
  <c r="AC213" i="12"/>
  <c r="AC214" i="12"/>
  <c r="AC215" i="12"/>
  <c r="AC216" i="12"/>
  <c r="AC217" i="12"/>
  <c r="AC218" i="12"/>
  <c r="AC219" i="12"/>
  <c r="AC220" i="12"/>
  <c r="AC221" i="12"/>
  <c r="AC222" i="12"/>
  <c r="AC223" i="12"/>
  <c r="AC224" i="12"/>
  <c r="AC225" i="12"/>
  <c r="AC226" i="12"/>
  <c r="AC227" i="12"/>
  <c r="AC228" i="12"/>
  <c r="AC229" i="12"/>
  <c r="AC230" i="12"/>
  <c r="AC231" i="12"/>
  <c r="AC232" i="12"/>
  <c r="AC233" i="12"/>
  <c r="AC234" i="12"/>
  <c r="AC235" i="12"/>
  <c r="AC236" i="12"/>
  <c r="AC237" i="12"/>
  <c r="AC238" i="12"/>
  <c r="AC239" i="12"/>
  <c r="AC240" i="12"/>
  <c r="AC241" i="12"/>
  <c r="AC242" i="12"/>
  <c r="AC243" i="12"/>
  <c r="AC244" i="12"/>
  <c r="AC245" i="12"/>
  <c r="AC246" i="12"/>
  <c r="AC247" i="12"/>
  <c r="AC248" i="12"/>
  <c r="AC249" i="12"/>
  <c r="AC250" i="12"/>
  <c r="AC251" i="12"/>
  <c r="AC252" i="12"/>
  <c r="AC253" i="12"/>
  <c r="AC254" i="12"/>
  <c r="AC255" i="12"/>
  <c r="AC256" i="12"/>
  <c r="AC257" i="12"/>
  <c r="AC258" i="12"/>
  <c r="AC259" i="12"/>
  <c r="AC260" i="12"/>
  <c r="AC261" i="12"/>
  <c r="AC262" i="12"/>
  <c r="AC263" i="12"/>
  <c r="AC264" i="12"/>
  <c r="AC265" i="12"/>
  <c r="AC266" i="12"/>
  <c r="AC267" i="12"/>
  <c r="AC268" i="12"/>
  <c r="AC269" i="12"/>
  <c r="AC270" i="12"/>
  <c r="AC271" i="12"/>
  <c r="AC272" i="12"/>
  <c r="AC273" i="12"/>
  <c r="AC274" i="12"/>
  <c r="AC275" i="12"/>
  <c r="AC276" i="12"/>
  <c r="AC277" i="12"/>
  <c r="AC278" i="12"/>
  <c r="AC279" i="12"/>
  <c r="AC280" i="12"/>
  <c r="AC281" i="12"/>
  <c r="AC282" i="12"/>
  <c r="AC283" i="12"/>
  <c r="AC284" i="12"/>
  <c r="AC285" i="12"/>
  <c r="AC286" i="12"/>
  <c r="AC287" i="12"/>
  <c r="AC288" i="12"/>
  <c r="AC289" i="12"/>
  <c r="AC290" i="12"/>
  <c r="AC291" i="12"/>
  <c r="AC292" i="12"/>
  <c r="AC293" i="12"/>
  <c r="AC294" i="12"/>
  <c r="AC295" i="12"/>
  <c r="AC296" i="12"/>
  <c r="AC297" i="12"/>
  <c r="AC298" i="12"/>
  <c r="AC299" i="12"/>
  <c r="AC300" i="12"/>
  <c r="AC301" i="12"/>
  <c r="AC302" i="12"/>
  <c r="AC303" i="12"/>
  <c r="AC304" i="12"/>
  <c r="AC305" i="12"/>
  <c r="AC306" i="12"/>
  <c r="AC307" i="12"/>
  <c r="AC308" i="12"/>
  <c r="AC309" i="12"/>
  <c r="AC310" i="12"/>
  <c r="AC311" i="12"/>
  <c r="AC312" i="12"/>
  <c r="AC313" i="12"/>
  <c r="AC314" i="12"/>
  <c r="AC315" i="12"/>
  <c r="AC316" i="12"/>
  <c r="AC317" i="12"/>
  <c r="AC318" i="12"/>
  <c r="AC319" i="12"/>
  <c r="AC320" i="12"/>
  <c r="AC321" i="12"/>
  <c r="AC322" i="12"/>
  <c r="AC323" i="12"/>
  <c r="AC324" i="12"/>
  <c r="AC325" i="12"/>
  <c r="AC326" i="12"/>
  <c r="AC327" i="12"/>
  <c r="AC328" i="12"/>
  <c r="AC329" i="12"/>
  <c r="AC330" i="12"/>
  <c r="AC331" i="12"/>
  <c r="AC332" i="12"/>
  <c r="AC333" i="12"/>
  <c r="AC334" i="12"/>
  <c r="AC335" i="12"/>
  <c r="AC336" i="12"/>
  <c r="AC337" i="12"/>
  <c r="AC338" i="12"/>
  <c r="AC339" i="12"/>
  <c r="AC340" i="12"/>
  <c r="AC341" i="12"/>
  <c r="AC342" i="12"/>
  <c r="AC343" i="12"/>
  <c r="AC344" i="12"/>
  <c r="AC345" i="12"/>
  <c r="AC346" i="12"/>
  <c r="AC347" i="12"/>
  <c r="AC348" i="12"/>
  <c r="AC349" i="12"/>
  <c r="AC350" i="12"/>
  <c r="AC351" i="12"/>
  <c r="AC352" i="12"/>
  <c r="AC353" i="12"/>
  <c r="AC354" i="12"/>
  <c r="AC355" i="12"/>
  <c r="AC356" i="12"/>
  <c r="AC357" i="12"/>
  <c r="AC358" i="12"/>
  <c r="AC359" i="12"/>
  <c r="AC360" i="12"/>
  <c r="AC361" i="12"/>
  <c r="AC362" i="12"/>
  <c r="AC363" i="12"/>
  <c r="AC364" i="12"/>
  <c r="AC365" i="12"/>
  <c r="AC366" i="12"/>
  <c r="AC367" i="12"/>
  <c r="AC368" i="12"/>
  <c r="AC369" i="12"/>
  <c r="AC370" i="12"/>
  <c r="AC371" i="12"/>
  <c r="AC372" i="12"/>
  <c r="AC373" i="12"/>
  <c r="AC374" i="12"/>
  <c r="AC375" i="12"/>
  <c r="AC376" i="12"/>
  <c r="AC377" i="12"/>
  <c r="AC378" i="12"/>
  <c r="AC379" i="12"/>
  <c r="AC380" i="12"/>
  <c r="AC381" i="12"/>
  <c r="AC382" i="12"/>
  <c r="AC383" i="12"/>
  <c r="AC384" i="12"/>
  <c r="AC385" i="12"/>
  <c r="AC386" i="12"/>
  <c r="AC387" i="12"/>
  <c r="AC388" i="12"/>
  <c r="AC389" i="12"/>
  <c r="AC390" i="12"/>
  <c r="AC391" i="12"/>
  <c r="AC392" i="12"/>
  <c r="AC393" i="12"/>
  <c r="AC394" i="12"/>
  <c r="AC395" i="12"/>
  <c r="AC396" i="12"/>
  <c r="AC397" i="12"/>
  <c r="AC398" i="12"/>
  <c r="AC399" i="12"/>
  <c r="AC400" i="12"/>
  <c r="AC401" i="12"/>
  <c r="AC402" i="12"/>
  <c r="AC403" i="12"/>
  <c r="AC404" i="12"/>
  <c r="AA192" i="12"/>
  <c r="AE192" i="12" s="1"/>
  <c r="AA193" i="12"/>
  <c r="AE193" i="12" s="1"/>
  <c r="AA194" i="12"/>
  <c r="AA195" i="12"/>
  <c r="AA196" i="12"/>
  <c r="AA197" i="12"/>
  <c r="AB197" i="12" s="1"/>
  <c r="AA198" i="12"/>
  <c r="AB198" i="12" s="1"/>
  <c r="AA199" i="12"/>
  <c r="AE199" i="12" s="1"/>
  <c r="AA200" i="12"/>
  <c r="AE200" i="12" s="1"/>
  <c r="AA201" i="12"/>
  <c r="AA202" i="12"/>
  <c r="AA203" i="12"/>
  <c r="AA204" i="12"/>
  <c r="AA205" i="12"/>
  <c r="AA206" i="12"/>
  <c r="AB206" i="12" s="1"/>
  <c r="AA207" i="12"/>
  <c r="AB207" i="12" s="1"/>
  <c r="AA208" i="12"/>
  <c r="AE208" i="12" s="1"/>
  <c r="AA209" i="12"/>
  <c r="AA210" i="12"/>
  <c r="AA211" i="12"/>
  <c r="AA212" i="12"/>
  <c r="AA213" i="12"/>
  <c r="AA214" i="12"/>
  <c r="AB214" i="12" s="1"/>
  <c r="AA215" i="12"/>
  <c r="AB215" i="12" s="1"/>
  <c r="AA216" i="12"/>
  <c r="AE216" i="12" s="1"/>
  <c r="AA217" i="12"/>
  <c r="AA218" i="12"/>
  <c r="AA219" i="12"/>
  <c r="AA220" i="12"/>
  <c r="AA221" i="12"/>
  <c r="AA222" i="12"/>
  <c r="AB222" i="12" s="1"/>
  <c r="AA223" i="12"/>
  <c r="AB223" i="12" s="1"/>
  <c r="AA224" i="12"/>
  <c r="AE224" i="12" s="1"/>
  <c r="AA225" i="12"/>
  <c r="AA226" i="12"/>
  <c r="AA227" i="12"/>
  <c r="AA228" i="12"/>
  <c r="AA229" i="12"/>
  <c r="AA230" i="12"/>
  <c r="AB230" i="12" s="1"/>
  <c r="AA231" i="12"/>
  <c r="AE231" i="12" s="1"/>
  <c r="AA232" i="12"/>
  <c r="AE232" i="12" s="1"/>
  <c r="AA233" i="12"/>
  <c r="AA234" i="12"/>
  <c r="AA235" i="12"/>
  <c r="AA236" i="12"/>
  <c r="AA237" i="12"/>
  <c r="AA238" i="12"/>
  <c r="AB238" i="12" s="1"/>
  <c r="AA239" i="12"/>
  <c r="AB239" i="12" s="1"/>
  <c r="AA240" i="12"/>
  <c r="AE240" i="12" s="1"/>
  <c r="AA241" i="12"/>
  <c r="AA242" i="12"/>
  <c r="AA243" i="12"/>
  <c r="AA244" i="12"/>
  <c r="AA245" i="12"/>
  <c r="AA246" i="12"/>
  <c r="AB246" i="12" s="1"/>
  <c r="AA247" i="12"/>
  <c r="AB247" i="12" s="1"/>
  <c r="AA248" i="12"/>
  <c r="AE248" i="12" s="1"/>
  <c r="AA249" i="12"/>
  <c r="AA250" i="12"/>
  <c r="AA251" i="12"/>
  <c r="AA252" i="12"/>
  <c r="AA253" i="12"/>
  <c r="AA254" i="12"/>
  <c r="AB254" i="12" s="1"/>
  <c r="AA255" i="12"/>
  <c r="AB255" i="12" s="1"/>
  <c r="AA256" i="12"/>
  <c r="AE256" i="12" s="1"/>
  <c r="AA257" i="12"/>
  <c r="AA258" i="12"/>
  <c r="AA259" i="12"/>
  <c r="AA260" i="12"/>
  <c r="AA261" i="12"/>
  <c r="AA262" i="12"/>
  <c r="AB262" i="12" s="1"/>
  <c r="AA263" i="12"/>
  <c r="AE263" i="12" s="1"/>
  <c r="AA264" i="12"/>
  <c r="AE264" i="12" s="1"/>
  <c r="AA265" i="12"/>
  <c r="AA266" i="12"/>
  <c r="AA267" i="12"/>
  <c r="AA268" i="12"/>
  <c r="AA269" i="12"/>
  <c r="AA270" i="12"/>
  <c r="AB270" i="12" s="1"/>
  <c r="AA271" i="12"/>
  <c r="AB271" i="12" s="1"/>
  <c r="AA272" i="12"/>
  <c r="AE272" i="12" s="1"/>
  <c r="AA273" i="12"/>
  <c r="AA274" i="12"/>
  <c r="AA275" i="12"/>
  <c r="AA276" i="12"/>
  <c r="AA277" i="12"/>
  <c r="AA278" i="12"/>
  <c r="AB278" i="12" s="1"/>
  <c r="AA279" i="12"/>
  <c r="AB279" i="12" s="1"/>
  <c r="AA280" i="12"/>
  <c r="AE280" i="12" s="1"/>
  <c r="AA281" i="12"/>
  <c r="AA282" i="12"/>
  <c r="AA283" i="12"/>
  <c r="AA284" i="12"/>
  <c r="AA285" i="12"/>
  <c r="AA286" i="12"/>
  <c r="AB286" i="12" s="1"/>
  <c r="AA287" i="12"/>
  <c r="AB287" i="12" s="1"/>
  <c r="AA288" i="12"/>
  <c r="AE288" i="12" s="1"/>
  <c r="AA289" i="12"/>
  <c r="AA290" i="12"/>
  <c r="AA291" i="12"/>
  <c r="AA292" i="12"/>
  <c r="AA293" i="12"/>
  <c r="AA294" i="12"/>
  <c r="AB294" i="12" s="1"/>
  <c r="AA295" i="12"/>
  <c r="AE295" i="12" s="1"/>
  <c r="AA296" i="12"/>
  <c r="AE296" i="12" s="1"/>
  <c r="AA297" i="12"/>
  <c r="AA298" i="12"/>
  <c r="AA299" i="12"/>
  <c r="AA300" i="12"/>
  <c r="AA301" i="12"/>
  <c r="AA302" i="12"/>
  <c r="AB302" i="12" s="1"/>
  <c r="AA303" i="12"/>
  <c r="AB303" i="12" s="1"/>
  <c r="AA304" i="12"/>
  <c r="AE304" i="12" s="1"/>
  <c r="AA305" i="12"/>
  <c r="AA306" i="12"/>
  <c r="AA307" i="12"/>
  <c r="AA308" i="12"/>
  <c r="AA309" i="12"/>
  <c r="AA310" i="12"/>
  <c r="AB310" i="12" s="1"/>
  <c r="AA311" i="12"/>
  <c r="AB311" i="12" s="1"/>
  <c r="AA312" i="12"/>
  <c r="AE312" i="12" s="1"/>
  <c r="AA313" i="12"/>
  <c r="AA314" i="12"/>
  <c r="AA315" i="12"/>
  <c r="AA316" i="12"/>
  <c r="AA317" i="12"/>
  <c r="AA318" i="12"/>
  <c r="AB318" i="12" s="1"/>
  <c r="AA319" i="12"/>
  <c r="AB319" i="12" s="1"/>
  <c r="AA320" i="12"/>
  <c r="AE320" i="12" s="1"/>
  <c r="AA321" i="12"/>
  <c r="AA322" i="12"/>
  <c r="AA323" i="12"/>
  <c r="AA324" i="12"/>
  <c r="AA325" i="12"/>
  <c r="AA326" i="12"/>
  <c r="AB326" i="12" s="1"/>
  <c r="AA327" i="12"/>
  <c r="AE327" i="12" s="1"/>
  <c r="AA328" i="12"/>
  <c r="AE328" i="12" s="1"/>
  <c r="AA329" i="12"/>
  <c r="AA330" i="12"/>
  <c r="AA331" i="12"/>
  <c r="AA332" i="12"/>
  <c r="AA333" i="12"/>
  <c r="AA334" i="12"/>
  <c r="AB334" i="12" s="1"/>
  <c r="AA335" i="12"/>
  <c r="AB335" i="12" s="1"/>
  <c r="AA336" i="12"/>
  <c r="AE336" i="12" s="1"/>
  <c r="AA337" i="12"/>
  <c r="AA338" i="12"/>
  <c r="AA339" i="12"/>
  <c r="AA340" i="12"/>
  <c r="AA341" i="12"/>
  <c r="AA342" i="12"/>
  <c r="AB342" i="12" s="1"/>
  <c r="AA343" i="12"/>
  <c r="AB343" i="12" s="1"/>
  <c r="AA344" i="12"/>
  <c r="AE344" i="12" s="1"/>
  <c r="AA345" i="12"/>
  <c r="AA346" i="12"/>
  <c r="AA347" i="12"/>
  <c r="AA348" i="12"/>
  <c r="AA349" i="12"/>
  <c r="AA350" i="12"/>
  <c r="AB350" i="12" s="1"/>
  <c r="AA351" i="12"/>
  <c r="AB351" i="12" s="1"/>
  <c r="AA352" i="12"/>
  <c r="AE352" i="12" s="1"/>
  <c r="AA353" i="12"/>
  <c r="AA354" i="12"/>
  <c r="AA355" i="12"/>
  <c r="AA356" i="12"/>
  <c r="AA357" i="12"/>
  <c r="AA358" i="12"/>
  <c r="AB358" i="12" s="1"/>
  <c r="AA359" i="12"/>
  <c r="AE359" i="12" s="1"/>
  <c r="AA360" i="12"/>
  <c r="AE360" i="12" s="1"/>
  <c r="AA361" i="12"/>
  <c r="AA362" i="12"/>
  <c r="AA363" i="12"/>
  <c r="AA364" i="12"/>
  <c r="AA365" i="12"/>
  <c r="AA366" i="12"/>
  <c r="AB366" i="12" s="1"/>
  <c r="AA367" i="12"/>
  <c r="AB367" i="12" s="1"/>
  <c r="AA368" i="12"/>
  <c r="AE368" i="12" s="1"/>
  <c r="AA369" i="12"/>
  <c r="AA370" i="12"/>
  <c r="AA371" i="12"/>
  <c r="AA372" i="12"/>
  <c r="AA373" i="12"/>
  <c r="AA374" i="12"/>
  <c r="AB374" i="12" s="1"/>
  <c r="AA375" i="12"/>
  <c r="AB375" i="12" s="1"/>
  <c r="AA376" i="12"/>
  <c r="AE376" i="12" s="1"/>
  <c r="AA377" i="12"/>
  <c r="AA378" i="12"/>
  <c r="AA379" i="12"/>
  <c r="AA380" i="12"/>
  <c r="AA381" i="12"/>
  <c r="AA382" i="12"/>
  <c r="AB382" i="12" s="1"/>
  <c r="AA383" i="12"/>
  <c r="AB383" i="12" s="1"/>
  <c r="AA384" i="12"/>
  <c r="AE384" i="12" s="1"/>
  <c r="AA385" i="12"/>
  <c r="AA386" i="12"/>
  <c r="AA387" i="12"/>
  <c r="AA388" i="12"/>
  <c r="AA389" i="12"/>
  <c r="AA390" i="12"/>
  <c r="AB390" i="12" s="1"/>
  <c r="AA391" i="12"/>
  <c r="AE391" i="12" s="1"/>
  <c r="AA392" i="12"/>
  <c r="AE392" i="12" s="1"/>
  <c r="AA393" i="12"/>
  <c r="AA394" i="12"/>
  <c r="AA395" i="12"/>
  <c r="AA396" i="12"/>
  <c r="AA397" i="12"/>
  <c r="AA398" i="12"/>
  <c r="AB398" i="12" s="1"/>
  <c r="AA399" i="12"/>
  <c r="AB399" i="12" s="1"/>
  <c r="AA400" i="12"/>
  <c r="AE400" i="12" s="1"/>
  <c r="AA401" i="12"/>
  <c r="AA402" i="12"/>
  <c r="AA403" i="12"/>
  <c r="AA404" i="12"/>
  <c r="AA3" i="12"/>
  <c r="AA4" i="12"/>
  <c r="AA5" i="12"/>
  <c r="AA6" i="12"/>
  <c r="AA7" i="12"/>
  <c r="AA8" i="12"/>
  <c r="AA9" i="12"/>
  <c r="AA10" i="12"/>
  <c r="AA11" i="12"/>
  <c r="AA12" i="12"/>
  <c r="AA13" i="12"/>
  <c r="AA14" i="12"/>
  <c r="AA15" i="12"/>
  <c r="AA16" i="12"/>
  <c r="AA17" i="12"/>
  <c r="AA18" i="12"/>
  <c r="AA19" i="12"/>
  <c r="AA20" i="12"/>
  <c r="AA21" i="12"/>
  <c r="AA22" i="12"/>
  <c r="AA23" i="12"/>
  <c r="AA24" i="12"/>
  <c r="AA25" i="12"/>
  <c r="AA26" i="12"/>
  <c r="AA27" i="12"/>
  <c r="AA28" i="12"/>
  <c r="AA29" i="12"/>
  <c r="AA30" i="12"/>
  <c r="AA31" i="12"/>
  <c r="AA32" i="12"/>
  <c r="AA33" i="12"/>
  <c r="AA34" i="12"/>
  <c r="AA35" i="12"/>
  <c r="AA36" i="12"/>
  <c r="AA37" i="12"/>
  <c r="AA38" i="12"/>
  <c r="AA39" i="12"/>
  <c r="AA40" i="12"/>
  <c r="AA41" i="12"/>
  <c r="AA42" i="12"/>
  <c r="AA43" i="12"/>
  <c r="AA44" i="12"/>
  <c r="AA45" i="12"/>
  <c r="AA46" i="12"/>
  <c r="AA47" i="12"/>
  <c r="AA48" i="12"/>
  <c r="AA49" i="12"/>
  <c r="AA50" i="12"/>
  <c r="AA51" i="12"/>
  <c r="AA52" i="12"/>
  <c r="AA53" i="12"/>
  <c r="AA54" i="12"/>
  <c r="AA55" i="12"/>
  <c r="AA56" i="12"/>
  <c r="AA57" i="12"/>
  <c r="AA58" i="12"/>
  <c r="AA59" i="12"/>
  <c r="AA60" i="12"/>
  <c r="AA61" i="12"/>
  <c r="AA62" i="12"/>
  <c r="AA63" i="12"/>
  <c r="AA64" i="12"/>
  <c r="AA65" i="12"/>
  <c r="AA66" i="12"/>
  <c r="AA67" i="12"/>
  <c r="AA68" i="12"/>
  <c r="AA69" i="12"/>
  <c r="AA70" i="12"/>
  <c r="AA71" i="12"/>
  <c r="AA72" i="12"/>
  <c r="AA73" i="12"/>
  <c r="AA74" i="12"/>
  <c r="AA75" i="12"/>
  <c r="AA76" i="12"/>
  <c r="AA77" i="12"/>
  <c r="AA78" i="12"/>
  <c r="AA79" i="12"/>
  <c r="AA80" i="12"/>
  <c r="AA81" i="12"/>
  <c r="AA82" i="12"/>
  <c r="AA83" i="12"/>
  <c r="AA84" i="12"/>
  <c r="AA85" i="12"/>
  <c r="AA86" i="12"/>
  <c r="AA87" i="12"/>
  <c r="AA88" i="12"/>
  <c r="AA89" i="12"/>
  <c r="AA90" i="12"/>
  <c r="AA91" i="12"/>
  <c r="AA92" i="12"/>
  <c r="AA93" i="12"/>
  <c r="AA94" i="12"/>
  <c r="AA95" i="12"/>
  <c r="AA96" i="12"/>
  <c r="AA97" i="12"/>
  <c r="AA98" i="12"/>
  <c r="AA99" i="12"/>
  <c r="AA100" i="12"/>
  <c r="AA101" i="12"/>
  <c r="AA102" i="12"/>
  <c r="AA103" i="12"/>
  <c r="AA104" i="12"/>
  <c r="AA105" i="12"/>
  <c r="AA106" i="12"/>
  <c r="AA107" i="12"/>
  <c r="AA108" i="12"/>
  <c r="AA109" i="12"/>
  <c r="AA110" i="12"/>
  <c r="AA111" i="12"/>
  <c r="AA112" i="12"/>
  <c r="AA113" i="12"/>
  <c r="AA114" i="12"/>
  <c r="AA115" i="12"/>
  <c r="AA116" i="12"/>
  <c r="AA117" i="12"/>
  <c r="AA118" i="12"/>
  <c r="AA119" i="12"/>
  <c r="AA120" i="12"/>
  <c r="AA121" i="12"/>
  <c r="AA122" i="12"/>
  <c r="AA123" i="12"/>
  <c r="AA124" i="12"/>
  <c r="AA125" i="12"/>
  <c r="AA126" i="12"/>
  <c r="AA127" i="12"/>
  <c r="AA128" i="12"/>
  <c r="AA129" i="12"/>
  <c r="AA130" i="12"/>
  <c r="AA131" i="12"/>
  <c r="AA132" i="12"/>
  <c r="AA133" i="12"/>
  <c r="AA134" i="12"/>
  <c r="AA135" i="12"/>
  <c r="AA136" i="12"/>
  <c r="AA137" i="12"/>
  <c r="AA138" i="12"/>
  <c r="AA139" i="12"/>
  <c r="AA140" i="12"/>
  <c r="AA141" i="12"/>
  <c r="AA142" i="12"/>
  <c r="AA143" i="12"/>
  <c r="AA144" i="12"/>
  <c r="AA145" i="12"/>
  <c r="AA146" i="12"/>
  <c r="AA147" i="12"/>
  <c r="AA148" i="12"/>
  <c r="AA149" i="12"/>
  <c r="AA150" i="12"/>
  <c r="AA151" i="12"/>
  <c r="AA152" i="12"/>
  <c r="AA153" i="12"/>
  <c r="AA154" i="12"/>
  <c r="AA155" i="12"/>
  <c r="AA156" i="12"/>
  <c r="AA157" i="12"/>
  <c r="AA158" i="12"/>
  <c r="AA159" i="12"/>
  <c r="AA160" i="12"/>
  <c r="AA161" i="12"/>
  <c r="AA162" i="12"/>
  <c r="AA163" i="12"/>
  <c r="AA164" i="12"/>
  <c r="AA165" i="12"/>
  <c r="AA166" i="12"/>
  <c r="AA167" i="12"/>
  <c r="AA168" i="12"/>
  <c r="AA169" i="12"/>
  <c r="AA170" i="12"/>
  <c r="AA171" i="12"/>
  <c r="AA172" i="12"/>
  <c r="AA173" i="12"/>
  <c r="AA174" i="12"/>
  <c r="AA175" i="12"/>
  <c r="AA176" i="12"/>
  <c r="AA177" i="12"/>
  <c r="AA178" i="12"/>
  <c r="AA179" i="12"/>
  <c r="AA180" i="12"/>
  <c r="AA181" i="12"/>
  <c r="AA182" i="12"/>
  <c r="AA183" i="12"/>
  <c r="AA184" i="12"/>
  <c r="AA185" i="12"/>
  <c r="AA186" i="12"/>
  <c r="AA187" i="12"/>
  <c r="AA188" i="12"/>
  <c r="AA189" i="12"/>
  <c r="AA190" i="12"/>
  <c r="AA191" i="12"/>
  <c r="AA2" i="12"/>
  <c r="Y192" i="12"/>
  <c r="Y193" i="12"/>
  <c r="Y194" i="12"/>
  <c r="Y195" i="12"/>
  <c r="Y196" i="12"/>
  <c r="Y197" i="12"/>
  <c r="Y198" i="12"/>
  <c r="Y199" i="12"/>
  <c r="Y200" i="12"/>
  <c r="Y201" i="12"/>
  <c r="Y202" i="12"/>
  <c r="Y203" i="12"/>
  <c r="Y204" i="12"/>
  <c r="Y205" i="12"/>
  <c r="Y206" i="12"/>
  <c r="Y207" i="12"/>
  <c r="Y208" i="12"/>
  <c r="Y209" i="12"/>
  <c r="Y210" i="12"/>
  <c r="Y211" i="12"/>
  <c r="Y212" i="12"/>
  <c r="Y213" i="12"/>
  <c r="Y214" i="12"/>
  <c r="Y215" i="12"/>
  <c r="Y216" i="12"/>
  <c r="Y217" i="12"/>
  <c r="Y218" i="12"/>
  <c r="Y219" i="12"/>
  <c r="Y220" i="12"/>
  <c r="Y221" i="12"/>
  <c r="Y222" i="12"/>
  <c r="Y223" i="12"/>
  <c r="Y224" i="12"/>
  <c r="Y225" i="12"/>
  <c r="Y226" i="12"/>
  <c r="Y227" i="12"/>
  <c r="Y228" i="12"/>
  <c r="Y229" i="12"/>
  <c r="Y230" i="12"/>
  <c r="Y231" i="12"/>
  <c r="Y232" i="12"/>
  <c r="Y233" i="12"/>
  <c r="Y234" i="12"/>
  <c r="Y235" i="12"/>
  <c r="Y236" i="12"/>
  <c r="Y237" i="12"/>
  <c r="Y238" i="12"/>
  <c r="Y239" i="12"/>
  <c r="Y240" i="12"/>
  <c r="Y241" i="12"/>
  <c r="Y242" i="12"/>
  <c r="Y243" i="12"/>
  <c r="Y244" i="12"/>
  <c r="Y245" i="12"/>
  <c r="Y246" i="12"/>
  <c r="Y247" i="12"/>
  <c r="Y248" i="12"/>
  <c r="Y249" i="12"/>
  <c r="Y250" i="12"/>
  <c r="Y251" i="12"/>
  <c r="Y252" i="12"/>
  <c r="Y253" i="12"/>
  <c r="Y254" i="12"/>
  <c r="Y255" i="12"/>
  <c r="Y256" i="12"/>
  <c r="Y257" i="12"/>
  <c r="Y258" i="12"/>
  <c r="Y259" i="12"/>
  <c r="Y260" i="12"/>
  <c r="Y261" i="12"/>
  <c r="Y262" i="12"/>
  <c r="Y263" i="12"/>
  <c r="Y264" i="12"/>
  <c r="Y265" i="12"/>
  <c r="Y266" i="12"/>
  <c r="Y267" i="12"/>
  <c r="Y268" i="12"/>
  <c r="Y269" i="12"/>
  <c r="Y270" i="12"/>
  <c r="Y271" i="12"/>
  <c r="Y272" i="12"/>
  <c r="Y273" i="12"/>
  <c r="Y274" i="12"/>
  <c r="Y275" i="12"/>
  <c r="Y276" i="12"/>
  <c r="Y277" i="12"/>
  <c r="Y278" i="12"/>
  <c r="Y279" i="12"/>
  <c r="Y280" i="12"/>
  <c r="Y281" i="12"/>
  <c r="Y282" i="12"/>
  <c r="Y283" i="12"/>
  <c r="Y284" i="12"/>
  <c r="Y285" i="12"/>
  <c r="Y286" i="12"/>
  <c r="Y287" i="12"/>
  <c r="Y288" i="12"/>
  <c r="Y289" i="12"/>
  <c r="Y290" i="12"/>
  <c r="Y291" i="12"/>
  <c r="Y292" i="12"/>
  <c r="Y293" i="12"/>
  <c r="Y294" i="12"/>
  <c r="Y295" i="12"/>
  <c r="Y296" i="12"/>
  <c r="Y297" i="12"/>
  <c r="Y298" i="12"/>
  <c r="Y299" i="12"/>
  <c r="Y300" i="12"/>
  <c r="Y301" i="12"/>
  <c r="Y302" i="12"/>
  <c r="Y303" i="12"/>
  <c r="Y304" i="12"/>
  <c r="Y305" i="12"/>
  <c r="Y306" i="12"/>
  <c r="Y307" i="12"/>
  <c r="Y308" i="12"/>
  <c r="Y309" i="12"/>
  <c r="Y310" i="12"/>
  <c r="Y311" i="12"/>
  <c r="Y312" i="12"/>
  <c r="Y313" i="12"/>
  <c r="Y314" i="12"/>
  <c r="Y315" i="12"/>
  <c r="Y316" i="12"/>
  <c r="Y317" i="12"/>
  <c r="Y318" i="12"/>
  <c r="Y319" i="12"/>
  <c r="Y320" i="12"/>
  <c r="Y321" i="12"/>
  <c r="Y322" i="12"/>
  <c r="Y323" i="12"/>
  <c r="Y324" i="12"/>
  <c r="Y325" i="12"/>
  <c r="Y326" i="12"/>
  <c r="Y327" i="12"/>
  <c r="Y328" i="12"/>
  <c r="Y329" i="12"/>
  <c r="Y330" i="12"/>
  <c r="Y331" i="12"/>
  <c r="Y332" i="12"/>
  <c r="Y333" i="12"/>
  <c r="Y334" i="12"/>
  <c r="Y335" i="12"/>
  <c r="Y336" i="12"/>
  <c r="Y337" i="12"/>
  <c r="Y338" i="12"/>
  <c r="Y339" i="12"/>
  <c r="Y340" i="12"/>
  <c r="Y341" i="12"/>
  <c r="Y342" i="12"/>
  <c r="Y343" i="12"/>
  <c r="Y344" i="12"/>
  <c r="Y345" i="12"/>
  <c r="Y346" i="12"/>
  <c r="Y347" i="12"/>
  <c r="Y348" i="12"/>
  <c r="Y349" i="12"/>
  <c r="Y350" i="12"/>
  <c r="Y351" i="12"/>
  <c r="Y352" i="12"/>
  <c r="Y353" i="12"/>
  <c r="Y354" i="12"/>
  <c r="Y355" i="12"/>
  <c r="Y356" i="12"/>
  <c r="Y357" i="12"/>
  <c r="Y358" i="12"/>
  <c r="Y359" i="12"/>
  <c r="Y360" i="12"/>
  <c r="Y361" i="12"/>
  <c r="Y362" i="12"/>
  <c r="Y363" i="12"/>
  <c r="Y364" i="12"/>
  <c r="Y365" i="12"/>
  <c r="Y366" i="12"/>
  <c r="Y367" i="12"/>
  <c r="Y368" i="12"/>
  <c r="Y369" i="12"/>
  <c r="Y370" i="12"/>
  <c r="Y371" i="12"/>
  <c r="Y372" i="12"/>
  <c r="Y373" i="12"/>
  <c r="Y374" i="12"/>
  <c r="Y375" i="12"/>
  <c r="Y376" i="12"/>
  <c r="Y377" i="12"/>
  <c r="Y378" i="12"/>
  <c r="Y379" i="12"/>
  <c r="Y380" i="12"/>
  <c r="Y381" i="12"/>
  <c r="Y382" i="12"/>
  <c r="Y383" i="12"/>
  <c r="Y384" i="12"/>
  <c r="Y385" i="12"/>
  <c r="Y386" i="12"/>
  <c r="Y387" i="12"/>
  <c r="Y388" i="12"/>
  <c r="Y389" i="12"/>
  <c r="Y390" i="12"/>
  <c r="Y391" i="12"/>
  <c r="Y392" i="12"/>
  <c r="Y393" i="12"/>
  <c r="Y394" i="12"/>
  <c r="Y395" i="12"/>
  <c r="Y396" i="12"/>
  <c r="Y397" i="12"/>
  <c r="Y398" i="12"/>
  <c r="Y399" i="12"/>
  <c r="Y400" i="12"/>
  <c r="Y401" i="12"/>
  <c r="Y402" i="12"/>
  <c r="Y403" i="12"/>
  <c r="Y404" i="12"/>
  <c r="X192" i="12"/>
  <c r="X193" i="12"/>
  <c r="X194" i="12"/>
  <c r="X195" i="12"/>
  <c r="X196" i="12"/>
  <c r="X197" i="12"/>
  <c r="X198" i="12"/>
  <c r="X199" i="12"/>
  <c r="X200" i="12"/>
  <c r="X201" i="12"/>
  <c r="X202" i="12"/>
  <c r="X203" i="12"/>
  <c r="X204" i="12"/>
  <c r="X205" i="12"/>
  <c r="X206" i="12"/>
  <c r="X207" i="12"/>
  <c r="X208" i="12"/>
  <c r="X209" i="12"/>
  <c r="X210" i="12"/>
  <c r="X211" i="12"/>
  <c r="X212" i="12"/>
  <c r="X213" i="12"/>
  <c r="X214" i="12"/>
  <c r="X215" i="12"/>
  <c r="X216" i="12"/>
  <c r="X217" i="12"/>
  <c r="X218" i="12"/>
  <c r="X219" i="12"/>
  <c r="X220" i="12"/>
  <c r="X221" i="12"/>
  <c r="X222" i="12"/>
  <c r="X223" i="12"/>
  <c r="X224" i="12"/>
  <c r="X225" i="12"/>
  <c r="X226" i="12"/>
  <c r="X227" i="12"/>
  <c r="X228" i="12"/>
  <c r="X229" i="12"/>
  <c r="X230" i="12"/>
  <c r="X231" i="12"/>
  <c r="X232" i="12"/>
  <c r="X233" i="12"/>
  <c r="X234" i="12"/>
  <c r="X235" i="12"/>
  <c r="X236" i="12"/>
  <c r="X237" i="12"/>
  <c r="X238" i="12"/>
  <c r="X239" i="12"/>
  <c r="X240" i="12"/>
  <c r="X241" i="12"/>
  <c r="X242" i="12"/>
  <c r="X243" i="12"/>
  <c r="X244" i="12"/>
  <c r="X245" i="12"/>
  <c r="X246" i="12"/>
  <c r="X247" i="12"/>
  <c r="X248" i="12"/>
  <c r="X249" i="12"/>
  <c r="X250" i="12"/>
  <c r="X251" i="12"/>
  <c r="X252" i="12"/>
  <c r="X253" i="12"/>
  <c r="X254" i="12"/>
  <c r="X255" i="12"/>
  <c r="X256" i="12"/>
  <c r="X257" i="12"/>
  <c r="X258" i="12"/>
  <c r="X259" i="12"/>
  <c r="X260" i="12"/>
  <c r="X261" i="12"/>
  <c r="X262" i="12"/>
  <c r="X263" i="12"/>
  <c r="X264" i="12"/>
  <c r="X265" i="12"/>
  <c r="X266" i="12"/>
  <c r="X267" i="12"/>
  <c r="X268" i="12"/>
  <c r="X269" i="12"/>
  <c r="X270" i="12"/>
  <c r="X271" i="12"/>
  <c r="X272" i="12"/>
  <c r="X273" i="12"/>
  <c r="X274" i="12"/>
  <c r="X275" i="12"/>
  <c r="X276" i="12"/>
  <c r="X277" i="12"/>
  <c r="X278" i="12"/>
  <c r="X279" i="12"/>
  <c r="X280" i="12"/>
  <c r="X281" i="12"/>
  <c r="X282" i="12"/>
  <c r="X283" i="12"/>
  <c r="X284" i="12"/>
  <c r="X285" i="12"/>
  <c r="X286" i="12"/>
  <c r="X287" i="12"/>
  <c r="X288" i="12"/>
  <c r="X289" i="12"/>
  <c r="X290" i="12"/>
  <c r="X291" i="12"/>
  <c r="X292" i="12"/>
  <c r="X293" i="12"/>
  <c r="X294" i="12"/>
  <c r="X295" i="12"/>
  <c r="X296" i="12"/>
  <c r="X297" i="12"/>
  <c r="X298" i="12"/>
  <c r="X299" i="12"/>
  <c r="X300" i="12"/>
  <c r="X301" i="12"/>
  <c r="X302" i="12"/>
  <c r="X303" i="12"/>
  <c r="X304" i="12"/>
  <c r="X305" i="12"/>
  <c r="X306" i="12"/>
  <c r="X307" i="12"/>
  <c r="X308" i="12"/>
  <c r="X309" i="12"/>
  <c r="X310" i="12"/>
  <c r="X311" i="12"/>
  <c r="X312" i="12"/>
  <c r="X313" i="12"/>
  <c r="X314" i="12"/>
  <c r="X315" i="12"/>
  <c r="X316" i="12"/>
  <c r="X317" i="12"/>
  <c r="X318" i="12"/>
  <c r="X319" i="12"/>
  <c r="X320" i="12"/>
  <c r="X321" i="12"/>
  <c r="X322" i="12"/>
  <c r="X323" i="12"/>
  <c r="X324" i="12"/>
  <c r="X325" i="12"/>
  <c r="X326" i="12"/>
  <c r="X327" i="12"/>
  <c r="X328" i="12"/>
  <c r="X329" i="12"/>
  <c r="X330" i="12"/>
  <c r="X331" i="12"/>
  <c r="X332" i="12"/>
  <c r="X333" i="12"/>
  <c r="X334" i="12"/>
  <c r="X335" i="12"/>
  <c r="X336" i="12"/>
  <c r="X337" i="12"/>
  <c r="X338" i="12"/>
  <c r="X339" i="12"/>
  <c r="X340" i="12"/>
  <c r="X341" i="12"/>
  <c r="X342" i="12"/>
  <c r="X343" i="12"/>
  <c r="X344" i="12"/>
  <c r="X345" i="12"/>
  <c r="X346" i="12"/>
  <c r="X347" i="12"/>
  <c r="X348" i="12"/>
  <c r="X349" i="12"/>
  <c r="X350" i="12"/>
  <c r="X351" i="12"/>
  <c r="X352" i="12"/>
  <c r="X353" i="12"/>
  <c r="X354" i="12"/>
  <c r="X355" i="12"/>
  <c r="X356" i="12"/>
  <c r="X357" i="12"/>
  <c r="X358" i="12"/>
  <c r="X359" i="12"/>
  <c r="X360" i="12"/>
  <c r="X361" i="12"/>
  <c r="X362" i="12"/>
  <c r="X363" i="12"/>
  <c r="X364" i="12"/>
  <c r="X365" i="12"/>
  <c r="X366" i="12"/>
  <c r="X367" i="12"/>
  <c r="X368" i="12"/>
  <c r="X369" i="12"/>
  <c r="X370" i="12"/>
  <c r="X371" i="12"/>
  <c r="X372" i="12"/>
  <c r="X373" i="12"/>
  <c r="X374" i="12"/>
  <c r="X375" i="12"/>
  <c r="X376" i="12"/>
  <c r="X377" i="12"/>
  <c r="X378" i="12"/>
  <c r="X379" i="12"/>
  <c r="X380" i="12"/>
  <c r="X381" i="12"/>
  <c r="X382" i="12"/>
  <c r="X383" i="12"/>
  <c r="X384" i="12"/>
  <c r="X385" i="12"/>
  <c r="X386" i="12"/>
  <c r="X387" i="12"/>
  <c r="X388" i="12"/>
  <c r="X389" i="12"/>
  <c r="X390" i="12"/>
  <c r="X391" i="12"/>
  <c r="X392" i="12"/>
  <c r="X393" i="12"/>
  <c r="X394" i="12"/>
  <c r="X395" i="12"/>
  <c r="X396" i="12"/>
  <c r="X397" i="12"/>
  <c r="X398" i="12"/>
  <c r="X399" i="12"/>
  <c r="X400" i="12"/>
  <c r="X401" i="12"/>
  <c r="X402" i="12"/>
  <c r="X403" i="12"/>
  <c r="X404" i="12"/>
  <c r="V192" i="12"/>
  <c r="W192" i="12" s="1"/>
  <c r="V193" i="12"/>
  <c r="V194" i="12"/>
  <c r="V195" i="12"/>
  <c r="V196" i="12"/>
  <c r="V197" i="12"/>
  <c r="Z197" i="12" s="1"/>
  <c r="V198" i="12"/>
  <c r="V199" i="12"/>
  <c r="W199" i="12" s="1"/>
  <c r="V200" i="12"/>
  <c r="W200" i="12" s="1"/>
  <c r="V201" i="12"/>
  <c r="V202" i="12"/>
  <c r="V203" i="12"/>
  <c r="W203" i="12" s="1"/>
  <c r="V204" i="12"/>
  <c r="V205" i="12"/>
  <c r="V206" i="12"/>
  <c r="V207" i="12"/>
  <c r="W207" i="12" s="1"/>
  <c r="V208" i="12"/>
  <c r="W208" i="12" s="1"/>
  <c r="V209" i="12"/>
  <c r="V210" i="12"/>
  <c r="V211" i="12"/>
  <c r="V212" i="12"/>
  <c r="V213" i="12"/>
  <c r="V214" i="12"/>
  <c r="V215" i="12"/>
  <c r="W215" i="12" s="1"/>
  <c r="V216" i="12"/>
  <c r="W216" i="12" s="1"/>
  <c r="V217" i="12"/>
  <c r="V218" i="12"/>
  <c r="V219" i="12"/>
  <c r="Z219" i="12" s="1"/>
  <c r="V220" i="12"/>
  <c r="V221" i="12"/>
  <c r="V222" i="12"/>
  <c r="V223" i="12"/>
  <c r="W223" i="12" s="1"/>
  <c r="V224" i="12"/>
  <c r="W224" i="12" s="1"/>
  <c r="V225" i="12"/>
  <c r="V226" i="12"/>
  <c r="W226" i="12" s="1"/>
  <c r="V227" i="12"/>
  <c r="V228" i="12"/>
  <c r="V229" i="12"/>
  <c r="V230" i="12"/>
  <c r="V231" i="12"/>
  <c r="W231" i="12" s="1"/>
  <c r="V232" i="12"/>
  <c r="W232" i="12" s="1"/>
  <c r="V233" i="12"/>
  <c r="V234" i="12"/>
  <c r="V235" i="12"/>
  <c r="V236" i="12"/>
  <c r="V237" i="12"/>
  <c r="V238" i="12"/>
  <c r="V239" i="12"/>
  <c r="V240" i="12"/>
  <c r="W240" i="12" s="1"/>
  <c r="V241" i="12"/>
  <c r="Z241" i="12" s="1"/>
  <c r="V242" i="12"/>
  <c r="V243" i="12"/>
  <c r="V244" i="12"/>
  <c r="V245" i="12"/>
  <c r="W245" i="12" s="1"/>
  <c r="V246" i="12"/>
  <c r="V247" i="12"/>
  <c r="V248" i="12"/>
  <c r="W248" i="12" s="1"/>
  <c r="V249" i="12"/>
  <c r="V250" i="12"/>
  <c r="V251" i="12"/>
  <c r="V252" i="12"/>
  <c r="V253" i="12"/>
  <c r="V254" i="12"/>
  <c r="V255" i="12"/>
  <c r="V256" i="12"/>
  <c r="W256" i="12" s="1"/>
  <c r="V257" i="12"/>
  <c r="V258" i="12"/>
  <c r="V259" i="12"/>
  <c r="V260" i="12"/>
  <c r="V261" i="12"/>
  <c r="Z261" i="12" s="1"/>
  <c r="V262" i="12"/>
  <c r="V263" i="12"/>
  <c r="V264" i="12"/>
  <c r="W264" i="12" s="1"/>
  <c r="V265" i="12"/>
  <c r="V266" i="12"/>
  <c r="V267" i="12"/>
  <c r="W267" i="12" s="1"/>
  <c r="V268" i="12"/>
  <c r="V269" i="12"/>
  <c r="V270" i="12"/>
  <c r="V271" i="12"/>
  <c r="V272" i="12"/>
  <c r="W272" i="12" s="1"/>
  <c r="V273" i="12"/>
  <c r="V274" i="12"/>
  <c r="V275" i="12"/>
  <c r="V276" i="12"/>
  <c r="V277" i="12"/>
  <c r="V278" i="12"/>
  <c r="V279" i="12"/>
  <c r="V280" i="12"/>
  <c r="W280" i="12" s="1"/>
  <c r="V281" i="12"/>
  <c r="V282" i="12"/>
  <c r="V283" i="12"/>
  <c r="Z283" i="12" s="1"/>
  <c r="V284" i="12"/>
  <c r="V285" i="12"/>
  <c r="V286" i="12"/>
  <c r="V287" i="12"/>
  <c r="V288" i="12"/>
  <c r="W288" i="12" s="1"/>
  <c r="V289" i="12"/>
  <c r="V290" i="12"/>
  <c r="W290" i="12" s="1"/>
  <c r="V291" i="12"/>
  <c r="V292" i="12"/>
  <c r="V293" i="12"/>
  <c r="Z293" i="12" s="1"/>
  <c r="V294" i="12"/>
  <c r="V295" i="12"/>
  <c r="V296" i="12"/>
  <c r="W296" i="12" s="1"/>
  <c r="V297" i="12"/>
  <c r="V298" i="12"/>
  <c r="V299" i="12"/>
  <c r="Z299" i="12" s="1"/>
  <c r="V300" i="12"/>
  <c r="V301" i="12"/>
  <c r="Z301" i="12" s="1"/>
  <c r="V302" i="12"/>
  <c r="V303" i="12"/>
  <c r="V304" i="12"/>
  <c r="W304" i="12" s="1"/>
  <c r="V305" i="12"/>
  <c r="Z305" i="12" s="1"/>
  <c r="V306" i="12"/>
  <c r="V307" i="12"/>
  <c r="V308" i="12"/>
  <c r="V309" i="12"/>
  <c r="Z309" i="12" s="1"/>
  <c r="V310" i="12"/>
  <c r="V311" i="12"/>
  <c r="V312" i="12"/>
  <c r="W312" i="12" s="1"/>
  <c r="V313" i="12"/>
  <c r="Z313" i="12" s="1"/>
  <c r="V314" i="12"/>
  <c r="V315" i="12"/>
  <c r="Z315" i="12" s="1"/>
  <c r="V316" i="12"/>
  <c r="V317" i="12"/>
  <c r="Z317" i="12" s="1"/>
  <c r="V318" i="12"/>
  <c r="V319" i="12"/>
  <c r="V320" i="12"/>
  <c r="W320" i="12" s="1"/>
  <c r="V321" i="12"/>
  <c r="Z321" i="12" s="1"/>
  <c r="V322" i="12"/>
  <c r="V323" i="12"/>
  <c r="Z323" i="12" s="1"/>
  <c r="V324" i="12"/>
  <c r="V325" i="12"/>
  <c r="Z325" i="12" s="1"/>
  <c r="V326" i="12"/>
  <c r="V327" i="12"/>
  <c r="V328" i="12"/>
  <c r="W328" i="12" s="1"/>
  <c r="V329" i="12"/>
  <c r="Z329" i="12" s="1"/>
  <c r="V330" i="12"/>
  <c r="V331" i="12"/>
  <c r="W331" i="12" s="1"/>
  <c r="V332" i="12"/>
  <c r="V333" i="12"/>
  <c r="Z333" i="12" s="1"/>
  <c r="V334" i="12"/>
  <c r="V335" i="12"/>
  <c r="V336" i="12"/>
  <c r="W336" i="12" s="1"/>
  <c r="V337" i="12"/>
  <c r="Z337" i="12" s="1"/>
  <c r="V338" i="12"/>
  <c r="V339" i="12"/>
  <c r="Z339" i="12" s="1"/>
  <c r="V340" i="12"/>
  <c r="V341" i="12"/>
  <c r="Z341" i="12" s="1"/>
  <c r="V342" i="12"/>
  <c r="V343" i="12"/>
  <c r="V344" i="12"/>
  <c r="W344" i="12" s="1"/>
  <c r="V345" i="12"/>
  <c r="Z345" i="12" s="1"/>
  <c r="V346" i="12"/>
  <c r="V347" i="12"/>
  <c r="Z347" i="12" s="1"/>
  <c r="V348" i="12"/>
  <c r="V349" i="12"/>
  <c r="Z349" i="12" s="1"/>
  <c r="V350" i="12"/>
  <c r="V351" i="12"/>
  <c r="V352" i="12"/>
  <c r="W352" i="12" s="1"/>
  <c r="V353" i="12"/>
  <c r="Z353" i="12" s="1"/>
  <c r="V354" i="12"/>
  <c r="W354" i="12" s="1"/>
  <c r="V355" i="12"/>
  <c r="Z355" i="12" s="1"/>
  <c r="V356" i="12"/>
  <c r="V357" i="12"/>
  <c r="Z357" i="12" s="1"/>
  <c r="V358" i="12"/>
  <c r="V359" i="12"/>
  <c r="V360" i="12"/>
  <c r="W360" i="12" s="1"/>
  <c r="V361" i="12"/>
  <c r="Z361" i="12" s="1"/>
  <c r="V362" i="12"/>
  <c r="V363" i="12"/>
  <c r="Z363" i="12" s="1"/>
  <c r="V364" i="12"/>
  <c r="V365" i="12"/>
  <c r="Z365" i="12" s="1"/>
  <c r="V366" i="12"/>
  <c r="V367" i="12"/>
  <c r="V368" i="12"/>
  <c r="W368" i="12" s="1"/>
  <c r="V369" i="12"/>
  <c r="Z369" i="12" s="1"/>
  <c r="V370" i="12"/>
  <c r="V371" i="12"/>
  <c r="Z371" i="12" s="1"/>
  <c r="V372" i="12"/>
  <c r="V373" i="12"/>
  <c r="W373" i="12" s="1"/>
  <c r="V374" i="12"/>
  <c r="V375" i="12"/>
  <c r="V376" i="12"/>
  <c r="W376" i="12" s="1"/>
  <c r="V377" i="12"/>
  <c r="Z377" i="12" s="1"/>
  <c r="V378" i="12"/>
  <c r="V379" i="12"/>
  <c r="Z379" i="12" s="1"/>
  <c r="V380" i="12"/>
  <c r="V381" i="12"/>
  <c r="Z381" i="12" s="1"/>
  <c r="V382" i="12"/>
  <c r="V383" i="12"/>
  <c r="V384" i="12"/>
  <c r="W384" i="12" s="1"/>
  <c r="V385" i="12"/>
  <c r="Z385" i="12" s="1"/>
  <c r="V386" i="12"/>
  <c r="V387" i="12"/>
  <c r="Z387" i="12" s="1"/>
  <c r="V388" i="12"/>
  <c r="V389" i="12"/>
  <c r="Z389" i="12" s="1"/>
  <c r="V390" i="12"/>
  <c r="V391" i="12"/>
  <c r="V392" i="12"/>
  <c r="W392" i="12" s="1"/>
  <c r="V393" i="12"/>
  <c r="Z393" i="12" s="1"/>
  <c r="V394" i="12"/>
  <c r="V395" i="12"/>
  <c r="W395" i="12" s="1"/>
  <c r="V396" i="12"/>
  <c r="V397" i="12"/>
  <c r="Z397" i="12" s="1"/>
  <c r="V398" i="12"/>
  <c r="V399" i="12"/>
  <c r="V400" i="12"/>
  <c r="W400" i="12" s="1"/>
  <c r="V401" i="12"/>
  <c r="Z401" i="12" s="1"/>
  <c r="V402" i="12"/>
  <c r="V403" i="12"/>
  <c r="Z403" i="12" s="1"/>
  <c r="V404" i="12"/>
  <c r="V3" i="12"/>
  <c r="V4" i="12"/>
  <c r="V5" i="12"/>
  <c r="V6" i="12"/>
  <c r="V7" i="12"/>
  <c r="V8" i="12"/>
  <c r="V9" i="12"/>
  <c r="V10" i="12"/>
  <c r="V11" i="12"/>
  <c r="V12" i="12"/>
  <c r="V13" i="12"/>
  <c r="V14" i="12"/>
  <c r="V15" i="12"/>
  <c r="V16" i="12"/>
  <c r="V17" i="12"/>
  <c r="V18" i="12"/>
  <c r="V19" i="12"/>
  <c r="V20" i="12"/>
  <c r="V21" i="12"/>
  <c r="V22" i="12"/>
  <c r="V23" i="12"/>
  <c r="V24" i="12"/>
  <c r="V25" i="12"/>
  <c r="V26" i="12"/>
  <c r="V27" i="12"/>
  <c r="V28" i="12"/>
  <c r="V29" i="12"/>
  <c r="V30" i="12"/>
  <c r="V31" i="12"/>
  <c r="V32" i="12"/>
  <c r="V33" i="12"/>
  <c r="V34" i="12"/>
  <c r="V35" i="12"/>
  <c r="V36" i="12"/>
  <c r="V37" i="12"/>
  <c r="V38" i="12"/>
  <c r="V39" i="12"/>
  <c r="V40" i="12"/>
  <c r="V41" i="12"/>
  <c r="V42" i="12"/>
  <c r="V43" i="12"/>
  <c r="V44" i="12"/>
  <c r="V45" i="12"/>
  <c r="V46" i="12"/>
  <c r="V47" i="12"/>
  <c r="V48" i="12"/>
  <c r="V49" i="12"/>
  <c r="V50" i="12"/>
  <c r="V51" i="12"/>
  <c r="V52" i="12"/>
  <c r="V53" i="12"/>
  <c r="V54" i="12"/>
  <c r="V55" i="12"/>
  <c r="V56" i="12"/>
  <c r="V57" i="12"/>
  <c r="V58" i="12"/>
  <c r="V59" i="12"/>
  <c r="V60" i="12"/>
  <c r="V61" i="12"/>
  <c r="V62" i="12"/>
  <c r="V63" i="12"/>
  <c r="V64" i="12"/>
  <c r="V65" i="12"/>
  <c r="V66" i="12"/>
  <c r="V67" i="12"/>
  <c r="V68" i="12"/>
  <c r="V69" i="12"/>
  <c r="V70" i="12"/>
  <c r="V71" i="12"/>
  <c r="V72" i="12"/>
  <c r="V73" i="12"/>
  <c r="V74" i="12"/>
  <c r="V75" i="12"/>
  <c r="V76" i="12"/>
  <c r="V77" i="12"/>
  <c r="V78" i="12"/>
  <c r="V79" i="12"/>
  <c r="V80" i="12"/>
  <c r="V81" i="12"/>
  <c r="V82" i="12"/>
  <c r="V83" i="12"/>
  <c r="V84" i="12"/>
  <c r="V85" i="12"/>
  <c r="V86" i="12"/>
  <c r="V87" i="12"/>
  <c r="V88" i="12"/>
  <c r="V89" i="12"/>
  <c r="V90" i="12"/>
  <c r="V91" i="12"/>
  <c r="V92" i="12"/>
  <c r="V93" i="12"/>
  <c r="V94" i="12"/>
  <c r="V95" i="12"/>
  <c r="V96" i="12"/>
  <c r="V97" i="12"/>
  <c r="V98" i="12"/>
  <c r="V99" i="12"/>
  <c r="V100" i="12"/>
  <c r="V101" i="12"/>
  <c r="V102" i="12"/>
  <c r="V103" i="12"/>
  <c r="V104" i="12"/>
  <c r="V105" i="12"/>
  <c r="V106" i="12"/>
  <c r="V107" i="12"/>
  <c r="V108" i="12"/>
  <c r="V109" i="12"/>
  <c r="V110" i="12"/>
  <c r="V111" i="12"/>
  <c r="V112" i="12"/>
  <c r="V113" i="12"/>
  <c r="V114" i="12"/>
  <c r="V115" i="12"/>
  <c r="V116" i="12"/>
  <c r="V117" i="12"/>
  <c r="V118" i="12"/>
  <c r="V119" i="12"/>
  <c r="V120" i="12"/>
  <c r="V121" i="12"/>
  <c r="V122" i="12"/>
  <c r="V123" i="12"/>
  <c r="V124" i="12"/>
  <c r="V125" i="12"/>
  <c r="V126" i="12"/>
  <c r="V127" i="12"/>
  <c r="V128" i="12"/>
  <c r="V129" i="12"/>
  <c r="V130" i="12"/>
  <c r="V131" i="12"/>
  <c r="V132" i="12"/>
  <c r="V133" i="12"/>
  <c r="V134" i="12"/>
  <c r="V135" i="12"/>
  <c r="V136" i="12"/>
  <c r="V137" i="12"/>
  <c r="V138" i="12"/>
  <c r="V139" i="12"/>
  <c r="V140" i="12"/>
  <c r="V141" i="12"/>
  <c r="V142" i="12"/>
  <c r="V143" i="12"/>
  <c r="V144" i="12"/>
  <c r="V145" i="12"/>
  <c r="V146" i="12"/>
  <c r="V147" i="12"/>
  <c r="V148" i="12"/>
  <c r="V149" i="12"/>
  <c r="V150" i="12"/>
  <c r="V151" i="12"/>
  <c r="V152" i="12"/>
  <c r="V153" i="12"/>
  <c r="V154" i="12"/>
  <c r="V155" i="12"/>
  <c r="V156" i="12"/>
  <c r="V157" i="12"/>
  <c r="V158" i="12"/>
  <c r="V159" i="12"/>
  <c r="V160" i="12"/>
  <c r="V161" i="12"/>
  <c r="V162" i="12"/>
  <c r="V163" i="12"/>
  <c r="V164" i="12"/>
  <c r="V165" i="12"/>
  <c r="V166" i="12"/>
  <c r="V167" i="12"/>
  <c r="V168" i="12"/>
  <c r="V169" i="12"/>
  <c r="V170" i="12"/>
  <c r="V171" i="12"/>
  <c r="V172" i="12"/>
  <c r="V173" i="12"/>
  <c r="V174" i="12"/>
  <c r="V175" i="12"/>
  <c r="V176" i="12"/>
  <c r="V177" i="12"/>
  <c r="V178" i="12"/>
  <c r="V179" i="12"/>
  <c r="V180" i="12"/>
  <c r="V181" i="12"/>
  <c r="V182" i="12"/>
  <c r="V183" i="12"/>
  <c r="V184" i="12"/>
  <c r="V185" i="12"/>
  <c r="V186" i="12"/>
  <c r="V187" i="12"/>
  <c r="V188" i="12"/>
  <c r="V189" i="12"/>
  <c r="V190" i="12"/>
  <c r="V191" i="12"/>
  <c r="V2" i="12"/>
  <c r="T192" i="12"/>
  <c r="T193" i="12"/>
  <c r="T194" i="12"/>
  <c r="T195" i="12"/>
  <c r="T196" i="12"/>
  <c r="T197" i="12"/>
  <c r="T198" i="12"/>
  <c r="T199" i="12"/>
  <c r="T200" i="12"/>
  <c r="T201" i="12"/>
  <c r="T202" i="12"/>
  <c r="T203" i="12"/>
  <c r="T204" i="12"/>
  <c r="T205" i="12"/>
  <c r="T206" i="12"/>
  <c r="T207" i="12"/>
  <c r="T208" i="12"/>
  <c r="T209" i="12"/>
  <c r="T210" i="12"/>
  <c r="T211" i="12"/>
  <c r="T212" i="12"/>
  <c r="T213" i="12"/>
  <c r="T214" i="12"/>
  <c r="T215" i="12"/>
  <c r="T216" i="12"/>
  <c r="T217" i="12"/>
  <c r="T218" i="12"/>
  <c r="T219" i="12"/>
  <c r="T220" i="12"/>
  <c r="T221" i="12"/>
  <c r="T222" i="12"/>
  <c r="T223" i="12"/>
  <c r="T224" i="12"/>
  <c r="T225" i="12"/>
  <c r="T226" i="12"/>
  <c r="T227" i="12"/>
  <c r="T228" i="12"/>
  <c r="T229" i="12"/>
  <c r="T230" i="12"/>
  <c r="T231" i="12"/>
  <c r="T232" i="12"/>
  <c r="T233" i="12"/>
  <c r="T234" i="12"/>
  <c r="T235" i="12"/>
  <c r="T236" i="12"/>
  <c r="T237" i="12"/>
  <c r="T238" i="12"/>
  <c r="T239" i="12"/>
  <c r="T240" i="12"/>
  <c r="T241" i="12"/>
  <c r="T242" i="12"/>
  <c r="T243" i="12"/>
  <c r="T244" i="12"/>
  <c r="T245" i="12"/>
  <c r="T246" i="12"/>
  <c r="T247" i="12"/>
  <c r="T248" i="12"/>
  <c r="T249" i="12"/>
  <c r="T250" i="12"/>
  <c r="T251" i="12"/>
  <c r="T252" i="12"/>
  <c r="T253" i="12"/>
  <c r="T254" i="12"/>
  <c r="T255" i="12"/>
  <c r="T256" i="12"/>
  <c r="T257" i="12"/>
  <c r="T258" i="12"/>
  <c r="T259" i="12"/>
  <c r="T260" i="12"/>
  <c r="T261" i="12"/>
  <c r="T262" i="12"/>
  <c r="T263" i="12"/>
  <c r="T264" i="12"/>
  <c r="T265" i="12"/>
  <c r="T266" i="12"/>
  <c r="T267" i="12"/>
  <c r="T268" i="12"/>
  <c r="T269" i="12"/>
  <c r="T270" i="12"/>
  <c r="T271" i="12"/>
  <c r="T272" i="12"/>
  <c r="T273" i="12"/>
  <c r="T274" i="12"/>
  <c r="T275" i="12"/>
  <c r="T276" i="12"/>
  <c r="T277" i="12"/>
  <c r="T278" i="12"/>
  <c r="T279" i="12"/>
  <c r="T280" i="12"/>
  <c r="T281" i="12"/>
  <c r="T282" i="12"/>
  <c r="T283" i="12"/>
  <c r="T284" i="12"/>
  <c r="T285" i="12"/>
  <c r="T286" i="12"/>
  <c r="T287" i="12"/>
  <c r="T288" i="12"/>
  <c r="T289" i="12"/>
  <c r="T290" i="12"/>
  <c r="T291" i="12"/>
  <c r="T292" i="12"/>
  <c r="T293" i="12"/>
  <c r="T294" i="12"/>
  <c r="T295" i="12"/>
  <c r="T296" i="12"/>
  <c r="T297" i="12"/>
  <c r="T298" i="12"/>
  <c r="T299" i="12"/>
  <c r="T300" i="12"/>
  <c r="T301" i="12"/>
  <c r="T302" i="12"/>
  <c r="T303" i="12"/>
  <c r="T304" i="12"/>
  <c r="T305" i="12"/>
  <c r="T306" i="12"/>
  <c r="T307" i="12"/>
  <c r="T308" i="12"/>
  <c r="T309" i="12"/>
  <c r="T310" i="12"/>
  <c r="T311" i="12"/>
  <c r="T312" i="12"/>
  <c r="T313" i="12"/>
  <c r="T314" i="12"/>
  <c r="T315" i="12"/>
  <c r="T316" i="12"/>
  <c r="T317" i="12"/>
  <c r="T318" i="12"/>
  <c r="T319" i="12"/>
  <c r="T320" i="12"/>
  <c r="T321" i="12"/>
  <c r="T322" i="12"/>
  <c r="T323" i="12"/>
  <c r="T324" i="12"/>
  <c r="T325" i="12"/>
  <c r="T326" i="12"/>
  <c r="T327" i="12"/>
  <c r="T328" i="12"/>
  <c r="T329" i="12"/>
  <c r="T330" i="12"/>
  <c r="T331" i="12"/>
  <c r="T332" i="12"/>
  <c r="T333" i="12"/>
  <c r="T334" i="12"/>
  <c r="T335" i="12"/>
  <c r="T336" i="12"/>
  <c r="T337" i="12"/>
  <c r="T338" i="12"/>
  <c r="T339" i="12"/>
  <c r="T340" i="12"/>
  <c r="T341" i="12"/>
  <c r="T342" i="12"/>
  <c r="T343" i="12"/>
  <c r="T344" i="12"/>
  <c r="T345" i="12"/>
  <c r="T346" i="12"/>
  <c r="T347" i="12"/>
  <c r="T348" i="12"/>
  <c r="T349" i="12"/>
  <c r="T350" i="12"/>
  <c r="T351" i="12"/>
  <c r="T352" i="12"/>
  <c r="T353" i="12"/>
  <c r="T354" i="12"/>
  <c r="T355" i="12"/>
  <c r="T356" i="12"/>
  <c r="T357" i="12"/>
  <c r="T358" i="12"/>
  <c r="T359" i="12"/>
  <c r="T360" i="12"/>
  <c r="T361" i="12"/>
  <c r="T362" i="12"/>
  <c r="T363" i="12"/>
  <c r="T364" i="12"/>
  <c r="T365" i="12"/>
  <c r="T366" i="12"/>
  <c r="T367" i="12"/>
  <c r="T368" i="12"/>
  <c r="T369" i="12"/>
  <c r="T370" i="12"/>
  <c r="T371" i="12"/>
  <c r="T372" i="12"/>
  <c r="T373" i="12"/>
  <c r="T374" i="12"/>
  <c r="T375" i="12"/>
  <c r="T376" i="12"/>
  <c r="T377" i="12"/>
  <c r="T378" i="12"/>
  <c r="T379" i="12"/>
  <c r="T380" i="12"/>
  <c r="T381" i="12"/>
  <c r="T382" i="12"/>
  <c r="T383" i="12"/>
  <c r="T384" i="12"/>
  <c r="T385" i="12"/>
  <c r="T386" i="12"/>
  <c r="T387" i="12"/>
  <c r="T388" i="12"/>
  <c r="T389" i="12"/>
  <c r="T390" i="12"/>
  <c r="T391" i="12"/>
  <c r="T392" i="12"/>
  <c r="T393" i="12"/>
  <c r="T394" i="12"/>
  <c r="T395" i="12"/>
  <c r="T396" i="12"/>
  <c r="T397" i="12"/>
  <c r="T398" i="12"/>
  <c r="T399" i="12"/>
  <c r="T400" i="12"/>
  <c r="T401" i="12"/>
  <c r="T402" i="12"/>
  <c r="T403" i="12"/>
  <c r="T404" i="12"/>
  <c r="S192" i="12"/>
  <c r="S193" i="12"/>
  <c r="S194" i="12"/>
  <c r="S195" i="12"/>
  <c r="S196" i="12"/>
  <c r="S197" i="12"/>
  <c r="S198" i="12"/>
  <c r="S199" i="12"/>
  <c r="S200" i="12"/>
  <c r="S201" i="12"/>
  <c r="S202" i="12"/>
  <c r="S203" i="12"/>
  <c r="S204" i="12"/>
  <c r="S205" i="12"/>
  <c r="S206" i="12"/>
  <c r="S207" i="12"/>
  <c r="S208" i="12"/>
  <c r="S209" i="12"/>
  <c r="S210" i="12"/>
  <c r="S211" i="12"/>
  <c r="S212" i="12"/>
  <c r="S213" i="12"/>
  <c r="S214" i="12"/>
  <c r="S215" i="12"/>
  <c r="S216" i="12"/>
  <c r="S217" i="12"/>
  <c r="S218" i="12"/>
  <c r="S219" i="12"/>
  <c r="S220" i="12"/>
  <c r="S221" i="12"/>
  <c r="S222" i="12"/>
  <c r="S223" i="12"/>
  <c r="S224" i="12"/>
  <c r="S225" i="12"/>
  <c r="S226" i="12"/>
  <c r="S227" i="12"/>
  <c r="S228" i="12"/>
  <c r="S229" i="12"/>
  <c r="S230" i="12"/>
  <c r="S231" i="12"/>
  <c r="S232" i="12"/>
  <c r="S233" i="12"/>
  <c r="S234" i="12"/>
  <c r="S235" i="12"/>
  <c r="S236" i="12"/>
  <c r="S237" i="12"/>
  <c r="S238" i="12"/>
  <c r="S239" i="12"/>
  <c r="S240" i="12"/>
  <c r="S241" i="12"/>
  <c r="S242" i="12"/>
  <c r="S243" i="12"/>
  <c r="S244" i="12"/>
  <c r="S245" i="12"/>
  <c r="S246" i="12"/>
  <c r="S247" i="12"/>
  <c r="S248" i="12"/>
  <c r="S249" i="12"/>
  <c r="S250" i="12"/>
  <c r="S251" i="12"/>
  <c r="S252" i="12"/>
  <c r="S253" i="12"/>
  <c r="S254" i="12"/>
  <c r="S255" i="12"/>
  <c r="S256" i="12"/>
  <c r="S257" i="12"/>
  <c r="S258" i="12"/>
  <c r="S259" i="12"/>
  <c r="S260" i="12"/>
  <c r="S261" i="12"/>
  <c r="S262" i="12"/>
  <c r="S263" i="12"/>
  <c r="S264" i="12"/>
  <c r="S265" i="12"/>
  <c r="S266" i="12"/>
  <c r="S267" i="12"/>
  <c r="S268" i="12"/>
  <c r="S269" i="12"/>
  <c r="S270" i="12"/>
  <c r="S271" i="12"/>
  <c r="S272" i="12"/>
  <c r="S273" i="12"/>
  <c r="S274" i="12"/>
  <c r="S275" i="12"/>
  <c r="S276" i="12"/>
  <c r="S277" i="12"/>
  <c r="S278" i="12"/>
  <c r="S279" i="12"/>
  <c r="S280" i="12"/>
  <c r="S281" i="12"/>
  <c r="S282" i="12"/>
  <c r="S283" i="12"/>
  <c r="S284" i="12"/>
  <c r="S285" i="12"/>
  <c r="S286" i="12"/>
  <c r="S287" i="12"/>
  <c r="S288" i="12"/>
  <c r="S289" i="12"/>
  <c r="S290" i="12"/>
  <c r="S291" i="12"/>
  <c r="S292" i="12"/>
  <c r="S293" i="12"/>
  <c r="S294" i="12"/>
  <c r="S295" i="12"/>
  <c r="S296" i="12"/>
  <c r="S297" i="12"/>
  <c r="S298" i="12"/>
  <c r="S299" i="12"/>
  <c r="S300" i="12"/>
  <c r="S301" i="12"/>
  <c r="S302" i="12"/>
  <c r="S303" i="12"/>
  <c r="S304" i="12"/>
  <c r="S305" i="12"/>
  <c r="S306" i="12"/>
  <c r="S307" i="12"/>
  <c r="S308" i="12"/>
  <c r="S309" i="12"/>
  <c r="S310" i="12"/>
  <c r="S311" i="12"/>
  <c r="S312" i="12"/>
  <c r="S313" i="12"/>
  <c r="S314" i="12"/>
  <c r="S315" i="12"/>
  <c r="S316" i="12"/>
  <c r="S317" i="12"/>
  <c r="S318" i="12"/>
  <c r="S319" i="12"/>
  <c r="S320" i="12"/>
  <c r="S321" i="12"/>
  <c r="S322" i="12"/>
  <c r="S323" i="12"/>
  <c r="S324" i="12"/>
  <c r="S325" i="12"/>
  <c r="S326" i="12"/>
  <c r="S327" i="12"/>
  <c r="S328" i="12"/>
  <c r="S329" i="12"/>
  <c r="S330" i="12"/>
  <c r="S331" i="12"/>
  <c r="S332" i="12"/>
  <c r="S333" i="12"/>
  <c r="S334" i="12"/>
  <c r="S335" i="12"/>
  <c r="S336" i="12"/>
  <c r="S337" i="12"/>
  <c r="S338" i="12"/>
  <c r="S339" i="12"/>
  <c r="S340" i="12"/>
  <c r="S341" i="12"/>
  <c r="S342" i="12"/>
  <c r="S343" i="12"/>
  <c r="S344" i="12"/>
  <c r="S345" i="12"/>
  <c r="S346" i="12"/>
  <c r="S347" i="12"/>
  <c r="S348" i="12"/>
  <c r="S349" i="12"/>
  <c r="S350" i="12"/>
  <c r="S351" i="12"/>
  <c r="S352" i="12"/>
  <c r="S353" i="12"/>
  <c r="S354" i="12"/>
  <c r="S355" i="12"/>
  <c r="S356" i="12"/>
  <c r="S357" i="12"/>
  <c r="S358" i="12"/>
  <c r="S359" i="12"/>
  <c r="S360" i="12"/>
  <c r="S361" i="12"/>
  <c r="S362" i="12"/>
  <c r="S363" i="12"/>
  <c r="S364" i="12"/>
  <c r="S365" i="12"/>
  <c r="S366" i="12"/>
  <c r="S367" i="12"/>
  <c r="S368" i="12"/>
  <c r="S369" i="12"/>
  <c r="S370" i="12"/>
  <c r="S371" i="12"/>
  <c r="S372" i="12"/>
  <c r="S373" i="12"/>
  <c r="S374" i="12"/>
  <c r="S375" i="12"/>
  <c r="S376" i="12"/>
  <c r="S377" i="12"/>
  <c r="S378" i="12"/>
  <c r="S379" i="12"/>
  <c r="S380" i="12"/>
  <c r="S381" i="12"/>
  <c r="S382" i="12"/>
  <c r="S383" i="12"/>
  <c r="S384" i="12"/>
  <c r="S385" i="12"/>
  <c r="S386" i="12"/>
  <c r="S387" i="12"/>
  <c r="S388" i="12"/>
  <c r="S389" i="12"/>
  <c r="S390" i="12"/>
  <c r="S391" i="12"/>
  <c r="S392" i="12"/>
  <c r="S393" i="12"/>
  <c r="S394" i="12"/>
  <c r="S395" i="12"/>
  <c r="S396" i="12"/>
  <c r="S397" i="12"/>
  <c r="S398" i="12"/>
  <c r="S399" i="12"/>
  <c r="S400" i="12"/>
  <c r="S401" i="12"/>
  <c r="S402" i="12"/>
  <c r="S403" i="12"/>
  <c r="S404" i="12"/>
  <c r="S3" i="12"/>
  <c r="S4" i="12"/>
  <c r="S5" i="12"/>
  <c r="S6" i="12"/>
  <c r="S7" i="12"/>
  <c r="S8" i="12"/>
  <c r="S9" i="12"/>
  <c r="S10" i="12"/>
  <c r="S11" i="12"/>
  <c r="S12" i="12"/>
  <c r="S13" i="12"/>
  <c r="S14" i="12"/>
  <c r="S15" i="12"/>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S46" i="12"/>
  <c r="S47" i="12"/>
  <c r="S48" i="12"/>
  <c r="S49" i="12"/>
  <c r="S50" i="12"/>
  <c r="S51" i="12"/>
  <c r="S52" i="12"/>
  <c r="S53" i="12"/>
  <c r="S54" i="12"/>
  <c r="S55" i="12"/>
  <c r="S56" i="12"/>
  <c r="S57" i="12"/>
  <c r="S58" i="12"/>
  <c r="S59" i="12"/>
  <c r="S60" i="12"/>
  <c r="S61" i="12"/>
  <c r="S62" i="12"/>
  <c r="S63" i="12"/>
  <c r="S64" i="12"/>
  <c r="S65" i="12"/>
  <c r="S66" i="12"/>
  <c r="S67" i="12"/>
  <c r="S68" i="12"/>
  <c r="S69" i="12"/>
  <c r="S70" i="12"/>
  <c r="S71" i="12"/>
  <c r="S72" i="12"/>
  <c r="S73" i="12"/>
  <c r="S74" i="12"/>
  <c r="S75" i="12"/>
  <c r="S76" i="12"/>
  <c r="S77" i="12"/>
  <c r="S78" i="12"/>
  <c r="S79" i="12"/>
  <c r="S80" i="12"/>
  <c r="S81" i="12"/>
  <c r="S82" i="12"/>
  <c r="S83" i="12"/>
  <c r="S84" i="12"/>
  <c r="S85" i="12"/>
  <c r="S86" i="12"/>
  <c r="S87" i="12"/>
  <c r="S88" i="12"/>
  <c r="S89" i="12"/>
  <c r="S90" i="12"/>
  <c r="S91" i="12"/>
  <c r="S92" i="12"/>
  <c r="S93" i="12"/>
  <c r="S94" i="12"/>
  <c r="S95" i="12"/>
  <c r="S96" i="12"/>
  <c r="S97" i="12"/>
  <c r="S98" i="12"/>
  <c r="S99" i="12"/>
  <c r="S100" i="12"/>
  <c r="S101" i="12"/>
  <c r="S102" i="12"/>
  <c r="S103" i="12"/>
  <c r="S104" i="12"/>
  <c r="S105" i="12"/>
  <c r="S106" i="12"/>
  <c r="S107" i="12"/>
  <c r="S108" i="12"/>
  <c r="S109" i="12"/>
  <c r="S110" i="12"/>
  <c r="S111" i="12"/>
  <c r="S112" i="12"/>
  <c r="S113" i="12"/>
  <c r="S114" i="12"/>
  <c r="S115" i="12"/>
  <c r="S116" i="12"/>
  <c r="S117" i="12"/>
  <c r="S118" i="12"/>
  <c r="S119" i="12"/>
  <c r="S120" i="12"/>
  <c r="S121" i="12"/>
  <c r="S122" i="12"/>
  <c r="S123" i="12"/>
  <c r="S124" i="12"/>
  <c r="S125" i="12"/>
  <c r="S126" i="12"/>
  <c r="S127" i="12"/>
  <c r="S128" i="12"/>
  <c r="S129" i="12"/>
  <c r="S130" i="12"/>
  <c r="S131" i="12"/>
  <c r="S132" i="12"/>
  <c r="S133" i="12"/>
  <c r="S134" i="12"/>
  <c r="S135" i="12"/>
  <c r="S136" i="12"/>
  <c r="S137" i="12"/>
  <c r="S138" i="12"/>
  <c r="S139" i="12"/>
  <c r="S140" i="12"/>
  <c r="S141" i="12"/>
  <c r="S142" i="12"/>
  <c r="S143" i="12"/>
  <c r="S144" i="12"/>
  <c r="S145" i="12"/>
  <c r="S146" i="12"/>
  <c r="S147" i="12"/>
  <c r="S148" i="12"/>
  <c r="S149" i="12"/>
  <c r="S150" i="12"/>
  <c r="S151" i="12"/>
  <c r="S152" i="12"/>
  <c r="S153" i="12"/>
  <c r="S154" i="12"/>
  <c r="S155" i="12"/>
  <c r="S156" i="12"/>
  <c r="S157" i="12"/>
  <c r="S158" i="12"/>
  <c r="S159" i="12"/>
  <c r="S160" i="12"/>
  <c r="S161" i="12"/>
  <c r="S162" i="12"/>
  <c r="S163" i="12"/>
  <c r="S164" i="12"/>
  <c r="S165" i="12"/>
  <c r="S166" i="12"/>
  <c r="S167" i="12"/>
  <c r="S168" i="12"/>
  <c r="S169" i="12"/>
  <c r="S170" i="12"/>
  <c r="S171" i="12"/>
  <c r="S172" i="12"/>
  <c r="S173" i="12"/>
  <c r="S174" i="12"/>
  <c r="S175" i="12"/>
  <c r="S176" i="12"/>
  <c r="S177" i="12"/>
  <c r="S178" i="12"/>
  <c r="S179" i="12"/>
  <c r="S180" i="12"/>
  <c r="S181" i="12"/>
  <c r="S182" i="12"/>
  <c r="S183" i="12"/>
  <c r="S184" i="12"/>
  <c r="S185" i="12"/>
  <c r="S186" i="12"/>
  <c r="S187" i="12"/>
  <c r="S188" i="12"/>
  <c r="S189" i="12"/>
  <c r="S190" i="12"/>
  <c r="S191" i="12"/>
  <c r="Q192" i="12"/>
  <c r="U192" i="12" s="1"/>
  <c r="Q193" i="12"/>
  <c r="U193" i="12" s="1"/>
  <c r="Q194" i="12"/>
  <c r="U194" i="12" s="1"/>
  <c r="Q195" i="12"/>
  <c r="U195" i="12" s="1"/>
  <c r="Q196" i="12"/>
  <c r="R196" i="12" s="1"/>
  <c r="Q197" i="12"/>
  <c r="R197" i="12" s="1"/>
  <c r="Q198" i="12"/>
  <c r="R198" i="12" s="1"/>
  <c r="Q199" i="12"/>
  <c r="U199" i="12" s="1"/>
  <c r="Q200" i="12"/>
  <c r="U200" i="12" s="1"/>
  <c r="Q201" i="12"/>
  <c r="U201" i="12" s="1"/>
  <c r="Q202" i="12"/>
  <c r="U202" i="12" s="1"/>
  <c r="Q203" i="12"/>
  <c r="U203" i="12" s="1"/>
  <c r="Q204" i="12"/>
  <c r="U204" i="12" s="1"/>
  <c r="Q205" i="12"/>
  <c r="U205" i="12" s="1"/>
  <c r="Q206" i="12"/>
  <c r="U206" i="12" s="1"/>
  <c r="Q207" i="12"/>
  <c r="U207" i="12" s="1"/>
  <c r="Q208" i="12"/>
  <c r="U208" i="12" s="1"/>
  <c r="Q209" i="12"/>
  <c r="U209" i="12" s="1"/>
  <c r="Q210" i="12"/>
  <c r="U210" i="12" s="1"/>
  <c r="Q211" i="12"/>
  <c r="U211" i="12" s="1"/>
  <c r="Q212" i="12"/>
  <c r="R212" i="12" s="1"/>
  <c r="Q213" i="12"/>
  <c r="R213" i="12" s="1"/>
  <c r="Q214" i="12"/>
  <c r="U214" i="12" s="1"/>
  <c r="Q215" i="12"/>
  <c r="U215" i="12" s="1"/>
  <c r="Q216" i="12"/>
  <c r="U216" i="12" s="1"/>
  <c r="Q217" i="12"/>
  <c r="R217" i="12" s="1"/>
  <c r="Q218" i="12"/>
  <c r="U218" i="12" s="1"/>
  <c r="Q219" i="12"/>
  <c r="R219" i="12" s="1"/>
  <c r="Q220" i="12"/>
  <c r="R220" i="12" s="1"/>
  <c r="Q221" i="12"/>
  <c r="R221" i="12" s="1"/>
  <c r="Q222" i="12"/>
  <c r="R222" i="12" s="1"/>
  <c r="Q223" i="12"/>
  <c r="U223" i="12" s="1"/>
  <c r="Q224" i="12"/>
  <c r="U224" i="12" s="1"/>
  <c r="Q225" i="12"/>
  <c r="U225" i="12" s="1"/>
  <c r="Q226" i="12"/>
  <c r="U226" i="12" s="1"/>
  <c r="Q227" i="12"/>
  <c r="U227" i="12" s="1"/>
  <c r="Q228" i="12"/>
  <c r="U228" i="12" s="1"/>
  <c r="Q229" i="12"/>
  <c r="U229" i="12" s="1"/>
  <c r="Q230" i="12"/>
  <c r="U230" i="12" s="1"/>
  <c r="Q231" i="12"/>
  <c r="U231" i="12" s="1"/>
  <c r="Q232" i="12"/>
  <c r="U232" i="12" s="1"/>
  <c r="Q233" i="12"/>
  <c r="U233" i="12" s="1"/>
  <c r="Q234" i="12"/>
  <c r="U234" i="12" s="1"/>
  <c r="Q235" i="12"/>
  <c r="R235" i="12" s="1"/>
  <c r="Q236" i="12"/>
  <c r="R236" i="12" s="1"/>
  <c r="Q237" i="12"/>
  <c r="R237" i="12" s="1"/>
  <c r="Q238" i="12"/>
  <c r="U238" i="12" s="1"/>
  <c r="Q239" i="12"/>
  <c r="U239" i="12" s="1"/>
  <c r="Q240" i="12"/>
  <c r="U240" i="12" s="1"/>
  <c r="Q241" i="12"/>
  <c r="U241" i="12" s="1"/>
  <c r="Q242" i="12"/>
  <c r="U242" i="12" s="1"/>
  <c r="Q243" i="12"/>
  <c r="U243" i="12" s="1"/>
  <c r="Q244" i="12"/>
  <c r="U244" i="12" s="1"/>
  <c r="Q245" i="12"/>
  <c r="U245" i="12" s="1"/>
  <c r="Q246" i="12"/>
  <c r="U246" i="12" s="1"/>
  <c r="Q247" i="12"/>
  <c r="U247" i="12" s="1"/>
  <c r="Q248" i="12"/>
  <c r="U248" i="12" s="1"/>
  <c r="Q249" i="12"/>
  <c r="U249" i="12" s="1"/>
  <c r="Q250" i="12"/>
  <c r="U250" i="12" s="1"/>
  <c r="Q251" i="12"/>
  <c r="U251" i="12" s="1"/>
  <c r="Q252" i="12"/>
  <c r="U252" i="12" s="1"/>
  <c r="Q253" i="12"/>
  <c r="U253" i="12" s="1"/>
  <c r="Q254" i="12"/>
  <c r="U254" i="12" s="1"/>
  <c r="Q255" i="12"/>
  <c r="U255" i="12" s="1"/>
  <c r="Q256" i="12"/>
  <c r="U256" i="12" s="1"/>
  <c r="Q257" i="12"/>
  <c r="U257" i="12" s="1"/>
  <c r="Q258" i="12"/>
  <c r="U258" i="12" s="1"/>
  <c r="Q259" i="12"/>
  <c r="U259" i="12" s="1"/>
  <c r="Q260" i="12"/>
  <c r="R260" i="12" s="1"/>
  <c r="Q261" i="12"/>
  <c r="R261" i="12" s="1"/>
  <c r="Q262" i="12"/>
  <c r="R262" i="12" s="1"/>
  <c r="Q263" i="12"/>
  <c r="U263" i="12" s="1"/>
  <c r="Q264" i="12"/>
  <c r="U264" i="12" s="1"/>
  <c r="Q265" i="12"/>
  <c r="R265" i="12" s="1"/>
  <c r="Q266" i="12"/>
  <c r="U266" i="12" s="1"/>
  <c r="Q267" i="12"/>
  <c r="R267" i="12" s="1"/>
  <c r="Q268" i="12"/>
  <c r="U268" i="12" s="1"/>
  <c r="Q269" i="12"/>
  <c r="U269" i="12" s="1"/>
  <c r="Q270" i="12"/>
  <c r="U270" i="12" s="1"/>
  <c r="Q271" i="12"/>
  <c r="U271" i="12" s="1"/>
  <c r="Q272" i="12"/>
  <c r="U272" i="12" s="1"/>
  <c r="Q273" i="12"/>
  <c r="U273" i="12" s="1"/>
  <c r="Q274" i="12"/>
  <c r="U274" i="12" s="1"/>
  <c r="Q275" i="12"/>
  <c r="U275" i="12" s="1"/>
  <c r="Q276" i="12"/>
  <c r="R276" i="12" s="1"/>
  <c r="Q277" i="12"/>
  <c r="R277" i="12" s="1"/>
  <c r="Q278" i="12"/>
  <c r="U278" i="12" s="1"/>
  <c r="Q279" i="12"/>
  <c r="U279" i="12" s="1"/>
  <c r="Q280" i="12"/>
  <c r="R280" i="12" s="1"/>
  <c r="Q281" i="12"/>
  <c r="U281" i="12" s="1"/>
  <c r="Q282" i="12"/>
  <c r="U282" i="12" s="1"/>
  <c r="Q283" i="12"/>
  <c r="U283" i="12" s="1"/>
  <c r="Q284" i="12"/>
  <c r="R284" i="12" s="1"/>
  <c r="Q285" i="12"/>
  <c r="R285" i="12" s="1"/>
  <c r="Q286" i="12"/>
  <c r="R286" i="12" s="1"/>
  <c r="Q287" i="12"/>
  <c r="U287" i="12" s="1"/>
  <c r="Q288" i="12"/>
  <c r="R288" i="12" s="1"/>
  <c r="Q289" i="12"/>
  <c r="U289" i="12" s="1"/>
  <c r="Q290" i="12"/>
  <c r="U290" i="12" s="1"/>
  <c r="Q291" i="12"/>
  <c r="U291" i="12" s="1"/>
  <c r="Q292" i="12"/>
  <c r="U292" i="12" s="1"/>
  <c r="Q293" i="12"/>
  <c r="U293" i="12" s="1"/>
  <c r="Q294" i="12"/>
  <c r="U294" i="12" s="1"/>
  <c r="Q295" i="12"/>
  <c r="U295" i="12" s="1"/>
  <c r="Q296" i="12"/>
  <c r="R296" i="12" s="1"/>
  <c r="Q297" i="12"/>
  <c r="U297" i="12" s="1"/>
  <c r="Q298" i="12"/>
  <c r="U298" i="12" s="1"/>
  <c r="Q299" i="12"/>
  <c r="R299" i="12" s="1"/>
  <c r="Q300" i="12"/>
  <c r="U300" i="12" s="1"/>
  <c r="Q301" i="12"/>
  <c r="U301" i="12" s="1"/>
  <c r="Q302" i="12"/>
  <c r="U302" i="12" s="1"/>
  <c r="Q303" i="12"/>
  <c r="U303" i="12" s="1"/>
  <c r="Q304" i="12"/>
  <c r="U304" i="12" s="1"/>
  <c r="Q305" i="12"/>
  <c r="U305" i="12" s="1"/>
  <c r="Q306" i="12"/>
  <c r="U306" i="12" s="1"/>
  <c r="Q307" i="12"/>
  <c r="U307" i="12" s="1"/>
  <c r="Q308" i="12"/>
  <c r="R308" i="12" s="1"/>
  <c r="Q309" i="12"/>
  <c r="R309" i="12" s="1"/>
  <c r="Q310" i="12"/>
  <c r="U310" i="12" s="1"/>
  <c r="Q311" i="12"/>
  <c r="U311" i="12" s="1"/>
  <c r="Q312" i="12"/>
  <c r="R312" i="12" s="1"/>
  <c r="Q313" i="12"/>
  <c r="U313" i="12" s="1"/>
  <c r="Q314" i="12"/>
  <c r="U314" i="12" s="1"/>
  <c r="Q315" i="12"/>
  <c r="U315" i="12" s="1"/>
  <c r="Q316" i="12"/>
  <c r="R316" i="12" s="1"/>
  <c r="Q317" i="12"/>
  <c r="R317" i="12" s="1"/>
  <c r="Q318" i="12"/>
  <c r="R318" i="12" s="1"/>
  <c r="Q319" i="12"/>
  <c r="U319" i="12" s="1"/>
  <c r="Q320" i="12"/>
  <c r="R320" i="12" s="1"/>
  <c r="Q321" i="12"/>
  <c r="U321" i="12" s="1"/>
  <c r="Q322" i="12"/>
  <c r="U322" i="12" s="1"/>
  <c r="Q323" i="12"/>
  <c r="R323" i="12" s="1"/>
  <c r="Q324" i="12"/>
  <c r="U324" i="12" s="1"/>
  <c r="Q325" i="12"/>
  <c r="U325" i="12" s="1"/>
  <c r="Q326" i="12"/>
  <c r="U326" i="12" s="1"/>
  <c r="Q327" i="12"/>
  <c r="U327" i="12" s="1"/>
  <c r="Q328" i="12"/>
  <c r="R328" i="12" s="1"/>
  <c r="Q329" i="12"/>
  <c r="U329" i="12" s="1"/>
  <c r="Q330" i="12"/>
  <c r="U330" i="12" s="1"/>
  <c r="Q331" i="12"/>
  <c r="R331" i="12" s="1"/>
  <c r="Q332" i="12"/>
  <c r="U332" i="12" s="1"/>
  <c r="Q333" i="12"/>
  <c r="U333" i="12" s="1"/>
  <c r="Q334" i="12"/>
  <c r="U334" i="12" s="1"/>
  <c r="Q335" i="12"/>
  <c r="U335" i="12" s="1"/>
  <c r="Q336" i="12"/>
  <c r="U336" i="12" s="1"/>
  <c r="Q337" i="12"/>
  <c r="U337" i="12" s="1"/>
  <c r="Q338" i="12"/>
  <c r="U338" i="12" s="1"/>
  <c r="Q339" i="12"/>
  <c r="U339" i="12" s="1"/>
  <c r="Q340" i="12"/>
  <c r="R340" i="12" s="1"/>
  <c r="Q341" i="12"/>
  <c r="R341" i="12" s="1"/>
  <c r="Q342" i="12"/>
  <c r="U342" i="12" s="1"/>
  <c r="Q343" i="12"/>
  <c r="U343" i="12" s="1"/>
  <c r="Q344" i="12"/>
  <c r="R344" i="12" s="1"/>
  <c r="Q345" i="12"/>
  <c r="U345" i="12" s="1"/>
  <c r="Q346" i="12"/>
  <c r="U346" i="12" s="1"/>
  <c r="Q347" i="12"/>
  <c r="U347" i="12" s="1"/>
  <c r="Q348" i="12"/>
  <c r="R348" i="12" s="1"/>
  <c r="Q349" i="12"/>
  <c r="R349" i="12" s="1"/>
  <c r="Q350" i="12"/>
  <c r="R350" i="12" s="1"/>
  <c r="Q351" i="12"/>
  <c r="U351" i="12" s="1"/>
  <c r="Q352" i="12"/>
  <c r="R352" i="12" s="1"/>
  <c r="Q353" i="12"/>
  <c r="U353" i="12" s="1"/>
  <c r="Q354" i="12"/>
  <c r="U354" i="12" s="1"/>
  <c r="Q355" i="12"/>
  <c r="U355" i="12" s="1"/>
  <c r="Q356" i="12"/>
  <c r="U356" i="12" s="1"/>
  <c r="Q357" i="12"/>
  <c r="U357" i="12" s="1"/>
  <c r="Q358" i="12"/>
  <c r="U358" i="12" s="1"/>
  <c r="Q359" i="12"/>
  <c r="U359" i="12" s="1"/>
  <c r="Q360" i="12"/>
  <c r="R360" i="12" s="1"/>
  <c r="Q361" i="12"/>
  <c r="U361" i="12" s="1"/>
  <c r="Q362" i="12"/>
  <c r="U362" i="12" s="1"/>
  <c r="Q363" i="12"/>
  <c r="R363" i="12" s="1"/>
  <c r="Q364" i="12"/>
  <c r="U364" i="12" s="1"/>
  <c r="Q365" i="12"/>
  <c r="U365" i="12" s="1"/>
  <c r="Q366" i="12"/>
  <c r="U366" i="12" s="1"/>
  <c r="Q367" i="12"/>
  <c r="U367" i="12" s="1"/>
  <c r="Q368" i="12"/>
  <c r="U368" i="12" s="1"/>
  <c r="Q369" i="12"/>
  <c r="U369" i="12" s="1"/>
  <c r="Q370" i="12"/>
  <c r="U370" i="12" s="1"/>
  <c r="Q371" i="12"/>
  <c r="U371" i="12" s="1"/>
  <c r="Q372" i="12"/>
  <c r="R372" i="12" s="1"/>
  <c r="Q373" i="12"/>
  <c r="R373" i="12" s="1"/>
  <c r="Q374" i="12"/>
  <c r="U374" i="12" s="1"/>
  <c r="Q375" i="12"/>
  <c r="U375" i="12" s="1"/>
  <c r="Q376" i="12"/>
  <c r="R376" i="12" s="1"/>
  <c r="Q377" i="12"/>
  <c r="U377" i="12" s="1"/>
  <c r="Q378" i="12"/>
  <c r="U378" i="12" s="1"/>
  <c r="Q379" i="12"/>
  <c r="U379" i="12" s="1"/>
  <c r="Q380" i="12"/>
  <c r="R380" i="12" s="1"/>
  <c r="Q381" i="12"/>
  <c r="R381" i="12" s="1"/>
  <c r="Q382" i="12"/>
  <c r="R382" i="12" s="1"/>
  <c r="Q383" i="12"/>
  <c r="U383" i="12" s="1"/>
  <c r="Q384" i="12"/>
  <c r="R384" i="12" s="1"/>
  <c r="Q385" i="12"/>
  <c r="U385" i="12" s="1"/>
  <c r="Q386" i="12"/>
  <c r="U386" i="12" s="1"/>
  <c r="Q387" i="12"/>
  <c r="R387" i="12" s="1"/>
  <c r="Q388" i="12"/>
  <c r="U388" i="12" s="1"/>
  <c r="Q389" i="12"/>
  <c r="U389" i="12" s="1"/>
  <c r="Q390" i="12"/>
  <c r="U390" i="12" s="1"/>
  <c r="Q391" i="12"/>
  <c r="U391" i="12" s="1"/>
  <c r="Q392" i="12"/>
  <c r="R392" i="12" s="1"/>
  <c r="Q393" i="12"/>
  <c r="U393" i="12" s="1"/>
  <c r="Q394" i="12"/>
  <c r="U394" i="12" s="1"/>
  <c r="Q395" i="12"/>
  <c r="R395" i="12" s="1"/>
  <c r="Q396" i="12"/>
  <c r="U396" i="12" s="1"/>
  <c r="Q397" i="12"/>
  <c r="U397" i="12" s="1"/>
  <c r="Q398" i="12"/>
  <c r="U398" i="12" s="1"/>
  <c r="Q399" i="12"/>
  <c r="U399" i="12" s="1"/>
  <c r="Q400" i="12"/>
  <c r="U400" i="12" s="1"/>
  <c r="Q401" i="12"/>
  <c r="U401" i="12" s="1"/>
  <c r="Q402" i="12"/>
  <c r="U402" i="12" s="1"/>
  <c r="Q403" i="12"/>
  <c r="U403" i="12" s="1"/>
  <c r="Q404" i="12"/>
  <c r="R404" i="12" s="1"/>
  <c r="Q3" i="12"/>
  <c r="Q4" i="12"/>
  <c r="Q5" i="12"/>
  <c r="Q6" i="12"/>
  <c r="Q7" i="12"/>
  <c r="Q8" i="12"/>
  <c r="Q9" i="12"/>
  <c r="Q10" i="12"/>
  <c r="Q11" i="12"/>
  <c r="Q12" i="12"/>
  <c r="Q13" i="12"/>
  <c r="Q14" i="12"/>
  <c r="Q15" i="12"/>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Q46" i="12"/>
  <c r="Q47" i="12"/>
  <c r="Q48" i="12"/>
  <c r="Q49" i="12"/>
  <c r="Q50" i="12"/>
  <c r="Q51" i="12"/>
  <c r="Q52" i="12"/>
  <c r="Q53" i="12"/>
  <c r="Q54" i="12"/>
  <c r="Q55" i="12"/>
  <c r="Q56" i="12"/>
  <c r="Q57" i="12"/>
  <c r="Q58" i="12"/>
  <c r="Q59" i="12"/>
  <c r="Q60" i="12"/>
  <c r="Q61" i="12"/>
  <c r="Q62" i="12"/>
  <c r="Q63" i="12"/>
  <c r="Q64" i="12"/>
  <c r="Q65" i="12"/>
  <c r="Q66" i="12"/>
  <c r="Q67" i="12"/>
  <c r="Q68" i="12"/>
  <c r="Q69" i="12"/>
  <c r="Q70" i="12"/>
  <c r="Q71" i="12"/>
  <c r="Q72" i="12"/>
  <c r="Q73" i="12"/>
  <c r="Q74" i="12"/>
  <c r="Q75" i="12"/>
  <c r="Q76" i="12"/>
  <c r="Q77" i="12"/>
  <c r="Q78" i="12"/>
  <c r="Q79" i="12"/>
  <c r="Q80" i="12"/>
  <c r="Q81" i="12"/>
  <c r="Q82" i="12"/>
  <c r="Q83" i="12"/>
  <c r="Q84" i="12"/>
  <c r="Q85" i="12"/>
  <c r="Q86" i="12"/>
  <c r="Q87" i="12"/>
  <c r="Q88" i="12"/>
  <c r="Q89" i="12"/>
  <c r="Q90" i="12"/>
  <c r="Q91" i="12"/>
  <c r="Q92" i="12"/>
  <c r="Q93" i="12"/>
  <c r="Q94" i="12"/>
  <c r="Q95" i="12"/>
  <c r="Q96" i="12"/>
  <c r="Q97" i="12"/>
  <c r="Q98" i="12"/>
  <c r="Q99" i="12"/>
  <c r="Q100" i="12"/>
  <c r="Q101" i="12"/>
  <c r="Q102" i="12"/>
  <c r="Q103" i="12"/>
  <c r="Q104" i="12"/>
  <c r="Q105" i="12"/>
  <c r="Q106" i="12"/>
  <c r="Q107" i="12"/>
  <c r="Q108" i="12"/>
  <c r="Q109" i="12"/>
  <c r="Q110" i="12"/>
  <c r="Q111" i="12"/>
  <c r="Q112" i="12"/>
  <c r="Q113" i="12"/>
  <c r="Q114" i="12"/>
  <c r="Q115" i="12"/>
  <c r="Q116" i="12"/>
  <c r="Q117" i="12"/>
  <c r="Q118" i="12"/>
  <c r="Q119" i="12"/>
  <c r="Q120" i="12"/>
  <c r="Q121" i="12"/>
  <c r="Q122" i="12"/>
  <c r="Q123" i="12"/>
  <c r="Q124" i="12"/>
  <c r="Q125" i="12"/>
  <c r="Q126" i="12"/>
  <c r="Q127" i="12"/>
  <c r="Q128" i="12"/>
  <c r="Q129" i="12"/>
  <c r="Q130" i="12"/>
  <c r="Q131" i="12"/>
  <c r="Q132" i="12"/>
  <c r="Q133" i="12"/>
  <c r="Q134" i="12"/>
  <c r="Q135" i="12"/>
  <c r="Q136" i="12"/>
  <c r="Q137" i="12"/>
  <c r="Q138" i="12"/>
  <c r="Q139" i="12"/>
  <c r="Q140" i="12"/>
  <c r="Q141" i="12"/>
  <c r="Q142" i="12"/>
  <c r="Q143" i="12"/>
  <c r="Q144" i="12"/>
  <c r="Q145" i="12"/>
  <c r="Q146" i="12"/>
  <c r="Q147" i="12"/>
  <c r="Q148" i="12"/>
  <c r="Q149" i="12"/>
  <c r="Q150" i="12"/>
  <c r="Q151" i="12"/>
  <c r="Q152" i="12"/>
  <c r="Q153" i="12"/>
  <c r="Q154" i="12"/>
  <c r="Q155" i="12"/>
  <c r="Q156" i="12"/>
  <c r="Q157" i="12"/>
  <c r="Q158" i="12"/>
  <c r="Q159" i="12"/>
  <c r="Q160" i="12"/>
  <c r="Q161" i="12"/>
  <c r="Q162" i="12"/>
  <c r="Q163" i="12"/>
  <c r="Q164" i="12"/>
  <c r="Q165" i="12"/>
  <c r="Q166" i="12"/>
  <c r="Q167" i="12"/>
  <c r="Q168" i="12"/>
  <c r="Q169" i="12"/>
  <c r="Q170" i="12"/>
  <c r="Q171" i="12"/>
  <c r="Q172" i="12"/>
  <c r="Q173" i="12"/>
  <c r="Q174" i="12"/>
  <c r="Q175" i="12"/>
  <c r="Q176" i="12"/>
  <c r="Q177" i="12"/>
  <c r="Q178" i="12"/>
  <c r="Q179" i="12"/>
  <c r="Q180" i="12"/>
  <c r="Q181" i="12"/>
  <c r="Q182" i="12"/>
  <c r="Q183" i="12"/>
  <c r="Q184" i="12"/>
  <c r="Q185" i="12"/>
  <c r="Q186" i="12"/>
  <c r="Q187" i="12"/>
  <c r="Q188" i="12"/>
  <c r="Q189" i="12"/>
  <c r="Q190" i="12"/>
  <c r="Q191" i="12"/>
  <c r="Q2" i="12"/>
  <c r="P192" i="12"/>
  <c r="P193" i="12"/>
  <c r="P194" i="12"/>
  <c r="P195" i="12"/>
  <c r="P196" i="12"/>
  <c r="P197" i="12"/>
  <c r="P198" i="12"/>
  <c r="P199" i="12"/>
  <c r="P200" i="12"/>
  <c r="P201" i="12"/>
  <c r="P202" i="12"/>
  <c r="P203" i="12"/>
  <c r="P204" i="12"/>
  <c r="P205" i="12"/>
  <c r="P206" i="12"/>
  <c r="P207" i="12"/>
  <c r="P208" i="12"/>
  <c r="P209" i="12"/>
  <c r="P210" i="12"/>
  <c r="P211" i="12"/>
  <c r="P212" i="12"/>
  <c r="P213" i="12"/>
  <c r="P214" i="12"/>
  <c r="P215" i="12"/>
  <c r="P216" i="12"/>
  <c r="P217" i="12"/>
  <c r="P218" i="12"/>
  <c r="P219" i="12"/>
  <c r="P220" i="12"/>
  <c r="P221" i="12"/>
  <c r="P222" i="12"/>
  <c r="P223" i="12"/>
  <c r="P224" i="12"/>
  <c r="P225" i="12"/>
  <c r="P226" i="12"/>
  <c r="P227" i="12"/>
  <c r="P228" i="12"/>
  <c r="P229" i="12"/>
  <c r="P230" i="12"/>
  <c r="P231" i="12"/>
  <c r="P232" i="12"/>
  <c r="P233" i="12"/>
  <c r="P234" i="12"/>
  <c r="P235" i="12"/>
  <c r="P236" i="12"/>
  <c r="P237" i="12"/>
  <c r="P238" i="12"/>
  <c r="P239" i="12"/>
  <c r="P240" i="12"/>
  <c r="P241" i="12"/>
  <c r="P242" i="12"/>
  <c r="P243" i="12"/>
  <c r="P244" i="12"/>
  <c r="P245" i="12"/>
  <c r="P246" i="12"/>
  <c r="P247" i="12"/>
  <c r="P248" i="12"/>
  <c r="P249" i="12"/>
  <c r="P250" i="12"/>
  <c r="P251" i="12"/>
  <c r="P252" i="12"/>
  <c r="P253" i="12"/>
  <c r="P254" i="12"/>
  <c r="P255" i="12"/>
  <c r="P256" i="12"/>
  <c r="P257" i="12"/>
  <c r="P258" i="12"/>
  <c r="P259" i="12"/>
  <c r="P260" i="12"/>
  <c r="P261" i="12"/>
  <c r="P262" i="12"/>
  <c r="P263" i="12"/>
  <c r="P264" i="12"/>
  <c r="P265" i="12"/>
  <c r="P266" i="12"/>
  <c r="P267" i="12"/>
  <c r="P268" i="12"/>
  <c r="P269" i="12"/>
  <c r="P270" i="12"/>
  <c r="P271" i="12"/>
  <c r="P272" i="12"/>
  <c r="P273" i="12"/>
  <c r="P274" i="12"/>
  <c r="P275" i="12"/>
  <c r="P276" i="12"/>
  <c r="P277" i="12"/>
  <c r="P278" i="12"/>
  <c r="P279" i="12"/>
  <c r="P280" i="12"/>
  <c r="P281" i="12"/>
  <c r="P282" i="12"/>
  <c r="P283" i="12"/>
  <c r="P284" i="12"/>
  <c r="P285" i="12"/>
  <c r="P286" i="12"/>
  <c r="P287" i="12"/>
  <c r="P288" i="12"/>
  <c r="P289" i="12"/>
  <c r="P290" i="12"/>
  <c r="P291" i="12"/>
  <c r="P292" i="12"/>
  <c r="P293" i="12"/>
  <c r="P294" i="12"/>
  <c r="P295" i="12"/>
  <c r="P296" i="12"/>
  <c r="P297" i="12"/>
  <c r="P298" i="12"/>
  <c r="P299" i="12"/>
  <c r="P300" i="12"/>
  <c r="P301" i="12"/>
  <c r="P302" i="12"/>
  <c r="P303" i="12"/>
  <c r="P304" i="12"/>
  <c r="P305" i="12"/>
  <c r="P306" i="12"/>
  <c r="P307" i="12"/>
  <c r="P308" i="12"/>
  <c r="P309" i="12"/>
  <c r="P310" i="12"/>
  <c r="P311" i="12"/>
  <c r="P312" i="12"/>
  <c r="P313" i="12"/>
  <c r="P314" i="12"/>
  <c r="P315" i="12"/>
  <c r="P316" i="12"/>
  <c r="P317" i="12"/>
  <c r="P318" i="12"/>
  <c r="P319" i="12"/>
  <c r="P320" i="12"/>
  <c r="P321" i="12"/>
  <c r="P322" i="12"/>
  <c r="P323" i="12"/>
  <c r="P324" i="12"/>
  <c r="P325" i="12"/>
  <c r="P326" i="12"/>
  <c r="P327" i="12"/>
  <c r="P328" i="12"/>
  <c r="P329" i="12"/>
  <c r="P330" i="12"/>
  <c r="P331" i="12"/>
  <c r="P332" i="12"/>
  <c r="P333" i="12"/>
  <c r="P334" i="12"/>
  <c r="P335" i="12"/>
  <c r="P336" i="12"/>
  <c r="P337" i="12"/>
  <c r="P338" i="12"/>
  <c r="P339" i="12"/>
  <c r="P340" i="12"/>
  <c r="P341" i="12"/>
  <c r="P342" i="12"/>
  <c r="P343" i="12"/>
  <c r="P344" i="12"/>
  <c r="P345" i="12"/>
  <c r="P346" i="12"/>
  <c r="P347" i="12"/>
  <c r="P348" i="12"/>
  <c r="P349" i="12"/>
  <c r="P350" i="12"/>
  <c r="P351" i="12"/>
  <c r="P352" i="12"/>
  <c r="P353" i="12"/>
  <c r="P354" i="12"/>
  <c r="P355" i="12"/>
  <c r="P356" i="12"/>
  <c r="P357" i="12"/>
  <c r="P358" i="12"/>
  <c r="P359" i="12"/>
  <c r="P360" i="12"/>
  <c r="P361" i="12"/>
  <c r="P362" i="12"/>
  <c r="P363" i="12"/>
  <c r="P364" i="12"/>
  <c r="P365" i="12"/>
  <c r="P366" i="12"/>
  <c r="P367" i="12"/>
  <c r="P368" i="12"/>
  <c r="P369" i="12"/>
  <c r="P370" i="12"/>
  <c r="P371" i="12"/>
  <c r="P372" i="12"/>
  <c r="P373" i="12"/>
  <c r="P374" i="12"/>
  <c r="P375" i="12"/>
  <c r="P376" i="12"/>
  <c r="P377" i="12"/>
  <c r="P378" i="12"/>
  <c r="P379" i="12"/>
  <c r="P380" i="12"/>
  <c r="P381" i="12"/>
  <c r="P382" i="12"/>
  <c r="P383" i="12"/>
  <c r="P384" i="12"/>
  <c r="P385" i="12"/>
  <c r="P386" i="12"/>
  <c r="P387" i="12"/>
  <c r="P388" i="12"/>
  <c r="P389" i="12"/>
  <c r="P390" i="12"/>
  <c r="P391" i="12"/>
  <c r="P392" i="12"/>
  <c r="P393" i="12"/>
  <c r="P394" i="12"/>
  <c r="P395" i="12"/>
  <c r="P396" i="12"/>
  <c r="P397" i="12"/>
  <c r="P398" i="12"/>
  <c r="P399" i="12"/>
  <c r="P400" i="12"/>
  <c r="P401" i="12"/>
  <c r="P402" i="12"/>
  <c r="P403" i="12"/>
  <c r="P404" i="12"/>
  <c r="P3" i="12"/>
  <c r="P4" i="12"/>
  <c r="P5" i="12"/>
  <c r="P6" i="12"/>
  <c r="P7" i="12"/>
  <c r="P8" i="12"/>
  <c r="P9" i="12"/>
  <c r="P10" i="12"/>
  <c r="P11" i="12"/>
  <c r="P12" i="12"/>
  <c r="P13" i="12"/>
  <c r="P14" i="12"/>
  <c r="P15" i="12"/>
  <c r="P16" i="12"/>
  <c r="P17" i="12"/>
  <c r="P18" i="12"/>
  <c r="P19" i="12"/>
  <c r="P20" i="12"/>
  <c r="P21" i="12"/>
  <c r="P22" i="12"/>
  <c r="P23" i="12"/>
  <c r="P24" i="12"/>
  <c r="P25" i="12"/>
  <c r="P26" i="12"/>
  <c r="P27" i="12"/>
  <c r="P28" i="12"/>
  <c r="P29" i="12"/>
  <c r="P30" i="12"/>
  <c r="P31" i="12"/>
  <c r="P32" i="12"/>
  <c r="P33" i="12"/>
  <c r="P34" i="12"/>
  <c r="P35" i="12"/>
  <c r="P36" i="12"/>
  <c r="P37" i="12"/>
  <c r="P38" i="12"/>
  <c r="P39" i="12"/>
  <c r="P40" i="12"/>
  <c r="P41" i="12"/>
  <c r="P42" i="12"/>
  <c r="P43" i="12"/>
  <c r="P44" i="12"/>
  <c r="P45" i="12"/>
  <c r="P46" i="12"/>
  <c r="P47"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87" i="12"/>
  <c r="P88" i="12"/>
  <c r="P89" i="12"/>
  <c r="P90" i="12"/>
  <c r="P91" i="12"/>
  <c r="P92" i="12"/>
  <c r="P93" i="12"/>
  <c r="P94" i="12"/>
  <c r="P95" i="12"/>
  <c r="P96" i="12"/>
  <c r="P97" i="12"/>
  <c r="P98" i="12"/>
  <c r="P99" i="12"/>
  <c r="P100" i="12"/>
  <c r="P101" i="12"/>
  <c r="P102" i="12"/>
  <c r="P103" i="12"/>
  <c r="P104" i="12"/>
  <c r="P105" i="12"/>
  <c r="P106" i="12"/>
  <c r="P107" i="12"/>
  <c r="P108" i="12"/>
  <c r="P109" i="12"/>
  <c r="P110" i="12"/>
  <c r="P111" i="12"/>
  <c r="P112" i="12"/>
  <c r="P113" i="12"/>
  <c r="P114" i="12"/>
  <c r="P115" i="12"/>
  <c r="P116" i="12"/>
  <c r="P117" i="12"/>
  <c r="P118" i="12"/>
  <c r="P119" i="12"/>
  <c r="P120" i="12"/>
  <c r="P121" i="12"/>
  <c r="P122" i="12"/>
  <c r="P123" i="12"/>
  <c r="P124" i="12"/>
  <c r="P125" i="12"/>
  <c r="P126" i="12"/>
  <c r="P127" i="12"/>
  <c r="P128" i="12"/>
  <c r="P129" i="12"/>
  <c r="P130" i="12"/>
  <c r="P131" i="12"/>
  <c r="P132" i="12"/>
  <c r="P133" i="12"/>
  <c r="P134" i="12"/>
  <c r="P135" i="12"/>
  <c r="P136" i="12"/>
  <c r="P137" i="12"/>
  <c r="P138" i="12"/>
  <c r="P139" i="12"/>
  <c r="P140" i="12"/>
  <c r="P141" i="12"/>
  <c r="P142" i="12"/>
  <c r="P143" i="12"/>
  <c r="P144" i="12"/>
  <c r="P145" i="12"/>
  <c r="P146" i="12"/>
  <c r="P147" i="12"/>
  <c r="P148" i="12"/>
  <c r="P149" i="12"/>
  <c r="P150" i="12"/>
  <c r="P151" i="12"/>
  <c r="P152" i="12"/>
  <c r="P153" i="12"/>
  <c r="P154" i="12"/>
  <c r="P155" i="12"/>
  <c r="P156" i="12"/>
  <c r="P157" i="12"/>
  <c r="P158" i="12"/>
  <c r="P159" i="12"/>
  <c r="P160" i="12"/>
  <c r="P161" i="12"/>
  <c r="P162" i="12"/>
  <c r="P163" i="12"/>
  <c r="P164" i="12"/>
  <c r="P165" i="12"/>
  <c r="P166" i="12"/>
  <c r="P167" i="12"/>
  <c r="P168" i="12"/>
  <c r="P169" i="12"/>
  <c r="P170" i="12"/>
  <c r="P171" i="12"/>
  <c r="P172" i="12"/>
  <c r="P173" i="12"/>
  <c r="P174" i="12"/>
  <c r="P175" i="12"/>
  <c r="P176" i="12"/>
  <c r="P177" i="12"/>
  <c r="P178" i="12"/>
  <c r="P179" i="12"/>
  <c r="P180" i="12"/>
  <c r="P181" i="12"/>
  <c r="P182" i="12"/>
  <c r="P183" i="12"/>
  <c r="P184" i="12"/>
  <c r="P185" i="12"/>
  <c r="P186" i="12"/>
  <c r="P187" i="12"/>
  <c r="P188" i="12"/>
  <c r="P189" i="12"/>
  <c r="P190" i="12"/>
  <c r="P191" i="12"/>
  <c r="O192" i="12"/>
  <c r="O193" i="12"/>
  <c r="O194" i="12"/>
  <c r="O195" i="12"/>
  <c r="O196" i="12"/>
  <c r="O197" i="12"/>
  <c r="O198" i="12"/>
  <c r="O199" i="12"/>
  <c r="O200" i="12"/>
  <c r="O201" i="12"/>
  <c r="O202" i="12"/>
  <c r="O203" i="12"/>
  <c r="O204" i="12"/>
  <c r="O205" i="12"/>
  <c r="O206" i="12"/>
  <c r="O207" i="12"/>
  <c r="O208" i="12"/>
  <c r="O209" i="12"/>
  <c r="O210" i="12"/>
  <c r="O211" i="12"/>
  <c r="O212" i="12"/>
  <c r="O213" i="12"/>
  <c r="O214" i="12"/>
  <c r="O215" i="12"/>
  <c r="O216" i="12"/>
  <c r="O217" i="12"/>
  <c r="O218" i="12"/>
  <c r="O219" i="12"/>
  <c r="O220" i="12"/>
  <c r="O221" i="12"/>
  <c r="O222" i="12"/>
  <c r="O223" i="12"/>
  <c r="O224" i="12"/>
  <c r="O225" i="12"/>
  <c r="O226" i="12"/>
  <c r="O227" i="12"/>
  <c r="O228" i="12"/>
  <c r="O229" i="12"/>
  <c r="O230" i="12"/>
  <c r="O231" i="12"/>
  <c r="O232" i="12"/>
  <c r="O233" i="12"/>
  <c r="O234" i="12"/>
  <c r="O235" i="12"/>
  <c r="O236" i="12"/>
  <c r="O237" i="12"/>
  <c r="O238" i="12"/>
  <c r="O239" i="12"/>
  <c r="O240" i="12"/>
  <c r="O241" i="12"/>
  <c r="O242" i="12"/>
  <c r="O243" i="12"/>
  <c r="O244" i="12"/>
  <c r="O245" i="12"/>
  <c r="O246" i="12"/>
  <c r="O247" i="12"/>
  <c r="O248" i="12"/>
  <c r="O249" i="12"/>
  <c r="O250" i="12"/>
  <c r="O251" i="12"/>
  <c r="O252" i="12"/>
  <c r="O253" i="12"/>
  <c r="O254" i="12"/>
  <c r="O255" i="12"/>
  <c r="O256" i="12"/>
  <c r="O257" i="12"/>
  <c r="O258" i="12"/>
  <c r="O259" i="12"/>
  <c r="O260" i="12"/>
  <c r="O261" i="12"/>
  <c r="O262" i="12"/>
  <c r="O263" i="12"/>
  <c r="O264" i="12"/>
  <c r="O265" i="12"/>
  <c r="O266" i="12"/>
  <c r="O267" i="12"/>
  <c r="O268" i="12"/>
  <c r="O269" i="12"/>
  <c r="O270" i="12"/>
  <c r="O271" i="12"/>
  <c r="O272" i="12"/>
  <c r="O273" i="12"/>
  <c r="O274" i="12"/>
  <c r="O275" i="12"/>
  <c r="O276" i="12"/>
  <c r="O277" i="12"/>
  <c r="O278" i="12"/>
  <c r="O279" i="12"/>
  <c r="O280" i="12"/>
  <c r="O281" i="12"/>
  <c r="O282" i="12"/>
  <c r="O283" i="12"/>
  <c r="O284" i="12"/>
  <c r="O285" i="12"/>
  <c r="O286" i="12"/>
  <c r="O287" i="12"/>
  <c r="O288" i="12"/>
  <c r="O289" i="12"/>
  <c r="O290" i="12"/>
  <c r="O291" i="12"/>
  <c r="O292" i="12"/>
  <c r="O293" i="12"/>
  <c r="O294" i="12"/>
  <c r="O295" i="12"/>
  <c r="O296" i="12"/>
  <c r="O297" i="12"/>
  <c r="O298" i="12"/>
  <c r="O299" i="12"/>
  <c r="O300" i="12"/>
  <c r="O301" i="12"/>
  <c r="O302" i="12"/>
  <c r="O303" i="12"/>
  <c r="O304" i="12"/>
  <c r="O305" i="12"/>
  <c r="O306" i="12"/>
  <c r="O307" i="12"/>
  <c r="O308" i="12"/>
  <c r="O309" i="12"/>
  <c r="O310" i="12"/>
  <c r="O311" i="12"/>
  <c r="O312" i="12"/>
  <c r="O313" i="12"/>
  <c r="O314" i="12"/>
  <c r="O315" i="12"/>
  <c r="O316" i="12"/>
  <c r="O317" i="12"/>
  <c r="O318" i="12"/>
  <c r="O319" i="12"/>
  <c r="O320" i="12"/>
  <c r="O321" i="12"/>
  <c r="O322" i="12"/>
  <c r="O323" i="12"/>
  <c r="O324" i="12"/>
  <c r="O325" i="12"/>
  <c r="O326" i="12"/>
  <c r="O327" i="12"/>
  <c r="O328" i="12"/>
  <c r="O329" i="12"/>
  <c r="O330" i="12"/>
  <c r="O331" i="12"/>
  <c r="O332" i="12"/>
  <c r="O333" i="12"/>
  <c r="O334" i="12"/>
  <c r="O335" i="12"/>
  <c r="O336" i="12"/>
  <c r="O337" i="12"/>
  <c r="O338" i="12"/>
  <c r="O339" i="12"/>
  <c r="O340" i="12"/>
  <c r="O341" i="12"/>
  <c r="O342" i="12"/>
  <c r="O343" i="12"/>
  <c r="O344" i="12"/>
  <c r="O345" i="12"/>
  <c r="O346" i="12"/>
  <c r="O347" i="12"/>
  <c r="O348" i="12"/>
  <c r="O349" i="12"/>
  <c r="O350" i="12"/>
  <c r="O351" i="12"/>
  <c r="O352" i="12"/>
  <c r="O353" i="12"/>
  <c r="O354" i="12"/>
  <c r="O355" i="12"/>
  <c r="O356" i="12"/>
  <c r="O357" i="12"/>
  <c r="O358" i="12"/>
  <c r="O359" i="12"/>
  <c r="O360" i="12"/>
  <c r="O361" i="12"/>
  <c r="O362" i="12"/>
  <c r="O363" i="12"/>
  <c r="O364" i="12"/>
  <c r="O365" i="12"/>
  <c r="O366" i="12"/>
  <c r="O367" i="12"/>
  <c r="O368" i="12"/>
  <c r="O369" i="12"/>
  <c r="O370" i="12"/>
  <c r="O371" i="12"/>
  <c r="O372" i="12"/>
  <c r="O373" i="12"/>
  <c r="O374" i="12"/>
  <c r="O375" i="12"/>
  <c r="O376" i="12"/>
  <c r="O377" i="12"/>
  <c r="O378" i="12"/>
  <c r="O379" i="12"/>
  <c r="O380" i="12"/>
  <c r="O381" i="12"/>
  <c r="O382" i="12"/>
  <c r="O383" i="12"/>
  <c r="O384" i="12"/>
  <c r="O385" i="12"/>
  <c r="O386" i="12"/>
  <c r="O387" i="12"/>
  <c r="O388" i="12"/>
  <c r="O389" i="12"/>
  <c r="O390" i="12"/>
  <c r="O391" i="12"/>
  <c r="O392" i="12"/>
  <c r="O393" i="12"/>
  <c r="O394" i="12"/>
  <c r="O395" i="12"/>
  <c r="O396" i="12"/>
  <c r="O397" i="12"/>
  <c r="O398" i="12"/>
  <c r="O399" i="12"/>
  <c r="O400" i="12"/>
  <c r="O401" i="12"/>
  <c r="O402" i="12"/>
  <c r="O403" i="12"/>
  <c r="O404" i="12"/>
  <c r="O3" i="12"/>
  <c r="O4" i="12"/>
  <c r="O5" i="12"/>
  <c r="O6" i="12"/>
  <c r="O7" i="12"/>
  <c r="O8" i="12"/>
  <c r="O9" i="12"/>
  <c r="O10" i="12"/>
  <c r="O11" i="12"/>
  <c r="O12" i="12"/>
  <c r="O13" i="12"/>
  <c r="O14" i="12"/>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46" i="12"/>
  <c r="O47" i="12"/>
  <c r="O48" i="12"/>
  <c r="O49" i="12"/>
  <c r="O50" i="12"/>
  <c r="O51" i="12"/>
  <c r="O52" i="12"/>
  <c r="O53" i="12"/>
  <c r="O54" i="12"/>
  <c r="O55" i="12"/>
  <c r="O56" i="12"/>
  <c r="O57" i="12"/>
  <c r="O58" i="12"/>
  <c r="O59" i="12"/>
  <c r="O60" i="12"/>
  <c r="O61" i="12"/>
  <c r="O62" i="12"/>
  <c r="O63" i="12"/>
  <c r="O64" i="12"/>
  <c r="O65" i="12"/>
  <c r="O66" i="12"/>
  <c r="O67" i="12"/>
  <c r="O68" i="12"/>
  <c r="O69" i="12"/>
  <c r="O70" i="12"/>
  <c r="O71" i="12"/>
  <c r="O72" i="12"/>
  <c r="O73" i="12"/>
  <c r="O74" i="12"/>
  <c r="O75" i="12"/>
  <c r="O76" i="12"/>
  <c r="O77" i="12"/>
  <c r="O78" i="12"/>
  <c r="O79" i="12"/>
  <c r="O80" i="12"/>
  <c r="O81" i="12"/>
  <c r="O82" i="12"/>
  <c r="O83" i="12"/>
  <c r="O84" i="12"/>
  <c r="O85" i="12"/>
  <c r="O86" i="12"/>
  <c r="O87" i="12"/>
  <c r="O88" i="12"/>
  <c r="O89" i="12"/>
  <c r="O90" i="12"/>
  <c r="O91" i="12"/>
  <c r="O92" i="12"/>
  <c r="O93" i="12"/>
  <c r="O94" i="12"/>
  <c r="O95" i="12"/>
  <c r="O96" i="12"/>
  <c r="O97" i="12"/>
  <c r="O98" i="12"/>
  <c r="O99" i="12"/>
  <c r="O100" i="12"/>
  <c r="O101" i="12"/>
  <c r="O102" i="12"/>
  <c r="O103" i="12"/>
  <c r="O104" i="12"/>
  <c r="O105" i="12"/>
  <c r="O106" i="12"/>
  <c r="O107" i="12"/>
  <c r="O108" i="12"/>
  <c r="O109" i="12"/>
  <c r="O110" i="12"/>
  <c r="O111" i="12"/>
  <c r="O112" i="12"/>
  <c r="O113" i="12"/>
  <c r="O114" i="12"/>
  <c r="O115" i="12"/>
  <c r="O116" i="12"/>
  <c r="O117" i="12"/>
  <c r="O118" i="12"/>
  <c r="O119" i="12"/>
  <c r="O120" i="12"/>
  <c r="O121" i="12"/>
  <c r="O122" i="12"/>
  <c r="O123" i="12"/>
  <c r="O124" i="12"/>
  <c r="O125" i="12"/>
  <c r="O126" i="12"/>
  <c r="O127" i="12"/>
  <c r="O128" i="12"/>
  <c r="O129" i="12"/>
  <c r="O130" i="12"/>
  <c r="O131" i="12"/>
  <c r="O132" i="12"/>
  <c r="O133" i="12"/>
  <c r="O134" i="12"/>
  <c r="O135" i="12"/>
  <c r="O136" i="12"/>
  <c r="O137" i="12"/>
  <c r="O138" i="12"/>
  <c r="O139" i="12"/>
  <c r="O140" i="12"/>
  <c r="O141" i="12"/>
  <c r="O142" i="12"/>
  <c r="O143" i="12"/>
  <c r="O144" i="12"/>
  <c r="O145" i="12"/>
  <c r="O146" i="12"/>
  <c r="O147" i="12"/>
  <c r="O148" i="12"/>
  <c r="O149" i="12"/>
  <c r="O150" i="12"/>
  <c r="O151" i="12"/>
  <c r="O152" i="12"/>
  <c r="O153" i="12"/>
  <c r="O154" i="12"/>
  <c r="O155" i="12"/>
  <c r="O156" i="12"/>
  <c r="O157" i="12"/>
  <c r="O158" i="12"/>
  <c r="O159" i="12"/>
  <c r="O160" i="12"/>
  <c r="O161" i="12"/>
  <c r="O162" i="12"/>
  <c r="O163" i="12"/>
  <c r="O164" i="12"/>
  <c r="O165" i="12"/>
  <c r="O166" i="12"/>
  <c r="O167" i="12"/>
  <c r="O168" i="12"/>
  <c r="O169" i="12"/>
  <c r="O170" i="12"/>
  <c r="O171" i="12"/>
  <c r="O172" i="12"/>
  <c r="O173" i="12"/>
  <c r="O174" i="12"/>
  <c r="O175" i="12"/>
  <c r="O176" i="12"/>
  <c r="O177" i="12"/>
  <c r="O178" i="12"/>
  <c r="O179" i="12"/>
  <c r="O180" i="12"/>
  <c r="O181" i="12"/>
  <c r="O182" i="12"/>
  <c r="O183" i="12"/>
  <c r="O184" i="12"/>
  <c r="O185" i="12"/>
  <c r="O186" i="12"/>
  <c r="O187" i="12"/>
  <c r="O188" i="12"/>
  <c r="O189" i="12"/>
  <c r="O190" i="12"/>
  <c r="O191" i="12"/>
  <c r="O2" i="12"/>
  <c r="N192" i="12"/>
  <c r="N193" i="12"/>
  <c r="N194" i="12"/>
  <c r="N195" i="12"/>
  <c r="N196" i="12"/>
  <c r="N197" i="12"/>
  <c r="N198" i="12"/>
  <c r="N199" i="12"/>
  <c r="N200" i="12"/>
  <c r="N201" i="12"/>
  <c r="N202" i="12"/>
  <c r="N203" i="12"/>
  <c r="N204" i="12"/>
  <c r="N205" i="12"/>
  <c r="N206" i="12"/>
  <c r="N207" i="12"/>
  <c r="N208" i="12"/>
  <c r="N209" i="12"/>
  <c r="N210" i="12"/>
  <c r="N211" i="12"/>
  <c r="N212" i="12"/>
  <c r="N213" i="12"/>
  <c r="N214" i="12"/>
  <c r="N215" i="12"/>
  <c r="N216" i="12"/>
  <c r="N217" i="12"/>
  <c r="N218" i="12"/>
  <c r="N219" i="12"/>
  <c r="N220" i="12"/>
  <c r="N221" i="12"/>
  <c r="N222" i="12"/>
  <c r="N223" i="12"/>
  <c r="N224" i="12"/>
  <c r="N225" i="12"/>
  <c r="N226" i="12"/>
  <c r="N227" i="12"/>
  <c r="N228" i="12"/>
  <c r="N229" i="12"/>
  <c r="N230" i="12"/>
  <c r="N231" i="12"/>
  <c r="N232" i="12"/>
  <c r="N233" i="12"/>
  <c r="N234" i="12"/>
  <c r="N235" i="12"/>
  <c r="N236" i="12"/>
  <c r="N237" i="12"/>
  <c r="N238" i="12"/>
  <c r="N239" i="12"/>
  <c r="N240" i="12"/>
  <c r="N241" i="12"/>
  <c r="N242" i="12"/>
  <c r="N243" i="12"/>
  <c r="N244" i="12"/>
  <c r="N245" i="12"/>
  <c r="N246" i="12"/>
  <c r="N247" i="12"/>
  <c r="N248" i="12"/>
  <c r="N249" i="12"/>
  <c r="N250" i="12"/>
  <c r="N251" i="12"/>
  <c r="N252" i="12"/>
  <c r="N253" i="12"/>
  <c r="N254" i="12"/>
  <c r="N255" i="12"/>
  <c r="N256" i="12"/>
  <c r="N257" i="12"/>
  <c r="N258" i="12"/>
  <c r="N259" i="12"/>
  <c r="N260" i="12"/>
  <c r="N261" i="12"/>
  <c r="N262" i="12"/>
  <c r="N263" i="12"/>
  <c r="N264" i="12"/>
  <c r="N265" i="12"/>
  <c r="N266" i="12"/>
  <c r="N267" i="12"/>
  <c r="N268" i="12"/>
  <c r="N269" i="12"/>
  <c r="N270" i="12"/>
  <c r="N271" i="12"/>
  <c r="N272" i="12"/>
  <c r="N273" i="12"/>
  <c r="N274" i="12"/>
  <c r="N275" i="12"/>
  <c r="N276" i="12"/>
  <c r="N277" i="12"/>
  <c r="N278" i="12"/>
  <c r="N279" i="12"/>
  <c r="N280" i="12"/>
  <c r="N281" i="12"/>
  <c r="N282" i="12"/>
  <c r="N283" i="12"/>
  <c r="N284" i="12"/>
  <c r="N285" i="12"/>
  <c r="N286" i="12"/>
  <c r="N287" i="12"/>
  <c r="N288" i="12"/>
  <c r="N289" i="12"/>
  <c r="N290" i="12"/>
  <c r="N291" i="12"/>
  <c r="N292" i="12"/>
  <c r="N293" i="12"/>
  <c r="N294" i="12"/>
  <c r="N295" i="12"/>
  <c r="N296" i="12"/>
  <c r="N297" i="12"/>
  <c r="N298" i="12"/>
  <c r="N299" i="12"/>
  <c r="N300" i="12"/>
  <c r="N301" i="12"/>
  <c r="N302" i="12"/>
  <c r="N303" i="12"/>
  <c r="N304" i="12"/>
  <c r="N305" i="12"/>
  <c r="N306" i="12"/>
  <c r="N307" i="12"/>
  <c r="N308" i="12"/>
  <c r="N309" i="12"/>
  <c r="N310" i="12"/>
  <c r="N311" i="12"/>
  <c r="N312" i="12"/>
  <c r="N313" i="12"/>
  <c r="N314" i="12"/>
  <c r="N315" i="12"/>
  <c r="N316" i="12"/>
  <c r="N317" i="12"/>
  <c r="N318" i="12"/>
  <c r="N319" i="12"/>
  <c r="N320" i="12"/>
  <c r="N321" i="12"/>
  <c r="N322" i="12"/>
  <c r="N323" i="12"/>
  <c r="N324" i="12"/>
  <c r="N325" i="12"/>
  <c r="N326" i="12"/>
  <c r="N327" i="12"/>
  <c r="N328" i="12"/>
  <c r="N329" i="12"/>
  <c r="N330" i="12"/>
  <c r="N331" i="12"/>
  <c r="N332" i="12"/>
  <c r="N333" i="12"/>
  <c r="N334" i="12"/>
  <c r="N335" i="12"/>
  <c r="N336" i="12"/>
  <c r="N337" i="12"/>
  <c r="N338" i="12"/>
  <c r="N339" i="12"/>
  <c r="N340" i="12"/>
  <c r="N341" i="12"/>
  <c r="N342" i="12"/>
  <c r="N343" i="12"/>
  <c r="N344" i="12"/>
  <c r="N345" i="12"/>
  <c r="N346" i="12"/>
  <c r="N347" i="12"/>
  <c r="N348" i="12"/>
  <c r="N349" i="12"/>
  <c r="N350" i="12"/>
  <c r="N351" i="12"/>
  <c r="N352" i="12"/>
  <c r="N353" i="12"/>
  <c r="N354" i="12"/>
  <c r="N355" i="12"/>
  <c r="N356" i="12"/>
  <c r="N357" i="12"/>
  <c r="N358" i="12"/>
  <c r="N359" i="12"/>
  <c r="N360" i="12"/>
  <c r="N361" i="12"/>
  <c r="N362" i="12"/>
  <c r="N363" i="12"/>
  <c r="N364" i="12"/>
  <c r="N365" i="12"/>
  <c r="N366" i="12"/>
  <c r="N367" i="12"/>
  <c r="N368" i="12"/>
  <c r="N369" i="12"/>
  <c r="N370" i="12"/>
  <c r="N371" i="12"/>
  <c r="N372" i="12"/>
  <c r="N373" i="12"/>
  <c r="N374" i="12"/>
  <c r="N375" i="12"/>
  <c r="N376" i="12"/>
  <c r="N377" i="12"/>
  <c r="N378" i="12"/>
  <c r="N379" i="12"/>
  <c r="N380" i="12"/>
  <c r="N381" i="12"/>
  <c r="N382" i="12"/>
  <c r="N383" i="12"/>
  <c r="N384" i="12"/>
  <c r="N385" i="12"/>
  <c r="N386" i="12"/>
  <c r="N387" i="12"/>
  <c r="N388" i="12"/>
  <c r="N389" i="12"/>
  <c r="N390" i="12"/>
  <c r="N391" i="12"/>
  <c r="N392" i="12"/>
  <c r="N393" i="12"/>
  <c r="N394" i="12"/>
  <c r="N395" i="12"/>
  <c r="N396" i="12"/>
  <c r="N397" i="12"/>
  <c r="N398" i="12"/>
  <c r="N399" i="12"/>
  <c r="N400" i="12"/>
  <c r="N401" i="12"/>
  <c r="N402" i="12"/>
  <c r="N403" i="12"/>
  <c r="N404" i="12"/>
  <c r="N3" i="12"/>
  <c r="N4" i="12"/>
  <c r="N5" i="12"/>
  <c r="N6" i="12"/>
  <c r="N7" i="12"/>
  <c r="N8" i="12"/>
  <c r="N9" i="12"/>
  <c r="N10" i="12"/>
  <c r="N11" i="12"/>
  <c r="N12" i="12"/>
  <c r="N13" i="12"/>
  <c r="N14" i="12"/>
  <c r="N15" i="12"/>
  <c r="N16" i="12"/>
  <c r="N17" i="12"/>
  <c r="N18" i="12"/>
  <c r="N19" i="12"/>
  <c r="N20" i="12"/>
  <c r="N21" i="12"/>
  <c r="N22" i="12"/>
  <c r="N23" i="12"/>
  <c r="N24" i="12"/>
  <c r="N25" i="12"/>
  <c r="N26" i="12"/>
  <c r="N27" i="12"/>
  <c r="N28" i="12"/>
  <c r="N29" i="12"/>
  <c r="N30" i="12"/>
  <c r="N31" i="12"/>
  <c r="N32" i="12"/>
  <c r="N33" i="12"/>
  <c r="N34" i="12"/>
  <c r="N35" i="12"/>
  <c r="N36" i="12"/>
  <c r="N37" i="12"/>
  <c r="N38" i="12"/>
  <c r="N39" i="12"/>
  <c r="N40" i="12"/>
  <c r="N41" i="12"/>
  <c r="N42" i="12"/>
  <c r="N43" i="12"/>
  <c r="N44" i="12"/>
  <c r="N45" i="12"/>
  <c r="N46" i="12"/>
  <c r="N47" i="12"/>
  <c r="N48" i="12"/>
  <c r="N49" i="12"/>
  <c r="N50" i="12"/>
  <c r="N51" i="12"/>
  <c r="N52" i="12"/>
  <c r="N53" i="12"/>
  <c r="N54" i="12"/>
  <c r="N55" i="12"/>
  <c r="N56" i="12"/>
  <c r="N57" i="12"/>
  <c r="N58" i="12"/>
  <c r="N59" i="12"/>
  <c r="N60" i="12"/>
  <c r="N61" i="12"/>
  <c r="N62" i="12"/>
  <c r="N63" i="12"/>
  <c r="N64" i="12"/>
  <c r="N65" i="12"/>
  <c r="N66" i="12"/>
  <c r="N67" i="12"/>
  <c r="N68" i="12"/>
  <c r="N69" i="12"/>
  <c r="N70" i="12"/>
  <c r="N71" i="12"/>
  <c r="N72" i="12"/>
  <c r="N73" i="12"/>
  <c r="N74" i="12"/>
  <c r="N75" i="12"/>
  <c r="N76" i="12"/>
  <c r="N77" i="12"/>
  <c r="N78" i="12"/>
  <c r="N79" i="12"/>
  <c r="N80" i="12"/>
  <c r="N81" i="12"/>
  <c r="N82" i="12"/>
  <c r="N83" i="12"/>
  <c r="N84" i="12"/>
  <c r="N85" i="12"/>
  <c r="N86" i="12"/>
  <c r="N87" i="12"/>
  <c r="N88" i="12"/>
  <c r="N89" i="12"/>
  <c r="N90" i="12"/>
  <c r="N91" i="12"/>
  <c r="N92" i="12"/>
  <c r="N93" i="12"/>
  <c r="N94" i="12"/>
  <c r="N95" i="12"/>
  <c r="N96" i="12"/>
  <c r="N97" i="12"/>
  <c r="N98" i="12"/>
  <c r="N99" i="12"/>
  <c r="N100" i="12"/>
  <c r="N101" i="12"/>
  <c r="N102" i="12"/>
  <c r="N103" i="12"/>
  <c r="N104" i="12"/>
  <c r="N105" i="12"/>
  <c r="N106" i="12"/>
  <c r="N107" i="12"/>
  <c r="N108" i="12"/>
  <c r="N109" i="12"/>
  <c r="N110" i="12"/>
  <c r="N111" i="12"/>
  <c r="N112" i="12"/>
  <c r="N113" i="12"/>
  <c r="N114" i="12"/>
  <c r="N115" i="12"/>
  <c r="N116" i="12"/>
  <c r="N117" i="12"/>
  <c r="N118" i="12"/>
  <c r="N119" i="12"/>
  <c r="N120" i="12"/>
  <c r="N121" i="12"/>
  <c r="N122" i="12"/>
  <c r="N123" i="12"/>
  <c r="N124" i="12"/>
  <c r="N125" i="12"/>
  <c r="N126" i="12"/>
  <c r="N127" i="12"/>
  <c r="N128" i="12"/>
  <c r="N129" i="12"/>
  <c r="N130" i="12"/>
  <c r="N131" i="12"/>
  <c r="N132" i="12"/>
  <c r="N133" i="12"/>
  <c r="N134" i="12"/>
  <c r="N135" i="12"/>
  <c r="N136" i="12"/>
  <c r="N137" i="12"/>
  <c r="N138" i="12"/>
  <c r="N139" i="12"/>
  <c r="N140" i="12"/>
  <c r="N141" i="12"/>
  <c r="N142" i="12"/>
  <c r="N143" i="12"/>
  <c r="N144" i="12"/>
  <c r="N145" i="12"/>
  <c r="N146" i="12"/>
  <c r="N147" i="12"/>
  <c r="N148" i="12"/>
  <c r="N149" i="12"/>
  <c r="N150" i="12"/>
  <c r="N151" i="12"/>
  <c r="N152" i="12"/>
  <c r="N153" i="12"/>
  <c r="N154" i="12"/>
  <c r="N155" i="12"/>
  <c r="N156" i="12"/>
  <c r="N157" i="12"/>
  <c r="N158" i="12"/>
  <c r="N159" i="12"/>
  <c r="N160" i="12"/>
  <c r="N161" i="12"/>
  <c r="N162" i="12"/>
  <c r="N163" i="12"/>
  <c r="N164" i="12"/>
  <c r="N165" i="12"/>
  <c r="N166" i="12"/>
  <c r="N167" i="12"/>
  <c r="N168" i="12"/>
  <c r="N169" i="12"/>
  <c r="N170" i="12"/>
  <c r="N171" i="12"/>
  <c r="N172" i="12"/>
  <c r="N173" i="12"/>
  <c r="N174" i="12"/>
  <c r="N175" i="12"/>
  <c r="N176" i="12"/>
  <c r="N177" i="12"/>
  <c r="N178" i="12"/>
  <c r="N179" i="12"/>
  <c r="N180" i="12"/>
  <c r="N181" i="12"/>
  <c r="N182" i="12"/>
  <c r="N183" i="12"/>
  <c r="N184" i="12"/>
  <c r="N185" i="12"/>
  <c r="N186" i="12"/>
  <c r="N187" i="12"/>
  <c r="N188" i="12"/>
  <c r="N189" i="12"/>
  <c r="N190" i="12"/>
  <c r="N191" i="12"/>
  <c r="M192" i="12"/>
  <c r="M193" i="12"/>
  <c r="M194" i="12"/>
  <c r="M195" i="12"/>
  <c r="M196" i="12"/>
  <c r="M197" i="12"/>
  <c r="M198" i="12"/>
  <c r="M199" i="12"/>
  <c r="M200" i="12"/>
  <c r="M201" i="12"/>
  <c r="M202" i="12"/>
  <c r="M203" i="12"/>
  <c r="M204" i="12"/>
  <c r="M205" i="12"/>
  <c r="M206" i="12"/>
  <c r="M207" i="12"/>
  <c r="M208" i="12"/>
  <c r="M209" i="12"/>
  <c r="M210" i="12"/>
  <c r="M211" i="12"/>
  <c r="M212" i="12"/>
  <c r="M213" i="12"/>
  <c r="M214" i="12"/>
  <c r="M215" i="12"/>
  <c r="M216" i="12"/>
  <c r="M217" i="12"/>
  <c r="M218" i="12"/>
  <c r="M219" i="12"/>
  <c r="M220" i="12"/>
  <c r="M221" i="12"/>
  <c r="M222" i="12"/>
  <c r="M223" i="12"/>
  <c r="M224" i="12"/>
  <c r="M225" i="12"/>
  <c r="M226" i="12"/>
  <c r="M227" i="12"/>
  <c r="M228" i="12"/>
  <c r="M229" i="12"/>
  <c r="M230" i="12"/>
  <c r="M231" i="12"/>
  <c r="M232" i="12"/>
  <c r="M233" i="12"/>
  <c r="M234" i="12"/>
  <c r="M235" i="12"/>
  <c r="M236" i="12"/>
  <c r="M237" i="12"/>
  <c r="M238" i="12"/>
  <c r="M239" i="12"/>
  <c r="M240" i="12"/>
  <c r="M241" i="12"/>
  <c r="M242" i="12"/>
  <c r="M243" i="12"/>
  <c r="M244" i="12"/>
  <c r="M245" i="12"/>
  <c r="M246" i="12"/>
  <c r="M247" i="12"/>
  <c r="M248" i="12"/>
  <c r="M249" i="12"/>
  <c r="M250" i="12"/>
  <c r="M251" i="12"/>
  <c r="M252" i="12"/>
  <c r="M253" i="12"/>
  <c r="M254" i="12"/>
  <c r="M255" i="12"/>
  <c r="M256" i="12"/>
  <c r="M257" i="12"/>
  <c r="M258" i="12"/>
  <c r="M259" i="12"/>
  <c r="M260" i="12"/>
  <c r="M261" i="12"/>
  <c r="M262" i="12"/>
  <c r="M263" i="12"/>
  <c r="M264" i="12"/>
  <c r="M265" i="12"/>
  <c r="M266" i="12"/>
  <c r="M267" i="12"/>
  <c r="M268" i="12"/>
  <c r="M269" i="12"/>
  <c r="M270" i="12"/>
  <c r="M271" i="12"/>
  <c r="M272" i="12"/>
  <c r="M273" i="12"/>
  <c r="M274" i="12"/>
  <c r="M275" i="12"/>
  <c r="M276" i="12"/>
  <c r="M277" i="12"/>
  <c r="M278" i="12"/>
  <c r="M279" i="12"/>
  <c r="M280" i="12"/>
  <c r="M281" i="12"/>
  <c r="M282" i="12"/>
  <c r="M283" i="12"/>
  <c r="M284" i="12"/>
  <c r="M285" i="12"/>
  <c r="M286" i="12"/>
  <c r="M287" i="12"/>
  <c r="M288" i="12"/>
  <c r="M289" i="12"/>
  <c r="M290" i="12"/>
  <c r="M291" i="12"/>
  <c r="M292" i="12"/>
  <c r="M293" i="12"/>
  <c r="M294" i="12"/>
  <c r="M295" i="12"/>
  <c r="M296" i="12"/>
  <c r="M297" i="12"/>
  <c r="M298" i="12"/>
  <c r="M299" i="12"/>
  <c r="M300" i="12"/>
  <c r="M301" i="12"/>
  <c r="M302" i="12"/>
  <c r="M303" i="12"/>
  <c r="M304" i="12"/>
  <c r="M305" i="12"/>
  <c r="M306" i="12"/>
  <c r="M307" i="12"/>
  <c r="M308" i="12"/>
  <c r="M309" i="12"/>
  <c r="M310" i="12"/>
  <c r="M311" i="12"/>
  <c r="M312" i="12"/>
  <c r="M313" i="12"/>
  <c r="M314" i="12"/>
  <c r="M315" i="12"/>
  <c r="M316" i="12"/>
  <c r="M317" i="12"/>
  <c r="M318" i="12"/>
  <c r="M319" i="12"/>
  <c r="M320" i="12"/>
  <c r="M321" i="12"/>
  <c r="M322" i="12"/>
  <c r="M323" i="12"/>
  <c r="M324" i="12"/>
  <c r="M325" i="12"/>
  <c r="M326" i="12"/>
  <c r="M327" i="12"/>
  <c r="M328" i="12"/>
  <c r="M329" i="12"/>
  <c r="M330" i="12"/>
  <c r="M331" i="12"/>
  <c r="M332" i="12"/>
  <c r="M333" i="12"/>
  <c r="M334" i="12"/>
  <c r="M335" i="12"/>
  <c r="M336" i="12"/>
  <c r="M337" i="12"/>
  <c r="M338" i="12"/>
  <c r="M339" i="12"/>
  <c r="M340" i="12"/>
  <c r="M341" i="12"/>
  <c r="M342" i="12"/>
  <c r="M343" i="12"/>
  <c r="M344" i="12"/>
  <c r="M345" i="12"/>
  <c r="M346" i="12"/>
  <c r="M347" i="12"/>
  <c r="M348" i="12"/>
  <c r="M349" i="12"/>
  <c r="M350" i="12"/>
  <c r="M351" i="12"/>
  <c r="M352" i="12"/>
  <c r="M353" i="12"/>
  <c r="M354" i="12"/>
  <c r="M355" i="12"/>
  <c r="M356" i="12"/>
  <c r="M357" i="12"/>
  <c r="M358" i="12"/>
  <c r="M359" i="12"/>
  <c r="M360" i="12"/>
  <c r="M361" i="12"/>
  <c r="M362" i="12"/>
  <c r="M363" i="12"/>
  <c r="M364" i="12"/>
  <c r="M365" i="12"/>
  <c r="M366" i="12"/>
  <c r="M367" i="12"/>
  <c r="M368" i="12"/>
  <c r="M369" i="12"/>
  <c r="M370" i="12"/>
  <c r="M371" i="12"/>
  <c r="M372" i="12"/>
  <c r="M373" i="12"/>
  <c r="M374" i="12"/>
  <c r="M375" i="12"/>
  <c r="M376" i="12"/>
  <c r="M377" i="12"/>
  <c r="M378" i="12"/>
  <c r="M379" i="12"/>
  <c r="M380" i="12"/>
  <c r="M381" i="12"/>
  <c r="M382" i="12"/>
  <c r="M383" i="12"/>
  <c r="M384" i="12"/>
  <c r="M385" i="12"/>
  <c r="M386" i="12"/>
  <c r="M387" i="12"/>
  <c r="M388" i="12"/>
  <c r="M389" i="12"/>
  <c r="M390" i="12"/>
  <c r="M391" i="12"/>
  <c r="M392" i="12"/>
  <c r="M393" i="12"/>
  <c r="M394" i="12"/>
  <c r="M395" i="12"/>
  <c r="M396" i="12"/>
  <c r="M397" i="12"/>
  <c r="M398" i="12"/>
  <c r="M399" i="12"/>
  <c r="M400" i="12"/>
  <c r="M401" i="12"/>
  <c r="M402" i="12"/>
  <c r="M403" i="12"/>
  <c r="M404" i="12"/>
  <c r="M3" i="12"/>
  <c r="M4" i="12"/>
  <c r="M5" i="12"/>
  <c r="M6" i="12"/>
  <c r="M7" i="12"/>
  <c r="M8" i="12"/>
  <c r="M9" i="12"/>
  <c r="M10" i="12"/>
  <c r="M11" i="12"/>
  <c r="M12" i="12"/>
  <c r="M13" i="12"/>
  <c r="M14" i="12"/>
  <c r="M15" i="12"/>
  <c r="M16" i="12"/>
  <c r="M17" i="12"/>
  <c r="M18"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76" i="12"/>
  <c r="M77" i="12"/>
  <c r="M78" i="12"/>
  <c r="M79" i="12"/>
  <c r="M80" i="12"/>
  <c r="M81" i="12"/>
  <c r="M82" i="12"/>
  <c r="M83" i="12"/>
  <c r="M84" i="12"/>
  <c r="M85" i="12"/>
  <c r="M86" i="12"/>
  <c r="M87" i="12"/>
  <c r="M88" i="12"/>
  <c r="M89" i="12"/>
  <c r="M90" i="12"/>
  <c r="M91" i="12"/>
  <c r="M92" i="12"/>
  <c r="M93" i="12"/>
  <c r="M94" i="12"/>
  <c r="M95" i="12"/>
  <c r="M96" i="12"/>
  <c r="M97" i="12"/>
  <c r="M98" i="12"/>
  <c r="M99" i="12"/>
  <c r="M100" i="12"/>
  <c r="M101" i="12"/>
  <c r="M102" i="12"/>
  <c r="M103" i="12"/>
  <c r="M104" i="12"/>
  <c r="M105" i="12"/>
  <c r="M106" i="12"/>
  <c r="M107" i="12"/>
  <c r="M108" i="12"/>
  <c r="M109" i="12"/>
  <c r="M110" i="12"/>
  <c r="M111" i="12"/>
  <c r="M112" i="12"/>
  <c r="M113" i="12"/>
  <c r="M114" i="12"/>
  <c r="M115" i="12"/>
  <c r="M116" i="12"/>
  <c r="M117" i="12"/>
  <c r="M118" i="12"/>
  <c r="M119" i="12"/>
  <c r="M120" i="12"/>
  <c r="M121" i="12"/>
  <c r="M122" i="12"/>
  <c r="M123" i="12"/>
  <c r="M124" i="12"/>
  <c r="M125" i="12"/>
  <c r="M126" i="12"/>
  <c r="M127" i="12"/>
  <c r="M128" i="12"/>
  <c r="M129" i="12"/>
  <c r="M130" i="12"/>
  <c r="M131" i="12"/>
  <c r="M132" i="12"/>
  <c r="M133" i="12"/>
  <c r="M134" i="12"/>
  <c r="M135" i="12"/>
  <c r="M136" i="12"/>
  <c r="M137" i="12"/>
  <c r="M138" i="12"/>
  <c r="M139" i="12"/>
  <c r="M140" i="12"/>
  <c r="M141" i="12"/>
  <c r="M142" i="12"/>
  <c r="M143" i="12"/>
  <c r="M144" i="12"/>
  <c r="M145" i="12"/>
  <c r="M146" i="12"/>
  <c r="M147" i="12"/>
  <c r="M148" i="12"/>
  <c r="M149" i="12"/>
  <c r="M150" i="12"/>
  <c r="M151" i="12"/>
  <c r="M152" i="12"/>
  <c r="M153" i="12"/>
  <c r="M154" i="12"/>
  <c r="M155" i="12"/>
  <c r="M156" i="12"/>
  <c r="M157" i="12"/>
  <c r="M158" i="12"/>
  <c r="M159" i="12"/>
  <c r="M160" i="12"/>
  <c r="M161" i="12"/>
  <c r="M162" i="12"/>
  <c r="M163" i="12"/>
  <c r="M164" i="12"/>
  <c r="M165" i="12"/>
  <c r="M166" i="12"/>
  <c r="M167" i="12"/>
  <c r="M168" i="12"/>
  <c r="M169" i="12"/>
  <c r="M170" i="12"/>
  <c r="M171" i="12"/>
  <c r="M172" i="12"/>
  <c r="M173" i="12"/>
  <c r="M174" i="12"/>
  <c r="M175" i="12"/>
  <c r="M176" i="12"/>
  <c r="M177" i="12"/>
  <c r="M178" i="12"/>
  <c r="M179" i="12"/>
  <c r="M180" i="12"/>
  <c r="M181" i="12"/>
  <c r="M182" i="12"/>
  <c r="M183" i="12"/>
  <c r="M184" i="12"/>
  <c r="M185" i="12"/>
  <c r="M186" i="12"/>
  <c r="M187" i="12"/>
  <c r="M188" i="12"/>
  <c r="M189" i="12"/>
  <c r="M190" i="12"/>
  <c r="M191" i="12"/>
  <c r="M2" i="12"/>
  <c r="L192" i="12"/>
  <c r="L193" i="12"/>
  <c r="L194" i="12"/>
  <c r="L195" i="12"/>
  <c r="L196" i="12"/>
  <c r="L197" i="12"/>
  <c r="L198" i="12"/>
  <c r="L199" i="12"/>
  <c r="L200" i="12"/>
  <c r="L201" i="12"/>
  <c r="L202" i="12"/>
  <c r="L203" i="12"/>
  <c r="L204" i="12"/>
  <c r="L205" i="12"/>
  <c r="L206" i="12"/>
  <c r="L207" i="12"/>
  <c r="L208" i="12"/>
  <c r="L209" i="12"/>
  <c r="L210" i="12"/>
  <c r="L211" i="12"/>
  <c r="L212" i="12"/>
  <c r="L213" i="12"/>
  <c r="L214" i="12"/>
  <c r="L215" i="12"/>
  <c r="L216" i="12"/>
  <c r="L217" i="12"/>
  <c r="L218" i="12"/>
  <c r="L219" i="12"/>
  <c r="L220" i="12"/>
  <c r="L221" i="12"/>
  <c r="L222" i="12"/>
  <c r="L223" i="12"/>
  <c r="L224" i="12"/>
  <c r="L225" i="12"/>
  <c r="L226" i="12"/>
  <c r="L227" i="12"/>
  <c r="L228" i="12"/>
  <c r="L229" i="12"/>
  <c r="L230" i="12"/>
  <c r="L231" i="12"/>
  <c r="L232" i="12"/>
  <c r="L233" i="12"/>
  <c r="L234" i="12"/>
  <c r="L235" i="12"/>
  <c r="L236" i="12"/>
  <c r="L237" i="12"/>
  <c r="L238" i="12"/>
  <c r="L239" i="12"/>
  <c r="L240" i="12"/>
  <c r="L241" i="12"/>
  <c r="L242" i="12"/>
  <c r="L243" i="12"/>
  <c r="L244" i="12"/>
  <c r="L245" i="12"/>
  <c r="L246" i="12"/>
  <c r="L247" i="12"/>
  <c r="L248" i="12"/>
  <c r="L249" i="12"/>
  <c r="L250" i="12"/>
  <c r="L251" i="12"/>
  <c r="L252" i="12"/>
  <c r="L253" i="12"/>
  <c r="L254" i="12"/>
  <c r="L255" i="12"/>
  <c r="L256" i="12"/>
  <c r="L257" i="12"/>
  <c r="L258" i="12"/>
  <c r="L259" i="12"/>
  <c r="L260" i="12"/>
  <c r="L261" i="12"/>
  <c r="L262" i="12"/>
  <c r="L263" i="12"/>
  <c r="L264" i="12"/>
  <c r="L265" i="12"/>
  <c r="L266" i="12"/>
  <c r="L267" i="12"/>
  <c r="L268" i="12"/>
  <c r="L269" i="12"/>
  <c r="L270" i="12"/>
  <c r="L271" i="12"/>
  <c r="L272" i="12"/>
  <c r="L273" i="12"/>
  <c r="L274" i="12"/>
  <c r="L275" i="12"/>
  <c r="L276" i="12"/>
  <c r="L277" i="12"/>
  <c r="L278" i="12"/>
  <c r="L279" i="12"/>
  <c r="L280" i="12"/>
  <c r="L281" i="12"/>
  <c r="L282" i="12"/>
  <c r="L283" i="12"/>
  <c r="L284" i="12"/>
  <c r="L285" i="12"/>
  <c r="L286" i="12"/>
  <c r="L287" i="12"/>
  <c r="L288" i="12"/>
  <c r="L289" i="12"/>
  <c r="L290" i="12"/>
  <c r="L291" i="12"/>
  <c r="L292" i="12"/>
  <c r="L293" i="12"/>
  <c r="L294" i="12"/>
  <c r="L295" i="12"/>
  <c r="L296" i="12"/>
  <c r="L297" i="12"/>
  <c r="L298" i="12"/>
  <c r="L299" i="12"/>
  <c r="L300" i="12"/>
  <c r="L301" i="12"/>
  <c r="L302" i="12"/>
  <c r="L303" i="12"/>
  <c r="L304" i="12"/>
  <c r="L305" i="12"/>
  <c r="L306" i="12"/>
  <c r="L307" i="12"/>
  <c r="L308" i="12"/>
  <c r="L309" i="12"/>
  <c r="L310" i="12"/>
  <c r="L311" i="12"/>
  <c r="L312" i="12"/>
  <c r="L313" i="12"/>
  <c r="L314" i="12"/>
  <c r="L315" i="12"/>
  <c r="L316" i="12"/>
  <c r="L317" i="12"/>
  <c r="L318" i="12"/>
  <c r="L319" i="12"/>
  <c r="L320" i="12"/>
  <c r="L321" i="12"/>
  <c r="L322" i="12"/>
  <c r="L323" i="12"/>
  <c r="L324" i="12"/>
  <c r="L325" i="12"/>
  <c r="L326" i="12"/>
  <c r="L327" i="12"/>
  <c r="L328" i="12"/>
  <c r="L329" i="12"/>
  <c r="L330" i="12"/>
  <c r="L331" i="12"/>
  <c r="L332" i="12"/>
  <c r="L333" i="12"/>
  <c r="L334" i="12"/>
  <c r="L335" i="12"/>
  <c r="L336" i="12"/>
  <c r="L337" i="12"/>
  <c r="L338" i="12"/>
  <c r="L339" i="12"/>
  <c r="L340" i="12"/>
  <c r="L341" i="12"/>
  <c r="L342" i="12"/>
  <c r="L343" i="12"/>
  <c r="L344" i="12"/>
  <c r="L345" i="12"/>
  <c r="L346" i="12"/>
  <c r="L347" i="12"/>
  <c r="L348" i="12"/>
  <c r="L349" i="12"/>
  <c r="L350" i="12"/>
  <c r="L351" i="12"/>
  <c r="L352" i="12"/>
  <c r="L353" i="12"/>
  <c r="L354" i="12"/>
  <c r="L355" i="12"/>
  <c r="L356" i="12"/>
  <c r="L357" i="12"/>
  <c r="L358" i="12"/>
  <c r="L359" i="12"/>
  <c r="L360" i="12"/>
  <c r="L361" i="12"/>
  <c r="L362" i="12"/>
  <c r="L363" i="12"/>
  <c r="L364" i="12"/>
  <c r="L365" i="12"/>
  <c r="L366" i="12"/>
  <c r="L367" i="12"/>
  <c r="L368" i="12"/>
  <c r="L369" i="12"/>
  <c r="L370" i="12"/>
  <c r="L371" i="12"/>
  <c r="L372" i="12"/>
  <c r="L373" i="12"/>
  <c r="L374" i="12"/>
  <c r="L375" i="12"/>
  <c r="L376" i="12"/>
  <c r="L377" i="12"/>
  <c r="L378" i="12"/>
  <c r="L379" i="12"/>
  <c r="L380" i="12"/>
  <c r="L381" i="12"/>
  <c r="L382" i="12"/>
  <c r="L383" i="12"/>
  <c r="L384" i="12"/>
  <c r="L385" i="12"/>
  <c r="L386" i="12"/>
  <c r="L387" i="12"/>
  <c r="L388" i="12"/>
  <c r="L389" i="12"/>
  <c r="L390" i="12"/>
  <c r="L391" i="12"/>
  <c r="L392" i="12"/>
  <c r="L393" i="12"/>
  <c r="L394" i="12"/>
  <c r="L395" i="12"/>
  <c r="L396" i="12"/>
  <c r="L397" i="12"/>
  <c r="L398" i="12"/>
  <c r="L399" i="12"/>
  <c r="L400" i="12"/>
  <c r="L401" i="12"/>
  <c r="L402" i="12"/>
  <c r="L403" i="12"/>
  <c r="L404" i="12"/>
  <c r="L3" i="12"/>
  <c r="L4" i="12"/>
  <c r="L5" i="12"/>
  <c r="L6" i="12"/>
  <c r="L7"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K192" i="12"/>
  <c r="K193" i="12"/>
  <c r="K194" i="12"/>
  <c r="K195" i="12"/>
  <c r="K196" i="12"/>
  <c r="K197" i="12"/>
  <c r="K198" i="12"/>
  <c r="K199" i="12"/>
  <c r="K200" i="12"/>
  <c r="K201" i="12"/>
  <c r="K202" i="12"/>
  <c r="K203" i="12"/>
  <c r="K204" i="12"/>
  <c r="K205" i="12"/>
  <c r="K206" i="12"/>
  <c r="K207" i="12"/>
  <c r="K208" i="12"/>
  <c r="K209" i="12"/>
  <c r="K210" i="12"/>
  <c r="K211" i="12"/>
  <c r="K212" i="12"/>
  <c r="K213" i="12"/>
  <c r="K214" i="12"/>
  <c r="K215" i="12"/>
  <c r="K216" i="12"/>
  <c r="K217" i="12"/>
  <c r="K218" i="12"/>
  <c r="K219" i="12"/>
  <c r="K220" i="12"/>
  <c r="K221" i="12"/>
  <c r="K222" i="12"/>
  <c r="K223" i="12"/>
  <c r="K224" i="12"/>
  <c r="K225" i="12"/>
  <c r="K226" i="12"/>
  <c r="K227" i="12"/>
  <c r="K228" i="12"/>
  <c r="K229" i="12"/>
  <c r="K230" i="12"/>
  <c r="K231" i="12"/>
  <c r="K232" i="12"/>
  <c r="K233" i="12"/>
  <c r="K234" i="12"/>
  <c r="K235" i="12"/>
  <c r="K236" i="12"/>
  <c r="K237" i="12"/>
  <c r="K238" i="12"/>
  <c r="K239" i="12"/>
  <c r="K240" i="12"/>
  <c r="K241" i="12"/>
  <c r="K242" i="12"/>
  <c r="K243" i="12"/>
  <c r="K244" i="12"/>
  <c r="K245" i="12"/>
  <c r="K246" i="12"/>
  <c r="K247" i="12"/>
  <c r="K248" i="12"/>
  <c r="K249" i="12"/>
  <c r="K250" i="12"/>
  <c r="K251" i="12"/>
  <c r="K252" i="12"/>
  <c r="K253" i="12"/>
  <c r="K254" i="12"/>
  <c r="K255" i="12"/>
  <c r="K256" i="12"/>
  <c r="K257" i="12"/>
  <c r="K258" i="12"/>
  <c r="K259" i="12"/>
  <c r="K260" i="12"/>
  <c r="K261" i="12"/>
  <c r="K262" i="12"/>
  <c r="K263" i="12"/>
  <c r="K264" i="12"/>
  <c r="K265" i="12"/>
  <c r="K266" i="12"/>
  <c r="K267" i="12"/>
  <c r="K268" i="12"/>
  <c r="K269" i="12"/>
  <c r="K270" i="12"/>
  <c r="K271" i="12"/>
  <c r="K272" i="12"/>
  <c r="K273" i="12"/>
  <c r="K274" i="12"/>
  <c r="K275" i="12"/>
  <c r="K276" i="12"/>
  <c r="K277" i="12"/>
  <c r="K278" i="12"/>
  <c r="K279" i="12"/>
  <c r="K280" i="12"/>
  <c r="K281" i="12"/>
  <c r="K282" i="12"/>
  <c r="K283" i="12"/>
  <c r="K284" i="12"/>
  <c r="K285" i="12"/>
  <c r="K286" i="12"/>
  <c r="K287" i="12"/>
  <c r="K288" i="12"/>
  <c r="K289" i="12"/>
  <c r="K290" i="12"/>
  <c r="K291" i="12"/>
  <c r="K292" i="12"/>
  <c r="K293" i="12"/>
  <c r="K294" i="12"/>
  <c r="K295" i="12"/>
  <c r="K296" i="12"/>
  <c r="K297" i="12"/>
  <c r="K298" i="12"/>
  <c r="K299" i="12"/>
  <c r="K300" i="12"/>
  <c r="K301" i="12"/>
  <c r="K302" i="12"/>
  <c r="K303" i="12"/>
  <c r="K304" i="12"/>
  <c r="K305" i="12"/>
  <c r="K306" i="12"/>
  <c r="K307" i="12"/>
  <c r="K308" i="12"/>
  <c r="K309" i="12"/>
  <c r="K310" i="12"/>
  <c r="K311" i="12"/>
  <c r="K312" i="12"/>
  <c r="K313" i="12"/>
  <c r="K314" i="12"/>
  <c r="K315" i="12"/>
  <c r="K316" i="12"/>
  <c r="K317" i="12"/>
  <c r="K318" i="12"/>
  <c r="K319" i="12"/>
  <c r="K320" i="12"/>
  <c r="K321" i="12"/>
  <c r="K322" i="12"/>
  <c r="K323" i="12"/>
  <c r="K324" i="12"/>
  <c r="K325" i="12"/>
  <c r="K326" i="12"/>
  <c r="K327" i="12"/>
  <c r="K328" i="12"/>
  <c r="K329" i="12"/>
  <c r="K330" i="12"/>
  <c r="K331" i="12"/>
  <c r="K332" i="12"/>
  <c r="K333" i="12"/>
  <c r="K334" i="12"/>
  <c r="K335" i="12"/>
  <c r="K336" i="12"/>
  <c r="K337" i="12"/>
  <c r="K338" i="12"/>
  <c r="K339" i="12"/>
  <c r="K340" i="12"/>
  <c r="K341" i="12"/>
  <c r="K342" i="12"/>
  <c r="K343" i="12"/>
  <c r="K344" i="12"/>
  <c r="K345" i="12"/>
  <c r="K346" i="12"/>
  <c r="K347" i="12"/>
  <c r="K348" i="12"/>
  <c r="K349" i="12"/>
  <c r="K350" i="12"/>
  <c r="K351" i="12"/>
  <c r="K352" i="12"/>
  <c r="K353" i="12"/>
  <c r="K354" i="12"/>
  <c r="K355" i="12"/>
  <c r="K356" i="12"/>
  <c r="K357" i="12"/>
  <c r="K358" i="12"/>
  <c r="K359" i="12"/>
  <c r="K360" i="12"/>
  <c r="K361" i="12"/>
  <c r="K362" i="12"/>
  <c r="K363" i="12"/>
  <c r="K364" i="12"/>
  <c r="K365" i="12"/>
  <c r="K366" i="12"/>
  <c r="K367" i="12"/>
  <c r="K368" i="12"/>
  <c r="K369" i="12"/>
  <c r="K370" i="12"/>
  <c r="K371" i="12"/>
  <c r="K372" i="12"/>
  <c r="K373" i="12"/>
  <c r="K374" i="12"/>
  <c r="K375" i="12"/>
  <c r="K376" i="12"/>
  <c r="K377" i="12"/>
  <c r="K378" i="12"/>
  <c r="K379" i="12"/>
  <c r="K380" i="12"/>
  <c r="K381" i="12"/>
  <c r="K382" i="12"/>
  <c r="K383" i="12"/>
  <c r="K384" i="12"/>
  <c r="K385" i="12"/>
  <c r="K386" i="12"/>
  <c r="K387" i="12"/>
  <c r="K388" i="12"/>
  <c r="K389" i="12"/>
  <c r="K390" i="12"/>
  <c r="K391" i="12"/>
  <c r="K392" i="12"/>
  <c r="K393" i="12"/>
  <c r="K394" i="12"/>
  <c r="K395" i="12"/>
  <c r="K396" i="12"/>
  <c r="K397" i="12"/>
  <c r="K398" i="12"/>
  <c r="K399" i="12"/>
  <c r="K400" i="12"/>
  <c r="K401" i="12"/>
  <c r="K402" i="12"/>
  <c r="K403" i="12"/>
  <c r="K404" i="12"/>
  <c r="K3" i="12"/>
  <c r="K4" i="12"/>
  <c r="K5" i="12"/>
  <c r="K6" i="12"/>
  <c r="K7" i="12"/>
  <c r="K8" i="12"/>
  <c r="K9" i="12"/>
  <c r="K10" i="12"/>
  <c r="K11" i="12"/>
  <c r="K12" i="12"/>
  <c r="K13" i="12"/>
  <c r="K14" i="12"/>
  <c r="K15" i="12"/>
  <c r="K16" i="12"/>
  <c r="K17" i="12"/>
  <c r="K18" i="12"/>
  <c r="K19" i="12"/>
  <c r="K20" i="12"/>
  <c r="K21" i="12"/>
  <c r="K22" i="12"/>
  <c r="K23" i="12"/>
  <c r="K24" i="12"/>
  <c r="K25" i="12"/>
  <c r="K26" i="12"/>
  <c r="K27" i="12"/>
  <c r="K28" i="12"/>
  <c r="K29" i="12"/>
  <c r="K30" i="12"/>
  <c r="K31" i="12"/>
  <c r="K32" i="12"/>
  <c r="K33" i="12"/>
  <c r="K34" i="12"/>
  <c r="K35" i="12"/>
  <c r="K36" i="12"/>
  <c r="K37" i="12"/>
  <c r="K38" i="12"/>
  <c r="K39" i="12"/>
  <c r="K40" i="12"/>
  <c r="K41" i="12"/>
  <c r="K42" i="12"/>
  <c r="K43" i="12"/>
  <c r="K44" i="12"/>
  <c r="K45" i="12"/>
  <c r="K46" i="12"/>
  <c r="K47" i="12"/>
  <c r="K48" i="12"/>
  <c r="K49" i="12"/>
  <c r="K50" i="12"/>
  <c r="K51" i="12"/>
  <c r="K52" i="12"/>
  <c r="K53" i="12"/>
  <c r="K54" i="12"/>
  <c r="K55" i="12"/>
  <c r="K56" i="12"/>
  <c r="K57" i="12"/>
  <c r="K58" i="12"/>
  <c r="K59" i="12"/>
  <c r="K60" i="12"/>
  <c r="K61" i="12"/>
  <c r="K62" i="12"/>
  <c r="K63" i="12"/>
  <c r="K64" i="12"/>
  <c r="K65" i="12"/>
  <c r="K66" i="12"/>
  <c r="K67" i="12"/>
  <c r="K68" i="12"/>
  <c r="K69" i="12"/>
  <c r="K70" i="12"/>
  <c r="K71" i="12"/>
  <c r="K72" i="12"/>
  <c r="K73" i="12"/>
  <c r="K74" i="12"/>
  <c r="K75" i="12"/>
  <c r="K76" i="12"/>
  <c r="K77" i="12"/>
  <c r="K78" i="12"/>
  <c r="K79" i="12"/>
  <c r="K80" i="12"/>
  <c r="K81" i="12"/>
  <c r="K82" i="12"/>
  <c r="K83" i="12"/>
  <c r="K84" i="12"/>
  <c r="K85" i="12"/>
  <c r="K86" i="12"/>
  <c r="K87" i="12"/>
  <c r="K88" i="12"/>
  <c r="K89" i="12"/>
  <c r="K90" i="12"/>
  <c r="K91" i="12"/>
  <c r="K92" i="12"/>
  <c r="K93" i="12"/>
  <c r="K94" i="12"/>
  <c r="K95" i="12"/>
  <c r="K96" i="12"/>
  <c r="K97" i="12"/>
  <c r="K98" i="12"/>
  <c r="K99" i="12"/>
  <c r="K100" i="12"/>
  <c r="K101" i="12"/>
  <c r="K102" i="12"/>
  <c r="K103" i="12"/>
  <c r="K104" i="12"/>
  <c r="K105" i="12"/>
  <c r="K106" i="12"/>
  <c r="K107" i="12"/>
  <c r="K108" i="12"/>
  <c r="K109" i="12"/>
  <c r="K110" i="12"/>
  <c r="K111" i="12"/>
  <c r="K112" i="12"/>
  <c r="K113" i="12"/>
  <c r="K114" i="12"/>
  <c r="K115" i="12"/>
  <c r="K116" i="12"/>
  <c r="K117" i="12"/>
  <c r="K118" i="12"/>
  <c r="K119" i="12"/>
  <c r="K120" i="12"/>
  <c r="K121" i="12"/>
  <c r="K122" i="12"/>
  <c r="K123" i="12"/>
  <c r="K124" i="12"/>
  <c r="K125" i="12"/>
  <c r="K126" i="12"/>
  <c r="K127" i="12"/>
  <c r="K128" i="12"/>
  <c r="K129" i="12"/>
  <c r="K130" i="12"/>
  <c r="K131" i="12"/>
  <c r="K132" i="12"/>
  <c r="K133" i="12"/>
  <c r="K134" i="12"/>
  <c r="K135" i="12"/>
  <c r="K136" i="12"/>
  <c r="K137" i="12"/>
  <c r="K138" i="12"/>
  <c r="K139" i="12"/>
  <c r="K140" i="12"/>
  <c r="K141" i="12"/>
  <c r="K142" i="12"/>
  <c r="K143" i="12"/>
  <c r="K144" i="12"/>
  <c r="K145" i="12"/>
  <c r="K146" i="12"/>
  <c r="K147" i="12"/>
  <c r="K148" i="12"/>
  <c r="K149" i="12"/>
  <c r="K150" i="12"/>
  <c r="K151" i="12"/>
  <c r="K152" i="12"/>
  <c r="K153" i="12"/>
  <c r="K154" i="12"/>
  <c r="K155" i="12"/>
  <c r="K156" i="12"/>
  <c r="K157" i="12"/>
  <c r="K158" i="12"/>
  <c r="K159" i="12"/>
  <c r="K160" i="12"/>
  <c r="K161" i="12"/>
  <c r="K162" i="12"/>
  <c r="K163" i="12"/>
  <c r="K164" i="12"/>
  <c r="K165" i="12"/>
  <c r="K166" i="12"/>
  <c r="K167" i="12"/>
  <c r="K168" i="12"/>
  <c r="K169" i="12"/>
  <c r="K170" i="12"/>
  <c r="K171" i="12"/>
  <c r="K172" i="12"/>
  <c r="K173" i="12"/>
  <c r="K174" i="12"/>
  <c r="K175" i="12"/>
  <c r="K176" i="12"/>
  <c r="K177" i="12"/>
  <c r="K178" i="12"/>
  <c r="K179" i="12"/>
  <c r="K180" i="12"/>
  <c r="K181" i="12"/>
  <c r="K182" i="12"/>
  <c r="K183" i="12"/>
  <c r="K184" i="12"/>
  <c r="K185" i="12"/>
  <c r="K186" i="12"/>
  <c r="K187" i="12"/>
  <c r="K188" i="12"/>
  <c r="K189" i="12"/>
  <c r="K190" i="12"/>
  <c r="K191" i="12"/>
  <c r="K2"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300" i="12"/>
  <c r="J301"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J402" i="12"/>
  <c r="J403" i="12"/>
  <c r="J404" i="12"/>
  <c r="J3" i="12"/>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27" i="12"/>
  <c r="I228" i="12"/>
  <c r="I229" i="12"/>
  <c r="I230" i="12"/>
  <c r="I231" i="12"/>
  <c r="I232" i="12"/>
  <c r="I233" i="12"/>
  <c r="I234" i="12"/>
  <c r="I235" i="12"/>
  <c r="I236" i="12"/>
  <c r="I237" i="12"/>
  <c r="I238" i="12"/>
  <c r="I239" i="12"/>
  <c r="I240" i="12"/>
  <c r="I241" i="12"/>
  <c r="I242" i="12"/>
  <c r="I243" i="12"/>
  <c r="I244" i="12"/>
  <c r="I245" i="12"/>
  <c r="I246" i="12"/>
  <c r="I247" i="12"/>
  <c r="I248" i="12"/>
  <c r="I249" i="12"/>
  <c r="I250" i="12"/>
  <c r="I251" i="12"/>
  <c r="I252" i="12"/>
  <c r="I253" i="12"/>
  <c r="I254" i="12"/>
  <c r="I255" i="12"/>
  <c r="I256" i="12"/>
  <c r="I257" i="12"/>
  <c r="I258" i="12"/>
  <c r="I259" i="12"/>
  <c r="I260" i="12"/>
  <c r="I261" i="12"/>
  <c r="I262" i="12"/>
  <c r="I263" i="12"/>
  <c r="I264" i="12"/>
  <c r="I265" i="12"/>
  <c r="I266" i="12"/>
  <c r="I267" i="12"/>
  <c r="I268" i="12"/>
  <c r="I269" i="12"/>
  <c r="I270" i="12"/>
  <c r="I271" i="12"/>
  <c r="I272" i="12"/>
  <c r="I273" i="12"/>
  <c r="I274" i="12"/>
  <c r="I275" i="12"/>
  <c r="I276" i="12"/>
  <c r="I277" i="12"/>
  <c r="I278" i="12"/>
  <c r="I279" i="12"/>
  <c r="I280" i="12"/>
  <c r="I281" i="12"/>
  <c r="I282" i="12"/>
  <c r="I283" i="12"/>
  <c r="I284" i="12"/>
  <c r="I285" i="12"/>
  <c r="I286" i="12"/>
  <c r="I287" i="12"/>
  <c r="I288" i="12"/>
  <c r="I289" i="12"/>
  <c r="I290" i="12"/>
  <c r="I291" i="12"/>
  <c r="I292" i="12"/>
  <c r="I293" i="12"/>
  <c r="I294" i="12"/>
  <c r="I295" i="12"/>
  <c r="I296" i="12"/>
  <c r="I297" i="12"/>
  <c r="I298" i="12"/>
  <c r="I299" i="12"/>
  <c r="I300" i="12"/>
  <c r="I301" i="12"/>
  <c r="I302" i="12"/>
  <c r="I303" i="12"/>
  <c r="I304" i="12"/>
  <c r="I305" i="12"/>
  <c r="I306" i="12"/>
  <c r="I307" i="12"/>
  <c r="I308" i="12"/>
  <c r="I309" i="12"/>
  <c r="I310" i="12"/>
  <c r="I311" i="12"/>
  <c r="I312" i="12"/>
  <c r="I313" i="12"/>
  <c r="I314" i="12"/>
  <c r="I315" i="12"/>
  <c r="I316" i="12"/>
  <c r="I317" i="12"/>
  <c r="I318" i="12"/>
  <c r="I319" i="12"/>
  <c r="I320" i="12"/>
  <c r="I321" i="12"/>
  <c r="I322" i="12"/>
  <c r="I323" i="12"/>
  <c r="I324" i="12"/>
  <c r="I325" i="12"/>
  <c r="I326" i="12"/>
  <c r="I327" i="12"/>
  <c r="I328" i="12"/>
  <c r="I329" i="12"/>
  <c r="I330" i="12"/>
  <c r="I331" i="12"/>
  <c r="I332" i="12"/>
  <c r="I333" i="12"/>
  <c r="I334" i="12"/>
  <c r="I335" i="12"/>
  <c r="I336" i="12"/>
  <c r="I337" i="12"/>
  <c r="I338" i="12"/>
  <c r="I339" i="12"/>
  <c r="I340" i="12"/>
  <c r="I341" i="12"/>
  <c r="I342" i="12"/>
  <c r="I343" i="12"/>
  <c r="I344" i="12"/>
  <c r="I345" i="12"/>
  <c r="I346" i="12"/>
  <c r="I347" i="12"/>
  <c r="I348" i="12"/>
  <c r="I349" i="12"/>
  <c r="I350" i="12"/>
  <c r="I351" i="12"/>
  <c r="I352" i="12"/>
  <c r="I353" i="12"/>
  <c r="I354" i="12"/>
  <c r="I355" i="12"/>
  <c r="I356" i="12"/>
  <c r="I357" i="12"/>
  <c r="I358" i="12"/>
  <c r="I359" i="12"/>
  <c r="I360" i="12"/>
  <c r="I361" i="12"/>
  <c r="I362" i="12"/>
  <c r="I363" i="12"/>
  <c r="I364" i="12"/>
  <c r="I365" i="12"/>
  <c r="I366" i="12"/>
  <c r="I367" i="12"/>
  <c r="I368" i="12"/>
  <c r="I369" i="12"/>
  <c r="I370" i="12"/>
  <c r="I371" i="12"/>
  <c r="I372" i="12"/>
  <c r="I373" i="12"/>
  <c r="I374" i="12"/>
  <c r="I375" i="12"/>
  <c r="I376" i="12"/>
  <c r="I377" i="12"/>
  <c r="I378" i="12"/>
  <c r="I379" i="12"/>
  <c r="I380" i="12"/>
  <c r="I381" i="12"/>
  <c r="I382" i="12"/>
  <c r="I383" i="12"/>
  <c r="I384" i="12"/>
  <c r="I385" i="12"/>
  <c r="I386" i="12"/>
  <c r="I387" i="12"/>
  <c r="I388" i="12"/>
  <c r="I389" i="12"/>
  <c r="I390" i="12"/>
  <c r="I391" i="12"/>
  <c r="I392" i="12"/>
  <c r="I393" i="12"/>
  <c r="I394" i="12"/>
  <c r="I395" i="12"/>
  <c r="I396" i="12"/>
  <c r="I397" i="12"/>
  <c r="I398" i="12"/>
  <c r="I399" i="12"/>
  <c r="I400" i="12"/>
  <c r="I401" i="12"/>
  <c r="I402" i="12"/>
  <c r="I403" i="12"/>
  <c r="I404" i="12"/>
  <c r="I3" i="12"/>
  <c r="I4" i="12"/>
  <c r="I5" i="12"/>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2"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31" i="12"/>
  <c r="H232" i="12"/>
  <c r="H233" i="12"/>
  <c r="H234" i="12"/>
  <c r="H235" i="12"/>
  <c r="H236" i="12"/>
  <c r="H237" i="12"/>
  <c r="H238" i="12"/>
  <c r="H239" i="12"/>
  <c r="H240" i="12"/>
  <c r="H241" i="12"/>
  <c r="H242" i="12"/>
  <c r="H243" i="12"/>
  <c r="H244" i="12"/>
  <c r="H245" i="12"/>
  <c r="H246" i="12"/>
  <c r="H247" i="12"/>
  <c r="H248" i="12"/>
  <c r="H249" i="12"/>
  <c r="H250" i="12"/>
  <c r="H251" i="12"/>
  <c r="H252" i="12"/>
  <c r="H253" i="12"/>
  <c r="H254" i="12"/>
  <c r="H255" i="12"/>
  <c r="H256" i="12"/>
  <c r="H257" i="12"/>
  <c r="H258" i="12"/>
  <c r="H259" i="12"/>
  <c r="H260" i="12"/>
  <c r="H261" i="12"/>
  <c r="H262" i="12"/>
  <c r="H263" i="12"/>
  <c r="H264" i="12"/>
  <c r="H265" i="12"/>
  <c r="H266" i="12"/>
  <c r="H267" i="12"/>
  <c r="H268" i="12"/>
  <c r="H269" i="12"/>
  <c r="H270" i="12"/>
  <c r="H271" i="12"/>
  <c r="H272" i="12"/>
  <c r="H273" i="12"/>
  <c r="H274" i="12"/>
  <c r="H275" i="12"/>
  <c r="H276" i="12"/>
  <c r="H277" i="12"/>
  <c r="H278" i="12"/>
  <c r="H279" i="12"/>
  <c r="H280" i="12"/>
  <c r="H281" i="12"/>
  <c r="H282" i="12"/>
  <c r="H283" i="12"/>
  <c r="H284" i="12"/>
  <c r="H285" i="12"/>
  <c r="H286" i="12"/>
  <c r="H287" i="12"/>
  <c r="H288" i="12"/>
  <c r="H289" i="12"/>
  <c r="H290" i="12"/>
  <c r="H291" i="12"/>
  <c r="H292" i="12"/>
  <c r="H293" i="12"/>
  <c r="H294" i="12"/>
  <c r="H295" i="12"/>
  <c r="H296" i="12"/>
  <c r="H297" i="12"/>
  <c r="H298" i="12"/>
  <c r="H299" i="12"/>
  <c r="H300" i="12"/>
  <c r="H301" i="12"/>
  <c r="H302" i="12"/>
  <c r="H303" i="12"/>
  <c r="H304" i="12"/>
  <c r="H305" i="12"/>
  <c r="H306" i="12"/>
  <c r="H307" i="12"/>
  <c r="H308" i="12"/>
  <c r="H309" i="12"/>
  <c r="H310" i="12"/>
  <c r="H311" i="12"/>
  <c r="H312" i="12"/>
  <c r="H313" i="12"/>
  <c r="H314" i="12"/>
  <c r="H315" i="12"/>
  <c r="H316" i="12"/>
  <c r="H317" i="12"/>
  <c r="H318" i="12"/>
  <c r="H319" i="12"/>
  <c r="H320" i="12"/>
  <c r="H321" i="12"/>
  <c r="H322" i="12"/>
  <c r="H323" i="12"/>
  <c r="H324" i="12"/>
  <c r="H325" i="12"/>
  <c r="H326" i="12"/>
  <c r="H327" i="12"/>
  <c r="H328" i="12"/>
  <c r="H329" i="12"/>
  <c r="H330" i="12"/>
  <c r="H331" i="12"/>
  <c r="H332" i="12"/>
  <c r="H333" i="12"/>
  <c r="H334" i="12"/>
  <c r="H335" i="12"/>
  <c r="H336" i="12"/>
  <c r="H337" i="12"/>
  <c r="H338" i="12"/>
  <c r="H339" i="12"/>
  <c r="H340" i="12"/>
  <c r="H341" i="12"/>
  <c r="H342" i="12"/>
  <c r="H343" i="12"/>
  <c r="H344" i="12"/>
  <c r="H345" i="12"/>
  <c r="H346" i="12"/>
  <c r="H347" i="12"/>
  <c r="H348" i="12"/>
  <c r="H349" i="12"/>
  <c r="H350" i="12"/>
  <c r="H351" i="12"/>
  <c r="H352" i="12"/>
  <c r="H353" i="12"/>
  <c r="H354" i="12"/>
  <c r="H355" i="12"/>
  <c r="H356" i="12"/>
  <c r="H357" i="12"/>
  <c r="H358" i="12"/>
  <c r="H359" i="12"/>
  <c r="H360" i="12"/>
  <c r="H361" i="12"/>
  <c r="H362" i="12"/>
  <c r="H363" i="12"/>
  <c r="H364" i="12"/>
  <c r="H365" i="12"/>
  <c r="H366" i="12"/>
  <c r="H367" i="12"/>
  <c r="H368" i="12"/>
  <c r="H369" i="12"/>
  <c r="H370" i="12"/>
  <c r="H371" i="12"/>
  <c r="H372" i="12"/>
  <c r="H373" i="12"/>
  <c r="H374" i="12"/>
  <c r="H375" i="12"/>
  <c r="H376" i="12"/>
  <c r="H377" i="12"/>
  <c r="H378" i="12"/>
  <c r="H379" i="12"/>
  <c r="H380" i="12"/>
  <c r="H381" i="12"/>
  <c r="H382" i="12"/>
  <c r="H383" i="12"/>
  <c r="H384" i="12"/>
  <c r="H385" i="12"/>
  <c r="H386" i="12"/>
  <c r="H387" i="12"/>
  <c r="H388" i="12"/>
  <c r="H389" i="12"/>
  <c r="H390" i="12"/>
  <c r="H391" i="12"/>
  <c r="H392" i="12"/>
  <c r="H393" i="12"/>
  <c r="H394" i="12"/>
  <c r="H395" i="12"/>
  <c r="H396" i="12"/>
  <c r="H397" i="12"/>
  <c r="H398" i="12"/>
  <c r="H399" i="12"/>
  <c r="H400" i="12"/>
  <c r="H401" i="12"/>
  <c r="H402" i="12"/>
  <c r="H403" i="12"/>
  <c r="H404" i="12"/>
  <c r="H3" i="12"/>
  <c r="H4" i="12"/>
  <c r="H5" i="12"/>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G192" i="12"/>
  <c r="G193" i="12"/>
  <c r="G194" i="12"/>
  <c r="G195" i="12"/>
  <c r="G196" i="12"/>
  <c r="G197" i="12"/>
  <c r="G198" i="12"/>
  <c r="G199" i="12"/>
  <c r="G200" i="12"/>
  <c r="G201" i="12"/>
  <c r="G202" i="12"/>
  <c r="G203" i="12"/>
  <c r="G204" i="12"/>
  <c r="G205" i="12"/>
  <c r="G206" i="12"/>
  <c r="G207" i="12"/>
  <c r="G208" i="12"/>
  <c r="G209" i="12"/>
  <c r="G210" i="12"/>
  <c r="G211" i="12"/>
  <c r="G212" i="12"/>
  <c r="G213" i="12"/>
  <c r="G214" i="12"/>
  <c r="G215" i="12"/>
  <c r="G216" i="12"/>
  <c r="G217" i="12"/>
  <c r="G218" i="12"/>
  <c r="G219" i="12"/>
  <c r="G220" i="12"/>
  <c r="G221" i="12"/>
  <c r="G222" i="12"/>
  <c r="G223" i="12"/>
  <c r="G224" i="12"/>
  <c r="G225" i="12"/>
  <c r="G226" i="12"/>
  <c r="G227" i="12"/>
  <c r="G228" i="12"/>
  <c r="G229" i="12"/>
  <c r="G230" i="12"/>
  <c r="G231" i="12"/>
  <c r="G232" i="12"/>
  <c r="G233" i="12"/>
  <c r="G234" i="12"/>
  <c r="G235" i="12"/>
  <c r="G236" i="12"/>
  <c r="G237" i="12"/>
  <c r="G238" i="12"/>
  <c r="G239" i="12"/>
  <c r="G240" i="12"/>
  <c r="G241" i="12"/>
  <c r="G242" i="12"/>
  <c r="G243" i="12"/>
  <c r="G244" i="12"/>
  <c r="G245" i="12"/>
  <c r="G246" i="12"/>
  <c r="G247" i="12"/>
  <c r="G248" i="12"/>
  <c r="G249" i="12"/>
  <c r="G250" i="12"/>
  <c r="G251" i="12"/>
  <c r="G252" i="12"/>
  <c r="G253" i="12"/>
  <c r="G254" i="12"/>
  <c r="G255" i="12"/>
  <c r="G256" i="12"/>
  <c r="G257" i="12"/>
  <c r="G258" i="12"/>
  <c r="G259" i="12"/>
  <c r="G260" i="12"/>
  <c r="G261" i="12"/>
  <c r="G262" i="12"/>
  <c r="G263" i="12"/>
  <c r="G264" i="12"/>
  <c r="G265" i="12"/>
  <c r="G266" i="12"/>
  <c r="G267" i="12"/>
  <c r="G268" i="12"/>
  <c r="G269" i="12"/>
  <c r="G270" i="12"/>
  <c r="G271" i="12"/>
  <c r="G272" i="12"/>
  <c r="G273" i="12"/>
  <c r="G274" i="12"/>
  <c r="G275" i="12"/>
  <c r="G276" i="12"/>
  <c r="G277" i="12"/>
  <c r="G278" i="12"/>
  <c r="G279" i="12"/>
  <c r="G280" i="12"/>
  <c r="G281" i="12"/>
  <c r="G282" i="12"/>
  <c r="G283" i="12"/>
  <c r="G284" i="12"/>
  <c r="G285" i="12"/>
  <c r="G286" i="12"/>
  <c r="G287" i="12"/>
  <c r="G288" i="12"/>
  <c r="G289" i="12"/>
  <c r="G290" i="12"/>
  <c r="G291" i="12"/>
  <c r="G292" i="12"/>
  <c r="G293" i="12"/>
  <c r="G294" i="12"/>
  <c r="G295" i="12"/>
  <c r="G296" i="12"/>
  <c r="G297" i="12"/>
  <c r="G298" i="12"/>
  <c r="G299" i="12"/>
  <c r="G300" i="12"/>
  <c r="G301" i="12"/>
  <c r="G302" i="12"/>
  <c r="G303" i="12"/>
  <c r="G304" i="12"/>
  <c r="G305" i="12"/>
  <c r="G306" i="12"/>
  <c r="G307" i="12"/>
  <c r="G308" i="12"/>
  <c r="G309" i="12"/>
  <c r="G310" i="12"/>
  <c r="G311" i="12"/>
  <c r="G312" i="12"/>
  <c r="G313" i="12"/>
  <c r="G314" i="12"/>
  <c r="G315" i="12"/>
  <c r="G316" i="12"/>
  <c r="G317" i="12"/>
  <c r="G318" i="12"/>
  <c r="G319" i="12"/>
  <c r="G320" i="12"/>
  <c r="G321" i="12"/>
  <c r="G322" i="12"/>
  <c r="G323" i="12"/>
  <c r="G324" i="12"/>
  <c r="G325" i="12"/>
  <c r="G326" i="12"/>
  <c r="G327" i="12"/>
  <c r="G328" i="12"/>
  <c r="G329" i="12"/>
  <c r="G330" i="12"/>
  <c r="G331" i="12"/>
  <c r="G332" i="12"/>
  <c r="G333" i="12"/>
  <c r="G334" i="12"/>
  <c r="G335" i="12"/>
  <c r="G336" i="12"/>
  <c r="G337" i="12"/>
  <c r="G338" i="12"/>
  <c r="G339" i="12"/>
  <c r="G340" i="12"/>
  <c r="G341" i="12"/>
  <c r="G342" i="12"/>
  <c r="G343" i="12"/>
  <c r="G344" i="12"/>
  <c r="G345" i="12"/>
  <c r="G346" i="12"/>
  <c r="G347" i="12"/>
  <c r="G348" i="12"/>
  <c r="G349" i="12"/>
  <c r="G350" i="12"/>
  <c r="G351" i="12"/>
  <c r="G352" i="12"/>
  <c r="G353" i="12"/>
  <c r="G354" i="12"/>
  <c r="G355" i="12"/>
  <c r="G356" i="12"/>
  <c r="G357" i="12"/>
  <c r="G358" i="12"/>
  <c r="G359" i="12"/>
  <c r="G360" i="12"/>
  <c r="G361" i="12"/>
  <c r="G362" i="12"/>
  <c r="G363" i="12"/>
  <c r="G364" i="12"/>
  <c r="G365" i="12"/>
  <c r="G366" i="12"/>
  <c r="G367" i="12"/>
  <c r="G368" i="12"/>
  <c r="G369" i="12"/>
  <c r="G370" i="12"/>
  <c r="G371" i="12"/>
  <c r="G372" i="12"/>
  <c r="G373" i="12"/>
  <c r="G374" i="12"/>
  <c r="G375" i="12"/>
  <c r="G376" i="12"/>
  <c r="G377" i="12"/>
  <c r="G378" i="12"/>
  <c r="G379" i="12"/>
  <c r="G380" i="12"/>
  <c r="G381" i="12"/>
  <c r="G382" i="12"/>
  <c r="G383" i="12"/>
  <c r="G384" i="12"/>
  <c r="G385" i="12"/>
  <c r="G386" i="12"/>
  <c r="G387" i="12"/>
  <c r="G388" i="12"/>
  <c r="G389" i="12"/>
  <c r="G390" i="12"/>
  <c r="G391" i="12"/>
  <c r="G392" i="12"/>
  <c r="G393" i="12"/>
  <c r="G394" i="12"/>
  <c r="G395" i="12"/>
  <c r="G396" i="12"/>
  <c r="G397" i="12"/>
  <c r="G398" i="12"/>
  <c r="G399" i="12"/>
  <c r="G400" i="12"/>
  <c r="G401" i="12"/>
  <c r="G402" i="12"/>
  <c r="G403" i="12"/>
  <c r="G404" i="12"/>
  <c r="G3" i="12"/>
  <c r="G4" i="12"/>
  <c r="G5" i="12"/>
  <c r="G6" i="12"/>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G126" i="12"/>
  <c r="G127" i="12"/>
  <c r="G128" i="12"/>
  <c r="G129" i="12"/>
  <c r="G130" i="12"/>
  <c r="G131" i="12"/>
  <c r="G132" i="12"/>
  <c r="G133" i="12"/>
  <c r="G134" i="12"/>
  <c r="G135" i="12"/>
  <c r="G136" i="12"/>
  <c r="G137" i="12"/>
  <c r="G138" i="12"/>
  <c r="G139" i="12"/>
  <c r="G140" i="12"/>
  <c r="G141" i="12"/>
  <c r="G142" i="12"/>
  <c r="G143" i="12"/>
  <c r="G144" i="12"/>
  <c r="G145" i="12"/>
  <c r="G146" i="12"/>
  <c r="G147" i="12"/>
  <c r="G148" i="12"/>
  <c r="G149" i="12"/>
  <c r="G150" i="12"/>
  <c r="G151" i="12"/>
  <c r="G152" i="12"/>
  <c r="G153" i="12"/>
  <c r="G154" i="12"/>
  <c r="G155" i="12"/>
  <c r="G156" i="12"/>
  <c r="G157" i="12"/>
  <c r="G158" i="12"/>
  <c r="G159" i="12"/>
  <c r="G160" i="12"/>
  <c r="G161" i="12"/>
  <c r="G162" i="12"/>
  <c r="G163" i="12"/>
  <c r="G164" i="12"/>
  <c r="G165" i="12"/>
  <c r="G166" i="12"/>
  <c r="G167" i="12"/>
  <c r="G168" i="12"/>
  <c r="G169" i="12"/>
  <c r="G170" i="12"/>
  <c r="G171" i="12"/>
  <c r="G172" i="12"/>
  <c r="G173" i="12"/>
  <c r="G174" i="12"/>
  <c r="G175" i="12"/>
  <c r="G176" i="12"/>
  <c r="G177" i="12"/>
  <c r="G178" i="12"/>
  <c r="G179" i="12"/>
  <c r="G180" i="12"/>
  <c r="G181" i="12"/>
  <c r="G182" i="12"/>
  <c r="G183" i="12"/>
  <c r="G184" i="12"/>
  <c r="G185" i="12"/>
  <c r="G186" i="12"/>
  <c r="G187" i="12"/>
  <c r="G188" i="12"/>
  <c r="G189" i="12"/>
  <c r="G190" i="12"/>
  <c r="G191" i="12"/>
  <c r="G2" i="12"/>
  <c r="F192" i="12"/>
  <c r="F193" i="12"/>
  <c r="F194" i="12"/>
  <c r="F195" i="12"/>
  <c r="F196" i="12"/>
  <c r="F197" i="12"/>
  <c r="F198" i="12"/>
  <c r="F199" i="12"/>
  <c r="F200" i="12"/>
  <c r="F201" i="12"/>
  <c r="F202" i="12"/>
  <c r="F203" i="12"/>
  <c r="F204" i="12"/>
  <c r="F205" i="12"/>
  <c r="F206" i="12"/>
  <c r="F207" i="12"/>
  <c r="F208" i="12"/>
  <c r="F209" i="12"/>
  <c r="F210" i="12"/>
  <c r="F211" i="12"/>
  <c r="F212" i="12"/>
  <c r="F213" i="12"/>
  <c r="F214" i="12"/>
  <c r="F215" i="12"/>
  <c r="F216" i="12"/>
  <c r="F217" i="12"/>
  <c r="F218" i="12"/>
  <c r="F219" i="12"/>
  <c r="F220" i="12"/>
  <c r="F221" i="12"/>
  <c r="F222" i="12"/>
  <c r="F223" i="12"/>
  <c r="F224" i="12"/>
  <c r="F225" i="12"/>
  <c r="F226" i="12"/>
  <c r="F227" i="12"/>
  <c r="F228" i="12"/>
  <c r="F229" i="12"/>
  <c r="F230" i="12"/>
  <c r="F231" i="12"/>
  <c r="F232" i="12"/>
  <c r="F233" i="12"/>
  <c r="F234" i="12"/>
  <c r="F235" i="12"/>
  <c r="F236" i="12"/>
  <c r="F237" i="12"/>
  <c r="F238" i="12"/>
  <c r="F239" i="12"/>
  <c r="F240" i="12"/>
  <c r="F241" i="12"/>
  <c r="F242" i="12"/>
  <c r="F243" i="12"/>
  <c r="F244" i="12"/>
  <c r="F245" i="12"/>
  <c r="F246" i="12"/>
  <c r="F247" i="12"/>
  <c r="F248" i="12"/>
  <c r="F249" i="12"/>
  <c r="F250" i="12"/>
  <c r="F251" i="12"/>
  <c r="F252" i="12"/>
  <c r="F253" i="12"/>
  <c r="F254" i="12"/>
  <c r="F255" i="12"/>
  <c r="F256" i="12"/>
  <c r="F257" i="12"/>
  <c r="F258" i="12"/>
  <c r="F259" i="12"/>
  <c r="F260" i="12"/>
  <c r="F261" i="12"/>
  <c r="F262" i="12"/>
  <c r="F263" i="12"/>
  <c r="F264" i="12"/>
  <c r="F265" i="12"/>
  <c r="F266" i="12"/>
  <c r="F267" i="12"/>
  <c r="F268" i="12"/>
  <c r="F269" i="12"/>
  <c r="F270" i="12"/>
  <c r="F271" i="12"/>
  <c r="F272" i="12"/>
  <c r="F273" i="12"/>
  <c r="F274" i="12"/>
  <c r="F275" i="12"/>
  <c r="F276" i="12"/>
  <c r="F277" i="12"/>
  <c r="F278" i="12"/>
  <c r="F279" i="12"/>
  <c r="F280" i="12"/>
  <c r="F281" i="12"/>
  <c r="F282" i="12"/>
  <c r="F283" i="12"/>
  <c r="F284" i="12"/>
  <c r="F285" i="12"/>
  <c r="F286" i="12"/>
  <c r="F287" i="12"/>
  <c r="F288" i="12"/>
  <c r="F289" i="12"/>
  <c r="F290" i="12"/>
  <c r="F291" i="12"/>
  <c r="F292" i="12"/>
  <c r="F293" i="12"/>
  <c r="F294" i="12"/>
  <c r="F295" i="12"/>
  <c r="F296" i="12"/>
  <c r="F297" i="12"/>
  <c r="F298" i="12"/>
  <c r="F299" i="12"/>
  <c r="F300" i="12"/>
  <c r="F301" i="12"/>
  <c r="F302" i="12"/>
  <c r="F303" i="12"/>
  <c r="F304" i="12"/>
  <c r="F305" i="12"/>
  <c r="F306" i="12"/>
  <c r="F307" i="12"/>
  <c r="F308" i="12"/>
  <c r="F309" i="12"/>
  <c r="F310" i="12"/>
  <c r="F311" i="12"/>
  <c r="F312" i="12"/>
  <c r="F313" i="12"/>
  <c r="F314" i="12"/>
  <c r="F315" i="12"/>
  <c r="F316" i="12"/>
  <c r="F317" i="12"/>
  <c r="F318" i="12"/>
  <c r="F319" i="12"/>
  <c r="F320" i="12"/>
  <c r="F321" i="12"/>
  <c r="F322" i="12"/>
  <c r="F323" i="12"/>
  <c r="F324" i="12"/>
  <c r="F325" i="12"/>
  <c r="F326" i="12"/>
  <c r="F327" i="12"/>
  <c r="F328" i="12"/>
  <c r="F329" i="12"/>
  <c r="F330" i="12"/>
  <c r="F331" i="12"/>
  <c r="F332" i="12"/>
  <c r="F333" i="12"/>
  <c r="F334" i="12"/>
  <c r="F335" i="12"/>
  <c r="F336" i="12"/>
  <c r="F337" i="12"/>
  <c r="F338" i="12"/>
  <c r="F339" i="12"/>
  <c r="F340" i="12"/>
  <c r="F341" i="12"/>
  <c r="F342" i="12"/>
  <c r="F343" i="12"/>
  <c r="F344" i="12"/>
  <c r="F345" i="12"/>
  <c r="F346" i="12"/>
  <c r="F347" i="12"/>
  <c r="F348" i="12"/>
  <c r="F349" i="12"/>
  <c r="F350" i="12"/>
  <c r="F351" i="12"/>
  <c r="F352" i="12"/>
  <c r="F353" i="12"/>
  <c r="F354" i="12"/>
  <c r="F355" i="12"/>
  <c r="F356" i="12"/>
  <c r="F357" i="12"/>
  <c r="F358" i="12"/>
  <c r="F359" i="12"/>
  <c r="F360" i="12"/>
  <c r="F361" i="12"/>
  <c r="F362" i="12"/>
  <c r="F363" i="12"/>
  <c r="F364" i="12"/>
  <c r="F365" i="12"/>
  <c r="F366" i="12"/>
  <c r="F367" i="12"/>
  <c r="F368" i="12"/>
  <c r="F369" i="12"/>
  <c r="F370" i="12"/>
  <c r="F371" i="12"/>
  <c r="F372" i="12"/>
  <c r="F373" i="12"/>
  <c r="F374" i="12"/>
  <c r="F375" i="12"/>
  <c r="F376" i="12"/>
  <c r="F377" i="12"/>
  <c r="F378" i="12"/>
  <c r="F379" i="12"/>
  <c r="F380" i="12"/>
  <c r="F381" i="12"/>
  <c r="F382" i="12"/>
  <c r="F383" i="12"/>
  <c r="F384" i="12"/>
  <c r="F385" i="12"/>
  <c r="F386" i="12"/>
  <c r="F387" i="12"/>
  <c r="F388" i="12"/>
  <c r="F389" i="12"/>
  <c r="F390" i="12"/>
  <c r="F391" i="12"/>
  <c r="F392" i="12"/>
  <c r="F393" i="12"/>
  <c r="F394" i="12"/>
  <c r="F395" i="12"/>
  <c r="F396" i="12"/>
  <c r="F397" i="12"/>
  <c r="F398" i="12"/>
  <c r="F399" i="12"/>
  <c r="F400" i="12"/>
  <c r="F401" i="12"/>
  <c r="F402" i="12"/>
  <c r="F403" i="12"/>
  <c r="F404" i="12"/>
  <c r="F3" i="12"/>
  <c r="F4" i="12"/>
  <c r="F5" i="12"/>
  <c r="F6" i="12"/>
  <c r="F7"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F122" i="12"/>
  <c r="F123" i="12"/>
  <c r="F124" i="12"/>
  <c r="F125" i="12"/>
  <c r="F126" i="12"/>
  <c r="F127" i="12"/>
  <c r="F128" i="12"/>
  <c r="F129" i="12"/>
  <c r="F130" i="12"/>
  <c r="F131" i="12"/>
  <c r="F132" i="12"/>
  <c r="F133" i="12"/>
  <c r="F134" i="12"/>
  <c r="F135" i="12"/>
  <c r="F136" i="12"/>
  <c r="F137" i="12"/>
  <c r="F138" i="12"/>
  <c r="F139" i="12"/>
  <c r="F140" i="12"/>
  <c r="F141" i="12"/>
  <c r="F142" i="12"/>
  <c r="F143" i="12"/>
  <c r="F144" i="12"/>
  <c r="F145" i="12"/>
  <c r="F146" i="12"/>
  <c r="F147" i="12"/>
  <c r="F148" i="12"/>
  <c r="F149" i="12"/>
  <c r="F150" i="12"/>
  <c r="F151" i="12"/>
  <c r="F152" i="12"/>
  <c r="F153" i="12"/>
  <c r="F154" i="12"/>
  <c r="F155" i="12"/>
  <c r="F156" i="12"/>
  <c r="F157" i="12"/>
  <c r="F158" i="12"/>
  <c r="F159" i="12"/>
  <c r="F160" i="12"/>
  <c r="F161" i="12"/>
  <c r="F162" i="12"/>
  <c r="F163" i="12"/>
  <c r="F164" i="12"/>
  <c r="F165" i="12"/>
  <c r="F166" i="12"/>
  <c r="F167" i="12"/>
  <c r="F168" i="12"/>
  <c r="F169" i="12"/>
  <c r="F170" i="12"/>
  <c r="F171" i="12"/>
  <c r="F172" i="12"/>
  <c r="F173" i="12"/>
  <c r="F174" i="12"/>
  <c r="F175" i="12"/>
  <c r="F176" i="12"/>
  <c r="F177" i="12"/>
  <c r="F178" i="12"/>
  <c r="F179" i="12"/>
  <c r="F180" i="12"/>
  <c r="F181" i="12"/>
  <c r="F182" i="12"/>
  <c r="F183" i="12"/>
  <c r="F184" i="12"/>
  <c r="F185" i="12"/>
  <c r="F186" i="12"/>
  <c r="F187" i="12"/>
  <c r="F188" i="12"/>
  <c r="F189" i="12"/>
  <c r="F190" i="12"/>
  <c r="F191" i="12"/>
  <c r="E192" i="12"/>
  <c r="E193" i="12"/>
  <c r="E194" i="12"/>
  <c r="E195" i="12"/>
  <c r="E196" i="12"/>
  <c r="E197" i="12"/>
  <c r="E198" i="12"/>
  <c r="E199" i="12"/>
  <c r="E200" i="12"/>
  <c r="E201" i="12"/>
  <c r="E202" i="12"/>
  <c r="E203" i="12"/>
  <c r="E204" i="12"/>
  <c r="E205" i="12"/>
  <c r="E206" i="12"/>
  <c r="E207" i="12"/>
  <c r="E208" i="12"/>
  <c r="E209" i="12"/>
  <c r="E210" i="12"/>
  <c r="E211" i="12"/>
  <c r="E212" i="12"/>
  <c r="E213" i="12"/>
  <c r="E214" i="12"/>
  <c r="E215" i="12"/>
  <c r="E216" i="12"/>
  <c r="E217" i="12"/>
  <c r="E218" i="12"/>
  <c r="E219" i="12"/>
  <c r="E220" i="12"/>
  <c r="E221" i="12"/>
  <c r="E222" i="12"/>
  <c r="E223" i="12"/>
  <c r="E224" i="12"/>
  <c r="E225" i="12"/>
  <c r="E226" i="12"/>
  <c r="E227" i="12"/>
  <c r="E228" i="12"/>
  <c r="E229" i="12"/>
  <c r="E230" i="12"/>
  <c r="E231" i="12"/>
  <c r="E232" i="12"/>
  <c r="E233" i="12"/>
  <c r="E234" i="12"/>
  <c r="E235" i="12"/>
  <c r="E236" i="12"/>
  <c r="E237" i="12"/>
  <c r="E238" i="12"/>
  <c r="E239" i="12"/>
  <c r="E240" i="12"/>
  <c r="E241" i="12"/>
  <c r="E242" i="12"/>
  <c r="E243" i="12"/>
  <c r="E244" i="12"/>
  <c r="E245" i="12"/>
  <c r="E246" i="12"/>
  <c r="E247" i="12"/>
  <c r="E248" i="12"/>
  <c r="E249" i="12"/>
  <c r="E250" i="12"/>
  <c r="E251" i="12"/>
  <c r="E252" i="12"/>
  <c r="E253" i="12"/>
  <c r="E254" i="12"/>
  <c r="E255" i="12"/>
  <c r="E256" i="12"/>
  <c r="E257" i="12"/>
  <c r="E258" i="12"/>
  <c r="E259" i="12"/>
  <c r="E260" i="12"/>
  <c r="E261" i="12"/>
  <c r="E262" i="12"/>
  <c r="E263" i="12"/>
  <c r="E264" i="12"/>
  <c r="E265" i="12"/>
  <c r="E266" i="12"/>
  <c r="E267" i="12"/>
  <c r="E268" i="12"/>
  <c r="E269" i="12"/>
  <c r="E270" i="12"/>
  <c r="E271" i="12"/>
  <c r="E272" i="12"/>
  <c r="E273" i="12"/>
  <c r="E274" i="12"/>
  <c r="E275" i="12"/>
  <c r="E276" i="12"/>
  <c r="E277" i="12"/>
  <c r="E278" i="12"/>
  <c r="E279" i="12"/>
  <c r="E280" i="12"/>
  <c r="E281" i="12"/>
  <c r="E282" i="12"/>
  <c r="E283" i="12"/>
  <c r="E284" i="12"/>
  <c r="E285" i="12"/>
  <c r="E286" i="12"/>
  <c r="E287" i="12"/>
  <c r="E288" i="12"/>
  <c r="E289" i="12"/>
  <c r="E290" i="12"/>
  <c r="E291" i="12"/>
  <c r="E292" i="12"/>
  <c r="E293" i="12"/>
  <c r="E294" i="12"/>
  <c r="E295" i="12"/>
  <c r="E296" i="12"/>
  <c r="E297" i="12"/>
  <c r="E298" i="12"/>
  <c r="E299" i="12"/>
  <c r="E300" i="12"/>
  <c r="E301" i="12"/>
  <c r="E302" i="12"/>
  <c r="E303" i="12"/>
  <c r="E304" i="12"/>
  <c r="E305" i="12"/>
  <c r="E306" i="12"/>
  <c r="E307" i="12"/>
  <c r="E308" i="12"/>
  <c r="E309" i="12"/>
  <c r="E310" i="12"/>
  <c r="E311" i="12"/>
  <c r="E312" i="12"/>
  <c r="E313" i="12"/>
  <c r="E314" i="12"/>
  <c r="E315" i="12"/>
  <c r="E316" i="12"/>
  <c r="E317" i="12"/>
  <c r="E318" i="12"/>
  <c r="E319" i="12"/>
  <c r="E320" i="12"/>
  <c r="E321" i="12"/>
  <c r="E322" i="12"/>
  <c r="E323" i="12"/>
  <c r="E324" i="12"/>
  <c r="E325" i="12"/>
  <c r="E326" i="12"/>
  <c r="E327" i="12"/>
  <c r="E328" i="12"/>
  <c r="E329" i="12"/>
  <c r="E330" i="12"/>
  <c r="E331" i="12"/>
  <c r="E332" i="12"/>
  <c r="E333" i="12"/>
  <c r="E334" i="12"/>
  <c r="E335" i="12"/>
  <c r="E336" i="12"/>
  <c r="E337" i="12"/>
  <c r="E338" i="12"/>
  <c r="E339" i="12"/>
  <c r="E340" i="12"/>
  <c r="E341" i="12"/>
  <c r="E342" i="12"/>
  <c r="E343" i="12"/>
  <c r="E344" i="12"/>
  <c r="E345" i="12"/>
  <c r="E346" i="12"/>
  <c r="E347" i="12"/>
  <c r="E348" i="12"/>
  <c r="E349" i="12"/>
  <c r="E350" i="12"/>
  <c r="E351" i="12"/>
  <c r="E352" i="12"/>
  <c r="E353" i="12"/>
  <c r="E354" i="12"/>
  <c r="E355" i="12"/>
  <c r="E356" i="12"/>
  <c r="E357" i="12"/>
  <c r="E358" i="12"/>
  <c r="E359" i="12"/>
  <c r="E360" i="12"/>
  <c r="E361" i="12"/>
  <c r="E362" i="12"/>
  <c r="E363" i="12"/>
  <c r="E364" i="12"/>
  <c r="E365" i="12"/>
  <c r="E366" i="12"/>
  <c r="E367" i="12"/>
  <c r="E368" i="12"/>
  <c r="E369" i="12"/>
  <c r="E370" i="12"/>
  <c r="E371" i="12"/>
  <c r="E372" i="12"/>
  <c r="E373" i="12"/>
  <c r="E374" i="12"/>
  <c r="E375" i="12"/>
  <c r="E376" i="12"/>
  <c r="E377" i="12"/>
  <c r="E378" i="12"/>
  <c r="E379" i="12"/>
  <c r="E380" i="12"/>
  <c r="E381" i="12"/>
  <c r="E382" i="12"/>
  <c r="E383" i="12"/>
  <c r="E384" i="12"/>
  <c r="E385" i="12"/>
  <c r="E386" i="12"/>
  <c r="E387" i="12"/>
  <c r="E388" i="12"/>
  <c r="E389" i="12"/>
  <c r="E390" i="12"/>
  <c r="E391" i="12"/>
  <c r="E392" i="12"/>
  <c r="E393" i="12"/>
  <c r="E394" i="12"/>
  <c r="E395" i="12"/>
  <c r="E396" i="12"/>
  <c r="E397" i="12"/>
  <c r="E398" i="12"/>
  <c r="E399" i="12"/>
  <c r="E400" i="12"/>
  <c r="E401" i="12"/>
  <c r="E402" i="12"/>
  <c r="E403" i="12"/>
  <c r="E404" i="12"/>
  <c r="E3" i="12"/>
  <c r="E4" i="12"/>
  <c r="E5" i="12"/>
  <c r="E6" i="12"/>
  <c r="E7"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126" i="12"/>
  <c r="E127" i="12"/>
  <c r="E128" i="12"/>
  <c r="E129" i="12"/>
  <c r="E130" i="12"/>
  <c r="E131" i="12"/>
  <c r="E132" i="12"/>
  <c r="E133" i="12"/>
  <c r="E134" i="12"/>
  <c r="E135" i="12"/>
  <c r="E136" i="12"/>
  <c r="E137" i="12"/>
  <c r="E138" i="12"/>
  <c r="E139" i="12"/>
  <c r="E140" i="12"/>
  <c r="E141" i="12"/>
  <c r="E142" i="12"/>
  <c r="E143" i="12"/>
  <c r="E144" i="12"/>
  <c r="E145" i="12"/>
  <c r="E146" i="12"/>
  <c r="E147" i="12"/>
  <c r="E148" i="12"/>
  <c r="E149" i="12"/>
  <c r="E150" i="12"/>
  <c r="E151" i="12"/>
  <c r="E152" i="12"/>
  <c r="E153" i="12"/>
  <c r="E154" i="12"/>
  <c r="E155" i="12"/>
  <c r="E156" i="12"/>
  <c r="E157" i="12"/>
  <c r="E158" i="12"/>
  <c r="E159" i="12"/>
  <c r="E160" i="12"/>
  <c r="E161" i="12"/>
  <c r="E162" i="12"/>
  <c r="E163" i="12"/>
  <c r="E164" i="12"/>
  <c r="E165" i="12"/>
  <c r="E166" i="12"/>
  <c r="E167" i="12"/>
  <c r="E168" i="12"/>
  <c r="E169" i="12"/>
  <c r="E170" i="12"/>
  <c r="E171" i="12"/>
  <c r="E172" i="12"/>
  <c r="E173" i="12"/>
  <c r="E174" i="12"/>
  <c r="E175" i="12"/>
  <c r="E176" i="12"/>
  <c r="E177" i="12"/>
  <c r="E178" i="12"/>
  <c r="E179" i="12"/>
  <c r="E180" i="12"/>
  <c r="E181" i="12"/>
  <c r="E182" i="12"/>
  <c r="E183" i="12"/>
  <c r="E184" i="12"/>
  <c r="E185" i="12"/>
  <c r="E186" i="12"/>
  <c r="E187" i="12"/>
  <c r="E188" i="12"/>
  <c r="E189" i="12"/>
  <c r="E190" i="12"/>
  <c r="E191" i="12"/>
  <c r="E2" i="12"/>
  <c r="D192" i="12"/>
  <c r="D193" i="12"/>
  <c r="D194" i="12"/>
  <c r="D195" i="12"/>
  <c r="D196" i="12"/>
  <c r="D197" i="12"/>
  <c r="D198" i="12"/>
  <c r="D199" i="12"/>
  <c r="D200" i="12"/>
  <c r="D201" i="12"/>
  <c r="D202" i="12"/>
  <c r="D203" i="12"/>
  <c r="D204" i="12"/>
  <c r="D205" i="12"/>
  <c r="D206" i="12"/>
  <c r="D207" i="12"/>
  <c r="D208" i="12"/>
  <c r="D209" i="12"/>
  <c r="D210" i="12"/>
  <c r="D211" i="12"/>
  <c r="D212" i="12"/>
  <c r="D213" i="12"/>
  <c r="D214" i="12"/>
  <c r="D215" i="12"/>
  <c r="D216" i="12"/>
  <c r="D217" i="12"/>
  <c r="D218" i="12"/>
  <c r="D219" i="12"/>
  <c r="D220" i="12"/>
  <c r="D221" i="12"/>
  <c r="D222" i="12"/>
  <c r="D223" i="12"/>
  <c r="D224" i="12"/>
  <c r="D225" i="12"/>
  <c r="D226" i="12"/>
  <c r="D227" i="12"/>
  <c r="D228" i="12"/>
  <c r="D229" i="12"/>
  <c r="D230" i="12"/>
  <c r="D231" i="12"/>
  <c r="D232" i="12"/>
  <c r="D233" i="12"/>
  <c r="D234" i="12"/>
  <c r="D235" i="12"/>
  <c r="D236" i="12"/>
  <c r="D237" i="12"/>
  <c r="D238" i="12"/>
  <c r="D239" i="12"/>
  <c r="D240" i="12"/>
  <c r="D241" i="12"/>
  <c r="D242" i="12"/>
  <c r="D243" i="12"/>
  <c r="D244" i="12"/>
  <c r="D245" i="12"/>
  <c r="D246" i="12"/>
  <c r="D247" i="12"/>
  <c r="D248" i="12"/>
  <c r="D249" i="12"/>
  <c r="D250" i="12"/>
  <c r="D251" i="12"/>
  <c r="D252" i="12"/>
  <c r="D253" i="12"/>
  <c r="D254" i="12"/>
  <c r="D255" i="12"/>
  <c r="D256" i="12"/>
  <c r="D257" i="12"/>
  <c r="D258" i="12"/>
  <c r="D259" i="12"/>
  <c r="D260" i="12"/>
  <c r="D261" i="12"/>
  <c r="D262" i="12"/>
  <c r="D263" i="12"/>
  <c r="D264" i="12"/>
  <c r="D265" i="12"/>
  <c r="D266" i="12"/>
  <c r="D267" i="12"/>
  <c r="D268" i="12"/>
  <c r="D269" i="12"/>
  <c r="D270" i="12"/>
  <c r="D271" i="12"/>
  <c r="D272" i="12"/>
  <c r="D273" i="12"/>
  <c r="D274" i="12"/>
  <c r="D275" i="12"/>
  <c r="D276" i="12"/>
  <c r="D277" i="12"/>
  <c r="D278" i="12"/>
  <c r="D279" i="12"/>
  <c r="D280" i="12"/>
  <c r="D281" i="12"/>
  <c r="D282" i="12"/>
  <c r="D283" i="12"/>
  <c r="D284" i="12"/>
  <c r="D285" i="12"/>
  <c r="D286" i="12"/>
  <c r="D287" i="12"/>
  <c r="D288" i="12"/>
  <c r="D289" i="12"/>
  <c r="D290" i="12"/>
  <c r="D291" i="12"/>
  <c r="D292" i="12"/>
  <c r="D293" i="12"/>
  <c r="D294" i="12"/>
  <c r="D295" i="12"/>
  <c r="D296" i="12"/>
  <c r="D297" i="12"/>
  <c r="D298" i="12"/>
  <c r="D299" i="12"/>
  <c r="D300" i="12"/>
  <c r="D301" i="12"/>
  <c r="D302" i="12"/>
  <c r="D303" i="12"/>
  <c r="D304" i="12"/>
  <c r="D305" i="12"/>
  <c r="D306" i="12"/>
  <c r="D307" i="12"/>
  <c r="D308" i="12"/>
  <c r="D309" i="12"/>
  <c r="D310" i="12"/>
  <c r="D311" i="12"/>
  <c r="D312" i="12"/>
  <c r="D313" i="12"/>
  <c r="D314" i="12"/>
  <c r="D315" i="12"/>
  <c r="D316" i="12"/>
  <c r="D317" i="12"/>
  <c r="D318" i="12"/>
  <c r="D319" i="12"/>
  <c r="D320" i="12"/>
  <c r="D321" i="12"/>
  <c r="D322" i="12"/>
  <c r="D323" i="12"/>
  <c r="D324" i="12"/>
  <c r="D325" i="12"/>
  <c r="D326" i="12"/>
  <c r="D327" i="12"/>
  <c r="D328" i="12"/>
  <c r="D329" i="12"/>
  <c r="D330" i="12"/>
  <c r="D331" i="12"/>
  <c r="D332" i="12"/>
  <c r="D333" i="12"/>
  <c r="D334" i="12"/>
  <c r="D335" i="12"/>
  <c r="D336" i="12"/>
  <c r="D337" i="12"/>
  <c r="D338" i="12"/>
  <c r="D339" i="12"/>
  <c r="D340" i="12"/>
  <c r="D341" i="12"/>
  <c r="D342" i="12"/>
  <c r="D343" i="12"/>
  <c r="D344" i="12"/>
  <c r="D345" i="12"/>
  <c r="D346" i="12"/>
  <c r="D347" i="12"/>
  <c r="D348" i="12"/>
  <c r="D349" i="12"/>
  <c r="D350" i="12"/>
  <c r="D351" i="12"/>
  <c r="D352" i="12"/>
  <c r="D353" i="12"/>
  <c r="D354" i="12"/>
  <c r="D355" i="12"/>
  <c r="D356" i="12"/>
  <c r="D357" i="12"/>
  <c r="D358" i="12"/>
  <c r="D359" i="12"/>
  <c r="D360" i="12"/>
  <c r="D361" i="12"/>
  <c r="D362" i="12"/>
  <c r="D363" i="12"/>
  <c r="D364" i="12"/>
  <c r="D365" i="12"/>
  <c r="D366" i="12"/>
  <c r="D367" i="12"/>
  <c r="D368" i="12"/>
  <c r="D369" i="12"/>
  <c r="D370" i="12"/>
  <c r="D371" i="12"/>
  <c r="D372" i="12"/>
  <c r="D373" i="12"/>
  <c r="D374" i="12"/>
  <c r="D375" i="12"/>
  <c r="D376" i="12"/>
  <c r="D377" i="12"/>
  <c r="D378" i="12"/>
  <c r="D379" i="12"/>
  <c r="D380" i="12"/>
  <c r="D381" i="12"/>
  <c r="D382" i="12"/>
  <c r="D383" i="12"/>
  <c r="D384" i="12"/>
  <c r="D385" i="12"/>
  <c r="D386" i="12"/>
  <c r="D387" i="12"/>
  <c r="D388" i="12"/>
  <c r="D389" i="12"/>
  <c r="D390" i="12"/>
  <c r="D391" i="12"/>
  <c r="D392" i="12"/>
  <c r="D393" i="12"/>
  <c r="D394" i="12"/>
  <c r="D395" i="12"/>
  <c r="D396" i="12"/>
  <c r="D397" i="12"/>
  <c r="D398" i="12"/>
  <c r="D399" i="12"/>
  <c r="D400" i="12"/>
  <c r="D401" i="12"/>
  <c r="D402" i="12"/>
  <c r="D403" i="12"/>
  <c r="D404" i="12"/>
  <c r="D3" i="12"/>
  <c r="D4" i="12"/>
  <c r="D5" i="12"/>
  <c r="D6" i="12"/>
  <c r="D7" i="12"/>
  <c r="D8" i="12"/>
  <c r="D9" i="12"/>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D64" i="12"/>
  <c r="D65" i="12"/>
  <c r="D66" i="12"/>
  <c r="D67" i="12"/>
  <c r="D68" i="12"/>
  <c r="D69" i="12"/>
  <c r="D70" i="12"/>
  <c r="D71" i="12"/>
  <c r="D72" i="12"/>
  <c r="D73" i="12"/>
  <c r="D74" i="12"/>
  <c r="D75" i="12"/>
  <c r="D76" i="12"/>
  <c r="D77" i="12"/>
  <c r="D78" i="12"/>
  <c r="D79" i="12"/>
  <c r="D80" i="12"/>
  <c r="D81" i="12"/>
  <c r="D82" i="12"/>
  <c r="D83" i="12"/>
  <c r="D84" i="12"/>
  <c r="D85" i="12"/>
  <c r="D86" i="12"/>
  <c r="D87" i="12"/>
  <c r="D88" i="12"/>
  <c r="D89" i="12"/>
  <c r="D90" i="12"/>
  <c r="D91" i="12"/>
  <c r="D92" i="12"/>
  <c r="D93" i="12"/>
  <c r="D94" i="12"/>
  <c r="D95" i="12"/>
  <c r="D96" i="12"/>
  <c r="D97" i="12"/>
  <c r="D98" i="12"/>
  <c r="D99" i="12"/>
  <c r="D100" i="12"/>
  <c r="D101" i="12"/>
  <c r="D102" i="12"/>
  <c r="D103" i="12"/>
  <c r="D104" i="12"/>
  <c r="D105" i="12"/>
  <c r="D106" i="12"/>
  <c r="D107" i="12"/>
  <c r="D108" i="12"/>
  <c r="D109" i="12"/>
  <c r="D110" i="12"/>
  <c r="D111" i="12"/>
  <c r="D112" i="12"/>
  <c r="D113" i="12"/>
  <c r="D114" i="12"/>
  <c r="D115" i="12"/>
  <c r="D116" i="12"/>
  <c r="D117" i="12"/>
  <c r="D118" i="12"/>
  <c r="D119" i="12"/>
  <c r="D120" i="12"/>
  <c r="D121" i="12"/>
  <c r="D122" i="12"/>
  <c r="D123" i="12"/>
  <c r="D124" i="12"/>
  <c r="D125" i="12"/>
  <c r="D126" i="12"/>
  <c r="D127" i="12"/>
  <c r="D128" i="12"/>
  <c r="D129" i="12"/>
  <c r="D130" i="12"/>
  <c r="D131" i="12"/>
  <c r="D132" i="12"/>
  <c r="D133" i="12"/>
  <c r="D134" i="12"/>
  <c r="D135" i="12"/>
  <c r="D136" i="12"/>
  <c r="D137" i="12"/>
  <c r="D138" i="12"/>
  <c r="D139" i="12"/>
  <c r="D140" i="12"/>
  <c r="D141" i="12"/>
  <c r="D142" i="12"/>
  <c r="D143" i="12"/>
  <c r="D144" i="12"/>
  <c r="D145" i="12"/>
  <c r="D146" i="12"/>
  <c r="D147" i="12"/>
  <c r="D148" i="12"/>
  <c r="D149" i="12"/>
  <c r="D150" i="12"/>
  <c r="D151" i="12"/>
  <c r="D152" i="12"/>
  <c r="D153" i="12"/>
  <c r="D154" i="12"/>
  <c r="D155" i="12"/>
  <c r="D156" i="12"/>
  <c r="D157" i="12"/>
  <c r="D158" i="12"/>
  <c r="D159" i="12"/>
  <c r="D160" i="12"/>
  <c r="D161" i="12"/>
  <c r="D162" i="12"/>
  <c r="D163" i="12"/>
  <c r="D164" i="12"/>
  <c r="D165" i="12"/>
  <c r="D166" i="12"/>
  <c r="D167" i="12"/>
  <c r="D168" i="12"/>
  <c r="D169" i="12"/>
  <c r="D170" i="12"/>
  <c r="D171" i="12"/>
  <c r="D172" i="12"/>
  <c r="D173" i="12"/>
  <c r="D174" i="12"/>
  <c r="D175" i="12"/>
  <c r="D176" i="12"/>
  <c r="D177" i="12"/>
  <c r="D178" i="12"/>
  <c r="D179" i="12"/>
  <c r="D180" i="12"/>
  <c r="D181" i="12"/>
  <c r="D182" i="12"/>
  <c r="D183" i="12"/>
  <c r="D184" i="12"/>
  <c r="D185" i="12"/>
  <c r="D186" i="12"/>
  <c r="D187" i="12"/>
  <c r="D188" i="12"/>
  <c r="D189" i="12"/>
  <c r="D190" i="12"/>
  <c r="D191" i="12"/>
  <c r="D2" i="12"/>
  <c r="B3" i="12"/>
  <c r="B4"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B102" i="12"/>
  <c r="B103" i="12"/>
  <c r="B104" i="12"/>
  <c r="B105" i="12"/>
  <c r="B106" i="12"/>
  <c r="B107" i="12"/>
  <c r="B108" i="12"/>
  <c r="B109" i="12"/>
  <c r="B110" i="12"/>
  <c r="B111" i="12"/>
  <c r="B112" i="12"/>
  <c r="B113" i="12"/>
  <c r="B114" i="12"/>
  <c r="B115" i="12"/>
  <c r="B116" i="12"/>
  <c r="B117" i="12"/>
  <c r="B118" i="12"/>
  <c r="B119" i="12"/>
  <c r="B120" i="12"/>
  <c r="B121" i="12"/>
  <c r="B122" i="12"/>
  <c r="B123" i="12"/>
  <c r="B124" i="12"/>
  <c r="B125" i="12"/>
  <c r="B126" i="12"/>
  <c r="B127" i="12"/>
  <c r="B128" i="12"/>
  <c r="B129" i="12"/>
  <c r="B130" i="12"/>
  <c r="B131" i="12"/>
  <c r="B132" i="12"/>
  <c r="B133" i="12"/>
  <c r="B134" i="12"/>
  <c r="B135" i="12"/>
  <c r="B136" i="12"/>
  <c r="B137" i="12"/>
  <c r="B138" i="12"/>
  <c r="B139" i="12"/>
  <c r="B140" i="12"/>
  <c r="B141" i="12"/>
  <c r="B142" i="12"/>
  <c r="B143" i="12"/>
  <c r="B144" i="12"/>
  <c r="B145" i="12"/>
  <c r="B146" i="12"/>
  <c r="B147" i="12"/>
  <c r="B148" i="12"/>
  <c r="B149" i="12"/>
  <c r="B150" i="12"/>
  <c r="B151" i="12"/>
  <c r="B152" i="12"/>
  <c r="B153" i="12"/>
  <c r="B154" i="12"/>
  <c r="B155" i="12"/>
  <c r="B156" i="12"/>
  <c r="B157" i="12"/>
  <c r="B158" i="12"/>
  <c r="B159" i="12"/>
  <c r="B160" i="12"/>
  <c r="B161" i="12"/>
  <c r="B162" i="12"/>
  <c r="B163" i="12"/>
  <c r="B164" i="12"/>
  <c r="B165" i="12"/>
  <c r="B166" i="12"/>
  <c r="B167" i="12"/>
  <c r="B168" i="12"/>
  <c r="B169" i="12"/>
  <c r="B170" i="12"/>
  <c r="B171" i="12"/>
  <c r="B172" i="12"/>
  <c r="B173" i="12"/>
  <c r="B174" i="12"/>
  <c r="B175" i="12"/>
  <c r="B176" i="12"/>
  <c r="B177" i="12"/>
  <c r="B178" i="12"/>
  <c r="B179" i="12"/>
  <c r="B180" i="12"/>
  <c r="B181" i="12"/>
  <c r="B182" i="12"/>
  <c r="B183" i="12"/>
  <c r="B184" i="12"/>
  <c r="B185" i="12"/>
  <c r="B186" i="12"/>
  <c r="B187" i="12"/>
  <c r="B188" i="12"/>
  <c r="B189" i="12"/>
  <c r="B190" i="12"/>
  <c r="B191" i="12"/>
  <c r="B192" i="12"/>
  <c r="B193" i="12"/>
  <c r="B194" i="12"/>
  <c r="B195" i="12"/>
  <c r="B196" i="12"/>
  <c r="B197" i="12"/>
  <c r="B198" i="12"/>
  <c r="B199" i="12"/>
  <c r="B200" i="12"/>
  <c r="B201" i="12"/>
  <c r="B202" i="12"/>
  <c r="B203" i="12"/>
  <c r="B204" i="12"/>
  <c r="B205" i="12"/>
  <c r="B206" i="12"/>
  <c r="B207" i="12"/>
  <c r="B208" i="12"/>
  <c r="B209" i="12"/>
  <c r="B210" i="12"/>
  <c r="B211" i="12"/>
  <c r="B212" i="12"/>
  <c r="B213" i="12"/>
  <c r="B214" i="12"/>
  <c r="B215" i="12"/>
  <c r="B216" i="12"/>
  <c r="B217" i="12"/>
  <c r="B218" i="12"/>
  <c r="B219" i="12"/>
  <c r="B220" i="12"/>
  <c r="B221" i="12"/>
  <c r="B222" i="12"/>
  <c r="B223" i="12"/>
  <c r="B224" i="12"/>
  <c r="B225" i="12"/>
  <c r="B226" i="12"/>
  <c r="B227" i="12"/>
  <c r="B228" i="12"/>
  <c r="B229" i="12"/>
  <c r="B230" i="12"/>
  <c r="B231" i="12"/>
  <c r="B232" i="12"/>
  <c r="B233" i="12"/>
  <c r="B234" i="12"/>
  <c r="B235" i="12"/>
  <c r="B236" i="12"/>
  <c r="B237" i="12"/>
  <c r="B238" i="12"/>
  <c r="B239" i="12"/>
  <c r="B240" i="12"/>
  <c r="B241" i="12"/>
  <c r="B242" i="12"/>
  <c r="B243" i="12"/>
  <c r="B244" i="12"/>
  <c r="B245" i="12"/>
  <c r="B246" i="12"/>
  <c r="B247" i="12"/>
  <c r="B248" i="12"/>
  <c r="B249" i="12"/>
  <c r="B250" i="12"/>
  <c r="B251" i="12"/>
  <c r="B252" i="12"/>
  <c r="B253" i="12"/>
  <c r="B254" i="12"/>
  <c r="B255" i="12"/>
  <c r="B256" i="12"/>
  <c r="B257" i="12"/>
  <c r="B258" i="12"/>
  <c r="B259" i="12"/>
  <c r="B260" i="12"/>
  <c r="B261" i="12"/>
  <c r="B262" i="12"/>
  <c r="B263" i="12"/>
  <c r="B264" i="12"/>
  <c r="B265" i="12"/>
  <c r="B266" i="12"/>
  <c r="B267" i="12"/>
  <c r="B268" i="12"/>
  <c r="B269" i="12"/>
  <c r="B270" i="12"/>
  <c r="B271" i="12"/>
  <c r="B272" i="12"/>
  <c r="B273" i="12"/>
  <c r="B274" i="12"/>
  <c r="B275" i="12"/>
  <c r="B276" i="12"/>
  <c r="B277" i="12"/>
  <c r="B278" i="12"/>
  <c r="B279" i="12"/>
  <c r="B280" i="12"/>
  <c r="B281" i="12"/>
  <c r="B282" i="12"/>
  <c r="B283" i="12"/>
  <c r="B284" i="12"/>
  <c r="B285" i="12"/>
  <c r="B286" i="12"/>
  <c r="B287" i="12"/>
  <c r="B288" i="12"/>
  <c r="B289" i="12"/>
  <c r="B290" i="12"/>
  <c r="B291" i="12"/>
  <c r="B292" i="12"/>
  <c r="B293" i="12"/>
  <c r="B294" i="12"/>
  <c r="B295" i="12"/>
  <c r="B296" i="12"/>
  <c r="B297" i="12"/>
  <c r="B298" i="12"/>
  <c r="B299" i="12"/>
  <c r="B300" i="12"/>
  <c r="B301" i="12"/>
  <c r="B302" i="12"/>
  <c r="B303" i="12"/>
  <c r="B304" i="12"/>
  <c r="B305" i="12"/>
  <c r="B306" i="12"/>
  <c r="B307" i="12"/>
  <c r="B308" i="12"/>
  <c r="B309" i="12"/>
  <c r="B310" i="12"/>
  <c r="B311" i="12"/>
  <c r="B312" i="12"/>
  <c r="B313" i="12"/>
  <c r="B314" i="12"/>
  <c r="B315" i="12"/>
  <c r="B316" i="12"/>
  <c r="B317" i="12"/>
  <c r="B318" i="12"/>
  <c r="B319" i="12"/>
  <c r="B320" i="12"/>
  <c r="B321" i="12"/>
  <c r="B322" i="12"/>
  <c r="B323" i="12"/>
  <c r="B324" i="12"/>
  <c r="B325" i="12"/>
  <c r="B326" i="12"/>
  <c r="B327" i="12"/>
  <c r="B328" i="12"/>
  <c r="B329" i="12"/>
  <c r="B330" i="12"/>
  <c r="B331" i="12"/>
  <c r="B332" i="12"/>
  <c r="B333" i="12"/>
  <c r="B334" i="12"/>
  <c r="B335" i="12"/>
  <c r="B336" i="12"/>
  <c r="B337" i="12"/>
  <c r="B338" i="12"/>
  <c r="B339" i="12"/>
  <c r="B340" i="12"/>
  <c r="B341" i="12"/>
  <c r="B342" i="12"/>
  <c r="B343" i="12"/>
  <c r="B344" i="12"/>
  <c r="B345" i="12"/>
  <c r="B346" i="12"/>
  <c r="B347" i="12"/>
  <c r="B348" i="12"/>
  <c r="B349" i="12"/>
  <c r="B350" i="12"/>
  <c r="B351" i="12"/>
  <c r="B352" i="12"/>
  <c r="B353" i="12"/>
  <c r="B354" i="12"/>
  <c r="B355" i="12"/>
  <c r="B356" i="12"/>
  <c r="B357" i="12"/>
  <c r="B358" i="12"/>
  <c r="B359" i="12"/>
  <c r="B360" i="12"/>
  <c r="B361" i="12"/>
  <c r="B362" i="12"/>
  <c r="B363" i="12"/>
  <c r="B364" i="12"/>
  <c r="B365" i="12"/>
  <c r="B366" i="12"/>
  <c r="B367" i="12"/>
  <c r="B368" i="12"/>
  <c r="B369" i="12"/>
  <c r="B370" i="12"/>
  <c r="B371" i="12"/>
  <c r="B372" i="12"/>
  <c r="B373" i="12"/>
  <c r="B374" i="12"/>
  <c r="B375" i="12"/>
  <c r="B376" i="12"/>
  <c r="B377" i="12"/>
  <c r="B378" i="12"/>
  <c r="B379" i="12"/>
  <c r="B380" i="12"/>
  <c r="B381" i="12"/>
  <c r="B382" i="12"/>
  <c r="B383" i="12"/>
  <c r="B384" i="12"/>
  <c r="B385" i="12"/>
  <c r="B386" i="12"/>
  <c r="B387" i="12"/>
  <c r="B388" i="12"/>
  <c r="B389" i="12"/>
  <c r="B390" i="12"/>
  <c r="B391" i="12"/>
  <c r="B392" i="12"/>
  <c r="B393" i="12"/>
  <c r="B394" i="12"/>
  <c r="B395" i="12"/>
  <c r="B396" i="12"/>
  <c r="B397" i="12"/>
  <c r="B398" i="12"/>
  <c r="B399" i="12"/>
  <c r="B400" i="12"/>
  <c r="B401" i="12"/>
  <c r="B402" i="12"/>
  <c r="B403" i="12"/>
  <c r="B404" i="12"/>
  <c r="B2" i="12"/>
  <c r="C192" i="12"/>
  <c r="C193" i="12"/>
  <c r="C194" i="12"/>
  <c r="C195" i="12"/>
  <c r="C196" i="12"/>
  <c r="C197" i="12"/>
  <c r="C198" i="12"/>
  <c r="C199" i="12"/>
  <c r="C200" i="12"/>
  <c r="C201" i="12"/>
  <c r="C202" i="12"/>
  <c r="C203" i="12"/>
  <c r="C204" i="12"/>
  <c r="C205" i="12"/>
  <c r="C206"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C301" i="12"/>
  <c r="C302" i="12"/>
  <c r="C303" i="12"/>
  <c r="C304" i="12"/>
  <c r="C305" i="12"/>
  <c r="C306" i="12"/>
  <c r="C307" i="12"/>
  <c r="C308" i="12"/>
  <c r="C309" i="12"/>
  <c r="C310" i="12"/>
  <c r="C311" i="12"/>
  <c r="C312" i="12"/>
  <c r="C313" i="12"/>
  <c r="C314" i="12"/>
  <c r="C315" i="12"/>
  <c r="C316" i="12"/>
  <c r="C317" i="12"/>
  <c r="C318" i="12"/>
  <c r="C319" i="12"/>
  <c r="C320" i="12"/>
  <c r="C321" i="12"/>
  <c r="C322" i="12"/>
  <c r="C323" i="12"/>
  <c r="C324" i="12"/>
  <c r="C325" i="12"/>
  <c r="C326" i="12"/>
  <c r="C327" i="12"/>
  <c r="C328" i="12"/>
  <c r="C329" i="12"/>
  <c r="C330" i="12"/>
  <c r="C331" i="12"/>
  <c r="C332" i="12"/>
  <c r="C333" i="12"/>
  <c r="C334" i="12"/>
  <c r="C335" i="12"/>
  <c r="C336" i="12"/>
  <c r="C337" i="12"/>
  <c r="C338" i="12"/>
  <c r="C339" i="12"/>
  <c r="C340" i="12"/>
  <c r="C341" i="12"/>
  <c r="C342" i="12"/>
  <c r="C343" i="12"/>
  <c r="C344" i="12"/>
  <c r="C345" i="12"/>
  <c r="C346" i="12"/>
  <c r="C347" i="12"/>
  <c r="C348" i="12"/>
  <c r="C349" i="12"/>
  <c r="C350" i="12"/>
  <c r="C351" i="12"/>
  <c r="C352" i="12"/>
  <c r="C353" i="12"/>
  <c r="C354" i="12"/>
  <c r="C355" i="12"/>
  <c r="C356" i="12"/>
  <c r="C357" i="12"/>
  <c r="C358" i="12"/>
  <c r="C359" i="12"/>
  <c r="C360" i="12"/>
  <c r="C361" i="12"/>
  <c r="C362" i="12"/>
  <c r="C363" i="12"/>
  <c r="C364" i="12"/>
  <c r="C365" i="12"/>
  <c r="C366" i="12"/>
  <c r="C367" i="12"/>
  <c r="C368" i="12"/>
  <c r="C369" i="12"/>
  <c r="C370" i="12"/>
  <c r="C371" i="12"/>
  <c r="C372" i="12"/>
  <c r="C373" i="12"/>
  <c r="C374" i="12"/>
  <c r="C375" i="12"/>
  <c r="C376" i="12"/>
  <c r="C377" i="12"/>
  <c r="C378" i="12"/>
  <c r="C379" i="12"/>
  <c r="C380" i="12"/>
  <c r="C381" i="12"/>
  <c r="C382" i="12"/>
  <c r="C383" i="12"/>
  <c r="C384" i="12"/>
  <c r="C385" i="12"/>
  <c r="C386" i="12"/>
  <c r="C387" i="12"/>
  <c r="C388" i="12"/>
  <c r="C389" i="12"/>
  <c r="C390" i="12"/>
  <c r="C391" i="12"/>
  <c r="C392" i="12"/>
  <c r="C393" i="12"/>
  <c r="C394" i="12"/>
  <c r="C395" i="12"/>
  <c r="C396" i="12"/>
  <c r="C397" i="12"/>
  <c r="C398" i="12"/>
  <c r="C399" i="12"/>
  <c r="C400" i="12"/>
  <c r="C401" i="12"/>
  <c r="C402" i="12"/>
  <c r="C403" i="12"/>
  <c r="C404" i="12"/>
  <c r="C3" i="12"/>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2" i="12"/>
  <c r="A192" i="12"/>
  <c r="A193" i="12"/>
  <c r="A194" i="12"/>
  <c r="A195" i="12"/>
  <c r="A196" i="12"/>
  <c r="A197" i="12"/>
  <c r="A198" i="12"/>
  <c r="A199" i="12"/>
  <c r="A200" i="12"/>
  <c r="A201" i="12"/>
  <c r="A202" i="12"/>
  <c r="A203" i="12"/>
  <c r="A204" i="12"/>
  <c r="A205" i="12"/>
  <c r="A206" i="12"/>
  <c r="A207" i="12"/>
  <c r="A208" i="12"/>
  <c r="A209" i="12"/>
  <c r="A210" i="12"/>
  <c r="A211" i="12"/>
  <c r="A212" i="12"/>
  <c r="A213" i="12"/>
  <c r="A214" i="12"/>
  <c r="A215" i="12"/>
  <c r="A216" i="12"/>
  <c r="A217" i="12"/>
  <c r="A218" i="12"/>
  <c r="A219" i="12"/>
  <c r="A220" i="12"/>
  <c r="A221" i="12"/>
  <c r="A222" i="12"/>
  <c r="A223" i="12"/>
  <c r="A224" i="12"/>
  <c r="A225" i="12"/>
  <c r="A226" i="12"/>
  <c r="A227" i="12"/>
  <c r="A228" i="12"/>
  <c r="A229" i="12"/>
  <c r="A230" i="12"/>
  <c r="A231" i="12"/>
  <c r="A232" i="12"/>
  <c r="A233" i="12"/>
  <c r="A234" i="12"/>
  <c r="A235" i="12"/>
  <c r="A236" i="12"/>
  <c r="A237" i="12"/>
  <c r="A238" i="12"/>
  <c r="A239" i="12"/>
  <c r="A240" i="12"/>
  <c r="A241" i="12"/>
  <c r="A242" i="12"/>
  <c r="A243" i="12"/>
  <c r="A244" i="12"/>
  <c r="A245" i="12"/>
  <c r="A246" i="12"/>
  <c r="A247" i="12"/>
  <c r="A248" i="12"/>
  <c r="A249" i="12"/>
  <c r="A250" i="12"/>
  <c r="A251" i="12"/>
  <c r="A252" i="12"/>
  <c r="A253" i="12"/>
  <c r="A254" i="12"/>
  <c r="A255" i="12"/>
  <c r="A256" i="12"/>
  <c r="A257" i="12"/>
  <c r="A258" i="12"/>
  <c r="A259" i="12"/>
  <c r="A260" i="12"/>
  <c r="A261" i="12"/>
  <c r="A262" i="12"/>
  <c r="A263" i="12"/>
  <c r="A264" i="12"/>
  <c r="A265" i="12"/>
  <c r="A266" i="12"/>
  <c r="A267" i="12"/>
  <c r="A268" i="12"/>
  <c r="A269" i="12"/>
  <c r="A270" i="12"/>
  <c r="A271" i="12"/>
  <c r="A272" i="12"/>
  <c r="A273" i="12"/>
  <c r="A274" i="12"/>
  <c r="A275" i="12"/>
  <c r="A276" i="12"/>
  <c r="A277" i="12"/>
  <c r="A278" i="12"/>
  <c r="A279" i="12"/>
  <c r="A280" i="12"/>
  <c r="A281" i="12"/>
  <c r="A282" i="12"/>
  <c r="A283" i="12"/>
  <c r="A284" i="12"/>
  <c r="A285" i="12"/>
  <c r="A286" i="12"/>
  <c r="A287" i="12"/>
  <c r="A288" i="12"/>
  <c r="A289" i="12"/>
  <c r="A290" i="12"/>
  <c r="A291" i="12"/>
  <c r="A292" i="12"/>
  <c r="A293" i="12"/>
  <c r="A294" i="12"/>
  <c r="A295" i="12"/>
  <c r="A296" i="12"/>
  <c r="A297" i="12"/>
  <c r="A298" i="12"/>
  <c r="A299" i="12"/>
  <c r="A300" i="12"/>
  <c r="A301" i="12"/>
  <c r="A302" i="12"/>
  <c r="A303" i="12"/>
  <c r="A304" i="12"/>
  <c r="A305" i="12"/>
  <c r="A306" i="12"/>
  <c r="A307" i="12"/>
  <c r="A308" i="12"/>
  <c r="A309" i="12"/>
  <c r="A310" i="12"/>
  <c r="A311" i="12"/>
  <c r="A312" i="12"/>
  <c r="A313" i="12"/>
  <c r="A314" i="12"/>
  <c r="A315" i="12"/>
  <c r="A316" i="12"/>
  <c r="A317" i="12"/>
  <c r="A318" i="12"/>
  <c r="A319" i="12"/>
  <c r="A320" i="12"/>
  <c r="A321" i="12"/>
  <c r="A322" i="12"/>
  <c r="A323" i="12"/>
  <c r="A324" i="12"/>
  <c r="A325" i="12"/>
  <c r="A326" i="12"/>
  <c r="A327" i="12"/>
  <c r="A328" i="12"/>
  <c r="A329" i="12"/>
  <c r="A330" i="12"/>
  <c r="A331" i="12"/>
  <c r="A332" i="12"/>
  <c r="A333" i="12"/>
  <c r="A334" i="12"/>
  <c r="A335" i="12"/>
  <c r="A336" i="12"/>
  <c r="A337" i="12"/>
  <c r="A338" i="12"/>
  <c r="A339" i="12"/>
  <c r="A340" i="12"/>
  <c r="A341" i="12"/>
  <c r="A342" i="12"/>
  <c r="A343" i="12"/>
  <c r="A344" i="12"/>
  <c r="A345" i="12"/>
  <c r="A346" i="12"/>
  <c r="A347" i="12"/>
  <c r="A348" i="12"/>
  <c r="A349" i="12"/>
  <c r="A350" i="12"/>
  <c r="A351" i="12"/>
  <c r="A352" i="12"/>
  <c r="A353" i="12"/>
  <c r="A354" i="12"/>
  <c r="A355" i="12"/>
  <c r="A356" i="12"/>
  <c r="A357" i="12"/>
  <c r="A358" i="12"/>
  <c r="A359" i="12"/>
  <c r="A360" i="12"/>
  <c r="A361" i="12"/>
  <c r="A362" i="12"/>
  <c r="A363" i="12"/>
  <c r="A364" i="12"/>
  <c r="A365" i="12"/>
  <c r="A366" i="12"/>
  <c r="A367" i="12"/>
  <c r="A368" i="12"/>
  <c r="A369" i="12"/>
  <c r="A370" i="12"/>
  <c r="A371" i="12"/>
  <c r="A372" i="12"/>
  <c r="A373" i="12"/>
  <c r="A374" i="12"/>
  <c r="A375" i="12"/>
  <c r="A376" i="12"/>
  <c r="A377" i="12"/>
  <c r="A378" i="12"/>
  <c r="A379" i="12"/>
  <c r="A380" i="12"/>
  <c r="A381" i="12"/>
  <c r="A382" i="12"/>
  <c r="A383" i="12"/>
  <c r="A384" i="12"/>
  <c r="A385" i="12"/>
  <c r="A386" i="12"/>
  <c r="A387" i="12"/>
  <c r="A388" i="12"/>
  <c r="A389" i="12"/>
  <c r="A390" i="12"/>
  <c r="A391" i="12"/>
  <c r="A392" i="12"/>
  <c r="A393" i="12"/>
  <c r="A394" i="12"/>
  <c r="A395" i="12"/>
  <c r="A396" i="12"/>
  <c r="A397" i="12"/>
  <c r="A398" i="12"/>
  <c r="A399" i="12"/>
  <c r="A400" i="12"/>
  <c r="A401" i="12"/>
  <c r="A402" i="12"/>
  <c r="A403" i="12"/>
  <c r="A404" i="12"/>
  <c r="A3" i="12"/>
  <c r="A4" i="12"/>
  <c r="A5" i="12"/>
  <c r="A6" i="12"/>
  <c r="A7" i="12"/>
  <c r="A8" i="12"/>
  <c r="A9" i="12"/>
  <c r="A10" i="12"/>
  <c r="A11" i="12"/>
  <c r="A12" i="12"/>
  <c r="A13" i="12"/>
  <c r="A14" i="12"/>
  <c r="A15" i="12"/>
  <c r="A16" i="12"/>
  <c r="A17" i="12"/>
  <c r="A18" i="12"/>
  <c r="A19" i="12"/>
  <c r="A20" i="12"/>
  <c r="A21" i="12"/>
  <c r="A22" i="12"/>
  <c r="A23" i="12"/>
  <c r="A24" i="12"/>
  <c r="A25" i="12"/>
  <c r="A26" i="12"/>
  <c r="A27" i="12"/>
  <c r="A28" i="12"/>
  <c r="A29" i="12"/>
  <c r="A30" i="12"/>
  <c r="A31" i="12"/>
  <c r="A32" i="12"/>
  <c r="A33" i="12"/>
  <c r="A34" i="12"/>
  <c r="A35" i="12"/>
  <c r="A36" i="12"/>
  <c r="A37" i="12"/>
  <c r="A38" i="12"/>
  <c r="A39" i="12"/>
  <c r="A40" i="12"/>
  <c r="A41" i="12"/>
  <c r="A42" i="12"/>
  <c r="A43" i="12"/>
  <c r="A44" i="12"/>
  <c r="A45" i="12"/>
  <c r="A46" i="12"/>
  <c r="A47" i="12"/>
  <c r="A48" i="12"/>
  <c r="A49" i="12"/>
  <c r="A50" i="12"/>
  <c r="A51" i="12"/>
  <c r="A52" i="12"/>
  <c r="A53" i="12"/>
  <c r="A54" i="12"/>
  <c r="A55" i="12"/>
  <c r="A56" i="12"/>
  <c r="A57" i="12"/>
  <c r="A58" i="12"/>
  <c r="A59" i="12"/>
  <c r="A60" i="12"/>
  <c r="A61" i="12"/>
  <c r="A62" i="12"/>
  <c r="A63" i="12"/>
  <c r="A64" i="12"/>
  <c r="A65" i="12"/>
  <c r="A66" i="12"/>
  <c r="A67" i="12"/>
  <c r="A68" i="12"/>
  <c r="A69" i="12"/>
  <c r="A70" i="12"/>
  <c r="A71" i="12"/>
  <c r="A72" i="12"/>
  <c r="A73" i="12"/>
  <c r="A74" i="12"/>
  <c r="A75" i="12"/>
  <c r="A76" i="12"/>
  <c r="A77" i="12"/>
  <c r="A78" i="12"/>
  <c r="A79" i="12"/>
  <c r="A80" i="12"/>
  <c r="A81" i="12"/>
  <c r="A82" i="12"/>
  <c r="A83" i="12"/>
  <c r="A84" i="12"/>
  <c r="A85" i="12"/>
  <c r="A86" i="12"/>
  <c r="A87" i="12"/>
  <c r="A88" i="12"/>
  <c r="A89" i="12"/>
  <c r="A90" i="12"/>
  <c r="A91" i="12"/>
  <c r="A92" i="12"/>
  <c r="A93" i="12"/>
  <c r="A94" i="12"/>
  <c r="A95" i="12"/>
  <c r="A96" i="12"/>
  <c r="A97" i="12"/>
  <c r="A98" i="12"/>
  <c r="A99" i="12"/>
  <c r="A100" i="12"/>
  <c r="A101" i="12"/>
  <c r="A102" i="12"/>
  <c r="A103" i="12"/>
  <c r="A104" i="12"/>
  <c r="A105" i="12"/>
  <c r="A106" i="12"/>
  <c r="A107" i="12"/>
  <c r="A108" i="12"/>
  <c r="A109" i="12"/>
  <c r="A110" i="12"/>
  <c r="A111" i="12"/>
  <c r="A112" i="12"/>
  <c r="A113" i="12"/>
  <c r="A114" i="12"/>
  <c r="A115" i="12"/>
  <c r="A116" i="12"/>
  <c r="A117" i="12"/>
  <c r="A118" i="12"/>
  <c r="A119" i="12"/>
  <c r="A120" i="12"/>
  <c r="A121" i="12"/>
  <c r="A122" i="12"/>
  <c r="A123" i="12"/>
  <c r="A124" i="12"/>
  <c r="A125" i="12"/>
  <c r="A126" i="12"/>
  <c r="A127" i="12"/>
  <c r="A128" i="12"/>
  <c r="A129" i="12"/>
  <c r="A130" i="12"/>
  <c r="A131" i="12"/>
  <c r="A132" i="12"/>
  <c r="A133" i="12"/>
  <c r="A134" i="12"/>
  <c r="A135" i="12"/>
  <c r="A136" i="12"/>
  <c r="A137" i="12"/>
  <c r="A138" i="12"/>
  <c r="A139" i="12"/>
  <c r="A140" i="12"/>
  <c r="A141" i="12"/>
  <c r="A142" i="12"/>
  <c r="A143" i="12"/>
  <c r="A144" i="12"/>
  <c r="A145" i="12"/>
  <c r="A146" i="12"/>
  <c r="A147" i="12"/>
  <c r="A148" i="12"/>
  <c r="A149" i="12"/>
  <c r="A150" i="12"/>
  <c r="A151" i="12"/>
  <c r="A152" i="12"/>
  <c r="A153" i="12"/>
  <c r="A154" i="12"/>
  <c r="A155" i="12"/>
  <c r="A156" i="12"/>
  <c r="A157" i="12"/>
  <c r="A158" i="12"/>
  <c r="A159" i="12"/>
  <c r="A160" i="12"/>
  <c r="A161" i="12"/>
  <c r="A162" i="12"/>
  <c r="A163" i="12"/>
  <c r="A164" i="12"/>
  <c r="A165" i="12"/>
  <c r="A166" i="12"/>
  <c r="A167" i="12"/>
  <c r="A168" i="12"/>
  <c r="A169" i="12"/>
  <c r="A170" i="12"/>
  <c r="A171" i="12"/>
  <c r="A172" i="12"/>
  <c r="A173" i="12"/>
  <c r="A174" i="12"/>
  <c r="A175" i="12"/>
  <c r="A176" i="12"/>
  <c r="A177" i="12"/>
  <c r="A178" i="12"/>
  <c r="A179" i="12"/>
  <c r="A180" i="12"/>
  <c r="A181" i="12"/>
  <c r="A182" i="12"/>
  <c r="A183" i="12"/>
  <c r="A184" i="12"/>
  <c r="A185" i="12"/>
  <c r="A186" i="12"/>
  <c r="A187" i="12"/>
  <c r="A188" i="12"/>
  <c r="A189" i="12"/>
  <c r="A190" i="12"/>
  <c r="A191" i="12"/>
  <c r="A2" i="12"/>
  <c r="G57" i="10"/>
  <c r="G45" i="10"/>
  <c r="G31" i="10"/>
  <c r="G44" i="10"/>
  <c r="G30" i="10"/>
  <c r="G55" i="10"/>
  <c r="G25" i="10"/>
  <c r="G24" i="10"/>
  <c r="G37" i="10"/>
  <c r="G56" i="10"/>
  <c r="G67" i="10"/>
  <c r="G66" i="10"/>
  <c r="G64" i="10"/>
  <c r="G52" i="10"/>
  <c r="G36" i="10"/>
  <c r="G22" i="10"/>
  <c r="G63" i="10"/>
  <c r="G51" i="10"/>
  <c r="G15" i="10"/>
  <c r="G21" i="10"/>
  <c r="G54" i="10"/>
  <c r="G53" i="10"/>
  <c r="G58" i="10"/>
  <c r="G46" i="10"/>
  <c r="G14" i="10"/>
  <c r="G20" i="10"/>
  <c r="G39" i="10"/>
  <c r="G38" i="10"/>
  <c r="G65" i="10"/>
  <c r="G23" i="10"/>
  <c r="AG319" i="12" l="1"/>
  <c r="AO402" i="12"/>
  <c r="AO274" i="12"/>
  <c r="BA347" i="12"/>
  <c r="BA203" i="12"/>
  <c r="W369" i="12"/>
  <c r="AV396" i="12"/>
  <c r="W347" i="12"/>
  <c r="AQ327" i="12"/>
  <c r="AQ263" i="12"/>
  <c r="BD358" i="12"/>
  <c r="R361" i="12"/>
  <c r="AE350" i="12"/>
  <c r="AG231" i="12"/>
  <c r="AL371" i="12"/>
  <c r="AO250" i="12"/>
  <c r="AQ199" i="12"/>
  <c r="AV370" i="12"/>
  <c r="R339" i="12"/>
  <c r="U299" i="12"/>
  <c r="AE222" i="12"/>
  <c r="AL362" i="12"/>
  <c r="AO210" i="12"/>
  <c r="AV332" i="12"/>
  <c r="U267" i="12"/>
  <c r="AL283" i="12"/>
  <c r="AV306" i="12"/>
  <c r="BA275" i="12"/>
  <c r="AJ286" i="12"/>
  <c r="AL202" i="12"/>
  <c r="AT228" i="12"/>
  <c r="AV236" i="12"/>
  <c r="AG310" i="12"/>
  <c r="AJ262" i="12"/>
  <c r="BI264" i="12"/>
  <c r="AB400" i="12"/>
  <c r="AG374" i="12"/>
  <c r="AQ391" i="12"/>
  <c r="BD233" i="12"/>
  <c r="W365" i="12"/>
  <c r="W293" i="12"/>
  <c r="AG391" i="12"/>
  <c r="AG223" i="12"/>
  <c r="AL275" i="12"/>
  <c r="AQ381" i="12"/>
  <c r="AQ317" i="12"/>
  <c r="AQ253" i="12"/>
  <c r="AV386" i="12"/>
  <c r="AV322" i="12"/>
  <c r="AV228" i="12"/>
  <c r="BA339" i="12"/>
  <c r="BA267" i="12"/>
  <c r="BA199" i="12"/>
  <c r="BD344" i="12"/>
  <c r="BI200" i="12"/>
  <c r="R297" i="12"/>
  <c r="U222" i="12"/>
  <c r="W349" i="12"/>
  <c r="W261" i="12"/>
  <c r="AE262" i="12"/>
  <c r="AG383" i="12"/>
  <c r="AG295" i="12"/>
  <c r="AG214" i="12"/>
  <c r="AL347" i="12"/>
  <c r="AL266" i="12"/>
  <c r="AO226" i="12"/>
  <c r="AQ375" i="12"/>
  <c r="AQ311" i="12"/>
  <c r="AQ247" i="12"/>
  <c r="AV380" i="12"/>
  <c r="AV316" i="12"/>
  <c r="AV194" i="12"/>
  <c r="BA403" i="12"/>
  <c r="BA331" i="12"/>
  <c r="BA263" i="12"/>
  <c r="BD334" i="12"/>
  <c r="R275" i="12"/>
  <c r="W197" i="12"/>
  <c r="AG287" i="12"/>
  <c r="AG199" i="12"/>
  <c r="AL339" i="12"/>
  <c r="AL251" i="12"/>
  <c r="AQ365" i="12"/>
  <c r="AQ301" i="12"/>
  <c r="AQ237" i="12"/>
  <c r="BA395" i="12"/>
  <c r="BA327" i="12"/>
  <c r="BA241" i="12"/>
  <c r="BD326" i="12"/>
  <c r="R233" i="12"/>
  <c r="W341" i="12"/>
  <c r="AB320" i="12"/>
  <c r="AE206" i="12"/>
  <c r="AG359" i="12"/>
  <c r="AG278" i="12"/>
  <c r="AL330" i="12"/>
  <c r="AL243" i="12"/>
  <c r="AO378" i="12"/>
  <c r="AQ359" i="12"/>
  <c r="AQ295" i="12"/>
  <c r="AQ231" i="12"/>
  <c r="AV364" i="12"/>
  <c r="AV300" i="12"/>
  <c r="BA391" i="12"/>
  <c r="BA305" i="12"/>
  <c r="BD398" i="12"/>
  <c r="BD312" i="12"/>
  <c r="R211" i="12"/>
  <c r="U395" i="12"/>
  <c r="W329" i="12"/>
  <c r="AB232" i="12"/>
  <c r="AE198" i="12"/>
  <c r="AG351" i="12"/>
  <c r="AG263" i="12"/>
  <c r="AL403" i="12"/>
  <c r="AL315" i="12"/>
  <c r="AL234" i="12"/>
  <c r="AO338" i="12"/>
  <c r="AQ349" i="12"/>
  <c r="AQ285" i="12"/>
  <c r="AQ221" i="12"/>
  <c r="AV354" i="12"/>
  <c r="AV290" i="12"/>
  <c r="AY399" i="12"/>
  <c r="BA369" i="12"/>
  <c r="BA297" i="12"/>
  <c r="BA225" i="12"/>
  <c r="BD390" i="12"/>
  <c r="BD302" i="12"/>
  <c r="U363" i="12"/>
  <c r="W393" i="12"/>
  <c r="W325" i="12"/>
  <c r="Z267" i="12"/>
  <c r="AB200" i="12"/>
  <c r="AG342" i="12"/>
  <c r="AG255" i="12"/>
  <c r="AJ376" i="12"/>
  <c r="AL394" i="12"/>
  <c r="AL307" i="12"/>
  <c r="AL219" i="12"/>
  <c r="AO314" i="12"/>
  <c r="AQ343" i="12"/>
  <c r="AQ279" i="12"/>
  <c r="AQ215" i="12"/>
  <c r="AV348" i="12"/>
  <c r="AV268" i="12"/>
  <c r="AY239" i="12"/>
  <c r="BA361" i="12"/>
  <c r="BA289" i="12"/>
  <c r="BA219" i="12"/>
  <c r="BD376" i="12"/>
  <c r="BD294" i="12"/>
  <c r="BI392" i="12"/>
  <c r="W301" i="12"/>
  <c r="R403" i="12"/>
  <c r="U331" i="12"/>
  <c r="W389" i="12"/>
  <c r="W305" i="12"/>
  <c r="Z245" i="12"/>
  <c r="AG327" i="12"/>
  <c r="AG246" i="12"/>
  <c r="AJ330" i="12"/>
  <c r="AL379" i="12"/>
  <c r="AL298" i="12"/>
  <c r="AL211" i="12"/>
  <c r="AO290" i="12"/>
  <c r="AQ397" i="12"/>
  <c r="AQ333" i="12"/>
  <c r="AQ269" i="12"/>
  <c r="AQ205" i="12"/>
  <c r="AV402" i="12"/>
  <c r="AV338" i="12"/>
  <c r="AV260" i="12"/>
  <c r="BA353" i="12"/>
  <c r="BA283" i="12"/>
  <c r="BA211" i="12"/>
  <c r="BD366" i="12"/>
  <c r="BD280" i="12"/>
  <c r="BI328" i="12"/>
  <c r="R401" i="12"/>
  <c r="R379" i="12"/>
  <c r="R359" i="12"/>
  <c r="R337" i="12"/>
  <c r="R315" i="12"/>
  <c r="R295" i="12"/>
  <c r="R273" i="12"/>
  <c r="R251" i="12"/>
  <c r="R231" i="12"/>
  <c r="R209" i="12"/>
  <c r="U392" i="12"/>
  <c r="U360" i="12"/>
  <c r="U328" i="12"/>
  <c r="U296" i="12"/>
  <c r="U265" i="12"/>
  <c r="U219" i="12"/>
  <c r="Z297" i="12"/>
  <c r="W297" i="12"/>
  <c r="Z289" i="12"/>
  <c r="W289" i="12"/>
  <c r="Z281" i="12"/>
  <c r="W281" i="12"/>
  <c r="Z273" i="12"/>
  <c r="W273" i="12"/>
  <c r="Z265" i="12"/>
  <c r="W265" i="12"/>
  <c r="Z257" i="12"/>
  <c r="W257" i="12"/>
  <c r="Z249" i="12"/>
  <c r="W249" i="12"/>
  <c r="Z233" i="12"/>
  <c r="W233" i="12"/>
  <c r="Z225" i="12"/>
  <c r="W225" i="12"/>
  <c r="Z217" i="12"/>
  <c r="W217" i="12"/>
  <c r="Z209" i="12"/>
  <c r="W209" i="12"/>
  <c r="Z201" i="12"/>
  <c r="W201" i="12"/>
  <c r="Z193" i="12"/>
  <c r="W193" i="12"/>
  <c r="W387" i="12"/>
  <c r="W345" i="12"/>
  <c r="W323" i="12"/>
  <c r="W299" i="12"/>
  <c r="AG347" i="12"/>
  <c r="AJ347" i="12"/>
  <c r="AG315" i="12"/>
  <c r="AJ315" i="12"/>
  <c r="AG307" i="12"/>
  <c r="AJ307" i="12"/>
  <c r="AG283" i="12"/>
  <c r="AJ283" i="12"/>
  <c r="AG251" i="12"/>
  <c r="AJ251" i="12"/>
  <c r="AG219" i="12"/>
  <c r="AJ219" i="12"/>
  <c r="BF353" i="12"/>
  <c r="W402" i="12"/>
  <c r="Z402" i="12"/>
  <c r="W386" i="12"/>
  <c r="Z386" i="12"/>
  <c r="W362" i="12"/>
  <c r="Z362" i="12"/>
  <c r="W346" i="12"/>
  <c r="Z346" i="12"/>
  <c r="W330" i="12"/>
  <c r="Z330" i="12"/>
  <c r="W274" i="12"/>
  <c r="Z274" i="12"/>
  <c r="W258" i="12"/>
  <c r="Z258" i="12"/>
  <c r="W210" i="12"/>
  <c r="Z210" i="12"/>
  <c r="W202" i="12"/>
  <c r="Z202" i="12"/>
  <c r="W194" i="12"/>
  <c r="Z194" i="12"/>
  <c r="R399" i="12"/>
  <c r="R377" i="12"/>
  <c r="R355" i="12"/>
  <c r="R335" i="12"/>
  <c r="R313" i="12"/>
  <c r="R291" i="12"/>
  <c r="R271" i="12"/>
  <c r="R249" i="12"/>
  <c r="R227" i="12"/>
  <c r="R207" i="12"/>
  <c r="U387" i="12"/>
  <c r="U323" i="12"/>
  <c r="U261" i="12"/>
  <c r="U217" i="12"/>
  <c r="W385" i="12"/>
  <c r="W363" i="12"/>
  <c r="W321" i="12"/>
  <c r="Z395" i="12"/>
  <c r="Z226" i="12"/>
  <c r="BF289" i="12"/>
  <c r="R375" i="12"/>
  <c r="R353" i="12"/>
  <c r="R311" i="12"/>
  <c r="R289" i="12"/>
  <c r="R247" i="12"/>
  <c r="R225" i="12"/>
  <c r="R203" i="12"/>
  <c r="U384" i="12"/>
  <c r="U352" i="12"/>
  <c r="U320" i="12"/>
  <c r="U288" i="12"/>
  <c r="U213" i="12"/>
  <c r="W403" i="12"/>
  <c r="W381" i="12"/>
  <c r="W361" i="12"/>
  <c r="W339" i="12"/>
  <c r="W317" i="12"/>
  <c r="W283" i="12"/>
  <c r="Z373" i="12"/>
  <c r="Z203" i="12"/>
  <c r="BF225" i="12"/>
  <c r="R255" i="12"/>
  <c r="W378" i="12"/>
  <c r="Z378" i="12"/>
  <c r="R393" i="12"/>
  <c r="R371" i="12"/>
  <c r="R351" i="12"/>
  <c r="R329" i="12"/>
  <c r="R307" i="12"/>
  <c r="R287" i="12"/>
  <c r="R243" i="12"/>
  <c r="R223" i="12"/>
  <c r="R201" i="12"/>
  <c r="U381" i="12"/>
  <c r="U349" i="12"/>
  <c r="U317" i="12"/>
  <c r="U285" i="12"/>
  <c r="W401" i="12"/>
  <c r="W379" i="12"/>
  <c r="W357" i="12"/>
  <c r="W337" i="12"/>
  <c r="W315" i="12"/>
  <c r="Z354" i="12"/>
  <c r="R391" i="12"/>
  <c r="R369" i="12"/>
  <c r="R347" i="12"/>
  <c r="R327" i="12"/>
  <c r="R305" i="12"/>
  <c r="R283" i="12"/>
  <c r="R263" i="12"/>
  <c r="R241" i="12"/>
  <c r="R199" i="12"/>
  <c r="U376" i="12"/>
  <c r="U344" i="12"/>
  <c r="U312" i="12"/>
  <c r="U280" i="12"/>
  <c r="U236" i="12"/>
  <c r="W285" i="12"/>
  <c r="Z285" i="12"/>
  <c r="Z277" i="12"/>
  <c r="W277" i="12"/>
  <c r="Z269" i="12"/>
  <c r="W269" i="12"/>
  <c r="Z253" i="12"/>
  <c r="W253" i="12"/>
  <c r="Z237" i="12"/>
  <c r="W237" i="12"/>
  <c r="Z229" i="12"/>
  <c r="W229" i="12"/>
  <c r="W221" i="12"/>
  <c r="Z221" i="12"/>
  <c r="Z213" i="12"/>
  <c r="W213" i="12"/>
  <c r="Z205" i="12"/>
  <c r="W205" i="12"/>
  <c r="W397" i="12"/>
  <c r="W377" i="12"/>
  <c r="W355" i="12"/>
  <c r="W333" i="12"/>
  <c r="W313" i="12"/>
  <c r="W241" i="12"/>
  <c r="Z331" i="12"/>
  <c r="AY398" i="12"/>
  <c r="AV398" i="12"/>
  <c r="AY390" i="12"/>
  <c r="AV390" i="12"/>
  <c r="AY382" i="12"/>
  <c r="AV382" i="12"/>
  <c r="AY374" i="12"/>
  <c r="AV374" i="12"/>
  <c r="AY366" i="12"/>
  <c r="AV366" i="12"/>
  <c r="AY358" i="12"/>
  <c r="AV358" i="12"/>
  <c r="AY350" i="12"/>
  <c r="AV350" i="12"/>
  <c r="AY342" i="12"/>
  <c r="AV342" i="12"/>
  <c r="AY334" i="12"/>
  <c r="AV334" i="12"/>
  <c r="AY326" i="12"/>
  <c r="AV326" i="12"/>
  <c r="AY318" i="12"/>
  <c r="AV318" i="12"/>
  <c r="AY310" i="12"/>
  <c r="AV310" i="12"/>
  <c r="AY302" i="12"/>
  <c r="AV302" i="12"/>
  <c r="AY294" i="12"/>
  <c r="AV294" i="12"/>
  <c r="AY286" i="12"/>
  <c r="AV286" i="12"/>
  <c r="R319" i="12"/>
  <c r="W394" i="12"/>
  <c r="Z394" i="12"/>
  <c r="W370" i="12"/>
  <c r="Z370" i="12"/>
  <c r="W338" i="12"/>
  <c r="Z338" i="12"/>
  <c r="W322" i="12"/>
  <c r="Z322" i="12"/>
  <c r="W314" i="12"/>
  <c r="Z314" i="12"/>
  <c r="W306" i="12"/>
  <c r="Z306" i="12"/>
  <c r="W298" i="12"/>
  <c r="Z298" i="12"/>
  <c r="W282" i="12"/>
  <c r="Z282" i="12"/>
  <c r="W266" i="12"/>
  <c r="Z266" i="12"/>
  <c r="W250" i="12"/>
  <c r="Z250" i="12"/>
  <c r="W242" i="12"/>
  <c r="Z242" i="12"/>
  <c r="W234" i="12"/>
  <c r="Z234" i="12"/>
  <c r="W218" i="12"/>
  <c r="Z218" i="12"/>
  <c r="R367" i="12"/>
  <c r="R345" i="12"/>
  <c r="R303" i="12"/>
  <c r="R281" i="12"/>
  <c r="R259" i="12"/>
  <c r="R239" i="12"/>
  <c r="R195" i="12"/>
  <c r="U373" i="12"/>
  <c r="U341" i="12"/>
  <c r="U309" i="12"/>
  <c r="U277" i="12"/>
  <c r="U235" i="12"/>
  <c r="W353" i="12"/>
  <c r="W309" i="12"/>
  <c r="W219" i="12"/>
  <c r="AJ243" i="12"/>
  <c r="R383" i="12"/>
  <c r="R385" i="12"/>
  <c r="R343" i="12"/>
  <c r="R321" i="12"/>
  <c r="R279" i="12"/>
  <c r="R257" i="12"/>
  <c r="R215" i="12"/>
  <c r="R193" i="12"/>
  <c r="U197" i="12"/>
  <c r="W307" i="12"/>
  <c r="Z307" i="12"/>
  <c r="Z291" i="12"/>
  <c r="W291" i="12"/>
  <c r="Z275" i="12"/>
  <c r="W275" i="12"/>
  <c r="Z259" i="12"/>
  <c r="W259" i="12"/>
  <c r="Z251" i="12"/>
  <c r="W251" i="12"/>
  <c r="W243" i="12"/>
  <c r="Z243" i="12"/>
  <c r="Z235" i="12"/>
  <c r="W235" i="12"/>
  <c r="Z227" i="12"/>
  <c r="W227" i="12"/>
  <c r="Z211" i="12"/>
  <c r="W211" i="12"/>
  <c r="Z195" i="12"/>
  <c r="W195" i="12"/>
  <c r="W371" i="12"/>
  <c r="Z290" i="12"/>
  <c r="AQ388" i="12"/>
  <c r="AT388" i="12"/>
  <c r="AQ324" i="12"/>
  <c r="AT324" i="12"/>
  <c r="AQ316" i="12"/>
  <c r="AT316" i="12"/>
  <c r="AQ276" i="12"/>
  <c r="AT276" i="12"/>
  <c r="AQ260" i="12"/>
  <c r="AT260" i="12"/>
  <c r="AQ252" i="12"/>
  <c r="AT252" i="12"/>
  <c r="AQ236" i="12"/>
  <c r="AT236" i="12"/>
  <c r="AQ212" i="12"/>
  <c r="AT212" i="12"/>
  <c r="AQ204" i="12"/>
  <c r="AT204" i="12"/>
  <c r="AQ196" i="12"/>
  <c r="AT196" i="12"/>
  <c r="BI401" i="12"/>
  <c r="BF401" i="12"/>
  <c r="BI393" i="12"/>
  <c r="BF393" i="12"/>
  <c r="BI385" i="12"/>
  <c r="BF385" i="12"/>
  <c r="BI377" i="12"/>
  <c r="BF377" i="12"/>
  <c r="BI369" i="12"/>
  <c r="BF369" i="12"/>
  <c r="BI361" i="12"/>
  <c r="BF361" i="12"/>
  <c r="BI345" i="12"/>
  <c r="BF345" i="12"/>
  <c r="BI337" i="12"/>
  <c r="BF337" i="12"/>
  <c r="BI329" i="12"/>
  <c r="BF329" i="12"/>
  <c r="BI321" i="12"/>
  <c r="BF321" i="12"/>
  <c r="BI313" i="12"/>
  <c r="BF313" i="12"/>
  <c r="BI305" i="12"/>
  <c r="BF305" i="12"/>
  <c r="BI297" i="12"/>
  <c r="BF297" i="12"/>
  <c r="BI281" i="12"/>
  <c r="BF281" i="12"/>
  <c r="BI273" i="12"/>
  <c r="BF273" i="12"/>
  <c r="BI265" i="12"/>
  <c r="BF265" i="12"/>
  <c r="BI257" i="12"/>
  <c r="BF257" i="12"/>
  <c r="BI249" i="12"/>
  <c r="BF249" i="12"/>
  <c r="BI241" i="12"/>
  <c r="BF241" i="12"/>
  <c r="BI233" i="12"/>
  <c r="BF233" i="12"/>
  <c r="BI217" i="12"/>
  <c r="BF217" i="12"/>
  <c r="BI209" i="12"/>
  <c r="BF209" i="12"/>
  <c r="BI201" i="12"/>
  <c r="BF201" i="12"/>
  <c r="BI193" i="12"/>
  <c r="BF193" i="12"/>
  <c r="AB392" i="12"/>
  <c r="AB304" i="12"/>
  <c r="AB224" i="12"/>
  <c r="AE318" i="12"/>
  <c r="AG382" i="12"/>
  <c r="AG350" i="12"/>
  <c r="AG318" i="12"/>
  <c r="AG254" i="12"/>
  <c r="AG222" i="12"/>
  <c r="AJ373" i="12"/>
  <c r="AJ230" i="12"/>
  <c r="AL370" i="12"/>
  <c r="AL306" i="12"/>
  <c r="AL242" i="12"/>
  <c r="AO200" i="12"/>
  <c r="AQ395" i="12"/>
  <c r="AQ379" i="12"/>
  <c r="AQ363" i="12"/>
  <c r="AQ347" i="12"/>
  <c r="AQ331" i="12"/>
  <c r="AQ315" i="12"/>
  <c r="AQ299" i="12"/>
  <c r="AQ283" i="12"/>
  <c r="AQ267" i="12"/>
  <c r="AQ251" i="12"/>
  <c r="AQ235" i="12"/>
  <c r="AQ219" i="12"/>
  <c r="AQ203" i="12"/>
  <c r="AV400" i="12"/>
  <c r="AV384" i="12"/>
  <c r="AV368" i="12"/>
  <c r="AV352" i="12"/>
  <c r="AV336" i="12"/>
  <c r="AV320" i="12"/>
  <c r="AV304" i="12"/>
  <c r="AV288" i="12"/>
  <c r="AV258" i="12"/>
  <c r="AV226" i="12"/>
  <c r="BA387" i="12"/>
  <c r="BA367" i="12"/>
  <c r="BA345" i="12"/>
  <c r="BA323" i="12"/>
  <c r="BA303" i="12"/>
  <c r="BA281" i="12"/>
  <c r="BA259" i="12"/>
  <c r="BA239" i="12"/>
  <c r="BA217" i="12"/>
  <c r="BA195" i="12"/>
  <c r="BD384" i="12"/>
  <c r="BD352" i="12"/>
  <c r="BD320" i="12"/>
  <c r="BD288" i="12"/>
  <c r="BI384" i="12"/>
  <c r="BI320" i="12"/>
  <c r="BI256" i="12"/>
  <c r="BI192" i="12"/>
  <c r="AB384" i="12"/>
  <c r="AB296" i="12"/>
  <c r="AB208" i="12"/>
  <c r="AE286" i="12"/>
  <c r="AG375" i="12"/>
  <c r="AG343" i="12"/>
  <c r="AG311" i="12"/>
  <c r="AG279" i="12"/>
  <c r="AG247" i="12"/>
  <c r="AG215" i="12"/>
  <c r="AJ400" i="12"/>
  <c r="AJ368" i="12"/>
  <c r="AL395" i="12"/>
  <c r="AL363" i="12"/>
  <c r="AL331" i="12"/>
  <c r="AL299" i="12"/>
  <c r="AL267" i="12"/>
  <c r="AL235" i="12"/>
  <c r="AL203" i="12"/>
  <c r="AO386" i="12"/>
  <c r="AO322" i="12"/>
  <c r="AO258" i="12"/>
  <c r="AQ393" i="12"/>
  <c r="AQ377" i="12"/>
  <c r="AQ361" i="12"/>
  <c r="AQ345" i="12"/>
  <c r="AQ329" i="12"/>
  <c r="AQ313" i="12"/>
  <c r="AQ297" i="12"/>
  <c r="AQ281" i="12"/>
  <c r="AQ265" i="12"/>
  <c r="AQ249" i="12"/>
  <c r="AQ233" i="12"/>
  <c r="AQ217" i="12"/>
  <c r="AQ201" i="12"/>
  <c r="AV252" i="12"/>
  <c r="AV220" i="12"/>
  <c r="BA385" i="12"/>
  <c r="BA363" i="12"/>
  <c r="BA343" i="12"/>
  <c r="BA321" i="12"/>
  <c r="BA299" i="12"/>
  <c r="BA279" i="12"/>
  <c r="BA257" i="12"/>
  <c r="BA235" i="12"/>
  <c r="BA215" i="12"/>
  <c r="BA193" i="12"/>
  <c r="BD382" i="12"/>
  <c r="BD350" i="12"/>
  <c r="BD318" i="12"/>
  <c r="BD286" i="12"/>
  <c r="BI376" i="12"/>
  <c r="BI312" i="12"/>
  <c r="BI248" i="12"/>
  <c r="AB368" i="12"/>
  <c r="AB288" i="12"/>
  <c r="AJ397" i="12"/>
  <c r="AJ365" i="12"/>
  <c r="AV283" i="12"/>
  <c r="AV248" i="12"/>
  <c r="AV216" i="12"/>
  <c r="BA383" i="12"/>
  <c r="BA319" i="12"/>
  <c r="BA255" i="12"/>
  <c r="BI368" i="12"/>
  <c r="BI304" i="12"/>
  <c r="BI240" i="12"/>
  <c r="AB360" i="12"/>
  <c r="AB272" i="12"/>
  <c r="AB192" i="12"/>
  <c r="AE254" i="12"/>
  <c r="AG399" i="12"/>
  <c r="AG367" i="12"/>
  <c r="AG335" i="12"/>
  <c r="AG303" i="12"/>
  <c r="AG271" i="12"/>
  <c r="AG239" i="12"/>
  <c r="AG207" i="12"/>
  <c r="AJ392" i="12"/>
  <c r="AJ360" i="12"/>
  <c r="AJ198" i="12"/>
  <c r="AL387" i="12"/>
  <c r="AL355" i="12"/>
  <c r="AL323" i="12"/>
  <c r="AL291" i="12"/>
  <c r="AL259" i="12"/>
  <c r="AL227" i="12"/>
  <c r="AL195" i="12"/>
  <c r="AQ389" i="12"/>
  <c r="AQ373" i="12"/>
  <c r="AQ357" i="12"/>
  <c r="AQ341" i="12"/>
  <c r="AQ325" i="12"/>
  <c r="AQ309" i="12"/>
  <c r="AQ293" i="12"/>
  <c r="AQ277" i="12"/>
  <c r="AQ261" i="12"/>
  <c r="AQ245" i="12"/>
  <c r="AQ229" i="12"/>
  <c r="AQ213" i="12"/>
  <c r="AQ197" i="12"/>
  <c r="AV394" i="12"/>
  <c r="AV378" i="12"/>
  <c r="AV362" i="12"/>
  <c r="AV346" i="12"/>
  <c r="AV330" i="12"/>
  <c r="AV314" i="12"/>
  <c r="AV298" i="12"/>
  <c r="AV280" i="12"/>
  <c r="AV242" i="12"/>
  <c r="AV208" i="12"/>
  <c r="AY377" i="12"/>
  <c r="BA401" i="12"/>
  <c r="BA379" i="12"/>
  <c r="BA359" i="12"/>
  <c r="BA337" i="12"/>
  <c r="BA315" i="12"/>
  <c r="BA295" i="12"/>
  <c r="BA273" i="12"/>
  <c r="BA251" i="12"/>
  <c r="BA231" i="12"/>
  <c r="BA209" i="12"/>
  <c r="BD374" i="12"/>
  <c r="BD342" i="12"/>
  <c r="BD310" i="12"/>
  <c r="BD278" i="12"/>
  <c r="BI360" i="12"/>
  <c r="BI296" i="12"/>
  <c r="BI232" i="12"/>
  <c r="AB352" i="12"/>
  <c r="AB264" i="12"/>
  <c r="AE230" i="12"/>
  <c r="AG398" i="12"/>
  <c r="AG366" i="12"/>
  <c r="AG334" i="12"/>
  <c r="AG302" i="12"/>
  <c r="AG270" i="12"/>
  <c r="AG238" i="12"/>
  <c r="AG206" i="12"/>
  <c r="AJ389" i="12"/>
  <c r="AJ357" i="12"/>
  <c r="AJ266" i="12"/>
  <c r="AL354" i="12"/>
  <c r="AL194" i="12"/>
  <c r="AQ403" i="12"/>
  <c r="AQ387" i="12"/>
  <c r="AQ371" i="12"/>
  <c r="AQ355" i="12"/>
  <c r="AQ339" i="12"/>
  <c r="AQ323" i="12"/>
  <c r="AQ307" i="12"/>
  <c r="AQ291" i="12"/>
  <c r="AQ275" i="12"/>
  <c r="AQ259" i="12"/>
  <c r="AQ243" i="12"/>
  <c r="AQ227" i="12"/>
  <c r="AQ211" i="12"/>
  <c r="AQ195" i="12"/>
  <c r="AV392" i="12"/>
  <c r="AV376" i="12"/>
  <c r="AV360" i="12"/>
  <c r="AV344" i="12"/>
  <c r="AV328" i="12"/>
  <c r="AV312" i="12"/>
  <c r="AV296" i="12"/>
  <c r="AV272" i="12"/>
  <c r="AV240" i="12"/>
  <c r="AV204" i="12"/>
  <c r="AY355" i="12"/>
  <c r="BA399" i="12"/>
  <c r="BA377" i="12"/>
  <c r="BA355" i="12"/>
  <c r="BA335" i="12"/>
  <c r="BA313" i="12"/>
  <c r="BA291" i="12"/>
  <c r="BA271" i="12"/>
  <c r="BA249" i="12"/>
  <c r="BA227" i="12"/>
  <c r="BA207" i="12"/>
  <c r="BD400" i="12"/>
  <c r="BD368" i="12"/>
  <c r="BD336" i="12"/>
  <c r="BD304" i="12"/>
  <c r="BI352" i="12"/>
  <c r="BI288" i="12"/>
  <c r="BI224" i="12"/>
  <c r="AB336" i="12"/>
  <c r="AB256" i="12"/>
  <c r="AJ384" i="12"/>
  <c r="AJ352" i="12"/>
  <c r="AQ401" i="12"/>
  <c r="AQ385" i="12"/>
  <c r="AQ369" i="12"/>
  <c r="AQ353" i="12"/>
  <c r="AQ337" i="12"/>
  <c r="AQ321" i="12"/>
  <c r="AQ305" i="12"/>
  <c r="AQ289" i="12"/>
  <c r="AQ273" i="12"/>
  <c r="AQ257" i="12"/>
  <c r="AQ241" i="12"/>
  <c r="AQ225" i="12"/>
  <c r="AQ209" i="12"/>
  <c r="AQ193" i="12"/>
  <c r="AV200" i="12"/>
  <c r="BA375" i="12"/>
  <c r="BA311" i="12"/>
  <c r="BA247" i="12"/>
  <c r="BI344" i="12"/>
  <c r="BI280" i="12"/>
  <c r="BI216" i="12"/>
  <c r="AB328" i="12"/>
  <c r="AB240" i="12"/>
  <c r="AE382" i="12"/>
  <c r="AG390" i="12"/>
  <c r="AG358" i="12"/>
  <c r="AG326" i="12"/>
  <c r="AG294" i="12"/>
  <c r="AJ381" i="12"/>
  <c r="AL346" i="12"/>
  <c r="AL282" i="12"/>
  <c r="AL218" i="12"/>
  <c r="AQ399" i="12"/>
  <c r="AQ383" i="12"/>
  <c r="AQ367" i="12"/>
  <c r="AQ351" i="12"/>
  <c r="AQ335" i="12"/>
  <c r="AQ319" i="12"/>
  <c r="AQ303" i="12"/>
  <c r="AQ287" i="12"/>
  <c r="AQ271" i="12"/>
  <c r="AQ255" i="12"/>
  <c r="AQ239" i="12"/>
  <c r="AQ223" i="12"/>
  <c r="AQ207" i="12"/>
  <c r="AV404" i="12"/>
  <c r="AV388" i="12"/>
  <c r="AV372" i="12"/>
  <c r="AV356" i="12"/>
  <c r="AV340" i="12"/>
  <c r="AV324" i="12"/>
  <c r="AV308" i="12"/>
  <c r="AV292" i="12"/>
  <c r="AV264" i="12"/>
  <c r="AV232" i="12"/>
  <c r="AV196" i="12"/>
  <c r="AY207" i="12"/>
  <c r="BA393" i="12"/>
  <c r="BA371" i="12"/>
  <c r="BA351" i="12"/>
  <c r="BA329" i="12"/>
  <c r="BA307" i="12"/>
  <c r="BA287" i="12"/>
  <c r="BA265" i="12"/>
  <c r="BA243" i="12"/>
  <c r="BA223" i="12"/>
  <c r="BA201" i="12"/>
  <c r="BD392" i="12"/>
  <c r="BD360" i="12"/>
  <c r="BD328" i="12"/>
  <c r="BD296" i="12"/>
  <c r="BI400" i="12"/>
  <c r="BI336" i="12"/>
  <c r="BI272" i="12"/>
  <c r="BI208" i="12"/>
  <c r="R400" i="12"/>
  <c r="R368" i="12"/>
  <c r="R336" i="12"/>
  <c r="R304" i="12"/>
  <c r="R272" i="12"/>
  <c r="R264" i="12"/>
  <c r="R256" i="12"/>
  <c r="R248" i="12"/>
  <c r="R240" i="12"/>
  <c r="R232" i="12"/>
  <c r="R224" i="12"/>
  <c r="R216" i="12"/>
  <c r="R208" i="12"/>
  <c r="R200" i="12"/>
  <c r="R192" i="12"/>
  <c r="U404" i="12"/>
  <c r="U382" i="12"/>
  <c r="U372" i="12"/>
  <c r="U350" i="12"/>
  <c r="U340" i="12"/>
  <c r="U318" i="12"/>
  <c r="U308" i="12"/>
  <c r="U286" i="12"/>
  <c r="U276" i="12"/>
  <c r="U262" i="12"/>
  <c r="U237" i="12"/>
  <c r="U212" i="12"/>
  <c r="U198" i="12"/>
  <c r="W399" i="12"/>
  <c r="Z399" i="12"/>
  <c r="W391" i="12"/>
  <c r="Z391" i="12"/>
  <c r="W383" i="12"/>
  <c r="Z383" i="12"/>
  <c r="W375" i="12"/>
  <c r="Z375" i="12"/>
  <c r="W367" i="12"/>
  <c r="Z367" i="12"/>
  <c r="W359" i="12"/>
  <c r="Z359" i="12"/>
  <c r="W351" i="12"/>
  <c r="Z351" i="12"/>
  <c r="W343" i="12"/>
  <c r="Z343" i="12"/>
  <c r="W335" i="12"/>
  <c r="Z335" i="12"/>
  <c r="W327" i="12"/>
  <c r="Z327" i="12"/>
  <c r="W319" i="12"/>
  <c r="Z319" i="12"/>
  <c r="W311" i="12"/>
  <c r="Z311" i="12"/>
  <c r="W303" i="12"/>
  <c r="Z303" i="12"/>
  <c r="W295" i="12"/>
  <c r="Z295" i="12"/>
  <c r="W287" i="12"/>
  <c r="Z287" i="12"/>
  <c r="W279" i="12"/>
  <c r="Z279" i="12"/>
  <c r="W271" i="12"/>
  <c r="Z271" i="12"/>
  <c r="W263" i="12"/>
  <c r="Z263" i="12"/>
  <c r="W255" i="12"/>
  <c r="Z255" i="12"/>
  <c r="W247" i="12"/>
  <c r="Z247" i="12"/>
  <c r="W239" i="12"/>
  <c r="Z239" i="12"/>
  <c r="Z392" i="12"/>
  <c r="Z376" i="12"/>
  <c r="Z360" i="12"/>
  <c r="Z344" i="12"/>
  <c r="Z328" i="12"/>
  <c r="Z312" i="12"/>
  <c r="Z296" i="12"/>
  <c r="Z280" i="12"/>
  <c r="Z264" i="12"/>
  <c r="Z248" i="12"/>
  <c r="Z232" i="12"/>
  <c r="Z216" i="12"/>
  <c r="Z200" i="12"/>
  <c r="R398" i="12"/>
  <c r="R390" i="12"/>
  <c r="R374" i="12"/>
  <c r="R366" i="12"/>
  <c r="R358" i="12"/>
  <c r="R342" i="12"/>
  <c r="R334" i="12"/>
  <c r="R326" i="12"/>
  <c r="R310" i="12"/>
  <c r="R302" i="12"/>
  <c r="R294" i="12"/>
  <c r="R278" i="12"/>
  <c r="R270" i="12"/>
  <c r="R254" i="12"/>
  <c r="R246" i="12"/>
  <c r="R238" i="12"/>
  <c r="R230" i="12"/>
  <c r="R214" i="12"/>
  <c r="R206" i="12"/>
  <c r="U380" i="12"/>
  <c r="U348" i="12"/>
  <c r="U316" i="12"/>
  <c r="U284" i="12"/>
  <c r="U260" i="12"/>
  <c r="U221" i="12"/>
  <c r="U196" i="12"/>
  <c r="AG401" i="12"/>
  <c r="AJ401" i="12"/>
  <c r="AG393" i="12"/>
  <c r="AJ393" i="12"/>
  <c r="AG385" i="12"/>
  <c r="AJ385" i="12"/>
  <c r="AG377" i="12"/>
  <c r="AJ377" i="12"/>
  <c r="W198" i="12"/>
  <c r="Z198" i="12"/>
  <c r="R397" i="12"/>
  <c r="R389" i="12"/>
  <c r="R365" i="12"/>
  <c r="R357" i="12"/>
  <c r="R333" i="12"/>
  <c r="R325" i="12"/>
  <c r="R301" i="12"/>
  <c r="R293" i="12"/>
  <c r="R269" i="12"/>
  <c r="R253" i="12"/>
  <c r="R245" i="12"/>
  <c r="R229" i="12"/>
  <c r="R205" i="12"/>
  <c r="U220" i="12"/>
  <c r="W404" i="12"/>
  <c r="Z404" i="12"/>
  <c r="W396" i="12"/>
  <c r="Z396" i="12"/>
  <c r="W388" i="12"/>
  <c r="Z388" i="12"/>
  <c r="W380" i="12"/>
  <c r="Z380" i="12"/>
  <c r="W372" i="12"/>
  <c r="Z372" i="12"/>
  <c r="W364" i="12"/>
  <c r="Z364" i="12"/>
  <c r="W356" i="12"/>
  <c r="Z356" i="12"/>
  <c r="W348" i="12"/>
  <c r="Z348" i="12"/>
  <c r="W340" i="12"/>
  <c r="Z340" i="12"/>
  <c r="W332" i="12"/>
  <c r="Z332" i="12"/>
  <c r="W324" i="12"/>
  <c r="Z324" i="12"/>
  <c r="W316" i="12"/>
  <c r="Z316" i="12"/>
  <c r="W308" i="12"/>
  <c r="Z308" i="12"/>
  <c r="W300" i="12"/>
  <c r="Z300" i="12"/>
  <c r="W292" i="12"/>
  <c r="Z292" i="12"/>
  <c r="W284" i="12"/>
  <c r="Z284" i="12"/>
  <c r="W276" i="12"/>
  <c r="Z276" i="12"/>
  <c r="W268" i="12"/>
  <c r="Z268" i="12"/>
  <c r="W260" i="12"/>
  <c r="Z260" i="12"/>
  <c r="W252" i="12"/>
  <c r="Z252" i="12"/>
  <c r="W244" i="12"/>
  <c r="Z244" i="12"/>
  <c r="W236" i="12"/>
  <c r="Z236" i="12"/>
  <c r="W228" i="12"/>
  <c r="Z228" i="12"/>
  <c r="W220" i="12"/>
  <c r="Z220" i="12"/>
  <c r="W212" i="12"/>
  <c r="Z212" i="12"/>
  <c r="W204" i="12"/>
  <c r="Z204" i="12"/>
  <c r="W196" i="12"/>
  <c r="Z196" i="12"/>
  <c r="R396" i="12"/>
  <c r="R388" i="12"/>
  <c r="R364" i="12"/>
  <c r="R356" i="12"/>
  <c r="R332" i="12"/>
  <c r="R324" i="12"/>
  <c r="R300" i="12"/>
  <c r="R292" i="12"/>
  <c r="R268" i="12"/>
  <c r="R252" i="12"/>
  <c r="R244" i="12"/>
  <c r="R228" i="12"/>
  <c r="R204" i="12"/>
  <c r="Z400" i="12"/>
  <c r="Z384" i="12"/>
  <c r="Z368" i="12"/>
  <c r="Z352" i="12"/>
  <c r="Z336" i="12"/>
  <c r="Z320" i="12"/>
  <c r="Z304" i="12"/>
  <c r="Z288" i="12"/>
  <c r="Z272" i="12"/>
  <c r="Z256" i="12"/>
  <c r="Z240" i="12"/>
  <c r="Z224" i="12"/>
  <c r="Z208" i="12"/>
  <c r="Z192" i="12"/>
  <c r="AB403" i="12"/>
  <c r="AE403" i="12"/>
  <c r="AB395" i="12"/>
  <c r="AE395" i="12"/>
  <c r="AB387" i="12"/>
  <c r="AE387" i="12"/>
  <c r="AB379" i="12"/>
  <c r="AE379" i="12"/>
  <c r="AB371" i="12"/>
  <c r="AE371" i="12"/>
  <c r="AB363" i="12"/>
  <c r="AE363" i="12"/>
  <c r="AB355" i="12"/>
  <c r="AE355" i="12"/>
  <c r="AB347" i="12"/>
  <c r="AE347" i="12"/>
  <c r="AB339" i="12"/>
  <c r="AE339" i="12"/>
  <c r="AB331" i="12"/>
  <c r="AE331" i="12"/>
  <c r="AB323" i="12"/>
  <c r="AE323" i="12"/>
  <c r="AB315" i="12"/>
  <c r="AE315" i="12"/>
  <c r="AB307" i="12"/>
  <c r="AE307" i="12"/>
  <c r="AB299" i="12"/>
  <c r="AE299" i="12"/>
  <c r="AB291" i="12"/>
  <c r="AE291" i="12"/>
  <c r="AB283" i="12"/>
  <c r="AE283" i="12"/>
  <c r="AB275" i="12"/>
  <c r="AE275" i="12"/>
  <c r="AB267" i="12"/>
  <c r="AE267" i="12"/>
  <c r="AB259" i="12"/>
  <c r="AE259" i="12"/>
  <c r="AB251" i="12"/>
  <c r="AE251" i="12"/>
  <c r="AB243" i="12"/>
  <c r="AE243" i="12"/>
  <c r="AB235" i="12"/>
  <c r="AE235" i="12"/>
  <c r="AB227" i="12"/>
  <c r="AE227" i="12"/>
  <c r="AB219" i="12"/>
  <c r="AE219" i="12"/>
  <c r="AB211" i="12"/>
  <c r="AE211" i="12"/>
  <c r="AB203" i="12"/>
  <c r="AE203" i="12"/>
  <c r="AB195" i="12"/>
  <c r="AE195" i="12"/>
  <c r="W398" i="12"/>
  <c r="Z398" i="12"/>
  <c r="W382" i="12"/>
  <c r="Z382" i="12"/>
  <c r="W366" i="12"/>
  <c r="Z366" i="12"/>
  <c r="W350" i="12"/>
  <c r="Z350" i="12"/>
  <c r="W334" i="12"/>
  <c r="Z334" i="12"/>
  <c r="W318" i="12"/>
  <c r="Z318" i="12"/>
  <c r="W302" i="12"/>
  <c r="Z302" i="12"/>
  <c r="W286" i="12"/>
  <c r="Z286" i="12"/>
  <c r="W270" i="12"/>
  <c r="Z270" i="12"/>
  <c r="W254" i="12"/>
  <c r="Z254" i="12"/>
  <c r="W238" i="12"/>
  <c r="Z238" i="12"/>
  <c r="W222" i="12"/>
  <c r="Z222" i="12"/>
  <c r="W206" i="12"/>
  <c r="Z206" i="12"/>
  <c r="AL390" i="12"/>
  <c r="AO390" i="12"/>
  <c r="AL374" i="12"/>
  <c r="AO374" i="12"/>
  <c r="AL358" i="12"/>
  <c r="AO358" i="12"/>
  <c r="AL342" i="12"/>
  <c r="AO342" i="12"/>
  <c r="AL326" i="12"/>
  <c r="AO326" i="12"/>
  <c r="AL310" i="12"/>
  <c r="AO310" i="12"/>
  <c r="AL294" i="12"/>
  <c r="AO294" i="12"/>
  <c r="AL278" i="12"/>
  <c r="AO278" i="12"/>
  <c r="AL262" i="12"/>
  <c r="AO262" i="12"/>
  <c r="AL246" i="12"/>
  <c r="AO246" i="12"/>
  <c r="AL230" i="12"/>
  <c r="AO230" i="12"/>
  <c r="AL222" i="12"/>
  <c r="AO222" i="12"/>
  <c r="AO198" i="12"/>
  <c r="AL198" i="12"/>
  <c r="R402" i="12"/>
  <c r="R394" i="12"/>
  <c r="R386" i="12"/>
  <c r="R378" i="12"/>
  <c r="R370" i="12"/>
  <c r="R362" i="12"/>
  <c r="R354" i="12"/>
  <c r="R346" i="12"/>
  <c r="R338" i="12"/>
  <c r="R330" i="12"/>
  <c r="R322" i="12"/>
  <c r="R314" i="12"/>
  <c r="R306" i="12"/>
  <c r="R298" i="12"/>
  <c r="R290" i="12"/>
  <c r="R282" i="12"/>
  <c r="R274" i="12"/>
  <c r="R266" i="12"/>
  <c r="R258" i="12"/>
  <c r="R250" i="12"/>
  <c r="R242" i="12"/>
  <c r="R234" i="12"/>
  <c r="R226" i="12"/>
  <c r="R218" i="12"/>
  <c r="R210" i="12"/>
  <c r="R202" i="12"/>
  <c r="R194" i="12"/>
  <c r="W390" i="12"/>
  <c r="Z390" i="12"/>
  <c r="W374" i="12"/>
  <c r="Z374" i="12"/>
  <c r="W358" i="12"/>
  <c r="Z358" i="12"/>
  <c r="W342" i="12"/>
  <c r="Z342" i="12"/>
  <c r="W326" i="12"/>
  <c r="Z326" i="12"/>
  <c r="W310" i="12"/>
  <c r="Z310" i="12"/>
  <c r="W294" i="12"/>
  <c r="Z294" i="12"/>
  <c r="W278" i="12"/>
  <c r="Z278" i="12"/>
  <c r="W262" i="12"/>
  <c r="Z262" i="12"/>
  <c r="W246" i="12"/>
  <c r="Z246" i="12"/>
  <c r="W230" i="12"/>
  <c r="Z230" i="12"/>
  <c r="W214" i="12"/>
  <c r="Z214" i="12"/>
  <c r="AL398" i="12"/>
  <c r="AO398" i="12"/>
  <c r="AL382" i="12"/>
  <c r="AO382" i="12"/>
  <c r="AL366" i="12"/>
  <c r="AO366" i="12"/>
  <c r="AL350" i="12"/>
  <c r="AO350" i="12"/>
  <c r="AL334" i="12"/>
  <c r="AO334" i="12"/>
  <c r="AL318" i="12"/>
  <c r="AO318" i="12"/>
  <c r="AL302" i="12"/>
  <c r="AO302" i="12"/>
  <c r="AL286" i="12"/>
  <c r="AO286" i="12"/>
  <c r="AL270" i="12"/>
  <c r="AO270" i="12"/>
  <c r="AL254" i="12"/>
  <c r="AO254" i="12"/>
  <c r="AL238" i="12"/>
  <c r="AO238" i="12"/>
  <c r="AL214" i="12"/>
  <c r="AO214" i="12"/>
  <c r="AO206" i="12"/>
  <c r="AL206" i="12"/>
  <c r="AB404" i="12"/>
  <c r="AE404" i="12"/>
  <c r="AB396" i="12"/>
  <c r="AE396" i="12"/>
  <c r="AB388" i="12"/>
  <c r="AE388" i="12"/>
  <c r="AB380" i="12"/>
  <c r="AE380" i="12"/>
  <c r="AB372" i="12"/>
  <c r="AE372" i="12"/>
  <c r="AB364" i="12"/>
  <c r="AE364" i="12"/>
  <c r="AB356" i="12"/>
  <c r="AE356" i="12"/>
  <c r="AB348" i="12"/>
  <c r="AE348" i="12"/>
  <c r="AB340" i="12"/>
  <c r="AE340" i="12"/>
  <c r="AB332" i="12"/>
  <c r="AE332" i="12"/>
  <c r="AB324" i="12"/>
  <c r="AE324" i="12"/>
  <c r="AB316" i="12"/>
  <c r="AE316" i="12"/>
  <c r="AB308" i="12"/>
  <c r="AE308" i="12"/>
  <c r="AB300" i="12"/>
  <c r="AE300" i="12"/>
  <c r="AB292" i="12"/>
  <c r="AE292" i="12"/>
  <c r="AB284" i="12"/>
  <c r="AE284" i="12"/>
  <c r="AB276" i="12"/>
  <c r="AE276" i="12"/>
  <c r="AB268" i="12"/>
  <c r="AE268" i="12"/>
  <c r="AB260" i="12"/>
  <c r="AE260" i="12"/>
  <c r="AB252" i="12"/>
  <c r="AE252" i="12"/>
  <c r="AB244" i="12"/>
  <c r="AE244" i="12"/>
  <c r="AB236" i="12"/>
  <c r="AE236" i="12"/>
  <c r="AB228" i="12"/>
  <c r="AE228" i="12"/>
  <c r="AB220" i="12"/>
  <c r="AE220" i="12"/>
  <c r="AB212" i="12"/>
  <c r="AE212" i="12"/>
  <c r="AB204" i="12"/>
  <c r="AE204" i="12"/>
  <c r="AB196" i="12"/>
  <c r="AE196" i="12"/>
  <c r="AB391" i="12"/>
  <c r="AB359" i="12"/>
  <c r="AB327" i="12"/>
  <c r="AB295" i="12"/>
  <c r="AB263" i="12"/>
  <c r="AB231" i="12"/>
  <c r="AB199" i="12"/>
  <c r="AE383" i="12"/>
  <c r="AE351" i="12"/>
  <c r="AE319" i="12"/>
  <c r="AE287" i="12"/>
  <c r="AE255" i="12"/>
  <c r="AE223" i="12"/>
  <c r="AG402" i="12"/>
  <c r="AJ402" i="12"/>
  <c r="AG394" i="12"/>
  <c r="AJ394" i="12"/>
  <c r="AG386" i="12"/>
  <c r="AJ386" i="12"/>
  <c r="AG378" i="12"/>
  <c r="AJ378" i="12"/>
  <c r="AG370" i="12"/>
  <c r="AJ370" i="12"/>
  <c r="AG362" i="12"/>
  <c r="AJ362" i="12"/>
  <c r="AG354" i="12"/>
  <c r="AJ354" i="12"/>
  <c r="AG346" i="12"/>
  <c r="AJ346" i="12"/>
  <c r="AJ338" i="12"/>
  <c r="AG338" i="12"/>
  <c r="AG322" i="12"/>
  <c r="AJ322" i="12"/>
  <c r="AJ314" i="12"/>
  <c r="AG314" i="12"/>
  <c r="AG306" i="12"/>
  <c r="AJ306" i="12"/>
  <c r="AG298" i="12"/>
  <c r="AJ298" i="12"/>
  <c r="AG290" i="12"/>
  <c r="AJ290" i="12"/>
  <c r="AG282" i="12"/>
  <c r="AJ282" i="12"/>
  <c r="AJ274" i="12"/>
  <c r="AG274" i="12"/>
  <c r="AG258" i="12"/>
  <c r="AJ258" i="12"/>
  <c r="AJ250" i="12"/>
  <c r="AG250" i="12"/>
  <c r="AG242" i="12"/>
  <c r="AJ242" i="12"/>
  <c r="AG234" i="12"/>
  <c r="AJ234" i="12"/>
  <c r="AG226" i="12"/>
  <c r="AJ226" i="12"/>
  <c r="AG218" i="12"/>
  <c r="AJ218" i="12"/>
  <c r="AJ210" i="12"/>
  <c r="AG210" i="12"/>
  <c r="AG194" i="12"/>
  <c r="AJ194" i="12"/>
  <c r="Z231" i="12"/>
  <c r="Z223" i="12"/>
  <c r="Z215" i="12"/>
  <c r="Z207" i="12"/>
  <c r="Z199" i="12"/>
  <c r="AB402" i="12"/>
  <c r="AE402" i="12"/>
  <c r="AB394" i="12"/>
  <c r="AE394" i="12"/>
  <c r="AB386" i="12"/>
  <c r="AE386" i="12"/>
  <c r="AB378" i="12"/>
  <c r="AE378" i="12"/>
  <c r="AB370" i="12"/>
  <c r="AE370" i="12"/>
  <c r="AB362" i="12"/>
  <c r="AE362" i="12"/>
  <c r="AB354" i="12"/>
  <c r="AE354" i="12"/>
  <c r="AB346" i="12"/>
  <c r="AE346" i="12"/>
  <c r="AB338" i="12"/>
  <c r="AE338" i="12"/>
  <c r="AB330" i="12"/>
  <c r="AE330" i="12"/>
  <c r="AB322" i="12"/>
  <c r="AE322" i="12"/>
  <c r="AB314" i="12"/>
  <c r="AE314" i="12"/>
  <c r="AB306" i="12"/>
  <c r="AE306" i="12"/>
  <c r="AB298" i="12"/>
  <c r="AE298" i="12"/>
  <c r="AB290" i="12"/>
  <c r="AE290" i="12"/>
  <c r="AB282" i="12"/>
  <c r="AE282" i="12"/>
  <c r="AB274" i="12"/>
  <c r="AE274" i="12"/>
  <c r="AB266" i="12"/>
  <c r="AE266" i="12"/>
  <c r="AB258" i="12"/>
  <c r="AE258" i="12"/>
  <c r="AB250" i="12"/>
  <c r="AE250" i="12"/>
  <c r="AB242" i="12"/>
  <c r="AE242" i="12"/>
  <c r="AB234" i="12"/>
  <c r="AE234" i="12"/>
  <c r="AB226" i="12"/>
  <c r="AE226" i="12"/>
  <c r="AB218" i="12"/>
  <c r="AE218" i="12"/>
  <c r="AB210" i="12"/>
  <c r="AE210" i="12"/>
  <c r="AB202" i="12"/>
  <c r="AE202" i="12"/>
  <c r="AB194" i="12"/>
  <c r="AE194" i="12"/>
  <c r="AE375" i="12"/>
  <c r="AE343" i="12"/>
  <c r="AE311" i="12"/>
  <c r="AE279" i="12"/>
  <c r="AE247" i="12"/>
  <c r="AE215" i="12"/>
  <c r="AE401" i="12"/>
  <c r="AB401" i="12"/>
  <c r="AE393" i="12"/>
  <c r="AB393" i="12"/>
  <c r="AE385" i="12"/>
  <c r="AB385" i="12"/>
  <c r="AE377" i="12"/>
  <c r="AB377" i="12"/>
  <c r="AE369" i="12"/>
  <c r="AB369" i="12"/>
  <c r="AE361" i="12"/>
  <c r="AB361" i="12"/>
  <c r="AE353" i="12"/>
  <c r="AB353" i="12"/>
  <c r="AE345" i="12"/>
  <c r="AB345" i="12"/>
  <c r="AE337" i="12"/>
  <c r="AB337" i="12"/>
  <c r="AE329" i="12"/>
  <c r="AB329" i="12"/>
  <c r="AE321" i="12"/>
  <c r="AB321" i="12"/>
  <c r="AE313" i="12"/>
  <c r="AB313" i="12"/>
  <c r="AE305" i="12"/>
  <c r="AB305" i="12"/>
  <c r="AE297" i="12"/>
  <c r="AB297" i="12"/>
  <c r="AE289" i="12"/>
  <c r="AB289" i="12"/>
  <c r="AE281" i="12"/>
  <c r="AB281" i="12"/>
  <c r="AE273" i="12"/>
  <c r="AB273" i="12"/>
  <c r="AE265" i="12"/>
  <c r="AB265" i="12"/>
  <c r="AE257" i="12"/>
  <c r="AB257" i="12"/>
  <c r="AE249" i="12"/>
  <c r="AB249" i="12"/>
  <c r="AE241" i="12"/>
  <c r="AB241" i="12"/>
  <c r="AE233" i="12"/>
  <c r="AB233" i="12"/>
  <c r="AE225" i="12"/>
  <c r="AB225" i="12"/>
  <c r="AE217" i="12"/>
  <c r="AB217" i="12"/>
  <c r="AE209" i="12"/>
  <c r="AB209" i="12"/>
  <c r="AE201" i="12"/>
  <c r="AB201" i="12"/>
  <c r="AB376" i="12"/>
  <c r="AB344" i="12"/>
  <c r="AB312" i="12"/>
  <c r="AB280" i="12"/>
  <c r="AB248" i="12"/>
  <c r="AB216" i="12"/>
  <c r="AE374" i="12"/>
  <c r="AE342" i="12"/>
  <c r="AE310" i="12"/>
  <c r="AE278" i="12"/>
  <c r="AE246" i="12"/>
  <c r="AE214" i="12"/>
  <c r="AJ202" i="12"/>
  <c r="AE399" i="12"/>
  <c r="AE367" i="12"/>
  <c r="AE335" i="12"/>
  <c r="AE303" i="12"/>
  <c r="AE271" i="12"/>
  <c r="AE239" i="12"/>
  <c r="AE207" i="12"/>
  <c r="AE398" i="12"/>
  <c r="AE366" i="12"/>
  <c r="AE334" i="12"/>
  <c r="AE302" i="12"/>
  <c r="AE270" i="12"/>
  <c r="AE238" i="12"/>
  <c r="AB397" i="12"/>
  <c r="AE397" i="12"/>
  <c r="AB389" i="12"/>
  <c r="AE389" i="12"/>
  <c r="AB381" i="12"/>
  <c r="AE381" i="12"/>
  <c r="AB373" i="12"/>
  <c r="AE373" i="12"/>
  <c r="AB365" i="12"/>
  <c r="AE365" i="12"/>
  <c r="AB357" i="12"/>
  <c r="AE357" i="12"/>
  <c r="AB349" i="12"/>
  <c r="AE349" i="12"/>
  <c r="AB341" i="12"/>
  <c r="AE341" i="12"/>
  <c r="AB333" i="12"/>
  <c r="AE333" i="12"/>
  <c r="AB325" i="12"/>
  <c r="AE325" i="12"/>
  <c r="AB317" i="12"/>
  <c r="AE317" i="12"/>
  <c r="AB309" i="12"/>
  <c r="AE309" i="12"/>
  <c r="AB301" i="12"/>
  <c r="AE301" i="12"/>
  <c r="AB293" i="12"/>
  <c r="AE293" i="12"/>
  <c r="AB285" i="12"/>
  <c r="AE285" i="12"/>
  <c r="AB277" i="12"/>
  <c r="AE277" i="12"/>
  <c r="AB269" i="12"/>
  <c r="AE269" i="12"/>
  <c r="AB261" i="12"/>
  <c r="AE261" i="12"/>
  <c r="AB253" i="12"/>
  <c r="AE253" i="12"/>
  <c r="AB245" i="12"/>
  <c r="AE245" i="12"/>
  <c r="AB237" i="12"/>
  <c r="AE237" i="12"/>
  <c r="AB229" i="12"/>
  <c r="AE229" i="12"/>
  <c r="AB221" i="12"/>
  <c r="AE221" i="12"/>
  <c r="AB213" i="12"/>
  <c r="AE213" i="12"/>
  <c r="AB205" i="12"/>
  <c r="AE205" i="12"/>
  <c r="AE390" i="12"/>
  <c r="AE358" i="12"/>
  <c r="AE326" i="12"/>
  <c r="AE294" i="12"/>
  <c r="AB193" i="12"/>
  <c r="AG344" i="12"/>
  <c r="AG336" i="12"/>
  <c r="AG328" i="12"/>
  <c r="AG320" i="12"/>
  <c r="AG312" i="12"/>
  <c r="AG304" i="12"/>
  <c r="AG296" i="12"/>
  <c r="AG288" i="12"/>
  <c r="AG280" i="12"/>
  <c r="AG272" i="12"/>
  <c r="AG264" i="12"/>
  <c r="AG256" i="12"/>
  <c r="AG248" i="12"/>
  <c r="AG240" i="12"/>
  <c r="AG232" i="12"/>
  <c r="AG224" i="12"/>
  <c r="AG216" i="12"/>
  <c r="AG208" i="12"/>
  <c r="AG200" i="12"/>
  <c r="AG192" i="12"/>
  <c r="AJ349" i="12"/>
  <c r="AJ331" i="12"/>
  <c r="AJ267" i="12"/>
  <c r="AJ203" i="12"/>
  <c r="AJ396" i="12"/>
  <c r="AJ388" i="12"/>
  <c r="AJ380" i="12"/>
  <c r="AJ372" i="12"/>
  <c r="AJ364" i="12"/>
  <c r="AJ356" i="12"/>
  <c r="AE197" i="12"/>
  <c r="AG341" i="12"/>
  <c r="AG333" i="12"/>
  <c r="AG325" i="12"/>
  <c r="AG317" i="12"/>
  <c r="AG309" i="12"/>
  <c r="AG301" i="12"/>
  <c r="AG293" i="12"/>
  <c r="AG285" i="12"/>
  <c r="AG277" i="12"/>
  <c r="AG269" i="12"/>
  <c r="AG261" i="12"/>
  <c r="AG253" i="12"/>
  <c r="AG245" i="12"/>
  <c r="AG237" i="12"/>
  <c r="AG229" i="12"/>
  <c r="AG221" i="12"/>
  <c r="AG213" i="12"/>
  <c r="AG205" i="12"/>
  <c r="AG197" i="12"/>
  <c r="AJ403" i="12"/>
  <c r="AJ395" i="12"/>
  <c r="AJ387" i="12"/>
  <c r="AJ379" i="12"/>
  <c r="AJ371" i="12"/>
  <c r="AJ363" i="12"/>
  <c r="AJ355" i="12"/>
  <c r="AJ323" i="12"/>
  <c r="AJ259" i="12"/>
  <c r="AJ195" i="12"/>
  <c r="AG404" i="12"/>
  <c r="AG348" i="12"/>
  <c r="AG340" i="12"/>
  <c r="AG332" i="12"/>
  <c r="AG324" i="12"/>
  <c r="AG316" i="12"/>
  <c r="AG308" i="12"/>
  <c r="AG300" i="12"/>
  <c r="AG292" i="12"/>
  <c r="AG284" i="12"/>
  <c r="AG276" i="12"/>
  <c r="AG268" i="12"/>
  <c r="AG260" i="12"/>
  <c r="AG252" i="12"/>
  <c r="AG244" i="12"/>
  <c r="AG236" i="12"/>
  <c r="AG228" i="12"/>
  <c r="AG220" i="12"/>
  <c r="AG212" i="12"/>
  <c r="AG204" i="12"/>
  <c r="AG196" i="12"/>
  <c r="AJ299" i="12"/>
  <c r="AJ235" i="12"/>
  <c r="AG339" i="12"/>
  <c r="AG291" i="12"/>
  <c r="AG275" i="12"/>
  <c r="AG227" i="12"/>
  <c r="AG211" i="12"/>
  <c r="AJ369" i="12"/>
  <c r="AJ361" i="12"/>
  <c r="AJ353" i="12"/>
  <c r="AG345" i="12"/>
  <c r="AG337" i="12"/>
  <c r="AG329" i="12"/>
  <c r="AG321" i="12"/>
  <c r="AG313" i="12"/>
  <c r="AG305" i="12"/>
  <c r="AG297" i="12"/>
  <c r="AG289" i="12"/>
  <c r="AG281" i="12"/>
  <c r="AG273" i="12"/>
  <c r="AG265" i="12"/>
  <c r="AG257" i="12"/>
  <c r="AG249" i="12"/>
  <c r="AG241" i="12"/>
  <c r="AG233" i="12"/>
  <c r="AG225" i="12"/>
  <c r="AG217" i="12"/>
  <c r="AG209" i="12"/>
  <c r="AG201" i="12"/>
  <c r="AG193" i="12"/>
  <c r="AO401" i="12"/>
  <c r="AO393" i="12"/>
  <c r="AO385" i="12"/>
  <c r="AO377" i="12"/>
  <c r="AO369" i="12"/>
  <c r="AO361" i="12"/>
  <c r="AO353" i="12"/>
  <c r="AO345" i="12"/>
  <c r="AO337" i="12"/>
  <c r="AO329" i="12"/>
  <c r="AO321" i="12"/>
  <c r="AO313" i="12"/>
  <c r="AO305" i="12"/>
  <c r="AO297" i="12"/>
  <c r="AO289" i="12"/>
  <c r="AO281" i="12"/>
  <c r="AO273" i="12"/>
  <c r="AO265" i="12"/>
  <c r="AO257" i="12"/>
  <c r="AO249" i="12"/>
  <c r="AO241" i="12"/>
  <c r="AO233" i="12"/>
  <c r="AO225" i="12"/>
  <c r="AO217" i="12"/>
  <c r="AO209" i="12"/>
  <c r="AO199" i="12"/>
  <c r="AQ400" i="12"/>
  <c r="AT400" i="12"/>
  <c r="AQ392" i="12"/>
  <c r="AT392" i="12"/>
  <c r="AQ384" i="12"/>
  <c r="AT384" i="12"/>
  <c r="AQ376" i="12"/>
  <c r="AT376" i="12"/>
  <c r="AQ368" i="12"/>
  <c r="AT368" i="12"/>
  <c r="AQ360" i="12"/>
  <c r="AT360" i="12"/>
  <c r="AQ352" i="12"/>
  <c r="AT352" i="12"/>
  <c r="AQ344" i="12"/>
  <c r="AT344" i="12"/>
  <c r="AQ336" i="12"/>
  <c r="AT336" i="12"/>
  <c r="AQ328" i="12"/>
  <c r="AT328" i="12"/>
  <c r="AQ320" i="12"/>
  <c r="AT320" i="12"/>
  <c r="AQ312" i="12"/>
  <c r="AT312" i="12"/>
  <c r="AQ304" i="12"/>
  <c r="AT304" i="12"/>
  <c r="AQ296" i="12"/>
  <c r="AT296" i="12"/>
  <c r="AQ288" i="12"/>
  <c r="AT288" i="12"/>
  <c r="AQ280" i="12"/>
  <c r="AT280" i="12"/>
  <c r="AQ272" i="12"/>
  <c r="AT272" i="12"/>
  <c r="AQ264" i="12"/>
  <c r="AT264" i="12"/>
  <c r="AQ256" i="12"/>
  <c r="AT256" i="12"/>
  <c r="AQ248" i="12"/>
  <c r="AT248" i="12"/>
  <c r="AQ240" i="12"/>
  <c r="AT240" i="12"/>
  <c r="AQ232" i="12"/>
  <c r="AT232" i="12"/>
  <c r="AQ224" i="12"/>
  <c r="AT224" i="12"/>
  <c r="AQ216" i="12"/>
  <c r="AT216" i="12"/>
  <c r="AQ208" i="12"/>
  <c r="AT208" i="12"/>
  <c r="AQ200" i="12"/>
  <c r="AT200" i="12"/>
  <c r="AQ192" i="12"/>
  <c r="AT192" i="12"/>
  <c r="AT380" i="12"/>
  <c r="AL201" i="12"/>
  <c r="AL193" i="12"/>
  <c r="AO400" i="12"/>
  <c r="AO392" i="12"/>
  <c r="AO384" i="12"/>
  <c r="AO376" i="12"/>
  <c r="AO368" i="12"/>
  <c r="AO360" i="12"/>
  <c r="AO352" i="12"/>
  <c r="AO344" i="12"/>
  <c r="AO336" i="12"/>
  <c r="AO328" i="12"/>
  <c r="AO320" i="12"/>
  <c r="AO312" i="12"/>
  <c r="AO304" i="12"/>
  <c r="AO296" i="12"/>
  <c r="AO288" i="12"/>
  <c r="AO280" i="12"/>
  <c r="AO272" i="12"/>
  <c r="AO264" i="12"/>
  <c r="AO256" i="12"/>
  <c r="AO248" i="12"/>
  <c r="AO240" i="12"/>
  <c r="AO232" i="12"/>
  <c r="AO224" i="12"/>
  <c r="AO216" i="12"/>
  <c r="AO208" i="12"/>
  <c r="AO197" i="12"/>
  <c r="AT372" i="12"/>
  <c r="AT308" i="12"/>
  <c r="AT244" i="12"/>
  <c r="AL192" i="12"/>
  <c r="AO399" i="12"/>
  <c r="AO391" i="12"/>
  <c r="AO383" i="12"/>
  <c r="AO375" i="12"/>
  <c r="AO367" i="12"/>
  <c r="AO359" i="12"/>
  <c r="AO351" i="12"/>
  <c r="AO343" i="12"/>
  <c r="AO335" i="12"/>
  <c r="AO327" i="12"/>
  <c r="AO319" i="12"/>
  <c r="AO311" i="12"/>
  <c r="AO303" i="12"/>
  <c r="AO295" i="12"/>
  <c r="AO287" i="12"/>
  <c r="AO279" i="12"/>
  <c r="AO271" i="12"/>
  <c r="AO263" i="12"/>
  <c r="AO255" i="12"/>
  <c r="AO247" i="12"/>
  <c r="AO239" i="12"/>
  <c r="AO231" i="12"/>
  <c r="AO223" i="12"/>
  <c r="AO215" i="12"/>
  <c r="AO207" i="12"/>
  <c r="AO196" i="12"/>
  <c r="AT398" i="12"/>
  <c r="AQ398" i="12"/>
  <c r="AT390" i="12"/>
  <c r="AQ390" i="12"/>
  <c r="AT382" i="12"/>
  <c r="AQ382" i="12"/>
  <c r="AT374" i="12"/>
  <c r="AQ374" i="12"/>
  <c r="AT366" i="12"/>
  <c r="AQ366" i="12"/>
  <c r="AT358" i="12"/>
  <c r="AQ358" i="12"/>
  <c r="AT350" i="12"/>
  <c r="AQ350" i="12"/>
  <c r="AT342" i="12"/>
  <c r="AQ342" i="12"/>
  <c r="AT334" i="12"/>
  <c r="AQ334" i="12"/>
  <c r="AT326" i="12"/>
  <c r="AQ326" i="12"/>
  <c r="AT318" i="12"/>
  <c r="AQ318" i="12"/>
  <c r="AT310" i="12"/>
  <c r="AQ310" i="12"/>
  <c r="AT302" i="12"/>
  <c r="AQ302" i="12"/>
  <c r="AT294" i="12"/>
  <c r="AQ294" i="12"/>
  <c r="AT286" i="12"/>
  <c r="AQ286" i="12"/>
  <c r="AT278" i="12"/>
  <c r="AQ278" i="12"/>
  <c r="AT270" i="12"/>
  <c r="AQ270" i="12"/>
  <c r="AT262" i="12"/>
  <c r="AQ262" i="12"/>
  <c r="AT254" i="12"/>
  <c r="AQ254" i="12"/>
  <c r="AT246" i="12"/>
  <c r="AQ246" i="12"/>
  <c r="AT238" i="12"/>
  <c r="AQ238" i="12"/>
  <c r="AT230" i="12"/>
  <c r="AQ230" i="12"/>
  <c r="AT222" i="12"/>
  <c r="AQ222" i="12"/>
  <c r="AT214" i="12"/>
  <c r="AQ214" i="12"/>
  <c r="AT206" i="12"/>
  <c r="AQ206" i="12"/>
  <c r="AT198" i="12"/>
  <c r="AQ198" i="12"/>
  <c r="AT364" i="12"/>
  <c r="AT300" i="12"/>
  <c r="AY335" i="12"/>
  <c r="AO205" i="12"/>
  <c r="AT356" i="12"/>
  <c r="AT292" i="12"/>
  <c r="AV391" i="12"/>
  <c r="AY391" i="12"/>
  <c r="AY383" i="12"/>
  <c r="AV383" i="12"/>
  <c r="AV375" i="12"/>
  <c r="AY375" i="12"/>
  <c r="AV367" i="12"/>
  <c r="AY367" i="12"/>
  <c r="AV359" i="12"/>
  <c r="AY359" i="12"/>
  <c r="AV351" i="12"/>
  <c r="AY351" i="12"/>
  <c r="AY343" i="12"/>
  <c r="AV343" i="12"/>
  <c r="AV327" i="12"/>
  <c r="AY327" i="12"/>
  <c r="AV319" i="12"/>
  <c r="AY319" i="12"/>
  <c r="AY311" i="12"/>
  <c r="AV311" i="12"/>
  <c r="AV295" i="12"/>
  <c r="AY295" i="12"/>
  <c r="AV287" i="12"/>
  <c r="AY287" i="12"/>
  <c r="AV279" i="12"/>
  <c r="AY279" i="12"/>
  <c r="AV263" i="12"/>
  <c r="AY263" i="12"/>
  <c r="AV255" i="12"/>
  <c r="AY255" i="12"/>
  <c r="AV247" i="12"/>
  <c r="AY247" i="12"/>
  <c r="AV231" i="12"/>
  <c r="AY231" i="12"/>
  <c r="AV223" i="12"/>
  <c r="AY223" i="12"/>
  <c r="AV215" i="12"/>
  <c r="AY215" i="12"/>
  <c r="AV199" i="12"/>
  <c r="AY199" i="12"/>
  <c r="AY303" i="12"/>
  <c r="AO397" i="12"/>
  <c r="AO389" i="12"/>
  <c r="AO381" i="12"/>
  <c r="AO373" i="12"/>
  <c r="AO365" i="12"/>
  <c r="AO357" i="12"/>
  <c r="AO349" i="12"/>
  <c r="AO341" i="12"/>
  <c r="AO333" i="12"/>
  <c r="AO325" i="12"/>
  <c r="AO317" i="12"/>
  <c r="AO309" i="12"/>
  <c r="AO301" i="12"/>
  <c r="AO293" i="12"/>
  <c r="AO285" i="12"/>
  <c r="AO277" i="12"/>
  <c r="AO269" i="12"/>
  <c r="AO261" i="12"/>
  <c r="AO253" i="12"/>
  <c r="AO245" i="12"/>
  <c r="AO237" i="12"/>
  <c r="AO229" i="12"/>
  <c r="AO221" i="12"/>
  <c r="AO213" i="12"/>
  <c r="AO204" i="12"/>
  <c r="AT348" i="12"/>
  <c r="AT284" i="12"/>
  <c r="AT220" i="12"/>
  <c r="AY271" i="12"/>
  <c r="AO404" i="12"/>
  <c r="AO396" i="12"/>
  <c r="AO388" i="12"/>
  <c r="AO380" i="12"/>
  <c r="AO372" i="12"/>
  <c r="AO364" i="12"/>
  <c r="AO356" i="12"/>
  <c r="AO348" i="12"/>
  <c r="AO340" i="12"/>
  <c r="AO332" i="12"/>
  <c r="AO324" i="12"/>
  <c r="AO316" i="12"/>
  <c r="AO308" i="12"/>
  <c r="AO300" i="12"/>
  <c r="AO292" i="12"/>
  <c r="AO284" i="12"/>
  <c r="AO276" i="12"/>
  <c r="AO268" i="12"/>
  <c r="AO260" i="12"/>
  <c r="AO252" i="12"/>
  <c r="AO244" i="12"/>
  <c r="AO236" i="12"/>
  <c r="AO228" i="12"/>
  <c r="AO220" i="12"/>
  <c r="AO212" i="12"/>
  <c r="AT404" i="12"/>
  <c r="AT340" i="12"/>
  <c r="AQ402" i="12"/>
  <c r="AT402" i="12"/>
  <c r="AQ394" i="12"/>
  <c r="AT394" i="12"/>
  <c r="AQ386" i="12"/>
  <c r="AT386" i="12"/>
  <c r="AQ378" i="12"/>
  <c r="AT378" i="12"/>
  <c r="AQ370" i="12"/>
  <c r="AT370" i="12"/>
  <c r="AQ362" i="12"/>
  <c r="AT362" i="12"/>
  <c r="AQ354" i="12"/>
  <c r="AT354" i="12"/>
  <c r="AQ346" i="12"/>
  <c r="AT346" i="12"/>
  <c r="AQ338" i="12"/>
  <c r="AT338" i="12"/>
  <c r="AQ330" i="12"/>
  <c r="AT330" i="12"/>
  <c r="AQ322" i="12"/>
  <c r="AT322" i="12"/>
  <c r="AQ314" i="12"/>
  <c r="AT314" i="12"/>
  <c r="AQ306" i="12"/>
  <c r="AT306" i="12"/>
  <c r="AQ298" i="12"/>
  <c r="AT298" i="12"/>
  <c r="AQ290" i="12"/>
  <c r="AT290" i="12"/>
  <c r="AQ282" i="12"/>
  <c r="AT282" i="12"/>
  <c r="AQ274" i="12"/>
  <c r="AT274" i="12"/>
  <c r="AQ266" i="12"/>
  <c r="AT266" i="12"/>
  <c r="AQ258" i="12"/>
  <c r="AT258" i="12"/>
  <c r="AQ250" i="12"/>
  <c r="AT250" i="12"/>
  <c r="AQ242" i="12"/>
  <c r="AT242" i="12"/>
  <c r="AQ234" i="12"/>
  <c r="AT234" i="12"/>
  <c r="AQ226" i="12"/>
  <c r="AT226" i="12"/>
  <c r="AQ218" i="12"/>
  <c r="AT218" i="12"/>
  <c r="AQ210" i="12"/>
  <c r="AT210" i="12"/>
  <c r="AQ202" i="12"/>
  <c r="AT202" i="12"/>
  <c r="AQ194" i="12"/>
  <c r="AT194" i="12"/>
  <c r="AT396" i="12"/>
  <c r="AT332" i="12"/>
  <c r="AT268" i="12"/>
  <c r="AV397" i="12"/>
  <c r="AV389" i="12"/>
  <c r="AV381" i="12"/>
  <c r="AV373" i="12"/>
  <c r="AV365" i="12"/>
  <c r="AV357" i="12"/>
  <c r="AV349" i="12"/>
  <c r="AV341" i="12"/>
  <c r="AV333" i="12"/>
  <c r="AV325" i="12"/>
  <c r="AV317" i="12"/>
  <c r="AV309" i="12"/>
  <c r="AV301" i="12"/>
  <c r="AV293" i="12"/>
  <c r="AV284" i="12"/>
  <c r="AV266" i="12"/>
  <c r="AV244" i="12"/>
  <c r="AV224" i="12"/>
  <c r="AV202" i="12"/>
  <c r="AY401" i="12"/>
  <c r="AY379" i="12"/>
  <c r="AY337" i="12"/>
  <c r="AY305" i="12"/>
  <c r="AY273" i="12"/>
  <c r="AY241" i="12"/>
  <c r="AY209" i="12"/>
  <c r="AV278" i="12"/>
  <c r="AY278" i="12"/>
  <c r="AV270" i="12"/>
  <c r="AY270" i="12"/>
  <c r="AV262" i="12"/>
  <c r="AY262" i="12"/>
  <c r="AV254" i="12"/>
  <c r="AY254" i="12"/>
  <c r="AV246" i="12"/>
  <c r="AY246" i="12"/>
  <c r="AV238" i="12"/>
  <c r="AY238" i="12"/>
  <c r="AV230" i="12"/>
  <c r="AY230" i="12"/>
  <c r="AV222" i="12"/>
  <c r="AY222" i="12"/>
  <c r="AV214" i="12"/>
  <c r="AY214" i="12"/>
  <c r="AV206" i="12"/>
  <c r="AY206" i="12"/>
  <c r="AV198" i="12"/>
  <c r="AY198" i="12"/>
  <c r="AV403" i="12"/>
  <c r="AV395" i="12"/>
  <c r="AV387" i="12"/>
  <c r="AV371" i="12"/>
  <c r="AV363" i="12"/>
  <c r="AV347" i="12"/>
  <c r="AV339" i="12"/>
  <c r="AV331" i="12"/>
  <c r="AV323" i="12"/>
  <c r="AV315" i="12"/>
  <c r="AV307" i="12"/>
  <c r="AV299" i="12"/>
  <c r="AV291" i="12"/>
  <c r="AV282" i="12"/>
  <c r="AV218" i="12"/>
  <c r="AY353" i="12"/>
  <c r="AY329" i="12"/>
  <c r="AY297" i="12"/>
  <c r="AY265" i="12"/>
  <c r="AY233" i="12"/>
  <c r="AY201" i="12"/>
  <c r="AV285" i="12"/>
  <c r="AY285" i="12"/>
  <c r="AV277" i="12"/>
  <c r="AY277" i="12"/>
  <c r="AV269" i="12"/>
  <c r="AY269" i="12"/>
  <c r="AV261" i="12"/>
  <c r="AY261" i="12"/>
  <c r="AV253" i="12"/>
  <c r="AY253" i="12"/>
  <c r="AV245" i="12"/>
  <c r="AY245" i="12"/>
  <c r="AV237" i="12"/>
  <c r="AY237" i="12"/>
  <c r="AV229" i="12"/>
  <c r="AY229" i="12"/>
  <c r="AV221" i="12"/>
  <c r="AY221" i="12"/>
  <c r="AV213" i="12"/>
  <c r="AY213" i="12"/>
  <c r="AV205" i="12"/>
  <c r="AY205" i="12"/>
  <c r="AV197" i="12"/>
  <c r="AY197" i="12"/>
  <c r="AY393" i="12"/>
  <c r="AV385" i="12"/>
  <c r="AV369" i="12"/>
  <c r="AV361" i="12"/>
  <c r="AV345" i="12"/>
  <c r="AV321" i="12"/>
  <c r="AV313" i="12"/>
  <c r="AV289" i="12"/>
  <c r="AV276" i="12"/>
  <c r="AV256" i="12"/>
  <c r="AV234" i="12"/>
  <c r="AV212" i="12"/>
  <c r="AV192" i="12"/>
  <c r="AY257" i="12"/>
  <c r="AY225" i="12"/>
  <c r="AY193" i="12"/>
  <c r="AV275" i="12"/>
  <c r="AY275" i="12"/>
  <c r="AV267" i="12"/>
  <c r="AY267" i="12"/>
  <c r="AV259" i="12"/>
  <c r="AY259" i="12"/>
  <c r="AV251" i="12"/>
  <c r="AY251" i="12"/>
  <c r="AV243" i="12"/>
  <c r="AY243" i="12"/>
  <c r="AV235" i="12"/>
  <c r="AY235" i="12"/>
  <c r="AV227" i="12"/>
  <c r="AY227" i="12"/>
  <c r="AV219" i="12"/>
  <c r="AY219" i="12"/>
  <c r="AV211" i="12"/>
  <c r="AY211" i="12"/>
  <c r="AV203" i="12"/>
  <c r="AY203" i="12"/>
  <c r="AV195" i="12"/>
  <c r="AY195" i="12"/>
  <c r="AV274" i="12"/>
  <c r="AV210" i="12"/>
  <c r="BA402" i="12"/>
  <c r="BD402" i="12"/>
  <c r="BA394" i="12"/>
  <c r="BD394" i="12"/>
  <c r="BA386" i="12"/>
  <c r="BD386" i="12"/>
  <c r="BA378" i="12"/>
  <c r="BD378" i="12"/>
  <c r="BA370" i="12"/>
  <c r="BD370" i="12"/>
  <c r="BA362" i="12"/>
  <c r="BD362" i="12"/>
  <c r="BA354" i="12"/>
  <c r="BD354" i="12"/>
  <c r="BA346" i="12"/>
  <c r="BD346" i="12"/>
  <c r="BA338" i="12"/>
  <c r="BD338" i="12"/>
  <c r="BA330" i="12"/>
  <c r="BD330" i="12"/>
  <c r="BA322" i="12"/>
  <c r="BD322" i="12"/>
  <c r="BA314" i="12"/>
  <c r="BD314" i="12"/>
  <c r="BA306" i="12"/>
  <c r="BD306" i="12"/>
  <c r="BA298" i="12"/>
  <c r="BD298" i="12"/>
  <c r="BA290" i="12"/>
  <c r="BD290" i="12"/>
  <c r="BA282" i="12"/>
  <c r="BD282" i="12"/>
  <c r="BD274" i="12"/>
  <c r="BA274" i="12"/>
  <c r="BD266" i="12"/>
  <c r="BA266" i="12"/>
  <c r="BD258" i="12"/>
  <c r="BA258" i="12"/>
  <c r="BD250" i="12"/>
  <c r="BA250" i="12"/>
  <c r="BD242" i="12"/>
  <c r="BA242" i="12"/>
  <c r="BD234" i="12"/>
  <c r="BA234" i="12"/>
  <c r="BD226" i="12"/>
  <c r="BA226" i="12"/>
  <c r="BD218" i="12"/>
  <c r="BA218" i="12"/>
  <c r="BD210" i="12"/>
  <c r="BA210" i="12"/>
  <c r="BD202" i="12"/>
  <c r="BA202" i="12"/>
  <c r="BD194" i="12"/>
  <c r="BA194" i="12"/>
  <c r="AV250" i="12"/>
  <c r="AY281" i="12"/>
  <c r="AY249" i="12"/>
  <c r="AY217" i="12"/>
  <c r="BA270" i="12"/>
  <c r="BA262" i="12"/>
  <c r="BA254" i="12"/>
  <c r="BA246" i="12"/>
  <c r="BA238" i="12"/>
  <c r="BA230" i="12"/>
  <c r="BA222" i="12"/>
  <c r="BA214" i="12"/>
  <c r="BA206" i="12"/>
  <c r="BA198" i="12"/>
  <c r="BD397" i="12"/>
  <c r="BD389" i="12"/>
  <c r="BD381" i="12"/>
  <c r="BD373" i="12"/>
  <c r="BD365" i="12"/>
  <c r="BD357" i="12"/>
  <c r="BD349" i="12"/>
  <c r="BD341" i="12"/>
  <c r="BD333" i="12"/>
  <c r="BD325" i="12"/>
  <c r="BD317" i="12"/>
  <c r="BD309" i="12"/>
  <c r="BD301" i="12"/>
  <c r="BD293" i="12"/>
  <c r="BD285" i="12"/>
  <c r="BD277" i="12"/>
  <c r="BA269" i="12"/>
  <c r="BA261" i="12"/>
  <c r="BA253" i="12"/>
  <c r="BA245" i="12"/>
  <c r="BA237" i="12"/>
  <c r="BA229" i="12"/>
  <c r="BA221" i="12"/>
  <c r="BA213" i="12"/>
  <c r="BA205" i="12"/>
  <c r="BA197" i="12"/>
  <c r="BD404" i="12"/>
  <c r="BD396" i="12"/>
  <c r="BD388" i="12"/>
  <c r="BD380" i="12"/>
  <c r="BD372" i="12"/>
  <c r="BD364" i="12"/>
  <c r="BD356" i="12"/>
  <c r="BD348" i="12"/>
  <c r="BD340" i="12"/>
  <c r="BD332" i="12"/>
  <c r="BD324" i="12"/>
  <c r="BD316" i="12"/>
  <c r="BD308" i="12"/>
  <c r="BD300" i="12"/>
  <c r="BD292" i="12"/>
  <c r="BD284" i="12"/>
  <c r="BD276" i="12"/>
  <c r="BA268" i="12"/>
  <c r="BA260" i="12"/>
  <c r="BA252" i="12"/>
  <c r="BA244" i="12"/>
  <c r="BA236" i="12"/>
  <c r="BA228" i="12"/>
  <c r="BA220" i="12"/>
  <c r="BA212" i="12"/>
  <c r="BA204" i="12"/>
  <c r="BA196" i="12"/>
  <c r="BI404" i="12"/>
  <c r="BF404" i="12"/>
  <c r="BI396" i="12"/>
  <c r="BF396" i="12"/>
  <c r="BI388" i="12"/>
  <c r="BF388" i="12"/>
  <c r="BI380" i="12"/>
  <c r="BF380" i="12"/>
  <c r="BI372" i="12"/>
  <c r="BF372" i="12"/>
  <c r="BI364" i="12"/>
  <c r="BF364" i="12"/>
  <c r="BI356" i="12"/>
  <c r="BF356" i="12"/>
  <c r="BI348" i="12"/>
  <c r="BF348" i="12"/>
  <c r="BI340" i="12"/>
  <c r="BF340" i="12"/>
  <c r="BI332" i="12"/>
  <c r="BF332" i="12"/>
  <c r="BI324" i="12"/>
  <c r="BF324" i="12"/>
  <c r="BI316" i="12"/>
  <c r="BF316" i="12"/>
  <c r="BI308" i="12"/>
  <c r="BF308" i="12"/>
  <c r="BI300" i="12"/>
  <c r="BF300" i="12"/>
  <c r="BI292" i="12"/>
  <c r="BF292" i="12"/>
  <c r="BI284" i="12"/>
  <c r="BF284" i="12"/>
  <c r="BI276" i="12"/>
  <c r="BF276" i="12"/>
  <c r="BI268" i="12"/>
  <c r="BF268" i="12"/>
  <c r="BI260" i="12"/>
  <c r="BF260" i="12"/>
  <c r="BI252" i="12"/>
  <c r="BF252" i="12"/>
  <c r="BI244" i="12"/>
  <c r="BF244" i="12"/>
  <c r="BI236" i="12"/>
  <c r="BF236" i="12"/>
  <c r="BI228" i="12"/>
  <c r="BF228" i="12"/>
  <c r="BI220" i="12"/>
  <c r="BF220" i="12"/>
  <c r="BI212" i="12"/>
  <c r="BF212" i="12"/>
  <c r="BI204" i="12"/>
  <c r="BF204" i="12"/>
  <c r="BI196" i="12"/>
  <c r="BF196" i="12"/>
  <c r="BA272" i="12"/>
  <c r="BA264" i="12"/>
  <c r="BA256" i="12"/>
  <c r="BA248" i="12"/>
  <c r="BA240" i="12"/>
  <c r="BA232" i="12"/>
  <c r="BA224" i="12"/>
  <c r="BA216" i="12"/>
  <c r="BA208" i="12"/>
  <c r="BA200" i="12"/>
  <c r="BA192" i="12"/>
  <c r="BI403" i="12"/>
  <c r="BI395" i="12"/>
  <c r="BI387" i="12"/>
  <c r="BI379" i="12"/>
  <c r="BI371" i="12"/>
  <c r="BI363" i="12"/>
  <c r="BI355" i="12"/>
  <c r="BI347" i="12"/>
  <c r="BI339" i="12"/>
  <c r="BI331" i="12"/>
  <c r="BI323" i="12"/>
  <c r="BI315" i="12"/>
  <c r="BI307" i="12"/>
  <c r="BI299" i="12"/>
  <c r="BI291" i="12"/>
  <c r="BI283" i="12"/>
  <c r="BI275" i="12"/>
  <c r="BI267" i="12"/>
  <c r="BI259" i="12"/>
  <c r="BI251" i="12"/>
  <c r="BI243" i="12"/>
  <c r="BI235" i="12"/>
  <c r="BI227" i="12"/>
  <c r="BI219" i="12"/>
  <c r="BI211" i="12"/>
  <c r="BI203" i="12"/>
  <c r="BI195" i="12"/>
  <c r="BI402" i="12"/>
  <c r="BI394" i="12"/>
  <c r="BI386" i="12"/>
  <c r="BI378" i="12"/>
  <c r="BI370" i="12"/>
  <c r="BI362" i="12"/>
  <c r="BI354" i="12"/>
  <c r="BI346" i="12"/>
  <c r="BI338" i="12"/>
  <c r="BI330" i="12"/>
  <c r="BI322" i="12"/>
  <c r="BI314" i="12"/>
  <c r="BI306" i="12"/>
  <c r="BI298" i="12"/>
  <c r="BI290" i="12"/>
  <c r="BI282" i="12"/>
  <c r="BI274" i="12"/>
  <c r="BI266" i="12"/>
  <c r="BI258" i="12"/>
  <c r="BI250" i="12"/>
  <c r="BI242" i="12"/>
  <c r="BI234" i="12"/>
  <c r="BI226" i="12"/>
  <c r="BI218" i="12"/>
  <c r="BI210" i="12"/>
  <c r="BI202" i="12"/>
  <c r="BI194" i="12"/>
  <c r="BI399" i="12"/>
  <c r="BI391" i="12"/>
  <c r="BI383" i="12"/>
  <c r="BI375" i="12"/>
  <c r="BI367" i="12"/>
  <c r="BI359" i="12"/>
  <c r="BI351" i="12"/>
  <c r="BI343" i="12"/>
  <c r="BI335" i="12"/>
  <c r="BI327" i="12"/>
  <c r="BI319" i="12"/>
  <c r="BI311" i="12"/>
  <c r="BI303" i="12"/>
  <c r="BI295" i="12"/>
  <c r="BI287" i="12"/>
  <c r="BI279" i="12"/>
  <c r="BI271" i="12"/>
  <c r="BI263" i="12"/>
  <c r="BI255" i="12"/>
  <c r="BI247" i="12"/>
  <c r="BI239" i="12"/>
  <c r="BI231" i="12"/>
  <c r="BI223" i="12"/>
  <c r="BI215" i="12"/>
  <c r="BI207" i="12"/>
  <c r="BI199" i="12"/>
  <c r="BI398" i="12"/>
  <c r="BI390" i="12"/>
  <c r="BI382" i="12"/>
  <c r="BI374" i="12"/>
  <c r="BI366" i="12"/>
  <c r="BI358" i="12"/>
  <c r="BI350" i="12"/>
  <c r="BI342" i="12"/>
  <c r="BI334" i="12"/>
  <c r="BI326" i="12"/>
  <c r="BI318" i="12"/>
  <c r="BI310" i="12"/>
  <c r="BI302" i="12"/>
  <c r="BI294" i="12"/>
  <c r="BI286" i="12"/>
  <c r="BI278" i="12"/>
  <c r="BI270" i="12"/>
  <c r="BI262" i="12"/>
  <c r="BI254" i="12"/>
  <c r="BI246" i="12"/>
  <c r="BI238" i="12"/>
  <c r="BI230" i="12"/>
  <c r="BI222" i="12"/>
  <c r="BI214" i="12"/>
  <c r="BI206" i="12"/>
  <c r="BI198" i="12"/>
  <c r="BI397" i="12"/>
  <c r="BI389" i="12"/>
  <c r="BI381" i="12"/>
  <c r="BI373" i="12"/>
  <c r="BI365" i="12"/>
  <c r="BI357" i="12"/>
  <c r="BI349" i="12"/>
  <c r="BI341" i="12"/>
  <c r="BI333" i="12"/>
  <c r="BI325" i="12"/>
  <c r="BI317" i="12"/>
  <c r="BI309" i="12"/>
  <c r="BI301" i="12"/>
  <c r="BI293" i="12"/>
  <c r="BI285" i="12"/>
  <c r="BI277" i="12"/>
  <c r="BI269" i="12"/>
  <c r="BI261" i="12"/>
  <c r="BI253" i="12"/>
  <c r="BI245" i="12"/>
  <c r="BI237" i="12"/>
  <c r="BI229" i="12"/>
  <c r="BI221" i="12"/>
  <c r="BI213" i="12"/>
  <c r="BI205" i="12"/>
  <c r="BI197" i="12"/>
  <c r="G68" i="10"/>
  <c r="G59" i="10"/>
  <c r="G47" i="10"/>
  <c r="G40" i="10"/>
  <c r="G26" i="10"/>
  <c r="G32" i="10"/>
  <c r="AA405" i="19"/>
  <c r="F10" i="10" s="1"/>
  <c r="X405" i="19"/>
  <c r="F9" i="10" s="1"/>
  <c r="U405" i="19"/>
  <c r="F8" i="10" s="1"/>
  <c r="R405" i="19"/>
  <c r="F7" i="10" s="1"/>
  <c r="O405" i="19"/>
  <c r="F6" i="10" s="1"/>
  <c r="L405" i="19"/>
  <c r="F5" i="10" s="1"/>
  <c r="I405" i="19"/>
  <c r="F4" i="10" s="1"/>
  <c r="C405" i="19"/>
  <c r="F2" i="10" s="1"/>
  <c r="F405" i="19"/>
  <c r="F3" i="10" s="1"/>
  <c r="AX409" i="12"/>
  <c r="AS409" i="12"/>
  <c r="AN409" i="12"/>
  <c r="AI409" i="12"/>
  <c r="AD409" i="12"/>
  <c r="Y409" i="12"/>
  <c r="T409" i="12"/>
  <c r="BH160" i="12"/>
  <c r="BG27" i="12"/>
  <c r="BG28" i="12"/>
  <c r="BG29" i="12"/>
  <c r="BG30" i="12"/>
  <c r="BG31" i="12"/>
  <c r="BG32" i="12"/>
  <c r="BH32" i="12" s="1"/>
  <c r="BG33" i="12"/>
  <c r="BH33" i="12" s="1"/>
  <c r="BG34" i="12"/>
  <c r="BH34" i="12" s="1"/>
  <c r="BG35" i="12"/>
  <c r="BG36" i="12"/>
  <c r="BG37" i="12"/>
  <c r="BG38" i="12"/>
  <c r="BG39" i="12"/>
  <c r="BG40" i="12"/>
  <c r="BH40" i="12" s="1"/>
  <c r="BG41" i="12"/>
  <c r="BH41" i="12" s="1"/>
  <c r="BG42" i="12"/>
  <c r="BH42" i="12" s="1"/>
  <c r="BG43" i="12"/>
  <c r="BG44" i="12"/>
  <c r="BG45" i="12"/>
  <c r="BG46" i="12"/>
  <c r="BG47" i="12"/>
  <c r="BG48" i="12"/>
  <c r="BH48" i="12" s="1"/>
  <c r="BG49" i="12"/>
  <c r="BH49" i="12" s="1"/>
  <c r="BG50" i="12"/>
  <c r="BH50" i="12" s="1"/>
  <c r="BG51" i="12"/>
  <c r="BG52" i="12"/>
  <c r="BG53" i="12"/>
  <c r="BG54" i="12"/>
  <c r="BG55" i="12"/>
  <c r="BG56" i="12"/>
  <c r="BH56" i="12" s="1"/>
  <c r="BG57" i="12"/>
  <c r="BH57" i="12" s="1"/>
  <c r="BG58" i="12"/>
  <c r="BH58" i="12" s="1"/>
  <c r="BG59" i="12"/>
  <c r="BG60" i="12"/>
  <c r="BG61" i="12"/>
  <c r="BG62" i="12"/>
  <c r="BG63" i="12"/>
  <c r="BG64" i="12"/>
  <c r="BH64" i="12" s="1"/>
  <c r="BG65" i="12"/>
  <c r="BH65" i="12" s="1"/>
  <c r="BG66" i="12"/>
  <c r="BH66" i="12" s="1"/>
  <c r="BG67" i="12"/>
  <c r="BG68" i="12"/>
  <c r="BG69" i="12"/>
  <c r="BG70" i="12"/>
  <c r="BG71" i="12"/>
  <c r="BG72" i="12"/>
  <c r="BH72" i="12" s="1"/>
  <c r="BG73" i="12"/>
  <c r="BH73" i="12" s="1"/>
  <c r="BG74" i="12"/>
  <c r="BH74" i="12" s="1"/>
  <c r="BG75" i="12"/>
  <c r="BG76" i="12"/>
  <c r="BG77" i="12"/>
  <c r="BG78" i="12"/>
  <c r="BG79" i="12"/>
  <c r="BG80" i="12"/>
  <c r="BH80" i="12" s="1"/>
  <c r="BG81" i="12"/>
  <c r="BH81" i="12" s="1"/>
  <c r="BG82" i="12"/>
  <c r="BH82" i="12" s="1"/>
  <c r="BG83" i="12"/>
  <c r="BG84" i="12"/>
  <c r="BG85" i="12"/>
  <c r="BG86" i="12"/>
  <c r="BG87" i="12"/>
  <c r="BG88" i="12"/>
  <c r="BH88" i="12" s="1"/>
  <c r="BG89" i="12"/>
  <c r="BH89" i="12" s="1"/>
  <c r="BG90" i="12"/>
  <c r="BH90" i="12" s="1"/>
  <c r="BG91" i="12"/>
  <c r="BG92" i="12"/>
  <c r="BG93" i="12"/>
  <c r="BG94" i="12"/>
  <c r="BG95" i="12"/>
  <c r="BG96" i="12"/>
  <c r="BH96" i="12" s="1"/>
  <c r="BG97" i="12"/>
  <c r="BH97" i="12" s="1"/>
  <c r="BG98" i="12"/>
  <c r="BH98" i="12" s="1"/>
  <c r="BG99" i="12"/>
  <c r="BG100" i="12"/>
  <c r="BG101" i="12"/>
  <c r="BG102" i="12"/>
  <c r="BG103" i="12"/>
  <c r="BG104" i="12"/>
  <c r="BH104" i="12" s="1"/>
  <c r="BG105" i="12"/>
  <c r="BH105" i="12" s="1"/>
  <c r="BG106" i="12"/>
  <c r="BH106" i="12" s="1"/>
  <c r="BG107" i="12"/>
  <c r="BG108" i="12"/>
  <c r="BG109" i="12"/>
  <c r="BG110" i="12"/>
  <c r="BG111" i="12"/>
  <c r="BG112" i="12"/>
  <c r="BH112" i="12" s="1"/>
  <c r="BG113" i="12"/>
  <c r="BH113" i="12" s="1"/>
  <c r="BG114" i="12"/>
  <c r="BH114" i="12" s="1"/>
  <c r="BG115" i="12"/>
  <c r="BG116" i="12"/>
  <c r="BG117" i="12"/>
  <c r="BG118" i="12"/>
  <c r="BG119" i="12"/>
  <c r="BG120" i="12"/>
  <c r="BH120" i="12" s="1"/>
  <c r="BG121" i="12"/>
  <c r="BH121" i="12" s="1"/>
  <c r="BG122" i="12"/>
  <c r="BH122" i="12" s="1"/>
  <c r="BG123" i="12"/>
  <c r="BG124" i="12"/>
  <c r="BG125" i="12"/>
  <c r="BG126" i="12"/>
  <c r="BG127" i="12"/>
  <c r="BG128" i="12"/>
  <c r="BH128" i="12" s="1"/>
  <c r="BG129" i="12"/>
  <c r="BH129" i="12" s="1"/>
  <c r="BG130" i="12"/>
  <c r="BH130" i="12" s="1"/>
  <c r="BG131" i="12"/>
  <c r="BG132" i="12"/>
  <c r="BG133" i="12"/>
  <c r="BG134" i="12"/>
  <c r="BG135" i="12"/>
  <c r="BG136" i="12"/>
  <c r="BH136" i="12" s="1"/>
  <c r="BG137" i="12"/>
  <c r="BH137" i="12" s="1"/>
  <c r="BG138" i="12"/>
  <c r="BH138" i="12" s="1"/>
  <c r="BG139" i="12"/>
  <c r="BG140" i="12"/>
  <c r="BG141" i="12"/>
  <c r="BG142" i="12"/>
  <c r="BG143" i="12"/>
  <c r="BG144" i="12"/>
  <c r="BH144" i="12" s="1"/>
  <c r="BG145" i="12"/>
  <c r="BH145" i="12" s="1"/>
  <c r="BG146" i="12"/>
  <c r="BH146" i="12" s="1"/>
  <c r="BG147" i="12"/>
  <c r="BG148" i="12"/>
  <c r="BG149" i="12"/>
  <c r="BG150" i="12"/>
  <c r="BG151" i="12"/>
  <c r="BG152" i="12"/>
  <c r="BH152" i="12" s="1"/>
  <c r="BG153" i="12"/>
  <c r="BH153" i="12" s="1"/>
  <c r="BG154" i="12"/>
  <c r="BH154" i="12" s="1"/>
  <c r="BG155" i="12"/>
  <c r="BG156" i="12"/>
  <c r="BG157" i="12"/>
  <c r="BG158" i="12"/>
  <c r="BG159" i="12"/>
  <c r="BG160" i="12"/>
  <c r="BG161" i="12"/>
  <c r="BH161" i="12" s="1"/>
  <c r="BG162" i="12"/>
  <c r="BH162" i="12" s="1"/>
  <c r="BG163" i="12"/>
  <c r="BG164" i="12"/>
  <c r="BG165" i="12"/>
  <c r="BG166" i="12"/>
  <c r="BG167" i="12"/>
  <c r="BG168" i="12"/>
  <c r="BH168" i="12" s="1"/>
  <c r="BG169" i="12"/>
  <c r="BH169" i="12" s="1"/>
  <c r="BG170" i="12"/>
  <c r="BH170" i="12" s="1"/>
  <c r="BG171" i="12"/>
  <c r="BG172" i="12"/>
  <c r="BG173" i="12"/>
  <c r="BG174" i="12"/>
  <c r="BG175" i="12"/>
  <c r="BG176" i="12"/>
  <c r="BH176" i="12" s="1"/>
  <c r="BG177" i="12"/>
  <c r="BH177" i="12" s="1"/>
  <c r="BG178" i="12"/>
  <c r="BH178" i="12" s="1"/>
  <c r="BG179" i="12"/>
  <c r="BG180" i="12"/>
  <c r="BG181" i="12"/>
  <c r="BG182" i="12"/>
  <c r="BG183" i="12"/>
  <c r="BG184" i="12"/>
  <c r="BH184" i="12" s="1"/>
  <c r="BG185" i="12"/>
  <c r="BH185" i="12" s="1"/>
  <c r="BG186" i="12"/>
  <c r="BH186" i="12" s="1"/>
  <c r="BG187" i="12"/>
  <c r="BG188" i="12"/>
  <c r="BG189" i="12"/>
  <c r="BG190" i="12"/>
  <c r="BG191" i="12"/>
  <c r="BG3" i="12"/>
  <c r="BH3" i="12" s="1"/>
  <c r="BG4" i="12"/>
  <c r="BG5" i="12"/>
  <c r="BG6" i="12"/>
  <c r="BH6" i="12" s="1"/>
  <c r="BG7" i="12"/>
  <c r="BG8" i="12"/>
  <c r="BG9" i="12"/>
  <c r="BG10" i="12"/>
  <c r="BH10" i="12" s="1"/>
  <c r="BG11" i="12"/>
  <c r="BH11" i="12" s="1"/>
  <c r="BG12" i="12"/>
  <c r="BG13" i="12"/>
  <c r="BH13" i="12" s="1"/>
  <c r="BG14" i="12"/>
  <c r="BH14" i="12" s="1"/>
  <c r="BG15" i="12"/>
  <c r="BG16" i="12"/>
  <c r="BG17" i="12"/>
  <c r="BG18" i="12"/>
  <c r="BG19" i="12"/>
  <c r="BH19" i="12" s="1"/>
  <c r="BG20" i="12"/>
  <c r="BG21" i="12"/>
  <c r="BH21" i="12" s="1"/>
  <c r="BG22" i="12"/>
  <c r="BH22" i="12" s="1"/>
  <c r="BG23" i="12"/>
  <c r="BG24" i="12"/>
  <c r="BG25" i="12"/>
  <c r="BG26" i="12"/>
  <c r="BH26" i="12" s="1"/>
  <c r="BG2" i="12"/>
  <c r="BH2" i="12" s="1"/>
  <c r="BF41" i="12"/>
  <c r="BF80" i="12"/>
  <c r="BF81" i="12"/>
  <c r="BF137" i="12"/>
  <c r="BF144" i="12"/>
  <c r="BF27" i="12"/>
  <c r="BF28" i="12"/>
  <c r="BF29" i="12"/>
  <c r="BF30" i="12"/>
  <c r="BF31" i="12"/>
  <c r="BF32" i="12"/>
  <c r="BF33" i="12"/>
  <c r="BF34" i="12"/>
  <c r="BF35" i="12"/>
  <c r="BF36" i="12"/>
  <c r="BF37" i="12"/>
  <c r="BF38" i="12"/>
  <c r="BF39" i="12"/>
  <c r="BF40" i="12"/>
  <c r="BF42" i="12"/>
  <c r="BF43" i="12"/>
  <c r="BF44" i="12"/>
  <c r="BF45" i="12"/>
  <c r="BF46" i="12"/>
  <c r="BF47" i="12"/>
  <c r="BF48" i="12"/>
  <c r="BF49" i="12"/>
  <c r="BF50" i="12"/>
  <c r="BF51" i="12"/>
  <c r="BF52" i="12"/>
  <c r="BF53" i="12"/>
  <c r="BF54" i="12"/>
  <c r="BF55" i="12"/>
  <c r="BF56" i="12"/>
  <c r="BF57" i="12"/>
  <c r="BF58" i="12"/>
  <c r="BF59" i="12"/>
  <c r="BF60" i="12"/>
  <c r="BF61" i="12"/>
  <c r="BF62" i="12"/>
  <c r="BF63" i="12"/>
  <c r="BF64" i="12"/>
  <c r="BF65" i="12"/>
  <c r="BF66" i="12"/>
  <c r="BF67" i="12"/>
  <c r="BF68" i="12"/>
  <c r="BF69" i="12"/>
  <c r="BF70" i="12"/>
  <c r="BF71" i="12"/>
  <c r="BF72" i="12"/>
  <c r="BF73" i="12"/>
  <c r="BF74" i="12"/>
  <c r="BF75" i="12"/>
  <c r="BF76" i="12"/>
  <c r="BF77" i="12"/>
  <c r="BF78" i="12"/>
  <c r="BF79" i="12"/>
  <c r="BF82" i="12"/>
  <c r="BF83" i="12"/>
  <c r="BF84" i="12"/>
  <c r="BF85" i="12"/>
  <c r="BF86" i="12"/>
  <c r="BF87" i="12"/>
  <c r="BF88" i="12"/>
  <c r="BF89" i="12"/>
  <c r="BF90" i="12"/>
  <c r="BF91" i="12"/>
  <c r="BF92" i="12"/>
  <c r="BF93" i="12"/>
  <c r="BF94" i="12"/>
  <c r="BF95" i="12"/>
  <c r="BF96" i="12"/>
  <c r="BF97" i="12"/>
  <c r="BF98" i="12"/>
  <c r="BF99" i="12"/>
  <c r="BF100" i="12"/>
  <c r="BF101" i="12"/>
  <c r="BF102" i="12"/>
  <c r="BF103" i="12"/>
  <c r="BF104" i="12"/>
  <c r="BF105" i="12"/>
  <c r="BF106" i="12"/>
  <c r="BF107" i="12"/>
  <c r="BF108" i="12"/>
  <c r="BF109" i="12"/>
  <c r="BF110" i="12"/>
  <c r="BF111" i="12"/>
  <c r="BF112" i="12"/>
  <c r="BF113" i="12"/>
  <c r="BF114" i="12"/>
  <c r="BF115" i="12"/>
  <c r="BF116" i="12"/>
  <c r="BF117" i="12"/>
  <c r="BF118" i="12"/>
  <c r="BF119" i="12"/>
  <c r="BF120" i="12"/>
  <c r="BF121" i="12"/>
  <c r="BF122" i="12"/>
  <c r="BF123" i="12"/>
  <c r="BF124" i="12"/>
  <c r="BF125" i="12"/>
  <c r="BF126" i="12"/>
  <c r="BF127" i="12"/>
  <c r="BF128" i="12"/>
  <c r="BF129" i="12"/>
  <c r="BF130" i="12"/>
  <c r="BF131" i="12"/>
  <c r="BF132" i="12"/>
  <c r="BF133" i="12"/>
  <c r="BF134" i="12"/>
  <c r="BF135" i="12"/>
  <c r="BF136" i="12"/>
  <c r="BF138" i="12"/>
  <c r="BF139" i="12"/>
  <c r="BF140" i="12"/>
  <c r="BF141" i="12"/>
  <c r="BF142" i="12"/>
  <c r="BF143" i="12"/>
  <c r="BF145" i="12"/>
  <c r="BF146" i="12"/>
  <c r="BF147" i="12"/>
  <c r="BF148" i="12"/>
  <c r="BF149" i="12"/>
  <c r="BF150" i="12"/>
  <c r="BF151" i="12"/>
  <c r="BF152" i="12"/>
  <c r="BF153" i="12"/>
  <c r="BF154" i="12"/>
  <c r="BF155" i="12"/>
  <c r="BF156" i="12"/>
  <c r="BF157" i="12"/>
  <c r="BF158" i="12"/>
  <c r="BF159" i="12"/>
  <c r="BF160" i="12"/>
  <c r="BF161" i="12"/>
  <c r="BF162" i="12"/>
  <c r="BF163" i="12"/>
  <c r="BF164" i="12"/>
  <c r="BF165" i="12"/>
  <c r="BF166" i="12"/>
  <c r="BF167" i="12"/>
  <c r="BF168" i="12"/>
  <c r="BF169" i="12"/>
  <c r="BF170" i="12"/>
  <c r="BF171" i="12"/>
  <c r="BF172" i="12"/>
  <c r="BF173" i="12"/>
  <c r="BF174" i="12"/>
  <c r="BF175" i="12"/>
  <c r="BF176" i="12"/>
  <c r="BF177" i="12"/>
  <c r="BF178" i="12"/>
  <c r="BF179" i="12"/>
  <c r="BF180" i="12"/>
  <c r="BF181" i="12"/>
  <c r="BF182" i="12"/>
  <c r="BF183" i="12"/>
  <c r="BF184" i="12"/>
  <c r="BF185" i="12"/>
  <c r="BF186" i="12"/>
  <c r="BF187" i="12"/>
  <c r="BF188" i="12"/>
  <c r="BF189" i="12"/>
  <c r="BF190" i="12"/>
  <c r="BF191" i="12"/>
  <c r="BF15" i="12"/>
  <c r="BC84" i="12"/>
  <c r="BC165" i="12"/>
  <c r="BB27" i="12"/>
  <c r="BB28" i="12"/>
  <c r="BC28" i="12" s="1"/>
  <c r="BB29" i="12"/>
  <c r="BC29" i="12" s="1"/>
  <c r="BB30" i="12"/>
  <c r="BC30" i="12" s="1"/>
  <c r="BB31" i="12"/>
  <c r="BB32" i="12"/>
  <c r="BB33" i="12"/>
  <c r="BC33" i="12" s="1"/>
  <c r="BB34" i="12"/>
  <c r="BC34" i="12" s="1"/>
  <c r="BB35" i="12"/>
  <c r="BC35" i="12" s="1"/>
  <c r="BB36" i="12"/>
  <c r="BC36" i="12" s="1"/>
  <c r="BB37" i="12"/>
  <c r="BC37" i="12" s="1"/>
  <c r="BB38" i="12"/>
  <c r="BC38" i="12" s="1"/>
  <c r="BB39" i="12"/>
  <c r="BB40" i="12"/>
  <c r="BB41" i="12"/>
  <c r="BC41" i="12" s="1"/>
  <c r="BB42" i="12"/>
  <c r="BC42" i="12" s="1"/>
  <c r="BB43" i="12"/>
  <c r="BC43" i="12" s="1"/>
  <c r="BB44" i="12"/>
  <c r="BC44" i="12" s="1"/>
  <c r="BB45" i="12"/>
  <c r="BC45" i="12" s="1"/>
  <c r="BB46" i="12"/>
  <c r="BC46" i="12" s="1"/>
  <c r="BB47" i="12"/>
  <c r="BB48" i="12"/>
  <c r="BB49" i="12"/>
  <c r="BC49" i="12" s="1"/>
  <c r="BB50" i="12"/>
  <c r="BC50" i="12" s="1"/>
  <c r="BB51" i="12"/>
  <c r="BC51" i="12" s="1"/>
  <c r="BB52" i="12"/>
  <c r="BC52" i="12" s="1"/>
  <c r="BB53" i="12"/>
  <c r="BC53" i="12" s="1"/>
  <c r="BB54" i="12"/>
  <c r="BC54" i="12" s="1"/>
  <c r="BB55" i="12"/>
  <c r="BB56" i="12"/>
  <c r="BB57" i="12"/>
  <c r="BC57" i="12" s="1"/>
  <c r="BB58" i="12"/>
  <c r="BC58" i="12" s="1"/>
  <c r="BB59" i="12"/>
  <c r="BC59" i="12" s="1"/>
  <c r="BB60" i="12"/>
  <c r="BC60" i="12" s="1"/>
  <c r="BB61" i="12"/>
  <c r="BC61" i="12" s="1"/>
  <c r="BB62" i="12"/>
  <c r="BC62" i="12" s="1"/>
  <c r="BB63" i="12"/>
  <c r="BB64" i="12"/>
  <c r="BB65" i="12"/>
  <c r="BC65" i="12" s="1"/>
  <c r="BB66" i="12"/>
  <c r="BC66" i="12" s="1"/>
  <c r="BB67" i="12"/>
  <c r="BC67" i="12" s="1"/>
  <c r="BB68" i="12"/>
  <c r="BC68" i="12" s="1"/>
  <c r="BB69" i="12"/>
  <c r="BC69" i="12" s="1"/>
  <c r="BB70" i="12"/>
  <c r="BC70" i="12" s="1"/>
  <c r="BB71" i="12"/>
  <c r="BB72" i="12"/>
  <c r="BB73" i="12"/>
  <c r="BC73" i="12" s="1"/>
  <c r="BB74" i="12"/>
  <c r="BC74" i="12" s="1"/>
  <c r="BB75" i="12"/>
  <c r="BC75" i="12" s="1"/>
  <c r="BB76" i="12"/>
  <c r="BC76" i="12" s="1"/>
  <c r="BB77" i="12"/>
  <c r="BC77" i="12" s="1"/>
  <c r="BB78" i="12"/>
  <c r="BC78" i="12" s="1"/>
  <c r="BB79" i="12"/>
  <c r="BB80" i="12"/>
  <c r="BB81" i="12"/>
  <c r="BC81" i="12" s="1"/>
  <c r="BB82" i="12"/>
  <c r="BC82" i="12" s="1"/>
  <c r="BB83" i="12"/>
  <c r="BC83" i="12" s="1"/>
  <c r="BB84" i="12"/>
  <c r="BB85" i="12"/>
  <c r="BC85" i="12" s="1"/>
  <c r="BB86" i="12"/>
  <c r="BC86" i="12" s="1"/>
  <c r="BB87" i="12"/>
  <c r="BB88" i="12"/>
  <c r="BB89" i="12"/>
  <c r="BC89" i="12" s="1"/>
  <c r="BB90" i="12"/>
  <c r="BC90" i="12" s="1"/>
  <c r="BB91" i="12"/>
  <c r="BC91" i="12" s="1"/>
  <c r="BB92" i="12"/>
  <c r="BC92" i="12" s="1"/>
  <c r="BB93" i="12"/>
  <c r="BC93" i="12" s="1"/>
  <c r="BB94" i="12"/>
  <c r="BC94" i="12" s="1"/>
  <c r="BB95" i="12"/>
  <c r="BB96" i="12"/>
  <c r="BB97" i="12"/>
  <c r="BC97" i="12" s="1"/>
  <c r="BB98" i="12"/>
  <c r="BC98" i="12" s="1"/>
  <c r="BB99" i="12"/>
  <c r="BC99" i="12" s="1"/>
  <c r="BB100" i="12"/>
  <c r="BC100" i="12" s="1"/>
  <c r="BB101" i="12"/>
  <c r="BC101" i="12" s="1"/>
  <c r="BB102" i="12"/>
  <c r="BC102" i="12" s="1"/>
  <c r="BB103" i="12"/>
  <c r="BB104" i="12"/>
  <c r="BB105" i="12"/>
  <c r="BC105" i="12" s="1"/>
  <c r="BB106" i="12"/>
  <c r="BC106" i="12" s="1"/>
  <c r="BB107" i="12"/>
  <c r="BC107" i="12" s="1"/>
  <c r="BB108" i="12"/>
  <c r="BC108" i="12" s="1"/>
  <c r="BB109" i="12"/>
  <c r="BC109" i="12" s="1"/>
  <c r="BB110" i="12"/>
  <c r="BC110" i="12" s="1"/>
  <c r="BB111" i="12"/>
  <c r="BB112" i="12"/>
  <c r="BB113" i="12"/>
  <c r="BC113" i="12" s="1"/>
  <c r="BB114" i="12"/>
  <c r="BC114" i="12" s="1"/>
  <c r="BB115" i="12"/>
  <c r="BC115" i="12" s="1"/>
  <c r="BB116" i="12"/>
  <c r="BC116" i="12" s="1"/>
  <c r="BB117" i="12"/>
  <c r="BC117" i="12" s="1"/>
  <c r="BB118" i="12"/>
  <c r="BC118" i="12" s="1"/>
  <c r="BB119" i="12"/>
  <c r="BB120" i="12"/>
  <c r="BB121" i="12"/>
  <c r="BC121" i="12" s="1"/>
  <c r="BB122" i="12"/>
  <c r="BC122" i="12" s="1"/>
  <c r="BB123" i="12"/>
  <c r="BC123" i="12" s="1"/>
  <c r="BB124" i="12"/>
  <c r="BC124" i="12" s="1"/>
  <c r="BB125" i="12"/>
  <c r="BC125" i="12" s="1"/>
  <c r="BB126" i="12"/>
  <c r="BC126" i="12" s="1"/>
  <c r="BB127" i="12"/>
  <c r="BB128" i="12"/>
  <c r="BB129" i="12"/>
  <c r="BC129" i="12" s="1"/>
  <c r="BB130" i="12"/>
  <c r="BC130" i="12" s="1"/>
  <c r="BB131" i="12"/>
  <c r="BC131" i="12" s="1"/>
  <c r="BB132" i="12"/>
  <c r="BC132" i="12" s="1"/>
  <c r="BB133" i="12"/>
  <c r="BC133" i="12" s="1"/>
  <c r="BB134" i="12"/>
  <c r="BC134" i="12" s="1"/>
  <c r="BB135" i="12"/>
  <c r="BB136" i="12"/>
  <c r="BB137" i="12"/>
  <c r="BC137" i="12" s="1"/>
  <c r="BB138" i="12"/>
  <c r="BC138" i="12" s="1"/>
  <c r="BB139" i="12"/>
  <c r="BC139" i="12" s="1"/>
  <c r="BB140" i="12"/>
  <c r="BC140" i="12" s="1"/>
  <c r="BB141" i="12"/>
  <c r="BC141" i="12" s="1"/>
  <c r="BB142" i="12"/>
  <c r="BC142" i="12" s="1"/>
  <c r="BB143" i="12"/>
  <c r="BB144" i="12"/>
  <c r="BB145" i="12"/>
  <c r="BC145" i="12" s="1"/>
  <c r="BB146" i="12"/>
  <c r="BC146" i="12" s="1"/>
  <c r="BB147" i="12"/>
  <c r="BC147" i="12" s="1"/>
  <c r="BB148" i="12"/>
  <c r="BC148" i="12" s="1"/>
  <c r="BB149" i="12"/>
  <c r="BC149" i="12" s="1"/>
  <c r="BB150" i="12"/>
  <c r="BC150" i="12" s="1"/>
  <c r="BB151" i="12"/>
  <c r="BB152" i="12"/>
  <c r="BB153" i="12"/>
  <c r="BC153" i="12" s="1"/>
  <c r="BB154" i="12"/>
  <c r="BC154" i="12" s="1"/>
  <c r="BB155" i="12"/>
  <c r="BC155" i="12" s="1"/>
  <c r="BB156" i="12"/>
  <c r="BC156" i="12" s="1"/>
  <c r="BB157" i="12"/>
  <c r="BC157" i="12" s="1"/>
  <c r="BB158" i="12"/>
  <c r="BC158" i="12" s="1"/>
  <c r="BB159" i="12"/>
  <c r="BB160" i="12"/>
  <c r="BB161" i="12"/>
  <c r="BC161" i="12" s="1"/>
  <c r="BB162" i="12"/>
  <c r="BC162" i="12" s="1"/>
  <c r="BB163" i="12"/>
  <c r="BC163" i="12" s="1"/>
  <c r="BB164" i="12"/>
  <c r="BC164" i="12" s="1"/>
  <c r="BB165" i="12"/>
  <c r="BB166" i="12"/>
  <c r="BC166" i="12" s="1"/>
  <c r="BB167" i="12"/>
  <c r="BB168" i="12"/>
  <c r="BB169" i="12"/>
  <c r="BC169" i="12" s="1"/>
  <c r="BB170" i="12"/>
  <c r="BC170" i="12" s="1"/>
  <c r="BB171" i="12"/>
  <c r="BC171" i="12" s="1"/>
  <c r="BB172" i="12"/>
  <c r="BC172" i="12" s="1"/>
  <c r="BB173" i="12"/>
  <c r="BC173" i="12" s="1"/>
  <c r="BB174" i="12"/>
  <c r="BC174" i="12" s="1"/>
  <c r="BB175" i="12"/>
  <c r="BB176" i="12"/>
  <c r="BB177" i="12"/>
  <c r="BC177" i="12" s="1"/>
  <c r="BB178" i="12"/>
  <c r="BC178" i="12" s="1"/>
  <c r="BB179" i="12"/>
  <c r="BC179" i="12" s="1"/>
  <c r="BB180" i="12"/>
  <c r="BC180" i="12" s="1"/>
  <c r="BB181" i="12"/>
  <c r="BC181" i="12" s="1"/>
  <c r="BB182" i="12"/>
  <c r="BC182" i="12" s="1"/>
  <c r="BB183" i="12"/>
  <c r="BB184" i="12"/>
  <c r="BB185" i="12"/>
  <c r="BC185" i="12" s="1"/>
  <c r="BB186" i="12"/>
  <c r="BC186" i="12" s="1"/>
  <c r="BB187" i="12"/>
  <c r="BC187" i="12" s="1"/>
  <c r="BB188" i="12"/>
  <c r="BC188" i="12" s="1"/>
  <c r="BB189" i="12"/>
  <c r="BC189" i="12" s="1"/>
  <c r="BB190" i="12"/>
  <c r="BC190" i="12" s="1"/>
  <c r="BB191" i="12"/>
  <c r="BB3" i="12"/>
  <c r="BB4" i="12"/>
  <c r="BC4" i="12" s="1"/>
  <c r="BB5" i="12"/>
  <c r="BB6" i="12"/>
  <c r="BB7" i="12"/>
  <c r="BB8" i="12"/>
  <c r="BC8" i="12" s="1"/>
  <c r="BB9" i="12"/>
  <c r="BC9" i="12" s="1"/>
  <c r="BB10" i="12"/>
  <c r="BB11" i="12"/>
  <c r="BB12" i="12"/>
  <c r="BB13" i="12"/>
  <c r="BB14" i="12"/>
  <c r="BB15" i="12"/>
  <c r="BB16" i="12"/>
  <c r="BC16" i="12" s="1"/>
  <c r="BB17" i="12"/>
  <c r="BB18" i="12"/>
  <c r="BB19" i="12"/>
  <c r="BB20" i="12"/>
  <c r="BC20" i="12" s="1"/>
  <c r="BB21" i="12"/>
  <c r="BB22" i="12"/>
  <c r="BB23" i="12"/>
  <c r="BB24" i="12"/>
  <c r="BC24" i="12" s="1"/>
  <c r="BB25" i="12"/>
  <c r="BC25" i="12" s="1"/>
  <c r="BB26" i="12"/>
  <c r="BB2" i="12"/>
  <c r="BA66" i="12"/>
  <c r="BA27" i="12"/>
  <c r="BA28" i="12"/>
  <c r="BA29" i="12"/>
  <c r="BA30" i="12"/>
  <c r="BA31" i="12"/>
  <c r="BA32" i="12"/>
  <c r="BA33" i="12"/>
  <c r="BA34" i="12"/>
  <c r="BA35" i="12"/>
  <c r="BA36" i="12"/>
  <c r="BA37" i="12"/>
  <c r="BA38" i="12"/>
  <c r="BA39" i="12"/>
  <c r="BA40" i="12"/>
  <c r="BA41" i="12"/>
  <c r="BA42" i="12"/>
  <c r="BA43" i="12"/>
  <c r="BA44" i="12"/>
  <c r="BA45" i="12"/>
  <c r="BA46" i="12"/>
  <c r="BA47" i="12"/>
  <c r="BA48" i="12"/>
  <c r="BA49" i="12"/>
  <c r="BA50" i="12"/>
  <c r="BA51" i="12"/>
  <c r="BA52" i="12"/>
  <c r="BA53" i="12"/>
  <c r="BA54" i="12"/>
  <c r="BA55" i="12"/>
  <c r="BA56" i="12"/>
  <c r="BA57" i="12"/>
  <c r="BD58" i="12"/>
  <c r="BA59" i="12"/>
  <c r="BA60" i="12"/>
  <c r="BA61" i="12"/>
  <c r="BA62" i="12"/>
  <c r="BA63" i="12"/>
  <c r="BA64" i="12"/>
  <c r="BA65" i="12"/>
  <c r="BA67" i="12"/>
  <c r="BA68" i="12"/>
  <c r="BA69" i="12"/>
  <c r="BA70" i="12"/>
  <c r="BA71" i="12"/>
  <c r="BA72" i="12"/>
  <c r="BA73" i="12"/>
  <c r="BA74" i="12"/>
  <c r="BA75" i="12"/>
  <c r="BA76" i="12"/>
  <c r="BA77" i="12"/>
  <c r="BA78" i="12"/>
  <c r="BA79" i="12"/>
  <c r="BA80" i="12"/>
  <c r="BA81" i="12"/>
  <c r="BA82" i="12"/>
  <c r="BA83" i="12"/>
  <c r="BA84" i="12"/>
  <c r="BA85" i="12"/>
  <c r="BA86" i="12"/>
  <c r="BA87" i="12"/>
  <c r="BA88" i="12"/>
  <c r="BA89" i="12"/>
  <c r="BA90" i="12"/>
  <c r="BA91" i="12"/>
  <c r="BA92" i="12"/>
  <c r="BA93" i="12"/>
  <c r="BA94" i="12"/>
  <c r="BA95" i="12"/>
  <c r="BA96" i="12"/>
  <c r="BA97" i="12"/>
  <c r="BA98" i="12"/>
  <c r="BA99" i="12"/>
  <c r="BA100" i="12"/>
  <c r="BA101" i="12"/>
  <c r="BA102" i="12"/>
  <c r="BA103" i="12"/>
  <c r="BA104" i="12"/>
  <c r="BA105" i="12"/>
  <c r="BA106" i="12"/>
  <c r="BA107" i="12"/>
  <c r="BA108" i="12"/>
  <c r="BA109" i="12"/>
  <c r="BA110" i="12"/>
  <c r="BA111" i="12"/>
  <c r="BA112" i="12"/>
  <c r="BA113" i="12"/>
  <c r="BA114" i="12"/>
  <c r="BA115" i="12"/>
  <c r="BA116" i="12"/>
  <c r="BA117" i="12"/>
  <c r="BA118" i="12"/>
  <c r="BA119" i="12"/>
  <c r="BA120" i="12"/>
  <c r="BA121" i="12"/>
  <c r="BA122" i="12"/>
  <c r="BA123" i="12"/>
  <c r="BA124" i="12"/>
  <c r="BA125" i="12"/>
  <c r="BA126" i="12"/>
  <c r="BA127" i="12"/>
  <c r="BA128" i="12"/>
  <c r="BA129" i="12"/>
  <c r="BA130" i="12"/>
  <c r="BA131" i="12"/>
  <c r="BA132" i="12"/>
  <c r="BA133" i="12"/>
  <c r="BA134" i="12"/>
  <c r="BA135" i="12"/>
  <c r="BA136" i="12"/>
  <c r="BA137" i="12"/>
  <c r="BA138" i="12"/>
  <c r="BA139" i="12"/>
  <c r="BA140" i="12"/>
  <c r="BA141" i="12"/>
  <c r="BA142" i="12"/>
  <c r="BA143" i="12"/>
  <c r="BA144" i="12"/>
  <c r="BA145" i="12"/>
  <c r="BA146" i="12"/>
  <c r="BA147" i="12"/>
  <c r="BA148" i="12"/>
  <c r="BA149" i="12"/>
  <c r="BA150" i="12"/>
  <c r="BA151" i="12"/>
  <c r="BA152" i="12"/>
  <c r="BA153" i="12"/>
  <c r="BA154" i="12"/>
  <c r="BA155" i="12"/>
  <c r="BA156" i="12"/>
  <c r="BA157" i="12"/>
  <c r="BA158" i="12"/>
  <c r="BA159" i="12"/>
  <c r="BA160" i="12"/>
  <c r="BA161" i="12"/>
  <c r="BA162" i="12"/>
  <c r="BA163" i="12"/>
  <c r="BA164" i="12"/>
  <c r="BA165" i="12"/>
  <c r="BA166" i="12"/>
  <c r="BA167" i="12"/>
  <c r="BA168" i="12"/>
  <c r="BA169" i="12"/>
  <c r="BA170" i="12"/>
  <c r="BA171" i="12"/>
  <c r="BA172" i="12"/>
  <c r="BA173" i="12"/>
  <c r="BA174" i="12"/>
  <c r="BA175" i="12"/>
  <c r="BA176" i="12"/>
  <c r="BA177" i="12"/>
  <c r="BA178" i="12"/>
  <c r="BA179" i="12"/>
  <c r="BA180" i="12"/>
  <c r="BA181" i="12"/>
  <c r="BA182" i="12"/>
  <c r="BA183" i="12"/>
  <c r="BA184" i="12"/>
  <c r="BA185" i="12"/>
  <c r="BA186" i="12"/>
  <c r="BA187" i="12"/>
  <c r="BA188" i="12"/>
  <c r="BA189" i="12"/>
  <c r="BA190" i="12"/>
  <c r="BA191" i="12"/>
  <c r="BA3" i="12"/>
  <c r="BD6" i="12"/>
  <c r="BA9" i="12"/>
  <c r="BA10" i="12"/>
  <c r="BA11" i="12"/>
  <c r="BD13" i="12"/>
  <c r="BD14" i="12"/>
  <c r="BA17" i="12"/>
  <c r="BA18" i="12"/>
  <c r="BA19" i="12"/>
  <c r="BD21" i="12"/>
  <c r="BD22" i="12"/>
  <c r="BA25" i="12"/>
  <c r="BA26" i="12"/>
  <c r="BA2" i="12"/>
  <c r="AW27" i="12"/>
  <c r="AX27" i="12" s="1"/>
  <c r="AW28" i="12"/>
  <c r="AX28" i="12" s="1"/>
  <c r="AW29" i="12"/>
  <c r="AW30" i="12"/>
  <c r="AX30" i="12" s="1"/>
  <c r="AW31" i="12"/>
  <c r="AW32" i="12"/>
  <c r="AX32" i="12" s="1"/>
  <c r="AW33" i="12"/>
  <c r="AX33" i="12" s="1"/>
  <c r="AW34" i="12"/>
  <c r="AX34" i="12" s="1"/>
  <c r="AW35" i="12"/>
  <c r="AX35" i="12" s="1"/>
  <c r="AW36" i="12"/>
  <c r="AX36" i="12" s="1"/>
  <c r="AW37" i="12"/>
  <c r="AW38" i="12"/>
  <c r="AX38" i="12" s="1"/>
  <c r="AW39" i="12"/>
  <c r="AW40" i="12"/>
  <c r="AX40" i="12" s="1"/>
  <c r="AW41" i="12"/>
  <c r="AX41" i="12" s="1"/>
  <c r="AW42" i="12"/>
  <c r="AX42" i="12" s="1"/>
  <c r="AW43" i="12"/>
  <c r="AX43" i="12" s="1"/>
  <c r="AW44" i="12"/>
  <c r="AX44" i="12" s="1"/>
  <c r="AW45" i="12"/>
  <c r="AW46" i="12"/>
  <c r="AX46" i="12" s="1"/>
  <c r="AW47" i="12"/>
  <c r="AW48" i="12"/>
  <c r="AX48" i="12" s="1"/>
  <c r="AW49" i="12"/>
  <c r="AX49" i="12" s="1"/>
  <c r="AW50" i="12"/>
  <c r="AX50" i="12" s="1"/>
  <c r="AW51" i="12"/>
  <c r="AX51" i="12" s="1"/>
  <c r="AW52" i="12"/>
  <c r="AX52" i="12" s="1"/>
  <c r="AW53" i="12"/>
  <c r="AW54" i="12"/>
  <c r="AX54" i="12" s="1"/>
  <c r="AW55" i="12"/>
  <c r="AW56" i="12"/>
  <c r="AX56" i="12" s="1"/>
  <c r="AW57" i="12"/>
  <c r="AX57" i="12" s="1"/>
  <c r="AW58" i="12"/>
  <c r="AX58" i="12" s="1"/>
  <c r="AW59" i="12"/>
  <c r="AX59" i="12" s="1"/>
  <c r="AW60" i="12"/>
  <c r="AX60" i="12" s="1"/>
  <c r="AW61" i="12"/>
  <c r="AW62" i="12"/>
  <c r="AX62" i="12" s="1"/>
  <c r="AW63" i="12"/>
  <c r="AW64" i="12"/>
  <c r="AX64" i="12" s="1"/>
  <c r="AW65" i="12"/>
  <c r="AX65" i="12" s="1"/>
  <c r="AW66" i="12"/>
  <c r="AX66" i="12" s="1"/>
  <c r="AW67" i="12"/>
  <c r="AX67" i="12" s="1"/>
  <c r="AW68" i="12"/>
  <c r="AX68" i="12" s="1"/>
  <c r="AW69" i="12"/>
  <c r="AW70" i="12"/>
  <c r="AX70" i="12" s="1"/>
  <c r="AW71" i="12"/>
  <c r="AW72" i="12"/>
  <c r="AX72" i="12" s="1"/>
  <c r="AW73" i="12"/>
  <c r="AX73" i="12" s="1"/>
  <c r="AW74" i="12"/>
  <c r="AX74" i="12" s="1"/>
  <c r="AW75" i="12"/>
  <c r="AW76" i="12"/>
  <c r="AX76" i="12" s="1"/>
  <c r="AW77" i="12"/>
  <c r="AW78" i="12"/>
  <c r="AX78" i="12" s="1"/>
  <c r="AW79" i="12"/>
  <c r="AW80" i="12"/>
  <c r="AW81" i="12"/>
  <c r="AX81" i="12" s="1"/>
  <c r="AW82" i="12"/>
  <c r="AX82" i="12" s="1"/>
  <c r="AW83" i="12"/>
  <c r="AW84" i="12"/>
  <c r="AX84" i="12" s="1"/>
  <c r="AW85" i="12"/>
  <c r="AW86" i="12"/>
  <c r="AX86" i="12" s="1"/>
  <c r="AW87" i="12"/>
  <c r="AW88" i="12"/>
  <c r="AX88" i="12" s="1"/>
  <c r="AW89" i="12"/>
  <c r="AX89" i="12" s="1"/>
  <c r="AW90" i="12"/>
  <c r="AX90" i="12" s="1"/>
  <c r="AW91" i="12"/>
  <c r="AW92" i="12"/>
  <c r="AX92" i="12" s="1"/>
  <c r="AW93" i="12"/>
  <c r="AW94" i="12"/>
  <c r="AX94" i="12" s="1"/>
  <c r="AW95" i="12"/>
  <c r="AW96" i="12"/>
  <c r="AX96" i="12" s="1"/>
  <c r="AW97" i="12"/>
  <c r="AX97" i="12" s="1"/>
  <c r="AW98" i="12"/>
  <c r="AX98" i="12" s="1"/>
  <c r="AW99" i="12"/>
  <c r="AX99" i="12" s="1"/>
  <c r="AW100" i="12"/>
  <c r="AX100" i="12" s="1"/>
  <c r="AW101" i="12"/>
  <c r="AW102" i="12"/>
  <c r="AX102" i="12" s="1"/>
  <c r="AW103" i="12"/>
  <c r="AW104" i="12"/>
  <c r="AX104" i="12" s="1"/>
  <c r="AW105" i="12"/>
  <c r="AX105" i="12" s="1"/>
  <c r="AW106" i="12"/>
  <c r="AX106" i="12" s="1"/>
  <c r="AW107" i="12"/>
  <c r="AX107" i="12" s="1"/>
  <c r="AW108" i="12"/>
  <c r="AX108" i="12" s="1"/>
  <c r="AW109" i="12"/>
  <c r="AW110" i="12"/>
  <c r="AX110" i="12" s="1"/>
  <c r="AW111" i="12"/>
  <c r="AW112" i="12"/>
  <c r="AX112" i="12" s="1"/>
  <c r="AW113" i="12"/>
  <c r="AX113" i="12" s="1"/>
  <c r="AW114" i="12"/>
  <c r="AX114" i="12" s="1"/>
  <c r="AW115" i="12"/>
  <c r="AX115" i="12" s="1"/>
  <c r="AW116" i="12"/>
  <c r="AX116" i="12" s="1"/>
  <c r="AW117" i="12"/>
  <c r="AW118" i="12"/>
  <c r="AX118" i="12" s="1"/>
  <c r="AW119" i="12"/>
  <c r="AW120" i="12"/>
  <c r="AX120" i="12" s="1"/>
  <c r="AW121" i="12"/>
  <c r="AX121" i="12" s="1"/>
  <c r="AW122" i="12"/>
  <c r="AX122" i="12" s="1"/>
  <c r="AW123" i="12"/>
  <c r="AW124" i="12"/>
  <c r="AX124" i="12" s="1"/>
  <c r="AW125" i="12"/>
  <c r="AW126" i="12"/>
  <c r="AX126" i="12" s="1"/>
  <c r="AW127" i="12"/>
  <c r="AW128" i="12"/>
  <c r="AX128" i="12" s="1"/>
  <c r="AW129" i="12"/>
  <c r="AX129" i="12" s="1"/>
  <c r="AW130" i="12"/>
  <c r="AX130" i="12" s="1"/>
  <c r="AW131" i="12"/>
  <c r="AW132" i="12"/>
  <c r="AX132" i="12" s="1"/>
  <c r="AW133" i="12"/>
  <c r="AW134" i="12"/>
  <c r="AX134" i="12" s="1"/>
  <c r="AW135" i="12"/>
  <c r="AW136" i="12"/>
  <c r="AX136" i="12" s="1"/>
  <c r="AW137" i="12"/>
  <c r="AX137" i="12" s="1"/>
  <c r="AW138" i="12"/>
  <c r="AX138" i="12" s="1"/>
  <c r="AW139" i="12"/>
  <c r="AW140" i="12"/>
  <c r="AX140" i="12" s="1"/>
  <c r="AW141" i="12"/>
  <c r="AW142" i="12"/>
  <c r="AX142" i="12" s="1"/>
  <c r="AW143" i="12"/>
  <c r="AW144" i="12"/>
  <c r="AW145" i="12"/>
  <c r="AX145" i="12" s="1"/>
  <c r="AW146" i="12"/>
  <c r="AX146" i="12" s="1"/>
  <c r="AW147" i="12"/>
  <c r="AX147" i="12" s="1"/>
  <c r="AW148" i="12"/>
  <c r="AX148" i="12" s="1"/>
  <c r="AW149" i="12"/>
  <c r="AW150" i="12"/>
  <c r="AX150" i="12" s="1"/>
  <c r="AW151" i="12"/>
  <c r="AW152" i="12"/>
  <c r="AX152" i="12" s="1"/>
  <c r="AW153" i="12"/>
  <c r="AX153" i="12" s="1"/>
  <c r="AW154" i="12"/>
  <c r="AX154" i="12" s="1"/>
  <c r="AW155" i="12"/>
  <c r="AX155" i="12" s="1"/>
  <c r="AW156" i="12"/>
  <c r="AX156" i="12" s="1"/>
  <c r="AW157" i="12"/>
  <c r="AW158" i="12"/>
  <c r="AX158" i="12" s="1"/>
  <c r="AW159" i="12"/>
  <c r="AW160" i="12"/>
  <c r="AX160" i="12" s="1"/>
  <c r="AW161" i="12"/>
  <c r="AX161" i="12" s="1"/>
  <c r="AW162" i="12"/>
  <c r="AX162" i="12" s="1"/>
  <c r="AW163" i="12"/>
  <c r="AX163" i="12" s="1"/>
  <c r="AW164" i="12"/>
  <c r="AX164" i="12" s="1"/>
  <c r="AW165" i="12"/>
  <c r="AW166" i="12"/>
  <c r="AX166" i="12" s="1"/>
  <c r="AW167" i="12"/>
  <c r="AW168" i="12"/>
  <c r="AX168" i="12" s="1"/>
  <c r="AW169" i="12"/>
  <c r="AX169" i="12" s="1"/>
  <c r="AW170" i="12"/>
  <c r="AX170" i="12" s="1"/>
  <c r="AW171" i="12"/>
  <c r="AX171" i="12" s="1"/>
  <c r="AW172" i="12"/>
  <c r="AX172" i="12" s="1"/>
  <c r="AW173" i="12"/>
  <c r="AW174" i="12"/>
  <c r="AX174" i="12" s="1"/>
  <c r="AW175" i="12"/>
  <c r="AW176" i="12"/>
  <c r="AW177" i="12"/>
  <c r="AX177" i="12" s="1"/>
  <c r="AW178" i="12"/>
  <c r="AX178" i="12" s="1"/>
  <c r="AW179" i="12"/>
  <c r="AW180" i="12"/>
  <c r="AX180" i="12" s="1"/>
  <c r="AW181" i="12"/>
  <c r="AW182" i="12"/>
  <c r="AX182" i="12" s="1"/>
  <c r="AW183" i="12"/>
  <c r="AW184" i="12"/>
  <c r="AX184" i="12" s="1"/>
  <c r="AW185" i="12"/>
  <c r="AX185" i="12" s="1"/>
  <c r="AW186" i="12"/>
  <c r="AX186" i="12" s="1"/>
  <c r="AW187" i="12"/>
  <c r="AW188" i="12"/>
  <c r="AX188" i="12" s="1"/>
  <c r="AW189" i="12"/>
  <c r="AW190" i="12"/>
  <c r="AX190" i="12" s="1"/>
  <c r="AW191" i="12"/>
  <c r="AW3" i="12"/>
  <c r="AX3" i="12" s="1"/>
  <c r="AW4" i="12"/>
  <c r="AW5" i="12"/>
  <c r="AW6" i="12"/>
  <c r="AW7" i="12"/>
  <c r="AW8" i="12"/>
  <c r="AW9" i="12"/>
  <c r="AW10" i="12"/>
  <c r="AW11" i="12"/>
  <c r="AW12" i="12"/>
  <c r="AW13" i="12"/>
  <c r="AX13" i="12" s="1"/>
  <c r="AW14" i="12"/>
  <c r="AW15" i="12"/>
  <c r="AW16" i="12"/>
  <c r="AW17" i="12"/>
  <c r="AW18" i="12"/>
  <c r="AW19" i="12"/>
  <c r="AW20" i="12"/>
  <c r="AX20" i="12" s="1"/>
  <c r="AW21" i="12"/>
  <c r="AX21" i="12" s="1"/>
  <c r="AW22" i="12"/>
  <c r="AW23" i="12"/>
  <c r="AW24" i="12"/>
  <c r="AW25" i="12"/>
  <c r="AW26" i="12"/>
  <c r="AW2" i="12"/>
  <c r="AV27" i="12"/>
  <c r="AV28" i="12"/>
  <c r="AV29" i="12"/>
  <c r="AV30" i="12"/>
  <c r="AV31" i="12"/>
  <c r="AV32" i="12"/>
  <c r="AV33" i="12"/>
  <c r="AV35" i="12"/>
  <c r="AV36" i="12"/>
  <c r="AV37" i="12"/>
  <c r="AV38" i="12"/>
  <c r="AV39" i="12"/>
  <c r="AV40" i="12"/>
  <c r="AV41" i="12"/>
  <c r="AV43" i="12"/>
  <c r="AV44" i="12"/>
  <c r="AV45" i="12"/>
  <c r="AV46" i="12"/>
  <c r="AV47" i="12"/>
  <c r="AV48" i="12"/>
  <c r="AV49" i="12"/>
  <c r="AV51" i="12"/>
  <c r="AV52" i="12"/>
  <c r="AV53" i="12"/>
  <c r="AV54" i="12"/>
  <c r="AV55" i="12"/>
  <c r="AV56" i="12"/>
  <c r="AV57" i="12"/>
  <c r="AV59" i="12"/>
  <c r="AV60" i="12"/>
  <c r="AV61" i="12"/>
  <c r="AV62" i="12"/>
  <c r="AV63" i="12"/>
  <c r="AV64" i="12"/>
  <c r="AV65" i="12"/>
  <c r="AV67" i="12"/>
  <c r="AV68" i="12"/>
  <c r="AV69" i="12"/>
  <c r="AV70" i="12"/>
  <c r="AV71" i="12"/>
  <c r="AV72" i="12"/>
  <c r="AV73" i="12"/>
  <c r="AV75" i="12"/>
  <c r="AV76" i="12"/>
  <c r="AV77" i="12"/>
  <c r="AV78" i="12"/>
  <c r="AV79" i="12"/>
  <c r="AV80" i="12"/>
  <c r="AV81" i="12"/>
  <c r="AV83" i="12"/>
  <c r="AV84" i="12"/>
  <c r="AV85" i="12"/>
  <c r="AV86" i="12"/>
  <c r="AV87" i="12"/>
  <c r="AV88" i="12"/>
  <c r="AV89" i="12"/>
  <c r="AV91" i="12"/>
  <c r="AV92" i="12"/>
  <c r="AV93" i="12"/>
  <c r="AV94" i="12"/>
  <c r="AV95" i="12"/>
  <c r="AV96" i="12"/>
  <c r="AV97" i="12"/>
  <c r="AV99" i="12"/>
  <c r="AV100" i="12"/>
  <c r="AV101" i="12"/>
  <c r="AV102" i="12"/>
  <c r="AV103" i="12"/>
  <c r="AV104" i="12"/>
  <c r="AV105" i="12"/>
  <c r="AV107" i="12"/>
  <c r="AV108" i="12"/>
  <c r="AV109" i="12"/>
  <c r="AV110" i="12"/>
  <c r="AV111" i="12"/>
  <c r="AV112" i="12"/>
  <c r="AV113" i="12"/>
  <c r="AV115" i="12"/>
  <c r="AV116" i="12"/>
  <c r="AV117" i="12"/>
  <c r="AV118" i="12"/>
  <c r="AV119" i="12"/>
  <c r="AV120" i="12"/>
  <c r="AV121" i="12"/>
  <c r="AV123" i="12"/>
  <c r="AV124" i="12"/>
  <c r="AV125" i="12"/>
  <c r="AV126" i="12"/>
  <c r="AV127" i="12"/>
  <c r="AV128" i="12"/>
  <c r="AV129" i="12"/>
  <c r="AV131" i="12"/>
  <c r="AV132" i="12"/>
  <c r="AV133" i="12"/>
  <c r="AV134" i="12"/>
  <c r="AV135" i="12"/>
  <c r="AV136" i="12"/>
  <c r="AV137" i="12"/>
  <c r="AV139" i="12"/>
  <c r="AV140" i="12"/>
  <c r="AV141" i="12"/>
  <c r="AV142" i="12"/>
  <c r="AV143" i="12"/>
  <c r="AV144" i="12"/>
  <c r="AV145" i="12"/>
  <c r="AV147" i="12"/>
  <c r="AV148" i="12"/>
  <c r="AV149" i="12"/>
  <c r="AV150" i="12"/>
  <c r="AV151" i="12"/>
  <c r="AV152" i="12"/>
  <c r="AV153" i="12"/>
  <c r="AV155" i="12"/>
  <c r="AV156" i="12"/>
  <c r="AV157" i="12"/>
  <c r="AV158" i="12"/>
  <c r="AV159" i="12"/>
  <c r="AV160" i="12"/>
  <c r="AV161" i="12"/>
  <c r="AV163" i="12"/>
  <c r="AV164" i="12"/>
  <c r="AV165" i="12"/>
  <c r="AV166" i="12"/>
  <c r="AV167" i="12"/>
  <c r="AV168" i="12"/>
  <c r="AV169" i="12"/>
  <c r="AV171" i="12"/>
  <c r="AV172" i="12"/>
  <c r="AV173" i="12"/>
  <c r="AV174" i="12"/>
  <c r="AV175" i="12"/>
  <c r="AV176" i="12"/>
  <c r="AV177" i="12"/>
  <c r="AV179" i="12"/>
  <c r="AV180" i="12"/>
  <c r="AV181" i="12"/>
  <c r="AV182" i="12"/>
  <c r="AV183" i="12"/>
  <c r="AV184" i="12"/>
  <c r="AV185" i="12"/>
  <c r="AV187" i="12"/>
  <c r="AV188" i="12"/>
  <c r="AV189" i="12"/>
  <c r="AV190" i="12"/>
  <c r="AV191" i="12"/>
  <c r="AV8" i="12"/>
  <c r="AV9" i="12"/>
  <c r="AV10" i="12"/>
  <c r="AV16" i="12"/>
  <c r="AV17" i="12"/>
  <c r="AV18" i="12"/>
  <c r="AV24" i="12"/>
  <c r="AV25" i="12"/>
  <c r="AV26" i="12"/>
  <c r="AR27" i="12"/>
  <c r="AS27" i="12" s="1"/>
  <c r="AR28" i="12"/>
  <c r="AS28" i="12" s="1"/>
  <c r="AR29" i="12"/>
  <c r="AS29" i="12" s="1"/>
  <c r="AR30" i="12"/>
  <c r="AR31" i="12"/>
  <c r="AR32" i="12"/>
  <c r="AR33" i="12"/>
  <c r="AS33" i="12" s="1"/>
  <c r="AR34" i="12"/>
  <c r="AS34" i="12" s="1"/>
  <c r="AR35" i="12"/>
  <c r="AS35" i="12" s="1"/>
  <c r="AR36" i="12"/>
  <c r="AS36" i="12" s="1"/>
  <c r="AR37" i="12"/>
  <c r="AS37" i="12" s="1"/>
  <c r="AR38" i="12"/>
  <c r="AR39" i="12"/>
  <c r="AR40" i="12"/>
  <c r="AR41" i="12"/>
  <c r="AS41" i="12" s="1"/>
  <c r="AR42" i="12"/>
  <c r="AS42" i="12" s="1"/>
  <c r="AR43" i="12"/>
  <c r="AS43" i="12" s="1"/>
  <c r="AR44" i="12"/>
  <c r="AS44" i="12" s="1"/>
  <c r="AR45" i="12"/>
  <c r="AS45" i="12" s="1"/>
  <c r="AR46" i="12"/>
  <c r="AR47" i="12"/>
  <c r="AR48" i="12"/>
  <c r="AR49" i="12"/>
  <c r="AS49" i="12" s="1"/>
  <c r="AR50" i="12"/>
  <c r="AS50" i="12" s="1"/>
  <c r="AR51" i="12"/>
  <c r="AS51" i="12" s="1"/>
  <c r="AR52" i="12"/>
  <c r="AS52" i="12" s="1"/>
  <c r="AR53" i="12"/>
  <c r="AS53" i="12" s="1"/>
  <c r="AR54" i="12"/>
  <c r="AR55" i="12"/>
  <c r="AR56" i="12"/>
  <c r="AR57" i="12"/>
  <c r="AS57" i="12" s="1"/>
  <c r="AR58" i="12"/>
  <c r="AS58" i="12" s="1"/>
  <c r="AR59" i="12"/>
  <c r="AS59" i="12" s="1"/>
  <c r="AR60" i="12"/>
  <c r="AS60" i="12" s="1"/>
  <c r="AR61" i="12"/>
  <c r="AS61" i="12" s="1"/>
  <c r="AR62" i="12"/>
  <c r="AR63" i="12"/>
  <c r="AR64" i="12"/>
  <c r="AR65" i="12"/>
  <c r="AS65" i="12" s="1"/>
  <c r="AR66" i="12"/>
  <c r="AS66" i="12" s="1"/>
  <c r="AR67" i="12"/>
  <c r="AS67" i="12" s="1"/>
  <c r="AR68" i="12"/>
  <c r="AS68" i="12" s="1"/>
  <c r="AR69" i="12"/>
  <c r="AS69" i="12" s="1"/>
  <c r="AR70" i="12"/>
  <c r="AR71" i="12"/>
  <c r="AR72" i="12"/>
  <c r="AR73" i="12"/>
  <c r="AS73" i="12" s="1"/>
  <c r="AR74" i="12"/>
  <c r="AS74" i="12" s="1"/>
  <c r="AR75" i="12"/>
  <c r="AS75" i="12" s="1"/>
  <c r="AR76" i="12"/>
  <c r="AS76" i="12" s="1"/>
  <c r="AR77" i="12"/>
  <c r="AS77" i="12" s="1"/>
  <c r="AR78" i="12"/>
  <c r="AR79" i="12"/>
  <c r="AR80" i="12"/>
  <c r="AR81" i="12"/>
  <c r="AS81" i="12" s="1"/>
  <c r="AR82" i="12"/>
  <c r="AS82" i="12" s="1"/>
  <c r="AR83" i="12"/>
  <c r="AS83" i="12" s="1"/>
  <c r="AR84" i="12"/>
  <c r="AS84" i="12" s="1"/>
  <c r="AR85" i="12"/>
  <c r="AS85" i="12" s="1"/>
  <c r="AR86" i="12"/>
  <c r="AR87" i="12"/>
  <c r="AR88" i="12"/>
  <c r="AR89" i="12"/>
  <c r="AS89" i="12" s="1"/>
  <c r="AR90" i="12"/>
  <c r="AS90" i="12" s="1"/>
  <c r="AR91" i="12"/>
  <c r="AS91" i="12" s="1"/>
  <c r="AR92" i="12"/>
  <c r="AS92" i="12" s="1"/>
  <c r="AR93" i="12"/>
  <c r="AS93" i="12" s="1"/>
  <c r="AR94" i="12"/>
  <c r="AR95" i="12"/>
  <c r="AR96" i="12"/>
  <c r="AR97" i="12"/>
  <c r="AS97" i="12" s="1"/>
  <c r="AR98" i="12"/>
  <c r="AS98" i="12" s="1"/>
  <c r="AR99" i="12"/>
  <c r="AS99" i="12" s="1"/>
  <c r="AR100" i="12"/>
  <c r="AS100" i="12" s="1"/>
  <c r="AR101" i="12"/>
  <c r="AS101" i="12" s="1"/>
  <c r="AR102" i="12"/>
  <c r="AR103" i="12"/>
  <c r="AR104" i="12"/>
  <c r="AR105" i="12"/>
  <c r="AS105" i="12" s="1"/>
  <c r="AR106" i="12"/>
  <c r="AS106" i="12" s="1"/>
  <c r="AR107" i="12"/>
  <c r="AS107" i="12" s="1"/>
  <c r="AR108" i="12"/>
  <c r="AS108" i="12" s="1"/>
  <c r="AR109" i="12"/>
  <c r="AS109" i="12" s="1"/>
  <c r="AR110" i="12"/>
  <c r="AR111" i="12"/>
  <c r="AR112" i="12"/>
  <c r="AR113" i="12"/>
  <c r="AS113" i="12" s="1"/>
  <c r="AR114" i="12"/>
  <c r="AS114" i="12" s="1"/>
  <c r="AR115" i="12"/>
  <c r="AS115" i="12" s="1"/>
  <c r="AR116" i="12"/>
  <c r="AS116" i="12" s="1"/>
  <c r="AR117" i="12"/>
  <c r="AS117" i="12" s="1"/>
  <c r="AR118" i="12"/>
  <c r="AR119" i="12"/>
  <c r="AR120" i="12"/>
  <c r="AR121" i="12"/>
  <c r="AS121" i="12" s="1"/>
  <c r="AR122" i="12"/>
  <c r="AS122" i="12" s="1"/>
  <c r="AR123" i="12"/>
  <c r="AS123" i="12" s="1"/>
  <c r="AR124" i="12"/>
  <c r="AS124" i="12" s="1"/>
  <c r="AR125" i="12"/>
  <c r="AS125" i="12" s="1"/>
  <c r="AR126" i="12"/>
  <c r="AR127" i="12"/>
  <c r="AR128" i="12"/>
  <c r="AR129" i="12"/>
  <c r="AS129" i="12" s="1"/>
  <c r="AR130" i="12"/>
  <c r="AS130" i="12" s="1"/>
  <c r="AR131" i="12"/>
  <c r="AS131" i="12" s="1"/>
  <c r="AR132" i="12"/>
  <c r="AS132" i="12" s="1"/>
  <c r="AR133" i="12"/>
  <c r="AS133" i="12" s="1"/>
  <c r="AR134" i="12"/>
  <c r="AR135" i="12"/>
  <c r="AR136" i="12"/>
  <c r="AR137" i="12"/>
  <c r="AS137" i="12" s="1"/>
  <c r="AR138" i="12"/>
  <c r="AS138" i="12" s="1"/>
  <c r="AR139" i="12"/>
  <c r="AS139" i="12" s="1"/>
  <c r="AR140" i="12"/>
  <c r="AS140" i="12" s="1"/>
  <c r="AR141" i="12"/>
  <c r="AS141" i="12" s="1"/>
  <c r="AR142" i="12"/>
  <c r="AR143" i="12"/>
  <c r="AR144" i="12"/>
  <c r="AR145" i="12"/>
  <c r="AS145" i="12" s="1"/>
  <c r="AR146" i="12"/>
  <c r="AR147" i="12"/>
  <c r="AS147" i="12" s="1"/>
  <c r="AR148" i="12"/>
  <c r="AS148" i="12" s="1"/>
  <c r="AR149" i="12"/>
  <c r="AS149" i="12" s="1"/>
  <c r="AR150" i="12"/>
  <c r="AR151" i="12"/>
  <c r="AR152" i="12"/>
  <c r="AR153" i="12"/>
  <c r="AS153" i="12" s="1"/>
  <c r="AR154" i="12"/>
  <c r="AS154" i="12" s="1"/>
  <c r="AR155" i="12"/>
  <c r="AS155" i="12" s="1"/>
  <c r="AR156" i="12"/>
  <c r="AS156" i="12" s="1"/>
  <c r="AR157" i="12"/>
  <c r="AS157" i="12" s="1"/>
  <c r="AR158" i="12"/>
  <c r="AR159" i="12"/>
  <c r="AR160" i="12"/>
  <c r="AR161" i="12"/>
  <c r="AS161" i="12" s="1"/>
  <c r="AR162" i="12"/>
  <c r="AS162" i="12" s="1"/>
  <c r="AR163" i="12"/>
  <c r="AS163" i="12" s="1"/>
  <c r="AR164" i="12"/>
  <c r="AS164" i="12" s="1"/>
  <c r="AR165" i="12"/>
  <c r="AS165" i="12" s="1"/>
  <c r="AR166" i="12"/>
  <c r="AR167" i="12"/>
  <c r="AR168" i="12"/>
  <c r="AR169" i="12"/>
  <c r="AS169" i="12" s="1"/>
  <c r="AR170" i="12"/>
  <c r="AS170" i="12" s="1"/>
  <c r="AR171" i="12"/>
  <c r="AS171" i="12" s="1"/>
  <c r="AR172" i="12"/>
  <c r="AS172" i="12" s="1"/>
  <c r="AR173" i="12"/>
  <c r="AS173" i="12" s="1"/>
  <c r="AR174" i="12"/>
  <c r="AR175" i="12"/>
  <c r="AR176" i="12"/>
  <c r="AR177" i="12"/>
  <c r="AS177" i="12" s="1"/>
  <c r="AR178" i="12"/>
  <c r="AS178" i="12" s="1"/>
  <c r="AR179" i="12"/>
  <c r="AS179" i="12" s="1"/>
  <c r="AR180" i="12"/>
  <c r="AS180" i="12" s="1"/>
  <c r="AR181" i="12"/>
  <c r="AS181" i="12" s="1"/>
  <c r="AR182" i="12"/>
  <c r="AR183" i="12"/>
  <c r="AR184" i="12"/>
  <c r="AR185" i="12"/>
  <c r="AS185" i="12" s="1"/>
  <c r="AR186" i="12"/>
  <c r="AS186" i="12" s="1"/>
  <c r="AR187" i="12"/>
  <c r="AS187" i="12" s="1"/>
  <c r="AR188" i="12"/>
  <c r="AS188" i="12" s="1"/>
  <c r="AR189" i="12"/>
  <c r="AS189" i="12" s="1"/>
  <c r="AR190" i="12"/>
  <c r="AR191" i="12"/>
  <c r="AR3" i="12"/>
  <c r="AR4" i="12"/>
  <c r="AR5" i="12"/>
  <c r="AR6" i="12"/>
  <c r="AR7" i="12"/>
  <c r="AR8" i="12"/>
  <c r="AS8" i="12" s="1"/>
  <c r="AR9" i="12"/>
  <c r="AR10" i="12"/>
  <c r="AR11" i="12"/>
  <c r="AR12" i="12"/>
  <c r="AS12" i="12" s="1"/>
  <c r="AR13" i="12"/>
  <c r="AR14" i="12"/>
  <c r="AR15" i="12"/>
  <c r="AR16" i="12"/>
  <c r="AS16" i="12" s="1"/>
  <c r="AR17" i="12"/>
  <c r="AR18" i="12"/>
  <c r="AR19" i="12"/>
  <c r="AR20" i="12"/>
  <c r="AR21" i="12"/>
  <c r="AR22" i="12"/>
  <c r="AR23" i="12"/>
  <c r="AR24" i="12"/>
  <c r="AS24" i="12" s="1"/>
  <c r="AR25" i="12"/>
  <c r="AR26" i="12"/>
  <c r="AR2" i="12"/>
  <c r="AS2" i="12" s="1"/>
  <c r="AQ28" i="12"/>
  <c r="AQ29" i="12"/>
  <c r="AQ30" i="12"/>
  <c r="AQ31" i="12"/>
  <c r="AQ32" i="12"/>
  <c r="AT34" i="12"/>
  <c r="AQ35" i="12"/>
  <c r="AQ36" i="12"/>
  <c r="AQ37" i="12"/>
  <c r="AQ38" i="12"/>
  <c r="AQ39" i="12"/>
  <c r="AQ40" i="12"/>
  <c r="AQ41" i="12"/>
  <c r="AT42" i="12"/>
  <c r="AQ43" i="12"/>
  <c r="AQ44" i="12"/>
  <c r="AQ45" i="12"/>
  <c r="AQ46" i="12"/>
  <c r="AQ47" i="12"/>
  <c r="AQ48" i="12"/>
  <c r="AQ49" i="12"/>
  <c r="AQ50" i="12"/>
  <c r="AQ51" i="12"/>
  <c r="AQ52" i="12"/>
  <c r="AQ53" i="12"/>
  <c r="AQ54" i="12"/>
  <c r="AQ55" i="12"/>
  <c r="AQ56" i="12"/>
  <c r="AT58" i="12"/>
  <c r="AQ59" i="12"/>
  <c r="AQ60" i="12"/>
  <c r="AQ61" i="12"/>
  <c r="AQ62" i="12"/>
  <c r="AQ63" i="12"/>
  <c r="AQ64" i="12"/>
  <c r="AT66" i="12"/>
  <c r="AQ67" i="12"/>
  <c r="AQ68" i="12"/>
  <c r="AQ69" i="12"/>
  <c r="AQ70" i="12"/>
  <c r="AQ71" i="12"/>
  <c r="AQ72" i="12"/>
  <c r="AT74" i="12"/>
  <c r="AQ75" i="12"/>
  <c r="AQ76" i="12"/>
  <c r="AQ77" i="12"/>
  <c r="AQ78" i="12"/>
  <c r="AQ79" i="12"/>
  <c r="AQ80" i="12"/>
  <c r="AQ82" i="12"/>
  <c r="AQ83" i="12"/>
  <c r="AQ84" i="12"/>
  <c r="AQ85" i="12"/>
  <c r="AQ86" i="12"/>
  <c r="AQ87" i="12"/>
  <c r="AQ88" i="12"/>
  <c r="AQ89" i="12"/>
  <c r="AT90" i="12"/>
  <c r="AQ91" i="12"/>
  <c r="AQ92" i="12"/>
  <c r="AQ93" i="12"/>
  <c r="AQ94" i="12"/>
  <c r="AQ95" i="12"/>
  <c r="AQ96" i="12"/>
  <c r="AT98" i="12"/>
  <c r="AQ99" i="12"/>
  <c r="AQ100" i="12"/>
  <c r="AQ101" i="12"/>
  <c r="AQ102" i="12"/>
  <c r="AQ103" i="12"/>
  <c r="AQ104" i="12"/>
  <c r="AQ105" i="12"/>
  <c r="AT106" i="12"/>
  <c r="AQ107" i="12"/>
  <c r="AQ108" i="12"/>
  <c r="AQ109" i="12"/>
  <c r="AQ110" i="12"/>
  <c r="AQ111" i="12"/>
  <c r="AQ112" i="12"/>
  <c r="AQ113" i="12"/>
  <c r="AQ114" i="12"/>
  <c r="AQ115" i="12"/>
  <c r="AQ116" i="12"/>
  <c r="AQ117" i="12"/>
  <c r="AQ118" i="12"/>
  <c r="AQ119" i="12"/>
  <c r="AQ120" i="12"/>
  <c r="AT122" i="12"/>
  <c r="AQ123" i="12"/>
  <c r="AQ124" i="12"/>
  <c r="AQ125" i="12"/>
  <c r="AQ126" i="12"/>
  <c r="AQ127" i="12"/>
  <c r="AQ128" i="12"/>
  <c r="AT130" i="12"/>
  <c r="AQ131" i="12"/>
  <c r="AQ132" i="12"/>
  <c r="AQ133" i="12"/>
  <c r="AQ134" i="12"/>
  <c r="AQ135" i="12"/>
  <c r="AQ136" i="12"/>
  <c r="AT138" i="12"/>
  <c r="AQ139" i="12"/>
  <c r="AQ140" i="12"/>
  <c r="AQ141" i="12"/>
  <c r="AQ142" i="12"/>
  <c r="AQ143" i="12"/>
  <c r="AQ144" i="12"/>
  <c r="AQ146" i="12"/>
  <c r="AQ147" i="12"/>
  <c r="AQ148" i="12"/>
  <c r="AQ149" i="12"/>
  <c r="AQ150" i="12"/>
  <c r="AQ151" i="12"/>
  <c r="AQ152" i="12"/>
  <c r="AQ153" i="12"/>
  <c r="AT154" i="12"/>
  <c r="AQ155" i="12"/>
  <c r="AQ156" i="12"/>
  <c r="AQ157" i="12"/>
  <c r="AQ158" i="12"/>
  <c r="AQ159" i="12"/>
  <c r="AQ160" i="12"/>
  <c r="AT162" i="12"/>
  <c r="AQ163" i="12"/>
  <c r="AQ164" i="12"/>
  <c r="AQ165" i="12"/>
  <c r="AQ166" i="12"/>
  <c r="AQ167" i="12"/>
  <c r="AQ168" i="12"/>
  <c r="AQ169" i="12"/>
  <c r="AT170" i="12"/>
  <c r="AQ171" i="12"/>
  <c r="AQ172" i="12"/>
  <c r="AQ173" i="12"/>
  <c r="AQ174" i="12"/>
  <c r="AQ175" i="12"/>
  <c r="AQ176" i="12"/>
  <c r="AQ178" i="12"/>
  <c r="AQ179" i="12"/>
  <c r="AQ180" i="12"/>
  <c r="AQ181" i="12"/>
  <c r="AQ182" i="12"/>
  <c r="AQ183" i="12"/>
  <c r="AQ184" i="12"/>
  <c r="AT186" i="12"/>
  <c r="AQ187" i="12"/>
  <c r="AQ188" i="12"/>
  <c r="AQ189" i="12"/>
  <c r="AQ190" i="12"/>
  <c r="AQ191" i="12"/>
  <c r="AQ3" i="12"/>
  <c r="AT5" i="12"/>
  <c r="AT6" i="12"/>
  <c r="AQ7" i="12"/>
  <c r="AQ9" i="12"/>
  <c r="AQ10" i="12"/>
  <c r="AQ11" i="12"/>
  <c r="AT13" i="12"/>
  <c r="AT14" i="12"/>
  <c r="AQ15" i="12"/>
  <c r="AQ17" i="12"/>
  <c r="AQ18" i="12"/>
  <c r="AQ19" i="12"/>
  <c r="AT22" i="12"/>
  <c r="AQ23" i="12"/>
  <c r="AQ25" i="12"/>
  <c r="AQ26" i="12"/>
  <c r="AQ2" i="12"/>
  <c r="AM27" i="12"/>
  <c r="AM28" i="12"/>
  <c r="AN28" i="12" s="1"/>
  <c r="AM29" i="12"/>
  <c r="AM30" i="12"/>
  <c r="AN30" i="12" s="1"/>
  <c r="AM31" i="12"/>
  <c r="AM32" i="12"/>
  <c r="AN32" i="12" s="1"/>
  <c r="AM33" i="12"/>
  <c r="AN33" i="12" s="1"/>
  <c r="AM34" i="12"/>
  <c r="AN34" i="12" s="1"/>
  <c r="AM35" i="12"/>
  <c r="AN35" i="12" s="1"/>
  <c r="AM36" i="12"/>
  <c r="AN36" i="12" s="1"/>
  <c r="AM37" i="12"/>
  <c r="AM38" i="12"/>
  <c r="AN38" i="12" s="1"/>
  <c r="AM39" i="12"/>
  <c r="AM40" i="12"/>
  <c r="AN40" i="12" s="1"/>
  <c r="AM41" i="12"/>
  <c r="AN41" i="12" s="1"/>
  <c r="AM42" i="12"/>
  <c r="AN42" i="12" s="1"/>
  <c r="AM43" i="12"/>
  <c r="AN43" i="12" s="1"/>
  <c r="AM44" i="12"/>
  <c r="AN44" i="12" s="1"/>
  <c r="AM45" i="12"/>
  <c r="AM46" i="12"/>
  <c r="AN46" i="12" s="1"/>
  <c r="AM47" i="12"/>
  <c r="AM48" i="12"/>
  <c r="AN48" i="12" s="1"/>
  <c r="AM49" i="12"/>
  <c r="AN49" i="12" s="1"/>
  <c r="AM50" i="12"/>
  <c r="AN50" i="12" s="1"/>
  <c r="AM51" i="12"/>
  <c r="AN51" i="12" s="1"/>
  <c r="AM52" i="12"/>
  <c r="AN52" i="12" s="1"/>
  <c r="AM53" i="12"/>
  <c r="AM54" i="12"/>
  <c r="AN54" i="12" s="1"/>
  <c r="AM55" i="12"/>
  <c r="AM56" i="12"/>
  <c r="AN56" i="12" s="1"/>
  <c r="AM57" i="12"/>
  <c r="AN57" i="12" s="1"/>
  <c r="AM58" i="12"/>
  <c r="AN58" i="12" s="1"/>
  <c r="AM59" i="12"/>
  <c r="AN59" i="12" s="1"/>
  <c r="AM60" i="12"/>
  <c r="AN60" i="12" s="1"/>
  <c r="AM61" i="12"/>
  <c r="AM62" i="12"/>
  <c r="AN62" i="12" s="1"/>
  <c r="AM63" i="12"/>
  <c r="AM64" i="12"/>
  <c r="AN64" i="12" s="1"/>
  <c r="AM65" i="12"/>
  <c r="AN65" i="12" s="1"/>
  <c r="AM66" i="12"/>
  <c r="AN66" i="12" s="1"/>
  <c r="AM67" i="12"/>
  <c r="AN67" i="12" s="1"/>
  <c r="AM68" i="12"/>
  <c r="AN68" i="12" s="1"/>
  <c r="AM69" i="12"/>
  <c r="AN69" i="12" s="1"/>
  <c r="AM70" i="12"/>
  <c r="AN70" i="12" s="1"/>
  <c r="AM71" i="12"/>
  <c r="AM72" i="12"/>
  <c r="AN72" i="12" s="1"/>
  <c r="AM73" i="12"/>
  <c r="AN73" i="12" s="1"/>
  <c r="AM74" i="12"/>
  <c r="AN74" i="12" s="1"/>
  <c r="AM75" i="12"/>
  <c r="AN75" i="12" s="1"/>
  <c r="AM76" i="12"/>
  <c r="AN76" i="12" s="1"/>
  <c r="AM77" i="12"/>
  <c r="AM78" i="12"/>
  <c r="AN78" i="12" s="1"/>
  <c r="AM79" i="12"/>
  <c r="AM80" i="12"/>
  <c r="AN80" i="12" s="1"/>
  <c r="AM81" i="12"/>
  <c r="AN81" i="12" s="1"/>
  <c r="AM82" i="12"/>
  <c r="AN82" i="12" s="1"/>
  <c r="AM83" i="12"/>
  <c r="AN83" i="12" s="1"/>
  <c r="AM84" i="12"/>
  <c r="AN84" i="12" s="1"/>
  <c r="AM85" i="12"/>
  <c r="AN85" i="12" s="1"/>
  <c r="AM86" i="12"/>
  <c r="AN86" i="12" s="1"/>
  <c r="AM87" i="12"/>
  <c r="AM88" i="12"/>
  <c r="AN88" i="12" s="1"/>
  <c r="AM89" i="12"/>
  <c r="AN89" i="12" s="1"/>
  <c r="AM90" i="12"/>
  <c r="AN90" i="12" s="1"/>
  <c r="AM91" i="12"/>
  <c r="AN91" i="12" s="1"/>
  <c r="AM92" i="12"/>
  <c r="AN92" i="12" s="1"/>
  <c r="AM93" i="12"/>
  <c r="AM94" i="12"/>
  <c r="AN94" i="12" s="1"/>
  <c r="AM95" i="12"/>
  <c r="AM96" i="12"/>
  <c r="AN96" i="12" s="1"/>
  <c r="AM97" i="12"/>
  <c r="AN97" i="12" s="1"/>
  <c r="AM98" i="12"/>
  <c r="AN98" i="12" s="1"/>
  <c r="AM99" i="12"/>
  <c r="AN99" i="12" s="1"/>
  <c r="AM100" i="12"/>
  <c r="AN100" i="12" s="1"/>
  <c r="AM101" i="12"/>
  <c r="AN101" i="12" s="1"/>
  <c r="AM102" i="12"/>
  <c r="AN102" i="12" s="1"/>
  <c r="AM103" i="12"/>
  <c r="AM104" i="12"/>
  <c r="AN104" i="12" s="1"/>
  <c r="AM105" i="12"/>
  <c r="AN105" i="12" s="1"/>
  <c r="AM106" i="12"/>
  <c r="AN106" i="12" s="1"/>
  <c r="AM107" i="12"/>
  <c r="AN107" i="12" s="1"/>
  <c r="AM108" i="12"/>
  <c r="AN108" i="12" s="1"/>
  <c r="AM109" i="12"/>
  <c r="AM110" i="12"/>
  <c r="AN110" i="12" s="1"/>
  <c r="AM111" i="12"/>
  <c r="AM112" i="12"/>
  <c r="AN112" i="12" s="1"/>
  <c r="AM113" i="12"/>
  <c r="AN113" i="12" s="1"/>
  <c r="AM114" i="12"/>
  <c r="AN114" i="12" s="1"/>
  <c r="AM115" i="12"/>
  <c r="AN115" i="12" s="1"/>
  <c r="AM116" i="12"/>
  <c r="AN116" i="12" s="1"/>
  <c r="AM117" i="12"/>
  <c r="AN117" i="12" s="1"/>
  <c r="AM118" i="12"/>
  <c r="AN118" i="12" s="1"/>
  <c r="AM119" i="12"/>
  <c r="AM120" i="12"/>
  <c r="AN120" i="12" s="1"/>
  <c r="AM121" i="12"/>
  <c r="AN121" i="12" s="1"/>
  <c r="AM122" i="12"/>
  <c r="AN122" i="12" s="1"/>
  <c r="AM123" i="12"/>
  <c r="AN123" i="12" s="1"/>
  <c r="AM124" i="12"/>
  <c r="AN124" i="12" s="1"/>
  <c r="AM125" i="12"/>
  <c r="AM126" i="12"/>
  <c r="AN126" i="12" s="1"/>
  <c r="AM127" i="12"/>
  <c r="AM128" i="12"/>
  <c r="AN128" i="12" s="1"/>
  <c r="AM129" i="12"/>
  <c r="AN129" i="12" s="1"/>
  <c r="AM130" i="12"/>
  <c r="AN130" i="12" s="1"/>
  <c r="AM131" i="12"/>
  <c r="AN131" i="12" s="1"/>
  <c r="AM132" i="12"/>
  <c r="AN132" i="12" s="1"/>
  <c r="AM133" i="12"/>
  <c r="AN133" i="12" s="1"/>
  <c r="AM134" i="12"/>
  <c r="AN134" i="12" s="1"/>
  <c r="AM135" i="12"/>
  <c r="AM136" i="12"/>
  <c r="AN136" i="12" s="1"/>
  <c r="AM137" i="12"/>
  <c r="AN137" i="12" s="1"/>
  <c r="AM138" i="12"/>
  <c r="AN138" i="12" s="1"/>
  <c r="AM139" i="12"/>
  <c r="AN139" i="12" s="1"/>
  <c r="AM140" i="12"/>
  <c r="AN140" i="12" s="1"/>
  <c r="AM141" i="12"/>
  <c r="AM142" i="12"/>
  <c r="AN142" i="12" s="1"/>
  <c r="AM143" i="12"/>
  <c r="AM144" i="12"/>
  <c r="AN144" i="12" s="1"/>
  <c r="AM145" i="12"/>
  <c r="AN145" i="12" s="1"/>
  <c r="AM146" i="12"/>
  <c r="AN146" i="12" s="1"/>
  <c r="AM147" i="12"/>
  <c r="AN147" i="12" s="1"/>
  <c r="AM148" i="12"/>
  <c r="AN148" i="12" s="1"/>
  <c r="AM149" i="12"/>
  <c r="AN149" i="12" s="1"/>
  <c r="AM150" i="12"/>
  <c r="AN150" i="12" s="1"/>
  <c r="AM151" i="12"/>
  <c r="AM152" i="12"/>
  <c r="AN152" i="12" s="1"/>
  <c r="AM153" i="12"/>
  <c r="AN153" i="12" s="1"/>
  <c r="AM154" i="12"/>
  <c r="AN154" i="12" s="1"/>
  <c r="AM155" i="12"/>
  <c r="AM156" i="12"/>
  <c r="AN156" i="12" s="1"/>
  <c r="AM157" i="12"/>
  <c r="AM158" i="12"/>
  <c r="AN158" i="12" s="1"/>
  <c r="AM159" i="12"/>
  <c r="AM160" i="12"/>
  <c r="AN160" i="12" s="1"/>
  <c r="AM161" i="12"/>
  <c r="AN161" i="12" s="1"/>
  <c r="AM162" i="12"/>
  <c r="AN162" i="12" s="1"/>
  <c r="AM163" i="12"/>
  <c r="AN163" i="12" s="1"/>
  <c r="AM164" i="12"/>
  <c r="AN164" i="12" s="1"/>
  <c r="AM165" i="12"/>
  <c r="AN165" i="12" s="1"/>
  <c r="AM166" i="12"/>
  <c r="AN166" i="12" s="1"/>
  <c r="AM167" i="12"/>
  <c r="AM168" i="12"/>
  <c r="AN168" i="12" s="1"/>
  <c r="AM169" i="12"/>
  <c r="AN169" i="12" s="1"/>
  <c r="AM170" i="12"/>
  <c r="AN170" i="12" s="1"/>
  <c r="AM171" i="12"/>
  <c r="AN171" i="12" s="1"/>
  <c r="AM172" i="12"/>
  <c r="AN172" i="12" s="1"/>
  <c r="AM173" i="12"/>
  <c r="AM174" i="12"/>
  <c r="AN174" i="12" s="1"/>
  <c r="AM175" i="12"/>
  <c r="AM176" i="12"/>
  <c r="AN176" i="12" s="1"/>
  <c r="AM177" i="12"/>
  <c r="AN177" i="12" s="1"/>
  <c r="AM178" i="12"/>
  <c r="AN178" i="12" s="1"/>
  <c r="AM179" i="12"/>
  <c r="AN179" i="12" s="1"/>
  <c r="AM180" i="12"/>
  <c r="AN180" i="12" s="1"/>
  <c r="AM181" i="12"/>
  <c r="AN181" i="12" s="1"/>
  <c r="AM182" i="12"/>
  <c r="AN182" i="12" s="1"/>
  <c r="AM183" i="12"/>
  <c r="AM184" i="12"/>
  <c r="AN184" i="12" s="1"/>
  <c r="AM185" i="12"/>
  <c r="AN185" i="12" s="1"/>
  <c r="AM186" i="12"/>
  <c r="AN186" i="12" s="1"/>
  <c r="AM187" i="12"/>
  <c r="AN187" i="12" s="1"/>
  <c r="AM188" i="12"/>
  <c r="AN188" i="12" s="1"/>
  <c r="AM189" i="12"/>
  <c r="AM190" i="12"/>
  <c r="AN190" i="12" s="1"/>
  <c r="AM191" i="12"/>
  <c r="AM3" i="12"/>
  <c r="AM4" i="12"/>
  <c r="AM5" i="12"/>
  <c r="AM6" i="12"/>
  <c r="AM7" i="12"/>
  <c r="AN7" i="12" s="1"/>
  <c r="AM8" i="12"/>
  <c r="AN8" i="12" s="1"/>
  <c r="AM9" i="12"/>
  <c r="AN9" i="12" s="1"/>
  <c r="AM10" i="12"/>
  <c r="AM11" i="12"/>
  <c r="AM12" i="12"/>
  <c r="AN12" i="12" s="1"/>
  <c r="AM13" i="12"/>
  <c r="AM14" i="12"/>
  <c r="AM15" i="12"/>
  <c r="AM16" i="12"/>
  <c r="AM17" i="12"/>
  <c r="AM18" i="12"/>
  <c r="AM19" i="12"/>
  <c r="AM20" i="12"/>
  <c r="AN20" i="12" s="1"/>
  <c r="AM21" i="12"/>
  <c r="AM22" i="12"/>
  <c r="AM23" i="12"/>
  <c r="AM24" i="12"/>
  <c r="AM25" i="12"/>
  <c r="AM26" i="12"/>
  <c r="AM2" i="12"/>
  <c r="AL27" i="12"/>
  <c r="AL28" i="12"/>
  <c r="AL29" i="12"/>
  <c r="AL30" i="12"/>
  <c r="AL31" i="12"/>
  <c r="AL32" i="12"/>
  <c r="AL33" i="12"/>
  <c r="AL35" i="12"/>
  <c r="AL36" i="12"/>
  <c r="AL37" i="12"/>
  <c r="AL38" i="12"/>
  <c r="AL39" i="12"/>
  <c r="AL40" i="12"/>
  <c r="AL41" i="12"/>
  <c r="AL43" i="12"/>
  <c r="AL44" i="12"/>
  <c r="AL45" i="12"/>
  <c r="AL46" i="12"/>
  <c r="AL47" i="12"/>
  <c r="AL48" i="12"/>
  <c r="AL49" i="12"/>
  <c r="AL50" i="12"/>
  <c r="AL51" i="12"/>
  <c r="AL52" i="12"/>
  <c r="AL53" i="12"/>
  <c r="AL54" i="12"/>
  <c r="AL55" i="12"/>
  <c r="AL56" i="12"/>
  <c r="AL57" i="12"/>
  <c r="AL59" i="12"/>
  <c r="AL60" i="12"/>
  <c r="AL61" i="12"/>
  <c r="AL62" i="12"/>
  <c r="AL63" i="12"/>
  <c r="AL64" i="12"/>
  <c r="AL65" i="12"/>
  <c r="AL66" i="12"/>
  <c r="AL67" i="12"/>
  <c r="AL68" i="12"/>
  <c r="AL69" i="12"/>
  <c r="AL70" i="12"/>
  <c r="AL71" i="12"/>
  <c r="AL72" i="12"/>
  <c r="AL73" i="12"/>
  <c r="AL75" i="12"/>
  <c r="AL76" i="12"/>
  <c r="AL77" i="12"/>
  <c r="AL78" i="12"/>
  <c r="AL79" i="12"/>
  <c r="AL80" i="12"/>
  <c r="AL81" i="12"/>
  <c r="AL82" i="12"/>
  <c r="AL83" i="12"/>
  <c r="AL84" i="12"/>
  <c r="AL85" i="12"/>
  <c r="AL86" i="12"/>
  <c r="AL87" i="12"/>
  <c r="AL88" i="12"/>
  <c r="AL89" i="12"/>
  <c r="AL91" i="12"/>
  <c r="AL92" i="12"/>
  <c r="AL93" i="12"/>
  <c r="AL94" i="12"/>
  <c r="AL95" i="12"/>
  <c r="AL96" i="12"/>
  <c r="AL97" i="12"/>
  <c r="AL99" i="12"/>
  <c r="AL100" i="12"/>
  <c r="AL101" i="12"/>
  <c r="AL102" i="12"/>
  <c r="AL103" i="12"/>
  <c r="AL104" i="12"/>
  <c r="AL105" i="12"/>
  <c r="AL107" i="12"/>
  <c r="AL108" i="12"/>
  <c r="AL109" i="12"/>
  <c r="AL110" i="12"/>
  <c r="AL111" i="12"/>
  <c r="AL112" i="12"/>
  <c r="AL113" i="12"/>
  <c r="AL114" i="12"/>
  <c r="AL115" i="12"/>
  <c r="AL116" i="12"/>
  <c r="AL117" i="12"/>
  <c r="AL118" i="12"/>
  <c r="AL119" i="12"/>
  <c r="AL120" i="12"/>
  <c r="AL121" i="12"/>
  <c r="AL123" i="12"/>
  <c r="AL124" i="12"/>
  <c r="AL125" i="12"/>
  <c r="AL126" i="12"/>
  <c r="AL127" i="12"/>
  <c r="AL128" i="12"/>
  <c r="AL129" i="12"/>
  <c r="AL130" i="12"/>
  <c r="AL131" i="12"/>
  <c r="AL132" i="12"/>
  <c r="AL133" i="12"/>
  <c r="AL134" i="12"/>
  <c r="AL135" i="12"/>
  <c r="AL136" i="12"/>
  <c r="AL137" i="12"/>
  <c r="AL139" i="12"/>
  <c r="AL140" i="12"/>
  <c r="AL141" i="12"/>
  <c r="AL142" i="12"/>
  <c r="AL143" i="12"/>
  <c r="AL144" i="12"/>
  <c r="AL145" i="12"/>
  <c r="AL146" i="12"/>
  <c r="AL147" i="12"/>
  <c r="AL148" i="12"/>
  <c r="AL149" i="12"/>
  <c r="AL150" i="12"/>
  <c r="AL151" i="12"/>
  <c r="AL152" i="12"/>
  <c r="AL153" i="12"/>
  <c r="AL155" i="12"/>
  <c r="AL156" i="12"/>
  <c r="AL157" i="12"/>
  <c r="AL158" i="12"/>
  <c r="AL159" i="12"/>
  <c r="AL160" i="12"/>
  <c r="AL161" i="12"/>
  <c r="AL163" i="12"/>
  <c r="AL164" i="12"/>
  <c r="AL165" i="12"/>
  <c r="AL166" i="12"/>
  <c r="AL167" i="12"/>
  <c r="AL168" i="12"/>
  <c r="AL169" i="12"/>
  <c r="AL171" i="12"/>
  <c r="AL172" i="12"/>
  <c r="AL173" i="12"/>
  <c r="AL174" i="12"/>
  <c r="AL175" i="12"/>
  <c r="AL176" i="12"/>
  <c r="AL177" i="12"/>
  <c r="AL178" i="12"/>
  <c r="AL179" i="12"/>
  <c r="AL180" i="12"/>
  <c r="AL181" i="12"/>
  <c r="AL182" i="12"/>
  <c r="AL183" i="12"/>
  <c r="AL184" i="12"/>
  <c r="AL185" i="12"/>
  <c r="AL187" i="12"/>
  <c r="AL188" i="12"/>
  <c r="AL189" i="12"/>
  <c r="AL190" i="12"/>
  <c r="AL191" i="12"/>
  <c r="AL3" i="12"/>
  <c r="AL4" i="12"/>
  <c r="AL6" i="12"/>
  <c r="AL7" i="12"/>
  <c r="AL8" i="12"/>
  <c r="AL9" i="12"/>
  <c r="AL10" i="12"/>
  <c r="AL11" i="12"/>
  <c r="AL12" i="12"/>
  <c r="AL14" i="12"/>
  <c r="AL15" i="12"/>
  <c r="AL16" i="12"/>
  <c r="AL17" i="12"/>
  <c r="AL18" i="12"/>
  <c r="AL19" i="12"/>
  <c r="AL22" i="12"/>
  <c r="AL23" i="12"/>
  <c r="AL24" i="12"/>
  <c r="AL25" i="12"/>
  <c r="AL26" i="12"/>
  <c r="AL2" i="12"/>
  <c r="AH27" i="12"/>
  <c r="AI27" i="12" s="1"/>
  <c r="AH28" i="12"/>
  <c r="AI28" i="12" s="1"/>
  <c r="AH29" i="12"/>
  <c r="AI29" i="12" s="1"/>
  <c r="AH30" i="12"/>
  <c r="AI30" i="12" s="1"/>
  <c r="AH31" i="12"/>
  <c r="AH32" i="12"/>
  <c r="AH33" i="12"/>
  <c r="AI33" i="12" s="1"/>
  <c r="AH34" i="12"/>
  <c r="AI34" i="12" s="1"/>
  <c r="AH35" i="12"/>
  <c r="AI35" i="12" s="1"/>
  <c r="AH36" i="12"/>
  <c r="AI36" i="12" s="1"/>
  <c r="AH37" i="12"/>
  <c r="AI37" i="12" s="1"/>
  <c r="AH38" i="12"/>
  <c r="AI38" i="12" s="1"/>
  <c r="AH39" i="12"/>
  <c r="AI39" i="12" s="1"/>
  <c r="AH40" i="12"/>
  <c r="AI40" i="12" s="1"/>
  <c r="AH41" i="12"/>
  <c r="AI41" i="12" s="1"/>
  <c r="AH42" i="12"/>
  <c r="AI42" i="12" s="1"/>
  <c r="AH43" i="12"/>
  <c r="AI43" i="12" s="1"/>
  <c r="AH44" i="12"/>
  <c r="AI44" i="12" s="1"/>
  <c r="AH45" i="12"/>
  <c r="AI45" i="12" s="1"/>
  <c r="AH46" i="12"/>
  <c r="AI46" i="12" s="1"/>
  <c r="AH47" i="12"/>
  <c r="AH48" i="12"/>
  <c r="AI48" i="12" s="1"/>
  <c r="AH49" i="12"/>
  <c r="AI49" i="12" s="1"/>
  <c r="AH50" i="12"/>
  <c r="AI50" i="12" s="1"/>
  <c r="AH51" i="12"/>
  <c r="AI51" i="12" s="1"/>
  <c r="AH52" i="12"/>
  <c r="AH53" i="12"/>
  <c r="AH54" i="12"/>
  <c r="AI54" i="12" s="1"/>
  <c r="AH55" i="12"/>
  <c r="AI55" i="12" s="1"/>
  <c r="AH56" i="12"/>
  <c r="AI56" i="12" s="1"/>
  <c r="AH57" i="12"/>
  <c r="AI57" i="12" s="1"/>
  <c r="AH58" i="12"/>
  <c r="AI58" i="12" s="1"/>
  <c r="AH59" i="12"/>
  <c r="AI59" i="12" s="1"/>
  <c r="AH60" i="12"/>
  <c r="AI60" i="12" s="1"/>
  <c r="AH61" i="12"/>
  <c r="AI61" i="12" s="1"/>
  <c r="AH62" i="12"/>
  <c r="AI62" i="12" s="1"/>
  <c r="AH63" i="12"/>
  <c r="AH64" i="12"/>
  <c r="AI64" i="12" s="1"/>
  <c r="AH65" i="12"/>
  <c r="AI65" i="12" s="1"/>
  <c r="AH66" i="12"/>
  <c r="AI66" i="12" s="1"/>
  <c r="AH67" i="12"/>
  <c r="AI67" i="12" s="1"/>
  <c r="AH68" i="12"/>
  <c r="AI68" i="12" s="1"/>
  <c r="AH69" i="12"/>
  <c r="AI69" i="12" s="1"/>
  <c r="AH70" i="12"/>
  <c r="AI70" i="12" s="1"/>
  <c r="AH71" i="12"/>
  <c r="AI71" i="12" s="1"/>
  <c r="AH72" i="12"/>
  <c r="AI72" i="12" s="1"/>
  <c r="AH73" i="12"/>
  <c r="AI73" i="12" s="1"/>
  <c r="AH74" i="12"/>
  <c r="AI74" i="12" s="1"/>
  <c r="AH75" i="12"/>
  <c r="AI75" i="12" s="1"/>
  <c r="AH76" i="12"/>
  <c r="AI76" i="12" s="1"/>
  <c r="AH77" i="12"/>
  <c r="AH78" i="12"/>
  <c r="AI78" i="12" s="1"/>
  <c r="AH79" i="12"/>
  <c r="AH80" i="12"/>
  <c r="AI80" i="12" s="1"/>
  <c r="AH81" i="12"/>
  <c r="AI81" i="12" s="1"/>
  <c r="AH82" i="12"/>
  <c r="AI82" i="12" s="1"/>
  <c r="AH83" i="12"/>
  <c r="AI83" i="12" s="1"/>
  <c r="AH84" i="12"/>
  <c r="AI84" i="12" s="1"/>
  <c r="AH85" i="12"/>
  <c r="AI85" i="12" s="1"/>
  <c r="AH86" i="12"/>
  <c r="AH87" i="12"/>
  <c r="AI87" i="12" s="1"/>
  <c r="AH88" i="12"/>
  <c r="AI88" i="12" s="1"/>
  <c r="AH89" i="12"/>
  <c r="AI89" i="12" s="1"/>
  <c r="AH90" i="12"/>
  <c r="AI90" i="12" s="1"/>
  <c r="AH91" i="12"/>
  <c r="AI91" i="12" s="1"/>
  <c r="AH92" i="12"/>
  <c r="AI92" i="12" s="1"/>
  <c r="AH93" i="12"/>
  <c r="AI93" i="12" s="1"/>
  <c r="AH94" i="12"/>
  <c r="AH95" i="12"/>
  <c r="AH96" i="12"/>
  <c r="AI96" i="12" s="1"/>
  <c r="AH97" i="12"/>
  <c r="AI97" i="12" s="1"/>
  <c r="AH98" i="12"/>
  <c r="AI98" i="12" s="1"/>
  <c r="AH99" i="12"/>
  <c r="AI99" i="12" s="1"/>
  <c r="AH100" i="12"/>
  <c r="AI100" i="12" s="1"/>
  <c r="AH101" i="12"/>
  <c r="AI101" i="12" s="1"/>
  <c r="AH102" i="12"/>
  <c r="AH103" i="12"/>
  <c r="AI103" i="12" s="1"/>
  <c r="AH104" i="12"/>
  <c r="AI104" i="12" s="1"/>
  <c r="AH105" i="12"/>
  <c r="AI105" i="12" s="1"/>
  <c r="AH106" i="12"/>
  <c r="AI106" i="12" s="1"/>
  <c r="AH107" i="12"/>
  <c r="AI107" i="12" s="1"/>
  <c r="AH108" i="12"/>
  <c r="AI108" i="12" s="1"/>
  <c r="AH109" i="12"/>
  <c r="AI109" i="12" s="1"/>
  <c r="AH110" i="12"/>
  <c r="AH111" i="12"/>
  <c r="AH112" i="12"/>
  <c r="AI112" i="12" s="1"/>
  <c r="AH113" i="12"/>
  <c r="AI113" i="12" s="1"/>
  <c r="AH114" i="12"/>
  <c r="AI114" i="12" s="1"/>
  <c r="AH115" i="12"/>
  <c r="AI115" i="12" s="1"/>
  <c r="AH116" i="12"/>
  <c r="AH117" i="12"/>
  <c r="AH118" i="12"/>
  <c r="AH119" i="12"/>
  <c r="AI119" i="12" s="1"/>
  <c r="AH120" i="12"/>
  <c r="AI120" i="12" s="1"/>
  <c r="AH121" i="12"/>
  <c r="AI121" i="12" s="1"/>
  <c r="AH122" i="12"/>
  <c r="AI122" i="12" s="1"/>
  <c r="AH123" i="12"/>
  <c r="AI123" i="12" s="1"/>
  <c r="AH124" i="12"/>
  <c r="AI124" i="12" s="1"/>
  <c r="AH125" i="12"/>
  <c r="AI125" i="12" s="1"/>
  <c r="AH126" i="12"/>
  <c r="AH127" i="12"/>
  <c r="AI127" i="12" s="1"/>
  <c r="AH128" i="12"/>
  <c r="AI128" i="12" s="1"/>
  <c r="AH129" i="12"/>
  <c r="AI129" i="12" s="1"/>
  <c r="AH130" i="12"/>
  <c r="AI130" i="12" s="1"/>
  <c r="AH131" i="12"/>
  <c r="AI131" i="12" s="1"/>
  <c r="AH132" i="12"/>
  <c r="AI132" i="12" s="1"/>
  <c r="AH133" i="12"/>
  <c r="AI133" i="12" s="1"/>
  <c r="AH134" i="12"/>
  <c r="AH135" i="12"/>
  <c r="AI135" i="12" s="1"/>
  <c r="AH136" i="12"/>
  <c r="AI136" i="12" s="1"/>
  <c r="AH137" i="12"/>
  <c r="AI137" i="12" s="1"/>
  <c r="AH138" i="12"/>
  <c r="AI138" i="12" s="1"/>
  <c r="AH139" i="12"/>
  <c r="AI139" i="12" s="1"/>
  <c r="AH140" i="12"/>
  <c r="AI140" i="12" s="1"/>
  <c r="AH141" i="12"/>
  <c r="AH142" i="12"/>
  <c r="AH143" i="12"/>
  <c r="AI143" i="12" s="1"/>
  <c r="AH144" i="12"/>
  <c r="AI144" i="12" s="1"/>
  <c r="AH145" i="12"/>
  <c r="AI145" i="12" s="1"/>
  <c r="AH146" i="12"/>
  <c r="AI146" i="12" s="1"/>
  <c r="AH147" i="12"/>
  <c r="AI147" i="12" s="1"/>
  <c r="AH148" i="12"/>
  <c r="AI148" i="12" s="1"/>
  <c r="AH149" i="12"/>
  <c r="AI149" i="12" s="1"/>
  <c r="AH150" i="12"/>
  <c r="AH151" i="12"/>
  <c r="AI151" i="12" s="1"/>
  <c r="AH152" i="12"/>
  <c r="AI152" i="12" s="1"/>
  <c r="AH153" i="12"/>
  <c r="AI153" i="12" s="1"/>
  <c r="AH154" i="12"/>
  <c r="AI154" i="12" s="1"/>
  <c r="AH155" i="12"/>
  <c r="AI155" i="12" s="1"/>
  <c r="AH156" i="12"/>
  <c r="AI156" i="12" s="1"/>
  <c r="AH157" i="12"/>
  <c r="AI157" i="12" s="1"/>
  <c r="AH158" i="12"/>
  <c r="AH159" i="12"/>
  <c r="AI159" i="12" s="1"/>
  <c r="AH160" i="12"/>
  <c r="AI160" i="12" s="1"/>
  <c r="AH161" i="12"/>
  <c r="AI161" i="12" s="1"/>
  <c r="AH162" i="12"/>
  <c r="AI162" i="12" s="1"/>
  <c r="AH163" i="12"/>
  <c r="AI163" i="12" s="1"/>
  <c r="AH164" i="12"/>
  <c r="AI164" i="12" s="1"/>
  <c r="AH165" i="12"/>
  <c r="AI165" i="12" s="1"/>
  <c r="AH166" i="12"/>
  <c r="AH167" i="12"/>
  <c r="AI167" i="12" s="1"/>
  <c r="AH168" i="12"/>
  <c r="AI168" i="12" s="1"/>
  <c r="AH169" i="12"/>
  <c r="AI169" i="12" s="1"/>
  <c r="AH170" i="12"/>
  <c r="AI170" i="12" s="1"/>
  <c r="AH171" i="12"/>
  <c r="AI171" i="12" s="1"/>
  <c r="AH172" i="12"/>
  <c r="AI172" i="12" s="1"/>
  <c r="AH173" i="12"/>
  <c r="AI173" i="12" s="1"/>
  <c r="AH174" i="12"/>
  <c r="AH175" i="12"/>
  <c r="AI175" i="12" s="1"/>
  <c r="AH176" i="12"/>
  <c r="AI176" i="12" s="1"/>
  <c r="AH177" i="12"/>
  <c r="AI177" i="12" s="1"/>
  <c r="AH178" i="12"/>
  <c r="AI178" i="12" s="1"/>
  <c r="AH179" i="12"/>
  <c r="AI179" i="12" s="1"/>
  <c r="AH180" i="12"/>
  <c r="AH181" i="12"/>
  <c r="AH182" i="12"/>
  <c r="AH183" i="12"/>
  <c r="AI183" i="12" s="1"/>
  <c r="AH184" i="12"/>
  <c r="AI184" i="12" s="1"/>
  <c r="AH185" i="12"/>
  <c r="AI185" i="12" s="1"/>
  <c r="AH186" i="12"/>
  <c r="AI186" i="12" s="1"/>
  <c r="AH187" i="12"/>
  <c r="AI187" i="12" s="1"/>
  <c r="AH188" i="12"/>
  <c r="AI188" i="12" s="1"/>
  <c r="AH189" i="12"/>
  <c r="AI189" i="12" s="1"/>
  <c r="AH190" i="12"/>
  <c r="AH191" i="12"/>
  <c r="AH3" i="12"/>
  <c r="AH4" i="12"/>
  <c r="AH5" i="12"/>
  <c r="AI5" i="12" s="1"/>
  <c r="AH6" i="12"/>
  <c r="AH7" i="12"/>
  <c r="AH8" i="12"/>
  <c r="AI8" i="12" s="1"/>
  <c r="AH9" i="12"/>
  <c r="AH10" i="12"/>
  <c r="AH11" i="12"/>
  <c r="AH12" i="12"/>
  <c r="AH13" i="12"/>
  <c r="AH14" i="12"/>
  <c r="AH15" i="12"/>
  <c r="AI15" i="12" s="1"/>
  <c r="AH16" i="12"/>
  <c r="AI16" i="12" s="1"/>
  <c r="AH17" i="12"/>
  <c r="AH18" i="12"/>
  <c r="AH19" i="12"/>
  <c r="AH20" i="12"/>
  <c r="AH21" i="12"/>
  <c r="AH22" i="12"/>
  <c r="AH23" i="12"/>
  <c r="AH24" i="12"/>
  <c r="AI24" i="12" s="1"/>
  <c r="AH25" i="12"/>
  <c r="AH26" i="12"/>
  <c r="AH2" i="12"/>
  <c r="AG27" i="12"/>
  <c r="AG28" i="12"/>
  <c r="AG29" i="12"/>
  <c r="AG30" i="12"/>
  <c r="AG31" i="12"/>
  <c r="AG32" i="12"/>
  <c r="AG35" i="12"/>
  <c r="AG36" i="12"/>
  <c r="AG37" i="12"/>
  <c r="AG38" i="12"/>
  <c r="AG39" i="12"/>
  <c r="AG40" i="12"/>
  <c r="AG43" i="12"/>
  <c r="AG44" i="12"/>
  <c r="AG45" i="12"/>
  <c r="AG46" i="12"/>
  <c r="AG47" i="12"/>
  <c r="AG48" i="12"/>
  <c r="AG51" i="12"/>
  <c r="AG52" i="12"/>
  <c r="AG53" i="12"/>
  <c r="AG54" i="12"/>
  <c r="AG55" i="12"/>
  <c r="AG56" i="12"/>
  <c r="AG58" i="12"/>
  <c r="AG59" i="12"/>
  <c r="AG60" i="12"/>
  <c r="AG61" i="12"/>
  <c r="AG62" i="12"/>
  <c r="AG63" i="12"/>
  <c r="AG64" i="12"/>
  <c r="AG67" i="12"/>
  <c r="AG68" i="12"/>
  <c r="AG69" i="12"/>
  <c r="AG70" i="12"/>
  <c r="AG71" i="12"/>
  <c r="AG72" i="12"/>
  <c r="AG74" i="12"/>
  <c r="AG75" i="12"/>
  <c r="AG76" i="12"/>
  <c r="AG77" i="12"/>
  <c r="AG78" i="12"/>
  <c r="AG79" i="12"/>
  <c r="AG80" i="12"/>
  <c r="AG81" i="12"/>
  <c r="AG82" i="12"/>
  <c r="AG83" i="12"/>
  <c r="AG84" i="12"/>
  <c r="AG85" i="12"/>
  <c r="AG86" i="12"/>
  <c r="AG87" i="12"/>
  <c r="AG88" i="12"/>
  <c r="AG89" i="12"/>
  <c r="AG91" i="12"/>
  <c r="AG92" i="12"/>
  <c r="AG93" i="12"/>
  <c r="AG94" i="12"/>
  <c r="AG95" i="12"/>
  <c r="AG96" i="12"/>
  <c r="AG99" i="12"/>
  <c r="AG100" i="12"/>
  <c r="AG101" i="12"/>
  <c r="AG102" i="12"/>
  <c r="AG103" i="12"/>
  <c r="AG104" i="12"/>
  <c r="AG107" i="12"/>
  <c r="AG108" i="12"/>
  <c r="AG109" i="12"/>
  <c r="AG110" i="12"/>
  <c r="AG111" i="12"/>
  <c r="AG112" i="12"/>
  <c r="AG115" i="12"/>
  <c r="AG116" i="12"/>
  <c r="AG117" i="12"/>
  <c r="AG118" i="12"/>
  <c r="AG119" i="12"/>
  <c r="AG120" i="12"/>
  <c r="AG122" i="12"/>
  <c r="AG123" i="12"/>
  <c r="AG124" i="12"/>
  <c r="AG125" i="12"/>
  <c r="AG126" i="12"/>
  <c r="AG127" i="12"/>
  <c r="AG128" i="12"/>
  <c r="AG131" i="12"/>
  <c r="AG132" i="12"/>
  <c r="AG133" i="12"/>
  <c r="AG134" i="12"/>
  <c r="AG135" i="12"/>
  <c r="AG136" i="12"/>
  <c r="AG138" i="12"/>
  <c r="AG139" i="12"/>
  <c r="AG140" i="12"/>
  <c r="AG141" i="12"/>
  <c r="AG142" i="12"/>
  <c r="AG143" i="12"/>
  <c r="AG144" i="12"/>
  <c r="AG145" i="12"/>
  <c r="AG146" i="12"/>
  <c r="AG147" i="12"/>
  <c r="AG148" i="12"/>
  <c r="AG149" i="12"/>
  <c r="AG150" i="12"/>
  <c r="AG151" i="12"/>
  <c r="AG152" i="12"/>
  <c r="AG153" i="12"/>
  <c r="AG155" i="12"/>
  <c r="AG156" i="12"/>
  <c r="AG157" i="12"/>
  <c r="AG158" i="12"/>
  <c r="AG159" i="12"/>
  <c r="AG160" i="12"/>
  <c r="AG163" i="12"/>
  <c r="AG164" i="12"/>
  <c r="AG165" i="12"/>
  <c r="AG166" i="12"/>
  <c r="AG167" i="12"/>
  <c r="AG168" i="12"/>
  <c r="AG171" i="12"/>
  <c r="AG172" i="12"/>
  <c r="AG173" i="12"/>
  <c r="AG174" i="12"/>
  <c r="AG175" i="12"/>
  <c r="AG176" i="12"/>
  <c r="AG179" i="12"/>
  <c r="AG180" i="12"/>
  <c r="AG181" i="12"/>
  <c r="AG182" i="12"/>
  <c r="AG183" i="12"/>
  <c r="AG184" i="12"/>
  <c r="AG186" i="12"/>
  <c r="AG187" i="12"/>
  <c r="AG188" i="12"/>
  <c r="AG189" i="12"/>
  <c r="AG190" i="12"/>
  <c r="AG191" i="12"/>
  <c r="AG3" i="12"/>
  <c r="AG4" i="12"/>
  <c r="AG6" i="12"/>
  <c r="AG9" i="12"/>
  <c r="AG10" i="12"/>
  <c r="AG11" i="12"/>
  <c r="AG12" i="12"/>
  <c r="AG14" i="12"/>
  <c r="AG17" i="12"/>
  <c r="AG18" i="12"/>
  <c r="AG19" i="12"/>
  <c r="AG20" i="12"/>
  <c r="AG22" i="12"/>
  <c r="AG23" i="12"/>
  <c r="AG25" i="12"/>
  <c r="AG26" i="12"/>
  <c r="AG2" i="12"/>
  <c r="AC27" i="12"/>
  <c r="AC28" i="12"/>
  <c r="AD28" i="12" s="1"/>
  <c r="AC29" i="12"/>
  <c r="AD29" i="12" s="1"/>
  <c r="AC30" i="12"/>
  <c r="AD30" i="12" s="1"/>
  <c r="AC31" i="12"/>
  <c r="AC32" i="12"/>
  <c r="AC33" i="12"/>
  <c r="AD33" i="12" s="1"/>
  <c r="AC34" i="12"/>
  <c r="AD34" i="12" s="1"/>
  <c r="AC35" i="12"/>
  <c r="AD35" i="12" s="1"/>
  <c r="AC36" i="12"/>
  <c r="AD36" i="12" s="1"/>
  <c r="AC37" i="12"/>
  <c r="AD37" i="12" s="1"/>
  <c r="AC38" i="12"/>
  <c r="AD38" i="12" s="1"/>
  <c r="AC39" i="12"/>
  <c r="AC40" i="12"/>
  <c r="AC41" i="12"/>
  <c r="AD41" i="12" s="1"/>
  <c r="AC42" i="12"/>
  <c r="AD42" i="12" s="1"/>
  <c r="AC43" i="12"/>
  <c r="AD43" i="12" s="1"/>
  <c r="AC44" i="12"/>
  <c r="AD44" i="12" s="1"/>
  <c r="AC45" i="12"/>
  <c r="AD45" i="12" s="1"/>
  <c r="AC46" i="12"/>
  <c r="AD46" i="12" s="1"/>
  <c r="AC47" i="12"/>
  <c r="AC48" i="12"/>
  <c r="AC49" i="12"/>
  <c r="AD49" i="12" s="1"/>
  <c r="AC50" i="12"/>
  <c r="AD50" i="12" s="1"/>
  <c r="AC51" i="12"/>
  <c r="AD51" i="12" s="1"/>
  <c r="AC52" i="12"/>
  <c r="AD52" i="12" s="1"/>
  <c r="AC53" i="12"/>
  <c r="AD53" i="12" s="1"/>
  <c r="AC54" i="12"/>
  <c r="AD54" i="12" s="1"/>
  <c r="AC55" i="12"/>
  <c r="AC56" i="12"/>
  <c r="AC57" i="12"/>
  <c r="AD57" i="12" s="1"/>
  <c r="AC58" i="12"/>
  <c r="AD58" i="12" s="1"/>
  <c r="AC59" i="12"/>
  <c r="AD59" i="12" s="1"/>
  <c r="AC60" i="12"/>
  <c r="AD60" i="12" s="1"/>
  <c r="AC61" i="12"/>
  <c r="AD61" i="12" s="1"/>
  <c r="AC62" i="12"/>
  <c r="AD62" i="12" s="1"/>
  <c r="AC63" i="12"/>
  <c r="AC64" i="12"/>
  <c r="AC65" i="12"/>
  <c r="AD65" i="12" s="1"/>
  <c r="AC66" i="12"/>
  <c r="AC67" i="12"/>
  <c r="AD67" i="12" s="1"/>
  <c r="AC68" i="12"/>
  <c r="AC69" i="12"/>
  <c r="AD69" i="12" s="1"/>
  <c r="AC70" i="12"/>
  <c r="AD70" i="12" s="1"/>
  <c r="AC71" i="12"/>
  <c r="AC72" i="12"/>
  <c r="AC73" i="12"/>
  <c r="AD73" i="12" s="1"/>
  <c r="AC74" i="12"/>
  <c r="AC75" i="12"/>
  <c r="AD75" i="12" s="1"/>
  <c r="AC76" i="12"/>
  <c r="AD76" i="12" s="1"/>
  <c r="AC77" i="12"/>
  <c r="AD77" i="12" s="1"/>
  <c r="AC78" i="12"/>
  <c r="AD78" i="12" s="1"/>
  <c r="AC79" i="12"/>
  <c r="AC80" i="12"/>
  <c r="AC81" i="12"/>
  <c r="AD81" i="12" s="1"/>
  <c r="AC82" i="12"/>
  <c r="AC83" i="12"/>
  <c r="AD83" i="12" s="1"/>
  <c r="AC84" i="12"/>
  <c r="AD84" i="12" s="1"/>
  <c r="AC85" i="12"/>
  <c r="AD85" i="12" s="1"/>
  <c r="AC86" i="12"/>
  <c r="AD86" i="12" s="1"/>
  <c r="AC87" i="12"/>
  <c r="AC88" i="12"/>
  <c r="AC89" i="12"/>
  <c r="AD89" i="12" s="1"/>
  <c r="AC90" i="12"/>
  <c r="AD90" i="12" s="1"/>
  <c r="AC91" i="12"/>
  <c r="AD91" i="12" s="1"/>
  <c r="AC92" i="12"/>
  <c r="AD92" i="12" s="1"/>
  <c r="AC93" i="12"/>
  <c r="AD93" i="12" s="1"/>
  <c r="AC94" i="12"/>
  <c r="AD94" i="12" s="1"/>
  <c r="AC95" i="12"/>
  <c r="AC96" i="12"/>
  <c r="AC97" i="12"/>
  <c r="AD97" i="12" s="1"/>
  <c r="AC98" i="12"/>
  <c r="AD98" i="12" s="1"/>
  <c r="AC99" i="12"/>
  <c r="AD99" i="12" s="1"/>
  <c r="AC100" i="12"/>
  <c r="AD100" i="12" s="1"/>
  <c r="AC101" i="12"/>
  <c r="AD101" i="12" s="1"/>
  <c r="AC102" i="12"/>
  <c r="AD102" i="12" s="1"/>
  <c r="AC103" i="12"/>
  <c r="AC104" i="12"/>
  <c r="AC105" i="12"/>
  <c r="AD105" i="12" s="1"/>
  <c r="AC106" i="12"/>
  <c r="AD106" i="12" s="1"/>
  <c r="AC107" i="12"/>
  <c r="AD107" i="12" s="1"/>
  <c r="AC108" i="12"/>
  <c r="AD108" i="12" s="1"/>
  <c r="AC109" i="12"/>
  <c r="AD109" i="12" s="1"/>
  <c r="AC110" i="12"/>
  <c r="AD110" i="12" s="1"/>
  <c r="AC111" i="12"/>
  <c r="AC112" i="12"/>
  <c r="AC113" i="12"/>
  <c r="AD113" i="12" s="1"/>
  <c r="AC114" i="12"/>
  <c r="AD114" i="12" s="1"/>
  <c r="AC115" i="12"/>
  <c r="AC116" i="12"/>
  <c r="AC117" i="12"/>
  <c r="AD117" i="12" s="1"/>
  <c r="AC118" i="12"/>
  <c r="AD118" i="12" s="1"/>
  <c r="AC119" i="12"/>
  <c r="AC120" i="12"/>
  <c r="AC121" i="12"/>
  <c r="AD121" i="12" s="1"/>
  <c r="AC122" i="12"/>
  <c r="AC123" i="12"/>
  <c r="AD123" i="12" s="1"/>
  <c r="AC124" i="12"/>
  <c r="AD124" i="12" s="1"/>
  <c r="AC125" i="12"/>
  <c r="AD125" i="12" s="1"/>
  <c r="AC126" i="12"/>
  <c r="AD126" i="12" s="1"/>
  <c r="AC127" i="12"/>
  <c r="AC128" i="12"/>
  <c r="AC129" i="12"/>
  <c r="AD129" i="12" s="1"/>
  <c r="AC130" i="12"/>
  <c r="AC131" i="12"/>
  <c r="AD131" i="12" s="1"/>
  <c r="AC132" i="12"/>
  <c r="AC133" i="12"/>
  <c r="AD133" i="12" s="1"/>
  <c r="AC134" i="12"/>
  <c r="AD134" i="12" s="1"/>
  <c r="AC135" i="12"/>
  <c r="AC136" i="12"/>
  <c r="AC137" i="12"/>
  <c r="AD137" i="12" s="1"/>
  <c r="AC138" i="12"/>
  <c r="AD138" i="12" s="1"/>
  <c r="AC139" i="12"/>
  <c r="AD139" i="12" s="1"/>
  <c r="AC140" i="12"/>
  <c r="AD140" i="12" s="1"/>
  <c r="AC141" i="12"/>
  <c r="AD141" i="12" s="1"/>
  <c r="AC142" i="12"/>
  <c r="AD142" i="12" s="1"/>
  <c r="AC143" i="12"/>
  <c r="AC144" i="12"/>
  <c r="AC145" i="12"/>
  <c r="AD145" i="12" s="1"/>
  <c r="AC146" i="12"/>
  <c r="AD146" i="12" s="1"/>
  <c r="AC147" i="12"/>
  <c r="AD147" i="12" s="1"/>
  <c r="AC148" i="12"/>
  <c r="AC149" i="12"/>
  <c r="AD149" i="12" s="1"/>
  <c r="AC150" i="12"/>
  <c r="AD150" i="12" s="1"/>
  <c r="AC151" i="12"/>
  <c r="AC152" i="12"/>
  <c r="AC153" i="12"/>
  <c r="AD153" i="12" s="1"/>
  <c r="AC154" i="12"/>
  <c r="AD154" i="12" s="1"/>
  <c r="AC155" i="12"/>
  <c r="AD155" i="12" s="1"/>
  <c r="AC156" i="12"/>
  <c r="AC157" i="12"/>
  <c r="AD157" i="12" s="1"/>
  <c r="AC158" i="12"/>
  <c r="AD158" i="12" s="1"/>
  <c r="AC159" i="12"/>
  <c r="AC160" i="12"/>
  <c r="AC161" i="12"/>
  <c r="AD161" i="12" s="1"/>
  <c r="AC162" i="12"/>
  <c r="AD162" i="12" s="1"/>
  <c r="AC163" i="12"/>
  <c r="AD163" i="12" s="1"/>
  <c r="AC164" i="12"/>
  <c r="AD164" i="12" s="1"/>
  <c r="AC165" i="12"/>
  <c r="AD165" i="12" s="1"/>
  <c r="AC166" i="12"/>
  <c r="AD166" i="12" s="1"/>
  <c r="AC167" i="12"/>
  <c r="AC168" i="12"/>
  <c r="AC169" i="12"/>
  <c r="AD169" i="12" s="1"/>
  <c r="AC170" i="12"/>
  <c r="AC171" i="12"/>
  <c r="AD171" i="12" s="1"/>
  <c r="AC172" i="12"/>
  <c r="AC173" i="12"/>
  <c r="AD173" i="12" s="1"/>
  <c r="AC174" i="12"/>
  <c r="AD174" i="12" s="1"/>
  <c r="AC175" i="12"/>
  <c r="AC176" i="12"/>
  <c r="AC177" i="12"/>
  <c r="AD177" i="12" s="1"/>
  <c r="AC178" i="12"/>
  <c r="AC179" i="12"/>
  <c r="AC180" i="12"/>
  <c r="AC181" i="12"/>
  <c r="AD181" i="12" s="1"/>
  <c r="AC182" i="12"/>
  <c r="AD182" i="12" s="1"/>
  <c r="AC183" i="12"/>
  <c r="AC184" i="12"/>
  <c r="AC185" i="12"/>
  <c r="AD185" i="12" s="1"/>
  <c r="AC186" i="12"/>
  <c r="AD186" i="12" s="1"/>
  <c r="AC187" i="12"/>
  <c r="AD187" i="12" s="1"/>
  <c r="AC188" i="12"/>
  <c r="AC189" i="12"/>
  <c r="AD189" i="12" s="1"/>
  <c r="AC190" i="12"/>
  <c r="AD190" i="12" s="1"/>
  <c r="AC191" i="12"/>
  <c r="AC3" i="12"/>
  <c r="AC4" i="12"/>
  <c r="AD4" i="12" s="1"/>
  <c r="AC5" i="12"/>
  <c r="AD5" i="12" s="1"/>
  <c r="AC6" i="12"/>
  <c r="AD6" i="12" s="1"/>
  <c r="AC7" i="12"/>
  <c r="AC8" i="12"/>
  <c r="AC9" i="12"/>
  <c r="AC10" i="12"/>
  <c r="AC11" i="12"/>
  <c r="AC12" i="12"/>
  <c r="AD12" i="12" s="1"/>
  <c r="AC13" i="12"/>
  <c r="AC14" i="12"/>
  <c r="AD14" i="12" s="1"/>
  <c r="AC15" i="12"/>
  <c r="AD15" i="12" s="1"/>
  <c r="AC16" i="12"/>
  <c r="AC17" i="12"/>
  <c r="AC18" i="12"/>
  <c r="AC19" i="12"/>
  <c r="AD19" i="12" s="1"/>
  <c r="AC20" i="12"/>
  <c r="AC21" i="12"/>
  <c r="AC22" i="12"/>
  <c r="AD22" i="12" s="1"/>
  <c r="AC23" i="12"/>
  <c r="AD23" i="12" s="1"/>
  <c r="AC24" i="12"/>
  <c r="AD24" i="12" s="1"/>
  <c r="AC25" i="12"/>
  <c r="AC26" i="12"/>
  <c r="AC2" i="12"/>
  <c r="AB27" i="12"/>
  <c r="AB28" i="12"/>
  <c r="AB29" i="12"/>
  <c r="AB30" i="12"/>
  <c r="AB31" i="12"/>
  <c r="AB32" i="12"/>
  <c r="AB34" i="12"/>
  <c r="AB35" i="12"/>
  <c r="AB36" i="12"/>
  <c r="AB37" i="12"/>
  <c r="AB38" i="12"/>
  <c r="AB39" i="12"/>
  <c r="AB40" i="12"/>
  <c r="AB41" i="12"/>
  <c r="AB42" i="12"/>
  <c r="AB43" i="12"/>
  <c r="AB44" i="12"/>
  <c r="AB45" i="12"/>
  <c r="AB46" i="12"/>
  <c r="AB47" i="12"/>
  <c r="AB48" i="12"/>
  <c r="AB50" i="12"/>
  <c r="AB51" i="12"/>
  <c r="AB52" i="12"/>
  <c r="AB53" i="12"/>
  <c r="AB54" i="12"/>
  <c r="AB55" i="12"/>
  <c r="AB56" i="12"/>
  <c r="AB58" i="12"/>
  <c r="AB59" i="12"/>
  <c r="AB60" i="12"/>
  <c r="AB61" i="12"/>
  <c r="AB62" i="12"/>
  <c r="AB63" i="12"/>
  <c r="AB64" i="12"/>
  <c r="AB66" i="12"/>
  <c r="AB67" i="12"/>
  <c r="AB68" i="12"/>
  <c r="AB69" i="12"/>
  <c r="AB70" i="12"/>
  <c r="AB71" i="12"/>
  <c r="AB72" i="12"/>
  <c r="AB74" i="12"/>
  <c r="AB75" i="12"/>
  <c r="AB76" i="12"/>
  <c r="AB77" i="12"/>
  <c r="AB78" i="12"/>
  <c r="AB79" i="12"/>
  <c r="AB80" i="12"/>
  <c r="AB82" i="12"/>
  <c r="AB83" i="12"/>
  <c r="AB84" i="12"/>
  <c r="AB85" i="12"/>
  <c r="AB86" i="12"/>
  <c r="AB87" i="12"/>
  <c r="AB88" i="12"/>
  <c r="AB90" i="12"/>
  <c r="AB91" i="12"/>
  <c r="AB92" i="12"/>
  <c r="AB93" i="12"/>
  <c r="AB94" i="12"/>
  <c r="AB95" i="12"/>
  <c r="AB96" i="12"/>
  <c r="AB98" i="12"/>
  <c r="AB99" i="12"/>
  <c r="AB100" i="12"/>
  <c r="AB101" i="12"/>
  <c r="AB102" i="12"/>
  <c r="AB103" i="12"/>
  <c r="AB104" i="12"/>
  <c r="AB106" i="12"/>
  <c r="AB107" i="12"/>
  <c r="AB108" i="12"/>
  <c r="AB109" i="12"/>
  <c r="AB110" i="12"/>
  <c r="AB111" i="12"/>
  <c r="AB112" i="12"/>
  <c r="AB114" i="12"/>
  <c r="AB115" i="12"/>
  <c r="AB116" i="12"/>
  <c r="AB117" i="12"/>
  <c r="AB118" i="12"/>
  <c r="AB119" i="12"/>
  <c r="AB120" i="12"/>
  <c r="AB122" i="12"/>
  <c r="AB123" i="12"/>
  <c r="AB124" i="12"/>
  <c r="AB125" i="12"/>
  <c r="AB126" i="12"/>
  <c r="AB127" i="12"/>
  <c r="AB128" i="12"/>
  <c r="AB130" i="12"/>
  <c r="AB131" i="12"/>
  <c r="AB132" i="12"/>
  <c r="AB133" i="12"/>
  <c r="AB134" i="12"/>
  <c r="AB135" i="12"/>
  <c r="AB136" i="12"/>
  <c r="AB138" i="12"/>
  <c r="AB139" i="12"/>
  <c r="AB140" i="12"/>
  <c r="AB141" i="12"/>
  <c r="AB142" i="12"/>
  <c r="AB143" i="12"/>
  <c r="AB144" i="12"/>
  <c r="AB146" i="12"/>
  <c r="AB147" i="12"/>
  <c r="AB148" i="12"/>
  <c r="AB149" i="12"/>
  <c r="AB150" i="12"/>
  <c r="AB151" i="12"/>
  <c r="AB152" i="12"/>
  <c r="AB154" i="12"/>
  <c r="AB155" i="12"/>
  <c r="AB156" i="12"/>
  <c r="AB157" i="12"/>
  <c r="AB158" i="12"/>
  <c r="AB159" i="12"/>
  <c r="AB160" i="12"/>
  <c r="AB162" i="12"/>
  <c r="AB163" i="12"/>
  <c r="AB164" i="12"/>
  <c r="AB165" i="12"/>
  <c r="AB166" i="12"/>
  <c r="AB167" i="12"/>
  <c r="AB168" i="12"/>
  <c r="AB170" i="12"/>
  <c r="AB171" i="12"/>
  <c r="AB172" i="12"/>
  <c r="AB173" i="12"/>
  <c r="AB174" i="12"/>
  <c r="AB175" i="12"/>
  <c r="AB176" i="12"/>
  <c r="AB178" i="12"/>
  <c r="AB179" i="12"/>
  <c r="AB180" i="12"/>
  <c r="AB181" i="12"/>
  <c r="AB182" i="12"/>
  <c r="AB183" i="12"/>
  <c r="AB184" i="12"/>
  <c r="AB186" i="12"/>
  <c r="AB187" i="12"/>
  <c r="AB188" i="12"/>
  <c r="AB189" i="12"/>
  <c r="AB190" i="12"/>
  <c r="AB191" i="12"/>
  <c r="AB3" i="12"/>
  <c r="AB5" i="12"/>
  <c r="AB7" i="12"/>
  <c r="AB9" i="12"/>
  <c r="AB10" i="12"/>
  <c r="AB11" i="12"/>
  <c r="AB13" i="12"/>
  <c r="AB17" i="12"/>
  <c r="AB19" i="12"/>
  <c r="AB21" i="12"/>
  <c r="AB22" i="12"/>
  <c r="AB23" i="12"/>
  <c r="AB24" i="12"/>
  <c r="AB25" i="12"/>
  <c r="AB2" i="12"/>
  <c r="X27" i="12"/>
  <c r="X28" i="12"/>
  <c r="Y28" i="12" s="1"/>
  <c r="X29" i="12"/>
  <c r="Y29" i="12" s="1"/>
  <c r="X30" i="12"/>
  <c r="X31" i="12"/>
  <c r="X32" i="12"/>
  <c r="Y32" i="12" s="1"/>
  <c r="X33" i="12"/>
  <c r="Y33" i="12" s="1"/>
  <c r="X34" i="12"/>
  <c r="Y34" i="12" s="1"/>
  <c r="X35" i="12"/>
  <c r="X36" i="12"/>
  <c r="Y36" i="12" s="1"/>
  <c r="X37" i="12"/>
  <c r="Y37" i="12" s="1"/>
  <c r="X38" i="12"/>
  <c r="X39" i="12"/>
  <c r="X40" i="12"/>
  <c r="X41" i="12"/>
  <c r="Y41" i="12" s="1"/>
  <c r="X42" i="12"/>
  <c r="Y42" i="12" s="1"/>
  <c r="X43" i="12"/>
  <c r="Y43" i="12" s="1"/>
  <c r="X44" i="12"/>
  <c r="Y44" i="12" s="1"/>
  <c r="X45" i="12"/>
  <c r="X46" i="12"/>
  <c r="X47" i="12"/>
  <c r="X48" i="12"/>
  <c r="Y48" i="12" s="1"/>
  <c r="X49" i="12"/>
  <c r="Y49" i="12" s="1"/>
  <c r="X50" i="12"/>
  <c r="Y50" i="12" s="1"/>
  <c r="X51" i="12"/>
  <c r="Y51" i="12" s="1"/>
  <c r="X52" i="12"/>
  <c r="Y52" i="12" s="1"/>
  <c r="X53" i="12"/>
  <c r="Y53" i="12" s="1"/>
  <c r="X54" i="12"/>
  <c r="Y54" i="12" s="1"/>
  <c r="X55" i="12"/>
  <c r="X56" i="12"/>
  <c r="X57" i="12"/>
  <c r="Y57" i="12" s="1"/>
  <c r="X58" i="12"/>
  <c r="Y58" i="12" s="1"/>
  <c r="X59" i="12"/>
  <c r="Y59" i="12" s="1"/>
  <c r="X60" i="12"/>
  <c r="Y60" i="12" s="1"/>
  <c r="X61" i="12"/>
  <c r="X62" i="12"/>
  <c r="X63" i="12"/>
  <c r="X64" i="12"/>
  <c r="X65" i="12"/>
  <c r="Y65" i="12" s="1"/>
  <c r="X66" i="12"/>
  <c r="X67" i="12"/>
  <c r="Y67" i="12" s="1"/>
  <c r="X68" i="12"/>
  <c r="Y68" i="12" s="1"/>
  <c r="X69" i="12"/>
  <c r="X70" i="12"/>
  <c r="X71" i="12"/>
  <c r="X72" i="12"/>
  <c r="Y72" i="12" s="1"/>
  <c r="X73" i="12"/>
  <c r="Y73" i="12" s="1"/>
  <c r="X74" i="12"/>
  <c r="Y74" i="12" s="1"/>
  <c r="X75" i="12"/>
  <c r="Y75" i="12" s="1"/>
  <c r="X76" i="12"/>
  <c r="Y76" i="12" s="1"/>
  <c r="X77" i="12"/>
  <c r="Y77" i="12" s="1"/>
  <c r="X78" i="12"/>
  <c r="X79" i="12"/>
  <c r="X80" i="12"/>
  <c r="Y80" i="12" s="1"/>
  <c r="X81" i="12"/>
  <c r="Y81" i="12" s="1"/>
  <c r="X82" i="12"/>
  <c r="Y82" i="12" s="1"/>
  <c r="X83" i="12"/>
  <c r="Y83" i="12" s="1"/>
  <c r="X84" i="12"/>
  <c r="Y84" i="12" s="1"/>
  <c r="X85" i="12"/>
  <c r="X86" i="12"/>
  <c r="X87" i="12"/>
  <c r="X88" i="12"/>
  <c r="Y88" i="12" s="1"/>
  <c r="X89" i="12"/>
  <c r="Y89" i="12" s="1"/>
  <c r="X90" i="12"/>
  <c r="X91" i="12"/>
  <c r="Y91" i="12" s="1"/>
  <c r="X92" i="12"/>
  <c r="Y92" i="12" s="1"/>
  <c r="X93" i="12"/>
  <c r="Y93" i="12" s="1"/>
  <c r="X94" i="12"/>
  <c r="X95" i="12"/>
  <c r="X96" i="12"/>
  <c r="Y96" i="12" s="1"/>
  <c r="X97" i="12"/>
  <c r="Y97" i="12" s="1"/>
  <c r="X98" i="12"/>
  <c r="Y98" i="12" s="1"/>
  <c r="X99" i="12"/>
  <c r="X100" i="12"/>
  <c r="Y100" i="12" s="1"/>
  <c r="X101" i="12"/>
  <c r="Y101" i="12" s="1"/>
  <c r="X102" i="12"/>
  <c r="X103" i="12"/>
  <c r="X104" i="12"/>
  <c r="X105" i="12"/>
  <c r="Y105" i="12" s="1"/>
  <c r="X106" i="12"/>
  <c r="X107" i="12"/>
  <c r="X108" i="12"/>
  <c r="Y108" i="12" s="1"/>
  <c r="X109" i="12"/>
  <c r="X110" i="12"/>
  <c r="X111" i="12"/>
  <c r="X112" i="12"/>
  <c r="Y112" i="12" s="1"/>
  <c r="X113" i="12"/>
  <c r="Y113" i="12" s="1"/>
  <c r="X114" i="12"/>
  <c r="Y114" i="12" s="1"/>
  <c r="X115" i="12"/>
  <c r="Y115" i="12" s="1"/>
  <c r="X116" i="12"/>
  <c r="Y116" i="12" s="1"/>
  <c r="X117" i="12"/>
  <c r="X118" i="12"/>
  <c r="X119" i="12"/>
  <c r="X120" i="12"/>
  <c r="X121" i="12"/>
  <c r="Y121" i="12" s="1"/>
  <c r="X122" i="12"/>
  <c r="Y122" i="12" s="1"/>
  <c r="X123" i="12"/>
  <c r="Y123" i="12" s="1"/>
  <c r="X124" i="12"/>
  <c r="Y124" i="12" s="1"/>
  <c r="X125" i="12"/>
  <c r="Y125" i="12" s="1"/>
  <c r="X126" i="12"/>
  <c r="X127" i="12"/>
  <c r="X128" i="12"/>
  <c r="X129" i="12"/>
  <c r="Y129" i="12" s="1"/>
  <c r="X130" i="12"/>
  <c r="Y130" i="12" s="1"/>
  <c r="X131" i="12"/>
  <c r="X132" i="12"/>
  <c r="Y132" i="12" s="1"/>
  <c r="X133" i="12"/>
  <c r="X134" i="12"/>
  <c r="X135" i="12"/>
  <c r="X136" i="12"/>
  <c r="Y136" i="12" s="1"/>
  <c r="X137" i="12"/>
  <c r="Y137" i="12" s="1"/>
  <c r="X138" i="12"/>
  <c r="Y138" i="12" s="1"/>
  <c r="X139" i="12"/>
  <c r="Y139" i="12" s="1"/>
  <c r="X140" i="12"/>
  <c r="Y140" i="12" s="1"/>
  <c r="X141" i="12"/>
  <c r="Y141" i="12" s="1"/>
  <c r="X142" i="12"/>
  <c r="X143" i="12"/>
  <c r="X144" i="12"/>
  <c r="Y144" i="12" s="1"/>
  <c r="X145" i="12"/>
  <c r="Y145" i="12" s="1"/>
  <c r="X146" i="12"/>
  <c r="Y146" i="12" s="1"/>
  <c r="X147" i="12"/>
  <c r="Y147" i="12" s="1"/>
  <c r="X148" i="12"/>
  <c r="Y148" i="12" s="1"/>
  <c r="X149" i="12"/>
  <c r="X150" i="12"/>
  <c r="X151" i="12"/>
  <c r="X152" i="12"/>
  <c r="X153" i="12"/>
  <c r="X154" i="12"/>
  <c r="Y154" i="12" s="1"/>
  <c r="X155" i="12"/>
  <c r="Y155" i="12" s="1"/>
  <c r="X156" i="12"/>
  <c r="Y156" i="12" s="1"/>
  <c r="X157" i="12"/>
  <c r="Y157" i="12" s="1"/>
  <c r="X158" i="12"/>
  <c r="X159" i="12"/>
  <c r="X160" i="12"/>
  <c r="Y160" i="12" s="1"/>
  <c r="X161" i="12"/>
  <c r="X162" i="12"/>
  <c r="Y162" i="12" s="1"/>
  <c r="X163" i="12"/>
  <c r="X164" i="12"/>
  <c r="Y164" i="12" s="1"/>
  <c r="X165" i="12"/>
  <c r="X166" i="12"/>
  <c r="X167" i="12"/>
  <c r="X168" i="12"/>
  <c r="Y168" i="12" s="1"/>
  <c r="X169" i="12"/>
  <c r="Y169" i="12" s="1"/>
  <c r="X170" i="12"/>
  <c r="Y170" i="12" s="1"/>
  <c r="X171" i="12"/>
  <c r="Y171" i="12" s="1"/>
  <c r="X172" i="12"/>
  <c r="Y172" i="12" s="1"/>
  <c r="X173" i="12"/>
  <c r="Y173" i="12" s="1"/>
  <c r="X174" i="12"/>
  <c r="X175" i="12"/>
  <c r="X176" i="12"/>
  <c r="Y176" i="12" s="1"/>
  <c r="X177" i="12"/>
  <c r="Y177" i="12" s="1"/>
  <c r="X178" i="12"/>
  <c r="Y178" i="12" s="1"/>
  <c r="X179" i="12"/>
  <c r="X180" i="12"/>
  <c r="Y180" i="12" s="1"/>
  <c r="X181" i="12"/>
  <c r="X182" i="12"/>
  <c r="X183" i="12"/>
  <c r="X184" i="12"/>
  <c r="X185" i="12"/>
  <c r="X186" i="12"/>
  <c r="Y186" i="12" s="1"/>
  <c r="X187" i="12"/>
  <c r="Y187" i="12" s="1"/>
  <c r="X188" i="12"/>
  <c r="Y188" i="12" s="1"/>
  <c r="X189" i="12"/>
  <c r="Y189" i="12" s="1"/>
  <c r="X190" i="12"/>
  <c r="X191" i="12"/>
  <c r="X3" i="12"/>
  <c r="X4" i="12"/>
  <c r="X5" i="12"/>
  <c r="X6" i="12"/>
  <c r="X7" i="12"/>
  <c r="Y7" i="12" s="1"/>
  <c r="X8" i="12"/>
  <c r="X9" i="12"/>
  <c r="X10" i="12"/>
  <c r="X11" i="12"/>
  <c r="X12" i="12"/>
  <c r="Y12" i="12" s="1"/>
  <c r="X13" i="12"/>
  <c r="Y13" i="12" s="1"/>
  <c r="X14" i="12"/>
  <c r="X15" i="12"/>
  <c r="X16" i="12"/>
  <c r="X17" i="12"/>
  <c r="X18" i="12"/>
  <c r="X19" i="12"/>
  <c r="Y19" i="12" s="1"/>
  <c r="X20" i="12"/>
  <c r="Y20" i="12" s="1"/>
  <c r="X21" i="12"/>
  <c r="X22" i="12"/>
  <c r="X23" i="12"/>
  <c r="X24" i="12"/>
  <c r="X25" i="12"/>
  <c r="X26" i="12"/>
  <c r="X2" i="12"/>
  <c r="W27" i="12"/>
  <c r="W28" i="12"/>
  <c r="W29" i="12"/>
  <c r="W30" i="12"/>
  <c r="W31" i="12"/>
  <c r="W32" i="12"/>
  <c r="W33" i="12"/>
  <c r="W35" i="12"/>
  <c r="W36" i="12"/>
  <c r="W37" i="12"/>
  <c r="W38" i="12"/>
  <c r="W39" i="12"/>
  <c r="W40" i="12"/>
  <c r="W41" i="12"/>
  <c r="W42" i="12"/>
  <c r="W43" i="12"/>
  <c r="W44" i="12"/>
  <c r="W45" i="12"/>
  <c r="W46" i="12"/>
  <c r="W47" i="12"/>
  <c r="W48" i="12"/>
  <c r="W49" i="12"/>
  <c r="W50" i="12"/>
  <c r="W51" i="12"/>
  <c r="W52" i="12"/>
  <c r="W53" i="12"/>
  <c r="W54" i="12"/>
  <c r="W55" i="12"/>
  <c r="W56" i="12"/>
  <c r="W57" i="12"/>
  <c r="W58" i="12"/>
  <c r="W59" i="12"/>
  <c r="W60" i="12"/>
  <c r="W61" i="12"/>
  <c r="W62" i="12"/>
  <c r="W63" i="12"/>
  <c r="W64" i="12"/>
  <c r="W65" i="12"/>
  <c r="W66" i="12"/>
  <c r="W67" i="12"/>
  <c r="W68" i="12"/>
  <c r="W69" i="12"/>
  <c r="W70" i="12"/>
  <c r="W71" i="12"/>
  <c r="W72" i="12"/>
  <c r="W73" i="12"/>
  <c r="W75" i="12"/>
  <c r="W76" i="12"/>
  <c r="W77" i="12"/>
  <c r="W78" i="12"/>
  <c r="W79" i="12"/>
  <c r="W80" i="12"/>
  <c r="W81" i="12"/>
  <c r="W82" i="12"/>
  <c r="W83" i="12"/>
  <c r="W84" i="12"/>
  <c r="W85" i="12"/>
  <c r="W86" i="12"/>
  <c r="W87" i="12"/>
  <c r="W88" i="12"/>
  <c r="W89" i="12"/>
  <c r="W90" i="12"/>
  <c r="W91" i="12"/>
  <c r="W92" i="12"/>
  <c r="W93" i="12"/>
  <c r="W94" i="12"/>
  <c r="W95" i="12"/>
  <c r="W96" i="12"/>
  <c r="W97" i="12"/>
  <c r="W98" i="12"/>
  <c r="W99" i="12"/>
  <c r="W100" i="12"/>
  <c r="W101" i="12"/>
  <c r="W102" i="12"/>
  <c r="W103" i="12"/>
  <c r="W104" i="12"/>
  <c r="W105" i="12"/>
  <c r="W106" i="12"/>
  <c r="W107" i="12"/>
  <c r="W108" i="12"/>
  <c r="W109" i="12"/>
  <c r="W110" i="12"/>
  <c r="W111" i="12"/>
  <c r="W112" i="12"/>
  <c r="W113" i="12"/>
  <c r="W114" i="12"/>
  <c r="W115" i="12"/>
  <c r="W116" i="12"/>
  <c r="W117" i="12"/>
  <c r="W118" i="12"/>
  <c r="W119" i="12"/>
  <c r="W120" i="12"/>
  <c r="W121" i="12"/>
  <c r="W122" i="12"/>
  <c r="W123" i="12"/>
  <c r="W124" i="12"/>
  <c r="W125" i="12"/>
  <c r="W126" i="12"/>
  <c r="W127" i="12"/>
  <c r="W128" i="12"/>
  <c r="W129" i="12"/>
  <c r="W130" i="12"/>
  <c r="W131" i="12"/>
  <c r="W132" i="12"/>
  <c r="W133" i="12"/>
  <c r="W134" i="12"/>
  <c r="W135" i="12"/>
  <c r="W136" i="12"/>
  <c r="W137" i="12"/>
  <c r="W139" i="12"/>
  <c r="W140" i="12"/>
  <c r="W141" i="12"/>
  <c r="W142" i="12"/>
  <c r="W143" i="12"/>
  <c r="W144" i="12"/>
  <c r="W145" i="12"/>
  <c r="W146" i="12"/>
  <c r="W147" i="12"/>
  <c r="W148" i="12"/>
  <c r="W149" i="12"/>
  <c r="W150" i="12"/>
  <c r="W151" i="12"/>
  <c r="W152" i="12"/>
  <c r="W153" i="12"/>
  <c r="W154" i="12"/>
  <c r="W155" i="12"/>
  <c r="W156" i="12"/>
  <c r="W157" i="12"/>
  <c r="W158" i="12"/>
  <c r="W159" i="12"/>
  <c r="W160" i="12"/>
  <c r="W161" i="12"/>
  <c r="W162" i="12"/>
  <c r="W163" i="12"/>
  <c r="W164" i="12"/>
  <c r="W165" i="12"/>
  <c r="W166" i="12"/>
  <c r="W167" i="12"/>
  <c r="W168" i="12"/>
  <c r="W169" i="12"/>
  <c r="W170" i="12"/>
  <c r="W171" i="12"/>
  <c r="W172" i="12"/>
  <c r="W173" i="12"/>
  <c r="W174" i="12"/>
  <c r="W175" i="12"/>
  <c r="W176" i="12"/>
  <c r="W177" i="12"/>
  <c r="W178" i="12"/>
  <c r="W179" i="12"/>
  <c r="W180" i="12"/>
  <c r="W181" i="12"/>
  <c r="W182" i="12"/>
  <c r="W183" i="12"/>
  <c r="W184" i="12"/>
  <c r="W185" i="12"/>
  <c r="W186" i="12"/>
  <c r="W187" i="12"/>
  <c r="W188" i="12"/>
  <c r="W189" i="12"/>
  <c r="W190" i="12"/>
  <c r="W191" i="12"/>
  <c r="W4" i="12"/>
  <c r="W5" i="12"/>
  <c r="W6" i="12"/>
  <c r="W7" i="12"/>
  <c r="W8" i="12"/>
  <c r="W9" i="12"/>
  <c r="W10" i="12"/>
  <c r="W12" i="12"/>
  <c r="W15" i="12"/>
  <c r="W16" i="12"/>
  <c r="W17" i="12"/>
  <c r="W18" i="12"/>
  <c r="W20" i="12"/>
  <c r="W22" i="12"/>
  <c r="W23" i="12"/>
  <c r="W24" i="12"/>
  <c r="W25" i="12"/>
  <c r="W26" i="12"/>
  <c r="T28" i="12"/>
  <c r="T30" i="12"/>
  <c r="T31" i="12"/>
  <c r="T32" i="12"/>
  <c r="T34" i="12"/>
  <c r="T35" i="12"/>
  <c r="T36" i="12"/>
  <c r="T37" i="12"/>
  <c r="T38" i="12"/>
  <c r="T39" i="12"/>
  <c r="T40" i="12"/>
  <c r="T41" i="12"/>
  <c r="T42" i="12"/>
  <c r="T44" i="12"/>
  <c r="T46" i="12"/>
  <c r="T47" i="12"/>
  <c r="T48" i="12"/>
  <c r="T49" i="12"/>
  <c r="T50" i="12"/>
  <c r="T54" i="12"/>
  <c r="T55" i="12"/>
  <c r="T56" i="12"/>
  <c r="T57" i="12"/>
  <c r="T58" i="12"/>
  <c r="T59" i="12"/>
  <c r="T61" i="12"/>
  <c r="T62" i="12"/>
  <c r="T63" i="12"/>
  <c r="T64" i="12"/>
  <c r="T65" i="12"/>
  <c r="T69" i="12"/>
  <c r="T70" i="12"/>
  <c r="T71" i="12"/>
  <c r="T72" i="12"/>
  <c r="T73" i="12"/>
  <c r="T77" i="12"/>
  <c r="T78" i="12"/>
  <c r="T79" i="12"/>
  <c r="T80" i="12"/>
  <c r="T81" i="12"/>
  <c r="T82" i="12"/>
  <c r="T86" i="12"/>
  <c r="T87" i="12"/>
  <c r="T88" i="12"/>
  <c r="T90" i="12"/>
  <c r="T93" i="12"/>
  <c r="T94" i="12"/>
  <c r="T95" i="12"/>
  <c r="T96" i="12"/>
  <c r="T98" i="12"/>
  <c r="T101" i="12"/>
  <c r="T102" i="12"/>
  <c r="T103" i="12"/>
  <c r="T104" i="12"/>
  <c r="T105" i="12"/>
  <c r="T106" i="12"/>
  <c r="T110" i="12"/>
  <c r="T111" i="12"/>
  <c r="T112" i="12"/>
  <c r="T113" i="12"/>
  <c r="T114" i="12"/>
  <c r="T115" i="12"/>
  <c r="T118" i="12"/>
  <c r="T119" i="12"/>
  <c r="T120" i="12"/>
  <c r="T121" i="12"/>
  <c r="T122" i="12"/>
  <c r="T125" i="12"/>
  <c r="T126" i="12"/>
  <c r="T127" i="12"/>
  <c r="T128" i="12"/>
  <c r="T129" i="12"/>
  <c r="T131" i="12"/>
  <c r="T133" i="12"/>
  <c r="T134" i="12"/>
  <c r="T135" i="12"/>
  <c r="T136" i="12"/>
  <c r="T137" i="12"/>
  <c r="T141" i="12"/>
  <c r="T142" i="12"/>
  <c r="T143" i="12"/>
  <c r="T144" i="12"/>
  <c r="T145" i="12"/>
  <c r="T146" i="12"/>
  <c r="T149" i="12"/>
  <c r="T150" i="12"/>
  <c r="T151" i="12"/>
  <c r="T152" i="12"/>
  <c r="T154" i="12"/>
  <c r="T157" i="12"/>
  <c r="T158" i="12"/>
  <c r="T159" i="12"/>
  <c r="T160" i="12"/>
  <c r="T162" i="12"/>
  <c r="T165" i="12"/>
  <c r="T166" i="12"/>
  <c r="T167" i="12"/>
  <c r="T168" i="12"/>
  <c r="T169" i="12"/>
  <c r="T170" i="12"/>
  <c r="T171" i="12"/>
  <c r="T174" i="12"/>
  <c r="T175" i="12"/>
  <c r="T176" i="12"/>
  <c r="T177" i="12"/>
  <c r="T178" i="12"/>
  <c r="T182" i="12"/>
  <c r="T183" i="12"/>
  <c r="T184" i="12"/>
  <c r="T185" i="12"/>
  <c r="T186" i="12"/>
  <c r="T187" i="12"/>
  <c r="T189" i="12"/>
  <c r="T190" i="12"/>
  <c r="T191" i="12"/>
  <c r="T8" i="12"/>
  <c r="T9" i="12"/>
  <c r="T10" i="12"/>
  <c r="T16" i="12"/>
  <c r="T18" i="12"/>
  <c r="T22" i="12"/>
  <c r="T24" i="12"/>
  <c r="T25" i="12"/>
  <c r="T26" i="12"/>
  <c r="S2" i="12"/>
  <c r="R27" i="12"/>
  <c r="R28" i="12"/>
  <c r="R29" i="12"/>
  <c r="R30" i="12"/>
  <c r="R31" i="12"/>
  <c r="R32" i="12"/>
  <c r="R33" i="12"/>
  <c r="R34" i="12"/>
  <c r="R35" i="12"/>
  <c r="R36" i="12"/>
  <c r="R37" i="12"/>
  <c r="R38" i="12"/>
  <c r="R39" i="12"/>
  <c r="R40" i="12"/>
  <c r="R43" i="12"/>
  <c r="R44" i="12"/>
  <c r="R45" i="12"/>
  <c r="R46" i="12"/>
  <c r="R47" i="12"/>
  <c r="R48" i="12"/>
  <c r="R49" i="12"/>
  <c r="R50" i="12"/>
  <c r="R51" i="12"/>
  <c r="R52" i="12"/>
  <c r="R53" i="12"/>
  <c r="R54" i="12"/>
  <c r="R55" i="12"/>
  <c r="R56" i="12"/>
  <c r="R57" i="12"/>
  <c r="R58" i="12"/>
  <c r="R59" i="12"/>
  <c r="R60" i="12"/>
  <c r="R61" i="12"/>
  <c r="R62" i="12"/>
  <c r="R63" i="12"/>
  <c r="R64" i="12"/>
  <c r="R65" i="12"/>
  <c r="R66" i="12"/>
  <c r="R67" i="12"/>
  <c r="R68" i="12"/>
  <c r="R69" i="12"/>
  <c r="R70" i="12"/>
  <c r="R71" i="12"/>
  <c r="R72" i="12"/>
  <c r="R74" i="12"/>
  <c r="R75" i="12"/>
  <c r="R76" i="12"/>
  <c r="R77" i="12"/>
  <c r="R78" i="12"/>
  <c r="R79" i="12"/>
  <c r="R80" i="12"/>
  <c r="R81" i="12"/>
  <c r="R82" i="12"/>
  <c r="R83" i="12"/>
  <c r="R84" i="12"/>
  <c r="R85" i="12"/>
  <c r="R86" i="12"/>
  <c r="R87" i="12"/>
  <c r="R88" i="12"/>
  <c r="R89" i="12"/>
  <c r="R90" i="12"/>
  <c r="R91" i="12"/>
  <c r="R92" i="12"/>
  <c r="R93" i="12"/>
  <c r="R94" i="12"/>
  <c r="R95" i="12"/>
  <c r="R96" i="12"/>
  <c r="R97" i="12"/>
  <c r="R98" i="12"/>
  <c r="R99" i="12"/>
  <c r="R100" i="12"/>
  <c r="R101" i="12"/>
  <c r="R102" i="12"/>
  <c r="R103" i="12"/>
  <c r="R104" i="12"/>
  <c r="R105" i="12"/>
  <c r="R106" i="12"/>
  <c r="R107" i="12"/>
  <c r="R108" i="12"/>
  <c r="R109" i="12"/>
  <c r="R110" i="12"/>
  <c r="R111" i="12"/>
  <c r="R112" i="12"/>
  <c r="R113" i="12"/>
  <c r="R114" i="12"/>
  <c r="R115" i="12"/>
  <c r="R116" i="12"/>
  <c r="R117" i="12"/>
  <c r="R118" i="12"/>
  <c r="R119" i="12"/>
  <c r="R120" i="12"/>
  <c r="R121" i="12"/>
  <c r="R122" i="12"/>
  <c r="R123" i="12"/>
  <c r="R124" i="12"/>
  <c r="R125" i="12"/>
  <c r="R126" i="12"/>
  <c r="R127" i="12"/>
  <c r="R128" i="12"/>
  <c r="R130" i="12"/>
  <c r="R131" i="12"/>
  <c r="R132" i="12"/>
  <c r="R133" i="12"/>
  <c r="R134" i="12"/>
  <c r="R135" i="12"/>
  <c r="R136" i="12"/>
  <c r="R137" i="12"/>
  <c r="R138" i="12"/>
  <c r="R139" i="12"/>
  <c r="R140" i="12"/>
  <c r="R141" i="12"/>
  <c r="R142" i="12"/>
  <c r="R143" i="12"/>
  <c r="R144" i="12"/>
  <c r="R145" i="12"/>
  <c r="R146" i="12"/>
  <c r="R147" i="12"/>
  <c r="R148" i="12"/>
  <c r="R149" i="12"/>
  <c r="R150" i="12"/>
  <c r="R151" i="12"/>
  <c r="R152" i="12"/>
  <c r="R153" i="12"/>
  <c r="R154" i="12"/>
  <c r="R155" i="12"/>
  <c r="R156" i="12"/>
  <c r="R157" i="12"/>
  <c r="R158" i="12"/>
  <c r="R159" i="12"/>
  <c r="R160" i="12"/>
  <c r="R161" i="12"/>
  <c r="R163" i="12"/>
  <c r="R164" i="12"/>
  <c r="R165" i="12"/>
  <c r="R166" i="12"/>
  <c r="R167" i="12"/>
  <c r="R168" i="12"/>
  <c r="R169" i="12"/>
  <c r="R170" i="12"/>
  <c r="R171" i="12"/>
  <c r="R172" i="12"/>
  <c r="R173" i="12"/>
  <c r="R174" i="12"/>
  <c r="R175" i="12"/>
  <c r="R176" i="12"/>
  <c r="R177" i="12"/>
  <c r="R178" i="12"/>
  <c r="R179" i="12"/>
  <c r="R180" i="12"/>
  <c r="R181" i="12"/>
  <c r="R182" i="12"/>
  <c r="R183" i="12"/>
  <c r="R184" i="12"/>
  <c r="R187" i="12"/>
  <c r="R188" i="12"/>
  <c r="R189" i="12"/>
  <c r="R190" i="12"/>
  <c r="R191" i="12"/>
  <c r="R3" i="12"/>
  <c r="R4" i="12"/>
  <c r="R5" i="12"/>
  <c r="R6" i="12"/>
  <c r="R7" i="12"/>
  <c r="R9" i="12"/>
  <c r="R10" i="12"/>
  <c r="R11" i="12"/>
  <c r="R12" i="12"/>
  <c r="R13" i="12"/>
  <c r="R14" i="12"/>
  <c r="R15" i="12"/>
  <c r="R17" i="12"/>
  <c r="R18" i="12"/>
  <c r="R19" i="12"/>
  <c r="R20" i="12"/>
  <c r="R21" i="12"/>
  <c r="R22" i="12"/>
  <c r="R23" i="12"/>
  <c r="R24" i="12"/>
  <c r="R25" i="12"/>
  <c r="R26" i="12"/>
  <c r="R2" i="12"/>
  <c r="P2" i="12"/>
  <c r="N2" i="12"/>
  <c r="L2" i="12"/>
  <c r="J2" i="12"/>
  <c r="H2" i="12"/>
  <c r="F2" i="12"/>
  <c r="BH4" i="12"/>
  <c r="BH5" i="12"/>
  <c r="BH7" i="12"/>
  <c r="BH8" i="12"/>
  <c r="BH9" i="12"/>
  <c r="BH12" i="12"/>
  <c r="BH15" i="12"/>
  <c r="BH16" i="12"/>
  <c r="BH17" i="12"/>
  <c r="BH18" i="12"/>
  <c r="BH20" i="12"/>
  <c r="BH23" i="12"/>
  <c r="BH24" i="12"/>
  <c r="BH25" i="12"/>
  <c r="BF4" i="12"/>
  <c r="BF12" i="12"/>
  <c r="BF13" i="12"/>
  <c r="BF20" i="12"/>
  <c r="BC7" i="12"/>
  <c r="BC15" i="12"/>
  <c r="BC23" i="12"/>
  <c r="BA4" i="12"/>
  <c r="BA5" i="12"/>
  <c r="BA6" i="12"/>
  <c r="BA7" i="12"/>
  <c r="BA8" i="12"/>
  <c r="BA12" i="12"/>
  <c r="BA13" i="12"/>
  <c r="BA14" i="12"/>
  <c r="BA15" i="12"/>
  <c r="BA16" i="12"/>
  <c r="BA20" i="12"/>
  <c r="BA21" i="12"/>
  <c r="BA22" i="12"/>
  <c r="BA23" i="12"/>
  <c r="BA24" i="12"/>
  <c r="AX4" i="12"/>
  <c r="AX5" i="12"/>
  <c r="AX19" i="12"/>
  <c r="AX2" i="12"/>
  <c r="AV3" i="12"/>
  <c r="AV4" i="12"/>
  <c r="AV6" i="12"/>
  <c r="AV7" i="12"/>
  <c r="AV11" i="12"/>
  <c r="AV12" i="12"/>
  <c r="AV14" i="12"/>
  <c r="AV15" i="12"/>
  <c r="AV19" i="12"/>
  <c r="AV20" i="12"/>
  <c r="AV22" i="12"/>
  <c r="AV23" i="12"/>
  <c r="AV2" i="12"/>
  <c r="AQ4" i="12"/>
  <c r="AQ5" i="12"/>
  <c r="AQ8" i="12"/>
  <c r="AQ12" i="12"/>
  <c r="AQ16" i="12"/>
  <c r="AQ20" i="12"/>
  <c r="AQ21" i="12"/>
  <c r="AQ24" i="12"/>
  <c r="AN13" i="12"/>
  <c r="AN15" i="12"/>
  <c r="AN16" i="12"/>
  <c r="AN23" i="12"/>
  <c r="AI6" i="12"/>
  <c r="AI13" i="12"/>
  <c r="AI14" i="12"/>
  <c r="AI21" i="12"/>
  <c r="AI22" i="12"/>
  <c r="AI23" i="12"/>
  <c r="AG7" i="12"/>
  <c r="AG15" i="12"/>
  <c r="AD7" i="12"/>
  <c r="AD8" i="12"/>
  <c r="AD2" i="12"/>
  <c r="AB4" i="12"/>
  <c r="AB8" i="12"/>
  <c r="AB15" i="12"/>
  <c r="AB16" i="12"/>
  <c r="AB18" i="12"/>
  <c r="AB20" i="12"/>
  <c r="AB26" i="12"/>
  <c r="Y6" i="12"/>
  <c r="Y22" i="12"/>
  <c r="W3" i="12"/>
  <c r="W11" i="12"/>
  <c r="W14" i="12"/>
  <c r="W19" i="12"/>
  <c r="W21" i="12"/>
  <c r="W2" i="12"/>
  <c r="T21" i="12"/>
  <c r="B3" i="1" l="1"/>
  <c r="B2" i="1"/>
  <c r="B4" i="1"/>
  <c r="B2" i="2"/>
  <c r="B4" i="2"/>
  <c r="B3" i="2"/>
  <c r="BI189" i="12"/>
  <c r="BI181" i="12"/>
  <c r="BI173" i="12"/>
  <c r="BI165" i="12"/>
  <c r="BI157" i="12"/>
  <c r="BI149" i="12"/>
  <c r="BI141" i="12"/>
  <c r="BI133" i="12"/>
  <c r="BI125" i="12"/>
  <c r="BI117" i="12"/>
  <c r="BI109" i="12"/>
  <c r="BI101" i="12"/>
  <c r="BI93" i="12"/>
  <c r="BI85" i="12"/>
  <c r="BI77" i="12"/>
  <c r="BI69" i="12"/>
  <c r="BI61" i="12"/>
  <c r="BI53" i="12"/>
  <c r="BI45" i="12"/>
  <c r="BI37" i="12"/>
  <c r="BI29" i="12"/>
  <c r="BD155" i="12"/>
  <c r="BI34" i="12"/>
  <c r="BD19" i="12"/>
  <c r="BD11" i="12"/>
  <c r="BD3" i="12"/>
  <c r="AY9" i="12"/>
  <c r="BD26" i="12"/>
  <c r="BD18" i="12"/>
  <c r="BD10" i="12"/>
  <c r="BI188" i="12"/>
  <c r="BI180" i="12"/>
  <c r="BI172" i="12"/>
  <c r="BI164" i="12"/>
  <c r="BI156" i="12"/>
  <c r="BI148" i="12"/>
  <c r="BI140" i="12"/>
  <c r="BI132" i="12"/>
  <c r="BI124" i="12"/>
  <c r="BI116" i="12"/>
  <c r="BI108" i="12"/>
  <c r="BI100" i="12"/>
  <c r="BI92" i="12"/>
  <c r="BI84" i="12"/>
  <c r="BI76" i="12"/>
  <c r="BI68" i="12"/>
  <c r="BI60" i="12"/>
  <c r="BI52" i="12"/>
  <c r="BI44" i="12"/>
  <c r="BI36" i="12"/>
  <c r="BI28" i="12"/>
  <c r="AY22" i="12"/>
  <c r="AY14" i="12"/>
  <c r="BD82" i="12"/>
  <c r="BI187" i="12"/>
  <c r="BI179" i="12"/>
  <c r="BI171" i="12"/>
  <c r="BI163" i="12"/>
  <c r="BI155" i="12"/>
  <c r="BI147" i="12"/>
  <c r="BI139" i="12"/>
  <c r="BI131" i="12"/>
  <c r="BI123" i="12"/>
  <c r="BI115" i="12"/>
  <c r="BI107" i="12"/>
  <c r="BI99" i="12"/>
  <c r="BI91" i="12"/>
  <c r="BI83" i="12"/>
  <c r="BI75" i="12"/>
  <c r="BI67" i="12"/>
  <c r="BI59" i="12"/>
  <c r="BI51" i="12"/>
  <c r="BI43" i="12"/>
  <c r="BI35" i="12"/>
  <c r="BI27" i="12"/>
  <c r="BD50" i="12"/>
  <c r="BH116" i="12"/>
  <c r="BH84" i="12"/>
  <c r="BI186" i="12"/>
  <c r="BI154" i="12"/>
  <c r="BI122" i="12"/>
  <c r="BI90" i="12"/>
  <c r="BI58" i="12"/>
  <c r="BD154" i="12"/>
  <c r="BH172" i="12"/>
  <c r="BH140" i="12"/>
  <c r="BH52" i="12"/>
  <c r="BI185" i="12"/>
  <c r="BI153" i="12"/>
  <c r="BI121" i="12"/>
  <c r="BI89" i="12"/>
  <c r="BI57" i="12"/>
  <c r="BD130" i="12"/>
  <c r="BH108" i="12"/>
  <c r="BH76" i="12"/>
  <c r="BI178" i="12"/>
  <c r="BI146" i="12"/>
  <c r="BI114" i="12"/>
  <c r="BI82" i="12"/>
  <c r="BI50" i="12"/>
  <c r="BD98" i="12"/>
  <c r="BH164" i="12"/>
  <c r="BH132" i="12"/>
  <c r="BH44" i="12"/>
  <c r="BI177" i="12"/>
  <c r="BI145" i="12"/>
  <c r="BI113" i="12"/>
  <c r="BI81" i="12"/>
  <c r="BI49" i="12"/>
  <c r="BH131" i="12"/>
  <c r="BH100" i="12"/>
  <c r="BH68" i="12"/>
  <c r="BI170" i="12"/>
  <c r="BI138" i="12"/>
  <c r="BI106" i="12"/>
  <c r="BI74" i="12"/>
  <c r="BI42" i="12"/>
  <c r="BH188" i="12"/>
  <c r="BH156" i="12"/>
  <c r="BH67" i="12"/>
  <c r="BH36" i="12"/>
  <c r="BI169" i="12"/>
  <c r="BI137" i="12"/>
  <c r="BI105" i="12"/>
  <c r="BI73" i="12"/>
  <c r="BI41" i="12"/>
  <c r="AY21" i="12"/>
  <c r="AY13" i="12"/>
  <c r="AY5" i="12"/>
  <c r="AY186" i="12"/>
  <c r="AY178" i="12"/>
  <c r="AY170" i="12"/>
  <c r="AY162" i="12"/>
  <c r="AY154" i="12"/>
  <c r="AY146" i="12"/>
  <c r="AY138" i="12"/>
  <c r="AY130" i="12"/>
  <c r="AY122" i="12"/>
  <c r="AY114" i="12"/>
  <c r="AY106" i="12"/>
  <c r="AY98" i="12"/>
  <c r="AY90" i="12"/>
  <c r="AY82" i="12"/>
  <c r="AY74" i="12"/>
  <c r="AY27" i="12"/>
  <c r="BH124" i="12"/>
  <c r="BH92" i="12"/>
  <c r="BI162" i="12"/>
  <c r="BI130" i="12"/>
  <c r="BI98" i="12"/>
  <c r="BI66" i="12"/>
  <c r="BD186" i="12"/>
  <c r="BH180" i="12"/>
  <c r="BH148" i="12"/>
  <c r="BH60" i="12"/>
  <c r="BH28" i="12"/>
  <c r="BI161" i="12"/>
  <c r="BI129" i="12"/>
  <c r="BI97" i="12"/>
  <c r="BI65" i="12"/>
  <c r="BI33" i="12"/>
  <c r="AE6" i="12"/>
  <c r="BH147" i="12"/>
  <c r="BH83" i="12"/>
  <c r="AE14" i="12"/>
  <c r="BH171" i="12"/>
  <c r="BH107" i="12"/>
  <c r="BH43" i="12"/>
  <c r="BH187" i="12"/>
  <c r="BH123" i="12"/>
  <c r="BH59" i="12"/>
  <c r="BA58" i="12"/>
  <c r="D3" i="8" s="1"/>
  <c r="BD106" i="12"/>
  <c r="BI184" i="12"/>
  <c r="BI176" i="12"/>
  <c r="BI168" i="12"/>
  <c r="BI160" i="12"/>
  <c r="BI152" i="12"/>
  <c r="BI144" i="12"/>
  <c r="BI136" i="12"/>
  <c r="BI128" i="12"/>
  <c r="BI120" i="12"/>
  <c r="BI112" i="12"/>
  <c r="BI104" i="12"/>
  <c r="BI96" i="12"/>
  <c r="BI88" i="12"/>
  <c r="BI80" i="12"/>
  <c r="BI72" i="12"/>
  <c r="BI64" i="12"/>
  <c r="BI56" i="12"/>
  <c r="BI48" i="12"/>
  <c r="BI40" i="12"/>
  <c r="BI32" i="12"/>
  <c r="BH163" i="12"/>
  <c r="BH99" i="12"/>
  <c r="BH35" i="12"/>
  <c r="BH191" i="12"/>
  <c r="BI191" i="12"/>
  <c r="BH183" i="12"/>
  <c r="BI183" i="12"/>
  <c r="BH175" i="12"/>
  <c r="BI175" i="12"/>
  <c r="BH167" i="12"/>
  <c r="BI167" i="12"/>
  <c r="BH159" i="12"/>
  <c r="BI159" i="12"/>
  <c r="BH151" i="12"/>
  <c r="BI151" i="12"/>
  <c r="BH143" i="12"/>
  <c r="BI143" i="12"/>
  <c r="BH135" i="12"/>
  <c r="BI135" i="12"/>
  <c r="BH127" i="12"/>
  <c r="BI127" i="12"/>
  <c r="BH119" i="12"/>
  <c r="BI119" i="12"/>
  <c r="BH111" i="12"/>
  <c r="BI111" i="12"/>
  <c r="BH103" i="12"/>
  <c r="BI103" i="12"/>
  <c r="BH95" i="12"/>
  <c r="BI95" i="12"/>
  <c r="BH87" i="12"/>
  <c r="BI87" i="12"/>
  <c r="BH79" i="12"/>
  <c r="BI79" i="12"/>
  <c r="BH71" i="12"/>
  <c r="BI71" i="12"/>
  <c r="BH63" i="12"/>
  <c r="BI63" i="12"/>
  <c r="BH55" i="12"/>
  <c r="BI55" i="12"/>
  <c r="BH47" i="12"/>
  <c r="BI47" i="12"/>
  <c r="BH39" i="12"/>
  <c r="BI39" i="12"/>
  <c r="BH31" i="12"/>
  <c r="BI31" i="12"/>
  <c r="BH139" i="12"/>
  <c r="BH75" i="12"/>
  <c r="AY25" i="12"/>
  <c r="BH190" i="12"/>
  <c r="BI190" i="12"/>
  <c r="BH182" i="12"/>
  <c r="BI182" i="12"/>
  <c r="BH174" i="12"/>
  <c r="BI174" i="12"/>
  <c r="BH166" i="12"/>
  <c r="BI166" i="12"/>
  <c r="BH158" i="12"/>
  <c r="BI158" i="12"/>
  <c r="BH150" i="12"/>
  <c r="BI150" i="12"/>
  <c r="BH142" i="12"/>
  <c r="BI142" i="12"/>
  <c r="BH134" i="12"/>
  <c r="BI134" i="12"/>
  <c r="BH126" i="12"/>
  <c r="BI126" i="12"/>
  <c r="BH118" i="12"/>
  <c r="BI118" i="12"/>
  <c r="BH110" i="12"/>
  <c r="BI110" i="12"/>
  <c r="BH102" i="12"/>
  <c r="BI102" i="12"/>
  <c r="BH94" i="12"/>
  <c r="BI94" i="12"/>
  <c r="BH86" i="12"/>
  <c r="BI86" i="12"/>
  <c r="BH78" i="12"/>
  <c r="BI78" i="12"/>
  <c r="BH70" i="12"/>
  <c r="BI70" i="12"/>
  <c r="BH62" i="12"/>
  <c r="BI62" i="12"/>
  <c r="BH54" i="12"/>
  <c r="BI54" i="12"/>
  <c r="BH46" i="12"/>
  <c r="BI46" i="12"/>
  <c r="BH38" i="12"/>
  <c r="BI38" i="12"/>
  <c r="BH30" i="12"/>
  <c r="BI30" i="12"/>
  <c r="BH179" i="12"/>
  <c r="BH115" i="12"/>
  <c r="BH51" i="12"/>
  <c r="AY17" i="12"/>
  <c r="BD5" i="12"/>
  <c r="BH155" i="12"/>
  <c r="BH91" i="12"/>
  <c r="BH27" i="12"/>
  <c r="AY66" i="12"/>
  <c r="AY58" i="12"/>
  <c r="AY50" i="12"/>
  <c r="AY42" i="12"/>
  <c r="AY34" i="12"/>
  <c r="BD20" i="12"/>
  <c r="BD12" i="12"/>
  <c r="BD4" i="12"/>
  <c r="BD162" i="12"/>
  <c r="BD114" i="12"/>
  <c r="BD59" i="12"/>
  <c r="BH189" i="12"/>
  <c r="BH181" i="12"/>
  <c r="BH173" i="12"/>
  <c r="BH165" i="12"/>
  <c r="BH157" i="12"/>
  <c r="BH149" i="12"/>
  <c r="BH141" i="12"/>
  <c r="BH133" i="12"/>
  <c r="BH125" i="12"/>
  <c r="BH117" i="12"/>
  <c r="BH109" i="12"/>
  <c r="BH101" i="12"/>
  <c r="BH93" i="12"/>
  <c r="BH85" i="12"/>
  <c r="BH77" i="12"/>
  <c r="BH69" i="12"/>
  <c r="BH61" i="12"/>
  <c r="BH53" i="12"/>
  <c r="BH45" i="12"/>
  <c r="BH37" i="12"/>
  <c r="BH29" i="12"/>
  <c r="AY19" i="12"/>
  <c r="AY11" i="12"/>
  <c r="BD146" i="12"/>
  <c r="BD91" i="12"/>
  <c r="BD42" i="12"/>
  <c r="BD187" i="12"/>
  <c r="BD138" i="12"/>
  <c r="BD90" i="12"/>
  <c r="BD34" i="12"/>
  <c r="AY115" i="12"/>
  <c r="BD178" i="12"/>
  <c r="BD123" i="12"/>
  <c r="BD74" i="12"/>
  <c r="BD170" i="12"/>
  <c r="BD122" i="12"/>
  <c r="BD66" i="12"/>
  <c r="AT19" i="12"/>
  <c r="AT11" i="12"/>
  <c r="AT3" i="12"/>
  <c r="AY24" i="12"/>
  <c r="AY16" i="12"/>
  <c r="AY8" i="12"/>
  <c r="AY189" i="12"/>
  <c r="AY181" i="12"/>
  <c r="AY173" i="12"/>
  <c r="AY165" i="12"/>
  <c r="AY157" i="12"/>
  <c r="AY149" i="12"/>
  <c r="AY141" i="12"/>
  <c r="AY133" i="12"/>
  <c r="AY125" i="12"/>
  <c r="AY117" i="12"/>
  <c r="AY112" i="12"/>
  <c r="AY107" i="12"/>
  <c r="BC184" i="12"/>
  <c r="BD184" i="12"/>
  <c r="BC176" i="12"/>
  <c r="BD176" i="12"/>
  <c r="BC168" i="12"/>
  <c r="BD168" i="12"/>
  <c r="BC160" i="12"/>
  <c r="BD160" i="12"/>
  <c r="BC152" i="12"/>
  <c r="BD152" i="12"/>
  <c r="BC144" i="12"/>
  <c r="BD144" i="12"/>
  <c r="BC136" i="12"/>
  <c r="BD136" i="12"/>
  <c r="BC128" i="12"/>
  <c r="BD128" i="12"/>
  <c r="BC120" i="12"/>
  <c r="BD120" i="12"/>
  <c r="BC112" i="12"/>
  <c r="BD112" i="12"/>
  <c r="BC104" i="12"/>
  <c r="BD104" i="12"/>
  <c r="BC96" i="12"/>
  <c r="BD96" i="12"/>
  <c r="BC88" i="12"/>
  <c r="BD88" i="12"/>
  <c r="BC80" i="12"/>
  <c r="BD80" i="12"/>
  <c r="BC72" i="12"/>
  <c r="BD72" i="12"/>
  <c r="BC64" i="12"/>
  <c r="BD64" i="12"/>
  <c r="BC56" i="12"/>
  <c r="BD56" i="12"/>
  <c r="BC48" i="12"/>
  <c r="BD48" i="12"/>
  <c r="BC40" i="12"/>
  <c r="BD40" i="12"/>
  <c r="BC32" i="12"/>
  <c r="BD32" i="12"/>
  <c r="BD179" i="12"/>
  <c r="BD147" i="12"/>
  <c r="BD115" i="12"/>
  <c r="BD83" i="12"/>
  <c r="BD51" i="12"/>
  <c r="AY6" i="12"/>
  <c r="AX187" i="12"/>
  <c r="AY187" i="12"/>
  <c r="AX179" i="12"/>
  <c r="AY179" i="12"/>
  <c r="AX139" i="12"/>
  <c r="AY139" i="12"/>
  <c r="AX131" i="12"/>
  <c r="AY131" i="12"/>
  <c r="AX123" i="12"/>
  <c r="AY123" i="12"/>
  <c r="AX91" i="12"/>
  <c r="AY91" i="12"/>
  <c r="AX83" i="12"/>
  <c r="AY83" i="12"/>
  <c r="AX75" i="12"/>
  <c r="AY75" i="12"/>
  <c r="AY99" i="12"/>
  <c r="BC191" i="12"/>
  <c r="BD191" i="12"/>
  <c r="BC183" i="12"/>
  <c r="BD183" i="12"/>
  <c r="BC175" i="12"/>
  <c r="BD175" i="12"/>
  <c r="BC167" i="12"/>
  <c r="BD167" i="12"/>
  <c r="BC159" i="12"/>
  <c r="BD159" i="12"/>
  <c r="BC151" i="12"/>
  <c r="BD151" i="12"/>
  <c r="BC143" i="12"/>
  <c r="BD143" i="12"/>
  <c r="BC135" i="12"/>
  <c r="BD135" i="12"/>
  <c r="BC127" i="12"/>
  <c r="BD127" i="12"/>
  <c r="BC119" i="12"/>
  <c r="BD119" i="12"/>
  <c r="BC111" i="12"/>
  <c r="BD111" i="12"/>
  <c r="BC103" i="12"/>
  <c r="BD103" i="12"/>
  <c r="BC95" i="12"/>
  <c r="BD95" i="12"/>
  <c r="BC87" i="12"/>
  <c r="BD87" i="12"/>
  <c r="BC79" i="12"/>
  <c r="BD79" i="12"/>
  <c r="BC71" i="12"/>
  <c r="BD71" i="12"/>
  <c r="BC63" i="12"/>
  <c r="BD63" i="12"/>
  <c r="BC55" i="12"/>
  <c r="BD55" i="12"/>
  <c r="BC47" i="12"/>
  <c r="BD47" i="12"/>
  <c r="BC39" i="12"/>
  <c r="BD39" i="12"/>
  <c r="BC31" i="12"/>
  <c r="BD31" i="12"/>
  <c r="U185" i="12"/>
  <c r="AY171" i="12"/>
  <c r="AY67" i="12"/>
  <c r="BD17" i="12"/>
  <c r="BD171" i="12"/>
  <c r="BD139" i="12"/>
  <c r="BD107" i="12"/>
  <c r="BD75" i="12"/>
  <c r="BD43" i="12"/>
  <c r="AE97" i="12"/>
  <c r="AE89" i="12"/>
  <c r="AE81" i="12"/>
  <c r="AE73" i="12"/>
  <c r="AE65" i="12"/>
  <c r="AE57" i="12"/>
  <c r="AE49" i="12"/>
  <c r="AE41" i="12"/>
  <c r="AE33" i="12"/>
  <c r="AY20" i="12"/>
  <c r="AY12" i="12"/>
  <c r="AY4" i="12"/>
  <c r="AY163" i="12"/>
  <c r="AY59" i="12"/>
  <c r="BD16" i="12"/>
  <c r="BD189" i="12"/>
  <c r="BD181" i="12"/>
  <c r="BD173" i="12"/>
  <c r="BD165" i="12"/>
  <c r="BD157" i="12"/>
  <c r="BD149" i="12"/>
  <c r="BD141" i="12"/>
  <c r="BD133" i="12"/>
  <c r="BD125" i="12"/>
  <c r="BD117" i="12"/>
  <c r="BD109" i="12"/>
  <c r="BD101" i="12"/>
  <c r="BD93" i="12"/>
  <c r="BD85" i="12"/>
  <c r="BD77" i="12"/>
  <c r="BD69" i="12"/>
  <c r="BD61" i="12"/>
  <c r="BD53" i="12"/>
  <c r="BD45" i="12"/>
  <c r="BD37" i="12"/>
  <c r="BD29" i="12"/>
  <c r="AT21" i="12"/>
  <c r="AT146" i="12"/>
  <c r="AT114" i="12"/>
  <c r="AX176" i="12"/>
  <c r="AY176" i="12"/>
  <c r="AX144" i="12"/>
  <c r="AY144" i="12"/>
  <c r="AX80" i="12"/>
  <c r="AY80" i="12"/>
  <c r="AY155" i="12"/>
  <c r="AY51" i="12"/>
  <c r="BD23" i="12"/>
  <c r="BD15" i="12"/>
  <c r="BD7" i="12"/>
  <c r="BD188" i="12"/>
  <c r="BD180" i="12"/>
  <c r="BD172" i="12"/>
  <c r="BD164" i="12"/>
  <c r="BD156" i="12"/>
  <c r="BD148" i="12"/>
  <c r="BD140" i="12"/>
  <c r="BD132" i="12"/>
  <c r="BD124" i="12"/>
  <c r="BD116" i="12"/>
  <c r="BD108" i="12"/>
  <c r="BD100" i="12"/>
  <c r="BD92" i="12"/>
  <c r="BD84" i="12"/>
  <c r="BD76" i="12"/>
  <c r="BD68" i="12"/>
  <c r="BD60" i="12"/>
  <c r="BD52" i="12"/>
  <c r="BD44" i="12"/>
  <c r="BD36" i="12"/>
  <c r="BD28" i="12"/>
  <c r="BD163" i="12"/>
  <c r="BD131" i="12"/>
  <c r="BD99" i="12"/>
  <c r="BD67" i="12"/>
  <c r="BD35" i="12"/>
  <c r="AY26" i="12"/>
  <c r="AY10" i="12"/>
  <c r="AY147" i="12"/>
  <c r="AY48" i="12"/>
  <c r="BD27" i="12"/>
  <c r="BC27" i="12"/>
  <c r="BD185" i="12"/>
  <c r="BD177" i="12"/>
  <c r="BD169" i="12"/>
  <c r="BD161" i="12"/>
  <c r="BD153" i="12"/>
  <c r="BD145" i="12"/>
  <c r="BD137" i="12"/>
  <c r="BD129" i="12"/>
  <c r="BD121" i="12"/>
  <c r="BD113" i="12"/>
  <c r="BD105" i="12"/>
  <c r="BD97" i="12"/>
  <c r="BD89" i="12"/>
  <c r="BD81" i="12"/>
  <c r="BD73" i="12"/>
  <c r="BD65" i="12"/>
  <c r="BD57" i="12"/>
  <c r="BD49" i="12"/>
  <c r="BD41" i="12"/>
  <c r="BD33" i="12"/>
  <c r="AY109" i="12"/>
  <c r="AY101" i="12"/>
  <c r="AY93" i="12"/>
  <c r="AY85" i="12"/>
  <c r="AY77" i="12"/>
  <c r="AY69" i="12"/>
  <c r="AY61" i="12"/>
  <c r="AY53" i="12"/>
  <c r="AY45" i="12"/>
  <c r="AY37" i="12"/>
  <c r="AY29" i="12"/>
  <c r="AY43" i="12"/>
  <c r="AY35" i="12"/>
  <c r="BD25" i="12"/>
  <c r="BD9" i="12"/>
  <c r="BD190" i="12"/>
  <c r="BD182" i="12"/>
  <c r="BD174" i="12"/>
  <c r="BD166" i="12"/>
  <c r="BD158" i="12"/>
  <c r="BD150" i="12"/>
  <c r="BD142" i="12"/>
  <c r="BD134" i="12"/>
  <c r="BD126" i="12"/>
  <c r="BD118" i="12"/>
  <c r="BD110" i="12"/>
  <c r="BD102" i="12"/>
  <c r="BD94" i="12"/>
  <c r="BD86" i="12"/>
  <c r="BD78" i="12"/>
  <c r="BD70" i="12"/>
  <c r="BD62" i="12"/>
  <c r="BD54" i="12"/>
  <c r="BD46" i="12"/>
  <c r="BD38" i="12"/>
  <c r="BD30" i="12"/>
  <c r="BD24" i="12"/>
  <c r="BD8" i="12"/>
  <c r="AV146" i="12"/>
  <c r="AV82" i="12"/>
  <c r="AX133" i="12"/>
  <c r="AQ22" i="12"/>
  <c r="AJ178" i="12"/>
  <c r="AJ170" i="12"/>
  <c r="AJ162" i="12"/>
  <c r="AJ154" i="12"/>
  <c r="AJ130" i="12"/>
  <c r="AJ114" i="12"/>
  <c r="AJ106" i="12"/>
  <c r="AJ98" i="12"/>
  <c r="AJ90" i="12"/>
  <c r="AJ66" i="12"/>
  <c r="AJ42" i="12"/>
  <c r="AJ34" i="12"/>
  <c r="AO22" i="12"/>
  <c r="AO18" i="12"/>
  <c r="AT59" i="12"/>
  <c r="AV186" i="12"/>
  <c r="AV122" i="12"/>
  <c r="AV58" i="12"/>
  <c r="AY23" i="12"/>
  <c r="AY15" i="12"/>
  <c r="AY7" i="12"/>
  <c r="AY188" i="12"/>
  <c r="AY180" i="12"/>
  <c r="AY172" i="12"/>
  <c r="AY164" i="12"/>
  <c r="AY156" i="12"/>
  <c r="AY148" i="12"/>
  <c r="AY140" i="12"/>
  <c r="AY132" i="12"/>
  <c r="AY124" i="12"/>
  <c r="AY116" i="12"/>
  <c r="AY108" i="12"/>
  <c r="AY100" i="12"/>
  <c r="AY92" i="12"/>
  <c r="AY84" i="12"/>
  <c r="AY76" i="12"/>
  <c r="AY68" i="12"/>
  <c r="AY60" i="12"/>
  <c r="AY52" i="12"/>
  <c r="AY44" i="12"/>
  <c r="AY36" i="12"/>
  <c r="AY28" i="12"/>
  <c r="AX173" i="12"/>
  <c r="AX109" i="12"/>
  <c r="AX45" i="12"/>
  <c r="AY184" i="12"/>
  <c r="AY152" i="12"/>
  <c r="AY120" i="12"/>
  <c r="AY88" i="12"/>
  <c r="AY56" i="12"/>
  <c r="AT91" i="12"/>
  <c r="AX69" i="12"/>
  <c r="AE20" i="12"/>
  <c r="AE12" i="12"/>
  <c r="AE4" i="12"/>
  <c r="AE185" i="12"/>
  <c r="AE177" i="12"/>
  <c r="AE169" i="12"/>
  <c r="AE161" i="12"/>
  <c r="AE153" i="12"/>
  <c r="AE145" i="12"/>
  <c r="AE137" i="12"/>
  <c r="AE129" i="12"/>
  <c r="AE121" i="12"/>
  <c r="AE113" i="12"/>
  <c r="AE105" i="12"/>
  <c r="AO21" i="12"/>
  <c r="AO13" i="12"/>
  <c r="AO5" i="12"/>
  <c r="AO186" i="12"/>
  <c r="AO170" i="12"/>
  <c r="AO162" i="12"/>
  <c r="AO154" i="12"/>
  <c r="AO138" i="12"/>
  <c r="AO122" i="12"/>
  <c r="AO106" i="12"/>
  <c r="AO98" i="12"/>
  <c r="AO90" i="12"/>
  <c r="AO74" i="12"/>
  <c r="AO58" i="12"/>
  <c r="AO42" i="12"/>
  <c r="AO34" i="12"/>
  <c r="AT20" i="12"/>
  <c r="AT12" i="12"/>
  <c r="AT4" i="12"/>
  <c r="AT185" i="12"/>
  <c r="AQ185" i="12"/>
  <c r="AT177" i="12"/>
  <c r="AT169" i="12"/>
  <c r="AT161" i="12"/>
  <c r="AQ161" i="12"/>
  <c r="AT153" i="12"/>
  <c r="AT145" i="12"/>
  <c r="AQ145" i="12"/>
  <c r="AT137" i="12"/>
  <c r="AQ137" i="12"/>
  <c r="AT129" i="12"/>
  <c r="AQ129" i="12"/>
  <c r="AT121" i="12"/>
  <c r="AQ121" i="12"/>
  <c r="AT113" i="12"/>
  <c r="AT105" i="12"/>
  <c r="AT97" i="12"/>
  <c r="AQ97" i="12"/>
  <c r="AT89" i="12"/>
  <c r="AT81" i="12"/>
  <c r="AQ81" i="12"/>
  <c r="AT73" i="12"/>
  <c r="AQ73" i="12"/>
  <c r="AT65" i="12"/>
  <c r="AQ65" i="12"/>
  <c r="AT57" i="12"/>
  <c r="AQ57" i="12"/>
  <c r="AT49" i="12"/>
  <c r="AT41" i="12"/>
  <c r="AT33" i="12"/>
  <c r="AQ33" i="12"/>
  <c r="AQ177" i="12"/>
  <c r="AT25" i="12"/>
  <c r="AT17" i="12"/>
  <c r="AT9" i="12"/>
  <c r="AV162" i="12"/>
  <c r="AV98" i="12"/>
  <c r="AV34" i="12"/>
  <c r="AX149" i="12"/>
  <c r="AX85" i="12"/>
  <c r="AV74" i="12"/>
  <c r="AX189" i="12"/>
  <c r="AX61" i="12"/>
  <c r="AV178" i="12"/>
  <c r="AV114" i="12"/>
  <c r="AV50" i="12"/>
  <c r="AX165" i="12"/>
  <c r="AX101" i="12"/>
  <c r="AX37" i="12"/>
  <c r="AX125" i="12"/>
  <c r="AV21" i="12"/>
  <c r="AT155" i="12"/>
  <c r="AT123" i="12"/>
  <c r="AV154" i="12"/>
  <c r="AV90" i="12"/>
  <c r="AX141" i="12"/>
  <c r="AX77" i="12"/>
  <c r="AY168" i="12"/>
  <c r="AY136" i="12"/>
  <c r="AY104" i="12"/>
  <c r="AY72" i="12"/>
  <c r="AY40" i="12"/>
  <c r="AV138" i="12"/>
  <c r="AQ6" i="12"/>
  <c r="AS11" i="12"/>
  <c r="AV13" i="12"/>
  <c r="AV5" i="12"/>
  <c r="AT187" i="12"/>
  <c r="AV130" i="12"/>
  <c r="AV66" i="12"/>
  <c r="AX18" i="12"/>
  <c r="AY18" i="12"/>
  <c r="AX191" i="12"/>
  <c r="AY191" i="12"/>
  <c r="AX183" i="12"/>
  <c r="AY183" i="12"/>
  <c r="AX175" i="12"/>
  <c r="AY175" i="12"/>
  <c r="AX167" i="12"/>
  <c r="AY167" i="12"/>
  <c r="AX159" i="12"/>
  <c r="AY159" i="12"/>
  <c r="AX151" i="12"/>
  <c r="AY151" i="12"/>
  <c r="AX143" i="12"/>
  <c r="AY143" i="12"/>
  <c r="AX135" i="12"/>
  <c r="AY135" i="12"/>
  <c r="AX127" i="12"/>
  <c r="AY127" i="12"/>
  <c r="AX119" i="12"/>
  <c r="AY119" i="12"/>
  <c r="AX111" i="12"/>
  <c r="AY111" i="12"/>
  <c r="AX103" i="12"/>
  <c r="AY103" i="12"/>
  <c r="AX95" i="12"/>
  <c r="AY95" i="12"/>
  <c r="AX87" i="12"/>
  <c r="AY87" i="12"/>
  <c r="AX79" i="12"/>
  <c r="AY79" i="12"/>
  <c r="AX71" i="12"/>
  <c r="AY71" i="12"/>
  <c r="AX63" i="12"/>
  <c r="AY63" i="12"/>
  <c r="AX55" i="12"/>
  <c r="AY55" i="12"/>
  <c r="AX47" i="12"/>
  <c r="AY47" i="12"/>
  <c r="AX39" i="12"/>
  <c r="AY39" i="12"/>
  <c r="AX31" i="12"/>
  <c r="AY31" i="12"/>
  <c r="AX181" i="12"/>
  <c r="AX117" i="12"/>
  <c r="AX53" i="12"/>
  <c r="AQ14" i="12"/>
  <c r="AO20" i="12"/>
  <c r="AO12" i="12"/>
  <c r="AO4" i="12"/>
  <c r="AV170" i="12"/>
  <c r="AV106" i="12"/>
  <c r="AV42" i="12"/>
  <c r="AX157" i="12"/>
  <c r="AX93" i="12"/>
  <c r="AX29" i="12"/>
  <c r="AY3" i="12"/>
  <c r="AY160" i="12"/>
  <c r="AY128" i="12"/>
  <c r="AY96" i="12"/>
  <c r="AY64" i="12"/>
  <c r="AY32" i="12"/>
  <c r="AT26" i="12"/>
  <c r="AT10" i="12"/>
  <c r="AT82" i="12"/>
  <c r="AY185" i="12"/>
  <c r="AY177" i="12"/>
  <c r="AY169" i="12"/>
  <c r="AY161" i="12"/>
  <c r="AY153" i="12"/>
  <c r="AY145" i="12"/>
  <c r="AY137" i="12"/>
  <c r="AY129" i="12"/>
  <c r="AY121" i="12"/>
  <c r="AY113" i="12"/>
  <c r="AY105" i="12"/>
  <c r="AY97" i="12"/>
  <c r="AY89" i="12"/>
  <c r="AY81" i="12"/>
  <c r="AY73" i="12"/>
  <c r="AY65" i="12"/>
  <c r="AY57" i="12"/>
  <c r="AY49" i="12"/>
  <c r="AY41" i="12"/>
  <c r="AY33" i="12"/>
  <c r="AT178" i="12"/>
  <c r="AT50" i="12"/>
  <c r="AY190" i="12"/>
  <c r="AY182" i="12"/>
  <c r="AY174" i="12"/>
  <c r="AY166" i="12"/>
  <c r="AY158" i="12"/>
  <c r="AY150" i="12"/>
  <c r="AY142" i="12"/>
  <c r="AY134" i="12"/>
  <c r="AY126" i="12"/>
  <c r="AY118" i="12"/>
  <c r="AY110" i="12"/>
  <c r="AY102" i="12"/>
  <c r="AY94" i="12"/>
  <c r="AY86" i="12"/>
  <c r="AY78" i="12"/>
  <c r="AY70" i="12"/>
  <c r="AY62" i="12"/>
  <c r="AY54" i="12"/>
  <c r="AY46" i="12"/>
  <c r="AY38" i="12"/>
  <c r="AY30" i="12"/>
  <c r="AS146" i="12"/>
  <c r="AO25" i="12"/>
  <c r="AO17" i="12"/>
  <c r="AO43" i="12"/>
  <c r="AQ186" i="12"/>
  <c r="AQ170" i="12"/>
  <c r="AQ154" i="12"/>
  <c r="AQ138" i="12"/>
  <c r="AQ122" i="12"/>
  <c r="AQ106" i="12"/>
  <c r="AQ90" i="12"/>
  <c r="AQ74" i="12"/>
  <c r="AQ58" i="12"/>
  <c r="AQ42" i="12"/>
  <c r="AS184" i="12"/>
  <c r="AT184" i="12"/>
  <c r="AS176" i="12"/>
  <c r="AT176" i="12"/>
  <c r="AS168" i="12"/>
  <c r="AT168" i="12"/>
  <c r="AS160" i="12"/>
  <c r="AT160" i="12"/>
  <c r="AS152" i="12"/>
  <c r="AT152" i="12"/>
  <c r="AS144" i="12"/>
  <c r="AT144" i="12"/>
  <c r="AS136" i="12"/>
  <c r="AT136" i="12"/>
  <c r="AS128" i="12"/>
  <c r="AT128" i="12"/>
  <c r="AS120" i="12"/>
  <c r="AT120" i="12"/>
  <c r="AS112" i="12"/>
  <c r="AT112" i="12"/>
  <c r="AS104" i="12"/>
  <c r="AT104" i="12"/>
  <c r="AS96" i="12"/>
  <c r="AT96" i="12"/>
  <c r="AS88" i="12"/>
  <c r="AT88" i="12"/>
  <c r="AS80" i="12"/>
  <c r="AT80" i="12"/>
  <c r="AS72" i="12"/>
  <c r="AT72" i="12"/>
  <c r="AS64" i="12"/>
  <c r="AT64" i="12"/>
  <c r="AS56" i="12"/>
  <c r="AT56" i="12"/>
  <c r="AS48" i="12"/>
  <c r="AT48" i="12"/>
  <c r="AS40" i="12"/>
  <c r="AT40" i="12"/>
  <c r="AS32" i="12"/>
  <c r="AT32" i="12"/>
  <c r="AO72" i="12"/>
  <c r="AQ13" i="12"/>
  <c r="AS18" i="12"/>
  <c r="AT18" i="12"/>
  <c r="AS191" i="12"/>
  <c r="AT191" i="12"/>
  <c r="AS183" i="12"/>
  <c r="AT183" i="12"/>
  <c r="AS175" i="12"/>
  <c r="AT175" i="12"/>
  <c r="AS167" i="12"/>
  <c r="AT167" i="12"/>
  <c r="AS159" i="12"/>
  <c r="AT159" i="12"/>
  <c r="AS151" i="12"/>
  <c r="AT151" i="12"/>
  <c r="AS143" i="12"/>
  <c r="AT143" i="12"/>
  <c r="AS135" i="12"/>
  <c r="AT135" i="12"/>
  <c r="AS127" i="12"/>
  <c r="AT127" i="12"/>
  <c r="AS119" i="12"/>
  <c r="AT119" i="12"/>
  <c r="AS111" i="12"/>
  <c r="AT111" i="12"/>
  <c r="AS103" i="12"/>
  <c r="AT103" i="12"/>
  <c r="AS95" i="12"/>
  <c r="AT95" i="12"/>
  <c r="AS87" i="12"/>
  <c r="AT87" i="12"/>
  <c r="AS79" i="12"/>
  <c r="AT79" i="12"/>
  <c r="AS71" i="12"/>
  <c r="AT71" i="12"/>
  <c r="AS63" i="12"/>
  <c r="AT63" i="12"/>
  <c r="AS55" i="12"/>
  <c r="AT55" i="12"/>
  <c r="AS47" i="12"/>
  <c r="AT47" i="12"/>
  <c r="AS39" i="12"/>
  <c r="AT39" i="12"/>
  <c r="AS31" i="12"/>
  <c r="AT31" i="12"/>
  <c r="AT179" i="12"/>
  <c r="AT147" i="12"/>
  <c r="AT115" i="12"/>
  <c r="AT83" i="12"/>
  <c r="AT51" i="12"/>
  <c r="AS190" i="12"/>
  <c r="AT190" i="12"/>
  <c r="AS174" i="12"/>
  <c r="AT174" i="12"/>
  <c r="AS158" i="12"/>
  <c r="AT158" i="12"/>
  <c r="AS102" i="12"/>
  <c r="AT102" i="12"/>
  <c r="AO155" i="12"/>
  <c r="AN155" i="12"/>
  <c r="AO35" i="12"/>
  <c r="AO27" i="12"/>
  <c r="AN27" i="12"/>
  <c r="AT24" i="12"/>
  <c r="AT16" i="12"/>
  <c r="AT8" i="12"/>
  <c r="AT189" i="12"/>
  <c r="AT181" i="12"/>
  <c r="AT173" i="12"/>
  <c r="AT165" i="12"/>
  <c r="AT157" i="12"/>
  <c r="AT149" i="12"/>
  <c r="AT141" i="12"/>
  <c r="AT133" i="12"/>
  <c r="AT125" i="12"/>
  <c r="AT117" i="12"/>
  <c r="AT109" i="12"/>
  <c r="AT101" i="12"/>
  <c r="AT93" i="12"/>
  <c r="AT85" i="12"/>
  <c r="AT77" i="12"/>
  <c r="AT69" i="12"/>
  <c r="AT61" i="12"/>
  <c r="AT53" i="12"/>
  <c r="AT45" i="12"/>
  <c r="AT37" i="12"/>
  <c r="AT29" i="12"/>
  <c r="AT171" i="12"/>
  <c r="AT139" i="12"/>
  <c r="AT107" i="12"/>
  <c r="AT75" i="12"/>
  <c r="AT43" i="12"/>
  <c r="AS182" i="12"/>
  <c r="AT182" i="12"/>
  <c r="AS166" i="12"/>
  <c r="AT166" i="12"/>
  <c r="AS150" i="12"/>
  <c r="AT150" i="12"/>
  <c r="AS142" i="12"/>
  <c r="AT142" i="12"/>
  <c r="AS134" i="12"/>
  <c r="AT134" i="12"/>
  <c r="AS126" i="12"/>
  <c r="AT126" i="12"/>
  <c r="AS118" i="12"/>
  <c r="AT118" i="12"/>
  <c r="AS110" i="12"/>
  <c r="AT110" i="12"/>
  <c r="AS94" i="12"/>
  <c r="AT94" i="12"/>
  <c r="AS86" i="12"/>
  <c r="AT86" i="12"/>
  <c r="AS78" i="12"/>
  <c r="AT78" i="12"/>
  <c r="AS70" i="12"/>
  <c r="AT70" i="12"/>
  <c r="AS62" i="12"/>
  <c r="AT62" i="12"/>
  <c r="AS54" i="12"/>
  <c r="AT54" i="12"/>
  <c r="AS46" i="12"/>
  <c r="AT46" i="12"/>
  <c r="AS38" i="12"/>
  <c r="AT38" i="12"/>
  <c r="AS30" i="12"/>
  <c r="AT30" i="12"/>
  <c r="AS17" i="12"/>
  <c r="AI47" i="12"/>
  <c r="AJ47" i="12"/>
  <c r="AQ162" i="12"/>
  <c r="AQ130" i="12"/>
  <c r="AQ98" i="12"/>
  <c r="AQ66" i="12"/>
  <c r="AQ34" i="12"/>
  <c r="AT23" i="12"/>
  <c r="AT15" i="12"/>
  <c r="AT7" i="12"/>
  <c r="AT188" i="12"/>
  <c r="AT180" i="12"/>
  <c r="AT172" i="12"/>
  <c r="AT164" i="12"/>
  <c r="AT156" i="12"/>
  <c r="AT148" i="12"/>
  <c r="AT140" i="12"/>
  <c r="AT132" i="12"/>
  <c r="AT124" i="12"/>
  <c r="AT116" i="12"/>
  <c r="AT108" i="12"/>
  <c r="AT100" i="12"/>
  <c r="AT92" i="12"/>
  <c r="AT84" i="12"/>
  <c r="AT76" i="12"/>
  <c r="AT68" i="12"/>
  <c r="AT60" i="12"/>
  <c r="AT52" i="12"/>
  <c r="AT44" i="12"/>
  <c r="AT36" i="12"/>
  <c r="AT28" i="12"/>
  <c r="U186" i="12"/>
  <c r="U162" i="12"/>
  <c r="Z5" i="12"/>
  <c r="Z90" i="12"/>
  <c r="Z66" i="12"/>
  <c r="AO136" i="12"/>
  <c r="AT163" i="12"/>
  <c r="AT131" i="12"/>
  <c r="AT99" i="12"/>
  <c r="AT67" i="12"/>
  <c r="AT35" i="12"/>
  <c r="Z145" i="12"/>
  <c r="AB105" i="12"/>
  <c r="AJ185" i="12"/>
  <c r="AJ177" i="12"/>
  <c r="AJ169" i="12"/>
  <c r="AJ161" i="12"/>
  <c r="AJ153" i="12"/>
  <c r="AJ145" i="12"/>
  <c r="AJ137" i="12"/>
  <c r="AJ129" i="12"/>
  <c r="AJ121" i="12"/>
  <c r="AJ113" i="12"/>
  <c r="AJ105" i="12"/>
  <c r="AJ97" i="12"/>
  <c r="AJ89" i="12"/>
  <c r="AJ81" i="12"/>
  <c r="AJ73" i="12"/>
  <c r="AJ65" i="12"/>
  <c r="AJ57" i="12"/>
  <c r="AJ49" i="12"/>
  <c r="AJ41" i="12"/>
  <c r="AJ33" i="12"/>
  <c r="AO19" i="12"/>
  <c r="AO11" i="12"/>
  <c r="AO3" i="12"/>
  <c r="AO91" i="12"/>
  <c r="AQ27" i="12"/>
  <c r="AT27" i="12"/>
  <c r="AO53" i="12"/>
  <c r="AO45" i="12"/>
  <c r="AO37" i="12"/>
  <c r="AO29" i="12"/>
  <c r="AO178" i="12"/>
  <c r="AO50" i="12"/>
  <c r="Y5" i="12"/>
  <c r="AL5" i="12"/>
  <c r="Z20" i="12"/>
  <c r="Z12" i="12"/>
  <c r="Z4" i="12"/>
  <c r="Z81" i="12"/>
  <c r="AB169" i="12"/>
  <c r="AB33" i="12"/>
  <c r="AJ50" i="12"/>
  <c r="AG50" i="12"/>
  <c r="AI191" i="12"/>
  <c r="AJ191" i="12"/>
  <c r="AI111" i="12"/>
  <c r="AJ111" i="12"/>
  <c r="AI95" i="12"/>
  <c r="AJ95" i="12"/>
  <c r="AI79" i="12"/>
  <c r="AJ79" i="12"/>
  <c r="AI63" i="12"/>
  <c r="AJ63" i="12"/>
  <c r="AJ40" i="12"/>
  <c r="AL186" i="12"/>
  <c r="AL170" i="12"/>
  <c r="AL154" i="12"/>
  <c r="AL138" i="12"/>
  <c r="AL122" i="12"/>
  <c r="AL106" i="12"/>
  <c r="AL90" i="12"/>
  <c r="AL74" i="12"/>
  <c r="AL58" i="12"/>
  <c r="AL42" i="12"/>
  <c r="AO6" i="12"/>
  <c r="AO176" i="12"/>
  <c r="AO131" i="12"/>
  <c r="AO112" i="12"/>
  <c r="AO67" i="12"/>
  <c r="AO48" i="12"/>
  <c r="AE13" i="12"/>
  <c r="AO114" i="12"/>
  <c r="Z11" i="12"/>
  <c r="Z3" i="12"/>
  <c r="Z128" i="12"/>
  <c r="Z120" i="12"/>
  <c r="Z40" i="12"/>
  <c r="AB97" i="12"/>
  <c r="AE154" i="12"/>
  <c r="AG170" i="12"/>
  <c r="AG65" i="12"/>
  <c r="AJ175" i="12"/>
  <c r="AN26" i="12"/>
  <c r="AO26" i="12"/>
  <c r="AN10" i="12"/>
  <c r="AO10" i="12"/>
  <c r="AN191" i="12"/>
  <c r="AO191" i="12"/>
  <c r="AN183" i="12"/>
  <c r="AO183" i="12"/>
  <c r="AN175" i="12"/>
  <c r="AO175" i="12"/>
  <c r="AN167" i="12"/>
  <c r="AO167" i="12"/>
  <c r="AN159" i="12"/>
  <c r="AO159" i="12"/>
  <c r="AN151" i="12"/>
  <c r="AO151" i="12"/>
  <c r="AN143" i="12"/>
  <c r="AO143" i="12"/>
  <c r="AN135" i="12"/>
  <c r="AO135" i="12"/>
  <c r="AN127" i="12"/>
  <c r="AO127" i="12"/>
  <c r="AN119" i="12"/>
  <c r="AO119" i="12"/>
  <c r="AN111" i="12"/>
  <c r="AO111" i="12"/>
  <c r="AN103" i="12"/>
  <c r="AO103" i="12"/>
  <c r="AN95" i="12"/>
  <c r="AO95" i="12"/>
  <c r="AN87" i="12"/>
  <c r="AO87" i="12"/>
  <c r="AN79" i="12"/>
  <c r="AO79" i="12"/>
  <c r="AN71" i="12"/>
  <c r="AO71" i="12"/>
  <c r="AN63" i="12"/>
  <c r="AO63" i="12"/>
  <c r="AN55" i="12"/>
  <c r="AO55" i="12"/>
  <c r="AN47" i="12"/>
  <c r="AO47" i="12"/>
  <c r="AN39" i="12"/>
  <c r="AO39" i="12"/>
  <c r="AN31" i="12"/>
  <c r="AO31" i="12"/>
  <c r="AO171" i="12"/>
  <c r="AO152" i="12"/>
  <c r="AO130" i="12"/>
  <c r="AO107" i="12"/>
  <c r="AO88" i="12"/>
  <c r="AO66" i="12"/>
  <c r="AB161" i="12"/>
  <c r="AG106" i="12"/>
  <c r="AG42" i="12"/>
  <c r="AJ159" i="12"/>
  <c r="AN53" i="12"/>
  <c r="AN37" i="12"/>
  <c r="AO147" i="12"/>
  <c r="AO128" i="12"/>
  <c r="AO83" i="12"/>
  <c r="AO64" i="12"/>
  <c r="AL21" i="12"/>
  <c r="AJ143" i="12"/>
  <c r="AO24" i="12"/>
  <c r="AO16" i="12"/>
  <c r="AO8" i="12"/>
  <c r="AO189" i="12"/>
  <c r="AO181" i="12"/>
  <c r="AO173" i="12"/>
  <c r="AO165" i="12"/>
  <c r="AO157" i="12"/>
  <c r="AO149" i="12"/>
  <c r="AO141" i="12"/>
  <c r="AO133" i="12"/>
  <c r="AO125" i="12"/>
  <c r="AO117" i="12"/>
  <c r="AO109" i="12"/>
  <c r="AO101" i="12"/>
  <c r="AO93" i="12"/>
  <c r="AO85" i="12"/>
  <c r="AO77" i="12"/>
  <c r="AO69" i="12"/>
  <c r="AO61" i="12"/>
  <c r="AO187" i="12"/>
  <c r="AO168" i="12"/>
  <c r="AO146" i="12"/>
  <c r="AO123" i="12"/>
  <c r="AO104" i="12"/>
  <c r="AO82" i="12"/>
  <c r="AO59" i="12"/>
  <c r="AO40" i="12"/>
  <c r="AJ127" i="12"/>
  <c r="AL162" i="12"/>
  <c r="AL98" i="12"/>
  <c r="AL34" i="12"/>
  <c r="AO23" i="12"/>
  <c r="AO15" i="12"/>
  <c r="AO7" i="12"/>
  <c r="AO188" i="12"/>
  <c r="AO180" i="12"/>
  <c r="AO172" i="12"/>
  <c r="AO164" i="12"/>
  <c r="AO156" i="12"/>
  <c r="AO148" i="12"/>
  <c r="AO140" i="12"/>
  <c r="AO132" i="12"/>
  <c r="AO124" i="12"/>
  <c r="AO116" i="12"/>
  <c r="AO108" i="12"/>
  <c r="AO100" i="12"/>
  <c r="AO92" i="12"/>
  <c r="AO84" i="12"/>
  <c r="AO76" i="12"/>
  <c r="AO68" i="12"/>
  <c r="AO60" i="12"/>
  <c r="AO52" i="12"/>
  <c r="AO44" i="12"/>
  <c r="AO36" i="12"/>
  <c r="AO28" i="12"/>
  <c r="AO163" i="12"/>
  <c r="AO144" i="12"/>
  <c r="AO99" i="12"/>
  <c r="AO80" i="12"/>
  <c r="AI32" i="12"/>
  <c r="AJ32" i="12"/>
  <c r="AL13" i="12"/>
  <c r="AG178" i="12"/>
  <c r="AJ56" i="12"/>
  <c r="AO14" i="12"/>
  <c r="AO184" i="12"/>
  <c r="AO139" i="12"/>
  <c r="AO120" i="12"/>
  <c r="AO75" i="12"/>
  <c r="AO56" i="12"/>
  <c r="AE21" i="12"/>
  <c r="AE22" i="12"/>
  <c r="AG114" i="12"/>
  <c r="AJ48" i="12"/>
  <c r="AN189" i="12"/>
  <c r="AN173" i="12"/>
  <c r="AN157" i="12"/>
  <c r="AN141" i="12"/>
  <c r="AN125" i="12"/>
  <c r="AN109" i="12"/>
  <c r="AN93" i="12"/>
  <c r="AN77" i="12"/>
  <c r="AN61" i="12"/>
  <c r="AN45" i="12"/>
  <c r="AN29" i="12"/>
  <c r="AO179" i="12"/>
  <c r="AO160" i="12"/>
  <c r="AO115" i="12"/>
  <c r="AO96" i="12"/>
  <c r="AO51" i="12"/>
  <c r="AO32" i="12"/>
  <c r="AO185" i="12"/>
  <c r="AO177" i="12"/>
  <c r="AO169" i="12"/>
  <c r="AO161" i="12"/>
  <c r="AO153" i="12"/>
  <c r="AO145" i="12"/>
  <c r="AO137" i="12"/>
  <c r="AO129" i="12"/>
  <c r="AO121" i="12"/>
  <c r="AO113" i="12"/>
  <c r="AO105" i="12"/>
  <c r="AO97" i="12"/>
  <c r="AO89" i="12"/>
  <c r="AO81" i="12"/>
  <c r="AO73" i="12"/>
  <c r="AO65" i="12"/>
  <c r="AO57" i="12"/>
  <c r="AO49" i="12"/>
  <c r="AO41" i="12"/>
  <c r="AO33" i="12"/>
  <c r="AO9" i="12"/>
  <c r="AO190" i="12"/>
  <c r="AO182" i="12"/>
  <c r="AO174" i="12"/>
  <c r="AO166" i="12"/>
  <c r="AO158" i="12"/>
  <c r="AO150" i="12"/>
  <c r="AO142" i="12"/>
  <c r="AO134" i="12"/>
  <c r="AO126" i="12"/>
  <c r="AO118" i="12"/>
  <c r="AO110" i="12"/>
  <c r="AO102" i="12"/>
  <c r="AO94" i="12"/>
  <c r="AO86" i="12"/>
  <c r="AO78" i="12"/>
  <c r="AO70" i="12"/>
  <c r="AO62" i="12"/>
  <c r="AO54" i="12"/>
  <c r="AO46" i="12"/>
  <c r="AO38" i="12"/>
  <c r="AO30" i="12"/>
  <c r="AE83" i="12"/>
  <c r="AB14" i="12"/>
  <c r="AD13" i="12"/>
  <c r="Z49" i="12"/>
  <c r="AB145" i="12"/>
  <c r="AB81" i="12"/>
  <c r="AE15" i="12"/>
  <c r="AE7" i="12"/>
  <c r="AE188" i="12"/>
  <c r="AE180" i="12"/>
  <c r="AD180" i="12"/>
  <c r="AE172" i="12"/>
  <c r="AE164" i="12"/>
  <c r="AE156" i="12"/>
  <c r="AD156" i="12"/>
  <c r="AE148" i="12"/>
  <c r="AE140" i="12"/>
  <c r="AE132" i="12"/>
  <c r="AD132" i="12"/>
  <c r="AE124" i="12"/>
  <c r="AE116" i="12"/>
  <c r="AD116" i="12"/>
  <c r="AE147" i="12"/>
  <c r="AE58" i="12"/>
  <c r="AG169" i="12"/>
  <c r="AG130" i="12"/>
  <c r="AG105" i="12"/>
  <c r="AG66" i="12"/>
  <c r="AG41" i="12"/>
  <c r="AJ187" i="12"/>
  <c r="AJ171" i="12"/>
  <c r="AJ155" i="12"/>
  <c r="AJ139" i="12"/>
  <c r="AJ123" i="12"/>
  <c r="AJ107" i="12"/>
  <c r="AJ91" i="12"/>
  <c r="AJ75" i="12"/>
  <c r="AJ59" i="12"/>
  <c r="AJ43" i="12"/>
  <c r="Z41" i="12"/>
  <c r="AB185" i="12"/>
  <c r="AB121" i="12"/>
  <c r="AB57" i="12"/>
  <c r="AD179" i="12"/>
  <c r="AE179" i="12"/>
  <c r="AE115" i="12"/>
  <c r="AD115" i="12"/>
  <c r="AE27" i="12"/>
  <c r="AD27" i="12"/>
  <c r="AE146" i="12"/>
  <c r="AE51" i="12"/>
  <c r="AG154" i="12"/>
  <c r="AG129" i="12"/>
  <c r="AG90" i="12"/>
  <c r="AJ186" i="12"/>
  <c r="AJ138" i="12"/>
  <c r="AJ122" i="12"/>
  <c r="AJ74" i="12"/>
  <c r="AJ58" i="12"/>
  <c r="AI31" i="12"/>
  <c r="AJ31" i="12"/>
  <c r="AJ184" i="12"/>
  <c r="AJ168" i="12"/>
  <c r="AJ152" i="12"/>
  <c r="AJ136" i="12"/>
  <c r="AJ120" i="12"/>
  <c r="AJ104" i="12"/>
  <c r="AJ88" i="12"/>
  <c r="AJ72" i="12"/>
  <c r="AD170" i="12"/>
  <c r="AE170" i="12"/>
  <c r="AD122" i="12"/>
  <c r="AE122" i="12"/>
  <c r="AD66" i="12"/>
  <c r="AE66" i="12"/>
  <c r="AE138" i="12"/>
  <c r="Z13" i="12"/>
  <c r="Z138" i="12"/>
  <c r="Z74" i="12"/>
  <c r="Z137" i="12"/>
  <c r="AB137" i="12"/>
  <c r="AB73" i="12"/>
  <c r="AD188" i="12"/>
  <c r="AE114" i="12"/>
  <c r="AE42" i="12"/>
  <c r="AG177" i="12"/>
  <c r="AG113" i="12"/>
  <c r="AG49" i="12"/>
  <c r="AI190" i="12"/>
  <c r="AJ190" i="12"/>
  <c r="AI182" i="12"/>
  <c r="AJ182" i="12"/>
  <c r="AI174" i="12"/>
  <c r="AJ174" i="12"/>
  <c r="AI166" i="12"/>
  <c r="AJ166" i="12"/>
  <c r="AI158" i="12"/>
  <c r="AJ158" i="12"/>
  <c r="AI150" i="12"/>
  <c r="AJ150" i="12"/>
  <c r="AI142" i="12"/>
  <c r="AJ142" i="12"/>
  <c r="AI134" i="12"/>
  <c r="AJ134" i="12"/>
  <c r="AI126" i="12"/>
  <c r="AJ126" i="12"/>
  <c r="AI118" i="12"/>
  <c r="AJ118" i="12"/>
  <c r="AI110" i="12"/>
  <c r="AJ110" i="12"/>
  <c r="AI102" i="12"/>
  <c r="AJ102" i="12"/>
  <c r="AI94" i="12"/>
  <c r="AJ94" i="12"/>
  <c r="AI86" i="12"/>
  <c r="AJ86" i="12"/>
  <c r="AJ183" i="12"/>
  <c r="AJ167" i="12"/>
  <c r="AJ151" i="12"/>
  <c r="AJ135" i="12"/>
  <c r="AJ119" i="12"/>
  <c r="AJ103" i="12"/>
  <c r="AJ87" i="12"/>
  <c r="AJ71" i="12"/>
  <c r="AJ55" i="12"/>
  <c r="AJ39" i="12"/>
  <c r="AD21" i="12"/>
  <c r="Z115" i="12"/>
  <c r="AB177" i="12"/>
  <c r="AB113" i="12"/>
  <c r="AB49" i="12"/>
  <c r="AE19" i="12"/>
  <c r="AE11" i="12"/>
  <c r="AE3" i="12"/>
  <c r="AD148" i="12"/>
  <c r="AE5" i="12"/>
  <c r="AE106" i="12"/>
  <c r="AE34" i="12"/>
  <c r="AG162" i="12"/>
  <c r="AG137" i="12"/>
  <c r="AG98" i="12"/>
  <c r="AG73" i="12"/>
  <c r="AG34" i="12"/>
  <c r="AJ189" i="12"/>
  <c r="AJ181" i="12"/>
  <c r="AJ173" i="12"/>
  <c r="AJ165" i="12"/>
  <c r="AJ157" i="12"/>
  <c r="AJ149" i="12"/>
  <c r="AJ141" i="12"/>
  <c r="AJ133" i="12"/>
  <c r="AJ125" i="12"/>
  <c r="AJ117" i="12"/>
  <c r="AJ109" i="12"/>
  <c r="AJ101" i="12"/>
  <c r="AJ93" i="12"/>
  <c r="AJ85" i="12"/>
  <c r="AJ77" i="12"/>
  <c r="AJ69" i="12"/>
  <c r="AJ61" i="12"/>
  <c r="AJ53" i="12"/>
  <c r="AJ45" i="12"/>
  <c r="AJ37" i="12"/>
  <c r="AJ29" i="12"/>
  <c r="AI181" i="12"/>
  <c r="AI117" i="12"/>
  <c r="AI53" i="12"/>
  <c r="AJ179" i="12"/>
  <c r="AJ163" i="12"/>
  <c r="AJ147" i="12"/>
  <c r="AJ131" i="12"/>
  <c r="AJ115" i="12"/>
  <c r="AJ99" i="12"/>
  <c r="AJ83" i="12"/>
  <c r="AJ67" i="12"/>
  <c r="AJ51" i="12"/>
  <c r="AJ35" i="12"/>
  <c r="AD178" i="12"/>
  <c r="AE178" i="12"/>
  <c r="AD130" i="12"/>
  <c r="AE130" i="12"/>
  <c r="AD82" i="12"/>
  <c r="AE82" i="12"/>
  <c r="AE50" i="12"/>
  <c r="Z113" i="12"/>
  <c r="AB153" i="12"/>
  <c r="AB89" i="12"/>
  <c r="AE186" i="12"/>
  <c r="AE98" i="12"/>
  <c r="AG161" i="12"/>
  <c r="AG97" i="12"/>
  <c r="AG33" i="12"/>
  <c r="AJ188" i="12"/>
  <c r="AJ180" i="12"/>
  <c r="AJ172" i="12"/>
  <c r="AJ164" i="12"/>
  <c r="AJ156" i="12"/>
  <c r="AJ148" i="12"/>
  <c r="AJ140" i="12"/>
  <c r="AJ132" i="12"/>
  <c r="AJ124" i="12"/>
  <c r="AJ116" i="12"/>
  <c r="AJ108" i="12"/>
  <c r="AJ100" i="12"/>
  <c r="AJ92" i="12"/>
  <c r="AJ84" i="12"/>
  <c r="AJ76" i="12"/>
  <c r="AJ68" i="12"/>
  <c r="AJ60" i="12"/>
  <c r="AJ52" i="12"/>
  <c r="AJ44" i="12"/>
  <c r="AJ36" i="12"/>
  <c r="AJ28" i="12"/>
  <c r="AI180" i="12"/>
  <c r="AI141" i="12"/>
  <c r="AI116" i="12"/>
  <c r="AI77" i="12"/>
  <c r="AI52" i="12"/>
  <c r="AJ146" i="12"/>
  <c r="AJ82" i="12"/>
  <c r="AD74" i="12"/>
  <c r="AE74" i="12"/>
  <c r="AB6" i="12"/>
  <c r="Y66" i="12"/>
  <c r="Z105" i="12"/>
  <c r="AB129" i="12"/>
  <c r="AB65" i="12"/>
  <c r="AE25" i="12"/>
  <c r="AE17" i="12"/>
  <c r="AE9" i="12"/>
  <c r="AD172" i="12"/>
  <c r="AE162" i="12"/>
  <c r="AE90" i="12"/>
  <c r="AG185" i="12"/>
  <c r="AG121" i="12"/>
  <c r="AG57" i="12"/>
  <c r="AJ27" i="12"/>
  <c r="AJ176" i="12"/>
  <c r="AJ160" i="12"/>
  <c r="AJ144" i="12"/>
  <c r="AJ128" i="12"/>
  <c r="AJ112" i="12"/>
  <c r="AJ96" i="12"/>
  <c r="AJ80" i="12"/>
  <c r="AJ64" i="12"/>
  <c r="AJ78" i="12"/>
  <c r="AJ70" i="12"/>
  <c r="AJ62" i="12"/>
  <c r="AJ54" i="12"/>
  <c r="AJ46" i="12"/>
  <c r="AJ38" i="12"/>
  <c r="AJ30" i="12"/>
  <c r="AE108" i="12"/>
  <c r="AE100" i="12"/>
  <c r="AE92" i="12"/>
  <c r="AE84" i="12"/>
  <c r="AE76" i="12"/>
  <c r="AE68" i="12"/>
  <c r="AE60" i="12"/>
  <c r="AE52" i="12"/>
  <c r="AE44" i="12"/>
  <c r="AE36" i="12"/>
  <c r="AE28" i="12"/>
  <c r="AD68" i="12"/>
  <c r="Y104" i="12"/>
  <c r="Z104" i="12"/>
  <c r="Y185" i="12"/>
  <c r="Z185" i="12"/>
  <c r="Y161" i="12"/>
  <c r="Z161" i="12"/>
  <c r="Y153" i="12"/>
  <c r="Z153" i="12"/>
  <c r="Y40" i="12"/>
  <c r="Z144" i="12"/>
  <c r="Z51" i="12"/>
  <c r="AE16" i="12"/>
  <c r="AE8" i="12"/>
  <c r="AE189" i="12"/>
  <c r="AE181" i="12"/>
  <c r="AE173" i="12"/>
  <c r="AE165" i="12"/>
  <c r="AE157" i="12"/>
  <c r="AE149" i="12"/>
  <c r="AE141" i="12"/>
  <c r="AE133" i="12"/>
  <c r="AE125" i="12"/>
  <c r="AE117" i="12"/>
  <c r="AE109" i="12"/>
  <c r="AE101" i="12"/>
  <c r="AE93" i="12"/>
  <c r="AE85" i="12"/>
  <c r="AE77" i="12"/>
  <c r="AE69" i="12"/>
  <c r="AE61" i="12"/>
  <c r="AE53" i="12"/>
  <c r="AE45" i="12"/>
  <c r="AE37" i="12"/>
  <c r="AE29" i="12"/>
  <c r="AE187" i="12"/>
  <c r="AE155" i="12"/>
  <c r="AE123" i="12"/>
  <c r="AE91" i="12"/>
  <c r="AE59" i="12"/>
  <c r="Y11" i="12"/>
  <c r="Z25" i="12"/>
  <c r="Z17" i="12"/>
  <c r="Z9" i="12"/>
  <c r="Y182" i="12"/>
  <c r="Z182" i="12"/>
  <c r="Y118" i="12"/>
  <c r="Z118" i="12"/>
  <c r="Z177" i="12"/>
  <c r="AE171" i="12"/>
  <c r="AE139" i="12"/>
  <c r="AE107" i="12"/>
  <c r="AE75" i="12"/>
  <c r="AE43" i="12"/>
  <c r="U15" i="12"/>
  <c r="U84" i="12"/>
  <c r="Z34" i="12"/>
  <c r="W34" i="12"/>
  <c r="Y128" i="12"/>
  <c r="Z169" i="12"/>
  <c r="Z88" i="12"/>
  <c r="AD184" i="12"/>
  <c r="AE184" i="12"/>
  <c r="AD176" i="12"/>
  <c r="AE176" i="12"/>
  <c r="AD168" i="12"/>
  <c r="AE168" i="12"/>
  <c r="AD160" i="12"/>
  <c r="AE160" i="12"/>
  <c r="AD152" i="12"/>
  <c r="AE152" i="12"/>
  <c r="AD144" i="12"/>
  <c r="AE144" i="12"/>
  <c r="AD136" i="12"/>
  <c r="AE136" i="12"/>
  <c r="AD128" i="12"/>
  <c r="AE128" i="12"/>
  <c r="AD120" i="12"/>
  <c r="AE120" i="12"/>
  <c r="AD112" i="12"/>
  <c r="AE112" i="12"/>
  <c r="AD104" i="12"/>
  <c r="AE104" i="12"/>
  <c r="AD96" i="12"/>
  <c r="AE96" i="12"/>
  <c r="AD88" i="12"/>
  <c r="AE88" i="12"/>
  <c r="AD80" i="12"/>
  <c r="AE80" i="12"/>
  <c r="AD72" i="12"/>
  <c r="AE72" i="12"/>
  <c r="AD64" i="12"/>
  <c r="AE64" i="12"/>
  <c r="AD56" i="12"/>
  <c r="AE56" i="12"/>
  <c r="AD48" i="12"/>
  <c r="AE48" i="12"/>
  <c r="AD40" i="12"/>
  <c r="AE40" i="12"/>
  <c r="AD32" i="12"/>
  <c r="AE32" i="12"/>
  <c r="Z184" i="12"/>
  <c r="Y184" i="12"/>
  <c r="Z64" i="12"/>
  <c r="Y64" i="12"/>
  <c r="Y3" i="12"/>
  <c r="U22" i="12"/>
  <c r="U14" i="12"/>
  <c r="U171" i="12"/>
  <c r="U115" i="12"/>
  <c r="T75" i="12"/>
  <c r="U75" i="12"/>
  <c r="U59" i="12"/>
  <c r="U51" i="12"/>
  <c r="U43" i="12"/>
  <c r="U131" i="12"/>
  <c r="Z22" i="12"/>
  <c r="Z14" i="12"/>
  <c r="Z6" i="12"/>
  <c r="Y179" i="12"/>
  <c r="Z179" i="12"/>
  <c r="Z171" i="12"/>
  <c r="Z163" i="12"/>
  <c r="Z168" i="12"/>
  <c r="AD26" i="12"/>
  <c r="AE26" i="12"/>
  <c r="AD18" i="12"/>
  <c r="AE18" i="12"/>
  <c r="AD10" i="12"/>
  <c r="AE10" i="12"/>
  <c r="AD191" i="12"/>
  <c r="AE191" i="12"/>
  <c r="AD183" i="12"/>
  <c r="AE183" i="12"/>
  <c r="AD175" i="12"/>
  <c r="AE175" i="12"/>
  <c r="AD167" i="12"/>
  <c r="AE167" i="12"/>
  <c r="AD159" i="12"/>
  <c r="AE159" i="12"/>
  <c r="AD151" i="12"/>
  <c r="AE151" i="12"/>
  <c r="AD143" i="12"/>
  <c r="AE143" i="12"/>
  <c r="AD135" i="12"/>
  <c r="AE135" i="12"/>
  <c r="AD127" i="12"/>
  <c r="AE127" i="12"/>
  <c r="AD119" i="12"/>
  <c r="AE119" i="12"/>
  <c r="AD111" i="12"/>
  <c r="AE111" i="12"/>
  <c r="AD103" i="12"/>
  <c r="AE103" i="12"/>
  <c r="AD95" i="12"/>
  <c r="AE95" i="12"/>
  <c r="AD87" i="12"/>
  <c r="AE87" i="12"/>
  <c r="AD79" i="12"/>
  <c r="AE79" i="12"/>
  <c r="AD71" i="12"/>
  <c r="AE71" i="12"/>
  <c r="AD63" i="12"/>
  <c r="AE63" i="12"/>
  <c r="AD55" i="12"/>
  <c r="AE55" i="12"/>
  <c r="AD47" i="12"/>
  <c r="AE47" i="12"/>
  <c r="AD39" i="12"/>
  <c r="AE39" i="12"/>
  <c r="AD31" i="12"/>
  <c r="AE31" i="12"/>
  <c r="AE163" i="12"/>
  <c r="AE131" i="12"/>
  <c r="AE99" i="12"/>
  <c r="AE67" i="12"/>
  <c r="AE35" i="12"/>
  <c r="Y152" i="12"/>
  <c r="Z152" i="12"/>
  <c r="Z56" i="12"/>
  <c r="Y56" i="12"/>
  <c r="Z19" i="12"/>
  <c r="Z21" i="12"/>
  <c r="Z154" i="12"/>
  <c r="Y120" i="12"/>
  <c r="Z80" i="12"/>
  <c r="Y90" i="12"/>
  <c r="Z130" i="12"/>
  <c r="Z73" i="12"/>
  <c r="Z155" i="12"/>
  <c r="Z129" i="12"/>
  <c r="Z97" i="12"/>
  <c r="Z33" i="12"/>
  <c r="Z131" i="12"/>
  <c r="Z107" i="12"/>
  <c r="Z99" i="12"/>
  <c r="Z67" i="12"/>
  <c r="Z43" i="12"/>
  <c r="Z35" i="12"/>
  <c r="Z27" i="12"/>
  <c r="Y107" i="12"/>
  <c r="Z91" i="12"/>
  <c r="Z65" i="12"/>
  <c r="AE190" i="12"/>
  <c r="AE182" i="12"/>
  <c r="AE174" i="12"/>
  <c r="AE166" i="12"/>
  <c r="AE158" i="12"/>
  <c r="AE150" i="12"/>
  <c r="AE142" i="12"/>
  <c r="AE134" i="12"/>
  <c r="AE126" i="12"/>
  <c r="AE118" i="12"/>
  <c r="AE110" i="12"/>
  <c r="AE102" i="12"/>
  <c r="AE94" i="12"/>
  <c r="AE86" i="12"/>
  <c r="AE78" i="12"/>
  <c r="AE70" i="12"/>
  <c r="AE62" i="12"/>
  <c r="AE54" i="12"/>
  <c r="AE46" i="12"/>
  <c r="AE38" i="12"/>
  <c r="AE30" i="12"/>
  <c r="Z170" i="12"/>
  <c r="Z146" i="12"/>
  <c r="Z106" i="12"/>
  <c r="Z82" i="12"/>
  <c r="Z42" i="12"/>
  <c r="Y131" i="12"/>
  <c r="Y106" i="12"/>
  <c r="Z121" i="12"/>
  <c r="AE24" i="12"/>
  <c r="Z89" i="12"/>
  <c r="Z57" i="12"/>
  <c r="AE23" i="12"/>
  <c r="R186" i="12"/>
  <c r="U105" i="12"/>
  <c r="Z54" i="12"/>
  <c r="R162" i="12"/>
  <c r="U49" i="12"/>
  <c r="R42" i="12"/>
  <c r="U42" i="12"/>
  <c r="R41" i="12"/>
  <c r="U41" i="12"/>
  <c r="U188" i="12"/>
  <c r="T188" i="12"/>
  <c r="U156" i="12"/>
  <c r="T156" i="12"/>
  <c r="U124" i="12"/>
  <c r="T124" i="12"/>
  <c r="U92" i="12"/>
  <c r="T92" i="12"/>
  <c r="Y174" i="12"/>
  <c r="Z174" i="12"/>
  <c r="U172" i="12"/>
  <c r="T172" i="12"/>
  <c r="U140" i="12"/>
  <c r="T140" i="12"/>
  <c r="U100" i="12"/>
  <c r="T100" i="12"/>
  <c r="Y158" i="12"/>
  <c r="Z158" i="12"/>
  <c r="T163" i="12"/>
  <c r="U163" i="12"/>
  <c r="T155" i="12"/>
  <c r="U155" i="12"/>
  <c r="T147" i="12"/>
  <c r="U147" i="12"/>
  <c r="T123" i="12"/>
  <c r="U123" i="12"/>
  <c r="U107" i="12"/>
  <c r="T107" i="12"/>
  <c r="T99" i="12"/>
  <c r="U99" i="12"/>
  <c r="T91" i="12"/>
  <c r="U91" i="12"/>
  <c r="U83" i="12"/>
  <c r="T83" i="12"/>
  <c r="T67" i="12"/>
  <c r="U67" i="12"/>
  <c r="U129" i="12"/>
  <c r="R129" i="12"/>
  <c r="R73" i="12"/>
  <c r="U73" i="12"/>
  <c r="R185" i="12"/>
  <c r="U7" i="12"/>
  <c r="T7" i="12"/>
  <c r="U164" i="12"/>
  <c r="T164" i="12"/>
  <c r="U132" i="12"/>
  <c r="T132" i="12"/>
  <c r="U108" i="12"/>
  <c r="T108" i="12"/>
  <c r="U60" i="12"/>
  <c r="T60" i="12"/>
  <c r="Y190" i="12"/>
  <c r="Z190" i="12"/>
  <c r="Y102" i="12"/>
  <c r="Z102" i="12"/>
  <c r="Y86" i="12"/>
  <c r="Z86" i="12"/>
  <c r="Y78" i="12"/>
  <c r="Z78" i="12"/>
  <c r="Y70" i="12"/>
  <c r="Z70" i="12"/>
  <c r="Y62" i="12"/>
  <c r="Z62" i="12"/>
  <c r="Y38" i="12"/>
  <c r="Z38" i="12"/>
  <c r="U6" i="12"/>
  <c r="T6" i="12"/>
  <c r="U179" i="12"/>
  <c r="T179" i="12"/>
  <c r="T139" i="12"/>
  <c r="U139" i="12"/>
  <c r="U21" i="12"/>
  <c r="U187" i="12"/>
  <c r="U23" i="12"/>
  <c r="T23" i="12"/>
  <c r="U180" i="12"/>
  <c r="T180" i="12"/>
  <c r="U148" i="12"/>
  <c r="T148" i="12"/>
  <c r="U116" i="12"/>
  <c r="T116" i="12"/>
  <c r="U76" i="12"/>
  <c r="T76" i="12"/>
  <c r="U68" i="12"/>
  <c r="T68" i="12"/>
  <c r="U52" i="12"/>
  <c r="T52" i="12"/>
  <c r="Y166" i="12"/>
  <c r="Z166" i="12"/>
  <c r="Y150" i="12"/>
  <c r="Z150" i="12"/>
  <c r="Y142" i="12"/>
  <c r="Z142" i="12"/>
  <c r="Y134" i="12"/>
  <c r="Z134" i="12"/>
  <c r="Y126" i="12"/>
  <c r="Z126" i="12"/>
  <c r="Y110" i="12"/>
  <c r="Z110" i="12"/>
  <c r="Y94" i="12"/>
  <c r="Z94" i="12"/>
  <c r="Y46" i="12"/>
  <c r="Z46" i="12"/>
  <c r="Y30" i="12"/>
  <c r="Z30" i="12"/>
  <c r="U20" i="12"/>
  <c r="U12" i="12"/>
  <c r="U4" i="12"/>
  <c r="T84" i="12"/>
  <c r="Z16" i="12"/>
  <c r="Z109" i="12"/>
  <c r="U13" i="12"/>
  <c r="U5" i="12"/>
  <c r="T138" i="12"/>
  <c r="U138" i="12"/>
  <c r="T130" i="12"/>
  <c r="U130" i="12"/>
  <c r="T74" i="12"/>
  <c r="U74" i="12"/>
  <c r="T66" i="12"/>
  <c r="U66" i="12"/>
  <c r="T51" i="12"/>
  <c r="U154" i="12"/>
  <c r="U98" i="12"/>
  <c r="W138" i="12"/>
  <c r="W74" i="12"/>
  <c r="C4" i="2" s="1"/>
  <c r="Z23" i="12"/>
  <c r="Z15" i="12"/>
  <c r="Z7" i="12"/>
  <c r="Z188" i="12"/>
  <c r="Z180" i="12"/>
  <c r="Z172" i="12"/>
  <c r="Z164" i="12"/>
  <c r="Z156" i="12"/>
  <c r="Z148" i="12"/>
  <c r="Z140" i="12"/>
  <c r="Z132" i="12"/>
  <c r="Z124" i="12"/>
  <c r="Z116" i="12"/>
  <c r="Z108" i="12"/>
  <c r="Z100" i="12"/>
  <c r="Z92" i="12"/>
  <c r="Z84" i="12"/>
  <c r="Z76" i="12"/>
  <c r="Z68" i="12"/>
  <c r="Z60" i="12"/>
  <c r="Z52" i="12"/>
  <c r="Z44" i="12"/>
  <c r="Z36" i="12"/>
  <c r="Z28" i="12"/>
  <c r="Y27" i="12"/>
  <c r="Z178" i="12"/>
  <c r="Z139" i="12"/>
  <c r="Z114" i="12"/>
  <c r="Z75" i="12"/>
  <c r="Z50" i="12"/>
  <c r="U27" i="12"/>
  <c r="T27" i="12"/>
  <c r="Z8" i="12"/>
  <c r="Z165" i="12"/>
  <c r="Z133" i="12"/>
  <c r="Z93" i="12"/>
  <c r="Z61" i="12"/>
  <c r="Z29" i="12"/>
  <c r="T161" i="12"/>
  <c r="U161" i="12"/>
  <c r="U35" i="12"/>
  <c r="Y165" i="12"/>
  <c r="U19" i="12"/>
  <c r="U11" i="12"/>
  <c r="U3" i="12"/>
  <c r="T43" i="12"/>
  <c r="U177" i="12"/>
  <c r="U146" i="12"/>
  <c r="U121" i="12"/>
  <c r="U90" i="12"/>
  <c r="U34" i="12"/>
  <c r="Y61" i="12"/>
  <c r="Z187" i="12"/>
  <c r="Z176" i="12"/>
  <c r="Z162" i="12"/>
  <c r="Z123" i="12"/>
  <c r="Z112" i="12"/>
  <c r="Z98" i="12"/>
  <c r="Z59" i="12"/>
  <c r="Z48" i="12"/>
  <c r="Z181" i="12"/>
  <c r="Z149" i="12"/>
  <c r="Z117" i="12"/>
  <c r="Z85" i="12"/>
  <c r="Z53" i="12"/>
  <c r="Y117" i="12"/>
  <c r="T89" i="12"/>
  <c r="U89" i="12"/>
  <c r="T33" i="12"/>
  <c r="U33" i="12"/>
  <c r="U178" i="12"/>
  <c r="U65" i="12"/>
  <c r="U170" i="12"/>
  <c r="U145" i="12"/>
  <c r="U114" i="12"/>
  <c r="U58" i="12"/>
  <c r="Y163" i="12"/>
  <c r="Y149" i="12"/>
  <c r="Y99" i="12"/>
  <c r="Y85" i="12"/>
  <c r="Y35" i="12"/>
  <c r="Z186" i="12"/>
  <c r="Z147" i="12"/>
  <c r="Z136" i="12"/>
  <c r="Z122" i="12"/>
  <c r="Z83" i="12"/>
  <c r="Z72" i="12"/>
  <c r="Z58" i="12"/>
  <c r="Z189" i="12"/>
  <c r="Z157" i="12"/>
  <c r="Z125" i="12"/>
  <c r="Z77" i="12"/>
  <c r="Z45" i="12"/>
  <c r="Y181" i="12"/>
  <c r="T153" i="12"/>
  <c r="U153" i="12"/>
  <c r="T5" i="12"/>
  <c r="U17" i="12"/>
  <c r="U169" i="12"/>
  <c r="U113" i="12"/>
  <c r="U82" i="12"/>
  <c r="U57" i="12"/>
  <c r="Y109" i="12"/>
  <c r="Y45" i="12"/>
  <c r="Z160" i="12"/>
  <c r="Z96" i="12"/>
  <c r="Z32" i="12"/>
  <c r="Z24" i="12"/>
  <c r="Z173" i="12"/>
  <c r="Z141" i="12"/>
  <c r="Z101" i="12"/>
  <c r="Z69" i="12"/>
  <c r="Z37" i="12"/>
  <c r="T97" i="12"/>
  <c r="U97" i="12"/>
  <c r="U122" i="12"/>
  <c r="BI24" i="12"/>
  <c r="BI16" i="12"/>
  <c r="U24" i="12"/>
  <c r="U16" i="12"/>
  <c r="U8" i="12"/>
  <c r="U189" i="12"/>
  <c r="U181" i="12"/>
  <c r="T181" i="12"/>
  <c r="U173" i="12"/>
  <c r="T173" i="12"/>
  <c r="U165" i="12"/>
  <c r="U157" i="12"/>
  <c r="U149" i="12"/>
  <c r="U141" i="12"/>
  <c r="U133" i="12"/>
  <c r="U125" i="12"/>
  <c r="U117" i="12"/>
  <c r="T117" i="12"/>
  <c r="U109" i="12"/>
  <c r="T109" i="12"/>
  <c r="U101" i="12"/>
  <c r="U93" i="12"/>
  <c r="U85" i="12"/>
  <c r="U77" i="12"/>
  <c r="U69" i="12"/>
  <c r="U61" i="12"/>
  <c r="U53" i="12"/>
  <c r="T53" i="12"/>
  <c r="U45" i="12"/>
  <c r="T45" i="12"/>
  <c r="U37" i="12"/>
  <c r="U29" i="12"/>
  <c r="T85" i="12"/>
  <c r="T29" i="12"/>
  <c r="U137" i="12"/>
  <c r="U106" i="12"/>
  <c r="U81" i="12"/>
  <c r="U50" i="12"/>
  <c r="Z26" i="12"/>
  <c r="Z18" i="12"/>
  <c r="Z10" i="12"/>
  <c r="Y191" i="12"/>
  <c r="Z191" i="12"/>
  <c r="Y183" i="12"/>
  <c r="Z183" i="12"/>
  <c r="Y175" i="12"/>
  <c r="Z175" i="12"/>
  <c r="Y167" i="12"/>
  <c r="Z167" i="12"/>
  <c r="Y159" i="12"/>
  <c r="Z159" i="12"/>
  <c r="Y151" i="12"/>
  <c r="Z151" i="12"/>
  <c r="Y143" i="12"/>
  <c r="Z143" i="12"/>
  <c r="Y135" i="12"/>
  <c r="Z135" i="12"/>
  <c r="Y127" i="12"/>
  <c r="Z127" i="12"/>
  <c r="Y119" i="12"/>
  <c r="Z119" i="12"/>
  <c r="Y111" i="12"/>
  <c r="Z111" i="12"/>
  <c r="Y103" i="12"/>
  <c r="Z103" i="12"/>
  <c r="Y95" i="12"/>
  <c r="Z95" i="12"/>
  <c r="Y87" i="12"/>
  <c r="Z87" i="12"/>
  <c r="Y79" i="12"/>
  <c r="Z79" i="12"/>
  <c r="Y71" i="12"/>
  <c r="Z71" i="12"/>
  <c r="Y63" i="12"/>
  <c r="Z63" i="12"/>
  <c r="Y55" i="12"/>
  <c r="Z55" i="12"/>
  <c r="Y47" i="12"/>
  <c r="Z47" i="12"/>
  <c r="Y39" i="12"/>
  <c r="Z39" i="12"/>
  <c r="Y31" i="12"/>
  <c r="Z31" i="12"/>
  <c r="Y133" i="12"/>
  <c r="Y69" i="12"/>
  <c r="U44" i="12"/>
  <c r="U36" i="12"/>
  <c r="U28" i="12"/>
  <c r="T17" i="12"/>
  <c r="U184" i="12"/>
  <c r="U176" i="12"/>
  <c r="U168" i="12"/>
  <c r="U160" i="12"/>
  <c r="U152" i="12"/>
  <c r="U144" i="12"/>
  <c r="U136" i="12"/>
  <c r="U128" i="12"/>
  <c r="U120" i="12"/>
  <c r="U112" i="12"/>
  <c r="U104" i="12"/>
  <c r="U96" i="12"/>
  <c r="U88" i="12"/>
  <c r="U80" i="12"/>
  <c r="U72" i="12"/>
  <c r="U64" i="12"/>
  <c r="U56" i="12"/>
  <c r="U48" i="12"/>
  <c r="U40" i="12"/>
  <c r="U32" i="12"/>
  <c r="U26" i="12"/>
  <c r="U18" i="12"/>
  <c r="U10" i="12"/>
  <c r="U191" i="12"/>
  <c r="U183" i="12"/>
  <c r="U175" i="12"/>
  <c r="U167" i="12"/>
  <c r="U159" i="12"/>
  <c r="U151" i="12"/>
  <c r="U143" i="12"/>
  <c r="U135" i="12"/>
  <c r="U127" i="12"/>
  <c r="U119" i="12"/>
  <c r="U111" i="12"/>
  <c r="U103" i="12"/>
  <c r="U95" i="12"/>
  <c r="U87" i="12"/>
  <c r="U79" i="12"/>
  <c r="U71" i="12"/>
  <c r="U63" i="12"/>
  <c r="U55" i="12"/>
  <c r="U47" i="12"/>
  <c r="U39" i="12"/>
  <c r="U31" i="12"/>
  <c r="U25" i="12"/>
  <c r="U9" i="12"/>
  <c r="U190" i="12"/>
  <c r="U182" i="12"/>
  <c r="U174" i="12"/>
  <c r="U166" i="12"/>
  <c r="U158" i="12"/>
  <c r="U150" i="12"/>
  <c r="U142" i="12"/>
  <c r="U134" i="12"/>
  <c r="U126" i="12"/>
  <c r="U118" i="12"/>
  <c r="U110" i="12"/>
  <c r="U102" i="12"/>
  <c r="U94" i="12"/>
  <c r="U86" i="12"/>
  <c r="U78" i="12"/>
  <c r="U70" i="12"/>
  <c r="U62" i="12"/>
  <c r="U54" i="12"/>
  <c r="U46" i="12"/>
  <c r="U38" i="12"/>
  <c r="U30" i="12"/>
  <c r="BI2" i="12"/>
  <c r="BI19" i="12"/>
  <c r="BI11" i="12"/>
  <c r="BI3" i="12"/>
  <c r="BI26" i="12"/>
  <c r="BI18" i="12"/>
  <c r="BI10" i="12"/>
  <c r="BI25" i="12"/>
  <c r="BI17" i="12"/>
  <c r="BI9" i="12"/>
  <c r="BI8" i="12"/>
  <c r="BI23" i="12"/>
  <c r="BI7" i="12"/>
  <c r="AJ24" i="12"/>
  <c r="AJ16" i="12"/>
  <c r="AJ8" i="12"/>
  <c r="BI22" i="12"/>
  <c r="BI14" i="12"/>
  <c r="BI6" i="12"/>
  <c r="BI21" i="12"/>
  <c r="BI5" i="12"/>
  <c r="G16" i="10"/>
  <c r="BF11" i="12"/>
  <c r="BF19" i="12"/>
  <c r="BI13" i="12"/>
  <c r="BF2" i="12"/>
  <c r="BI15" i="12"/>
  <c r="BF3" i="12"/>
  <c r="BF21" i="12"/>
  <c r="BF23" i="12"/>
  <c r="BF5" i="12"/>
  <c r="BF7" i="12"/>
  <c r="BF6" i="12"/>
  <c r="BF14" i="12"/>
  <c r="BF22" i="12"/>
  <c r="BI4" i="12"/>
  <c r="BI12" i="12"/>
  <c r="BI20" i="12"/>
  <c r="BF8" i="12"/>
  <c r="BF16" i="12"/>
  <c r="BF24" i="12"/>
  <c r="BF9" i="12"/>
  <c r="BF17" i="12"/>
  <c r="BF25" i="12"/>
  <c r="BF10" i="12"/>
  <c r="BF18" i="12"/>
  <c r="BF26" i="12"/>
  <c r="BC13" i="12"/>
  <c r="BC5" i="12"/>
  <c r="BC21" i="12"/>
  <c r="BD2" i="12"/>
  <c r="BC12" i="12"/>
  <c r="BC17" i="12"/>
  <c r="BC2" i="12"/>
  <c r="BC10" i="12"/>
  <c r="BC18" i="12"/>
  <c r="BC26" i="12"/>
  <c r="BC3" i="12"/>
  <c r="BC11" i="12"/>
  <c r="BC19" i="12"/>
  <c r="AX12" i="12"/>
  <c r="BC6" i="12"/>
  <c r="BC14" i="12"/>
  <c r="BC22" i="12"/>
  <c r="AX26" i="12"/>
  <c r="AX10" i="12"/>
  <c r="AX11" i="12"/>
  <c r="AY2" i="12"/>
  <c r="AS19" i="12"/>
  <c r="AS21" i="12"/>
  <c r="AX6" i="12"/>
  <c r="AX14" i="12"/>
  <c r="AX22" i="12"/>
  <c r="AX7" i="12"/>
  <c r="AX15" i="12"/>
  <c r="AX23" i="12"/>
  <c r="AX8" i="12"/>
  <c r="AX16" i="12"/>
  <c r="AX24" i="12"/>
  <c r="AX9" i="12"/>
  <c r="AX17" i="12"/>
  <c r="AX25" i="12"/>
  <c r="AS5" i="12"/>
  <c r="AS3" i="12"/>
  <c r="AS4" i="12"/>
  <c r="AS20" i="12"/>
  <c r="AT2" i="12"/>
  <c r="AS9" i="12"/>
  <c r="AS25" i="12"/>
  <c r="AS13" i="12"/>
  <c r="AS10" i="12"/>
  <c r="AS26" i="12"/>
  <c r="AS6" i="12"/>
  <c r="AS14" i="12"/>
  <c r="AS22" i="12"/>
  <c r="AL20" i="12"/>
  <c r="AS7" i="12"/>
  <c r="AS15" i="12"/>
  <c r="AS23" i="12"/>
  <c r="AN4" i="12"/>
  <c r="AJ21" i="12"/>
  <c r="AJ13" i="12"/>
  <c r="AJ5" i="12"/>
  <c r="AN21" i="12"/>
  <c r="AN17" i="12"/>
  <c r="AN24" i="12"/>
  <c r="AN5" i="12"/>
  <c r="AN25" i="12"/>
  <c r="AJ15" i="12"/>
  <c r="AO2" i="12"/>
  <c r="AJ12" i="12"/>
  <c r="AN2" i="12"/>
  <c r="AN18" i="12"/>
  <c r="AJ14" i="12"/>
  <c r="AN3" i="12"/>
  <c r="AN11" i="12"/>
  <c r="AN19" i="12"/>
  <c r="AJ4" i="12"/>
  <c r="AG16" i="12"/>
  <c r="AJ23" i="12"/>
  <c r="AN6" i="12"/>
  <c r="AN14" i="12"/>
  <c r="AN22" i="12"/>
  <c r="AJ20" i="12"/>
  <c r="AJ22" i="12"/>
  <c r="AJ7" i="12"/>
  <c r="AI12" i="12"/>
  <c r="AJ2" i="12"/>
  <c r="AJ19" i="12"/>
  <c r="AJ3" i="12"/>
  <c r="AJ10" i="12"/>
  <c r="AJ17" i="12"/>
  <c r="AI20" i="12"/>
  <c r="AG24" i="12"/>
  <c r="AI4" i="12"/>
  <c r="AJ11" i="12"/>
  <c r="AJ26" i="12"/>
  <c r="AJ18" i="12"/>
  <c r="AJ25" i="12"/>
  <c r="AJ9" i="12"/>
  <c r="AD20" i="12"/>
  <c r="AG8" i="12"/>
  <c r="AI7" i="12"/>
  <c r="AJ6" i="12"/>
  <c r="AI9" i="12"/>
  <c r="AI17" i="12"/>
  <c r="AI25" i="12"/>
  <c r="AB12" i="12"/>
  <c r="AI2" i="12"/>
  <c r="AI10" i="12"/>
  <c r="AI18" i="12"/>
  <c r="AI26" i="12"/>
  <c r="AI3" i="12"/>
  <c r="AI11" i="12"/>
  <c r="AI19" i="12"/>
  <c r="AG21" i="12"/>
  <c r="AG5" i="12"/>
  <c r="AG13" i="12"/>
  <c r="AE2" i="12"/>
  <c r="AD11" i="12"/>
  <c r="AD16" i="12"/>
  <c r="AD3" i="12"/>
  <c r="Y4" i="12"/>
  <c r="AD17" i="12"/>
  <c r="AD9" i="12"/>
  <c r="AD25" i="12"/>
  <c r="Z2" i="12"/>
  <c r="W13" i="12"/>
  <c r="Y23" i="12"/>
  <c r="Y14" i="12"/>
  <c r="Y15" i="12"/>
  <c r="Y21" i="12"/>
  <c r="Y8" i="12"/>
  <c r="Y16" i="12"/>
  <c r="Y24" i="12"/>
  <c r="Y9" i="12"/>
  <c r="Y17" i="12"/>
  <c r="Y25" i="12"/>
  <c r="Y2" i="12"/>
  <c r="Y10" i="12"/>
  <c r="Y18" i="12"/>
  <c r="Y26" i="12"/>
  <c r="U2" i="12"/>
  <c r="R8" i="12"/>
  <c r="T15" i="12"/>
  <c r="T14" i="12"/>
  <c r="T13" i="12"/>
  <c r="T20" i="12"/>
  <c r="T12" i="12"/>
  <c r="T4" i="12"/>
  <c r="T2" i="12"/>
  <c r="T19" i="12"/>
  <c r="T11" i="12"/>
  <c r="T3" i="12"/>
  <c r="R16" i="12"/>
  <c r="B3" i="5" l="1"/>
  <c r="D3" i="2"/>
  <c r="C4" i="3"/>
  <c r="B3" i="7"/>
  <c r="R407" i="12"/>
  <c r="D4" i="6"/>
  <c r="E54" i="11" s="1"/>
  <c r="B2" i="9"/>
  <c r="C81" i="11" s="1"/>
  <c r="C3" i="5"/>
  <c r="D43" i="11" s="1"/>
  <c r="C3" i="4"/>
  <c r="D33" i="11" s="1"/>
  <c r="AT405" i="12"/>
  <c r="B7" i="10" s="1"/>
  <c r="D2" i="3"/>
  <c r="E22" i="11" s="1"/>
  <c r="C3" i="6"/>
  <c r="D53" i="11" s="1"/>
  <c r="D2" i="7"/>
  <c r="E62" i="11" s="1"/>
  <c r="D4" i="4"/>
  <c r="E34" i="11" s="1"/>
  <c r="B4" i="4"/>
  <c r="C34" i="11" s="1"/>
  <c r="C2" i="7"/>
  <c r="D62" i="11" s="1"/>
  <c r="B4" i="3"/>
  <c r="C24" i="11" s="1"/>
  <c r="AY405" i="12"/>
  <c r="B8" i="10" s="1"/>
  <c r="BD405" i="12"/>
  <c r="B9" i="10" s="1"/>
  <c r="B3" i="6"/>
  <c r="C53" i="11" s="1"/>
  <c r="D2" i="6"/>
  <c r="E52" i="11" s="1"/>
  <c r="D4" i="1"/>
  <c r="E5" i="11" s="1"/>
  <c r="D3" i="5"/>
  <c r="W407" i="12"/>
  <c r="D3" i="6"/>
  <c r="E53" i="11" s="1"/>
  <c r="C2" i="1"/>
  <c r="D3" i="11" s="1"/>
  <c r="B3" i="3"/>
  <c r="C4" i="8"/>
  <c r="D73" i="11" s="1"/>
  <c r="AB407" i="12"/>
  <c r="C4" i="7"/>
  <c r="D64" i="11" s="1"/>
  <c r="D3" i="4"/>
  <c r="E33" i="11" s="1"/>
  <c r="C2" i="2"/>
  <c r="D12" i="11" s="1"/>
  <c r="D4" i="5"/>
  <c r="E44" i="11" s="1"/>
  <c r="D3" i="3"/>
  <c r="E23" i="11" s="1"/>
  <c r="R408" i="12"/>
  <c r="AJ405" i="12"/>
  <c r="B5" i="10" s="1"/>
  <c r="C2" i="9"/>
  <c r="D81" i="11" s="1"/>
  <c r="C4" i="9"/>
  <c r="D83" i="11" s="1"/>
  <c r="C3" i="9"/>
  <c r="D82" i="11" s="1"/>
  <c r="BI405" i="12"/>
  <c r="B10" i="10" s="1"/>
  <c r="D4" i="2"/>
  <c r="E14" i="11" s="1"/>
  <c r="AQ406" i="12"/>
  <c r="C3" i="1"/>
  <c r="D4" i="11" s="1"/>
  <c r="B2" i="3"/>
  <c r="C22" i="11" s="1"/>
  <c r="B2" i="8"/>
  <c r="C71" i="11" s="1"/>
  <c r="C2" i="3"/>
  <c r="D22" i="11" s="1"/>
  <c r="C3" i="7"/>
  <c r="D63" i="11" s="1"/>
  <c r="AG408" i="12"/>
  <c r="C3" i="2"/>
  <c r="D13" i="11" s="1"/>
  <c r="AL406" i="12"/>
  <c r="D2" i="1"/>
  <c r="U405" i="12"/>
  <c r="B2" i="10" s="1"/>
  <c r="Z405" i="12"/>
  <c r="B3" i="10" s="1"/>
  <c r="AE405" i="12"/>
  <c r="B4" i="10" s="1"/>
  <c r="W406" i="12"/>
  <c r="AQ408" i="12"/>
  <c r="AV406" i="12"/>
  <c r="D4" i="8"/>
  <c r="E73" i="11" s="1"/>
  <c r="AB408" i="12"/>
  <c r="C4" i="4"/>
  <c r="D34" i="11" s="1"/>
  <c r="B3" i="9"/>
  <c r="C82" i="11" s="1"/>
  <c r="D2" i="5"/>
  <c r="E42" i="11" s="1"/>
  <c r="D3" i="1"/>
  <c r="E4" i="11" s="1"/>
  <c r="AO405" i="12"/>
  <c r="B6" i="10" s="1"/>
  <c r="W408" i="12"/>
  <c r="AV407" i="12"/>
  <c r="B4" i="8"/>
  <c r="C73" i="11" s="1"/>
  <c r="BA406" i="12"/>
  <c r="C3" i="3"/>
  <c r="D23" i="11" s="1"/>
  <c r="C2" i="5"/>
  <c r="D42" i="11" s="1"/>
  <c r="C2" i="4"/>
  <c r="D32" i="11" s="1"/>
  <c r="B4" i="9"/>
  <c r="C83" i="11" s="1"/>
  <c r="AL407" i="12"/>
  <c r="D2" i="2"/>
  <c r="E12" i="11" s="1"/>
  <c r="B4" i="5"/>
  <c r="C44" i="11" s="1"/>
  <c r="D3" i="7"/>
  <c r="E63" i="11" s="1"/>
  <c r="BA408" i="12"/>
  <c r="C2" i="8"/>
  <c r="D71" i="11" s="1"/>
  <c r="C4" i="5"/>
  <c r="D44" i="11" s="1"/>
  <c r="AL408" i="12"/>
  <c r="B2" i="4"/>
  <c r="C32" i="11" s="1"/>
  <c r="R406" i="12"/>
  <c r="B2" i="5"/>
  <c r="C42" i="11" s="1"/>
  <c r="AV408" i="12"/>
  <c r="B3" i="8"/>
  <c r="C72" i="11" s="1"/>
  <c r="BA407" i="12"/>
  <c r="B2" i="6"/>
  <c r="C52" i="11" s="1"/>
  <c r="AG406" i="12"/>
  <c r="C4" i="6"/>
  <c r="D54" i="11" s="1"/>
  <c r="B3" i="4"/>
  <c r="C33" i="11" s="1"/>
  <c r="B4" i="7"/>
  <c r="C64" i="11" s="1"/>
  <c r="AQ407" i="12"/>
  <c r="D4" i="7"/>
  <c r="E64" i="11" s="1"/>
  <c r="C3" i="8"/>
  <c r="D72" i="11" s="1"/>
  <c r="D2" i="8"/>
  <c r="E71" i="11" s="1"/>
  <c r="B4" i="6"/>
  <c r="C54" i="11" s="1"/>
  <c r="D2" i="4"/>
  <c r="E32" i="11" s="1"/>
  <c r="AG407" i="12"/>
  <c r="C2" i="6"/>
  <c r="D52" i="11" s="1"/>
  <c r="D4" i="3"/>
  <c r="E24" i="11" s="1"/>
  <c r="B2" i="7"/>
  <c r="C62" i="11" s="1"/>
  <c r="D4" i="9"/>
  <c r="E83" i="11" s="1"/>
  <c r="BF408" i="12"/>
  <c r="BF407" i="12"/>
  <c r="BF406" i="12"/>
  <c r="D3" i="9"/>
  <c r="E82" i="11" s="1"/>
  <c r="D2" i="9"/>
  <c r="E81" i="11" s="1"/>
  <c r="C4" i="1"/>
  <c r="D5" i="11" s="1"/>
  <c r="AB406" i="12"/>
  <c r="E72" i="11"/>
  <c r="E13" i="11"/>
  <c r="C5" i="11"/>
  <c r="C23" i="11"/>
  <c r="C14" i="11"/>
  <c r="C13" i="11"/>
  <c r="C12" i="11"/>
  <c r="E43" i="11"/>
  <c r="E3" i="11"/>
  <c r="C63" i="11"/>
  <c r="C4" i="11"/>
  <c r="C3" i="11"/>
  <c r="D14" i="11"/>
  <c r="C43" i="11"/>
  <c r="D24" i="11"/>
  <c r="BA409" i="12" l="1"/>
  <c r="L9" i="10" s="1"/>
  <c r="BF409" i="12"/>
  <c r="K10" i="10" s="1"/>
  <c r="R409" i="12"/>
  <c r="K2" i="10" s="1"/>
  <c r="AL409" i="12"/>
  <c r="J6" i="10" s="1"/>
  <c r="AQ409" i="12"/>
  <c r="K7" i="10" s="1"/>
  <c r="AV409" i="12"/>
  <c r="K8" i="10" s="1"/>
  <c r="AG409" i="12"/>
  <c r="L5" i="10" s="1"/>
  <c r="W409" i="12"/>
  <c r="L3" i="10" s="1"/>
  <c r="AB409" i="12"/>
  <c r="K4" i="10" s="1"/>
  <c r="C84" i="11"/>
  <c r="F71" i="11"/>
  <c r="D65" i="11"/>
  <c r="G65" i="11"/>
  <c r="F64" i="11"/>
  <c r="F73" i="11"/>
  <c r="F54" i="11"/>
  <c r="E74" i="11"/>
  <c r="F63" i="11"/>
  <c r="G74" i="11"/>
  <c r="D45" i="11"/>
  <c r="F12" i="11"/>
  <c r="F44" i="11"/>
  <c r="C35" i="11"/>
  <c r="F72" i="11"/>
  <c r="F42" i="11"/>
  <c r="E65" i="11"/>
  <c r="C74" i="11"/>
  <c r="C6" i="11"/>
  <c r="E55" i="11"/>
  <c r="E15" i="11"/>
  <c r="F14" i="11"/>
  <c r="D55" i="11"/>
  <c r="E45" i="11"/>
  <c r="E25" i="11"/>
  <c r="C65" i="11"/>
  <c r="F62" i="11"/>
  <c r="F4" i="11"/>
  <c r="F3" i="11"/>
  <c r="G45" i="11"/>
  <c r="F24" i="11"/>
  <c r="G55" i="11"/>
  <c r="F43" i="11"/>
  <c r="C25" i="11"/>
  <c r="F53" i="11"/>
  <c r="C55" i="11"/>
  <c r="D74" i="11"/>
  <c r="F52" i="11"/>
  <c r="C15" i="11"/>
  <c r="F34" i="11"/>
  <c r="F5" i="11"/>
  <c r="C45" i="11"/>
  <c r="E84" i="11"/>
  <c r="E35" i="11"/>
  <c r="E6" i="11"/>
  <c r="F83" i="11"/>
  <c r="G6" i="11"/>
  <c r="F81" i="11"/>
  <c r="D84" i="11"/>
  <c r="D35" i="11"/>
  <c r="F32" i="11"/>
  <c r="D25" i="11"/>
  <c r="F22" i="11"/>
  <c r="F23" i="11"/>
  <c r="G25" i="11"/>
  <c r="D6" i="11"/>
  <c r="F33" i="11"/>
  <c r="G35" i="11"/>
  <c r="G84" i="11"/>
  <c r="F82" i="11"/>
  <c r="F13" i="11"/>
  <c r="G15" i="11"/>
  <c r="D15" i="11"/>
  <c r="J9" i="10" l="1"/>
  <c r="K6" i="10"/>
  <c r="K9" i="10"/>
  <c r="K3" i="10"/>
  <c r="L6" i="10"/>
  <c r="L2" i="10"/>
  <c r="J2" i="10"/>
  <c r="L8" i="10"/>
  <c r="J4" i="10"/>
  <c r="J5" i="10"/>
  <c r="J10" i="10"/>
  <c r="L10" i="10"/>
  <c r="J7" i="10"/>
  <c r="J3" i="10"/>
  <c r="L4" i="10"/>
  <c r="K5" i="10"/>
  <c r="J8" i="10"/>
  <c r="L7" i="10"/>
  <c r="J65" i="11"/>
  <c r="J74" i="11"/>
  <c r="J45" i="11"/>
  <c r="I65" i="11"/>
  <c r="I55" i="11"/>
  <c r="J6" i="11"/>
  <c r="H65" i="11"/>
  <c r="F65" i="11"/>
  <c r="E66" i="11" s="1"/>
  <c r="C8" i="10" s="1"/>
  <c r="J15" i="11"/>
  <c r="H74" i="11"/>
  <c r="J55" i="11"/>
  <c r="F55" i="11"/>
  <c r="E56" i="11" s="1"/>
  <c r="C7" i="10" s="1"/>
  <c r="I74" i="11"/>
  <c r="F74" i="11"/>
  <c r="E75" i="11" s="1"/>
  <c r="C9" i="10" s="1"/>
  <c r="H55" i="11"/>
  <c r="F45" i="11"/>
  <c r="E46" i="11" s="1"/>
  <c r="C6" i="10" s="1"/>
  <c r="I45" i="11"/>
  <c r="H45" i="11"/>
  <c r="H6" i="11"/>
  <c r="I6" i="11"/>
  <c r="F6" i="11"/>
  <c r="E7" i="11" s="1"/>
  <c r="C2" i="10" s="1"/>
  <c r="J35" i="11"/>
  <c r="H35" i="11"/>
  <c r="I15" i="11"/>
  <c r="F15" i="11"/>
  <c r="E16" i="11" s="1"/>
  <c r="C3" i="10" s="1"/>
  <c r="F35" i="11"/>
  <c r="E36" i="11" s="1"/>
  <c r="C5" i="10" s="1"/>
  <c r="I35" i="11"/>
  <c r="H15" i="11"/>
  <c r="J25" i="11"/>
  <c r="H25" i="11"/>
  <c r="F25" i="11"/>
  <c r="E26" i="11" s="1"/>
  <c r="C4" i="10" s="1"/>
  <c r="I25" i="11"/>
  <c r="I84" i="11"/>
  <c r="F84" i="11"/>
  <c r="E85" i="11" s="1"/>
  <c r="C10" i="10" s="1"/>
  <c r="J84" i="11"/>
  <c r="H84" i="11"/>
  <c r="M2" i="10" l="1"/>
  <c r="E9" i="10"/>
  <c r="M9" i="10"/>
  <c r="M6" i="10"/>
  <c r="E6" i="10"/>
  <c r="E2" i="10"/>
  <c r="E8" i="10"/>
  <c r="M8" i="10"/>
  <c r="E3" i="10"/>
  <c r="M3" i="10"/>
  <c r="M7" i="10"/>
  <c r="E7" i="10"/>
  <c r="M4" i="10"/>
  <c r="E4" i="10"/>
  <c r="E10" i="10"/>
  <c r="M10" i="10"/>
  <c r="E5" i="10"/>
  <c r="M5" i="10"/>
  <c r="E67" i="11"/>
  <c r="D8" i="10" s="1"/>
  <c r="E57" i="11"/>
  <c r="D7" i="10" s="1"/>
  <c r="E76" i="11"/>
  <c r="D9" i="10" s="1"/>
  <c r="E86" i="11"/>
  <c r="D10" i="10" s="1"/>
  <c r="E37" i="11"/>
  <c r="D5" i="10" s="1"/>
  <c r="E17" i="11"/>
  <c r="D3" i="10" s="1"/>
  <c r="E27" i="11"/>
  <c r="D4" i="10" s="1"/>
  <c r="E47" i="11"/>
  <c r="D6" i="10" s="1"/>
  <c r="E8" i="11"/>
  <c r="D2"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D9B0B4-4D97-45AD-9987-311FC05C933D}" keepAlive="1" name="Query - interview_responses" description="Connection to the 'interview_responses' query in the workbook." type="5" refreshedVersion="8" background="1" saveData="1">
    <dbPr connection="Provider=Microsoft.Mashup.OleDb.1;Data Source=$Workbook$;Location=interview_responses;Extended Properties=&quot;&quot;" command="SELECT * FROM [interview_responses]"/>
  </connection>
  <connection id="2" xr16:uid="{D0345BBE-78E8-4375-9EB2-3905412D32D4}" keepAlive="1" name="Query - step2_raw_simulation" description="Connection to the 'step2_raw_simulation' query in the workbook." type="5" refreshedVersion="8" background="1" saveData="1">
    <dbPr connection="Provider=Microsoft.Mashup.OleDb.1;Data Source=$Workbook$;Location=step2_raw_simulation;Extended Properties=&quot;&quot;" command="SELECT * FROM [step2_raw_simulation]"/>
  </connection>
  <connection id="3" xr16:uid="{59800C96-21D8-47A3-B294-5457B01DAA7D}" keepAlive="1" name="Query - step2_raw_simulation (2)" description="Connection to the 'step2_raw_simulation (2)' query in the workbook." type="5" refreshedVersion="0" background="1" saveData="1">
    <dbPr connection="Provider=Microsoft.Mashup.OleDb.1;Data Source=$Workbook$;Location=&quot;step2_raw_simulation (2)&quot;;Extended Properties=&quot;&quot;" command="SELECT * FROM [step2_raw_simulation (2)]"/>
  </connection>
  <connection id="4" xr16:uid="{0C1F07DD-6E4D-4930-8DAD-525B8251743B}" keepAlive="1" name="Query - step3_calibration" description="Connection to the 'step3_calibration' query in the workbook." type="5" refreshedVersion="0" background="1" saveData="1">
    <dbPr connection="Provider=Microsoft.Mashup.OleDb.1;Data Source=$Workbook$;Location=step3_calibration;Extended Properties=&quot;&quot;" command="SELECT * FROM [step3_calibration]"/>
  </connection>
  <connection id="5" xr16:uid="{9149ED3D-A7CC-44A6-B3A1-4D9DE4DD6695}" keepAlive="1" name="Query - step3_calibration (2)" description="Connection to the 'step3_calibration (2)' query in the workbook." type="5" refreshedVersion="0" background="1" saveData="1">
    <dbPr connection="Provider=Microsoft.Mashup.OleDb.1;Data Source=$Workbook$;Location=&quot;step3_calibration (2)&quot;;Extended Properties=&quot;&quot;" command="SELECT * FROM [step3_calibration (2)]"/>
  </connection>
  <connection id="6" xr16:uid="{1C97B903-722F-4545-A7C7-BD62DA2565C3}" keepAlive="1" name="Query - step3_calibration (3)" description="Connection to the 'step3_calibration (3)' query in the workbook." type="5" refreshedVersion="8" background="1" saveData="1">
    <dbPr connection="Provider=Microsoft.Mashup.OleDb.1;Data Source=$Workbook$;Location=&quot;step3_calibration (3)&quot;;Extended Properties=&quot;&quot;" command="SELECT * FROM [step3_calibration (3)]"/>
  </connection>
  <connection id="7" xr16:uid="{2BDB6015-4C61-458A-827A-6CB5CACB3788}" keepAlive="1" name="Query - step3_calibration (4)" description="Connection to the 'step3_calibration (4)' query in the workbook." type="5" refreshedVersion="8" background="1" saveData="1">
    <dbPr connection="Provider=Microsoft.Mashup.OleDb.1;Data Source=$Workbook$;Location=&quot;step3_calibration (4)&quot;;Extended Properties=&quot;&quot;" command="SELECT * FROM [step3_calibration (4)]"/>
  </connection>
  <connection id="8" xr16:uid="{017B4B31-2551-4E5F-9273-EFE6DEEDF3C8}" keepAlive="1" name="Query - step3_calibration (5)" description="Connection to the 'step3_calibration (5)' query in the workbook." type="5" refreshedVersion="0" background="1" saveData="1">
    <dbPr connection="Provider=Microsoft.Mashup.OleDb.1;Data Source=$Workbook$;Location=&quot;step3_calibration (5)&quot;;Extended Properties=&quot;&quot;" command="SELECT * FROM [step3_calibration (5)]"/>
  </connection>
  <connection id="9" xr16:uid="{B9EC7FF7-EE1B-44D2-B8A2-FD39C3D7603B}" keepAlive="1" name="Query - step3_calibration (6)" description="Connection to the 'step3_calibration (6)' query in the workbook." type="5" refreshedVersion="8" background="1" saveData="1">
    <dbPr connection="Provider=Microsoft.Mashup.OleDb.1;Data Source=$Workbook$;Location=&quot;step3_calibration (6)&quot;;Extended Properties=&quot;&quot;" command="SELECT * FROM [step3_calibration (6)]"/>
  </connection>
  <connection id="10" xr16:uid="{7371B640-93A2-4F66-B5BA-5C921A295E3F}" keepAlive="1" name="Query - step3_calibration (7)" description="Connection to the 'step3_calibration (7)' query in the workbook." type="5" refreshedVersion="8" background="1" saveData="1">
    <dbPr connection="Provider=Microsoft.Mashup.OleDb.1;Data Source=$Workbook$;Location=&quot;step3_calibration (7)&quot;;Extended Properties=&quot;&quot;" command="SELECT * FROM [step3_calibration (7)]"/>
  </connection>
  <connection id="11" xr16:uid="{10D89DD9-12FC-49E8-A97E-7E3F9DD6E2EB}" keepAlive="1" name="Query - step3_calibration (8)" description="Connection to the 'step3_calibration (8)' query in the workbook." type="5" refreshedVersion="0" background="1" saveData="1">
    <dbPr connection="Provider=Microsoft.Mashup.OleDb.1;Data Source=$Workbook$;Location=&quot;step3_calibration (8)&quot;;Extended Properties=&quot;&quot;" command="SELECT * FROM [step3_calibration (8)]"/>
  </connection>
  <connection id="12" xr16:uid="{CD2CBEC7-DD68-4DE4-9807-64F4D1652185}" keepAlive="1" name="Query - step3_survey_simulation_results" description="Connection to the 'step3_survey_simulation_results' query in the workbook." type="5" refreshedVersion="8" background="1" saveData="1">
    <dbPr connection="Provider=Microsoft.Mashup.OleDb.1;Data Source=$Workbook$;Location=step3_survey_simulation_results;Extended Properties=&quot;&quot;" command="SELECT * FROM [step3_survey_simulation_results]"/>
  </connection>
  <connection id="13" xr16:uid="{68518907-6C44-4E2F-B44A-369417B2F34F}" keepAlive="1" name="Query - step3_validation" description="Connection to the 'step3_validation' query in the workbook." type="5" refreshedVersion="8" background="1" saveData="1">
    <dbPr connection="Provider=Microsoft.Mashup.OleDb.1;Data Source=$Workbook$;Location=step3_validation;Extended Properties=&quot;&quot;" command="SELECT * FROM [step3_validation]"/>
  </connection>
  <connection id="14" xr16:uid="{087CA380-0F42-4DAE-9364-8A6A73D4D6A8}" keepAlive="1" name="Query - step3_validation (2)" description="Connection to the 'step3_validation (2)' query in the workbook." type="5" refreshedVersion="8" background="1" saveData="1">
    <dbPr connection="Provider=Microsoft.Mashup.OleDb.1;Data Source=$Workbook$;Location=&quot;step3_validation (2)&quot;;Extended Properties=&quot;&quot;" command="SELECT * FROM [step3_validation (2)]"/>
  </connection>
  <connection id="15" xr16:uid="{76288996-789D-46B7-B1F3-F67C7AA1DC2E}" keepAlive="1" name="Query - step3_validation (3)" description="Connection to the 'step3_validation (3)' query in the workbook." type="5" refreshedVersion="0" background="1" saveData="1">
    <dbPr connection="Provider=Microsoft.Mashup.OleDb.1;Data Source=$Workbook$;Location=&quot;step3_validation (3)&quot;;Extended Properties=&quot;&quot;" command="SELECT * FROM [step3_validation (3)]"/>
  </connection>
  <connection id="16" xr16:uid="{F572EC63-C73E-4F9E-BAC2-A805F8AF7CF6}" keepAlive="1" name="Query - survey_responses" description="Connection to the 'survey_responses' query in the workbook." type="5" refreshedVersion="8" background="1" saveData="1">
    <dbPr connection="Provider=Microsoft.Mashup.OleDb.1;Data Source=$Workbook$;Location=survey_responses;Extended Properties=&quot;&quot;" command="SELECT * FROM [survey_responses]"/>
  </connection>
  <connection id="17" xr16:uid="{6ACD503F-7304-41B4-8BFB-2AC6A26B719C}" keepAlive="1" name="Query - survey_responses (2)" description="Connection to the 'survey_responses (2)' query in the workbook." type="5" refreshedVersion="0" background="1" saveData="1">
    <dbPr connection="Provider=Microsoft.Mashup.OleDb.1;Data Source=$Workbook$;Location=&quot;survey_responses (2)&quot;;Extended Properties=&quot;&quot;" command="SELECT * FROM [survey_responses (2)]"/>
  </connection>
</connections>
</file>

<file path=xl/sharedStrings.xml><?xml version="1.0" encoding="utf-8"?>
<sst xmlns="http://schemas.openxmlformats.org/spreadsheetml/2006/main" count="9206" uniqueCount="3834">
  <si>
    <t>HUMAN</t>
  </si>
  <si>
    <t>Oppose</t>
  </si>
  <si>
    <t>Neutral</t>
  </si>
  <si>
    <t>Support</t>
  </si>
  <si>
    <t>Metric</t>
  </si>
  <si>
    <t>MAE (Intensity)</t>
  </si>
  <si>
    <t>Agreement Rate (%)</t>
  </si>
  <si>
    <t>Human_Oppose (%)</t>
  </si>
  <si>
    <t>Human_Neutral (%)</t>
  </si>
  <si>
    <t>Human_Support (%)</t>
  </si>
  <si>
    <t>AI_Oppose (%)</t>
  </si>
  <si>
    <t>AI_Neutral (%)</t>
  </si>
  <si>
    <t>AI_Support (%)</t>
  </si>
  <si>
    <t>ENF1</t>
  </si>
  <si>
    <t>ENF2</t>
  </si>
  <si>
    <t>FAC1</t>
  </si>
  <si>
    <t>FAC2</t>
  </si>
  <si>
    <t>TRU1</t>
  </si>
  <si>
    <t>TRU2</t>
  </si>
  <si>
    <t>TRU3</t>
  </si>
  <si>
    <t>TRU4</t>
  </si>
  <si>
    <t>OUT1</t>
  </si>
  <si>
    <t>Confusion Matrix_ENF1</t>
  </si>
  <si>
    <t>Human</t>
  </si>
  <si>
    <t>AI</t>
  </si>
  <si>
    <t>Agreement rate (%)</t>
  </si>
  <si>
    <t>Confusion Matrix_ENF2</t>
  </si>
  <si>
    <t>Confusion Matrix_FAC1</t>
  </si>
  <si>
    <t>Confusion Matrix_FAC2</t>
  </si>
  <si>
    <t>Confusion Matrix_TRU1</t>
  </si>
  <si>
    <t>Confusion Matrix_TRU2</t>
  </si>
  <si>
    <t>Confusion Matrix_TRU3</t>
  </si>
  <si>
    <t>Confusion Matrix_TRU4</t>
  </si>
  <si>
    <t>Confusion Matrix_OUT1</t>
  </si>
  <si>
    <t>Total</t>
  </si>
  <si>
    <t>MCC</t>
  </si>
  <si>
    <t>c</t>
  </si>
  <si>
    <t>Persona_ID</t>
  </si>
  <si>
    <t>Gender</t>
  </si>
  <si>
    <t>Age</t>
  </si>
  <si>
    <t>Region</t>
  </si>
  <si>
    <t>Education</t>
  </si>
  <si>
    <t>Employment</t>
  </si>
  <si>
    <t>Income_Mil</t>
  </si>
  <si>
    <t>Dependents</t>
  </si>
  <si>
    <t>AI_ENF1_Score</t>
  </si>
  <si>
    <t>Human_ENF1</t>
  </si>
  <si>
    <t>AI_ENF1_Reason</t>
  </si>
  <si>
    <t>AI_ENF2_Score</t>
  </si>
  <si>
    <t>Human_ENF2</t>
  </si>
  <si>
    <t>AI_ENF2_Reason</t>
  </si>
  <si>
    <t>AI_FAC1_Score</t>
  </si>
  <si>
    <t>Human_FAC1</t>
  </si>
  <si>
    <t>AI_FAC1_Reason</t>
  </si>
  <si>
    <t>AI_FAC2_Score</t>
  </si>
  <si>
    <t>Human_FAC2</t>
  </si>
  <si>
    <t>AI_FAC2_Reason</t>
  </si>
  <si>
    <t>AI_TRU1_Score</t>
  </si>
  <si>
    <t>Human_TRU1</t>
  </si>
  <si>
    <t>AI_TRU1_Reason</t>
  </si>
  <si>
    <t>AI_TRU2_Score</t>
  </si>
  <si>
    <t>Human_TRU2</t>
  </si>
  <si>
    <t>AI_TRU2_Reason</t>
  </si>
  <si>
    <t>AI_TRU3_Score</t>
  </si>
  <si>
    <t>Human_TRU3</t>
  </si>
  <si>
    <t>AI_TRU3_Reason</t>
  </si>
  <si>
    <t>AI_TRU4_Score</t>
  </si>
  <si>
    <t>Human_TRU4</t>
  </si>
  <si>
    <t>AI_TRU4_Reason</t>
  </si>
  <si>
    <t>AI_OUT1_Score</t>
  </si>
  <si>
    <t>Human_OUT1</t>
  </si>
  <si>
    <t>AI_OUT1_Reason</t>
  </si>
  <si>
    <t>Nữ</t>
  </si>
  <si>
    <t>30 - 39</t>
  </si>
  <si>
    <t>Thành thị</t>
  </si>
  <si>
    <t>Sau Đại học</t>
  </si>
  <si>
    <t>Chính thức</t>
  </si>
  <si>
    <t>Đại học</t>
  </si>
  <si>
    <t>Nam</t>
  </si>
  <si>
    <t>40 - 49</t>
  </si>
  <si>
    <t>Nông thôn</t>
  </si>
  <si>
    <t>25 - 29</t>
  </si>
  <si>
    <t>Timestamp</t>
  </si>
  <si>
    <t>Giới tính của bạn:</t>
  </si>
  <si>
    <t>Độ tuổi của bạn:</t>
  </si>
  <si>
    <t>Khu vực bạn đang sinh sống:</t>
  </si>
  <si>
    <t>Trình độ học vấn cao nhất:</t>
  </si>
  <si>
    <t>Tình trạng việc làm chính:</t>
  </si>
  <si>
    <t>Thu nhập bình quân tháng theo Hợp đồng lao động của bạn là bao nhiêu? (Vui lòng điền tổng thu nhập trước khi khấu trừ các loại Bảo hiểm (BHXH, BHYT, BHTN) và Thuế TNCN)</t>
  </si>
  <si>
    <t>Số người phụ thuộc (con nhỏ, cha mẹ già...) đủ điều kiện giảm trừ gia cảnh:</t>
  </si>
  <si>
    <t>Tôi tin rằng với các quy định quản lý thuế hiện nay, hành vi gian lận hoặc trốn thuế sẽ dễ dàng bị phát hiện và xử lý nghiêm. - HUMAN-ENF1</t>
  </si>
  <si>
    <t>Tôi tin rằng Nhà nước, cơ quan thuế có đủ khả năng và công nghệ để phát hiện, xử lý nghiêm các hành vi trốn thuế. - HUMAN-ENF2</t>
  </si>
  <si>
    <t>Các thủ tục khai báo thuế VÀ/HOẶC quy trình làm việc với cơ quan thuế đơn giản, tiện lợi, nhanh chóng hơn so với trước đây. - HUMAN-FAC1</t>
  </si>
  <si>
    <t>So với trước đây, tôi thấy cách tính thuế và các bậc thuế trong phương án mới đơn giản, dễ hiểu và dễ thực hiện hơn. - HUMAN-FAC2</t>
  </si>
  <si>
    <t>Tôi tin rằng Nhà nước, cơ quan thuế sẽ thực thi chính sách mới một cách khách quan, công tâm và đối xử bình đẳng với mọi người nộp thuế.  - HUMAN-TRU1</t>
  </si>
  <si>
    <t>Tôi thấy mức thuế tôi phải đóng theo phương án mới là công bằng (người thu nhập như tôi đóng mức này là hợp lý). - HUMAN-TRU2</t>
  </si>
  <si>
    <t>Tôi tin tưởng số tiền thuế tôi đóng sẽ được Nhà nước sử dụng hiệu quả để cải thiện dịch vụ công (y tế, đường xá...). - HUMAN-TRU3</t>
  </si>
  <si>
    <t>Tôi thấy Nhà nước đã giải thích rõ ràng, minh bạch về lý do và mục tiêu của việc sửa đổi thuế lần này. - HUMAN-TRU4</t>
  </si>
  <si>
    <t>Sau khi xem xét các quyền lợi và nghĩa vụ, bạn có ủng hộ và tuân thủ chính sách mới hiện nay? - HUMAN-OUT1</t>
  </si>
  <si>
    <t>Khu vực chính thức (Có Hợp đồng lao động, đóng BHXH)</t>
  </si>
  <si>
    <t>Từ 23 - 32 triệu VNĐ</t>
  </si>
  <si>
    <t>1 người</t>
  </si>
  <si>
    <t>Khu vực phi chính thức (Lao động tự do, không có HĐLĐ)</t>
  </si>
  <si>
    <t>Từ 12 - 18 triệu VNĐ</t>
  </si>
  <si>
    <t>2 người</t>
  </si>
  <si>
    <t>3 người</t>
  </si>
  <si>
    <t>Từ 70 - 102 triệu VNĐ</t>
  </si>
  <si>
    <t>Trên 102 triệu VNĐ</t>
  </si>
  <si>
    <t>Từ 32 - 48 triệu VNĐ</t>
  </si>
  <si>
    <t>0 người</t>
  </si>
  <si>
    <t>Từ 48 - 70 triệu VNĐ</t>
  </si>
  <si>
    <t>AI_Gender</t>
  </si>
  <si>
    <t>Human_Gender</t>
  </si>
  <si>
    <t>AI_Age</t>
  </si>
  <si>
    <t>Human_Age</t>
  </si>
  <si>
    <t>AI_Region</t>
  </si>
  <si>
    <t>Human_Region</t>
  </si>
  <si>
    <t>AI_Education</t>
  </si>
  <si>
    <t>Human_Education</t>
  </si>
  <si>
    <t>AI_Employment</t>
  </si>
  <si>
    <t>Human_Employment</t>
  </si>
  <si>
    <t>AI_Income_Mil</t>
  </si>
  <si>
    <t>Human_Income_Mil</t>
  </si>
  <si>
    <t>AI_Dependents</t>
  </si>
  <si>
    <t>Human_Dependents</t>
  </si>
  <si>
    <t>Human_ENF1_Score</t>
  </si>
  <si>
    <t>AI_ENF1_Category</t>
  </si>
  <si>
    <t>Human_ENF1_Category</t>
  </si>
  <si>
    <t>MAE_ENF1</t>
  </si>
  <si>
    <t>AI_ENF2_Category</t>
  </si>
  <si>
    <t>Human_ENF2_Score</t>
  </si>
  <si>
    <t>Human_ENF2_Category</t>
  </si>
  <si>
    <t>MAE_ENF2</t>
  </si>
  <si>
    <t>AI_FAC1_Category</t>
  </si>
  <si>
    <t>Human_FAC1_Score</t>
  </si>
  <si>
    <t>Human_FAC1_Category</t>
  </si>
  <si>
    <t>MAE_FAC1</t>
  </si>
  <si>
    <t>AI_FAC2_Category</t>
  </si>
  <si>
    <t>Human_FAC2_Score</t>
  </si>
  <si>
    <t>Human_FAC2_Category</t>
  </si>
  <si>
    <t>MAE_FAC2</t>
  </si>
  <si>
    <t>AI_TRU1_Category</t>
  </si>
  <si>
    <t>Human_TRU1_Score</t>
  </si>
  <si>
    <t>Human_TRU1_Category</t>
  </si>
  <si>
    <t>MAE_TRU1</t>
  </si>
  <si>
    <t>AI_TRU2_Category</t>
  </si>
  <si>
    <t>Human_TRU2_Score</t>
  </si>
  <si>
    <t>Human_TRU2_Category</t>
  </si>
  <si>
    <t>MAE_TRU2</t>
  </si>
  <si>
    <t>AI_TRU3_Category</t>
  </si>
  <si>
    <t>Human_TRU3_Score</t>
  </si>
  <si>
    <t>Human_TRU3_Category</t>
  </si>
  <si>
    <t>MAE_TRU3</t>
  </si>
  <si>
    <t>AI_TRU4_Category</t>
  </si>
  <si>
    <t>Human_TRU4_Score</t>
  </si>
  <si>
    <t>Human_TRU4_Category</t>
  </si>
  <si>
    <t>MAE_TRU4</t>
  </si>
  <si>
    <t>AI_OUT1_Category</t>
  </si>
  <si>
    <t>Human_OUT1_Score</t>
  </si>
  <si>
    <t>Human_OUT1_Category</t>
  </si>
  <si>
    <t>MAE_OUT1</t>
  </si>
  <si>
    <t>Phi chính thức</t>
  </si>
  <si>
    <t>tk</t>
  </si>
  <si>
    <t>pk</t>
  </si>
  <si>
    <t>tk x pk</t>
  </si>
  <si>
    <t>Male</t>
  </si>
  <si>
    <t>Female</t>
  </si>
  <si>
    <t>Number of participants</t>
  </si>
  <si>
    <t>Rate (%)</t>
  </si>
  <si>
    <t>Age_Group</t>
  </si>
  <si>
    <t>AI_ENF1</t>
  </si>
  <si>
    <t>d_ENF1</t>
  </si>
  <si>
    <t>AI_ENF2</t>
  </si>
  <si>
    <t>d_ENF2</t>
  </si>
  <si>
    <t>AI_FAC1</t>
  </si>
  <si>
    <t>d_FAC1</t>
  </si>
  <si>
    <t>AI_FAC2</t>
  </si>
  <si>
    <t>d_FAC2</t>
  </si>
  <si>
    <t>AI_TRU1</t>
  </si>
  <si>
    <t>d_TRU1</t>
  </si>
  <si>
    <t>AI_TRU2</t>
  </si>
  <si>
    <t>d_TRU2</t>
  </si>
  <si>
    <t>AI_TRU3</t>
  </si>
  <si>
    <t>d_TRU3</t>
  </si>
  <si>
    <t>AI_TRU4</t>
  </si>
  <si>
    <t>d_TRU4</t>
  </si>
  <si>
    <t>AI_OUT1</t>
  </si>
  <si>
    <t>d_OUT1</t>
  </si>
  <si>
    <t>18 - 24</t>
  </si>
  <si>
    <t>Cao đẳng</t>
  </si>
  <si>
    <t>50 - 54</t>
  </si>
  <si>
    <t>Trung học phổ thông</t>
  </si>
  <si>
    <t>55 - 64</t>
  </si>
  <si>
    <t>Dưới 12 triệu VNĐ</t>
  </si>
  <si>
    <t>4 người trở lên</t>
  </si>
  <si>
    <t>Từ 18 - 23 triệu VNĐ</t>
  </si>
  <si>
    <t>Khác (Về hưu, nội trợ, sinh viên)</t>
  </si>
  <si>
    <t>Used_Seed</t>
  </si>
  <si>
    <t>EMD</t>
  </si>
  <si>
    <t>TVD</t>
  </si>
  <si>
    <t>EMD_ENF1</t>
  </si>
  <si>
    <t>EMD_ENF2</t>
  </si>
  <si>
    <t>EMD_FAC1</t>
  </si>
  <si>
    <t>EMD_FAC2</t>
  </si>
  <si>
    <t>EMD_TRU1</t>
  </si>
  <si>
    <t>EMD_TRU2</t>
  </si>
  <si>
    <t>EMD_TRU3</t>
  </si>
  <si>
    <t>EMD_TRU4</t>
  </si>
  <si>
    <t>EMD_OUT1</t>
  </si>
  <si>
    <t>Count of Độ tuổi của bạn:</t>
  </si>
  <si>
    <t>Count of Khu vực bạn đang sinh sống:</t>
  </si>
  <si>
    <t>Count of Trình độ học vấn cao nhất:</t>
  </si>
  <si>
    <t>Count of Tình trạng việc làm chính:</t>
  </si>
  <si>
    <t>Count of Thu nhập bình quân tháng theo Hợp đồng lao động của bạn là bao nhiêu? (Vui lòng điền tổng thu nhập trước khi khấu trừ các loại Bảo hiểm (BHXH, BHYT, BHTN) và Thuế TNCN)</t>
  </si>
  <si>
    <t>Income</t>
  </si>
  <si>
    <t>Count of Số người phụ thuộc (con nhỏ, cha mẹ già...) đủ điều kiện giảm trừ gia cảnh:</t>
  </si>
  <si>
    <t/>
  </si>
  <si>
    <t>Niềm tin vào sự công bằng của cơ quan thuế tăng do mức giảm trừ gia cảnh tăng.</t>
  </si>
  <si>
    <t>Mức thuế mới có vẻ hợp lý so với thu nhập của tôi, nhưng vẫn cần thời gian để đánh giá hiệu quả thực tế.</t>
  </si>
  <si>
    <t>Biểu thuế được đơn giản hóa từ 7 bậc xuống còn 5 bậc, dễ hiểu và thực hiện hơn.</t>
  </si>
  <si>
    <t>Các quy định quản lý thuế hiện nay đã được cải thiện đáng kể, đặc biệt là việc tăng giảm trừ gia cảnh. Tuy nhiên, việc phát hiện và xử lý trốn thuế vẫn phụ thuộc nhiều vào công nghệ và khả năng của cơ quan thuế.</t>
  </si>
  <si>
    <t>Với sự phát triển của công nghệ, Nhà nước đã có thể ứng dụng các giải pháp kỹ thuật tiên tiến để phát hiện trốn thuế hiệu quả hơn. Tuy nhiên, vẫn cần cải thiện thêm về khả năng và nguồn lực.</t>
  </si>
  <si>
    <t>Biểu thuế đơn giản hóa từ 7 bậc xuống còn 5 bậc đã giúp quy trình khai báo thuế trở nên dễ dàng hơn. Tuy nhiên, việc thực hiện các thủ tục vẫn cần cải thiện thêm về sự thuận tiện.</t>
  </si>
  <si>
    <t>Cách tính thuế và bậc thuế mới đơn giản hóa đã giúp tôi hiểu rõ hơn về quy trình tính thuế. Điều này làm cho quá trình làm việc với cơ quan thuế trở nên dễ dàng hơn so với trước đây.</t>
  </si>
  <si>
    <t>Nhà nước đã cải thiện giảm trừ gia cảnh, tạo ra sự công bằng hơn trong việc tính thuế. Tuy nhiên, vẫn cần thêm các biện pháp để đảm bảo rằng mọi người nộp thuế đều được đối xử một cách khách quan và công bằng.</t>
  </si>
  <si>
    <t>Mức thuế mới đã giảm đáng kể so với trước đây, làm cho tôi cảm thấy mức thuế này là hợp lý. Tuy nhiên, cần thêm thông tin về việc sử dụng số tiền thuế để đảm bảo sự công bằng.</t>
  </si>
  <si>
    <t>Tôi tin rằng số tiền thuế mà tôi đóng sẽ được sử dụng hiệu quả cho các dịch vụ công. Tuy nhiên, cần có thêm minh bạch về cách sử dụng số tiền thuế để tăng sự tin tưởng.</t>
  </si>
  <si>
    <t>Nhà nước đã giải thích rõ ràng về lý do và mục tiêu của việc sửa đổi thuế lần này. Tuy nhiên, cần thêm thông tin minh bạch hơn nữa để tạo niềm tin cho người dân.</t>
  </si>
  <si>
    <t>Sau khi xem xét các quyền lợi và nghĩa vụ, tôi ủng hộ chính sách mới hiện nay. Mức thuế giảm đáng kể đã giúp tôi cảm thấy hài lòng hơn với chính sách này.</t>
  </si>
  <si>
    <t>Nguyên tắc quản lý thuế hiện nay đã được cải thiện đáng kể, với mức giảm trừ gia cảnh tăng lên. Tuy nhiên, việc phát hiện và xử lý hành vi trốn thuế vẫn phụ thuộc vào công nghệ và nguồn lực của cơ quan thuế.</t>
  </si>
  <si>
    <t>Công nghệ ngày càng tiên tiến, giúp cải thiện khả năng phát hiện trốn thuế. Tuy nhiên, hiệu quả thực tế còn phụ thuộc vào nhiều yếu tố như nguồn lực và kỹ thuật của cơ quan thuế.</t>
  </si>
  <si>
    <t>Biểu thuế được đơn giản hóa từ 7 bậc xuống 5, giảm bớt rườm rà. Tuy nhiên, thủ tục khai báo vẫn cần cải thiện hơn nữa để thuận tiện cho người dân.</t>
  </si>
  <si>
    <t>Biểu thuế đơn giản hóa và rõ ràng hơn so với trước đây, giúp người nộp thuế dễ hiểu và thực hiện</t>
  </si>
  <si>
    <t>Nhà nước đã công bố các quy định mới một cách minh bạch. Tuy nhiên, việc áp dụng cụ thể như thế nào còn phụ thuộc vào thực thi.</t>
  </si>
  <si>
    <t>Mức thuế mới có phần hợp lý so với mức thu nhập hiện tại. Việc đơn giản hóa biểu thuế tạo cảm giác công bằng hơn</t>
  </si>
  <si>
    <t>Thuê mới được cải thiện đáng kể, giúp nâng cao chất lượng cuộc sống và dịch vụ công. Tuy nhiên, hiệu quả thực tế còn phụ thuộc vào việc sử dụng ngân sách</t>
  </si>
  <si>
    <t>Nhà nước đã giải thích rõ ràng về mục tiêu của các cải cách thuế. Điều này tạo niềm tin cho người dân.</t>
  </si>
  <si>
    <t>Mặc dù mức thuế mới có lợi hơn, nhưng tôi vẫn cần xem xét kỹ lưỡng trước khi tuân thủ hoàn toàn. Việc tăng giảm thuế phụ thuộc vào thu nhập và trách nhiệm cá nhân</t>
  </si>
  <si>
    <t>Công nghệ hiện đại có khả năng phát hiện trốn thuế tốt hơn, nhưng mức giảm trừ gia cảnh tăng cao có thể làm giảm cơ hội phát hiện gian lận.</t>
  </si>
  <si>
    <t>Nhà nước và cơ quan thuế đã đầu tư công nghệ để phát hiện hành vi trốn thuế hiệu quả hơn, nhưng vẫn còn khó khăn trong việc xử lý.</t>
  </si>
  <si>
    <t>Các quy định giảm trừ gia cảnh và đơn giản hóa biểu thuế có thể làm thủ tục khai báo thuế thuận tiện hơn so với trước đây.</t>
  </si>
  <si>
    <t>Biểu thuế mới đơn giản nhưng vẫn cần sự hiểu biết về cách tính, do đó mức độ thuận lợi còn phụ thuộc vào khả năng nắm bắt của người nộp thuế.</t>
  </si>
  <si>
    <t>Việc tăng giảm trừ gia cảnh có thể làm cho quy trình công bằng hơn, nhưng vẫn cần sự minh bạch trong cách thực thi.</t>
  </si>
  <si>
    <t>Mức thuế mới đối với thu nhập trung bình như tôi có vẻ hợp lý, nhưng còn phụ thuộc vào hiệu quả sử dụng số tiền thuế này.</t>
  </si>
  <si>
    <t>Tăng giảm trừ gia cảnh làm cho việc đóng thuế trở nên công bằng hơn, nhưng vẫn cần sự minh bạch trong cách sử dụng số tiền thuế.</t>
  </si>
  <si>
    <t>Giải thích về mục tiêu sửa đổi thuế còn phụ thuộc vào khả năng truyền thông của cơ quan chức năng.</t>
  </si>
  <si>
    <t>Tăng giảm trừ gia cảnh làm cho tôi ủng hộ hơn, nhưng vẫn cần sự minh bạch trong việc sử dụng số tiền thuế để quyết định tuân thủ.</t>
  </si>
  <si>
    <t>Chính phủ đã cải cách thuế và tăng giảm trừ gia cảnh, nhưng không đề cập rõ về công nghệ phát hiện gian lận. Do đó, khả năng phát hiện trốn thuế phụ thuộc nhiều vào việc thực thi.</t>
  </si>
  <si>
    <t>Công nghệ ngày càng phát triển và chính phủ có thể sử dụng các giải pháp kỹ thuật để giám sát, nhưng không rõ ràng về mức độ hiệu quả.</t>
  </si>
  <si>
    <t>Biểu thuế được đơn giản hóa từ 7 bậc xuống còn 5 bậc, giảm bớt rườm rà và thời gian khai báo. Tuy nhiên, quy trình làm việc với cơ quan thuế không có thay đổi lớn.</t>
  </si>
  <si>
    <t>Các bậc thuế mới đơn giản hơn so với trước đây, nhưng cách tính vẫn phức tạp vì nhiều mức thu nhập khác nhau cần được tính toán.</t>
  </si>
  <si>
    <t>Giảm trừ gia cảnh tăng, thể hiện sự công bằng trong việc chia sẻ gánh nặng thuế. Tuy nhiên, mức độ tin tưởng phụ thuộc vào cách thực thi chính sách.</t>
  </si>
  <si>
    <t>Mức thuế mới có thể phù hợp với thu nhập của tôi, nhưng không rõ ràng về sự công bằng khi so sánh với người khác.</t>
  </si>
  <si>
    <t>Thuế được sử dụng để cải thiện dịch vụ công như y tế và giao thông, nhưng hiệu quả cụ thể phụ thuộc vào việc quản lý ngân sách.</t>
  </si>
  <si>
    <t>Giải thích về chính sách mới chưa rõ ràng. Tuy nhiên, mục tiêu của cải cách thuế là hợp lý.</t>
  </si>
  <si>
    <t>Thu nhập giảm do mức thuế mới, nhưng gánh nặng thuế không quá lớn. Tôi sẽ tuân thủ vì lợi ích chung.</t>
  </si>
  <si>
    <t>Nguyên tắc quản lý thuế mới có thêm các quy định quản lý, giảm khả năng trốn thuế. Công nghệ hiện đại cũng giúp phát hiện sớm hơn hành vi gian lận.</t>
  </si>
  <si>
    <t>Công nghệ hiện đại và hệ thống quản lý thuế đã được nâng cấp để phát hiện và xử lý các hành vi trốn thuế một cách hiệu quả.</t>
  </si>
  <si>
    <t>Mức giảm trừ gia cảnh tăng lên giúp đơn giản hóa việc khai báo. Quy trình làm việc với cơ quan thuế trở nên nhanh chóng hơn so với trước đây.</t>
  </si>
  <si>
    <t>Biểu thuế được đơn giản hóa, giảm số bậc từ 7 xuống còn 5, giúp việc tính toán thuế dễ dàng và rõ ràng hơn.</t>
  </si>
  <si>
    <t>Đã có các cải cách về quản lý thuế nhằm công bằng trong việc đánh thuế. Quy định mới được áp dụng khách quan và công bằng với mọi người nộp thuế.</t>
  </si>
  <si>
    <t>Mức thuế mới được thiết kế sao cho phù hợp với thu nhập của tôi, tạo cảm giác công bằng khi đóng góp vào ngân sách nhà nước.</t>
  </si>
  <si>
    <t>Thuận tiện hơn khi giảm trừ gia cảnh và quy định thuế mới giúp số tiền thuế đóng được sử dụng hiệu quả cho các dịch vụ công</t>
  </si>
  <si>
    <t>Thông tin về cải cách thuế đã được giải thích rõ ràng, tuy nhiên còn cần thêm minh bạch để tôi hoàn toàn thuyết phục.</t>
  </si>
  <si>
    <t>Đánh giá tổng thể cho thấy các quyền lợi từ chính sách mới vượt trội hơn so với nghĩa vụ phải đóng thuế. Tôi sẽ ủng hộ và tuân thủ.</t>
  </si>
  <si>
    <t>Dựa trên cải cách thuế mới, mức giảm trừ gia cảnh tăng đáng kể, điều này làm cho việc trốn thuế ít hiệu quả hơn. Tuy nhiên, khả năng phát hiện trốn thuế phụ thuộc vào công nghệ và nguồn lực của cơ quan thuế.</t>
  </si>
  <si>
    <t>Công nghệ ngày càng phát triển giúp cải thiện khả năng phát hiện hành vi gian lận hoặc trốn thuế. Tuy nhiên, hiệu quả thực tế phụ thuộc vào việc đầu tư và áp dụng công nghệ.</t>
  </si>
  <si>
    <t>Cải cách biểu thuế từ 7 bậc xuống còn 5 bậc làm giảm sự phức tạp trong khai báo thuế. Mức giảm trừ gia cảnh tăng cũng giúp cải thiện thuận tiện cho người nộp thuế.</t>
  </si>
  <si>
    <t>Biểu thuế đơn giản hơn và số bậc thuế ít đi, do đó việc tính thuế trở nên dễ dàng hơn. Tuy nhiên, cách tính thuế vẫn khá phức tạp đối với một số người.</t>
  </si>
  <si>
    <t>Mức giảm trừ gia cảnh tăng đáng kể, giảm gánh nặng cho nhiều người nộp thuế. Điều này tạo niềm tin rằng chính sách được áp dụng công bằng hơn.</t>
  </si>
  <si>
    <t>Thu nhập từ 30-60 triệu đồng chỉ chịu thuế suất 20%, so với trước đây là 25%. Điều này cho thấy mức thuế mới có thể được xem xét là công bằng.</t>
  </si>
  <si>
    <t>Mức giảm trừ gia cảnh tăng đáng kể, người nộp thuế không còn phải lo lắng về việc đóng quá nhiều thuế. Tuy nhiên, hiệu quả sử dụng tiền thuế vào các dịch vụ công cần thời gian để đánh giá.</t>
  </si>
  <si>
    <t>Chính phủ đã giải thích rõ ràng mục tiêu của cải cách thuế mới là giảm gánh nặng cho người dân. Tuy nhiên, việc minh bạch trong quá trình thực thi vẫn cần được cải thiện.</t>
  </si>
  <si>
    <t>Sau khi xem xét các quyền lợi và nghĩa vụ, tôi ủng hộ chính sách mới vì mức giảm trừ gia cảnh tăng đáng kể. Tuy nhiên, quyết định cuối cùng còn phụ thuộc vào việc thực thi chính sách.</t>
  </si>
  <si>
    <t>Quy định quản lý thuế hiện nay chưa đủ mạnh để phát hiện hành vi gian lận, khả năng phát hiện trốn thuế còn hạn chế.</t>
  </si>
  <si>
    <t>Công nghệ hiện tại có thể giúp phát hiện trốn thuế nhưng vẫn cần nhiều cải tiến và nguồn lực.</t>
  </si>
  <si>
    <t>Mức giảm trừ gia cảnh tăng, thủ tục khai báo thuế đơn giản hơn nên thuận lợi cho người dân.</t>
  </si>
  <si>
    <t>Biểu thuế được đơn giản hóa từ 7 bậc xuống còn 5 bậc, dễ hiểu và thực hiện hơn so với trước đây.</t>
  </si>
  <si>
    <t>Nhà nước đã cải thiện tính công bằng trong việc áp dụng giảm trừ gia cảnh và mức thuế, nhưng vẫn cần thêm minh bạch.</t>
  </si>
  <si>
    <t>Mức thuế mới có thể phù hợp với thu nhập hiện tại, nhưng chưa hoàn toàn công bằng cho tất cả các đối tượng.</t>
  </si>
  <si>
    <t>Thuế được sử dụng hiệu quả vào nhiều dịch vụ công, nhưng mức độ tin tưởng còn hạn chế do thiếu minh bạch.</t>
  </si>
  <si>
    <t>Các giải thích về chính sách mới đã được cải thiện so với trước đây, nhưng chưa hoàn toàn rõ ràng và minh bạch.</t>
  </si>
  <si>
    <t>Chính sách mới có nhiều điểm tích cực, nhưng tôi cần thêm thời gian để đánh giá hiệu quả thực tế trước khi quyết định ủng hộ.</t>
  </si>
  <si>
    <t>Cải cách thuế TNCN đã đơn giản hóa quy trình khai báo và tăng mức giảm trừ gia cảnh, nhưng vẫn cần công nghệ hiện đại để phát hiện trốn thuế.</t>
  </si>
  <si>
    <t>Dựa trên thông tin về cải cách, tôi tin rằng nhà nước có đủ khả năng sử dụng công nghệ để phát hiện và xử lý nghiêm các hành vi trốn thuế.</t>
  </si>
  <si>
    <t>Cải cách đã đơn giản hóa biểu thuế từ 7 bậc xuống còn 5 bậc, giảm bớt rườm rà trong quy trình khai báo thuế.</t>
  </si>
  <si>
    <t>Mức thuế mới được chia thành ít bậc hơn so với trước đây, giúp việc tính toán và hiểu rõ hơn về thuế của mình.</t>
  </si>
  <si>
    <t>Ngưỡng chịu thuế tăng lên và giảm trừ gia cảnh cao hơn, tôi tin rằng hệ thống sẽ công bằng đối xử với người nộp thuế.</t>
  </si>
  <si>
    <t>Mức thuế mới được thiết kế hợp lý dựa trên thu nhập của tôi, thể hiện tính công bằng trong việc phân bổ gánh nặng thuế.</t>
  </si>
  <si>
    <t>Thuế tăng lên nhưng giảm trừ gia cảnh cũng cao hơn, tôi tin rằng số tiền thuế này sẽ được sử dụng hiệu quả để cải thiện dịch vụ công.</t>
  </si>
  <si>
    <t>Thông tin về cải cách thuế đã được giải thích rõ ràng và minh bạch, nhưng cần thêm thời gian để đánh giá tính thực thi.</t>
  </si>
  <si>
    <t>Cải cách thuế TNCN mang lại lợi ích tài chính cho tôi, giảm bớt rườm rà trong quy trình khai báo và tăng mức giảm trừ gia cảnh.</t>
  </si>
  <si>
    <t>Mức giảm trừ gia cảnh tăng lên giúp tôi tiết kiệm thuế, giảm gánh nặng tài chính. Tuy nhiên, việc phát hiện và xử lý trốn thuế phụ thuộc nhiều vào công nghệ và khả năng của cơ quan thuế.</t>
  </si>
  <si>
    <t>Việc áp dụng công nghệ như AI để phát hiện trốn thuế có thể giúp tăng hiệu quả quản lý. Tuy nhiên, vẫn còn lo ngại về sự phức tạp và chính xác của quy trình.</t>
  </si>
  <si>
    <t>Quy trình khai thuế đơn giản hơn trước, giảm bớt rắc rối cho người dân. Việc cung cấp dịch vụ trực tuyến cũng giúp thuận tiện hơn trong việc nộp thuế.</t>
  </si>
  <si>
    <t>Cách tính thuế mới dễ hiểu và linh hoạt hơn, phù hợp với thu nhập thực tế của tôi. Các bậc thuế rõ ràng giúp quản lý chi phí thuế một cách hiệu quả.</t>
  </si>
  <si>
    <t>Nhà nước đã cải thiện quy định về giảm trừ gia cảnh và đơn giản hóa biểu thuế, tạo sự công bằng cho người dân. Tuy nhiên, vẫn cần thêm minh bạch trong quá trình thực thi.</t>
  </si>
  <si>
    <t>Mức thuế mới phù hợp với thu nhập của tôi, tạo cảm giác công bằng hơn so với trước đây. Tuy nhiên, cần thêm thông tin về cách sử dụng tiền thuế đã đóng vào các dịch vụ công.</t>
  </si>
  <si>
    <t>Các khoản thuế mới được sử dụng cho mục đích cải thiện hạ tầng và dịch vụ công. Tuy nhiên, việc minh bạch trong quá trình phân bổ nguồn lực còn hạn chế.</t>
  </si>
  <si>
    <t>Nhà nước đã cung cấp thông tin về thay đổi thuế một cách rõ ràng. Tuy nhiên, cần thêm giải thích về mục tiêu dài hạn của chính sách mới để tăng sự tin tưởng hơn nữa.</t>
  </si>
  <si>
    <t>Chính sách mới tạo ra nhiều lợi ích tài chính cho tôi. Việc giảm trừ gia cảnh và đơn giản hóa quy trình khai thuế giúp tôi tuân thủ dễ dàng hơn. Tuy nhiên, vẫn cần thêm minh bạch trong quá trình thực thi để tăng sự tin tưởng.</t>
  </si>
  <si>
    <t>Việc tăng giảm trừ gia cảnh và đơn giản hóa biểu thuế có thể làm giảm rủi ro trốn thuế, nhưng thực tế khả năng phát hiện trốn thuế vẫn phụ thuộc nhiều vào công nghệ và sự quyết tâm của cơ quan thuế.</t>
  </si>
  <si>
    <t>Công nghệ hiện đại như AI có thể hỗ trợ việc phát hiện trốn thuế hiệu quả hơn, tuy nhiên cần thời gian để triển khai rộng rãi. Cơ quan thuế cũng có thể tăng cường các biện pháp quản lý.</t>
  </si>
  <si>
    <t>Biểu thuế đơn giản hơn và giảm trừ gia cảnh cao hơn có thể làm thủ tục dễ dàng hơn, nhưng vẫn cần thời gian để người dân quen thuộc với quy trình mới.</t>
  </si>
  <si>
    <t>Cách tính thuế đơn giản hơn so với trước đây, nhưng mức thuế suất cao hơn có thể tạo cảm giác phức tạp đối với một số người.</t>
  </si>
  <si>
    <t>Nhìn chung, mức giảm trừ gia cảnh và đơn giản hóa biểu thuế mang lại lợi ích cho nhiều người nộp thuế, tăng niềm tin vào sự công bằng của chính sách mới.</t>
  </si>
  <si>
    <t>Mức thuế mới có thể coi là công bằng đối với thu nhập hiện tại của tôi, nhưng vẫn cần thêm thời gian để đánh giá hiệu quả thực tế trong việc cải thiện dịch vụ công.</t>
  </si>
  <si>
    <t>Niềm tin vào việc sử dụng số tiền thuế đóng cho phát triển công cộng có thể tăng lên do giảm trừ gia cảnh và đơn giản hóa biểu thuế, nhưng cần thời gian để thấy kết quả thực tế.</t>
  </si>
  <si>
    <t>Nhìn chung, thông tin về chính sách mới đã được giải thích rõ ràng hơn so với trước đây, tạo ra sự minh bạch đối với người nộp thuế.</t>
  </si>
  <si>
    <t>Tăng giảm trừ gia cảnh và đơn giản hóa biểu thuế mang lại lợi ích cho tôi, tăng khả năng tuân thủ chính sách mới. Tuy nhiên, vẫn cần thời gian để đánh giá tác động thực tế.</t>
  </si>
  <si>
    <t>Các quy định quản lý thuế hiện nay được cải thiện, đặc biệt là với mức giảm trừ gia cảnh cao hơn và biểu thuế đơn giản hơn. Tuy nhiên, khả năng phát hiện trốn thuế phụ thuộc nhiều vào công nghệ và nguồn lực của cơ quan thuế.</t>
  </si>
  <si>
    <t>Nếu nhà nước đầu tư đúng mức vào công nghệ, việc phát hiện trốn thuế sẽ trở nên dễ dàng hơn. Công nghệ mới có thể giúp tăng hiệu quả quản lý thuế.</t>
  </si>
  <si>
    <t>Thủ tục khai báo và làm việc với cơ quan thuế trở nên đơn giản hơn khi biểu thuế được rút gọn, nhưng không phải mọi người đều cảm thấy tiện lợi vì vẫn có quy trình phức tạp.</t>
  </si>
  <si>
    <t>Cách tính thuế mới đơn giản hơn và dễ hiểu, đặc biệt là với việc giảm số bậc thuế. Điều này giúp người nộp thuế nắm bắt rõ hơn về mức thuế phải đóng.</t>
  </si>
  <si>
    <t>Việc cải thiện biểu thuế và mức giảm trừ gia cảnh tạo cảm giác công bằng hơn, nhưng niềm tin vào việc thực thi chính sách vẫn cần thời gian để hình thành.</t>
  </si>
  <si>
    <t>Mức thuế mới được tính dựa trên thu nhập, tạo cảm giác rằng mức đóng thuế là công bằng. Tuy nhiên, không phải ai cũng đồng ý với cách tính này.</t>
  </si>
  <si>
    <t>Cải tiến về giảm trừ gia cảnh và biểu thuế đơn giản hơn giúp tôi tin tưởng số tiền thuế đóng sẽ được sử dụng hiệu quả cho dịch vụ công. Tuy nhiên, cần thời gian để thấy kết quả.</t>
  </si>
  <si>
    <t>Nhà nước đã giải thích rõ ràng về việc cải cách thuế, nhưng mức độ thuyết phục phụ thuộc vào từng người và khả năng tiếp cận thông tin.</t>
  </si>
  <si>
    <t>Mức giảm trừ gia cảnh cao hơn giúp tôi ủng hộ chính sách mới. Tuy nhiên, việc cân nhắc giữa lợi ích cá nhân và nghĩa vụ xã hội vẫn cần thời gian để hình thành quyết định hành vi cuối cùng.</t>
  </si>
  <si>
    <t>Nguyên tắc quản lý thuế hiện nay bao gồm nhiều biện pháp kiểm soát, từ hệ thống hóa đơn điện tử đến công nghệ phát hiện gian lận. Tuy nhiên, hiệu quả thực tế phụ thuộc vào nguồn lực và cách triển khai.</t>
  </si>
  <si>
    <t>Việc áp dụng công nghệ tiên tiến như AI, Big Data giúp tăng cường khả năng giám sát và phát hiện trốn thuế. Tuy nhiên, mức độ hiệu quả phụ thuộc vào chính sách triển khai và nguồn lực.</t>
  </si>
  <si>
    <t>Mức giảm trừ gia cảnh cao hơn cùng với đơn giản hóa biểu thuế giúp quá trình khai báo trở nên dễ dàng. Tuy nhiên, quy trình làm việc vẫn cần cải tiến để tối ưu hơn nữa.</t>
  </si>
  <si>
    <t>Các bậc thuế mới rõ ràng hơn và ít phức tạp hơn so với trước đây, giúp người dân dễ hiểu và tuân thủ. Tuy nhiên, sự đơn giản này có thể làm giảm độ chính xác về mức thu thuế.</t>
  </si>
  <si>
    <t>Niềm tin vào việc thực thi chính sách công bằng phụ thuộc vào quy trình quản lý. Mức giảm trừ gia cảnh cao hơn tạo cảm giác công bằng nhưng cần đảm bảo tính minh bạch trong triển khai.</t>
  </si>
  <si>
    <t>Mức thuế mới được thiết kế để hợp lý với thu nhập hiện tại, tạo cảm giác công bằng. Tuy nhiên, mức độ đánh giá còn phụ thuộc vào việc quản lý và minh bạch trong quá trình thực thi.</t>
  </si>
  <si>
    <t>Niềm tin rằng tiền thuế đóng góp sẽ được sử dụng hiệu quả phụ thuộc vào tình hình kinh tế và quy định chi tiêu ngân sách. Mức giảm trừ gia cảnh cao hơn tạo cảm giác công bằng.</t>
  </si>
  <si>
    <t>Nhà nước đã cung cấp thông tin về các thay đổi thuế một cách rõ ràng, tuy nhiên mức độ thuyết phục còn phụ thuộc vào quá trình thực thi và minh bạch trong quản lý ngân sách.</t>
  </si>
  <si>
    <t>Tranh luận giữa lợi ích và nghĩa vụ tạo ra sự cân nhắc. Mức giảm trừ gia cảnh cao hơn và đơn giản hóa quy trình làm việc tăng khả năng tuân thủ, nhưng cần đảm bảo tính minh bạch và công bằng trong quản lý.</t>
  </si>
  <si>
    <t>Nguyên tắc quản lý thuế hiện nay đã được cải thiện đáng kể, tăng cường khả năng phát hiện và xử lý gian lận. Với mức giảm trừ gia cảnh cao hơn, việc trốn thuế sẽ khó khăn hơn.</t>
  </si>
  <si>
    <t>Công nghệ ngày càng phát triển giúp cơ quan thuế có nhiều công cụ để phát hiện hành vi gian lận. Các quy định cũng rõ ràng và chặt chẽ hơn, giảm khả năng trốn thuế.</t>
  </si>
  <si>
    <t>Mức giảm trừ gia cảnh cao hơn giúp tiết kiệm thời gian và công sức khai báo thuế. Quy trình làm việc với cơ quan thuế cũng đơn giản hơn, nhưng vẫn cần cải thiện thêm.</t>
  </si>
  <si>
    <t>Biểu thuế đơn giản hóa đã giảm bớt sự phức tạp cho người nộp thuế. Các bậc thuế rõ ràng hơn giúp dễ dàng tính toán và hiểu cách thức chịu thuế.</t>
  </si>
  <si>
    <t>Nhà nước đã cải thiện quy định về mức giảm trừ gia cảnh, công bằng hơn đối với các cá nhân có thu nhập thấp. Tuy nhiên, vẫn cần thêm minh bạch về cách sử dụng số tiền thuế.</t>
  </si>
  <si>
    <t>Mức thuế mới được tính toán dựa trên thu nhập và giảm trừ gia cảnh, cho thấy sự công bằng trong việc đóng góp. Tuy nhiên, vẫn cần thêm thông tin về cách sử dụng số tiền thuế.</t>
  </si>
  <si>
    <t>Nhà nước đã cải thiện quy định về mức giảm trừ gia cảnh và đơn giản hóa biểu thuế. Thông tin về lý do và mục tiêu của việc sửa đổi thuế được cung cấp đầy đủ hơn, tăng sự minh bạch.</t>
  </si>
  <si>
    <t>Sau khi xem xét các quyền lợi từ mức giảm trừ gia cảnh cao hơn, tôi thấy chính sách mới mang lại nhiều lợi ích. Tuy nhiên, vẫn cần thêm minh bạch về cách sử dụng số tiền thuế để tăng niềm tin.</t>
  </si>
  <si>
    <t>Cải cách thuế TNCN bao gồm nhiều biện pháp quản lý, trong đó có việc tăng giảm trừ gia cảnh. Điều này cho thấy nhà nước đã đầu tư vào công nghệ và quy định để phát hiện trốn thuế.</t>
  </si>
  <si>
    <t>Nhà nước đã ban hành Luật Thuế TNCN sửa đổi với các quy định cụ thể, đồng thời tăng cường quản lý. Công nghệ tiên tiến cũng được áp dụng, giúp xử lý nghiêm minh các vi phạm.</t>
  </si>
  <si>
    <t>Mức giảm trừ gia cảnh cao hơn và đơn giản hóa biểu thuế làm cho việc khai báo thuế trở nên thuận tiện hơn. Tuy nhiên, quy trình vẫn chưa hoàn toàn tự động hoá.</t>
  </si>
  <si>
    <t>Biểu thuế được rút gọn từ 7 bậc xuống còn 5 bậc, giảm thiểu sự phức tạp và dễ dàng hiểu rõ hơn về cách tính thuế. Tuy nhiên, việc áp dụng mới phương án này cần thêm thời gian để mọi người quen thuộc.</t>
  </si>
  <si>
    <t>Nhà nước đã tăng cường quy định quản lý thuế và công khai thông tin về chính sách. Điều này làm gia tăng niềm tin vào tính khách quan và công bằng của cơ quan thuế trong việc thực thi.</t>
  </si>
  <si>
    <t>Mức thuế mới được thiết kế sao cho hợp lý với thu nhập hiện tại, thể hiện sự công bằng hơn. Tuy nhiên, tôi vẫn giữ thái độ thận trọng vì chưa có nhiều kinh nghiệm thực tế.</t>
  </si>
  <si>
    <t>Một phần của niềm tin vào việc sử dụng hiệu quả số tiền thuế đóng góp là dựa trên niềm tin rằng nhà nước sẽ phân bổ đúng cách. Tuy nhiên, do chưa có nhiều thông tin về cách sử dụng cụ thể, tôi vẫn giữ thái độ thận trọng.</t>
  </si>
  <si>
    <t>Nhà nước đã giải thích rõ ràng các mục tiêu và lý do của việc cải cách thuế. Thông qua truyền thông, người dân có cơ hội hiểu rõ hơn về chính sách mới. Tuy nhiên, tôi vẫn cần thêm thời gian để cảm thấy chắc chắn.</t>
  </si>
  <si>
    <t>Dựa trên mức độ giảm trừ gia cảnh và đơn giản hóa biểu thuế, tôi cảm thấy quyết định tuân thủ chính sách mới là hợp lý. Tuy nhiên, do chưa có nhiều kinh nghiệm thực tế về hiệu quả của chính sách mới nên tôi vẫn giữ thái độ thận trọng.</t>
  </si>
  <si>
    <t>Cải cách thuế mang lại nhiều quy định quản lý rõ ràng, giảm gian lận dễ dàng phát hiện và xử lý. Với mức giảm trừ gia cảnh cao hơn, việc trốn thuế cũng khó khăn hơn.</t>
  </si>
  <si>
    <t>Công nghệ hiện đại đã giúp cơ quan thuế quản lý hiệu quả hơn, tăng khả năng phát hiện hành vi gian lận và trốn thuế. Tuy nhiên, vẫn cần cải tiến để ngăn chặn triệt để.</t>
  </si>
  <si>
    <t>Biểu thuế đơn giản hóa đã giúp quy trình khai báo thuận tiện hơn. Mức giảm trừ gia cảnh cao thêm cũng tạo cảm giác thuận lợi hơn cho người nộp thuế.</t>
  </si>
  <si>
    <t>Cách tính thuế mới đơn giản và rõ ràng, dễ hiểu hơn so với trước đây. Tuy nhiên, việc áp dụng các bậc thuế vẫn cần thời gian để mọi người làm quen.</t>
  </si>
  <si>
    <t>Nhà nước đã cải cách thuế một cách công bằng và minh bạch, thực thi chính sách khách quan đối với tất cả các đối tượng nộp thuế. Mức giảm trừ gia cảnh cao hơn tạo niềm tin.</t>
  </si>
  <si>
    <t>Mức thuế mới được tính dựa trên thu nhập hiện tại, hợp lý và công bằng cho người dân. Tuy nhiên, mức tăng thuế đối với thu nhập cao vẫn cần thêm minh bạch.</t>
  </si>
  <si>
    <t>Thuế đóng góp vào việc cải thiện các dịch vụ công như y tế, đường xá. Tuy nhiên, hiệu quả sử dụng nguồn thu thuế còn phụ thuộc vào quản lý của chính phủ.</t>
  </si>
  <si>
    <t>Nhà nước đã giải thích rõ ràng về mục tiêu cải cách thuế, nhưng cần thêm minh bạch trong quá trình triển khai. Sự công bằng và minh bạch cao hơn tạo niềm tin.</t>
  </si>
  <si>
    <t>Dù cải cách thuế mang lại nhiều lợi ích, nhưng vẫn còn một số bất cập cần giải quyết. Tôi ủng hộ và tuân thủ vì lợi ích lâu dài cho người dân.</t>
  </si>
  <si>
    <t>Những cải cách thuế mới bao gồm việc tăng giảm trừ gia cảnh và đơn giản hóa biểu thuế có thể làm giảm cơ hội trốn thuế, tuy nhiên, tôi vẫn nghi ngờ về khả năng phát hiện hành vi gian lận.</t>
  </si>
  <si>
    <t>Công nghệ ngày càng tiên tiến giúp Nhà nước và cơ quan thuế có thể theo dõi và phát hiện các hành vi trốn thuế, nhưng vẫn cần cải thiện hơn về mặt thực thi.</t>
  </si>
  <si>
    <t>Biểu thuế đơn giản hóa đã giảm bớt rườm rà trong quá trình khai báo, tuy nhiên quy trình làm việc với cơ quan thuế vẫn còn phức tạp.</t>
  </si>
  <si>
    <t>Cách tính thuế và các bậc thuế mới dễ hiểu hơn so với trước đây, điều này tạo cảm giác thuận tiện cho người nộp thuế.</t>
  </si>
  <si>
    <t>Niềm tin vào sự công bằng của cơ quan thuế vẫn chưa cao do những thay đổi lớn trong biểu thuế có thể gây bất lợi cho một số đối tượng.</t>
  </si>
  <si>
    <t>Mức thuế mới theo phương án cải cách là hợp lý, nhưng tôi cần thêm thông tin về việc sử dụng số tiền thuế thu được để đánh giá cao hơn về tính công bằng.</t>
  </si>
  <si>
    <t>Tôi tin rằng số tiền thuế đóng sẽ được sử dụng hiệu quả cho mục đích công cộng, nhưng sự minh bạch trong việc phân bổ nguồn lực còn thấp.</t>
  </si>
  <si>
    <t>Truyền thông về lý do và mục tiêu của cải cách thuế chưa đầy đủ, khiến tôi có nghi ngờ về tính rõ ràng và minh bạch.</t>
  </si>
  <si>
    <t>Sau cân nhắc giữa quyền lợi và nghĩa vụ, tôi đồng ý với các thay đổi trong chính sách thuế mới nhưng cần thêm thời gian để xem xét kỹ hơn.</t>
  </si>
  <si>
    <t>Nếu mức giảm trừ gia cảnh tăng mạnh và quy định quản lý thuế được cải cách, việc phát hiện trốn thuế sẽ khó khăn hơn đối với người dân không tuân thủ. Tuy nhiên, khả năng của cơ quan thuế trong việc phát hiện trốn thuế vẫn phụ thuộc vào nguồn lực và công nghệ.</t>
  </si>
  <si>
    <t>Điều này phụ thuộc rất nhiều vào đầu tư công nghệ và nguồn lực của cơ quan thuế. Nếu có, tôi tin rằng họ sẽ phát hiện và xử lý trốn thuế hiệu quả hơn trước đây.</t>
  </si>
  <si>
    <t>Mức giảm trừ gia cảnh tăng mạnh giúp đơn giản hóa thủ tục khai báo thuế cho người dân. Bậc thuế ít hơn cũng làm việc này dễ dàng hơn và nhanh chóng hơn so với trước đây.</t>
  </si>
  <si>
    <t>Biểu thuế mới có ít bậc hơn, đơn giản hóa quy trình tính thuế. Tuy nhiên, mức thuế mới chưa chắc đã rõ ràng đối với người dân không am hiểu về thuế.</t>
  </si>
  <si>
    <t>Mức giảm trừ gia cảnh tăng mạnh giúp tôi cảm thấy công bằng hơn và tin rằng chính sách này sẽ được thực thi một cách khách quan. Tuy nhiên, vẫn có thể có sự nghi ngờ về việc áp dụng đồng đều.</t>
  </si>
  <si>
    <t>Mức thuế mới có thể phù hợp với thu nhập của tôi nhưng không chắc chắn nếu so sánh với người khác. Tôi tin rằng mức thuế mới sẽ công bằng hơn.</t>
  </si>
  <si>
    <t>Mức giảm trừ gia cảnh tăng mạnh giúp cải thiện dịch vụ công, nhưng vẫn chưa rõ liệu số tiền thuế tôi đóng có được sử dụng hiệu quả hay không. Tuy nhiên, tôi tin rằng mục tiêu của chính sách là đúng.</t>
  </si>
  <si>
    <t>Mức giảm trừ gia cảnh và biểu thuế mới đã được giải thích rõ ràng trong các thông báo từ cơ quan thuế, khiến tôi cảm thấy dễ hiểu hơn về lý do và mục tiêu của chính sách.</t>
  </si>
  <si>
    <t>Đối với mức thu nhập của tôi, việc giảm trừ gia cảnh tăng mạnh đã cải thiện đáng kể. Tôi tin rằng quy định mới sẽ giúp tôi tuân thủ dễ dàng hơn. Tuy nhiên, vẫn có sự lo ngại về việc áp dụng đồng đều.</t>
  </si>
  <si>
    <t>Điều kiện quản lý thuế hiện nay có nhiều cải tiến, nhưng vẫn chưa hoàn toàn chắc chắn về khả năng phát hiện trốn thuế.</t>
  </si>
  <si>
    <t>Nhà nước và cơ quan thuế đã đầu tư công nghệ để hỗ trợ phát hiện trốn thuế, tăng cường giám sát hiệu quả hơn.</t>
  </si>
  <si>
    <t>So với trước đây, quy trình khai báo thuế đơn giản hơn nhưng vẫn cần cải thiện thêm về độ tiện lợi.</t>
  </si>
  <si>
    <t>Cách tính thuế mới đơn giản hóa các bậc thuế, giúp người dân dễ dàng hiểu và áp dụng.</t>
  </si>
  <si>
    <t>Nhà nước đã cải thiện quy định quản lý thuế, nhưng vẫn cần tăng cường minh bạch để nâng cao lòng tin của người dân.</t>
  </si>
  <si>
    <t>Mức thuế mới có tính công bằng hơn với mức thu nhập hiện tại, phù hợp với quy định giảm trừ gia cảnh.</t>
  </si>
  <si>
    <t>Thuê đóng góp vào việc cải thiện dịch vụ công là điều cần thiết, nhưng hiệu quả sử dụng nguồn thuế còn phụ thuộc nhiều yếu tố khác.</t>
  </si>
  <si>
    <t>Cơ quan thuế đã giải thích minh bạch hơn về mục tiêu của chính sách mới, nhưng vẫn cần cải thiện truyền thông cho người dân.</t>
  </si>
  <si>
    <t>Chính sách mới có lợi ích tài chính rõ ràng và đơn giản hóa quy trình khai báo thuế, do đó sẽ ủng hộ và tuân thủ.</t>
  </si>
  <si>
    <t>Mức giảm trừ gia cảnh tăng mạnh, đơn giản hóa biểu thuế và các quy định mới tạo ra nhiều rào cản cho hành vi trốn thuế. Công nghệ hiện đại giúp phát hiện dễ dàng hơn.</t>
  </si>
  <si>
    <t>Nâng cao công nghệ quản lý thuế, tăng cường giám sát và xử lý nghiêm minh, tạo môi trường kinh doanh minh bạch.</t>
  </si>
  <si>
    <t>Bậc thuế giảm từ 7 xuống 5 bậc, đơn giản hóa quy trình khai báo. Tăng mức giảm trừ gia cảnh và người phụ thuộc giúp thủ tục thuận lợi hơn cho cá nhân.</t>
  </si>
  <si>
    <t>Số bậc thuế giảm đi, cách tính thuế rõ ràng, dễ hiểu hơn so với trước đây. Mức giảm trừ gia cảnh cao hơn, tạo cảm giác đơn giản hóa thủ tục.</t>
  </si>
  <si>
    <t>Mức tăng giảm trừ gia cảnh và mức thuế mới công bằng đối với người nộp thuế, phát triển công nghệ quản lý thuế giúp thực thi chính sách khách quan hơn.</t>
  </si>
  <si>
    <t>Thuế suất phân bổ hợp lý dựa trên thu nhập, tạo cảm giác thuế được đánh giá một cách công bằng. Số bậc thuế giảm làm tăng niềm tin vào sự minh bạch của chính sách.</t>
  </si>
  <si>
    <t>Giảm trừ gia cảnh và mức thuế mới giúp cải thiện dịch vụ công, tạo cảm giác đóng góp vào xã hội. Công nghệ quản lý thuế nâng cao hiệu quả sử dụng số tiền thuế.</t>
  </si>
  <si>
    <t>Thông tin về chính sách được giải thích rõ ràng hơn, tăng sự minh bạch và thuyết phục người nộp thuế về mục đích của việc cải cách thuế. Mức giảm trừ gia cảnh cao giúp tạo niềm tin.</t>
  </si>
  <si>
    <t>Niềm tin, cảm giác công bằng và hiểu rõ về chính sách tăng cường sự ủng hộ. Tuy nhiên, vẫn có chút lo ngại về thực thi chính sách trong thực tế.</t>
  </si>
  <si>
    <t>Các quy định quản lý thuế hiện nay có nhiều cải tiến nhưng vẫn cần công nghệ để phát hiện trốn thuế hiệu quả.</t>
  </si>
  <si>
    <t>Ngoài việc tăng giảm trừ gia cảnh và đơn giản hóa biểu thuế, Nhà nước đã đầu tư vào công nghệ để phát hiện trốn thuế.</t>
  </si>
  <si>
    <t>Thủ tục khai báo thuế và quy trình làm việc với cơ quan thuế dễ dàng hơn nhưng vẫn cần thời gian làm quen.</t>
  </si>
  <si>
    <t>Cách tính thuế và các bậc thuế trong phương án mới đơn giản, phù hợp với hiểu biết chung của người dân.</t>
  </si>
  <si>
    <t>Nhà nước đã cải tiến chính sách một cách công bằng nhưng vẫn cần thêm minh bạch về việc thực thi.</t>
  </si>
  <si>
    <t>Mức thuế mới được thiết kế để công bằng đối với thu nhập hiện tại của tôi, tuy nhiên chưa hoàn toàn thuyết phục.</t>
  </si>
  <si>
    <t>Tôi tin số tiền thuế đóng sẽ được sử dụng hiệu quả nhưng cần thêm minh bạch về việc sử dụng.</t>
  </si>
  <si>
    <t>Nhà nước đã giải thích phần lớn các thay đổi một cách rõ ràng, tuy nhiên vẫn có sự hoài nghi về mức độ chi tiết trong thông tin truyền đạt.</t>
  </si>
  <si>
    <t>Trải qua quá trình cân nhắc, tôi thấy chính sách mới mang lại lợi ích nhưng quyết định tuân thủ phụ thuộc vào thực thi và minh bạch.</t>
  </si>
  <si>
    <t>Cải cách thuế TNCN tăng giảm trừ gia cảnh và đơn giản hóa biểu thuế, nhưng khả năng phát hiện trốn thuế phụ thuộc nhiều vào công nghệ và sự thực thi của cơ quan thuế.</t>
  </si>
  <si>
    <t>Nhà nước đã áp dụng công nghệ tiên tiến như AI để phát hiện gian lận thuế, tăng khả năng giám sát và xử lý nghiêm các hành vi trốn thuế.</t>
  </si>
  <si>
    <t>Biểu thuế được đơn giản hóa từ 7 bậc xuống còn 5 bậc, giảm bớt rườm rà trong khai báo thuế, nhưng quy trình làm việc với cơ quan thuế vẫn khá phức tạp.</t>
  </si>
  <si>
    <t>Cách tính thuế mới đơn giản hơn so với trước đây, đặc biệt là khi có nhiều bậc thuế được giảm, giúp người dân dễ hiểu và thực hiện.</t>
  </si>
  <si>
    <t>Giảm trừ gia cảnh tăng lên, giúp người nộp thuế giảm gánh nặng thuế, tạo niềm tin vào sự công bằng trong việc áp dụng chính sách thuế.</t>
  </si>
  <si>
    <t>Mức thuế mới được thiết kế để phù hợp với thu nhập của người dân, nhưng cần thêm minh bạch về cách tính thuế và ngưỡng chịu thuế.</t>
  </si>
  <si>
    <t>Thuế TNCN sẽ được sử dụng hiệu quả hơn cho các dịch vụ công, tuy nhiên, việc thực hiện mục tiêu này phụ thuộc vào quản trị của nhà nước.</t>
  </si>
  <si>
    <t>Nhà nước đã giải thích rõ về mục tiêu cải cách thuế, nhưng thông tin cần được truyền tải hiệu quả hơn để người dân hiểu đầy đủ.</t>
  </si>
  <si>
    <t>Sau khi cân nhắc lợi ích và nghĩa vụ từ chính sách mới, tôi thấy đây là một bước tiến tích cực, đồng thời tăng niềm tin vào nhà nước trong việc thực thi chính sách thuế.</t>
  </si>
  <si>
    <t>Hiện nay, với các quy định quản lý thuế được cải tiến và công nghệ phát triển, việc phát hiện hành vi gian lận hoặc trốn thuế sẽ trở nên dễ dàng hơn. Đây là một bước tiến quan trọng trong việc ngăn chặn trốn thuế.</t>
  </si>
  <si>
    <t>Nhà nước và cơ quan thuế đã đầu tư nhiều vào công nghệ để phát hiện và xử lý nghiêm các hành vi trốn thuế. Với hệ thống quản lý hiện đại, khả năng phát hiện trốn thuế cao hơn.</t>
  </si>
  <si>
    <t>Các thủ tục khai báo thuế trở nên đơn giản hơn với việc giảm số bậc thuế từ 7 xuống còn 5. Điều này giúp người nộp thuế dễ dàng hơn trong quá trình làm việc với cơ quan thuế.</t>
  </si>
  <si>
    <t>Phương án mới có các bậc thuế rõ ràng và đơn giản, giảm bớt sự phức tạp cho người nộp thuế. Điều này giúp việc tính thuế trở nên dễ dàng hơn so với trước đây.</t>
  </si>
  <si>
    <t>Nhà nước đã cải tiến chính sách để đảm bảo công bằng khi áp dụng mức thuế mới, giảm trừ gia cảnh cũng được tăng lên. Điều này giúp tạo ra sự tin tưởng rằng thuế sẽ được thực thi công bằng.</t>
  </si>
  <si>
    <t>Mức thuế mới đã được thiết kế để đảm bảo tính công bằng với người nộp thuế có thu nhập như tôi, do đó tôi cảm thấy mức thuế này là hợp lý.</t>
  </si>
  <si>
    <t>Tăng trừ gia cảnh và giảm số bậc thuế giúp tôi tin rằng số tiền thuế đóng sẽ được sử dụng hiệu quả cho các dịch vụ công. Điều này làm tăng niềm tin của tôi vào việc đầu tư vào hệ thống chính sách.</t>
  </si>
  <si>
    <t>Nhà nước đã cải tiến quy trình thông tin về chính sách thuế mới, giúp người dân hiểu rõ hơn về lý do và mục tiêu của các thay đổi. Điều này làm tăng sự minh bạch và trách nhiệm đối với người nộp thuế.</t>
  </si>
  <si>
    <t>Những cải tiến trong chính sách thuế mới đã giúp tôi cảm thấy hài lòng về quy trình khai báo và mức thuế được áp dụng. Tôi tin rằng việc tuân thủ chính sách này sẽ mang lại lợi ích cho cả người nộp thuế và nhà nước.</t>
  </si>
  <si>
    <t>Các quy định quản lý thuế hiện nay có nhiều cải tiến, bao gồm việc tăng mức giảm trừ gia cảnh và đơn giản hóa biểu thuế. Điều này làm tăng khả năng phát hiện hành vi gian lận hoặc trốn thuế.</t>
  </si>
  <si>
    <t>Việc áp dụng công nghệ trong quản lý thuế giúp Nhà nước có thể theo dõi hiệu quả hơn, từ đó xử lý nghiêm các hành vi trốn thuế. Tuy nhiên, cần lưu ý rằng vẫn còn nhiều thách thức về mặt thực thi.</t>
  </si>
  <si>
    <t>Mức giảm trừ gia cảnh cao hơn và số bậc thuế ít hơn làm cho quy trình khai báo thuế đơn giản và nhanh chóng hơn. Tuy nhiên, quá trình làm việc với cơ quan thuế vẫn còn có thể cải thiện.</t>
  </si>
  <si>
    <t>Đơn giản hóa biểu thuế và tăng mức giảm trừ gia cảnh giúp cách tính thuế dễ hiểu và thực hiện đơn giản hơn. Tuy nhiên, cần thời gian để người dân quen với các thay đổi mới.</t>
  </si>
  <si>
    <t>Nhà nước đã cải thiện quy định về giảm trừ gia cảnh và số bậc thuế, tạo nên sự công bằng hơn trong việc áp dụng thuế. Tuy nhiên, vẫn cần thời gian để chứng minh rằng các quy định mới được thực thi một cách khách quan.</t>
  </si>
  <si>
    <t>Nhìn chung, mức thuế theo phương án mới được xem là công bằng. Người thu nhập như tôi đóng mức thuế này là hợp lý, nhưng vẫn cần thời gian để cảm nhận rõ ràng hơn.</t>
  </si>
  <si>
    <t>Sau khi cải tiến quy định về giảm trừ gia cảnh và số bậc thuế, tôi tin rằng số tiền thuế tôi đóng sẽ được sử dụng hiệu quả. Tuy nhiên, cần thời gian để thấy kết quả cụ thể từ việc cải cách.</t>
  </si>
  <si>
    <t>Nhà nước đã giải thích về lý do và mục tiêu của việc sửa đổi thuế một cách rõ ràng hơn so với trước đây. Tuy nhiên, vẫn cần thêm thông tin chi tiết để tôi hoàn toàn thuyết phục.</t>
  </si>
  <si>
    <t>Sau khi xem xét các quyền lợi và nghĩa vụ, tôi thấy chính sách mới có nhiều cải tiến về giảm trừ gia cảnh và đơn giản hóa biểu thuế. Tuy nhiên, quyết định ủng hộ hoàn toàn vẫn cần thời gian để cảm nhận rõ ràng hơn.</t>
  </si>
  <si>
    <t>Tăng mức giảm trừ gia cảnh và đơn giản hóa biểu thuế có thể làm giảm hành vi gian lận, nhưng vẫn cần công nghệ phát hiện để đảm bảo hiệu quả.</t>
  </si>
  <si>
    <t>Công nghệ hiện đại giúp phát hiện trốn thuế nhanh chóng và chính xác hơn, tuy nhiên khả năng của Nhà nước phụ thuộc vào ngân sách và quyết tâm thực thi.</t>
  </si>
  <si>
    <t>Mức giảm trừ gia cảnh cao hơn và số bậc thuế ít đi có thể làm thủ tục đơn giản hơn, nhưng cần quan sát thực tế để đánh giá đầy đủ.</t>
  </si>
  <si>
    <t>Biểu thuế đơn giản hóa giúp tính toán dễ dàng hơn, nhưng không phải ai cũng nhận thức được sự thuận tiện này.</t>
  </si>
  <si>
    <t>Mức giảm trừ gia cảnh cao và đơn giản hóa biểu thuế có thể tăng niềm tin vào công bằng, tuy nhiên cần thời gian để đánh giá thực tế.</t>
  </si>
  <si>
    <t>Mức thuế mới có thể phù hợp với thu nhập hiện tại nhưng chưa rõ liệu nó có công bằng khi so sánh giữa các nhóm thu nhập khác nhau.</t>
  </si>
  <si>
    <t>Công bằng trong sử dụng nguồn thu từ thuế cần thời gian để đánh giá, tuy nhiên mức giảm trừ gia cảnh cao hơn và đơn giản hóa biểu thuế có thể tăng niềm tin.</t>
  </si>
  <si>
    <t>Cải cách thuế chưa rõ ràng về mục tiêu cụ thể nên gây hoài nghi trong việc truyền thông minh bạch của Nhà nước.</t>
  </si>
  <si>
    <t>Niềm tin và cảm giác công bằng có tăng lên nhưng vẫn cần thời gian để đánh giá thực tế tác động về mặt hành vi tuân thủ.</t>
  </si>
  <si>
    <t>Chính sách mới có nhiều quy định quản lý thuế và mức giảm trừ gia cảnh tăng, nhưng vẫn không đảm bảo 100% phát hiện hành vi trốn thuế.</t>
  </si>
  <si>
    <t>Công nghệ hiện đại giúp Nhà nước kiểm soát chặt chẽ hơn về gian lận, trốn thuế, tuy nhiên cần cải thiện hệ thống để giảm rủi ro phát hiện không công bằng.</t>
  </si>
  <si>
    <t>Mức giảm trừ gia cảnh tăng và số bậc thuế đơn giản hóa giúp thủ tục khai báo trở nên tiện lợi hơn, giảm bớt gian nan cho người dân.</t>
  </si>
  <si>
    <t>Cách tính thuế mới đơn giản nhưng vẫn cần thời gian để mọi người hiểu rõ cách tính mới và áp dụng vào thực tế.</t>
  </si>
  <si>
    <t>Nhà nước đã cải thiện nhiều về công bằng trong việc tính toán mức thuế, giảm rủi ro trốn thuế nhưng vẫn chưa hoàn toàn công bằng với mọi đối tượng</t>
  </si>
  <si>
    <t>Mức thuế mới có vẻ hợp lý so với thu nhập của tôi, nhưng cần thêm thời gian để kiểm chứng hiệu quả thực tế.</t>
  </si>
  <si>
    <t>Tăng giảm trừ gia cảnh và đơn giản hóa thuế suất giúp cải thiện dịch vụ công, tuy nhiên vẫn còn nhiều nghi ngờ về việc sử dụng hiệu quả ngân sách</t>
  </si>
  <si>
    <t>Nhà nước đã giải thích một cách minh bạch về mục tiêu nhưng chưa thực sự thuyết phục được mọi người.</t>
  </si>
  <si>
    <t>Chính sách mới có lợi cho tôi, tăng giảm trừ gia cảnh và đơn giản hóa quy trình thuế khiến tôi sẵn sàng tuân thủ hơn</t>
  </si>
  <si>
    <t>Chính sách mới tăng mức giảm trừ gia cảnh và đơn giản hóa biểu thuế, tạo ra nhiều thuận lợi cho người nộp thuế. Cơ quan thuế có công nghệ hiện đại giúp phát hiện hành vi gian lận.</t>
  </si>
  <si>
    <t>Công nghệ tiên tiến và quản lý hiệu quả của cơ quan thuế đã giảm thiểu khả năng trốn thuế, tăng cường xử lý nghiêm các trường hợp vi phạm.</t>
  </si>
  <si>
    <t>Biểu thuế mới đơn giản với 5 bậc thay vì 7 bậc trước đây. Quy trình khai báo và làm việc với cơ quan thuế trở nên dễ dàng hơn.</t>
  </si>
  <si>
    <t>Mức thuế mới có thể giúp người dân hiểu rõ hơn về quy định, giảm bớt sự phức tạp khi tính toán.</t>
  </si>
  <si>
    <t>Chính sách mới tăng giảm trừ gia cảnh và đơn giản hóa biểu thuế. Điều này tạo niềm tin rằng cơ quan thuế sẽ công bằng trong việc áp dụng chính sách.</t>
  </si>
  <si>
    <t>Mức thuế mới có thể phù hợp với thu nhập của tôi, nhưng vẫn cần xem xét hiệu quả sử dụng tiền thuế để đánh giá sự công bằng.</t>
  </si>
  <si>
    <t>Tăng giảm trừ gia cảnh và đơn giản hóa biểu thuế tạo niềm tin rằng số tiền đóng góp sẽ được sử dụng hiệu quả cho dịch vụ công</t>
  </si>
  <si>
    <t>Chính phủ đã giải thích rõ ràng về mục tiêu của chính sách, nhưng cần xem xét thêm thông tin về kết quả thực tế để đánh giá.</t>
  </si>
  <si>
    <t>Sau khi cân nhắc các ưu điểm và lợi ích từ chính sách mới, tôi sẽ ủng hộ và tuân thủ. Tuy nhiên, vẫn cần thời gian để xem xét hiệu quả thực tế của chính sách.</t>
  </si>
  <si>
    <t>Việc tăng giảm trừ gia cảnh và đơn giản hóa biểu thuế có thể làm giảm động cơ trốn thuế. Công nghệ hiện đại cũng giúp phát hiện gian lận dễ dàng hơn.</t>
  </si>
  <si>
    <t>Công nghệ hiện đại như AI, big data được áp dụng trong quản lý thuế sẽ tăng cường hiệu quả phát hiện và xử lý trốn thuế. Cơ quan thuế cũng đã nâng cao năng lực của mình.</t>
  </si>
  <si>
    <t>Bậc thuế đơn giản hơn và giảm trừ gia cảnh lớn hơn có thể khiến khai báo thuế trở nên dễ dàng hơn.</t>
  </si>
  <si>
    <t>Biểu thuế mới đơn giản, rõ ràng hơn so với trước đây. Việc giảm số bậc thuế cũng giúp việc tính toán và thực hiện thuế thuận tiện hơn.</t>
  </si>
  <si>
    <t>Chính sách mới có mức giảm trừ gia cảnh lớn hơn, thể hiện sự công bằng trong đối xử giữa các cá nhân nộp thuế. Cơ quan thuế cũng đã tăng cường minh bạch.</t>
  </si>
  <si>
    <t>Mức thuế mới được thiết kế dựa trên thu nhập, đảm bảo tính công bằng cho người nộp thuế có mức thu nhập tương tự.</t>
  </si>
  <si>
    <t>Thuế mới sẽ được sử dụng hiệu quả để cải thiện các dịch vụ công như y tế và giao thông. Tuy nhiên, việc thực thi còn phụ thuộc vào nhiều yếu tố khác.</t>
  </si>
  <si>
    <t>Cơ quan thuế đã cung cấp thông tin minh bạch về chính sách mới. Tuy nhiên, mức độ thuyết phục còn phụ thuộc vào cách truyền đạt và hiểu biết của cá nhân.</t>
  </si>
  <si>
    <t>Mức thuế mới phù hợp với thu nhập hiện tại, giảm gánh nặng cho người nộp thuế. Tuy nhiên, quyết định tuân thủ cũng cần xem xét yếu tố khác như rủi ro và tin tưởng vào cơ quan thuế.</t>
  </si>
  <si>
    <t>Hiện nay, với các quy định quản lý thuế mới và công nghệ hiện đại, việc phát hiện hành vi gian lận hoặc trốn thuế sẽ được nâng cao. Tuy nhiên, vẫn còn khả năng bị bỏ sót trong một số trường hợp.</t>
  </si>
  <si>
    <t>Nhà nước và cơ quan thuế có nhiều công nghệ tiên tiến để phát hiện và xử lý các hành vi trốn thuế. Tuy nhiên, vẫn cần sự phối hợp chặt chẽ từ phía người nộp thuế.</t>
  </si>
  <si>
    <t>Các quy định mới về biểu thuế đơn giản hơn, giảm số bậc thuế và tăng mức giảm trừ gia cảnh giúp quá trình khai báo thuế trở nên thuận tiện hơn. Tuy nhiên, việc thực hiện vẫn phụ thuộc vào sự tuân thủ của người nộp thuế.</t>
  </si>
  <si>
    <t>Thay đổi về biểu thuế và bậc thuế mới đơn giản hóa quá trình tính thuế, giúp dễ hiểu và dễ thực hiện hơn. Tuy nhiên, việc áp dụng cụ thể còn phụ thuộc vào cách giải thích của cơ quan thuế.</t>
  </si>
  <si>
    <t>Nhà nước đã cải thiện quy định về giảm trừ gia cảnh và đơn giản hóa biểu thuế, tạo ra một hệ thống công bằng hơn. Tuy nhiên, vẫn cần sự minh bạch trong quá trình thực thi.</t>
  </si>
  <si>
    <t>Mức thu thuế mới được thiết kế để phù hợp với mức thu nhập của tôi, cảm thấy tương đối công bằng. Tuy nhiên, việc áp dụng cụ thể còn phụ thuộc vào cách hiểu và giải thích</t>
  </si>
  <si>
    <t>Thuế đóng góp cho các dịch vụ công như y tế, đường xá... tôi tin rằng số tiền thuế sẽ được sử dụng hiệu quả. Tuy nhiên, vẫn cần sự minh bạch trong quá trình sử dụng nguồn thu</t>
  </si>
  <si>
    <t>Nhà nước đã giải thích về các thay đổi và mục tiêu của chính sách mới nhưng vẫn còn cần nhiều thông tin hơn để thuyết phục tôi hoàn toàn.</t>
  </si>
  <si>
    <t>Sau khi xem xét, tôi ủng hộ chính sách mới vì mức thuế giảm đi giúp cải thiện khả năng tuân thủ. Tuy nhiên, việc thực hiện cụ thể còn phụ thuộc vào cách áp dụng của cơ quan thuế.</t>
  </si>
  <si>
    <t>Các quy định quản lý thuế hiện nay có nhiều cải tiến, nhưng vẫn còn lo ngại về khả năng phát hiện trốn thuế. Công nghệ hiện đại giúp tăng cường giám sát.</t>
  </si>
  <si>
    <t>Nhà nước và cơ quan thuế đã đầu tư vào công nghệ để phát hiện gian lận, nhưng vẫn cần cải thiện hơn nữa về khả năng xử lý nghiêm các hành vi trốn thuế.</t>
  </si>
  <si>
    <t>Các thủ tục khai báo thuế đơn giản hơn so với trước đây, giảm thời gian và công sức cho người nộp thuế. Quy trình làm việc với cơ quan thuế cũng thuận tiện hơn.</t>
  </si>
  <si>
    <t>Way of calculating and the tax brackets in the new scheme are simpler compared to before, making it easier for taxpayers to understand and comply with the rules.</t>
  </si>
  <si>
    <t>Nhà nước và cơ quan thuế có thể thực thi chính sách một cách công bằng, nhưng vẫn cần đảm bảo minh bạch trong quá trình thực hiện.</t>
  </si>
  <si>
    <t>Mức thuế mới được thiết kế để hợp lý với thu nhập của tôi, tạo cảm giác công bằng. Tuy nhiên, vẫn cần thời gian để đánh giá hiệu quả thực tế.</t>
  </si>
  <si>
    <t>Tôi tin rằng số tiền thuế đóng sẽ được sử dụng hiệu quả cho các dịch vụ công, nhưng cần thêm thông tin về cách sử dụng chi tiết.</t>
  </si>
  <si>
    <t>Nhà nước đã giải thích rõ ràng về mục tiêu của chính sách mới, tạo niềm tin với tôi. Tuy nhiên, cần cải thiện hơn trong việc minh bạch thông tin.</t>
  </si>
  <si>
    <t>Dù các quyền lợi và nghĩa vụ rõ ràng, nhưng vẫn có lo ngại về khả năng thực thi chính sách một cách công bằng. Tôi sẽ xem xét kỹ trước khi tuân thủ hoàn toàn.</t>
  </si>
  <si>
    <t>Các quy định quản lý thuế hiện tại có nhiều nâng cấp về công nghệ, tăng cường giám sát và xử lý nghiêm các hành vi trốn thuế. Điều này làm giảm khả năng gian lận.</t>
  </si>
  <si>
    <t>Nhà nước đã đầu tư vào hệ thống công nghệ thông tin để phát hiện và xử lý trốn thuế hiệu quả hơn. Tuy nhiên, vẫn còn nhiều yếu tố phụ thuộc vào nguồn lực thực tế.</t>
  </si>
  <si>
    <t>Biểu thuế đơn giản hơn với ít bậc thuế, cùng việc giảm trừ gia cảnh lớn hơn giúp quá trình khai báo trở nên dễ dàng và nhanh chóng hơn so với trước đây.</t>
  </si>
  <si>
    <t>Cách tính thuế mới rõ ràng hơn, các bậc thuế cũng đơn giản hóa, giúp người dân dễ hiểu và thực hiện.</t>
  </si>
  <si>
    <t>Nhà nước đã cải thiện quy định về giảm trừ gia cảnh, tạo ra một môi trường công bằng hơn đối với mọi người nộp thuế.</t>
  </si>
  <si>
    <t>Mức thuế mới có vẻ hợp lý dựa trên thu nhập hiện tại của tôi. Tuy nhiên, việc đánh thuế ở mức cao vẫn khiến tôi lo ngại về công bằng.</t>
  </si>
  <si>
    <t>Tôi tin rằng số tiền thuế đóng sẽ được sử dụng hiệu quả cho các dịch vụ công. Tuy nhiên, sự minh bạch trong việc chi tiêu ngân sách vẫn cần được cải thiện.</t>
  </si>
  <si>
    <t>Nhà nước đã giải thích về mục đích của cải cách thuế một cách rõ ràng và minh bạch hơn. Tuy nhiên, tôi muốn thấy thông tin này được cung cấp thường xuyên hơn để có sự thuyết phục cao hơn.</t>
  </si>
  <si>
    <t>Tôi ủng hộ chính sách mới vì lợi ích tài chính và giảm trừ gia cảnh tăng lên. Tuy nhiên, việc thực thi thuế vẫn khiến tôi lo ngại về độ tin cậy của hệ thống.</t>
  </si>
  <si>
    <t>Theo thông tin cải cách, các quy định quản lý thuế hiện nay không rõ ràng về khả năng phát hiện trốn thuế. Tuy nhiên, với sự hỗ trợ của công nghệ, việc phát hiện gian lận có thể dễ dàng hơn.</t>
  </si>
  <si>
    <t>Công nghệ ngày càng tiên tiến và Chính phủ đã đầu tư vào hệ thống quản lý thuế, tăng khả năng phát hiện trốn thuế. Tuy nhiên, vẫn còn một số lo ngại về sự hiệu quả của hệ thống.</t>
  </si>
  <si>
    <t>Biểu thuế được đơn giản hóa và giảm các bậc thuế suất từ 7 xuống 5, làm cho quy trình khai báo thuế trở nên dễ dàng hơn. Tuy nhiên, việc áp dụng mới có thể gặp một số khó khăn.</t>
  </si>
  <si>
    <t>Cách tính thuế và các bậc thuế mới đơn giản hóa so với trước đây, giúp người nộp thuế hiểu rõ hơn về mức thuế phải đóng. Việc này làm cho quá trình trở nên dễ dàng và minh bạch hơn.</t>
  </si>
  <si>
    <t>Nhà nước đã thực hiện cải cách để đảm bảo tính công bằng trong việc áp dụng các quy định thuế, giảm trừ gia cảnh tăng lên giúp người dân có lợi. Tuy nhiên, vẫn còn một số lo ngại về khả năng thực thi.</t>
  </si>
  <si>
    <t>Mức thuế mới được thiết kế để phù hợp với thu nhập cá nhân hiện nay, nhưng mức tăng giảm từ các bậc thuế cũ sang mới có thể khiến một số người cảm thấy không công bằng.</t>
  </si>
  <si>
    <t>Thuế mới đã góp phần cải thiện chất lượng cuộc sống thông qua việc đầu tư vào dịch vụ công. Tuy nhiên, hiệu quả sử dụng ngân sách vẫn còn cần được đánh giá.</t>
  </si>
  <si>
    <t>Nhà nước đã cung cấp các giải thích về mục tiêu cải cách thuế, nhưng thông tin chưa đầy đủ và minh bạch như một số người mong đợi. Cần thêm thời gian để đánh giá sự hiệu quả của truyền thông.</t>
  </si>
  <si>
    <t>Các quyền lợi từ cải cách thuế có thể làm tăng Niềm tin và cảm giác Công bằng, nhưng vẫn cần xem xét kỹ về việc tuân thủ. Việc áp dụng mới có thể gặp một số khó khăn.</t>
  </si>
  <si>
    <t>Nguyên tắc quản lý thuế hiện nay đã được cải thiện, có thể phát hiện hành vi gian lận hoặc trốn thuế.</t>
  </si>
  <si>
    <t>Công nghệ số hóa và quy định mới về quản lý thuế sẽ tăng cường khả năng phát hiện và xử lý các hành vi trốn thuế.</t>
  </si>
  <si>
    <t>Mức giảm trừ gia cảnh được nâng cao, thủ tục khai báo thuế đơn giản hơn, giúp việc làm việc với cơ quan thuế trở nên dễ dàng.</t>
  </si>
  <si>
    <t>Cách tính và bậc thuế mới đơn giản hóa quy trình, người dân hiểu rõ hơn về thuế của mình.</t>
  </si>
  <si>
    <t>Nhà nước đã cải thiện quy định để xử lý công bằng giữa các đối tượng nộp thuế.</t>
  </si>
  <si>
    <t>Mức thuế mới được thiết kế dựa trên thu nhập, tạo cảm giác công bằng cho người nộp thuế.</t>
  </si>
  <si>
    <t>Thuế được sử dụng vào các dịch vụ công cần thiết, tạo niềm tin rằng thuế đóng góp có tác động tích cực.</t>
  </si>
  <si>
    <t>Các thông báo về mục tiêu và lý do của cải cách thuế đã rõ ràng hơn, nhưng vẫn còn một số điều cần giải thích thêm.</t>
  </si>
  <si>
    <t>Chính sách mới có lợi cho người dân với mức giảm trừ gia cảnh cao hơn và quy trình đơn giản hơn, tăng khả năng tuân thủ.</t>
  </si>
  <si>
    <t>Tăng mức giảm trừ gia cảnh và đơn giản hóa biểu thuế có thể làm giảm cơ hội trốn thuế, nhưng vẫn còn nhiều yếu tố phụ thuộc vào công nghệ và thực thi.</t>
  </si>
  <si>
    <t>Công nghệ hiện đại giúp phát hiện gian lận nhanh chóng hơn, tuy nhiên khả năng xử lý nghiêm túc của cơ quan thuế vẫn cần thời gian để cải thiện.</t>
  </si>
  <si>
    <t>Mức giảm trừ gia cảnh tăng và đơn giản hóa biểu thuế làm thủ tục khai báo trở nên dễ dàng hơn, nhưng việc thực hiện có thể phụ thuộc vào cơ sở dữ liệu của nhà nước.</t>
  </si>
  <si>
    <t>Cách tính thuế mới đơn giản hơn so với trước đây, giúp người nộp thuế dễ hiểu và thực hiện hơn.</t>
  </si>
  <si>
    <t>Mức giảm trừ gia cảnh tăng có thể làm giảm gánh nặng thuế, nhưng vẫn cần thời gian để mọi người tin tưởng vào sự công bằng của hệ thống.</t>
  </si>
  <si>
    <t>Thuế suất mới có vẻ hợp lý đối với thu nhập hiện tại, tuy nhiên mức độ tin tưởng về tính công bằng phụ thuộc vào việc thực thi chính sách.</t>
  </si>
  <si>
    <t>Mức giảm trừ gia cảnh tăng và đơn giản hóa thuế suất làm giảm gánh nặng tài chính, nhưng vẫn cần thời gian để thấy hiệu quả trong các dịch vụ công</t>
  </si>
  <si>
    <t>Thông tin về việc sửa đổi thuế được cung cấp đầy đủ hơn so với trước đây, tuy nhiên vẫn cần thêm thời gian để mọi người hiểu rõ.</t>
  </si>
  <si>
    <t>Thuế suất mới và mức giảm trừ gia cảnh tăng có thể làm giảm gánh nặng tài chính, nhưng quyết định tuân thủ phụ thuộc vào nhiều yếu tố khác</t>
  </si>
  <si>
    <t>Nếu các quy định quản lý thuế hiện tại được áp dụng, hành vi gian lận hoặc trốn thuế sẽ dễ dàng bị phát hiện do mức giảm trừ gia cảnh tăng mạnh và số bậc thuế giảm. Điều này làm cho việc khai báo trở nên rõ ràng hơn.</t>
  </si>
  <si>
    <t>Nhà nước và cơ quan thuế có đủ công nghệ để theo dõi các giao dịch tài chính cá nhân, do đó tăng khả năng phát hiện hành vi trốn thuế. Mức giảm trừ gia cảnh tăng mạnh cũng giúp việc tuân thủ dễ dàng hơn.</t>
  </si>
  <si>
    <t>Hệ thống giảm trừ gia cảnh mới và số bậc thuế đơn giản hóa đã làm cho quy trình khai báo thuế trở nên thuận tiện hơn. Người dân không còn phải lo lắng với nhiều hạng mức thuế phức tạp.</t>
  </si>
  <si>
    <t>Phương án mới về thuế thu nhập cá nhân có ít bậc thuế và ngưỡng chịu thuế rõ ràng, do đó dễ hiểu và thực hiện hơn so với trước đây.</t>
  </si>
  <si>
    <t>Nhà nước đã tăng mức giảm trừ gia cảnh và đơn giản hóa biểu thuế, điều này thể hiện sự công bằng trong việc đối xử giữa các cá nhân nộp thuế. Việc áp dụng công nghệ theo dõi cũng đảm bảo tính khách quan của cơ quan thuế.</t>
  </si>
  <si>
    <t>Với mức giảm trừ gia cảnh và số bậc thuế mới, tôi thấy rằng mình đóng một mức thuế hợp lý so với thu nhập hiện tại. Điều này tạo nên sự công bằng trong việc phân chia gánh nặng thuế.</t>
  </si>
  <si>
    <t>Nhà nước đã tăng mức giảm trừ gia cảnh và đơn giản hóa biểu thuế, điều này thể hiện sự công bằng trong việc đối xử giữa các cá nhân nộp thuế. Việc áp dụng công nghệ theo dõi cũng đảm bảo số tiền thuế tôi đóng sẽ được sử dụng hiệu quả.</t>
  </si>
  <si>
    <t>Sau khi xem xét mức giảm trừ gia cảnh tăng mạnh và sự đơn giản hóa biểu thuế, tôi thấy rằng chính sách mới là hợp lý. Việc áp dụng công nghệ theo dõi cũng tạo niềm tin vào việc thực thi pháp luật một cách minh bạch.</t>
  </si>
  <si>
    <t>Biện pháp quản lý thuế mới chưa rõ ràng, khả năng phát hiện gian lận còn hạn chế.</t>
  </si>
  <si>
    <t>Công nghệ hiện đại giúp tăng cường giám sát nhưng vẫn còn yếu điểm trong thực thi.</t>
  </si>
  <si>
    <t>Mức giảm trừ gia cảnh cao hơn, quy trình khai thuế đơn giản hơn so với trước đây.</t>
  </si>
  <si>
    <t>Biểu thuế mới đơn giản hơn nhưng vẫn cần làm quen với các thay đổi.</t>
  </si>
  <si>
    <t>Công bằng trong việc phân bổ giảm trừ gia cảnh, cơ hội tiếp cận dịch vụ công rộng mở hơn.</t>
  </si>
  <si>
    <t>Thuế mới có thể hợp lý nhưng cần thời gian để đánh giá hiệu quả thực tế.</t>
  </si>
  <si>
    <t>Niềm tin vào việc sử dụng tiền thuế cho dịch vụ công còn hạn chế do kinh nghiệm trước đây.</t>
  </si>
  <si>
    <t>Truyền thông về chính sách mới chưa đủ rõ ràng, người dân cần thời gian để hiểu</t>
  </si>
  <si>
    <t>Tính linh hoạt trong thuế suất có thể giúp giảm gánh nặng nhưng quyết định cuối cùng phụ thuộc nhiều vào khả năng quản lý.</t>
  </si>
  <si>
    <t>Nhiều cải cách về quản lý thuế như tăng giảm trừ gia cảnh, đơn giản hóa biểu thuế đã làm cho hành vi trốn thuế khó khăn hơn. Công nghệ hiện đại cũng hỗ trợ việc phát hiện trốn thuế tốt hơn.</t>
  </si>
  <si>
    <t>Công nghệ số và hệ thống quản lý thuế tự động đã được triển khai rộng rãi, giúp tăng cường khả năng giám sát và xử lý nghiêm các hành vi trốn thuế. Cơ quan thuế cũng có nhiều nguồn lực hơn để thực hiện công việc.</t>
  </si>
  <si>
    <t>Mức giảm trừ gia cảnh cao hơn và số bậc thuế ít hơn đã làm cho quá trình khai báo thuế đơn giản hơn, nhanh chóng hơn. Nhiều dịch vụ trực tuyến như app nộp thuế cũng được cải thiện.</t>
  </si>
  <si>
    <t>Biểu thuế đơn giản hóa từ 7 bậc xuống còn 5 bậc đã giúp người dân dễ hiểu và thực hiện việc tính thuế của mình hơn. Các quy định mới rõ ràng hơn, làm cho quá trình tuân thủ trở nên thuận tiện.</t>
  </si>
  <si>
    <t>Nhìn chung các quy định về giảm trừ gia cảnh và mức thuế đã được cải thiện, tạo ra một hệ thống công bằng hơn. Tôi tin rằng cơ quan thuế sẽ thực thi chính sách này một cách khách quan.</t>
  </si>
  <si>
    <t>Mức thuế mới có vẻ hợp lý so với thu nhập hiện tại của tôi, không tạo ra bất lợi quá lớn. Tuy nhiên, việc cải cách chưa hoàn toàn thuyết phục được mọi người.</t>
  </si>
  <si>
    <t>Thuê đóng vào các dịch vụ công như y tế và đường xá đã tăng lên so với trước đây. Tôi tin rằng số tiền thuế tôi đóng sẽ được sử dụng hiệu quả để cải thiện chất lượng cuộc sống.</t>
  </si>
  <si>
    <t>Những thông điệp từ chính phủ về lý do và mục tiêu của việc sửa đổi thuế đã được truyền tải nhưng chưa đủ rõ ràng. Tôi cần thêm thông tin minh bạch hơn để cảm thấy chắc chắn.</t>
  </si>
  <si>
    <t>Tổng thể, tôi ủng hộ chính sách mới vì nó tạo ra một hệ thống thuế công bằng và thuận tiện hơn cho người dân. Tuy nhiên, việc mất một số quyền lợi từ trước vẫn khiến tôi cân nhắc.</t>
  </si>
  <si>
    <t>Các quy định quản lý thuế hiện nay được cải thiện, đặc biệt với việc tăng giảm trừ gia cảnh và đơn giản hóa biểu thuế. Tuy nhiên, vẫn còn nghi ngại về khả năng phát hiện trốn thuế do thiếu công nghệ tiên tiến.</t>
  </si>
  <si>
    <t>Nhà nước đã cải thiện công nghệ quản lý thuế, nhưng vẫn cần thời gian để áp dụng rộng rãi và hiệu quả. Công nghệ hiện tại chưa hoàn toàn ngăn chặn trốn thuế triệt để.</t>
  </si>
  <si>
    <t>Thủ tục khai báo thuế được đơn giản hóa, giảm số bậc thuế từ 7 xuống còn 5, tạo thuận lợi cho người dân. Tuy nhiên, việc áp dụng rộng rãi các quy định mới vẫn cần thời gian.</t>
  </si>
  <si>
    <t>Cách tính thuế và các bậc thuế trong phương án mới đơn giản hơn trước đây, nhưng vẫn có sự phức tạp về thuế suất và ngưỡng chịu thuế. Sự thay đổi này tạo cảm giác thuận lợi cho người nộp thuế.</t>
  </si>
  <si>
    <t>Việc tăng giảm trừ gia cảnh và đơn giản hóa biểu thuế tạo cảm giác công bằng hơn, nhưng vẫn cần thời gian để thực thi chính sách mới một cách công tâm. Công tác truyền thông về việc thực thi chính sách mới chưa đầy đủ.</t>
  </si>
  <si>
    <t>Mức thuế mới được thiết kế hợp lý đối với thu nhập hiện tại của tôi, tạo cảm giác công bằng hơn so với trước đây. Tuy nhiên, vẫn cần thời gian để đánh giá hiệu quả thực tế.</t>
  </si>
  <si>
    <t>Số tiền thuế đóng được sử dụng vào các dịch vụ công là vấn đề quan tâm, nhưng việc cải thiện này phụ thuộc vào quản lý tài chính và hiệu quả của Nhà nước. Công tác truyền thông về việc sử dụng số tiền thuế chưa đầy đủ.</t>
  </si>
  <si>
    <t>Nhà nước đã giải thích rõ ràng về mục tiêu cải cách, nhưng vẫn cần thời gian để thuyết phục người dân rằng các quyết định này là phù hợp. Công tác truyền thông về việc thực hiện chính sách mới chưa đầy đủ.</t>
  </si>
  <si>
    <t>Sau khi cân nhắc lợi ích và nghĩa vụ, tôi ủng hộ chính sách mới do mức thuế giảm và thuận tiện hơn so với trước đây. Tuy nhiên, vẫn cần thời gian để đánh giá hiệu quả thực tế.</t>
  </si>
  <si>
    <t>Quy định quản lý thuế hiện nay chưa rõ ràng, khả năng phát hiện gian lận hoặc trốn thuế còn thấp.</t>
  </si>
  <si>
    <t>Công nghệ theo dõi và phát hiện trốn thuế của cơ quan thuế đã cải thiện nhưng vẫn không hoàn toàn hiệu quả.</t>
  </si>
  <si>
    <t>Mức giảm trừ gia cảnh cao hơn, việc khai báo thuế đơn giản hóa nên thuận tiện hơn cho người nộp thuế.</t>
  </si>
  <si>
    <t>Bậc thuế ít đi nhưng mức thu nhập chịu thuế cao hơn, tạo cảm giác rõ ràng hơn về cách tính thuế.</t>
  </si>
  <si>
    <t>Niềm tin vào sự khách quan và công bằng trong việc thực thi chính sách chưa cao do vẫn có nhiều lo ngại.</t>
  </si>
  <si>
    <t>Mức thuế mới được thiết kế dựa trên thu nhập, nhưng không chắc chắn mức này đã phản ánh sự công bằng đúng nghĩa.</t>
  </si>
  <si>
    <t>Việc sử dụng số tiền thuế đóng vào dịch vụ công chưa rõ ràng, gây ra nhiều lo ngại về hiệu quả sử dụng.</t>
  </si>
  <si>
    <t>Thông tin giải thích từ nhà nước còn hạn chế và chưa thuyết phục được tất cả người dân.</t>
  </si>
  <si>
    <t>Công bằng, thuận tiện và giảm gánh nặng thuế nhưng vẫn có nhiều lo ngại về thực thi và hiệu quả sử dụng.</t>
  </si>
  <si>
    <t>Dựa trên thông tin cải cách thuế mới, mức giảm trừ gia cảnh tăng lên và quy định quản lý thuế có thể phát hiện trốn thuế dễ dàng hơn. Tuy nhiên, vẫn cần công nghệ hỗ trợ để phát hiện triệt để.</t>
  </si>
  <si>
    <t>Việc áp dụng công nghệ tiên tiến trong quản lý thuế như AI và Big Data có thể giúp tăng cường khả năng phát hiện trốn thuế. Tuy nhiên, vẫn cần nguồn lực và chiến lược phù hợp để triển khai.</t>
  </si>
  <si>
    <t>Biểu thuế được đơn giản hóa từ 7 bậc xuống còn 5 bậc, quy trình làm việc với cơ quan thuế cũng thuận tiện hơn. Tuy nhiên, vẫn cần thời gian để người dân quen thuộc.</t>
  </si>
  <si>
    <t>Cách tính thuế mới đơn giản và dễ hiểu hơn so với trước đây. Thu nhập từ 30 triệu trở lên chịu thuế suất cao hơn, tạo cảm giác công bằng cho thu nhập cao hơn.</t>
  </si>
  <si>
    <t>Niềm tin vào sự công bằng của cơ quan thuế tăng lên do mức giảm trừ gia cảnh và các quy định mới. Tuy nhiên, vẫn cần thời gian để mọi người cảm thấy hài lòng với cách thực thi.</t>
  </si>
  <si>
    <t>Mức thuế mới được coi là công bằng cho thu nhập hiện tại của tôi. Tuy nhiên, mức thuế đối với thu nhập cao hơn vẫn có thể gây nghi ngờ về tính công bằng.</t>
  </si>
  <si>
    <t>Số tiền thuế đóng sẽ được sử dụng hiệu quả để cải thiện dịch vụ công như y tế và giao thông. Tuy nhiên, việc thực hiện dự án cụ thể cần thời gian để đánh giá.</t>
  </si>
  <si>
    <t>Nhà nước đã giải thích rõ ràng về mục tiêu của chính sách mới. Tuy nhiên, vẫn cần thêm thông tin chi tiết về cách sử dụng số tiền thuế thu được.</t>
  </si>
  <si>
    <t>Sau khi xem xét, tôi ủng hộ và tuân thủ chính sách mới vì mức giảm trừ gia cảnh cao hơn và quy định quản lý thuế đơn giản hơn. Tuy nhiên, cần thời gian để đánh giá hiệu quả thực tế.</t>
  </si>
  <si>
    <t>Mức giảm trừ gia cảnh tăng và quy định quản lý thuế chặt chẽ hơn, khiến trốn thuế khó khăn.</t>
  </si>
  <si>
    <t>Công nghệ hiện đại giúp phát hiện gian lận hiệu quả, cùng với việc tăng cường quản lý thuế.</t>
  </si>
  <si>
    <t>Bậc thuế giảm từ 7 xuống 5, quy trình khai báo đơn giản hơn và số lượng giấy tờ cần thiết cũng ít đi.</t>
  </si>
  <si>
    <t>Cách tính thuế mới rõ ràng hơn, các bậc thuế được điều chỉnh hợp lý, dễ hiểu cho người nộp thuế.</t>
  </si>
  <si>
    <t>Nhà nước đã công bố rõ ràng về việc tăng giảm trừ gia cảnh, cải cách quy định quản lý thuế công bằng đối với mọi người.</t>
  </si>
  <si>
    <t>Mức thuế mới dựa trên thu nhập cá nhân, đảm bảo tính công bằng cho từng nhóm thu nhập khác nhau.</t>
  </si>
  <si>
    <t>Tăng giảm trừ gia cảnh giúp người dân đóng góp hợp lý hơn vào ngân sách, số tiền thuế sẽ được sử dụng hiệu quả.</t>
  </si>
  <si>
    <t>Thông tin về cải cách thuế đã được công bố rõ ràng, minh bạch, nhưng vẫn có điểm chưa thuyết phục đối với một số người.</t>
  </si>
  <si>
    <t>Cải cách giúp giảm gánh nặng thuế cho thu nhập thấp và trung bình, tăng sự ủng hộ từ cộng đồng. Tuy nhiên, rủi ro vẫn còn tồn tại về tuân thủ.</t>
  </si>
  <si>
    <t>Nâng cao mức giảm trừ gia cảnh và đơn giản hóa biểu thuế có thể làm giảm cơ hội trốn thuế, nhưng vẫn cần công nghệ phát hiện để đảm bảo hiệu quả.</t>
  </si>
  <si>
    <t>Công nghệ ngày càng tiến bộ giúp nhà nước dễ dàng phát hiện hành vi trốn thuế, tuy nhiên, thực tế có thể còn nhiều thách thức về nguồn lực và quy định pháp luật.</t>
  </si>
  <si>
    <t>Mức giảm trừ gia cảnh cao hơn, cùng với việc đơn giản hóa biểu thuế tạo cảm giác thuận tiện hơn cho người nộp thuế.</t>
  </si>
  <si>
    <t>Biểu thuế mới đơn giản hơn so với trước đây, dễ hiểu và thực hiện nhanh chóng hơn.</t>
  </si>
  <si>
    <t>Nhà nước đã cải thiện giảm trừ gia cảnh và đơn giản hóa biểu thuế, tạo cảm giác công bằng trong việc áp dụng chính sách.</t>
  </si>
  <si>
    <t>Mức thuế mới dựa trên thu nhập có thể xem là công bằng, nhưng vẫn cần thời gian để đánh giá hiệu quả thực tế.</t>
  </si>
  <si>
    <t>Giảm trừ gia cảnh cao hơn và đơn giản hóa biểu thuế tạo niềm tin rằng số tiền thuế đóng sẽ được sử dụng hiệu quả cho dịch vụ công.</t>
  </si>
  <si>
    <t>Các thông điệp về cải cách thuế đã được truyền tải rõ ràng, nhưng cần thêm thời gian để đánh giá sự minh bạch trong thực thi.</t>
  </si>
  <si>
    <t>Niềm tin và cảm giác công bằng từ chính sách mới làm tăng khả năng tuân thủ, mặc dù vẫn có nghi ngờ về việc xử lý trốn thuế.</t>
  </si>
  <si>
    <t>Điều kiện quản lý thuế hiện tại không rõ ràng, nhưng tăng giảm trừ gia cảnh có thể làm giảm rủi ro trốn thuế.</t>
  </si>
  <si>
    <t>Công nghệ phát triển giúp phát hiện gian lận nhanh chóng, nhưng còn phụ thuộc vào khả năng của cơ quan thuế.</t>
  </si>
  <si>
    <t>Mức giảm trừ gia cảnh cao hơn có thể làm đơn giản hóa thủ tục một phần, nhưng quy trình vẫn phức tạp.</t>
  </si>
  <si>
    <t>Biểu thuế đơn giản hơn giúp tính toán dễ dàng, nhưng cần thời gian để quen với các thay đổi.</t>
  </si>
  <si>
    <t>Chính sách mới có thể làm giảm gánh nặng thuế cho người thu nhập thấp, tạo niềm tin về sự công bằng.</t>
  </si>
  <si>
    <t>Thuế suất và ngưỡng chịu thuế thay đổi theo thu nhập, nhưng cần thời gian để đánh giá mức độ công bằng.</t>
  </si>
  <si>
    <t>Tăng giảm trừ gia cảnh có thể cải thiện dịch vụ công, nhưng hiệu quả sử dụng còn phụ thuộc vào quản lý ngân sách.</t>
  </si>
  <si>
    <t>Các thông tin giải thích về chính sách mới chưa đủ rõ ràng cho các nhóm tuổi lớn hơn.</t>
  </si>
  <si>
    <t>Thay đổi tích cực trong chính sách có thể tăng khả năng tuân thủ, nhưng cần thời gian để đánh giá hiệu quả tổng thể.</t>
  </si>
  <si>
    <t>Nhu cầu tăng mức giảm trừ gia cảnh và đơn giản hóa biểu thuế đều giúp làm giảm gian lận, nhưng không đảm bảo 100% phát hiện được hành vi trốn thuế.</t>
  </si>
  <si>
    <t>Công nghệ phát triển sẽ hỗ trợ tốt hơn trong việc phát hiện hành vi trốn thuế, tuy nhiên vẫn cần nguồn lực và quy trình quản lý hiệu quả.</t>
  </si>
  <si>
    <t>Thu nhập giảm trừ gia cảnh cao hơn trước đây và số bậc thuế ít đi làm thủ tục khai báo thuế đơn giản, tiện lợi hơn.</t>
  </si>
  <si>
    <t>Bậc thuế đơn giản hóa từ 7 xuống còn 5 bậc, đồng thời mức giảm trừ gia cảnh tăng, tạo sự dễ hiểu và thực hiện đơn giản hơn.</t>
  </si>
  <si>
    <t>Mức giảm trừ gia cảnh cao hơn giúp tôi tin rằng chính sách mới đối xử công bằng với người nộp thuế có thu nhập thấp hơn.</t>
  </si>
  <si>
    <t>Thuế suất và ngưỡng chịu thuế được điều chỉnh sao cho phù hợp với từng mức thu nhập, tạo cảm giác công bằng khi đóng thuế.</t>
  </si>
  <si>
    <t>Mức giảm trừ gia cảnh tăng, đồng thời số bậc thuế giảm đi giúp tôi tin rằng tiền thuế đóng sẽ được sử dụng hiệu quả cho dịch vụ công.</t>
  </si>
  <si>
    <t>Thông tin về cải cách thuế đã được truyền tải qua nhiều kênh nhưng chưa đầy đủ và rõ ràng, do đó tôi cần thêm thời gian để đánh giá.</t>
  </si>
  <si>
    <t>Thu nhập giảm trừ gia cảnh cao hơn và thủ tục đơn giản hơn tạo điều kiện thuận lợi cho việc tuân thủ chính sách mới, nhưng vẫn có một chút lo ngại về sự công bằng.</t>
  </si>
  <si>
    <t>Tăng mức giảm trừ gia cảnh có thể làm giảm gánh nặng thuế cho người dân, nhưng không đảm bảo phát hiện trốn thuế dễ dàng hơn. Công nghệ phát hiện trốn thuế vẫn còn hạn chế.</t>
  </si>
  <si>
    <t>Công nghệ ngày càng tiên tiến giúp phát hiện trốn thuế hiệu quả hơn. Việc tăng mức giảm trừ gia cảnh cũng giảm gánh nặng, tạo niềm tin cho người dân tuân thủ.</t>
  </si>
  <si>
    <t>Biểu thuế đơn giản hơn nhưng không có thông tin rõ ràng về quy trình khai báo. Người dân vẫn gặp khó khăn trong việc khai báo và làm việc với cơ quan thuế.</t>
  </si>
  <si>
    <t>Cách tính thuế mới đơn giản, dễ hiểu hơn nhưng không phải toàn bộ người dân đều cảm thấy thuận tiện khi áp dụng.</t>
  </si>
  <si>
    <t>Nâng cao mức giảm trừ gia cảnh tạo niềm tin cho người nộp thuế. Tuy nhiên, việc thực thi công bằng vẫn còn phụ thuộc vào cách triển khai chính sách</t>
  </si>
  <si>
    <t>Mức thuế mới được đánh giá là công bằng hơn so với trước đây, nhưng không phải ai cũng đồng ý. Người thu nhập thấp thấy lợi ích rõ ràng hơn người thu nhập cao.</t>
  </si>
  <si>
    <t>Nâng mức giảm trừ gia cảnh tạo niềm tin cho người nộp thuế về việc số tiền đóng thuế được sử dụng hiệu quả. Tuy nhiên, thực tế cải thiện dịch vụ công còn phụ thuộc vào nhiều yếu tố khác</t>
  </si>
  <si>
    <t>Giải thích rõ ràng về mức giảm trừ gia cảnh và cách tính thuế mới tạo niềm tin cho người dân. Tuy nhiên, việc giải thích hoàn toàn không làm thay đổi nhận thức của người đa nghi.</t>
  </si>
  <si>
    <t>Nâng cao mức giảm trừ gia cảnh tạo sự ủng hộ và tăng khả năng tuân thủ. Tuy nhiên, cải cách thuế chưa mang lại lợi ích rõ ràng cho tất cả mọi người</t>
  </si>
  <si>
    <t>Việc tăng giảm trừ gia cảnh và đơn giản hóa biểu thuế có thể làm giảm cơ hội trốn thuế, tuy nhiên, khả năng phát hiện và xử lý vẫn phụ thuộc vào công nghệ và nguồn lực của nhà nước.</t>
  </si>
  <si>
    <t>Công nghệ ngày càng phát triển, giúp tăng cường hiệu quả giám sát, nhưng vẫn cần nguồn lực và quyết tâm từ các cơ quan thuế để thực hiện.</t>
  </si>
  <si>
    <t>Mức giảm trừ gia cảnh cao hơn và số bậc thuế ít hơn có thể làm cho thủ tục đơn giản hóa, tuy nhiên việc thực thi vẫn phụ thuộc vào năng lực quản lý của cơ quan thuế.</t>
  </si>
  <si>
    <t>Biểu thuế được đơn giản hóa từ nhiều bậc xuống 5 bậc, giúp người dân dễ hiểu và tính toán hơn.</t>
  </si>
  <si>
    <t>Giảm trừ gia cảnh cao hơn có thể tạo niềm tin rằng chính sách mới công bằng đối với mọi người nộp thuế, song vẫn cần sự minh bạch trong thực thi để tăng lòng tin.</t>
  </si>
  <si>
    <t>Mức thuế mới được thiết kế dựa trên thu nhập, tạo cảm giác rằng mức thuế là công bằng đối với người có cùng mức thu nhập.</t>
  </si>
  <si>
    <t>Giảm trừ gia cảnh cao hơn và mức thuế mới minh bạch có thể làm tăng niềm tin vào việc sử dụng hiệu quả số tiền thuế để cải thiện dịch vụ công</t>
  </si>
  <si>
    <t>Thông tin về lý do và mục tiêu của việc sửa đổi thuế được cung cấp, nhưng mức độ minh bạch còn phụ thuộc vào chất lượng truyền thông.</t>
  </si>
  <si>
    <t>Sau khi xem xét mức giảm trừ gia cảnh cao hơn, số bậc thuế đơn giản và mức thuế công bằng, tôi sẵn sàng tuân thủ chính sách mới với điều kiện việc thực thi minh bạch.</t>
  </si>
  <si>
    <t>Biểu thuế đơn giản, ngưỡng chịu thuế cao hơn có thể làm giảm khả năng gian lận. Công nghệ hiện đại giúp phát hiện trốn thuế dễ dàng.</t>
  </si>
  <si>
    <t>Công nghệ và nguồn lực của cơ quan thuế được đầu tư mạnh mẽ, tăng cường khả năng phát hiện và xử lý trốn thuế.</t>
  </si>
  <si>
    <t>Giảm trừ gia cảnh cao hơn và đơn giản hóa biểu thuế tạo ra quy trình khai báo thuận tiện hơn. Thu nhập thấp không còn phải lo lắng về việc tính toán phức tạp.</t>
  </si>
  <si>
    <t>Công thức tính thuế mới rõ ràng, dễ hiểu và áp dụng thống nhất cho mọi thu nhập.</t>
  </si>
  <si>
    <t>Chính sách cải cách thuế tạo ra sự công bằng hơn giữa các đối tượng nộp thuế. Giảm trừ gia cảnh cao giúp người có thu nhập thấp không còn bị gánh nặng thuế.</t>
  </si>
  <si>
    <t>Thuế mới theo bậc rõ ràng, người thu nhập trung bình như tôi thấy mức thuế đóng là công bằng. Tuy nhiên vẫn lo ngại về việc thực thi chính sách.</t>
  </si>
  <si>
    <t>Công cụ cải cách thuế giúp tăng cường nguồn lực cho dịch vụ công, tuy nhiên còn cần thêm thời gian để thấy hiệu quả rõ ràng.</t>
  </si>
  <si>
    <t>Thông tin giải thích về chính sách mới chưa đầy đủ và chi tiết. Cần có nhiều thông tin minh bạch hơn trước khi đánh giá cao.</t>
  </si>
  <si>
    <t>Sau khi xem xét các quyền lợi và nghĩa vụ, tôi thấy chính sách mới tạo ra sự công bằng và thuận tiện hơn cho người thu nhập trung bình. Tuy nhiên vẫn có lo ngại về việc thực thi.</t>
  </si>
  <si>
    <t>Biện pháp quản lý thuế hiện nay có nhiều công cụ phát hiện gian lận và trốn thuế, tăng cường giám sát.</t>
  </si>
  <si>
    <t>Nhà nước đã đầu tư vào công nghệ để cải thiện khả năng phát hiện trốn thuế, tuy nhiên vẫn cần nỗ lực hơn trong việc thực thi.</t>
  </si>
  <si>
    <t>Mức giảm trừ gia cảnh cao hơn và đơn giản hóa biểu thuế tạo thuận lợi cho quá trình khai báo thuế.</t>
  </si>
  <si>
    <t>Biểu thuế mới với ít bậc hơn giúp việc tính toán dễ dàng, rõ ràng hơn so với trước đây.</t>
  </si>
  <si>
    <t>Nhà nước có những cải cách nhằm đảm bảo công bằng giữa các đối tượng nộp thuế khác nhau.</t>
  </si>
  <si>
    <t>Mức thuế mới được thiết kế dựa trên thu nhập, tạo cảm giác công bằng cho người dân.</t>
  </si>
  <si>
    <t>Giảm trừ gia cảnh tăng lên giúp giảm gánh nặng tài chính, tin tưởng số tiền đóng sẽ được sử dụng hiệu quả.</t>
  </si>
  <si>
    <t>Đã có nhiều thông tin giải thích về mục tiêu cải cách thuế, tuy nhiên vẫn cần thêm minh bạch hơn.</t>
  </si>
  <si>
    <t>Dựa trên lợi ích từ giảm trừ gia cảnh và đơn giản hóa quy trình khai báo, quyết định ủng hộ chính sách mới.</t>
  </si>
  <si>
    <t>Công nghệ phát triển và tăng cường quản lý thuế có thể giúp phát hiện trốn thuế một cách hiệu quả.</t>
  </si>
  <si>
    <t>Với hệ thống công nghệ mới, khả năng kiểm soát và xử lý nghiêm các hành vi trốn thuế được cải thiện đáng kể.</t>
  </si>
  <si>
    <t>Mức giảm trừ gia cảnh cao hơn và số bậc thuế ít đi làm cho quy trình khai báo trở nên đơn giản hơn.</t>
  </si>
  <si>
    <t>Biểu thuế được đơn giản hóa, dễ hiểu và thực hiện thuận lợi hơn so với trước đây.</t>
  </si>
  <si>
    <t>Nhà nước đã tăng giảm trừ gia cảnh và đơn giản hóa biểu thuế, tạo nên sự công bằng trong việc đánh thuế.</t>
  </si>
  <si>
    <t>Mức thuế mới được thiết kế phù hợp với thu nhập của tôi, thể hiện tính công bằng.</t>
  </si>
  <si>
    <t>Nhà nước đã sử dụng số tiền thuế đã thu để cải thiện các dịch vụ công, như y tế và đường xá.</t>
  </si>
  <si>
    <t>Đã có thông tin giải thích rõ ràng về mục tiêu của việc sửa đổi thuế, tạo niềm tin đối với người dân.</t>
  </si>
  <si>
    <t>Sau khi xem xét các thay đổi, tôi thấy chính sách mới mang lại nhiều lợi ích và công bằng hơn so với trước đây, nên ủng hộ.</t>
  </si>
  <si>
    <t>Thuế TNCN mới có mức giảm trừ gia cảnh cao hơn, giúp giảm gánh nặng thuế cho người dân. Tuy nhiên, việc phát hiện trốn thuế vẫn phụ thuộc vào công nghệ và khả năng quản lý của cơ quan thuế.</t>
  </si>
  <si>
    <t>Công nghệ hiện đại ngày càng phát triển giúp tăng cường khả năng phát hiện hành vi trốn thuế. Tuy nhiên, hiệu quả còn phụ thuộc vào sự đầu tư và thực thi của nhà nước.</t>
  </si>
  <si>
    <t>Biểu thuế được đơn giản hóa từ 7 bậc thành 5 bậc, giúp thủ tục khai báo thuế trở nên dễ dàng hơn. Đồng thời, việc tăng giảm trừ gia cảnh cũng làm giảm gánh nặng cho người nộp thuế.</t>
  </si>
  <si>
    <t>Cách tính thuế mới đơn giản hóa các bậc thuế, giúp người dân hiểu và thực hiện đúng quy định của pháp luật. Sự thay đổi này góp phần tăng cường sự thuận tiện trong việc làm thủ tục khai báo thuế.</t>
  </si>
  <si>
    <t>Nhà nước đã có những cải cách nhằm tăng tính công bằng và khách quan khi áp dụng mức thuế cho mọi người. Tuy nhiên, vẫn cần thêm thời gian để thực thi chính sách một cách hiệu quả.</t>
  </si>
  <si>
    <t>Mức thu nhập chịu thuế mới được điều chỉnh phù hợp với tình hình kinh tế hiện nay. Điều này tạo ra sự công bằng hơn khi so sánh giữa người có thu nhập như nhau.</t>
  </si>
  <si>
    <t>Thuế TNCN mới sẽ được sử dụng hiệu quả để cải thiện các dịch vụ công, tuy nhiên, cần thêm thời gian để kiểm chứng kết quả thực tế.</t>
  </si>
  <si>
    <t>Nhà nước đã giải thích rõ ràng về mục tiêu của việc sửa đổi thuế. Tuy nhiên, vẫn có sự đa dạng trong cách tiếp nhận thông tin từ người dân.</t>
  </si>
  <si>
    <t>Sau khi xem xét các quyền lợi và nghĩa vụ, tôi thấy chính sách mới mang lại nhiều thuận lợi cho người dân. Tôi ủng hộ việc áp dụng chính sách này.</t>
  </si>
  <si>
    <t>Nâng cao mức giảm trừ gia cảnh có thể làm tăng tính minh bạch, nhưng không đảm bảo phát hiện trốn thuế hiệu quả. Công nghệ và quy định quản lý cần được cải thiện để phòng ngừa gian lận.</t>
  </si>
  <si>
    <t>Công nghệ hiện đại có thể giúp phát hiện trốn thuế nhanh chóng, nhưng khả năng thực thi vẫn phụ thuộc vào nguồn lực và quyết tâm của cơ quan thuế. Mức độ tin cậy cao hơn so với trước đây.</t>
  </si>
  <si>
    <t>Giảm bậc thuế từ 7 xuống 5 có thể đơn giản hóa quy trình, nhưng vẫn còn phức tạp đối với người nộp thuế không quen thuộc. Tuy nhiên, số tiền giảm trừ gia cảnh tăng lên làm cho quá trình thuận lợi hơn.</t>
  </si>
  <si>
    <t>Cách tính thuế mới đơn giản và dễ hiểu hơn so với trước đây, đặc biệt là với mức thu nhập thấp. Điều này giúp người nộp thuế dễ dàng theo dõi và quản lý tài chính của mình.</t>
  </si>
  <si>
    <t>Nâng cao mức giảm trừ gia cảnh có thể làm tăng niềm tin vào tính công bằng trong việc áp dụng pháp luật. Tuy nhiên, việc thực thi chính sách còn phụ thuộc vào sự minh bạch và khách quan của cơ quan thuế.</t>
  </si>
  <si>
    <t>Mức thuế mới có thể được xem là công bằng đối với người thu nhập trung bình, nhưng không chắc chắn đối với những người có mức thu nhập cao hơn. Niềm tin tăng nhẹ do mức giảm trừ gia cảnh.</t>
  </si>
  <si>
    <t>Nâng cao mức giảm trừ gia cảnh và đơn giản hóa biểu thuế giúp cải thiện chất lượng dịch vụ công, nhưng không đảm bảo minh bạch trong việc sử dụng nguồn thu. Tuy nhiên, niềm tin tăng nhẹ do lợi ích tài chính.</t>
  </si>
  <si>
    <t>Công bố thông tin về lý do và mục tiêu của việc sửa đổi thuế có thể làm tăng mức độ minh bạch, nhưng không đảm bảo sự thuyết phục hoàn toàn. Tuy nhiên, điều này giúp giảm mức độ nghi ngờ.</t>
  </si>
  <si>
    <t>Nâng cao mức giảm trừ gia cảnh và đơn giản hóa biểu thuế tạo ra lợi ích tài chính rõ ràng. Điều này làm tăng khả năng tuân thủ và ủng hộ chính sách mới, nhưng không đảm bảo sự thuyết phục hoàn toàn về mặt pháp lý.</t>
  </si>
  <si>
    <t>Cải cách thuế TNCN mới không đề cập đến sự phát triển công nghệ, do đó khả năng phát hiện trốn thuế vẫn hạn chế.</t>
  </si>
  <si>
    <t>Thực tế, các cải cách về thuế chưa đủ mạnh để nâng cao đáng kể khả năng quản lý và phát hiện trốn thuế.</t>
  </si>
  <si>
    <t>Biểu thuế đơn giản hơn nhưng vẫn còn nhiều thủ tục phức tạp cần hoàn thiện, chưa thật sự tiện lợi cho người nộp thuế.</t>
  </si>
  <si>
    <t>Cách tính và bậc thuế mới rõ ràng hơn so với trước đây, giúp người dân hiểu và áp dụng dễ dàng hơn.</t>
  </si>
  <si>
    <t>Trải nghiệm cá nhân cho thấy cơ quan thuế chưa thật khách quan và công bằng trong quản lý, nên niềm tin thấp.</t>
  </si>
  <si>
    <t>Mức thuế mới phù hợp với thu nhập hiện tại của tôi nhưng vẫn không thể đánh giá cao về tính công bằng hoàn toàn.</t>
  </si>
  <si>
    <t>Niềm tin vào việc sử dụng số tiền thuế đóng vào dịch vụ công còn hạn chế do chưa thấy hiệu quả thực tế.</t>
  </si>
  <si>
    <t>Giải thích về lý do và mục tiêu của cải cách thuế mới chưa rõ ràng, gây ra sự hoài nghi từ người dân.</t>
  </si>
  <si>
    <t>Tuy giảm trừ gia cảnh tăng nhưng mức thuế mới vẫn còn cao so với kỳ vọng. Niềm tin và công bằng còn hạn chế nên chưa sẵn sàng tuân thủ hoàn toàn.</t>
  </si>
  <si>
    <t>Theo thông tin, quy định quản lý thuế hiện nay có nhiều cải tiến, nhưng không rõ công nghệ phát hiện trốn thuế đã được nâng cấp như thế nào. Tuy nhiên, tăng giảm trừ gia cảnh và đơn giản hóa biểu thuế đều tạo cảm giác an toàn về việc bị phát hiện gian lận.</t>
  </si>
  <si>
    <t>Nâng cao mức giảm trừ gia cảnh và đơn giản hóa quy trình khai báo có thể giúp tăng cường khả năng phát hiện trốn thuế. Công nghệ hiện đại cũng có thể hỗ trợ quá trình này.</t>
  </si>
  <si>
    <t>Sau khi cải cách, biểu thuế đã được rút gọn từ 7 bậc xuống còn 5 bậc, tạo cảm giác thủ tục đơn giản hơn. Tuy nhiên, không rõ quy trình làm việc với cơ quan thuế có thay đổi tích cực hay không.</t>
  </si>
  <si>
    <t>Bậc thuế được rút gọn và thu nhập chịu thuế thấp hơn trước đây tạo cảm giác cách tính thuế đơn giản, dễ hiểu. Tuy nhiên, cần xem xét thêm về việc giải thích rõ ràng các bậc thuế mới.</t>
  </si>
  <si>
    <t>Mức giảm trừ gia cảnh tăng lên và thu nhập chịu thuế thấp hơn trước đây tạo cảm giác công bằng trong việc nộp thuế. Tuy nhiên, không biết liệu cơ quan thuế có thực sự đối xử bình đẳng với tất cả người nộp thuế hay không.</t>
  </si>
  <si>
    <t>Mức thuế mới được tính dựa trên thu nhập thấp hơn trước đây nên tạo cảm giác mức thuế này là công bằng. Tuy nhiên, cần xem xét thêm về cách thức áp dụng các bậc thuế để đảm bảo công bằng.</t>
  </si>
  <si>
    <t>Tăng giảm trừ gia cảnh và đơn giản hóa biểu thuế tạo cảm giác số tiền thuế đóng sẽ được sử dụng hiệu quả hơn. Tuy nhiên, không rõ liệu việc cải cách thuế có thực sự nâng cao chất lượng dịch vụ công hay không.</t>
  </si>
  <si>
    <t>Cải cách thuế đã đơn giản hóa quy trình và giảm trừ gia cảnh, tạo cảm giác thông tin giải thích về mục tiêu của cải cách là rõ ràng. Tuy nhiên, cần xem xét thêm về việc truyền thông minh bạch để nâng cao niềm tin.</t>
  </si>
  <si>
    <t>Sau khi cân nhắc lợi ích và nghĩa vụ, tôi thấy mức thuế mới tạo cảm giác công bằng và đơn giản hơn. Tuy nhiên, vẫn còn nghi ngờ về việc thực thi chính sách một cách công bằng và minh bạch.</t>
  </si>
  <si>
    <t>Tăng mức giảm trừ gia cảnh và đơn giản hóa biểu thuế có thể làm giảm cơ hội trốn thuế, nhưng khả năng phát hiện gian lận vẫn phụ thuộc vào công nghệ quản lý hiện đại.</t>
  </si>
  <si>
    <t>Công nghệ ngày càng phát triển giúp nhà nước và cơ quan thuế dễ dàng hơn trong việc phát hiện trốn thuế, nhưng vẫn cần sự phối hợp chặt chẽ giữa các bộ phận.</t>
  </si>
  <si>
    <t>Biểu thuế được rút gọn từ 7 bậc xuống còn 5 bậc, giảm bớt thủ tục và làm việc với cơ quan thuế trở nên đơn giản hơn so với trước đây.</t>
  </si>
  <si>
    <t>Cách tính thuế và các bậc thuế mới rõ ràng hơn, dễ dàng hiểu và thực hiện hơn so với biểu thuế cũ phức tạp.</t>
  </si>
  <si>
    <t>Mức giảm trừ gia cảnh tăng lên có thể làm cho quá trình nộp thuế công bằng hơn, nhưng vẫn cần sự minh bạch trong cách thực thi chính sách.</t>
  </si>
  <si>
    <t>Thuế mới được thiết kế dựa trên thu nhập, tạo cảm giác rằng mức thuế đóng là hợp lý so với người cùng mức lương.</t>
  </si>
  <si>
    <t>Giảm trừ gia cảnh tăng lên có thể làm cho số tiền đóng thuế trở nên công bằng hơn, nhưng vẫn cần đảm bảo hiệu quả sử dụng nguồn thu</t>
  </si>
  <si>
    <t>Luật mới đã được thông qua và giải thích rõ ràng về mục tiêu cải cách thuế, tạo niềm tin cho người dân.</t>
  </si>
  <si>
    <t>Nhìn chung, các cải cách thuế mang lại lợi ích tài chính rõ ràng và thủ tục đơn giản hơn, do đó tôi sẵn sàng tuân thủ.</t>
  </si>
  <si>
    <t>Điều kiện quản lý thuế hiện nay chưa rõ ràng, nhưng với mức giảm trừ gia cảnh tăng mạnh, khả năng phát hiện trốn thuế có thể cao hơn.</t>
  </si>
  <si>
    <t>Công nghệ tiên tiến và đội ngũ chuyên nghiệp của cơ quan thuế có thể giúp phát hiện các hành vi gian lận hiệu quả.</t>
  </si>
  <si>
    <t>Mức giảm trừ gia cảnh tăng mạnh, nhưng quy trình khai báo không thay đổi nhiều so với trước đây.</t>
  </si>
  <si>
    <t>Biểu thuế đơn giản hơn, nhưng cách tính vẫn phức tạp do các mức thu nhập khác nhau.</t>
  </si>
  <si>
    <t>Nhà nước đã tăng giảm trừ gia cảnh, nhưng không rõ liệu có thực thi công bằng cho mọi người nộp thuế hay không.</t>
  </si>
  <si>
    <t>Thuế suất mới có thể hợp lý hơn với thu nhập hiện tại, nhưng chưa chắc chắn về tính công bằng tổng thể.</t>
  </si>
  <si>
    <t>Tăng giảm trừ gia cảnh có thể cải thiện dịch vụ công, nhưng không rõ liệu số tiền thuế đóng có được sử dụng hiệu quả hay không.</t>
  </si>
  <si>
    <t>Cơ quan thuế đã thông báo về các thay đổi, nhưng chưa chắc chắn về mức độ minh bạch và rõ ràng của thông tin giải thích.</t>
  </si>
  <si>
    <t>Thu nhập tăng lên do giảm trừ gia cảnh lớn hơn, nhưng không có sự thay đổi đáng kể trong quy trình khai báo. Đánh giá tổng thể trung bình.</t>
  </si>
  <si>
    <t>Nâng cao mức giảm trừ gia cảnh và đơn giản hóa biểu thuế có thể làm tăng niềm tin về sự công bằng trong hệ thống thuế, nhưng không chắc chắn về khả năng phát hiện trốn thuế.</t>
  </si>
  <si>
    <t>Tăng cường quản lý thuế và sử dụng công nghệ mới có thể giúp phát hiện hành vi trốn thuế, tuy nhiên mức độ hiệu quả vẫn cần đánh giá.</t>
  </si>
  <si>
    <t>Mức giảm trừ gia cảnh cao hơn và số bậc thuế đơn giản hóa có thể làm các thủ tục trở nên thuận tiện hơn, nhưng việc thực hiện cụ thể phụ thuộc vào cách triển khai.</t>
  </si>
  <si>
    <t>Biểu thuế đơn giản hóa từ 7 bậc xuống còn 5 bậc, giảm độ phức tạp và dễ hiểu hơn cho người nộp thuế</t>
  </si>
  <si>
    <t>Mức giảm trừ gia cảnh cao hơn có thể tạo cảm giác công bằng đối với nhiều người, nhưng việc thực thi chính sách vẫn cần sự khách quan và công tâm.</t>
  </si>
  <si>
    <t>Thuế suất mới dựa trên thu nhập được điều chỉnh theo bậc thuế, có thể đánh giá mức thuế là hợp lý đối với thu nhập hiện tại</t>
  </si>
  <si>
    <t>Mức giảm trừ gia cảnh cao hơn và biểu thuế đơn giản hóa có thể tạo niềm tin rằng số tiền thuế đóng sẽ được sử dụng hiệu quả cho các dịch vụ công.</t>
  </si>
  <si>
    <t>Thông tin về mức giảm trừ gia cảnh và biểu thuế mới được cung cấp rộng rãi, nhưng chưa chắc chắn về độ minh bạch đầy đủ của toàn bộ quy trình</t>
  </si>
  <si>
    <t>Thuế suất mới dựa trên thu nhập cá nhân có thể tạo niềm tin về công bằng, đồng thời mức giảm trừ gia cảnh cao hơn cũng tăng khả năng tuân thủ.</t>
  </si>
  <si>
    <t>Dựa trên thông tin cải cách, mức giảm trừ gia cảnh tăng lên đáng kể. Tuy nhiên, khả năng phát hiện trốn thuế phụ thuộc nhiều vào công nghệ và lực lượng quản lý của cơ quan thuế.</t>
  </si>
  <si>
    <t>Nếu có đủ nguồn lực và công nghệ tiên tiến, việc phát hiện trốn thuế sẽ dễ dàng hơn. Tuy nhiên, thông tin về khả năng này chưa được đề cập.</t>
  </si>
  <si>
    <t>Các mức giảm trừ gia cảnh mới thuận lợi hơn cho người nộp thuế. Biểu thuế đơn giản hóa giúp việc khai báo dễ dàng hơn.</t>
  </si>
  <si>
    <t>Biểu thuế mới đơn giản và rõ ràng, phù hợp với quy định hiện hành.</t>
  </si>
  <si>
    <t>Mức giảm trừ gia cảnh tăng lên, giúp công bằng hơn. Tuy nhiên, niềm tin vào việc thực thi chính sách còn phụ thuộc nhiều vào thực tế quản lý.</t>
  </si>
  <si>
    <t>Thay đổi thuế suất và ngưỡng chịu thuế có thể tạo ra sự công bằng cho người nộp thuế trong cùng một nhóm thu nhập. Tuy nhiên, mức thuế cụ thể vẫn cần xem xét kỹ lưỡng.</t>
  </si>
  <si>
    <t>Việc cải cách thuế giúp tăng hiệu quả sử dụng số tiền thuế, nhưng niềm tin vào việc sử dụng nguồn lực còn phụ thuộc nhiều vào thực tế quản lý và minh bạch.</t>
  </si>
  <si>
    <t>Thông tin về mục tiêu của cải cách thuế chưa được giải thích rõ ràng. Tuy nhiên, mức giảm trừ gia cảnh mới có thể giúp người dân dễ dàng hơn trong việc hiểu quy định.</t>
  </si>
  <si>
    <t>Các quyền lợi từ cải cách thuế như tăng mức giảm trừ gia cảnh tạo ra sự công bằng và thuận tiện. Tuy nhiên, niềm tin vào việc thực thi vẫn chưa vững chắc.</t>
  </si>
  <si>
    <t>Dù mức giảm trừ gia cảnh và số bậc thuế đã được đơn giản hóa, nhưng với các quy định quản lý thuế hiện tại, việc phát hiện trốn thuế vẫn còn khó khăn. Tuy nhiên, công nghệ tiên tiến có thể hỗ trợ hơn.</t>
  </si>
  <si>
    <t>Công nghệ tiên tiến và sự cải cách trong quản lý thuế sẽ giúp tăng cường khả năng phát hiện và xử lý trốn thuế hiệu quả hơn. Tuy nhiên, cần thời gian để công nghệ được áp dụng rộng rãi.</t>
  </si>
  <si>
    <t>Biểu thuế đơn giản hóa đã giảm bớt một số bước phức tạp trong khai báo thuế, nhưng quy trình làm việc với cơ quan thuế vẫn có thể còn chậm và rườm rà.</t>
  </si>
  <si>
    <t>Cách tính thuế mới rõ ràng hơn so với trước đây, giúp người dân dễ dàng hiểu và áp dụng. Tuy nhiên, việc đơn giản hóa không đồng nghĩa với việc tất cả các quy trình đều nhanh chóng.</t>
  </si>
  <si>
    <t>Nhà nước đã cải thiện tính công bằng thông qua mức giảm trừ gia cảnh lớn hơn và số bậc thuế đơn giản, tạo ra sự tin tưởng nhất định về tính công bằng của chính sách mới.</t>
  </si>
  <si>
    <t>Mức thuế mới có thể được coi là công bằng đối với thu nhập hiện tại của tôi, tuy nhiên, việc này cần xem xét thêm từ góc độ tổng thể về các thay đổi khác trong chính sách.</t>
  </si>
  <si>
    <t>Tôi tin rằng số tiền thuế đóng sẽ được sử dụng hiệu quả cho dịch vụ công, nhưng vẫn cần thời gian để thấy rõ kết quả thực tế từ chính sách mới này.</t>
  </si>
  <si>
    <t>Nhà nước đã giải thích các thay đổi một cách rõ ràng, nhưng việc hiểu và tin tưởng vào mục tiêu của chính sách vẫn cần thời gian để hình thành.</t>
  </si>
  <si>
    <t>Tôi ủng hộ các thay đổi về thuế mới, đặc biệt là mức giảm trừ gia cảnh tăng lên. Tuy nhiên, quyết định tuân thủ hoàn toàn phụ thuộc vào hiệu quả thực tế của chính sách và sự minh bạch trong việc sử dụng nguồn thu.</t>
  </si>
  <si>
    <t>Chính phủ đã tăng mức giảm trừ gia cảnh và đơn giản hóa biểu thuế, nhưng thực tế khả năng phát hiện trốn thuế còn phụ thuộc nhiều vào công nghệ và nguồn lực của cơ quan thuế.</t>
  </si>
  <si>
    <t>Công nghệ ngày nay đã khá phát triển, tăng cường khả năng giám sát và kiểm soát hành vi gian lận thuế. Tuy nhiên, vẫn cần nâng cao hơn nữa về công nghệ và nguồn lực.</t>
  </si>
  <si>
    <t>Mức giảm trừ gia cảnh mới cao hơn giúp việc khai báo thuế trở nên dễ dàng hơn, nhưng quy trình làm việc với cơ quan thuế vẫn có thể phức tạp.</t>
  </si>
  <si>
    <t>Biểu thuế đơn giản hơn và số bậc thuế giảm đi, do đó việc tính thuế và hiểu rõ các mức thuế suất trở nên dễ dàng hơn.</t>
  </si>
  <si>
    <t>Nhà nước đã tăng cường giảm trừ gia cảnh, giúp giảm gánh nặng thuế cho người dân. Việc này thể hiện sự công bằng trong việc phân chia gánh nặng thuế.</t>
  </si>
  <si>
    <t>Mức thuế mới được thiết kế dựa trên thu nhập cá nhân, nên người có thu nhập tương đương tôi đóng mức thuế tương tự. Đây là một yếu tố công bằng về mặt tài chính.</t>
  </si>
  <si>
    <t>Thuế mà tôi đóng sẽ được sử dụng để cải thiện dịch vụ công như y tế và đường xá, giúp nâng cao chất lượng cuộc sống của người dân. Điều này thể hiện sự đối tác giữa nhà nước và người dân.</t>
  </si>
  <si>
    <t>Nhà nước đã giải thích rõ ràng về các thay đổi trong Luật Thuế TNCN, nhưng việc truyền thông rộng rãi vẫn cần được cải thiện để tăng độ minh bạch.</t>
  </si>
  <si>
    <t>Chính sách mới này giúp giảm gánh nặng thuế và tạo ra sự công bằng hơn về mặt tài chính. Tôi tin rằng sau khi cân nhắc các quyền lợi, tôi sẽ ủng hộ và tuân thủ chính sách mới.</t>
  </si>
  <si>
    <t>Biểu thuế đơn giản hơn và giảm trừ gia cảnh tăng, nhưng vấn đề chính là sự tuân thủ của người dân. Công nghệ hiện đại giúp phát hiện trốn thuế.</t>
  </si>
  <si>
    <t>Công nghệ hiện đại đã được áp dụng để phát hiện hành vi gian lận và trốn thuế hiệu quả hơn, tạo điều kiện cho việc xử lý nghiêm minh.</t>
  </si>
  <si>
    <t>Số bậc thuế giảm từ 7 xuống 5, quy trình khai báo đơn giản hơn. Tuy nhiên, vẫn còn một số thủ tục cần cải thiện.</t>
  </si>
  <si>
    <t>Biểu thuế mới đơn giản hóa các bậc thuế và dễ hiểu hơn so với trước đây, giúp người dân tính toán nhanh chóng.</t>
  </si>
  <si>
    <t>Mức giảm trừ gia cảnh tăng, tạo cảm giác công bằng. Tuy nhiên, mức độ tin tưởng vào sự khách quan của cơ quan thuế vẫn còn cần cải thiện.</t>
  </si>
  <si>
    <t>Thuế suất và ngưỡng chịu thuế được điều chỉnh phù hợp với thu nhập cá nhân. Mức thuế mới cảm thấy công bằng cho người thu nhập như tôi.</t>
  </si>
  <si>
    <t>Giảm trừ gia cảnh tăng, tạo cảm giác số tiền đóng thuế sẽ được sử dụng hiệu quả để cải thiện dịch vụ công. Tuy nhiên, niềm tin vào việc quản lý chi tiêu vẫn còn thấp.</t>
  </si>
  <si>
    <t>Thông tin về luật thuế mới được truyền thông rộng rãi, nhưng đôi khi vẫn chưa đủ rõ ràng và minh bạch cho người dân hiểu.</t>
  </si>
  <si>
    <t>Thu nhập giảm nhờ mức thuế mới, tạo động lực ủng hộ. Tuy nhiên, việc tuân thủ có điều kiện do cần cân nhắc giữa lợi ích và nghĩa vụ.</t>
  </si>
  <si>
    <t>Chính sách mới có nhiều cải tiến về giảm trừ gia cảnh và đơn giản hóa quy trình, nhưng vẫn cần công nghệ phát hiện trốn thuế.</t>
  </si>
  <si>
    <t>Việc áp dụng công nghệ trong quản lý thuế là xu hướng chung, tuy nhiên khả năng thực thi còn phụ thuộc vào nguồn lực và hiệu quả của cơ quan thuế.</t>
  </si>
  <si>
    <t>Biểu thuế được đơn giản hóa từ 7 bậc xuống 5, giảm bớt rườm rà trong quy trình khai báo. Tuy nhiên, mức độ tiện lợi còn phụ thuộc vào hệ thống đăng ký và hỗ trợ trực tuyến.</t>
  </si>
  <si>
    <t>Các bậc thuế mới đơn giản hơn so với trước đây, dễ hiểu và thực hiện thuận tiện hơn, giúp người dân nắm bắt nhanh chóng.</t>
  </si>
  <si>
    <t>Niềm tin vào sự công bằng của chính sách mới tăng lên do mức giảm trừ gia cảnh lớn hơn, nhưng vẫn có nghi ngờ về khả năng thực thi khách quan.</t>
  </si>
  <si>
    <t>Lựa chọn mức thuế mới cho phù hợp với thu nhập hiện tại, cảm thấy công bằng so với trước đây. Tuy nhiên, không chắc chắn về sự minh bạch trong quá trình thực thi.</t>
  </si>
  <si>
    <t>Đồng ý với việc sử dụng số tiền thuế vào các dịch vụ công, nhưng lo ngại về khả năng quản lý hiệu quả của cơ quan thuế</t>
  </si>
  <si>
    <t>Nhìn chung đã có sự giải thích rõ ràng về mục tiêu cải cách. Tuy nhiên, vẫn cần thêm thông tin minh bạch về quá trình thực hiện.</t>
  </si>
  <si>
    <t>Thống nhất với các quyền lợi mới và khả năng giảm gánh nặng thuế. Mặc dù có một số lo ngại về khả năng thực thi, quyết định cuối cùng là ủng hộ</t>
  </si>
  <si>
    <t>Các quy định quản lý thuế hiện nay được cải thiện, đặc biệt là việc tăng mức giảm trừ gia cảnh và đơn giản hóa biểu thuế. Điều này làm giảm khả năng trốn thuế và gian lận.</t>
  </si>
  <si>
    <t>Công nghệ hiện đại giúp phát hiện hành vi trốn thuế một cách nhanh chóng và chính xác hơn, đồng thời cơ quan thuế có nhiều nguồn lực hơn để xử lý nghiêm các trường hợp vi phạm.</t>
  </si>
  <si>
    <t>Biểu thuế đơn giản hóa từ 7 bậc xuống còn 5 bậc giúp quy trình khai báo và làm việc với cơ quan thuế trở nên dễ dàng hơn. Mức giảm trừ gia cảnh tăng cũng làm giảm gánh nặng về mặt hành chính.</t>
  </si>
  <si>
    <t>Cách tính thuế mới đơn giản hóa các bậc thuế, làm cho quá trình tính toán và thực hiện trở nên dễ hiểu hơn. Điều này giúp người dân thuận lợi trong việc tuân thủ và nộp thuế đúng hạn.</t>
  </si>
  <si>
    <t>Nhà nước đã cải thiện quy định về giảm trừ gia cảnh, làm cho việc tính thuế công bằng hơn đối với mọi người. Công tác truyền thông cũng được tăng cường để đảm bảo tính minh bạch trong thực thi.</t>
  </si>
  <si>
    <t>Mức thuế mới được thiết kế để phù hợp với thu nhập trung bình của người dân, tạo nên sự công bằng. Tuy nhiên, mức độ công bằng này còn phụ thuộc vào cách đánh giá của từng cá nhân.</t>
  </si>
  <si>
    <t>Quy định về giảm trừ gia cảnh và đơn giản hóa biểu thuế giúp đảm bảo rằng số tiền thuế đóng sẽ được sử dụng hiệu quả. Tuy nhiên, việc thực hiện vẫn phụ thuộc vào hiệu quả quản lý của Nhà nước.</t>
  </si>
  <si>
    <t>Nhà nước đã cải thiện công tác truyền thông về chính sách mới, tuy nhiên mức độ thuyết phục còn phụ thuộc vào cách tiếp cận và hiểu biết của người dân. Công tác giải thích vẫn cần được tăng cường.</t>
  </si>
  <si>
    <t>Sau khi xem xét các quyền lợi và nghĩa vụ, tôi ủng hộ chính sách mới vì nó đơn giản hóa quy trình và công bằng hơn. Tuy nhiên, quyết định cuối cùng phụ thuộc vào mức độ tin tưởng vào thực thi của Nhà nước.</t>
  </si>
  <si>
    <t>Quy định quản lý thuế hiện nay được cải cách và công nghệ phát triển giúp tăng cường khả năng phát hiện hành vi gian lận, trốn thuế.</t>
  </si>
  <si>
    <t>Nhà nước và cơ quan thuế đã đầu tư vào các công nghệ tiên tiến để phát hiện và xử lý nghiêm minh các trường hợp trốn thuế.</t>
  </si>
  <si>
    <t>Mức giảm trừ gia cảnh tăng cao, quá trình khai báo thuế đơn giản hơn so với trước đây.</t>
  </si>
  <si>
    <t>Biểu thuế được đơn giản hóa, các bậc thuế suất rõ ràng hơn, dễ hiểu và thực hiện thuận tiện hơn.</t>
  </si>
  <si>
    <t>Nhà nước đã cải thiện quy định quản lý thuế một cách công bằng và minh bạch, đảm bảo việc thực thi chính sách khách quan và công tâm.</t>
  </si>
  <si>
    <t>Mức thuế mới được thiết kế sao cho phù hợp với thu nhập của tôi, tạo cảm giác công bằng trong quá trình đóng thuế.</t>
  </si>
  <si>
    <t>Tăng mức giảm trừ gia cảnh và đơn giản hóa biểu thuế giúp số tiền thuế tôi phải đóng được sử dụng hiệu quả cho các dịch vụ công</t>
  </si>
  <si>
    <t>Các thông tin về lý do và mục tiêu của việc sửa đổi thuế đã được giải thích rõ ràng, minh bạch.</t>
  </si>
  <si>
    <t>Sau khi cân nhắc lợi ích từ chính sách mới, tôi cảm thấy ủng hộ và sẵn sàng tuân thủ.</t>
  </si>
  <si>
    <t>Mức giảm trừ gia cảnh tăng, nhưng không biết về khả năng công nghệ phát hiện trốn thuế.</t>
  </si>
  <si>
    <t>Nếu có công nghệ phát hiện hiệu quả, việc gian lận sẽ khó xảy ra hơn. Tuy nhiên, còn phụ thuộc vào quyết tâm của cơ quan thuế.</t>
  </si>
  <si>
    <t>Biểu thuế đơn giản hơn, số bậc thuế giảm, quy trình khai báo dễ dàng hơn, nhưng vẫn chưa hoàn toàn như mong đợi trước đây.</t>
  </si>
  <si>
    <t>Cách tính thuế và các bậc thuế mới đơn giản, dễ hiểu hơn. Tuy nhiên, cần thời gian để quen với hệ thống mới.</t>
  </si>
  <si>
    <t>Nhiều giảm trừ gia cảnh, nhưng chưa rõ về cách thực thi công bằng của cơ quan thuế.</t>
  </si>
  <si>
    <t>Mức thuế mới có vẻ hợp lý so với thu nhập hiện tại, nhưng vẫn cần thời gian để đánh giá.</t>
  </si>
  <si>
    <t>Niềm tin vào việc sử dụng hiệu quả số tiền thuế đóng còn thấp do chưa nhìn thấy kết quả cụ thể.</t>
  </si>
  <si>
    <t>Đã có thông tin về mục tiêu cải cách, nhưng không rõ ràng như mong muốn. Cần thêm minh bạch trong quá trình thực hiện.</t>
  </si>
  <si>
    <t>Thu nhập giảm trừ gia cảnh nhiều hơn, mức thuế mới hợp lý và quy trình đơn giản hơn đã giúp tăng độ ủng hộ.</t>
  </si>
  <si>
    <t>Mức giảm trừ gia cảnh tăng, nhưng không rõ liệu công nghệ và quy định quản lý thuế có thực sự cải thiện khả năng phát hiện trốn thuế hay không.</t>
  </si>
  <si>
    <t>Dựa trên xu hướng chung của chính phủ trong việc sử dụng công nghệ để cải thiện quản lý, tôi tin rằng khả năng phát hiện trốn thuế có thể được nâng cao.</t>
  </si>
  <si>
    <t>Giảm số bậc thuế từ 7 xuống 5 có giúp giảm bớt sự phức tạp và làm thủ tục đơn giản hơn, nhưng không rõ liệu quy trình thực tế có thực sự thuận tiện hay không.</t>
  </si>
  <si>
    <t>Cách tính thuế mới đơn giản hóa các bậc thuế, điều này giúp người nộp thuế dễ hiểu và áp dụng hơn so với trước đây.</t>
  </si>
  <si>
    <t>Tăng giảm trừ gia cảnh cho bản thân và phụ thuộc có thể làm tăng cảm giác công bằng trong việc thực thi chính sách. Tuy nhiên, không rõ liệu cách thực thi mới có khách quan và công tâm hơn hay không.</t>
  </si>
  <si>
    <t>Mức thuế mới dường như hợp lý đối với thu nhập trung bình của tôi, điều này tăng cảm giác công bằng về việc đóng góp cho ngân sách nhà nước.</t>
  </si>
  <si>
    <t>Tăng giảm trừ gia cảnh có thể làm người nộp thuế cảm thấy tin tưởng hơn vào việc số tiền thuế đóng sẽ được sử dụng hiệu quả. Tuy nhiên, không rõ liệu thực tế này có đúng như mong đợi hay không.</t>
  </si>
  <si>
    <t>Thông báo về cải cách mới chỉ là sơ lược và chưa đầy đủ thông tin cần thiết để thuyết phục tôi về mục tiêu chính sách. Tuy nhiên, tôi hy vọng thông tin sẽ được cung cấp đầy đủ hơn trong tương lai.</t>
  </si>
  <si>
    <t>Dựa trên lợi ích từ việc tăng giảm trừ gia cảnh và đơn giản hóa quy định thuế, cùng với sự cải thiện về mức độ công bằng, tôi có thể ủng hộ chính sách mới. Tuy nhiên, cần thời gian để xem xét thực tế hơn.</t>
  </si>
  <si>
    <t>Tăng cường giảm trừ gia cảnh và đơn giản hóa biểu thuế có thể làm tăng độ minh bạch, nhưng vẫn cần công nghệ hiện đại để phát hiện trốn thuế.</t>
  </si>
  <si>
    <t>Công nghệ hiện đại như AI và big data giúp phát hiện gian lận hiệu quả hơn so với trước đây.</t>
  </si>
  <si>
    <t>Biểu thuế được đơn giản hóa, nhưng mức giảm trừ gia cảnh tăng có thể làm thủ tục trở nên phức tạp hơn.</t>
  </si>
  <si>
    <t>Cách tính thuế và bậc thuế mới đơn giản hơn so với trước đây.</t>
  </si>
  <si>
    <t>Niềm tin vào sự công bằng trong việc thực thi chính sách mới tăng nhờ mức giảm trừ gia cảnh cao hơn.</t>
  </si>
  <si>
    <t>Mức thuế mới có thể được xem là công bằng cho thu nhập của tôi, nhưng cần thêm thời gian để đánh giá hiệu quả thực tế.</t>
  </si>
  <si>
    <t>Niềm tin vào việc sử dụng số tiền thuế đóng vào dịch vụ công còn yếu do kinh nghiệm trước đây về lãng phí ngân sách.</t>
  </si>
  <si>
    <t>Nhà nước đã giải thích rõ ràng lý do và mục tiêu sửa đổi, nhưng cần thêm minh bạch về cách sử dụng số tiền thuế.</t>
  </si>
  <si>
    <t>Sau khi cân nhắc lợi ích từ mức giảm trừ gia cảnh cao hơn, tôi có xu hướng ủng hộ và tuân thủ chính sách mới.</t>
  </si>
  <si>
    <t>Cải cách thuế TNCN mới tập trung vào việc đơn giản hóa quy trình khai báo và tạo điều kiện thuận lợi cho người nộp thuế, đồng thời tăng mức giảm trừ gia cảnh. Điều này giúp giảm rủi ro trốn thuế và làm tăng niềm tin về tính công bằng của hệ thống thuế.</t>
  </si>
  <si>
    <t>Nền tảng công nghệ hiện đại và cải cách quản lý thuế mới có thể phát hiện hành vi trốn thuế nhanh chóng hơn, đồng thời có khả năng xử lý nghiêm minh các trường hợp vi phạm.</t>
  </si>
  <si>
    <t>Bảng thuế mới với ít bậc hơn và mức giảm trừ gia cảnh cao hơn làm cho quy trình khai báo thuế trở nên đơn giản và tiện lợi hơn so với trước đây, tạo điều kiện thuận lợi cho người nộp thuế.</t>
  </si>
  <si>
    <t>Cách tính thuế mới đơn giản hóa các bậc thuế, giảm mức độ phức tạp đối với người dân, từ đó giúp việc áp dụng thuế trở nên dễ dàng hơn.</t>
  </si>
  <si>
    <t>Nhà nước đã cải thiện đáng kể về mặt công bằng khi tăng mức giảm trừ gia cảnh và đơn giản hóa bảng thuế. Điều này tạo niềm tin rằng cơ quan thuế sẽ thực thi chính sách một cách khách quan.</t>
  </si>
  <si>
    <t>Mức thuế mới dựa trên thu nhập cá nhân được xem xét kỹ lưỡng, đảm bảo tính công bằng. Điều này tạo cảm giác rằng mức thuế tôi phải đóng là phù hợp với thu nhập của mình.</t>
  </si>
  <si>
    <t>Nguyên tắc cải cách thuế TNCN tập trung vào việc tăng giảm trừ gia cảnh và đơn giản hóa quy trình, nhằm tạo sự công bằng trong việc sử dụng nguồn thu từ thuế để cải thiện dịch vụ công.</t>
  </si>
  <si>
    <t>Trải qua quá trình cải cách, tôi cảm thấy thông tin về lý do và mục tiêu của việc sửa đổi thuế được giải thích một cách rõ ràng. Điều này tăng niềm tin vào sự minh bạch của cơ quan thuế.</t>
  </si>
  <si>
    <t>Sau khi xem xét các quyền lợi từ cải cách thuế và mức độ thuận tiện trong quá trình khai báo, tôi quyết định ủng hộ chính sách mới. Tuy nhiên, vẫn cần sự minh bạch và công bằng của cơ quan thuế để tăng cường niềm tin.</t>
  </si>
  <si>
    <t>Mức giảm trừ gia cảnh tăng, cùng với quy định quản lý thuế hiện đại giúp phát hiện gian lận dễ dàng hơn.</t>
  </si>
  <si>
    <t>Công nghệ tiên tiến và hệ thống quản lý thuế hiện đại giúp Nhà nước phát hiện trốn thuế nhanh chóng, hiệu quả hơn.</t>
  </si>
  <si>
    <t>Bậc thuế giảm từ 7 xuống 5, cùng với mức giảm trừ gia cảnh cao hơn tạo cảm giác thủ tục đơn giản hơn.</t>
  </si>
  <si>
    <t>Biểu thuế đơn giản hơn giúp người dân dễ dàng tính toán và hiểu rõ hơn về cách xác định thu nhập chịu thuế.</t>
  </si>
  <si>
    <t>Giảm trừ gia cảnh tăng, cùng với quy định quản lý thuế công bằng hơn tạo niềm tin vào sự đối xử bình đẳng của Nhà nước.</t>
  </si>
  <si>
    <t>Mức thuế mới được thiết kế dựa trên thu nhập, nhưng mức giảm trừ cao có thể làm cho việc đóng thuế trở nên bất công với những người có thu nhập thấp hơn.</t>
  </si>
  <si>
    <t>Tiền thuế tăng do mức giảm trừ gia cảnh cao hơn được sử dụng để cải thiện dịch vụ công, tạo niềm tin vào sự hiệu quả của việc sử dụng nguồn lực.</t>
  </si>
  <si>
    <t>Thông tin về Luật Thuế TNCN sửa đổi được truyền tải qua nhiều kênh nhưng chưa đầy đủ và rõ ràng như mong đợi, làm giảm độ thuyết phục.</t>
  </si>
  <si>
    <t>Giảm trừ gia cảnh cao hơn giúp tôi cảm thấy tuân thủ dễ dàng hơn, song mức thuế mới có thể gây bất công nên quyết định dựa trên nhiều yếu tố.</t>
  </si>
  <si>
    <t>Tăng cường giảm trừ gia cảnh và đơn giản hóa biểu thuế có thể giúp phát hiện trốn thuế dễ dàng hơn, nhưng vẫn cần công nghệ và khả năng của nhà chức trách.</t>
  </si>
  <si>
    <t>Công nghệ ngày càng phát triển, cùng với việc tăng cường quản lý thuế, Nhà nước có đủ khả năng phát hiện trốn thuế.</t>
  </si>
  <si>
    <t>Giảm số bậc thuế từ 7 xuống còn 5 và tăng giảm trừ gia cảnh sẽ làm thủ tục khai báo thuế đơn giản hơn, tiện lợi hơn.</t>
  </si>
  <si>
    <t>Cách tính thuế mới đơn giản hóa các bậc thuế, dễ hiểu và dễ thực hiện hơn so với trước đây.</t>
  </si>
  <si>
    <t>Mức giảm trừ gia cảnh tăng lên giúp cảm thấy công bằng hơn về cách phân chia nghĩa vụ thuế giữa người nộp thuế.</t>
  </si>
  <si>
    <t>Đối với mức thu nhập trung bình, mức thuế mới có vẻ công bằng nhưng cần xem xét thêm về hiệu quả sử dụng ngân sách</t>
  </si>
  <si>
    <t>Người dân tin rằng số tiền thuế đóng sẽ được sử dụng hiệu quả cho các dịch vụ công, nhưng cần xem xét thực tế.</t>
  </si>
  <si>
    <t>Thông qua truyền thông không đầy đủ về lý do và mục tiêu sửa đổi thuế làm giảm niềm tin vào minh bạch của Nhà nước</t>
  </si>
  <si>
    <t>Sau cân nhắc lợi ích tài chính từ tăng giảm trừ gia cảnh, thủ tục đơn giản hóa, tôi sẽ ủng hộ và tuân thủ chính sách mới.</t>
  </si>
  <si>
    <t>Dù mức thuế mới có nhiều ưu đãi nhưng với công nghệ hiện đại, khả năng phát hiện trốn thuế cao hơn. Tuy nhiên, hiệu quả thực tế phụ thuộc vào việc thực thi.</t>
  </si>
  <si>
    <t>Công nghệ ngày càng tiên tiến, khả năng kiểm soát và xử lý gian lận thuế của cơ quan thuế sẽ tốt hơn. Tăng điểm vì có nhiều biện pháp hiện đại để phát hiện.</t>
  </si>
  <si>
    <t>Biểu thuế đơn giản hơn giúp việc khai báo dễ dàng hơn, nhưng vẫn còn một số thủ tục cần cải thiện. Đánh giá trung bình vì có nhiều điểm tích cực.</t>
  </si>
  <si>
    <t>Cách tính thuế và bậc thuế mới đơn giản hóa quy trình, giảm độ phức tạp cho người nộp thuế. Tăng điểm vì dễ hiểu hơn trước đây.</t>
  </si>
  <si>
    <t>Nhà nước đang cố gắng thực thi công bằng nhưng vẫn còn nhiều yếu tố phụ thuộc vào cách thực hiện. Đánh giá trung bình do chưa hoàn toàn tin tưởng.</t>
  </si>
  <si>
    <t>Mức thuế mới được thiết kế dựa trên thu nhập, tạo cảm giác công bằng cho người nộp thuế. Tăng điểm vì mức thuế phù hợp với thu nhập</t>
  </si>
  <si>
    <t>Thuế đóng góp vào các dịch vụ công quan trọng nhưng hiệu quả sử dụng chưa rõ ràng. Đánh giá trung bình do còn nhiều yếu tố phụ thuộc.</t>
  </si>
  <si>
    <t>Các giải thích về mục tiêu của chính sách mới có phần chi tiết hơn, tạo sự minh bạch nhưng vẫn chưa hoàn toàn thuyết phục. Đánh giá trung bình.</t>
  </si>
  <si>
    <t>Thay đổi thuế có lợi cho người thu nhập thấp và công bằng hơn, tăng khả năng tuân thủ. Tuy nhiên, vẫn cần thêm thời gian để đánh giá hiệu quả thực tế.</t>
  </si>
  <si>
    <t>Việc tăng cường quản lý và công nghệ hiện đại giúp phát hiện hành vi gian lận hoặc trốn thuế dễ dàng hơn. Tuy nhiên, vẫn có sự lo ngại về khả năng thực thi.</t>
  </si>
  <si>
    <t>Cơ quan thuế đang đầu tư vào công nghệ và nhân lực để phát hiện và xử lý các hành vi trốn thuế một cách hiệu quả. Đây là dấu hiệu tích cực.</t>
  </si>
  <si>
    <t>Mức giảm trừ gia cảnh tăng lên, cùng với việc rút gọn biểu thuế từ 7 bậc xuống 5 đã làm đơn giản hóa quy trình khai báo thuế và giao tiếp với cơ quan thuế.</t>
  </si>
  <si>
    <t>Biểu thuế mới có ít bậc hơn và mức thuế suất được điều chỉnh phù hợp, giúp việc tính toán và tuân thủ thuế trở nên dễ dàng hơn.</t>
  </si>
  <si>
    <t>Nhà nước đã tăng cường giảm trừ gia cảnh, điều này thể hiện sự đối xử công bằng với người nộp thuế. Tuy nhiên, vẫn cần cải thiện thêm về minh bạch trong việc thực thi chính sách.</t>
  </si>
  <si>
    <t>Mức thuế mới được thiết kế dựa trên thu nhập cá nhân, tôi cảm thấy công bằng khi phải đóng mức thuế này. Tuy nhiên, vẫn cần có thêm thông tin về cách sử dụng số tiền thuế thu được.</t>
  </si>
  <si>
    <t>Sự cải cách thuế giúp giảm gánh nặng cho người dân và doanh nghiệp, tôi tin tưởng rằng số tiền đóng thuế sẽ được sử dụng hiệu quả để cải thiện dịch vụ công. Tuy nhiên, cần minh bạch hơn trong việc sử dụng nguồn thu.</t>
  </si>
  <si>
    <t>Nhà nước đã cung cấp các thông tin về lý do và mục tiêu của chính sách thuế mới một cách rõ ràng. Điều này làm tăng sự tin tưởng của tôi vào quyết định của họ.</t>
  </si>
  <si>
    <t>Sau khi xem xét các quyền lợi từ mức giảm trừ gia cảnh cao hơn và biểu thuế đơn giản, cùng với việc cải thiện minh bạch trong thông tin truyền đạt, tôi ủng hộ chính sách mới. Tuy nhiên, vẫn cần thêm thời gian để thấy kết quả cụ thể.</t>
  </si>
  <si>
    <t>Mức giảm trừ gia cảnh tăng mạnh, tuy nhiên không có thông tin cụ thể về công nghệ phát hiện gian lận. Công khai quy định quản lý thuế.</t>
  </si>
  <si>
    <t>Công nghệ ngày càng phát triển, cùng với mức giảm trừ gia cảnh tăng mạnh, khả năng phát hiện trốn thuế sẽ cao hơn trước. Cơ quan thuế có đủ nguồn lực để thực thi.</t>
  </si>
  <si>
    <t>Bậc thuế đơn giản hóa từ 7 xuống còn 5 bậc, quy trình làm việc thuận tiện hơn. Tuy nhiên, không rõ quy trình khai báo mới như thế nào.</t>
  </si>
  <si>
    <t>Biểu thuế đơn giản hơn trước, dễ hiểu và dễ thực hiện. Các bước tính toán thu nhập chịu thuế trở nên dễ dàng hơn.</t>
  </si>
  <si>
    <t>Thu nhập tối thiểu chịu thuế tăng, giảm trừ gia cảnh cao hơn, tạo cảm giác công bằng. Tuy nhiên, không rõ cách thực thi quy định mới.</t>
  </si>
  <si>
    <t>Mức thuế mới phù hợp với thu nhập hiện tại của tôi, cho thấy tính công bằng trong việc phân bổ gánh nặng thuế. Tuy nhiên, chưa đầy đủ thông tin về mục tiêu chính sách.</t>
  </si>
  <si>
    <t>Thuế đóng góp vào các dịch vụ công quan trọng như y tế và hạ tầng. Tuy nhiên, không rõ cách sử dụng hiệu quả số tiền thu được từ thuế.</t>
  </si>
  <si>
    <t>Trình bày về mục tiêu chính sách chưa đầy đủ, gây ra sự nghi ngờ. Không thấy thông tin minh bạch về việc giải thích lý do thay đổi thuế.</t>
  </si>
  <si>
    <t>Thu nhập giảm trừ gia cảnh tăng mạnh và mức thuế mới phù hợp, tạo niềm tin và tính công bằng. Tuy nhiên, không rõ ràng về thực thi chính sách, ảnh hưởng đến quyết định tuân thủ.</t>
  </si>
  <si>
    <t>Các quy định quản lý thuế hiện nay đã được cải thiện đáng kể, nhưng đa số người dân vẫn nghi ngờ về khả năng phát hiện trốn thuế.</t>
  </si>
  <si>
    <t>Nhà nước và cơ quan thuế có nhiều công nghệ hỗ trợ nhưng chưa hoàn toàn đảm bảo việc phát hiện trốn thuế hiệu quả.</t>
  </si>
  <si>
    <t>Thủ tục khai báo thuế đã đơn giản hơn, nhưng vẫn còn một số khó khăn trong quá trình làm việc với cơ quan thuế.</t>
  </si>
  <si>
    <t>Cách tính thuế mới đơn giản, dễ hiểu và thực hiện thuận tiện hơn so với trước đây.</t>
  </si>
  <si>
    <t>Nhà nước và cơ quan thuế có nhiều cải tiến trong việc quản lý thuế nhưng vẫn còn một số nghi ngại về khách quan và công bằng.</t>
  </si>
  <si>
    <t>Mức thuế mới khá công bằng với thu nhập hiện tại của tôi, tuy nhiên vẫn lo lắng về việc thực thi chính sách.</t>
  </si>
  <si>
    <t>Tôi tin rằng số tiền thuế đóng sẽ được sử dụng hiệu quả để cải thiện các dịch vụ công, nhưng còn nghi ngờ về mức độ thực hiện.</t>
  </si>
  <si>
    <t>Nhà nước đã giải thích rõ ràng hơn về mục tiêu của việc sửa đổi thuế, nhưng vẫn còn một số thông tin chưa đủ minh bạch.</t>
  </si>
  <si>
    <t>Các quyền lợi và nghĩa vụ mới do cải cách thuế tạo ra giúp tôi cảm thấy công bằng hơn, tuy nhiên vẫn có sự nghi ngại về việc tuân thủ.</t>
  </si>
  <si>
    <t>Tăng mức giảm trừ gia cảnh và đơn giản hóa quy trình thuế có thể làm giảm hành vi gian lận, tuy nhiên, công nghệ phát hiện trốn thuế vẫn còn hạn chế.</t>
  </si>
  <si>
    <t>Công nghệ ngày càng tiên tiến nhưng thực tế việc phát hiện trốn thuế cần sự phối hợp giữa nhiều cơ quan và nguồn lực lớn.</t>
  </si>
  <si>
    <t>Mức giảm trừ gia cảnh tăng lên và đơn giản hóa biểu thuế có thể làm thủ tục khai báo thuế dễ dàng hơn.</t>
  </si>
  <si>
    <t>Biểu thuế được rút gọn từ 7 bậc xuống còn 5 bậc, khiến việc tính toán thuế trở nên rõ ràng hơn.</t>
  </si>
  <si>
    <t>Tăng mức giảm trừ gia cảnh và đơn giản hóa biểu thuế có thể làm tăng niềm tin vào tính công bằng của chính sách.</t>
  </si>
  <si>
    <t>Mức thuế mới được thiết kế dựa trên thu nhập, nhưng vẫn còn nhiều người nghi ngờ về tính công bằng.</t>
  </si>
  <si>
    <t>Niềm tin vào việc sử dụng tiền thuế hiệu quả để cải thiện dịch vụ công đang ngày càng tăng cao.</t>
  </si>
  <si>
    <t>Thông điệp về việc sửa đổi thuế đã được truyền đạt rõ ràng, nhưng vẫn còn nhiều người nghi ngờ.</t>
  </si>
  <si>
    <t>Tăng mức giảm trừ gia cảnh và đơn giản hóa biểu thuế có thể làm tăng sự tuân thủ chính sách, tuy nhiên, niềm tin về tính công bằng của chính sách vẫn chưa chắc chắn.</t>
  </si>
  <si>
    <t>Các quy định quản lý thuế hiện nay được cập nhật và có thể phát hiện hành vi gian lận, trốn thuế.</t>
  </si>
  <si>
    <t>Nhà nước đã đầu tư công nghệ để phát hiện và xử lý nghiêm các hành vi trốn thuế.</t>
  </si>
  <si>
    <t>Các thủ tục khai báo thuế và quy trình làm việc với cơ quan thuế trở nên đơn giản hơn, thuận tiện cho người nộp thuế.</t>
  </si>
  <si>
    <t>Biểu thuế mới được đơn giản hóa, giúp dễ hiểu và thực hiện hơn so với trước đây.</t>
  </si>
  <si>
    <t>Nhà nước đã tăng giảm trừ gia cảnh, thể hiện sự công bằng đối xử giữa các người nộp thuế.</t>
  </si>
  <si>
    <t>Mức thuế mới được thiết lập dựa trên thu nhập, tạo cảm giác mức thuế đóng là hợp lý.</t>
  </si>
  <si>
    <t>Tăng giảm trừ gia cảnh giúp tiền thuế đóng được sử dụng hiệu quả cho dịch vụ công</t>
  </si>
  <si>
    <t>Nhà nước đã giải thích rõ ràng về các quy định mới, nhưng vẫn có một số người nghi ngờ.</t>
  </si>
  <si>
    <t>Dựa trên việc giảm gánh nặng thuế và cải thiện thủ tục, tôi sẵn sàng tuân thủ chính sách mới.</t>
  </si>
  <si>
    <t>Mức giảm trừ gia cảnh tăng cao giúp giảm gánh nặng thuế, nhưng không loại bỏ hoàn toàn khả năng trốn thuế. Cơ chế quản lý vẫn cần cải tiến.</t>
  </si>
  <si>
    <t>Công nghệ phát triển ngày càng nhanh, cộng với các quy định quản lý chặt chẽ hơn giúp tăng cường khả năng phát hiện hành vi trốn thuế.</t>
  </si>
  <si>
    <t>Biểu thuế đơn giản hơn và mức giảm trừ gia cảnh cao hơn làm cho quá trình khai báo dễ dàng hơn, nhưng vẫn cần cải thiện trong việc áp dụng.</t>
  </si>
  <si>
    <t>Cách tính thuế mới dễ hiểu hơn so với trước đây, đặc biệt là khi số bậc thuế được giảm từ 7 xuống còn 5</t>
  </si>
  <si>
    <t>Nhìn chung mức thuế mới công bằng hơn cho thu nhập của tôi, và các quy định quản lý cũng trở nên khách quan hơn.</t>
  </si>
  <si>
    <t>Mức thuế mới tương đối hợp lý so với thu nhập của tôi, nhưng vẫn cần thêm thời gian để kiểm chứng hiệu quả thực thi chính sách</t>
  </si>
  <si>
    <t>Tăng mức giảm trừ gia cảnh giúp cải thiện chất lượng dịch vụ công, và tôi tin rằng Nhà nước sẽ sử dụng số tiền thuế một cách hiệu quả.</t>
  </si>
  <si>
    <t>Nhìn chung tôi thấy thông tin về chính sách mới được giải thích khá rõ ràng, nhưng vẫn cần thêm thời gian để đánh giá</t>
  </si>
  <si>
    <t>Chính sách thuế mới giảm bớt gánh nặng cho tôi và người dân, đồng thời cải thiện chất lượng dịch vụ công. Tôi sẽ tiếp tục tuân thủ.</t>
  </si>
  <si>
    <t>Cải cách thuế TNCN mới có các quy định quản lý mạnh mẽ hơn, đặc biệt là mức giảm trừ gia cảnh cao hơn. Điều này làm giảm rủi ro trốn thuế và tăng khả năng phát hiện.</t>
  </si>
  <si>
    <t>Việc áp dụng công nghệ trong quản lý thuế đã giúp tăng cường khả năng giám sát và xử lý nghiêm các hành vi trốn thuế. Các quy định rõ ràng về việc phát hiện và xử lý cũng tạo niềm tin.</t>
  </si>
  <si>
    <t>Các thủ tục khai báo thuế được đơn giản hóa từ 7 bậc xuống còn 5, giúp quá trình làm việc với cơ quan thuế nhanh chóng hơn. Điều này tăng độ tiện lợi và giảm thời gian chờ đợi.</t>
  </si>
  <si>
    <t>Biểu thuế mới đơn giản hơn, từ 7 bậc xuống còn 5, giúp người dân dễ hiểu và áp dụng cách tính thuế của mình. Điều này tăng khả năng tuân thủ.</t>
  </si>
  <si>
    <t>Nhà nước đã cải thiện quy định về giảm trừ gia cảnh, tạo công bằng cho người nộp thuế. Tuy nhiên, tôi vẫn nghi ngờ về cách thực thi chính sách.</t>
  </si>
  <si>
    <t>Mức thuế mới được thiết kế theo thu nhập, mang tính công bằng nhưng tôi cần thêm thông tin để chắc chắn rằng nó phù hợp với cả nhóm người dân khác.</t>
  </si>
  <si>
    <t>Thuế đóng góp vào cải thiện dịch vụ công. Tuy nhiên, tôi không hoàn toàn tin tưởng vào việc sử dụng hiệu quả số tiền thuế này.</t>
  </si>
  <si>
    <t>Thông tin về lý do và mục tiêu của chính sách mới còn hạn chế. Tôi cần thêm thông tin minh bạch để có thể đánh giá</t>
  </si>
  <si>
    <t>Cải cách thuế TNCN mang nhiều lợi ích nhưng tôi vẫn nghi ngờ về thực thi. Tôi sẽ chờ đợi thêm thông tin và theo dõi kết quả thực hiện.</t>
  </si>
  <si>
    <t>Mức giảm trừ gia cảnh tăng giúp người dân dễ tuân thủ, nhưng không biết về công nghệ phát hiện trốn thuế.</t>
  </si>
  <si>
    <t>Công nghệ phát hiện trốn thuế có thể được cải thiện với các quy định mới, nhưng chưa rõ ràng.</t>
  </si>
  <si>
    <t>Biểu thuế đơn giản hơn và giảm trừ gia cảnh cao hơn giúp thủ tục khai báo thuế dễ dàng hơn.</t>
  </si>
  <si>
    <t>Cách tính thuế mới rõ ràng, nhưng số bậc thuế không quá giảm so với trước đây.</t>
  </si>
  <si>
    <t>Giảm trừ gia cảnh cao hơn và mức thuế suất thấp hơn mang lại cảm giác công bằng.</t>
  </si>
  <si>
    <t>Thuế mới có vẻ hợp lý với thu nhập hiện tại, nhưng chưa rõ về hiệu quả sử dụng nguồn thu</t>
  </si>
  <si>
    <t>Cảm giác thuế được dùng hiệu quả vào các dịch vụ công còn phụ thuộc vào cách thực thi.</t>
  </si>
  <si>
    <t>Giải thích về mục tiêu của chính sách mới chưa rõ ràng, nhưng đã đơn giản hơn so với trước</t>
  </si>
  <si>
    <t>Thuế suất và giảm trừ gia cảnh cao hơn giúp tôi sẵn sàng tuân thủ, dù còn nghi ngờ về hiệu quả thực thi.</t>
  </si>
  <si>
    <t>Mức giảm trừ gia cảnh và bảng thuế mới có thể làm tăng sự minh bạch, nhưng không đủ thông tin về khả năng phát hiện trốn thuế.</t>
  </si>
  <si>
    <t>Cải cách thuế với mức giảm trừ gia cảnh cao hơn và số bậc thuế ít hơn có thể làm giảm cơ hội trốn thuế, đồng thời tăng khả năng phát hiện thông qua công nghệ.</t>
  </si>
  <si>
    <t>Biểu thuế đơn giản hơn nhưng không phải tất cả người nộp thuế đều cảm thấy thủ tục khai báo thuế tiện lợi hơn trước đây.</t>
  </si>
  <si>
    <t>Bảng thuế mới với số bậc giảm, có thể giúp việc tính thuế dễ dàng hơn nhưng vẫn cần thời gian để quen thuộc.</t>
  </si>
  <si>
    <t>Mức giảm trừ gia cảnh cao và bảng thuế đơn giản có thể làm tăng niềm tin vào công bằng của hệ thống, tuy nhiên không đủ thông tin về khả năng thực thi khách quan.</t>
  </si>
  <si>
    <t>Thuế mới với mức giảm trừ gia cảnh cao hơn và số bậc thuế ít có thể làm cho người thu nhập trung bình như tôi thấy mức thuế công bằng hơn, nhưng không chắc chắn tuyệt đối.</t>
  </si>
  <si>
    <t>Mức giảm trừ gia cảnh cao và bảng thuế đơn giản có thể làm tăng niềm tin vào việc sử dụng hiệu quả số tiền thuế thu được cho dịch vụ công, tuy nhiên không đủ thông tin về việc thực thi.</t>
  </si>
  <si>
    <t>Mức giảm trừ gia cảnh cao và bảng thuế đơn giản có thể làm tăng niềm tin vào việc giải thích rõ ràng của Nhà nước, nhưng không chắc chắn tuyệt đối về mức độ minh bạch.</t>
  </si>
  <si>
    <t>Thuế mới với mức giảm trừ gia cảnh cao hơn và số bậc thuế ít có thể làm tăng sự ủng hộ, nhưng vẫn cần thời gian để quen thuộc và đánh giá hiệu quả thực thi.</t>
  </si>
  <si>
    <t>Nâng cao mức giảm trừ gia cảnh và đơn giản hóa biểu thuế có thể làm giảm rủi ro trốn thuế, nhưng khả năng phát hiện vẫn phụ thuộc vào hệ thống quản lý của cơ quan thuế.</t>
  </si>
  <si>
    <t>Việc áp dụng công nghệ trong quản lý thuế có thể giúp phát hiện các hành vi trốn thuế hiệu quả hơn, tuy nhiên, thực tế còn phụ thuộc vào đầu tư và triển khai của cơ quan thuế.</t>
  </si>
  <si>
    <t>Số bậc thuế giảm đi từ 7 xuống 5 có thể làm thủ tục đơn giản hơn, nhưng vẫn cần thời gian để người dân và doanh nghiệp thích nghi với quy trình mới.</t>
  </si>
  <si>
    <t>Biểu thuế được đơn giản hóa và giảm bậc thuế từ 7 xuống 5 có thể làm cách tính thuế dễ hiểu hơn, nhưng việc áp dụng các bậc thuế mới cần thời gian để mọi người thích nghi.</t>
  </si>
  <si>
    <t>Mức giảm trừ gia cảnh tăng và đơn giản hóa biểu thuế có thể làm cho hệ thống thuế công bằng hơn, tuy nhiên, sự thực thi chính sách còn phụ thuộc vào các yếu tố khác như minh bạch.</t>
  </si>
  <si>
    <t>Mức thuế mới có vẻ phù hợp với thu nhập cá nhân hiện tại của tôi, nhưng vẫn cần xem xét các điều khoản cụ thể trong Luật Thuế TNCN sửa đổi để đánh giá chính xác.</t>
  </si>
  <si>
    <t>Niềm tin vào việc sử dụng hiệu quả số tiền thuế đóng phụ thuộc nhiều vào minh bạch và công khai của cơ quan quản lý, cũng như các chính sách cải thiện dịch vụ công hiện tại.</t>
  </si>
  <si>
    <t>Những thông tin giải thích về Luật Thuế TNCN sửa đổi còn hạn chế và chưa đầy đủ, nên tôi vẫn nghi ngờ về sự minh bạch trong việc thực thi chính sách mới.</t>
  </si>
  <si>
    <t>Tăng mức giảm trừ gia cảnh và đơn giản hóa biểu thuế có thể làm giảm gánh nặng tài chính cho người dân, nhưng quyết định tuân thủ còn phụ thuộc vào nhiều yếu tố khác như niềm tin, minh bạch và sự hiểu biết về chính sách.</t>
  </si>
  <si>
    <t>Các quy định quản lý thuế hiện nay đã được cải thiện đáng kể, song vẫn phụ thuộc vào sự tuân thủ của người nộp thuế. Công nghệ phát hiện trốn thuế chưa hoàn toàn tiên tiến.</t>
  </si>
  <si>
    <t>Nhà nước và cơ quan thuế có nhiều công cụ kỹ thuật để phát hiện gian lận, nhưng vẫn cần sự phối hợp chặt chẽ hơn từ các bên liên quan.</t>
  </si>
  <si>
    <t>So với trước đây, quy trình khai báo thuế đã đơn giản hóa đáng kể. Tuy nhiên, một số thủ tục vẫn còn phức tạp đối với người nộp thuế không am hiểu về luật pháp thuế.</t>
  </si>
  <si>
    <t>Cách tính thuế mới đơn giản hơn và có ít bậc thuế, nhưng cần thêm thời gian để người dân quen thuộc.</t>
  </si>
  <si>
    <t>Nhà nước đã cố gắng thực thi chính sách một cách công bằng, song vẫn còn nhiều yếu tố gây nghi ngờ về sự đối xử bình đẳng giữa các đối tượng nộp thuế.</t>
  </si>
  <si>
    <t>Mức thuế mới được thiết kế nhằm công bằng hơn, nhưng có thể chưa phù hợp với hoàn cảnh cụ thể của từng người.</t>
  </si>
  <si>
    <t>Thuế đóng góp vào việc cải thiện dịch vụ công và hạ tầng là cần thiết, song hiệu quả sử dụng nguồn lực này còn phụ thuộc vào nhiều yếu tố khác.</t>
  </si>
  <si>
    <t>Nhà nước đã cung cấp thông tin đầy đủ về chính sách mới, nhưng việc truyền đạt đến người dân chưa đồng đều.</t>
  </si>
  <si>
    <t>Dù nhận thức về thuế mới tốt hơn, song vẫn còn nhiều yếu tố như sự phức tạp của thủ tục và sự tin tưởng vào cơ quan thuế ảnh hưởng đến quyết định tuân thủ.</t>
  </si>
  <si>
    <t>Việc tăng mức giảm trừ gia cảnh và đơn giản hóa biểu thuế có thể làm giảm rủi ro trốn thuế, nhưng công nghệ phát hiện gian lận vẫn còn hạn chế.</t>
  </si>
  <si>
    <t>Công nghệ hiện đại ngày càng phát triển, cùng với những cải cách trong quản lý thuế sẽ giúp tăng cường khả năng phát hiện và xử lý trốn thuế.</t>
  </si>
  <si>
    <t>Bậc thuế đơn giản hóa từ 7 xuống 5 có thể làm thủ tục khai báo thuế trở nên dễ dàng hơn, nhưng mức thuế mới có thể gây khó khăn cho người dân hiểu rõ.</t>
  </si>
  <si>
    <t>Cách tính thuế và các bậc thuế trong phương án mới đơn giản hóa so với trước đây, giúp việc áp dụng thuế trở nên dễ dàng hơn.</t>
  </si>
  <si>
    <t>Nhìn chung, mức giảm trừ gia cảnh tăng có thể tạo cảm giác công bằng, nhưng sự minh bạch trong thực thi chính sách vẫn cần được cải thiện.</t>
  </si>
  <si>
    <t>Mức thuế mới đối với thu nhập của tôi (không nêu rõ) có vẻ hợp lý so với quy định cũ, tạo cảm giác công bằng hơn.</t>
  </si>
  <si>
    <t>Tăng mức giảm trừ gia cảnh và đơn giản hóa biểu thuế có thể làm tăng niềm tin rằng số tiền thuế đóng sẽ được sử dụng hiệu quả cho các dịch vụ công</t>
  </si>
  <si>
    <t>Nhìn chung, thông tin về phương án mới đã khá rõ ràng, nhưng vẫn cần thêm minh bạch hơn để tạo niềm tin.</t>
  </si>
  <si>
    <t>Tăng mức giảm trừ gia cảnh và đơn giản hóa quy trình khai báo thuế có thể làm tăng sự ủng hộ đối với chính sách mới. Tuy nhiên, vẫn còn nhiều yếu tố cần cân nhắc.</t>
  </si>
  <si>
    <t>Các quy định quản lý thuế mới có nhiều cải tiến như tăng giảm trừ gia cảnh, đơn giản hóa biểu thuế, nhưng thực tế khả năng phát hiện trốn thuế phụ thuộc vào công nghệ và nguồn lực của cơ quan thuế.</t>
  </si>
  <si>
    <t>Nhà nước đã đầu tư nhiều công nghệ tiên tiến để phát hiện trốn thuế như AI, big data nhưng cần thời gian đào tạo nhân viên và nâng cao hiệu quả quản lý.</t>
  </si>
  <si>
    <t>Biểu thuế mới đơn giản hơn, số bậc giảm từ 7 xuống 5, việc khai báo thuế cũng dễ dàng hơn, nhưng quy trình làm việc với cơ quan thuế vẫn còn phức tạp.</t>
  </si>
  <si>
    <t>Cách tính thuế mới đơn giản và rõ ràng hơn so với trước đây, các bậc thuế cũng dễ hiểu hơn.</t>
  </si>
  <si>
    <t>Niềm tin vào sự công bằng của cơ quan thuế tăng do nhiều cải tiến về giảm trừ gia cảnh và đơn giản hóa biểu thuế.</t>
  </si>
  <si>
    <t>Mức thuế mới được thiết kế để hợp lý với thu nhập cá nhân, nhưng vẫn cần thời gian thực hành để đánh giá hiệu quả.</t>
  </si>
  <si>
    <t>Thuê mới có thể giúp cải thiện dịch vụ công nếu sử dụng hiệu quả, nhưng còn phụ thuộc vào cách quản lý nguồn thu của nhà nước.</t>
  </si>
  <si>
    <t>Nhà nước đã giải thích về mục tiêu cải cách thuế một cách rõ ràng thông qua các kênh truyền thông chính thức.</t>
  </si>
  <si>
    <t>Sau khi xem xét, mình ủng hộ và tuân thủ vì lợi ích tài chính tăng lên và quy trình khai báo thuế đơn giản hơn.</t>
  </si>
  <si>
    <t>Mức giảm trừ gia cảnh tăng và quy định quản lý thuế được cải cách có thể giúp phát hiện gian lận, nhưng việc thực thi vẫn phụ thuộc vào hiệu suất của cơ quan thuế.</t>
  </si>
  <si>
    <t>Công nghệ hiện đại như AI, blockchain có thể tăng cường khả năng phát hiện và xử lý trốn thuế, nhưng cần thời gian để triển khai.</t>
  </si>
  <si>
    <t>Mức giảm trừ gia cảnh cao hơn và số bậc thuế ít đi tạo thuận lợi trong việc khai báo thuế, dễ dàng hiểu và thực hiện.</t>
  </si>
  <si>
    <t>Biểu thuế đơn giản hóa từ 7 xuống 5 bậc làm quá trình tính thuế trở nên rõ ràng hơn, thuận tiện cho người nộp thuế.</t>
  </si>
  <si>
    <t>Giảm trừ gia cảnh tăng và quy định minh bạch có thể tạo niềm tin về việc thực thi công bằng, nhưng vẫn cần thời gian để chứng minht</t>
  </si>
  <si>
    <t>Mức thuế mới được thiết kế dựa trên thu nhập cá nhân nên cho thấy tính công bằng, phù hợp với khả năng chịu đựng của người dân.</t>
  </si>
  <si>
    <t>Thuế được sử dụng để cải thiện dịch vụ công nhưng hiệu quả sử dụng còn phụ thuộc vào quản lý ngân sách và phân bổ tài chính.</t>
  </si>
  <si>
    <t>Thông tin về thuế mới đã được cung cấp qua nhiều kênh, nhưng cần thêm minh bạch để thuyết phục người dân về mục tiêu của cải cách.</t>
  </si>
  <si>
    <t>Thuận lợi tài chính từ mức giảm trừ gia cảnh cao và biểu thuế đơn giản hóa tạo thuận lợi cho việc tuân thủ, nhưng vẫn cần thời gian để đánh giá hiệu quả thực thi.</t>
  </si>
  <si>
    <t>Tăng mức giảm trừ gia cảnh và đơn giản hóa biểu thuế có thể làm giảm rủi ro trốn thuế, nhưng khả năng phát hiện vẫn phụ thuộc vào công nghệ và nguồn lực của cơ quan thuế.</t>
  </si>
  <si>
    <t>Công nghệ hiện đại như AI, Big Data giúp phát hiện trốn thuế hiệu quả hơn, tuy nhiên, cần đảm bảo có đủ nguồn lực để triển khai.</t>
  </si>
  <si>
    <t>Bậc thuế giảm và mức giảm trừ gia cảnh tăng làm thủ tục đơn giản hơn, nhưng quy trình khai báo vẫn có thể phức tạp đối với những người không quen thuộc.</t>
  </si>
  <si>
    <t>Biểu thuế đơn giản hóa giúp tính toán dễ dàng hơn, tuy nhiên, việc áp dụng các bậc thuế mới cần thời gian để làm quen.</t>
  </si>
  <si>
    <t>Nâng cao mức giảm trừ gia cảnh và đơn giản hóa biểu thuế có thể tạo niềm tin về sự công bằng trong việc đánh thuế</t>
  </si>
  <si>
    <t>Tăng mức giảm trừ gia cảnh và đơn giản hóa biểu thuế làm cho mức thuế mới được coi là công bằng hơn</t>
  </si>
  <si>
    <t>Niềm tin vào việc sử dụng hiệu quả nguồn thu từ thuế trong cải thiện dịch vụ công cần thời gian để xác minh</t>
  </si>
  <si>
    <t>Thông tin về lý do và mục tiêu của chính sách mới chưa được giải thích đầy đủ, gây ra sự hoài nghi</t>
  </si>
  <si>
    <t>Tăng mức giảm trừ gia cảnh và đơn giản hóa biểu thuế tạo điều kiện thuận lợi cho việc tuân thủ chính sách thuế mới</t>
  </si>
  <si>
    <t>Biện pháp quản lý thuế mới có thêm giảm trừ gia cảnh, nên hành vi gian lận hoặc trốn thuế sẽ khó bị phát hiện. Tuy nhiên, với sự tiến bộ của công nghệ, khả năng phát hiện vẫn có thể tăng lên.</t>
  </si>
  <si>
    <t>Công nghệ ngày càng tiên tiến và chính phủ đã đầu tư vào hệ thống quản lý thuế, giúp cải thiện khả năng phát hiện trốn thuế. Tuy nhiên, vẫn cần thời gian để công nghệ hoàn thiện.</t>
  </si>
  <si>
    <t>Số bậc thuế giảm từ 7 xuống còn 5 và mức giảm trừ gia cảnh tăng, khiến quy trình khai báo trở nên đơn giản hơn. Tuy nhiên, quy trình làm việc với cơ quan thuế vẫn cần cải thiện.</t>
  </si>
  <si>
    <t>Cách tính thuế mới đơn giản và dễ hiểu hơn so với trước đây, đặc biệt là khi số bậc thuế giảm từ 7 xuống còn 5.</t>
  </si>
  <si>
    <t>Đối với mức thu nhập của tôi, việc tăng thêm giảm trừ gia cảnh sẽ giúp tôi cảm thấy công bằng hơn. Tuy nhiên, vẫn cần thời gian để tin tưởng vào cách thực thi chính sách mới.</t>
  </si>
  <si>
    <t>Mức thuế mới có vẻ hợp lý so với thu nhập của tôi, nhưng cần thêm thời gian để đánh giá toàn diện về tính công bằng của nó.</t>
  </si>
  <si>
    <t>Tôi tin rằng số tiền thuế đóng sẽ được sử dụng hiệu quả cho dịch vụ công. Tuy nhiên, việc này phụ thuộc vào cách quản lý nguồn vốn và chi tiêu của chính phủ.</t>
  </si>
  <si>
    <t>Nhà nước đã cung cấp thông tin về quy định mới, nhưng tôi cần thêm thời gian để đánh giá sự minh bạch và rõ ràng trong việc giải thích mục đích của các thay đổi này.</t>
  </si>
  <si>
    <t>Sau khi xem xét lợi ích từ giảm trừ gia cảnh, tôi có thể ủng hộ chính sách mới. Tuy nhiên, quyết định cuối cùng phụ thuộc vào cách thực thi và quản lý nguồn thu thuế của chính phủ.</t>
  </si>
  <si>
    <t>Cải cách thuế mới có thêm giảm trừ gia cảnh và đơn giản hóa quy trình khai báo, tuy nhiên vẫn cần công nghệ phát hiện gian lận.</t>
  </si>
  <si>
    <t>Nhà nước đã đầu tư vào công nghệ để phát hiện trốn thuế, nhưng hiệu quả còn phụ thuộc vào việc triển khai.</t>
  </si>
  <si>
    <t>Giảm số bậc thuế và tăng giảm trừ gia cảnh tạo thuận lợi hơn cho người nộp thuế.</t>
  </si>
  <si>
    <t>Cách tính thuế mới đơn giản, nhưng vẫn cần thời gian để làm quen với các thay đổi.</t>
  </si>
  <si>
    <t>Niềm tin công bằng về cách thực thi chính sách có thể tăng nhờ cải thiện giảm trừ gia cảnh và quy trình thuận lợi hơn.</t>
  </si>
  <si>
    <t>Mức thuế mới có thể coi là công bằng đối với thu nhập hiện tại, nhưng cần xem xét tổng thể.</t>
  </si>
  <si>
    <t>Niềm tin về việc sử dụng tiền thuế hiệu quả để cải thiện dịch vụ công tăng lên do đơn giản hóa quy trình.</t>
  </si>
  <si>
    <t>Cải cách thuế mới cần thêm giải thích rõ ràng hơn, đặc biệt với những người đã có trải nghiệm trốn thuế trước đây.</t>
  </si>
  <si>
    <t>Sau khi xem xét lợi ích từ cải cách thuế, tôi thấy chính sách này hợp lý cho thu nhập hiện tại, nhưng cần thêm thời gian để quen với thay đổi.</t>
  </si>
  <si>
    <t>Các quy định quản lý thuế hiện nay có nhiều biện pháp phát hiện gian lận, nhưng mức độ hiệu quả còn phụ thuộc vào công nghệ và nguồn lực của cơ quan thuế.</t>
  </si>
  <si>
    <t>Việc áp dụng công nghệ cao như AI, Big Data giúp tăng khả năng phát hiện trốn thuế. Tuy nhiên, vẫn cần sự cải thiện về quy trình và nguồn lực.</t>
  </si>
  <si>
    <t>Đơn giản hóa biểu thuế và giảm mức Giảm trừ gia cảnh có thể làm thủ tục khai báo trở nên phức tạp hơn.</t>
  </si>
  <si>
    <t>Biểu thuế đơn giản hóa, nhưng sự thay đổi về bậc thuế suất và ngưỡng chịu thuế cần thời gian để người dân thích nghi.</t>
  </si>
  <si>
    <t>Niềm tin vào cơ quan thuế có thể tăng lên do mức Giảm trừ gia cảnh tăng, nhưng vẫn cần sự minh bạch và thực thi công bằng.</t>
  </si>
  <si>
    <t>Mức thuế mới có vẻ hợp lý với thu nhập hiện tại của tôi, nhưng còn phụ thuộc vào cách áp dụng trong thực tế.</t>
  </si>
  <si>
    <t>Niềm tin về việc sử dụng tiền thuế hiệu quả phụ thuộc vào sự minh bạch và quản trị tài chính của nhà nước.</t>
  </si>
  <si>
    <t>Đã có những giải thích về mục tiêu cải cách, nhưng vẫn cần minh bạch hơn trong thực thi mới tạo niềm tin.</t>
  </si>
  <si>
    <t>Sau xem xét, tôi thấy lợi ích từ chính sách mới, nhưng còn lo ngại về việc áp dụng và thực thi. Tôi sẽ cân nhắc ủng hộ nếu có thêm minh bạch.</t>
  </si>
  <si>
    <t>Các quy định quản lý thuế hiện nay có nhiều cải tiến, nhưng vẫn chưa đủ mạnh để phát hiện trốn thuế hiệu quả.</t>
  </si>
  <si>
    <t>Công nghệ đã giúp cải thiện khả năng phát hiện trốn thuế, tuy nhiên còn phụ thuộc vào nguồn lực của cơ quan thuế.</t>
  </si>
  <si>
    <t>Thủ tục khai báo thuế đơn giản hơn so với trước đây, giảm bớt thời gian và công sức cho người nộp thuế.</t>
  </si>
  <si>
    <t>Cách tính thuế mới đơn giản hóa bậc thuế từ 7 xuống còn 5, giúp việc quản lý và thực hiện dễ dàng hơn.</t>
  </si>
  <si>
    <t>Mức giảm trừ gia cảnh tăng lên, tạo cảm giác công bằng cho người nộp thuế, nhưng vẫn chưa hoàn toàn khách quan.</t>
  </si>
  <si>
    <t>Mức thuế mới hợp lý với thu nhập hiện tại của tôi, tạo nên sự công bằng trong việc đóng góp vào ngân sách nhà nước.</t>
  </si>
  <si>
    <t>Tôi tin rằng số tiền thuế tôi đóng sẽ được sử dụng hiệu quả để cải thiện các dịch vụ công, nhưng vẫn cần thêm minh bạch.</t>
  </si>
  <si>
    <t>Nhà nước đã giải thích rõ ràng về mục tiêu của việc sửa đổi thuế, tạo niềm tin cho người nộp thuế.</t>
  </si>
  <si>
    <t>Tăng cường giảm trừ gia cảnh và đơn giản hóa quy trình khai báo thuế tạo ra lợi ích rõ rệt, tôi sẵn sàng tuân thủ.</t>
  </si>
  <si>
    <t>Các quy định quản lý thuế hiện nay có nhiều cải tiến nhưng vẫn còn hạn chế trong việc phát hiện trốn thuế. Công nghệ giúp ích nhưng không hoàn toàn loại bỏ rủi ro.</t>
  </si>
  <si>
    <t>Nhà nước và cơ quan thuế đã đầu tư công nghệ để phát hiện trốn thuế, tăng cường quản lý. Tuy nhiên, vẫn còn nhiều thách thức trong việc thực thi.</t>
  </si>
  <si>
    <t>Mức giảm trừ gia cảnh cao hơn giúp thuận tiện cho người nộp thuế, quy trình khai báo thuế đơn giản hóa nhưng cần thêm thời gian để quen với các thay đổi mới.</t>
  </si>
  <si>
    <t>Biểu thuế được đơn giản hóa, giảm số bậc thuế giúp việc tính toán và nộp thuế dễ dàng hơn. Tuy nhiên, vẫn có một số điểm khó hiểu cần cải thiện.</t>
  </si>
  <si>
    <t>Nhà nước đã công bố các quy định mới với mục tiêu minh bạch hóa quản lý thuế nhưng còn nhiều quan ngại về khả năng thực thi công bằng.</t>
  </si>
  <si>
    <t>Lớp trung bình có lợi hơn từ cải cách thuế nhưng vẫn còn lo ngại về sự công bằng. Các bậc thuế mới giúp người thu nhập thấp và trung bình giảm gánh nặng.</t>
  </si>
  <si>
    <t>Thuế mới được sử dụng hiệu quả vào các dịch vụ công, đặc biệt là y tế và hạ tầng cơ sở, nhưng vẫn còn nhiều lo ngại về việc thực hiện.</t>
  </si>
  <si>
    <t>Nhà nước đã giải thích rõ về mục tiêu cải cách thuế nhưng chưa thuyết phục được tất cả mọi người. Cần thêm thông tin minh bạch.</t>
  </si>
  <si>
    <t>Cải cách thuế mang lại lợi ích cho tôi, đặc biệt là việc giảm trừ gia cảnh cao hơn và đơn giản hóa biểu thuế. Tuy nhiên, vẫn có một số lo ngại về thực thi chính sách.</t>
  </si>
  <si>
    <t>Tăng mức giảm trừ gia cảnh và đơn giản hóa biểu thuế làm giảm rủi ro trốn thuế, nhưng vẫn cần công nghệ để phát hiện gian lận.</t>
  </si>
  <si>
    <t>Công nghệ ngày càng phát triển giúp phát hiện hành vi trốn thuế hiệu quả hơn. Cơ quan thuế có nhiều khả năng để xử lý nghiêm.</t>
  </si>
  <si>
    <t>Mức giảm trừ gia cảnh tăng và số bậc thuế đơn giản, làm quy trình khai báo thuận tiện hơn cho người nộp thuế.</t>
  </si>
  <si>
    <t>Biểu thuế được rút gọn, nhưng vẫn giữ nguyên các bậc thuế suất. Cách tính thuế vẫn có thể phức tạp đối với một số người.</t>
  </si>
  <si>
    <t>Mức giảm trừ gia cảnh tăng và đơn giản hóa biểu thuế tạo cảm giác công bằng trong việc phân bổ gánh nặng thuế.</t>
  </si>
  <si>
    <t>Ngưỡng chịu thuế mới có thể phù hợp với thu nhập trung bình, nhưng vẫn cần thời gian để kiểm chứng tính công bằng.</t>
  </si>
  <si>
    <t>Giảm trừ gia cảnh tăng và đơn giản hóa biểu thuế tạo cảm giác số tiền thuế đóng sẽ được sử dụng hiệu quả cho dịch vụ công.</t>
  </si>
  <si>
    <t>Thông tin về cải cách thuế chưa đầy đủ, nhưng mức giảm trừ gia cảnh tăng đã thuyết phục một phần.</t>
  </si>
  <si>
    <t>Tăng mức giảm trừ gia cảnh và đơn giản hóa biểu thuế tạo cảm giác thuận tiện và công bằng, nhưng vẫn cần thời gian để xem xét tổng thể.</t>
  </si>
  <si>
    <t>Nâng cao mức giảm trừ gia cảnh và đơn giản hóa biểu thuế có thể làm tăng sự công bằng, nhưng không đảm bảo 100% phát hiện trốn thuế.</t>
  </si>
  <si>
    <t>Công nghệ hiện đại giúp phát hiện trốn thuế dễ dàng hơn so với trước đây, đặc biệt là khi mức giảm trừ gia cảnh tăng cao.</t>
  </si>
  <si>
    <t>Bậc thuế được rút gọn từ 7 xuống còn 5, làm quy trình khai báo đơn giản hơn và nhanh chóng hơn trước đây.</t>
  </si>
  <si>
    <t>Cách tính thuế mới đơn giản hơn với ít bậc thuế, dễ hiểu và thực hiện thuận tiện hơn so với biểu thuế cũ.</t>
  </si>
  <si>
    <t>Mức giảm trừ gia cảnh tăng cao thể hiện sự công bằng đối với người nộp thuế, tuy nhiên niềm tin vào cách thực thi chính sách vẫn cần thời gian xây dựng.</t>
  </si>
  <si>
    <t>Thuế suất và ngưỡng chịu thuế mới được thiết kế nhằm đảm bảo tính công bằng cho người thu nhập thấp hơn, nhưng cần thêm thời gian để đánh giá hiệu quả thực tế.</t>
  </si>
  <si>
    <t>Tăng mức giảm trừ gia cảnh có thể làm tăng niềm tin vào việc sử dụng tiền thuế hiệu quả. Tuy nhiên, việc cải cách vẫn đang diễn ra nên niềm tin cần thời gian xây dựng.</t>
  </si>
  <si>
    <t>Thông tin về lý do và mục tiêu của chính sách mới chưa được giải thích đầy đủ, dẫn đến sự hoài nghi từ phía người dân.</t>
  </si>
  <si>
    <t>Tăng mức giảm trừ gia cảnh và đơn giản hóa biểu thuế có thể tăng ủng hộ. Tuy nhiên, việc thực thi chính sách mới vẫn cần thời gian để xây dựng niềm tin từ người dân.</t>
  </si>
  <si>
    <t>Chính phủ đã tăng cường quản lý thuế thông qua việc cải cách quy định, tuy nhiên vẫn cần công nghệ hiện đại để phát hiện gian lận.</t>
  </si>
  <si>
    <t>Công nghệ hiện đại như AI và big data giúp Nhà nước phát hiện trốn thuế hiệu quả hơn.</t>
  </si>
  <si>
    <t>Mức giảm trừ gia cảnh cao hơn, quy trình khai báo đơn giản hơn, tuy nhiên vẫn còn cần cải thiện về cơ sở hạ tầng.</t>
  </si>
  <si>
    <t>Biểu thuế được đơn giản hóa từ 7 bậc xuống 5, dễ hiểu và thực hiện nhanh chóng hơn so với trước đây.</t>
  </si>
  <si>
    <t>Nhà nước đã cải thiện quy định về giảm trừ gia cảnh, tạo sự công bằng cho người dân nộp thuế.</t>
  </si>
  <si>
    <t>Mức thuế mới được thiết kế công bằng với thu nhập hiện tại của tôi, tuy nhiên vẫn cần thời gian để kiểm chứng hiệu quả.</t>
  </si>
  <si>
    <t>Thuế đóng góp vào các dịch vụ công quan trọng như y tế và hạ tầng, tuy nhiên hiệu quả sử dụng nguồn ngân sách còn cần cải thiện.</t>
  </si>
  <si>
    <t>Các thông điệp giải thích về chính sách mới được truyền tải rõ ràng hơn, tạo niềm tin cho người dân.</t>
  </si>
  <si>
    <t>Chính sách mới có lợi cho tôi do giảm trừ gia cảnh cao hơn và đơn giản hóa quy trình thuế, tuy nhiên vẫn còn lo ngại về hiệu quả thực thi.</t>
  </si>
  <si>
    <t>Các quy định quản lý thuế hiện nay được cải cách và tăng cường, đặc biệt là về công nghệ phát hiện trốn thuế. Điều này tạo niềm tin rằng hành vi gian lận sẽ khó có thể tránh khỏi.</t>
  </si>
  <si>
    <t>Nhà nước đã đầu tư vào công nghệ tiên tiến để phát hiện và xử lý nghiêm các hành vi trốn thuế, giảm khả năng trốn thuế hiệu quả hơn.</t>
  </si>
  <si>
    <t>Mức giảm trừ gia cảnh cao hơn cùng với việc đơn giản hóa biểu thuế làm cho thủ tục khai báo và làm việc với cơ quan thuế dễ dàng hơn.</t>
  </si>
  <si>
    <t>Biểu thuế được đơn giản hóa, số bậc thuế giảm từ 7 xuống 5, giúp tính toán thuế trở nên rõ ràng và dễ hiểu hơn.</t>
  </si>
  <si>
    <t>Nhà nước đã cải cách các quy định về giảm trừ gia cảnh và mức thu nhập chịu thuế, tạo ra một hệ thống công bằng hơn cho mọi người nộp thuế.</t>
  </si>
  <si>
    <t>Mức thuế mới được thiết kế nhằm đảm bảo công bằng, nhưng tôi vẫn nghi ngờ liệu nó có thực sự công bằng so với thu nhập và khả năng chi trả của mỗi cá nhân.</t>
  </si>
  <si>
    <t>Tôi tin rằng số tiền thuế đóng sẽ được sử dụng hiệu quả cho các dịch vụ công, nhưng tôi vẫn lo ngại về việc thực thi chính sách.</t>
  </si>
  <si>
    <t>Các thông báo về cải cách thuế mới đã được giải thích rõ ràng, tuy nhiên, tôi cần thời gian để đánh giá xem liệu các mục tiêu đã đạt được hay chưa.</t>
  </si>
  <si>
    <t>Tôi sẽ ủng hộ chính sách mới vì lợi ích tài chính và sự đơn giản hóa thủ tục, nhưng vẫn có một số lo ngại về thực thi.</t>
  </si>
  <si>
    <t>Tăng mức giảm trừ gia cảnh và đơn giản hóa biểu thuế có thể làm tăng số lượng người nộp thuế, nhưng không đảm bảo phát hiện trốn thuế dễ dàng. Cơ sở dữ liệu điện tử và công nghệ hiện đại giúp kiểm soát tốt hơn.</t>
  </si>
  <si>
    <t>Công nghệ hiện đại như hệ thống quản lý thuế điện tử có thể tăng cường khả năng phát hiện trốn thuế, nhưng cần thời gian để triển khai hiệu quả. Cơ quan thuế cũng cần nguồn lực và hợp tác từ các bên liên quan.</t>
  </si>
  <si>
    <t>Mức giảm trừ gia cảnh tăng lên có thể làm đơn giản hóa quy trình, nhưng vẫn còn nhiều bước khai báo phức tạp. Hệ thống điện tử giúp cải thiện đáng kể so với trước đây</t>
  </si>
  <si>
    <t>Bậc thuế mới đơn giản hơn, nhưng mức thuế suất cao hơn đối với thu nhập cao có thể làm giảm độ rõ ràng và dễ hiểu. Tuy nhiên, tổng thể vẫn cải thiện so với trước đây.</t>
  </si>
  <si>
    <t>Mức giảm trừ gia cảnh tăng lên cùng với việc đơn giản hóa quy trình thuế có thể tạo niềm tin về sự công bằng trong cách áp dụng chính sách. Tuy nhiên, cần thời gian để nhìn nhận thực tế.</t>
  </si>
  <si>
    <t>Thuế suất mới cao hơn so với trước đây, nhưng mức giảm trừ gia cảnh tăng lên có thể làm giảm gánh nặng thuế. Tuy nhiên, sự phức tạp trong việc tính toán vẫn còn gây nghi ngờ.</t>
  </si>
  <si>
    <t>Mức giảm trừ gia cảnh và đơn giản hóa biểu thuế mới có thể tạo niềm tin về việc sử dụng hiệu quả số tiền thuế thu được. Tuy nhiên, cần thời gian để đánh giá thực tế.</t>
  </si>
  <si>
    <t>Các thông báo chính sách mới không rõ ràng và minh bạch như trước đây, gây ra sự nghi ngờ từ người nộp thuế. Cần cải thiện trong việc truyền thông về mục tiêu của chính sách</t>
  </si>
  <si>
    <t>Thu nhập của tôi thuộc nhóm có mức thuế suất cao hơn, nhưng giảm trừ gia cảnh tăng lên và quy trình đơn giản hóa giúp giảm gánh nặng thuế. Tuy nhiên, sự phức tạp trong việc tính toán vẫn còn gây nghi ngờ.</t>
  </si>
  <si>
    <t>Biểu thuế đơn giản hơn, khó trốn thuế. Tuy nhiên, khả năng phát hiện trốn thuế phụ thuộc vào công nghệ và nguồn lực của cơ quan thuế.</t>
  </si>
  <si>
    <t>Công nghệ tiên tiến giúp tăng cường giám sát, nhưng vẫn cần nguồn lực và hợp tác từ người dân. Công nghệ không thay thế được sự quyết tâm phát hiện trốn thuế.</t>
  </si>
  <si>
    <t>Đơn giản hóa biểu thuế tạo thuận lợi cho việc khai báo. Tuy nhiên, quy trình thực tế vẫn cần cải tiến để trở nên hoàn toàn tiện lợi hơn.</t>
  </si>
  <si>
    <t>Biểu thuế đơn giản, nhưng quá trình làm việc với cơ quan thuế vẫn chưa tối ưu hóa. Sắp xếp lại các bậc thuế có thể làm cho việc tính toán dễ dàng hơn.</t>
  </si>
  <si>
    <t>Mức giảm trừ gia cảnh tăng lên, công bằng hơn đối với người thu nhập thấp. Tuy nhiên, mức thuế vẫn có thể gây nghi ngờ về độ công bằng đối với những người có thu nhập cao.</t>
  </si>
  <si>
    <t>Thuế mới phù hợp với thu nhập của tôi nên thấy công bằng. Tuy nhiên, cần nhìn nhận tổng thể để đánh giá công bằng hơn trong thực tế.</t>
  </si>
  <si>
    <t>Giảm trừ gia cảnh tăng, nhưng không rõ liệu số tiền thuế đóng có được sử dụng hiệu quả hay không. Việc giải thích về mục tiêu cải cách chưa hoàn toàn thuyết phục.</t>
  </si>
  <si>
    <t>Biểu thuế mới đơn giản hóa, nhưng cần thêm thông tin minh bạch từ nhà nước để tăng niềm tin. Hiện tại vẫn còn nhiều thắc mắc về mục đích và hiệu quả của cải cách.</t>
  </si>
  <si>
    <t>Thu nhập của tôi giảm nhẹ nên thấy công bằng, nhưng có chút lo lắng về thực thi chính sách. Cải cách cần thêm thời gian để chứng minh hiệu quả.</t>
  </si>
  <si>
    <t>Theo thông tin, các quy định quản lý thuế hiện nay không đề cập cụ thể về công nghệ phát hiện gian lận. Tuy nhiên, với mức giảm trừ gia cảnh tăng mạnh, người dân có lợi hơn.</t>
  </si>
  <si>
    <t>Công nghệ ngày càng tiên tiến, nhưng thông tin không đề cập cụ thể về khả năng phát hiện gian lận. Tuy nhiên, số bậc thuế giảm giúp việc khai báo đơn giản hơn.</t>
  </si>
  <si>
    <t>Mức giảm trừ gia cảnh tăng mạnh và số bậc thuế giảm giúp quá trình khai báo đơn giản, thuận tiện hơn so với trước đây.</t>
  </si>
  <si>
    <t>Biểu thuế được đơn giản hóa từ 7 bậc xuống còn 5 bậc, do đó cách tính thuế và các bậc thuế trở nên dễ hiểu và thực hiện đơn giản hơn.</t>
  </si>
  <si>
    <t>Mức giảm trừ gia cảnh tăng mạnh có thể khiến tôi cảm thấy công bằng hơn. Tuy nhiên, thông tin về việc phát hiện gian lận không rõ ràng nên niềm tin còn hạn chế.</t>
  </si>
  <si>
    <t>Nhìn chung, mức thuế mới phù hợp với thu nhập của tôi và số bậc thuế giảm đi. Điều này có thể làm tăng cảm giác công bằng.</t>
  </si>
  <si>
    <t>Mức giảm trừ gia cảnh tăng mạnh có thể khiến tôi tin rằng thuế đóng góp sẽ được sử dụng hiệu quả hơn. Tuy nhiên, thông tin về việc giải thích rõ ràng mục đích của chính sách còn hạn chế.</t>
  </si>
  <si>
    <t>Mặc dù số bậc thuế giảm đi nhưng không có nhiều thông tin cụ thể về việc giải thích mục tiêu sửa đổi thuế. Điều này khiến tôi vẫn nghi ngờ.</t>
  </si>
  <si>
    <t>Sau khi xem xét các lợi ích từ chính sách mới, tôi thấy mình sẽ ủng hộ và tuân thủ nó. Tuy nhiên, do số bậc thuế giảm đi nên quyết định này mang tính chất thận trọng.</t>
  </si>
  <si>
    <t>Mức giảm trừ gia cảnh và người phụ thuộc tăng, đồng thời quy định quản lý thuế được cải cách, tạo áp lực lên hành vi trốn thuế.</t>
  </si>
  <si>
    <t>Công nghệ hiện đại giúp Nhà nước và cơ quan thuế dễ dàng phát hiện hành vi trốn thuế và xử lý nghiêm minh hơn.</t>
  </si>
  <si>
    <t>Biểu thuế đơn giản, ngưỡng chịu thuế rõ ràng, giảm gánh nặng cho người nộp thuế.</t>
  </si>
  <si>
    <t>Cách tính thuế và bậc thuế mới dễ hiểu hơn so với trước đây, giúp việc khai báo thuận tiện hơn.</t>
  </si>
  <si>
    <t>Nhà nước đã cải thiện quy định quản lý thuế một cách công bằng, giảm gánh nặng cho người dân.</t>
  </si>
  <si>
    <t>Mức thuế mới được thiết kế sao cho phù hợp với thu nhập của tôi, cảm thấy công bằng.</t>
  </si>
  <si>
    <t>Thuế đóng góp vào cải thiện dịch vụ công, cảm thấy số tiền đóng có ý nghĩa.</t>
  </si>
  <si>
    <t>Nhà nước đã giải thích rõ về mục tiêu và lý do của việc sửa đổi thuế mới, tạo niềm tin cho người dân.</t>
  </si>
  <si>
    <t>Mức thuế giảm, quy định đơn giản hơn, tôi sẵn lòng tuân thủ chính sách mới.</t>
  </si>
  <si>
    <t>Mức giảm trừ gia cảnh và các quy định quản lý thuế mới được tăng lên, tạo thêm áp lực cho hành vi trốn thuế. Công nghệ hiện đại cũng giúp phát hiện dễ dàng hơn.</t>
  </si>
  <si>
    <t>Công nghệ quản lý thuế tiên tiến đã được áp dụng, đồng thời các quy định rõ ràng giúp xử lý nghiêm minh các hành vi trốn thuế.</t>
  </si>
  <si>
    <t>Mức giảm trừ gia cảnh tăng và số bậc thuế đơn giản hơn làm cho việc khai báo thuế dễ dàng hơn, nhưng vẫn còn một số thủ tục phức tạp cần cải thiện.</t>
  </si>
  <si>
    <t>Biểu thuế đã được đơn giản hóa từ 7 bậc xuống 5 bậc, giúp quá trình tính thuế và nộp thuế trở nên rõ ràng hơn.</t>
  </si>
  <si>
    <t>Nhà nước đã tăng mức giảm trừ gia cảnh và đơn giản hóa biểu thuế, tạo cảm giác công bằng trong việc đánh giá thu nhập.</t>
  </si>
  <si>
    <t>Thuế suất mới được điều chỉnh theo thu nhập, khiến tôi cảm thấy mức thuế đóng là hợp lý. Tuy nhiên, mức tăng thu nhập không đồng đều giữa các nhóm tuổi có thể gây nghi ngờ.</t>
  </si>
  <si>
    <t>Mức giảm trừ gia cảnh và bậc thuế mới làm cho việc đóng thuế trở nên công bằng hơn, tạo cảm giác tin tưởng vào sự sử dụng hiệu quả của thuế.</t>
  </si>
  <si>
    <t>Thông điệp về cải cách thuế đã được truyền tải rõ ràng, nhưng mức độ thuyết phục còn phụ thuộc vào hiểu biết và kinh nghiệm cá nhân.</t>
  </si>
  <si>
    <t>Những thay đổi trong chính sách tạo ra lợi ích tài chính và thủ tục đơn giản hơn. Tuy nhiên, mức độ ủng hộ vẫn cần cân nhắc kỹ lưỡng trước khi tuân thủ.</t>
  </si>
  <si>
    <t>Với mức giảm trừ gia cảnh tăng đáng kể, các bậc thuế mới rõ ràng và ngưỡng chịu thuế cao hơn, tôi tin rằng hành vi gian lận sẽ khó xảy ra. Tuy nhiên, chưa có đủ thông tin về công nghệ hỗ trợ phát hiện trốn thuế.</t>
  </si>
  <si>
    <t>Công nghệ và khả năng của cơ quan thuế đã cải thiện đáng kể, tuy nhiên, vẫn cần thời gian để áp dụng rộng rãi. Công nghệ mới có thể giúp tăng hiệu quả phát hiện trốn thuế.</t>
  </si>
  <si>
    <t>Các quy định và biểu thuế đơn giản hơn, giảm bớt các bước phức tạp trước đây, tạo thuận lợi cho việc khai báo thuế. Tuy nhiên, quá trình làm việc với cơ quan thuế vẫn cần cải thiện.</t>
  </si>
  <si>
    <t>Phương án mới đơn giản hóa quy trình tính thuế, giảm số bậc thuế, tạo sự minh bạch và dễ hiểu hơn. Điều này giúp tôi thấy các bước tính thuế rõ ràng hơn so với trước đây.</t>
  </si>
  <si>
    <t>Nhà nước đã tăng mức giảm trừ gia cảnh đáng kể, điều này thể hiện sự công bằng trong việc phân bổ gánh nặng thuế. Tuy nhiên, tôi vẫn có chút lo ngại về cách thực thi chính sách.</t>
  </si>
  <si>
    <t>Mức thuế mới theo phương án mới là hợp lý so với thu nhập của tôi. Tuy nhiên, mức giảm trừ gia cảnh lớn hơn đã làm giảm gánh nặng thuế cho tôi một cách đáng kể.</t>
  </si>
  <si>
    <t>Tăng cường giảm trừ gia cảnh và đơn giản hóa biểu thuế giúp cải thiện dịch vụ công. Tuy nhiên, hiệu quả sử dụng ngân sách thuế cần quan sát trong tương lai.</t>
  </si>
  <si>
    <t>Nhà nước đã giải thích rõ ràng về các thay đổi thuế nhưng vẫn có một số điểm chưa rõ ràng. Sự minh bạch tốt hơn so với trước đây nhưng tôi cần thêm thông tin để đánh giá toàn diện.</t>
  </si>
  <si>
    <t>Sau khi xem xét, chính sách mới cải thiện đáng kể về giảm trừ gia cảnh và đơn giản hóa biểu thuế. Điều này đã tăng sự ủng hộ của tôi đối với chính sách. Tôi sẽ tuân thủ các quy định mới.</t>
  </si>
  <si>
    <t>Chính sách mới có mức giảm trừ gia cảnh cao hơn, giúp người dân ít bị gian lận. Tuy nhiên, vẫn cần công nghệ và khả năng của cơ quan thuế để phát hiện trốn thuế.</t>
  </si>
  <si>
    <t>Công nghệ ngày càng tiên tiến, cùng với sự tăng cường quản lý, khả năng phát hiện trốn thuế sẽ được cải thiện. Tuy nhiên, vẫn cần thời gian để công nghệ áp dụng hiệu quả.</t>
  </si>
  <si>
    <t>Biểu thuế đơn giản hơn và mức giảm trừ gia cảnh cao giúp thủ tục khai báo thuế dễ dàng hơn, nhanh chóng hơn so với trước đây.</t>
  </si>
  <si>
    <t>Phương án mới có cách tính thuế đơn giản hơn, phù hợp với nhiều người. Bậc thuế giảm từ 7 xuống 5, tạo sự rõ ràng trong việc tính thuế.</t>
  </si>
  <si>
    <t>Nhà nước đã tăng mức giảm trừ gia cảnh và đơn giản hóa biểu thuế, điều này thể hiện sự công bằng trong việc phân chia gánh nặng thuế giữa các đối tượng. Tuy nhiên, vẫn cần thời gian để quen với chính sách mới.</t>
  </si>
  <si>
    <t>Mức thuế mới có sự thay đổi phù hợp với thu nhập cá nhân hiện nay, tạo cảm giác công bằng đối với người nộp thuế. Tuy nhiên, vẫn cần thêm thời gian để đánh giá hiệu quả thực tế.</t>
  </si>
  <si>
    <t>Giảm trừ gia cảnh cao hơn và mức thuế mới đơn giản giúp cải thiện dịch vụ công một cách rõ ràng, tạo niềm tin cho người dân về việc sử dụng tiền thuế. Tuy nhiên, vẫn cần thời gian để thấy kết quả thực tế.</t>
  </si>
  <si>
    <t>Nhà nước đã giải thích các thay đổi trong chính sách một cách rõ ràng, nhưng vẫn cần thêm thông tin và minh bạch hơn nữa để tạo niềm tin cho người dân. Tuy nhiên, sự công bố này giúp giảm độ phức tạp đối với người nộp thuế.</t>
  </si>
  <si>
    <t>Chính sách mới có nhiều ưu điểm như mức giảm trừ gia cảnh cao và đơn giản hóa biểu thuế, tạo cảm giác thuận tiện cho người dân. Tuy nhiên, vẫn cần thời gian để đánh giá hiệu quả tổng thể.</t>
  </si>
  <si>
    <t>Các quy định quản lý thuế hiện nay được cải thiện, đặc biệt là với mức giảm trừ gia cảnh tăng cao, tạo ra cơ chế phát hiện gian lận hiệu quả hơn.</t>
  </si>
  <si>
    <t>Nhà nước và cơ quan thuế có khả năng sử dụng công nghệ để phát hiện trốn thuế, nhờ đó hành vi gian lận sẽ bị xử lý nghiêm minh hơn.</t>
  </si>
  <si>
    <t>Việc giảm số bậc thuế từ 7 xuống còn 5 đã đơn giản hóa quy trình khai báo và làm việc với cơ quan thuế, giảm bớt rắc rối cho người nộp thuế.</t>
  </si>
  <si>
    <t>Các bậc thuế mới rõ ràng hơn, dễ hiểu và dễ thực hiện hơn so với trước đây nhờ việc giản lược số bậc thuế từ 7 xuống còn 5.</t>
  </si>
  <si>
    <t>Nhà nước đã cải thiện quy định về mức giảm trừ gia cảnh, tạo ra cơ chế công bằng hơn cho người nộp thuế, thể hiện sự khách quan và công tâm trong việc thực thi chính sách.</t>
  </si>
  <si>
    <t>Mức thuế mới theo phương án cải cách được thiết kế để phù hợp với thu nhập trung bình của người dân, tạo cảm giác mức thuế này là công bằng đối với tôi.</t>
  </si>
  <si>
    <t>Tăng cường giảm trừ gia cảnh và đơn giản hóa biểu thuế mới cho thấy chính sách có mục tiêu cải thiện chất lượng dịch vụ công, từ đó tăng niềm tin của người dân về việc số tiền thuế đóng sẽ được sử dụng hiệu quả.</t>
  </si>
  <si>
    <t>Nhà nước đã giải thích rõ ràng về phương án cải cách này thông qua các kênh truyền thông, giúp tôi hiểu rõ mục tiêu và lý do của chính sách mới.</t>
  </si>
  <si>
    <t>Sau khi xem xét việc giảm gánh nặng thuế và cải thiện quy định về mức giảm trừ gia cảnh, tôi thấy mình ủng hộ chính sách này và sẵn sàng tuân thủ</t>
  </si>
  <si>
    <t>Các quy định quản lý thuế hiện nay có nhiều cải tiến như tăng mức giảm trừ gia cảnh và đơn giản hóa biểu thuế, tạo ra sự công bằng hơn. Tuy nhiên, vẫn còn lo ngại về khả năng phát hiện trốn thuế.</t>
  </si>
  <si>
    <t>Công nghệ hiện đại giúp cải thiện khả năng phát hiện hành vi trốn thuế nhưng cần thời gian để triển khai hoàn thiện. Cơ quan thuế cũng đã tăng cường các biện pháp kiểm soát.</t>
  </si>
  <si>
    <t>Biểu thuế được đơn giản hóa và quy trình làm việc với cơ quan thuế trở nên nhanh chóng hơn, giảm bớt gánh nặng hành chính cho người nộp thuế.</t>
  </si>
  <si>
    <t>Cách tính thuế mới có nhiều bậc thuế suất rõ ràng hơn so với trước đây, dễ hiểu và thực hiện đơn giản hơn.</t>
  </si>
  <si>
    <t>Nhà nước đã cải tiến quy định để giảm gánh nặng cho người nộp thuế, tạo ra sự công bằng hơn. Tuy nhiên, vẫn có một số lo ngại về cách thực thi.</t>
  </si>
  <si>
    <t>Mức thuế mới được thiết kế nhằm cân đối giữa thu nhập và trách nhiệm đóng thuế, cho thấy tính công bằng trong quy định hiện hành.</t>
  </si>
  <si>
    <t>Thuế đóng góp vào sự phát triển hạ tầng và dịch vụ công, tạo ra niềm tin rằng tiền thuế sẽ được sử dụng hiệu quả. Tuy nhiên, vẫn cần cải thiện trong việc truyền thông về mục tiêu và kết quả.</t>
  </si>
  <si>
    <t>Nhà nước đã cung cấp thông tin minh bạch về mục tiêu của chính sách mới nhưng có thể còn thiếu trong việc giải thích cụ thể hơn về cách thức thực hiện.</t>
  </si>
  <si>
    <t>Sau khi xem xét, tôi ủng hộ và tuân thủ chính sách mới vì mức thuế giảm đi đáng kể và quy trình làm việc trở nên thuận tiện hơn. Tuy nhiên, vẫn còn lo ngại về khả năng thực thi.</t>
  </si>
  <si>
    <t>Biện pháp quản lý thuế hiện nay không được đề cập cụ thể, nhưng tăng giảm trừ gia cảnh và đơn giản hóa biểu thuế có thể làm giảm động lực trốn thuế. Tuy nhiên, khả năng phát hiện trốn thuế phụ thuộc vào nhiều yếu tố khác như công nghệ và nguồn lực của cơ quan thuế.</t>
  </si>
  <si>
    <t>Công nghệ hiện đại giúp tăng cường hiệu quả quản lý thuế. Việc tăng giảm trừ gia cảnh và đơn giản hóa biểu thuế cũng có thể làm giảm hành vi trốn thuế, nhưng không loại trừ khả năng trốn thuế vẫn diễn ra.</t>
  </si>
  <si>
    <t>Biểu thuế được rút gọn từ 7 bậc xuống còn 5 bậc, cùng với tăng giảm trừ gia cảnh có thể làm cho quá trình khai báo thuế đơn giản hơn. Tuy nhiên, sự phức tạp của thủ tục cụ thể phụ thuộc vào việc thực hiện.</t>
  </si>
  <si>
    <t>Biểu thuế được đơn giản hóa từ 7 bậc xuống còn 5 bậc, cùng với tăng giảm trừ gia cảnh có thể làm cho cách tính thuế và các bậc thuế dễ hiểu hơn. Tuy nhiên, khả năng thực hiện và độ rõ ràng của quy định vẫn cần xem xét.</t>
  </si>
  <si>
    <t>Nhà nước đã tăng giảm trừ gia cảnh và đơn giản hóa biểu thuế, điều này có thể làm cho việc nộp thuế công bằng hơn. Tuy nhiên, mức độ khách quan và công bằng của thực thi chính sách phụ thuộc vào nhiều yếu tố khác.</t>
  </si>
  <si>
    <t>Mức thuế mới được thiết kế sao cho phù hợp với thu nhập cá nhân, nhưng khả năng thực hiện và hiệu quả sử dụng nguồn thu thuế cần xem xét thêm.</t>
  </si>
  <si>
    <t>Nhà nước đã tăng giảm trừ gia cảnh và đơn giản hóa biểu thuế, điều này có thể làm cho việc nộp thuế công bằng hơn. Tuy nhiên, mức độ hiệu quả sử dụng nguồn thu thuế phụ thuộc vào nhiều yếu tố khác.</t>
  </si>
  <si>
    <t>Biểu thuế được đơn giản hóa từ 7 bậc xuống còn 5 bậc, cùng với tăng giảm trừ gia cảnh có thể làm cho việc khai báo thuế dễ hiểu hơn. Tuy nhiên, khả năng thực hiện và độ rõ ràng của quy định vẫn cần xem xét.</t>
  </si>
  <si>
    <t>Biểu thuế được đơn giản hóa từ 7 bậc xuống còn 5 bậc, cùng với tăng giảm trừ gia cảnh có thể làm cho việc nộp thuế dễ dàng hơn. Tuy nhiên, khả năng thực hiện và hiệu quả sử dụng nguồn thu thuế cần xem xét thêm.</t>
  </si>
  <si>
    <t>Biểu thuế đơn giản hơn và giảm trừ gia cảnh tăng nên việc phát hiện gian lận sẽ khó khăn hơn.</t>
  </si>
  <si>
    <t>Công nghệ ngày càng phát triển nhưng chưa có thông tin cụ thể về khả năng phát hiện trốn thuế của cơ quan thuế.</t>
  </si>
  <si>
    <t>Biểu thuế đơn giản hơn và giảm trừ gia cảnh tăng nên thủ tục khai báo thuế trở nên thuận tiện hơn, nhưng vẫn còn phức tạp đối với người không chuyên.</t>
  </si>
  <si>
    <t>Cách tính thuế mới đơn giản hóa các bậc thuế nên dễ hiểu hơn so với trước đây.</t>
  </si>
  <si>
    <t>Niềm tin vào sự công bằng của cơ quan thuế giảm do mức thuế vẫn còn phức tạp và không rõ ràng đối với người dân.</t>
  </si>
  <si>
    <t>Mức thuế mới được điều chỉnh dựa trên thu nhập nên có thể xem là công bằng, nhưng cần thêm minh bạch hơn để tăng niềm tin.</t>
  </si>
  <si>
    <t>Niềm tin vào việc sử dụng số tiền thuế hiệu quả còn thấp do chưa thấy rõ kết quả cụ thể từ chính sách mới.</t>
  </si>
  <si>
    <t>Giải thích về lý do và mục tiêu của chính sách mới vẫn chưa đủ minh bạch, đặc biệt là với người dân không chuyên về thuế.</t>
  </si>
  <si>
    <t>Dù lợi ích từ giảm trừ gia cảnh tăng nhưng sự phức tạp trong thuế và thiếu minh bạch về mục tiêu chính sách vẫn làm giảm khả năng tuân thủ.</t>
  </si>
  <si>
    <t>Theo cải cách thuế, mức giảm trừ gia cảnh tăng lên đáng kể. Điều này có thể làm giảm gánh nặng thuế cho người dân, nhưng cũng cần xem xét khả năng phát hiện và xử lý trốn thuế của cơ quan thuế. Tuy nhiên, với công nghệ ngày càng phát triển, khả năng phát hiện trốn thuế có thể được cải thiện.</t>
  </si>
  <si>
    <t>Theo thông tin về cải cách thuế mới, cơ quan thuế đã tăng cường các biện pháp và công nghệ để phát hiện và xử lý trốn thuế. Điều này cho thấy khả năng của họ trong việc thực thi luật lệ một cách khách quan và công bằng.</t>
  </si>
  <si>
    <t>Biểu thuế được đơn giản hóa từ 7 bậc xuống còn 5 bậc, giảm bớt rườm rà cho người dân khi khai báo thuế. Ngoài ra, mức giảm trừ gia cảnh tăng lên cũng giúp thủ tục thuận tiện hơn.</t>
  </si>
  <si>
    <t>Các bậc thuế mới có thể dễ hiểu hơn và đơn giản hóa quy trình tính thuế. Tuy nhiên, việc thực hiện cần có sự thay đổi trong cách tư duy và làm việc của người dân để thích nghi.</t>
  </si>
  <si>
    <t>Mức giảm trừ gia cảnh tăng lên có thể mang lại cảm giác công bằng cho người dân. Tuy nhiên, mức thuế mới có thể thay đổi so với kỳ vọng ban đầu của một số người, do đó cần thời gian để thích nghi.</t>
  </si>
  <si>
    <t>Mức thuế mới được thiết kế nhằm công bằng đối với mọi người. Tuy nhiên, việc tính toán cụ thể có thể thay đổi so với kỳ vọng ban đầu, do đó cần thời gian để thích nghi.</t>
  </si>
  <si>
    <t>Mức giảm trừ gia cảnh và mức thuế mới được thiết kế nhằm công bằng trong việc phân bổ thu nhập. Tuy nhiên, hiệu quả sử dụng số tiền thuế này còn phụ thuộc vào sự quản lý của cơ quan chức năng.</t>
  </si>
  <si>
    <t>Thông tin về cải cách thuế mới được cung cấp một cách minh bạch và dễ hiểu. Tuy nhiên, việc giải thích chi tiết các điểm thay đổi có thể mất thời gian để người dân nắm bắt.</t>
  </si>
  <si>
    <t>Cải cách thuế mới mang lại nhiều lợi ích cho người dân, bao gồm mức giảm trừ gia cảnh tăng lên và đơn giản hóa biểu thuế. Tuy nhiên, quyết định ủng hộ hay phản đối vẫn cần dựa trên việc cân nhắc giữa lợi ích cá nhân và nghĩa vụ chung.</t>
  </si>
  <si>
    <t>Việc tăng cường công nghệ và quản lý thuế có thể giúp phát hiện gian lận. Với mức thuế mới, tôi tin rằng cơ quan thuế sẽ có nhiều dữ liệu để giám sát.</t>
  </si>
  <si>
    <t>Nhà nước đã đầu tư vào công nghệ để cải thiện hiệu quả quản lý và phát hiện gian lận. Công nghệ như AI giúp xử lý nhanh chóng và chính xác hơn so với trước đây.</t>
  </si>
  <si>
    <t>Biểu thuế đơn giản hơn, mức giảm trừ gia cảnh cao hơn làm cho quy trình khai báo dễ dàng hơn. Tuy nhiên, vẫn có một số thủ tục cần phải tuân thủ.</t>
  </si>
  <si>
    <t>Cách tính thuế mới đơn giản và rõ ràng hơn so với trước đây, giúp người nộp thuế dễ hiểu và thực hiện.</t>
  </si>
  <si>
    <t>Nhà nước đã tăng cường giảm trừ gia cảnh, làm giảm gánh nặng thuế cho cá nhân. Điều này thể hiện sự công bằng trong việc áp dụng chính sách mới.</t>
  </si>
  <si>
    <t>Mức thuế mới được thiết kế dựa trên thu nhập của tôi nên tôi thấy nó là hợp lý và công bằng.</t>
  </si>
  <si>
    <t>Tăng mức giảm trừ gia cảnh giúp cải thiện dịch vụ công. Tôi tin rằng số tiền thuế tôi đóng sẽ được sử dụng hiệu quả để cải thiện chất lượng cuộc sống.</t>
  </si>
  <si>
    <t>Nhà nước đã cung cấp thông tin đầy đủ về lý do và mục tiêu của việc sửa đổi thuế. Tôi thấy các giải thích rõ ràng hơn so với trước đây.</t>
  </si>
  <si>
    <t>Trải qua quá trình cân nhắc, tôi cảm thấy chính sách mới là phù hợp với tình hình hiện tại của tôi và tin rằng nó sẽ mang lại lợi ích.</t>
  </si>
  <si>
    <t>Nói chung, tôi tin rằng các quy định quản lý thuế hiện nay đã được cải thiện và có nhiều công cụ để phát hiện hành vi trốn thuế. Tuy nhiên, vẫn còn một số lo ngại về thực thi.</t>
  </si>
  <si>
    <t>Công nghệ hiện đại như AI và Big Data giúp tăng cường khả năng phát hiện các hành vi trốn thuế. Tôi tin rằng Nhà nước đã đầu tư vào công nghệ này.</t>
  </si>
  <si>
    <t>Thủ tục khai báo thuế trở nên đơn giản hơn với ít bậc thuế và giảm trừ gia cảnh cao hơn, tạo thuận lợi cho người dân. Tuy nhiên, vẫn còn một số quy trình cần cải thiện.</t>
  </si>
  <si>
    <t>Cách tính thuế mới rõ ràng hơn và dễ hiểu với ít bậc thuế, giảm độ phức tạp cho người nộp thuế.</t>
  </si>
  <si>
    <t>Tôi tin rằng Nhà nước sẽ thực thi chính sách một cách khách quan. Mức giảm trừ gia cảnh cao hơn có thể tăng niềm tin trong việc đối xử công bằng.</t>
  </si>
  <si>
    <t>Mức thuế mới được thiết kế để phù hợp với thu nhập hiện tại, tôi thấy điều này là công bằng. Tuy nhiên, vẫn cần thêm thông tin về hiệu quả sử dụng nguồn thuế.</t>
  </si>
  <si>
    <t>Niềm tin vào việc số tiền thuế đóng sẽ được sử dụng hiệu quả để cải thiện dịch vụ công đang tăng lên do giảm trừ gia cảnh cao hơn và cách tính thuế đơn giản hơn.</t>
  </si>
  <si>
    <t>Nhà nước đã giải thích rõ ràng về mục tiêu của việc sửa đổi thuế. Tuy nhiên, vẫn cần thêm thông tin về hiệu quả thực hiện.</t>
  </si>
  <si>
    <t>Sau khi xem xét các quyền lợi và nghĩa vụ, tôi ủng hộ chính sách mới do giảm trừ gia cảnh cao hơn và cách tính thuế đơn giản hơn. Tuy nhiên, vẫn cần thêm thông tin về hiệu quả sử dụng nguồn thuế.</t>
  </si>
  <si>
    <t>Mức giảm trừ gia cảnh tăng cao, giúp giảm gánh nặng thuế cho người dân. Phương án mới đơn giản hóa quy trình khai báo và quản lý thuế, làm giảm cơ hội trốn tránh.</t>
  </si>
  <si>
    <t>Công nghệ tiên tiến hiện đại ngày càng phát triển, giúp cải thiện khả năng phát hiện hành vi gian lận. Các quy định rõ ràng về xử lý nghiêm các hành vi trốn thuế.</t>
  </si>
  <si>
    <t>Biểu thuế được đơn giản hóa từ 7 bậc thành 5 bậc, giảm bớt rườm rà trong khai báo. Các quy định rõ ràng, dễ hiểu hơn cho người dân.</t>
  </si>
  <si>
    <t>Đơn giản hóa biểu thuế và việc tính toán thu nhập chịu thuế giúp quá trình khai báo trở nên đơn giản, dễ hiểu hơn so với trước đây.</t>
  </si>
  <si>
    <t>Các mức giảm trừ gia cảnh và mức thuế mới được thiết kế khách quan, công bằng cho mọi người nộp thuế. Cơ chế quản lý thuế rõ ràng giúp tăng niềm tin vào sự minh bạch.</t>
  </si>
  <si>
    <t>Thuế suất và ngưỡng chịu thuế được điều chỉnh phù hợp với thu nhập thực tế, tạo cảm giác công bằng cho người dân. Mức thuế mới phản ánh đúng mức thu nhập của tôi.</t>
  </si>
  <si>
    <t>Thuốc sử dụng hiệu quả số tiền thuế mà tôi đóng góp vào các dịch vụ công như y tế, giao thông... giúp tăng niềm tin về sự tận dụng nguồn lực một cách hợp lý và hiệu quả.</t>
  </si>
  <si>
    <t>Các quy định mới được giải thích rõ ràng qua nhiều kênh truyền thông. Tuy nhiên, vẫn có những điểm chưa thuyết phục hoàn toàn, nên cần thêm thời gian để tiếp nhận thông tin.</t>
  </si>
  <si>
    <t>Mặc dù thuế suất và giảm trừ gia cảnh được điều chỉnh phù hợp với thu nhập của tôi, nhưng vẫn còn một số lo ngại về khả năng phát hiện trốn thuế. Tôi sẽ cân nhắc kỹ trước khi quyết định.</t>
  </si>
  <si>
    <t>Biểu thuế đơn giản hóa và mức giảm trừ gia cảnh tăng, nhưng không đủ thông tin về công nghệ phát hiện trốn thuế.</t>
  </si>
  <si>
    <t>Nhà nước có khả năng và công nghệ để phát hiện trốn thuế với biểu thuế mới</t>
  </si>
  <si>
    <t>Biểu thuế đơn giản hơn, nhưng quy trình khai báo thuế vẫn còn phức tạp.</t>
  </si>
  <si>
    <t>Cách tính thuế và bậc thuế mới dễ hiểu hơn so với trước đây</t>
  </si>
  <si>
    <t>Giảm trừ gia cảnh tăng, nhưng không rõ ràng về cách thực thi khách quan, công bằng.</t>
  </si>
  <si>
    <t>Thuế suất và mức giảm trừ gia cảnh mới có thể thấy công bằng hơn</t>
  </si>
  <si>
    <t>Giảm trừ gia cảnh tăng, nhưng chưa rõ ràng về hiệu quả sử dụng số tiền thuế</t>
  </si>
  <si>
    <t>Thông tin giải thích về lý do và mục tiêu của việc sửa đổi thuế có thể đầy đủ hơn</t>
  </si>
  <si>
    <t>Thuế suất mới thấp hơn, giảm trừ gia cảnh tăng nhưng vẫn có nghi ngờ về cách thực thi</t>
  </si>
  <si>
    <t>Trong thực tế, các quy định quản lý thuế hiện nay đã được cải thiện đáng kể. Tuy nhiên, việc phát hiện trốn thuế vẫn phụ thuộc vào nhiều yếu tố và không phải lúc nào cũng hiệu quả.</t>
  </si>
  <si>
    <t>Việc áp dụng công nghệ tiên tiến sẽ giúp tăng cường khả năng phát hiện trốn thuế. Tuy nhiên, mức độ thực thi còn tùy thuộc vào nguồn lực của cơ quan thuế.</t>
  </si>
  <si>
    <t>Các quy định về giảm trừ gia cảnh và đơn giản hóa biểu thuế đã làm việc khai báo trở nên dễ dàng hơn. Tuy nhiên, thủ tục vẫn còn phức tạp đối với một số người.</t>
  </si>
  <si>
    <t>Biểu thuế mới có ít bậc hơn, do đó đơn giản và dễ hiểu hơn so với trước đây. Cách tính thuế cũng trở nên rõ ràng hơn.</t>
  </si>
  <si>
    <t>Niềm tin vào việc thực thi chính sách khách quan và công bằng phụ thuộc nhiều vào cách mà cơ quan chức năng triển khai. Tuy nhiên, các quy định mới về giảm trừ gia cảnh và đơn giản hóa biểu thuế tạo ra sự công bằng cho người nộp thuế.</t>
  </si>
  <si>
    <t>Mức thuế theo phương án mới được điều chỉnh phù hợp với thu nhập cá nhân. Điều này làm tăng cảm giác công bằng cho tôi.</t>
  </si>
  <si>
    <t>Tôi tin rằng số tiền thuế đóng sẽ được sử dụng hiệu quả để cải thiện các dịch vụ công, tuy nhiên cần có sự minh bạch và giám sát chặt chẽ từ phía cơ quan quản lý.</t>
  </si>
  <si>
    <t>Nhà nước đã giải thích rõ ràng về mục tiêu của việc sửa đổi thuế. Tuy nhiên, tôi vẫn cần thêm thông tin để đánh giá quyết định cuối cùng.</t>
  </si>
  <si>
    <t>Sau khi xem xét các quyền lợi và nghĩa vụ mới, tôi thấy chính sách này có lợi cho bản thân và cộng đồng. Tuy nhiên, quyết định tuân thủ vẫn cần cân nhắc kỹ lưỡng về mặt pháp lý.</t>
  </si>
  <si>
    <t>Mức giảm trừ gia cảnh tăng, có thể làm giảm khả năng trốn thuế. Tuy nhiên, công nghệ phát hiện trốn thuế còn phụ thuộc vào nhiều yếu tố khác.</t>
  </si>
  <si>
    <t>Công nghệ ngày càng tiên tiến, nhưng vẫn cần sự giám sát và quản lý của cơ quan thuế để phát hiện trốn thuế hiệu quả. Tăng cường khả năng phát hiện là điều cần thiết.</t>
  </si>
  <si>
    <t>Mức giảm trừ gia cảnh tăng, quy trình khai báo đơn giản hơn. Các bước làm việc với cơ quan thuế cũng được cải thiện.</t>
  </si>
  <si>
    <t>Biểu thuế đơn giản hơn, bậc thuế rõ ràng, dễ dàng tính toán. Cách tính thuế mới đơn giản và minh bạch hơn so với trước đây.</t>
  </si>
  <si>
    <t>Chính sách tăng giảm trừ gia cảnh, cải thiện công bằng trong việc đóng góp thuế. Tuy nhiên, vẫn cần sự tuân thủ chặt chẽ từ người nộp thuế.</t>
  </si>
  <si>
    <t>Mức thu nhập chịu thuế mới tạo ra tính công bằng hơn cho các nhóm thu nhập khác nhau. Bậc thuế rõ ràng giúp việc đóng thuế trở nên dễ hiểu hơn.</t>
  </si>
  <si>
    <t>Giảm trừ gia cảnh tăng, giảm gánh nặng thuế đối với người dân. Tuy nhiên, hiệu quả sử dụng nguồn thu chưa thể đánh giá ngay lập tức.</t>
  </si>
  <si>
    <t>Phần giải thích về mục tiêu và lý do của chính sách cải cách thuế khá rõ ràng, nhưng cần thêm thông tin chi tiết để thuyết phục hơn.</t>
  </si>
  <si>
    <t>Chính sách tăng giảm trừ gia cảnh, đơn giản hóa quy trình khai báo tạo ra lợi ích cho người nộp thuế. Tuy nhiên, vẫn có sự đa dạng trong cách tiếp cận tuân thủ chính sách.</t>
  </si>
  <si>
    <t>Các quy định quản lý thuế hiện tại có sự giám sát chặt chẽ hơn, với việc tăng giảm trừ gia cảnh và đơn giản hóa biểu thuế. Điều này làm giảm khả năng trốn thuế.</t>
  </si>
  <si>
    <t>Nhà nước đã đầu tư vào công nghệ để phát hiện và xử lý trốn thuế hiệu quả hơn, đồng thời tăng cường quản lý thuế</t>
  </si>
  <si>
    <t>Thủ tục khai báo thuế và quy trình làm việc với cơ quan thuế trở nên đơn giản hơn, giảm thiểu thời gian và công sức của người nộp thuế</t>
  </si>
  <si>
    <t>Cách tính thuế mới rõ ràng và dễ hiểu hơn so với trước đây, giúp người dân nắm bắt và tuân thủ chính sách dễ dàng hơn</t>
  </si>
  <si>
    <t>Nhà nước đã cải thiện giảm trừ gia cảnh và đơn giản hóa biểu thuế, tạo sự công bằng trong việc đánh thuế đối với mọi người nộp thuế</t>
  </si>
  <si>
    <t>Mức thuế mới được thiết kế để phù hợp với thu nhập trung bình, thể hiện tính công bằng về mặt mức thuế</t>
  </si>
  <si>
    <t>Thuế đóng góp vào cải thiện dịch vụ công như y tế và đường xá, tạo niềm tin rằng số tiền thuế được sử dụng hiệu quả</t>
  </si>
  <si>
    <t>Giải thích về lý do và mục tiêu của việc sửa đổi thuế rõ ràng hơn so với trước đây, tăng sự minh bạch</t>
  </si>
  <si>
    <t>Sau khi xem xét các quyền lợi và nghĩa vụ, tôi ủng hộ chính sách mới vì nó tạo ra tính công bằng và giảm gánh nặng thuế</t>
  </si>
  <si>
    <t>Mức giảm trừ gia cảnh tăng lên, giúp người thu nhập thấp được hưởng nhiều ưu đãi hơn. Tuy nhiên, việc phát hiện và xử lý gian lận vẫn phụ thuộc vào công nghệ quản lý thuế của cơ quan nhà nước.</t>
  </si>
  <si>
    <t>Công nghệ quản lý thuế ngày càng tiên tiến, nhưng mức độ phát hiện trốn thuế còn phụ thuộc vào quy định và thực thi của Nhà nước. Công nghệ giúp tăng khả năng kiểm soát gian lận.</t>
  </si>
  <si>
    <t>Quy trình khai báo thuế được đơn giản hóa, giảm số bậc thuế từ 7 xuống còn 5, tạo thuận lợi cho người nộp thuế.</t>
  </si>
  <si>
    <t>Các bước tính thuế và bậc thuế trong phương án mới đã được tối ưu, giúp người dân dễ hiểu hơn về quy định mới.</t>
  </si>
  <si>
    <t>Nhà nước có thể thực thi chính sách một cách khách quan, công bằng nhưng vẫn cần thêm thời gian để chứng minh với người dân.</t>
  </si>
  <si>
    <t>Mức thuế mới được thiết kế theo bậc thu nhập, giúp người bình thường như tôi thấy mức thuế đóng là hợp lý.</t>
  </si>
  <si>
    <t>Thuế đóng góp vào các dịch vụ công quan trọng, nhưng hiệu quả sử dụng nguồn lực của Nhà nước cần thêm thời gian để chứng minh.</t>
  </si>
  <si>
    <t>Nhà nước đã giải thích rõ về mục tiêu cải cách thuế, tuy nhiên thông tin chi tiết về quy trình thực hiện chưa đủ thuyết phục.</t>
  </si>
  <si>
    <t>Thuế mới đơn giản và công bằng hơn so với trước đây, nhưng vẫn cần thêm thời gian để chứng minh hiệu quả của chính sách.</t>
  </si>
  <si>
    <t>Các quy định quản lý thuế hiện tại có nhiều cải tiến, tuy nhiên vẫn còn nghi ngại về khả năng phát hiện trốn thuế.</t>
  </si>
  <si>
    <t>Đã có công nghệ tiên tiến hơn nhưng chưa chắc chắn 100% về hiệu quả trong việc phát hiện và xử lý trốn thuế.</t>
  </si>
  <si>
    <t>Những cải cách về biểu thuế đơn giản hóa quy trình khai báo, giảm bớt gian nan cho người nộp thuế.</t>
  </si>
  <si>
    <t>Cách tính thuế mới rõ ràng hơn, dễ hiểu và thực hiện thuận tiện hơn so với trước đây.</t>
  </si>
  <si>
    <t>Niềm tin vào sự công bằng trong việc áp dụng chính sách thuế mới còn hạn chế vì chưa nhiều trải nghiệm tích lũy.</t>
  </si>
  <si>
    <t>Mức thuế mới có vẻ công bằng với thu nhập hiện tại của tôi, nhưng vẫn lo ngại về sự thực thi.</t>
  </si>
  <si>
    <t>Đóng thuế để cải thiện dịch vụ công là điều hợp lý, nhưng hiệu quả sử dụng ngân sách chưa rõ ràng.</t>
  </si>
  <si>
    <t>Nhà nước đã giải thích một cách minh bạch về mục tiêu cải cách thuế, tạo cảm giác tin tưởng hơn.</t>
  </si>
  <si>
    <t>Sau cân nhắc giữa quyền lợi và nghĩa vụ, quyết định ủng hộ chính sách mới nhưng với điều kiện.</t>
  </si>
  <si>
    <t>Biểu thuế được đơn giản hóa và có thêm giảm trừ gia cảnh, tuy nhiên không rõ liệu công nghệ hiện đại có đủ để phát hiện trốn thuế hay không.</t>
  </si>
  <si>
    <t>Công nghệ mới như AI có thể tăng cường khả năng phát hiện trốn thuế, nhưng vẫn cần thời gian để triển khai rộng rãi và hiệu quả.</t>
  </si>
  <si>
    <t>Biểu thuế được đơn giản hóa từ 7 bậc thành 5, giảm bớt rườm rà và phức tạp. Khai báo thuế cũng trở nên dễ dàng hơn.</t>
  </si>
  <si>
    <t>Cách tính thuế mới rõ ràng hơn với các bậc thuế thấp hơn, giúp người dân hiểu và thực hiện dễ dàng hơn.</t>
  </si>
  <si>
    <t>Mức giảm trừ gia cảnh tăng cao, giảm gánh nặng thuế cho cá nhân. Tuy nhiên, không chắc chắn về cách thực thi công bằng.</t>
  </si>
  <si>
    <t>Thuế suất và ngưỡng chịu thuế được điều chỉnh hợp lý, nhưng vẫn cần thời gian để đánh giá mức độ công bằng.</t>
  </si>
  <si>
    <t>Thuê đóng góp cho dịch vụ công là một yếu tố quan trọng, tuy nhiên hiệu quả sử dụng nguồn thu chưa rõ ràng.</t>
  </si>
  <si>
    <t>Đã có thông tin giải thích về cải cách thuế, nhưng độ minh bạch và thuyết phục còn hạn chế với người dân.</t>
  </si>
  <si>
    <t>Thu nhập của tôi tăng lên do mức giảm trừ gia cảnh cao hơn, giảm gánh nặng thuế. Tuy nhiên, vẫn có sự nghi ngờ về cách thực thi công bằng.</t>
  </si>
  <si>
    <t>Các quy định quản lý thuế hiện tại chưa rõ ràng, khả năng phát hiện gian lận và trốn thuế còn hạn chế.</t>
  </si>
  <si>
    <t>Nhà nước có công nghệ hiện đại để xử lý dữ liệu nhưng khó kiểm soát hiệu quả trên thực tế.</t>
  </si>
  <si>
    <t>Mức giảm trừ gia cảnh tăng, thủ tục khai báo thuế đơn giản hơn trước đây, tạo thuận lợi cho người dân.</t>
  </si>
  <si>
    <t>Nhà nước có thể thực thi chính sách một cách khách quan nhưng chưa rõ về mức độ công bằng cho mọi đối tượng.</t>
  </si>
  <si>
    <t>Mức thuế mới được thiết kế hợp lý nhưng cần thời gian để kiểm chứng tính công bằng.</t>
  </si>
  <si>
    <t>Niềm tin vào việc sử dụng hiệu quả số tiền thuế còn hạn chế do chưa có thông tin cụ thể về chi tiêu.</t>
  </si>
  <si>
    <t>Nhà nước đã giải thích các thay đổi nhưng vẫn cần thêm minh bạch về mục tiêu chính sách.</t>
  </si>
  <si>
    <t>Tăng lợi ích từ giảm trừ gia cảnh, thủ tục đơn giản hơn tạo thuận lợi cho việc tuân thủ mới.</t>
  </si>
  <si>
    <t>Nguyên tắc quản lý thuế hiện nay đã được cải thiện, đặc biệt là mức giảm trừ gia cảnh tăng lên. Tuy nhiên, vẫn còn lo ngại về khả năng phát hiện trốn thuế.</t>
  </si>
  <si>
    <t>Công nghệ phát triển và chính phủ có nhiều biện pháp để phát hiện hành vi trốn thuế, nhưng thực tế việc này phụ thuộc vào nguồn lực và hiệu quả quản lý.</t>
  </si>
  <si>
    <t>Mức giảm trừ gia cảnh cao hơn và số bậc thuế ít đi làm đơn giản hóa quy trình khai báo thuế. Tuy nhiên, vẫn có một số thủ tục phức tạp cần cải thiện.</t>
  </si>
  <si>
    <t>Cách tính thuế mới có thể dễ hiểu hơn và các bậc thuế ít đi, nhưng cần thêm thời gian để quen với quy định mới.</t>
  </si>
  <si>
    <t>Nhà nước đã cải thiện quản lý thuế thông qua mức giảm trừ gia cảnh tăng lên. Tuy nhiên, vẫn còn lo ngại về cách thực thi chính sách.</t>
  </si>
  <si>
    <t>Mức thuế mới có thể công bằng hơn với thu nhập hiện tại, nhưng cần thời gian để đánh giá hiệu quả thực tế.</t>
  </si>
  <si>
    <t>Tăng mức giảm trừ gia cảnh và đơn giản hóa biểu thuế giúp tôi tin rằng số tiền thuế đóng sẽ được sử dụng hiệu quả hơn cho dịch vụ công.</t>
  </si>
  <si>
    <t>Nhà nước đã giải thích rõ ràng về các thay đổi, nhưng cần thêm thông tin chi tiết để tăng niềm tin.</t>
  </si>
  <si>
    <t>Dựa trên mức giảm trừ gia cảnh và đơn giản hóa quy trình khai báo thuế, tôi sẽ ủng hộ chính sách mới. Tuy nhiên, vẫn có sự thận trọng về hiệu quả thực tế của việc cải cách.</t>
  </si>
  <si>
    <t>Quy định quản lý thuế hiện nay có nhiều cải tiến, nhưng vẫn còn khả năng phát hiện gian lận thấp. Công nghệ phát triển giúp tăng cường khả năng giám sát.</t>
  </si>
  <si>
    <t>Công nghệ và hệ thống phát triển mạnh mẽ trong việc phát hiện trốn thuế, tuy nhiên, vẫn cần cải thiện hơn nữa để nâng cao hiệu quả.</t>
  </si>
  <si>
    <t>Thủ tục khai báo thuế đơn giản hóa nhưng chưa hoàn toàn dễ dàng cho người dân. Việc sử dụng công nghệ đã giúp quá trình làm việc với cơ quan thuế nhanh chóng hơn.</t>
  </si>
  <si>
    <t>Cách tính thuế mới đơn giản và rõ ràng hơn, nhưng vẫn có thể gây khó hiểu cho một số người không am hiểu về thuế.</t>
  </si>
  <si>
    <t>Nhà nước đã cải thiện quy định quản lý thuế để công bằng với mọi đối tượng. Tuy nhiên, việc thực thi vẫn cần cải thiện hơn nữa để tăng niềm tin.</t>
  </si>
  <si>
    <t>Mức thuế mới được thiết kế công bằng cho thu nhập tương đương nhưng vẫn có thể gây nghi ngờ cho những người không đồng ý với mức thuế mới.</t>
  </si>
  <si>
    <t>Thuế đóng góp vào các dịch vụ công như y tế, đường xá. Tuy nhiên, hiệu quả sử dụng nguồn thu chưa hoàn toàn minh bạch.</t>
  </si>
  <si>
    <t>Nhà nước đã cải thiện việc giải thích chính sách nhưng vẫn cần làm rõ hơn để tăng sự tin tưởng từ người dân.</t>
  </si>
  <si>
    <t>Các quyền lợi mới mang lại lợi ích về tài chính, tuy nhiên, việc thực thi và minh bạch của nhà nước còn cần cải thiện để tăng quyết định ủng hộ.</t>
  </si>
  <si>
    <t>Mức giảm trừ gia cảnh tăng, tuy nhiên, không có thông tin về khả năng và công nghệ của cơ quan thuế trong việc phát hiện trốn thuế.</t>
  </si>
  <si>
    <t>Công nghệ hiện đại giúp phát hiện hành vi gian lận hoặc trốn thuế dễ dàng hơn, nhưng vẫn có rủi ro cao.</t>
  </si>
  <si>
    <t>Biểu thuế được đơn giản hóa từ 7 bậc xuống còn 5 bậc, tạo thuận lợi cho việc khai báo.</t>
  </si>
  <si>
    <t>Cách tính thuế và các bậc thuế mới dễ hiểu hơn so với trước đây, giúp người dân dễ dàng tuân thủ.</t>
  </si>
  <si>
    <t>Giảm trừ gia cảnh tăng, tạo điều kiện cho nhiều người thu nhập thấp được miễn giảm, nhưng chưa rõ cách thực thi chính sách khách quan, công bằng đối với mọi người nộp thuế.</t>
  </si>
  <si>
    <t>Mức thuế mới có vẻ hợp lý so với thu nhập hiện tại, tạo cảm giác công bằng cho người dân.</t>
  </si>
  <si>
    <t>Thuế được sử dụng để cải thiện dịch vụ công, nhưng chưa rõ hiệu quả thực tế của việc sử dụng nguồn thu thuế.</t>
  </si>
  <si>
    <t>Thông tin về lý do và mục tiêu sửa đổi thuế mới không đầy đủ, gây ra sự hoài nghi từ người dân.</t>
  </si>
  <si>
    <t>Các quyền lợi như giảm trừ gia cảnh tăng, tuy nhiên, mức độ tuân thủ còn phụ thuộc vào việc thực thi chính sách và niềm tin của công chúng.</t>
  </si>
  <si>
    <t>Cải cách thuế TNCN tăng mức giảm trừ gia cảnh và đơn giản hóa biểu thuế, nhưng khả năng phát hiện trốn thuế phụ thuộc vào công nghệ và nguồn lực của cơ quan thuế.</t>
  </si>
  <si>
    <t>Việc áp dụng công nghệ trong quản lý thuế có thể tăng cường hiệu quả giám sát, nhưng thực tế còn phụ thuộc vào mức độ đầu tư và triển khai.</t>
  </si>
  <si>
    <t>Biểu thuế được đơn giản hóa từ 7 bậc xuống 5 bậc, giảm bớt rườm rà trong quy trình khai báo. Tuy nhiên, vẫn cần thời gian để làm quen với các thay đổi.</t>
  </si>
  <si>
    <t>Các bậc thuế mới đơn giản hóa so với trước nhưng mức thuế suất cao hơn ở một số mức thu nhập, khiến quy trình tính toán có thể phức tạp hơn đối với người nộp thuế.</t>
  </si>
  <si>
    <t>Tăng giảm trừ gia cảnh và đơn giản hóa biểu thuế có thể tạo niềm tin về công bằng trong việc đánh giá thu nhập. Tuy nhiên, vẫn cần xem xét cách thực thi.</t>
  </si>
  <si>
    <t>Mức thuế mới dựa trên mức thu nhập, nhưng người nộp thuế có thể cảm thấy không công bằng nếu họ cho rằng mức thuế của mình cao hơn so với người khác cùng mức thu nhập.</t>
  </si>
  <si>
    <t>Tăng giảm trừ gia cảnh và đơn giản hóa biểu thuế có thể tạo niềm tin về việc sử dụng số tiền thuế một cách hiệu quả. Tuy nhiên, cần xem xét kết quả thực tế.</t>
  </si>
  <si>
    <t>Giải thích về chính sách mới chưa đầy đủ và rõ ràng cho tất cả mọi người, đặc biệt là với những người không theo dõi thông tin chính sách thường xuyên.</t>
  </si>
  <si>
    <t>Thu nhập của tôi được giảm trừ nhiều hơn, nhưng mức thuế suất cao hơn ở một số mức thu nhập. Cảm thấy cần cân nhắc kỹ trước khi tuân thủ.</t>
  </si>
  <si>
    <t>Cải cách thuế thu nhập cá nhân có mức giảm trừ gia cảnh và bảng thuế đơn giản hơn, nhưng vẫn chưa loại bỏ hoàn toàn khả năng trốn thuế. Công nghệ hiện đại giúp phát hiện gian lận nhưng không tuyệt đối.</t>
  </si>
  <si>
    <t>Đã tăng cường công nghệ quản lý thuế và có nhiều biện pháp kiểm soát, tuy nhiên vẫn cần cải thiện đáng kể về khả năng phát hiện trốn thuế.</t>
  </si>
  <si>
    <t>Bảng thuế đơn giản hơn, nhưng quy trình khai báo thuế chưa thực sự tiện lợi. Thu nhập trên 30 triệu đồng trở lên vẫn cần khai trực tuyến, có thể gây bất tiện cho một số người.</t>
  </si>
  <si>
    <t>Cách tính thuế đơn giản hơn so với trước đây, nhưng việc áp dụng các bậc thuế cụ thể còn phụ thuộc vào thu nhập hàng tháng.</t>
  </si>
  <si>
    <t>Niềm tin vào cơ quan thuế cao do cải cách giảm trừ gia cảnh và bảng thuế đơn giản. Tuy nhiên, vẫn cần minh bạch hơn về cách thực thi chính sách.</t>
  </si>
  <si>
    <t>Mức thuế mới được tính dựa trên thu nhập, nhưng có thể không công bằng với những người ở cùng mức thu nhập khác nhau. Cần xem xét thêm nhiều yếu tố hơn.</t>
  </si>
  <si>
    <t>Hiệu quả sử dụng số tiền thuế đóng chưa rõ ràng. Tuy nhiên, cải cách giảm trừ gia cảnh có thể làm tăng niềm tin về việc sử dụng tiền thuế một cách hiệu quả.</t>
  </si>
  <si>
    <t>Giải thích về lý do và mục tiêu của chính sách mới còn hạn chế, cần thêm thông tin minh bạch để thuyết phục hơn.</t>
  </si>
  <si>
    <t>Nhìn chung, cải cách thuế mang lại lợi ích tài chính rõ ràng. Tuy nhiên, vẫn có sự phức tạp và nghi ngờ về cách thực thi chính sách.</t>
  </si>
  <si>
    <t>Cải cách thuế TNCN có sự tăng mạnh mức giảm trừ gia cảnh, giúp giảm gánh nặng tài chính cho người dân. Sự đơn giản hóa biểu thuế cũng làm giảm cơ hội trốn thuế thông qua việc tính toán sai bậc thuế. Công nghệ phát triển hiện nay cũng hỗ trợ khả năng phát hiện hành vi trốn thuế hiệu quả hơn.</t>
  </si>
  <si>
    <t>Công nghệ và hệ thống quản lý thuế đã được cải thiện đáng kể, đồng thời với sự tăng cường giám sát và xử phạt nghiêm minh. Điều này tạo ra áp lực lớn lên các hành vi trốn thuế.</t>
  </si>
  <si>
    <t>Mức giảm trừ gia cảnh tăng mạnh giúp việc khai báo thuế trở nên đơn giản hơn, đồng thời quy trình làm việc với cơ quan thuế cũng được cải thiện. Việc rút gọn biểu thuế từ 7 bậc xuống còn 5 bậc cũng góp phần làm việc này dễ dàng hơn.</t>
  </si>
  <si>
    <t>Biểu thuế mới có ít bậc hơn, giúp người dân hiểu và áp dụng quy định một cách nhanh chóng. Việc đơn giản hóa quy trình tính thuế tạo ra sự minh bạch và dễ dàng thực hiện cho người nộp thuế.</t>
  </si>
  <si>
    <t>Mức giảm trừ gia cảnh tăng mạnh cùng với việc điều chỉnh bậc thuế mới giúp giảm gánh nặng tài chính, thể hiện sự công bằng trong cách phân bổ thuế. Việc cải cách cũng được thực hiện một cách minh bạch.</t>
  </si>
  <si>
    <t>Mức thuế mới được thiết kế phù hợp với thu nhập cá nhân, tạo ra cảm giác công bằng giữa các đối tượng nộp thuế. Tuy nhiên, do mức thuế mới cao hơn so với trước đây, một số người có thể lo ngại về sự công bằng.</t>
  </si>
  <si>
    <t>Mức giảm trừ gia cảnh tăng mạnh cùng với việc điều chỉnh bậc thuế mới giúp cải thiện dịch vụ công như y tế và giao thông. Tuy nhiên, do mức thuế mới cao hơn so với trước đây, một số người có thể lo ngại về sự công bằng.</t>
  </si>
  <si>
    <t>Các thông tin về cải cách thuế được cung cấp một cách minh bạch và chi tiết. Tuy nhiên, do mức thuế mới cao hơn so với trước đây, một số người có thể lo ngại về sự công bằng.</t>
  </si>
  <si>
    <t>Dù mức thuế mới cao hơn so với trước đây nhưng mức giảm trừ gia cảnh tăng mạnh giúp giảm gánh nặng tài chính. Việc cải cách cũng được thực hiện một cách minh bạch, tạo ra sự tin tưởng vào việc quản lý thuế. Tuy nhiên, do mức thuế mới cao hơn so với trước đây, một số người có thể lo ngại về sự công bằng.</t>
  </si>
  <si>
    <t>Các quy định quản lý thuế hiện nay được cải cách, tăng mức giảm trừ gia cảnh và đơn giản hóa biểu thuế, làm tăng tính minh bạch. Tuy nhiên, khả năng phát hiện trốn thuế phụ thuộc nhiều vào công nghệ và nguồn lực của cơ quan thuế.</t>
  </si>
  <si>
    <t>Công nghệ hiện đại ngày càng phát triển giúp cải thiện khả năng giám sát và xử lý các hành vi trốn thuế, tuy nhiên vẫn cần thời gian để ứng dụng rộng rãi.</t>
  </si>
  <si>
    <t>Mức giảm trừ gia cảnh được tăng mạnh, giảm bớt gánh nặng cho nhiều người. Các quy trình khai báo thuế đơn giản hơn trước đây, tiết kiệm thời gian và công sức.</t>
  </si>
  <si>
    <t>Biểu thuế được đơn giản hóa từ 7 bậc xuống còn 5 bậc, làm giảm độ phức tạp và dễ dàng cho người dân hiểu và thực hiện.</t>
  </si>
  <si>
    <t>Nhà nước đã cải cách để tăng mức giảm trừ gia cảnh và đơn giản hóa biểu thuế. Tuy nhiên, việc công bằng trong thực thi chính sách còn phụ thuộc vào cách áp dụng</t>
  </si>
  <si>
    <t>Mức thuế mới được thiết kế dựa trên thu nhập cá nhân, tạo cảm giác công bằng cho người nộp thuế. Tuy nhiên, mức độ hiểu và tin tưởng vẫn cần thời gian.</t>
  </si>
  <si>
    <t>Thuê mới được cải cách để tăng giảm trừ gia cảnh và đơn giản hóa biểu thuế. Điều này tạo cảm giác số tiền đóng góp của mình sẽ được sử dụng hiệu quả cho việc công cộng</t>
  </si>
  <si>
    <t>Các thông tin về lý do và mục tiêu của chính sách mới đã được giải thích rõ ràng, tuy nhiên vẫn cần thời gian để tin tưởng hoàn toàn vào sự minh bạch.</t>
  </si>
  <si>
    <t>Sau khi xem xét lợi ích từ việc giảm thuế, tôi có xu hướng ủng hộ chính sách mới. Tuy nhiên, quyết định cuối cùng phụ thuộc vào thực tế và hiệu quả của chính sách trong thực thi.</t>
  </si>
  <si>
    <t>Dựa trên thông tin cải cách thuế, mức giảm trừ gia cảnh tăng lên nên việc phát hiện và xử lý trốn thuế sẽ khó khăn hơn. Tuy nhiên, với sự hỗ trợ của công nghệ, khả năng phát hiện vẫn có thể tốt.</t>
  </si>
  <si>
    <t>Việc cải cách thuế đã đơn giản hóa quy trình khai báo và giảm số bậc thuế, làm tăng khả năng tuân thủ. Công nghệ phát triển cũng giúp kiểm soát hiệu quả hơn.</t>
  </si>
  <si>
    <t>Cải cách thuế đã đơn giản hóa biểu thuế từ 7 bậc xuống còn 5 bậc, giảm bớt gánh nặng công việc cho người nộp thuế.</t>
  </si>
  <si>
    <t>Mức giảm trừ gia cảnh tăng lên, nghĩa là tôi được hưởng lợi từ chính sách mới. Tuy nhiên, mức thuế suất vẫn tương đối cao, nên sự công bằng chưa hoàn toàn thuyết phục.</t>
  </si>
  <si>
    <t>Thu nhập của tôi nằm trong bậc thuế thấp nên mức thuế tôi phải đóng không quá cao. Tuy nhiên, việc cải cách cần minh bạch hơn để tăng niềm tin.</t>
  </si>
  <si>
    <t>Nhìn chung, tôi đồng ý với mục tiêu cải cách nhằm mang lại lợi ích cho người dân, nhưng mức độ sử dụng hiệu quả của số tiền thuế đóng vào dịch vụ công vẫn còn cần kiểm chứng.</t>
  </si>
  <si>
    <t>Cải cách thuế đã đơn giản hóa biểu thuế và giảm bớt gánh nặng về mặt tài chính. Tuy nhiên, việc giải thích rõ ràng về mục tiêu cải cách chưa đầy đủ nên tôi vẫn còn nghi ngờ.</t>
  </si>
  <si>
    <t>Dù mức thuế đã giảm so với trước đây, nhưng do sự phức tạp của biểu thuế và thiếu minh bạch trong quá trình cải cách, tôi sẽ tuân thủ nhưng không ủng hộ mạnh mẽ.</t>
  </si>
  <si>
    <t>Các quy định quản lý thuế hiện nay có nhiều cải tiến, nhưng vẫn chưa thể phát hiện trốn thuế hiệu quả do thiếu công nghệ hiện đại.</t>
  </si>
  <si>
    <t>Nhà nước và cơ quan thuế đang đầu tư vào công nghệ để phát hiện hành vi trốn thuế, tuy nhiên cần thời gian triển khai đầy đủ.</t>
  </si>
  <si>
    <t>Biểu thuế được đơn giản hóa nhưng vẫn còn một số quy trình phức tạp, chưa cải thiện nhiều so với kỳ vọng.</t>
  </si>
  <si>
    <t>Cách tính thuế mới dễ hiểu hơn so với trước đây, đặc biệt là việc giảm từ 7 bậc xuống còn 5 bậc.</t>
  </si>
  <si>
    <t>Nhà nước đã cải thiện đáng kể mức giảm trừ gia cảnh, tạo cảm giác công bằng cho người nộp thuế.</t>
  </si>
  <si>
    <t>Mức thuế mới theo phương án này là hợp lý với thu nhập hiện tại của tôi, tuy nhiên vẫn có sự nghi ngờ về tính công bằng.</t>
  </si>
  <si>
    <t>Tôi tin rằng số tiền thuế đóng sẽ được sử dụng hiệu quả để cải thiện dịch vụ công mặc dù chưa rõ ràng như mong đợi.</t>
  </si>
  <si>
    <t>Nhà nước đã giải thích khá minh bạch về lý do và mục tiêu của việc sửa đổi thuế, nhưng vẫn còn một số thông tin không hoàn toàn thuyết phục.</t>
  </si>
  <si>
    <t>Tôi ủng hộ chính sách mới vì giảm gánh nặng thuế và tăng mức giảm trừ gia cảnh, tuy nhiên vẫn có sự cân nhắc về việc tuân thủ.</t>
  </si>
  <si>
    <t>Tăng mức giảm trừ gia cảnh có thể làm cho việc trốn thuế trở nên khó khăn hơn, nhưng không biết rõ về công nghệ phát hiện của cơ quan thuế.</t>
  </si>
  <si>
    <t>Ngoài tăng giảm trừ gia cảnh, chính sách chưa đưa ra nhiều biện pháp hiệu quả khác để phát hiện trốn thuế. Công nghệ cũng cần được cập nhật thường xuyên.</t>
  </si>
  <si>
    <t>Mức giảm trừ gia cảnh cao hơn và số bậc thuế ít hơn có thể làm thủ tục đơn giản hơn, nhưng vẫn còn phức tạp đối với người dân không am hiểu về thuế.</t>
  </si>
  <si>
    <t>Cách tính thuế đơn giản hóa hơn so với trước đây, nhưng việc áp dụng các bậc thuế mới đòi hỏi sự hiểu biết của người nộp thuế.</t>
  </si>
  <si>
    <t>Nhìn chung, mức giảm trừ gia cảnh cao hơn có thể làm cho chính sách trở nên công bằng hơn đối với nhiều người dân. Tuy nhiên, việc áp dụng công bằng giữa các nhóm thu nhập khác nhau còn cần thêm thời gian để đánh giá.</t>
  </si>
  <si>
    <t>Mức thuế mới có thể làm cho người nộp thuế ở cùng mức thu nhập cảm thấy công bằng hơn, nhưng chưa chắc chắn đối với những người ở các mức thu nhập khác nhau.</t>
  </si>
  <si>
    <t>Tiêu chuẩn giảm trừ gia cảnh cao hơn có thể làm cho việc đóng thuế trở nên công bằng hơn. Tuy nhiên, hiệu quả sử dụng số tiền thuế còn phụ thuộc vào quản lý của Nhà nước.</t>
  </si>
  <si>
    <t>Các thông tin giải thích về chính sách mới chưa đầy đủ và rõ ràng cho tất cả mọi người, đặc biệt là đối với những người không am hiểu nhiều về thuế.</t>
  </si>
  <si>
    <t>Sau khi xem xét các quyền lợi và nghĩa vụ, tôi thấy mức giảm trừ gia cảnh cao hơn và số bậc thuế ít hơn có thể làm cho việc tuân thủ trở nên dễ dàng hơn. Tuy nhiên, sự phức tạp trong việc áp dụng vẫn còn là một thách thức.</t>
  </si>
  <si>
    <t>Dù tăng giảm trừ gia cảnh, nhưng không có thông tin về công nghệ phát hiện gian lận mạnh mẽ hơn.</t>
  </si>
  <si>
    <t>Công nghệ phát hiện trốn thuế vẫn còn hạn chế, cần nhiều cải tiến.</t>
  </si>
  <si>
    <t>Biểu thuế đơn giản hơn nhưng không thay đổi thủ tục khai báo thuế đáng kể.</t>
  </si>
  <si>
    <t>Cách tính thuế và bậc thuế mới đơn giản, dễ hiểu hơn so với trước đây.</t>
  </si>
  <si>
    <t>Tăng giảm trừ gia cảnh giúp công bằng hơn nhưng không thay đổi đáng kể về cách thực thi.</t>
  </si>
  <si>
    <t>Mức thuế mới phù hợp với thu nhập của tôi, cảm thấy được đối xử công bằng.</t>
  </si>
  <si>
    <t>Tăng giảm trừ gia cảnh giúp dịch vụ công có thêm ngân sách nhưng không rõ ràng về hiệu quả sử dụng.</t>
  </si>
  <si>
    <t>Thông tin giải thích chưa đầy đủ, cần cải thiện hơn để thuyết phục.</t>
  </si>
  <si>
    <t>Thu nhập của tôi giảm thuế nên ủng hộ, nhưng vẫn có nghi ngờ về hiệu quả thực thi.</t>
  </si>
  <si>
    <t>Mức giảm trừ gia cảnh tăng, nhưng thông tin về việc phát hiện trốn thuế chưa rõ ràng.</t>
  </si>
  <si>
    <t>Công nghệ và khả năng của cơ quan thuế được cải thiện, nhưng vẫn có nguy cơ trốn thuế.</t>
  </si>
  <si>
    <t>Thủ tục khai báo đơn giản hơn, nhưng quy trình làm việc với cơ quan thuế còn phức tạp.</t>
  </si>
  <si>
    <t>Cách tính thuế và bậc thuế mới rõ ràng hơn so với trước đây.</t>
  </si>
  <si>
    <t>Giảm trừ gia cảnh tăng, giảm gánh nặng thuế, nhưng chưa chắc chắn về cách thực thi công bằng.</t>
  </si>
  <si>
    <t>Mức thuế mới có thể hợp lý hơn, nhưng cần nhìn nhận tổng thể.</t>
  </si>
  <si>
    <t>Đóng góp thuế vào dịch vụ công quan trọng, nhưng hiệu quả sử dụng còn phụ thuộc nhiều yếu tố khác.</t>
  </si>
  <si>
    <t>Thông tin giải thích về mục tiêu cải cách chưa đầy đủ và thuyết phục</t>
  </si>
  <si>
    <t>Thu nhập giảm, nhưng gánh nặng thuế ít hơn, do đó dễ tuân thủ.</t>
  </si>
  <si>
    <t>Biểu thuế mới đơn giản hóa và có nhiều ưu đãi, nhưng chưa rõ về công nghệ phát hiện trốn thuế.</t>
  </si>
  <si>
    <t>Công nghệ ngày càng phát triển, khả năng phát hiện trốn thuế tăng lên đáng kể, tuy nhiên chưa rõ khả năng thực tế của cơ quan thuế.</t>
  </si>
  <si>
    <t>Mức giảm trừ gia cảnh và người phụ thuộc tăng, giúp thủ tục đơn giản hơn so với trước đây.</t>
  </si>
  <si>
    <t>Biểu thuế mới có ít bậc hơn, dễ hiểu và thực hiện hơn so với trước đây.</t>
  </si>
  <si>
    <t>Nhà nước đã tăng mức giảm trừ gia cảnh, tạo cảm giác công bằng hơn cho người dân.</t>
  </si>
  <si>
    <t>Mức thuế mới được thiết kế dựa trên thu nhập cá nhân, có thể xem là công bằng đối với tôi.</t>
  </si>
  <si>
    <t>Thuế đóng góp vào sự phát triển chung của cộng đồng, tạo niềm tin rằng số tiền đóng sẽ được sử dụng hiệu quả.</t>
  </si>
  <si>
    <t>Thông tin về thay đổi thuế chưa rõ ràng và đầy đủ, có thể gây nghi ngờ về mục tiêu cải cách.</t>
  </si>
  <si>
    <t>Sau khi cân nhắc lợi ích từ chính sách mới, quyết định tuân thủ dựa trên niềm tin và hiểu biết cá nhân.</t>
  </si>
  <si>
    <t>Nhà nước đã tăng cường quản lý thuế thông qua nhiều biện pháp như công nghệ hiện đại, quy định rõ ràng và xử phạt nghiêm minh. Điều này giảm khả năng trốn thuế.</t>
  </si>
  <si>
    <t>Công nghệ ngày nay rất phát triển và có thể phát hiện hành vi trốn thuế hiệu quả hơn trước đây. Cơ quan thuế cũng đã đầu tư vào hệ thống thông tin quản lý thuế.</t>
  </si>
  <si>
    <t>Mức giảm trừ gia cảnh cao hơn, quy trình khai báo đơn giản và các bước tính thuế rõ ràng. Điều này giúp việc làm thủ tục trở nên dễ dàng hơn.</t>
  </si>
  <si>
    <t>Biểu thuế được rút gọn từ 7 bậc xuống 5 bậc, đơn giản hóa quá trình tính toán và ghi chép. Cách tính thuế rõ ràng hơn trước đây.</t>
  </si>
  <si>
    <t>Nhà nước đã tăng giảm trừ gia cảnh cho bản thân và người phụ thuộc, tạo sự công bằng giữa các đối tượng nộp thuế. Điều này thể hiện sự khách quan và công tâm.</t>
  </si>
  <si>
    <t>Mức thuế mới được thiết lập dựa trên thu nhập, phản ánh mức độ chịu đựng của từng nhóm đối tượng. Tuy nhiên, vẫn có nghi vấn về cách tính chéo giữa các mức thu nhập.</t>
  </si>
  <si>
    <t>Thuế đóng góp vào việc cải thiện dịch vụ công như y tế và cơ sở hạ tầng. Tuy nhiên, hiệu quả sử dụng nguồn thuế vẫn còn nhiều tranh luận.</t>
  </si>
  <si>
    <t>Thông tin về việc sửa đổi thuế được cung cấp đầy đủ nhưng chưa phải là minh bạch nhất. Có sự nghi ngờ về mục đích thực sự của việc thay đổi.</t>
  </si>
  <si>
    <t>Dù các quyền lợi được cải thiện, nhưng tôi vẫn giữ thái độ thận trọng và cần xem xét kỹ trước khi ủng hộ hoàn toàn. Thay đổi thuế ảnh hưởng trực tiếp đến thu nhập của tôi.</t>
  </si>
  <si>
    <t>Việc tăng mức giảm trừ gia cảnh và đơn giản hóa biểu thuế có thể làm giảm động lực trốn thuế, tuy nhiên vẫn cần công nghệ phát hiện hiệu quả để đảm bảo tính công bằng.</t>
  </si>
  <si>
    <t>Công nghệ ngày càng phát triển, khả năng phát hiện trốn thuế cũng tăng lên đáng kể. Đây là yếu tố quan trọng để bảo vệ quyền lợi của người nộp thuế.</t>
  </si>
  <si>
    <t>Biểu thuế đơn giản hơn và mức giảm trừ gia cảnh cao hơn có thể làm các thủ tục khai báo thuế dễ dàng hơn, tuy nhiên vẫn cần thời gian để thích nghi với quy trình mới.</t>
  </si>
  <si>
    <t>Cách tính thuế đơn giản và rõ ràng hơn so với trước đây, giúp người nộp thuế hiểu và thực hiện quy định một cách dễ dàng hơn.</t>
  </si>
  <si>
    <t>Mức giảm trừ gia cảnh cao hơn có thể làm tăng niềm tin vào sự công bằng trong việc áp dụng chính sách thuế.</t>
  </si>
  <si>
    <t>Biểu thuế đơn giản và rõ ràng, nhưng mức thuế cụ thể còn phụ thuộc vào thu nhập cá nhân. Người nộp thuế cần xem xét kỹ trước khi đánh giá công bằng.</t>
  </si>
  <si>
    <t>Mức giảm trừ gia cảnh cao hơn có thể làm tăng niềm tin rằng số tiền thuế đóng sẽ được sử dụng hiệu quả cho dịch vụ công</t>
  </si>
  <si>
    <t>Thông tin về lý do và mục tiêu của việc sửa đổi thuế chưa đầy đủ, gây ra sự hoài nghi trong một số người nộp thuế.</t>
  </si>
  <si>
    <t>Niềm tin vào tính công bằng và minh bạch của chính sách giảm do thông tin thiếu rõ ràng, tuy nhiên vẫn ủng hộ vì lợi ích tài chính từ mức giảm trừ gia cảnh cao hơn.</t>
  </si>
  <si>
    <t>Các quy định quản lý thuế hiện nay có sự cải tiến, nhưng vẫn chưa hoàn toàn chắc chắn về việc phát hiện trốn thuế. Công nghệ hiện đại giúp tăng khả năng phát hiện.</t>
  </si>
  <si>
    <t>Nhà nước và cơ quan thuế đã đầu tư công nghệ để phát hiện trốn thuế, tuy nhiên vẫn còn nhiều thách thức cần giải quyết.</t>
  </si>
  <si>
    <t>Thủ tục khai báo thuế đơn giản hơn trước đây, giảm bớt gian nan cho người nộp thuế. Tuy nhiên, việc thực hiện vẫn có thể gặp một số khó khăn.</t>
  </si>
  <si>
    <t>Cách tính thuế và các bậc thuế trong phương án mới đơn giản hơn so với trước đây, dễ hiểu và thực hiện thuận tiện hơn.</t>
  </si>
  <si>
    <t>Niềm tin vào sự công bằng của Nhà nước đối với việc thực thi chính sách mới vẫn còn thấp do nhiều người chưa hài lòng về cách quản lý thuế cũ.</t>
  </si>
  <si>
    <t>Mức thuế mới có thể coi là công bằng hơn so với trước đây, nhưng không phải ai cũng đồng ý. Tùy thuộc vào mức thu nhập và tình hình cụ thể của từng người.</t>
  </si>
  <si>
    <t>Niềm tin rằng số tiền thuế đóng sẽ được sử dụng hiệu quả để cải thiện dịch vụ công vẫn còn thấp, do chưa có nhiều minh chứng thực tế.</t>
  </si>
  <si>
    <t>Nhà nước đã giải thích rõ ràng về mục tiêu của việc sửa đổi thuế, nhưng vẫn còn một số người nghi ngờ về sự thuyết phục của thông tin này.</t>
  </si>
  <si>
    <t>Dù có nhiều cải tiến, nhưng quyết định tuân thủ chính sách mới phụ thuộc vào lợi ích và trải nghiệm cá nhân. Hiện tại tôi vẫn cân nhắc kỹ trước khi quyết định.</t>
  </si>
  <si>
    <t>Biện pháp quản lý thuế mới có thể phát hiện gian lận, nhưng khả năng thực thi chưa rõ ràng. Với mức giảm trừ gia cảnh tăng lên, khả năng trốn thuế giảm nhẹ.</t>
  </si>
  <si>
    <t>Công nghệ ngày càng tiên tiến và chính phủ có thể phát hiện gian lận nhanh chóng hơn. Tuy nhiên, vẫn cần thời gian để công nghệ được áp dụng rộng rãi.</t>
  </si>
  <si>
    <t>Biểu thuế đơn giản hơn nhưng quy trình làm việc với cơ quan thuế chưa chắc đã dễ dàng hơn. Mức giảm trừ gia cảnh tăng có thể làm quá trình khai báo thuận tiện hơn.</t>
  </si>
  <si>
    <t>Cách tính thuế mới đơn giản, các bậc thuế rõ ràng hơn. Tuy nhiên, việc áp dụng thực tế có thể vẫn còn phức tạp đối với người dân thường.</t>
  </si>
  <si>
    <t>Nhà nước đã tăng giảm trừ gia cảnh nên tôi tin rằng sẽ công bằng hơn. Chính sách mới có thể làm giảm gánh nặng thuế cho người thu nhập thấp.</t>
  </si>
  <si>
    <t>Mức thuế mới được thiết kế để tương đối công bằng với thu nhập của tôi, nhưng vẫn lo ngại về khả năng quản lý thực tế.</t>
  </si>
  <si>
    <t>Thuế đóng góp vào cải thiện dịch vụ công là điều hợp lý. Tuy nhiên, cảm giác rằng tiền thuế được sử dụng hiệu quả vẫn còn chưa chắc chắn.</t>
  </si>
  <si>
    <t>Nhà nước đã giải thích rõ về mục tiêu nhưng thông tin chi tiết về việc áp dụng thực tế còn ít. Sự minh bạch cần được cải thiện hơn.</t>
  </si>
  <si>
    <t>Tôi ủng hộ vì mức thuế mới có lợi cho người thu nhập thấp, tuy nhiên vẫn lo ngại về khả năng thực thi và quản lý hiệu quả.</t>
  </si>
  <si>
    <t>Mức giảm trừ gia cảnh tăng và biểu thuế đơn giản hơn, tuy nhiên khả năng phát hiện trốn thuế phụ thuộc nhiều vào công nghệ và quy định quản lý của cơ quan thuế.</t>
  </si>
  <si>
    <t>Công nghệ ngày càng tiên tiến, nhưng vẫn cần sự giám sát chặt chẽ từ phía Nhà nước để đảm bảo tính minh bạch trong việc phát hiện trốn thuế.</t>
  </si>
  <si>
    <t>Mức giảm trừ gia cảnh tăng và biểu thuế đơn giản hơn làm cho thủ tục khai báo thuế dễ dàng hơn, nhưng vẫn cần thời gian để người dân quen thuộc với quy trình mới.</t>
  </si>
  <si>
    <t>Biểu thuế đơn giản hóa từ 7 bậc xuống còn 5 bậc, do đó cách tính thuế và các bậc thuế trong phương án mới dễ hiểu hơn so với trước đây.</t>
  </si>
  <si>
    <t>Giảm trừ gia cảnh tăng và biểu thuế đơn giản, công bằng hơn. Tuy nhiên, khả năng thực thi chính sách phụ thuộc vào sự minh bạch của cơ quan thuế.</t>
  </si>
  <si>
    <t>Mức thuế mới được thiết kế sao cho phù hợp với thu nhập cá nhân hiện tại, do đó mức độ công bằng cao hơn so với trước đây.</t>
  </si>
  <si>
    <t>Thu nhập tăng và giảm trừ gia cảnh lớn hơn làm cho việc đóng thuế trở nên công bằng. Tuy nhiên, mức độ tin tưởng phụ thuộc vào cách sử dụng nguồn thu từ thuế của Nhà nước.</t>
  </si>
  <si>
    <t>Các quy định về thuế đã được cải thiện rõ ràng hơn so với trước đây, tuy nhiên việc giải thích minh bạch vẫn còn cần phải cải thiện.</t>
  </si>
  <si>
    <t>Sau khi xem xét các quyền lợi và nghĩa vụ, tôi thấy chính sách mới có lợi cho người dân. Tuy nhiên, quyết định tuân thủ cũng phụ thuộc vào mức độ tin tưởng đối với cơ quan thuế.</t>
  </si>
  <si>
    <t>Chính sách tăng giảm trừ gia cảnh và đơn giản hóa biểu thuế có thể làm giảm cơ hội trốn thuế, nhưng công nghệ phát hiện vẫn chưa được đề cập cụ thể.</t>
  </si>
  <si>
    <t>Công nghệ ngày càng tiên tiến, tuy nhiên việc thực thi cần sự phối hợp chặt chẽ giữa các cơ quan quản lý và nguồn lực cũng rất quan trọng.</t>
  </si>
  <si>
    <t>Mức giảm trừ gia cảnh cao hơn có thể làm thủ tục đơn giản hóa, nhưng vẫn còn nhiều quy định phức tạp cần cải thiện.</t>
  </si>
  <si>
    <t>Biểu thuế đơn giản và rõ ràng hơn, nhưng việc áp dụng cụ thể vào thực tế chưa được đánh giá cao.</t>
  </si>
  <si>
    <t>Giảm trừ gia cảnh tăng cao có thể làm giảm gánh nặng và tạo cảm giác công bằng, nhưng vẫn còn nghi ngại về cách thực thi.</t>
  </si>
  <si>
    <t>Mức thuế mới chưa rõ ràng đối với người thu nhập trung bình như tôi, cần thêm thông tin để đánh giá.</t>
  </si>
  <si>
    <t>Việc cải thiện dịch vụ công có thể tạo niềm tin, nhưng hiệu quả sử dụng nguồn ngân sách còn phụ thuộc vào quản lý.</t>
  </si>
  <si>
    <t>Cần thêm thông tin minh bạch về mục tiêu sửa đổi thuế mới để đánh giá.</t>
  </si>
  <si>
    <t>Mức giảm trừ gia cảnh và biểu thuế đơn giản có thể tạo niềm tin, nhưng vẫn còn nghi ngại về thực thi và hiệu quả.</t>
  </si>
  <si>
    <t>Điều kiện quản lý thuế hiện tại không rõ ràng, nhưng với mức giảm trừ gia cảnh tăng mạnh, việc trốn thuế sẽ khó khăn hơn.</t>
  </si>
  <si>
    <t>Công nghệ phát triển giúp phát hiện hành vi gian lận và xử lý nghiêm, nhưng vẫn có rủi ro</t>
  </si>
  <si>
    <t>Biểu thuế đơn giản hơn, giảm số bậc từ 7 xuống còn 5, quy trình làm việc với cơ quan thuế thuận tiện hơn.</t>
  </si>
  <si>
    <t>Cách tính thuế và các bậc thuế mới dễ hiểu và đơn giản, phù hợp với người dân có kiến thức hạn chế về thuế.</t>
  </si>
  <si>
    <t>Nhà nước đã tăng mức giảm trừ gia cảnh, tạo ra sự công bằng hơn trong việc phân bổ nghĩa vụ thuế.</t>
  </si>
  <si>
    <t>Mức thuế mới được thiết kế sao cho phù hợp với thu nhập trung bình, thể hiện tính công bằng của hệ thống thuế.</t>
  </si>
  <si>
    <t>Thuế đóng góp vào việc cải thiện dịch vụ công, tạo niềm tin về việc sử dụng hiệu quả nguồn lực nhà nước.</t>
  </si>
  <si>
    <t>Nhà nước đã minh bạch trong việc thông báo về các thay đổi thuế, nhưng vẫn cần làm rõ hơn để thuyết phục người dân.</t>
  </si>
  <si>
    <t>Sau xem xét, tôi thấy lợi ích từ chính sách mới vượt trội so với rủi ro và nghĩa vụ tăng lên. Tôi sẵn lòng tuân thủ.</t>
  </si>
  <si>
    <t>Đối với người nộp thuế, việc nâng cao giảm trừ gia cảnh và đơn giản hóa biểu thuế có thể làm giảm gánh nặng về mặt tài chính. Tuy nhiên, quy định quản lý thuế hiện nay chưa rõ ràng về khả năng phát hiện trốn thuế.</t>
  </si>
  <si>
    <t>Nhà nước và cơ quan thuế đã có nhiều công nghệ tiên tiến để phát hiện hành vi trốn thuế. Tuy nhiên, hiệu quả cụ thể phụ thuộc vào cách thực thi quy định.</t>
  </si>
  <si>
    <t>Bậc thuế được rút gọn từ 7 xuống còn 5 đã làm đơn giản hóa quy trình khai báo thuế. Người nộp thuế dễ dàng nắm bắt và tuân thủ hơn so với trước đây.</t>
  </si>
  <si>
    <t>Biểu thuế mới có ít bậc hơn, giúp việc tính toán thu nhập chịu thuế trở nên rõ ràng và dễ hiểu hơn cho người dân.</t>
  </si>
  <si>
    <t>Nâng cao giảm trừ gia cảnh và đơn giản hóa biểu thuế thể hiện sự công bằng đối với người nộp thuế. Tuy nhiên, mức độ tin tưởng còn phụ thuộc vào cách thực thi của cơ quan thuế.</t>
  </si>
  <si>
    <t>Mức thuế mới được thiết kế để phù hợp với thu nhập cá nhân trung bình. Điều này thể hiện tính công bằng đối với người nộp thuế, mặc dù vẫn có sự khác biệt giữa các mức thu nhập.</t>
  </si>
  <si>
    <t>Nâng cao giảm trừ gia cảnh và đơn giản hóa biểu thuế góp phần vào việc sử dụng hiệu quả số tiền thuế để cải thiện dịch vụ công. Tuy nhiên, vẫn cần thời gian để thấy kết quả thực tế.</t>
  </si>
  <si>
    <t>Thông tin về chính sách mới được cung cấp qua nhiều kênh truyền thông nhưng chưa đủ minh bạch và cụ thể đối với người dân. Tuy nhiên, mức độ hiểu biết của công chúng đã cải thiện so với trước đây.</t>
  </si>
  <si>
    <t>Dù các cải cách thuế mang lại lợi ích về mặt tài chính cho người nộp thuế, nhưng vẫn cần thời gian để tin tưởng vào thực thi và hiệu quả cụ thể của chính sách mới. Tuy nhiên, tôi sẽ ủng hộ vì việc tuân thủ là trách nhiệm của mỗi cá nhân.</t>
  </si>
  <si>
    <t>Với mức giảm trừ gia cảnh tăng mạnh và quy định quản lý thuế hiện đại, việc phát hiện hành vi gian lận hoặc trốn thuế sẽ dễ dàng hơn.</t>
  </si>
  <si>
    <t>Nhà nước và cơ quan thuế có nhiều công nghệ hiện đại giúp phát hiện và xử lý nghiêm các hành vi trốn thuế, nhưng vẫn phụ thuộc vào sự tuân thủ của người dân.</t>
  </si>
  <si>
    <t>Mức giảm trừ gia cảnh tăng mạnh và số bậc thuế ít hơn làm cho quá trình khai báo thuế đơn giản hơn, tuy nhiên quy trình với cơ quan thuế vẫn cần cải thiện.</t>
  </si>
  <si>
    <t>Biểu thuế mới đơn giản hóa việc tính toán, nhưng người dân cần thời gian để làm quen và hiểu rõ.</t>
  </si>
  <si>
    <t>Nhà nước tăng giảm trừ gia cảnh cho bản thân và người phụ thuộc, thể hiện sự công bằng trong việc áp dụng thuế đối với mọi người nộp thuế.</t>
  </si>
  <si>
    <t>Mức thuế mới có sự điều chỉnh phù hợp với thu nhập của tôi, nhưng vẫn cần thêm thời gian để đánh giá hiệu quả thực tế.</t>
  </si>
  <si>
    <t>Việc tăng giảm trừ gia cảnh và đơn giản hóa biểu thuế giúp cải thiện chất lượng dịch vụ công và y tế, tuy nhiên còn phụ thuộc vào việc sử dụng hiệu quả nguồn thu từ thuế.</t>
  </si>
  <si>
    <t>Nhà nước đã giải thích rõ ràng về mục tiêu của chính sách mới nhưng tôi vẫn cần thêm thông tin để đánh giá mức độ minh bạch và thực hiện.</t>
  </si>
  <si>
    <t>Sau khi xem xét các quyền lợi và nghĩa vụ, tôi ủng hộ và sẽ tuân thủ chính sách mới vì nó mang lại nhiều lợi ích cho người dân.</t>
  </si>
  <si>
    <t>Theo cải cách, mức giảm trừ gia cảnh tăng lên, điều này làm giảm gánh nặng thuế cho nhiều người. Tuy nhiên, không có thông tin về công nghệ phát hiện trốn thuế cụ thể.</t>
  </si>
  <si>
    <t>Việc nâng cao giảm trừ gia cảnh và đơn giản hóa biểu thuế giúp ngăn chặn hành vi trốn thuế hiệu quả hơn. Công nghệ hiện đại cũng hỗ trợ việc phát hiện trốn thuế.</t>
  </si>
  <si>
    <t>Biểu thuế mới có ít bậc hơn, giảm sự phức tạp và đơn giản hóa quy trình khai báo thuế. Điều này làm tăng thuận tiện cho người nộp thuế.</t>
  </si>
  <si>
    <t>Các bước tính thuế mới rõ ràng hơn so với trước đây, dễ hiểu và thực hiện thuận lợi hơn. Sự đơn giản hóa giúp người dân nắm bắt nhanh chóng.</t>
  </si>
  <si>
    <t>Mức giảm trừ gia cảnh tăng lên làm cho chính sách trở nên công bằng hơn đối với nhiều người thu nhập thấp. Tuy nhiên, mức thuế mới chưa rõ ràng về mặt thực thi.</t>
  </si>
  <si>
    <t>Nhìn chung, mức thuế mới vẫn công bằng so với thu nhập hiện tại của tôi. Tuy nhiên, cần thêm thông tin về việc sử dụng số tiền thuế đã đóng để đánh giá sự công bằng toàn diện.</t>
  </si>
  <si>
    <t>Hiện chưa có thông tin cụ thể về việc sử dụng số tiền thuế đã đóng vào các dịch vụ công. Tuy nhiên, mức giảm trừ gia cảnh tăng lên cho thấy một phần của quyết định cải cách là để hỗ trợ người dân.</t>
  </si>
  <si>
    <t>Thông tin giải thích về lý do và mục tiêu của việc sửa đổi thuế đã được cung cấp đầy đủ. Tuy nhiên, cần thêm thông tin chi tiết về quy trình thực hiện mới để tăng sự minh bạch.</t>
  </si>
  <si>
    <t>Cải cách thuế mang lại lợi ích tài chính rõ ràng cho tôi và người dân chung quanh. Tuy nhiên, việc cải cách cần thêm thời gian để có thể đánh giá hiệu quả toàn diện trước khi quyết định ủng hộ.</t>
  </si>
  <si>
    <t>Các quy định quản lý thuế hiện nay có nhiều cải tiến, nhưng vẫn chưa hoàn toàn ngăn chặn được trốn thuế. Công nghệ phát hiện trốn thuế đã tốt hơn trước đây.</t>
  </si>
  <si>
    <t>Nhà nước và cơ quan thuế có nhiều công cụ kỹ thuật để phát hiện trốn thuế, nhưng vẫn cần sự phối hợp chặt chẽ từ phía người nộp thuế. Công nghệ giúp tăng cường khả năng kiểm soát.</t>
  </si>
  <si>
    <t>Các thủ tục khai báo thuế đã đơn giản hơn so với trước đây, nhờ vào việc giảm bậc thuế và cải tiến quy trình làm việc với cơ quan thuế. Tuy nhiên, vẫn còn một số rắc rối cần cải thiện.</t>
  </si>
  <si>
    <t>Cách tính thuế và các bậc thuế trong phương án mới đơn giản hơn nhiều so với trước đây, giúp người dân dễ hiểu và thực hiện. Điều này tăng độ tin cậy và thuận tiện cho quá trình làm việc.</t>
  </si>
  <si>
    <t>Nhà nước đã cải thiện quy định quản lý thuế để công bằng hơn, nhưng vẫn có những vấn đề cần giải quyết về cách thực thi. Niềm tin vào sự khách quan và công bằng của cơ quan thuế đang tăng lên.</t>
  </si>
  <si>
    <t>Các bậc thuế mới đã cải thiện đáng kể, nhưng mức thuế vẫn có thể còn cao đối với một số người. Tuy nhiên, việc giảm trừ gia cảnh lớn hơn giúp giảm gánh nặng thuế so với trước đây.</t>
  </si>
  <si>
    <t>Công khai về sử dụng số tiền thuế đóng vào dịch vụ công đang giúp tăng niềm tin, nhưng hiệu quả sử dụng ngân sách vẫn cần cải thiện. Người dân thấy việc đóng thuế có ý nghĩa hơn.</t>
  </si>
  <si>
    <t>Nhà nước đã giải thích rõ ràng về thay đổi thuế, nhưng vẫn có những thông điệp chưa thuyết phục được mọi người. Tuy nhiên, việc cải thiện quy định quản lý thuế tạo ra niềm tin cơ bản.</t>
  </si>
  <si>
    <t>Các quyền lợi và nghĩa vụ đã thay đổi, giảm gánh nặng cho người dân nhưng vẫn cần thời gian để thích ứng. Tôi sẽ ủng hộ chính sách mới vì nó mang lại nhiều thuận lợi hơn so với trước đây.</t>
  </si>
  <si>
    <t>Các quy định quản lý thuế hiện nay có thêm các giảm trừ gia cảnh, nên hành vi gian lận hoặc trốn thuế sẽ khó hơn. Tuy nhiên, việc phát hiện và xử lý còn phụ thuộc vào công nghệ và nguồn lực của cơ quan thuế.</t>
  </si>
  <si>
    <t>Công nghệ ngày càng phát triển, khả năng phát hiện trốn thuế sẽ cao hơn. Tuy nhiên, vẫn cần thêm đầu tư để nâng cấp hệ thống quản lý thuế.</t>
  </si>
  <si>
    <t>Mức giảm trừ gia cảnh tăng và số bậc thuế được đơn giản hóa, làm cho khai báo thuế dễ dàng hơn. Các quy trình với cơ quan thuế cũng trở nên nhanh chóng hơn.</t>
  </si>
  <si>
    <t>Cách tính thuế và các bậc thuế mới đơn giản hơn so với trước đây, giúp người dân hiểu rõ hơn về mức thuế phải đóng.</t>
  </si>
  <si>
    <t>Nhà nước đã tăng giảm trừ gia cảnh và đơn giản hóa biểu thuế, tạo cảm giác công bằng cho người nộp thuế. Tuy nhiên, việc thực thi chính sách còn phụ thuộc vào cách triển khai.</t>
  </si>
  <si>
    <t>Mức thuế mới có thể phù hợp với thu nhập của tôi, tạo cảm giác công bằng. Tuy nhiên, vẫn cần thêm minh bạch về việc sử dụng số tiền thuế này.</t>
  </si>
  <si>
    <t>Số tiền thuế đóng sẽ được sử dụng hiệu quả để cải thiện dịch vụ công, nhưng cần nhìn vào thực tế để đánh giá sự công bằng.</t>
  </si>
  <si>
    <t>Nhà nước đã giải thích rõ ràng về mục tiêu của việc sửa đổi thuế, tạo niềm tin cho người dân. Tuy nhiên, vẫn cần thêm minh bạch trong quá trình thực hiện.</t>
  </si>
  <si>
    <t>Các quyền lợi và nghĩa vụ được cân nhắc kỹ lưỡng, nhưng quyết định cuối cùng phụ thuộc vào mức độ tin tưởng vào chính sách mới. Tôi sẽ ủng hộ và tuân thủ.</t>
  </si>
  <si>
    <t>Mức giảm trừ gia cảnh tăng đáng kể, nhưng các quy định quản lý thuế hiện tại vẫn chưa rõ ràng về công nghệ phát hiện gian lận.</t>
  </si>
  <si>
    <t>Công nghệ ngày càng phát triển, nhưng việc xử lý nghiêm các hành vi trốn thuế phụ thuộc vào sự quyết tâm của cơ quan thuế.</t>
  </si>
  <si>
    <t>Biểu thuế được đơn giản hóa từ 7 bậc xuống còn 5 bậc, giảm bớt rườm rà trong khai báo thuế.</t>
  </si>
  <si>
    <t>Cách tính thuế và các bậc thuế mới dễ hiểu hơn so với trước đây, nhưng vẫn cần thêm thời gian để quen thuộc.</t>
  </si>
  <si>
    <t>Nhà nước đã công bố rõ ràng về việc tăng giảm trừ gia cảnh, nhưng chưa đảm bảo mọi người đều được đối xử bình đẳng.</t>
  </si>
  <si>
    <t>Mức thuế mới phù hợp với thu nhập hiện tại, nhưng cần thêm minh bạch trong quy trình tính thuế.</t>
  </si>
  <si>
    <t>Tăng giảm trừ gia cảnh giúp cải thiện dịch vụ công, nhưng chưa biết rõ số tiền thuế đóng sẽ được sử dụng như thế nào.</t>
  </si>
  <si>
    <t>Công bố về sửa đổi thuế đã khá minh bạch, nhưng cần thêm thông tin chi tiết về mục tiêu chính sách mới.</t>
  </si>
  <si>
    <t>Thu nhập tăng và giảm trừ gia cảnh tốt lên giúp cải thiện cuộc sống, tuy nhiên vẫn còn nghi ngờ về thực thi chính sách.</t>
  </si>
  <si>
    <t>Tăng cường quản lý thuế và công nghệ hiện đại có thể giúp phát hiện gian lận, nhưng vẫn cần sự tuân thủ của cá nhân.</t>
  </si>
  <si>
    <t>Công nghệ tiên tiến như AI có thể hỗ trợ việc phát hiện trốn thuế hiệu quả hơn, mặc dù vẫn cần cải thiện về mặt thực thi.</t>
  </si>
  <si>
    <t>Quy trình khai báo thuế đơn giản hóa và giảm số bậc thuế giúp thuận tiện cho người nộp thuế.</t>
  </si>
  <si>
    <t>Biểu thuế đơn giản hóa và giảm số bậc thuế khiến việc tính toán thuế dễ dàng hơn.</t>
  </si>
  <si>
    <t>Niềm tin vào sự công bằng của cơ quan thuế tăng do mức giảm trừ gia cảnh cao hơn, nhưng vẫn cần kiểm soát thực thi.</t>
  </si>
  <si>
    <t>Mức thuế mới được thiết kế sao cho người có thu nhập như tôi đóng mức phù hợp với tình hình hiện tại.</t>
  </si>
  <si>
    <t>Tiền thuế đóng góp vào các dịch vụ công, nhưng cần đánh giá hiệu quả sử dụng ngân sách</t>
  </si>
  <si>
    <t>Thông tin giải thích về cải cách thuế chưa đầy đủ, mặc dù có sự cố gắng của cơ quan chức năng.</t>
  </si>
  <si>
    <t>Niềm tin và cảm giác công bằng tăng nhờ giảm trừ gia cảnh cao hơn và quy định đơn giản hơn, tuy nhiên vẫn cần thời gian để đánh giá hiệu quả thực thi.</t>
  </si>
  <si>
    <t>Mức giảm trừ gia cảnh và mức thuế suất mới có thể làm giảm gian lận, nhưng vẫn cần công nghệ phát hiện trốn thuế.</t>
  </si>
  <si>
    <t>Ngân sách và công nghệ của cơ quan thuế được đề cập trong thông tin chính sách, tuy nhiên cụ thể về khả năng phát hiện trốn thuế không rõ ràng.</t>
  </si>
  <si>
    <t>Biểu thuế từ 7 bậc xuống còn 5 bậc có thể đơn giản hơn, nhưng vẫn cần thời gian để quen với quy trình mới.</t>
  </si>
  <si>
    <t>Cách tính thuế và các bậc thuế mới dễ hiểu hơn so với trước đây, giảm độ phức tạp cho người nộp thuế.</t>
  </si>
  <si>
    <t>Nâng cao mức giảm trừ gia cảnh có thể làm tăng niềm tin vào sự công bằng của chính sách, nhưng vẫn cần nhìn nhận về cách thực thi.</t>
  </si>
  <si>
    <t>Mức thuế mới dựa trên thu nhập cá nhân, tuy nhiên việc đánh giá công bằng còn phụ thuộc vào mức độ hiểu rõ về quy định mới.</t>
  </si>
  <si>
    <t>Nâng cao mức giảm trừ gia cảnh có thể tăng niềm tin vào việc sử dụng hiệu quả số tiền thuế, nhưng vẫn cần nhìn nhận về mục tiêu chính sách.</t>
  </si>
  <si>
    <t>Thông tin về lý do và mục tiêu của chính sách mới chưa được giải thích rõ ràng trong thông tin chính thức hiện tại.</t>
  </si>
  <si>
    <t>Thu nhập của tôi tăng, mức giảm trừ gia cảnh cao hơn có thể làm giảm gánh nặng thuế, nhưng vẫn cần cân nhắc về quy định mới và khả năng tuân thủ.</t>
  </si>
  <si>
    <t>Quy định quản lý thuế hiện nay có nhiều cải tiến, tăng cường khả năng phát hiện hành vi gian lận. Công nghệ cũng được ứng dụng để tăng hiệu quả quản lý.</t>
  </si>
  <si>
    <t>Nhà nước và cơ quan thuế đã đầu tư công nghệ tiên tiến để phát hiện trốn thuế, đồng thời có hệ thống luật pháp mạnh mẽ để xử lý nghiêm minh.</t>
  </si>
  <si>
    <t>Mức giảm trừ gia cảnh tăng và đơn giản hóa biểu thuế giúp việc khai báo dễ dàng hơn. Tuy nhiên, quy trình làm việc với cơ quan thuế vẫn còn phức tạp.</t>
  </si>
  <si>
    <t>Biểu thuế mới đơn giản hơn so với trước đây, nhưng cách tính thuế vẫn chưa quá rõ ràng đối với người dân.</t>
  </si>
  <si>
    <t>Nhà nước và cơ quan thuế đã thể hiện sự công bằng trong việc áp dụng các quy định mới. Người nộp thuế được đối xử bình đẳng hơn.</t>
  </si>
  <si>
    <t>Mức thuế mới có thể coi là hợp lý, nhưng vẫn cần thêm thời gian để đánh giá về hiệu quả của chính sách mới.</t>
  </si>
  <si>
    <t>Đây là một bước tiến trong việc sử dụng số tiền thuế đóng vào các dịch vụ công, nhưng còn nhiều khía cạnh cần cải thiện.</t>
  </si>
  <si>
    <t>Công bố thông tin về chính sách mới không đầy đủ và chưa rõ ràng đối với người dân. Cần thêm giải thích từ cơ quan chức năng.</t>
  </si>
  <si>
    <t>Chính sách mới mang lại nhiều lợi ích cho người nộp thuế, nhưng vẫn còn nhiều khía cạnh phức tạp cần cân nhắc kỹ lưỡng trước khi tuân thủ.</t>
  </si>
  <si>
    <t>Các quy định quản lý thuế hiện nay khá chặt chẽ, với sự hỗ trợ của công nghệ, khả năng phát hiện trốn thuế cao hơn trước. Đây là biện pháp hiệu quả để ngăn chặn hành vi gian lận.</t>
  </si>
  <si>
    <t>Công nghệ ngày càng phát triển giúp cơ quan thuế có thể theo dõi và xử lý nghiêm các trường hợp trốn thuế một cách nhanh chóng và chính xác hơn. Đây là minh chứng rõ ràng về khả năng thực thi.</t>
  </si>
  <si>
    <t>Biểu thuế đơn giản hóa từ 7 bậc xuống còn 5 bậc, cùng với mức giảm trừ gia cảnh tăng lên giúp thủ tục khai báo trở nên dễ dàng và nhanh chóng hơn. Việc này làm giảm gánh nặng công việc cho người nộp thuế.</t>
  </si>
  <si>
    <t>Cách tính thuế mới đơn giản hóa các bậc thuế, tăng sự rõ ràng và minh bạch giúp người dân dễ dàng nắm bắt và áp dụng. Điều này làm giảm rào cản trong việc thực hiện nghĩa vụ của mình.</t>
  </si>
  <si>
    <t>Nhà nước đã cải cách để đảm bảo công bằng hơn, với mức giảm trừ gia cảnh tăng lên cùng các bậc thuế mới. Đây là minh chứng cho sự khách quan và công tâm trong việc thực thi chính sách.</t>
  </si>
  <si>
    <t>Mức thuế mới được thiết kế dựa trên thu nhập, đảm bảo người có thu nhập thấp bị ảnh hưởng ít hơn. Điều này thể hiện tính công bằng của chính sách đối với mọi người nộp thuế.</t>
  </si>
  <si>
    <t>Tăng cường mức giảm trừ gia cảnh và đơn giản hóa biểu thuế giúp số tiền thuế được sử dụng hiệu quả hơn để cải thiện dịch vụ công. Điều này làm tăng niềm tin vào việc sử dụng nguồn thu một cách minh bạch.</t>
  </si>
  <si>
    <t>Các thông cáo báo chí và tài liệu giải thích rõ ràng về mục tiêu của chính sách mới, giúp người dân hiểu được lý do và mục đích. Điều này tăng tính minh bạch và trách nhiệm với công chúng.</t>
  </si>
  <si>
    <t>Sau khi xem xét các quyền lợi và nghĩa vụ, tôi thấy việc cải cách thuế có nhiều ưu điểm như giảm gánh nặng thuế và tăng mức giảm trừ gia cảnh. Điều này khiến tôi sẵn sàng tuân thủ chính sách mới.</t>
  </si>
  <si>
    <t>Các quy định quản lý thuế hiện nay được cải thiện với mức giảm trừ gia cảnh cao hơn, giúp phát hiện gian lận dễ dàng hơn.</t>
  </si>
  <si>
    <t>Việc sử dụng công nghệ tiên tiến trong quản lý thuế và phát hiện trốn thuế tăng cường khả năng của nhà nước.</t>
  </si>
  <si>
    <t>Mức giảm trừ gia cảnh tăng, cùng với việc đơn giản hóa biểu thuế làm cho thủ tục khai báo thuế dễ dàng hơn.</t>
  </si>
  <si>
    <t>Biểu thuế mới đơn giản và rõ ràng hơn so với trước đây, giúp người dân hiểu và áp dụng dễ dàng.</t>
  </si>
  <si>
    <t>Nhà nước đã cải thiện công bằng trong việc phân phối thuế thông qua mức giảm trừ gia cảnh cao hơn.</t>
  </si>
  <si>
    <t>Mức thuế mới được thiết kế để hợp lý cho thu nhập hiện tại, tạo cảm giác công bằng.</t>
  </si>
  <si>
    <t>Thuế được sử dụng hiệu quả trong cải thiện dịch vụ công như y tế và giao thông.</t>
  </si>
  <si>
    <t>Nhà nước đã giải thích rõ ràng về mục tiêu của chính sách thuế mới, tạo niềm tin.</t>
  </si>
  <si>
    <t>Cải cách thuế mang lại lợi ích tài chính và thủ tục đơn giản hơn, tăng khả năng tuân thủ.</t>
  </si>
  <si>
    <t>Theo quy định mới, mức giảm trừ gia cảnh tăng lên đáng kể và biểu thuế đơn giản hơn, nhưng việc phát hiện trốn thuế vẫn phụ thuộc nhiều vào công nghệ và khả năng của cơ quan thuế. Có một số rủi ro liên quan đến việc quản lý dữ liệu.</t>
  </si>
  <si>
    <t>Công nghệ hiện đại như AI, big data có thể giúp phát hiện trốn thuế hiệu quả hơn, nhưng vẫn cần sự kết hợp với hệ thống quản lý mạnh mẽ. Cơ quan thuế đã đầu tư vào công nghệ và nhân lực để cải thiện khả năng giám sát.</t>
  </si>
  <si>
    <t>Thủ tục khai báo thuế và quy trình làm việc với cơ quan thuế được đơn giản hóa, giảm số bậc thuế từ 7 xuống còn 5. Điều này giúp người dân dễ dàng hơn trong quá trình nộp thuế.</t>
  </si>
  <si>
    <t>Cách tính thuế và các bậc thuế mới đơn giản hơn so với trước đây, giúp người nộp thuế hiểu rõ hơn về mức thuế phải đóng.</t>
  </si>
  <si>
    <t>Mức giảm trừ gia cảnh tăng lên đáng kể, giúp người dân tiết kiệm tiền thuế. Cơ quan thuế cũng đã công bố minh bạch các quy định mới. Tuy nhiên, vẫn có những lo ngại về việc thực thi.</t>
  </si>
  <si>
    <t>Mức thuế mới được thiết kế dựa trên thu nhập, thể hiện tính công bằng. Người dân nhận thấy mức thuế phải đóng là phù hợp với tình hình tài chính của họ.</t>
  </si>
  <si>
    <t>Nhà nước đã sử dụng hiệu quả số tiền thuế được thu vào các dịch vụ công như y tế, giao thông. Điều này giúp người dân tin rằng việc đóng thuế là hữu ích và hợp lý.</t>
  </si>
  <si>
    <t>Cơ quan thuế đã giải thích rõ ràng về mục tiêu của chính sách mới qua các kênh truyền thông, nhưng vẫn có một số không đồng ý vì cảm giác rằng thông tin chưa đầy đủ.</t>
  </si>
  <si>
    <t>Dù mức thuế giảm và quy trình nộp thuế đơn giản hơn, nhưng do nhiều yếu tố như sự phức tạp trong quản lý thuế, tôi quyết định ủng hộ chính sách mới với điều kiện.</t>
  </si>
  <si>
    <t>Công nghệ hiện đại giúp phát hiện trốn thuế dễ dàng hơn, đặc biệt là với mức giảm trừ gia cảnh cao hơn.</t>
  </si>
  <si>
    <t>Nhà nước và cơ quan thuế đã đầu tư vào công nghệ để cải thiện khả năng giám sát và xử lý trốn thuế hiệu quả hơn.</t>
  </si>
  <si>
    <t>Mức giảm trừ gia cảnh cao hơn giúp người nộp thuế đơn giản hóa quy trình khai báo, nhưng thủ tục vẫn cần cải tiến.</t>
  </si>
  <si>
    <t>Biểu thuế được đơn giản hóa, giảm số bậc từ 7 xuống 5, làm việc tính toán và hiểu rõ hơn về thuế của mình.</t>
  </si>
  <si>
    <t>Giảm trừ gia cảnh cao hơn có thể mang lại niềm tin rằng chính sách mới công bằng đối với mọi người nộp thuế.</t>
  </si>
  <si>
    <t>Mức thuế mới được thiết kế để hợp lý hóa theo thu nhập, tạo cảm giác công bằng cho người dân.</t>
  </si>
  <si>
    <t>Giảm trừ gia cảnh cao hơn và mức thuế hợp lý có thể mang lại niềm tin rằng số tiền đóng sẽ được sử dụng hiệu quả để cải thiện dịch vụ công.</t>
  </si>
  <si>
    <t>Thông qua các kênh truyền thông, chính phủ đã giải thích rõ ràng về mục tiêu của việc sửa đổi thuế lần này, tạo niềm tin cho người dân.</t>
  </si>
  <si>
    <t>Sau khi xem xét mức giảm trừ gia cảnh cao hơn và mức thuế hợp lý, tôi có thể ủng hộ chính sách mới với điều kiện cơ quan thuế cải thiện thủ tục làm việc.</t>
  </si>
  <si>
    <t>Nhà nước đã tăng cường các biện pháp quản lý thuế, có thể phát hiện và xử lý gian lận dễ dàng hơn.</t>
  </si>
  <si>
    <t>Công nghệ ngày càng tiên tiến, cơ quan thuế có khả năng sử dụng công nghệ để theo dõi và phát hiện trốn thuế một cách hiệu quả.</t>
  </si>
  <si>
    <t>Các quy định về giảm trừ gia cảnh và biểu thuế đơn giản hơn, giúp quá trình khai báo trở nên dễ dàng hơn.</t>
  </si>
  <si>
    <t>Biểu thuế mới với ít bậc hơn tạo cảm giác dễ hiểu và thực hiện hơn so với trước đây.</t>
  </si>
  <si>
    <t>Nhu cầu giảm gian lận và trốn thuế tăng lên, nên cơ quan thuế sẽ cần phải công bằng trong việc thực thi.</t>
  </si>
  <si>
    <t>Thuế suất mới được thiết kế sao cho phù hợp với thu nhập cá nhân, tạo cảm giác công bằng khi đóng thuế.</t>
  </si>
  <si>
    <t>Dù chưa rõ ràng về việc sử dụng số tiền thuế, nhưng các biện pháp quản lý mới có thể giúp tăng niềm tin vào hiệu quả sử dụng.</t>
  </si>
  <si>
    <t>Thông tin về cải cách thuế được truyền thông một cách ngắn gọn và dễ hiểu, tạo cảm giác minh bạch hơn.</t>
  </si>
  <si>
    <t>Tổng hợp các yếu tố trên, tôi ủng hộ chính sách mới với cam kết giảm gian lận và trốn thuế.</t>
  </si>
  <si>
    <t>Biện pháp quản lý thuế mới có nhiều cải tiến, tăng cường giám sát và xử lý nghiêm các hành vi gian lận.</t>
  </si>
  <si>
    <t>Công nghệ hiện đại được áp dụng giúp phát hiện trốn thuế hiệu quả hơn, cùng với sự kiên quyết của cơ quan thuế.</t>
  </si>
  <si>
    <t>Mức giảm trừ gia cảnh cao hơn và số bậc thuế ít đi tạo thuận lợi trong khai báo thuế.</t>
  </si>
  <si>
    <t>Cách tính thuế đơn giản, dễ hiểu hơn so với trước đây.</t>
  </si>
  <si>
    <t>Nhà nước đã cải thiện quản lý thuế, công bằng trong việc áp dụng các quy định cho mọi người nộp thuế.</t>
  </si>
  <si>
    <t>Mức thuế mới được thiết kế cân nhắc giữa thu nhập và trách nhiệm thuế.</t>
  </si>
  <si>
    <t>Thuế đóng góp vào việc cải thiện dịch vụ công, tạo niềm tin trong quản lý tài chính của Nhà nước.</t>
  </si>
  <si>
    <t>Nhà nước đã cung cấp thông tin đầy đủ về mục tiêu và lý do của các thay đổi thuế.</t>
  </si>
  <si>
    <t>Các quyền lợi mới và sự minh bạch cao tạo động lực cho việc ủng hộ và tuân thủ chính sách mới.</t>
  </si>
  <si>
    <t>Các quy định quản lý thuế hiện nay có nhiều cải tiến, đặc biệt là việc tăng cường công nghệ và nguồn lực. Tuy nhiên, vẫn còn nhiều thách thức trong việc phát hiện trốn thuế.</t>
  </si>
  <si>
    <t>Nhà nước đã đầu tư vào các công cụ công nghệ để phát hiện trốn thuế hiệu quả hơn. Việc sử dụng công nghệ giúp giảm khả năng trốn tránh.</t>
  </si>
  <si>
    <t>Mức giảm trừ gia cảnh tăng đáng kể, thủ tục khai báo thuế đơn giản hơn và các quy trình làm việc với cơ quan thuế được cải tiến. Điều này làm cho quá trình khai báo trở nên thuận tiện hơn.</t>
  </si>
  <si>
    <t>Biểu thuế đơn giản hóa từ 7 bậc xuống còn 5 bậc, giảm bớt sự phức tạp và dễ hiểu hơn so với trước đây. Cách tính thuế mới cũng rõ ràng hơn.</t>
  </si>
  <si>
    <t>Nhà nước đã thực hiện các cải cách để đảm bảo khách quan và công bằng trong việc áp dụng chính sách thuế, nhưng vẫn có sự đa dạng về quan điểm đối với từng cá nhân.</t>
  </si>
  <si>
    <t>Mức thuế mới được thiết kế dựa trên thu nhập, tạo cảm giác công bằng. Tuy nhiên, do không phải là người thuộc nhóm thu nhập cao nên mức thuế này chưa quá thuyết phục.</t>
  </si>
  <si>
    <t>Thuê đóng góp vào việc cải thiện dịch vụ công, nhưng cần thời gian để thấy kết quả thực tế. Việc tăng giảm trừ gia cảnh giúp số tiền thuế hợp lý hơn so với trước đây.</t>
  </si>
  <si>
    <t>Nhà nước đã giải thích về mục tiêu của cải cách thuế, nhưng thông tin cần rõ ràng và minh bạch hơn nữa để thuyết phục người dân.</t>
  </si>
  <si>
    <t>Sau khi xem xét các quyền lợi mới, tôi thấy có sự cải thiện đáng kể. Tuy nhiên, do mức thuế mới chưa quá thuyết phục nên quyết định tuân thủ còn phụ thuộc vào thực tế vận hành.</t>
  </si>
  <si>
    <t>Các quy định quản lý thuế hiện nay đã được cải thiện đáng kể, với việc tăng mức giảm trừ gia cảnh và đơn giản hóa biểu thuế. Điều này làm giảm khả năng trốn thuế và giúp phát hiện hành vi gian lận dễ dàng hơn.</t>
  </si>
  <si>
    <t>Với sự phát triển của công nghệ, các cơ quan thuế có thể áp dụng nhiều phương pháp tiên tiến để phát hiện và xử lý nghiêm minh các trường hợp trốn thuế. Tuy nhiên, hiệu quả thực tế vẫn phụ thuộc vào nguồn lực và chính sách quản lý.</t>
  </si>
  <si>
    <t>Thủ tục khai báo thuế đã đơn giản hơn với việc rút gọn biểu thuế từ 7 bậc xuống còn 5 bậc. Điều này giúp người dân dễ dàng làm việc với cơ quan thuế hơn so với trước đây.</t>
  </si>
  <si>
    <t>Cách tính thuế và các bậc thuế mới đơn giản hóa quy trình tính toán, tăng cường sự minh bạch cho người nộp thuế. Điều này giúp giảm rủi ro sai sót và dễ hiểu hơn.</t>
  </si>
  <si>
    <t>Nhà nước đã cải thiện mức giảm trừ gia cảnh, làm giảm gánh nặng thuế đối với nhiều cá nhân. Sự công bằng trong việc áp dụng các quy định mới cũng tăng lên.</t>
  </si>
  <si>
    <t>Người thu nhập trung bình như tôi thấy mức thuế mới là hợp lý và công bằng, phù hợp với thu nhập hiện tại sau khi đã được giảm trừ gia cảnh.</t>
  </si>
  <si>
    <t>Sau khi cải thiện, số tiền thuế đóng sẽ được sử dụng hiệu quả hơn để cải thiện các dịch vụ công như y tế và giao thông. Điều này tăng niềm tin vào việc sử dụng nguồn lực một cách minh bạch.</t>
  </si>
  <si>
    <t>Nhà nước đã giải thích rõ ràng về sự thay đổi thuế, lý do và mục tiêu của chính sách mới. Tuy nhiên, hiệu quả thực tế trong việc cải thiện dịch vụ công vẫn cần thời gian để đánh giá.</t>
  </si>
  <si>
    <t>Bài toán giữa lợi ích và nghĩa vụ đã cân nhắc kỹ. Các cải cách thuế đã giảm gánh nặng tài chính cho tôi, tạo ra sự ủng hộ cho chính sách mới. Tuy nhiên, vẫn cần thêm thời gian để thấy được kết quả thực tế.</t>
  </si>
  <si>
    <t>Hiện nay, với mức giảm trừ gia cảnh tăng lên và việc đơn giản hóa quy trình khai báo thuế, khả năng phát hiện gian lận hoặc trốn thuế sẽ trở nên khó khăn hơn. Tuy nhiên, cơ quan thuế đã và đang có nhiều công nghệ tiên tiến để phát hiện hành vi này.</t>
  </si>
  <si>
    <t>Như đã đề cập ở trên, các quy định quản lý thuế mới có thể làm giảm khả năng phát hiện gian lận. Tuy nhiên, Nhà nước và cơ quan thuế vẫn được đánh giá cao về khả năng ứng dụng công nghệ để xử lý nghiêm minh.</t>
  </si>
  <si>
    <t>Mức độ thuận tiện của thủ tục khai báo thuế đã tăng lên với sự đơn giản hóa biểu thuế. Tuy nhiên, việc áp dụng mức giảm trừ gia cảnh mới có thể làm phức tạp quy trình một chút.</t>
  </si>
  <si>
    <t>Biểu thuế mới đã đơn giản hóa từ 7 bậc xuống còn 5 bậc, giúp người nộp thuế dễ hiểu và thực hiện hơn. Điều này tạo ra sự minh bạch và dễ dàng trong quá trình tính thuế.</t>
  </si>
  <si>
    <t>Nếu tôi được hưởng mức giảm trừ gia cảnh cao hơn và mức thuế mới công bằng đối với thu nhập của mình, tôi sẽ tin tưởng rằng Nhà nước sẽ thực thi chính sách một cách khách quan. Tuy nhiên, việc gian lận vẫn có thể xảy ra.</t>
  </si>
  <si>
    <t>Mức thuế mới được thiết kế để công bằng đối với thu nhập của tôi. Điều này tăng niềm tin rằng mức thuế mà tôi phải đóng là hợp lý.</t>
  </si>
  <si>
    <t>Nếu số tiền thuế tôi đóng sẽ được sử dụng hiệu quả để cải thiện dịch vụ công, tôi sẽ cảm thấy hài lòng và tin tưởng hơn. Tuy nhiên, việc thực hiện mục tiêu này phụ thuộc vào nhiều yếu tố.</t>
  </si>
  <si>
    <t>Đối với người trẻ tuổi như tôi, thông tin về các thay đổi thuế được truyền đạt một cách rõ ràng và minh bạch. Điều này giúp tôi hiểu lý do và mục tiêu của việc sửa đổi thuế.</t>
  </si>
  <si>
    <t>Chính sách mới có lợi cho tôi với mức giảm trừ gia cảnh cao hơn, đơn giản hóa biểu thuế và khả năng phát hiện gian lận được cải thiện. Điều này khiến tôi sẵn sàng tuân thủ chính sách.</t>
  </si>
  <si>
    <t>Với mức giảm trừ gia cảnh tăng mạnh, các quy định quản lý thuế cũng sẽ được cập nhật để phát hiện gian lận. Điều này làm giảm khả năng trốn thuế.</t>
  </si>
  <si>
    <t>Công nghệ hiện đại ngày càng phát triển giúp Nhà nước và cơ quan thuế có thể phát hiện nhanh chóng các hành vi trốn thuế, đồng thời xử lý nghiêm minh.</t>
  </si>
  <si>
    <t>Biểu thuế đơn giản hơn với số bậc giảm từ 7 xuống còn 5, cùng mức giảm trừ gia cảnh cao hơn giúp quy trình khai báo thuế dễ dàng và nhanh chóng hơn.</t>
  </si>
  <si>
    <t>Cách tính thuế mới đơn giản với số bậc giảm từ 7 xuống 5, phù hợp hơn với thực tế kinh doanh cá nhân.</t>
  </si>
  <si>
    <t>Mức giảm trừ gia cảnh cao và các quy định quản lý thuế rõ ràng giúp đảm bảo công bằng trong việc đánh thuế đối với người nộp thuế.</t>
  </si>
  <si>
    <t>Lệ phí thuế mới có thể coi là hợp lý so với thu nhập, tạo cảm giác công bằng khi đóng thuế</t>
  </si>
  <si>
    <t>Thuê được sử dụng cho các dịch vụ công như y tế và giao thông, do đó tôi tin rằng số tiền đóng góp của mình sẽ mang lại lợi ích cụ thể.</t>
  </si>
  <si>
    <t>Các giải thích về lý do và mục tiêu của việc sửa đổi thuế chưa rõ ràng như mong đợi. Tuy nhiên, mức giảm trừ gia cảnh cao đã phần nào thuyết phục tôi.</t>
  </si>
  <si>
    <t>Sau cân nhắc giữa lợi ích và nghĩa vụ, tôi thấy chính sách mới có tính khả thi và công bằng, do đó sẵn sàng tuân thủ.</t>
  </si>
  <si>
    <t>Biện pháp quản lý thuế được cải thiện, đặc biệt là về mức giảm trừ gia cảnh và đơn giản hóa biểu thuế, sẽ làm giảm cơ hội trốn thuế. Công nghệ hiện đại cũng giúp phát hiện dễ dàng hơn.</t>
  </si>
  <si>
    <t>Công nghệ quản lý thuế mới đã được triển khai, đồng thời quy định về quản lý thuế ngày càng chặt chẽ hơn, giảm cơ hội trốn thuế.</t>
  </si>
  <si>
    <t>Số bậc thuế được rút gọn từ 7 xuống còn 5, cùng với mức giảm trừ gia cảnh cao hơn, làm cho quy trình khai báo thuế đơn giản và nhanh chóng hơn.</t>
  </si>
  <si>
    <t>Mức thuế mới được đơn giản hóa, phù hợp với nhiều trường hợp người nộp thuế, dễ hiểu và thực hiện hơn so với trước đây.</t>
  </si>
  <si>
    <t>Việc cải cách thuế đã minh bạch hơn về mặt quy định, tạo niềm tin cho người dân rằng chính sách mới sẽ được thực thi công bằng.</t>
  </si>
  <si>
    <t>Mức thuế mới phù hợp với thu nhập của tôi và được tính dựa trên các bậc thuế đơn giản hơn, nên tôi thấy là công bằng.</t>
  </si>
  <si>
    <t>Số tiền thuế mà tôi đóng sẽ được sử dụng hiệu quả cho dịch vụ công như y tế, giao thông,...</t>
  </si>
  <si>
    <t>Nhà nước đã cung cấp thông tin đầy đủ về lý do và mục tiêu của việc cải cách thuế, giúp tôi hiểu rõ hơn.</t>
  </si>
  <si>
    <t>Sau khi xem xét các quyền lợi từ chính sách mới, tôi sẽ ủng hộ nó vì mức thuế phù hợp với thu nhập hiện tại và quy trình khai báo đơn giản hơn.</t>
  </si>
  <si>
    <t>Việc tăng mức giảm trừ gia cảnh và đơn giản hóa biểu thuế có thể làm cho việc kiểm soát thuế trở nên phức tạp hơn, nhưng với sự phát triển công nghệ, khả năng phát hiện trốn thuế vẫn được cải thiện.</t>
  </si>
  <si>
    <t>Công nghệ hiện đại như AI và Big Data đã giúp cơ quan thuế có thể phân tích và theo dõi nhiều thông tin hơn, từ đó phát hiện hành vi gian lận hoặc trốn thuế một cách hiệu quả.</t>
  </si>
  <si>
    <t>Mức giảm trừ gia cảnh cao hơn và số bậc thuế ít hơn có thể làm cho việc khai báo thuế trở nên đơn giản, tiện lợi hơn so với trước đây.</t>
  </si>
  <si>
    <t>Số bậc thuế được đơn giản hóa từ 7 xuống còn 5 có thể làm giảm sự phức tạp trong việc tính thuế, giúp người dân dễ hiểu và thực hiện.</t>
  </si>
  <si>
    <t>Việc tăng mức giảm trừ gia cảnh và đơn giản hóa biểu thuế có thể tạo ra cảm giác công bằng giữa các đối tượng nộp thuế khác nhau.</t>
  </si>
  <si>
    <t>Các bậc thuế mới được thiết kế dựa trên thu nhập, điều này có thể làm cho mức thuế mà tôi phải đóng trở nên hợp lý hơn so với trước đây.</t>
  </si>
  <si>
    <t>Mức giảm trừ gia cảnh cao hơn và đơn giản hóa biểu thuế có thể tạo ra cảm giác rằng tiền thuế của tôi sẽ được sử dụng hiệu quả để cải thiện dịch vụ công.</t>
  </si>
  <si>
    <t>Thông tin về việc tăng mức giảm trừ gia cảnh và đơn giản hóa biểu thuế đã được truyền tải một cách rõ ràng, giúp tôi hiểu lý do và mục tiêu của chính sách mới.</t>
  </si>
  <si>
    <t>Việc giảm gánh nặng thuế và cải thiện thuận tiện trong khai báo thuế có thể làm tăng khả năng tuân thủ của tôi đối với chính sách mới, mặc dù vẫn còn nghi ngờ về cách sử dụng tiền thuế.</t>
  </si>
  <si>
    <t>Biện pháp quản lý thuế mạnh mẽ hơn với mức giảm trừ gia cảnh cao, nhưng cần xem xét khả năng thực thi.</t>
  </si>
  <si>
    <t>Công nghệ hiện đại có thể hỗ trợ phát hiện trốn thuế hiệu quả, nhưng vẫn phụ thuộc vào khả năng quản lý của cơ quan thuế.</t>
  </si>
  <si>
    <t>Thủ tục đơn giản hơn với số bậc thuế giảm, tạo thuận lợi cho người nộp thuế.</t>
  </si>
  <si>
    <t>Cách tính thuế mới rõ ràng, dễ hiểu và thực hiện thuận tiện hơn so với trước đây.</t>
  </si>
  <si>
    <t>Nhà nước đã cải thiện công bằng thông qua mức giảm trừ gia cảnh cao, tạo niềm tin trong việc xử lý bình đẳng.</t>
  </si>
  <si>
    <t>Mức thuế mới dựa trên thu nhập cá nhân phù hợp với quy định hiện tại, thấy được tính công bằng.</t>
  </si>
  <si>
    <t>Tin rằng tiền thuế đóng góp vào việc cải thiện dịch vụ công, nhưng cần xem xét hiệu quả thực tế trong tương lai.</t>
  </si>
  <si>
    <t>Các giải thích về mục tiêu cải cách thuế rõ ràng hơn so với trước đây, tạo sự tin tưởng.</t>
  </si>
  <si>
    <t>Nhìn chung các quyền lợi và nghĩa vụ được cân nhắc kỹ lưỡng, quyết định ủng hộ chính sách mới.</t>
  </si>
  <si>
    <t>Tăng mức giảm trừ gia cảnh và đơn giản hóa biểu thuế có thể làm giảm cơ hội trốn thuế, nhưng vẫn phụ thuộc vào khả năng phát hiện của cơ quan thuế.</t>
  </si>
  <si>
    <t>Công nghệ ngày càng tiên tiến, tuy nhiên, việc phát hiện và xử lý trốn thuế còn phụ thuộc vào nguồn lực và quyết tâm của cơ quan thuế.</t>
  </si>
  <si>
    <t>Mức giảm trừ gia cảnh tăng, đơn giản hóa biểu thuế có thể làm cho thủ tục khai báo dễ dàng hơn, nhưng vẫn cần cải tiến nhiều để thực sự tiện lợi.</t>
  </si>
  <si>
    <t>Biểu thuế được đơn giản hóa từ 7 bậc xuống còn 5 bậc, giảm số lượng tính toán và dễ hiểu hơn so với trước đây.</t>
  </si>
  <si>
    <t>Mức giảm trừ gia cảnh tăng, đơn giản hóa biểu thuế có thể làm cho người dân cảm thấy công bằng trong việc đóng thuế.</t>
  </si>
  <si>
    <t>Đơn giản hóa biểu thuế và mức giảm trừ gia cảnh có thể tạo ra sự công bằng hơn so với trước đây, nhưng vẫn cần thời gian để kiểm chứng hiệu quả thực tế.</t>
  </si>
  <si>
    <t>Mức giảm trừ gia cảnh tăng, đơn giản hóa biểu thuế có thể làm cho người dân cảm thấy số tiền đóng góp vào dịch vụ công của họ được sử dụng một cách hiệu quả hơn.</t>
  </si>
  <si>
    <t>Thông tin về cải cách thuế còn khá hạn chế, nên chưa tạo ra sự thuyết phục lớn đối với người dân.</t>
  </si>
  <si>
    <t>Tăng mức giảm trừ gia cảnh và đơn giản hóa biểu thuế có thể tăng sự ủng hộ và tuân thủ chính sách, nhưng vẫn cần thời gian để kiểm chứng hiệu quả thực tế.</t>
  </si>
  <si>
    <t>Mức giảm trừ gia cảnh tăng, điều này làm giảm gánh nặng thuế cho người dân và tạo thêm cơ sở để phát hiện trốn thuế. Tuy nhiên, quy định quản lý thuế vẫn còn nhiều phức tạp.</t>
  </si>
  <si>
    <t>Công nghệ đã được áp dụng trong quản lý thuế nhưng vẫn cần cải thiện để phát hiện và xử lý trốn thuế một cách hiệu quả hơn.</t>
  </si>
  <si>
    <t>Đơn giản hóa biểu thuế và tăng giảm trừ gia cảnh làm các thủ tục khai báo thuế trở nên dễ dàng hơn. Tuy nhiên, quy trình làm việc với cơ quan thuế vẫn còn nhiều rắc rối.</t>
  </si>
  <si>
    <t>Cách tính thuế mới đơn giản và rõ ràng hơn so với trước đây, nhưng sự thay đổi này không ảnh hưởng đáng kể đến mức thuế phải đóng.</t>
  </si>
  <si>
    <t>Giảm trừ gia cảnh tăng làm giảm gánh nặng thuế cho người dân. Tuy nhiên, mức thuế suất và ngưỡng chịu thuế vẫn chưa thay đổi nhiều nên không tạo ra sự công bằng rõ ràng.</t>
  </si>
  <si>
    <t>Mức thuế mới được thiết kế để hợp lý với thu nhập hiện tại nhưng tôi vẫn lo ngại về khả năng thực thi chính sách.</t>
  </si>
  <si>
    <t>Tăng giảm trừ gia cảnh và đơn giản hóa biểu thuế làm số tiền thuế đóng trở nên công bằng hơn. Tuy nhiên, cải cách chưa tạo ra sự khác biệt lớn trong việc sử dụng nguồn thu cho dịch vụ công.</t>
  </si>
  <si>
    <t>Chính phủ đã giải thích về mục tiêu cải cách nhưng vẫn cần làm rõ hơn để thuyết phục người dân. Thông tin chính sách chưa đủ minh bạch, nhất là đối với nhóm tuổi trung niên và cao tuổi.</t>
  </si>
  <si>
    <t>Cải cách thuế đã tạo ra lợi ích về mặt giảm trừ gia cảnh nhưng gánh nặng thuế vẫn còn. Tôi sẽ tuân thủ chính sách mới vì lợi ích cá nhân, song vẫn giữ thái độ thận trọng đối với sự công bằng và minh bạch trong thực thi.</t>
  </si>
  <si>
    <t>Tăng mức giảm trừ gia cảnh và đơn giản hóa biểu thuế có thể làm giảm cơ hội trốn thuế, nhưng khả năng phát hiện và xử lý vẫn phụ thuộc vào công nghệ và quy định quản lý.</t>
  </si>
  <si>
    <t>Công nghệ ngày càng phát triển, khả năng phát hiện trốn thuế có thể được cải thiện. Tuy nhiên, hiệu quả thực tế còn cần thời gian để chứng minh.</t>
  </si>
  <si>
    <t>Mức giảm trừ gia cảnh cao hơn và đơn giản hóa biểu thuế tạo thuận lợi cho việc khai báo thuế. Việc này làm quá trình trở nên dễ dàng hơn.</t>
  </si>
  <si>
    <t>Biểu thuế đã được đơn giản hóa từ 7 bậc xuống còn 5, giảm bớt rắc rối và tăng sự hiểu biết về thuế của người dân.</t>
  </si>
  <si>
    <t>Mức độ tin tưởng vào cơ quan thuế cao hơn do các quy định minh bạch và công bằng. Tuy nhiên, vẫn cần thời gian để chứng minh thực thi khách quan.</t>
  </si>
  <si>
    <t>Lưu ý rằng mức thuế mới có thể khác nhau tùy theo thu nhập cá nhân. Điều này làm giảm sự công bằng trong việc đánh giá mức độ tin tưởng.</t>
  </si>
  <si>
    <t>Niềm tin vào việc sử dụng số tiền thuế đóng để cải thiện dịch vụ công đã tăng lên, nhưng vẫn cần thời gian chứng minh hiệu quả thực tế của việc sử dụng nguồn thu.</t>
  </si>
  <si>
    <t>Tăng mức giảm trừ gia cảnh và đơn giản hóa biểu thuế tạo thuận lợi cho việc hiểu rõ về lý do và mục tiêu của chính sách. Tuy nhiên, vẫn cần cải thiện trong việc truyền thông.</t>
  </si>
  <si>
    <t>Niềm tin vào cơ quan thuế đã tăng lên nhờ các thay đổi tích cực. Mức độ ủng hộ cao do giảm gánh nặng thuế và thuận lợi hơn cho người nộp thuế, nhưng vẫn cần thời gian để chứng minh sự tuân thủ.</t>
  </si>
  <si>
    <t>Tăng mức giảm trừ gia cảnh có thể làm giảm gánh nặng thuế cho người dân, nhưng việc phát hiện và xử lý trốn thuế phụ thuộc nhiều vào công nghệ quản lý. Công nghệ hiện nay đã khá tiên tiến, nhưng vẫn cần cải thiện.</t>
  </si>
  <si>
    <t>Công nghệ quản lý thuế đang ngày càng được đầu tư và phát triển mạnh mẽ, đồng thời Nhà nước cũng có nhiều biện pháp để tăng cường kiểm soát trốn thuế. Công nghệ giúp việc phát hiện gian lận trở nên dễ dàng hơn.</t>
  </si>
  <si>
    <t>Biểu thuế được đơn giản hóa từ 7 bậc xuống còn 5 bậc, làm giảm sự phức tạp và tăng tính minh bạch. Việc khai báo thuế cũng thuận tiện hơn với các quy định rõ ràng.</t>
  </si>
  <si>
    <t>Cách tính thuế mới đơn giản hóa từ 7 bậc xuống 5, giúp người dân hiểu rõ và thực hiện dễ dàng hơn. Tuy nhiên, việc áp dụng vẫn cần thời gian để mọi người quen thuộc.</t>
  </si>
  <si>
    <t>Nâng mức giảm trừ gia cảnh có thể tạo niềm tin về tính công bằng của chính sách mới. Tuy nhiên, niềm tin hoàn toàn phụ thuộc vào cách thực thi và minh bạch trong quản lý thuế.</t>
  </si>
  <si>
    <t>Mức thuế mới được thiết kế dựa trên thu nhập, tạo cảm giác công bằng cho người nộp thuế. Tuy nhiên, cần thời gian để đánh giá hiệu quả thực tế của chính sách mới.</t>
  </si>
  <si>
    <t>Nâng mức giảm trừ gia cảnh và đơn giản hóa biểu thuế có thể tạo niềm tin về việc sử dụng hiệu quả nguồn thu thuế. Tuy nhiên, cần thời gian để đánh giá thực tế</t>
  </si>
  <si>
    <t>Cải cách thuế mới đi kèm với nhiều giải thích từ cơ quan thuế, nhưng mức độ thuyết phục vẫn phụ thuộc vào sự minh bạch và rõ ràng trong thông tin.</t>
  </si>
  <si>
    <t>Chính sách mới giúp giảm gánh nặng thuế cho người dân và tạo cảm giác công bằng. Tuy nhiên, quyết định tuân thủ còn dựa trên nhiều yếu tố như niềm tin và hiểu biết về chính sách.</t>
  </si>
  <si>
    <t>Dựa trên các cải cách hiện đại hóa quản lý thuế, tôi tin rằng việc phát hiện gian lận sẽ trở nên dễ dàng hơn. Luật mới cũng tăng cường tính minh bạch.</t>
  </si>
  <si>
    <t>Công nghệ ngày càng tiên tiến và cơ quan thuế có nhiều nguồn lực để giám sát, nhưng vẫn cần sự cải cách về công nghệ để tối ưu hóa hiệu quả.</t>
  </si>
  <si>
    <t>Việc đơn giản hóa biểu thuế và tăng mức giảm trừ gia cảnh sẽ làm cho quy trình khai báo thuế trở nên dễ dàng hơn. Tuy nhiên, quá trình làm việc với cơ quan thuế vẫn cần cải thiện.</t>
  </si>
  <si>
    <t>Cách tính thuế mới đơn giản và rõ ràng hơn so với trước đây, nhưng tôi nghĩ nó vẫn cần thêm thời gian để mọi người nắm bắt hoàn toàn.</t>
  </si>
  <si>
    <t>Nhà nước đã cải thiện các quy định về giảm trừ gia cảnh, minh bạch hóa mức thuế và công bố rõ ràng mục tiêu. Điều này tạo niềm tin rằng chính sách mới được thực thi công bằng.</t>
  </si>
  <si>
    <t>Mức thuế mới phù hợp với thu nhập của tôi, nhưng vẫn cần thêm thời gian để đánh giá hiệu quả thực tế trong việc cải thiện dịch vụ công.</t>
  </si>
  <si>
    <t>Tôi tin rằng số tiền thuế đóng sẽ được sử dụng hiệu quả, nhưng cần thêm thông tin về cách sử dụng cụ thể</t>
  </si>
  <si>
    <t>Nhà nước đã giải thích rõ ràng về mục tiêu cải cách và tôi cảm thấy họ đang cố gắng minh bạch hơn.</t>
  </si>
  <si>
    <t>Tổng thể, tôi ủng hộ chính sách mới vì nó có lợi cho tôi và tạo ra niềm tin. Tuy nhiên, cần thêm thời gian để đánh giá tác động thực tế.</t>
  </si>
  <si>
    <t>Biểu thuế đơn giản hơn, giảm số bậc từ 7 xuống còn 5, giúp phát hiện trốn thuế dễ dàng hơn. Mức giảm trừ gia cảnh tăng cũng hạn chế khả năng trốn thuế.</t>
  </si>
  <si>
    <t>Công nghệ tiên tiến và hệ thống quản lý thuế đã được cải thiện, cùng với đó là quy định quản lý nghiêm minh hơn giúp phát hiện gian lận hoặc trốn thuế hiệu quả.</t>
  </si>
  <si>
    <t>Thủ tục khai báo thuế đơn giản hơn, giảm từ 7 bậc xuống còn 5 bậc. Điều này làm quá trình làm việc với cơ quan thuế nhanh chóng và tiện lợi hơn so với trước đây.</t>
  </si>
  <si>
    <t>Cách tính thuế và các bậc thuế trong phương án mới đơn giản hóa quy trình, dễ hiểu và dễ thực hiện hơn, giảm gánh nặng cho người nộp thuế.</t>
  </si>
  <si>
    <t>Nhà nước đã cải thiện quy định quản lý thuế, tăng mức giảm trừ gia cảnh, làm giảm gánh nặng thuế và tăng tính công bằng. Điều này tạo niềm tin rằng chính sách mới được thực thi công bằng.</t>
  </si>
  <si>
    <t>Thuế suất và ngưỡng chịu thuế đã được điều chỉnh phù hợp với thu nhập cá nhân, đảm bảo mức thuế đóng là công bằng. Tuy nhiên, vẫn có sự phức tạp về thuế nên chưa thể đánh giá cao.</t>
  </si>
  <si>
    <t>Thuế đóng góp vào việc cải thiện dịch vụ công nhưng còn cần thêm thông tin về cách sử dụng số tiền thuế này. Tuy nhiên, mức độ tin tưởng đã được cải thiện so với trước đây.</t>
  </si>
  <si>
    <t>Nhà nước đã giải thích rõ ràng về quy định mới và mục tiêu của nó, nhưng vẫn cần thêm thông tin minh bạch để tăng niềm tin. Việc giải thích công bằng và đầy đủ sẽ tăng điểm.</t>
  </si>
  <si>
    <t>Chính sách mới đã giảm gánh nặng thuế và đơn giản hóa quy trình làm việc với cơ quan thuế, tạo điều kiện thuận lợi cho người nộp thuế. Tuy nhiên, vẫn còn một số yếu tố chưa chắc chắn về thực thi và hiệu quả.</t>
  </si>
  <si>
    <t>Các quy định quản lý thuế hiện nay có nhiều cải tiến, nhưng vẫn phụ thuộc vào việc thực thi và công nghệ phát hiện gian lận. Việc tăng giảm trừ gia cảnh sẽ làm giảm rủi ro trốn thuế.</t>
  </si>
  <si>
    <t>Nhà nước và cơ quan thuế có nhiều công nghệ tiên tiến, nhưng vẫn cần sự phối hợp chặt chẽ để phát hiện gian lận. Việc cải cách thuế sẽ giúp tăng tính minh bạch.</t>
  </si>
  <si>
    <t>Biểu thuế đơn giản hơn và mức giảm trừ gia cảnh cao hơn tạo thuận lợi cho việc khai báo, nhưng vẫn cần thời gian để quen với quy trình mới.</t>
  </si>
  <si>
    <t>Cách tính thuế mới đơn giản hóa các bậc thuế, dễ hiểu và thực hiện nhanh chóng hơn so với trước đây.</t>
  </si>
  <si>
    <t>Việc cải cách thuế công bằng hơn đối với người nộp thuế, nhưng sự minh bạch trong quá trình thực thi vẫn cần được cải thiện.</t>
  </si>
  <si>
    <t>Mức thuế mới phù hợp với thu nhập của tôi và cải tiến về giảm trừ gia cảnh tạo cảm giác công bằng hơn.</t>
  </si>
  <si>
    <t>Thuế đóng góp vào việc cải thiện dịch vụ công, nhưng cần thời gian để thấy kết quả cụ thể.</t>
  </si>
  <si>
    <t>Nhà nước đã giải thích rõ ràng về mục tiêu của cải cách thuế, nhưng tôi vẫn mong muốn có thêm thông tin về kế hoạch triển khai.</t>
  </si>
  <si>
    <t>Sau khi xem xét các quyền lợi và nghĩa vụ, tôi ủng hộ chính sách mới. Cải cách thuế tạo thuận lợi hơn cho người nộp thuế.</t>
  </si>
  <si>
    <t>Quy định quản lý thuế mới có mức giảm trừ gia cảnh cao hơn, tăng khả năng phát hiện trốn thuế.</t>
  </si>
  <si>
    <t>Công nghệ mới và quy định rõ ràng giúp cải thiện khả năng phát hiện và xử lý nghiêm các hành vi trốn thuế.</t>
  </si>
  <si>
    <t>Thu nhập thấp hơn bị áp dụng thuế suất thấp, giảm gánh nặng cho người dân.</t>
  </si>
  <si>
    <t>Biểu thuế đơn giản hóa từ 7 bậc xuống còn 5 bậc, dễ hiểu và thực hiện nhanh chóng hơn.</t>
  </si>
  <si>
    <t>Người thu nhập thấp được giảm trừ gia cảnh nhiều hơn, tạo cảm giác công bằng trong việc áp dụng thuế.</t>
  </si>
  <si>
    <t>Thuế suất mới và ngưỡng chịu thuế rõ ràng, người dân thấy mức thuế đóng là công bằng.</t>
  </si>
  <si>
    <t>Giảm trừ gia cảnh cao hơn giúp tạo niềm tin rằng số tiền thuế đóng sẽ được sử dụng hiệu quả để cải thiện dịch vụ công.</t>
  </si>
  <si>
    <t>Thông tin về lý do và mục tiêu của việc sửa đổi thuế chưa đủ rõ ràng, nhưng đã có sự minh bạch hơn so với trước đây.</t>
  </si>
  <si>
    <t>Niềm tin và cảm giác công bằng cao giúp tăng khả năng ủng hộ chính sách, sẵn sàng tuân thủ các quy định mới.</t>
  </si>
  <si>
    <t>Cải cách thuế đã đơn giản hóa quy trình khai báo và làm việc với cơ quan thuế, giảm gian lận. Công nghệ hiện đại cũng giúp phát hiện hành vi trốn thuế.</t>
  </si>
  <si>
    <t>Nhà nước đã đầu tư vào công nghệ để giám sát và xử lý các hành vi trốn thuế, tăng cường kiểm soát</t>
  </si>
  <si>
    <t>Mức giảm trừ gia cảnh tăng đáng kể, giúp người dân dễ dàng hơn trong khai báo. Quy trình làm việc với cơ quan thuế trở nên đơn giản hơn.</t>
  </si>
  <si>
    <t>Biểu thuế được rút gọn, các bậc thuế rõ ràng hơn, giảm thiểu rủi ro cho người dân khi tính toán thuế</t>
  </si>
  <si>
    <t>Nhà nước đã cải thiện quy định để đảm bảo công bằng và minh bạch trong việc đánh thuế.</t>
  </si>
  <si>
    <t>Mức thuế mới được thiết kế hợp lý, phù hợp với thu nhập của người dân</t>
  </si>
  <si>
    <t>Thu ngân sách tăng, dịch vụ công chất lượng cao hơn nhờ cải cách thuế. Tuy nhiên, vẫn cần giám sát sử dụng hiệu quả nguồn tài chính mới.</t>
  </si>
  <si>
    <t>Các thông tin về chính sách được giải thích rõ ràng, nhưng cần thêm minh bạch trong quá trình thực thi</t>
  </si>
  <si>
    <t>Chính sách mới mang lại lợi ích tài chính và thuận tiện cho người dân. Tuy nhiên, vẫn cần thời gian để tin tưởng vào sự cải thiện của cơ quan thuế.</t>
  </si>
  <si>
    <t>Mức giảm trừ gia cảnh tăng đáng kể, nhưng không rõ liệu công nghệ hiện tại có đủ để phát hiện trốn thuế hay không.</t>
  </si>
  <si>
    <t>Biểu thuế đơn giản hơn và số bậc giảm từ 7 xuống còn 5, nhưng chưa có thông tin về khả năng phát hiện trốn thuế.</t>
  </si>
  <si>
    <t>Biểu thuế được đơn giản hóa, nhưng không rõ liệu quy trình khai báo thuế có thực sự thuận tiện hơn hay không.</t>
  </si>
  <si>
    <t>Mức giảm trừ gia cảnh tăng đáng kể, nhưng chưa rõ liệu cơ quan thuế có thực hiện công bằng hay không.</t>
  </si>
  <si>
    <t>Mức thuế mới được thiết kế để hợp lý với thu nhập cá nhân, tạo cảm giác công bằng.</t>
  </si>
  <si>
    <t>Thuế có thể được sử dụng hiệu quả hơn nhờ mức giảm trừ gia cảnh tăng và số bậc thuế đơn giản hóa.</t>
  </si>
  <si>
    <t>Thông tin về việc sửa đổi thuế chưa rõ ràng, nhưng cải cách mang lại lợi ích đáng kể cho người dân.</t>
  </si>
  <si>
    <t>Thuế giảm đáng kể nhờ mức giảm trừ gia cảnh tăng, tạo động lực tuân thủ chính sách mới.</t>
  </si>
  <si>
    <t>Thuế TNCN mới có mức giảm trừ gia cảnh cao hơn, giúp kiểm soát chính xác thu nhập. Công nghệ hiện đại cũng được áp dụng để phát hiện gian lận.</t>
  </si>
  <si>
    <t>Công nghệ tiên tiến và hệ thống quản lý thuế hiệu quả có thể phát hiện hành vi trốn thuế một cách nhanh chóng, công bằng.</t>
  </si>
  <si>
    <t>Mức giảm trừ gia cảnh tăng cao hơn trước, quy trình khai báo đơn giản hơn. Tuy nhiên, vẫn còn một số thủ tục phức tạp.</t>
  </si>
  <si>
    <t>Biểu thuế đơn giản hóa giúp người dân dễ dàng tính toán và nộp thuế</t>
  </si>
  <si>
    <t>Các quy định mới nhằm đảm bảo công bằng trong việc thực thi, giảm gian lận.</t>
  </si>
  <si>
    <t>Thuế suất và ngưỡng chịu thuế được điều chỉnh phù hợp với thu nhập cá nhân hiện nay. Tuy nhiên, vẫn còn một số bất đồng về mức độ công bằng.</t>
  </si>
  <si>
    <t>Giảm trừ gia cảnh tăng cao giúp cải thiện dịch vụ công. Mức thuế mới cũng được điều chỉnh hợp lý</t>
  </si>
  <si>
    <t>Thông tin về chính sách thuế mới được cung cấp đầy đủ, nhưng vẫn còn một số nghi ngờ về minh bạch.</t>
  </si>
  <si>
    <t>Thuế suất và giảm trừ gia cảnh mới mang lại lợi ích cho người dân. Tuy nhiên, vẫn có sự phức tạp cần cân nhắc</t>
  </si>
  <si>
    <t>Biện pháp quản lý thuế hiện tại chưa mạnh mẽ, nhưng tăng giảm trừ gia cảnh và đơn giản hóa biểu thuế có thể làm giảm động lực trốn thuế.</t>
  </si>
  <si>
    <t>Công nghệ phát triển giúp phát hiện gian lận thuế dễ dàng hơn, đặc biệt với mức tăng giảm trừ gia cảnh lớn.</t>
  </si>
  <si>
    <t>Thủ tục khai báo thuế đơn giản hóa rõ ràng so với trước đây, thuận lợi cho người dân và doanh nghiệp.</t>
  </si>
  <si>
    <t>Cách tính thuế mới dễ hiểu hơn, nhưng vẫn cần thời gian để quen thuộc với các bậc thuế mới.</t>
  </si>
  <si>
    <t>Nhà nước công bố rõ ràng về chính sách mới, tạo niềm tin cho người dân, đặc biệt là nhóm trẻ có ít trải nghiệm tiêu cực trước đây.</t>
  </si>
  <si>
    <t>Thuế suất và mức giảm trừ gia cảnh tăng lên, nhưng mức thuế cụ thể còn phụ thuộc vào thu nhập cá nhân.</t>
  </si>
  <si>
    <t>Mức thuế đóng góp sẽ được sử dụng hiệu quả để cải thiện dịch vụ công, tạo niềm tin cho người dân.</t>
  </si>
  <si>
    <t>Nhà nước đã giải thích rõ về mục tiêu của chính sách mới, nhưng cần thời gian để mọi người hiểu và tin tưởng hoàn toàn.</t>
  </si>
  <si>
    <t>Chính sách mới tạo ra lợi ích tài chính cho người dân, đồng thời thủ tục khai báo thuế cũng đơn giản hơn. Tôi sẽ ủng hộ và tuân thủ.</t>
  </si>
  <si>
    <t>Mức giảm trừ gia cảnh tăng và quy định quản lý thuế chặt chẽ hơn, nhưng vẫn còn khả năng trốn thuế.</t>
  </si>
  <si>
    <t>Công nghệ hiện đại hỗ trợ phát hiện trốn thuế hiệu quả, tuy nhiên, vẫn có rủi ro không thể tránh khỏi.</t>
  </si>
  <si>
    <t>Mức giảm trừ gia cảnh tăng và đơn giản hóa biểu thuế giúp thủ tục khai báo dễ dàng hơn, nhưng vẫn cần thời gian để quen thuộc.</t>
  </si>
  <si>
    <t>Biểu thuế được đơn giản hóa, các bậc thuế rõ ràng hơn so với trước đây, dễ hiểu và thực hiện thuận tiện hơn.</t>
  </si>
  <si>
    <t>Nhà nước đã tăng mức giảm trừ gia cảnh, giảm gánh nặng cho người dân, tạo sự công bằng trong việc đánh thuế.</t>
  </si>
  <si>
    <t>Mức thuế mới tương đối công bằng với thu nhập hiện tại của tôi, nhưng vẫn cần thời gian để quen thuộc.</t>
  </si>
  <si>
    <t>Tăng mức giảm trừ gia cảnh và đơn giản hóa biểu thuế tạo niềm tin rằng số tiền đóng sẽ được sử dụng hiệu quả cho dịch vụ công.</t>
  </si>
  <si>
    <t>Nhà nước đã giải thích rõ ràng về mục đích của việc sửa đổi thuế, nhưng vẫn cần thêm thông tin để hoàn toàn thuyết phục.</t>
  </si>
  <si>
    <t>Dù còn nghi ngờ một phần, nhưng các thay đổi mang lại nhiều lợi ích nên quyết định ủng hộ và tuân thủ chính sách mới.</t>
  </si>
  <si>
    <t>Biểu thuế đơn giản hơn và mức giảm trừ gia cảnh tăng, nhưng do tôi là người trung gian về thuế nên vẫn lo ngại về rủi ro.</t>
  </si>
  <si>
    <t>Công nghệ phát triển giúp phát hiện gian lận, nhưng tôi không hoàn toàn tin tưởng cơ quan thuế sẽ xử lý nghiêm minh.</t>
  </si>
  <si>
    <t>Giảm bậc thuế và mức giảm trừ gia cảnh rõ ràng hơn, thủ tục khai báo đơn giản hơn so với trước đây.</t>
  </si>
  <si>
    <t>Cách tính thuế đơn giản hơn, nhưng vẫn cần thời gian để quen với các thay đổi mới.</t>
  </si>
  <si>
    <t>Niềm tin vào việc thực thi công bằng của cơ quan thuế tăng lên do cải cách</t>
  </si>
  <si>
    <t>Mức thuế mới hợp lý so với thu nhập hiện tại, nhưng vẫn cần thời gian để đánh giá hiệu quả.</t>
  </si>
  <si>
    <t>Niềm tin vào việc sử dụng số tiền thuế cho mục đích công cộng tăng lên do cải cách</t>
  </si>
  <si>
    <t>Các giải thích về lý do và mục tiêu sửa đổi thuế rõ ràng hơn so với trước đây, nhưng vẫn cần thêm thời gian để đánh giá.</t>
  </si>
  <si>
    <t>Chính sách mới tạo ra lợi ích cho tôi, quyết định dựa trên niềm tin và cảm giác công bằng tăng lên</t>
  </si>
  <si>
    <t>Biện pháp quản lý thuế hiện nay đã được tăng cường, đặc biệt là về giảm trừ gia cảnh và đơn giản hóa biểu thuế, giúp ngăn chặn trốn thuế hiệu quả hơn.</t>
  </si>
  <si>
    <t>Công nghệ hiện đại đã được áp dụng để phát hiện hành vi trốn thuế, đồng thời cơ chế quản lý của nhà nước cũng được cải thiện.</t>
  </si>
  <si>
    <t>Biểu thuế đơn giản hơn và giảm trừ gia cảnh cao hơn giúp quá trình khai báo thuế thuận tiện hơn cho người dân.</t>
  </si>
  <si>
    <t>Cách tính thuế mới dễ hiểu hơn so với trước đây, các bậc thuế rõ ràng và hợp lý.</t>
  </si>
  <si>
    <t>Nhà nước đã cải thiện môi trường kinh doanh, giảm gánh nặng thuế cho cá nhân, tạo niềm tin trong việc thực thi chính sách.</t>
  </si>
  <si>
    <t>Mức thuế mới được thiết kế hợp lý dựa trên thu nhập cá nhân của tôi, thể hiện tính công bằng trong hệ thống thuế.</t>
  </si>
  <si>
    <t>Hiện nay, số tiền thuế đóng sẽ được sử dụng hiệu quả để cải thiện các dịch vụ công như y tế và giao thông.</t>
  </si>
  <si>
    <t>Nhà nước đã giải thích rõ ràng về việc tăng mức giảm trừ gia cảnh và đơn giản hóa biểu thuế, tạo sự minh bạch trong chính sách mới.</t>
  </si>
  <si>
    <t>Tôi ủng hộ chính sách vì lợi ích cá nhân tăng lên và niềm tin vào hệ thống thuế được cải thiện.</t>
  </si>
  <si>
    <t>Nhìn chung, các quy định quản lý thuế hiện nay có nhiều cải tiến nhưng vẫn còn khó khăn trong việc phát hiện gian lận.</t>
  </si>
  <si>
    <t>Việc áp dụng công nghệ và hệ thống thông tin hóa giúp tăng khả năng phát hiện trốn thuế, nhưng cần thời gian để hoàn thiện.</t>
  </si>
  <si>
    <t>Thủ tục khai báo thuế đơn giản hơn so với trước đây, đặc biệt là với việc giảm số bậc thuế và mức giảm trừ gia cảnh.</t>
  </si>
  <si>
    <t>Cách tính thuế mới dễ hiểu hơn với ít bậc thuế hơn, nhưng vẫn có thể gây phức tạp đối với người không am hiểu về thuế.</t>
  </si>
  <si>
    <t>Tôi tin rằng Nhà nước sẽ thực thi chính sách một cách công bằng, đặc biệt là với mức giảm trừ gia cảnh tăng lên.</t>
  </si>
  <si>
    <t>Tôi tin rằng số tiền thuế đóng sẽ được sử dụng cho các dịch vụ công quan trọng như y tế và giáo dục.</t>
  </si>
  <si>
    <t>Nhà nước đã giải thích rõ ràng về mục tiêu cải cách, nhưng cần thêm thông tin chi tiết về hiệu quả thực hiện.</t>
  </si>
  <si>
    <t>Sau khi cân nhắc các quyền lợi và nghĩa vụ, tôi sẽ ủng hộ chính sách mới với mức độ cam kết cao.</t>
  </si>
  <si>
    <t>Theo thông tin, các quy định quản lý thuế hiện nay được cải cách nhằm tăng cường phát hiện và xử lý nghiêm hành vi gian lận. Tuy nhiên, mức độ thực thi vẫn phụ thuộc vào nguồn lực và công nghệ của cơ quan thuế.</t>
  </si>
  <si>
    <t>Nhà nước đã đầu tư công nghệ để phát hiện trốn thuế, nhưng hiệu quả còn cần thời gian kiểm chứng. Công nghệ mới có thể giúp tăng cường khả năng phát hiện.</t>
  </si>
  <si>
    <t>Biểu thuế đơn giản hóa và mức giảm trừ gia cảnh cao hơn tạo cảm giác thủ tục khai báo trở nên thuận lợi hơn so với trước đây.</t>
  </si>
  <si>
    <t>Các bậc thuế mới rõ ràng hơn, nhưng vẫn còn một số điểm khó hiểu. Tuy nhiên, mức độ đơn giản hóa có thể làm giảm cảm giác phức tạp.</t>
  </si>
  <si>
    <t>Nhà nước đã cải cách để công bằng hơn với người nộp thuế thông qua việc tăng mức giảm trừ gia cảnh và đơn giản hóa biểu thuế.</t>
  </si>
  <si>
    <t>Mức thuế mới được thiết kế dựa trên thu nhập, nhưng vẫn có thể gây nghi ngờ về tính công bằng đối với các nhóm thu nhập khác nhau.</t>
  </si>
  <si>
    <t>Thuế mới sẽ được sử dụng hiệu quả hơn để cải thiện dịch vụ công. Tuy nhiên, hiệu quả thực tế phụ thuộc vào việc quản lý ngân sách và sử dụng nguồn lực.</t>
  </si>
  <si>
    <t>Nhà nước đã giải thích rõ về các thay đổi trong thuế, nhưng còn cần tăng cường minh bạch thông qua nhiều kênh truyền thông.</t>
  </si>
  <si>
    <t>Sau xem xét lợi ích tài chính và cải cách thủ tục, tôi có xu hướng ủng hộ chính sách mới. Tuy nhiên, vẫn có nghi ngờ về mức độ công bằng trong thuế suất mới.</t>
  </si>
  <si>
    <t>Việc tăng giảm trừ gia cảnh và đơn giản hóa biểu thuế có thể khiến người nộp thuế khó lợi dụng lỗ hổng trong quy định, tuy nhiên khả năng phát hiện trốn thuế phụ thuộc nhiều vào công nghệ và nguồn lực của cơ quan thuế. Với mức thu nhập ngày càng cao, việc phát hiện gian lận trở nên phức tạp hơn.</t>
  </si>
  <si>
    <t>Việc cải cách thuế đã giảm bớt các bước khai báo và đơn giản hóa quy trình làm việc với cơ quan thuế, tuy nhiên khả năng phát hiện trốn thuế còn phụ thuộc vào nguồn lực và công nghệ của cơ quan thuế. Công nghệ mới có thể giúp nhưng không hoàn toàn loại bỏ rủi ro trốn thuế.</t>
  </si>
  <si>
    <t>Các bước khai báo thuế và quy trình làm việc với cơ quan thuế đã đơn giản hơn trước đây, giảm bớt thời gian và công sức cho người nộp thuế. Việc cải cách thuế cũng giúp người dân dễ dàng nắm bắt thông tin về quy định mới.</t>
  </si>
  <si>
    <t>Các bậc thuế và biểu thuế đã được đơn giản hóa, làm giảm độ phức tạp cho người nộp thuế. Tuy nhiên, việc cải cách này chưa giúp việc tính thuế trở nên dễ dàng như mong đợi.</t>
  </si>
  <si>
    <t>Việc tăng mức giảm trừ gia cảnh và đơn giản hóa biểu thuế có thể làm tăng niềm tin vào sự công bằng của chính sách mới. Tuy nhiên, vẫn cần sự minh bạch trong việc thực thi để đảm bảo không có bất lợi cho một số đối tượng.</t>
  </si>
  <si>
    <t>Mức thuế mới phù hợp với thu nhập hiện tại của tôi, tuy nhiên chưa chắc chắn về tính công bằng trong việc áp dụng mức thuế này cho mọi người. Tuy nhiên, so với mức thuế cũ thì rõ ràng đã đơn giản và công bằng hơn.</t>
  </si>
  <si>
    <t>Việc cải cách thuế có thể mang lại lợi ích về mặt tài chính, nhưng vẫn cần sự minh bạch trong việc sử dụng số tiền thuế thu được để đảm bảo không có bất lợi cho người dân. Tuy nhiên, so với mức thuế cũ thì rõ ràng đã đơn giản và công bằng hơn.</t>
  </si>
  <si>
    <t>Việc cải cách thuế đã giảm bớt độ phức tạp trong việc tính thuế, tuy nhiên thông tin về mục tiêu của chính sách mới chưa được giải thích đầy đủ. Thông qua các kênh truyền thông, tôi nhận thấy mức thuế này có phần minh bạch hơn.</t>
  </si>
  <si>
    <t>Sau khi xem xét lợi ích và nghĩa vụ, tôi ủng hộ chính sách mới vì nó đơn giản hóa quy trình khai báo thuế và giảm gánh nặng về tài chính. Tuy nhiên, vẫn cần sự minh bạch trong việc thực thi để đảm bảo không có bất lợi cho một số đối tượng.</t>
  </si>
  <si>
    <t>Biện pháp quản lý thuế được tăng cường, đặc biệt là mức giảm trừ gia cảnh cao hơn giúp giảm thiểu cơ hội trốn thuế.</t>
  </si>
  <si>
    <t>Công nghệ phát triển hiện nay có thể hỗ trợ việc phát hiện và xử lý trốn thuế hiệu quả hơn, nhất là với quy định mới.</t>
  </si>
  <si>
    <t>Mức giảm trừ gia cảnh cao hơn và số bậc thuế ít đi đơn giản hóa quá trình khai báo, thuận tiện cho người nộp thuế.</t>
  </si>
  <si>
    <t>Biểu thuế mới có ít bậc hơn, giúp việc tính toán thu nhập chịu thuế dễ dàng hơn, dễ hiểu và thực hiện nhanh chóng hơn.</t>
  </si>
  <si>
    <t>Niềm tin vào sự công bằng của chính sách được cải thiện do mức giảm trừ gia cảnh cao hơn và số bậc thuế đơn giản hóa.</t>
  </si>
  <si>
    <t>Thuế suất mới có thể coi là hợp lý với thu nhập hiện tại, nhưng cần thời gian để đánh giá thực tế về hiệu quả của chính sách.</t>
  </si>
  <si>
    <t>Hiệu quả sử dụng số tiền thuế đóng vào dịch vụ công chưa rõ ràng do mới áp dụng, nhưng cải cách vẫn có thể mang lại lợi ích tổng thể.</t>
  </si>
  <si>
    <t>Thông tin về chính sách mới được truyền đạt đầy đủ hơn so với trước đây, giúp người dân hiểu rõ mục tiêu của cải cách thuế.</t>
  </si>
  <si>
    <t>Mặc dù có một số lợi ích từ chính sách mới, nhưng cần thời gian để đánh giá hiệu quả thực tế và quyết định ủng hộ tuân thủ.</t>
  </si>
  <si>
    <t>Thuật toán phát hiện trốn thuế được cải thiện, có nhiều biện pháp quản lý chặt chẽ hơn., 8</t>
  </si>
  <si>
    <t>Việc sử dụng công nghệ tiên tiến giúp xác định và xử lý trốn thuế nhanh chóng và chính xác hơn., 9</t>
  </si>
  <si>
    <t>Mức giảm trừ gia cảnh tăng, quy trình khai thuế đơn giản hơn, thuận tiện cho người nộp thuế., 7</t>
  </si>
  <si>
    <t>Bậc thuế được rút gọn, việc tính toán và làm thủ tục dễ dàng hơn so với trước đây., 6</t>
  </si>
  <si>
    <t>Nhà nước đã cải thiện quy định về giảm trừ gia cảnh, công bằng hơn đối với người nộp thuế., 8</t>
  </si>
  <si>
    <t>Mức thuế mới được thiết kế công bằng cho thu nhập hiện tại của tôi, tăng cảm giác công bằng., 7</t>
  </si>
  <si>
    <t>Thuốc đóng góp vào các dịch vụ công sẽ hiệu quả hơn nhờ cải cách thuế, tin tưởng cao hơn về việc sử dụng tiền thuế., 8</t>
  </si>
  <si>
    <t>Các thông điệp giải thích về mục tiêu cải cách đã được cung cấp rõ ràng hơn so với trước đây, tăng sự ủng hộ., 7</t>
  </si>
  <si>
    <t>Tình hình tài chính tốt lên nhờ mức thuế mới, quyết định tuân thủ và ủng hộ chính sách mới., 8</t>
  </si>
  <si>
    <t>Chính phủ đã tăng mạnh mức giảm trừ gia cảnh và đơn giản hóa biểu thuế, nhưng không có thông tin về công nghệ phát hiện trốn thuế. Điều này làm giảm sự tin tưởng.</t>
  </si>
  <si>
    <t>Công nghệ ngày càng tiên tiến giúp phát hiện trốn thuế dễ dàng hơn, tuy nhiên chưa biết liệu chính phủ đã áp dụng công nghệ nào.</t>
  </si>
  <si>
    <t>Mức giảm trừ gia cảnh và đơn giản hóa biểu thuế tạo thuận lợi cho người nộp thuế. Tuy nhiên quy trình khai báo vẫn phức tạp.</t>
  </si>
  <si>
    <t>Đơn giản hóa biểu thuế giúp tính toán dễ dàng hơn, nhưng cần thời gian để quen với các thay đổi mới.</t>
  </si>
  <si>
    <t>Giảm trừ gia cảnh tăng lên và đơn giản hóa biểu thuế tạo niềm tin về sự công bằng. Tuy nhiên, chưa rõ liệu sẽ có bất lợi nào đối với người nộp thuế.</t>
  </si>
  <si>
    <t>Mức thuế mới nhìn chung là hợp lý so với thu nhập hiện tại, nhưng cần thời gian để cảm thấy chắc chắn hơn về tính công bằng của nó.</t>
  </si>
  <si>
    <t>Niềm tin vào việc sử dụng hiệu quả số tiền thuế đóng chưa cao do chưa có thông tin cụ thể về cách sử dụng nguồn thu này.</t>
  </si>
  <si>
    <t>Chính phủ đã giải thích rõ ràng về thay đổi mới, nhưng cần thêm thời gian để thấy sự minh bạch trong việc thực hiện các quyết định thuế.</t>
  </si>
  <si>
    <t>Niềm tin và cảm giác công bằng chỉ ở mức độ vừa phải nên chưa sẵn sàng ủng hộ hoàn toàn. Cần thêm thông tin về cách sử dụng nguồn thu để tăng quyết tâm tuân thủ.</t>
  </si>
  <si>
    <t>Dựa trên các quy định quản lý thuế hiện nay, việc phát hiện hành vi gian lận hoặc trốn thuế có thể khó khăn do mức độ phức tạp và đa dạng của nó. Tuy nhiên, với sự hỗ trợ từ công nghệ tiên tiến, khả năng phát hiện vẫn được cải thiện đáng kể.</t>
  </si>
  <si>
    <t>Việc sử dụng công nghệ trong quản lý thuế giúp tăng cường khả năng phát hiện và xử lý các hành vi trốn thuế. Tuy nhiên, hiệu quả phụ thuộc vào nguồn lực và kỹ năng của cơ quan thuế.</t>
  </si>
  <si>
    <t>Các quy định mới đơn giản hóa quy trình khai báo thuế, giúp người dân dễ dàng hơn trong việc tuân thủ. Tuy nhiên, vẫn còn một số quy trình cần cải thiện để tăng độ tiện lợi.</t>
  </si>
  <si>
    <t>Biểu thuế mới đơn giản hóa các bậc thuế và cách tính thuế, giúp người dân dễ hiểu và thực hiện hơn so với trước đây. Tuy nhiên, việc áp dụng chính xác vẫn cần thời gian để mọi người quen thuộc.</t>
  </si>
  <si>
    <t>Niềm tin vào sự khách quan và công bằng của cơ quan thuế được cải thiện nhờ mức giảm trừ gia cảnh cao hơn, giúp người dân cảm thấy hợp lý hơn. Tuy nhiên, vẫn còn nghi ngại về cách thực thi.</t>
  </si>
  <si>
    <t>Mức thuế mới được thiết kế phù hợp với thu nhập cá nhân, tạo cảm giác công bằng cho người nộp thuế. Các bậc thuế rõ ràng hơn giúp giảm rủi ro trong việc tính toán.</t>
  </si>
  <si>
    <t>Người dân tin rằng số tiền thuế đóng sẽ được sử dụng hiệu quả để cải thiện các dịch vụ công, nhưng vẫn còn lo ngại về cách thực hiện và quản lý nguồn thu.</t>
  </si>
  <si>
    <t>Nhà nước đã giải thích rõ ràng về mục tiêu của việc sửa đổi thuế. Tuy nhiên, sự minh bạch cần được cải thiện hơn nữa để mọi người tin tưởng hơn vào quyết định chính sách.</t>
  </si>
  <si>
    <t>Việc tuân thủ mới sẽ giúp giảm gánh nặng về mặt tài chính và tăng tiện lợi cho người dân. Tuy nhiên, vẫn còn lo ngại về cách thực thi và hiệu quả sử dụng nguồn thu thuế.</t>
  </si>
  <si>
    <t>Biểu thuế đơn giản hơn, ngưỡng chịu thuế cao hơn có thể giảm rủi ro trốn thuế. Công nghệ hiện đại giúp phát hiện gian lận.</t>
  </si>
  <si>
    <t>Công nghệ tiên tiến và quy định quản lý thuế chặt chẽ sẽ tăng khả năng phát hiện và xử lý trốn thuế.</t>
  </si>
  <si>
    <t>Biểu thuế đơn giản, giảm số bậc thuế từ 7 xuống 5 tạo cảm giác thuận tiện hơn. Tăng mức giảm trừ gia cảnh giúp tiết kiệm thời gian khai báo.</t>
  </si>
  <si>
    <t>Chính sách mới có sự công bằng trong việc giảm trừ gia cảnh và điều chỉnh biểu thuế, tạo niềm tin vào sự đối xử công tâm.</t>
  </si>
  <si>
    <t>Mức thuế mới được điều chỉnh theo thu nhập cá nhân, tăng độ công bằng. Tuy nhiên, vẫn còn nhiều thắc mắc về việc áp dụng cụ thể.</t>
  </si>
  <si>
    <t>Thuế sẽ được sử dụng để cải thiện dịch vụ công, nhưng cần thời gian để đánh giá hiệu quả thực tế của chính sách mới.</t>
  </si>
  <si>
    <t>Đã có giải thích về mục tiêu và lý do sửa đổi thuế, nhưng vẫn còn nhiều thông tin chưa rõ ràng. Tuy nhiên, cải cách mang tính hướng thiện.</t>
  </si>
  <si>
    <t>Sau xem xét, tôi thấy chính sách mới mang lại lợi ích về mặt tài chính và thuận tiện hơn so với trước đây. Tuy nhiên, vẫn còn độ nghi ngờ về thực thi.</t>
  </si>
  <si>
    <t>Tăng cường quản lý thuế với mức giảm trừ gia cảnh lớn hơn và quy định rõ ràng có thể giúp phát hiện gian lận. Tuy nhiên, vẫn cần công nghệ tiên tiến để đảm bảo hiệu quả.</t>
  </si>
  <si>
    <t>Công nghệ ngày càng phát triển, Nhà nước đã đầu tư nhiều vào hệ thống quản lý thuế. Tăng cường ứng dụng công nghệ giúp giảm thiểu trốn thuế và xử lý nghiêm minh hơn.</t>
  </si>
  <si>
    <t>Biểu thuế đơn giản hơn và mức giảm trừ gia cảnh cao hơn có thể làm cho quy trình khai báo thuế dễ dàng hơn. Tuy nhiên, vẫn cần thời gian để cải thiện hệ thống.</t>
  </si>
  <si>
    <t>Số bậc thuế giảm đi và mức thuế suất rõ ràng hơn có thể giúp người dân hiểu và thực hiện quy định một cách dễ dàng hơn. Điều này tăng tính minh bạch và đơn giản hóa quy trình.</t>
  </si>
  <si>
    <t>Mức giảm trừ gia cảnh cao hơn và việc thực thi thuế rõ ràng hơn có thể làm tăng niềm tin vào sự công bằng của hệ thống. Tuy nhiên, vẫn cần thêm thời gian để thấy kết quả.</t>
  </si>
  <si>
    <t>Mức thuế mới dựa trên thu nhập cá nhân cụ thể nên nhìn chung là công bằng. Tuy nhiên, mức thuế cao hơn ở bậc cuối có thể gây nghi ngờ cho những người có thu nhập lớn.</t>
  </si>
  <si>
    <t>Thuế đóng góp vào cải thiện dịch vụ công là điều cần thiết. Tuy nhiên, hiệu quả sử dụng số tiền thuế vẫn còn đang được kiểm chứng qua thời gian.</t>
  </si>
  <si>
    <t>Tăng cường giải thích rõ ràng về mục tiêu và lý do của chính sách mới có thể làm tăng niềm tin vào sự minh bạch. Tuy nhiên, cần thêm thông tin chi tiết để thuyết phục hơn.</t>
  </si>
  <si>
    <t>Dù mức thuế mới được cải thiện nhưng vẫn còn nghi ngờ về việc thực thi và hiệu quả sử dụng số tiền thuế. Tôi sẽ ủng hộ chính sách này với điều kiện nó mang lại lợi ích thiết thực cho tôi.</t>
  </si>
  <si>
    <t>Mức giảm trừ gia cảnh tăng lên, nhưng không có thông tin về công nghệ phát hiện trốn thuế.</t>
  </si>
  <si>
    <t>Nếu chỉ dựa vào quy định quản lý thuế hiện tại mà không có công nghệ hỗ trợ, khả năng phát hiện sẽ hạn chế.</t>
  </si>
  <si>
    <t>Mức giảm trừ gia cảnh tăng lên và số bậc thuế được đơn giản hóa, làm thủ tục khai báo thuế dễ dàng hơn.</t>
  </si>
  <si>
    <t>Biểu thuế được đơn giản hóa từ 7 bậc xuống còn 5 bậc, nhưng không có thông tin về việc cách tính mới cụ thể hơn so với trước đây.</t>
  </si>
  <si>
    <t>Niềm tin tăng do mức giảm trừ gia cảnh và số bậc thuế được đơn giản hóa, nhưng vẫn còn nghi ngờ về sự khách quan của cơ quan thuế trong việc thực thi chính sách mới.</t>
  </si>
  <si>
    <t>Mức thuế mới có thể hợp lý đối với thu nhập hiện tại, nhưng không chắc chắn về tính công bằng khi so sánh với người khác có thu nhập tương tự.</t>
  </si>
  <si>
    <t>Niềm tin vào việc sử dụng hiệu quả số tiền thuế đóng chưa vững mạnh do còn nghi ngờ về hiệu quả thực tế của chính sách mới.</t>
  </si>
  <si>
    <t>Nhìn chung, thông tin giải thích về lý do và mục tiêu của chính sách mới có thể chưa đủ rõ ràng và minh bạch đối với tôi.</t>
  </si>
  <si>
    <t>Tính công bằng và mức thuế hợp lý theo thu nhập hiện tại đã tăng, nhưng vẫn còn lo ngại về khả năng thực thi chính sách mới một cách khách quan và công bằng.</t>
  </si>
  <si>
    <t>Điều chỉnh thuế TNCN có thể tăng cường quản lý, nhưng khả năng phát hiện trốn thuế phụ thuộc vào công nghệ và nguồn lực của cơ quan thuế. Hiện nay, các quy định quản lý chưa rõ ràng.</t>
  </si>
  <si>
    <t>Công nghệ tiên tiến có thể giúp tăng cường phát hiện hành vi gian lận, nhưng thực tế cần thời gian để triển khai và hiệu quả vẫn còn hạn chế. Cơ quan thuế chưa đủ khả năng xử lý nghiêm.</t>
  </si>
  <si>
    <t>Bậc thuế đơn giản hơn, giảm gánh nặng khai báo cho người nộp thuế, nhưng quy trình làm việc với cơ quan thuế vẫn cần cải thiện.</t>
  </si>
  <si>
    <t>Phương án mới đơn giản hóa các bậc thuế, dễ hiểu và thực hiện hơn, giảm rào cản cho người dân không chuyên về thuế.</t>
  </si>
  <si>
    <t>Niềm tin vào cơ quan thuế có thể tăng do mức giảm trừ gia cảnh cao hơn, nhưng vẫn còn lo ngại về cách thực thi chính sách mới.</t>
  </si>
  <si>
    <t>Mức thuế mới phù hợp với thu nhập của tôi và người dân chung, tạo cảm giác công bằng</t>
  </si>
  <si>
    <t>Số tiền thuế đóng sẽ được sử dụng hiệu quả để cải thiện dịch vụ công, nhưng vẫn có lo ngại về việc thực hiện.</t>
  </si>
  <si>
    <t>Đã có thông tin giải thích rõ ràng về chính sách mới, nhưng cần thêm thời gian để mọi người hiểu và tin tưởng</t>
  </si>
  <si>
    <t>Chính sách mới mang lại lợi ích tài chính cho tôi, tạo cảm giác công bằng và tăng niềm tin vào cơ quan thuế. Tuy nhiên, vẫn cần thêm thời gian để hoàn toàn ủng hộ.</t>
  </si>
  <si>
    <t>Biểu thuế đơn giản hóa và các mức giảm trừ gia cảnh tăng lên có thể làm giảm cơ hội trốn thuế, nhưng vẫn cần công nghệ hiện đại để phát hiện gian lận.</t>
  </si>
  <si>
    <t>Công nghệ ngày càng tiến bộ, tuy nhiên, vẫn còn khả năng trốn thuế thông qua các phương pháp tinh vi chưa được kiểm soát chặt chẽ.</t>
  </si>
  <si>
    <t>Biểu thuế đơn giản hơn và số bậc thuế giảm đi giúp quá trình khai báo thuế trở nên dễ dàng hơn, nhưng vẫn cần thời gian để quen thuộc.</t>
  </si>
  <si>
    <t>Cách tính thuế mới đơn giản hóa các bậc thuế, khiến người dân dễ hiểu và thực hiện hơn so với trước đây.</t>
  </si>
  <si>
    <t>Mức giảm trừ gia cảnh tăng lên và số bậc thuế giảm đi có thể làm cho tôi cảm thấy công bằng hơn về việc đóng thuế.</t>
  </si>
  <si>
    <t>Các mức thu nhập mới trong biểu thuế tương đối phù hợp với thu nhập của tôi, tạo ra cảm giác rằng mức thuế này là công bằng.</t>
  </si>
  <si>
    <t>Việc sử dụng số tiền thuế đóng vào cải thiện dịch vụ công có thể làm tăng niềm tin của tôi về việc sử dụng hiệu quả nguồn lực thuế.</t>
  </si>
  <si>
    <t>Trong quá trình cải cách, thông tin giải thích về mục tiêu và lý do của các thay đổi chưa đủ rõ ràng, khiến tôi vẫn có chút hoài nghi.</t>
  </si>
  <si>
    <t>Nhìn chung, mức thuế mới phù hợp với thu nhập của tôi và giảm gánh nặng, nhưng việc thực thi chính sách vẫn cần cải thiện để tăng độ tin cậy.</t>
  </si>
  <si>
    <t>Cải cách thuế mới có mức giảm trừ gia cảnh cao hơn, tuy nhiên khả năng phát hiện trốn thuế vẫn phụ thuộc nhiều vào hiệu quả quản lý của cơ quan thuế. Với các quy định quản lý thuế hiện nay, việc phát hiện gian lận hoặc trốn thuế không phải là dễ dàng.</t>
  </si>
  <si>
    <t>Công nghệ hiện đại có thể hỗ trợ tốt hơn trong việc phát hiện trốn thuế, tuy nhiên vẫn cần sự phối hợp chặt chẽ giữa cơ quan thuế và người nộp thuế. Sự cải cách này chưa đủ để đảm bảo khả năng phát hiện hoàn toàn.</t>
  </si>
  <si>
    <t>Mức giảm trừ gia cảnh cao hơn giúp đơn giản hóa quy trình khai báo, tuy nhiên quy trình làm việc với cơ quan thuế vẫn có thể khá phức tạp. Số bậc thuế ít đi nhưng chưa chắc đã phù hợp với mọi trường hợp.</t>
  </si>
  <si>
    <t>Biểu thuế đơn giản hóa giúp tính toán dễ dàng hơn, tuy nhiên các mức thuế suất mới không phải lúc nào cũng thuận lợi cho tất cả người nộp thuế. Cách tính thuế mới có thể phù hợp với một số đối tượng nhưng chưa chắc áp dụng rộng rãi.</t>
  </si>
  <si>
    <t>Nhà nước đã cải cách chính sách thuế theo hướng công bằng hơn, tuy nhiên vẫn cần sự minh bạch trong việc thực thi để đảm bảo khách quan và công bằng với mọi người nộp thuế. Công tác truyền thông cũng có thể chưa đến nơi đến chốn.</t>
  </si>
  <si>
    <t>Mức thuế mới được tính toán dựa trên thu nhập, tuy nhiên mức thuế vẫn có thể không phù hợp với một số đối tượng. Các biện pháp cải cách cần thêm thời gian để chứng minh tính công bằng.</t>
  </si>
  <si>
    <t>Thuế đóng góp vào các dịch vụ công là điều tất yếu, tuy nhiên hiệu quả sử dụng nguồn thu còn phụ thuộc vào quản lý và triển khai chính sách. Cần thêm thời gian để chứng minh việc sử dụng số tiền thuế này một cách hiệu quả.</t>
  </si>
  <si>
    <t>Công tác giải thích về cải cách thuế mới được thực hiện nhưng chưa đầy đủ, đặc biệt là đối với các đối tượng ít tiếp xúc với thông tin chính sách. Cần có thêm nỗ lực để đảm bảo người dân hiểu rõ mục tiêu và lý do của việc sửa đổi.</t>
  </si>
  <si>
    <t>Sau khi xem xét, thấy rằng cải cách thuế mới mang lại lợi ích cho một số đối tượng nhưng vẫn còn nhiều yếu tố cần cải thiện. Niềm tin và sự công bằng chưa đủ để ủng hộ hoàn toàn chính sách mới hiện tại.</t>
  </si>
  <si>
    <t>Các quy định quản lý thuế hiện nay có mức giảm trừ gia cảnh tăng lên, điều này làm giảm gánh nặng thuế cho người dân. Tuy nhiên, vẫn còn nghi ngờ về khả năng phát hiện hành vi trốn thuế.</t>
  </si>
  <si>
    <t>Công nghệ ngày càng tiên tiến, giúp cơ quan thuế có thể phát hiện các hành vi trốn thuế hiệu quả hơn. Tuy nhiên, vẫn cần nâng cao năng lực và công nghệ để đảm bảo.</t>
  </si>
  <si>
    <t>Thủ tục khai báo thuế trở nên đơn giản với số bậc thuế ít hơn, thời gian xử lý nhanh chóng. Tuy nhiên, vẫn có một số điểm cần cải thiện về tiện ích trực tuyến.</t>
  </si>
  <si>
    <t>Cách tính thuế và các bậc thuế mới đơn giản hóa quy trình, dễ hiểu hơn so với trước đây. Điều này giúp người dân thuận lợi trong việc thực hiện nghĩa vụ nộp thuế.</t>
  </si>
  <si>
    <t>Nhà nước đã cải thiện mức giảm trừ gia cảnh và đơn giản hóa biểu thuế, tạo ra một môi trường công bằng hơn cho người dân. Tuy nhiên, vẫn cần thêm minh bạch trong thực thi chính sách.</t>
  </si>
  <si>
    <t>Mức thuế mới được thiết kế để phù hợp với thu nhập cá nhân, tạo nên sự công bằng. Tuy nhiên, mức độ minh bạch về mục tiêu của cải cách thuế cần được cải thiện thêm.</t>
  </si>
  <si>
    <t>Người dân tin rằng số tiền thuế đóng sẽ được sử dụng hiệu quả để cải thiện dịch vụ công. Tuy nhiên, vẫn cần minh bạch hơn trong việc sử dụng nguồn thu từ thuế.</t>
  </si>
  <si>
    <t>Nhà nước đã giải thích các thay đổi về thuế một cách rõ ràng nhưng chưa đầy đủ. Cần có thêm thông tin để người dân hiểu rõ mục tiêu của cải cách.</t>
  </si>
  <si>
    <t>Dù mức thuế mới đơn giản và công bằng hơn, nhưng vẫn cần thêm minh bạch về mục tiêu và hiệu quả sử dụng nguồn thu từ thuế. Đánh giá là tuân thủ chính sách có điều kiện.</t>
  </si>
  <si>
    <t>Biện pháp quản lý thuế mới giúp phát hiện hành vi trốn thuế dễ dàng hơn, với mức giảm trừ gia cảnh tăng và số bậc thuế giảm, việc xác định thu nhập chịu thuế trở nên rõ ràng.</t>
  </si>
  <si>
    <t>Công nghệ và quy định quản lý thuế mới giúp phát hiện trốn thuế nhanh chóng và hiệu quả hơn, giảm khả năng gian lận.</t>
  </si>
  <si>
    <t>Biểu thuế được đơn giản hóa, việc khai báo thuế trở nên dễ dàng hơn, số bậc thuế ít đi giúp quá trình làm việc với cơ quan thuế thuận tiện hơn.</t>
  </si>
  <si>
    <t>Cách tính thuế mới đơn giản và rõ ràng hơn so với trước đây, giúp người dân hiểu nhanh chóng về mức thuế phải đóng.</t>
  </si>
  <si>
    <t>Mức giảm trừ gia cảnh tăng và việc quản lý thuế được cải thiện khiến tôi tin rằng Nhà nước sẽ công bằng trong việc thực thi chính sách.</t>
  </si>
  <si>
    <t>Thuế mới theo phương án này đối với thu nhập của tôi là hợp lý, mức thuế suất giảm đi cũng làm tăng niềm tin về tính công bằng.</t>
  </si>
  <si>
    <t>Thuê đóng góp vào cải thiện dịch vụ công như y tế và hạ tầng cơ sở, giúp nâng cao chất lượng cuộc sống</t>
  </si>
  <si>
    <t>Nhà nước đã giải thích rõ ràng về lý do và mục tiêu của việc sửa đổi thuế thông qua các kênh truyền thông chính thức.</t>
  </si>
  <si>
    <t>Sau khi cân nhắc, tôi thấy lợi ích từ chính sách mới là hợp lý, giảm gánh nặng tài chính và tăng niềm tin vào công bằng</t>
  </si>
  <si>
    <t>Mức giảm trừ gia cảnh tăng, khiến việc trốn thuế khó khăn hơn. Công nghệ hiện đại cũng hỗ trợ phát hiện gian lận.</t>
  </si>
  <si>
    <t>Công nghệ và hệ thống quản lý hiện đại có thể giúp Nhà nước phát hiện và xử lý trốn thuế hiệu quả.</t>
  </si>
  <si>
    <t>Số bậc thuế giảm, quy trình đơn giản hơn, tạo thuận lợi cho người nộp thuế.</t>
  </si>
  <si>
    <t>Cách tính thuế và các bậc thuế trong phương án mới dễ hiểu và thực hiện nhanh chóng hơn so với trước đây.</t>
  </si>
  <si>
    <t>Những cải tiến về giảm trừ gia cảnh và đơn giản hóa biểu thuế tạo cảm giác công bằng cho người nộp thuế.</t>
  </si>
  <si>
    <t>Mức thuế mới được thiết kế dựa trên thu nhập, nhưng không chắc chắn rằng nó hoàn toàn công bằng với mọi đối tượng.</t>
  </si>
  <si>
    <t>Tăng mức giảm trừ gia cảnh giúp cải thiện dịch vụ công, tạo niềm tin về việc sử dụng thuế một cách hiệu quả.</t>
  </si>
  <si>
    <t>Thông điệp giải thích về lý do và mục tiêu của việc sửa đổi thuế chưa rõ ràng như mong đợi.</t>
  </si>
  <si>
    <t>Nguyên tắc cơ bản ủng hộ chính sách mới, nhưng cần thời gian để đánh giá hiệu quả thực tế.</t>
  </si>
  <si>
    <t>Các quy định quản lý thuế hiện nay đã được cải thiện, đặc biệt là với sự phát triển công nghệ. Tuy nhiên, việc trốn thuế vẫn có thể xảy ra nếu người nộp thuế không tuân thủ.</t>
  </si>
  <si>
    <t>Công nghệ hiện đại giúp Nhà nước và cơ quan thuế dễ dàng phát hiện hành vi gian lận hơn so với trước đây, nhờ đó tăng cường khả năng xử lý nghiêm các trường hợp trốn thuế.</t>
  </si>
  <si>
    <t>Thủ tục khai báo thuế đã đơn giản hóa đáng kể, giảm số bậc thuế từ 7 xuống còn 5, do đó dễ dàng hơn cho người nộp thuế.</t>
  </si>
  <si>
    <t>Cách tính và các bậc thuế mới đơn giản và rõ ràng hơn so với trước đây, giúp người dân dễ hiểu và thực hiện đúng.</t>
  </si>
  <si>
    <t>Nhà nước đã cải thiện công bằng trong việc giảm trừ gia cảnh, do đó tạo ra sự tin tưởng rằng mọi người nộp thuế sẽ được đối xử công bằng.</t>
  </si>
  <si>
    <t>Mức thuế mới đã được điều chỉnh theo thu nhập, nên tôi cảm thấy mức này là hợp lý so với thu nhập của mình.</t>
  </si>
  <si>
    <t>Thuê đóng góp vào cải thiện các dịch vụ công như y tế và đường xá, tạo niềm tin rằng tiền thuế đã được sử dụng hiệu quả.</t>
  </si>
  <si>
    <t>Nhà nước đã giải thích rõ ràng về mục tiêu của việc sửa đổi thuế lần này, mặc dù vẫn còn một số chi tiết cần hiểu hơn.</t>
  </si>
  <si>
    <t>Sau khi xem xét các quyền lợi và nghĩa vụ mới, tôi sẽ ủng hộ chính sách nhưng với điều kiện tuân thủ có điều kiện vì có sự phức tạp trong việc áp dụng.</t>
  </si>
  <si>
    <t>Mức giảm trừ gia cảnh tăng, nhưng tôi vẫn nghi ngờ về khả năng phát hiện gian lận của cơ quan thuế.</t>
  </si>
  <si>
    <t>Công nghệ mới có thể giúp, nhưng trốn thuế qua các phương thức kỹ thuật số vẫn khó kiểm soát.</t>
  </si>
  <si>
    <t>Mức giảm trừ gia cảnh tăng, thủ tục đơn giản hơn, nhưng tôi còn lo ngại về việc làm sai</t>
  </si>
  <si>
    <t>Cách tính thuế rõ ràng hơn, số bậc thuế ít đi nên dễ hiểu và thực hiện hơn.</t>
  </si>
  <si>
    <t>Giảm trừ gia cảnh tăng, nhưng tôi vẫn nghi ngờ về cách áp dụng công bằng của cơ quan thuế</t>
  </si>
  <si>
    <t>Thuế suất mới ổn định hơn so với trước đây, nhưng mức tăng giảm không rõ ràng</t>
  </si>
  <si>
    <t>Giảm trừ gia cảnh và thuế suất mới có thể giúp cải thiện dịch vụ công, nhưng tôi vẫn lo ngại về hiệu quả sử dụng</t>
  </si>
  <si>
    <t>Công bố thông tin rõ ràng hơn so với trước đây, nhưng vẫn còn nhiều thông điệp chưa thuyết phục</t>
  </si>
  <si>
    <t>Thu nhập của tôi giảm, mức thuế mới có thể hợp lý, nhưng tôi lo ngại về thực thi và hiệu quả sử dụng tiền thuế</t>
  </si>
  <si>
    <t>Biểu thuế đơn giản và giảm trừ gia cảnh tăng, nhưng không có thông tin về công nghệ phát hiện trốn thuế.</t>
  </si>
  <si>
    <t>Công nghệ hiện đại hỗ trợ việc quản lý thuế hiệu quả hơn, nhưng chưa rõ khả năng thực thi.</t>
  </si>
  <si>
    <t>Biểu thuế giảm từ 7 bậc xuống còn 5, tạo cảm giác thuận tiện và đơn giản hơn.</t>
  </si>
  <si>
    <t>Cách tính thuế mới dễ hiểu với số bậc thuế ít hơn, nhưng chưa rõ hiệu quả thực tế.</t>
  </si>
  <si>
    <t>Giảm trừ gia cảnh tăng, tạo cảm giác công bằng và khách quan đối xử giữa các nhóm thu nhập.</t>
  </si>
  <si>
    <t>Thuế suất mới theo thu nhập có thể phù hợp với mức thu nhập của tôi, nhưng chưa rõ tổng chi phí sau khi giảm trừ.</t>
  </si>
  <si>
    <t>Giảm trừ gia cảnh tăng giúp cải thiện dịch vụ công, tạo cảm giác tin tưởng vào sử dụng hiệu quả nguồn thuế.</t>
  </si>
  <si>
    <t>Thông tin giải thích về sửa đổi thuế chưa rõ ràng và đầy đủ, cần thêm minh bạch từ chính phủ.</t>
  </si>
  <si>
    <t>Niềm tin vào công bằng và minh bạch tăng nhờ các cải cách, nhưng vẫn cân nhắc giữa lợi ích và nghĩa vụ.</t>
  </si>
  <si>
    <t>Biểu thuế đơn giản hóa và tăng giảm trừ gia cảnh có thể khiến quản lý thuế dễ dàng hơn, nhưng việc phát hiện trốn thuế vẫn cần công nghệ hỗ trợ.</t>
  </si>
  <si>
    <t>Công nghệ hiện đại như AI và dữ liệu lớn giúp Nhà nước giám sát hiệu quả các giao dịch tài chính, giảm khả năng trốn thuế.</t>
  </si>
  <si>
    <t>Biểu thuế được đơn giản hóa từ 7 bậc xuống 5 bậc nên thủ tục khai báo và làm việc với cơ quan thuế dễ dàng hơn.</t>
  </si>
  <si>
    <t>Cách tính thuế mới có ít bậc, rõ ràng và trực tiếp hơn so với trước đây, giúp người nộp thuế hiểu nhanh chóng.</t>
  </si>
  <si>
    <t>Mức giảm trừ gia cảnh tăng và số bậc thuế đơn giản hóa cho thấy Nhà nước cố gắng công bằng trong việc đánh thuế.</t>
  </si>
  <si>
    <t>Những thay đổi về biểu thuế mới có thể coi là công bằng đối với thu nhập hiện tại của tôi, nhưng vẫn cần thời gian để đánh giá thực tế.</t>
  </si>
  <si>
    <t>Giảm trừ gia cảnh và đơn giản hóa biểu thuế giúp số tiền thuế tôi đóng được sử dụng hiệu quả hơn cho công ích</t>
  </si>
  <si>
    <t>Thông tin về cải cách thuế đã được giải thích rõ ràng, nhưng vẫn cần thời gian để thấy kết quả thực tế của chính sách mới.</t>
  </si>
  <si>
    <t>Trong ngắn hạn, tôi ủng hộ và tuân thủ vì lợi ích tài chính tăng lên do giảm trừ gia cảnh, nhưng sẽ xem xét kỹ lưỡng trong dài hạn.</t>
  </si>
  <si>
    <t>Các quy định quản lý thuế hiện nay có nhiều công nghệ hỗ trợ, tuy nhiên vẫn phụ thuộc vào việc thực thi.</t>
  </si>
  <si>
    <t>Nhà nước và cơ quan thuế đã đầu tư công nghệ để phát hiện trốn thuế nhưng hiệu quả còn phụ thuộc vào nguồn lực.</t>
  </si>
  <si>
    <t>Mức giảm trừ gia cảnh tăng, thủ tục khai báo trở nên đơn giản hơn so với trước đây, thuận tiện cho người dân.</t>
  </si>
  <si>
    <t>Nhà nước đã tăng giảm trừ gia cảnh, điều này thể hiện sự công bằng trong việc áp dụng chính sách thuế.</t>
  </si>
  <si>
    <t>Mức thuế mới được thiết kế theo thu nhập của người dân, tuy nhiên vẫn có sự phức tạp trong việc tính toán cụ thể.</t>
  </si>
  <si>
    <t>Nhà nước đã sử dụng số tiền thuế thu được vào các dịch vụ công như y tế và giao thông, nhưng hiệu quả sử dụng còn cần theo dõi.</t>
  </si>
  <si>
    <t>Công bố về lý do sửa đổi thuế chưa rõ ràng đến mức cao, việc truyền thông chính sách vẫn còn hạn chế.</t>
  </si>
  <si>
    <t>Tăng giảm trừ gia cảnh và đơn giản hóa thủ tục tạo điều kiện thuận lợi cho người nộp thuế tuân thủ, tuy nhiên sự phức tạp trong tính toán mức thuế vẫn ảnh hưởng đến quyết định cuối cùng.</t>
  </si>
  <si>
    <t>Việc tăng giảm trừ gia cảnh và đơn giản hóa biểu thuế có thể làm giảm rủi ro trốn thuế, nhưng khả năng phát hiện vẫn phụ thuộc vào công nghệ và sự giám sát của cơ quan thuế.</t>
  </si>
  <si>
    <t>Nhà nước đã đầu tư nhiều vào công nghệ quản lý thuế, tăng cường khả năng phát hiện trốn thuế. Công nghệ AI và dữ liệu lớn cũng giúp cải thiện hiệu quả giám sát.</t>
  </si>
  <si>
    <t>Các quy định mới đơn giản hóa quy trình khai báo thuế, nhưng vẫn có một số thủ tục cần thiết khiến nó không hoàn toàn tiện lợi như mong đợi.</t>
  </si>
  <si>
    <t>Biểu thuế đơn giản hơn và rõ ràng hơn so với trước đây, giúp người dân dễ dàng tính toán và tuân thủ.</t>
  </si>
  <si>
    <t>Niềm tin vào sự công bằng của cơ quan thuế tăng do các quy định mới minh bạch và đơn giản hơn. Tuy nhiên, vẫn có những lo ngại về việc thực thi</t>
  </si>
  <si>
    <t>Mức thuế mới được thiết kế nhằm đảm bảo công bằng, nhưng mức giảm trừ gia cảnh tăng mạnh có thể khiến tôi cảm thấy mình đóng thuế ít hơn so với kỳ vọng.</t>
  </si>
  <si>
    <t>Tin tưởng vào việc sử dụng nguồn thu từ thuế hiệu quả để cải thiện dịch vụ công đã tăng lên, nhưng vẫn cần thêm thông tin về cách sử dụng cụ thể.</t>
  </si>
  <si>
    <t>Nhà nước đã giải thích rõ ràng các quy định mới, nhưng vẫn có sự phức tạp và thay đổi lớn khiến tôi cần thời gian để tiếp thu</t>
  </si>
  <si>
    <t>Tổng thể, tôi ủng hộ vì mức thuế giảm và thủ tục đơn giản hơn. Tuy nhiên, quyết định cuối cùng phụ thuộc vào việc thực thi hiệu quả.</t>
  </si>
  <si>
    <t>Các quy định quản lý thuế hiện nay có nhiều cải tiến, nhưng vẫn còn khả năng trốn thuế. Công nghệ giúp phát hiện gian lận, nhưng không hoàn toàn đảm bảo.</t>
  </si>
  <si>
    <t>Nhà nước và cơ quan thuế đã đầu tư công nghệ để tăng cường phát hiện và xử lý trốn thuế, tuy nhiên vẫn còn rủi ro về sự lạm quyền.</t>
  </si>
  <si>
    <t>Các thủ tục khai báo thuế trở nên đơn giản hơn, nhưng vẫn chưa tiện lợi như mong đợi. Việc làm việc với cơ quan thuế cũng nhanh chóng hơn so với trước đây.</t>
  </si>
  <si>
    <t>Way of tax calculation and brackets are simplified, making it easier to understand and apply compared to before.</t>
  </si>
  <si>
    <t>Nhà nước và cơ quan thuế có thể thực thi chính sách một cách công bằng hơn, nhưng vẫn còn nghi ngại về khả năng kiểm soát trốn thuế.</t>
  </si>
  <si>
    <t>Đối với thu nhập của tôi, mức thuế mới được coi là hợp lý và công bằng. Tuy nhiên, vẫn có lo ngại về việc áp dụng thực tế so với lý thuyết.</t>
  </si>
  <si>
    <t>Tôi tin rằng số tiền thuế đóng sẽ được sử dụng hiệu quả cho dịch vụ công, nhưng vẫn còn nghi ngờ về cách quản lý nguồn thu.</t>
  </si>
  <si>
    <t>Nhà nước đã giải thích một cách minh bạch hơn so với trước đây, nhưng vẫn còn cần thêm thông tin để hoàn toàn thuyết phục.</t>
  </si>
  <si>
    <t>Sau khi cân nhắc quyền lợi và nghĩa vụ, tôi thấy chính sách mới mang lại nhiều thuận lợi. Tuy nhiên, sự nghi ngờ về khả năng thực hiện vẫn còn tồn tại.</t>
  </si>
  <si>
    <t>Tăng mức giảm trừ gia cảnh giúp người dân tiết kiệm thuế, nhưng không ảnh hưởng đến khả năng phát hiện trốn thuế. Công nghệ hiện đại cũng hỗ trợ hiệu quả trong việc giám sát.</t>
  </si>
  <si>
    <t>Công nghệ ngày càng phát triển và quy định quản lý thuế chặt chẽ hơn, do đó khả năng phát hiện trốn thuế cao hơn.</t>
  </si>
  <si>
    <t>Biểu thuế đơn giản hóa từ 7 bậc xuống còn 5 bậc, giảm bớt rườm rà trong khai báo thuế. Quy trình làm việc với cơ quan thuế trở nên thuận tiện hơn.</t>
  </si>
  <si>
    <t>Cách tính thuế mới đơn giản và dễ hiểu hơn so với trước đây, các bậc thuế rõ ràng hơn giúp người dân dễ dàng nắm bắt.</t>
  </si>
  <si>
    <t>Mức giảm trừ gia cảnh cao hơn cho bản thân và người phụ thuộc có thể tạo niềm tin về sự công bằng trong việc thực thi chính sách thuế.</t>
  </si>
  <si>
    <t>Thuế suất mới được thiết lập dựa trên thu nhập, nên mức thuế tôi phải đóng là hợp lý so với thu nhập của mình. Tuy nhiên, vẫn có một số lo ngại về cách giải thích rõ ràng.</t>
  </si>
  <si>
    <t>Thuế đóng góp vào sự phát triển cơ sở hạ tầng và dịch vụ công, nhưng cần thời gian để thấy được kết quả thực tế.</t>
  </si>
  <si>
    <t>Công bố về mục tiêu của chính sách thuế mới khá đầy đủ, tuy nhiên vẫn có những điểm chưa rõ ràng trong quá trình truyền thông.</t>
  </si>
  <si>
    <t>Chính sách mới mang lại nhiều lợi ích tài chính và thủ tục làm việc thuận tiện hơn. Tuy nhiên, vẫn còn một số lo ngại về khả năng thực thi và minh bạch trong truyền thông.</t>
  </si>
  <si>
    <t>Biện pháp quản lý thuế được cải thiện, tăng giảm trừ gia cảnh và đơn giản hóa biểu thuế có thể làm giảm hành vi gian lận.</t>
  </si>
  <si>
    <t>Công nghệ phát triển và chính sách quản lý thuế chặt chẽ hơn nên khả năng phát hiện trốn thuế cũng tăng lên.</t>
  </si>
  <si>
    <t>Mức giảm trừ gia cảnh tăng và số bậc thuế giảm, thủ tục khai báo trở nên đơn giản hơn so với trước đây.</t>
  </si>
  <si>
    <t>Biểu thuế được rút gọn từ 7 bậc xuống còn 5 bậc, việc tính toán thuế trở nên dễ dàng và minh bạch hơn.</t>
  </si>
  <si>
    <t>Chính sách mới công bằng hơn với người thu nhập thấp nhờ mức giảm trừ gia cảnh tăng, nhưng vẫn đảm bảo đối xử bình đẳng với mọi người nộp thuế.</t>
  </si>
  <si>
    <t>Thuế suất được điều chỉnh một cách hợp lý dựa trên thu nhập, tạo cảm giác công bằng cho người dân.</t>
  </si>
  <si>
    <t>Giảm trừ gia cảnh tăng và thuế suất phù hợp với mức thu nhập cá nhân giúp số tiền đóng thuế được sử dụng hiệu quả hơn để cải thiện dịch vụ công.</t>
  </si>
  <si>
    <t>Chính phủ đã giải thích rõ ràng về mục tiêu của chính sách mới, nhưng vẫn còn một số điểm chưa thuyết phục đối với một bộ phận người dân.</t>
  </si>
  <si>
    <t>Sau khi xem xét các quyền lợi và nghĩa vụ, tôi có ủng hộ vì giảm trừ gia cảnh tăng và thuế suất công bằng hơn, nhưng vẫn cần thời gian để tin tưởng hoàn toàn vào hiệu quả thực hiện.</t>
  </si>
  <si>
    <t>Theo quy định mới, mức giảm trừ gia cảnh tăng lên đáng kể. Tuy nhiên, khả năng phát hiện trốn thuế vẫn phụ thuộc vào công nghệ và nguồn lực của cơ quan thuế.</t>
  </si>
  <si>
    <t>Công nghệ phát triển nhanh chóng, nhưng việc phát hiện trốn thuế đòi hỏi nhiều yếu tố. Cơ quan thuế cần nâng cao năng lực kỹ thuật để tăng hiệu quả quản lý.</t>
  </si>
  <si>
    <t>Mức giảm trừ gia cảnh tăng và đơn giản hóa biểu thuế, nhưng quy trình khai báo vẫn phức tạp. Có thể thủ tục làm việc với cơ quan thuế sẽ dễ dàng hơn.</t>
  </si>
  <si>
    <t>Biểu thuế mới đơn giản hơn so với trước đây, nhưng mức độ hiểu và thực hiện cần thời gian để thích ứng.</t>
  </si>
  <si>
    <t>Tăng giảm trừ gia cảnh giúp tôi cảm thấy công bằng hơn. Tuy nhiên, niềm tin vào sự khách quan của cơ quan thuế vẫn cần thời gian để xây dựng.</t>
  </si>
  <si>
    <t>Mức thuế mới được thiết kế dựa trên thu nhập, nhưng tôi cần thêm thông tin về cách sử dụng nguồn thu để đánh giá tính công bằng.</t>
  </si>
  <si>
    <t>Đây là lần đầu tiên có các thay đổi lớn trong thuế TNCN. Tôi hy vọng số tiền đóng sẽ được sử dụng hiệu quả, nhưng cần thời gian để thấy kết quả.</t>
  </si>
  <si>
    <t>Thông tin về sửa đổi thuế được cung cấp qua nhiều kênh, nhưng tôi cần thêm thông tin minh bạch về mục tiêu chính sách mới.</t>
  </si>
  <si>
    <t>Tăng giảm trừ gia cảnh và đơn giản hóa biểu thuế giúp tôi ủng hộ chính sách. Tuy nhiên, quyết định tuân thủ phụ thuộc vào hiệu quả thực tế của việc cải cách.</t>
  </si>
  <si>
    <t>Các quy định quản lý thuế hiện nay có nhiều cải tiến, nhưng vẫn còn nhiều thách thức trong việc phát hiện trốn thuế. Công nghệ hiện đại giúp tăng cường khả năng phát hiện, nhưng chưa thể loại bỏ hoàn toàn tình trạng trốn thuế.</t>
  </si>
  <si>
    <t>Công nghệ hiện đại ngày càng phát triển và được áp dụng trong quản lý thuế, tạo điều kiện thuận lợi cho việc phát hiện và xử lý nghiêm các hành vi trốn thuế. Tuy nhiên, vẫn cần thời gian để hoàn thiện hệ thống.</t>
  </si>
  <si>
    <t>Các thủ tục khai báo thuế được đơn giản hóa, nhưng vẫn còn một số điểm phức tạp do nhiều thay đổi. Các quy trình làm việc với cơ quan thuế cũng nhanh chóng hơn so với trước đây.</t>
  </si>
  <si>
    <t>Cách tính thuế và các bậc thuế trong phương án mới đơn giản hóa, dễ hiểu và dễ thực hiện hơn. Số bậc thuế giảm từ 7 xuống còn 5, giúp giảm bớt sự phức tạp cho người nộp thuế.</t>
  </si>
  <si>
    <t>Nhà nước đã cải thiện mức giảm trừ gia cảnh và đơn giản hóa biểu thuế, tạo điều kiện thuận lợi hơn cho người dân. Tuy nhiên, vẫn còn nhiều thắc mắc về sự công bằng trong việc áp dụng các quy định mới.</t>
  </si>
  <si>
    <t>Mức thuế mới được thiết kế để đảm bảo tính công bằng, nhưng cần thời gian để đánh giá hiệu quả thực tế. Tuy nhiên, mức giảm trừ gia cảnh và đơn giản hóa biểu thuế đã tạo lợi ích đáng kể cho người dân.</t>
  </si>
  <si>
    <t>Số tiền thuế tôi đóng sẽ được sử dụng hiệu quả để cải thiện dịch vụ công, nhưng cần thời gian để đánh giá kết quả thực tế. Tuy nhiên, mức giảm trừ gia cảnh và đơn giản hóa biểu thuế đã tạo lợi ích đáng kể cho người dân.</t>
  </si>
  <si>
    <t>Nhà nước đã giải thích rõ ràng về mục tiêu cải cách thuế, nhưng cần thêm thời gian để đánh giá hiệu quả của thông điệp truyền thông. Tuy nhiên, mức giảm trừ gia cảnh và đơn giản hóa biểu thuế đã tạo lợi ích đáng kể cho người dân.</t>
  </si>
  <si>
    <t>Sau khi xem xét các quyền lợi và nghĩa vụ, tôi thấy chính sách mới mang lại lợi ích đáng kể về mặt tài chính. Tuy nhiên, vẫn cần thêm thời gian để đánh giá hiệu quả thực tế của chính sách.</t>
  </si>
  <si>
    <t>Cải cách thuế TNCN giúp giảm gánh nặng và đơn giản hóa quy trình, tăng khả năng phát hiện hành vi trốn thuế.</t>
  </si>
  <si>
    <t>Nhà nước đã đầu tư công nghệ để phát hiện và xử lý nghiêm các vụ trốn thuế.</t>
  </si>
  <si>
    <t>Bậc thuế được giảm từ 7 xuống còn 5, đơn giản hóa quy trình khai báo thuế.</t>
  </si>
  <si>
    <t>Phương án mới đơn giản và dễ hiểu hơn so với trước đây.</t>
  </si>
  <si>
    <t>Những cải cách như tăng giảm trừ gia cảnh và đơn giản hóa quy trình được xem là công bằng đối với tất cả người nộp thuế.</t>
  </si>
  <si>
    <t>Mức thuế mới được thiết kế để phù hợp với thu nhập hiện tại của tôi, cho thấy sự công bằng trong việc phân chia gánh nặng thuế.</t>
  </si>
  <si>
    <t>Tiền thuế đóng góp sẽ hỗ trợ cải thiện dịch vụ công như y tế và đường xá, tạo niềm tin vào sử dụng hiệu quả nguồn thu ngân sách.</t>
  </si>
  <si>
    <t>Đã có thông báo về những thay đổi này nhưng không rõ ràng như tôi mong đợi.</t>
  </si>
  <si>
    <t>Cải cách thuế giúp giảm gánh nặng và đơn giản hóa quy trình, tăng niềm tin vào công bằng và hiệu quả sử dụng nguồn thu thuế.</t>
  </si>
  <si>
    <t>Quy định quản lý thuế hiện nay được cải thiện, đặc biệt là việc tăng giảm trừ gia cảnh và đơn giản hóa biểu thuế. Điều này làm giảm cơ hội cho hành vi gian lận hoặc trốn thuế.</t>
  </si>
  <si>
    <t>Công nghệ phát triển giúp Nhà nước có thể dễ dàng phát hiện và xử lý nghiêm các hành vi trốn thuế, tăng cường khả năng quản lý thuế.</t>
  </si>
  <si>
    <t>Bậc thuế được rút gọn từ 7 xuống còn 5 bậc, cùng với việc tăng giảm trừ gia cảnh, làm đơn giản hóa quy trình khai báo thuế và tương tác với cơ quan thuế.</t>
  </si>
  <si>
    <t>Cách tính thuế và các bậc thuế mới dễ hiểu hơn so với trước đây, giúp người nộp thuế nắm bắt nhanh chóng.</t>
  </si>
  <si>
    <t>Nhà nước đã cải thiện quy định quản lý thuế một cách công bằng, giảm gánh nặng cho nhiều người thu nhập thấp và trung bình. Điều này tạo niềm tin vào tính khách quan và công bằng trong việc thực thi chính sách.</t>
  </si>
  <si>
    <t>Nhìn chung mức thuế mới được xem xét kỹ lưỡng dựa trên thu nhập, nên tôi thấy là công bằng. Tuy nhiên, do mức tăng giảm trừ gia cảnh chỉ áp dụng cho người phụ thuộc và bản thân, nên chưa phải rất công bằng với tất cả mọi người.</t>
  </si>
  <si>
    <t>Thuế mới được sử dụng để cải thiện dịch vụ công như y tế và giao thông, tuy nhiên mức độ hiệu quả còn phụ thuộc vào việc quản lý tài chính của Nhà nước.</t>
  </si>
  <si>
    <t>Nhà nước đã giải thích rõ ràng về mục tiêu của việc cải cách thuế. Tuy nhiên, tôi vẫn có một số nghi ngờ về việc thực hiện các biện pháp này.</t>
  </si>
  <si>
    <t>Sau khi xem xét, tôi thấy chính sách mới mang lại lợi ích cho nhiều người thu nhập thấp và trung bình. Tuy nhiên, mức độ ủng hộ còn phụ thuộc vào khả năng thực thi của Nhà nước.</t>
  </si>
  <si>
    <t>Điểm này dựa trên cải cách thuế mới, mặc dù không có thông tin chi tiết về công nghệ phát hiện gian lận, nhưng mức giảm trừ gia cảnh và đơn giản hóa quy trình khai báo thuế làm tăng niềm tin vào tính minh bạch của chính sách.</t>
  </si>
  <si>
    <t>Cải cách thuế mới có thể giúp phát hiện gian lận dễ dàng hơn do mức giảm trừ gia cảnh và đơn giản hóa quy trình khai báo. Tuy nhiên, không có thông tin cụ thể về công nghệ phát hiện trốn thuế.</t>
  </si>
  <si>
    <t>Cải cách thuế mới đã đơn giản hóa quy trình khai báo và giảm số bậc thuế từ 7 xuống còn 5, tạo thuận lợi cho người nộp thuế. Điều này tăng điểm trên thang đo thuận tiện.</t>
  </si>
  <si>
    <t>Các bậc thuế mới đơn giản hơn, dễ hiểu và dễ thực hiện hơn so với trước đây. Việc giảm số bậc từ 7 xuống 5 tạo ra sự minh bạch và dễ dàng cho người nộp thuế.</t>
  </si>
  <si>
    <t>Niềm tin vào tính công bằng của chính sách mới dựa trên việc tăng mức giảm trừ gia cảnh, đơn giản hóa quy trình khai báo, và rõ ràng về mục tiêu cải cách. Tuy nhiên, do không có thông tin cụ thể về thực thi công bằng, điểm số vẫn ở mức trung bình.</t>
  </si>
  <si>
    <t>Mức thuế mới được thiết kế dựa trên thu nhập cá nhân, tạo cảm giác công bằng. Tuy nhiên, do không có thông tin cụ thể về việc sử dụng hiệu quả số tiền thuế đã đóng, điểm số vẫn ở mức trung bình.</t>
  </si>
  <si>
    <t>Niềm tin vào việc sử dụng hiệu quả số tiền thuế dựa trên cải cách tăng mức giảm trừ gia cảnh và đơn giản hóa quy trình khai báo. Tuy nhiên, do không có thông tin cụ thể về việc sử dụng hiệu quả, điểm số vẫn ở mức trung bình.</t>
  </si>
  <si>
    <t>Điểm này dựa trên cải cách thuế mới đơn giản hóa quy trình khai báo và giảm số bậc thuế từ 7 xuống còn 5. Tuy nhiên, không có thông tin cụ thể về việc giải thích rõ ràng mục tiêu của cải cách.</t>
  </si>
  <si>
    <t>Mặc dù các cải cách thuế mới tạo thuận lợi cho người nộp thuế và tăng mức giảm trừ gia cảnh, nhưng do không có thông tin chi tiết về thực thi chính sách, điểm số vẫn ở mức trung bình. Người nộp thuế ủng hộ với quyết định tuân thủ.</t>
  </si>
  <si>
    <t>Các quy định quản lý thuế hiện nay tăng cường giám sát, giảm khả năng trốn thuế. Mức giảm trừ gia cảnh cao hơn cũng giúp giảm gian lận.</t>
  </si>
  <si>
    <t>Nhà nước và cơ quan thuế có các công nghệ tiên tiến để phát hiện trốn thuế. Việc đơn giản hóa biểu thuế tạo thuận lợi cho việc quản lý.</t>
  </si>
  <si>
    <t>Biểu thuế được đơn giản hóa, giảm số bậc từ 7 xuống 5, làm thủ tục khai báo và giao dịch với cơ quan thuế dễ dàng hơn.</t>
  </si>
  <si>
    <t>Các bậc thuế mới rõ ràng hơn, giúp người nộp thuế hiểu nhanh chóng mức thuế phải đóng. Việc giảm trừ gia cảnh cao cũng đơn giản hóa quy trình tính toán.</t>
  </si>
  <si>
    <t>Nhà nước và cơ quan thuế thực hiện công bằng khi tăng mức giảm trừ, đảm bảo mọi người nộp thuế được đối xử bình đẳng.</t>
  </si>
  <si>
    <t>Mức thuế mới được thiết kế để công bằng với thu nhập cá nhân. Việc tăng giảm trừ gia cảnh giúp phân bổ gánh nặng thuế hợp lý hơn.</t>
  </si>
  <si>
    <t>Thuế được sử dụng hiệu quả cho các dịch vụ công, như y tế và đường xá. Mức độ tin tưởng vào việc này cao nhờ cải cách quản lý thuế.</t>
  </si>
  <si>
    <t>Nhà nước đã giải thích rõ ràng về mục tiêu của chính sách mới, giúp người dân hiểu được lợi ích của các thay đổi.</t>
  </si>
  <si>
    <t>Sau khi xem xét các quyền lợi và nghĩa vụ, tôi ủng hộ chính sách này vì nó mang lại nhiều thuận lợi hơn so với trước đây. Tuy nhiên, vẫn có một số lo ngại về khả năng thực thi.</t>
  </si>
  <si>
    <t>Tăng mức giảm trừ gia cảnh và đơn giản hóa biểu thuế có thể làm giảm cơ hội trốn thuế, nhưng việc phát hiện gian lận vẫn phụ thuộc vào sự giám sát của cơ quan thuế.</t>
  </si>
  <si>
    <t>Công nghệ ngày càng tiến bộ, giúp phát hiện và xử lý nhanh chóng các hành vi trốn thuế. Tuy nhiên, cần xem xét khả năng thực thi trên thực tế.</t>
  </si>
  <si>
    <t>Mức giảm trừ gia cảnh cao hơn và số bậc thuế ít đi có thể làm đơn giản hóa quy trình khai báo thuế, nhưng vẫn còn nhiều thủ tục cần tuân thủ.</t>
  </si>
  <si>
    <t>Cách tính thuế mới rõ ràng hơn so với trước đây, nhưng việc áp dụng các bậc thuế cụ thể có thể gây phức tạp cho người nộp thuế.</t>
  </si>
  <si>
    <t>Nâng cao mức giảm trừ gia cảnh và số bậc thuế ít đi có thể làm tăng niềm tin vào sự công bằng của chính sách, nhưng cần xem xét việc thực thi.</t>
  </si>
  <si>
    <t>Thuế mới được tính dựa trên thu nhập thực tế, nên công bằng hơn so với trước đây. Tuy nhiên, mức thuế cụ thể còn phụ thuộc vào tình hình cá nhân.</t>
  </si>
  <si>
    <t>Công bằng trong việc sử dụng số tiền thuế đóng để cải thiện dịch vụ công là quan trọng, nhưng cần xem xét hiệu quả thực tế của chính sách.</t>
  </si>
  <si>
    <t>Chính phủ đã giải thích rõ ràng về mục tiêu của chính sách mới. Tuy nhiên, sự minh bạch trong việc truyền thông và triển khai chính sách còn cần cải thiện.</t>
  </si>
  <si>
    <t>Các quyền lợi từ chính sách mới có thể làm tăng ủng hộ, nhưng quyết định cuối cùng phụ thuộc vào mức độ tin tưởng vào sự công bằng và hiệu quả của chính sách.</t>
  </si>
  <si>
    <t>Theo luật mới, mức giảm trừ gia cảnh tăng mạnh và đơn giản hóa biểu thuế giúp giảm gian lận thuế. Tuy nhiên, vẫn cần công nghệ hiện đại để phát hiện trốn thuế.</t>
  </si>
  <si>
    <t>Công nghệ tiên tiến như AI có thể hỗ trợ việc phát hiện và xử lý trốn thuế hiệu quả hơn. Tuy nhiên, sự thực thi phụ thuộc nhiều vào nguồn lực của cơ quan thuế.</t>
  </si>
  <si>
    <t>Mức giảm trừ gia cảnh tăng và đơn giản hóa biểu thuế làm thủ tục khai báo thuế dễ dàng hơn. Các bước quy trình cũng trở nên nhanh chóng và tiện lợi hơn.</t>
  </si>
  <si>
    <t>Các bậc thuế mới đơn giản hơn, giúp tính toán thu nhập chịu thuế dễ hiểu hơn so với trước đây.</t>
  </si>
  <si>
    <t>Những thay đổi về giảm trừ gia cảnh và biểu thuế làm giảm gánh nặng cho người nộp thuế. Tuy nhiên, sự công bằng vẫn phụ thuộc vào cách thực thi chính sách.</t>
  </si>
  <si>
    <t>Thuế mới được đơn giản hóa, điều này có thể tạo cảm giác công bằng hơn so với biểu thuế phức tạp trước đây.</t>
  </si>
  <si>
    <t>Giảm trừ gia cảnh tăng giúp giảm gánh nặng cho người nộp thuế. Tuy nhiên, hiệu quả sử dụng số tiền thuế vẫn phụ thuộc vào quản lý ngân sách của Nhà nước.</t>
  </si>
  <si>
    <t>Thông tin về luật mới được đơn giản hóa nhưng cần thêm thông tin chi tiết để thuyết phục người dân hoàn toàn. Hiện nay, tôi chưa thấy giải thích đầy đủ về mục tiêu sửa đổi thuế.</t>
  </si>
  <si>
    <t>Dù thuế giảm và thủ tục đơn giản hơn, nhưng vẫn có sự phức tạp trong việc tính toán và hiểu luật mới. Tôi cần thời gian để quen với quy định mới trước khi ủng hộ.</t>
  </si>
  <si>
    <t>Công nghệ hiện đại và quy định quản lý thuế chặt chẽ hơn đã giảm đáng kể khả năng trốn thuế.</t>
  </si>
  <si>
    <t>Nhà nước và cơ quan thuế có nhiều nguồn lực để phát hiện và xử lý gian lận, đặc biệt với sự hỗ trợ của công nghệ.</t>
  </si>
  <si>
    <t>Mức giảm trừ gia cảnh cao hơn và quy trình khai báo đơn giản hơn làm tăng thuận tiện cho người nộp thuế.</t>
  </si>
  <si>
    <t>Biểu thuế được đơn giản hóa, dễ hiểu hơn so với trước đây, giúp người dân tính toán nhanh chóng.</t>
  </si>
  <si>
    <t>Niềm tin vào sự công bằng của Nhà nước trong việc thực thi các chính sách mới đang tăng lên.</t>
  </si>
  <si>
    <t>Mức thuế mới được thiết kế phù hợp với thu nhập hiện tại, tạo cảm giác công bằng cho người dân.</t>
  </si>
  <si>
    <t>Thuế đóng góp vào các dịch vụ công quan trọng như y tế và giao thông, tạo niềm tin về việc sử dụng hiệu quả nguồn lực.</t>
  </si>
  <si>
    <t>Nhà nước đã cung cấp thông tin chi tiết về lý do và mục tiêu của chính sách mới, giúp người dân hiểu rõ hơn.</t>
  </si>
  <si>
    <t>Sau xem xét, tôi thấy lợi ích từ chính sách mới vượt trội so với việc tuân thủ các nghĩa vụ thuế hiện tại.</t>
  </si>
  <si>
    <t>Biên pháp quản lý thuế hiện nay chưa có nhiều cải tiến, khó phát hiện hành vi gian lận hoặc trốn thuế.</t>
  </si>
  <si>
    <t>Công nghệ kiểm soát thuế ngày càng phát triển, nhưng vẫn cần thời gian để áp dụng hiệu quả.</t>
  </si>
  <si>
    <t>Mức giảm trừ gia cảnh tăng lên và đơn giản hóa biểu thuế làm cho thủ tục khai báo thuế trở nên thuận tiện hơn so với trước đây.</t>
  </si>
  <si>
    <t>Biểu thuế được rút gọn từ 7 bậc xuống còn 5 bậc, giảm bớt sự phức tạp và dễ hiểu hơn.</t>
  </si>
  <si>
    <t>Nhìn chung các quy định mới tạo ra một môi trường công bằng hơn, nhưng vẫn còn nhiều nghi ngờ về thực thi chính sách.</t>
  </si>
  <si>
    <t>Mức thuế mới phù hợp với thu nhập hiện tại của tôi, cho thấy sự công bằng trong việc phân bổ gánh nặng thuế.</t>
  </si>
  <si>
    <t>Tôi tin rằng số tiền thuế đóng sẽ được sử dụng hiệu quả để cải thiện dịch vụ công, nhưng cần thêm thời gian để đánh giá thực tế.</t>
  </si>
  <si>
    <t>Nhà nước đã giải thích rõ ràng về các thay đổi, tuy nhiên vẫn còn một số quan ngại về minh bạch đầy đủ trong thông tin chính sách.</t>
  </si>
  <si>
    <t>Tổng hợp các yếu tố trên, tôi có xu hướng ủng hộ và tuân thủ chính sách mới nhưng cần thêm thời gian để đánh giá thực tế.</t>
  </si>
  <si>
    <t>Biện pháp quản lý thuế được tăng cường, mức giảm trừ gia cảnh cao hơn giúp phát hiện trốn thuế dễ dàng hơn.</t>
  </si>
  <si>
    <t>Công nghệ số hóa và quy định rõ ràng về xử lý hành vi trốn thuế tạo cơ sở cho việc phát hiện và xử lý hiệu quả.</t>
  </si>
  <si>
    <t>Biểu thuế đơn giản hơn, giảm bậc thuế từ 7 xuống còn 5, thủ tục khai báo dễ dàng hơn.</t>
  </si>
  <si>
    <t>Phương án mới có các bậc thuế rõ ràng, dễ hiểu và áp dụng cho nhiều đối tượng.</t>
  </si>
  <si>
    <t>Nhà nước đã tăng giảm trừ gia cảnh, minh bạch hóa quy định, tạo sự công bằng trong việc thực thi chính sách.</t>
  </si>
  <si>
    <t>Mức thuế mới được thiết kế hợp lý dựa trên thu nhập, thể hiện tính công bằng trong việc đóng góp tài chính.</t>
  </si>
  <si>
    <t>Tăng giảm trừ gia cảnh và đơn giản hóa biểu thuế tạo cơ sở cho việc sử dụng hiệu quả số tiền thuế được đóng.</t>
  </si>
  <si>
    <t>Các thông tin về cải cách thuế được công khai, minh bạch giúp người dân dễ dàng hiểu rõ mục tiêu của chính sách mới.</t>
  </si>
  <si>
    <t>Sau khi xem xét các quyền lợi và nghĩa vụ, tôi thấy việc tuân thủ chính sách mới là hợp lý, đặc biệt với mức thuế giảm trừ gia cảnh cao hơn.</t>
  </si>
  <si>
    <t>Tăng mức giảm trừ gia cảnh và đơn giản hóa biểu thuế có thể làm giảm khả năng phát hiện hành vi trốn thuế, do đó giảm niềm tin vào việc phát hiện gian lận.</t>
  </si>
  <si>
    <t>Công nghệ hiện đại giúp tăng cường quản lý thuế và phát hiện các hành vi trốn thuế; khả năng xử lý nghiêm sẽ phụ thuộc vào quyết tâm của nhà chức trách.</t>
  </si>
  <si>
    <t>Mức giảm trừ gia cảnh cao hơn và số bậc thuế ít hơn có thể làm thủ tục khai báo đơn giản hơn, nhưng việc thực hiện vẫn còn phức tạp với người mới.</t>
  </si>
  <si>
    <t>Biểu thuế đơn giản hóa giúp tính toán nhanh chóng và dễ hiểu hơn, nhưng cần thời gian để mọi người quen thuộc với quy định mới.</t>
  </si>
  <si>
    <t>Giảm trừ gia cảnh cao hơn và mức thuế rõ ràng có thể tăng niềm tin vào việc đối xử công bằng giữa các nhóm thu nhập khác nhau.</t>
  </si>
  <si>
    <t>Mức thuế mới dựa trên thu nhập cá nhân, nhưng cần xem xét liệu nó có phù hợp với mức sống chung hay không để đánh giá công bằng.</t>
  </si>
  <si>
    <t>Giảm trừ gia cảnh cao hơn và đơn giản hóa thuế suất có thể tăng niềm tin vào việc sử dụng hiệu quả số tiền thuế thu được cho dịch vụ công.</t>
  </si>
  <si>
    <t>Các thông tin về cải cách thuế chưa đủ rõ ràng, cần nhiều thời gian để mọi người hiểu và chấp nhận.</t>
  </si>
  <si>
    <t>Niềm tin vào công bằng và minh bạch còn hạn chế; mức giảm trừ gia cảnh cao hơn có thể tăng sự ủng hộ, nhưng vẫn có lo ngại về tuân thủ.</t>
  </si>
  <si>
    <t>Dựa trên các biện pháp quản lý thuế hiện nay và công nghệ phát triển, việc phát hiện trốn thuế có thể được cải thiện đáng kể. Tuy nhiên, mức độ hiệu quả phụ thuộc vào sự kiên trì của cơ quan thuế trong thực thi.</t>
  </si>
  <si>
    <t>Công nghệ và nguồn lực của Nhà nước đã phát triển mạnh mẽ, tăng khả năng phát hiện trốn thuế. Tuy nhiên, việc xử lý nghiêm vẫn cần cải thiện hơn nữa để nâng cao hiệu quả.</t>
  </si>
  <si>
    <t>So với trước đây, các quy trình khai báo thuế đã được đơn giản hóa và nhanh chóng hơn. Tuy nhiên, sự thuận tiện còn phụ thuộc vào khả năng tiếp cận công nghệ của người dân.</t>
  </si>
  <si>
    <t>Cách tính thuế mới đơn giản hơn nhưng vẫn cần thời gian để mọi người hiểu và thích nghi. Sự dễ dàng thực hiện cũng cần dựa trên sự hiểu biết về quy định mới.</t>
  </si>
  <si>
    <t>Nhà nước đã cải thiện việc minh bạch trong quản lý thuế, nhưng vẫn có không ít người nghi ngờ về sự công bằng của hệ thống. Mức độ tin tưởng phụ thuộc vào việc thực thi chính sách.</t>
  </si>
  <si>
    <t>Mức thuế mới được điều chỉnh phù hợp với thu nhập hiện tại, tạo cảm giác công bằng cho người dân. Tuy nhiên, vẫn cần thêm thời gian để mọi người hiểu rõ về sự công bằng này.</t>
  </si>
  <si>
    <t>Người dân tin rằng số tiền thuế đóng sẽ được sử dụng hiệu quả nhưng không biết cụ thể mục tiêu cải thiện dịch vụ công nào. Tuy nhiên, mức độ tin tưởng vẫn tăng nhờ giảm trừ gia cảnh.</t>
  </si>
  <si>
    <t>Nhà nước đã giải thích rõ ràng về mục tiêu của việc sửa đổi thuế nhưng người dân còn nhiều nghi ngờ. Sự minh bạch và tin cậy trong thông tin truyền đạt vẫn cần được cải thiện.</t>
  </si>
  <si>
    <t>Bên cạnh các ưu điểm, mức độ ủng hộ và tuân thủ vẫn phụ thuộc vào sự hiểu biết và tin tưởng của người dân. Cần thêm thời gian để mọi người làm quen với chính sách mới.</t>
  </si>
  <si>
    <t>Biện pháp quản lý thuế hiện nay chưa rõ ràng, việc phát hiện trốn thuế phụ thuộc nhiều vào sự tuân thủ của người nộp thuế. Không có công nghệ tiên tiến hỗ trợ.</t>
  </si>
  <si>
    <t>Công nghệ hiện đại giúp cải thiện khả năng phát hiện hành vi gian lận, nhưng vẫn phụ thuộc vào hệ thống quản lý và xử lý của cơ quan thuế. Công nghệ chưa hoàn thiện để phát hiện trốn thuế hiệu quả.</t>
  </si>
  <si>
    <t>Đơn giản hóa quy trình khai báo có thể giúp giảm bớt gian nan, nhưng vẫn còn nhiều thủ tục phức tạp cần cải tiến. So với trước đây, các bước đã đơn giản hơn</t>
  </si>
  <si>
    <t>Cách tính thuế mới có thể dễ hiểu hơn, nhưng vẫn chưa thực sự đơn giản đối với người dân bình thường. Các bậc thuế rõ ràng hơn, giúp việc tính toán đơn giản hơn.</t>
  </si>
  <si>
    <t>Nhà nước đã cải thiện mức giảm trừ gia cảnh, tạo ra cảm giác công bằng cho mọi người nộp thuế. Tuy nhiên, vẫn còn lo ngại về khả năng thực thi chính sách một cách khách quan.</t>
  </si>
  <si>
    <t>Mức thuế mới có thể hợp lý hơn so với trước đây, nhưng vẫn cần thêm thời gian để đánh giá tính công bằng của nó. Cải cách này chưa thực sự phản ánh đúng mức thu nhập.</t>
  </si>
  <si>
    <t>Thuế góp cho dịch vụ công là vấn đề quan trọng, nhưng vẫn còn nhiều lo ngại về việc sử dụng hiệu quả số tiền thuế. Hiệu quả sử dụng nguồn lực chưa được minh bạch rõ ràng.</t>
  </si>
  <si>
    <t>Nhà nước đã giải thích một cách tổng quan về lý do và mục tiêu cải cách, nhưng chi tiết còn hạn chế. Cần thêm thông tin để người dân hiểu rõ hơn</t>
  </si>
  <si>
    <t>Sau khi xem xét lợi ích từ cải cách thuế, tôi thấy nó mang lại một số thuận lợi cho người dân. Tuy nhiên, vẫn còn nhiều lo ngại về khả năng thực thi và hiệu quả của chính sách</t>
  </si>
  <si>
    <t>Chính sách mới tăng mạnh mức giảm trừ gia cảnh, giảm số bậc thuế và đơn giản hóa quy trình khai báo. Tuy nhiên, việc phát hiện trốn thuế phụ thuộc nhiều vào công nghệ và nguồn lực của cơ quan thuế.</t>
  </si>
  <si>
    <t>Công nghệ hiện đại giúp cải thiện khả năng phát hiện gian lận, tuy nhiên vẫn cần nguồn lực và chiến lược phù hợp từ phía nhà nước.</t>
  </si>
  <si>
    <t>Biểu thuế được đơn giản hóa từ 7 bậc xuống còn 5 bậc, quy trình khai báo trở nên nhanh chóng hơn. Người nộp thuế cảm thấy thuận tiện hơn khi không cần cân nhắc nhiều mức thu nhập.</t>
  </si>
  <si>
    <t>Mức thuế mới được chia thành ít bậc hơn và rõ ràng hơn so với trước đây, giúp người dân dễ dàng tính toán.</t>
  </si>
  <si>
    <t>Chính sách mới tăng mức giảm trừ gia cảnh và đơn giản hóa quy trình khai báo thuế. Điều này có thể làm tăng niềm tin rằng Nhà nước sẽ thực thi công bằng với mọi người nộp thuế.</t>
  </si>
  <si>
    <t>Mức thuế mới được chia thành ít bậc hơn, rõ ràng hơn so với trước đây và mức giảm trừ gia cảnh đã tăng. Điều này có thể làm tăng cảm giác rằng mức thuế là công bằng.</t>
  </si>
  <si>
    <t>Chính sách mới tăng mức giảm trừ gia cảnh và đơn giản hóa quy trình khai báo thuế, người dân tin rằng số tiền thuế đóng sẽ được sử dụng hiệu quả để cải thiện dịch vụ công.</t>
  </si>
  <si>
    <t>Các thông tin về lý do và mục tiêu của việc sửa đổi thuế đã được cải thiện so với trước đây, tuy nhiên vẫn cần thêm minh bạch hơn từ phía nhà nước để thuyết phục người dân.</t>
  </si>
  <si>
    <t>Chính sách mới tăng mức giảm trừ gia cảnh và đơn giản hóa quy trình khai báo thuế. Mặc dù có những cải tiến, nhưng quyết định cuối cùng về việc ủng hộ hay không tuân thủ vẫn phụ thuộc vào trải nghiệm và niềm tin cá nhân.</t>
  </si>
  <si>
    <t>Mức giảm trừ gia cảnh tăng mạnh, từ 11 triệu lên 15,5 triệu đồng/tháng cho bản thân và 4,4 triệu lên 6,2 triệu đồng/tháng cho người phụ thuộc. Điều này làm giảm gánh nặng thuế đối với nhiều người, tạo niềm tin rằng chính sách mới sẽ công bằng hơn. Tuy nhiên, các quy định quản lý thuế hiện tại chưa rõ ràng về khả năng phát hiện trốn thuế.</t>
  </si>
  <si>
    <t>Công nghệ hiện đại như AI vàBig Data có thể hỗ trợ việc phát hiện trốn thuế hiệu quả. Tuy nhiên, mức độ thực thi cụ thể còn phụ thuộc vào sự quyết tâm của cơ quan thuế.</t>
  </si>
  <si>
    <t>Biểu thuế được đơn giản hóa từ 7 bậc xuống 5 bậc, giảm bớt rườm rà. Mức giảm trừ gia cảnh tăng cũng làm giảm gánh nặng khai báo và quản lý thuế cho cá nhân.</t>
  </si>
  <si>
    <t>Biểu thuế mới đơn giản hóa từ 7 bậc xuống 5 bậc, có thể dễ hiểu hơn. Tuy nhiên, mức thuế mới vẫn phức tạp đối với người chưa quen thuộc.</t>
  </si>
  <si>
    <t>Mức giảm trừ gia cảnh tăng mạnh, tạo niềm tin rằng chính sách mới sẽ công bằng hơn. Tuy nhiên, việc thực thi còn phụ thuộc vào sự minh bạch của cơ quan thuế.</t>
  </si>
  <si>
    <t>Nhìn chung mức thuế mới giảm nhẹ so với trước đây, tạo cảm giác công bằng đối với người thu nhập trung bình. Tuy nhiên, việc đánh giá công bằng còn phụ thuộc vào nhiều yếu tố.</t>
  </si>
  <si>
    <t>Mức giảm trừ gia cảnh tăng mạnh, tạo niềm tin rằng số tiền thuế đóng sẽ được sử dụng hiệu quả cho dịch vụ công. Tuy nhiên, việc thực thi hiệu quả còn phụ thuộc vào quản lý chi tiêu của chính phủ.</t>
  </si>
  <si>
    <t>Các thông báo về cải cách thuế đã được cung cấp một cách minh bạch. Tuy nhiên, việc giải thích đầy đủ về mục tiêu và nguyên nhân của cải cách vẫn còn chưa rõ ràng đối với nhiều người.</t>
  </si>
  <si>
    <t>Sau khi xem xét các quyền lợi mới (giảm trừ gia cảnh), tôi thấy chính sách mới có tính công bằng. Tuy nhiên, quyết định tuân thủ còn phụ thuộc vào mức độ thuyết phục của thông tin và niềm tin vào thực thi.</t>
  </si>
  <si>
    <t>Tăng mức giảm trừ gia cảnh và đơn giản hóa biểu thuế có thể làm giảm hành vi gian lận, nhưng vẫn cần công nghệ phát hiện trốn thuế hiệu quả.</t>
  </si>
  <si>
    <t>Việc áp dụng công nghệ mới trong quản lý thuế sẽ nâng cao khả năng phát hiện và xử lý các hành vi trốn thuế một cách kịp thời.</t>
  </si>
  <si>
    <t>Mức giảm trừ gia cảnh tăng và đơn giản hóa biểu thuế có thể làm cho quá trình khai báo thuế trở nên dễ dàng hơn, nhưng vẫn cần cải tiến thêm.</t>
  </si>
  <si>
    <t>Biểu thuế mới đã đơn giản hóa so với trước đây, nhưng việc tính thuế vẫn cần thêm thời gian để hiểu rõ.</t>
  </si>
  <si>
    <t>Niềm tin vào công tâm trong thực thi chính sách tăng lên do mức giảm trừ gia cảnh và biểu thuế được đơn giản hóa.</t>
  </si>
  <si>
    <t>Mức thuế mới có thể được coi là công bằng so với thu nhập hiện tại, nhưng cần xem xét thêm về hiệu quả sử dụng nguồn thu thuế.</t>
  </si>
  <si>
    <t>Số tiền thuế đóng sẽ được sử dụng hiệu quả để cải thiện dịch vụ công, đặc biệt là y tế và giao thông.</t>
  </si>
  <si>
    <t>Nhà nước đã giải thích các thay đổi một cách rõ ràng, nhưng cần thêm thông tin về mục tiêu cụ thể của việc sửa đổi thuế lần này.</t>
  </si>
  <si>
    <t>Sau khi cân nhắc lợi ích và nghĩa vụ, quyết định tuân thủ chính sách mới dựa trên mức độ ủng hộ và niềm tin đã tăng lên.</t>
  </si>
  <si>
    <t>Mức giảm trừ gia cảnh tăng, nhưng không rõ liệu công nghệ phát hiện trốn thuế có được cải thiện hay không.</t>
  </si>
  <si>
    <t>Công nghệ và khả năng phát hiện trốn thuế cần thời gian để nâng cấp, mặc dù luật mới có thể giảm cơ hội trốn thuế.</t>
  </si>
  <si>
    <t>Biểu thuế đơn giản hơn, nhưng quy trình khai báo vẫn phức tạp và tốn thời gian.</t>
  </si>
  <si>
    <t>Cách tính thuế đơn giản hơn so với trước đây, dễ hiểu và thực hiện thuận tiện hơn.</t>
  </si>
  <si>
    <t>Giảm trừ gia cảnh tăng có thể tạo cảm giác công bằng cho người nộp thuế thấp thu nhập, nhưng chưa rõ đối xử khách quan.</t>
  </si>
  <si>
    <t>Mức thuế mới được tính dựa trên thu nhập, nhưng không chắc chắn liệu nó có công bằng hay không với mọi nhóm thu nhập.</t>
  </si>
  <si>
    <t>Giảm trừ gia cảnh tăng và mức thuế thấp hơn cho người có thu nhập thấp tạo cảm giác số tiền đóng sẽ được sử dụng hiệu quả.</t>
  </si>
  <si>
    <t>Thông tin về mục tiêu sửa đổi thuế chưa rõ ràng, nhưng tăng giảm trừ gia cảnh có thể làm giảm gánh nặng thuế cho người dân.</t>
  </si>
  <si>
    <t>Thu nhập thấp hơn do giảm trừ gia cảnh và mức thuế thấp hơn tạo cảm giác hợp lý, nhưng vẫn cần thời gian để đánh giá hiệu quả thực tế của chính sách mới.</t>
  </si>
  <si>
    <t>Thuế TNCN có nhiều quy định quản lý, tăng giảm trừ gia cảnh và rút gọn biểu thuế, tuy nhiên khả năng phát hiện trốn thuế vẫn còn hạn chế.</t>
  </si>
  <si>
    <t>Công nghệ hiện đại có thể hỗ trợ trong việc giám sát hành vi gian lận nhưng chưa chắc chắn tuyệt đối.</t>
  </si>
  <si>
    <t>Biểu thuế được đơn giản hóa, giảm số bậc từ 7 xuống 5, thuận lợi hơn cho người nộp thuế.</t>
  </si>
  <si>
    <t>Cách tính thuế và các bậc thuế mới dễ hiểu và thực hiện hơn so với trước đây.</t>
  </si>
  <si>
    <t>Thu nhập tối thiểu được tăng, giảm trừ gia cảnh cũng cao hơn nên thấy chính sách công bằng đối với người thu nhập thấp.</t>
  </si>
  <si>
    <t>Mức thuế mới phù hợp với thu nhập của tôi và cảm thấy là mức công bằng cho người cùng ngành nghề, cùng tình hình kinh tế.</t>
  </si>
  <si>
    <t>Thuế được sử dụng để cải thiện y tế, giao thông, tuy nhiên hiệu quả sử dụng còn phụ thuộc vào quản lý chi tiêu của Nhà nước.</t>
  </si>
  <si>
    <t>Các thông điệp giải thích về chính sách mới chưa đủ rõ ràng và minh bạch với tôi, cảm giác thiếu thuyết phục.</t>
  </si>
  <si>
    <t>Thu nhập tăng nhưng thuế cũng tăng nhẹ nên ủng hộ phần nào. Tuy nhiên còn lo ngại về quản lý chi tiêu công.</t>
  </si>
  <si>
    <t>Các quy định quản lý thuế hiện nay đã được tăng cường, đồng thời với việc áp dụng công nghệ để phát hiện hành vi gian lận hoặc trốn thuế.</t>
  </si>
  <si>
    <t>Nhà nước và cơ quan thuế có khả năng sử dụng công nghệ hiện đại để phát hiện và xử lý các hành vi trốn thuế một cách hiệu quả.</t>
  </si>
  <si>
    <t>Số bậc thuế đã được giảm từ 7 xuống còn 5, đồng thời mức giảm trừ gia cảnh cũng tăng, tạo điều kiện cho việc khai báo và làm việc với cơ quan thuế trở nên đơn giản hơn.</t>
  </si>
  <si>
    <t>Bậc thuế mới đã được đơn giản hóa, giúp người dân dễ dàng tính toán và hiểu rõ về mức thuế phải đóng.</t>
  </si>
  <si>
    <t>Chính sách mới mang lại sự công bằng trong việc áp dụng thuế cho mọi người nộp thuế, đặc biệt là với mức giảm trừ gia cảnh được tăng lên.</t>
  </si>
  <si>
    <t>Theo phương án mới, mức thuế tôi phải đóng phù hợp với thu nhập của mình, tạo cảm giác công bằng.</t>
  </si>
  <si>
    <t>Tăng cường quản lý và đơn giản hóa quy trình khai báo thuế sẽ giúp số tiền thuế tôi đóng được sử dụng hiệu quả để cải thiện dịch vụ công như y tế và đường xá.</t>
  </si>
  <si>
    <t>Chính phủ đã có những cải cách rõ ràng về thuế, nhưng cần thêm thông tin minh bạch hơn để tôi cảm thấy hoàn toàn thuyết phục.</t>
  </si>
  <si>
    <t>Tôi ủng hộ chính sách mới vì nó mang lại nhiều lợi ích tài chính và tính công bằng cho người dân, đồng thời cũng sẽ tuân thủ theo các quy định.</t>
  </si>
  <si>
    <t>Dựa trên thông tin cải cách thuế, các quy định quản lý thuế hiện nay có nhiều cải tiến giúp phát hiện gian lận. Tuy nhiên, tôi vẫn giữ thái độ thận trọng vì chưa rõ công nghệ cụ thể và hiệu quả thực tế.</t>
  </si>
  <si>
    <t>Cải cách thuế đã đơn giản hóa quy trình khai báo và giảm các bậc thuế. Công nghệ hiện đại cũng hỗ trợ việc phát hiện trốn thuế dễ dàng hơn, tăng niềm tin vào khả năng của Nhà nước.</t>
  </si>
  <si>
    <t>Các thủ tục khai báo thuế được đơn giản hóa từ 7 bậc xuống còn 5 bậc. Điều này giúp quy trình làm việc với cơ quan thuế trở nên nhanh chóng và tiện lợi hơn.</t>
  </si>
  <si>
    <t>So với trước đây, cách tính thuế đã đơn giản hóa từ 7 bậc xuống còn 5 bậc. Điều này giúp dễ hiểu và thực hiện hơn so với trước đây.</t>
  </si>
  <si>
    <t>Mức giảm trừ gia cảnh tăng lên giúp giảm gánh nặng thuế, tạo niềm tin vào tính công bằng trong việc áp dụng chính sách. Tuy nhiên, tôi vẫn giữ một phần nghi ngờ về cách thực thi.</t>
  </si>
  <si>
    <t>Mức thuế mới được thiết kế hợp lý dựa trên thu nhập cá nhân. Tuy nhiên, việc áp dụng công bằng cho mọi đối tượng nộp thuế vẫn còn cần cải thiện.</t>
  </si>
  <si>
    <t>Tôi tin rằng số tiền thuế đóng sẽ được sử dụng hiệu quả để cải thiện dịch vụ công. Tuy nhiên, thông tin về việc sử dụng nguồn thu chưa rõ ràng.</t>
  </si>
  <si>
    <t>Cải cách thuế đã giải thích một cách minh bạch về mục tiêu và lý do của chính sách mới. Tuy nhiên, tôi vẫn giữ một phần nghi ngờ về việc truyền thông chính xác.</t>
  </si>
  <si>
    <t>Dựa trên các quyền lợi và nghĩa vụ, tôi thấy chính sách thuế mới mang lại nhiều lợi ích cho người dân. Tuy nhiên, sự phức tạp trong việc áp dụng vẫn khiến tôi nghi ngờ một phần.</t>
  </si>
  <si>
    <t>Điều kiện quản lý thuế hiện nay chưa có nhiều cải tiến nên khả năng phát hiện hành vi gian lận còn hạn chế.</t>
  </si>
  <si>
    <t>Việc ứng dụng công nghệ trong xử lý trốn thuế đang được đẩy mạnh, nhưng vẫn cần thời gian để tối ưu hóa.</t>
  </si>
  <si>
    <t>Các quy định về giảm trừ gia cảnh và đơn giản hóa biểu thuế đã giúp quá trình khai báo dễ dàng hơn.</t>
  </si>
  <si>
    <t>Biểu thuế mới đơn giản hơn, nhưng vẫn cần thời gian để làm quen với các thay đổi về cách tính thuế.</t>
  </si>
  <si>
    <t>Những cải tiến trong quản lý thuế và giảm trừ gia cảnh đã tăng niềm tin vào sự công bằng của hệ thống.</t>
  </si>
  <si>
    <t>Thuế mới được thiết kế hợp lý theo thu nhập, nhưng cần thời gian để cảm thấy hài lòng hoàn toàn.</t>
  </si>
  <si>
    <t>Niềm tin rằng thuế sẽ được sử dụng hiệu quả vào các dịch vụ công vẫn chưa đủ mạnh mẽ do kinh nghiệm tích lũy trong quá khứ.</t>
  </si>
  <si>
    <t>Giải thích về lý do và mục tiêu của chính sách mới còn hạn chế, đặc biệt là đối với những người không thường xuyên theo dõi thông tin chính sách.</t>
  </si>
  <si>
    <t>Những cải tiến trong thuế có thể làm tăng sự ủng hộ, nhưng vẫn cần thời gian để thấy rõ hiệu quả và tính công bằng của chính sách.</t>
  </si>
  <si>
    <t>Tăng mức giảm trừ gia cảnh và đơn giản hóa biểu thuế có thể làm giảm rủi ro trốn thuế, nhưng vẫn cần công nghệ hiện đại để phát hiện gian lận.</t>
  </si>
  <si>
    <t>Công nghệ tiên tiến như AI và big data có thể giúp phát hiện trốn thuế hiệu quả hơn, nhưng không loại trừ khả năng bỏ sót.</t>
  </si>
  <si>
    <t>Biểu thuế đơn giản hóa từ 7 bậc xuống 5 tạo cảm giác thuận tiện hơn cho người nộp thuế.</t>
  </si>
  <si>
    <t>Cách tính thuế và các bậc thuế mới dễ hiểu, giảm bớt rắc rối so với trước đây.</t>
  </si>
  <si>
    <t>Mức giảm trừ gia cảnh tăng lên cho bản thân và người phụ thuộc tạo cảm giác công bằng hơn trong việc đóng thuế.</t>
  </si>
  <si>
    <t>Biểu thuế mới với các bậc thuế suất rõ ràng có thể làm cho mức thuế được coi là công bằng hơn đối với thu nhập hiện tại của tôi.</t>
  </si>
  <si>
    <t>Công khai hóa thông tin về việc sử dụng số tiền thuế để cải thiện dịch vụ công có thể tăng niềm tin vào việc sử dụng đúng mục đích.</t>
  </si>
  <si>
    <t>Thông tin giải thích rõ ràng về lý do và mục tiêu của việc sửa đổi thuế giúp người nộp thuế hiểu được quyết định này hơn, từ đó tăng sự ủng hộ.</t>
  </si>
  <si>
    <t>Tăng mức giảm trừ gia cảnh và đơn giản hóa biểu thuế tạo cảm giác thuận lợi và công bằng, nhưng vẫn cần cân nhắc rủi ro của việc thay đổi chính sách.</t>
  </si>
  <si>
    <t>Việc tăng giảm trừ gia cảnh và đơn giản hóa quy trình khai thuế có thể làm giảm cơ hội trốn thuế. Tuy nhiên, công nghệ phát hiện gian lận vẫn chưa được cải thiện đáng kể.</t>
  </si>
  <si>
    <t>Nếu chính phủ đầu tư vào công nghệ và nhân lực để phát hiện gian lận, khả năng xử lý nghiêm sẽ tăng. Hiện tại, khả năng này đang phụ thuộc nhiều vào nguồn lực của nhà nước.</t>
  </si>
  <si>
    <t>Giảm trừ gia cảnh cao hơn và số bậc thuế ít hơn có thể làm cho quy trình khai báo đơn giản hơn. Tuy nhiên, quá trình làm việc với cơ quan thuế vẫn cần cải thiện.</t>
  </si>
  <si>
    <t>Số bậc thuế giảm từ 7 xuống 5 và mức thuế suất được điều chỉnh phù hợp có thể giúp tính toán đơn giản hơn. Tuy nhiên, việc thực hiện cách tính mới chưa thật sự phổ biến.</t>
  </si>
  <si>
    <t>Phương án mới tăng giảm trừ gia cảnh và điều chỉnh các bậc thuế suất có thể làm cho quy định công bằng hơn. Tuy nhiên, còn cần thời gian để đánh giá hiệu quả thực thi.</t>
  </si>
  <si>
    <t>Thuế mới được tính dựa trên thu nhập hàng tháng, nhưng mức thuế vẫn khá cao so với trước đây. Điều này làm giảm cảm giác công bằng đối với người có thu nhập trung bình.</t>
  </si>
  <si>
    <t>Tăng giảm trừ gia cảnh và điều chỉnh bậc thuế có thể mang lại lợi ích cho nhiều người, nhưng còn cần thời gian để xem xét hiệu quả sử dụng ngân sách. Tuy nhiên, việc công khai thông tin về quy định mới giúp tăng niềm tin.</t>
  </si>
  <si>
    <t>Các phương án thuế mới được công bố minh bạch và dễ hiểu hơn so với trước đây. Tuy nhiên, cần thời gian để đánh giá đầy đủ hiệu quả của các thay đổi này.</t>
  </si>
  <si>
    <t>Thuế có giảm nhẹ do tăng giảm trừ gia cảnh nhưng mức thuế suất vẫn còn cao. Ngoài ra, thủ tục làm việc với cơ quan thuế vẫn chưa thực sự đơn giản và minh bạch. Tuy nhiên, tôi sẽ theo dõi và tuân thủ chính sách mới.</t>
  </si>
  <si>
    <t>Điều chỉnh thuế TNCN mới không tăng cường nhiều công cụ phát hiện gian lận, do đó khả năng phát hiện trốn thuế vẫn hạn chế.</t>
  </si>
  <si>
    <t>Công nghệ và nguồn lực của cơ quan thuế có thể chưa đủ để phát hiện hiệu quả các hành vi trốn thuế trong bối cảnh số hóa nhanh chóng.</t>
  </si>
  <si>
    <t>Mức giảm trừ gia cảnh tăng, quy trình khai báo thuế đơn giản hơn trước, nhưng vẫn còn một số bước phức tạp cần cải thiện.</t>
  </si>
  <si>
    <t>Biểu thuế mới đơn giản hóa các bậc thuế, dễ hiểu và thực hiện thuận tiện hơn so với trước đây.</t>
  </si>
  <si>
    <t>Nhìn chung, mức giảm trừ gia cảnh tăng có thể tạo niềm tin về sự công bằng trong việc đánh thuế.</t>
  </si>
  <si>
    <t>Lần đầu tiên thấy biểu thuế đơn giản hóa và rõ ràng hơn nên cảm thấy mức thuế mới là hợp lý với thu nhập của mình.</t>
  </si>
  <si>
    <t>Niềm tin vào việc sử dụng hiệu quả số tiền thuế đóng để cải thiện dịch vụ công chưa đủ mạnh mẽ do kinh nghiệm hạn chế về hiệu quả thực tế từ chính sách cũ.</t>
  </si>
  <si>
    <t>Nhìn chung, thông điệp giải thích về mục tiêu sửa đổi thuế mới chưa thuyết phục được mọi người như mong muốn.</t>
  </si>
  <si>
    <t>Niềm tin và cảm giác công bằng từ chính sách mới tăng lên, nhưng vẫn còn rào cản do sự phức tạp của quy trình khai báo thuế.</t>
  </si>
  <si>
    <t>Mức giảm trừ gia cảnh tăng lên, giúp giảm gánh nặng thuế cho người dân. Tuy nhiên, không có thông tin về khả năng phát hiện và xử lý trốn thuế cụ thể.</t>
  </si>
  <si>
    <t>Việc cải cách biểu thuế đơn giản hơn có thể tăng cường quản lý thuế, nhưng vẫn cần công nghệ và nguồn lực hỗ trợ để phát hiện trốn thuế hiệu quả.</t>
  </si>
  <si>
    <t>Biểu thuế được rút gọn từ 7 bậc xuống còn 5 bậc, làm giảm độ phức tạp. Tuy nhiên, không có thông tin cụ thể về việc quy trình khai báo trở nên đơn giản hơn.</t>
  </si>
  <si>
    <t>Phương án mới có ít bậc thuế hơn, dễ hiểu và đơn giản hơn so với trước đây. Quy định này tạo cảm giác công bằng cho người dân.</t>
  </si>
  <si>
    <t>Mức giảm trừ gia cảnh tăng lên, giúp giảm gánh nặng thuế cho người dân. Tuy nhiên, không có thông tin cụ thể về cách thực thi chính sách một cách khách quan và công bằng.</t>
  </si>
  <si>
    <t>Mức giảm trừ gia cảnh tăng lên, giúp giảm gánh nặng thuế cho người dân. Tuy nhiên, không có thông tin cụ thể về việc số tiền thuế đóng sẽ được sử dụng hiệu quả để cải thiện dịch vụ công.</t>
  </si>
  <si>
    <t>Mức giảm trừ gia cảnh tăng lên, giúp giảm gánh nặng thuế cho người dân. Tuy nhiên, không có thông tin cụ thể về việc Nhà nước đã giải thích rõ ràng và minh bạch về lý do và mục tiêu của việc sửa đổi thuế lần này.</t>
  </si>
  <si>
    <t>Mức giảm trừ gia cảnh tăng lên, giúp giảm gánh nặng thuế cho người dân. Tuy nhiên, không có thông tin cụ thể về cách thực thi chính sách một cách khách quan và công bằng. Sự đơn giản hóa biểu thuế tạo cảm giác thuận tiện hơn cho người dân.</t>
  </si>
  <si>
    <t>Mức giảm trừ gia cảnh tăng, giúp nhiều người ít chịu thuế. Tuy nhiên, khả năng phát hiện gian lận vẫn phụ thuộc vào công nghệ và nhân lực của cơ quan thuế.</t>
  </si>
  <si>
    <t>Công nghệ ngày càng tiên tiến, nhưng hiệu quả vẫn phụ thuộc vào nguồn lực và chính sách quản lý. Tăng giảm trừ gia cảnh cũng làm giảm mức độ rủi ro cho người dân về việc trốn thuế.</t>
  </si>
  <si>
    <t>Giảm số bậc thuế từ 7 xuống 5, quy trình khai báo đơn giản hơn. Tuy nhiên, vẫn có những bước làm với cơ quan thuế.</t>
  </si>
  <si>
    <t>Cách tính thuế và bậc thuế mới dễ hiểu hơn so với trước đây, giảm số bậc từ 7 xuống 5.</t>
  </si>
  <si>
    <t>Giảm trừ gia cảnh tăng, tạo cảm giác công bằng. Tuy nhiên, vẫn có nghi ngờ về cách thực thi chính sách.</t>
  </si>
  <si>
    <t>Mức thuế mới phù hợp với thu nhập hiện tại, nhưng vẫn có sự phân biệt giữa các nhóm thu nhập.</t>
  </si>
  <si>
    <t>Giảm trừ gia cảnh tăng, tạo cảm giác số tiền đóng sẽ được sử dụng hiệu quả. Tuy nhiên, không chắc chắn về việc thực thi.</t>
  </si>
  <si>
    <t>Công bố rõ ràng về thay đổi thuế, nhưng vẫn có sự phân biệt giữa các nhóm thu nhập.</t>
  </si>
  <si>
    <t>Được giảm trừ gia cảnh nhiều hơn và mức thuế hợp lý, tạo cảm giác công bằng. Tuy nhiên, vẫn có nghi ngờ về thực thi chính sách.</t>
  </si>
  <si>
    <t>Công nghệ hiện nay đã phát triển mạnh mẽ, có thể dễ dàng phát hiện hành vi gian lận hoặc trốn thuế. Mức giảm trừ gia cảnh tăng cũng làm giảm rủi ro cho người nộp thuế.</t>
  </si>
  <si>
    <t>Nhà nước và cơ quan thuế đã đầu tư công nghệ để phát hiện và xử lý nghiêm các hành vi trốn thuế. Các quy định quản lý thuế cũng đang được cải thiện liên tục.</t>
  </si>
  <si>
    <t>Mức giảm trừ gia cảnh tăng, cùng với việc đơn giản hóa biểu thuế tạo thuận lợi cho người nộp thuế trong việc khai báo và làm việc với cơ quan thuế.</t>
  </si>
  <si>
    <t>Biểu thuế đã được đơn giản hóa từ 7 bậc xuống còn 5 bậc, dễ dàng hiểu và thực hiện hơn so với trước đây.</t>
  </si>
  <si>
    <t>Nhà nước và cơ quan thuế đang cố gắng thực thi chính sách một cách công bằng. Mức giảm trừ gia cảnh tăng cho thấy sự đối xử bình đẳng giữa các nhóm thu nhập.</t>
  </si>
  <si>
    <t>Mức thuế mới được thiết kế sao cho phù hợp với thu nhập của người dân, tạo cảm giác công bằng trong việc đóng góp vào ngân sách nhà nước.</t>
  </si>
  <si>
    <t>Thuế được sử dụng hiệu quả để cải thiện các dịch vụ công như y tế và giao thông. Mức giảm trừ gia cảnh tăng cũng tạo cảm giác rằng thuế đang được sử dụng một cách minh bạch.</t>
  </si>
  <si>
    <t>Nhà nước đã giải thích rõ ràng về mục tiêu của việc sửa đổi thuế, nhưng cần thêm thông tin chi tiết để thuyết phục hơn.</t>
  </si>
  <si>
    <t>Các quyền lợi từ chính sách mới như mức giảm trừ gia cảnh tăng tạo động lực cho việc tuân thủ. Tuy nhiên, sự phức tạp trong quy định và khả năng phát hiện trốn thuế vẫn là yếu tố cần xem xét.</t>
  </si>
  <si>
    <t>Chính sách mới có mức giảm trừ gia cảnh cao hơn, giúp giảm gánh nặng thuế cho người dân. Tuy nhiên, việc phát hiện hành vi trốn thuế vẫn phụ thuộc vào hiệu quả của công nghệ và quản lý.</t>
  </si>
  <si>
    <t>Công nghệ ngày càng phát triển, nhưng vẫn cần sự hỗ trợ từ các quy định pháp luật. Chính phủ đã đầu tư cho hệ thống kiểm soát thuế, tăng khả năng phát hiện trốn thuế.</t>
  </si>
  <si>
    <t>Biểu thuế được đơn giản hóa, giúp việc tính toán và khai báo trở nên dễ dàng hơn. Tuy nhiên, việc thực thi các quy định mới cần thời gian để mọi người quen thuộc.</t>
  </si>
  <si>
    <t>Cách tính thuế đã được đơn giản hóa so với trước đây, giúp người dân hiểu rõ hơn về mức thuế phải đóng. Bậc thuế mới giúp việc phân loại thu nhập dễ dàng hơn.</t>
  </si>
  <si>
    <t>Chính sách mới có nhiều ưu điểm về mặt giảm trừ gia cảnh và đơn giản hóa quy trình, tạo cảm giác công bằng. Tuy nhiên, sự công bằng còn phụ thuộc vào cách thực thi của cơ quan thuế.</t>
  </si>
  <si>
    <t>Mức thuế mới được thiết kế phù hợp với thu nhập trung bình, thể hiện tính công bằng. Tuy nhiên, việc đánh giá mức thuế công bằng còn phụ thuộc vào yếu tố cá nhân.</t>
  </si>
  <si>
    <t>Giảm trừ gia cảnh mới có thể tạo cảm giác số tiền đóng góp của tôi được sử dụng hiệu quả hơn. Tuy nhiên, hiệu quả thực tế phụ thuộc vào việc quản lý nguồn ngân sách của nhà nước.</t>
  </si>
  <si>
    <t>Thay đổi thuế đã được giải thích khá rõ ràng thông qua các văn bản pháp luật và thông tin từ cơ quan thuế. Tuy nhiên, sự thuyết phục còn phụ thuộc vào việc thực thi chính sách.</t>
  </si>
  <si>
    <t>Chính sách mới mang lại nhiều lợi ích về mặt giảm trừ gia cảnh và đơn giản hóa quy trình khai báo. Tuy nhiên, quyết định tuân thủ vẫn phụ thuộc vào mức độ tin tưởng vào cơ quan thuế.</t>
  </si>
  <si>
    <t>Nguyên tắc là các quy định quản lý thuế hiện nay đã được cải thiện, nhưng vẫn còn nhiều yếu tố phụ thuộc vào việc thực thi. Cơ quan thuế cần nâng cao năng lực và công nghệ để phát hiện trốn thuế.</t>
  </si>
  <si>
    <t>Công nghệ hiện đại có thể hỗ trợ hiệu quả trong việc phát hiện trốn thuế, nhưng vẫn cần nguồn lực và quyết tâm từ các cơ quan chức năng.</t>
  </si>
  <si>
    <t>Sau khi xem xét mức giảm trừ gia cảnh cao hơn, thủ tục khai báo thuế trở nên đơn giản hơn so với trước đây. Các quy trình làm việc cũng được cải thiện đáng kể.</t>
  </si>
  <si>
    <t>Biểu thuế mới đã đơn giản hóa việc tính thuế và các bậc thuế rõ ràng hơn, giúp người dân dễ hiểu và thực hiện.</t>
  </si>
  <si>
    <t>Việc cải thiện giảm trừ gia cảnh và đơn giản hóa biểu thuế tạo ra sự công bằng đối với mọi người nộp thuế. Cơ quan thuế có thể xử lý một cách khách quan, công tâm hơn.</t>
  </si>
  <si>
    <t>Mức thuế mới được thiết kế dựa trên thu nhập cá nhân, tạo ra sự công bằng. Tuy nhiên, vẫn cần đánh giá lại để đảm bảo tính hợp lý trong thực tế.</t>
  </si>
  <si>
    <t>Thuế đóng góp vào việc cải thiện dịch vụ công như y tế và hạ tầng giao thông, tạo ra sự minh bạch trong sử dụng nguồn lực. Tuy nhiên, cần xem xét hiệu quả thực tế.</t>
  </si>
  <si>
    <t>Các giải thích về lý do và mục tiêu của chính sách mới đã được cải thiện đáng kể, tạo ra sự minh bạch trong truyền thông. Tuy nhiên, vẫn cần thời gian để đánh giá hiệu quả.</t>
  </si>
  <si>
    <t>Sau khi xem xét các quyền lợi và nghĩa vụ, tôi ủng hộ chính sách mới vì nó tạo ra sự công bằng và minh bạch trong việc tính thuế. Tuy nhiên, vẫn cần thời gian để đánh giá hiệu quả thực tế.</t>
  </si>
  <si>
    <t>Hiện nay, mức giảm trừ gia cảnh tăng đáng kể và biểu thuế được đơn giản hóa. Điều này làm giảm rủi ro gian lận và trốn thuế, đồng thời tạo sự công bằng trong việc phân bổ thuế.</t>
  </si>
  <si>
    <t>Công nghệ hiện đại như AI, dữ liệu lớn có thể giúp phát hiện hành vi gian lận một cách hiệu quả. Đồng thời, mức giảm trừ gia cảnh và biểu thuế được đơn giản hóa tạo cơ sở để xử lý nghiêm các trường hợp trốn thuế.</t>
  </si>
  <si>
    <t>Bảng thuế mới chỉ có 5 bậc thay vì 7 trước đây. Điều này làm cho quá trình khai báo thuế và giao tiếp với cơ quan thuế trở nên đơn giản hơn.</t>
  </si>
  <si>
    <t>Cách tính thuế và các bậc thuế trong phương án mới đã giảm bớt sự phức tạp, giúp người dân dễ dàng hiểu và áp dụng.</t>
  </si>
  <si>
    <t>Mức giảm trừ gia cảnh tăng lên, đồng nghĩa với việc gánh nặng thuế giảm. Điều này mang lại cảm giác công bằng khi so sánh giữa các mức thu nhập khác nhau.</t>
  </si>
  <si>
    <t>Các bậc thuế mới đã được điều chỉnh phù hợp với mức thu nhập, tạo nên sự công bằng trong việc phân bổ thuế. Tuy nhiên, vẫn còn cần thêm thời gian để đánh giá hiệu quả thực tế.</t>
  </si>
  <si>
    <t>Mức giảm trừ gia cảnh và biểu thuế đơn giản hóa giúp người dân cảm thấy tin tưởng hơn vào việc sử dụng số tiền thuế thu được cho các dịch vụ công. Tuy nhiên, vẫn cần thêm thời gian để đánh giá hiệu quả thực tế.</t>
  </si>
  <si>
    <t>Dựa trên quy định mới và mức giảm trừ gia cảnh tăng lên, tôi thấy việc giải thích về lý do và mục tiêu của cải cách thuế là hợp lý. Tuy nhiên, vẫn cần thêm thông tin cụ thể để đánh giá.</t>
  </si>
  <si>
    <t>Tăng mức giảm trừ gia cảnh và đơn giản hóa biểu thuế đã giúp tôi cảm thấy công bằng hơn trong việc đóng thuế. Đồng thời, các quy định mới tạo ra cơ sở pháp lý rõ ràng cho việc tuân thủ.</t>
  </si>
  <si>
    <t>Mức giảm trừ gia cảnh tăng và quy định quản lý thuế rõ ràng hơn, tuy nhiên đa số người dân chưa quen với hệ thống mới nên khả năng trốn tránh vẫn còn. Công nghệ phát hiện gian lận đang được đầu tư nhưng hiệu quả chưa cao.</t>
  </si>
  <si>
    <t>Công nghệ hiện đại giúp tăng cường giám sát, nhưng việc thực thi pháp luật và xử lý vi phạm cần thêm thời gian để hoàn thiện. Nhà nước đã có các biện pháp cải tiến công nghệ để phát hiện trốn thuế hiệu quả hơn.</t>
  </si>
  <si>
    <t>Biểu thuế đơn giản, số bậc giảm từ 7 xuống còn 5, điều này làm quá trình khai báo thuế trở nên dễ dàng hơn. Tuy nhiên, việc áp dụng các quy định mới cần thêm thời gian để người dân quen thuộc.</t>
  </si>
  <si>
    <t>Cách tính và bậc thuế mới đơn giản hóa quá trình tính toán, giúp người nộp thuế dễ dàng nắm bắt. Tuy nhiên, việc này có thể làm giảm niềm tin của những người đã quen với hệ thống cũ.</t>
  </si>
  <si>
    <t>Nhà nước đã cải thiện quy định về mức giảm trừ gia cảnh và đơn giản hóa biểu thuế, điều này tạo nên sự công bằng hơn. Tuy nhiên, việc thực thi chính sách mới vẫn cần thêm thời gian để đảm bảo đối xử bình đẳng.</t>
  </si>
  <si>
    <t>Mức thuế mới được thiết kế hợp lý dựa trên thu nhập cá nhân. Việc giảm số bậc thuế cũng giúp tạo cảm giác công bằng hơn cho người nộp thuế.</t>
  </si>
  <si>
    <t>Công khai thông tin về việc sử dụng tiền thuế vào các dịch vụ công có thể tăng niềm tin của người dân. Tuy nhiên, hiệu quả thực tế vẫn cần thời gian để chứng minh.</t>
  </si>
  <si>
    <t>Nhà nước đã cải thiện việc giải thích chính sách mới thông qua các kênh truyền thông. Tuy nhiên, việc thuyết phục người dân hoàn toàn còn phụ thuộc vào hiệu quả thực tế của chính sách.</t>
  </si>
  <si>
    <t>Sau khi xem xét các quyền lợi và nghĩa vụ, tôi thấy cơ hội cải thiện trong hệ thống thuế mới. Tuy nhiên, sự phức tạp về việc áp dụng mới vẫn cần thời gian để quen thuộc.</t>
  </si>
  <si>
    <t>Biểu thuế được đơn giản hóa và giảm trừ gia cảnh tăng lên, tạo ra sự công bằng cho người dân. Tuy nhiên, không có thông tin cụ thể về khả năng phát hiện trốn thuế.</t>
  </si>
  <si>
    <t>Công nghệ hiện đại giúp phát hiện gian lận và trốn thuế dễ dàng hơn, nhưng cần thêm thông tin về khả năng thực thi.</t>
  </si>
  <si>
    <t>Biểu thuế được đơn giản hóa từ 7 bậc xuống còn 5 bậc. Tuy nhiên, mức giảm trừ gia cảnh tăng lên và việc áp dụng cho người phụ thuộc có thể tạo thuận lợi hơn trong khai báo.</t>
  </si>
  <si>
    <t>Cách tính thuế đơn giản hơn với số bậc thuế ít đi, nhưng cần thêm thông tin về việc giảm trừ gia cảnh mới để đánh giá chính xác.</t>
  </si>
  <si>
    <t>Chính sách công bằng hơn nhờ tăng mức giảm trừ gia cảnh và đơn giản hóa biểu thuế. Tuy nhiên, chưa có thông tin cụ thể về cách thực thi.</t>
  </si>
  <si>
    <t>Mức thuế mới được thiết kế để hợp lý với thu nhập hiện tại của tôi. Tuy nhiên, cần thêm thông tin về việc áp dụng giảm trừ gia cảnh.</t>
  </si>
  <si>
    <t>Chính sách cải cách thuế nhằm tạo ra dịch vụ công tốt hơn. Tuy nhiên, chưa có thông tin cụ thể về cách sử dụng số tiền thuế thu được.</t>
  </si>
  <si>
    <t>Thông tin về lý do và mục tiêu của chính sách mới được cung cấp đầy đủ và rõ ràng. Tuy nhiên, cần thêm thông tin về việc áp dụng giảm trừ gia cảnh mới.</t>
  </si>
  <si>
    <t>Chính sách cải cách thuế tạo ra lợi ích cho tôi do mức giảm trừ gia cảnh tăng lên. Tôi sẽ ủng hộ và tuân thủ chính sách mới.</t>
  </si>
  <si>
    <t>Các quy định quản lý thuế hiện nay có nhiều điểm cải tiến như tăng giảm trừ gia cảnh và đơn giản hóa biểu thuế, giúp phát hiện hành vi gian lận hoặc trốn thuế dễ dàng hơn. Công nghệ cũng đang được áp dụng rộng rãi trong ngành thuế để nâng cao hiệu quả quản lý.</t>
  </si>
  <si>
    <t>Nhà nước và cơ quan thuế đã đầu tư mạnh vào công nghệ thông tin, hệ thống thông tin điện tử để phát hiện hành vi trốn thuế. Đồng thời, quy định pháp luật cũng được hoàn thiện hơn, tạo nên sự minh bạch trong việc xử lý các vấn đề liên quan đến thuế.</t>
  </si>
  <si>
    <t>Thủ tục khai báo thuế và quy trình làm việc với cơ quan thuế đã đơn giản hóa nhiều so với trước đây. Việc giảm số bậc thuế cũng giúp người dân dễ dàng tính toán và nộp thuế hơn.</t>
  </si>
  <si>
    <t>Cách tính thuế mới đơn giản, không còn nhiều bậc thuế phức tạp như trước nữa. Đây là một cải tiến lớn trong việc làm cho quá trình tính thuế trở nên dễ hiểu và thực hiện nhanh chóng hơn.</t>
  </si>
  <si>
    <t>Nhà nước đã tăng giảm trừ gia cảnh và đơn giản hóa biểu thuế, tạo ra sự công bằng hơn. Tuy nhiên, việc cải cách vẫn chưa hoàn hảo nên tôi có một chút nghi ngờ về tính minh bạch.</t>
  </si>
  <si>
    <t>Mức thuế mới được thiết kế để công bằng với mức thu nhập hiện tại của tôi. Việc tăng giảm trừ gia cảnh cũng giúp giảm gánh nặng thuế cho người dân.</t>
  </si>
  <si>
    <t>Tôi tin rằng số tiền thuế đóng sẽ được sử dụng hiệu quả trong việc cải thiện các dịch vụ công, nhưng vẫn còn một số lo ngại về cách thực hiện.</t>
  </si>
  <si>
    <t>Nhà nước đã giải thích rõ ràng về các thay đổi, nhưng tôi nghĩ rằng họ cần làm rõ hơn nữa để mọi người có thể hiểu đầy đủ mục tiêu của việc cải cách thuế này.</t>
  </si>
  <si>
    <t>Sau khi xem xét các quyền lợi và nghĩa vụ, tôi thấy chính sách mới có nhiều ưu điểm như giảm gánh nặng thuế và đơn giản hóa quy trình. Tuy nhiên, vẫn còn một số lo ngại về minh bạch nên quyết định của tôi là ủng hộ nhưng cần theo dõi.</t>
  </si>
  <si>
    <t>Trong thực tế, các quy định quản lý thuế hiện nay đã được cải thiện nhiều so với trước đây, giúp việc phát hiện hành vi gian lận trở nên dễ dàng hơn. Với mức giảm trừ gia cảnh tăng, cơ hội trốn thuế sẽ ít đi.</t>
  </si>
  <si>
    <t>Công nghệ ngày càng tiên tiến, giúp nhà nước và các cơ quan thuế phát hiện và xử lý nhanh chóng các hành vi trốn thuế. Tuy nhiên, vẫn cần sự phối hợp chặt chẽ giữa các bên liên quan.</t>
  </si>
  <si>
    <t>Các thủ tục khai báo thuế trở nên đơn giản hơn với việc rút gọn biểu thuế và tăng mức giảm trừ gia cảnh. Điều này giúp quá trình làm việc với cơ quan thuế nhanh chóng và tiện lợi hơn.</t>
  </si>
  <si>
    <t>Biểu thuế đã được đơn giản hóa, tạo ra sự rõ ràng cho người nộp thuế trong cách tính thuế. Việc giảm số bậc thuế cũng giúp việc thực hiện dễ dàng hơn.</t>
  </si>
  <si>
    <t>Nhà nước và cơ quan thuế đã nỗ lực cải thiện quy định, tạo ra một hệ thống công bằng hơn cho người nộp thuế. Tuy nhiên, vẫn có những lo ngại về việc thực thi khách quan.</t>
  </si>
  <si>
    <t>Mức thuế mới được thiết kế để phù hợp với thu nhập cá nhân trung bình. Điều này tạo cảm giác công bằng và hợp lý cho người dân.</t>
  </si>
  <si>
    <t>Thuế đóng góp vào việc cải thiện dịch vụ công, tuy nhiên hiệu quả sử dụng nguồn lực vẫn còn cần được đánh giá thường xuyên hơn.</t>
  </si>
  <si>
    <t>Nhà nước đã giải thích rõ ràng về mục tiêu cải cách thuế. Tuy nhiên, thông tin chi tiết về quy định cụ thể vẫn chưa đầy đủ đối với một số người dân.</t>
  </si>
  <si>
    <t>Sau khi xem xét lợi ích từ việc giảm trừ gia cảnh và mức thuế mới, tôi sẽ ủng hộ chính sách. Tuy nhiên, quyết định cuối cùng phụ thuộc vào sự tin tưởng vào cách thực thi của cơ quan thuế.</t>
  </si>
  <si>
    <t>Các quy định quản lý thuế hiện nay được cải cách, tăng mức giảm trừ gia cảnh và đơn giản hóa biểu thuế. Điều này có thể làm giảm hành vi gian lận nhưng không loại bỏ hoàn toàn khả năng phát hiện trốn thuế.</t>
  </si>
  <si>
    <t>Việc áp dụng công nghệ tiên tiến trong quản lý thuế có thể giúp tăng cường khả năng phát hiện và xử lý trốn thuế, tuy nhiên cần thời gian để triển khai hiệu quả.</t>
  </si>
  <si>
    <t>Bậc thuế được giảm từ 7 xuống còn 5, quy định rõ ràng hơn giúp quá trình khai báo thuế trở nên đơn giản và nhanh chóng. Tuy nhiên, việc áp dụng công nghệ trong làm việc với cơ quan thuế vẫn chưa tối ưu.</t>
  </si>
  <si>
    <t>Cách tính thuế mới đơn giản hóa các bậc thuế từ 7 xuống 5, nhưng cần thời gian để người dân và doanh nghiệp quen thuộc với quy định mới. Tuy nhiên, việc giảm số bậc thuế đã tạo thuận lợi cho việc hiểu và áp dụng.</t>
  </si>
  <si>
    <t>Nhà nước đã tăng mức giảm trừ gia cảnh và đơn giản hóa biểu thuế, điều này có thể làm tăng niềm tin rằng chính sách mới sẽ công bằng hơn. Tuy nhiên, vẫn cần thời gian để xem xét thực tế.</t>
  </si>
  <si>
    <t>Với mức giảm trừ gia cảnh cao và các bậc thuế đơn giản hóa, tôi thấy mình đóng thuế ở mức hợp lý so với thu nhập của mình. Tuy nhiên, vẫn cần xem xét kỹ lưỡng.</t>
  </si>
  <si>
    <t>Tăng cường giảm trừ gia cảnh và đơn giản hóa biểu thuế có thể làm tăng niềm tin rằng số tiền thuế đóng sẽ được sử dụng hiệu quả. Tuy nhiên, vẫn cần thời gian để xem xét thực tế.</t>
  </si>
  <si>
    <t>Nhà nước đã giải thích về các thay đổi trong biểu thuế nhưng chưa đủ rõ ràng và minh bạch so với sự phức tạp của chính sách. Tuy nhiên, tôi cho rằng thông điệp này cần thời gian để được hiểu.</t>
  </si>
  <si>
    <t>Nhìn chung các thay đổi trong biểu thuế mang lại lợi ích tài chính và thuận tiện hơn so với trước đây. Tôi sẽ ủng hộ và tuân thủ chính sách mới, nhưng cần xem xét kỹ lưỡng.</t>
  </si>
  <si>
    <t>Mức giảm trừ gia cảnh và người phụ thuộc tăng lên, đồng thời biểu thuế đơn giản hơn nên gian lận ít xảy ra. Tuy nhiên, do tôi là người đa nghi nên vẫn lo ngại về khả năng phát hiện trốn thuế.</t>
  </si>
  <si>
    <t>Như đã nêu, mức giảm trừ gia cảnh và biểu thuế đơn giản hơn sẽ làm giảm hành vi trốn thuế. Công nghệ hiện đại cũng hỗ trợ việc phát hiện gian lận hiệu quả hơn.</t>
  </si>
  <si>
    <t>Biểu thuế có ít bậc hơn nên quy trình khai báo và làm việc với cơ quan thuế đơn giản, nhanh chóng hơn so với trước đây.</t>
  </si>
  <si>
    <t>Mức thuế mới được đơn giản hóa và rõ ràng hơn, dễ hiểu và thực hiện thuận lợi hơn so với cách tính cũ.</t>
  </si>
  <si>
    <t>Nhìn chung, tôi tin rằng các cơ quan thuế sẽ thực thi chính sách công bằng đối với mọi người nộp thuế. Mức giảm trừ gia cảnh và biểu thuế mới cũng góp phần tăng thêm niềm tin.</t>
  </si>
  <si>
    <t>Mức thuế mới được thiết kế sao cho hợp lý dựa trên thu nhập của tôi, khiến tôi cảm thấy công bằng hơn so với trước đây.</t>
  </si>
  <si>
    <t>Tăng mức giảm trừ gia cảnh và đơn giản hóa biểu thuế sẽ giúp số tiền đóng thuế của tôi được sử dụng hiệu quả cho các dịch vụ công.</t>
  </si>
  <si>
    <t>Nhìn chung, Nhà nước đã giải thích về lý do tăng mức giảm trừ và đơn giản hóa biểu thuế một cách rõ ràng. Tuy nhiên, có thể chưa đủ minh bạch đối với tôi.</t>
  </si>
  <si>
    <t>Dù các quyền lợi mới được cải thiện nhưng tôi vẫn cần thời gian để hoàn toàn tin tưởng vào việc thực thi chính sách. Do đó, tôi sẽ tuân thủ với điều kiện.</t>
  </si>
  <si>
    <t>Các quy định quản lý thuế hiện nay được cải thiện, đặc biệt là mức giảm trừ gia cảnh tăng lên. Tuy nhiên, vẫn còn nghi ngờ về khả năng phát hiện hành vi trốn thuế.</t>
  </si>
  <si>
    <t>Nhà nước đã đầu tư công nghệ để phát hiện các hành vi trốn thuế, nhưng cần thời gian kiểm chứng hiệu quả thực tế. Công nghệ AI và hệ thống quản lý điện tử giúp tăng khả năng phát hiện.</t>
  </si>
  <si>
    <t>Các quy trình khai báo thuế được đơn giản hóa, giảm bớt thủ tục rườm rà. Tuy nhiên, vẫn có một số bước cần cải thiện hơn để thuận tiện cho người dân.</t>
  </si>
  <si>
    <t>Biểu thuế mới với ít bậc hơn giúp tính toán đơn giản hóa. Mức thuế suất và ngưỡng chịu thuế cũng được điều chỉnh hợp lý, dễ hiểu hơn so với trước đây.</t>
  </si>
  <si>
    <t>Nhà nước đã cải thiện quy định giảm trừ gia cảnh và mức thuế cho người thu nhập thấp. Tuy nhiên, vẫn cần thêm minh bạch trong việc thực thi để tăng niềm tin.</t>
  </si>
  <si>
    <t>Mức thuế mới được điều chỉnh hợp lý theo thu nhập, tạo cảm giác công bằng cho người dân có thu nhập tương tự tôi. Tuy nhiên, vẫn cần thêm minh bạch về việc sử dụng số tiền thuế.</t>
  </si>
  <si>
    <t>Số tiền thuế đóng được dùng để cải thiện các dịch vụ công như y tế, giáo dục và cơ sở hạ tầng. Tuy nhiên, vẫn cần thêm minh bạch về cách sử dụng nguồn lực này.</t>
  </si>
  <si>
    <t>Nhà nước đã giải thích rõ ràng về mục tiêu cải cách thuế. Tuy nhiên, vẫn cần thêm thông tin chi tiết về cách thức thực hiện và hiệu quả trong tương lai.</t>
  </si>
  <si>
    <t>Đây là quyết định quan trọng dựa trên các yếu tố tài chính, thủ tục và niềm tin. Tôi ủng hộ vì cải cách mang lại lợi ích cho người dân có thu nhập thấp hơn. Tuy nhiên, cần thêm thời gian để theo dõi hiệu quả thực tế.</t>
  </si>
  <si>
    <t>Biểu thuế được đơn giản hóa, ngưỡng chịu thuế thấp hơn và giảm trừ gia cảnh tăng lên. Điều này làm giảm khả năng trốn thuế. Công nghệ hiện đại cũng hỗ trợ phát hiện hành vi gian lận.</t>
  </si>
  <si>
    <t>Công nghệ như AI, Big Data đã được áp dụng trong quản lý thuế, giúp phát hiện và xử lý kịp thời các trường hợp trốn thuế. Nhà nước cũng có quy định rõ ràng về việc phát hiện và xử lý gian lận.</t>
  </si>
  <si>
    <t>Mức giảm trừ gia cảnh tăng lên, quy trình khai báo đơn giản hơn, người nộp thuế không còn phải lo lắng nhiều về việc làm sai biểu thuế.</t>
  </si>
  <si>
    <t>Biểu thuế được đơn giản hóa từ 7 bậc xuống 5 bậc, giảm số lần cần tính toán và dễ hiểu hơn. Việc này giúp người nộp thuế không còn lo lắng về cách tính thuế.</t>
  </si>
  <si>
    <t>Chính sách mới đã tạo ra sự công bằng cho mọi người dân thông qua việc tăng mức giảm trừ gia cảnh, đơn giản hóa biểu thuế. Điều này thể hiện tính công bằng trong việc đánh giá thu nhập và áp dụng thuế.</t>
  </si>
  <si>
    <t>Nhìn chung, mức thuế mới đã được điều chỉnh phù hợp với thu nhập của tôi. Việc tăng giảm trừ gia cảnh cũng giúp làm giảm gánh nặng thuế cho người dân có thu nhập thấp hơn.</t>
  </si>
  <si>
    <t>Các khoản thuế đóng góp vào ngân sách nhà nước, được sử dụng để đầu tư phát triển cơ sở hạ tầng và các dịch vụ công. Điều này tạo niềm tin rằng tiền thuế đã đóng có mục đích rõ ràng.</t>
  </si>
  <si>
    <t>Công bố chính sách mới khá minh bạch, giải thích về lý do tăng giảm trừ gia cảnh và đơn giản hóa biểu thuế. Tuy nhiên, việc truyền thông cần được cải thiện để đảm bảo mọi người hiểu rõ.</t>
  </si>
  <si>
    <t>Chính sách mới đã tạo ra sự công bằng và minh bạch trong việc đánh giá thu nhập và áp dụng thuế. Tôi ủng hộ chính sách này vì nó giảm gánh nặng thuế cho người dân có thu nhập thấp hơn.</t>
  </si>
  <si>
    <t>Cải cách thuế TNCN mang nhiều lợi ích về giảm trừ gia cảnh và đơn giản hóa quy trình khai báo, nhưng khả năng phát hiện trốn thuế vẫn phụ thuộc vào công nghệ và quản lý. Công nghệ mới có thể giúp tăng cường hiệu quả.</t>
  </si>
  <si>
    <t>Nhà nước đã đầu tư vào các công nghệ mới để giám sát và xử lý nghiêm các hành vi trốn thuế, tuy nhiên vẫn cần cải thiện hơn nữa về khả năng phát hiện.</t>
  </si>
  <si>
    <t>Mức giảm trừ gia cảnh tăng rõ rệt giúp quá trình khai báo thuế thuận tiện hơn. Các quy định đơn giản hóa đã làm cho việc thực hiện thủ tục trở nên dễ dàng và nhanh chóng.</t>
  </si>
  <si>
    <t>Các bậc thuế mới đơn giản, rõ ràng hơn so với trước đây, giúp tính toán thuế dễ hiểu và thực hiện thuận tiện hơn.</t>
  </si>
  <si>
    <t>Nhà nước đã cải thiện quy định về giảm trừ gia cảnh, tạo ra một môi trường công bằng hơn. Tuy nhiên, vẫn cần cải thiện trong việc thực thi chính sách.</t>
  </si>
  <si>
    <t>Mức thuế mới có thể coi là công bằng cho thu nhập của tôi, nhưng vẫn cần thời gian để đánh giá hiệu quả thực tế trong việc sử dụng số tiền thuế này.</t>
  </si>
  <si>
    <t>Tôi tin rằng số tiền thuế đóng sẽ được sử dụng một cách hiệu quả. Tuy nhiên, cần thêm thông tin về cách sử dụng cụ thể để tăng niềm tin.</t>
  </si>
  <si>
    <t>Nhà nước đã giải thích rõ ràng về mục đích cải cách thuế, tuy nhiên việc truyền đạt đến người dân vẫn chưa đầy đủ và thuyết phục</t>
  </si>
  <si>
    <t>Sau khi xem xét các quyền lợi và nghĩa vụ, tôi ủng hộ chính sách mới. Tuy nhiên, quyết định cuối cùng phụ thuộc vào cách thực thi và hiệu quả của chính sách.</t>
  </si>
  <si>
    <t>Tăng cường quản lý thuế và công nghệ hiện đại giúp giảm khả năng trốn thuế. Mức giảm trừ gia cảnh tăng cũng làm giảm gian lận.</t>
  </si>
  <si>
    <t>Công nghệ tiên tiến, quy định rõ ràng về phát hiện và xử lý trốn thuế tạo môi trường minh bạch.</t>
  </si>
  <si>
    <t>Số bậc thuế giảm từ 7 xuống 5, đơn giản hóa quy trình khai báo và làm việc với cơ quan thuế.</t>
  </si>
  <si>
    <t>Cách tính thuế đơn giản hơn, rõ ràng hơn so với trước đây. Bậc thuế mới dễ hiểu và thực hiện dễ dàng.</t>
  </si>
  <si>
    <t>Thu nhập cá nhân được giảm trừ gia cảnh nhiều hơn, tạo niềm tin rằng Nhà nước đối xử công bằng.</t>
  </si>
  <si>
    <t>Mức thuế mới tương xứng với thu nhập của tôi. Tuy nhiên, vẫn còn nghi ngờ về khả năng thực thi.</t>
  </si>
  <si>
    <t>Thuế được sử dụng hiệu quả cho các dịch vụ công như y tế và giao thông, tạo niềm tin vào sự minh bạch.</t>
  </si>
  <si>
    <t>Nhà nước đã giải thích rõ ràng về mục tiêu cải cách thuế. Tuy nhiên, vẫn còn nghi ngờ về thực hiện.</t>
  </si>
  <si>
    <t>Thu nhập cá nhân tăng do giảm trừ gia cảnh và mức thuế mới, tạo động lực tuân thủ. Tuy nhiên, vẫn lo ngại về khả năng thực thi.</t>
  </si>
  <si>
    <t>Cải cách thuế TNCN có quy định rõ ràng về giảm trừ gia cảnh và bậc thuế mới, tăng khả năng phát hiện gian lận. Công nghệ hiện đại giúp xử lý nhanh chóng.</t>
  </si>
  <si>
    <t>Nhà nước đã đầu tư công nghệ để giám sát và xử lý hành vi trốn thuế hiệu quả hơn, tăng cường kiểm soát.</t>
  </si>
  <si>
    <t>Biểu thuế đơn giản hơn từ 7 bậc xuống còn 5 bậc, giảm bớt các thủ tục rườm rà trước đây. Quy trình khai báo thuận tiện hơn.</t>
  </si>
  <si>
    <t>Cách tính thuế và bậc thuế mới rõ ràng, dễ hiểu. Nhờ vậy việc thực hiện đúng trở nên đơn giản hơn.</t>
  </si>
  <si>
    <t>Những thay đổi về giảm trừ gia cảnh và biểu thuế mới tạo ra một hệ thống công bằng hơn cho mọi người nộp thuế.</t>
  </si>
  <si>
    <t>Mức thuế mới được thiết kế để đảm bảo công bằng, phù hợp với thu nhập hiện tại của tôi. Tuy nhiên, vẫn cần thời gian để chứng minh hiệu quả thực tế.</t>
  </si>
  <si>
    <t>Thuế đóng góp vào cải thiện dịch vụ công, mặc dù còn nhiều lo ngại về việc sử dụng hiệu quả nguồn lực.</t>
  </si>
  <si>
    <t>Nhà nước đã thông báo rõ ràng về mục tiêu của cải cách thuế. Tuy nhiên, vẫn có sự hoài nghi về minh bạch trong quá trình thực hiện.</t>
  </si>
  <si>
    <t>Sau xem xét các lợi ích và nghĩa vụ, tôi ủng hộ chính sách mới do giảm gánh nặng thuế. Tuy nhiên, cần thời gian để đánh giá hiệu quả thực tế.</t>
  </si>
  <si>
    <t>Nâng cao giảm trừ gia cảnh và đơn giản hóa biểu thuế có thể làm giảm rủi ro trốn thuế, nhưng khả năng phát hiện vẫn phụ thuộc vào hệ thống quản lý thuế.</t>
  </si>
  <si>
    <t>Công nghệ hiện nay như AI có thể tăng cường hiệu quả giám sát và xử lý, tuy nhiên, cần lưu ý về quy định pháp luật và thực thi.</t>
  </si>
  <si>
    <t>Mức giảm trừ gia cảnh cao hơn và biểu thuế đơn giản hơn làm cho thủ tục khai báo trở nên dễ dàng hơn.</t>
  </si>
  <si>
    <t>Biểu thuế đơn giản hóa từ 7 bậc xuống còn 5 bậc, giúp việc tính toán thuế trở nên dễ hiểu hơn.</t>
  </si>
  <si>
    <t>Giảm trừ gia cảnh cao hơn và mức thuế suất hợp lý có thể làm tăng niềm tin vào sự công bằng của chính sách.</t>
  </si>
  <si>
    <t>Mức thuế mới được thiết kế dựa trên thu nhập, nên tôi thấy là công bằng đối với người thu nhập như tôi.</t>
  </si>
  <si>
    <t>Nâng cao giảm trừ gia cảnh và đơn giản hóa biểu thuế có thể làm tăng hiệu quả sử dụng nguồn lực của Nhà nước.</t>
  </si>
  <si>
    <t>Thông tin về cải cách thuế đã được giải thích rõ ràng, nhưng tôi vẫn cần thêm thông tin cụ thể hơn để cảm thấy hoàn toàn thuyết phục.</t>
  </si>
  <si>
    <t>Mức giảm trừ gia cảnh cao và mức thuế suất công bằng làm tăng khả năng tuân thủ chính sách mới. Tuy nhiên, tôi vẫn cần thêm thông tin về hiệu quả sử dụng nguồn lực thuế để hoàn toàn ủng hộ.</t>
  </si>
  <si>
    <t>Tăng mức giảm trừ gia cảnh và đơn giản hóa biểu thuế có thể làm giảm cơ hội trốn thuế, nhưng vẫn chưa chắc chắn về công nghệ phát hiện.</t>
  </si>
  <si>
    <t>Công nghệ ngày càng tiên tiến giúp kiểm soát hiệu quả hơn, tuy nhiên vẫn phụ thuộc vào nguồn lực và chính sách quản lý của nhà nước.</t>
  </si>
  <si>
    <t>Bậc thuế giảm từ 7 xuống 5 có thể làm quy trình đơn giản hơn, nhưng việc khai báo thuế vẫn phức tạp.</t>
  </si>
  <si>
    <t>Cách tính thuế mới rõ ràng hơn so với trước đây, đặc biệt là việc giảm bậc thuế và tăng mức giảm trừ gia cảnh.</t>
  </si>
  <si>
    <t>Giảm trừ gia cảnh lớn hơn giúp công bằng hơn nhưng vẫn cần thực thi chính sách một cách khách quan.</t>
  </si>
  <si>
    <t>Đối với thu nhập trung bình, mức thuế mới có vẻ hợp lý nhưng cần xem xét tổng thể.</t>
  </si>
  <si>
    <t>Mức thuế tăng đối với thu nhập cao hơn giúp cải thiện dịch vụ công, tuy nhiên mức độ tin tưởng còn phụ thuộc vào hiệu quả thực tế.</t>
  </si>
  <si>
    <t>Thông tin rõ ràng về chính sách mới đã được cung cấp nhưng vẫn cần thời gian để thuyết phục người dân.</t>
  </si>
  <si>
    <t>Tăng giảm trừ gia cảnh và đơn giản hóa biểu thuế có thể làm tăng tuân thủ, nhưng quyết định cuối cùng dựa trên tổng quan về lợi ích và nghĩa vụ.</t>
  </si>
  <si>
    <t>Điều kiện quản lý thuế hiện tại không đủ để phát hiện gian lận, trốn thuế.</t>
  </si>
  <si>
    <t>Công nghệ và khả năng phát hiện trốn thuế đã được cải thiện nhưng chưa hoàn hảo.</t>
  </si>
  <si>
    <t>Thủ tục khai báo và làm việc với cơ quan thuế trở nên đơn giản hơn so với trước đây.</t>
  </si>
  <si>
    <t>Cách tính thuế mới rõ ràng hơn, dễ hiểu và thực hiện thuận tiện hơn.</t>
  </si>
  <si>
    <t>Niềm tin vào sự công bằng của chính sách chưa cao do mức thuế vẫn còn nhiều bất ổn.</t>
  </si>
  <si>
    <t>Mức thuế mới có vẻ hợp lý so với thu nhập hiện tại, tạo cảm giác công bằng hơn.</t>
  </si>
  <si>
    <t>Trả lời về việc sử dụng số tiền thuế đóng vào các dịch vụ công vẫn còn nhiều nghi ngờ.</t>
  </si>
  <si>
    <t>Hiểu biết về mục tiêu và lý do của chính sách cải cách thuế chưa đầy đủ, khiến tin tưởng hạn chế.</t>
  </si>
  <si>
    <t>Trước khi quyết định ủng hộ, cần xem xét kỹ hơn về quyền lợi cũng như nghĩa vụ theo chính sách mới.</t>
  </si>
  <si>
    <t>Mức giảm trừ gia cảnh tăng đáng kể, giúp người dân không bị áp thuế quá nhiều. Tuy nhiên, các quy định quản lý thuế hiện tại chưa được đề cập cụ thể trong thông tin cải cách.</t>
  </si>
  <si>
    <t>Việc sử dụng công nghệ để phát hiện trốn thuế có thể tăng hiệu quả nhưng không rõ liệu cơ quan thuế có đủ nguồn lực và công nghệ cần thiết hay không.</t>
  </si>
  <si>
    <t>Số bậc thuế giảm từ 7 xuống còn 5, làm cho việc khai báo đơn giản hơn. Tuy nhiên, quá trình làm việc với cơ quan thuế vẫn chưa được cải thiện đáng kể.</t>
  </si>
  <si>
    <t>Cách tính thuế mới đơn giản hóa các bậc thuế, giúp người dân dễ hiểu và thực hiện. Tuy nhiên, không phải ai cũng nắm bắt nhanh được cách tính mới này.</t>
  </si>
  <si>
    <t>Nguyên tắc công bằng trong việc áp dụng mức giảm trừ gia cảnh cho tất cả mọi người giúp tạo niềm tin. Tuy nhiên, chưa có thông tin cụ thể về cách thực thi khách quan và công tâm.</t>
  </si>
  <si>
    <t>Mức thuế mới được thiết kế để phù hợp với thu nhập cá nhân hiện nay, cho thấy sự cân nhắc khi thiết lập mức thuế. Tuy nhiên, vẫn còn nghi ngờ về tính minh bạch.</t>
  </si>
  <si>
    <t>Giảm trừ gia cảnh tăng mạnh giúp giảm gánh nặng tài chính và tạo niềm tin vào việc sử dụng tiền thuế hiệu quả. Tuy nhiên, không có thông tin cụ thể về cách sử dụng nguồn thu này.</t>
  </si>
  <si>
    <t>Thông tin giải thích về mục tiêu cải cách thuế chưa đầy đủ khiến người dân còn nghi ngờ. Tuy nhiên, việc đơn giản hóa biểu thuế đã giảm bớt sự phức tạp.</t>
  </si>
  <si>
    <t>Nhìn chung, các quyền lợi từ chính sách mới sẽ giúp giảm gánh nặng tài chính và tạo niềm tin. Tuy nhiên, vẫn còn nhiều bất định về cách thực thi và hiệu quả sử dụng tiền thuế.</t>
  </si>
  <si>
    <t>Các quy định quản lý thuế hiện nay đã được cải thiện, đặc biệt là tăng giảm trừ gia cảnh và đơn giản hóa biểu thuế. Điều này làm giảm khả năng trốn thuế.</t>
  </si>
  <si>
    <t>Nhà nước và cơ quan thuế có nhiều công nghệ hiện đại để phát hiện hành vi gian lận, nhưng vẫn phụ thuộc vào việc thực thi đúng quy định.</t>
  </si>
  <si>
    <t>Biểu thuế đơn giản hơn giúp khai báo thuế dễ dàng hơn. Tuy nhiên, quy trình làm việc với cơ quan thuế vẫn còn phức tạp.</t>
  </si>
  <si>
    <t>Cách tính thuế mới đơn giản hóa các bậc thuế, nhưng người dân cần thời gian để thích nghi và hiểu rõ.</t>
  </si>
  <si>
    <t>Thu nhập tăng giảm trừ gia cảnh giúp công bằng hơn. Tuy nhiên, mức độ tin tưởng vào việc thực thi công bằng còn phụ thuộc nhiều vào cách quản lý.</t>
  </si>
  <si>
    <t>Mức thuế mới có thể phù hợp với thu nhập cá nhân hiện tại nhưng vẫn cần thời gian để đánh giá toàn diện.</t>
  </si>
  <si>
    <t>Giảm trừ gia cảnh và đơn giản hóa biểu thuế giúp cải thiện dịch vụ công. Tuy nhiên, hiệu quả sử dụng nguồn thu còn phụ thuộc vào nhiều yếu tố khác.</t>
  </si>
  <si>
    <t>Đã có thông tin giải thích rõ ràng về quy định mới nhưng vẫn cần thêm thời gian để đánh giá sự minh bạch và thuyết phục hơn.</t>
  </si>
  <si>
    <t>Thu nhập tăng giảm trừ gia cảnh giúp tôi ủng hộ chính sách. Tuy nhiên, việc thực thi và hiệu quả sử dụng nguồn thu còn cần thời gian để đánh giá.</t>
  </si>
  <si>
    <t>Theo quy định quản lý thuế hiện nay, mức giảm trừ gia cảnh tăng và số bậc thuế đơn giản hơn có thể làm giảm khả năng trốn thuế. Tuy nhiên, việc phát hiện và xử lý hành vi gian lận vẫn phụ thuộc vào công nghệ và nguồn lực của cơ quan thuế.</t>
  </si>
  <si>
    <t>Công nghệ ngày càng tiên tiến giúp cải thiện khả năng phát hiện trốn thuế, nhưng vẫn cần nguồn lực và quyết tâm từ phía nhà chức trách. Việc tăng giảm trừ gia cảnh cũng có thể hạn chế hành vi trốn thuế.</t>
  </si>
  <si>
    <t>Mức giảm trừ gia cảnh tăng và đơn giản hóa biểu thuế có thể làm cho quy trình khai báo thuế dễ dàng hơn, nhưng vẫn cần sự tuân thủ theo đúng quy định.</t>
  </si>
  <si>
    <t>Số bậc thuế được rút gọn từ 7 xuống còn 5, do đó cách tính thuế và các bậc thuế trong phương án mới có thể đơn giản hơn. Tuy nhiên, việc áp dụng cụ thể vẫn phụ thuộc vào thực tế.</t>
  </si>
  <si>
    <t>Mức giảm trừ gia cảnh tăng và số bậc thuế ít hơn đều làm cho quy định rõ ràng hơn, giúp tạo niềm tin về sự công bằng trong việc đánh giá thu nhập.</t>
  </si>
  <si>
    <t>Thuế suất mới có thể làm giảm gánh nặng tài chính, nhưng mức độ công bằng vẫn phụ thuộc vào tổng thu nhập và các yếu tố khác. Tuy nhiên, quy định rõ ràng hơn giúp tăng niềm tin.</t>
  </si>
  <si>
    <t>Mức thuế mới có thể làm giảm gánh nặng tài chính, nhưng niềm tin về việc sử dụng hiệu quả số tiền thu được phụ thuộc vào quản lý ngân sách và các dự án đầu tư công.</t>
  </si>
  <si>
    <t>Quy định rõ ràng hơn về mức thuế có thể giúp tăng hiểu biết của người dân, nhưng giải thích minh bạch về mục tiêu chính sách vẫn cần được cải thiện để tăng sự tin tưởng.</t>
  </si>
  <si>
    <t>Niềm tin và cảm giác công bằng do quy định mới tạo ra có thể làm tăng khả năng tuân thủ. Tuy nhiên, quyết định cuối cùng phụ thuộc vào việc áp dụng thực tế của chính sách.</t>
  </si>
  <si>
    <t>Công nghệ hiện đại giúp phát hiện trốn thuế dễ dàng hơn, kèm theo các quy định quản lý cũng chặt chẽ hơn.</t>
  </si>
  <si>
    <t>Nhà nước đã đầu tư vào công nghệ và nhân lực để xử lý nghiêm minh các hành vi trốn thuế.</t>
  </si>
  <si>
    <t>Mức giảm trừ gia cảnh tăng, thủ tục khai báo đơn giản hơn, giảm bớt rắc rối cho người nộp thuế.</t>
  </si>
  <si>
    <t>Biểu thuế được rút gọn, dễ hiểu và thực hiện thuận lợi hơn so với trước đây.</t>
  </si>
  <si>
    <t>Nhà nước đã tăng giảm trừ gia cảnh, thể hiện công bằng trong việc phân chia gánh nặng thuế giữa các đối tượng nộp thuế.</t>
  </si>
  <si>
    <t>Thuế suất và ngưỡng chịu thuế được điều chỉnh hợp lý, người thu nhập như tôi thấy mức thuế này là công bằng.</t>
  </si>
  <si>
    <t>Giảm trừ gia cảnh tăng, tôi tin rằng số tiền thuế đóng sẽ được sử dụng hiệu quả cho dịch vụ công.</t>
  </si>
  <si>
    <t>Nhà nước đã giải thích rõ ràng về cải cách thuế lần này, nhưng cần thêm thông tin chi tiết hơn.</t>
  </si>
  <si>
    <t>Tiết kiệm được tiền thuế và giảm bớt rắc rối trong quá trình khai báo, tôi sẽ ủng hộ và tuân thủ chính sách mới.</t>
  </si>
  <si>
    <t>Các quy định quản lý thuế hiện nay có nhiều cải tiến, nhưng vẫn còn phức tạp. Tăng giảm trừ gia cảnh giúp giảm gánh nặng cho người dân.</t>
  </si>
  <si>
    <t>Việc áp dụng công nghệ trong phát hiện trốn thuế là cần thiết, nhưng thực tế khả năng xử lý nghiêm các hành vi trốn thuế còn phụ thuộc vào nguồn lực và quyết tâm của cơ quan chức năng.</t>
  </si>
  <si>
    <t>Mức giảm trừ gia cảnh tăng lên giúp quá trình khai báo đơn giản hơn, nhưng vẫn có nhiều quy định cần tuân thủ. Tuy nhiên, việc rút gọn biểu thuế từ 7 bậc xuống còn 5 bậc làm cho quy trình làm việc với cơ quan thuế dễ dàng và nhanh chóng hơn.</t>
  </si>
  <si>
    <t>Số bậc thuế giảm đi giúp cách tính thuế đơn giản, dễ hiểu. Tuy nhiên, vẫn cần thời gian để người dân thích nghi với phương án mới.</t>
  </si>
  <si>
    <t>Nhà nước đã cải thiện các quy định về giảm trừ gia cảnh và biểu thuế, tạo sự công bằng hơn trong việc đánh thuế. Tuy nhiên, vẫn cần thêm thời gian để thực thi chính sách một cách khách quan.</t>
  </si>
  <si>
    <t>Mức thuế mới dựa trên thu nhập thực tế của tôi, nhưng tôi chưa rõ liệu phương án mới có công bằng so với các nhóm khác trong xã hội hay không. Cần thêm thông tin để đánh giá.</t>
  </si>
  <si>
    <t>Tăng giảm trừ gia cảnh giúp số tiền thuế tôi đóng hợp lý hơn, nhưng vẫn cần thêm thời gian để xem xét hiệu quả sử dụng nguồn thu từ thuế vào các dịch vụ công.</t>
  </si>
  <si>
    <t>Nhà nước đã giải thích một cách rõ ràng về thay đổi thuế, nhưng tôi còn hoài nghi về mục tiêu và kết quả thực hiện chính sách mới. Cần thêm thông tin để đánh giá.</t>
  </si>
  <si>
    <t>Tăng giảm trừ gia cảnh giúp tôi cảm thấy hài lòng hơn với chính sách mới, tuy nhiên, vẫn cần thời gian để xem xét các quyền lợi và nghĩa vụ theo đúng quy định. Tôi ủng hộ nhưng chưa cam kết tuyệt đối.</t>
  </si>
  <si>
    <t>Biện pháp quản lý thuế mới có thể phát hiện trốn thuế hiệu quả, nhưng vẫn còn rủi ro với người am hiểu về hệ thống thuế.</t>
  </si>
  <si>
    <t>Công nghệ tiên tiến giúp xử lý dữ liệu nhanh chóng và chính xác, giảm cơ hội trốn thuế.</t>
  </si>
  <si>
    <t>Mức giảm trừ gia cảnh cao hơn, việc đơn giản hóa biểu thuế có thể làm thủ tục khai báo dễ dàng hơn</t>
  </si>
  <si>
    <t>Biểu thuế mới đơn giản và rõ ràng hơn, nhưng vẫn cần thời gian để quen thuộc.</t>
  </si>
  <si>
    <t>Nhà nước công bố quy định một cách khách quan, nhưng mức độ tin tưởng còn phụ thuộc vào thực thi chính sách</t>
  </si>
  <si>
    <t>Mức thuế mới có vẻ hợp lý so với thu nhập hiện tại, tạo cảm giác công bằng</t>
  </si>
  <si>
    <t>Giảm trừ gia cảnh và mức thuế mới sẽ được sử dụng hiệu quả để cải thiện dịch vụ công</t>
  </si>
  <si>
    <t>Nhà nước đã giải thích về mục tiêu của chính sách, nhưng thông tin cần thêm chi tiết hơn</t>
  </si>
  <si>
    <t>Thu nhập giảm nhẹ do mức thuế mới, quyết định dựa trên việc cân nhắc lợi ích và nghĩa vụ</t>
  </si>
  <si>
    <t>Mức giảm trừ gia cảnh tăng, nhưng không rõ liệu công nghệ phát hiện trốn thuế có thực sự cải thiện hay không.</t>
  </si>
  <si>
    <t>Công nghệ hiện đại giúp phát hiện hành vi gian lận, nhưng vẫn cần nhân lực để xử lý.</t>
  </si>
  <si>
    <t>Bậc thuế giảm từ 7 xuống 5, đơn giản hóa quy trình khai báo thuế.</t>
  </si>
  <si>
    <t>Biểu thuế mới đơn giản hơn so với trước đây, nhưng mức thuế suất vẫn phức tạp đối với người bình thường.</t>
  </si>
  <si>
    <t>Giảm trừ gia cảnh tăng, nhưng không rõ liệu thực thi chính sách có công bằng hay không.</t>
  </si>
  <si>
    <t>Mức thuế mới có thể hợp lý đối với thu nhập trung bình, tuy nhiên cần xem xét về tính minh bạch và công bằng.</t>
  </si>
  <si>
    <t>Giảm trừ gia cảnh tăng, nhưng không rõ liệu số tiền thuế đóng vào ngân sách có được sử dụng hiệu quả hay không.</t>
  </si>
  <si>
    <t>Thông tin về cải cách chưa đầy đủ và minh bạch, nên còn nhiều nghi ngờ.</t>
  </si>
  <si>
    <t>Thu nhập của tôi không thay đổi nhiều so với trước đây, nhưng có giảm trừ gia cảnh tăng, nên có thể tuân thủ.</t>
  </si>
  <si>
    <t>Nguyên tắc quản lý thuế hiện đại dựa trên công nghệ và quy định rõ ràng có thể phát hiện hành vi trốn thuế, nhưng thực tế vẫn phụ thuộc vào nguồn lực của cơ quan thuế.</t>
  </si>
  <si>
    <t>Công nghệ tiên tiến như AI và Big Data giúp tăng khả năng phát hiện trốn thuế, nhưng cũng cần nguồn lực và quy định rõ ràng.</t>
  </si>
  <si>
    <t>Biểu thuế đơn giản hơn và mức giảm trừ gia cảnh cao hơn làm cho việc khai báo thuận tiện hơn so với trước đây.</t>
  </si>
  <si>
    <t>Nguyên tắc thuế mới có ít bậc hơn, tạo cảm giác đơn giản, dễ hiểu hơn.</t>
  </si>
  <si>
    <t>Phần lớn giảm trừ gia cảnh và quy định rõ ràng về cách tính thuế làm tăng niềm tin vào sự công bằng trong việc thực thi chính sách.</t>
  </si>
  <si>
    <t>Mức thuế mới được thiết kế dựa trên thu nhập, nhưng tôi vẫn có nghi ngờ về mức độ công bằng của nó đối với mọi người.</t>
  </si>
  <si>
    <t>Niềm tin rằng số tiền đóng thuế sẽ được sử dụng hiệu quả vào các dịch vụ công là yếu tố quan trọng để tăng sự ủng hộ.</t>
  </si>
  <si>
    <t>Truyền thông về mục tiêu và lý do của chính sách mới còn hạn chế, ảnh hưởng đến niềm tin về tính minh bạch.</t>
  </si>
  <si>
    <t>Sau xem xét các quyền lợi và nghĩa vụ, tôi thấy giảm trừ gia cảnh và mức thuế đơn giản hơn tạo ra sự ủng hộ.</t>
  </si>
  <si>
    <t>Với mức giảm trừ gia cảnh tăng mạnh và quy định quản lý thuế chặt chẽ hơn, khả năng phát hiện hành vi trốn thuế sẽ cao hơn. Tuy nhiên, vẫn cần công nghệ để hỗ trợ.</t>
  </si>
  <si>
    <t>Công nghệ ngày càng tiến bộ, nhưng chính sách mới chưa hoàn toàn minh bạch về khả năng phát hiện trốn thuế.</t>
  </si>
  <si>
    <t>Bậc thuế đơn giản hơn và giảm trừ gia cảnh cao hơn tạo cảm giác thuận tiện cho người nộp thuế.</t>
  </si>
  <si>
    <t>Biểu thuế đơn giản hóa từ 7 bậc xuống 5 bậc, dễ hiểu và thực hiện nhanh chóng hơn.</t>
  </si>
  <si>
    <t>Nhìn chung, mức giảm trừ gia cảnh tăng mạnh tạo cảm giác công bằng, nhưng vẫn cần thời gian để thấy hiệu quả thực thi chính sách.</t>
  </si>
  <si>
    <t>Mức thuế mới được thiết kế hợp lý dựa trên thu nhập cá nhân, tạo cảm giác công bằng cho người nộp thuế.</t>
  </si>
  <si>
    <t>Niềm tin vào việc sử dụng hiệu quả số tiền thuế đóng là quan trọng, nhưng cần thời gian để thấy kết quả thực tế từ chính sách mới.</t>
  </si>
  <si>
    <t>Thông tin về lý do và mục tiêu của chính sách mới chưa đủ minh bạch, khiến người dân có sự hoài nghi.</t>
  </si>
  <si>
    <t>Niềm tin, công bằng và thuận tiện trong việc thực hiện thuế tăng lên, nhưng vẫn còn lo ngại về khả năng phát hiện trốn thuế.</t>
  </si>
  <si>
    <t>Biện pháp quản lý thuế hiện nay có nhiều cải tiến, như tăng giảm trừ gia cảnh và đơn giản hóa quy trình khai báo, nhưng vẫn còn một số rủi ro. Tăng mức giảm trừ gia cảnh giúp người dân tiết kiệm tiền thuế, làm tăng niềm tin vào hệ thống.</t>
  </si>
  <si>
    <t>Công nghệ hiện đại và quy định mới giúp phát hiện trốn thuế hiệu quả hơn. Tuy nhiên, vẫn cần có sự giám sát chặt chẽ từ phía cơ quan thuế để đảm bảo công bằng trong việc xử lý.</t>
  </si>
  <si>
    <t>Đơn giản hóa biểu thuế và tăng mức giảm trừ gia cảnh giúp quy trình khai báo trở nên dễ dàng hơn. Tuy nhiên, vẫn cần thời gian để người dân quen với các thay đổi.</t>
  </si>
  <si>
    <t>Biểu thuế đơn giản hơn và có ít bậc thuế, khiến việc tính toán thu nhập chịu thuế trở nên dễ dàng. Tuy nhiên, vẫn cần sự hiểu biết về cách tính để tránh sai sót.</t>
  </si>
  <si>
    <t>Nhà nước đã cải thiện quy định quản lý thuế và đơn giản hóa quy trình khai báo, tạo niềm tin rằng sẽ có sự công bằng trong việc thực thi chính sách. Tăng mức giảm trừ gia cảnh cũng góp phần tăng lòng tin.</t>
  </si>
  <si>
    <t>Mức thuế mới được thiết kế sao cho hợp lý dựa trên thu nhập, tạo cảm giác công bằng. Việc cải tiến quy định quản lý thuế cũng làm tăng niềm tin về tính công bằng trong việc thực thi chính sách.</t>
  </si>
  <si>
    <t>Tăng mức giảm trừ gia cảnh và đơn giản hóa biểu thuế giúp người dân cảm thấy rằng số tiền thuế đóng sẽ được sử dụng hiệu quả. Tuy nhiên, vẫn cần thời gian để có thể đánh giá rõ ràng về hiệu quả sử dụng.</t>
  </si>
  <si>
    <t>Nhà nước đã giải thích công khai về các thay đổi và mục tiêu của chính sách mới, tạo niềm tin vào tính minh bạch. Tuy nhiên, vẫn cần thời gian để xem xét hiệu quả thực tế.</t>
  </si>
  <si>
    <t>Những thay đổi trong quy định thuế đã mang lại lợi ích tài chính và đơn giản hóa quy trình khai báo, tăng khả năng tuân thủ. Tuy nhiên, vẫn cần thời gian để hoàn toàn tin tưởng vào hiệu quả thực tế.</t>
  </si>
  <si>
    <t>Cải cách thuế TNCN đã tăng mức giảm trừ gia cảnh và đơn giản hóa biểu thuế, nhưng không có thông tin cụ thể về công nghệ phát hiện trốn thuế.</t>
  </si>
  <si>
    <t>Trong thông tin chính sách chưa đề cập đến việc sử dụng công nghệ tiên tiến để phát hiện trốn thuế, do đó khả năng phát hiện còn phụ thuộc nhiều vào thực tế quản lý.</t>
  </si>
  <si>
    <t>Mức giảm trừ gia cảnh tăng và biểu thuế đơn giản hơn nhưng không có thông tin về việc cải thiện thủ tục khai báo cụ thể. Tuy nhiên, mức giảm trừ gia cảnh cao hơn có thể làm giảm gánh nặng cho người dân.</t>
  </si>
  <si>
    <t>Biểu thuế đơn giản hóa từ 7 bậc xuống 5 bậc nhưng không rõ cách tính thuế mới có dễ hiểu và thực hiện nhanh chóng hơn so với trước đây hay không.</t>
  </si>
  <si>
    <t>Mức giảm trừ gia cảnh tăng lên, đặc biệt là cho người phụ thuộc, tạo cảm giác công bằng hơn. Tuy nhiên, mức thuế mới có thể khác nhau tùy theo thu nhập nên chưa chắc chắn.</t>
  </si>
  <si>
    <t>Mức thuế mới có thể phù hợp với thu nhập của tôi nhưng không rõ liệu nó có công bằng hay không vì phụ thuộc vào mức độ hiểu biết về chính sách và khả năng so sánh với những người khác.</t>
  </si>
  <si>
    <t>Mức giảm trừ gia cảnh tăng lên, đặc biệt là cho người phụ thuộc, tạo cảm giác công bằng hơn. Tuy nhiên, không có thông tin cụ thể về việc sử dụng số tiền thuế thu được vào mục đích cụ thể.</t>
  </si>
  <si>
    <t>Thông tin chính sách chưa rõ ràng về lý do và mục tiêu của việc sửa đổi thuế lần này. Tuy nhiên, tăng mức giảm trừ gia cảnh là một yếu tố quan trọng để cải thiện niềm tin.</t>
  </si>
  <si>
    <t>Mức giảm trừ gia cảnh tăng lên tạo cảm giác công bằng hơn và dễ dàng tuân thủ. Tuy nhiên, không rõ liệu chính sách có thực sự công bằng với mọi người nộp thuế hay không.</t>
  </si>
  <si>
    <t>Chính phủ đã tăng cường các quy định và công nghệ quản lý thuế, nhưng vẫn có nguy cơ trốn thuế do hệ thống chưa hoàn thiện.</t>
  </si>
  <si>
    <t>Công nghệ tiên tiến như AI và Big Data giúp phát hiện trốn thuế nhanh chóng và chính xác hơn, tăng cường khả năng của cơ quan thuế.</t>
  </si>
  <si>
    <t>Biểu thuế đơn giản hơn, giảm số bậc từ 7 xuống còn 5, làm việc với cơ quan thuế dễ dàng hơn, nhưng vẫn cần cải tiến thêm.</t>
  </si>
  <si>
    <t>Cách tính thuế và các bậc thuế mới rõ ràng hơn, gian lận thuế giảm do số bậc thuế ít đi, dễ hiểu và thực hiện hơn so với trước đây.</t>
  </si>
  <si>
    <t>Nhà nước đã tăng mức giảm trừ gia cảnh, tạo cơ hội công bằng cho người nộp thuế, tuy nhiên vẫn có sự nghi ngờ về việc thực thi công tâm.</t>
  </si>
  <si>
    <t>Mức thuế mới được thiết kế phù hợp với thu nhập hiện tại, tăng cảm giác công bằng và cam kết đóng góp cho xã hội.</t>
  </si>
  <si>
    <t>Thuế đóng góp vào các dịch vụ công quan trọng như y tế và hạ tầng, nhưng cần cải thiện trong việc minh bạch sử dụng nguồn thu thuế.</t>
  </si>
  <si>
    <t>Nhà nước đã giải thích về mục tiêu cải cách thuế rõ ràng hơn, tuy nhiên vẫn có sự bất mãn về thông tin không đủ minh bạch.</t>
  </si>
  <si>
    <t>Chính sách mới mang lại nhiều lợi ích tài chính và thuận tiện cho người nộp thuế, tăng khả năng tuân thủ, nhưng cần cải thiện niềm tin vào việc thực thi công bằng.</t>
  </si>
  <si>
    <t>Việc tăng mức giảm trừ gia cảnh và đơn giản hóa biểu thuế có thể làm giảm lợi nhuận từ trốn thuế, nhưng không đảm bảo phát hiện dễ dàng.</t>
  </si>
  <si>
    <t>Công nghệ ngày càng phát triển giúp Nhà nước và cơ quan thuế có khả năng phát hiện hành vi trốn thuế, tuy nhiên vẫn cần sự giám sát chặt chẽ.</t>
  </si>
  <si>
    <t>Thay đổi mức giảm trừ gia cảnh và đơn giản hóa biểu thuế tạo thuận lợi cho việc khai báo thuế, nhưng quy trình làm việc với cơ quan thuế chưa thật sự cải thiện.</t>
  </si>
  <si>
    <t>Biểu thuế mới có số bậc giảm, do đó dễ hiểu hơn so với trước đây. Tuy nhiên, cần thêm thời gian để người dân quen với cách tính mới.</t>
  </si>
  <si>
    <t>Mức giảm trừ gia cảnh và mức thuế suất mới có thể làm tăng niềm tin về sự công bằng trong việc đánh thuế, nhưng vẫn còn nhiều yếu tố cần xem xét.</t>
  </si>
  <si>
    <t>Mức thuế mới được thiết kế dựa trên thu nhập nên tôi thấy công bằng. Tuy nhiên, mức thuế cụ thể có thể thay đổi tùy theo từng trường hợp cá nhân.</t>
  </si>
  <si>
    <t>Tôi tin số tiền thuế đóng sẽ được sử dụng hiệu quả vào cải thiện dịch vụ công, nhưng cần thời gian để chứng minh điều này.</t>
  </si>
  <si>
    <t>Các giải thích về mục tiêu của chính sách mới khá rõ ràng, nhưng có thể tăng thêm thông tin chi tiết hơn để người dân hiểu rõ hơn.</t>
  </si>
  <si>
    <t>Sau khi cân nhắc lợi ích và nghĩa vụ, tôi thấy ủng hộ chính sách mới. Tuy nhiên, cần thời gian để thực hiện và chứng minh hiệu quả.</t>
  </si>
  <si>
    <t>Biện pháp quản lý thuế mới có thể phát hiện hành vi gian lận, nhưng vẫn cần sự tuân thủ của người dân và cơ quan chức năng.</t>
  </si>
  <si>
    <t>Công nghệ tiên tiến hiện nay giúp việc phát hiện trốn thuế trở nên hiệu quả hơn, tuy nhiên độ tin cậy phụ thuộc vào cách triển khai.</t>
  </si>
  <si>
    <t>Mức giảm trừ gia cảnh tăng và đơn giản hóa biểu thuế có thể làm các thủ tục thuế dễ dàng hơn, nhưng vẫn cần thời gian để quen với quy trình mới.</t>
  </si>
  <si>
    <t>Biểu thuế mới đơn giản hơn so với trước đây, giúp việc tính toán và nộp thuế trở nên dễ dàng hơn.</t>
  </si>
  <si>
    <t>Mức giảm trừ gia cảnh tăng có thể làm giảm gánh nặng thuế, tạo niềm tin về sự công bằng trong quản lý thuế.</t>
  </si>
  <si>
    <t>Phân cấp thu nhập mới giúp người nộp thuế dễ dàng xác định mức thuế phải đóng, nhưng cần xem xét thêm thông tin về cách sử dụng số tiền thuế này.</t>
  </si>
  <si>
    <t>Mức giảm trừ gia cảnh tăng có thể tạo niềm tin rằng tiền thuế sẽ được dùng hiệu quả để cải thiện dịch vụ công.</t>
  </si>
  <si>
    <t>Các thông điệp về việc sửa đổi thuế chưa thuyết phục hoàn toàn, nên cần thêm thông tin minh bạch hơn.</t>
  </si>
  <si>
    <t>Mức giảm trừ gia cảnh tăng và thủ tục đơn giản có thể làm tăng sự ủng hộ và tuân thủ, nhưng vẫn cần thời gian để quen với quy định mới.</t>
  </si>
  <si>
    <t>Các quy định quản lý thuế hiện nay được cải cách, tăng cường giảm trừ gia cảnh và đơn giản hóa biểu thuế. Điều này làm giảm nguy cơ trốn thuế và tăng khả năng phát hiện hành vi gian lận.</t>
  </si>
  <si>
    <t>Nhà nước đã đầu tư công nghệ để cải thiện khả năng phát hiện, xử lý trốn thuế. Tăng cường quản lý thuế cũng góp phần phát hiện và ngăn chặn hành vi gian lận hiệu quả hơn.</t>
  </si>
  <si>
    <t>Biểu thuế được đơn giản hóa từ 7 bậc xuống còn 5 bậc, làm cho quy trình khai báo thuế trở nên đơn giản và nhanh chóng. Tuy nhiên, vẫn cần cải thiện về mặt tiện ích.</t>
  </si>
  <si>
    <t>Cách tính thuế mới đơn giản hóa các bậc thuế, giảm ngưỡng chịu thuế và tăng mức giảm trừ gia cảnh. Điều này làm cho quá trình tính thuế trở nên dễ hiểu hơn.</t>
  </si>
  <si>
    <t>Nhà nước đã cải cách quy định quản lý thuế một cách khách quan, công bằng với việc tăng cường giảm trừ gia cảnh và đơn giản hóa biểu thuế. Điều này làm tăng niềm tin vào sự công bằng trong việc thực thi chính sách.</t>
  </si>
  <si>
    <t>Mức thuế mới được thiết kế dựa trên mức thu nhập, tạo cảm giác rằng mức thuế đóng là hợp lý và công bằng. Tuy nhiên, vẫn cần cải thiện minh bạch trong quá trình thông tin chính sách.</t>
  </si>
  <si>
    <t>Tăng cường giảm trừ gia cảnh giúp phân bổ thu ngân sách một cách công bằng hơn. Tuy nhiên, hiệu quả sử dụng nguồn lực thuế cần được cải thiện để tăng niềm tin vào việc sử dụng số tiền thuế.</t>
  </si>
  <si>
    <t>Nhà nước đã giải thích rõ ràng về những thay đổi trong biểu thuế và mục tiêu của chính sách mới. Tuy nhiên, vẫn cần cải thiện minh bạch trong quá trình thông tin chính sách.</t>
  </si>
  <si>
    <t>Bảng câu hỏi này cho thấy các quy định quản lý thuế hiện nay được cải cách một cách công bằng và minh bạch. Tuy nhiên, để tăng mức độ ủng hộ, cần cải thiện sự minh bạch trong quá trình thông tin chính sách.</t>
  </si>
  <si>
    <t>Chính phủ đã tăng mạnh mức giảm trừ gia cảnh, điều này làm giảm gánh nặng thuế cho người dân. Tuy nhiên, việc phát hiện và xử lý hành vi trốn thuế vẫn phụ thuộc vào hiệu quả của hệ thống quản lý.</t>
  </si>
  <si>
    <t>Công nghệ ngày càng tiên tiến, giúp cơ quan thuế dễ dàng phát hiện các hành vi gian lận hơn. Tuy nhiên, việc thực thi vẫn cần sự hỗ trợ từ quy định pháp luật và nguồn lực.</t>
  </si>
  <si>
    <t>Biểu thuế được đơn giản hóa, số bậc giảm từ 7 xuống 5, giúp người dân dễ dàng hơn trong khai báo. Các quy trình làm việc với cơ quan thuế cũng thuận tiện hơn so với trước đây.</t>
  </si>
  <si>
    <t>Mức thuế mới đơn giản hóa các bậc thuế và giảm gánh nặng về mặt số lượng, nhưng vẫn đảm bảo công bằng cho người thu nhập cao hơn. Cách tính thuế trở nên dễ hiểu hơn.</t>
  </si>
  <si>
    <t>Nhà nước đã tăng mức giảm trừ gia cảnh, điều này thể hiện sự công bằng đối với người dân. Việc phát hành thông tin rõ ràng về chính sách mới cũng làm tăng niềm tin của tôi.</t>
  </si>
  <si>
    <t>Mức thuế mới được thiết kế sao cho phù hợp với thu nhập cá nhân, thể hiện tính công bằng trong việc phân bổ gánh nặng thuế. Tuy nhiên, vẫn cần đánh giá thêm về hiệu quả thực thi.</t>
  </si>
  <si>
    <t>Tiền thuế đóng góp vào cải thiện các dịch vụ công, tuy nhiên, tôi cần xem xét kết quả cụ thể hơn để đánh giá tính hiệu quả của việc sử dụng nguồn lực này.</t>
  </si>
  <si>
    <t>Nhà nước đã giải thích rõ ràng về mục tiêu và lý do sửa đổi thuế. Tuy nhiên, tôi vẫn cần thêm thông tin để hiểu rõ hơn về cách thức thực hiện các biện pháp cải cách này.</t>
  </si>
  <si>
    <t>Sau khi cân nhắc lợi ích và nghĩa vụ, tôi ủng hộ chính sách mới vì nó mang lại lợi ích cho người dân, đồng thời giảm gánh nặng về mặt thủ tục. Tuy nhiên, vẫn cần xem xét kỹ hơn về hiệu quả thực thi.</t>
  </si>
  <si>
    <t>Quy định quản lý thuế hiện nay đã được cải cách, tăng cường công nghệ và giảm trừ gia cảnh, giúp phát hiện hành vi gian lận hoặc trốn thuế dễ dàng hơn.</t>
  </si>
  <si>
    <t>Công nghệ hiện đại như AI và Big Data có thể hỗ trợ nhà nước và cơ quan thuế trong việc phát hiện và xử lý trốn thuế hiệu quả.</t>
  </si>
  <si>
    <t>Mức giảm trừ gia cảnh tăng, quy trình khai báo thuế đơn giản hơn so với trước đây.</t>
  </si>
  <si>
    <t>Biểu thuế được đơn giản hóa từ 7 bậc xuống còn 5 bậc, giúp việc tính thuế dễ hiểu và thực hiện nhanh chóng hơn.</t>
  </si>
  <si>
    <t>Nhà nước đã cải cách thuế để đảm bảo công bằng trong việc đánh thuế cho mọi người với mức giảm trừ gia cảnh tăng.</t>
  </si>
  <si>
    <t>Mức thuế mới có sự điều chỉnh phù hợp với thu nhập hiện tại, tạo cảm giác công bằng hơn so với trước đây.</t>
  </si>
  <si>
    <t>Thuế được sử dụng hiệu quả cho các dịch vụ công như y tế và giao thông, tăng niềm tin vào việc quản lý tài chính nhà nước.</t>
  </si>
  <si>
    <t>Nhà nước đã giải thích rõ ràng về mục tiêu của cải cách thuế qua nhiều kênh truyền thông, giúp người dân hiểu được mục đích.</t>
  </si>
  <si>
    <t>Việc tuân thủ chính sách mới thể hiện sự ủng hộ đối với các cải tiến trong quản lý và đánh thuế, đồng thời đảm bảo lợi ích tài chính cho bản thân.</t>
  </si>
  <si>
    <t>Cải cách thuế TNCN có nhiều quy định quản lý và giảm trừ gia cảnh, nhưng khả năng phát hiện trốn thuế phụ thuộc nhiều vào công nghệ và nguồn lực của cơ quan thuế. Với mức giảm trừ gia cảnh tăng mạnh, việc phát hiện trốn thuế khó khăn hơn.</t>
  </si>
  <si>
    <t>Công nghệ ngày càng tiên tiến, nhưng tình hình kinh tế - xã hội phức tạp đòi hỏi khả năng phát hiện trốn thuế cần sự kết hợp giữa công nghệ và nguồn lực con người. Cơ quan thuế có nhiều phương thức phát hiện trốn thuế.</t>
  </si>
  <si>
    <t>Số bậc thuế giảm từ 7 xuống còn 5, quy định rõ ràng hơn, nhưng vẫn cần thời gian để thực hiện các thủ tục. Tăng cường giảm trừ gia cảnh giúp đơn giản hóa và nhanh chóng hơn.</t>
  </si>
  <si>
    <t>Cách tính thuế mới đơn giản hóa bậc thang, dễ hiểu và thực hiện thuận tiện hơn so với trước đây. Mức thuế suất cũng được điều chỉnh phù hợp với thu nhập của người dân.</t>
  </si>
  <si>
    <t>Nhà nước đã cải cách các quy định về thuế, tăng giảm trừ gia cảnh và đơn giản hóa biểu thuế. Tuy nhiên, việc thực thi chính sách còn phụ thuộc vào nguồn lực và hiệu quả quản lý của cơ quan thuế.</t>
  </si>
  <si>
    <t>Mức thuế mới được điều chỉnh dựa trên thu nhập cá nhân, nhưng vẫn cần thời gian để đánh giá tính công bằng. Tuy nhiên, mức giảm trừ gia cảnh tăng mạnh giúp giảm gánh nặng cho người dân.</t>
  </si>
  <si>
    <t>Thuế đóng góp vào ngân sách nhà nước và phục vụ các dịch vụ công. Mức thuế mới được điều chỉnh phù hợp với thu nhập cá nhân, nhưng cần thời gian để đánh giá hiệu quả sử dụng nguồn tài chính này.</t>
  </si>
  <si>
    <t>Nhà nước đã giải thích rõ về mục tiêu cải cách và mức thuế mới. Tuy nhiên, thông tin minh bạch còn phụ thuộc vào khả năng tiếp cận của người dân và sự hiểu biết về chính sách.</t>
  </si>
  <si>
    <t>Thuế mới đơn giản hóa quy trình khai báo và giảm gánh nặng cho người nộp thuế. Mức thuế được điều chỉnh phù hợp với thu nhập cá nhân, nhưng cần thời gian để đánh giá hiệu quả thực thi.</t>
  </si>
  <si>
    <t>Các quy định quản lý thuế hiện nay đã tăng cường giảm trừ gia cảnh và đơn giản hóa biểu thuế, tạo cơ sở cho việc phát hiện trốn thuế. Tuy nhiên, vẫn còn khả năng gian lận nếu người nộp thuế khai báo không trung thực.</t>
  </si>
  <si>
    <t>Việc áp dụng công nghệ tiên tiến giúp nhà nước dễ dàng phát hiện và xử lý các hành vi trốn thuế. Công nghệ cũng góp phần tăng cường quản lý hiệu quả.</t>
  </si>
  <si>
    <t>Giảm trừ gia cảnh và đơn giản hóa biểu thuế tạo thuận lợi hơn cho việc khai báo thuế, mặc dù quy trình làm việc vẫn cần cải thiện.</t>
  </si>
  <si>
    <t>Biểu thuế mới với ít bậc hơn mang tính đơn giản hóa, dễ hiểu và thực hiện nhanh chóng hơn so với trước đây.</t>
  </si>
  <si>
    <t>Niềm tin vào sự khách quan và công bằng của cơ quan thuế tăng lên nhờ việc áp dụng giảm trừ gia cảnh lớn hơn. Tuy nhiên, vẫn còn lo ngại về khả năng thực thi.</t>
  </si>
  <si>
    <t>Mức thuế mới được thiết kế hợp lý dựa trên thu nhập, tạo cảm giác công bằng cho người nộp thuế như tôi</t>
  </si>
  <si>
    <t>Thuế đóng góp vào việc cải thiện dịch vụ công như y tế và giao thông. Tuy nhiên, cần thời gian để đánh giá hiệu quả thực tế.</t>
  </si>
  <si>
    <t>Chính phủ đã giải thích rõ ràng về mục tiêu của việc sửa đổi thuế mới, nhưng vẫn có một số chi tiết chưa được minh bạch đầy đủ</t>
  </si>
  <si>
    <t>Sau khi cân nhắc lợi ích và nghĩa vụ, tôi ủng hộ chính sách mới vì giảm gánh nặng thuế và tăng sự đơn giản hóa. Tôi sẽ tuân thủ theo đúng quy định.</t>
  </si>
  <si>
    <t>Tăng mức giảm trừ gia cảnh và đơn giản hóa biểu thuế có thể làm tăng độ khó đối với hành vi gian lận. Tuy nhiên, khả năng phát hiện trốn thuế phụ thuộc vào nhiều yếu tố, không chỉ là quy định quản lý.</t>
  </si>
  <si>
    <t>Công nghệ hiện đại giúp cải thiện hiệu quả quản lý thuế, nhưng vẫn cần sự phối hợp giữa cơ quan thuế và cá nhân. Việc xử lý nghiêm các hành vi trốn thuế phụ thuộc vào hệ thống pháp luật và thực thi.</t>
  </si>
  <si>
    <t>Các quy định mới đơn giản hóa quy trình khai báo, nhưng thực tế sự thuận tiện còn phụ thuộc vào năng lực của cá nhân trong việc sử dụng các công cụ kỹ thuật số.</t>
  </si>
  <si>
    <t>Bậc thuế giảm từ 7 xuống 5 làm việc tính toán đơn giản hơn, nhưng mức thuế suất vẫn có thể gây khó hiểu cho người dân chưa am hiểu về tax law.</t>
  </si>
  <si>
    <t>Nhà nước đã cải thiện quy định quản lý thuế, giảm gánh nặng cho người dân. Tuy nhiên, việc thực thi công bằng phụ thuộc vào nhiều yếu tố như chính sách và thực thi pháp luật.</t>
  </si>
  <si>
    <t>Mức thuế mới có thể được xem là công bằng với thu nhập hiện tại của tôi, nhưng vẫn cần sự minh bạch trong việc tính toán</t>
  </si>
  <si>
    <t>Đóng góp thuế sẽ được sử dụng hiệu quả hơn nhờ cải cách quản lý thuế. Tuy nhiên, hiệu quả cụ thể phụ thuộc vào việc triển khai và giám sát.</t>
  </si>
  <si>
    <t>Nhà nước đã giải thích rõ về mục tiêu của chính sách mới, nhưng vẫn cần thêm thông tin chi tiết để người dân hiểu đầy đủ</t>
  </si>
  <si>
    <t>Chính sách mới mang lại lợi ích tài chính và thuận tiện hơn so với trước đây. Tuy nhiên, quyết định ủng hộ phụ thuộc vào mức độ tin tưởng vào thực thi pháp luật.</t>
  </si>
  <si>
    <t>Tăng cường quản lý thuế và công nghệ phát hiện gian lận, nhưng mức tăng giảm trừ gia cảnh không rõ ràng có thể làm giảm hiệu quả.</t>
  </si>
  <si>
    <t>Công nghệ hiện đại giúp phát hiện trốn thuế dễ dàng hơn, nhưng vẫn phụ thuộc vào nguồn lực và quyết tâm của cơ quan thuế.</t>
  </si>
  <si>
    <t>Đơn giản hóa biểu thuế tạo thuận lợi cho việc khai báo, nhưng quy trình làm việc với cơ quan thuế chưa thay đổi nhiều so với trước đây.</t>
  </si>
  <si>
    <t>Biểu thuế đơn giản hơn, dễ hiểu và dễ thực hiện hơn so với trước đây, do có ít bậc thuế.</t>
  </si>
  <si>
    <t>Nhìn chung mức thuế mới công bằng hơn, nhưng vẫn cần thời gian để chứng minh sự khách quan và công bằng trong thực thi.</t>
  </si>
  <si>
    <t>Mức thuế mới phù hợp với thu nhập của tôi, tạo cảm giác công bằng, nhưng chưa hoàn toàn thuyết phục về tính minh bạch.</t>
  </si>
  <si>
    <t>Tăng mức giảm trừ gia cảnh giúp số tiền đóng thuế giảm đi, tăng niềm tin vào việc sử dụng hiệu quả nguồn thu thuế.</t>
  </si>
  <si>
    <t>Truyền thông chưa đủ mạnh để thuyết phục tôi hoàn toàn về mục tiêu và lý do của chính sách mới</t>
  </si>
  <si>
    <t>Niềm tin và cảm giác công bằng từ mức thuế mới tăng cao, nhưng vẫn cần thời gian để làm quen với các quy định mới.</t>
  </si>
  <si>
    <t>Thuế TNCN được cải cách với mức giảm trừ gia cảnh tăng mạnh, giúp người nộp thuế tiết kiệm chi phí. Ngoài ra, việc đơn giản hóa biểu thuế cũng làm giảm rủi ro gian lận.</t>
  </si>
  <si>
    <t>Công nghệ hiện đại và hệ thống quản lý thuế được cải tiến sẽ giúp phát hiện trốn thuế hiệu quả hơn. Tuy nhiên, vẫn cần sự hỗ trợ của công nghệ để tăng cường.</t>
  </si>
  <si>
    <t>Biểu thuế đơn giản hóa từ 7 bậc xuống còn 5 bậc giúp việc khai báo dễ dàng hơn. Mức giảm trừ gia cảnh lớn cũng làm giảm gánh nặng cho người nộp thuế.</t>
  </si>
  <si>
    <t>Các bậc thuế mới rõ ràng và đơn giản, dễ hiểu đối với người dân. Biểu thuế đã được cải tiến để thuận tiện hơn so với trước đây.</t>
  </si>
  <si>
    <t>Nhà nước nâng cao mức giảm trừ gia cảnh và đơn giản hóa biểu thuế, tạo cảm giác công bằng trong việc đánh thuế. Tuy nhiên, vẫn có sự đa dạng về thu nhập nên chưa phải ai cũng đồng ý.</t>
  </si>
  <si>
    <t>Mức thuế mới được thiết kế dựa trên thu nhập cụ thể của từng người, tạo cảm giác công bằng. Tuy nhiên, mức thuế vẫn cần điều chỉnh để phù hợp với nhiều đối tượng khác nhau.</t>
  </si>
  <si>
    <t>Thuế được sử dụng hiệu quả cho các dịch vụ công như y tế và đường xá, tạo niềm tin vào việc sử dụng nguồn lực một cách minh bạch. Tuy nhiên, còn phụ thuộc vào việc quản lý chi tiêu của Nhà nước.</t>
  </si>
  <si>
    <t>Nhà nước đã giải thích rõ ràng về mục tiêu cải cách thuế nhưng vẫn cần thêm thông tin và minh bạch để tăng sự thuyết phục. Việc này giúp tạo niềm tin vào quyết định quản lý của Nhà nước.</t>
  </si>
  <si>
    <t>Dù mức thuế mới được thiết kế công bằng hơn, nhưng gánh nặng vẫn còn lớn đối với một số đối tượng. Tuy nhiên, việc cải cách đã tạo ra nhiều thuận lợi cho người dân nên tôi sẽ ủng hộ.</t>
  </si>
  <si>
    <t>Quy định quản lý thuế hiện nay đã được cải thiện đáng kể, tăng mức giảm trừ gia cảnh và đơn giản hóa biểu thuế. Điều này làm giảm khả năng trốn thuế, nhưng vẫn cần công nghệ phát hiện.</t>
  </si>
  <si>
    <t>Công nghệ ngày càng tiên tiến giúp phát hiện hành vi gian lận, kết hợp với các quy định quản lý mới sẽ tăng hiệu quả kiểm soát. Cơ quan thuế có đủ khả năng để thực thi.</t>
  </si>
  <si>
    <t>Quy trình khai báo thuế và làm việc với cơ quan thuế đã đơn giản hơn, số bậc thuế giảm đi tạo cảm giác thuận tiện hơn cho người nộp thuế. Tuy nhiên vẫn còn một số thủ tục phức tạp.</t>
  </si>
  <si>
    <t>Cách tính thuế mới đơn giản và dễ hiểu hơn so với trước đây, các bậc thuế rõ ràng hơn giúp việc thực hiện thuận lợi. Việc này làm tăng cảm giác thuận tiện cho người nộp thuế.</t>
  </si>
  <si>
    <t>Nhà nước đã cải thiện quy định quản lý thuế và giảm gánh nặng thuế cho người dân, tạo nên sự công bằng trong việc đánh giá thu nhập. Điều này làm tăng niềm tin vào thực thi chính sách.</t>
  </si>
  <si>
    <t>Mức thuế mới đã được điều chỉnh sao cho phù hợp với thu nhập cá nhân. Tuy nhiên, mức độ công bằng còn phụ thuộc vào cách áp dụng và giám sát trong thực tế.</t>
  </si>
  <si>
    <t>Thuế đóng góp vào việc cải thiện các dịch vụ công như y tế và hạ tầng giao thông. Điều này làm tăng niềm tin rằng số tiền thuế đóng sẽ được sử dụng hiệu quả.</t>
  </si>
  <si>
    <t>Nhà nước đã giải thích rõ ràng về mục tiêu cải cách, tuy nhiên việc truyền tải thông tin vẫn cần thêm nỗ lực để tạo sự hiểu biết rộng rãi. Điều này làm tăng niềm tin vào quyết định của chính phủ.</t>
  </si>
  <si>
    <t>Mức độ ủng hộ cao do giảm gánh nặng thuế, cải cách thủ tục thuận lợi và cải thiện quy định quản lý thuế. Tuy nhiên, vẫn còn một số lo ngại về việc thực thi chính sách.</t>
  </si>
  <si>
    <t>Mức giảm trừ gia cảnh tăng, nhưng không rõ liệu công nghệ phát hiện trốn thuế có nâng cao hay không.</t>
  </si>
  <si>
    <t>Công nghệ hiện đại giúp phát hiện gian lận thuế trở nên dễ dàng hơn, tuy nhiên, thực tế xử lý nghiêm vẫn phụ thuộc vào quy định quản lý.</t>
  </si>
  <si>
    <t>Bậc thuế được đơn giản hóa từ 7 xuống 5 bậc, giảm số lượng giấy tờ cần khai báo. Tuy nhiên, không rõ mức độ tiện lợi như thế nào trong thực tế.</t>
  </si>
  <si>
    <t>Phương án mới đơn giản hóa biểu thuế và các bước tính toán, dễ hiểu hơn so với trước đây, giảm rào cản cho người dân khi khai báo thuế.</t>
  </si>
  <si>
    <t>Niềm tin vào sự công bằng của cơ quan thuế đang tăng do mức giảm trừ gia cảnh được nâng cao. Tuy nhiên, vẫn còn nghi ngại về cách thực thi chính sách.</t>
  </si>
  <si>
    <t>Mức thuế mới có vẻ hợp lý so với thu nhập hiện tại của tôi, nhưng vẫn cần xem xét kết quả cuối cùng để đánh giá công bằng lâu dài.</t>
  </si>
  <si>
    <t>Niềm tin vào việc sử dụng số tiền thuế đóng vào dịch vụ công đang tăng do mức giảm trừ gia cảnh cao hơn, nhưng vẫn có lo ngại về hiệu quả sử dụng nguồn ngân sách.</t>
  </si>
  <si>
    <t>Tin tưởng vào giải thích rõ ràng về mục tiêu của chính sách mới, tuy nhiên, sự minh bạch cần được cải thiện để tăng thêm niềm tin</t>
  </si>
  <si>
    <t>Sau khi cân nhắc lợi ích từ mức giảm trừ gia cảnh và đơn giản hóa thuế, tôi thấy có khả năng tuân thủ chính sách mới. Tuy nhiên, vẫn cần thời gian để đánh giá thực tế.</t>
  </si>
  <si>
    <t>Dù mức giảm trừ gia cảnh tăng, nhưng vẫn chưa giải quyết triệt để vấn đề trốn thuế. Công nghệ phát hiện gian lận thuế có thể cần thời gian để áp dụng rộng rãi.</t>
  </si>
  <si>
    <t>Công nghệ hiện đại như AI và Big Data giúp phát hiện trốn thuế hiệu quả hơn, nhưng vẫn phụ thuộc vào nguồn lực và chiến lược của cơ quan thuế.</t>
  </si>
  <si>
    <t>Biểu thuế được đơn giản hóa, nhưng quy trình khai báo chưa thực sự thuận tiện. Nhiều người còn gặp khó khăn trong việc hiểu rõ các biểu mẫu.</t>
  </si>
  <si>
    <t>Cách tính thuế và bậc thuế mới đơn giản hơn so với trước đây, dễ dàng nắm bắt hơn cho người dân.</t>
  </si>
  <si>
    <t>Nhà nước đã cố gắng thực hiện chính sách một cách công bằng, nhưng nhiều người vẫn lo ngại về việc thực thi và giám sát.</t>
  </si>
  <si>
    <t>Mức thuế mới có thể phù hợp với thu nhập của tôi, cảm thấy công bằng hơn so với trước đây</t>
  </si>
  <si>
    <t>Tôi tin rằng số tiền thuế đóng sẽ được sử dụng hiệu quả, nhưng còn cần xem xét tác động thực tế đến dịch vụ công.</t>
  </si>
  <si>
    <t>Nhà nước đã giải thích rõ ràng về mục tiêu của chính sách mới, tạo cảm giác tin tưởng hơn so với trước đây</t>
  </si>
  <si>
    <t>Tổng thể các thay đổi có lợi cho tôi, nhưng vẫn cần cân nhắc giữa quyền lợi và nghĩa vụ. Tuân thủ vì mục tiêu chung.</t>
  </si>
  <si>
    <t>Các quy định quản lý thuế hiện nay đã được cải thiện đáng kể, nhưng vẫn có những rủi ro về khả năng phát hiện gian lận. Với mức giảm trừ gia cảnh tăng lên, tôi tin rằng cơ hội trốn thuế sẽ ít đi.</t>
  </si>
  <si>
    <t>Nhà nước và cơ quan thuế đã đầu tư công nghệ để phát hiện hành vi trốn thuế, nhưng vẫn cần cải thiện hơn nữa. Tuy nhiên, với mức giảm trừ gia cảnh tăng lên, tôi tin rằng khả năng xử lý nghiêm các trường hợp trốn thuế sẽ cao hơn.</t>
  </si>
  <si>
    <t>Thủ tục khai báo thuế đã đơn giản hóa đáng kể, nhưng vẫn có những bước cần hoàn thiện. Việc giảm số bậc thuế từ 7 xuống còn 5 cũng giúp quá trình làm việc với cơ quan thuế trở nên thuận tiện hơn.</t>
  </si>
  <si>
    <t>Cách tính thuế và các bậc thuế trong phương án mới đã đơn giản hóa, nhưng vẫn cần thêm thời gian để người dân thích nghi. Việc giảm số bậc thuế từ 7 xuống còn 5 đã giúp việc hiểu và thực hiện quy trình trở nên dễ dàng hơn.</t>
  </si>
  <si>
    <t>Nhà nước đã cải thiện các quy định về thuế, nhưng vẫn cần thêm thời gian để người dân tin tưởng hoàn toàn vào cách thực thi chính sách. Mức giảm trừ gia cảnh tăng lên tạo nên sự công bằng hơn.</t>
  </si>
  <si>
    <t>Mức thuế mới là công bằng so với thu nhập hiện tại, nhưng vẫn cần thêm thời gian để người dân hiểu rõ và cảm thấy hài lòng. Việc cải cách này đã làm giảm gánh nặng thuế cho đa số người dân.</t>
  </si>
  <si>
    <t>Tôi tin rằng số tiền thuế tôi đóng sẽ được sử dụng hiệu quả, nhưng vẫn cần thêm thời gian để chứng minh. Mức giảm trừ gia cảnh tăng lên tạo nên sự công bằng hơn trong việc phân chia trách nhiệm giữa nhà nước và cá nhân.</t>
  </si>
  <si>
    <t>Nhà nước đã giải thích rõ ràng về mục tiêu của cải cách thuế, nhưng vẫn cần thêm thời gian để người dân hiểu đầy đủ. Việc cải cách này đã đơn giản hóa quy trình khai báo và tính toán thuế.</t>
  </si>
  <si>
    <t>Sau khi cân nhắc lợi ích từ mức giảm trừ gia cảnh tăng lên, tôi quyết định ủng hộ chính sách mới. Mặc dù vẫn có những thay đổi cần thời gian để thích nghi, nhưng tổng thể tôi tin rằng nó sẽ mang lại nhiều lợi ích hơn.</t>
  </si>
  <si>
    <t>Hiện nay, mức giảm trừ gia cảnh tăng mạnh và quy định quản lý thuế được cải cách, việc phát hiện hành vi gian lận sẽ dễ dàng hơn. Công nghệ cũng đã hỗ trợ tốt cho quá trình này.</t>
  </si>
  <si>
    <t>Việc áp dụng công nghệ trong quản lý thuế giúp tăng cường khả năng phát hiện và xử lý nghiêm các hành vi trốn thuế, đồng thời cải thiện hiệu quả quản lý</t>
  </si>
  <si>
    <t>Mức giảm trừ gia cảnh cao hơn và số bậc thuế được đơn giản hóa sẽ làm cho quy trình khai báo thuế trở nên thuận tiện hơn. Tuy nhiên, việc áp dụng công nghệ trong quản lý thuế có thể làm tăng độ phức tạp</t>
  </si>
  <si>
    <t>Biểu thuế được đơn giản hóa từ 7 bậc xuống còn 5 bậc, giảm bớt sự phức tạp và làm cho quá trình tính thuế trở nên dễ hiểu hơn.</t>
  </si>
  <si>
    <t>Những thay đổi về mức giảm trừ gia cảnh và biểu thuế đơn giản hóa sẽ tạo cảm giác công bằng. Tuy nhiên, đa nghi đối với việc thực thi chính sách vẫn còn tồn tại</t>
  </si>
  <si>
    <t>Mức thuế mới được thiết kế dựa trên thu nhập cá nhân nên tôi thấy là hợp lý. Tuy nhiên, sự phức tạp trong quá trình tính thuế có thể gây ra nghi ngờ về sự công bằng</t>
  </si>
  <si>
    <t>Tăng mức giảm trừ gia cảnh và đơn giản hóa biểu thuế tạo ra cảm giác tin tưởng vào việc sử dụng số tiền thuế một cách hiệu quả. Tuy nhiên, đa nghi về việc thực thi chính sách vẫn còn</t>
  </si>
  <si>
    <t>Những thay đổi trong thuế đã được giải thích rõ ràng thông qua các kênh truyền thông. Tuy nhiên, sự phức tạp và không chắc chắn về cách thức áp dụng có thể gây ra nghi ngờ</t>
  </si>
  <si>
    <t>Sau khi xem xét các quyền lợi và nghĩa vụ, tôi thấy chính sách mới mang lại nhiều lợi ích. Tuy nhiên, sự phức tạp trong quy trình khai báo thuế và đa nghi về việc thực thi chính sách vẫn còn</t>
  </si>
  <si>
    <t>Hiện tại, mức giảm trừ gia cảnh tăng cao và các quy định quản lý thuế được nâng cấp. Điều này làm giảm khả năng trốn thuế của cá nhân, tuy nhiên, vẫn còn nhiều yếu tố phụ thuộc vào thực thi cụ thể.</t>
  </si>
  <si>
    <t>Việc áp dụng công nghệ hiện đại như AI và blockchain trong quản lý thuế có thể phát hiện hành vi trốn thuế hiệu quả hơn. Tuy nhiên, vẫn cần cải thiện để đạt mức độ tin cậy cao.</t>
  </si>
  <si>
    <t>Biểu thuế được đơn giản hóa từ 7 bậc xuống còn 5 bậc, tạo thuận lợi cho việc khai báo và làm việc với cơ quan thuế. Tuy nhiên, vẫn cần cải thiện về mặt giao diện trực tuyến.</t>
  </si>
  <si>
    <t>Các bậc thuế mới đơn giản hơn so với trước đây. Việc giảm số bậc từ 7 xuống còn 5 đã làm cho việc tính toán và hiểu biết về thuế trở nên dễ dàng hơn.</t>
  </si>
  <si>
    <t>Mức giảm trừ gia cảnh tăng cao, tạo cảm giác công bằng đối với nhiều người. Tuy nhiên, vẫn có sự lo ngại về khả năng thực thi chính sách một cách khách quan và công bằng.</t>
  </si>
  <si>
    <t>Mức thuế mới được thiết kế theo thu nhập, tạo cảm giác công bằng đối với người nộp thuế. Tuy nhiên, mức thuế cụ thể cho từng nhóm thu nhập vẫn cần thêm minh bạch hơn.</t>
  </si>
  <si>
    <t>Mức giảm trừ gia cảnh tăng cao, làm cho việc đóng thuế trở nên công bằng và hiệu quả. Tuy nhiên, vẫn có lo ngại về khả năng sử dụng hiệu quả số tiền thu được từ thuế.</t>
  </si>
  <si>
    <t>Các thông tin giải thích về chính sách mới đã được cung cấp nhưng chưa rõ ràng và minh bạch như mong đợi. Việc cải thiện truyền thông sẽ giúp tăng độ tin tưởng.</t>
  </si>
  <si>
    <t>Chính sách thuế mới mang lại lợi ích về mặt tài chính, tuy nhiên, vẫn có sự lo ngại về khả năng thực thi và minh bạch của chính sách. Điều này khiến quyết định ủng hộ và tuân thủ không hoàn toàn chắc chắn.</t>
  </si>
  <si>
    <t>Thuế TNCN có nhiều quy định quản lý, nhưng mức giảm trừ gia cảnh tăng lên và đơn giản hóa biểu thuế có thể làm giảm hiệu quả trong việc phát hiện trốn thuế.</t>
  </si>
  <si>
    <t>Công nghệ ngày càng phát triển giúp cơ quan thuế dễ dàng hơn trong việc phát hiện trốn thuế, nhưng vẫn phụ thuộc vào quy định quản lý và thực thi.</t>
  </si>
  <si>
    <t>Nguyên tắc đơn giản hóa biểu thuế có thể làm giảm gian lận thông qua khai báo sai lệch, tuy nhiên quy trình làm việc với cơ quan thuế vẫn còn phức tạp.</t>
  </si>
  <si>
    <t>Biểu thuế mới đơn giản hơn so với trước đây, dễ hiểu và dễ thực hiện hơn trong việc tính toán mức thuế phải nộp.</t>
  </si>
  <si>
    <t>Thuế TNCN có nhiều quy định quản lý công bằng, nhưng việc giảm trừ gia cảnh tăng lên có thể làm giảm gian lận thông qua khai báo sai lệch.</t>
  </si>
  <si>
    <t>Mức thuế mới được điều chỉnh theo thu nhập, hợp lý đối với người nộp thuế như tôi. Tuy nhiên, việc tăng mức giảm trừ gia cảnh có thể làm giảm gian lận thông qua khai báo sai lệch.</t>
  </si>
  <si>
    <t>Thuốc TNCN được sử dụng hiệu quả để cải thiện các dịch vụ công. Mức thuế mới cũng hợp lý đối với người nộp thuế như tôi, nhưng vẫn cần sự minh bạch trong việc sử dụng nguồn thu</t>
  </si>
  <si>
    <t>Nhà nước đã giải thích rõ ràng về mục tiêu của việc sửa đổi thuế. Tuy nhiên, việc tăng mức giảm trừ gia cảnh có thể làm giảm gian lận thông qua khai báo sai lệch.</t>
  </si>
  <si>
    <t>Dù mức thuế mới hợp lý hơn so với trước đây, nhưng vẫn cần sự minh bạch và công bằng trong việc sử dụng nguồn thu để tôi có thể ủng hộ và tuân thủ chính sách mới.</t>
  </si>
  <si>
    <t>Các quy định quản lý thuế hiện nay đã được cải thiện, đặc biệt với việc tăng giảm trừ gia cảnh và đơn giản hóa biểu thuế, điều này làm giảm cơ hội cho hành vi gian lận. Tuy nhiên, vẫn còn phụ thuộc vào sự thực thi của cơ quan thuế.</t>
  </si>
  <si>
    <t>Công nghệ phát triển giúp việc phát hiện trốn thuế trở nên dễ dàng hơn. Việc Nhà nước đầu tư vào công nghệ cũng hỗ trợ tốt cho việc này. Tuy nhiên, vẫn còn các yếu tố như khả năng đào tạo của nhân viên và quy trình làm việc cần cải thiện.</t>
  </si>
  <si>
    <t>Hệ thống khai báo thuế đơn giản hơn với ít bậc thuế, giúp quá trình làm việc với cơ quan thuế trở nên nhanh chóng và tiện lợi. Tuy nhiên, vẫn còn các quy định phức tạp cần cải thiện.</t>
  </si>
  <si>
    <t>Way too much simplified tax calculation and brackets make it easier to understand and apply for most people. The new system is more straightforward compared to the previous one.</t>
  </si>
  <si>
    <t>Tăng mức giảm trừ gia cảnh và đơn giản hóa biểu thuế làm tăng niềm tin rằng Nhà nước thực hiện chính sách một cách khách quan, công bằng. Tuy nhiên, vẫn cần cải thiện trong việc áp dụng chính sách.</t>
  </si>
  <si>
    <t>Thuế mới có thể được coi là công bằng hơn với mức thuế suất và ngưỡng chịu thuế mới. Điều này làm tăng niềm tin về sự công bằng của hệ thống thuế mới.</t>
  </si>
  <si>
    <t>Niềm tin vào việc sử dụng số tiền thuế đóng để cải thiện dịch vụ công đã tăng lên với các mức giảm trừ gia cảnh và thay đổi thuế suất. Tuy nhiên, vẫn cần đảm bảo hiệu quả trong sử dụng nguồn thu.</t>
  </si>
  <si>
    <t>Giải thích về lý do và mục tiêu của việc sửa đổi thuế đã rõ ràng hơn so với trước đây, tạo niềm tin rằng Nhà nước đang thực hiện các cải cách một cách minh bạch. Tuy nhiên, vẫn cần cải thiện trong truyền thông.</t>
  </si>
  <si>
    <t>Niềm tin và cảm giác công bằng tăng lên do thay đổi thuế mới, đồng thời việc đơn giản hóa quy trình khai báo cũng giúp dễ tuân thủ. Tuy nhiên, vẫn cần xem xét rủi ro về khả năng thực thi chính sách.</t>
  </si>
  <si>
    <t>Chính sách mới có tăng mạnh mức giảm trừ gia cảnh, nhưng không rõ liệu công nghệ phát hiện trốn thuế đã được nâng cấp hay chưa.</t>
  </si>
  <si>
    <t>Công nghệ ngày càng phát triển và Nhà nước có nhiều nguồn lực để phát hiện trốn thuế. Tuy nhiên, vẫn cần thời gian để áp dụng hiệu quả.</t>
  </si>
  <si>
    <t>Mức giảm trừ gia cảnh tăng mạnh, làm cho việc khai báo thuế đơn giản hơn. Các quy trình với cơ quan thuế cũng được đơn giản hóa.</t>
  </si>
  <si>
    <t>Biểu thuế được rút gọn và các bậc thuế rõ ràng hơn, dễ hiểu và thực hiện nhanh chóng hơn so với trước đây.</t>
  </si>
  <si>
    <t>Mức giảm trừ gia cảnh tăng mạnh, làm cho việc khai báo thuế đơn giản và công bằng hơn. Tuy nhiên, vẫn có sự nghi ngờ về cách thực thi chính sách.</t>
  </si>
  <si>
    <t>Tương đối công bằng với mức thu nhập hiện tại của tôi. Thuế suất giảm ở các bậc đầu nhưng tăng cao hơn ở bậc cuối.</t>
  </si>
  <si>
    <t>Tiền thuế đóng góp vào cải thiện dịch vụ công như y tế, đường xá và giáo dục. Tuy nhiên, vẫn có lo ngại về hiệu quả sử dụng nguồn lực.</t>
  </si>
  <si>
    <t>Đã giải thích rõ ràng về mục tiêu của chính sách mới nhưng còn thiếu thông tin cụ thể về chi phí và lợi ích thực tế cho người dân.</t>
  </si>
  <si>
    <t>Tiền thuế giảm do mức giảm trừ gia cảnh tăng, cùng với việc thủ tục đơn giản hơn đã làm tăng niềm tin vào chính sách mới. Tuy nhiên, vẫn có sự thận trọng về thực thi và hiệu quả sử dụng nguồn lực.</t>
  </si>
  <si>
    <t>Biện pháp quản lý thuế mới có thể phát hiện hành vi gian lận, tuy nhiên vẫn cần sự hỗ trợ từ công nghệ và khả năng của cơ quan thuế.</t>
  </si>
  <si>
    <t>Công nghệ ngày càng tiên tiến giúp việc phát hiện trốn thuế trở nên dễ dàng hơn, nhưng vẫn phụ thuộc vào nguồn lực và quyết tâm của nhà nước.</t>
  </si>
  <si>
    <t>Thủ tục khai báo thuế đơn giản hơn trước đây, giảm bớt rườm rà và thời gian chờ đợi với cơ quan thuế.</t>
  </si>
  <si>
    <t>Cách tính thuế mới đơn giản hóa quá trình tính toán và dễ hiểu hơn so với biểu thuế cũ, giúp người nộp thuế thuận lợi hơn trong việc tuân thủ.</t>
  </si>
  <si>
    <t>Nếu mức giảm trừ gia cảnh tăng lên, tôi cảm thấy mình được đối xử công bằng và tin tưởng vào sự khách quan của cơ quan thuế.</t>
  </si>
  <si>
    <t>Mức thuế mới có vẻ hợp lý cho thu nhập hiện tại của tôi, tuy nhiên vẫn còn một số thắc mắc về cách áp dụng.</t>
  </si>
  <si>
    <t>Tôi tin rằng tiền thuế đóng góp sẽ được sử dụng hiệu quả cho các dịch vụ công, nhất là khi mức giảm trừ gia cảnh tăng lên.</t>
  </si>
  <si>
    <t>Mặc dù đã có giải thích về mục tiêu cải cách nhưng tôi vẫn cảm thấy cần thêm thông tin rõ ràng hơn để thuyết phục hoàn toàn.</t>
  </si>
  <si>
    <t>Sau khi cân nhắc, mức thuế mới phù hợp với thu nhập hiện tại của tôi và giảm trừ gia cảnh tăng lên. Tuy nhiên, vẫn còn một số lo ngại về việc thực thi.</t>
  </si>
  <si>
    <t>Mức giảm trừ gia cảnh tăng lên, cùng với việc đơn giản hóa quy trình khai báo thuế, khiến tôi cảm thấy hành vi trốn thuế sẽ dễ bị phát hiện hơn.</t>
  </si>
  <si>
    <t>Công nghệ phát triển và sự giám sát của cơ quan thuế được cải thiện, cho thấy khả năng phát hiện và xử lý nghiêm các hành vi trốn thuế sẽ tốt hơn.</t>
  </si>
  <si>
    <t>Mức giảm trừ gia cảnh tăng, cùng với việc đơn giản hóa quy trình khai báo thuế giúp tôi tiết kiệm thời gian và công sức hơn so với trước đây.</t>
  </si>
  <si>
    <t>Các bậc thuế được đơn giản hóa, điều này làm cho quá trình tính thuế trở nên dễ hiểu và dễ thực hiện hơn.</t>
  </si>
  <si>
    <t>Nhu cầu công bằng trong việc áp dụng mức giảm trừ gia cảnh mới đã tăng lên, cũng như quy định quản lý thuế được cải thiện, làm tôi tin tưởng rằng chính sách sẽ được thực thi một cách khách quan.</t>
  </si>
  <si>
    <t>Thuế suất và ngưỡng chịu thuế đã được điều chỉnh để phù hợp với thu nhập của tôi, khiến tôi cảm thấy mức thuế mới là công bằng.</t>
  </si>
  <si>
    <t>Mức giảm trừ gia cảnh tăng lên cùng với việc đơn giản hóa quy trình khai báo thuế làm tôi tin rằng số tiền thuế đóng sẽ được sử dụng hiệu quả để cải thiện dịch vụ công.</t>
  </si>
  <si>
    <t>Các thông điệp về lý do và mục tiêu của chính sách mới chưa đủ rõ ràng, khiến tôi có sự hoài nghi về việc Nhà nước đã giải thích minh bạch.</t>
  </si>
  <si>
    <t>，。</t>
  </si>
  <si>
    <t>Biểu thuế đơn giản, nhưng vẫn chưa chắc chắn về khả năng phát hiện trốn thuế.</t>
  </si>
  <si>
    <t>Công nghệ ngày nay có thể phát hiện trốn thuế hiệu quả hơn, nhưng cần thời gian để áp dụng rộng rãi.</t>
  </si>
  <si>
    <t>Mức giảm trừ gia cảnh tăng, thủ tục khai báo đơn giản hóa, tạo thuận lợi cho người nộp thuế.</t>
  </si>
  <si>
    <t>Bậc thuế ít đi, nhưng các bậc vẫn giữ nguyên mức thuế suất, không quá rõ ràng về sự đơn giản hóa.</t>
  </si>
  <si>
    <t>Nhà nước đã tăng giảm trừ gia cảnh và đơn giản hóa quy trình nộp thuế, tạo ra cảm giác công bằng.</t>
  </si>
  <si>
    <t>Mức thuế mới có thể phù hợp với thu nhập của tôi, nhưng chưa rõ ràng về sự công bằng so với người khác.</t>
  </si>
  <si>
    <t>Thuế được sử dụng cho các dịch vụ công, nhưng không chắc chắn về hiệu quả sử dụng nguồn thuế.</t>
  </si>
  <si>
    <t>Nhà nước đã giải thích rõ ràng về tăng giảm trừ gia cảnh, nhưng chưa đủ minh bạch về mục tiêu cải cách.</t>
  </si>
  <si>
    <t>Do mức thuế mới có lợi cho tôi, nhưng vẫn còn nghi ngờ về khả năng thực thi và hiệu quả sử dụng nguồn thuế.</t>
  </si>
  <si>
    <t>Điểm số này được đánh giá dựa trên mức độ tin tưởng vào khả năng phát hiện và xử lý trốn thuế của cơ quan thuế. Với việc tăng cường công nghệ, tôi nghĩ rằng khả năng phát hiện gian lận sẽ cao hơn trước.</t>
  </si>
  <si>
    <t>Điểm số này dựa trên niềm tin vào công nghệ và năng lực của cơ quan thuế. Với cải tiến về quản lý thuế, tôi nghĩ rằng khả năng phát hiện trốn thuế sẽ tốt hơn.</t>
  </si>
  <si>
    <t>Điểm số này được đánh giá theo sự đơn giản hóa quy trình khai báo và làm việc với cơ quan thuế. Với việc rút gọn từ 7 bậc xuống còn 5 bậc, tôi nghĩ rằng quá trình sẽ thuận tiện hơn.</t>
  </si>
  <si>
    <t>Điểm số này dựa trên việc đơn giản hóa biểu thuế. Việc giảm số bậc thuế từ 7 thành 5 có thể làm cho quá trình tính thuế dễ hiểu và thực hiện hơn.</t>
  </si>
  <si>
    <t>Điểm số này được đánh giá theo niềm tin vào sự khách quan, công bằng của cơ quan thuế. Với việc tăng giảm trừ gia cảnh, tôi nghĩ rằng cơ hội bị trục lợi sẽ ít hơn.</t>
  </si>
  <si>
    <t>Điểm số này dựa trên cảm giác về mức thuế mới. Mặc dù có sự thay đổi, nhưng tổng mức thuế vẫn hợp lý với thu nhập của tôi.</t>
  </si>
  <si>
    <t>Điểm số này được đánh giá theo niềm tin vào việc sử dụng hiệu quả số tiền thuế đã đóng. Tuy chưa rõ ràng về cách sử dụng, nhưng tăng giảm trừ gia cảnh có thể làm cho tôi thấy mức thuế đóng là công bằng.</t>
  </si>
  <si>
    <t>Điểm số này dựa trên việc cơ quan thuế đã giải thích rõ về mục tiêu của chính sách mới. Tuy nhiên, thông tin còn thiếu nên điểm số không cao.</t>
  </si>
  <si>
    <t>Điểm số này được đánh giá theo sự ủng hộ và tuân thủ chính sách. Với mức thuế mới và giảm trừ gia cảnh, tôi sẽ tiếp tục tuân thủ vì lợi ích cá nhân.</t>
  </si>
  <si>
    <t>Mức giảm trừ gia cảnh tăng, điều này làm giảm gánh nặng thuế đối với nhiều người dân. Điều này đồng nghĩa với việc cơ quan thuế có thể tập trung giám sát các trường hợp cao thu nhập hơn, từ đó tăng khả năng phát hiện hành vi trốn thuế.</t>
  </si>
  <si>
    <t>Việc đơn giản hóa biểu thuế và quy định quản lý thuế mới có thể làm giảm cơ hội cho hành vi gian lận. Công nghệ hiện đại cũng giúp tăng cường khả năng phát hiện các trường hợp trốn thuế.</t>
  </si>
  <si>
    <t>Biểu thuế được rút gọn từ 7 bậc xuống còn 5 bậc, điều này làm giảm sự phức tạp cho người dân trong quá trình khai báo thuế. Việc này cũng giúp quy trình làm việc với cơ quan thuế đơn giản hơn.</t>
  </si>
  <si>
    <t>Các thay đổi về biểu thuế và mức giảm trừ gia cảnh có thể làm cho cách tính thuế trở nên dễ hiểu hơn, tuy nhiên, vẫn cần thời gian để mọi người quen thuộc với các quy định mới.</t>
  </si>
  <si>
    <t>Mức giảm trừ gia cảnh tăng và đơn giản hóa biểu thuế có thể làm cho việc thực thi chính sách trở nên công bằng hơn, do đó tạo ra niềm tin rằng nhà nước sẽ đối xử bình đẳng với mọi người nộp thuế.</t>
  </si>
  <si>
    <t>Mức thuế mới được thiết kế để phản ánh mức thu nhập, nhưng vẫn cần thời gian để đánh giá liệu nó có công bằng hay không. Đa số người dân sẽ cảm thấy hợp lý với các bậc thuế mới.</t>
  </si>
  <si>
    <t>Việc tăng giảm trừ gia cảnh và đơn giản hóa biểu thuế có thể làm cho việc sử dụng tiền thuế vào mục đích công ích trở nên rõ ràng hơn. Tuy nhiên, cần thời gian để đánh giá hiệu quả thực tế.</t>
  </si>
  <si>
    <t>Thông tin về các thay đổi thuế đã được truyền tải qua nhiều kênh, nhưng vẫn có sự đa dạng trong mức độ hiểu biết và lòng tin của người dân. Đa số sẽ cảm thấy thông tin đã minh bạch hơn.</t>
  </si>
  <si>
    <t>Dù các thay đổi về thuế mang lại lợi ích cho nhiều người, nhưng vẫn cần thời gian để mọi người quen thuộc với các quy định mới. Niềm tin và nhận thức của công chúng còn hạn chế nên quyết định ủng hộ hoàn toàn vẫn chưa thể thực hiện.</t>
  </si>
  <si>
    <t>Dựa trên thông tin cải cách thuế, tôi cho rằng các quy định quản lý thuế hiện nay đã được nâng cấp để phát hiện và xử lý gian lận trốn thuế một cách hiệu quả.</t>
  </si>
  <si>
    <t>Công nghệ tiên tiến ngày càng được áp dụng trong lĩnh vực thuế, tăng khả năng phát hiện hành vi trốn thuế. Tuy nhiên, vẫn có thể còn hạn chế về mặt thực thi.</t>
  </si>
  <si>
    <t>Mức giảm trừ gia cảnh và người phụ thuộc cao hơn trước đây, cùng với việc đơn giản hóa biểu thuế sẽ làm cho thủ tục khai báo thuế nhanh chóng và tiện lợi hơn.</t>
  </si>
  <si>
    <t>Biểu thuế được rút gọn từ 7 bậc xuống còn 5 bậc, đồng thời các bậc thuế suất và ngưỡng chịu thuế cũng đã thay đổi, giúp việc tính toán thuế đơn giản hóa.</t>
  </si>
  <si>
    <t>Nhà nước có biện pháp cải cách để nâng cao công bằng trong việc thực thi chính sách thuế, tạo sự tin tưởng từ người dân.</t>
  </si>
  <si>
    <t>Mức thuế mới được thiết kế sao cho phù hợp với thu nhập của tôi, do đó tôi cảm thấy mức thuế này là công bằng.</t>
  </si>
  <si>
    <t>Tăng cường giảm trừ gia cảnh và người phụ thuộc sẽ giúp số tiền thuế đóng vào ngân sách quốc gia được sử dụng hiệu quả hơn để cải thiện các dịch vụ công.</t>
  </si>
  <si>
    <t>Nhà nước đã cung cấp thông tin đầy đủ về chính sách mới, nhưng tôi vẫn cần thêm thời gian để đánh giá tính minh bạch và rõ ràng của những thông điệp này.</t>
  </si>
  <si>
    <t>Sau khi cân nhắc các quyền lợi và nghĩa vụ, tôi quyết định ủng hộ chính sách mới do mức thuế giảm và cải cách thủ tục khai báo thuận tiện hơn.</t>
  </si>
  <si>
    <t>Công nghệ phát triển giúp phát hiện gian lận, nhưng mức thuế giảm có thể làm giảm động lực kiểm tra.</t>
  </si>
  <si>
    <t>Nhà nước đã tăng cường công nghệ, tuy nhiên vẫn cần cải thiện để phát hiện trốn thuế hiệu quả hơn.</t>
  </si>
  <si>
    <t>Mức giảm trừ gia cảnh và biểu thuế đơn giản hơn làm thủ tục khai báo thuận lợi hơn.</t>
  </si>
  <si>
    <t>Biểu thuế mới có ít bậc hơn, dễ hiểu hơn so với trước đây.</t>
  </si>
  <si>
    <t>Giảm trừ gia cảnh tăng và biểu thuế đơn giản làm giảm gánh nặng thuế, tạo cảm giác công bằng.</t>
  </si>
  <si>
    <t>Mức thuế mới phù hợp với thu nhập hiện tại của tôi, nhưng vẫn cần xem xét hiệu quả thực tế sau này.</t>
  </si>
  <si>
    <t>Giảm trừ gia cảnh tăng và mức thuế đơn giản hơn tạo niềm tin vào việc sử dụng tiền thuế hiệu quả.</t>
  </si>
  <si>
    <t>Thông tin về thay đổi thuế được giải thích rõ ràng, nhưng vẫn cần theo dõi thực tế để đánh giá.</t>
  </si>
  <si>
    <t>Thu nhập giảm do mức thuế mới và niềm tin vào việc sử dụng tiền thuế hiệu quả tăng.</t>
  </si>
  <si>
    <t>Cải cách thuế TNCN đã tăng mức giảm trừ gia cảnh, đơn giản hóa biểu thuế và thay đổi các bậc thuế suất. Điều này làm giảm gánh nặng thuế đối với người dân và tạo ra sự công bằng hơn trong việc đánh thuế.</t>
  </si>
  <si>
    <t>Việc tăng mức giảm trừ gia cảnh, đơn giản hóa biểu thuế và thay đổi các bậc thuế suất giúp tạo ra một hệ thống thuế rõ ràng hơn. Tuy nhiên, cần thêm thông tin về khả năng phát hiện trốn thuế của cơ quan thuế.</t>
  </si>
  <si>
    <t>Bậc thuế được đơn giản hóa từ 7 xuống còn 5 bậc, làm cho việc tính thuế và khai báo trở nên dễ dàng hơn. Tuy nhiên, quá trình làm việc với cơ quan thuế vẫn chưa thật sự tiện lợi.</t>
  </si>
  <si>
    <t>Biểu thuế đơn giản hóa từ 7 bậc xuống còn 5 bậc, giảm số lượng thông tin cần thiết để tính thuế. Tuy nhiên, cách tính thuế vẫn có thể phức tạp đối với người dân không am hiểu về thuế.</t>
  </si>
  <si>
    <t>Mức giảm trừ gia cảnh tăng lên và biểu thuế đơn giản hóa giúp tạo ra sự công bằng trong việc đánh thuế. Tuy nhiên, mức độ tin tưởng vào cách thực thi chính sách của cơ quan thuế vẫn còn thấp đối với một số người.</t>
  </si>
  <si>
    <t>Bậc thuế mới đơn giản và rõ ràng hơn so với trước đây, tạo cảm giác công bằng cho người dân. Tuy nhiên, mức độ ủng hộ về mặt này vẫn phụ thuộc vào mức thu nhập của từng cá nhân.</t>
  </si>
  <si>
    <t>Bậc thuế mới đơn giản và rõ ràng hơn, tạo cảm giác công bằng khi đóng thuế. Tuy nhiên, việc sử dụng số tiền thuế để cải thiện dịch vụ công vẫn cần thêm minh bạch.</t>
  </si>
  <si>
    <t>Cải cách thuế đã đơn giản hóa biểu thuế và tăng mức giảm trừ gia cảnh, tạo cảm giác công bằng khi đóng thuế. Tuy nhiên, việc giải thích về mục đích của cải cách vẫn còn hạn chế.</t>
  </si>
  <si>
    <t>Bên cạnh việc tăng mức giảm trừ gia cảnh và đơn giản hóa biểu thuế, việc thực thi chính sách mới chưa thật sự tạo ra sự tin tưởng. Tuy nhiên, nếu cơ quan thuế cải thiện khả năng phát hiện trốn thuế, tôi sẽ ủng hộ và tuân thủ.</t>
  </si>
  <si>
    <t>Dù các quy định quản lý thuế hiện nay đã được cải thiện, nhưng với mức giảm trừ gia cảnh lớn hơn và số bậc thuế ít hơn, việc phát hiện trốn thuế vẫn còn khó khăn. Người nộp thuế có thể lợi dụng điều này.</t>
  </si>
  <si>
    <t>Công nghệ ngày càng phát triển, Nhà nước và cơ quan thuế cũng đang nỗ lực nâng cao khả năng phát hiện trốn thuế. Điều này tăng niềm tin vào việc xử lý nghiêm minh.</t>
  </si>
  <si>
    <t>Số bậc thuế ít hơn và giảm trừ gia cảnh lớn hơn làm cho quy trình khai báo trở nên đơn giản hơn. Tuy nhiên, vẫn còn một số khó khăn trong quá trình làm việc với cơ quan thuế.</t>
  </si>
  <si>
    <t>Biểu thuế đơn giản hơn giúp tính toán nhanh chóng và dễ dàng hơn so với trước đây. Người nộp thuế có thể nắm bắt quy định mới một cách dễ dàng hơn.</t>
  </si>
  <si>
    <t>Niềm tin vào sự khách quan, công bằng của Nhà nước trong việc thực thi chính sách mới vẫn còn yếu do lịch sử phức tạp về quản lý thuế. Tuy nhiên, các quy định mới có thể tăng niềm tin.</t>
  </si>
  <si>
    <t>Mức thuế mới được thiết kế để công bằng với thu nhập hiện tại của tôi. Điều này làm giảm cảm giác không công bằng so với trước đây.</t>
  </si>
  <si>
    <t>Tôi tin rằng số tiền thuế đóng sẽ được sử dụng hiệu quả cho các dịch vụ công. Tuy nhiên, cần thời gian để xem xét thực tế</t>
  </si>
  <si>
    <t>Phần giải thích về lý do và mục tiêu của việc sửa đổi thuế chưa rõ ràng. Cần có thêm thông tin để tăng sự thuyết phục.</t>
  </si>
  <si>
    <t>Mặc dù các thay đổi mới mang lại lợi ích tài chính, nhưng tôi vẫn giữ thái độ thận trọng và cần thời gian để xem xét thực tế. Tuy nhiên, quyết định cuối cùng là ủng hộ.</t>
  </si>
  <si>
    <t>Dựa trên thông tin cải cách, không có nhiều thay đổi mạnh mẽ về quản lý thuế. Mức giảm trừ gia cảnh tăng nhưng vẫn có khả năng trốn thuế.</t>
  </si>
  <si>
    <t>Công nghệ hiện đại giúp phát hiện trốn thuế hiệu quả hơn, đặc biệt là với hệ thống điện tử hóa hồ sơ thuế.</t>
  </si>
  <si>
    <t>Biểu thuế được đơn giản hóa, nhưng mức thuế suất vẫn tương đối cao, chưa thấy cải thiện rõ rệt về thủ tục.</t>
  </si>
  <si>
    <t>Cách tính thuế mới dễ hiểu hơn so với trước đây, nhưng số bậc thuế không thay đổi nhiều.</t>
  </si>
  <si>
    <t>Nhìn chung cải cách giảm gánh nặng tài chính nên tạo niềm tin vào sự công bằng của cơ quan thuế</t>
  </si>
  <si>
    <t>Mức thuế mới phù hợp với thu nhập cá nhân trung bình, nhưng chưa thể đánh giá toàn diện về tính công bằng.</t>
  </si>
  <si>
    <t>Niềm tin vào việc sử dụng hiệu quả số tiền đóng thuế vào các dịch vụ công còn hạn chế do lịch sử thực thi</t>
  </si>
  <si>
    <t>Thông tin giải thích về mục đích cải cách không đủ rõ ràng, dẫn đến sự nghi ngờ từ người dân.</t>
  </si>
  <si>
    <t>Dù có ưu điểm về giảm gánh nặng tài chính nhưng vẫn còn nhiều yếu tố gây nghi ngại nên chưa sẵn sàng tuân thủ hoàn toàn</t>
  </si>
  <si>
    <t>Dựa trên thông tin về cải cách thuế, việc tăng mức giảm trừ gia cảnh có thể làm giảm gánh nặng thuế cho người dân. Tuy nhiên, khả năng phát hiện trốn thuế phụ thuộc nhiều vào công nghệ và thực thi của cơ quan thuế.</t>
  </si>
  <si>
    <t>Công nghệ ngày càng tiên tiến, việc sử dụng công nghệ để phát hiện trốn thuế có thể cải thiện đáng kể. Tuy nhiên, sự hiệu quả phụ thuộc vào nguồn lực và chính sách của cơ quan thuế.</t>
  </si>
  <si>
    <t>Bản thân cải cách đã đơn giản hóa quy trình khai báo thuế, điều này có thể làm tăng tiện lợi cho người nộp thuế. Tuy nhiên, sự thực hiện còn phụ thuộc vào việc triển khai.</t>
  </si>
  <si>
    <t>Sự thay đổi về biểu thuế đã đơn giản hóa quá trình tính thuế, điều này có thể làm tăng hiểu và thực hiện cho người dân. Tuy nhiên, cần thời gian để mọi người quen thuộc với phương án mới.</t>
  </si>
  <si>
    <t>Dựa trên cải cách về mức giảm trừ gia cảnh, tôi thấy việc này đối xử công bằng hơn với người nộp thuế. Tuy nhiên, niềm tin cần thời gian để hình thành và được kiểm chứng thông qua thực tế.</t>
  </si>
  <si>
    <t>Dựa trên các bậc thuế mới, mức thu nhập tôi phải đóng thuế là hợp lý so với thu nhập hiện tại. Tuy nhiên, việc công bố minh bạch về mục đích của cải cách cần thêm thời gian để thuyết phục.</t>
  </si>
  <si>
    <t>Dựa trên cải cách giảm trừ gia cảnh, tôi thấy mình đóng thuế một cách hợp lý và số tiền này sẽ được sử dụng hiệu quả cho dịch vụ công. Tuy nhiên, cần thời gian để kiểm chứng hiệu quả thực tế.</t>
  </si>
  <si>
    <t>Thông tin về cải cách thuế đã được thông báo nhưng tôi vẫn cần thêm thời gian để hiểu rõ mục đích và ý nghĩa của nó. Tuy nhiên, việc công bố minh bạch là bước tiến đúng hướng.</t>
  </si>
  <si>
    <t>Sau khi xem xét các quyền lợi và nghĩa vụ, tôi ủng hộ cải cách thuế vì giảm gánh nặng thuế cho bản thân. Tuy nhiên, quyết định cuối cùng phụ thuộc vào việc thực thi và hiệu quả của chính sách.</t>
  </si>
  <si>
    <t>Việc tăng mức giảm trừ gia cảnh và đơn giản hóa biểu thuế có thể làm giảm rủi ro trốn thuế. Tuy nhiên, khả năng phát hiện và xử lý vẫn phụ thuộc vào công nghệ quản lý thuế.</t>
  </si>
  <si>
    <t>Công nghệ quản lý thuế đã được cải tiến đáng kể, nhưng việc trốn thuế vẫn có thể xảy ra nếu người nộp thuế cung cấp thông tin sai lệch. Cơ quan thuế cần công nghệ hiện đại để phát hiện kịp thời.</t>
  </si>
  <si>
    <t>Biểu thuế được đơn giản hóa, nhưng quy trình khai báo vẫn phức tạp và tốn thời gian. Việc giảm số bậc thuế có thể làm tăng sự tiện lợi.</t>
  </si>
  <si>
    <t>Cách tính thuế mới đơn giản hơn so với trước đây, việc sử dụng các bậc thuế ít hơn cũng giúp người dân dễ hiểu và thực hiện.</t>
  </si>
  <si>
    <t>Nhà nước đã cải thiện quy định về giảm trừ gia cảnh, nhưng tôi vẫn nghi ngờ về sự công bằng trong cách áp dụng chính sách.</t>
  </si>
  <si>
    <t>Mức thuế mới được thiết kế nhằm tạo ra sự công bằng hơn so với trước đây. Tuy nhiên, mức thuế này có thể không phù hợp với thu nhập thực tế của tôi.</t>
  </si>
  <si>
    <t>Nhà nước đã sử dụng số tiền thuế doanh nghiệp để cải thiện các dịch vụ công, nhưng việc sử dụng số tiền thuế cá nhân còn cần nhiều cải tiến.</t>
  </si>
  <si>
    <t>Thống kê và phân tích của Nhà nước về lý do sửa đổi thuế đã được cung cấp đầy đủ, nhưng tôi vẫn nghi ngờ về sự minh bạch trong quá trình thực hiện.</t>
  </si>
  <si>
    <t>Sau khi cân nhắc lợi ích từ chính sách mới như mức giảm trừ gia cảnh và cách tính thuế đơn giản hơn, tôi ủng hộ việc tuân thủ. Tuy nhiên, vẫn có một số lo ngại về sự công bằng trong áp dụng.</t>
  </si>
  <si>
    <t>Luật Thuế TNCN sửa đổi có mức giảm trừ gia cảnh cao hơn, tạo cơ hội cho người dân ít bị phát hiện hành vi trốn thuế. Công nghệ cũng được cải thiện giúp tăng cường khả năng phát hiện.</t>
  </si>
  <si>
    <t>Nhà nước đã đầu tư vào công nghệ và đào tạo nhân lực để nâng cao hiệu quả quản lý thuế, giảm thiểu hành vi trốn thuế. Tuy nhiên vẫn còn cần cải thiện hơn nữa về mặt kỹ thuật.</t>
  </si>
  <si>
    <t>Biểu thuế đơn giản hóa từ 7 bậc xuống 5 bậc, cùng với tăng mức giảm trừ gia cảnh có thể làm giảm gánh nặng cho người dân, tạo thuận lợi trong khai báo thuế.</t>
  </si>
  <si>
    <t>Cách tính thuế và các bậc thuế mới đơn giản hơn so với trước đây, giúp người dân dễ dàng hiểu và thực hiện quy trình khai thuế.</t>
  </si>
  <si>
    <t>Mức giảm trừ gia cảnh tăng cao có thể tạo niềm tin rằng chính sách mới đối xử công bằng hơn. Tuy nhiên, vẫn cần xem xét thêm các yếu tố khác về thực thi chính sách.</t>
  </si>
  <si>
    <t>Mức thuế theo phương án mới phù hợp với thu nhập cá nhân của tôi và tạo cảm giác công bằng, nhưng vẫn chưa hoàn toàn thuyết phục trong việc minh bạch mục tiêu cải cách.</t>
  </si>
  <si>
    <t>Niềm tin rằng số tiền thuế đóng sẽ được sử dụng hiệu quả cho dịch vụ công cần thời gian để chứng minh. Mức thuế mới giúp tạo cảm giác công bằng nhưng chưa đủ thuyết phục về việc sử dụng hiệu quả.</t>
  </si>
  <si>
    <t>Các thông tin giải thích về lý do và mục tiêu của cải cách thuế chưa hoàn toàn rõ ràng, cần thêm minh bạch để tạo niềm tin trong người dân.</t>
  </si>
  <si>
    <t>Sau khi xem xét các quyền lợi và nghĩa vụ, tôi ủng hộ chính sách mới do mức giảm trừ gia cảnh cao hơn và cách tính thuế đơn giản. Tuy nhiên, vẫn cần thêm minh bạch về mục tiêu cải cách để tăng độ tin cậy.</t>
  </si>
  <si>
    <t>Biểu thuế đơn giản hơn, ngưỡng chịu thuế thấp hơn nên khả năng phát hiện trốn thuế có thể cao hơn trước đây.</t>
  </si>
  <si>
    <t>Công nghệ tiên tiến và quy định quản lý chặt chẽ hơn có thể giúp phát hiện và xử lý các hành vi trốn thuế hiệu quả.</t>
  </si>
  <si>
    <t>Mức giảm trừ gia cảnh tăng nên thủ tục khai báo đơn giản hơn, nhưng vẫn cần thời gian quen thuộc với quy định mới.</t>
  </si>
  <si>
    <t>Biểu thuế được rút gọn từ 7 bậc xuống còn 5 bậc, dễ hiểu và thực hiện đơn giản hơn so với trước đây.</t>
  </si>
  <si>
    <t>Nhà nước đã tăng mức giảm trừ gia cảnh nên tôi tin rằng chính sách mới sẽ đối xử công bằng và khách quan với mọi người nộp thuế.</t>
  </si>
  <si>
    <t>Mức thuế mới được thiết kế để phù hợp với thu nhập của tôi, cho thấy sự công bằng trong việc phân chia gánh nặng thuế.</t>
  </si>
  <si>
    <t>Tăng mức giảm trừ gia cảnh và đơn giản hóa biểu thuế có thể giúp số tiền thuế đóng được sử dụng hiệu quả hơn để cải thiện dịch vụ công.</t>
  </si>
  <si>
    <t>Các thông tin về lý do và mục tiêu của việc sửa đổi thuế được giải thích đầy đủ, tạo niềm tin cho người dân về quyết định này.</t>
  </si>
  <si>
    <t>Dù mức giảm trừ gia cảnh tăng nhưng tôi vẫn cần cân nhắc giữa lợi ích cá nhân và nghĩa vụ nộp thuế.</t>
  </si>
  <si>
    <t>Hiện nay, mức giảm trừ gia cảnh tăng lên và biểu thuế đơn giản hơn, nhưng vẫn chưa có thông tin rõ ràng về công nghệ phát hiện trốn thuế.</t>
  </si>
  <si>
    <t>Việc áp dụng công nghệ tiên tiến trong quản lý thuế là điều cần thiết, tuy nhiên, thực tế còn phụ thuộc vào khả năng đầu tư và triển khai của Nhà nước.</t>
  </si>
  <si>
    <t>Bậc thuế giảm từ 7 xuống 5, đồng thời tăng mức giảm trừ gia cảnh, tạo thuận lợi cho người dân. Tuy nhiên, quy trình làm việc với cơ quan thuế vẫn còn phức tạp.</t>
  </si>
  <si>
    <t>Biểu thuế đơn giản hơn nhưng cần thêm thời gian để quen thuộc với các bậc thuế mới và cách tính thuế.</t>
  </si>
  <si>
    <t>Tăng mức giảm trừ gia cảnh, tạo cảm giác công bằng đối với người nộp thuế. Tuy nhiên, vẫn có lo ngại về khả năng thực thi chính sách một cách khách quan.</t>
  </si>
  <si>
    <t>Mức thuế mới được thiết kế phù hợp với thu nhập cá nhân hiện nay, tạo cảm giác công bằng cho người nộp thuế.</t>
  </si>
  <si>
    <t>Dự kiến số tiền thuế sẽ được sử dụng hiệu quả để cải thiện dịch vụ công. Tuy nhiên, cần thêm thời gian để xem xét thực tế.</t>
  </si>
  <si>
    <t>Thông tin về lý do và mục tiêu của việc sửa đổi thuế chưa đầy đủ, nhưng đã có nhiều nỗ lực trong việc giải thích rõ ràng hơn so với trước đây.</t>
  </si>
  <si>
    <t>Dựa trên lợi ích tài chính từ chính sách mới và các thay đổi thuận tiện cho người nộp thuế, tôi sẽ ủng hộ và tuân thủ chính sách. Tuy nhiên, cần thêm thời gian để đánh giá hiệu quả thực tế.</t>
  </si>
  <si>
    <t>Chính sách mới tăng giảm trừ gia cảnh và đơn giản hóa biểu thuế, nhưng không có thông tin rõ ràng về công nghệ phát hiện trốn thuế.</t>
  </si>
  <si>
    <t>Công nghệ ngày càng tiên tiến giúp nhà nước kiểm soát tốt hơn, nhưng vẫn cần thời gian để triển khai hiệu quả.</t>
  </si>
  <si>
    <t>Thủ tục khai thuế đơn giản hóa từ 7 bậc xuống 5 bậc, giảm bớt rắc rối cho người nộp thuế.</t>
  </si>
  <si>
    <t>Cách tính thuế và biểu thuế mới rõ ràng hơn so với trước đây, nhưng vẫn có thể phức tạp đối với một số cá nhân.</t>
  </si>
  <si>
    <t>Nhà nước đã tăng giảm trừ gia cảnh, minh bạch hóa mức thu thuế, tạo sự công bằng cho người nộp thuế.</t>
  </si>
  <si>
    <t>Mức thuế mới được thiết kế dựa trên thu nhập nên tôi thấy hợp lý, nhưng vẫn cần thời gian để kiểm chứng hiệu quả.</t>
  </si>
  <si>
    <t>Thuế đóng góp vào các dịch vụ công quan trọng, giảm trừ gia cảnh tăng giúp cải thiện chất lượng cuộc sống.</t>
  </si>
  <si>
    <t>Nhà nước đã giải thích rõ về mục tiêu của chính sách mới, nhưng cần thêm minh bạch trong quá trình thực thi.</t>
  </si>
  <si>
    <t>Sau khi tính toán lợi ích từ giảm trừ gia cảnh và mức thuế mới hợp lý, tôi quyết định ủng hộ và tuân thủ.</t>
  </si>
  <si>
    <t>Các quy định quản lý thuế hiện nay đã được cải thiện, nhưng vẫn còn nhiều rủi ro về việc trốn thuế do thiếu công nghệ phát hiện hiệu quả. Việc tăng giảm trừ gia cảnh và đơn giản hóa biểu thuế có thể làm giảm cảm giác công bằng.</t>
  </si>
  <si>
    <t>Nhà nước đã đầu tư vào công nghệ để phát hiện trốn thuế, nhưng vẫn cần cải thiện năng lực và công nghệ. Việc tăng giảm trừ gia cảnh và đơn giản hóa biểu thuế có thể làm giảm cảm giác công bằng.</t>
  </si>
  <si>
    <t>Thủ tục khai báo thuế đã được đơn giản hóa, nhưng vẫn còn nhiều bước phức tạp. Tuy nhiên, việc tăng giảm trừ gia cảnh và đơn giản hóa biểu thuế có thể làm tăng cảm giác thuận tiện.</t>
  </si>
  <si>
    <t>Cách tính thuế mới đơn giản hơn so với trước đây, nhưng vẫn còn nhiều bậc thuế. Việc tăng giảm trừ gia cảnh và đơn giản hóa biểu thuế có thể làm tăng cảm giác công bằng.</t>
  </si>
  <si>
    <t>Niềm tin vào việc thực thi chính sách khách quan, công tâm đã được cải thiện do các thay đổi về giảm trừ gia cảnh và đơn giản hóa biểu thuế. Tuy nhiên, vẫn còn nhiều rủi ro về cách thực thi.</t>
  </si>
  <si>
    <t>Mức thuế mới được coi là công bằng hơn so với trước đây do tăng giảm trừ gia cảnh. Tuy nhiên, việc đơn giản hóa biểu thuế có thể làm tăng cảm giác công bằng.</t>
  </si>
  <si>
    <t>Niềm tin vào việc sử dụng hiệu quả số tiền thuế đóng để cải thiện dịch vụ công đã được cải thiện do các thay đổi về giảm trừ gia cảnh và đơn giản hóa biểu thuế. Tuy nhiên, vẫn còn nhiều rủi ro về cách thực hiện.</t>
  </si>
  <si>
    <t>Nhà nước đã giải thích rõ ràng về lý do và mục tiêu của việc sửa đổi thuế nhưng vẫn cần cải thiện hơn nữa. Việc tăng giảm trừ gia cảnh và đơn giản hóa biểu thuế có thể làm tăng cảm giác công bằng.</t>
  </si>
  <si>
    <t>Sau khi xem xét các quyền lợi và nghĩa vụ, tôi ủng hộ chính sách mới do sự đơn giản hóa quy trình khai báo và mức giảm trừ gia cảnh. Tuy nhiên, vẫn cần cải thiện về việc thực thi.</t>
  </si>
  <si>
    <t>Tăng mức giảm trừ gia cảnh và đơn giản hóa biểu thuế có thể làm tăng rủi ro phát hiện trốn thuế, nhưng tôi vẫn nghi ngờ về khả năng thực thi.</t>
  </si>
  <si>
    <t>Công nghệ tiên tiến giúp phát hiện trốn thuế trở nên dễ dàng hơn. Tăng mức giảm trừ gia cảnh và đơn giản hóa biểu thuế cũng tạo thuận lợi cho việc kiểm soát và quản lý thuế.</t>
  </si>
  <si>
    <t>Đơn giản hóa biểu thuế từ 7 bậc xuống còn 5 bậc, cùng với tăng mức giảm trừ gia cảnh, làm giảm rườm rà trong quy trình khai báo, tạo điều kiện thuận lợi cho việc nộp thuế.</t>
  </si>
  <si>
    <t>Cách tính thuế mới đơn giản hơn so với trước đây. Mức thuế suất và ngưỡng chịu thuế cũng được cải thiện, giúp người dân dễ dàng hiểu và áp dụng.</t>
  </si>
  <si>
    <t>Nhà nước đã tăng mức giảm trừ gia cảnh, tạo điều kiện cho nhiều người nộp thuế, nhưng tôi vẫn nghi ngờ về tính công bằng của việc phân bổ nguồn lực từ thuế.</t>
  </si>
  <si>
    <t>Mức thuế mới có vẻ hợp lý so với thu nhập hiện tại. Tuy nhiên, việc cải cách cần được giải thích rõ ràng hơn để tôi hoàn toàn tin tưởng vào tính công bằng của nó.</t>
  </si>
  <si>
    <t>Tăng mức giảm trừ gia cảnh và đơn giản hóa biểu thuế làm tăng niềm tin rằng số tiền thuế đóng sẽ được sử dụng hiệu quả cho dịch vụ công. Tuy nhiên, tôi vẫn không hoàn toàn chắc chắn về việc này.</t>
  </si>
  <si>
    <t>Nhà nước đã cải thiện mức giảm trừ gia cảnh và đơn giản hóa biểu thuế, nhưng giải thích về mục tiêu của chính sách mới chưa được rõ ràng như mong đợi.</t>
  </si>
  <si>
    <t>Tăng mức giảm trừ gia cảnh và đơn giản hóa biểu thuế tạo điều kiện thuận lợi cho việc tuân thủ. Tuy nhiên, tôi vẫn có chút lo ngại về tính công bằng của chính sách mới.</t>
  </si>
  <si>
    <t>Những cải cách về thuế thu nhập cá nhân như tăng giảm trừ gia cảnh và đơn giản hóa biểu thuế có thể làm giảm khả năng trốn thuế. Tuy nhiên, vẫn cần công nghệ phát hiện để đảm bảo hiệu quả.</t>
  </si>
  <si>
    <t>Công nghệ hiện đại ngày càng tiên tiến, giúp nhà nước và cơ quan thuế dễ dàng hơn trong việc phát hiện các hành vi trốn thuế. Tuy nhiên, vẫn cần nguồn lực để áp dụng công nghệ.</t>
  </si>
  <si>
    <t>Biểu thuế được đơn giản hóa từ 7 bậc xuống còn 5 bậc, làm giảm rườm rà và dễ hiểu hơn cho người nộp thuế. Khai báo thuế cũng trở nên thuận tiện hơn.</t>
  </si>
  <si>
    <t>Cách tính thuế mới đơn giản hơn so với trước đây, chỉ còn 5 bậc thay vì 7 bậc. Điều này giúp người dân dễ dàng hiểu và áp dụng.</t>
  </si>
  <si>
    <t>Thu nhập gia tăng sau khi cải cách thuế có thể làm tăng niềm tin vào việc thực thi công bằng. Tuy nhiên, vẫn cần thời gian để thấy kết quả.</t>
  </si>
  <si>
    <t>Thuế mới được tính dựa trên thu nhập, người thu nhập cao sẽ đóng nhiều hơn. Điều này tạo cảm giác công bằng giữa các nhóm thu nhập khác nhau.</t>
  </si>
  <si>
    <t>Tăng mức giảm trừ gia cảnh và đơn giản hóa biểu thuế có thể làm tăng niềm tin vào việc sử dụng hiệu quả số tiền thuế. Tuy nhiên, cần thời gian để thấy kết quả.</t>
  </si>
  <si>
    <t>Các thông điệp về cải cách thuế được truyền tải qua nhiều kênh nhưng vẫn chưa thuyết phục hoàn toàn mọi người. Cần thời gian để tăng tính minh bạch và hiểu rõ.</t>
  </si>
  <si>
    <t>Thu nhập gia tăng sau khi cải cách thuế có thể làm tăng khả năng tuân thủ. Tuy nhiên, vẫn cần niềm tin vào việc thực thi công bằng mới được tạo ra.</t>
  </si>
  <si>
    <t>Dựa trên thông tin cải cách thuế, các biện pháp quản lý mới có thể tăng cường khả năng phát hiện hành vi gian lận. Tuy nhiên, mức độ thực thi còn phụ thuộc vào nguồn lực và công nghệ của cơ quan thuế.</t>
  </si>
  <si>
    <t>Công nghệ ngày càng tiên tiến có thể hỗ trợ tốt việc phát hiện trốn thuế. Tuy nhiên, hiệu quả vẫn cần thời gian để chứng minh.</t>
  </si>
  <si>
    <t>Biểu thuế đơn giản hơn và mức giảm trừ gia cảnh cao hơn có thể tạo cảm giác thuận tiện. Việc này giúp người nộp thuế dễ dàng khai báo hơn so với trước đây.</t>
  </si>
  <si>
    <t>Đơn giản hóa biểu thuế và tăng mức giảm trừ gia cảnh làm cho việc tính toán và tuân thủ thuế trở nên dễ dàng, minh bạch hơn.</t>
  </si>
  <si>
    <t>Các biện pháp cải cách như tăng mức giảm trừ gia cảnh có thể tạo niềm tin rằng cơ quan thuế đối xử công bằng. Tuy nhiên, vẫn cần thời gian để chứng minh sự thực thi công bằng.</t>
  </si>
  <si>
    <t>Biểu thuế đơn giản hóa và tăng mức giảm trừ gia cảnh có thể tạo cảm giác rằng mức thuế hiện tại là hợp lý. Tuy nhiên, cần thời gian để đánh giá hiệu quả thực sự.</t>
  </si>
  <si>
    <t>Cải cách thuế như tăng mức giảm trừ gia cảnh có thể tạo niềm tin rằng số tiền thuế đóng sẽ được sử dụng hiệu quả. Tuy nhiên, cần thời gian để chứng minh điều này.</t>
  </si>
  <si>
    <t>Dựa trên thông tin cải cách, tôi thấy giải thích về lý do và mục tiêu của việc sửa đổi thuế khá rõ ràng. Tuy nhiên, vẫn cần thêm thông tin để hoàn toàn thuyết phục.</t>
  </si>
  <si>
    <t>Chính sách mới có lợi ích như giảm gánh nặng thuế cho nhiều người. Tuy nhiên, tôi sẽ cân nhắc kỹ trước khi ủng hộ hoàn toàn do sự phức tạp trong việc thực thi.</t>
  </si>
  <si>
    <t>Tăng mức giảm trừ gia cảnh có thể làm tăng lợi ích cho người dân, nhưng không đảm bảo việc phát hiện trốn thuế dễ dàng hơn. Công nghệ hiện đại giúp phát hiện gian lận, nhưng vẫn cần nguồn lực và quy định quản lý hợp lý.</t>
  </si>
  <si>
    <t>Công nghệ hiện đại như AI có thể hỗ trợ phát hiện trốn thuế hiệu quả hơn. Tuy nhiên, việc quản lý và ứng dụng công nghệ còn phụ thuộc vào nguồn lực của cơ quan thuế.</t>
  </si>
  <si>
    <t>Mức giảm trừ gia cảnh tăng sẽ đơn giản hóa thủ tục khai báo thuế cho người dân. Biểu thuế được rút gọn cũng giúp quy trình làm việc với cơ quan thuế dễ dàng hơn.</t>
  </si>
  <si>
    <t>Biểu thuế mới đơn giản và rõ ràng hơn so với trước đây, giúp người nộp thuế hiểu và thực hiện dễ dàng hơn. Tuy nhiên, vẫn cần sự thông tin đầy đủ để đảm bảo mọi người nắm bắt được.</t>
  </si>
  <si>
    <t>Tăng mức giảm trừ gia cảnh và đơn giản hóa biểu thuế có thể tạo niềm tin cho người dân rằng chính sách mới là công bằng. Tuy nhiên, cần thêm thông tin về cách sử dụng số tiền thuế để cải thiện dịch vụ công.</t>
  </si>
  <si>
    <t>Thay đổi mức thuế suất và ngưỡng chịu thuế tạo cảm giác công bằng cho người nộp thuế có thu nhập tương tự. Tuy nhiên, cần thêm thông tin về cách sử dụng số tiền thuế để đảm bảo sự minh bạch.</t>
  </si>
  <si>
    <t>Tăng mức giảm trừ gia cảnh và đơn giản hóa biểu thuế tạo niềm tin cho người dân rằng chính sách mới sẽ được sử dụng hiệu quả. Tuy nhiên, cần thêm thông tin về cách sử dụng số tiền thuế để cải thiện dịch vụ công.</t>
  </si>
  <si>
    <t>Tăng mức giảm trừ gia cảnh và đơn giản hóa biểu thuế tạo cảm giác Nhà nước đã giải thích rõ ràng về mục tiêu của chính sách mới. Tuy nhiên, cần thêm thông tin về cách sử dụng số tiền thuế để đảm bảo sự minh bạch.</t>
  </si>
  <si>
    <t>Tăng mức giảm trừ gia cảnh và đơn giản hóa biểu thuế tạo cảm giác công bằng cho người dân. Tuy nhiên, cần thêm thông tin về cách sử dụng số tiền thuế để cải thiện dịch vụ công trước khi quyết định ủng hộ.</t>
  </si>
  <si>
    <t>Mức giảm trừ gia cảnh và người phụ thuộc tăng, cùng với việc đơn giản hóa biểu thuế có thể làm giảm cơ hội trốn thuế. Tuy nhiên, không biết chính xác về công nghệ phát hiện mới.</t>
  </si>
  <si>
    <t>Công nghệ ngày càng phát triển, khả năng phát hiện và xử lý nghiêm hành vi trốn thuế sẽ tốt hơn. Tuy nhiên, vẫn cần thời gian để áp dụng rộng rãi.</t>
  </si>
  <si>
    <t>Mức giảm trừ gia cảnh tăng có thể làm thủ tục khai báo thuế đơn giản và nhanh chóng hơn cho người nộp thuế.</t>
  </si>
  <si>
    <t>Biểu thuế được rút gọn, giúp việc tính toán thuế dễ dàng và rõ ràng hơn. Tuy nhiên, mức thuế có thể vẫn phức tạp đối với một số trường hợp cụ thể.</t>
  </si>
  <si>
    <t>Mức giảm trừ gia cảnh tăng có thể tạo sự công bằng trong việc đánh giá thu nhập. Tuy nhiên, việc thực thi chính sách cần thêm thời gian để chứng minh.</t>
  </si>
  <si>
    <t>Thuế suất được điều chỉnh theo mức thu nhập, có thể thấy là công bằng hơn so với trước đây. Tuy nhiên, vẫn còn lo ngại về việc các ngành nghề khác nhau chịu thuế không đồng đều.</t>
  </si>
  <si>
    <t>Giảm trừ gia cảnh tăng và mức thuế được điều chỉnh có thể tạo ra niềm tin rằng số tiền thuế đóng sẽ được sử dụng hiệu quả. Tuy nhiên, cần thời gian để chứng minh.</t>
  </si>
  <si>
    <t>Luật mới đã giải thích rõ về mục tiêu của việc điều chỉnh thuế, giúp người dân hiểu rõ hơn. Tuy nhiên, thông tin chi tiết và cụ thể về quá trình thực hiện vẫn còn hạn chế.</t>
  </si>
  <si>
    <t>Thuế suất được điều chỉnh theo thu nhập có thể mang lại lợi ích cho nhiều đối tượng, đồng thời mức giảm trừ gia cảnh tăng cũng giúp tạo niềm tin. Tuy nhiên, vẫn cần thêm thời gian để chứng minh hiệu quả thực tế.</t>
  </si>
  <si>
    <t>Quy định quản lý thuế hiện tại có nhiều biện pháp phát hiện gian lận, nhưng vẫn phụ thuộc vào độ chính xác của báo cáo. Tăng mức giảm trừ gia cảnh cũng giúp kiểm soát gian lận hiệu quả hơn.</t>
  </si>
  <si>
    <t>Nhà nước đã đầu tư nhiều công nghệ mới để phát hiện trốn thuế, tuy nhiên vẫn cần sự phối hợp của người dân trong việc tuân thủ. Công nghệ giúp tăng khả năng phát hiện và xử lý nghiêm hơn.</t>
  </si>
  <si>
    <t>Biểu thuế được đơn giản hóa, giảm số bậc thuế từ 7 xuống còn 5, tạo thuận lợi cho quá trình khai báo. Tuy nhiên, các thủ tục vẫn cần cải tiến để trở nên tiện lợi hơn.</t>
  </si>
  <si>
    <t>Cách tính thuế và bậc thuế mới đơn giản hóa, dễ hiểu hơn so với trước đây. Điều này giúp người dân dễ dàng nắm bắt thông tin về mức thuế phải đóng.</t>
  </si>
  <si>
    <t>Mức giảm trừ gia cảnh tăng, cùng với việc điều chỉnh các bậc thuế suất một cách công bằng, tạo niềm tin rằng chính sách mới đối xử công bằng và minh bạch hơn với mọi người nộp thuế.</t>
  </si>
  <si>
    <t>Mức thuế mới được thiết kế dựa trên thu nhập, cho thấy sự tính toán hợp lý. Tuy nhiên, việc áp dụng thực tế cần theo dõi để đảm bảo công bằng hơn nữa.</t>
  </si>
  <si>
    <t>Thuế đóng góp vào các dịch vụ công như y tế và đường xá là một mục tiêu quan trọng. Tuy nhiên, hiệu quả sử dụng số tiền thuế này cần được cải thiện để tăng niềm tin.</t>
  </si>
  <si>
    <t>Nhà nước đã giải thích rõ ràng về các thay đổi, nhưng thông điệp truyền tải chưa đủ thuyết phục với một bộ phận người dân. Cần tiếp tục cung cấp thêm thông tin chi tiết để tăng sự hiểu biết.</t>
  </si>
  <si>
    <t>Tăng mức giảm trừ gia cảnh và đơn giản hóa biểu thuế tạo niềm tin cho việc tuân thủ. Tuy nhiên, cần xem xét kỹ các quyền lợi và nghĩa vụ để quyết định ủng hộ hay không.</t>
  </si>
  <si>
    <t>Hiện nay, tăng cường công nghệ trong quản lý thuế giúp phát hiện hành vi trốn thuế dễ dàng hơn. Bằng chứng giảm trừ gia cảnh và mức thuế thấp hơn cho thu nhập thấp có thể làm tăng niềm tin về tính công bằng.</t>
  </si>
  <si>
    <t>Công nghệ tiên tiến như AI, hệ thống thông tin quản lý thuế giúp nhà nước phát hiện trốn thuế nhanh chóng và hiệu quả. Tuy nhiên, vẫn cần sự cải thiện về khả năng kiểm soát.</t>
  </si>
  <si>
    <t>Bậc thuế đơn giản hơn từ 7 xuống còn 5 bậc và mức giảm trừ gia cảnh cao hơn giúp quy trình khai báo thuế nhanh chóng hơn. Điều này làm tăng độ thuận tiện cho người nộp thuế.</t>
  </si>
  <si>
    <t>Bậc thuế mới đơn giản hóa quá trình tính thuế, giảm bớt sự phức tạp và giúp việc thực hiện dễ dàng hơn. Việc giảm trừ gia cảnh cao hơn cũng làm tăng độ minh bạch.</t>
  </si>
  <si>
    <t>Những thay đổi như tăng mức giảm trừ gia cảnh và đơn giản hóa biểu thuế tạo ra sự công bằng hơn cho người nộp thuế. Tuy nhiên, việc thực thi chính sách còn phụ thuộc vào hiệu quả quản lý.</t>
  </si>
  <si>
    <t>Thuế mới theo phương án này có thể coi là công bằng vì mức giảm trừ gia cảnh cao hơn và số bậc thuế thấp hơn. Tuy nhiên, vẫn cần xem xét thêm về hiệu quả quản lý.</t>
  </si>
  <si>
    <t>Thuế mới giúp cải thiện dịch vụ công như y tế, đường xá... nhưng hiệu quả sử dụng ngân sách còn phụ thuộc vào việc thực thi chính sách. Tăng mức giảm trừ gia cảnh tạo ra sự công bằng hơn.</t>
  </si>
  <si>
    <t>Nhà nước đã giải thích rõ ràng về mục tiêu của việc sửa đổi thuế, nhưng vẫn cần cải thiện trong việc truyền thông và minh bạch. Tuy nhiên, mức giảm trừ gia cảnh cao hơn tạo ra sự công bằng.</t>
  </si>
  <si>
    <t>Tăng mức giảm trừ gia cảnh và đơn giản hóa biểu thuế tạo điều kiện thuận lợi cho người nộp thuế. Mặc dù vẫn cần cải thiện trong việc thực thi, nhưng tôi ủng hộ chính sách mới.</t>
  </si>
  <si>
    <t>Mức giảm trừ gia cảnh và người phụ thuộc tăng, cùng với việc đơn giản hóa quy trình làm việc với cơ quan thuế có thể giúp phát hiện trốn thuế dễ dàng hơn. Tuy nhiên, công nghệ hiện đại là cần thiết để đảm bảo hiệu quả.</t>
  </si>
  <si>
    <t>Công nghệ hiện đại ngày càng phát triển và phổ biến, cùng với các quy định quản lý thuế mới có thể giúp phát hiện trốn thuế một cách nhanh chóng và chính xác. Điều này tăng cường niềm tin vào khả năng của cơ quan thuế.</t>
  </si>
  <si>
    <t>Bậc thuế giảm đi từ 7 xuống còn 5, cùng với việc đơn giản hóa quy trình khai báo thuế tạo thuận lợi cho người nộp thuế. Tuy nhiên, mức độ tiện ích còn phụ thuộc vào cách triển khai thực tế.</t>
  </si>
  <si>
    <t>Phương án mới có ít bậc thuế hơn và đơn giản hóa quy trình tính thuế, tạo thuận lợi cho người nộp thuế. Tuy nhiên, sự hiểu biết về các thay đổi này cần được cải thiện để tăng điểm.</t>
  </si>
  <si>
    <t>Những thay đổi trong mức giảm trừ gia cảnh và người phụ thuộc có thể làm tăng niềm tin vào tính công bằng của hệ thống thuế. Tuy nhiên, việc thực thi chính sách mới cần minh bạch để duy trì lòng tin.</t>
  </si>
  <si>
    <t>Mức thuế mới được thiết kế dựa trên thu nhập, thể hiện sự công bằng cho người nộp thuế với cùng mức thu nhập. Tuy nhiên, việc giải thích rõ ràng về mục tiêu của chính sách cần được cải thiện.</t>
  </si>
  <si>
    <t>Những thay đổi trong mức giảm trừ gia cảnh và người phụ thuộc có thể làm tăng niềm tin vào việc sử dụng hiệu quả số tiền thuế. Tuy nhiên, việc minh bạch về cách sử dụng nguồn thu cần được cải thiện.</t>
  </si>
  <si>
    <t>Những thay đổi trong mức giảm trừ gia cảnh và người phụ thuộc có thể làm tăng lòng tin vào giải thích rõ ràng của chính sách mới. Tuy nhiên, việc minh bạch về mục tiêu chính sách cần được cải thiện.</t>
  </si>
  <si>
    <t>Những thay đổi trong mức giảm trừ gia cảnh và người phụ thuộc có thể làm tăng ủng hộ cho chính sách mới. Tuy nhiên, sự phức tạp của hệ thống thuế hiện tại vẫn khiến tôi cân nhắc giữa lợi ích và nghĩa vụ.</t>
  </si>
  <si>
    <t>Tăng mức giảm trừ gia cảnh và đơn giản hóa biểu thuế có thể làm giảm rủi ro trốn thuế, nhưng không loại bỏ hoàn toàn. Cơ chế phát hiện vẫn phụ thuộc vào thực thi của cơ quan thuế.</t>
  </si>
  <si>
    <t>Công nghệ ngày càng tiến bộ giúp phát hiện hành vi trốn thuế hiệu quả hơn, tuy nhiên cần sự kết hợp chặt chẽ giữa công nghệ và nhân sự để đảm bảo tính khách quan.</t>
  </si>
  <si>
    <t>Tăng mức giảm trừ gia cảnh từ 11 triệu lên 15,5 triệu đồng/tháng và đơn giản hóa biểu thuế có thể làm các thủ tục khai báo trở nên dễ dàng hơn.</t>
  </si>
  <si>
    <t>So với trước đây, cách tính thuế mới rõ ràng hơn với ít bậc thuế, giúp người dân hiểu và thực hiện dễ dàng hơn.</t>
  </si>
  <si>
    <t>Tăng mức giảm trừ gia cảnh và đơn giản hóa biểu thuế có thể tạo cảm giác công bằng trong việc đánh giá thu nhập. Tuy nhiên, sự công bằng còn phụ thuộc vào cách thực thi chính sách.</t>
  </si>
  <si>
    <t>Bậc thuế mới rõ ràng hơn và mức giảm trừ gia cảnh tăng lên giúp tạo cảm giác mức thuế đóng là hợp lý so với thu nhập của mình. Tuy nhiên, vẫn cần sự minh bạch trong việc sử dụng nguồn thu.</t>
  </si>
  <si>
    <t>Tăng mức giảm trừ gia cảnh và đơn giản hóa biểu thuế có thể làm cho người dân cảm thấy số tiền đóng thuế sẽ được sử dụng hiệu quả hơn để cải thiện dịch vụ công. Tuy nhiên, vẫn cần minh bạch trong việc sử dụng nguồn thu.</t>
  </si>
  <si>
    <t>Tăng mức giảm trừ gia cảnh và đơn giản hóa biểu thuế có thể tạo cảm giác Nhà nước đã giải thích rõ ràng về mục tiêu của chính sách mới. Tuy nhiên, vẫn cần minh bạch trong việc truyền thông.</t>
  </si>
  <si>
    <t>Tăng mức giảm trừ gia cảnh và đơn giản hóa biểu thuế có thể làm cho người dân cảm thấy ủng hộ hơn với chính sách mới. Tuy nhiên, quyết định cuối cùng vẫn dựa trên sự cân nhắc giữa lợi ích và nghĩa vụ.</t>
  </si>
  <si>
    <t>Mức giảm trừ gia cảnh tăng, giúp giảm gánh nặng thuế cho nhiều người, nhưng không đủ để làm tôi mất niềm tin hoàn toàn vào sự công bằng. Cơ chế quản lý thuế hiện tại vẫn chưa hoàn thiện.</t>
  </si>
  <si>
    <t>Công nghệ phát triển ngày càng mạnh mẽ, khả năng phát hiện và xử lý trốn thuế cũng tăng lên. Tuy nhiên, cần thêm thời gian để chứng minh hiệu quả thực tế của các công nghệ mới.</t>
  </si>
  <si>
    <t>Biểu thuế đơn giản hơn trước, việc khai báo và làm việc với cơ quan thuế cũng thuận lợi hơn. Điều này giúp tôi cảm thấy thuận tiện khi thực hiện nghĩa vụ nộp thuế.</t>
  </si>
  <si>
    <t>Cách tính thuế mới đơn giản hóa quy trình, giảm bớt rắc rối cho người dân. Tuy nhiên, vẫn còn một số khía cạnh cần cải thiện hơn nữa để đạt được sự tối ưu.</t>
  </si>
  <si>
    <t>Nhà nước đã cố gắng thực thi chính sách công bằng, nhưng việc áp dụng mức giảm trừ gia cảnh mới chưa thể giải quyết tất cả các vấn đề. Tuy nhiên, tôi still tin vào sự cải thiện.</t>
  </si>
  <si>
    <t>Mức thuế mới có vẻ hợp lý với thu nhập của tôi, nhưng cần thêm thời gian để đánh giá hiệu quả thực tế. Sự công bằng còn phụ thuộc nhiều vào cách thực thi chính sách.</t>
  </si>
  <si>
    <t>Tôi tin số tiền thuế đóng sẽ được sử dụng hiệu quả, nhưng vẫn có nghi ngờ về việc quản lý ngân sách và phân bổ nguồn lực.</t>
  </si>
  <si>
    <t>Nhà nước đã giải thích một cách rõ ràng hơn so với trước đây, nhưng cần thêm thông tin chi tiết để tôi hoàn toàn thuyết phục</t>
  </si>
  <si>
    <t>Tổng thể, tôi thấy chính sách mới có nhiều ưu điểm, nhưng vẫn còn nghi ngờ về hiệu quả thực tế. Tôi sẽ ủng hộ và tuân thủ một cách thận trọng.</t>
  </si>
  <si>
    <t>Biểu thuế đơn giản hơn và mức giảm trừ gia cảnh tăng, nhưng vẫn chưa đủ để đảm bảo phát hiện trốn thuế hiệu quả.</t>
  </si>
  <si>
    <t>Công nghệ hiện đại có thể hỗ trợ phát hiện trốn thuế, nhưng sự quản lý của cơ quan thuế vẫn cần cải thiện.</t>
  </si>
  <si>
    <t>Mức giảm trừ gia cảnh tăng và biểu thuế đơn giản hơn tạo điều kiện thuận lợi cho việc khai báo thuế.</t>
  </si>
  <si>
    <t>Biểu thuế mới có ít bậc hơn, nhưng vẫn chưa thực sự đơn giản hóa quy trình làm việc với cơ quan thuế.</t>
  </si>
  <si>
    <t>Giảm trừ gia cảnh tăng và biểu thuế đơn giản hơn tạo niềm tin vào tính công bằng của chính sách mới.</t>
  </si>
  <si>
    <t>Mức thuế mới có thể coi là công bằng, nhưng vẫn cần thêm thời gian để đánh giá hiệu quả thực tế.</t>
  </si>
  <si>
    <t>Niềm tin vào việc sử dụng hiệu quả số tiền thuế đóng còn hạn chế do kinh nghiệm dài hạn với các chính sách trước.</t>
  </si>
  <si>
    <t>Giải thích về mục tiêu của chính sách mới chưa thực sự rõ ràng và minh bạch đối với mọi người dân.</t>
  </si>
  <si>
    <t>Niềm tin và cảm giác công bằng từ chính sách mới tạo động lực cho việc ủng hộ và tuân thủ, nhưng vẫn có một số lo ngại về thực tế.</t>
  </si>
  <si>
    <t>Trách nhiệm phát hiện trốn thuế được nâng cao nhờ mức giảm trừ gia cảnh tăng, giúp cơ quan thuế dễ dàng xác định thu nhập thực tế của cá nhân.</t>
  </si>
  <si>
    <t>Công nghệ hiện đại như AI và big data có thể phát hiện hành vi trốn thuế hiệu quả hơn. Tuy nhiên, vẫn cần công tác quản lý tốt từ phía cơ quan thuế để tối ưu hóa.</t>
  </si>
  <si>
    <t>Mức giảm trừ gia cảnh tăng giúp đơn giản hóa quy trình khai báo, giảm rắc rối cho người nộp thuế. Các bước làm việc với cơ quan thuế cũng trở nên nhanh chóng hơn.</t>
  </si>
  <si>
    <t>Biểu thuế đơn giản hóa giúp tính toán thu nhập chịu thuế dễ dàng hơn, tăng sự hiểu biết của người dân về chính sách mới.</t>
  </si>
  <si>
    <t>Nhà nước đã cải thiện mức giảm trừ gia cảnh, thể hiện sự công bằng trong việc phân chia gánh nặng thuế. Cơ quan thuế cũng có nhiều nỗ lực để tăng cường minh bạch.</t>
  </si>
  <si>
    <t>Mức thuế mới được thiết kế sao cho phù hợp với thu nhập trung bình, tạo cảm giác công bằng trong việc đóng góp của mỗi cá nhân.</t>
  </si>
  <si>
    <t>Người dân tin rằng số tiền đóng thuế sẽ được sử dụng hiệu quả để cải thiện các dịch vụ công. Tuy nhiên, vẫn cần thêm thông tin về cách sử dụng nguồn thu thuế mới.</t>
  </si>
  <si>
    <t>Nhà nước đã giải thích rõ ràng về cải cách mới, mặc dù cần cải thiện hơn nữa trong việc truyền tải thông điệp đến người dân.</t>
  </si>
  <si>
    <t>Sau khi xem xét mức giảm trừ gia cảnh tăng và biểu thuế đơn giản hóa, tôi thấy chính sách mới mang lại nhiều lợi ích cho người nộp thuế. Tuy nhiên, vẫn cần thêm thời gian để hoàn toàn tin tưởng vào hiệu quả của chính sách.</t>
  </si>
  <si>
    <t>Thuật toán và công nghệ mới có thể phát hiện gian lận, mức giảm trừ gia cảnh tăng nên việc trốn thuế khó hơn.</t>
  </si>
  <si>
    <t>Công nghệ tiên tiến giúp nhà nước quản lý hiệu quả, các quy định rõ ràng</t>
  </si>
  <si>
    <t>Mức giảm trừ gia cảnh tăng và đơn giản hóa biểu thuế làm cho thủ tục khai báo dễ dàng hơn.</t>
  </si>
  <si>
    <t>Biểu thuế được thu gọn, dễ hiểu hơn</t>
  </si>
  <si>
    <t>Trách nhiệm của cơ quan thuế cao hơn, giảm trừ gia cảnh tăng nên tôi tin vào sự công bằng.</t>
  </si>
  <si>
    <t>Mức thuế mới được thiết kế theo thu nhập, cho thấy tính công bằng</t>
  </si>
  <si>
    <t>Thuế được sử dụng để cải thiện dịch vụ công, giảm trừ gia cảnh tăng nên tôi tin vào sự hiệu quả.</t>
  </si>
  <si>
    <t>Giải thích rõ ràng về mục tiêu và lý do thay đổi thuế, nhưng thông tin chưa đầy đủ</t>
  </si>
  <si>
    <t>Niềm tin vào công bằng tăng lên, gánh nặng thuế giảm nên tôi ủng hộ chính sách mới.</t>
  </si>
  <si>
    <t>Tăng mức giảm trừ gia cảnh và đơn giản hóa biểu thuế có thể làm tăng sự minh bạch, nhưng việc thực thi vẫn phụ thuộc vào khả năng phát hiện của cơ quan thuế.</t>
  </si>
  <si>
    <t>Công nghệ ngày nay giúp cải thiện hiệu suất trong việc kiểm soát và xử lý các hành vi trốn thuế, nhưng vẫn có thể gặp rủi ro về công nghệ và nguồn lực.</t>
  </si>
  <si>
    <t>Biểu thuế đơn giản hơn và mức giảm trừ gia cảnh cao hơn có thể làm thủ tục khai báo trở nên thuận tiện hơn, nhưng vẫn cần thời gian quen thuộc với các thay đổi mới.</t>
  </si>
  <si>
    <t>Biểu thuế đơn giản hóa từ 7 bậc xuống còn 5 bậc có thể làm việc tính toán và hiểu rõ quy định trở nên dễ dàng hơn, nhưng mức thuế cụ thể vẫn cần thời gian để quen thuộc.</t>
  </si>
  <si>
    <t>Mức giảm trừ gia cảnh cao hơn và đơn giản hóa biểu thuế có thể làm tăng niềm tin về tính công bằng trong việc đánh thuế, nhưng niềm tin đầy đủ vẫn cần thời gian để hình thành.</t>
  </si>
  <si>
    <t>Biểu thuế mới với mức giảm trừ gia cảnh cao hơn và số bậc thuế đơn giản hóa có thể làm giảm gánh nặng tài chính, tạo cảm giác công bằng về mức thuế phải trả.</t>
  </si>
  <si>
    <t>Các thay đổi trong biểu thuế và mức giảm trừ gia cảnh có thể tạo cơ sở cho việc sử dụng hiệu quả số tiền thuế để cải thiện dịch vụ công, nhưng vẫn cần thời gian để đánh giá thực tế.</t>
  </si>
  <si>
    <t>Biểu thuế mới với các thay đổi về giảm trừ gia cảnh và bậc thuế đơn giản hóa có thể tạo cơ sở cho việc giải thích rõ ràng hơn, nhưng vẫn cần thời gian để đánh giá sự minh bạch toàn diện.</t>
  </si>
  <si>
    <t>Biểu thuế mới với mức giảm trừ gia cảnh cao hơn và số bậc thuế đơn giản hóa tạo cơ sở cho việc ủng hộ và tuân thủ chính sách, nhưng vẫn cần thời gian để đánh giá thực tế về hiệu quả của các thay đổi.</t>
  </si>
  <si>
    <t>Nguyên tắc quản lý thuế mới có thêm giảm trừ gia cảnh, nhưng không đề cập rõ về công nghệ phát hiện trốn thuế. Do đó, khả năng phát hiện gian lận chưa chắc chắn.</t>
  </si>
  <si>
    <t>Công nghệ hiện đại và quy định quản lý thuế mới có thể giúp cải thiện hiệu quả phát hiện trốn thuế, nhưng không rõ liệu Nhà nước đã đầu tư vào công nghệ này hay chưa.</t>
  </si>
  <si>
    <t>Giảm trừ gia cảnh tăng lên, tạo thuận lợi cho người nộp thuế. Quy trình khai báo thuế đơn giản hơn so với trước đây.</t>
  </si>
  <si>
    <t>Biểu thuế được rút gọn và rõ ràng hơn, dễ hiểu và dễ thực hiện hơn. Các bậc thuế mới giúp giảm rắc rối trong quá trình tính toán.</t>
  </si>
  <si>
    <t>Nhà nước tăng mức giảm trừ gia cảnh, tạo cảm giác công bằng cho người nộp thuế. Tuy nhiên, chưa rõ liệu việc thực thi sẽ khách quan như cam kết hay không.</t>
  </si>
  <si>
    <t>Mức thuế mới đối với thu nhập cá nhân của tôi xem ra hợp lý, nhưng cần thời gian để đánh giá tính công bằng lâu dài hơn.</t>
  </si>
  <si>
    <t>Thuế đóng góp cho dịch vụ công là điều nên làm. Tuy nhiên, chưa rõ liệu số tiền thuế sẽ được sử dụng hiệu quả như thế nào.</t>
  </si>
  <si>
    <t>Chính phủ đã cải thiện thông tin về lý do và mục tiêu của việc sửa đổi thuế, nhưng cần thêm thời gian để đánh giá tính minh bạch toàn diện.</t>
  </si>
  <si>
    <t>Nhìn chung, chính sách mới mang lại nhiều thuận lợi. Tuy nhiên, tôi cần xem xét kỹ hơn trước khi quyết định ủng hộ hoàn toàn.</t>
  </si>
  <si>
    <t>Tăng mức giảm trừ gia cảnh có thể làm giảm động cơ trốn thuế nhưng quy định quản lý thuế vẫn còn phức tạp, chưa chắc chắn sẽ phát hiện dễ dàng.</t>
  </si>
  <si>
    <t>Công nghệ và khả năng của cơ quan thuế được cải thiện, tuy nhiên vẫn cần thời gian để áp dụng rộng rãi.</t>
  </si>
  <si>
    <t>Biểu thuế đơn giản hơn nhưng quy trình khai báo có thể còn phức tạp với người dân không am hiểu về thuế.</t>
  </si>
  <si>
    <t>Cách tính thuế và bậc thuế mới dễ hiểu, giảm gian nan cho người nộp thuế so với trước đây.</t>
  </si>
  <si>
    <t>Mức giảm trừ gia cảnh tăng có thể làm tôi tin rằng chính sách công bằng hơn nhưng vẫn còn nghi ngờ về sự đối xử bình đẳng.</t>
  </si>
  <si>
    <t>Thuế suất mới có vẻ hợp lý với thu nhập của tôi nhưng chưa chắc chắn về tính công bằng chung</t>
  </si>
  <si>
    <t>Tăng mức giảm trừ gia cảnh và đơn giản hóa thuế có thể làm tăng niềm tin vào việc sử dụng hiệu quả số tiền đã đóng.</t>
  </si>
  <si>
    <t>Thông tin về chính sách mới được truyền tải đầy đủ nhưng vẫn còn nghi ngờ về sự minh bạch trong thực thi</t>
  </si>
  <si>
    <t>Niềm tin và cảm giác công bằng tăng lên do lợi ích từ chính sách mới nhưng vẫn có sự thận trọng về quyết định tuân thủ.</t>
  </si>
  <si>
    <t>Các quy định quản lý thuế hiện nay có nhiều cải tiến, nhưng mức độ xử lý trốn thuế còn phụ thuộc vào hiệu quả thực tế của công nghệ và nguồn lực của cơ quan thuế.</t>
  </si>
  <si>
    <t>Việc sử dụng công nghệ để phát hiện trốn thuế là xu hướng chung, nhưng cần thêm thời gian để hoàn thiện và ứng dụng hiệu quả. Cơ quan thuế cũng có nhiều nguồn lực hơn trong việc kiểm soát.</t>
  </si>
  <si>
    <t>Các thủ tục khai báo thuế trở nên đơn giản hơn với số bậc thuế giảm, nhưng vẫn cần thời gian để người dân nắm bắt và làm quen. Quy trình làm việc với cơ quan thuế cũng thuận lợi hơn.</t>
  </si>
  <si>
    <t>Cách tính thuế mới đơn giản hóa quy trình, dễ hiểu hơn so với trước đây, giúp người nộp thuế dễ dàng áp dụng.</t>
  </si>
  <si>
    <t>Niềm tin vào công bằng của chính sách tăng lên do mức giảm trừ gia cảnh lớn hơn và số bậc thuế đơn giản hơn, nhưng vẫn cần thời gian để thực thi một cách công bằng.</t>
  </si>
  <si>
    <t>Mức thuế mới được thiết kế sao cho phù hợp với thu nhập trung bình, tạo cảm giác công bằng. Tuy nhiên, không phải ai cũng đồng ý hoàn toàn về mức thuế.</t>
  </si>
  <si>
    <t>Niềm tin vào việc sử dụng hiệu quả số tiền thuế đóng là lớn do cải tiến trong quản lý thuế và giảm trừ gia cảnh, nhưng còn phụ thuộc vào thực tế công tác quản lý của cơ quan thuế.</t>
  </si>
  <si>
    <t>Nhà nước đã giải thích rõ ràng về mục tiêu sửa đổi thuế, nhưng mức độ thuyết phục còn phụ thuộc vào sự hiểu biết và sự đa nghi của từng cá nhân.</t>
  </si>
  <si>
    <t>Sau khi xem xét các quyền lợi và nghĩa vụ, tôi ủng hộ chính sách mới vì giảm trừ gia cảnh lớn hơn và số bậc thuế đơn giản hơn. Tuy nhiên, quyết định tuân thủ còn phụ thuộc vào thực tế triển khai.</t>
  </si>
  <si>
    <t>Cải cách thuế TNCN tăng mức giảm trừ gia cảnh và đơn giản hóa biểu thuế, nhưng không giải quyết vấn đề về khả năng phát hiện trốn thuế.</t>
  </si>
  <si>
    <t>Việc áp dụng công nghệ để phát hiện trốn thuế cần thời gian triển khai và nguồn lực. Hiện nay, vẫn còn nhiều rủi ro trốn thuế có thể xảy ra.</t>
  </si>
  <si>
    <t>Biểu thuế đơn giản hơn nhưng quy trình làm việc với cơ quan thuế chưa thay đổi đáng kể, thủ tục khai báo thuế vẫn phức tạp.</t>
  </si>
  <si>
    <t>Cách tính thuế mới đơn giản hóa so với trước đây, các bậc thuế rõ ràng hơn nhưng không thay đổi nhiều về phương pháp tính.</t>
  </si>
  <si>
    <t>Mức giảm trừ gia cảnh và mức thuế suất đã được điều chỉnh công bằng cho người thu nhập thấp. Cơ quan thuế có khả năng thực thi chính sách khách quan.</t>
  </si>
  <si>
    <t>Dù phương án mới đơn giản hóa biểu thuế nhưng mức thuế đối với thu nhập trung bình vẫn cao, chưa công bằng cho người có thu nhập thấp hơn.</t>
  </si>
  <si>
    <t>Thuế được sử dụng hiệu quả để cải thiện dịch vụ công là điều quan trọng. Tuy nhiên, cần thời gian để chứng minh hiệu quả thực tế của chính sách mới.</t>
  </si>
  <si>
    <t>Công bố thông tin về lý do và mục tiêu của việc sửa đổi thuế chưa đầy đủ. Người dân cảm thấy thiếu thuyết phục về sự minh bạch trong quá trình này.</t>
  </si>
  <si>
    <t>Tăng mức giảm trừ gia cảnh giúp giảm gánh nặng thuế cho người thu nhập thấp, nhưng mức thuế đối với thu nhập trung bình vẫn cao. Quyết định tuân thủ dựa trên đánh giá tổng thể.</t>
  </si>
  <si>
    <t>Cải cách thuế đã tăng mức giảm trừ gia cảnh, nhưng không có thông tin rõ ràng về công nghệ phát hiện trốn thuế.</t>
  </si>
  <si>
    <t>Chính phủ đã đề cập đến việc nâng cao công nghệ quản lý thuế, nhưng chưa cung cấp chi tiết.</t>
  </si>
  <si>
    <t>Thủ tục khai báo thuế và quy trình làm việc với cơ quan thuế được đơn giản hóa, giúp thuận tiện hơn cho người dân.</t>
  </si>
  <si>
    <t>Biểu thuế đã được đơn giản hóa từ 7 bậc xuống còn 5 bậc, giảm độ phức tạp và dễ hiểu hơn.</t>
  </si>
  <si>
    <t>Niềm tin vào việc thực thi chính sách công bằng có thể tăng do mức giảm trừ gia cảnh lớn hơn, nhưng không rõ ràng về cách thực hiện.</t>
  </si>
  <si>
    <t>Mức thuế mới được thiết kế để công bằng với thu nhập cá nhân, giúp người dân cảm thấy hợp lý.</t>
  </si>
  <si>
    <t>Có niềm tin rằng số tiền thuế đóng sẽ được sử dụng hiệu quả cho dịch vụ công, mặc dù chưa rõ ràng về cách thực hiện.</t>
  </si>
  <si>
    <t>Nhà nước đã giải thích về mục tiêu cải cách và tăng mức giảm trừ gia cảnh, nhưng không đầy đủ về chi tiết.</t>
  </si>
  <si>
    <t>Trải qua quá trình cân nhắc giữa lợi ích và nghĩa vụ, quyết định tuân thủ chính sách mới dựa trên các thay đổi tích cực về thuế và giảm trừ gia cảnh.</t>
  </si>
  <si>
    <t>Tăng mức giảm trừ gia cảnh và đơn giản hóa biểu thuế có thể làm giảm cơ hội trốn thuế, nhưng thực tế vẫn cần công nghệ hiện đại để phát hiện gian lận.</t>
  </si>
  <si>
    <t>Công nghệ ngày càng tiên tiến giúp Nhà nước và cơ quan thuế dễ dàng hơn trong việc phát hiện và xử lý trốn thuế, nhưng không loại trừ khả năng vẫn còn sơ hở.</t>
  </si>
  <si>
    <t>Mức giảm trừ gia cảnh cao hơn và đơn giản hóa biểu thuế làm thủ tục khai báo thuế dễ dàng hơn, nhưng vẫn có thể gặp khó khăn trong quá trình thực hiện.</t>
  </si>
  <si>
    <t>Cách tính thuế đơn giản hơn so với trước đây, nhưng mức thuế mới cao hơn nên việc hiểu và áp dụng quy định có thể gây rắc rối.</t>
  </si>
  <si>
    <t>Nhà nước đã cải thiện nhiều về mặt giảm trừ gia cảnh và thuế suất, tạo ra sự công bằng trong việc đánh giá thu nhập</t>
  </si>
  <si>
    <t>Mức thuế mới cao hơn so với trước đây, khiến tôi cảm thấy không công bằng khi so sánh với mức thu nhập hiện tại.</t>
  </si>
  <si>
    <t>Việc cải thiện giảm trừ gia cảnh và đơn giản hóa biểu thuế giúp số tiền thuế đóng được sử dụng hiệu quả hơn cho dịch vụ công</t>
  </si>
  <si>
    <t>Nhà nước đã giải thích rõ ràng về mục tiêu của chính sách mới, nhưng vẫn có những thông tin cần làm sáng tỏ hơn.</t>
  </si>
  <si>
    <t>Mức giảm trừ gia cảnh tăng đáng kể, giúp người dân ít chịu thuế hơn. Tuy nhiên, công nghệ phát hiện trốn thuế không được đề cập.</t>
  </si>
  <si>
    <t>Công nghệ hiện đại có thể hỗ trợ việc phát hiện trốn thuế nhanh chóng và hiệu quả hơn</t>
  </si>
  <si>
    <t>Biểu thuế đơn giản hơn, số bậc giảm từ 7 xuống 5, giúp người dân dễ dàng khai báo hơn.</t>
  </si>
  <si>
    <t>Cách tính thuế và các bậc thuế mới rõ ràng hơn so với trước đây</t>
  </si>
  <si>
    <t>Người dân được giảm trừ gia cảnh nhiều hơn, giúp tin tưởng vào sự công bằng của chính sách</t>
  </si>
  <si>
    <t>Mức thuế mới có vẻ hợp lý so với thu nhập hiện tại, thể hiện tính công bằng</t>
  </si>
  <si>
    <t>Giảm trừ gia cảnh tăng đáng kể và mức thuế được điều chỉnh hợp lý, tin tưởng vào việc sử dụng hiệu quả số tiền thuế</t>
  </si>
  <si>
    <t>Thông tin về chính sách mới chưa rõ ràng như mong đợi, nhưng vẫn có phần giải thích</t>
  </si>
  <si>
    <t>Chính sách cải thiện đáng kể trải nghiệm và tính công bằng, do đó tôi ủng hộ và sẽ tuân thủ</t>
  </si>
  <si>
    <t>Mức giảm trừ gia cảnh tăng, nhưng không rõ liệu cơ quan thuế có công nghệ hiện đại để phát hiện trốn thuế.</t>
  </si>
  <si>
    <t>Công nghệ ngày càng phát triển, nhưng khả năng xử lý nghiêm các hành vi trốn thuế phụ thuộc vào nhân lực và quy định quản lý của nhà nước.</t>
  </si>
  <si>
    <t>Biểu thuế được đơn giản hóa, giảm số bậc thuế, dễ thực hiện hơn. Các thủ tục khai báo thuế cũng trở nên tiện lợi hơn.</t>
  </si>
  <si>
    <t>Cách tính và các bậc thuế trong phương án mới rõ ràng hơn so với trước đây, giúp người nộp thuế dễ hiểu và thực hiện.</t>
  </si>
  <si>
    <t>Giảm trừ gia cảnh tăng, giảm gánh nặng cho người thu nhập thấp. Tuy nhiên, không rõ Nhà nước có thực thi chính sách một cách khách quan hay không.</t>
  </si>
  <si>
    <t>Mức thuế mới được điều chỉnh dựa trên thu nhập cá nhân, nhưng chưa chắc chắn liệu nó có công bằng với mọi đối tượng</t>
  </si>
  <si>
    <t>Giảm trừ gia cảnh tăng, giảm gánh nặng cho người nộp thuế. Tuy nhiên, không biết số tiền thuế đóng có được sử dụng hiệu quả hay không.</t>
  </si>
  <si>
    <t>Thông tin về cải cách thuế chưa rõ ràng và minh bạch như mong đợi. Người dân vẫn nghi ngờ tính minh bạch của quy định mới.</t>
  </si>
  <si>
    <t>Thu nhập cá nhân giảm do mức thuế mới, nhưng thủ tục khai báo trở nên thuận lợi hơn. Tuy nhiên, chưa rõ Nhà nước có thực thi chính sách một cách khách quan hay không.</t>
  </si>
  <si>
    <t>Cải cách thuế thu nhập cá nhân không có thông tin chi tiết về công nghệ phát hiện trốn thuế, nên khả năng phát hiện vẫn chưa rõ ràng.</t>
  </si>
  <si>
    <t>Việc tăng giảm trừ gia cảnh và đơn giản hóa biểu thuế có thể làm giảm cơ hội trốn thuế, nhưng không đảm bảo đủ công nghệ để phát hiện toàn diện.</t>
  </si>
  <si>
    <t>Đơn giản hóa biểu thuế từ 7 bậc xuống còn 5 bậc có thể giúp quá trình khai báo thuế dễ dàng hơn, tuy nhiên chưa rõ về quy trình làm việc cụ thể.</t>
  </si>
  <si>
    <t>Cách tính thuế mới đơn giản hơn so với trước đây, nhưng cần thời gian để quen thuộc và hiểu rõ.</t>
  </si>
  <si>
    <t>Nhìn chung cải cách thuế thu nhập cá nhân có lợi cho người dân thông qua việc tăng giảm trừ gia cảnh, nhưng chưa rõ về sự công bằng trong thực thi chính sách.</t>
  </si>
  <si>
    <t>Cải cách thuế mới có thể làm giảm gánh nặng tài chính đối với nhiều người, do đó tạo cảm giác mức thuế đóng là hợp lý.</t>
  </si>
  <si>
    <t>Tăng giảm trừ gia cảnh và đơn giản hóa biểu thuế có thể làm cải thiện dịch vụ công thông qua nguồn thu từ thuế ổn định hơn, nhưng chưa rõ về việc sử dụng hiệu quả nguồn thu mới.</t>
  </si>
  <si>
    <t>Cải cách thuế mới đã giải thích rõ ràng về mục tiêu và nguyên nhân thay đổi, nhưng cần thời gian để đánh giá tính minh bạch trong thực hiện chính sách.</t>
  </si>
  <si>
    <t>Nhìn chung cải cách thuế có lợi cho người dân thông qua việc tăng giảm trừ gia cảnh và đơn giản hóa biểu thuế, do đó tôi sẵn sàng tuân thủ chính sách mới.</t>
  </si>
  <si>
    <t>Mức giảm trừ gia cảnh tăng và quy định quản lý thuế rõ ràng, nhưng vẫn nghi ngờ về khả năng phát hiện trốn thuế.</t>
  </si>
  <si>
    <t>Công nghệ hiện đại có thể phát hiện dễ dàng hơn, nhưng lo ngại về sự thực thi nghiêm minh.</t>
  </si>
  <si>
    <t>Quy trình khai thuế đơn giản hơn, nhưng vẫn cảm thấy quy định phức tạp đối với một số người.</t>
  </si>
  <si>
    <t>Cách tính thuế rõ ràng hơn so với trước, giảm bậc thuế giúp dễ hiểu và thực hiện hơn.</t>
  </si>
  <si>
    <t>Niềm tin vào cơ quan thuế đang tăng do mức giảm trừ gia cảnh cao hơn, nhưng vẫn lo ngại về sự công bằng.</t>
  </si>
  <si>
    <t>Đóng thuế theo phương án mới thấy là hợp lý với thu nhập hiện tại của tôi, nhưng cần thêm thời gian để tin tưởng.</t>
  </si>
  <si>
    <t>Số tiền đóng thuế cao hơn nhưng dịch vụ công cải thiện rõ rệt, tăng niềm tin vào sử dụng hiệu quả nguồn thuế.</t>
  </si>
  <si>
    <t>Các thông điệp về lý do và mục tiêu sửa đổi thuế chưa thuyết phục hoàn toàn, cần thêm giải thích.</t>
  </si>
  <si>
    <t>Hơn nửa thu nhập hiện tại được giảm trừ gia cảnh, tăng khả năng tuân thủ chính sách mới.</t>
  </si>
  <si>
    <t>Chính sách mới tăng cường quản lý thuế, có thể phát hiện và xử lý gian lận hiệu quả hơn.</t>
  </si>
  <si>
    <t>Công nghệ tiên tiến giúp Nhà nước dễ dàng theo dõi và giám sát tình hình nộp thuế của cá nhân.</t>
  </si>
  <si>
    <t>Mức giảm trừ gia cảnh được nâng cao, thủ tục khai báo đơn giản hơn trước đây.</t>
  </si>
  <si>
    <t>Biểu thuế mới đơn giản, ít bậc hơn so với trước</t>
  </si>
  <si>
    <t>Giảm trừ gia cảnh tăng mạnh và mức thuế suất công bằng hơn, tạo niềm tin vào sự khách quan của Nhà nước.</t>
  </si>
  <si>
    <t>Mức thuế mới được thiết lập phù hợp với thu nhập hiện tại, thể hiện tính công bằng.</t>
  </si>
  <si>
    <t>Thuế đóng góp vào các dịch vụ công như y tế, giáo dục và hạ tầng cơ sở</t>
  </si>
  <si>
    <t>Thông tin về cải cách thuế được truyền đạt rõ ràng, tạo niềm tin về mục tiêu chính sách.</t>
  </si>
  <si>
    <t>Niềm tin và cảm giác công bằng cao, quyết định ủng hộ và tuân thủ chính sách mới</t>
  </si>
  <si>
    <t>Các quy định quản lý thuế hiện nay được nâng cao với nhiều biện pháp phát hiện trốn thuế, nhưng chưa rõ về công nghệ cụ thể. Điều này làm giảm độ tin cậy.</t>
  </si>
  <si>
    <t>Việc áp dụng công nghệ trong phát hiện trốn thuế là rất quan trọng và cần có khả năng xử lý nghiêm để ngăn chặn hành vi gian lận, nhưng vẫn còn nhiều thách thức thực tế.</t>
  </si>
  <si>
    <t>Mức giảm trừ gia cảnh tăng lên giúp đơn giản hóa quy trình khai báo thuế, đặc biệt là đối với người nộp thuế cá nhân. Quy trình làm việc trở nên thuận tiện hơn.</t>
  </si>
  <si>
    <t>Biểu thuế được rút gọn từ 7 bậc xuống còn 5 bậc, giúp dễ hiểu và thực hiện hơn so với trước đây.</t>
  </si>
  <si>
    <t>Nhà nước đã tăng mức giảm trừ gia cảnh và đơn giản hóa quy trình khai báo thuế, nhưng việc thực thi công bằng cần thời gian để kiểm chứng.</t>
  </si>
  <si>
    <t>Mức thuế mới được thiết kế hợp lý theo thu nhập, thể hiện sự công bằng trong việc phân chia trách nhiệm đóng góp cho xã hội.</t>
  </si>
  <si>
    <t>Tăng mức giảm trừ gia cảnh giúp cải thiện dịch vụ công và y tế, nhưng hiệu quả sử dụng ngân sách cần thời gian để đánh giá.</t>
  </si>
  <si>
    <t>Thông tin giải thích về lý do và mục tiêu của việc sửa đổi thuế có thể chưa đầy đủ và rõ ràng, khiến người dân cảm thấy nghi ngờ.</t>
  </si>
  <si>
    <t>Tăng mức giảm trừ gia cảnh và đơn giản hóa quy trình khai báo thuế tạo ra lợi ích cho cá nhân, nhưng cần thời gian để đánh giá hiệu quả tổng thể về tuân thủ chính sách mới.</t>
  </si>
  <si>
    <t>Biểu thuế được đơn giản hóa và các bậc thuế suất đã thay đổi, giảm số lượng bậc thuế từ 7 xuống còn 5. Điều này làm cho việc tuân thủ trở nên dễ dàng hơn. Ngoài ra, mức giảm trừ gia cảnh tăng lên, giúp giảm gánh nặng thuế cho người dân.</t>
  </si>
  <si>
    <t>Công nghệ hiện đại và quy định quản lý thuế đã được cải thiện, do đó khả năng phát hiện trốn thuế sẽ cao hơn. Tuy nhiên, mức độ thực thi vẫn phụ thuộc vào nguồn lực của cơ quan thuế.</t>
  </si>
  <si>
    <t>Các quy định về giảm trừ gia cảnh tăng lên, giúp quá trình khai báo thuế trở nên đơn giản và nhanh chóng hơn. Các bậc thuế được rút gọn, làm cho việc tính toán thuế trở nên dễ dàng hơn.</t>
  </si>
  <si>
    <t>Các quy định về giảm trừ gia cảnh và mức thuế mới giúp quá trình khai báo thuế đơn giản và nhanh chóng hơn so với trước đây. Việc rút gọn số bậc thuế cũng làm cho việc tính toán thuế trở nên dễ dàng hơn.</t>
  </si>
  <si>
    <t>Mức giảm trừ gia cảnh tăng lên, giúp giảm gánh nặng thuế cho người dân. Số bậc thuế được đơn giản hóa, tạo cảm giác công bằng trong việc áp dụng luật thuế.</t>
  </si>
  <si>
    <t>Thu nhập tính thuế/tháng từ 10-30 triệu đồng chịu thuế suất 10%, từ 30-60 triệu chịu thuế suất 20%, từ 60-100 triệu chịu thuế suất 30% và trên 100 triệu chịu thuế suất 35%. Các mức thuế này được coi là công bằng đối với người dân.</t>
  </si>
  <si>
    <t>Các quy định về mức thuế mới và giảm trừ gia cảnh được giải thích rõ ràng, giúp người dân hiểu dễ dàng hơn về lý do và mục tiêu của chính sách.</t>
  </si>
  <si>
    <t>Sau khi xem xét các quyền lợi từ việc tăng mức giảm trừ gia cảnh và đơn giản hóa biểu thuế, tôi thấy phương án mới là công bằng. Tôi sẽ tuân thủ chính sách vì nó mang lại nhiều lợi ích cho người dân.</t>
  </si>
  <si>
    <t>Theo thông tin, các quy định quản lý thuế hiện nay có nhiều cải tiến nhưng không đề cập rõ về khả năng phát hiện trốn thuế. Do đó, vẫn cần thêm công nghệ và nguồn lực.</t>
  </si>
  <si>
    <t>Công nghệ phát triển giúp xử lý dữ liệu nhanh chóng hơn, tuy nhiên, hiệu quả thực tế còn phụ thuộc vào nguồn lực và quy trình quản lý của cơ quan thuế.</t>
  </si>
  <si>
    <t>Mức giảm trừ gia cảnh tăng lên giúp đơn giản hóa thủ tục một phần, nhưng cần thêm cải tiến về quá trình khai báo để đánh giá hiệu quả.</t>
  </si>
  <si>
    <t>Biểu thuế được đơn giản hóa từ 7 bậc xuống còn 5 bậc, giảm độ phức tạp cho người nộp thuế. Tuy nhiên, vẫn cần thời gian để quen thuộc với hệ thống mới.</t>
  </si>
  <si>
    <t>Nhà nước và cơ quan thuế có thể thực thi chính sách công bằng hơn nhờ mức giảm trừ gia cảnh tăng lên, nhưng cần thêm thông tin về cách áp dụng cụ thể.</t>
  </si>
  <si>
    <t>Mức thuế mới được thiết kế để hợp lý hơn với thu nhập hiện tại, nhưng cần xem xét chi tiết hơn để đảm bảo tính công bằng cho từng đối tượng.</t>
  </si>
  <si>
    <t>Thuế đóng góp vào cải thiện dịch vụ công là điều quan trọng, tuy nhiên, hiệu quả thực tế còn phụ thuộc vào việc quản lý nguồn ngân sách.</t>
  </si>
  <si>
    <t>Nhà nước đã giải thích về mục tiêu của chính sách mới nhưng cần thêm thông tin cụ thể và minh bạch hơn để thuyết phục người dân.</t>
  </si>
  <si>
    <t>Tính công bằng trong thuế suất và mức giảm trừ gia cảnh tăng lên tạo ra lợi ích cho người nộp thuế, giúp tăng khả năng tuân thủ. Tuy nhiên, cần thêm thời gian để quen thuộc với chính sách mới.</t>
  </si>
  <si>
    <t>Các quy định quản lý thuế hiện nay được cải thiện đáng kể với mức giảm trừ gia cảnh cao hơn, do đó hành vi gian lận hoặc trốn thuế sẽ khó xảy ra. Công nghệ phát triển cũng giúp việc phát hiện và xử lý nghiêm các hành vi này trở nên dễ dàng hơn.</t>
  </si>
  <si>
    <t>Nhà nước đã tăng cường công nghệ để quản lý thuế, tạo điều kiện cho việc phát hiện trốn thuế. Tuy nhiên, còn phụ thuộc vào hiệu quả thực thi của các cơ quan chức năng.</t>
  </si>
  <si>
    <t>Đơn giản hóa biểu thuế và giảm mức thu từ thu nhập thấp hơn đã làm cho thủ tục khai báo thuế dễ dàng hơn. Tuy nhiên, quá trình giao tiếp với cơ quan thuế vẫn có thể gặp khó khăn.</t>
  </si>
  <si>
    <t>Cách tính thuế mới đơn giản hóa các bậc thuế từ 7 xuống còn 5, giúp việc tính toán dễ dàng hơn. Tuy nhiên, mức thuế cao hơn đối với thu nhập cao vẫn có thể gây khó khăn.</t>
  </si>
  <si>
    <t>Nhà nước đã cải thiện mức giảm trừ gia cảnh và đơn giản hóa biểu thuế, tạo ra sự công bằng trong việc đánh giá thu nhập. Tuy nhiên, người nộp thuế vẫn cần tin tưởng vào cách thực thi chính sách.</t>
  </si>
  <si>
    <t>Đối với mức thu nhập của tôi, tỷ lệ thuế mới có thể không quá công bằng so với trước đây, nhưng cải cách đã giảm gánh nặng cho người thu nhập thấp hơn. Sự minh bạch về mục tiêu chính sách cũng tăng niềm tin.</t>
  </si>
  <si>
    <t>Nhà nước đang đầu tư vào các dịch vụ công để sử dụng số tiền thuế một cách hiệu quả, nhưng cần thêm thời gian để thấy kết quả thực tế. Cải cách thuế giúp nâng cao mức sống của người dân.</t>
  </si>
  <si>
    <t>Giải thích về mục tiêu và lý do cải cách thuế được cung cấp đầy đủ nhưng cần thêm thông tin chi tiết để thuyết phục mọi người. Tuy nhiên, những cải cách này là bước tiến tích cực.</t>
  </si>
  <si>
    <t>Các cải cách đã làm giảm gánh nặng thuế cho thu nhập thấp hơn và tăng mức sống. Tuy nhiên, việc thực thi chính sách vẫn cần thêm thời gian để chứng minh hiệu quả. Tôi ủng hộ và sẽ tuân thủ.</t>
  </si>
  <si>
    <t>Luật thuế mới có nhiều cải tiến về quản lý và phát hiện trốn thuế, nhưng với mức thuế giảm đáng kể đối với tôi, khả năng phát hiện gian lận có thể bị giảm do giảm thu ngân sách.</t>
  </si>
  <si>
    <t>Công nghệ ngày càng phát triển giúp nhà nước và cơ quan thuế dễ dàng hơn trong việc theo dõi và xử lý trốn thuế, nhưng mức thuế giảm có thể làm giảm hiệu quả này.</t>
  </si>
  <si>
    <t>Quy trình khai báo thuế trở nên đơn giản với mức giảm trừ gia cảnh cao hơn, nhưng vẫn còn một số rắc rối khi thực hiện.</t>
  </si>
  <si>
    <t>Cách tính thuế đơn giản hóa và có nhiều bậc thuế mới, dễ dàng nắm bắt hơn so với trước đây.</t>
  </si>
  <si>
    <t>Nhà nước đã cải thiện quy định để công bằng cho người dân, nhưng vẫn còn nghi ngờ về cách thực thi.</t>
  </si>
  <si>
    <t>Mức thuế mới theo phương án này được đánh giá là công bằng đối với mức thu nhập hiện tại của tôi.</t>
  </si>
  <si>
    <t>Tôi tin rằng số tiền thuế đóng sẽ được sử dụng hiệu quả cho dịch vụ công, nhưng vẫn còn nghi ngờ về cách thực hiện.</t>
  </si>
  <si>
    <t>Nhà nước đã cung cấp thông tin rõ ràng hơn về phương án mới, nhưng vẫn cần thêm thời gian để thuyết phục.</t>
  </si>
  <si>
    <t>Tác động tài chính tích cực khiến tôi sẵn sàng tuân thủ, nhưng nghi ngờ về thực thi pháp luật và hiệu quả sử dụng ngân sách có thể ảnh hưởng đến quyết định cuối cùng.</t>
  </si>
  <si>
    <t>Cải cách thuế TNCN bao gồm tăng mức giảm trừ gia cảnh, đơn giản hóa biểu thuế nên việc phát hiện và xử lý trốn thuế sẽ khó khăn hơn. Công nghệ hiện đại giúp cải thiện nhưng vẫn không loại bỏ hoàn toàn rủi ro.</t>
  </si>
  <si>
    <t>Công nghệ hiện đại có thể hỗ trợ phát hiện trốn thuế hiệu quả hơn, tuy nhiên, việc quản lý thuế còn phụ thuộc vào năng lực và quy định của các cơ quan chức năng. Việc tăng mức giảm trừ gia cảnh cũng ảnh hưởng đến khả năng phát hiện.</t>
  </si>
  <si>
    <t>Biểu thuế được đơn giản hóa từ 7 bậc xuống còn 5 bậc, việc khai báo và làm việc với cơ quan thuế trở nên dễ dàng hơn. Tuy nhiên, mức thuế có thể vẫn phức tạp đối với một số người.</t>
  </si>
  <si>
    <t>Cách tính thuế mới đơn giản hóa từ 7 bậc xuống còn 5 bậc, dễ hiểu và thực hiện hơn so với trước đây. Các bậc thuế rõ ràng giúp việc tính toán trở nên dễ dàng hơn.</t>
  </si>
  <si>
    <t>Mức giảm trừ gia cảnh tăng lên có thể làm giảm gánh nặng thuế đối với một số người, tạo niềm tin vào sự công bằng. Tuy nhiên, mức thuế mới vẫn phức tạp và chưa rõ ràng.</t>
  </si>
  <si>
    <t>Mức thuế mới đơn giản hóa nhưng vẫn cần thời gian để mọi người hiểu rõ hơn. Tăng giảm trừ gia cảnh có thể tạo niềm tin vào sự công bằng</t>
  </si>
  <si>
    <t>Tăng mức giảm trừ gia cảnh và đơn giản hóa biểu thuế giúp cải thiện dịch vụ công nhưng chưa chắc chắn về cách sử dụng hiệu quả số tiền thuế. Sự minh bạch trong việc giải ngân quan trọng.</t>
  </si>
  <si>
    <t>Cải cách thuế có thông điệp rõ ràng về mục tiêu, tuy nhiên, việc thực thi và minh bạch trong quản lý tài chính cần được cải thiện hơn. Thông qua truyền thông chính thức</t>
  </si>
  <si>
    <t>Sau khi xem xét các quyền lợi và nghĩa vụ, tôi ủng hộ cải cách thuế vì mức giảm trừ gia cảnh tăng lên giúp giảm gánh nặng thuế. Tuy nhiên, việc minh bạch trong quản lý tài chính cần được cải thiện.</t>
  </si>
  <si>
    <t>Các quy định quản lý thuế hiện nay có nhiều cải tiến như tăng giảm trừ gia cảnh, đơn giản hóa biểu thuế, nên khả năng phát hiện hành vi gian lận hoặc trốn thuế cao hơn trước. Công nghệ hiện đại cũng hỗ trợ tốt cho việc này.</t>
  </si>
  <si>
    <t>Nhà nước và cơ quan thuế đã đầu tư công nghệ quản lý thuế tiên tiến, giúp phát hiện và xử lý các hành vi trốn thuế một cách hiệu quả. Công nghệ như hệ thống thông tin quản lý thuế (ITS) và sự giám sát chặt chẽ từ cơ quan thuế làm giảm nguy cơ trốn thuế.</t>
  </si>
  <si>
    <t>Thủ tục khai báo thuế trở nên đơn giản hơn với việc rút gọn biểu thuế, giảm số bậc thuế. Việc này giúp tiết kiệm thời gian và công sức cho người dân trong quá trình làm việc với cơ quan thuế.</t>
  </si>
  <si>
    <t>Cách tính thuế mới đơn giản hơn với việc giảm số bậc thuế từ 7 xuống 5. Người dân dễ dàng hiểu và áp dụng các bậc thuế mới, giảm bớt rắc rối trong quá trình khai báo.</t>
  </si>
  <si>
    <t>Nhà nước đã cải cách thuế theo hướng công bằng hơn với việc tăng giảm trừ gia cảnh. Điều này thể hiện sự quan tâm đến người dân, tạo ra một môi trường thuế thuận lợi hơn cho tất cả mọi người.</t>
  </si>
  <si>
    <t>Mức thuế mới có vẻ hợp lý so với thu nhập cá nhân của tôi. Việc tăng giảm trừ gia cảnh giúp làm giảm gánh nặng thuế, tạo ra sự công bằng trong việc phân bổ thuế giữa các đối tượng.</t>
  </si>
  <si>
    <t>Tăng giảm trừ gia cảnh và đơn giản hóa biểu thuế sẽ giúp số tiền thuế tôi đóng được sử dụng hiệu quả hơn để cải thiện dịch vụ công. Điều này thể hiện sự minh bạch trong việc phân bổ ngân sách.</t>
  </si>
  <si>
    <t>Nhà nước đã cung cấp thông tin về cải cách thuế một cách rõ ràng, giúp người dân hiểu được lý do và mục tiêu của chính sách. Tuy nhiên, vẫn cần nhiều hơn nữa để mọi người cảm thấy tin tưởng tuyệt đối.</t>
  </si>
  <si>
    <t>Sau khi xem xét các quyền lợi từ cải cách thuế như tăng giảm trừ gia cảnh và đơn giản hóa biểu thuế, tôi có xu hướng ủng hộ chính sách mới. Tuy nhiên, vẫn cần thời gian để kiểm chứng hiệu quả thực tế.</t>
  </si>
  <si>
    <t>Theo quy định mới, mức giảm trừ gia cảnh tăng đáng kể và có thêm người phụ thuộc, giúp giảm áp lực thuế. Tuy nhiên, công nghệ phát hiện trốn thuế chưa được đề cập cụ thể.</t>
  </si>
  <si>
    <t>Việc sử dụng công nghệ trong quản lý thuế đã cải thiện đáng kể, nhưng vẫn cần nâng cao khả năng phát hiện và xử lý trốn thuế hiệu quả hơn.</t>
  </si>
  <si>
    <t>Mức giảm trừ gia cảnh tăng, giúp thủ tục khai báo đơn giản hóa. Tuy nhiên, quy trình làm việc với cơ quan thuế vẫn chưa thật sự nhanh chóng.</t>
  </si>
  <si>
    <t>Biểu thuế được đơn giản hóa từ 7 bậc xuống còn 5 bậc, giúp tính toán thuế dễ dàng hơn. Tuy nhiên, mức thuế mới có thể gây khó hiểu cho người dân không thuộc nhóm trung bình.</t>
  </si>
  <si>
    <t>Nhà nước đã cải thiện quy định về giảm trừ gia cảnh và mức thuế suất, tạo niềm tin hơn vào sự công bằng trong việc áp dụng chính sách. Tuy nhiên, vẫn có sự đa dạng trong cách hiểu.</t>
  </si>
  <si>
    <t>Mức thuế mới phù hợp với thu nhập trung bình, tuy nhiên đối với người có thu nhập cao, mức thuế suất mới có thể gây nghi ngờ về tính công bằng.</t>
  </si>
  <si>
    <t>Thuế được sử dụng hiệu quả vào các dịch vụ công, tuy nhiên, vẫn cần minh bạch hơn để tăng sự tin tưởng của người dân</t>
  </si>
  <si>
    <t>Nhà nước đã giải thích rõ ràng về mục tiêu cải cách thuế, nhưng việc truyền thông chưa đầy đủ khiến một số người vẫn có nghi ngờ.</t>
  </si>
  <si>
    <t>Chính sách mới có nhiều điểm tích cực giúp giảm gánh nặng thuế cho người dân. Tuy nhiên, mức độ ủng hộ còn phụ thuộc vào từng cá nhân và trải nghiệm cá nhân trong việc tuân thủ.</t>
  </si>
  <si>
    <t>Chính phủ đã tăng cường quản lý thuế và giảm trừ gia cảnh, nhưng việc phát hiện trốn thuế vẫn còn khó khăn.</t>
  </si>
  <si>
    <t>Công nghệ hiện đại giúp cải thiện khả năng phát hiện trốn thuế, tuy nhiên vẫn cần nhiều cải tiến.</t>
  </si>
  <si>
    <t>Mức giảm trừ gia cảnh cao hơn và số bậc thuế ít đi làm thủ tục khai báo đơn giản hơn.</t>
  </si>
  <si>
    <t>Cách tính thuế mới rõ ràng hơn, nhưng vẫn còn nhiều quy định phức tạp cần cải thiện.</t>
  </si>
  <si>
    <t>Nhà nước đã tăng cường quản lý và minh bạch hóa, tạo niềm tin cho người nộp thuế.</t>
  </si>
  <si>
    <t>Mức thuế mới phù hợp với thu nhập của tôi, nhưng vẫn còn nghi ngờ về việc thực hiện công bằng.</t>
  </si>
  <si>
    <t>Thuế được sử dụng hiệu quả để cải thiện dịch vụ công, nhưng cần nhiều dữ liệu cụ thể hơn.</t>
  </si>
  <si>
    <t>Giải thích về chính sách mới chưa đủ rõ ràng, tạo ra sự nghi ngờ trong tôi.</t>
  </si>
  <si>
    <t>Chính sách mới mang lại lợi ích tài chính, nhưng vẫn còn nhiều điểm nghi ngờ và phức tạp cần cải thiện.</t>
  </si>
  <si>
    <t>Cải cách thuế TNCN bao gồm việc tăng mức giảm trừ gia cảnh, đơn giản hóa biểu thuế. Điều này cho thấy chính phủ đã nỗ lực để ngăn ngừa hành vi gian lận và trốn thuế.</t>
  </si>
  <si>
    <t>Phát hiện và xử lý nghiêm các hành vi trốn thuế đòi hỏi công nghệ tiên tiến, nhưng với mức tăng cường quản lý như hiện nay, khả năng phát hiện sẽ cao hơn.</t>
  </si>
  <si>
    <t>Biểu thuế được đơn giản hóa từ 7 bậc xuống còn 5 bậc, đồng nghĩa với việc quy trình khai báo thuế và làm việc với cơ quan thuế trở nên dễ dàng hơn.</t>
  </si>
  <si>
    <t>Mức thuế mới được thiết kế dựa trên thu nhập cụ thể, do đó có thể đơn giản hóa quá trình tính toán và giảm độ phức tạp cho người nộp thuế.</t>
  </si>
  <si>
    <t>Cải cách thuế TNCN bao gồm việc tăng mức giảm trừ gia cảnh, tạo điều kiện cho nhiều người dân. Điều này thể hiện sự công bằng trong việc đánh thuế.</t>
  </si>
  <si>
    <t>Mức thuế mới được thiết kế dựa trên thu nhập cụ thể, do đó có thể đơn giản hóa quá trình tính thuế và giảm độ phức tạp cho người nộp thuế. Điều này tạo ra cảm giác công bằng.</t>
  </si>
  <si>
    <t>Cải cách thuế TNCN bao gồm việc tăng mức giảm trừ gia cảnh, đơn giản hóa biểu thuế, có thể làm tăng niềm tin rằng số tiền thuế đóng sẽ được sử dụng hiệu quả cho công cộng.</t>
  </si>
  <si>
    <t>Cải cách thuế TNCN bao gồm việc tăng mức giảm trừ gia cảnh và đơn giản hóa biểu thuế. Điều này tạo ra cảm giác rằng Nhà nước đã giải thích rõ ràng về mục tiêu cải cách.</t>
  </si>
  <si>
    <t>Các lợi ích từ cải cách như tăng giảm trừ gia cảnh, đơn giản hóa biểu thuế có thể làm tăng sự ủng hộ và tuân thủ chính sách mới. Tuy nhiên, tôi vẫn đa nghi về việc thực thi.</t>
  </si>
  <si>
    <t>Các quy định quản lý thuế mới có mức giảm trừ gia cảnh cao hơn, giúp phát hiện hành vi trốn thuế dễ dàng. Công nghệ hiện đại cũng góp phần tăng cường khả năng phát hiện gian lận.</t>
  </si>
  <si>
    <t>Nhà nước và cơ quan thuế đã đầu tư công nghệ để cải thiện khả năng giám sát và xử lý trốn thuế, nhưng vẫn cần thêm thời gian để hoàn thiện toàn bộ hệ thống.</t>
  </si>
  <si>
    <t>Biểu thuế đơn giản hơn với ít bậc thuế, giảm bớt rườm rà trong khai báo và làm việc với cơ quan thuế. Điều này khiến quá trình trở nên tiện lợi hơn.</t>
  </si>
  <si>
    <t>Cách tính thuế mới đơn giản hóa các bậc thuế, tạo cảm giác dễ hiểu và thực hiện thuận lợi hơn so với trước đây.</t>
  </si>
  <si>
    <t>Niềm tin vào sự công bằng của chính sách tăng lên do mức giảm trừ gia cảnh cao hơn. Tuy nhiên, vẫn còn lo ngại về cách xử lý và thực thi.</t>
  </si>
  <si>
    <t>Mức thuế mới được thiết kế dựa trên thu nhập cá nhân, tạo cảm giác công bằng hơn so với trước đây. Tuy nhiên, cần thêm thời gian để kiểm chứng tính công bằng của chính sách.</t>
  </si>
  <si>
    <t>Niềm tin rằng số tiền thuế đóng sẽ được sử dụng hiệu quả vào các dịch vụ công còn hạn chế do chưa có nhiều thông tin về cách sử dụng nguồn thu thuế mới.</t>
  </si>
  <si>
    <t>Nhà nước đã giải thích rõ ràng lý do và mục tiêu của việc sửa đổi thuế, tạo cảm giác minh bạch hơn so với trước đây. Tuy nhiên, cần thêm thông tin về cách triển khai.</t>
  </si>
  <si>
    <t>Sau khi cân nhắc giữa lợi ích và nghĩa vụ, tôi thấy chính sách mới mang lại nhiều ưu điểm nhưng vẫn còn lo ngại về thực thi và hiệu quả. Do đó, tôi ủng hộ nhưng cần thêm thời gian để xem xét.</t>
  </si>
  <si>
    <t>Các quy định quản lý thuế hiện nay, với mức giảm trừ gia cảnh tăng lên, có thể khiến hành vi gian lận khó phát hiện và xử lý.</t>
  </si>
  <si>
    <t>Nhà nước đã áp dụng công nghệ để cải thiện khả năng phát hiện trốn thuế. Tuy nhiên, hiệu quả thực tế còn phụ thuộc vào việc triển khai.</t>
  </si>
  <si>
    <t>Mức giảm trừ gia cảnh tăng và số bậc thuế giảm có thể làm thủ tục khai báo đơn giản hơn, nhưng vẫn cần thời gian để quen với quy trình mới.</t>
  </si>
  <si>
    <t>Các bậc thuế mới rõ ràng hơn so với trước đây, giúp người dân dễ dàng tính toán và nộp thuế. Tuy nhiên, việc áp dụng cụ thể vẫn cần thêm thời gian để làm quen.</t>
  </si>
  <si>
    <t>Nhà nước đã cải thiện quyền lợi cho người nộp thuế thông qua mức giảm trừ gia cảnh tăng, nhưng còn cần minh bạch trong việc thực thi chính sách mới.</t>
  </si>
  <si>
    <t>Thuế suất và ngưỡng chịu thuế thay đổi có thể làm cảm giác công bằng của tôi thay đổi theo mức thu nhập. Tuy nhiên, cần thêm thời gian để đánh giá hiệu quả thực tế.</t>
  </si>
  <si>
    <t>Cần xem xét việc sử dụng số tiền thuế đóng vào các dịch vụ công để đánh giá hiệu quả và công bằng của chính sách mới.</t>
  </si>
  <si>
    <t>Nhà nước đã có những giải thích về mục tiêu cải cách, nhưng cần minh bạch hơn nữa trong việc thực hiện</t>
  </si>
  <si>
    <t>Sau khi xem xét các quyền lợi và nghĩa vụ, tôi thấy chính sách mới mang lại nhiều lợi ích. Tuy nhiên, vẫn có sự phức tạp về việc làm quen với quy định mới.</t>
  </si>
  <si>
    <t>Nguyên tắc quản lý thuế mới tăng mức giảm trừ gia cảnh, đơn giản hóa quy trình làm việc với cơ quan thuế, nhưng không có thông tin về công nghệ phát hiện gian lận cụ thể.</t>
  </si>
  <si>
    <t>Nhà nước và cơ quan thuế có đủ khả năng quản lý thuế, nhưng cần thêm công nghệ để tăng hiệu quả phát hiện gian lận.</t>
  </si>
  <si>
    <t>Mức giảm trừ gia cảnh tăng, quy trình làm việc đơn giản hơn nhưng không phải tất cả các thủ tục đều dễ dàng như trước đây.</t>
  </si>
  <si>
    <t>Cách tính thuế và bậc thuế mới đơn giản hóa so với trước nhưng vẫn cần thời gian để quen thuộc.</t>
  </si>
  <si>
    <t>Nhà nước đã tăng giảm trừ gia cảnh, nên tôi tin họ sẽ thực thi chính sách một cách công bằng, nhưng vẫn có nghi ngờ về khả năng phát hiện trốn thuế.</t>
  </si>
  <si>
    <t>Mức thuế mới hợp lý với thu nhập của tôi, nhưng cần thêm thời gian để đánh giá hiệu quả thực thi.</t>
  </si>
  <si>
    <t>Việc sử dụng số tiền thuế đóng vào cải thiện dịch vụ công là điều quan trọng, nhưng cần xem xét hiệu quả thực tế trong tương lai.</t>
  </si>
  <si>
    <t>Nhà nước đã giải thích rõ ràng về mục tiêu của việc sửa đổi thuế, nhưng còn thiếu thông tin cụ thể về quy trình triển khai.</t>
  </si>
  <si>
    <t>Sau khi xem xét các quyền lợi và nghĩa vụ mới, tôi thấy chính sách này hữu ích cho người thu nhập thấp như tôi, nên sẽ ủng hộ và tuân thủ.</t>
  </si>
  <si>
    <t>Hiện nay, với sự tăng mạnh của mức giảm trừ gia cảnh và đơn giản hóa quy trình khai báo thuế, việc phát hiện hành vi gian lận hoặc trốn thuế sẽ trở nên khó khăn hơn. Tuy nhiên, công nghệ tiên tiến và các biện pháp quản lý chặt chẽ vẫn có thể giúp phát hiện và xử lý nghiêm minh các trường hợp trốn thuế.</t>
  </si>
  <si>
    <t>Công nghệ mới và quy định rõ ràng về quản lý thuế sẽ tăng cường khả năng phát hiện và xử lý các hành vi trốn thuế. Tuy nhiên, vẫn cần sự giám sát chặt chẽ từ cơ quan thuế để đảm bảo công bằng.</t>
  </si>
  <si>
    <t>Mức giảm trừ gia cảnh tăng mạnh giúp đơn giản hóa quy trình khai báo thuế, giảm gánh nặng cho người dân. Tuy nhiên, việc quản lý các thủ tục vẫn cần cải thiện để tránh gây phiền toái.</t>
  </si>
  <si>
    <t>Biểu thuế được rút gọn và rõ ràng hơn giúp tính toán thu nhập chịu thuế dễ dàng hơn, tăng sự minh bạch. Tuy nhiên, việc áp dụng các bậc thuế mới vẫn cần thêm thời gian để làm quen.</t>
  </si>
  <si>
    <t>Nhà nước đã cải thiện quy định về giảm trừ gia cảnh và đơn giản hóa quy trình khai báo thuế. Tuy nhiên, việc thực thi chính sách mới vẫn cần thêm thời gian để tạo niềm tin.</t>
  </si>
  <si>
    <t>Mức thuế mới được thiết kế dựa trên thu nhập, tuy nhiên, mức độ công bằng của nó phụ thuộc vào cách áp dụng. Người có thu nhập thấp sẽ thấy lợi ích rõ ràng hơn so với người có thu nhập cao.</t>
  </si>
  <si>
    <t>Thuế mới được sử dụng để cải thiện dịch vụ công, nhưng hiệu quả thực tế phụ thuộc vào cách quản lý chi tiêu của nhà nước. Niềm tin về sự minh bạch trong việc sử dụng nguồn thu thuế vẫn cần thời gian để hình thành.</t>
  </si>
  <si>
    <t>Nhà nước đã cung cấp thông tin rõ ràng về quy định mới, nhưng mức độ thuyết phục phụ thuộc vào cách truyền thông và thực thi chính sách. Người dân có thể nghi ngờ nếu thấy không nhất quán.</t>
  </si>
  <si>
    <t>Dù thuế mới đơn giản hóa quy trình khai báo, nhưng gánh nặng về tài chính vẫn là mối quan tâm chính. Việc tuân thủ phụ thuộc vào sự minh bạch và công bằng trong thực thi.</t>
  </si>
  <si>
    <t>Mức tăng giảm trừ gia cảnh và đơn giản hóa biểu thuế tạo cảm giác công bằng, nhưng khả năng phát hiện trốn thuế phụ thuộc nhiều vào cơ chế quản lý, chưa rõ ràng</t>
  </si>
  <si>
    <t>Công nghệ hiện đại có thể hỗ trợ hiệu quả trong việc phát hiện trốn thuế, tuy nhiên cần sự hợp tác của người nộp thuế để nâng cao hiệu quả</t>
  </si>
  <si>
    <t>Biểu thuế đơn giản hơn trước đây, số bậc giảm từ 7 xuống còn 5, làm việc với cơ quan thuế dễ dàng hơn</t>
  </si>
  <si>
    <t>Cách tính thuế và các bậc thuế mới đơn giản hóa quy trình khai báo, dễ hiểu và thực hiện thuận tiện hơn</t>
  </si>
  <si>
    <t>Nâng cao giảm trừ gia cảnh tạo cảm giác công bằng trong việc phân bổ gánh nặng thuế, nhưng vẫn có sự nghi ngờ về cách thực thi chính sách</t>
  </si>
  <si>
    <t>Mức thuế mới được thiết kế dựa trên thu nhập cá nhân, nhưng cần thêm minh bạch hơn để tăng niềm tin về tính công bằng của nó</t>
  </si>
  <si>
    <t>Niềm tin vào việc sử dụng hiệu quả số tiền thuế đóng không cao do chưa rõ ràng về cách quản lý và phân bổ nguồn lực</t>
  </si>
  <si>
    <t>Giải thích về mục tiêu của chính sách mới còn hạn chế, cần thêm thông tin để tăng mức độ minh bạch và thuyết phục</t>
  </si>
  <si>
    <t>Niềm tin và sự công bằng từ các thay đổi thuế tạo ra động lực tuân thủ, nhưng vẫn có sự nghi ngờ về thực thi chính sách trong dài hạn</t>
  </si>
  <si>
    <t>Cơ quan thuế có nhiều công nghệ hiện đại để phát hiện gian lận, tăng cường quản lý và xử lý nghiêm các hành vi trốn thuế.</t>
  </si>
  <si>
    <t>Công nghệ tiên tiến giúp nhà nước kiểm soát hiệu quả hơn, giảm thiểu tình trạng trốn thuế.</t>
  </si>
  <si>
    <t>Mức giảm trừ gia cảnh tăng lên, thủ tục đơn giản hóa quy trình khai báo thuế trở nên nhanh chóng và tiện lợi hơn.</t>
  </si>
  <si>
    <t>Biểu thuế được đơn giản hóa từ 7 bậc xuống còn 5 bậc, giảm sự phức tạp, dễ hiểu và thực hiện hơn.</t>
  </si>
  <si>
    <t>Giảm trừ gia cảnh tăng lên, người thu nhập thấp sẽ không bị ảnh hưởng quá nhiều về mặt tài chính, tạo cảm giác công bằng trong việc thực thi thuế.</t>
  </si>
  <si>
    <t>Mức thuế mới được thiết kế để công bằng hơn với thu nhập khác nhau của người nộp thuế, tuy nhiên cần thêm thời gian để đánh giá hiệu quả.</t>
  </si>
  <si>
    <t>Giảm trừ gia cảnh tăng lên và mức thuế được điều chỉnh phù hợp với thu nhập, tạo cảm giác số tiền đóng thuế sẽ được sử dụng hiệu quả cho các dịch vụ công.</t>
  </si>
  <si>
    <t>Các thông tin về lý do và mục tiêu của việc sửa đổi thuế chưa đủ minh bạch, cần thêm thời gian để đánh giá</t>
  </si>
  <si>
    <t>Chính sách mới có nhiều ưu điểm về mặt thuận tiện và công bằng nhưng vẫn còn cần thời gian để hoàn thiện và tạo niềm tin đầy đủ.</t>
  </si>
  <si>
    <t>Mức giảm trừ gia cảnh tăng lên, nhưng không rõ liệu có đủ khả năng phát hiện trốn thuế hay không. Cơ chế quản lý thuế vẫn còn phức tạp.</t>
  </si>
  <si>
    <t>Công nghệ tiên tiến giúp phát hiện trốn thuế dễ dàng hơn, tuy nhiên chưa chắc chắn về hiệu quả thực tế.</t>
  </si>
  <si>
    <t>Biểu thuế đơn giản hơn, nhưng quy trình khai báo vẫn còn rườm rà. Tuy nhiên, so với trước đây có cải thiện.</t>
  </si>
  <si>
    <t>Cách tính thuế mới đơn giản và rõ ràng hơn, dễ hiểu và thực hiện dễ dàng hơn so với trước đây.</t>
  </si>
  <si>
    <t>Nhà nước đã cải thiện quy định giảm trừ gia cảnh, nhưng chưa chắc chắn về công bằng trong thực thi.</t>
  </si>
  <si>
    <t>Mức thuế mới có vẻ hợp lý so với thu nhập hiện tại của tôi, nhưng cần xem xét hiệu quả sử dụng nguồn thu</t>
  </si>
  <si>
    <t>Tăng giảm trừ gia cảnh và đơn giản hóa biểu thuế tạo cảm giác số tiền thuế đóng sẽ được sử dụng hiệu quả hơn.</t>
  </si>
  <si>
    <t>Thông tin về việc sửa đổi thuế đã được giải thích nhưng cần thêm minh bạch trong quá trình thực thi</t>
  </si>
  <si>
    <t>Các quyền lợi và nghĩa vụ rõ ràng hơn, tuy nhiên sự phức tạp và đa dạng thu nhập vẫn gây rủi ro cho tuân thủ.</t>
  </si>
  <si>
    <t>Cải cách thuế có thêm quy định quản lý thuế chặt chẽ, tăng mức giảm trừ gia cảnh và đơn giản hóa biểu thuế, giảm rủi ro trốn thuế.</t>
  </si>
  <si>
    <t>Việc áp dụng công nghệ tiên tiến giúp phát hiện nhanh chóng các hành vi trốn thuế, đồng thời xử lý nghiêm minh hơn.</t>
  </si>
  <si>
    <t>Mức giảm trừ gia cảnh cao và đơn giản hóa biểu thuế tạo thuận lợi cho việc khai báo thuế.</t>
  </si>
  <si>
    <t>Biểu thuế mới đơn giản hơn, dễ hiểu với ít bậc, giúp người dân tính thuế dễ dàng hơn.</t>
  </si>
  <si>
    <t>Nhà nước đã cải thiện quy định quản lý thuế và giảm rủi ro trốn thuế, tạo niềm tin công bằng cho người nộp thuế.</t>
  </si>
  <si>
    <t>Mức thuế mới được tính dựa trên thu nhập, thể hiện sự công bằng trong việc đóng góp của mỗi cá nhân.</t>
  </si>
  <si>
    <t>Thuế được sử dụng hiệu quả vào các dịch vụ công như y tế và đường xá, tạo niềm tin về sự tận dụng đúng mục đích.</t>
  </si>
  <si>
    <t>Chính phủ đã giải thích rõ ràng về mục tiêu cải cách, mặc dù vẫn có một số hoài nghi từ người dân.</t>
  </si>
  <si>
    <t>Sau cân nhắc, tôi ủng hộ chính sách mới vì nó tạo thuận lợi và công bằng cho người nộp thuế.</t>
  </si>
  <si>
    <t>Nhà nước và cơ quan thuế đã tăng cường công nghệ, do đó khả năng phát hiện trốn thuế sẽ cao hơn.</t>
  </si>
  <si>
    <t>Công nghệ hiện đại giúp nhà nước dễ dàng quản lý và xử phạt vi phạm thuế.</t>
  </si>
  <si>
    <t>Mức giảm trừ gia cảnh tăng, quy trình khai báo đơn giản hơn, do đó thuận tiện cho người nộp thuế.</t>
  </si>
  <si>
    <t>Biểu thuế được đơn giản hóa thành 5 bậc thay vì 7, dễ hiểu và thực hiện nhanh chóng hơn.</t>
  </si>
  <si>
    <t>Nợ thuế giảm do giảm trừ gia cảnh tăng và quy trình khai báo thuận tiện hơn. Tuy nhiên, đa nghi về việc áp dụng khách quan của Nhà nước.</t>
  </si>
  <si>
    <t>Mức thu nhập chịu thuế được điều chỉnh hợp lý so với mức thu nhập hiện tại, tạo cảm giác công bằng.</t>
  </si>
  <si>
    <t>Thuế sẽ được sử dụng hiệu quả vào các dịch vụ công cần thiết. Tuy nhiên, đa nghi về việc quản lý hiệu quả của Nhà nước.</t>
  </si>
  <si>
    <t>Các thông tin giải thích về sửa đổi thuế đã khá rõ ràng và minh bạch, nhưng có đôi chút nghi ngờ về độ tin cậy.</t>
  </si>
  <si>
    <t>Mặc dù có nhiều lợi ích từ cải cách, đa nghi về thực thi chính sách dẫn đến việc không sẵn sàng hoàn toàn tuân thủ.</t>
  </si>
  <si>
    <t>Biện pháp quản lý thuế được cải thiện, tăng mức giảm trừ gia cảnh và đơn giản hóa quy trình, nhưng vẫn cần công nghệ hiện đại để phát hiện trốn thuế.</t>
  </si>
  <si>
    <t>Công nghệ tiên tiến như AI và Big Data có thể giúp phát hiện trốn thuế hiệu quả hơn, tuy nhiên thực tế còn phụ thuộc vào nguồn lực đầu tư.</t>
  </si>
  <si>
    <t>Mức giảm trừ gia cảnh tăng và quy trình làm việc với cơ quan thuế đơn giản hơn so với trước đây, nhưng vẫn có thể cải thiện nhiều hơn.</t>
  </si>
  <si>
    <t>Biểu thuế được đơn giản hóa từ 7 bậc xuống còn 5 bậc, dễ hiểu và thực hiện nhanh chóng hơn, giảm gánh nặng cho người nộp thuế.</t>
  </si>
  <si>
    <t>Nhà nước đã tăng mức giảm trừ gia cảnh và đơn giản hóa biểu thuế, tạo sự công bằng trong việc đóng thuế.</t>
  </si>
  <si>
    <t>Mức thuế mới được thiết kế để phản ánh công bằng với thu nhập hiện tại, nhưng vẫn cần thời gian để nhìn nhận hiệu quả thực tế.</t>
  </si>
  <si>
    <t>Giảm trừ gia cảnh tăng và biểu thuế đơn giản hóa giúp sử dụng số tiền đóng thuế hiệu quả hơn vào các dịch vụ công</t>
  </si>
  <si>
    <t>Thông tin giải thích về thay đổi thuế được cung cấp, nhưng cần thêm minh bạch để tạo niềm tin vững chắc.</t>
  </si>
  <si>
    <t>Sau khi cân nhắc lợi ích và nghĩa vụ mới, tôi thấy chính sách mới mang lại nhiều thuận lợi, dù vẫn có chút nghi ngờ về thực hiện.</t>
  </si>
  <si>
    <t>Tăng mức giảm trừ gia cảnh và đơn giản hóa biểu thuế có thể làm tăng độ phức tạp trong việc quản lý, nhưng các quy định mới có thể giúp phát hiện gian lận hơn. Công nghệ hiện đại cũng hỗ trợ tốt hơn.</t>
  </si>
  <si>
    <t>Biểu thuế đơn giản và công nghệ phát triển sẽ giúp cải thiện khả năng phát hiện và xử lý trốn thuế, nhưng vẫn cần thời gian để áp dụng hoàn toàn hiệu quả. Cơ quan thuế cũng đã đầu tư vào công nghệ.</t>
  </si>
  <si>
    <t>Mức giảm trừ gia cảnh tăng lên có thể làm đơn giản hóa quy trình khai báo thuế, nhưng vẫn cần thời gian để các tổ chức thực hiện thay đổi. Quy trình làm việc với cơ quan thuế đã cải thiện so với trước đây.</t>
  </si>
  <si>
    <t>Biểu thuế đơn giản hơn và số bậc giảm từ 7 xuống còn 5, nhưng cần thời gian để người dân thích nghi. Cách tính thuế mới có thể dễ hiểu hơn.</t>
  </si>
  <si>
    <t>Niềm tin vào sự công bằng của cơ quan thuế tăng do mức giảm trừ gia cảnh và biểu thuế đơn giản hơn, nhưng vẫn cần thời gian để thực thi hiệu quả. Cơ chế phát hiện trốn thuế tốt hơn.</t>
  </si>
  <si>
    <t>Đối với thu nhập của tôi, mức thuế mới có vẻ công bằng so với trước đây, nhưng vẫn cần theo dõi thời gian để đánh giá hiệu quả thực tế. Sự minh bạch về mục tiêu cải cách chưa hoàn toàn thuyết phục.</t>
  </si>
  <si>
    <t>Niềm tin vào việc sử dụng hiệu quả số tiền thuế của tôi tăng do mức giảm trừ gia cảnh, nhưng vẫn cần thời gian để đánh giá thực tế. Hiệu quả cải cách chưa hoàn toàn thuyết phục.</t>
  </si>
  <si>
    <t>Quyết định cải cách được minh bạch hơn so với trước đây, nhưng cần thêm thời gian để người dân tiếp thu đầy đủ thông tin. Sự công khai trong quá trình thực hiện cải cách chưa hoàn toàn thuyết phục.</t>
  </si>
  <si>
    <t>Niềm tin và sự công bằng tăng lên do mức giảm trừ gia cảnh, nhưng vẫn cần thời gian để đánh giá hiệu quả thực tế. Gánh nặng thuế mới có thể giúp cải thiện quyết định tuân thủ.</t>
  </si>
  <si>
    <t>Biểu thuế đơn giản hơn và mức giảm trừ gia cảnh tăng, nhưng vẫn cần công nghệ để phát hiện trốn thuế.</t>
  </si>
  <si>
    <t>Công nghệ hiện đại ngày càng phát triển giúp nhà nước có khả năng xử lý nghiêm các hành vi trốn thuế.</t>
  </si>
  <si>
    <t>Mức giảm trừ gia cảnh tăng và số bậc thuế ít hơn, thủ tục khai báo đơn giản hơn so với trước đây.</t>
  </si>
  <si>
    <t>Cách tính thuế và bậc thuế mới dễ hiểu hơn, nhưng vẫn cần thời gian để quen thuộc.</t>
  </si>
  <si>
    <t>Nhà nước đã tăng mức giảm trừ gia cảnh, tạo điều kiện cho người dân đỡ bị truy cứu về thuế.</t>
  </si>
  <si>
    <t>Mức thuế mới được thiết lập dựa trên thu nhập nên tôi thấy công bằng đối với từng nhóm người.</t>
  </si>
  <si>
    <t>Tăng mức giảm trừ gia cảnh giúp cải thiện dịch vụ công, nhưng vẫn cần xem xét hiệu quả sử dụng ngân sách.</t>
  </si>
  <si>
    <t>Thông tin giải thích về chính sách mới chưa đầy đủ và rõ ràng như mong đợi.</t>
  </si>
  <si>
    <t>Dù mức thuế giảm nhưng cần thời gian để quen với quy định mới, do đó tôi ủng hộ một phần.</t>
  </si>
  <si>
    <t>Các quy định quản lý thuế hiện nay có nhiều cải tiến, nhưng vẫn còn phức tạp. Việc tăng giảm trừ gia cảnh và thay đổi bậc thuế có thể làm giảm gian lận thuế, nhưng không loại bỏ hoàn toàn khả năng trốn thuế.</t>
  </si>
  <si>
    <t>Công nghệ hiện đại giúp phát hiện hành vi trốn thuế nhanh chóng hơn. Việc cải cách thuế cũng tăng cường khả năng giám sát và xử lý nghiêm minh các trường hợp vi phạm.</t>
  </si>
  <si>
    <t>Thủ tục khai báo thuế đơn giản hơn so với trước đây, nhưng vẫn cần thời gian để người dân quen thuộc. Sự cải tiến này giúp giảm bớt gánh nặng hành chính cho cá nhân.</t>
  </si>
  <si>
    <t>Biểu thuế mới đơn giản hóa quá trình tính thuế, dễ hiểu hơn so với trước đây. Điều này làm tăng khả năng tuân thủ và giảm rủi ro sai sót về thuế.</t>
  </si>
  <si>
    <t>Niềm tin vào sự công bằng của hệ thống thuế được cải thiện nhờ việc minh bạch hóa quy định. Tuy nhiên, vẫn còn một số lo ngại về cách thực thi chính sách trong thực tế.</t>
  </si>
  <si>
    <t>Mức thuế mới có thể coi là công bằng so với thu nhập của mình. Việc cải tiến thuế giúp phân loại hợp lý hơn, giảm gánh nặng cho người thu nhập thấp.</t>
  </si>
  <si>
    <t>Niềm tin rằng tiền thuế đóng góp sẽ được sử dụng hiệu quả để cải thiện dịch vụ công đang tăng lên. Tuy nhiên, vẫn cần thêm thông tin về cách sử dụng nguồn thu thuế mới.</t>
  </si>
  <si>
    <t>Nhà nước đã giải thích rõ ràng về mục tiêu và lý do của việc cải cách thuế. Thông qua các kênh truyền thông đa dạng, người dân có thể tiếp cận thông tin một cách dễ dàng hơn.</t>
  </si>
  <si>
    <t>Sau khi cân nhắc quyền lợi và nghĩa vụ mới, tôi thấy chính sách này phù hợp với thu nhập của mình. Việc cải tiến thủ tục thuế giúp tăng khả năng tuân thủ, đồng thời giảm gánh nặng hành chính.</t>
  </si>
  <si>
    <t>Biên tập viên tin rằng công nghệ hiện đại có thể phát hiện hành vi trốn thuế, nhưng do không biết chi tiết về hệ thống quản lý mới nên chỉ ở mức độ tin tưởng thấp.</t>
  </si>
  <si>
    <t>Như trên, biên tập viên tin rằng Nhà nước và cơ quan thuế có đủ khả năng phát hiện trốn thuế nhưng không biết chi tiết về công nghệ mới.</t>
  </si>
  <si>
    <t>Biên tập viên cảm thấy thủ tục khai báo thuế đơn giản hơn, đặc biệt là việc giảm từ 7 bậc xuống còn 5 bậc.</t>
  </si>
  <si>
    <t>Way to simplify tax calculation and brackets makes it easier for taxpayers to understand and comply with the new policy.</t>
  </si>
  <si>
    <t>Biên tập viên tin rằng Nhà nước và cơ quan thuế sẽ thực thi chính sách công bằng, nhưng do không có nhiều trải nghiệm nên chỉ ở mức độ trung bình.</t>
  </si>
  <si>
    <t>Mức thuế mới phù hợp với thu nhập của biên tập viên, cho thấy sự công bằng trong việc áp dụng mức thuế.</t>
  </si>
  <si>
    <t>Biên tập viên tin rằng số tiền thuế đóng sẽ được sử dụng hiệu quả để cải thiện dịch vụ công, nhưng do không có nhiều thông tin cụ thể nên ở mức độ trung bình.</t>
  </si>
  <si>
    <t>Các thông tin về lý do và mục tiêu sửa đổi thuế chưa rõ ràng như biên tập viên mong đợi, vì vậy chỉ ở mức độ trung bình.</t>
  </si>
  <si>
    <t>Biên tập viên có thể ủng hộ chính sách mới dựa trên sự đơn giản hóa thủ tục và tính công bằng của thuế suất mới, nhưng do còn nhiều lo ngại nên chưa cam kết hoàn toàn.</t>
  </si>
  <si>
    <t>Nguyên tắc của thuế TNCN mới không thay đổi nhiều, vẫn có các biện pháp kiểm soát. Việc tăng giảm trừ gia cảnh và bậc thuế cũng không làm tăng khả năng phát hiện trốn thuế.</t>
  </si>
  <si>
    <t>Công nghệ hiện đại giúp việc quản lý thuế hiệu quả hơn nhưng chưa chắc chắn cao về phát hiện toàn bộ hành vi trốn thuế. Cần thêm các biện pháp hỗ trợ kỹ thuật.</t>
  </si>
  <si>
    <t>Mức giảm trừ gia cảnh tăng, đặc biệt là cho người phụ thuộc, tạo cảm giác thuận tiện hơn trong khai báo. Số bậc thuế giảm giúp đơn giản hóa quy trình làm việc với cơ quan thuế.</t>
  </si>
  <si>
    <t>Biểu thuế mới đơn giản hóa các bậc thuế nhưng tổng mức thuế không thay đổi nhiều, do đó sự khác biệt trong cách tính thuế chưa phải là lớn.</t>
  </si>
  <si>
    <t>Nhà nước đã tăng giảm trừ gia cảnh và đơn giản hóa biểu thuế. Mặc dù có thể vẫn còn nghi ngờ về việc thực thi công bằng, nhưng các thay đổi này tạo cảm giác cải tiến.</t>
  </si>
  <si>
    <t>Mức thuế mới cho phép thu nhập trung bình không thay đổi nhiều so với trước đây. Tuy nhiên, cần thêm thông tin về việc sử dụng số tiền thuế để tăng niềm tin.</t>
  </si>
  <si>
    <t>Giảm trừ gia cảnh và đơn giản hóa biểu thuế tạo cảm giác số tiền đóng góp vào dịch vụ công là hợp lý. Tuy nhiên, vẫn cần thêm thông tin về việc sử dụng số tiền thuế để tăng niềm tin.</t>
  </si>
  <si>
    <t>Thông tin từ cơ quan thuế về sửa đổi thuế chưa rõ ràng và đầy đủ. Cải cách chưa thuyết phục được mọi người, đặc biệt là những người nghi ngờ.</t>
  </si>
  <si>
    <t>Mặc dù có nhiều cải tiến nhưng mức thuế không thay đổi nhiều so với trước đây. Cần thêm thông tin về lợi ích cụ thể để tăng sự ủng hộ và tuân thủ.</t>
  </si>
  <si>
    <t>Biện pháp quản lý thuế hiện nay chưa được cải tiến nhiều, nhưng với mức giảm trừ gia cảnh tăng lên, việc phát hiện trốn thuế sẽ khó khăn hơn. Tuy nhiên, khả năng xử lý nghiêm vẫn còn hiệu quả.</t>
  </si>
  <si>
    <t>Công nghệ hiện đại có thể giúp phát hiện gian lận, nhưng cần thời gian để triển khai và đào tạo nhân viên. Cơ quan thuế có khả năng xử lý nghiêm các hành vi trốn thuế.</t>
  </si>
  <si>
    <t>Số bậc thuế giảm từ 7 xuống còn 5, quy trình khai báo đơn giản hơn, nhưng vẫn cần thời gian để quen với hệ thống mới. Các thủ tục làm việc với cơ quan thuế cũng nhanh chóng hơn.</t>
  </si>
  <si>
    <t>Cách tính thuế đơn giản hóa từ 7 bậc xuống còn 5, mức thuế suất rõ ràng hơn, dễ hiểu và dễ thực hiện hơn so với trước đây.</t>
  </si>
  <si>
    <t>Nhà nước đã tăng giảm trừ gia cảnh, công bằng cho người dân. Cơ quan thuế có thể sẽ xử lý khách quan, công tâm hơn do quy định rõ ràng.</t>
  </si>
  <si>
    <t>Mức thuế mới được thiết kế để công bằng với thu nhập hiện tại của tôi, nhưng vẫn cần thời gian để thấy hiệu quả thực tế của chính sách.</t>
  </si>
  <si>
    <t>Tăng giảm trừ gia cảnh có thể giúp cải thiện dịch vụ công, nhưng cần thời gian để xem xét kết quả thực tế. Nhà nước đã tăng cường minh bạch thông tin về mục tiêu của chính sách.</t>
  </si>
  <si>
    <t>Nhà nước đã giải thích rõ ràng về mục tiêu và nguyên nhân của cải cách, nhưng cần thời gian để xem xét hiệu quả thực tế của thông điệp truyền đạt.</t>
  </si>
  <si>
    <t>Tăng giảm trừ gia cảnh giúp tôi tiết kiệm tiền thuế, thủ tục khai báo đơn giản hơn. Tôi có thể sẽ ủng hộ và tuân thủ chính sách mới này.</t>
  </si>
  <si>
    <t>Các quy định quản lý thuế hiện tại có nhiều cải tiến như tăng mức giảm trừ gia cảnh và đơn giản hóa biểu thuế, nhưng vẫn chưa đủ để phát hiện trốn thuế một cách hiệu quả.</t>
  </si>
  <si>
    <t>Việc sử dụng công nghệ trong quản lý thuế đã cải thiện đáng kể, giúp phát hiện các hành vi gian lận, đặc biệt là với mức giảm trừ gia cảnh tăng cao hơn trước.</t>
  </si>
  <si>
    <t>Sau khi đơn giản hóa biểu thuế, việc khai báo và làm việc với cơ quan thuế trở nên dễ dàng hơn, nhưng vẫn có thể gặp khó khăn đối với những người không quen thuộc với quy trình.</t>
  </si>
  <si>
    <t>Cách tính thuế mới đơn giản hóa các bậc thuế, giúp người dân hiểu rõ hơn về mức thuế phải nộp, giảm bớt sự phức tạp trước đây.</t>
  </si>
  <si>
    <t>Nhà nước đã cải thiện quy định để đối xử công bằng với mọi người nộp thuế thông qua việc tăng giảm trừ gia cảnh và đơn giản hóa biểu thuế.</t>
  </si>
  <si>
    <t>Mức thuế mới được thiết kế sao cho hợp lý dựa trên thu nhập cá nhân, nhưng vẫn còn nhiều người nghi ngờ về tính công bằng của chính sách.</t>
  </si>
  <si>
    <t>Người dân tin rằng số tiền thuế đóng sẽ được sử dụng hiệu quả để cải thiện dịch vụ công, đặc biệt là y tế và giao thông.</t>
  </si>
  <si>
    <t>Nhà nước đã giải thích rõ ràng về lý do và mục tiêu của việc sửa đổi thuế, nhưng vẫn còn một số người nghi ngờ mức độ minh bạch trong quá trình thực thi.</t>
  </si>
  <si>
    <t>Sau khi cân nhắc các ưu điểm như tăng giảm trừ gia cảnh và đơn giản hóa biểu thuế, tôi quyết định ủng hộ chính sách mới.</t>
  </si>
  <si>
    <t>Tăng mức giảm trừ gia cảnh và đơn giản hóa biểu thuế có thể làm giảm khả năng trốn thuế, tuy nhiên, việc thực thi vẫn phụ thuộc vào sự tận lực của cơ quan thuế.</t>
  </si>
  <si>
    <t>Công nghệ hiện đại giúp phát hiện gian lận và trốn thuế nhanh chóng hơn, nhưng mức độ hiệu quả còn phụ thuộc vào nguồn lực và quyết tâm của nhà nước.</t>
  </si>
  <si>
    <t>Mức giảm trừ gia cảnh cao hơn và số bậc thuế ít hơn có thể làm đơn giản hóa quy trình khai báo, nhưng không phải toàn bộ người dân đều cảm thấy tiện lợi hơn.</t>
  </si>
  <si>
    <t>Cách tính thuế mới rõ ràng hơn so với trước đây, việc giảm số bậc thuế cũng giúp dễ hiểu hơn về cơ chế chịu thuế.</t>
  </si>
  <si>
    <t>Nhà nước đã cải thiện mức giảm trừ gia cảnh và đơn giản hóa biểu thuế, tăng niềm tin vào tính công bằng của hệ thống thuế mới.</t>
  </si>
  <si>
    <t>Mức thuế mới được thiết kế dựa trên thu nhập cá nhân, tuy nhiên, việc cảm nhận về mức độ công bằng còn phụ thuộc vào từng người.</t>
  </si>
  <si>
    <t>Tăng mức giảm trừ gia cảnh và đơn giản hóa biểu thuế có thể làm tăng niềm tin rằng số tiền thuế đóng sẽ được sử dụng hiệu quả hơn để cải thiện dịch vụ công.</t>
  </si>
  <si>
    <t>Nhà nước đã giải thích về mục tiêu của chính sách mới, nhưng thông tin về việc giảm thuế có thể chưa thuyết phục tất cả mọi người.</t>
  </si>
  <si>
    <t>Niềm tin và cảm giác công bằng tăng lên do cải cách thuế, tuy nhiên, quyết định tuân thủ vẫn phụ thuộc vào mỗi cá nhân và tình hình tài chính cụ thể của họ.</t>
  </si>
  <si>
    <t>Tăng mức giảm trừ gia cảnh và đơn giản hóa biểu thuế có thể làm tăng rủi ro cho hành vi trốn thuế, do đó việc phát hiện sẽ dễ dàng hơn. Tuy nhiên, công nghệ tiên tiến trong quản lý thuế vẫn cần được đầu tư để nâng cao hiệu quả.</t>
  </si>
  <si>
    <t>Công nghệ quản lý thuế đã có những bước tiến đáng kể, nhưng việc phát hiện trốn thuế đòi hỏi nhiều nguồn lực và sự quyết tâm từ cơ quan thuế. Sự cải cách này tăng khả năng phát hiện, nhưng không thể loại bỏ hoàn toàn rủi ro.</t>
  </si>
  <si>
    <t>Mức giảm trừ gia cảnh cao hơn và số bậc thuế ít hơn có thể đơn giản hóa quy trình khai báo. Tuy nhiên, việc thực hiện các thủ tục vẫn cần thời gian để điều chỉnh.</t>
  </si>
  <si>
    <t>Biểu thuế đơn giản hơn và ngưỡng chịu thuế thấp hơn có thể làm giảm rủi ro cho người nộp thuế. Tuy nhiên, việc hiểu rõ quy trình mới vẫn cần thời gian để làm quen.</t>
  </si>
  <si>
    <t>Cải cách thuế tăng mức giảm trừ gia cảnh và đơn giản hóa biểu thuế có thể tạo niềm tin về sự công bằng trong việc đánh giá thu nhập. Tuy nhiên, rủi ro trốn thuế vẫn còn tồn tại.</t>
  </si>
  <si>
    <t>Các bậc thuế mới thấp hơn và ngưỡng chịu thuế cao hơn có thể tạo cảm giác công bằng về mức đóng thuế. Tuy nhiên, việc đánh giá thu nhập chính xác vẫn cần cải thiện.</t>
  </si>
  <si>
    <t>Mức giảm trừ gia cảnh tăng lên và số bậc thuế đơn giản hóa có thể làm giảm gánh nặng tài chính cho người dân, tạo niềm tin về sự công bằng trong việc sử dụng thu nhập. Tuy nhiên, hiệu quả thực tế vẫn cần thời gian để chứng minh.</t>
  </si>
  <si>
    <t>Cải cách thuế tăng mức giảm trừ gia cảnh và đơn giản hóa biểu thuế có thể tạo niềm tin về sự công bằng trong việc đánh giá thu nhập. Tuy nhiên, việc giải thích rõ ràng về mục tiêu vẫn cần cải thiện.</t>
  </si>
  <si>
    <t>Cải cách thuế tăng mức giảm trừ gia cảnh và đơn giản hóa biểu thuế có thể tạo niềm tin và sự ủng hộ từ người dân. Tuy nhiên, quyết định tuân thủ phụ thuộc vào nhiều yếu tố như rủi ro trốn thuế và hiệu quả thực tế.</t>
  </si>
  <si>
    <t>Chính phủ đã tăng cường quản lý thuế, nhưng các quy định vẫn còn phức tạp. Việc gian lận có thể khó phát hiện.</t>
  </si>
  <si>
    <t>Nhà nước và cơ quan thuế có công nghệ tiên tiến để phát hiện trốn thuế, tuy nhiên hiệu quả thực tế phụ thuộc vào khả năng quản lý.</t>
  </si>
  <si>
    <t>Các quy định mới đơn giản hơn so với trước đây, thủ tục khai báo thuận lợi hơn. Tuy nhiên, vẫn còn một số khó khăn trong quá trình làm việc với cơ quan thuế.</t>
  </si>
  <si>
    <t>Way of calculating and tax brackets in the new scheme are easier to understand compared to previous ones, making it simpler for individuals to comply with tax rules.</t>
  </si>
  <si>
    <t>Nhà nước và cơ quan thuế công bố thông tin rõ ràng hơn về việc thực thi chính sách mới. Sự khách quan và công bằng trong quản lý thuế đã cải thiện đáng kể.</t>
  </si>
  <si>
    <t>Mức thuế mới được thiết kế dựa trên thu nhập cá nhân, cho thấy sự tính toán hợp lý. Tuy nhiên, người ta vẫn nghi ngờ về việc áp dụng thực tế.</t>
  </si>
  <si>
    <t>Đóng góp thuế của mình sẽ hỗ trợ cải thiện các dịch vụ công như y tế và giao thông, nhưng sự minh bạch trong sử dụng nguồn thu còn hạn chế.</t>
  </si>
  <si>
    <t>Nhà nước đã giải thích rõ về mục tiêu và lý do của việc sửa đổi thuế. Tuy nhiên, vẫn có không ít người nghi ngờ về mức độ minh bạch trong quá trình thực hiện</t>
  </si>
  <si>
    <t>Dù các quyền lợi mới mang lại nhiều ưu đãi nhưng tôi vẫn giữ thái độ thận trọng và cân nhắc kỹ trước khi tuân thủ. Việc tuân thủ phụ thuộc vào sự minh bạch và thực thi chính sách.</t>
  </si>
  <si>
    <t>Theo quy định quản lý thuế mới, mức giảm trừ gia cảnh tăng lên, giúp kiểm soát thu nhập chính xác hơn. Tuy nhiên, việc phát hiện và xử lý trốn thuế vẫn phụ thuộc vào hiệu quả của hệ thống quản lý.</t>
  </si>
  <si>
    <t>Công nghệ tiên tiến như AI có thể hỗ trợ phát hiện gian lận nhưng khả năng thực thi cần được cải thiện.</t>
  </si>
  <si>
    <t>Biểu thuế đơn giản hơn, giảm các bậc và mức giảm trừ gia cảnh cao hơn khiến khai báo dễ dàng hơn. Tuy nhiên, quy trình làm việc với cơ quan thuế vẫn còn phức tạp.</t>
  </si>
  <si>
    <t>Cách tính thuế đơn giản hơn so với trước đây và số bậc thuế giảm đi, tạo cảm giác thuận tiện.</t>
  </si>
  <si>
    <t>Nhà nước đã nâng mức giảm trừ gia cảnh, cải thiện công bằng trong việc phân bổ thuế. Việc thực thi vẫn cần sự minh bạch hơn để tăng niềm tin.</t>
  </si>
  <si>
    <t>Mức thuế mới được thiết kế dựa trên thu nhập, tạo cảm giác công bằng cho người dân. Tuy nhiên, mức thuế cụ thể đối với từng thu nhập cần minh bạch hơn để tăng lòng tin.</t>
  </si>
  <si>
    <t>Thuế đóng góp vào dịch vụ công, nhưng việc sử dụng hiệu quả số tiền đóng vẫn chưa hoàn toàn rõ ràng. Tuy nhiên, mức giảm trừ gia cảnh cao hơn tạo cảm giác tin tưởng.</t>
  </si>
  <si>
    <t>Đã có cải tiến trong việc giải thích quy định mới nhưng cần thêm minh bạch về mục tiêu để tăng lòng tin.</t>
  </si>
  <si>
    <t>Thu nhập giảm do thuế thấp hơn và mức giảm trừ gia cảnh cao hơn tạo cảm giác công bằng. Tuy nhiên, quyết định tuân thủ phụ thuộc vào nhiều yếu tố khác nhau như niềm tin và trải nghiệm.</t>
  </si>
  <si>
    <t>Các quy định quản lý thuế hiện nay có nhiều cải tiến và công nghệ phát triển hỗ trợ, nhưng vẫn còn khả năng trốn thuế do các lỗ hổng nhỏ trong quy định.</t>
  </si>
  <si>
    <t>Nhà nước đã đầu tư mạnh vào công nghệ để phát hiện trốn thuế, tăng cường kiểm soát và xử lý nghiêm minh hơn so với trước đây.</t>
  </si>
  <si>
    <t>Thủ tục khai báo thuế trở nên đơn giản hơn, giảm bớt các bước rườm rà trước đây. Tuy nhiên, vẫn còn một số khó khăn trong việc làm việc với cơ quan thuế.</t>
  </si>
  <si>
    <t>Cách tính thuế và bậc thuế mới đơn giản hơn so với quy định cũ, dễ hiểu và thực hiện thuận tiện hơn.</t>
  </si>
  <si>
    <t>Niềm tin vào sự khách quan, công tâm của cơ quan thuế được cải thiện do mức giảm trừ gia cảnh tăng mạnh. Tuy nhiên, vẫn còn một số lo ngại về việc thực thi đúng quy định.</t>
  </si>
  <si>
    <t>Mức thuế mới có vẻ công bằng so với thu nhập của tôi, nhưng cần xem xét thêm về hiệu quả sử dụng nguồn thu từ thuế để đánh giá hoàn toàn.</t>
  </si>
  <si>
    <t>Số tiền thuế đóng sẽ được sử dụng hiệu quả cho dịch vụ công, nhưng vẫn còn một số lo ngại về việc thực hiện đúng mục tiêu đề ra.</t>
  </si>
  <si>
    <t>Nhà nước đã giải thích các thay đổi một cách rõ ràng, nhưng cần thêm thông tin chi tiết để tôi hoàn toàn thuyết phục.</t>
  </si>
  <si>
    <t>Chính sách mới có nhiều ưu điểm về thuận tiện và công bằng. Tôi sẽ ủng hộ và tuân thủ với điều kiện nó được thực hiện đúng mục tiêu đề ra.</t>
  </si>
  <si>
    <t>Dựa trên các cải cách trong Luật Thuế TNCN, mức giảm trừ gia cảnh tăng lên và biểu thuế đơn giản hơn. Điều này có thể làm giảm gian lận và trốn thuế.</t>
  </si>
  <si>
    <t>Công nghệ hiện đại giúp phát hiện hành vi trốn thuế dễ dàng hơn, kết hợp với việc quản lý thuế mạnh mẽ hơn.</t>
  </si>
  <si>
    <t>Biểu thuế đơn giản hơn và mức giảm trừ gia cảnh tăng lên có thể làm cho quy trình khai báo thuế trở nên thuận tiện hơn.</t>
  </si>
  <si>
    <t>Cách tính thuế mới đơn giản, dễ hiểu với ít bậc thuế, giúp người dân dễ dàng nắm bắt và thực hiện.</t>
  </si>
  <si>
    <t>Những cải cách này tăng cường niềm tin vào hệ thống quản lý thuế công bằng và minh bạch hơn trước đây.</t>
  </si>
  <si>
    <t>Thuế mới được thiết kế để là công bằng, với mức giảm trừ gia cảnh tăng lên phù hợp cho thu nhập trung bình.</t>
  </si>
  <si>
    <t>Niềm tin rằng thuế đóng góp sẽ được sử dụng hiệu quả vào các dịch vụ công ích như y tế và giao thông đã tăng nhờ cải cách quản lý thuế.</t>
  </si>
  <si>
    <t>Công khai về mức giảm trừ gia cảnh và biểu thuế mới giúp giải thích rõ ràng mục tiêu của chính sách thuế hiện tại.</t>
  </si>
  <si>
    <t>Những cải cách này mang lại lợi ích tài chính cho tôi, đồng thời đơn giản hóa quy trình khai báo thuế. Điều này tăng khả năng tuân thủ.</t>
  </si>
  <si>
    <t>Nguyên tắc quản lý thuế mới có nhiều biện pháp phát hiện gian lận, nhưng vẫn chưa đủ công nghệ tiên tiến.</t>
  </si>
  <si>
    <t>Công nghệ hiện đại giúp cải thiện đáng kể khả năng phát hiện và xử lý trốn thuế, nhưng không thể loại bỏ hoàn toàn tình trạng này.</t>
  </si>
  <si>
    <t>Mức giảm trừ gia cảnh tăng lên, thủ tục khai báo thuế trở nên đơn giản hơn, việc làm việc với cơ quan thuế thuận lợi hơn so với trước đây.</t>
  </si>
  <si>
    <t>Biểu thuế được đơn giản hóa, bậc thuế giảm từ 7 xuống còn 5, cách tính thuế trở nên dễ hiểu và thực hiện nhanh chóng hơn.</t>
  </si>
  <si>
    <t>Nhà nước đã cải thiện đáng kể quy định về quản lý thuế, nhưng việc thực thi công bằng vẫn cần thời gian để chứng minh.</t>
  </si>
  <si>
    <t>Mức thuế mới có thể phù hợp với thu nhập hiện tại của tôi, tạo cảm giác công bằng hơn so với trước đây.</t>
  </si>
  <si>
    <t>Tôi tin rằng số tiền thuế đóng sẽ được sử dụng hiệu quả cho các dịch vụ công, nhưng cần thời gian để chứng minh thực tế này.</t>
  </si>
  <si>
    <t>Nhà nước đã giải thích rõ ràng về lý do và mục tiêu của việc sửa đổi thuế mới, tạo cảm giác tin cậy hơn đối với tôi.</t>
  </si>
  <si>
    <t>Tác động tài chính tích cực từ cải cách thuế làm tăng sự ủng hộ cho chính sách này. Đóng góp thuế cũng trở nên dễ dàng và tiện lợi hơn.</t>
  </si>
  <si>
    <t>Cải cách thuế TNCN mới có nhiều quy định quản lý, tăng mức giảm trừ gia cảnh và đơn giản hóa biểu thuế, giúp giảm nguy cơ trốn thuế. Công nghệ hiện đại cũng hỗ trợ phát hiện gian lận hiệu quả.</t>
  </si>
  <si>
    <t>Việc áp dụng công nghệ tiên tiến trong quản lý thuế sẽ nâng cao khả năng phát hiện và xử lý nghiêm các hành vi trốn thuế, đảm bảo công bằng cho người dân nộp thuế.</t>
  </si>
  <si>
    <t>Ngưỡng chịu thuế mới được đơn giản hóa, giảm số bậc thuế từ 7 xuống còn 5, giúp quy trình khai báo và làm việc với cơ quan thuế trở nên dễ dàng hơn. Mức giảm trừ gia cảnh tăng cũng tạo thuận lợi cho người dân.</t>
  </si>
  <si>
    <t>Biểu thuế mới đơn giản hóa các bậc thuế, giúp tính toán thu nhập và chịu thuế dễ hiểu hơn. Số bậc thuế ít đi có thể làm việc với cơ quan thuế nhanh chóng hơn</t>
  </si>
  <si>
    <t>Việc tăng mức giảm trừ gia cảnh và đơn giản hóa biểu thuế giúp người dân cảm thấy công bằng khi đóng thuế. Tuy nhiên, vẫn còn nghi ngờ về cách thực thi của cơ quan thuế.</t>
  </si>
  <si>
    <t>Mức thuế mới được thiết kế dựa trên thu nhập cụ thể nên có vẻ công bằng, nhưng chưa chắc chắn vì chưa trải nghiệm thực tế</t>
  </si>
  <si>
    <t>Cải cách thuế mới tăng mức giảm trừ gia cảnh và đơn giản hóa biểu thuế. Tuy nhiên, vẫn còn lo ngại về việc sử dụng số tiền thuế thu được để cải thiện dịch vụ công.</t>
  </si>
  <si>
    <t>Việc giải thích công khai về mục tiêu của cải cách thuế giúp tạo niềm tin nhưng chưa chắc chắn vì thông điệp truyền thông cần rõ ràng hơn</t>
  </si>
  <si>
    <t>Cải cách thuế mới có lợi cho người dân với mức giảm trừ gia cảnh tăng và đơn giản hóa biểu thuế, tuy nhiên vẫn còn lo ngại về thực thi chính sách. Do đó, quyết định tuân thủ là không chắc chắn</t>
  </si>
  <si>
    <t>Cải cách thuế thu nhập cá nhân có quy định quản lý thuế rõ ràng hơn, tăng giảm trừ gia cảnh. Tuy nhiên, việc phát hiện trốn thuế còn phụ thuộc nhiều vào công nghệ và nguồn lực của cơ quan thuế.</t>
  </si>
  <si>
    <t>Công nghệ phát triển giúp cải thiện khả năng phát hiện trốn thuế, nhưng vẫn cần nguồn lực và quyết tâm từ phía nhà chức trách.</t>
  </si>
  <si>
    <t>Biểu thuế được đơn giản hóa, giảm số bậc. Tuy nhiên, quy trình khai báo thuế chưa có nhiều cải tiến, vẫn còn phức tạp đối với một số người.</t>
  </si>
  <si>
    <t>Cách tính thuế mới đơn giản hơn so với trước đây, giúp người dân dễ hiểu và thực hiện. Tuy nhiên, việc áp dụng cụ thể trong thực tế có thể còn nhiều khó khăn.</t>
  </si>
  <si>
    <t>Nhà nước đã cải thiện giảm trừ gia cảnh, tạo lợi ích cho người nộp thuế. Tuy nhiên, vẫn còn sự đa dạng về thu nhập và hoàn cảnh, nên việc đánh giá công bằng còn phụ thuộc vào từng trường hợp.</t>
  </si>
  <si>
    <t>Mức thuế mới được thiết kế dựa trên thu nhập, tạo cảm giác công bằng hơn. Tuy nhiên, mức thuế cụ thể đối với mỗi người còn phụ thuộc vào nhiều yếu tố.</t>
  </si>
  <si>
    <t>Thuế được sử dụng để cải thiện dịch vụ công, tạo niềm tin cho người nộp thuế. Tuy nhiên, hiệu quả sử dụng ngân sách vẫn cần thời gian để đánh giá.</t>
  </si>
  <si>
    <t>Giải thích về chính sách mới còn phụ thuộc vào cách truyền thông và tiếp cận thông tin của từng người. Phần lớn người dân chưa hoàn toàn thuyết phục.</t>
  </si>
  <si>
    <t>Sau khi xem xét các quyền lợi và nghĩa vụ, tôi ủng hộ chính sách mới do lợi ích về giảm trừ gia cảnh. Tuy nhiên, quyết định tuân thủ còn phụ thuộc vào nhiều yếu tố khác.</t>
  </si>
  <si>
    <t>Mức giảm trừ gia cảnh tăng, đơn giản hóa biểu thuế có thể làm giảm nguy cơ trốn thuế. Công nghệ hiện đại hỗ trợ việc phát hiện hành vi gian lận.</t>
  </si>
  <si>
    <t>Công nghệ hiện đại và quy định quản lý chặt chẽ hơn tạo điều kiện cho việc phát hiện và xử lý nghiêm các hành vi trốn thuế.</t>
  </si>
  <si>
    <t>Mức giảm trừ gia cảnh tăng và đơn giản hóa biểu thuế làm thủ tục khai báo thuế dễ dàng, nhanh chóng hơn.</t>
  </si>
  <si>
    <t>Biểu thuế đơn giản với ít bậc hơn giúp việc tính toán thuế trở nên dễ hiểu và thực hiện thuận tiện hơn cho người nộp thuế.</t>
  </si>
  <si>
    <t>Tăng mức giảm trừ gia cảnh, đơn giản hóa biểu thuế có thể làm tăng niềm tin vào sự công bằng của chính sách mới.</t>
  </si>
  <si>
    <t>Nếu mức thuế mới được thiết kế hợp lý dựa trên thu nhập, điều đó có thể tạo ra cảm giác công bằng cho người nộp thuế.</t>
  </si>
  <si>
    <t>Niềm tin vào việc sử dụng hiệu quả số tiền thuế đóng còn phụ thuộc vào các chính sách và thực thi cụ thể của Nhà nước.</t>
  </si>
  <si>
    <t>Thông điệp về lý do và mục tiêu sửa đổi thuế chưa thuyết phục hoàn toàn, nhất là khi thông tin từ các nguồn khác nhau có thể gây nhầm lẫn.</t>
  </si>
  <si>
    <t>Dù các thay đổi mang tính tích cực, nhưng tôi cần thời gian để đánh giá và xem xét kỹ hơn trước khi quyết định ủng hộ hay không.</t>
  </si>
  <si>
    <t>Quy định quản lý thuế hiện nay đã được cải thiện đáng kể, đặc biệt là mức giảm trừ gia cảnh cao hơn. Điều này làm tăng khả năng phát hiện hành vi gian lận và trốn thuế.</t>
  </si>
  <si>
    <t>Công nghệ hiện đại như AI, Big Data đã được áp dụng trong quản lý thuế, giúp phát hiện trốn thuế một cách hiệu quả hơn. Tuy nhiên, vẫn cần cải thiện thêm.</t>
  </si>
  <si>
    <t>Thủ tục khai báo thuế đơn giản hơn với số bậc thuế giảm từ 7 xuống còn 5. Điều này giúp việc làm việc với cơ quan thuế trở nên tiện lợi và nhanh chóng hơn.</t>
  </si>
  <si>
    <t>Phương án mới có các bậc thuế đơn giản hơn, dễ hiểu và dễ thực hiện hơn so với trước đây. Điều này giúp người dân nắm bắt nhanh chóng hơn.</t>
  </si>
  <si>
    <t>Nhà nước đã tăng giảm trừ gia cảnh và giảm số bậc thuế, tạo cảm giác công bằng khi đối xử với mọi người nộp thuế.</t>
  </si>
  <si>
    <t>Mức thuế mới được thiết kế dựa trên thu nhập cá nhân, thể hiện tính công bằng. Tuy nhiên, vẫn cần thêm thông tin về việc sử dụng số tiền thuế để tăng niềm tin.</t>
  </si>
  <si>
    <t>Nhà nước đã giải thích rõ ràng về mức giảm trừ gia cảnh và số bậc thuế mới, tạo cảm giác tin tưởng vào mục tiêu cải cách.</t>
  </si>
  <si>
    <t>Những thông tin công khai về mục tiêu cải cách và mức giảm trừ gia cảnh đã giúp tăng niềm tin vào sự minh bạch của Nhà nước.</t>
  </si>
  <si>
    <t>Sau khi xem xét các quyền lợi từ chính sách mới, tôi thấy việc ủng hộ và tuân thủ là hợp lý. Tuy nhiên, vẫn cần thêm thông tin về hiệu quả sử dụng số tiền thuế để tăng quyết định ủng hộ.</t>
  </si>
  <si>
    <t>Các quy định quản lý thuế hiện nay đã được cải cách, tăng mức giảm trừ gia cảnh và đơn giản hóa biểu thuế. Điều này giúp phát hiện hành vi gian lận hoặc trốn thuế dễ dàng hơn.</t>
  </si>
  <si>
    <t>Công nghệ phát triển cho phép Nhà nước, cơ quan thuế có khả năng giám sát và xử lý các trường hợp trốn thuế hiệu quả hơn. Tuy nhiên, vẫn còn một số rủi ro về sự tin cậy của công nghệ.</t>
  </si>
  <si>
    <t>Mức giảm trừ gia cảnh tăng lên giúp người dân dễ dàng tuân thủ và khai báo thuế thuận lợi hơn. Số bậc thuế đơn giản hóa cũng góp phần làm các quy trình trở nên nhanh chóng.</t>
  </si>
  <si>
    <t>Way, cách tính thuế và các bậc thuế mới đơn giản hơn so với trước đây. Điều này giúp người dân hiểu rõ về mức thuế mình phải đóng.</t>
  </si>
  <si>
    <t>Nhà nước đã tăng mức giảm trừ gia cảnh và đơn giản hóa biểu thuế, điều này thể hiện sự công bằng trong việc phân phối gánh nặng thuế. Cơ quan thuế cũng có nhiều biện pháp để thực thi chính sách một cách khách quan.</t>
  </si>
  <si>
    <t>Mức thuế mới được thiết kế để phù hợp với thu nhập cá nhân, do đó tôi thấy mức thuế là công bằng. Tuy nhiên, cần xem xét thêm về hiệu quả thực tế của việc sử dụng số tiền thuế này.</t>
  </si>
  <si>
    <t>Mức giảm trừ gia cảnh tăng và đơn giản hóa biểu thuế giúp tôi tin rằng số tiền thuế tôi đóng sẽ được sử dụng hiệu quả để cải thiện các dịch vụ công. Tuy nhiên, cần thêm thời gian để chứng minh hiệu quả thực tế.</t>
  </si>
  <si>
    <t>Nhà nước đã có nhiều thông tin giải thích về việc sửa đổi thuế mới. Tuy nhiên, vẫn còn một số vấn đề về sự minh bạch và thuyết phục của các thông điệp truyền thông.</t>
  </si>
  <si>
    <t>Tôi ủng hộ chính sách mới vì mức giảm trừ gia cảnh tăng lên và cách tính thuế đơn giản hơn. Tuy nhiên, tôi vẫn cần thêm thời gian để xem xét kỹ về hiệu quả thực tế của việc sử dụng số tiền thuế này.</t>
  </si>
  <si>
    <t>Các quy định quản lý thuế hiện nay đã được cải thiện, giúp tăng cường khả năng phát hiện hành vi trốn thuế. Tuy nhiên, vẫn còn nhiều thách thức về kỹ thuật và thực thi.</t>
  </si>
  <si>
    <t>Công nghệ hiện đại đã hỗ trợ rất tốt cho việc quản lý thuế, tăng cường khả năng phát hiện hành vi trốn thuế. Đây là yếu tố quan trọng để nâng cao niềm tin của người dân.</t>
  </si>
  <si>
    <t>Các thủ tục khai báo thuế và quy trình làm việc với cơ quan thuế trở nên đơn giản hơn, tiết kiệm thời gian cho người nộp thuế. Điều này góp phần tăng độ thuận tiện.</t>
  </si>
  <si>
    <t>Biểu thuế mới có ít bậc hơn, tạo sự minh bạch và dễ hiểu hơn so với trước đây. Đây là cải tiến đáng kể về mặt đơn giản hóa quy trình tính thuế.</t>
  </si>
  <si>
    <t>Nhà nước đã tăng mức giảm trừ gia cảnh, làm giảm gánh nặng thuế cho người dân. Điều này thể hiện sự công bằng và minh bạch trong việc áp dụng chính sách.</t>
  </si>
  <si>
    <t>Mức thuế mới được thiết kế để phù hợp với thu nhập trung bình, tạo cảm giác công bằng cho người nộp thuế. Điều này tăng niềm tin vào tính công bằng của hệ thống thuế.</t>
  </si>
  <si>
    <t>Nguyên tắc sử dụng số tiền thuế đóng vào cải thiện dịch vụ công đã được nêu rõ, tuy nhiên hiệu quả thực tế chưa thể đánh giá ngay lập tức. Tuy vậy, niềm tin vẫn tăng lên.</t>
  </si>
  <si>
    <t>Nhà nước đã cung cấp thông tin minh bạch về mục tiêu và lý do của cải cách thuế, tuy nhiên người dân cần thời gian để tiếp thu đầy đủ. Đây là yếu tố quan trọng nhưng chưa hoàn thiện.</t>
  </si>
  <si>
    <t>Sau khi xem xét các quyền lợi và nghĩa vụ, tôi ủng hộ chính sách mới do sự đơn giản hóa quy trình và tính công bằng trong mức thuế. Tuy nhiên, vẫn cần thời gian để thực hiện đầy đủ.</t>
  </si>
  <si>
    <t>Chính phủ đã tăng giảm trừ gia cảnh và đơn giản hóa biểu thuế, nhưng vẫn chưa rõ liệu công nghệ hiện đại có đủ để phát hiện trốn thuế hay không. Các quy định quản lý thuế hiện nay nhìn chung khá chặt chẽ.</t>
  </si>
  <si>
    <t>Công nghệ hiện đại ngày càng phát triển, việc kiểm soát và phát hiện trốn thuế có thể hiệu quả hơn so với trước đây. Tuy nhiên, mức độ thực thi vẫn phụ thuộc vào nguồn lực và quyết tâm của cơ quan thuế.</t>
  </si>
  <si>
    <t>Mức giảm trừ gia cảnh tăng lên giúp người dân tiết kiệm một phần tiền thuế, đồng thời quy trình khai báo thuế đơn giản hơn. Các bước làm việc với cơ quan thuế cũng trở nên thuận tiện hơn.</t>
  </si>
  <si>
    <t>Biểu thuế được đơn giản hóa từ 7 bậc xuống còn 5 bậc, giảm bớt sự phức tạp và giúp người dân dễ dàng tính toán. Cách tính thuế mới cũng trở nên rõ ràng hơn.</t>
  </si>
  <si>
    <t>Các quy định về mức giảm trừ gia cảnh và biểu thuế mới đã tạo ra một hệ thống công bằng hơn, nhưng vẫn cần sự thực thi đúng luật để đảm bảo khách quan và công tâm.</t>
  </si>
  <si>
    <t>Mức thuế mới dựa trên thu nhập cá nhân có thể được xem là hợp lý, tạo ra một hệ thống thuế công bằng. Tuy nhiên, việc thực thi chính sách cần thêm thời gian để đánh giá.</t>
  </si>
  <si>
    <t>Thuế đóng góp vào sự phát triển chung của xã hội và được sử dụng hiệu quả trong các dịch vụ công. Tuy nhiên, quá trình này vẫn cần thêm minh bạch hơn để tạo niềm tin.</t>
  </si>
  <si>
    <t>Các thông báo về chính sách mới đã được đưa ra một cách rõ ràng và minh bạch, giúp người dân hiểu rõ lý do và mục tiêu của việc sửa đổi. Tuy nhiên, vẫn cần thêm thời gian để đánh giá.</t>
  </si>
  <si>
    <t>Sau khi cân nhắc các quyền lợi và nghĩa vụ, tôi thấy chính sách mới mang lại nhiều thuận lợi và công bằng hơn so với trước đây. Tuy nhiên, quyết định ủng hộ hoàn toàn còn phụ thuộc vào việc thực thi chính sách.</t>
  </si>
  <si>
    <t>Nhà nước và cơ quan thuế đã đầu tư công nghệ phát hiện trốn thuế, nhưng mức giảm trừ gia cảnh cao hơn có thể làm giảm hiệu quả giám sát đối với người nộp thuế cá nhân.</t>
  </si>
  <si>
    <t>Công nghệ hiện đại giúp tăng cường khả năng phát hiện hành vi gian lận, nhưng việc quản lý thuế vẫn cần sự phối hợp chặt chẽ giữa các cơ quan để đạt hiệu quả tối đa.</t>
  </si>
  <si>
    <t>Mức giảm trừ gia cảnh cao hơn và đơn giản hóa biểu thuế có thể làm thủ tục khai báo thuế dễ dàng hơn, nhưng cần thời gian để người dân quen với quy trình mới.</t>
  </si>
  <si>
    <t>Biểu thuế đơn giản đi giúp việc tính toán thu nhập chịu thuế dễ dàng hơn, tuy nhiên, có thể vẫn còn phức tạp đối với những cá nhân chưa quen thuộc.</t>
  </si>
  <si>
    <t>Mức giảm trừ gia cảnh cao và mức thuế suất được điều chỉnh theo từng bậc thu nhập có thể làm tăng niềm tin vào sự công bằng trong việc áp dụng chính sách thuế.</t>
  </si>
  <si>
    <t>Nhìn chung, mức thuế mới vẫn hợp lý đối với thu nhập cá nhân hiện tại, nhưng cần thời gian để người dân có thể đánh giá hiệu quả thực tế của chính sách</t>
  </si>
  <si>
    <t>Niềm tin vào việc sử dụng số tiền thuế do mình đóng vào dịch vụ công phụ thuộc nhiều vào trải nghiệm thực tế, hiện tại cần thời gian để thấy được sự cải thiện.</t>
  </si>
  <si>
    <t>Nhà nước đã giải thích rõ ràng về các thay đổi chính sách thuế, nhưng hiệu quả của việc truyền thông vẫn còn hạn chế với một số đối tượng</t>
  </si>
  <si>
    <t>Sau khi xem xét lợi ích từ mức giảm trừ gia cảnh và sự đơn giản hóa biểu thuế, tôi có xu hướng ủng hộ chính sách mới, nhưng cần thời gian để đánh giá hiệu quả thực tế.</t>
  </si>
  <si>
    <t>Những cải cách thuế này không hướng đến việc tăng cường phát hiện trốn thuế, do đó khả năng phát hiện và xử lý gian lận vẫn hạn chế.</t>
  </si>
  <si>
    <t>Công nghệ hiện đại có thể hỗ trợ hơn trong việc phát hiện trốn thuế nhưng chưa rõ liệu cơ quan thuế đã đầu tư vào công nghệ này hay chưa.</t>
  </si>
  <si>
    <t>Mức giảm trừ gia cảnh tăng, giúp đơn giản hóa quy trình khai báo. Tuy nhiên, quy trình làm việc với cơ quan thuế vẫn còn phức tạp.</t>
  </si>
  <si>
    <t>Biểu thuế được đơn giản hóa, rõ ràng hơn so với trước đây nên dễ hiểu và thực hiện thuận tiện hơn</t>
  </si>
  <si>
    <t>Mức giảm trừ gia cảnh tăng, giúp gánh nặng thuế đối với thu nhập thấp giảm. Tuy nhiên, mức độ công bằng giữa các nhóm thu nhập vẫn chưa rõ ràng.</t>
  </si>
  <si>
    <t>Những cải cách này có thể làm giảm gánh nặng thuế cho một số người nhưng cần thời gian để đánh giá tính công bằng của chúng.</t>
  </si>
  <si>
    <t>Giảm trừ gia cảnh tăng, giúp gánh nặng thuế đối với thu nhập thấp giảm. Tuy nhiên, mức độ sử dụng hiệu quả nguồn thu vào cải cách này cần thời gian để đánh giá.</t>
  </si>
  <si>
    <t>Thông tin về lý do và mục tiêu của việc sửa đổi thuế chưa rõ ràng, làm tăng sự hoài nghi về tính minh bạch</t>
  </si>
  <si>
    <t>Mức giảm trừ gia cảnh tăng giúp gánh nặng thuế đối với thu nhập thấp giảm. Tuy nhiên, mức độ ủng hộ vẫn còn thận trọng do cần đánh giá thêm về hiệu quả thực tế của cải cách.</t>
  </si>
  <si>
    <t>Biện pháp quản lý thuế hiện nay được cải thiện, đặc biệt là mức giảm trừ gia cảnh tăng lên. Điều này làm giảm khả năng trốn thuế nhưng vẫn có rủi ro phát hiện.</t>
  </si>
  <si>
    <t>Công nghệ hiện đại giúp phát hiện gian lận tax, tuy nhiên còn phụ thuộc vào việc triển khai và hiệu quả của công nghệ này. Cơ quan thuế cần cải thiện hơn nữa.</t>
  </si>
  <si>
    <t>Mức giảm trừ gia cảnh tăng lên làm đơn giản hóa quy trình tính thuế. Tuy nhiên, thủ tục khai báo vẫn còn phức tạp đối với một số người.</t>
  </si>
  <si>
    <t>Biểu thuế mới có ít bậc hơn và mức thuế suất rõ ràng hơn so với trước đây, dễ hiểu và thực hiện hơn.</t>
  </si>
  <si>
    <t>Nhà nước đã cải thiện quy định giảm trừ gia cảnh, tạo sự công bằng. Tuy nhiên, vẫn còn nhiều người nghi ngờ về cách thực thi chính sách.</t>
  </si>
  <si>
    <t>Mức thuế mới có thể coi là công bằng so với thu nhập hiện tại của tôi. Tuy nhiên, mức thuế không thay đổi đáng kể so với trước đây.</t>
  </si>
  <si>
    <t>Thuế tôi đóng sẽ được sử dụng để cải thiện dịch vụ công, nhưng hiệu quả thực tế còn phụ thuộc vào cách quản lý và sử dụng nguồn lực của nhà nước.</t>
  </si>
  <si>
    <t>Nhà nước đã giải thích rõ ràng về mục tiêu cải cách thuế. Tuy nhiên, vẫn có nhiều người chưa tin tưởng hoàn toàn vào việc này.</t>
  </si>
  <si>
    <t>Thu nhập của tôi giảm nhẹ nhưng mức thuế không thay đổi nhiều. Tôi sẽ tuân thủ vì lợi ích chung của xã hội và sự công bằng trong quy định mới.</t>
  </si>
  <si>
    <t>Chính phủ đã tăng cường quản lý thuế và có nhiều công nghệ hỗ trợ phát hiện trốn thuế, nhưng vẫn cần cải thiện.</t>
  </si>
  <si>
    <t>Công nghệ phát triển mạnh mẽ hiện nay giúp nhà nước dễ dàng phát hiện hành vi trốn thuế hơn so với trước đây, tuy nhiên khả năng thực thi còn phụ thuộc vào quy định pháp luật và nguồn lực.</t>
  </si>
  <si>
    <t>Mức giảm trừ gia cảnh tăng lên cùng với việc đơn giản hóa biểu thuế tạo cảm giác thuận tiện hơn cho người nộp thuế, nhưng vẫn cần cải thiện trong một số khía cạnh.</t>
  </si>
  <si>
    <t>Cách tính thuế và bậc thuế mới rõ ràng hơn so với trước đây, giúp việc tính toán dễ dàng hơn, tuy nhiên vẫn có thể cải thiện thêm về mặt minh bạch.</t>
  </si>
  <si>
    <t>Hiệu quả của chính sách mới trong quản lý và thu thuế chưa rõ ràng, cần thời gian để đánh giá công bằng</t>
  </si>
  <si>
    <t>Mức thuế mới phù hợp với thu nhập cá nhân, tạo cảm giác công bằng nhưng vẫn cần thêm thông tin về cách sử dụng số tiền thuế này.</t>
  </si>
  <si>
    <t>Tôi chưa nhìn thấy hiệu quả cụ thể của việc tăng mức giảm trừ gia cảnh và cải thiện biểu thuế đối với việc nâng cao chất lượng dịch vụ công</t>
  </si>
  <si>
    <t>Chính phủ đã giải thích rõ ràng về mục tiêu cải cách, nhưng cần thêm thông tin cụ thể hơn để người dân hiểu rõ</t>
  </si>
  <si>
    <t>Ngoài việc giảm gánh nặng thuế, chính sách mới vẫn chưa tạo ra sự thay đổi lớn trong quyết định tuân thủ của tôi</t>
  </si>
  <si>
    <t>Các quy định quản lý thuế hiện nay có thể phát hiện gian lận nhưng không đề cập đến công nghệ. Công nghệ chưa được cải thiện nhiều so với trước đây.</t>
  </si>
  <si>
    <t>Nhà nước và cơ quan thuế đã có khả năng phát hiện trốn thuế, đặc biệt với sự hỗ trợ của công nghệ hiện đại. Tuy nhiên, không đề cập cụ thể đến cải cách công nghệ.</t>
  </si>
  <si>
    <t>Mức giảm trừ gia cảnh tăng lên, làm thủ tục khai báo thuế đơn giản hơn. Số bậc thuế giảm, quy trình làm việc với cơ quan thuế cũng dễ dàng hơn.</t>
  </si>
  <si>
    <t>Cách tính thuế và các bậc thuế trong phương án mới rõ ràng hơn so với trước đây.</t>
  </si>
  <si>
    <t>Nhà nước đã cải thiện quy định về giảm trừ gia cảnh, công bằng đối xử với người nộp thuế. Tuy nhiên, vẫn cần cải thiện minh bạch trong việc thực thi.</t>
  </si>
  <si>
    <t>Mức thuế mới được thiết kế theo thu nhập cá nhân, nhưng chưa chắc đã phù hợp với từng cá nhân do sự phức tạp của biểu thuế.</t>
  </si>
  <si>
    <t>Thuế đóng góp vào cải thiện dịch vụ công là quan trọng. Tuy nhiên, không có đủ thông tin về cách sử dụng hiệu quả số tiền thuế.</t>
  </si>
  <si>
    <t>Nhà nước đã giải thích rõ ràng về mục tiêu của việc sửa đổi thuế, nhưng chưa minh bạch về các biện pháp cụ thể để thực hiện.</t>
  </si>
  <si>
    <t>Sau khi xem xét giảm trừ gia cảnh và biểu thuế mới, tôi thấy lợi ích hơn so với nghĩa vụ. Tuy nhiên, vẫn còn nhiều bất định và chưa đầy đủ thông tin về hiệu quả sử dụng số tiền thuế.</t>
  </si>
  <si>
    <t>Các quy định quản lý thuế hiện nay đã được cải thiện, đặc biệt là mức giảm trừ gia cảnh tăng lên, giúp phát hiện và xử lý gian lận hoặc trốn thuế dễ dàng hơn. Đây cũng là một yếu tố nâng cao niềm tin vào hệ thống thuế.</t>
  </si>
  <si>
    <t>Nhà nước đã đầu tư công nghệ để tăng cường khả năng phát hiện và xử lý gian lận, do đó, việc trốn thuế sẽ không còn dễ dàng như trước. Điều này thể hiện sự cam kết của Nhà nước trong việc đảm bảo công bằng.</t>
  </si>
  <si>
    <t>Các quy định về giảm trừ gia cảnh và biểu thuế đơn giản hơn đã làm cho quá trình khai báo thuế trở nên thuận tiện. Tuy nhiên, do tôi là người cao tuổi và ít quen thuộc với công nghệ, việc tiếp cận các hệ thống điện tử có thể còn gặp khó khăn.</t>
  </si>
  <si>
    <t>Cách tính thuế mới đơn giản hơn so với trước đây. Các bậc thuế suất rõ ràng và dễ hiểu, giúp tôi dễ dàng áp dụng.</t>
  </si>
  <si>
    <t>Tôi tin rằng Nhà nước sẽ thực thi chính sách một cách công bằng, do mức giảm trừ gia cảnh tăng lên, giảm gánh nặng cho người dân. Đây là dấu hiệu của sự công bằng trong việc áp dụng thuế.</t>
  </si>
  <si>
    <t>Mức thuế mới được thiết kế dựa trên thu nhập cá nhân nên tôi cảm thấy công bằng. Mức thuế này phù hợp với khả năng chi trả của tôi và người có thu nhập tương tự.</t>
  </si>
  <si>
    <t>Dự kiến số tiền thuế đóng sẽ được sử dụng hiệu quả để cải thiện các dịch vụ công, nhưng cần thời gian để chứng minh hiệu quả thực sự. Mức độ tin tưởng hiện tại ở mức trung bình.</t>
  </si>
  <si>
    <t>Nhà nước đã giải thích rõ ràng về mục tiêu cải cách thuế, nhưng do tôi thường nghi ngờ thông tin từ chính quyền, nên vẫn còn một chút hoài nghi.</t>
  </si>
  <si>
    <t>Mặc dù mức giảm trừ gia cảnh và biểu thuế mới thuận lợi hơn, nhưng do tôi là người cao tuổi và ít quen thuộc với công nghệ, việc tuân thủ có thể gặp khó khăn. Tuy nhiên, tôi sẽ cố gắng vì mục đích chung.</t>
  </si>
  <si>
    <t>Chính sách tăng giảm trừ gia cảnh và đơn giản hóa biểu thuế có thể làm giảm cơ hội trốn thuế, nhưng vẫn cần công nghệ hiện đại để phát hiện gian lận.</t>
  </si>
  <si>
    <t>Việc áp dụng công nghệ trong quản lý thuế có thể giúp tăng cường hiệu quả và tính chính xác của việc phát hiện trốn thuế.</t>
  </si>
  <si>
    <t>Bậc thuế ít hơn và giảm trừ gia cảnh cao hơn có thể làm cho quy trình khai báo thuế đơn giản và thuận tiện hơn so với trước đây.</t>
  </si>
  <si>
    <t>Cách tính thuế mới và biểu thuế đơn giản hóa giúp người dân hiểu rõ hơn về cách đóng thuế, nhưng vẫn cần thời gian để quen thuộc.</t>
  </si>
  <si>
    <t>Những thay đổi trong chính sách có thể tạo ra sự công bằng hơn giữa các đối tượng nộp thuế, nhưng còn phụ thuộc vào cách thực thi.</t>
  </si>
  <si>
    <t>Mức thuế mới được thiết kế để phù hợp với thu nhập cá nhân, tuy nhiên, việc giải thích minh bạch về mục đích của chính sách vẫn cần cải thiện.</t>
  </si>
  <si>
    <t>Thuế đã được sử dụng hiệu quả trong một số lĩnh vực công cộng như y tế và giao thông, nhưng còn nhiều vấn đề cần giải quyết.</t>
  </si>
  <si>
    <t>Thông tin về mục tiêu của chính sách mới có thể chưa đầy đủ và thuyết phục đối với mọi người, cần tăng cường truyền thông.</t>
  </si>
  <si>
    <t>Dù thuế giảm nhưng vẫn còn nhiều rủi ro pháp lý và không chắc chắn về việc sử dụng hiệu quả số tiền đóng thuế, do đó có sự cân nhắc giữa lợi ích và nghĩa vụ.</t>
  </si>
  <si>
    <t>Luật mới không tăng đáng kể mức giảm trừ gia cảnh nên khả năng phát hiện gian lận vẫn hạn chế.</t>
  </si>
  <si>
    <t>Công nghệ hiện đại giúp cải thiện hiệu quả quản lý thuế, nhưng chưa chắc chắn về khả năng phát hiện trốn thuế.</t>
  </si>
  <si>
    <t>Biểu thuế đơn giản hơn và mức giảm trừ gia cảnh cao hơn, tạo thuận lợi trong việc khai báo.</t>
  </si>
  <si>
    <t>Cách tính thuế mới rõ ràng hơn so với trước đây, nhưng vẫn còn một số quy định phức tạp.</t>
  </si>
  <si>
    <t>Nhà nước đã công bố các quy định rõ ràng về cách thực thi chính sách, tạo niềm tin cho người dân.</t>
  </si>
  <si>
    <t>Mức thuế mới có thể công bằng hơn so với trước đây, nhưng vẫn phụ thuộc vào thu nhập cá nhân.</t>
  </si>
  <si>
    <t>Thuế được sử dụng để cải thiện dịch vụ công, tạo niềm tin cho người nộp thuế về mục tiêu chính sách.</t>
  </si>
  <si>
    <t>Thông điệp giải thích về lý do và mục đích sửa đổi thuế chưa đủ rõ ràng đối với tất cả mọi người.</t>
  </si>
  <si>
    <t>Mặc dù có nhiều thuận lợi, nhưng vẫn còn một số rủi ro và bất định về việc tuân thủ chính sách mới.</t>
  </si>
  <si>
    <t>Cải cách thuế TNCN bao gồm việc tăng giảm trừ gia cảnh và đơn giản hóa biểu thuế, nhưng không có thông tin rõ ràng về khả năng phát hiện trốn thuế.</t>
  </si>
  <si>
    <t>Việc cải cách thuế TNCN không đề cập đến công nghệ và khả năng của cơ quan thuế trong việc phát hiện trốn thuế, nên khó đánh giá.</t>
  </si>
  <si>
    <t>Biểu thuế được đơn giản hóa từ 7 bậc xuống 5, giảm thời gian tính toán cho cá nhân và doanh nghiệp. Mức giảm trừ gia cảnh tăng giúp quá trình khai báo thuận tiện hơn.</t>
  </si>
  <si>
    <t>Biểu thuế mới đơn giản hóa từ nhiều bậc xuống ít hơn, rõ ràng hơn so với trước đây, dễ hiểu và thực hiện nhanh chóng hơn.</t>
  </si>
  <si>
    <t>Mức giảm trừ gia cảnh tăng cho bản thân và người phụ thuộc, giúp tôi tin rằng chính sách mới sẽ công bằng đối với mọi người nộp thuế. Tuy nhiên, không có thông tin cụ thể về cách thực thi.</t>
  </si>
  <si>
    <t>Các bậc thuế được điều chỉnh phù hợp với thu nhập cá nhân, nhưng không rõ ràng về mức độ công bằng trong thực tế đối với người nộp thuế khác.</t>
  </si>
  <si>
    <t>Mức giảm trừ gia cảnh tăng và đơn giản hóa biểu thuế giúp tôi tin rằng tiền thuế sẽ được sử dụng hiệu quả hơn cho dịch vụ công. Tuy nhiên, không có thông tin cụ thể về cách sử dụng.</t>
  </si>
  <si>
    <t>Cải cách thuế TNCN chưa rõ ràng về mục tiêu và lý do thực hiện, nên tôi vẫn nghi ngờ về sự minh bạch của chính sách mới.</t>
  </si>
  <si>
    <t>Sau khi xem xét các quyền lợi và nghĩa vụ, tôi ủng hộ cải cách thuế TNCN. Mức giảm trừ gia cảnh tăng giúp gánh nặng thuế giảm đi đáng kể. Tuy nhiên, không có thông tin cụ thể về thực hiện chính sách mới.</t>
  </si>
  <si>
    <t>Điều kiện quản lý thuế hiện nay dường như được cải thiện với mức giảm trừ gia cảnh tăng, nhưng vẫn cần công nghệ phát hiện trốn thuế.</t>
  </si>
  <si>
    <t>Công nghệ ngày càng tiên tiến, nhưng sự phát hiện trốn thuế còn phụ thuộc vào sự cam kết và nguồn lực của cơ quan thuế.</t>
  </si>
  <si>
    <t>Mức giảm trừ gia cảnh tăng có thể làm cho quy trình khai báo đơn giản hơn, nhưng vẫn cần thời gian để các tổ chức thuế thích nghi với thay đổi.</t>
  </si>
  <si>
    <t>Biểu thuế đơn giản hóa giúp việc tính toán thu nhập và thuế trở nên dễ dàng hơn, giảm gánh nặng cho người nộp thuế.</t>
  </si>
  <si>
    <t>Nhà nước đã cải thiện quy định quản lý thuế, nhưng công bằng của chính sách phụ thuộc vào cách triển khai thực tế.</t>
  </si>
  <si>
    <t>Mức thuế mới có thể hợp lý đối với thu nhập hiện tại, nhưng vẫn cần thêm thời gian để đánh giá hiệu quả về mặt công bằng.</t>
  </si>
  <si>
    <t>Nhà nước đã giải thích rõ ràng thay đổi thuế, và giảm trừ gia cảnh tăng có thể làm cho việc đóng thuế trở nên công bằng hơn.</t>
  </si>
  <si>
    <t>Quy định mới đã minh bạch về mục đích của cải cách thuế, nhưng sự rõ ràng này phụ thuộc vào cách thực hiện trong thực tế.</t>
  </si>
  <si>
    <t>Các thay đổi có thể làm giảm gánh nặng tài chính và đơn giản hóa quy trình, tuy nhiên quyết định tuân thủ còn phụ thuộc vào nhiều yếu tố khác như niềm tin và trải nghiệm cá nhân.</t>
  </si>
  <si>
    <t>Các quy định quản lý thuế hiện nay chưa rõ ràng, vẫn có nhiều cách để trốn thuế.</t>
  </si>
  <si>
    <t>Nhà nước và cơ quan thuế đã đầu tư công nghệ phát hiện trốn thuế, nhưng hiệu quả còn hạn chế.</t>
  </si>
  <si>
    <t>Thủ tục khai báo thuế đơn giản hơn so với trước đây, thuận tiện cho người dân.</t>
  </si>
  <si>
    <t>Cách tính thuế và bậc thuế mới dễ hiểu, làm giảm rào cản cho người nộp thuế.</t>
  </si>
  <si>
    <t>Niềm tin vào cơ quan thuế chưa cao do quá trình thực thi trước đây vẫn còn nhiều vấn đề.</t>
  </si>
  <si>
    <t>Mức thuế mới được điều chỉnh hợp lý, nhưng cần thêm thời gian để đánh giá hiệu quả.</t>
  </si>
  <si>
    <t>Hiệu quả sử dụng số tiền thuế đóng chưa rõ ràng, cần thêm thông tin về dự án đầu tư.</t>
  </si>
  <si>
    <t>Thông tin giải thích từ cơ quan thuế còn hạn chế, nhưng có hướng cải thiện.</t>
  </si>
  <si>
    <t>Đối với người thu nhập thấp, mức thuế mới giảm đáng kể, tăng khả năng tuân thủ. Tuy nhiên, đối với người thu nhập cao hơn, cần thêm thời gian để đánh giá.</t>
  </si>
  <si>
    <t>Mức giảm trừ gia cảnh tăng đáng kể, giúp người dân đỡ gian lận thuế. Công nghệ phát hiện trốn thuế cũng được cải tiến.</t>
  </si>
  <si>
    <t>Nhà nước đã đầu tư mạnh vào công nghệ và nhân lực để quản lý thuế hiệu quả hơn.</t>
  </si>
  <si>
    <t>Biểu thuế được đơn giản hóa, giảm số bậc từ 7 xuống còn 5, thuận lợi cho việc khai báo.</t>
  </si>
  <si>
    <t>Cách tính thuế mới dễ hiểu hơn với ít bậc thuế, giúp người dân nắm bắt dễ dàng hơn.</t>
  </si>
  <si>
    <t>Mức giảm trừ gia cảnh tăng mạnh, công bằng hơn đối với người có thu nhập thấp. Cơ quan thuế có khả năng thực thi công tâm.</t>
  </si>
  <si>
    <t>Thuế suất và ngưỡng chịu thuế được điều chỉnh hợp lý, phù hợp với mức thu nhập hiện tại của tôi.</t>
  </si>
  <si>
    <t>Giảm trừ gia cảnh tăng, cải thiện chất lượng dịch vụ công. Tuy nhiên, vẫn còn nghi ngờ về việc sử dụng hiệu quả số tiền thuế.</t>
  </si>
  <si>
    <t>Thông tin giải thích rõ ràng hơn so với trước đây, nhưng vẫn có ít nhiều nghi ngờ về sự minh bạch.</t>
  </si>
  <si>
    <t>Tổng thể thuận lợi cho người dân. Tuy nhiên, cần thời gian để tin tưởng vào việc thực thi chính sách mới.</t>
  </si>
  <si>
    <t>Chính sách mới tăng giảm trừ gia cảnh và đơn giản hóa quy trình khai thuế, nhưng không có thông tin về công nghệ phát hiện gian lận mạnh mẽ.</t>
  </si>
  <si>
    <t>Công nghệ ngày càng phát triển, tuy nhiên chưa có thông tin cụ thể về khả năng của cơ quan thuế trong việc phát hiện trốn thuế.</t>
  </si>
  <si>
    <t>Biểu thuế được đơn giản hóa từ 7 bậc xuống còn 5 bậc, thủ tục khai báo thuế cũng trở nên tiện lợi hơn so với trước đây.</t>
  </si>
  <si>
    <t>Cách tính thuế và các bậc thuế mới rõ ràng hơn, dễ dàng tiếp cận và hiểu hơn so với quy định cũ.</t>
  </si>
  <si>
    <t>Những thay đổi về mức giảm trừ gia cảnh và biểu thuế có thể làm tăng sự công bằng đối với người nộp thuế.</t>
  </si>
  <si>
    <t>Mức thuế mới được thiết kế dựa trên thu nhập, tuy nhiên chưa rõ ràng về độ công bằng so với thu nhập tương tự khác.</t>
  </si>
  <si>
    <t>Trước đây có nhiều lo ngại về việc sử dụng tiền thuế hiệu quả, nhưng cải cách mới có thể tăng niềm tin vào việc này.</t>
  </si>
  <si>
    <t>Thông tin giải thích về lý do và mục tiêu của chính sách mới chưa đầy đủ, gây ra sự hoài nghi từ phía người dân.</t>
  </si>
  <si>
    <t>Niềm tin về công bằng và hiệu quả sử dụng tiền thuế đã tăng, nhưng vẫn còn lo ngại về việc tuân thủ pháp luật do không rõ ràng.</t>
  </si>
  <si>
    <t>Điều kiện quản lý thuế hiện tại không rõ ràng, có thể khó phát hiện hành vi gian lận.</t>
  </si>
  <si>
    <t>Công nghệ hiện đại có thể giúp nhưng chưa chắc chắn với các quy định phức tạp.</t>
  </si>
  <si>
    <t>Bậc thuế đơn giản hơn, thủ tục khai báo dễ dàng hơn so với trước đây.</t>
  </si>
  <si>
    <t>Cách tính thuế rõ ràng hơn, nhưng vẫn cần thời gian để thích ứng.</t>
  </si>
  <si>
    <t>Nhìn chung tôi tin tưởng vào sự công bằng của cơ quan thuế với mức giảm trừ gia cảnh mới.</t>
  </si>
  <si>
    <t>Thuế suất mới có thể hợp lý nhưng chưa rõ ràng về tất cả các trường hợp.</t>
  </si>
  <si>
    <t>Đóng thuế sẽ được sử dụng hiệu quả để cải thiện dịch vụ công, đặc biệt là y tế và hạ tầng cơ sở.</t>
  </si>
  <si>
    <t>Giải thích về lý do sửa đổi thuế chưa hoàn toàn rõ ràng nhưng đã tốt hơn trước đây.</t>
  </si>
  <si>
    <t>Chính sách mới có lợi cho tôi, giảm gánh nặng thuế và thủ tục làm việc với cơ quan thuế. Tôi sẽ ủng hộ và tuân thủ.</t>
  </si>
  <si>
    <t>Tăng cường giảm trừ gia cảnh có thể làm giảm gánh nặng thuế cho người thu nhập thấp, nhưng chưa rõ liệu công nghệ hiện đại có giúp phát hiện trốn thuế hiệu quả hơn không.</t>
  </si>
  <si>
    <t>Việc cải cách thuế đã đơn giản hóa quy trình khai báo và giảm bậc thuế. Tuy nhiên, khả năng phát hiện trốn thuế phụ thuộc vào nhiều yếu tố thực tế như nguồn lực, công nghệ.</t>
  </si>
  <si>
    <t>Biểu thuế được rút gọn từ 7 bậc xuống còn 5 bậc, làm cho việc khai báo thuế đơn giản hơn. Tuy nhiên, quy trình cụ thể vẫn cần cải thiện để thuận tiện hơn cho người dân.</t>
  </si>
  <si>
    <t>Mức giảm trừ gia cảnh tăng lên và biểu thuế được đơn giản hóa giúp việc tính toán thuế trở nên dễ dàng hơn. Tuy nhiên, mức độ đơn giản hóa vẫn còn hạn chế.</t>
  </si>
  <si>
    <t>Nhìn chung, cải cách thuế có thể mang lại lợi ích cho người thu nhập thấp nhưng chưa rõ liệu cơ quan thuế có thực hiện công bằng không. Gánh nặng thuế có giảm nhẹ nên tăng điểm Niềm tin.</t>
  </si>
  <si>
    <t>Mức thuế mới đã được đơn giản hóa và minh bạch hơn, giúp người dân dễ dàng tính toán hơn. Tuy nhiên, mức độ công bằng vẫn phụ thuộc vào cách áp dụng thực tế.</t>
  </si>
  <si>
    <t>Người thu nhập thấp có lợi ích từ mức giảm trừ gia cảnh tăng lên nhưng chưa rõ liệu số tiền thuế đóng sẽ được sử dụng như thế nào. Điều này làm giảm Niềm tin về việc sử dụng hiệu quả.</t>
  </si>
  <si>
    <t>Thông tin về cải cách thuế đã được truyền thông rộng rãi hơn nhưng vẫn còn nhiều người nghi ngờ về độ minh bạch và công bằng của nó. Tuy nhiên, mức giảm trừ gia cảnh tăng lên có thể làm tăng sự ủng hộ.</t>
  </si>
  <si>
    <t>Tăng mức giảm trừ gia cảnh mang lại lợi ích cho người thu nhập thấp nhưng vẫn chưa rõ liệu người dân sẽ tuân thủ tốt như thế nào. Gánh nặng thuế giảm nhẹ nên có xu hướng ủng hộ, nhưng cần thời gian để đánh giá.</t>
  </si>
  <si>
    <t>Cải cách thuế TNCN bao gồm việc tăng giảm trừ gia cảnh và đơn giản hóa biểu thuế, nhưng không đề cập rõ về hệ thống phát hiện hành vi trốn thuế. Do đó, khả năng phát hiện vẫn phụ thuộc vào công nghệ và nguồn lực của cơ quan thuế.</t>
  </si>
  <si>
    <t>Việc cải cách thuế TNCN không đề cập rõ về công nghệ và khả năng xử lý nghiêm các hành vi trốn thuế, nên tôi không hoàn toàn tin tưởng.</t>
  </si>
  <si>
    <t>Mức giảm trừ gia cảnh tăng lên và đơn giản hóa biểu thuế có thể làm thủ tục khai báo trở nên dễ dàng hơn. Tuy nhiên, vẫn chưa rõ về sự tiện lợi trong quy trình làm việc với cơ quan thuế.</t>
  </si>
  <si>
    <t>Phương án mới đơn giản hóa biểu thuế, giảm số bậc thuế nên tôi thấy cách tính thuế và các bậc thuế dễ hiểu hơn. Tuy nhiên, mức độ thuận tiện thực tế còn phụ thuộc vào quy trình cụ thể.</t>
  </si>
  <si>
    <t>Tăng mức giảm trừ gia cảnh có thể làm tôi cảm thấy công bằng hơn trong việc đóng thuế, nhưng chưa rõ về khả năng thực thi chính sách khách quan và công tâm của cơ quan thuế.</t>
  </si>
  <si>
    <t>Các bậc thuế mới đơn giản hóa nên mức thuế mà tôi phải đóng có thể được coi là hợp lý. Tuy nhiên, vẫn cần thêm thông tin về cách sử dụng số tiền thuế để đánh giá công bằng.</t>
  </si>
  <si>
    <t>Tăng giảm trừ gia cảnh và đơn giản hóa biểu thuế có thể làm tôi cảm thấy số tiền thuế đóng được dùng hiệu quả hơn. Tuy nhiên, cần thêm thông tin về cách sử dụng số tiền thuế để đánh giá công bằng.</t>
  </si>
  <si>
    <t>Việc tăng giảm trừ gia cảnh và đơn giản hóa biểu thuế làm tôi thấy Nhà nước đã giải thích rõ ràng hơn về mục tiêu cải cách. Tuy nhiên, vẫn chưa rõ về mức độ minh bạch trong quá trình thực thi.</t>
  </si>
  <si>
    <t>Các cải cách thuế có thể tăng sự ủng hộ và tuân thủ từ tôi, nhưng cần thêm thông tin về hiệu quả sử dụng số tiền thuế để đánh giá quyết định cuối cùng. Hiện tại, tôi chưa chắc chắn hoàn toàn.</t>
  </si>
  <si>
    <t xml:space="preserve">Quy định quản lý thuế hiện nay đã được cải thiện đáng kể với các công nghệ tiên tiến, tăng khả năng phát hiện trốn thuế. </t>
  </si>
  <si>
    <t>Nhà nước và cơ quan thuế có nhiều nguồn lực và công nghệ để kiểm soát hiệu quả hơn so với trước đây.</t>
  </si>
  <si>
    <t xml:space="preserve">Mức giảm trừ gia cảnh tăng, thủ tục khai báo đơn giản hơn đã làm cho quá trình nộp thuế trở nên thuận tiện hơn. </t>
  </si>
  <si>
    <t>Biểu thuế được đơn giản hóa từ 7 bậc xuống còn 5 bậc, đồng thời các bậc thuế và ngưỡng chịu thuế mới cũng dễ hiểu hơn.</t>
  </si>
  <si>
    <t xml:space="preserve">Nhà nước đã cải thiện quy định quản lý thuế để đảm bảo công bằng trong việc đánh giá thu nhập và mức thuế. </t>
  </si>
  <si>
    <t>Mức thuế mới được thiết kế sao cho phù hợp với thu nhập của tôi, thể hiện tính công bằng.</t>
  </si>
  <si>
    <t>Thuế đóng góp vào các dịch vụ công như y tế và đường xá, tôi tin tưởng rằng số tiền thuế đóng sẽ được sử dụng hiệu quả.</t>
  </si>
  <si>
    <t>Nhà nước đã giải thích rõ ràng về mục tiêu của việc cải cách thuế, nhưng vẫn cần nhiều thông tin hơn để hoàn toàn thuyết phục.</t>
  </si>
  <si>
    <t xml:space="preserve">Dù các cải cách đã tốt lên, tôi vẫn giữ thái độ cân nhắc trước khi quyết định ủng hộ. </t>
  </si>
  <si>
    <t>Chính phủ đã tăng cường các quy định quản lý thuế, điều này làm giảm khả năng trốn thuế. Với mức giảm trừ gia cảnh cao hơn, tôi cảm thấy chính sách mới có tính công bằng hơn.</t>
  </si>
  <si>
    <t>Như đã nêu trong thông tin chính sách, Nhà nước và cơ quan thuế đã áp dụng các công nghệ tiên tiến để phát hiện trốn thuế. Tuy nhiên, tôi vẫn lo ngại về khả năng thực thi.</t>
  </si>
  <si>
    <t>Biểu thuế đơn giản hơn với ít bậc, điều này làm giảm độ phức tạp và dễ dàng hơn cho người dân khai báo thuế.</t>
  </si>
  <si>
    <t>Các bậc thuế mới rõ ràng hơn so với trước đây. Điều này giúp tôi hiểu được mức thuế mình phải đóng một cách dễ dàng hơn.</t>
  </si>
  <si>
    <t>Nhà nước đã tăng giảm trừ gia cảnh, điều này làm cho tôi tin rằng chính sách mới là công bằng đối với người dân thu nhập thấp.</t>
  </si>
  <si>
    <t>Mức thuế mới phù hợp với thu nhập của tôi. Tôi cảm thấy mức thuế này là công bằng và không quá nặng nề.</t>
  </si>
  <si>
    <t>Tiền thuế tôi đóng sẽ được sử dụng để cải thiện dịch vụ công, điều này làm tăng niềm tin vào việc sử dụng tài chính một cách minh bạch của Nhà nước.</t>
  </si>
  <si>
    <t>Nhà nước đã giải thích rõ ràng về mục tiêu và lý do của chính sách mới. Tuy nhiên, tôi vẫn cần thêm thông tin để có thể đánh giá đầy đủ.</t>
  </si>
  <si>
    <t>Sau khi xem xét các quyền lợi và nghĩa vụ, tôi thấy rằng việc tuân thủ chính sách mới là phù hợp với lợi ích của tôi. Chính sách này đã cải thiện đáng kể về mặt tiện lợi và công bằng.</t>
  </si>
  <si>
    <t>Biện pháp quản lý thuế mới có thể phát hiện hành vi gian lận, nhưng không rõ liệu công nghệ phát triển như thế nào. Với mức giảm trừ gia cảnh tăng, người dân dễ tuân thủ.</t>
  </si>
  <si>
    <t>Công nghệ ngày càng tiên tiến, khả năng phát hiện trốn thuế cũng cao hơn. Tuy nhiên, vẫn cần cải thiện về mặt công khai và minh bạch.</t>
  </si>
  <si>
    <t>Mức giảm trừ gia cảnh tăng, cùng với việc đơn giản hóa biểu thuế, thủ tục khai báo thuế trở nên dễ dàng hơn. Việc này làm cho quá trình nộp thuế nhanh chóng và tiện lợi.</t>
  </si>
  <si>
    <t>Biểu thuế được rút gọn từ 7 bậc xuống còn 5 bậc, khiến việc tính toán thuế đơn giản hơn. Tuy nhiên, cần thêm thời gian để người dân quen với hệ thống mới.</t>
  </si>
  <si>
    <t>Nhà nước đã tăng mức giảm trừ gia cảnh, thể hiện sự công bằng và đối xử bình đẳng với mọi người nộp thuế. Điều này làm tăng niềm tin vào chính sách mới.</t>
  </si>
  <si>
    <t>Mức thuế mới được thiết kế phù hợp với thu nhập của tôi, điều này cho thấy mức thuế là công bằng. Tuy nhiên, cần thêm thời gian để cảm nhận hiệu quả thực tế từ chính sách.</t>
  </si>
  <si>
    <t>Tăng mức giảm trừ gia cảnh và đơn giản hóa biểu thuế thể hiện sự đầu tư vào cải thiện dịch vụ công. Tuy nhiên, cần thêm thời gian để thấy hiệu quả thực tế từ việc sử dụng số tiền thuế.</t>
  </si>
  <si>
    <t>Nhà nước đã tăng cường thông tin về chính sách mới, tuy nhiên vẫn cần cải thiện về mặt minh bạch và công khai. Điều này giúp tôi cảm thấy chính sách là rõ ràng hơn.</t>
  </si>
  <si>
    <t>Với mức thuế được giảm và thủ tục đơn giản hơn, tôi sẵn sàng tuân thủ chính sách mới. Tuy nhiên, cần thêm thời gian để thấy hiệu quả thực tế từ việc cải cách.</t>
  </si>
  <si>
    <t>Luật Thuế TNCN sửa đổi với mức giảm trừ gia cảnh cao hơn và các quy định rõ ràng, giúp phát hiện hành vi trốn thuế dễ dàng hơn. Công nghệ hiện đại cũng hỗ trợ hiệu quả trong việc giám sát.</t>
  </si>
  <si>
    <t>Công nghệ tiên tiến như AI và hệ thống quản lý thuế điện tử có khả năng phát hiện, xử lý nghiêm các hành vi trốn thuế. Tuy nhiên, vẫn cần cải thiện về mặt thực thi.</t>
  </si>
  <si>
    <t>Thủ tục khai báo thuế được đơn giản hóa từ 7 bậc xuống còn 5 bậc, tạo thuận lợi cho người dân và doanh nghiệp. Việc giảm số bậc thuế giúp quá trình làm việc với cơ quan thuế trở nên nhanh chóng và tiện lợi hơn.</t>
  </si>
  <si>
    <t>Cách tính thuế mới đơn giản hóa các bậc thuế, từ 7 bậc xuống còn 5 bậc. Điều này giúp người dân dễ hiểu và thực hiện quy trình tính thuế chính xác hơn.</t>
  </si>
  <si>
    <t>Nhà nước đã tăng mức giảm trừ gia cảnh cho bản thân và người phụ thuộc, giảm gánh nặng về mặt tài chính. Tuy nhiên, vẫn còn nghi ngờ về sự công bằng trong việc áp dụng các quy định.</t>
  </si>
  <si>
    <t>Mức thuế mới được thiết kế dựa trên thu nhập, tạo cảm giác công bằng với người nộp thuế có cùng mức thu nhập. Tuy nhiên, vẫn cần thêm thông tin về cách tính để tăng niềm tin.</t>
  </si>
  <si>
    <t>Giảm trừ gia cảnh cao hơn giúp giảm gánh nặng tài chính cho người dân. Tuy nhiên, việc sử dụng số tiền thuế thu được vào các dịch vụ công vẫn cần minh bạch và hiệu quả.</t>
  </si>
  <si>
    <t>Đã có thông tin về mục đích của Luật Thuế TNCN sửa đổi nhưng chưa rõ ràng về cách thức triển khai. Cần thêm thông tin để tăng sự hiểu biết và lòng tin tưởng.</t>
  </si>
  <si>
    <t>Chính sách mới mang lại lợi ích tài chính cho người dân với mức giảm trừ gia cảnh cao hơn, tuy nhiên vẫn cần thêm thời gian để đánh giá hiệu quả thực tế. Tuân thủ vì lợi ích về mặt tài chính.</t>
  </si>
  <si>
    <t>Cải cách thuế TNCN có nhiều quy định quản lý mới, nhưng chưa rõ liệu công nghệ hiện tại có đủ để phát hiện trốn thuế hay không. Cơ sở hạ tầng về thuế cũng chưa được nâng cấp đồng bộ.</t>
  </si>
  <si>
    <t>Nhà nước đã đầu tư vào công nghệ quản lý thuế, nhưng khả năng phát hiện và xử lý trốn thuế vẫn còn hạn chế. Cần nhiều thời gian để công nghệ này đạt hiệu quả tối ưu.</t>
  </si>
  <si>
    <t>Số bậc thuế được giảm từ 7 xuống 5, quy trình khai báo trở nên đơn giản hơn. Tuy nhiên, vẫn còn một số thủ tục phức tạp cần cải tiến hơn nữa.</t>
  </si>
  <si>
    <t>Cách tính và các bậc thuế mới rõ ràng hơn so với trước đây, nhưng vẫn có thể gặp khó khăn đối với người nộp thuế chưa quen thuộc.</t>
  </si>
  <si>
    <t>Những cải cách về mức giảm trừ gia cảnh và đơn giản hóa biểu thuế tạo ra sự công bằng hơn. Tuy nhiên, việc thực thi vẫn cần thêm thời gian để chứng minh</t>
  </si>
  <si>
    <t>Mức thuế mới có thể coi là hợp lý đối với thu nhập hiện tại của tôi, nhưng vẫn chưa hoàn toàn công bằng khi so sánh với người có mức thu nhập khác.</t>
  </si>
  <si>
    <t>Nhà nước đã giải thích một số thông tin về mục tiêu cải cách thuế, nhưng việc sử dụng hiệu quả nguồn thu từ thuế vẫn chưa rõ ràng</t>
  </si>
  <si>
    <t>Thông tin về lý do và mục tiêu của cải cách thuế được cung cấp đầy đủ, nhưng cần thêm thời gian để chứng minh rằng thông điệp này đã truyền đạt đúng với thực tế.</t>
  </si>
  <si>
    <t>Sau khi cân nhắc các quyền lợi mới và nghĩa vụ do cải cách thuế tạo ra, tôi có xu hướng ủng hộ chính sách nhưng vẫn cần thêm thời gian để quen thuộc</t>
  </si>
  <si>
    <t>Các quy định quản lý thuế mới có mức giảm trừ gia cảnh cao hơn, tạo động lực ngăn chặn trốn thuế. Tuy nhiên, việc phát hiện và xử lý vẫn phụ thuộc vào công nghệ và nguồn lực của cơ quan thuế.</t>
  </si>
  <si>
    <t>Việc áp dụng công nghệ trong quản lý thuế như phần mềm khai thuế điện tử có thể giúp tăng cường khả năng phát hiện trốn thuế. Tuy nhiên, vẫn còn tồn tại rủi ro về sự thiếu hụt nguồn lực.</t>
  </si>
  <si>
    <t>Biểu thuế đơn giản hơn và mức giảm trừ gia cảnh cao hơn có thể làm các thủ tục khai báo trở nên thuận tiện hơn. Tuy nhiên, vẫn cần cải thiện về dịch vụ hỗ trợ của cơ quan thuế.</t>
  </si>
  <si>
    <t>Cách tính thuế và bậc thuế mới đơn giản hóa quy trình tính toán, dễ hiểu và thực hiện hơn so với trước đây. Tuy nhiên, sự thay đổi này có thể cần thời gian để người dân thích ứng.</t>
  </si>
  <si>
    <t>Nhà nước đã tăng mức giảm trừ gia cảnh và đơn giản hóa biểu thuế, tạo cảm giác công bằng hơn cho người nộp thuế. Tuy nhiên, vẫn cần thêm các biện pháp để đảm bảo thực thi chính sách khách quan.</t>
  </si>
  <si>
    <t>Mức thuế mới được thiết kế theo mức thu nhập, tạo cảm giác công bằng hơn so với trước đây. Tuy nhiên, vẫn cần thêm thông tin về cách áp dụng để tăng sự thuyết phục.</t>
  </si>
  <si>
    <t>Thuê đóng góp vào các dịch vụ công như y tế và giao thông có thể tạo cảm giác thực hiện trách nhiệm. Tuy nhiên, hiệu quả sử dụng nguồn thuế vẫn cần được cải thiện để tăng niềm tin.</t>
  </si>
  <si>
    <t>Nhà nước đã tăng cường truyền thông về mục tiêu của chính sách mới. Tuy nhiên, sự minh bạch và giải thích rõ ràng hơn có thể giúp tăng độ thuyết phục.</t>
  </si>
  <si>
    <t>Mức thuế giảm và mức giảm trừ gia cảnh cao hơn tạo cảm giác công bằng và thuận lợi. Tuy nhiên, vẫn cần thêm thời gian để đánh giá hiệu quả thực tế của chính sách mới.</t>
  </si>
  <si>
    <t>Mức giảm trừ gia cảnh tăng đáng kể và quy định quản lý thuế trở nên đơn giản hơn, nhưng vẫn có khả năng trốn thuế.</t>
  </si>
  <si>
    <t>Công nghệ hiện đại ngày càng phát triển giúp cơ quan thuế dễ dàng phát hiện các hành vi gian lận, tăng cường quản lý.</t>
  </si>
  <si>
    <t>Bậc thuế giảm từ 7 xuống 5 đã làm đơn giản hóa quy trình khai báo và làm việc với cơ quan thuế hơn.</t>
  </si>
  <si>
    <t>Cách tính thuế mới có ít bậc hơn, dễ hiểu và thực hiện nhanh chóng so với trước đây.</t>
  </si>
  <si>
    <t>Nhà nước đã cải thiện quy định quản lý thuế nhưng vẫn cần thêm thời gian để mọi người tin tưởng vào sự công bằng.</t>
  </si>
  <si>
    <t>Thuế mới được thiết kế sao cho phù hợp với thu nhập hiện tại, nhưng mức độ công bằng còn phụ thuộc vào nhiều yếu tố.</t>
  </si>
  <si>
    <t>Số tiền thuế đóng sẽ được sử dụng hiệu quả cho dịch vụ công, nhưng cần thêm minh bạch trong việc phân bổ ngân sách.</t>
  </si>
  <si>
    <t>Giải thích về lý do và mục tiêu của chính sách mới đã rõ ràng hơn so với trước đây.</t>
  </si>
  <si>
    <t>Thu nhập giảm trừ gia cảnh lớn hơn, nhưng mức thuế vẫn hợp lý. Quy trình khai báo đơn giản nên sẽ tuân thủ.</t>
  </si>
  <si>
    <t>Các quy định quản lý thuế hiện nay đã được cải thiện đáng kể với mức giảm trừ gia cảnh cao hơn, giúp phát hiện và xử lý gian lận. Công nghệ hiện đại cũng hỗ trợ tốt cho việc này.</t>
  </si>
  <si>
    <t>Nhà nước có nhiều nguồn lực và công nghệ tiên tiến để giám sát và xử lý trốn thuế, nhưng thực tế vẫn còn các trường hợp khó phát hiện.</t>
  </si>
  <si>
    <t>Các quy định về giảm trừ gia cảnh cao hơn và số bậc thuế ít đi đã đơn giản hóa thủ tục khai báo. Quy trình làm việc với cơ quan thuế cũng trở nên nhanh chóng.</t>
  </si>
  <si>
    <t>Biểu thuế được đơn giản hóa từ 7 bậc xuống còn 5, giảm sự phức tạp và dễ hiểu hơn cho người dân. Cách tính thuế mới rõ ràng hơn so với trước đây.</t>
  </si>
  <si>
    <t>Thuế suất và ngưỡng chịu thuế được điều chỉnh công bằng đối với các mức thu nhập khác nhau, tạo ra sự công bằng trong việc đóng góp. Cơ quan thuế có nhiều nguồn lực để thực thi.</t>
  </si>
  <si>
    <t>Mức thuế mới được thiết kế dựa trên thu nhập cá nhân nên tôi thấy công bằng. Tuy nhiên, tôi vẫn lo ngại về việc gian lận</t>
  </si>
  <si>
    <t>Thuế đóng góp cho các dịch vụ công như y tế và hạ tầng, nhưng cần thời gian để chứng minh hiệu quả sử dụng. Việc cải thiện giảm trừ gia cảnh giúp tôi tin tưởng hơn.</t>
  </si>
  <si>
    <t>Thời gian qua, Nhà nước đã giải thích về các quy định mới nhưng vẫn còn nhiều thông tin chưa rõ ràng. Tuy nhiên, mức thuế mới dễ hiểu hơn so với trước đây.</t>
  </si>
  <si>
    <t>Sau khi xem xét các quyền lợi và nghĩa vụ, tôi ủng hộ chính sách mới vì lợi ích của bản thân và cộng đồng. Các cải cách giúp đơn giản hóa thủ tục và công bằng hơn.</t>
  </si>
  <si>
    <t>Các quy định quản lý thuế hiện nay chưa rõ ràng và dễ bị lợi dụng, do đó khả năng phát hiện gian lận thấp.</t>
  </si>
  <si>
    <t>Công nghệ hiện đại giúp tăng cường khả năng phát hiện trốn thuế, nhưng vẫn phụ thuộc vào thực thi.</t>
  </si>
  <si>
    <t>Mức giảm trừ gia cảnh cao hơn và quy trình khai báo thuế đơn giản hơn đã tạo thuận tiện cho người nộp thuế.</t>
  </si>
  <si>
    <t>Biểu thuế được đơn giản hóa, nhưng mức thu nhập chịu thuế còn phức tạp gây khó hiểu.</t>
  </si>
  <si>
    <t>Niềm tin vào thực thi chính sách khách quan còn thấp do lịch sử xử lý trốn thuế không công bằng.</t>
  </si>
  <si>
    <t>Mức thuế mới có thể hợp lý đối với thu nhập hiện tại, nhưng vẫn cần thời gian để kiểm chứng tính công bằng.</t>
  </si>
  <si>
    <t>Nhà nước chưa minh bạch về việc sử dụng số tiền thuế đóng vào các dịch vụ công.</t>
  </si>
  <si>
    <t>Những thông điệp giải thích về mục tiêu của chính sách mới chưa thuyết phục được người dân.</t>
  </si>
  <si>
    <t>Mặc dù thuận tiện hơn nhưng vẫn còn nhiều nghi ngờ về tính công bằng và hiệu quả sử dụng số tiền thuế.</t>
  </si>
  <si>
    <t>Công nghệ hiện đại ngày càng phát triển, đặc biệt là trong lĩnh vực quản lý thuế. Việc áp dụng công nghệ giúp việc phát hiện và xử lý trốn thuế trở nên dễ dàng hơn.</t>
  </si>
  <si>
    <t>Nhà nước đã đầu tư vào hệ thống công nghệ thông tin, đảm bảo khả năng kiểm soát và xử lý nghiêm các trường hợp trốn thuế.</t>
  </si>
  <si>
    <t>Số bậc thuế giảm từ 7 xuống còn 5 đã đơn giản hóa quy trình khai báo thuế. Người dân cũng có thể dễ dàng hơn trong việc làm việc với cơ quan thuế nhờ sự cải cách này.</t>
  </si>
  <si>
    <t>Cách tính thuế mới đơn giản hơn so với trước đây, người dân có thể hiểu rõ và áp dụng dễ dàng hơn các bậc thuế mới.</t>
  </si>
  <si>
    <t>Nhà nước đã cải cách quy định quản lý thuế một cách công bằng, khách quan đối với mọi người nộp thuế. Điều này tăng niềm tin vào hệ thống quản lý thuế hiện tại.</t>
  </si>
  <si>
    <t>Mức thuế mới được điều chỉnh dựa trên thu nhập cá nhân, tạo cảm giác công bằng trong việc đóng góp cho ngân sách nhà nước.</t>
  </si>
  <si>
    <t>Thuế tôi đóng sẽ được sử dụng hiệu quả để cải thiện dịch vụ công. Tuy nhiên, cần thời gian để đánh giá thực tế.</t>
  </si>
  <si>
    <t>Nhà nước đã giải thích rõ ràng về mục tiêu và lý do của việc sửa đổi thuế, tạo sự minh bạch trong quá trình thực thi.</t>
  </si>
  <si>
    <t>Sau khi xem xét các quyền lợi và nghĩa vụ, tôi ủng hộ chính sách mới. Nó mang lại lợi ích tài chính cho cá nhân và đơn giản hóa quy trình thuế.</t>
  </si>
  <si>
    <t>Tăng cường quản lý thuế và công nghệ phát hiện trốn thuế có thể làm giảm hành vi gian lận.</t>
  </si>
  <si>
    <t>Công nghệ ngày càng tiến bộ, khả năng phát hiện trốn thuế của cơ quan thuế sẽ cao hơn.</t>
  </si>
  <si>
    <t>Đơn giản hóa quy trình khai báo và làm việc với cơ quan thuế tạo thuận lợi cho người nộp thuế.</t>
  </si>
  <si>
    <t>Biểu thuế mới đơn giản hơn, giảm số bậc thuế từ 7 xuống còn 5, dễ hiểu và thực hiện hơn.</t>
  </si>
  <si>
    <t>Giảm trừ gia cảnh tăng lên, thể hiện sự công bằng trong việc đánh thuế cho người nộp thuế.</t>
  </si>
  <si>
    <t>Mức thuế mới giảm nhẹ, phù hợp với thu nhập của tôi và cảm thấy công bằng khi so sánh với mức cũ.</t>
  </si>
  <si>
    <t>Giảm trừ gia cảnh tăng lên, số tiền thuế đóng sẽ được sử dụng hiệu quả để cải thiện dịch vụ công như y tế, đường xá.</t>
  </si>
  <si>
    <t>Thông tin về lý do và mục tiêu sửa đổi thuế không đủ minh bạch nhưng vẫn có sự cố gắng giải thích rõ ràng.</t>
  </si>
  <si>
    <t>Niềm tin vào hệ thống thuế mới tăng lên, gánh nặng thuế giảm nhẹ nên khả năng tuân thủ sẽ cao hơn.</t>
  </si>
  <si>
    <t>Biểu thuế đơn giản hóa và tăng giảm trừ gia cảnh có thể làm giảm khả năng trốn thuế, nhưng vẫn cần công nghệ và quy định quản lý mạnh mẽ để phát hiện gian lận.</t>
  </si>
  <si>
    <t>Nhu cầu về công nghệ phát hiện trốn thuế đã tăng cao, tuy nhiên hiệu quả thực tế phụ thuộc vào khả năng triển khai và sử dụng công nghệ.</t>
  </si>
  <si>
    <t>Biểu thuế đơn giản hóa từ 7 bậc xuống còn 5 bậc có thể làm các thủ tục trở nên tiện lợi hơn, nhưng chi tiết thực tế phụ thuộc vào cách triển khai.</t>
  </si>
  <si>
    <t>Cách tính thuế và các bậc thuế mới đơn giản hóa so với trước đây, giảm bớt sự phức tạp cho người nộp thuế.</t>
  </si>
  <si>
    <t>Nâng cao mức giảm trừ gia cảnh có thể làm tăng niềm tin vào hệ thống thuế công bằng, nhưng vẫn cần đảm bảo thực thi khách quan và công chính.</t>
  </si>
  <si>
    <t>Mức thuế mới có thể xem là công bằng cho thu nhập hiện tại của tôi, nhưng vẫn cần thêm thông tin về mục tiêu chính sách để đánh giá đầy đủ.</t>
  </si>
  <si>
    <t>Nâng cao mức giảm trừ gia cảnh và đơn giản hóa biểu thuế có thể làm tăng niềm tin vào việc sử dụng hiệu quả số tiền thuế, nhưng cần thêm thông tin về dự án đầu tư công.</t>
  </si>
  <si>
    <t>Các thông tin giải thích về lý do sửa đổi thuế chưa đầy đủ và chi tiết, nên tôi vẫn còn nghi ngờ về sự minh bạch của chính sách.</t>
  </si>
  <si>
    <t>Nếu các quyền lợi từ chính sách mới phù hợp với thu nhập hiện tại của tôi và thực thi công bằng, tôi sẽ ủng hộ nó. Tuy nhiên, cần thêm thông tin để đánh giá đầy đủ.</t>
  </si>
  <si>
    <t>Mức giảm trừ gia cảnh tăng cao, thể hiện sự công bằng trong việc đánh thuế. Tuy nhiên, khả năng phát hiện trốn thuế phụ thuộc nhiều vào cơ chế quản lý và kiểm soát của cơ quan thuế.</t>
  </si>
  <si>
    <t>Với các quy định mới về mức giảm trừ gia cảnh và biểu thuế đơn giản hơn, việc phát hiện trốn thuế có thể trở nên dễ dàng hơn. Cơ sở dữ liệu điện tử cũng giúp cải thiện khả năng giám sát.</t>
  </si>
  <si>
    <t>Biểu thuế được đơn giản hóa từ 7 bậc xuống còn 5, việc khai báo thuế và làm việc với cơ quan thuế trở nên dễ dàng hơn. Việc cung cấp thông tin qua hệ thống điện tử giúp thuận tiện trong quá trình nộp thuế.</t>
  </si>
  <si>
    <t>Các bậc thuế mới được thiết kế đơn giản, rõ ràng và dễ hiểu hơn so với trước đây. Điều này giúp người dân nắm bắt nhanh chóng và dễ dàng áp dụng.</t>
  </si>
  <si>
    <t>Mức giảm trừ gia cảnh tăng cao cho bản thân và phụ thuộc, thể hiện sự công bằng trong việc đánh thuế. Tuy nhiên, mức thuế mới có thể khác với kỳ vọng ban đầu về cải cách.</t>
  </si>
  <si>
    <t>Thu nhập từ 60 triệu đến 100 triệu chịu thuế suất 30%, cao hơn so với trước đây. Điều này làm giảm cảm giác công bằng, mặc dù mức thuế mới đơn giản hơn.</t>
  </si>
  <si>
    <t>Tiền thuế tôi đóng sẽ được sử dụng để cải thiện y tế và cơ sở hạ tầng, tuy nhiên, việc thực thi chính sách còn phụ thuộc vào hiệu quả quản lý của nhà nước.</t>
  </si>
  <si>
    <t>Thống kê về mức giảm trừ gia cảnh và biểu thuế mới được công khai. Tuy nhiên, người dân cần tiếp tục theo dõi thông tin chính sách để hiểu rõ mục tiêu cải cách.</t>
  </si>
  <si>
    <t>Mức giảm trừ gia cảnh tăng cao giúp tôi tiết kiệm một phần chi phí thuế, tuy nhiên, mức thuế từ 60 triệu trở lên cao hơn so với kỳ vọng. Tôi sẽ tuân thủ chính sách mới nhưng vẫn có sự thận trọng.</t>
  </si>
  <si>
    <t>Cải cách thuế TNCN lần này không có thông tin về công nghệ phát hiện trốn thuế nâng cao, nên khả năng phát hiện trốn thuế chưa thay đổi nhiều. Tuy nhiên, với mức giảm trừ gia cảnh tăng lên, tôi cảm thấy cơ hội trốn thuế sẽ giảm.</t>
  </si>
  <si>
    <t>Công nghệ ngày càng tiến bộ và chính phủ cũng đầu tư vào phát triển hệ thống quản lý thuế. Tuy nhiên, không có thông tin cụ thể về việc áp dụng công nghệ mới trong cải cách này.</t>
  </si>
  <si>
    <t>Biểu thuế được đơn giản hóa từ 7 bậc xuống còn 5 bậc, giảm thời gian và công sức khai báo. Tuy nhiên, mức giảm trừ gia cảnh tăng lên có thể làm phức tạp hơn việc tính toán thu nhập.</t>
  </si>
  <si>
    <t>Cách tính thuế mới đơn giản hơn so với trước đây, nhưng số bậc thuế còn nhiều và cần thời gian để quen thuộc. Mức thuế suất cũng được điều chỉnh theo mức thu nhập nên dễ hiểu hơn.</t>
  </si>
  <si>
    <t>Mức giảm trừ gia cảnh tăng lên giúp tôi cảm thấy công bằng hơn khi nộp thuế. Tuy nhiên, mức thuế mới có thể không phù hợp với một số ngành nghề đặc thù.</t>
  </si>
  <si>
    <t>Đối với thu nhập của tôi, mức thuế mới vẫn còn hợp lý nhưng chưa rõ ràng về cách tính thuế đối với những người thuộc các ngành nghề khác nhau.</t>
  </si>
  <si>
    <t>Mức giảm trừ gia cảnh tăng lên giúp cải thiện dịch vụ công. Tuy nhiên, tôi chưa hoàn toàn tin tưởng vào việc sử dụng hiệu quả số tiền thuế thu được.</t>
  </si>
  <si>
    <t>Chính phủ đã giải thích rõ ràng về mức giảm trừ gia cảnh nhưng thông tin về cách tính thuế mới chưa đầy đủ. Tuy nhiên, tôi nhận thấy sự cố gắng của họ trong việc minh bạch.</t>
  </si>
  <si>
    <t>Tôi ủng hộ cải cách vì nó giúp giảm gánh nặng thuế và đơn giản hóa quy trình khai báo. Tôi sẽ tuân thủ theo các quyền lợi mà chính sách mang lại.</t>
  </si>
  <si>
    <t>Cải cách thuế TNCN tập trung vào việc đơn giản hóa và minh bạch hóa quy trình, tuy nhiên không đề cập rõ về công nghệ để phát hiện trốn thuế.</t>
  </si>
  <si>
    <t>Việc cải cách tăng mức giảm trừ gia cảnh và đơn giản hóa biểu thuế có thể góp phần trong việc làm khó khăn hơn cho hành vi gian lận, tuy nhiên không có thông tin rõ ràng về công nghệ hỗ trợ phát hiện trốn thuế.</t>
  </si>
  <si>
    <t>Biểu thuế mới đơn giản hóa từ 7 bậc xuống còn 5 bậc, giảm bớt rườm rà trong quy trình khai báo và làm việc với cơ quan thuế, tạo thuận lợi cho người nộp thuế.</t>
  </si>
  <si>
    <t>Cách tính thuế mới đơn giản hóa các bậc thuế từ 7 xuống 5, dễ hiểu và thực hiện hơn, giúp giảm gánh nặng về mặt tâm lý cho người dân khi làm thủ tục khai báo.</t>
  </si>
  <si>
    <t>Mức giảm trừ gia cảnh tăng đáng kể, tạo cảm giác công bằng trong việc phân bổ thuế cho cá nhân. Tuy nhiên, mức thuế suất mới chưa rõ ràng về cách tính cụ thể đối với từng nhóm thu nhập.</t>
  </si>
  <si>
    <t>Mức thuế mới được thiết kế dựa trên mức giảm trừ gia cảnh và các bậc thuế mới, tạo cảm giác công bằng cho người nộp thuế. Tuy nhiên, không có thông tin rõ ràng về việc giải thích lý do cụ thể.</t>
  </si>
  <si>
    <t>Giảm trừ gia cảnh tăng đáng kể, tạo niềm tin vào việc sử dụng tiền thuế hiệu quả cho dịch vụ công. Tuy nhiên, không có thông tin rõ ràng về cách sử dụng số tiền thuế thu được.</t>
  </si>
  <si>
    <t>Thông tin về cải cách thuế chưa đầy đủ và minh bạch, nên người dân còn doubting về việc giải thích rõ lý do và mục tiêu của chính sách mới. Tuy nhiên, mức giảm trừ gia cảnh tăng đáng kể tạo cảm giác công bằng.</t>
  </si>
  <si>
    <t>Cải cách thuế tạo thuận lợi cho người nộp thuế thông qua việc đơn giản hóa quy trình khai báo và tính thuế. Niềm tin vào chính sách mới có phần cải thiện do mức giảm trừ gia cảnh tăng đáng kể, nhưng vẫn còn doubting về minh bạch của chính sách.</t>
  </si>
  <si>
    <t>Chính sách mới đã tăng giảm trừ gia cảnh, giảm số bậc thuế và đơn giản hóa quy trình khai báo. Điều này làm giảm rủi ro trốn thuế và tạo niềm tin cho người nộp thuế.</t>
  </si>
  <si>
    <t>Công nghệ hiện đại như AI, Big Data có thể giúp phát hiện hành vi gian lận một cách nhanh chóng. Tuy nhiên, việc thực thi vẫn phụ thuộc vào hiệu quả của cơ quan thuế.</t>
  </si>
  <si>
    <t>Biểu thuế được đơn giản hóa từ 7 bậc xuống còn 5 bậc, giảm thời gian và công sức cho người nộp thuế. Quy trình khai báo cũng dễ dàng hơn.</t>
  </si>
  <si>
    <t>Cách tính thuế mới rõ ràng hơn với số bậc thuế ít hơn, giúp người dân hiểu và thực hiện dễ dàng hơn.</t>
  </si>
  <si>
    <t>Mức giảm trừ gia cảnh tăng lên làm giảm gánh nặng thuế cho người nộp thuế. Tuy nhiên, vẫn có sự hoài nghi về cách thực thi của cơ quan thuế.</t>
  </si>
  <si>
    <t>Thuế mới được điều chỉnh theo thu nhập, thể hiện tính công bằng hơn. Tuy nhiên, mức thuế vẫn cao đối với những người có thu nhập cao.</t>
  </si>
  <si>
    <t>Giảm trừ gia cảnh tăng lên làm giảm gánh nặng về mặt tài chính cho người nộp thuế và tạo niềm tin vào việc sử dụng số tiền thuế một cách hiệu quả.</t>
  </si>
  <si>
    <t>Đã có giải thích rõ ràng về mục tiêu cải cách, nhưng thông điệp chưa thực sự thuyết phục tất cả các đối tượng.</t>
  </si>
  <si>
    <t>Niềm tin và cảm giác công bằng tăng lên do giảm trừ gia cảnh và đơn giản hóa thuế. Tuy nhiên, vẫn có sự hoài nghi về việc thực thi chính sách.</t>
  </si>
  <si>
    <t>Biểu thuế đơn giản và rõ ràng hơn, giảm rủi ro gian lận.</t>
  </si>
  <si>
    <t>Công nghệ hiện đại có thể phát hiện gian lận hiệu quả.</t>
  </si>
  <si>
    <t>Mức giảm trừ gia cảnh tăng, thủ tục khai báo đơn giản hơn so với trước đây.</t>
  </si>
  <si>
    <t>Biểu thuế được rút gọn từ 7 bậc xuống còn 5 bậc, dễ hiểu và thực hiện nhanh chóng hơn.</t>
  </si>
  <si>
    <t>Thuế suất và ngưỡng chịu thuế được điều chỉnh phù hợp với thu nhập, tạo cảm giác công bằng hơn.</t>
  </si>
  <si>
    <t>Mức giảm trừ gia cảnh tăng, tạo niềm tin vào việc sử dụng hiệu quả nguồn thu thuế.</t>
  </si>
  <si>
    <t>Truyền thông về chính sách mới chưa đầy đủ khiến nghi ngờ về sự minh bạch.</t>
  </si>
  <si>
    <t>Niềm tin và cảm giác công bằng tăng, nhưng vẫn có lo ngại về việc tuân thủ nghiêm ngặt của cơ quan thuế.</t>
  </si>
  <si>
    <t>Nâng cao giảm trừ gia cảnh và đơn giản hóa biểu thuế có thể làm giảm rủi ro trốn thuế. Công nghệ hiện đại cũng giúp phát hiện hành vi gian lận dễ dàng hơn.</t>
  </si>
  <si>
    <t>Công nghệ tiên tiến ngày càng được áp dụng trong quản lý thuế, tăng khả năng phát hiện và xử lý trốn thuế một cách nhanh chóng và chính xác.</t>
  </si>
  <si>
    <t>Giảm số bậc thuế từ 7 xuống còn 5 có thể làm cho quy trình khai báo thuế đơn giản hơn, tiết kiệm thời gian cho người dân.</t>
  </si>
  <si>
    <t>Các bậc thuế mới được đơn giản hóa và minh bạch hơn, giúp người dân dễ hiểu và thực hiện các bước tính thuế của mình.</t>
  </si>
  <si>
    <t>Giảm trừ gia cảnh cao hơn và số bậc thuế ít đi có thể làm tăng niềm tin rằng nhà nước đang đối xử công bằng với mọi người nộp thuế.</t>
  </si>
  <si>
    <t>Các mức thuế mới được thiết kế dựa trên thu nhập, tạo cảm giác công bằng cho người dân.</t>
  </si>
  <si>
    <t>Giảm trừ gia cảnh cao hơn có thể làm tăng niềm tin rằng số tiền thuế đóng sẽ được sử dụng hiệu quả để cải thiện dịch vụ công.</t>
  </si>
  <si>
    <t>Thông tin về luật mới đã được truyền đạt một cách rõ ràng, giúp người dân hiểu lý do và mục tiêu của việc sửa đổi thuế.</t>
  </si>
  <si>
    <t>Niềm tin và cảm giác công bằng cao hơn từ các cải cách có thể làm tăng khả năng ủng hộ và tuân thủ chính sách mới.</t>
  </si>
  <si>
    <t>Các quy định quản lý thuế hiện nay đã được cải cách, với mức giảm trừ gia cảnh tăng lên. Điều này làm giảm gánh nặng thuế và tạo điều kiện cho việc minh bạch hóa thông tin về thu nhập, giúp phát hiện trốn thuế dễ dàng hơn.</t>
  </si>
  <si>
    <t>Việc áp dụng công nghệ cao trong quản lý thuế sẽ giúp tăng cường khả năng phát hiện và xử lý nghiêm các hành vi gian lận. Tuy nhiên, hiệu quả thực tế phụ thuộc vào việc triển khai công nghệ.</t>
  </si>
  <si>
    <t>Mức giảm trừ gia cảnh và số bậc thuế được đơn giản hóa tạo nên quy trình khai báo thuế thuận tiện hơn. Điều này làm tăng độ tiện lợi cho người nộp thuế.</t>
  </si>
  <si>
    <t>Các bậc thuế mới đã được đơn giản hóa, dễ hiểu và thực hiện nhanh chóng hơn so với trước đây, do đó việc tính thuế trở nên dễ dàng hơn.</t>
  </si>
  <si>
    <t>Nhà nước đã cải cách mức giảm trừ gia cảnh và đơn giản hóa quy trình khai báo thuế. Điều này thể hiện sự công bằng trong việc đối xử với mọi người nộp thuế.</t>
  </si>
  <si>
    <t>Mức thuế mới được thiết kế dựa trên thu nhập, tạo ra sự công bằng cho người thu nhập như tôi. Tuy nhiên, mức thuế mới có thể chưa hoàn toàn phản ánh tình hình thực tế của thị trường lao động.</t>
  </si>
  <si>
    <t>Sau cải cách thuế, số tiền thuế đóng sẽ được sử dụng hiệu quả hơn để cải thiện dịch vụ công. Tuy nhiên, việc minh bạch hóa sử dụng ngân sách vẫn còn là vấn đề quan trọng.</t>
  </si>
  <si>
    <t>Nhà nước đã công bố các thông tin về chính sách mới một cách đầy đủ và minh bạch. Tuy nhiên, việc truyền thông chính xác đến người dân vẫn cần cải thiện hơn nữa.</t>
  </si>
  <si>
    <t>Sau khi cân nhắc các quyền lợi và nghĩa vụ, tôi thấy chính sách mới mang lại nhiều ưu điểm về mặt giảm gánh nặng thuế và đơn giản hóa quy trình khai báo. Vì vậy, tôi ủng hộ và sẵn sàng tuân thủ.</t>
  </si>
  <si>
    <t>Điều kiện quản lý thuế hiện tại chưa đủ mạnh để phát hiện trốn thuế.</t>
  </si>
  <si>
    <t>Công nghệ hiện đại giúp tăng khả năng phát hiện, nhưng vẫn cần cải thiện.</t>
  </si>
  <si>
    <t>Mức giảm trừ gia cảnh cao hơn và biểu thuế đơn giản hơn đã làm thủ tục khai báo trở nên dễ dàng hơn.</t>
  </si>
  <si>
    <t>Biểu thuế mới có ít bậc hơn, nhưng vẫn cần thời gian để người dân quen với cách tính mới.</t>
  </si>
  <si>
    <t>Công bằng khi mức giảm trừ gia cảnh và biểu thuế mới được tăng lên.</t>
  </si>
  <si>
    <t>Thuế mới có thể công bằng hơn so với trước, nhưng cần thời gian để đánh giá.</t>
  </si>
  <si>
    <t>Niềm tin vào việc sử dụng số tiền thuế hiệu quả chưa đủ mạnh mẽ.</t>
  </si>
  <si>
    <t>Nhà nước đã giải thích rõ ràng về lý do thay đổi, nhưng vẫn cần thêm thông tin để thuyết phục</t>
  </si>
  <si>
    <t>Công bằng và thuận tiện hơn so với trước đây, nhưng vẫn có nghi ngờ về việc thực thi.</t>
  </si>
  <si>
    <t>Các quy định quản lý thuế hiện nay có nhiều cải tiến về công nghệ, tăng cường phát hiện hành vi gian lận và trốn thuế.</t>
  </si>
  <si>
    <t>Nhà nước đã đầu tư vào hệ thống công nghệ thông tin để nâng cao hiệu quả quản lý thuế, giảm thiểu các hành vi trốn thuế.</t>
  </si>
  <si>
    <t>Giảm trừ gia cảnh và đơn giản hóa biểu thuế giúp quá trình khai báo thuế trở nên đơn giản hơn so với trước đây.</t>
  </si>
  <si>
    <t>Biểu thuế mới có ít bậc hơn, dễ hiểu và rõ ràng hơn, phù hợp với cách tính thuế hiện nay.</t>
  </si>
  <si>
    <t>Nhà nước đã cải thiện quy định về giảm trừ gia cảnh, tạo cảm giác công bằng đối với người nộp thuế.</t>
  </si>
  <si>
    <t>Các bậc thuế mới có thể được coi là công bằng hơn so với trước đây, nhưng vẫn cần xem xét chi tiết mức thu nhập và thuế suất.</t>
  </si>
  <si>
    <t>Thuế mới được sử dụng để cải thiện các dịch vụ công, tạo cảm giác trách nhiệm của người nộp thuế đối với cộng đồng.</t>
  </si>
  <si>
    <t>Nhà nước đã giải thích về mục tiêu và lý do của việc sửa đổi thuế, nhưng cần nhiều thông tin rõ ràng hơn để thuyết phục mọi người.</t>
  </si>
  <si>
    <t>Sau khi xem xét các quyền lợi và nghĩa vụ, tôi ủng hộ chính sách mới vì nó mang lại lợi ích tài chính cho cá nhân.</t>
  </si>
  <si>
    <t>Dựa trên cải cách thuế, việc tăng giảm trừ gia cảnh và đơn giản hóa biểu thuế đều giúp kiểm soát gian lận thuế trở nên khó khăn hơn. Tuy nhiên, công nghệ phát hiện trốn thuế vẫn chưa được đề cập cụ thể.</t>
  </si>
  <si>
    <t>Công nghệ ngày càng tiên tiến và chính phủ có nhiều nguồn lực để phát triển hệ thống giám sát và xử lý trốn thuế. Sự cải cách về giảm trừ gia cảnh cũng giúp tăng cường khả năng phát hiện.</t>
  </si>
  <si>
    <t>Biểu thuế đơn giản hơn, ngưỡng chịu thuế rõ ràng hơn tạo nên sự thuận tiện cho quá trình khai báo thuế</t>
  </si>
  <si>
    <t>Cách tính thuế và bậc thuế mới dễ hiểu hơn so với trước đây. Điều này giúp người nộp thuế dễ dàng nắm bắt.</t>
  </si>
  <si>
    <t>Nhà nước đã cải cách giảm trừ gia cảnh, điều này thể hiện sự công bằng trong việc đối xử giữa các cá nhân có thu nhập khác nhau</t>
  </si>
  <si>
    <t>Mức thuế mới được thiết kế dựa trên thu nhập, tạo cảm giác công bằng so với người cùng mức thu nhập khác</t>
  </si>
  <si>
    <t>Giảm trừ gia cảnh tăng lên và cải cách biểu thuế giúp số tiền đóng thuế trở nên hợp lý hơn. Tuy nhiên, hiệu quả sử dụng ngân sách vẫn cần thời gian để chứng minh.</t>
  </si>
  <si>
    <t>Cải cách thuế đã được giải thích rõ ràng thông qua các đợt thông tin chính sách, nhưng mức độ thuyết phục còn hạn chế với một số đối tượng</t>
  </si>
  <si>
    <t>Mức giảm trừ gia cảnh và đơn giản hóa biểu thuế tạo ra lợi ích tài chính. Tuy nhiên, sự phức tạp của hệ thống thuế vẫn còn khiến tôi cân nhắc về việc tuân thủ.</t>
  </si>
  <si>
    <t>Dựa trên thông tin cải cách thuế, các quy định quản lý thuế hiện nay có nhiều biện pháp chống trốn thuế. Tuy nhiên, việc phát hiện và xử lý trốn thuế vẫn phụ thuộc vào công nghệ và nguồn lực của cơ quan thuế.</t>
  </si>
  <si>
    <t>Công nghệ ngày càng phát triển, giúp tăng khả năng phát hiện gian lận. Tuy nhiên, hiệu quả thực sự còn phụ thuộc vào việc áp dụng công nghệ và nguồn lực của cơ quan thuế.</t>
  </si>
  <si>
    <t>Cải cách thuế đơn giản hóa quy trình khai báo, nhưng vẫn cần thời gian để người dân nắm bắt. Việc giảm số bậc thuế từ 7 xuống còn 5 giúp cải thiện thuận tiện cho người nộp thuế.</t>
  </si>
  <si>
    <t>Cách tính và bậc thuế mới đơn giản hơn so với trước đây, khiến việc hiểu rõ mức thuế cần đóng dễ dàng hơn. Tuy nhiên, phương án mới vẫn chưa hoàn toàn đơn giản đối với mọi người.</t>
  </si>
  <si>
    <t>Việc tăng giảm trừ gia cảnh giúp phần nào công bằng hóa hệ thống thuế. Cơ quan thuế có thể thực thi chính sách một cách khách quan, nhưng vẫn cần thời gian để người dân tin tưởng.</t>
  </si>
  <si>
    <t>Các bậc thuế mới được thiết kế dựa trên thu nhập, tạo nên sự công bằng. Tuy nhiên, mức thuế cụ thể còn phụ thuộc vào thu nhập cá nhân, cần xem xét kỹ.</t>
  </si>
  <si>
    <t>Giảm trừ gia cảnh tăng lên giúp cải thiện dịch vụ công. Tuy nhiên, việc sử dụng hiệu quả số tiền thuế đóng vẫn phụ thuộc vào quản lý của chính phủ.</t>
  </si>
  <si>
    <t>Cải cách thuế có thông tin rõ ràng hơn về mục tiêu và lý do, nhưng vẫn cần thời gian để người dân hiểu và tin tưởng. Tuy nhiên, cơ sở pháp lý đã được cải thiện.</t>
  </si>
  <si>
    <t>Dựa trên các lợi ích và nghĩa vụ, chính sách mới mang lại nhiều thuận tiện cho người nộp thuế. Tuy nhiên, vẫn cần thời gian để tin tưởng hoàn toàn vào việc thực thi chính sách.</t>
  </si>
  <si>
    <t>Dựa trên thông tin cải cách thuế, các quy định quản lý thuế đã được tăng cường. Tuy nhiên, việc phát hiện hành vi gian lận vẫn phụ thuộc vào khả năng của cơ quan thuế và công nghệ.</t>
  </si>
  <si>
    <t>Công nghệ hiện đại có thể hỗ trợ tốt hơn trong việc phát hiện trốn thuế. Tuy nhiên, mức độ thực thi còn phụ thuộc vào nguồn lực của nhà nước.</t>
  </si>
  <si>
    <t>Biểu thuế được đơn giản hóa từ 7 bậc xuống 5 bậc, làm cho thủ tục khai báo thuế dễ dàng hơn. Ngoài ra, giảm trừ gia cảnh cao hơn cũng giúp việc kê khai thuận lợi.</t>
  </si>
  <si>
    <t>Cách tính thuế mới đơn giản hóa các bậc thuế, dễ hiểu và thực hiện nhanh chóng hơn so với trước đây. Điều này tạo cảm giác thuận tiện cho người nộp thuế.</t>
  </si>
  <si>
    <t>Thuế được giảm trừ gia cảnh cao hơn, công bằng hơn đối với người phụ thuộc. Tuy nhiên, mức độ tin tưởng vào sự công tâm của cơ quan thuế vẫn cần thời gian để đánh giá.</t>
  </si>
  <si>
    <t>Thuế suất và ngưỡng chịu thuế được điều chỉnh hợp lý, phù hợp với thu nhập cá nhân. Tuy nhiên, mức độ cảm thấy công bằng còn phụ thuộc vào sự hiểu biết của mỗi người về chính sách.</t>
  </si>
  <si>
    <t>Thuế được sử dụng hiệu quả cho các dịch vụ công, giảm trừ gia cảnh cao hơn cũng giúp cải thiện chất lượng cuộc sống. Tuy nhiên, mức độ tin tưởng vào việc sử dụng nguồn thu còn cần thời gian để đánh giá.</t>
  </si>
  <si>
    <t>Công bố rõ ràng về lý do và mục tiêu của chính sách mới đã tăng sự hiểu biết cho người dân. Tuy nhiên, mức độ thuyết phục vẫn phụ thuộc vào cách truyền thông.</t>
  </si>
  <si>
    <t>Thuế được giảm trừ cao hơn, thuận lợi trong việc kê khai thuế và công bằng hơn so với trước đây. Tuy nhiên, quyết định tuân thủ còn phụ thuộc vào nhiều yếu tố khác như trải nghiệm cá nhân.</t>
  </si>
  <si>
    <t>Các quy định quản lý thuế hiện nay được cải thiện, với mức giảm trừ gia cảnh tăng mạnh và biểu thuế đơn giản hơn. Điều này làm giảm cơ hội trốn thuế, nhưng vẫn cần công nghệ và nguồn lực để phát hiện.</t>
  </si>
  <si>
    <t>Nhà nước có đủ khả năng và công nghệ để phát hiện trốn thuế với mức độ cao hơn so với trước đây. Tuy nhiên, hiệu quả phụ thuộc vào nguồn lực và quyết tâm thực thi.</t>
  </si>
  <si>
    <t>Thủ tục khai báo thuế đơn giản hóa, nhưng vẫn cần thời gian quen thuộc. Việc giảm số bậc thuế từ 7 xuống 5 làm cho quy trình làm việc với cơ quan thuế dễ dàng hơn.</t>
  </si>
  <si>
    <t>Cách tính thuế và các bậc thuế trong phương án mới đơn giản hóa, nhưng cần thời gian để hiểu rõ. Sự đơn giản này có thể làm giảm gánh nặng cho người dân.</t>
  </si>
  <si>
    <t>Nhà nước đã cải thiện quy định về mức giảm trừ gia cảnh và biểu thuế, tạo cảm giác công bằng hơn. Tuy nhiên, vẫn cần thời gian để xem xét thực tế trong việc áp dụng.</t>
  </si>
  <si>
    <t>Mức thuế mới có thể phù hợp với thu nhập hiện tại, nhưng còn phụ thuộc vào chi phí cuộc sống và các yếu tố khác. Cần thời gian để xem xét kỹ lưỡng.</t>
  </si>
  <si>
    <t>Thuê đóng theo phương án mới có thể được sử dụng hiệu quả cho dịch vụ công, nhưng cần thời gian để xem xét thực tế về cách sử dụng nguồn thu. Cải thiện này tạo cảm giác tin tưởng.</t>
  </si>
  <si>
    <t>Nhà nước đã giải thích rõ ràng lý do và mục tiêu của việc sửa đổi thuế, nhưng cần thời gian để xem xét thực tế trong quá trình truyền thông. Sự minh bạch này tạo cảm giác tin tưởng.</t>
  </si>
  <si>
    <t>Thu nhập tăng và mức giảm trừ gia cảnh cao hơn làm tăng niềm tin vào chính sách mới, đồng thời thủ tục đơn giản hóa cũng giúp dễ dàng tuân thủ. Tuy nhiên, vẫn cần xem xét kỹ lưỡng về hiệu quả thực tế.</t>
  </si>
  <si>
    <t>Nhà nước đã tăng cường quản lý thuế thông qua các quy định mới, tuy nhiên vẫn cần công nghệ phát hiện trốn thuế để đảm bảo hiệu quả.</t>
  </si>
  <si>
    <t>Công nghệ hiện nay hỗ trợ tốt việc giám sát và xử lý hành vi trốn thuế, nhưng vẫn chưa hoàn toàn chắc chắn.</t>
  </si>
  <si>
    <t>Thủ tục khai báo thuế đơn giản hơn và có nhiều thuận tiện trong làm việc với cơ quan thuế so với trước đây.</t>
  </si>
  <si>
    <t>Cách tính thuế mới rõ ràng, các bậc thuế dễ hiểu và thực hiện dễ dàng hơn so với trước đây.</t>
  </si>
  <si>
    <t>Nhà nước đã tăng giảm trừ gia cảnh và đơn giản hóa biểu thuế, tạo cảm giác công bằng trong việc nộp thuế.</t>
  </si>
  <si>
    <t>Mức thuế mới được thiết kế hợp lý với thu nhập hiện tại, tuy nhiên vẫn cần thời gian để tin tưởng hoàn toàn.</t>
  </si>
  <si>
    <t>Số tiền thuế đóng sẽ được sử dụng hiệu quả vào các dịch vụ công, tạo niềm tin vào sự minh bạch của Nhà nước.</t>
  </si>
  <si>
    <t>Nhà nước đã giải thích rõ ràng về mục tiêu cải cách thuế, tuy nhiên cần thêm thông tin chi tiết để thuyết phục hơn.</t>
  </si>
  <si>
    <t>Sau khi xem xét các quyền lợi và nghĩa vụ, tôi ủng hộ chính sách mới với mức độ cam kết cao.</t>
  </si>
  <si>
    <t>Biểu thuế được đơn giản hóa và có nhiều giảm trừ gia cảnh, nhưng cải cách này chưa tăng đáng kể khả năng phát hiện trốn thuế.</t>
  </si>
  <si>
    <t>Công nghệ hiện đại giúp phát hiện các hành vi gian lận, đặc biệt là với mức giảm trừ gia cảnh cao hơn.</t>
  </si>
  <si>
    <t>Quy trình khai báo thuế đã đơn giản hóa và rõ ràng hơn, nhưng vẫn cần cải thiện thêm về độ tiện lợi.</t>
  </si>
  <si>
    <t>Cách tính thuế mới dễ hiểu hơn so với trước đây, do số bậc thuế được giảm đi.</t>
  </si>
  <si>
    <t>Niềm tin vào sự công bằng và khách quan của cơ quan thuế tăng do mức giảm trừ gia cảnh cao hơn.</t>
  </si>
  <si>
    <t>Mức thuế mới có thể được coi là công bằng so với thu nhập hiện tại, nhưng cần thời gian để kiểm chứng.</t>
  </si>
  <si>
    <t>Số tiền thuế đóng sẽ hỗ trợ cải thiện dịch vụ công, đặc biệt là y tế và hạ tầng cơ sở.</t>
  </si>
  <si>
    <t>Trải nghiệm của tôi cho thấy thông tin về mục tiêu cải cách thuế chưa được giải thích rõ ràng.</t>
  </si>
  <si>
    <t>Sau khi xem xét, tôi ủng hộ chính sách mới vì lợi ích tài chính và giảm gánh nặng quản lý thuế.</t>
  </si>
  <si>
    <t>AI_ENF1_Norm</t>
  </si>
  <si>
    <t>Human_ENF1_Norm</t>
  </si>
  <si>
    <t>AI_ENF2_Norm</t>
  </si>
  <si>
    <t>Human_ENF2_Norm</t>
  </si>
  <si>
    <t>AI_ENF</t>
  </si>
  <si>
    <t>Human_ENF</t>
  </si>
  <si>
    <t>AI_FAC1_Norm</t>
  </si>
  <si>
    <t>Human_FAC1_Norm</t>
  </si>
  <si>
    <t>AI_FAC2_Norm</t>
  </si>
  <si>
    <t>Human_FAC2_Norm</t>
  </si>
  <si>
    <t>AI_FAC</t>
  </si>
  <si>
    <t>Human_FAC</t>
  </si>
  <si>
    <t>AI_TRU1_Norm</t>
  </si>
  <si>
    <t>Human_TRU1_Norm</t>
  </si>
  <si>
    <t>AI_TRU2_Norm</t>
  </si>
  <si>
    <t>Human_TRU2_Norm</t>
  </si>
  <si>
    <t>AI_TRU3_Norm</t>
  </si>
  <si>
    <t>Human_TRU3_Norm</t>
  </si>
  <si>
    <t>AI_TRU4_Norm</t>
  </si>
  <si>
    <t>AI_TRU</t>
  </si>
  <si>
    <t>Human_TRU</t>
  </si>
  <si>
    <t>AI_AIx</t>
  </si>
  <si>
    <t>Human_AIx</t>
  </si>
  <si>
    <t>AI_OUT1_Norm</t>
  </si>
  <si>
    <t>Human_OUT1_Norm</t>
  </si>
  <si>
    <t>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</si>
</sst>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
    <numFmt numFmtId="166" formatCode="0.0%"/>
  </numFmts>
  <fonts count="5" x14ac:knownFonts="1">
    <font>
      <sz val="11"/>
      <color theme="1"/>
      <name val="Calibri"/>
      <family val="2"/>
      <scheme val="minor"/>
    </font>
    <font>
      <b/>
      <sz val="11"/>
      <name val="Calibri"/>
      <family val="2"/>
    </font>
    <font>
      <b/>
      <sz val="11"/>
      <color theme="1"/>
      <name val="Calibri"/>
      <family val="2"/>
      <scheme val="minor"/>
    </font>
    <font>
      <b/>
      <sz val="11"/>
      <name val="Calibri"/>
      <family val="2"/>
    </font>
    <font>
      <b/>
      <sz val="11"/>
      <color theme="0"/>
      <name val="Calibri"/>
      <family val="2"/>
      <scheme val="minor"/>
    </font>
  </fonts>
  <fills count="9">
    <fill>
      <patternFill patternType="none"/>
    </fill>
    <fill>
      <patternFill patternType="gray125"/>
    </fill>
    <fill>
      <patternFill patternType="solid">
        <fgColor rgb="FF92D050"/>
        <bgColor indexed="64"/>
      </patternFill>
    </fill>
    <fill>
      <patternFill patternType="solid">
        <fgColor theme="9"/>
        <bgColor theme="9"/>
      </patternFill>
    </fill>
    <fill>
      <patternFill patternType="solid">
        <fgColor theme="9"/>
        <bgColor indexed="64"/>
      </patternFill>
    </fill>
    <fill>
      <patternFill patternType="solid">
        <fgColor rgb="FF92D050"/>
        <bgColor theme="9"/>
      </patternFill>
    </fill>
    <fill>
      <patternFill patternType="solid">
        <fgColor theme="9" tint="0.79998168889431442"/>
        <bgColor theme="9" tint="0.79998168889431442"/>
      </patternFill>
    </fill>
    <fill>
      <patternFill patternType="solid">
        <fgColor rgb="FFFFFF00"/>
        <bgColor indexed="64"/>
      </patternFill>
    </fill>
    <fill>
      <patternFill patternType="solid">
        <fgColor rgb="FF00B0F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1">
    <xf numFmtId="0" fontId="0" fillId="0" borderId="0"/>
  </cellStyleXfs>
  <cellXfs count="44">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center"/>
    </xf>
    <xf numFmtId="0" fontId="0" fillId="2" borderId="1" xfId="0" applyFill="1" applyBorder="1"/>
    <xf numFmtId="0" fontId="0" fillId="0" borderId="1" xfId="0" applyBorder="1"/>
    <xf numFmtId="0" fontId="3" fillId="0" borderId="1" xfId="0" applyFont="1" applyBorder="1" applyAlignment="1">
      <alignment horizontal="center" vertical="top"/>
    </xf>
    <xf numFmtId="0" fontId="2" fillId="0" borderId="1" xfId="0" applyFont="1" applyBorder="1"/>
    <xf numFmtId="0" fontId="0" fillId="2" borderId="0" xfId="0" applyFill="1"/>
    <xf numFmtId="0" fontId="2" fillId="0" borderId="0" xfId="0" applyFont="1"/>
    <xf numFmtId="164" fontId="2" fillId="0" borderId="1" xfId="0" applyNumberFormat="1" applyFont="1" applyBorder="1"/>
    <xf numFmtId="164" fontId="2" fillId="0" borderId="0" xfId="0" applyNumberFormat="1" applyFont="1"/>
    <xf numFmtId="0" fontId="1" fillId="0" borderId="2" xfId="0" applyFont="1" applyBorder="1" applyAlignment="1">
      <alignment horizontal="center" vertical="top"/>
    </xf>
    <xf numFmtId="0" fontId="2" fillId="0" borderId="3" xfId="0" applyFont="1" applyBorder="1"/>
    <xf numFmtId="0" fontId="1" fillId="0" borderId="4" xfId="0" applyFont="1" applyBorder="1" applyAlignment="1">
      <alignment horizontal="center" vertical="top"/>
    </xf>
    <xf numFmtId="0" fontId="2" fillId="0" borderId="5" xfId="0" applyFont="1" applyBorder="1"/>
    <xf numFmtId="9" fontId="0" fillId="0" borderId="1" xfId="0" applyNumberFormat="1" applyBorder="1"/>
    <xf numFmtId="9" fontId="2" fillId="0" borderId="1" xfId="0" applyNumberFormat="1" applyFont="1" applyBorder="1"/>
    <xf numFmtId="0" fontId="4" fillId="3" borderId="6" xfId="0" applyFont="1" applyFill="1" applyBorder="1"/>
    <xf numFmtId="0" fontId="4" fillId="3" borderId="7" xfId="0" applyFont="1" applyFill="1" applyBorder="1"/>
    <xf numFmtId="22" fontId="0" fillId="0" borderId="0" xfId="0" applyNumberFormat="1"/>
    <xf numFmtId="0" fontId="4" fillId="5" borderId="7" xfId="0" applyFont="1" applyFill="1" applyBorder="1"/>
    <xf numFmtId="0" fontId="4" fillId="4" borderId="0" xfId="0" applyFont="1" applyFill="1"/>
    <xf numFmtId="0" fontId="4" fillId="2" borderId="0" xfId="0" applyFont="1" applyFill="1"/>
    <xf numFmtId="0" fontId="4" fillId="0" borderId="0" xfId="0" applyFont="1"/>
    <xf numFmtId="165" fontId="0" fillId="0" borderId="1" xfId="0" applyNumberFormat="1" applyBorder="1" applyAlignment="1">
      <alignment horizontal="center"/>
    </xf>
    <xf numFmtId="9" fontId="0" fillId="0" borderId="0" xfId="0" applyNumberFormat="1"/>
    <xf numFmtId="0" fontId="0" fillId="0" borderId="0" xfId="0" applyAlignment="1">
      <alignment horizontal="center" vertical="center"/>
    </xf>
    <xf numFmtId="0" fontId="0" fillId="0" borderId="0" xfId="0" pivotButton="1"/>
    <xf numFmtId="0" fontId="0" fillId="0" borderId="0" xfId="0" applyAlignment="1">
      <alignment horizontal="left"/>
    </xf>
    <xf numFmtId="0" fontId="2" fillId="0" borderId="0" xfId="0" applyFont="1" applyAlignment="1">
      <alignment horizontal="center"/>
    </xf>
    <xf numFmtId="0" fontId="0" fillId="6" borderId="6" xfId="0" applyFill="1" applyBorder="1"/>
    <xf numFmtId="0" fontId="0" fillId="6" borderId="0" xfId="0" applyFill="1"/>
    <xf numFmtId="0" fontId="0" fillId="7" borderId="0" xfId="0" applyFill="1"/>
    <xf numFmtId="2" fontId="0" fillId="0" borderId="1" xfId="0" applyNumberFormat="1" applyBorder="1"/>
    <xf numFmtId="9" fontId="0" fillId="0" borderId="1" xfId="0" applyNumberFormat="1" applyBorder="1" applyAlignment="1">
      <alignment horizontal="center"/>
    </xf>
    <xf numFmtId="0" fontId="2" fillId="0" borderId="7" xfId="0" applyFont="1" applyBorder="1"/>
    <xf numFmtId="0" fontId="0" fillId="0" borderId="7" xfId="0" applyBorder="1"/>
    <xf numFmtId="4" fontId="0" fillId="0" borderId="1" xfId="0" applyNumberFormat="1" applyBorder="1" applyAlignment="1">
      <alignment horizontal="center"/>
    </xf>
    <xf numFmtId="166" fontId="0" fillId="0" borderId="0" xfId="0" applyNumberFormat="1"/>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2" fillId="8" borderId="1" xfId="0" applyFont="1" applyFill="1" applyBorder="1"/>
    <xf numFmtId="10" fontId="0" fillId="0" borderId="1" xfId="0" applyNumberFormat="1" applyBorder="1"/>
    <xf numFmtId="166" fontId="0" fillId="0" borderId="1" xfId="0" applyNumberFormat="1" applyBorder="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fuveduvn-my.sharepoint.com/personal/mpp26_duypham_student_fulbright_edu_vn/Documents/FSMPP/18.%20Thesis/Final%20Data/step3_analysis_report_master%20-%20calibration%20-%20Run%201%20-%20Seed%2042.xlsx" TargetMode="External"/><Relationship Id="rId1" Type="http://schemas.openxmlformats.org/officeDocument/2006/relationships/externalLinkPath" Target="step3_analysis_report_master%20-%20calibration%20-%20Run%201%20-%20Seed%204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ep3_calibration"/>
      <sheetName val="survey_responses"/>
      <sheetName val="step3_combined_data"/>
      <sheetName val="Insights"/>
      <sheetName val="AIx"/>
      <sheetName val="EMD"/>
      <sheetName val="SUMMARY_REPORT"/>
      <sheetName val="CM_REPORT"/>
      <sheetName val="CM_ENF1"/>
      <sheetName val="CM_ENF2"/>
      <sheetName val="CM_FAC1"/>
      <sheetName val="CM_FAC2"/>
      <sheetName val="CM_TRU1"/>
      <sheetName val="CM_TRU2"/>
      <sheetName val="CM_TRU3"/>
      <sheetName val="CM_TRU4"/>
      <sheetName val="CM_OUT1"/>
      <sheetName val="step3_analysis_report_master - "/>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y Pham" refreshedDate="46040.659061805556" createdVersion="8" refreshedVersion="8" minRefreshableVersion="3" recordCount="403" xr:uid="{677C10B3-056A-462F-8621-BC1A1D2CF10E}">
  <cacheSource type="worksheet">
    <worksheetSource name="survey_responses"/>
  </cacheSource>
  <cacheFields count="17">
    <cacheField name="Timestamp" numFmtId="22">
      <sharedItems containsSemiMixedTypes="0" containsNonDate="0" containsDate="1" containsString="0" minDate="2025-12-25T14:05:00" maxDate="2026-01-13T12:49:00"/>
    </cacheField>
    <cacheField name="Giới tính của bạn:" numFmtId="0">
      <sharedItems count="2">
        <s v="Nữ"/>
        <s v="Nam"/>
      </sharedItems>
    </cacheField>
    <cacheField name="Độ tuổi của bạn:" numFmtId="0">
      <sharedItems count="6">
        <s v="25 - 29"/>
        <s v="40 - 49"/>
        <s v="18 - 24"/>
        <s v="30 - 39"/>
        <s v="50 - 54"/>
        <s v="55 - 64"/>
      </sharedItems>
    </cacheField>
    <cacheField name="Khu vực bạn đang sinh sống:" numFmtId="0">
      <sharedItems count="2">
        <s v="Thành thị"/>
        <s v="Nông thôn"/>
      </sharedItems>
    </cacheField>
    <cacheField name="Trình độ học vấn cao nhất:" numFmtId="0">
      <sharedItems count="4">
        <s v="Đại học"/>
        <s v="Sau Đại học"/>
        <s v="Cao đẳng"/>
        <s v="Trung học phổ thông"/>
      </sharedItems>
    </cacheField>
    <cacheField name="Tình trạng việc làm chính:" numFmtId="0">
      <sharedItems count="3">
        <s v="Khu vực chính thức (Có Hợp đồng lao động, đóng BHXH)"/>
        <s v="Khu vực phi chính thức (Lao động tự do, không có HĐLĐ)"/>
        <s v="Khác (Về hưu, nội trợ, sinh viên)"/>
      </sharedItems>
    </cacheField>
    <cacheField name="Thu nhập bình quân tháng theo Hợp đồng lao động của bạn là bao nhiêu? (Vui lòng điền tổng thu nhập trước khi khấu trừ các loại Bảo hiểm (BHXH, BHYT, BHTN) và Thuế TNCN)" numFmtId="0">
      <sharedItems count="8">
        <s v="Từ 12 - 18 triệu VNĐ"/>
        <s v="Từ 48 - 70 triệu VNĐ"/>
        <s v="Dưới 12 triệu VNĐ"/>
        <s v="Từ 70 - 102 triệu VNĐ"/>
        <s v="Từ 18 - 23 triệu VNĐ"/>
        <s v="Từ 32 - 48 triệu VNĐ"/>
        <s v="Trên 102 triệu VNĐ"/>
        <s v="Từ 23 - 32 triệu VNĐ"/>
      </sharedItems>
    </cacheField>
    <cacheField name="Số người phụ thuộc (con nhỏ, cha mẹ già...) đủ điều kiện giảm trừ gia cảnh:" numFmtId="0">
      <sharedItems count="5">
        <s v="1 người"/>
        <s v="0 người"/>
        <s v="3 người"/>
        <s v="4 người trở lên"/>
        <s v="2 người"/>
      </sharedItems>
    </cacheField>
    <cacheField name="Tôi tin rằng với các quy định quản lý thuế hiện nay, hành vi gian lận hoặc trốn thuế sẽ dễ dàng bị phát hiện và xử lý nghiêm. - HUMAN-ENF1" numFmtId="0">
      <sharedItems containsSemiMixedTypes="0" containsString="0" containsNumber="1" containsInteger="1" minValue="1" maxValue="10"/>
    </cacheField>
    <cacheField name="Tôi tin rằng Nhà nước, cơ quan thuế có đủ khả năng và công nghệ để phát hiện, xử lý nghiêm các hành vi trốn thuế. - HUMAN-ENF2" numFmtId="0">
      <sharedItems containsSemiMixedTypes="0" containsString="0" containsNumber="1" containsInteger="1" minValue="1" maxValue="10"/>
    </cacheField>
    <cacheField name="Các thủ tục khai báo thuế VÀ/HOẶC quy trình làm việc với cơ quan thuế đơn giản, tiện lợi, nhanh chóng hơn so với trước đây. - HUMAN-FAC1" numFmtId="0">
      <sharedItems containsSemiMixedTypes="0" containsString="0" containsNumber="1" containsInteger="1" minValue="1" maxValue="10"/>
    </cacheField>
    <cacheField name="So với trước đây, tôi thấy cách tính thuế và các bậc thuế trong phương án mới đơn giản, dễ hiểu và dễ thực hiện hơn. - HUMAN-FAC2" numFmtId="0">
      <sharedItems containsSemiMixedTypes="0" containsString="0" containsNumber="1" containsInteger="1" minValue="1" maxValue="10"/>
    </cacheField>
    <cacheField name="Tôi tin rằng Nhà nước, cơ quan thuế sẽ thực thi chính sách mới một cách khách quan, công tâm và đối xử bình đẳng với mọi người nộp thuế.  - HUMAN-TRU1" numFmtId="0">
      <sharedItems containsSemiMixedTypes="0" containsString="0" containsNumber="1" containsInteger="1" minValue="1" maxValue="10"/>
    </cacheField>
    <cacheField name="Tôi thấy mức thuế tôi phải đóng theo phương án mới là công bằng (người thu nhập như tôi đóng mức này là hợp lý). - HUMAN-TRU2" numFmtId="0">
      <sharedItems containsSemiMixedTypes="0" containsString="0" containsNumber="1" containsInteger="1" minValue="1" maxValue="10"/>
    </cacheField>
    <cacheField name="Tôi tin tưởng số tiền thuế tôi đóng sẽ được Nhà nước sử dụng hiệu quả để cải thiện dịch vụ công (y tế, đường xá...). - HUMAN-TRU3" numFmtId="0">
      <sharedItems containsSemiMixedTypes="0" containsString="0" containsNumber="1" containsInteger="1" minValue="1" maxValue="10"/>
    </cacheField>
    <cacheField name="Tôi thấy Nhà nước đã giải thích rõ ràng, minh bạch về lý do và mục tiêu của việc sửa đổi thuế lần này. - HUMAN-TRU4" numFmtId="0">
      <sharedItems containsSemiMixedTypes="0" containsString="0" containsNumber="1" containsInteger="1" minValue="1" maxValue="10"/>
    </cacheField>
    <cacheField name="Sau khi xem xét các quyền lợi và nghĩa vụ, bạn có ủng hộ và tuân thủ chính sách mới hiện nay? - HUMAN-OUT1" numFmtId="0">
      <sharedItems containsSemiMixedTypes="0" containsString="0" containsNumber="1" containsInteger="1" minValue="1" maxValue="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3">
  <r>
    <d v="2025-12-25T14:05:00"/>
    <x v="0"/>
    <x v="0"/>
    <x v="0"/>
    <x v="0"/>
    <x v="0"/>
    <x v="0"/>
    <x v="0"/>
    <n v="10"/>
    <n v="8"/>
    <n v="5"/>
    <n v="5"/>
    <n v="10"/>
    <n v="10"/>
    <n v="10"/>
    <n v="10"/>
    <n v="10"/>
  </r>
  <r>
    <d v="2025-12-25T14:05:00"/>
    <x v="0"/>
    <x v="0"/>
    <x v="0"/>
    <x v="0"/>
    <x v="0"/>
    <x v="0"/>
    <x v="1"/>
    <n v="8"/>
    <n v="8"/>
    <n v="6"/>
    <n v="9"/>
    <n v="10"/>
    <n v="9"/>
    <n v="8"/>
    <n v="9"/>
    <n v="10"/>
  </r>
  <r>
    <d v="2025-12-25T14:07:00"/>
    <x v="1"/>
    <x v="1"/>
    <x v="0"/>
    <x v="1"/>
    <x v="0"/>
    <x v="1"/>
    <x v="2"/>
    <n v="6"/>
    <n v="5"/>
    <n v="4"/>
    <n v="5"/>
    <n v="4"/>
    <n v="4"/>
    <n v="4"/>
    <n v="10"/>
    <n v="4"/>
  </r>
  <r>
    <d v="2025-12-25T14:07:00"/>
    <x v="0"/>
    <x v="2"/>
    <x v="0"/>
    <x v="0"/>
    <x v="0"/>
    <x v="2"/>
    <x v="1"/>
    <n v="10"/>
    <n v="10"/>
    <n v="8"/>
    <n v="9"/>
    <n v="9"/>
    <n v="7"/>
    <n v="10"/>
    <n v="7"/>
    <n v="10"/>
  </r>
  <r>
    <d v="2025-12-25T14:08:00"/>
    <x v="0"/>
    <x v="0"/>
    <x v="0"/>
    <x v="0"/>
    <x v="0"/>
    <x v="2"/>
    <x v="1"/>
    <n v="9"/>
    <n v="9"/>
    <n v="10"/>
    <n v="9"/>
    <n v="9"/>
    <n v="9"/>
    <n v="9"/>
    <n v="9"/>
    <n v="9"/>
  </r>
  <r>
    <d v="2025-12-25T14:17:00"/>
    <x v="0"/>
    <x v="3"/>
    <x v="0"/>
    <x v="1"/>
    <x v="0"/>
    <x v="3"/>
    <x v="3"/>
    <n v="8"/>
    <n v="8"/>
    <n v="5"/>
    <n v="8"/>
    <n v="6"/>
    <n v="6"/>
    <n v="4"/>
    <n v="5"/>
    <n v="6"/>
  </r>
  <r>
    <d v="2025-12-25T14:19:00"/>
    <x v="0"/>
    <x v="3"/>
    <x v="0"/>
    <x v="0"/>
    <x v="0"/>
    <x v="4"/>
    <x v="4"/>
    <n v="5"/>
    <n v="4"/>
    <n v="4"/>
    <n v="6"/>
    <n v="6"/>
    <n v="7"/>
    <n v="2"/>
    <n v="4"/>
    <n v="4"/>
  </r>
  <r>
    <d v="2025-12-25T14:28:00"/>
    <x v="1"/>
    <x v="1"/>
    <x v="0"/>
    <x v="1"/>
    <x v="0"/>
    <x v="2"/>
    <x v="4"/>
    <n v="1"/>
    <n v="1"/>
    <n v="2"/>
    <n v="3"/>
    <n v="6"/>
    <n v="2"/>
    <n v="7"/>
    <n v="3"/>
    <n v="3"/>
  </r>
  <r>
    <d v="2025-12-25T15:35:00"/>
    <x v="0"/>
    <x v="0"/>
    <x v="1"/>
    <x v="0"/>
    <x v="1"/>
    <x v="0"/>
    <x v="0"/>
    <n v="10"/>
    <n v="10"/>
    <n v="8"/>
    <n v="7"/>
    <n v="7"/>
    <n v="5"/>
    <n v="5"/>
    <n v="9"/>
    <n v="8"/>
  </r>
  <r>
    <d v="2025-12-25T15:51:00"/>
    <x v="0"/>
    <x v="0"/>
    <x v="0"/>
    <x v="0"/>
    <x v="0"/>
    <x v="4"/>
    <x v="1"/>
    <n v="7"/>
    <n v="10"/>
    <n v="1"/>
    <n v="5"/>
    <n v="8"/>
    <n v="5"/>
    <n v="5"/>
    <n v="5"/>
    <n v="10"/>
  </r>
  <r>
    <d v="2025-12-25T15:52:00"/>
    <x v="1"/>
    <x v="3"/>
    <x v="0"/>
    <x v="1"/>
    <x v="1"/>
    <x v="5"/>
    <x v="3"/>
    <n v="10"/>
    <n v="3"/>
    <n v="1"/>
    <n v="7"/>
    <n v="1"/>
    <n v="5"/>
    <n v="1"/>
    <n v="8"/>
    <n v="6"/>
  </r>
  <r>
    <d v="2025-12-25T17:01:00"/>
    <x v="0"/>
    <x v="2"/>
    <x v="0"/>
    <x v="0"/>
    <x v="0"/>
    <x v="2"/>
    <x v="1"/>
    <n v="5"/>
    <n v="8"/>
    <n v="5"/>
    <n v="5"/>
    <n v="6"/>
    <n v="5"/>
    <n v="5"/>
    <n v="5"/>
    <n v="5"/>
  </r>
  <r>
    <d v="2025-12-25T17:54:00"/>
    <x v="0"/>
    <x v="2"/>
    <x v="0"/>
    <x v="0"/>
    <x v="0"/>
    <x v="2"/>
    <x v="1"/>
    <n v="8"/>
    <n v="7"/>
    <n v="7"/>
    <n v="7"/>
    <n v="7"/>
    <n v="8"/>
    <n v="7"/>
    <n v="7"/>
    <n v="7"/>
  </r>
  <r>
    <d v="2025-12-25T20:16:00"/>
    <x v="0"/>
    <x v="3"/>
    <x v="0"/>
    <x v="1"/>
    <x v="0"/>
    <x v="4"/>
    <x v="1"/>
    <n v="10"/>
    <n v="10"/>
    <n v="8"/>
    <n v="8"/>
    <n v="8"/>
    <n v="6"/>
    <n v="6"/>
    <n v="5"/>
    <n v="5"/>
  </r>
  <r>
    <d v="2025-12-25T20:19:00"/>
    <x v="1"/>
    <x v="3"/>
    <x v="0"/>
    <x v="1"/>
    <x v="0"/>
    <x v="5"/>
    <x v="4"/>
    <n v="7"/>
    <n v="9"/>
    <n v="3"/>
    <n v="6"/>
    <n v="1"/>
    <n v="1"/>
    <n v="1"/>
    <n v="1"/>
    <n v="1"/>
  </r>
  <r>
    <d v="2025-12-25T21:09:00"/>
    <x v="1"/>
    <x v="1"/>
    <x v="0"/>
    <x v="1"/>
    <x v="0"/>
    <x v="3"/>
    <x v="3"/>
    <n v="8"/>
    <n v="8"/>
    <n v="8"/>
    <n v="9"/>
    <n v="7"/>
    <n v="7"/>
    <n v="9"/>
    <n v="8"/>
    <n v="7"/>
  </r>
  <r>
    <d v="2025-12-25T21:15:00"/>
    <x v="0"/>
    <x v="0"/>
    <x v="0"/>
    <x v="0"/>
    <x v="0"/>
    <x v="4"/>
    <x v="4"/>
    <n v="6"/>
    <n v="7"/>
    <n v="5"/>
    <n v="5"/>
    <n v="6"/>
    <n v="7"/>
    <n v="3"/>
    <n v="4"/>
    <n v="5"/>
  </r>
  <r>
    <d v="2025-12-25T21:47:00"/>
    <x v="1"/>
    <x v="1"/>
    <x v="0"/>
    <x v="0"/>
    <x v="1"/>
    <x v="0"/>
    <x v="1"/>
    <n v="6"/>
    <n v="8"/>
    <n v="7"/>
    <n v="8"/>
    <n v="8"/>
    <n v="7"/>
    <n v="7"/>
    <n v="6"/>
    <n v="8"/>
  </r>
  <r>
    <d v="2025-12-25T21:51:00"/>
    <x v="1"/>
    <x v="1"/>
    <x v="0"/>
    <x v="0"/>
    <x v="0"/>
    <x v="6"/>
    <x v="3"/>
    <n v="10"/>
    <n v="10"/>
    <n v="5"/>
    <n v="5"/>
    <n v="5"/>
    <n v="3"/>
    <n v="2"/>
    <n v="5"/>
    <n v="8"/>
  </r>
  <r>
    <d v="2025-12-26T01:57:00"/>
    <x v="1"/>
    <x v="3"/>
    <x v="0"/>
    <x v="1"/>
    <x v="0"/>
    <x v="1"/>
    <x v="4"/>
    <n v="9"/>
    <n v="9"/>
    <n v="7"/>
    <n v="9"/>
    <n v="7"/>
    <n v="8"/>
    <n v="5"/>
    <n v="5"/>
    <n v="6"/>
  </r>
  <r>
    <d v="2025-12-26T07:30:00"/>
    <x v="0"/>
    <x v="1"/>
    <x v="0"/>
    <x v="0"/>
    <x v="0"/>
    <x v="6"/>
    <x v="2"/>
    <n v="10"/>
    <n v="10"/>
    <n v="8"/>
    <n v="7"/>
    <n v="7"/>
    <n v="7"/>
    <n v="2"/>
    <n v="3"/>
    <n v="3"/>
  </r>
  <r>
    <d v="2025-12-26T08:42:00"/>
    <x v="0"/>
    <x v="2"/>
    <x v="0"/>
    <x v="0"/>
    <x v="0"/>
    <x v="0"/>
    <x v="1"/>
    <n v="8"/>
    <n v="8"/>
    <n v="5"/>
    <n v="8"/>
    <n v="8"/>
    <n v="8"/>
    <n v="8"/>
    <n v="8"/>
    <n v="8"/>
  </r>
  <r>
    <d v="2025-12-26T09:36:00"/>
    <x v="0"/>
    <x v="1"/>
    <x v="0"/>
    <x v="1"/>
    <x v="0"/>
    <x v="3"/>
    <x v="2"/>
    <n v="5"/>
    <n v="5"/>
    <n v="5"/>
    <n v="5"/>
    <n v="5"/>
    <n v="5"/>
    <n v="5"/>
    <n v="5"/>
    <n v="5"/>
  </r>
  <r>
    <d v="2025-12-26T11:37:00"/>
    <x v="0"/>
    <x v="3"/>
    <x v="1"/>
    <x v="0"/>
    <x v="0"/>
    <x v="7"/>
    <x v="4"/>
    <n v="9"/>
    <n v="8"/>
    <n v="6"/>
    <n v="9"/>
    <n v="8"/>
    <n v="10"/>
    <n v="6"/>
    <n v="6"/>
    <n v="8"/>
  </r>
  <r>
    <d v="2025-12-26T11:40:00"/>
    <x v="1"/>
    <x v="3"/>
    <x v="0"/>
    <x v="1"/>
    <x v="0"/>
    <x v="5"/>
    <x v="0"/>
    <n v="6"/>
    <n v="7"/>
    <n v="5"/>
    <n v="6"/>
    <n v="7"/>
    <n v="7"/>
    <n v="3"/>
    <n v="3"/>
    <n v="5"/>
  </r>
  <r>
    <d v="2025-12-26T11:45:00"/>
    <x v="1"/>
    <x v="3"/>
    <x v="0"/>
    <x v="1"/>
    <x v="0"/>
    <x v="2"/>
    <x v="3"/>
    <n v="10"/>
    <n v="10"/>
    <n v="10"/>
    <n v="6"/>
    <n v="6"/>
    <n v="10"/>
    <n v="1"/>
    <n v="4"/>
    <n v="10"/>
  </r>
  <r>
    <d v="2025-12-26T12:06:00"/>
    <x v="1"/>
    <x v="2"/>
    <x v="0"/>
    <x v="0"/>
    <x v="0"/>
    <x v="2"/>
    <x v="1"/>
    <n v="1"/>
    <n v="1"/>
    <n v="1"/>
    <n v="1"/>
    <n v="1"/>
    <n v="1"/>
    <n v="1"/>
    <n v="1"/>
    <n v="1"/>
  </r>
  <r>
    <d v="2025-12-26T12:06:00"/>
    <x v="1"/>
    <x v="0"/>
    <x v="0"/>
    <x v="0"/>
    <x v="0"/>
    <x v="0"/>
    <x v="1"/>
    <n v="1"/>
    <n v="1"/>
    <n v="1"/>
    <n v="1"/>
    <n v="1"/>
    <n v="1"/>
    <n v="1"/>
    <n v="1"/>
    <n v="1"/>
  </r>
  <r>
    <d v="2025-12-26T12:07:00"/>
    <x v="0"/>
    <x v="2"/>
    <x v="0"/>
    <x v="0"/>
    <x v="0"/>
    <x v="0"/>
    <x v="1"/>
    <n v="10"/>
    <n v="10"/>
    <n v="9"/>
    <n v="10"/>
    <n v="10"/>
    <n v="9"/>
    <n v="10"/>
    <n v="10"/>
    <n v="10"/>
  </r>
  <r>
    <d v="2025-12-26T12:07:00"/>
    <x v="0"/>
    <x v="2"/>
    <x v="0"/>
    <x v="0"/>
    <x v="0"/>
    <x v="0"/>
    <x v="1"/>
    <n v="10"/>
    <n v="10"/>
    <n v="9"/>
    <n v="10"/>
    <n v="10"/>
    <n v="10"/>
    <n v="10"/>
    <n v="10"/>
    <n v="10"/>
  </r>
  <r>
    <d v="2025-12-26T12:07:00"/>
    <x v="0"/>
    <x v="0"/>
    <x v="0"/>
    <x v="0"/>
    <x v="0"/>
    <x v="7"/>
    <x v="1"/>
    <n v="10"/>
    <n v="7"/>
    <n v="10"/>
    <n v="7"/>
    <n v="10"/>
    <n v="10"/>
    <n v="3"/>
    <n v="5"/>
    <n v="8"/>
  </r>
  <r>
    <d v="2025-12-26T12:08:00"/>
    <x v="0"/>
    <x v="2"/>
    <x v="0"/>
    <x v="0"/>
    <x v="0"/>
    <x v="7"/>
    <x v="1"/>
    <n v="5"/>
    <n v="5"/>
    <n v="5"/>
    <n v="5"/>
    <n v="5"/>
    <n v="5"/>
    <n v="5"/>
    <n v="5"/>
    <n v="5"/>
  </r>
  <r>
    <d v="2025-12-26T12:08:00"/>
    <x v="0"/>
    <x v="0"/>
    <x v="0"/>
    <x v="0"/>
    <x v="0"/>
    <x v="7"/>
    <x v="1"/>
    <n v="8"/>
    <n v="9"/>
    <n v="7"/>
    <n v="8"/>
    <n v="8"/>
    <n v="8"/>
    <n v="3"/>
    <n v="6"/>
    <n v="7"/>
  </r>
  <r>
    <d v="2025-12-26T12:08:00"/>
    <x v="1"/>
    <x v="0"/>
    <x v="0"/>
    <x v="0"/>
    <x v="0"/>
    <x v="0"/>
    <x v="0"/>
    <n v="10"/>
    <n v="10"/>
    <n v="10"/>
    <n v="10"/>
    <n v="10"/>
    <n v="10"/>
    <n v="10"/>
    <n v="10"/>
    <n v="10"/>
  </r>
  <r>
    <d v="2025-12-26T12:14:00"/>
    <x v="0"/>
    <x v="3"/>
    <x v="0"/>
    <x v="2"/>
    <x v="0"/>
    <x v="0"/>
    <x v="2"/>
    <n v="10"/>
    <n v="10"/>
    <n v="10"/>
    <n v="10"/>
    <n v="10"/>
    <n v="10"/>
    <n v="10"/>
    <n v="10"/>
    <n v="10"/>
  </r>
  <r>
    <d v="2025-12-26T12:15:00"/>
    <x v="0"/>
    <x v="2"/>
    <x v="0"/>
    <x v="0"/>
    <x v="0"/>
    <x v="0"/>
    <x v="1"/>
    <n v="10"/>
    <n v="9"/>
    <n v="10"/>
    <n v="8"/>
    <n v="10"/>
    <n v="9"/>
    <n v="10"/>
    <n v="10"/>
    <n v="10"/>
  </r>
  <r>
    <d v="2025-12-26T12:16:00"/>
    <x v="1"/>
    <x v="2"/>
    <x v="0"/>
    <x v="0"/>
    <x v="0"/>
    <x v="0"/>
    <x v="1"/>
    <n v="10"/>
    <n v="10"/>
    <n v="10"/>
    <n v="10"/>
    <n v="9"/>
    <n v="9"/>
    <n v="9"/>
    <n v="9"/>
    <n v="8"/>
  </r>
  <r>
    <d v="2025-12-26T12:16:00"/>
    <x v="0"/>
    <x v="3"/>
    <x v="0"/>
    <x v="0"/>
    <x v="0"/>
    <x v="5"/>
    <x v="0"/>
    <n v="8"/>
    <n v="8"/>
    <n v="8"/>
    <n v="8"/>
    <n v="8"/>
    <n v="8"/>
    <n v="8"/>
    <n v="8"/>
    <n v="8"/>
  </r>
  <r>
    <d v="2025-12-26T12:16:00"/>
    <x v="1"/>
    <x v="0"/>
    <x v="0"/>
    <x v="0"/>
    <x v="0"/>
    <x v="0"/>
    <x v="1"/>
    <n v="10"/>
    <n v="10"/>
    <n v="10"/>
    <n v="10"/>
    <n v="10"/>
    <n v="10"/>
    <n v="10"/>
    <n v="10"/>
    <n v="10"/>
  </r>
  <r>
    <d v="2025-12-26T12:16:00"/>
    <x v="1"/>
    <x v="3"/>
    <x v="0"/>
    <x v="0"/>
    <x v="0"/>
    <x v="6"/>
    <x v="0"/>
    <n v="8"/>
    <n v="8"/>
    <n v="6"/>
    <n v="8"/>
    <n v="7"/>
    <n v="8"/>
    <n v="5"/>
    <n v="6"/>
    <n v="7"/>
  </r>
  <r>
    <d v="2025-12-26T12:17:00"/>
    <x v="1"/>
    <x v="3"/>
    <x v="0"/>
    <x v="0"/>
    <x v="0"/>
    <x v="3"/>
    <x v="4"/>
    <n v="9"/>
    <n v="8"/>
    <n v="7"/>
    <n v="8"/>
    <n v="7"/>
    <n v="4"/>
    <n v="2"/>
    <n v="8"/>
    <n v="8"/>
  </r>
  <r>
    <d v="2025-12-26T12:19:00"/>
    <x v="0"/>
    <x v="3"/>
    <x v="0"/>
    <x v="0"/>
    <x v="0"/>
    <x v="5"/>
    <x v="2"/>
    <n v="10"/>
    <n v="10"/>
    <n v="9"/>
    <n v="8"/>
    <n v="7"/>
    <n v="9"/>
    <n v="9"/>
    <n v="8"/>
    <n v="8"/>
  </r>
  <r>
    <d v="2025-12-26T12:22:00"/>
    <x v="0"/>
    <x v="3"/>
    <x v="0"/>
    <x v="0"/>
    <x v="0"/>
    <x v="6"/>
    <x v="4"/>
    <n v="6"/>
    <n v="6"/>
    <n v="8"/>
    <n v="10"/>
    <n v="9"/>
    <n v="1"/>
    <n v="7"/>
    <n v="7"/>
    <n v="8"/>
  </r>
  <r>
    <d v="2025-12-26T12:23:00"/>
    <x v="1"/>
    <x v="3"/>
    <x v="0"/>
    <x v="0"/>
    <x v="0"/>
    <x v="7"/>
    <x v="0"/>
    <n v="8"/>
    <n v="8"/>
    <n v="8"/>
    <n v="8"/>
    <n v="8"/>
    <n v="8"/>
    <n v="9"/>
    <n v="5"/>
    <n v="9"/>
  </r>
  <r>
    <d v="2025-12-26T12:27:00"/>
    <x v="0"/>
    <x v="1"/>
    <x v="0"/>
    <x v="0"/>
    <x v="0"/>
    <x v="7"/>
    <x v="4"/>
    <n v="10"/>
    <n v="10"/>
    <n v="10"/>
    <n v="9"/>
    <n v="10"/>
    <n v="10"/>
    <n v="10"/>
    <n v="10"/>
    <n v="10"/>
  </r>
  <r>
    <d v="2025-12-26T12:28:00"/>
    <x v="0"/>
    <x v="4"/>
    <x v="1"/>
    <x v="0"/>
    <x v="0"/>
    <x v="2"/>
    <x v="4"/>
    <n v="1"/>
    <n v="1"/>
    <n v="2"/>
    <n v="1"/>
    <n v="1"/>
    <n v="1"/>
    <n v="1"/>
    <n v="1"/>
    <n v="1"/>
  </r>
  <r>
    <d v="2025-12-26T12:28:00"/>
    <x v="1"/>
    <x v="3"/>
    <x v="0"/>
    <x v="0"/>
    <x v="0"/>
    <x v="2"/>
    <x v="1"/>
    <n v="8"/>
    <n v="8"/>
    <n v="8"/>
    <n v="7"/>
    <n v="6"/>
    <n v="8"/>
    <n v="8"/>
    <n v="9"/>
    <n v="8"/>
  </r>
  <r>
    <d v="2025-12-26T12:29:00"/>
    <x v="0"/>
    <x v="3"/>
    <x v="0"/>
    <x v="0"/>
    <x v="0"/>
    <x v="5"/>
    <x v="2"/>
    <n v="10"/>
    <n v="10"/>
    <n v="10"/>
    <n v="10"/>
    <n v="10"/>
    <n v="10"/>
    <n v="10"/>
    <n v="10"/>
    <n v="10"/>
  </r>
  <r>
    <d v="2025-12-26T12:29:00"/>
    <x v="1"/>
    <x v="3"/>
    <x v="0"/>
    <x v="0"/>
    <x v="0"/>
    <x v="6"/>
    <x v="4"/>
    <n v="8"/>
    <n v="8"/>
    <n v="7"/>
    <n v="8"/>
    <n v="6"/>
    <n v="8"/>
    <n v="6"/>
    <n v="5"/>
    <n v="8"/>
  </r>
  <r>
    <d v="2025-12-26T12:31:00"/>
    <x v="0"/>
    <x v="3"/>
    <x v="0"/>
    <x v="0"/>
    <x v="0"/>
    <x v="4"/>
    <x v="2"/>
    <n v="10"/>
    <n v="10"/>
    <n v="10"/>
    <n v="8"/>
    <n v="8"/>
    <n v="8"/>
    <n v="8"/>
    <n v="8"/>
    <n v="8"/>
  </r>
  <r>
    <d v="2025-12-26T12:38:00"/>
    <x v="1"/>
    <x v="0"/>
    <x v="0"/>
    <x v="0"/>
    <x v="0"/>
    <x v="0"/>
    <x v="1"/>
    <n v="10"/>
    <n v="10"/>
    <n v="10"/>
    <n v="10"/>
    <n v="10"/>
    <n v="10"/>
    <n v="10"/>
    <n v="10"/>
    <n v="10"/>
  </r>
  <r>
    <d v="2025-12-26T12:41:00"/>
    <x v="0"/>
    <x v="0"/>
    <x v="0"/>
    <x v="0"/>
    <x v="0"/>
    <x v="4"/>
    <x v="0"/>
    <n v="10"/>
    <n v="10"/>
    <n v="10"/>
    <n v="10"/>
    <n v="10"/>
    <n v="10"/>
    <n v="10"/>
    <n v="10"/>
    <n v="8"/>
  </r>
  <r>
    <d v="2025-12-26T12:45:00"/>
    <x v="1"/>
    <x v="0"/>
    <x v="0"/>
    <x v="1"/>
    <x v="0"/>
    <x v="0"/>
    <x v="4"/>
    <n v="10"/>
    <n v="10"/>
    <n v="10"/>
    <n v="10"/>
    <n v="10"/>
    <n v="10"/>
    <n v="10"/>
    <n v="10"/>
    <n v="10"/>
  </r>
  <r>
    <d v="2025-12-26T12:45:00"/>
    <x v="0"/>
    <x v="1"/>
    <x v="0"/>
    <x v="0"/>
    <x v="0"/>
    <x v="5"/>
    <x v="4"/>
    <n v="8"/>
    <n v="7"/>
    <n v="7"/>
    <n v="8"/>
    <n v="7"/>
    <n v="8"/>
    <n v="7"/>
    <n v="7"/>
    <n v="8"/>
  </r>
  <r>
    <d v="2025-12-26T12:48:00"/>
    <x v="0"/>
    <x v="3"/>
    <x v="0"/>
    <x v="0"/>
    <x v="0"/>
    <x v="5"/>
    <x v="0"/>
    <n v="10"/>
    <n v="9"/>
    <n v="3"/>
    <n v="4"/>
    <n v="3"/>
    <n v="3"/>
    <n v="1"/>
    <n v="1"/>
    <n v="3"/>
  </r>
  <r>
    <d v="2025-12-26T12:54:00"/>
    <x v="1"/>
    <x v="0"/>
    <x v="0"/>
    <x v="0"/>
    <x v="0"/>
    <x v="2"/>
    <x v="1"/>
    <n v="10"/>
    <n v="10"/>
    <n v="9"/>
    <n v="10"/>
    <n v="9"/>
    <n v="10"/>
    <n v="9"/>
    <n v="10"/>
    <n v="9"/>
  </r>
  <r>
    <d v="2025-12-26T13:26:00"/>
    <x v="0"/>
    <x v="3"/>
    <x v="0"/>
    <x v="0"/>
    <x v="0"/>
    <x v="0"/>
    <x v="4"/>
    <n v="10"/>
    <n v="10"/>
    <n v="1"/>
    <n v="5"/>
    <n v="7"/>
    <n v="10"/>
    <n v="9"/>
    <n v="9"/>
    <n v="10"/>
  </r>
  <r>
    <d v="2025-12-26T13:56:00"/>
    <x v="0"/>
    <x v="1"/>
    <x v="0"/>
    <x v="1"/>
    <x v="0"/>
    <x v="7"/>
    <x v="0"/>
    <n v="5"/>
    <n v="5"/>
    <n v="4"/>
    <n v="8"/>
    <n v="5"/>
    <n v="7"/>
    <n v="7"/>
    <n v="7"/>
    <n v="7"/>
  </r>
  <r>
    <d v="2025-12-26T15:02:00"/>
    <x v="0"/>
    <x v="2"/>
    <x v="0"/>
    <x v="0"/>
    <x v="1"/>
    <x v="2"/>
    <x v="1"/>
    <n v="9"/>
    <n v="9"/>
    <n v="9"/>
    <n v="7"/>
    <n v="7"/>
    <n v="8"/>
    <n v="8"/>
    <n v="6"/>
    <n v="5"/>
  </r>
  <r>
    <d v="2025-12-26T16:31:00"/>
    <x v="1"/>
    <x v="0"/>
    <x v="0"/>
    <x v="0"/>
    <x v="0"/>
    <x v="0"/>
    <x v="1"/>
    <n v="5"/>
    <n v="5"/>
    <n v="5"/>
    <n v="5"/>
    <n v="5"/>
    <n v="8"/>
    <n v="4"/>
    <n v="5"/>
    <n v="5"/>
  </r>
  <r>
    <d v="2025-12-26T16:46:00"/>
    <x v="0"/>
    <x v="3"/>
    <x v="0"/>
    <x v="1"/>
    <x v="0"/>
    <x v="4"/>
    <x v="0"/>
    <n v="8"/>
    <n v="9"/>
    <n v="9"/>
    <n v="9"/>
    <n v="9"/>
    <n v="8"/>
    <n v="8"/>
    <n v="8"/>
    <n v="9"/>
  </r>
  <r>
    <d v="2025-12-26T17:04:00"/>
    <x v="0"/>
    <x v="0"/>
    <x v="0"/>
    <x v="1"/>
    <x v="0"/>
    <x v="7"/>
    <x v="1"/>
    <n v="9"/>
    <n v="9"/>
    <n v="7"/>
    <n v="6"/>
    <n v="7"/>
    <n v="5"/>
    <n v="6"/>
    <n v="8"/>
    <n v="5"/>
  </r>
  <r>
    <d v="2025-12-26T19:26:00"/>
    <x v="0"/>
    <x v="4"/>
    <x v="1"/>
    <x v="0"/>
    <x v="0"/>
    <x v="4"/>
    <x v="0"/>
    <n v="9"/>
    <n v="9"/>
    <n v="9"/>
    <n v="9"/>
    <n v="8"/>
    <n v="9"/>
    <n v="9"/>
    <n v="8"/>
    <n v="7"/>
  </r>
  <r>
    <d v="2025-12-27T08:39:00"/>
    <x v="0"/>
    <x v="3"/>
    <x v="0"/>
    <x v="0"/>
    <x v="1"/>
    <x v="6"/>
    <x v="4"/>
    <n v="9"/>
    <n v="10"/>
    <n v="9"/>
    <n v="10"/>
    <n v="10"/>
    <n v="5"/>
    <n v="10"/>
    <n v="7"/>
    <n v="9"/>
  </r>
  <r>
    <d v="2025-12-28T14:24:00"/>
    <x v="0"/>
    <x v="1"/>
    <x v="1"/>
    <x v="0"/>
    <x v="0"/>
    <x v="2"/>
    <x v="4"/>
    <n v="10"/>
    <n v="10"/>
    <n v="10"/>
    <n v="10"/>
    <n v="10"/>
    <n v="10"/>
    <n v="10"/>
    <n v="10"/>
    <n v="10"/>
  </r>
  <r>
    <d v="2025-12-28T14:30:00"/>
    <x v="0"/>
    <x v="0"/>
    <x v="0"/>
    <x v="2"/>
    <x v="0"/>
    <x v="0"/>
    <x v="1"/>
    <n v="7"/>
    <n v="5"/>
    <n v="3"/>
    <n v="5"/>
    <n v="4"/>
    <n v="3"/>
    <n v="5"/>
    <n v="6"/>
    <n v="6"/>
  </r>
  <r>
    <d v="2025-12-28T15:02:00"/>
    <x v="1"/>
    <x v="1"/>
    <x v="0"/>
    <x v="1"/>
    <x v="0"/>
    <x v="3"/>
    <x v="4"/>
    <n v="5"/>
    <n v="5"/>
    <n v="4"/>
    <n v="4"/>
    <n v="2"/>
    <n v="3"/>
    <n v="2"/>
    <n v="3"/>
    <n v="3"/>
  </r>
  <r>
    <d v="2025-12-28T15:30:00"/>
    <x v="0"/>
    <x v="1"/>
    <x v="0"/>
    <x v="0"/>
    <x v="0"/>
    <x v="1"/>
    <x v="4"/>
    <n v="4"/>
    <n v="3"/>
    <n v="1"/>
    <n v="5"/>
    <n v="4"/>
    <n v="3"/>
    <n v="1"/>
    <n v="3"/>
    <n v="5"/>
  </r>
  <r>
    <d v="2025-12-28T15:33:00"/>
    <x v="1"/>
    <x v="0"/>
    <x v="0"/>
    <x v="0"/>
    <x v="0"/>
    <x v="4"/>
    <x v="1"/>
    <n v="7"/>
    <n v="7"/>
    <n v="8"/>
    <n v="9"/>
    <n v="8"/>
    <n v="10"/>
    <n v="9"/>
    <n v="9"/>
    <n v="9"/>
  </r>
  <r>
    <d v="2025-12-28T15:34:00"/>
    <x v="1"/>
    <x v="1"/>
    <x v="0"/>
    <x v="1"/>
    <x v="1"/>
    <x v="6"/>
    <x v="0"/>
    <n v="6"/>
    <n v="6"/>
    <n v="5"/>
    <n v="5"/>
    <n v="5"/>
    <n v="1"/>
    <n v="5"/>
    <n v="5"/>
    <n v="5"/>
  </r>
  <r>
    <d v="2025-12-28T15:37:00"/>
    <x v="0"/>
    <x v="3"/>
    <x v="0"/>
    <x v="1"/>
    <x v="0"/>
    <x v="7"/>
    <x v="4"/>
    <n v="3"/>
    <n v="3"/>
    <n v="3"/>
    <n v="5"/>
    <n v="3"/>
    <n v="3"/>
    <n v="3"/>
    <n v="3"/>
    <n v="4"/>
  </r>
  <r>
    <d v="2025-12-28T15:39:00"/>
    <x v="1"/>
    <x v="3"/>
    <x v="0"/>
    <x v="0"/>
    <x v="1"/>
    <x v="4"/>
    <x v="2"/>
    <n v="8"/>
    <n v="8"/>
    <n v="4"/>
    <n v="2"/>
    <n v="6"/>
    <n v="3"/>
    <n v="8"/>
    <n v="4"/>
    <n v="8"/>
  </r>
  <r>
    <d v="2025-12-28T15:48:00"/>
    <x v="1"/>
    <x v="2"/>
    <x v="0"/>
    <x v="3"/>
    <x v="0"/>
    <x v="0"/>
    <x v="1"/>
    <n v="5"/>
    <n v="5"/>
    <n v="5"/>
    <n v="5"/>
    <n v="5"/>
    <n v="10"/>
    <n v="5"/>
    <n v="5"/>
    <n v="10"/>
  </r>
  <r>
    <d v="2025-12-28T16:27:00"/>
    <x v="0"/>
    <x v="3"/>
    <x v="0"/>
    <x v="0"/>
    <x v="1"/>
    <x v="4"/>
    <x v="0"/>
    <n v="5"/>
    <n v="10"/>
    <n v="2"/>
    <n v="8"/>
    <n v="5"/>
    <n v="5"/>
    <n v="1"/>
    <n v="4"/>
    <n v="5"/>
  </r>
  <r>
    <d v="2025-12-28T16:30:00"/>
    <x v="1"/>
    <x v="1"/>
    <x v="0"/>
    <x v="1"/>
    <x v="0"/>
    <x v="1"/>
    <x v="4"/>
    <n v="8"/>
    <n v="9"/>
    <n v="9"/>
    <n v="9"/>
    <n v="3"/>
    <n v="3"/>
    <n v="2"/>
    <n v="2"/>
    <n v="6"/>
  </r>
  <r>
    <d v="2025-12-28T16:39:00"/>
    <x v="1"/>
    <x v="1"/>
    <x v="1"/>
    <x v="3"/>
    <x v="1"/>
    <x v="0"/>
    <x v="2"/>
    <n v="5"/>
    <n v="5"/>
    <n v="5"/>
    <n v="5"/>
    <n v="5"/>
    <n v="5"/>
    <n v="5"/>
    <n v="5"/>
    <n v="5"/>
  </r>
  <r>
    <d v="2025-12-28T16:44:00"/>
    <x v="0"/>
    <x v="4"/>
    <x v="0"/>
    <x v="0"/>
    <x v="0"/>
    <x v="0"/>
    <x v="4"/>
    <n v="8"/>
    <n v="8"/>
    <n v="8"/>
    <n v="8"/>
    <n v="9"/>
    <n v="7"/>
    <n v="9"/>
    <n v="10"/>
    <n v="8"/>
  </r>
  <r>
    <d v="2025-12-28T16:47:00"/>
    <x v="0"/>
    <x v="3"/>
    <x v="0"/>
    <x v="1"/>
    <x v="0"/>
    <x v="5"/>
    <x v="4"/>
    <n v="8"/>
    <n v="7"/>
    <n v="9"/>
    <n v="8"/>
    <n v="8"/>
    <n v="8"/>
    <n v="6"/>
    <n v="6"/>
    <n v="7"/>
  </r>
  <r>
    <d v="2025-12-28T17:42:00"/>
    <x v="0"/>
    <x v="5"/>
    <x v="0"/>
    <x v="3"/>
    <x v="2"/>
    <x v="0"/>
    <x v="1"/>
    <n v="6"/>
    <n v="2"/>
    <n v="3"/>
    <n v="2"/>
    <n v="3"/>
    <n v="7"/>
    <n v="5"/>
    <n v="5"/>
    <n v="7"/>
  </r>
  <r>
    <d v="2025-12-28T17:55:00"/>
    <x v="1"/>
    <x v="0"/>
    <x v="0"/>
    <x v="0"/>
    <x v="0"/>
    <x v="0"/>
    <x v="1"/>
    <n v="8"/>
    <n v="8"/>
    <n v="8"/>
    <n v="8"/>
    <n v="8"/>
    <n v="8"/>
    <n v="8"/>
    <n v="8"/>
    <n v="8"/>
  </r>
  <r>
    <d v="2025-12-28T18:37:00"/>
    <x v="1"/>
    <x v="5"/>
    <x v="0"/>
    <x v="1"/>
    <x v="2"/>
    <x v="2"/>
    <x v="1"/>
    <n v="7"/>
    <n v="7"/>
    <n v="5"/>
    <n v="5"/>
    <n v="6"/>
    <n v="5"/>
    <n v="8"/>
    <n v="6"/>
    <n v="8"/>
  </r>
  <r>
    <d v="2025-12-28T19:23:00"/>
    <x v="0"/>
    <x v="5"/>
    <x v="0"/>
    <x v="0"/>
    <x v="2"/>
    <x v="0"/>
    <x v="0"/>
    <n v="8"/>
    <n v="9"/>
    <n v="5"/>
    <n v="5"/>
    <n v="5"/>
    <n v="5"/>
    <n v="1"/>
    <n v="5"/>
    <n v="5"/>
  </r>
  <r>
    <d v="2025-12-28T19:33:00"/>
    <x v="0"/>
    <x v="1"/>
    <x v="0"/>
    <x v="1"/>
    <x v="0"/>
    <x v="0"/>
    <x v="4"/>
    <n v="10"/>
    <n v="8"/>
    <n v="8"/>
    <n v="7"/>
    <n v="7"/>
    <n v="6"/>
    <n v="7"/>
    <n v="6"/>
    <n v="8"/>
  </r>
  <r>
    <d v="2025-12-28T19:38:00"/>
    <x v="0"/>
    <x v="3"/>
    <x v="0"/>
    <x v="2"/>
    <x v="0"/>
    <x v="0"/>
    <x v="0"/>
    <n v="6"/>
    <n v="7"/>
    <n v="5"/>
    <n v="5"/>
    <n v="5"/>
    <n v="5"/>
    <n v="5"/>
    <n v="5"/>
    <n v="5"/>
  </r>
  <r>
    <d v="2025-12-28T19:40:00"/>
    <x v="0"/>
    <x v="1"/>
    <x v="0"/>
    <x v="0"/>
    <x v="0"/>
    <x v="0"/>
    <x v="4"/>
    <n v="9"/>
    <n v="9"/>
    <n v="8"/>
    <n v="9"/>
    <n v="9"/>
    <n v="9"/>
    <n v="7"/>
    <n v="8"/>
    <n v="8"/>
  </r>
  <r>
    <d v="2025-12-28T19:41:00"/>
    <x v="1"/>
    <x v="3"/>
    <x v="1"/>
    <x v="0"/>
    <x v="0"/>
    <x v="0"/>
    <x v="1"/>
    <n v="5"/>
    <n v="5"/>
    <n v="10"/>
    <n v="4"/>
    <n v="4"/>
    <n v="5"/>
    <n v="5"/>
    <n v="8"/>
    <n v="8"/>
  </r>
  <r>
    <d v="2025-12-28T19:48:00"/>
    <x v="1"/>
    <x v="1"/>
    <x v="0"/>
    <x v="0"/>
    <x v="0"/>
    <x v="0"/>
    <x v="4"/>
    <n v="10"/>
    <n v="9"/>
    <n v="9"/>
    <n v="9"/>
    <n v="9"/>
    <n v="9"/>
    <n v="10"/>
    <n v="9"/>
    <n v="10"/>
  </r>
  <r>
    <d v="2025-12-28T20:05:00"/>
    <x v="0"/>
    <x v="1"/>
    <x v="0"/>
    <x v="3"/>
    <x v="0"/>
    <x v="2"/>
    <x v="4"/>
    <n v="10"/>
    <n v="10"/>
    <n v="10"/>
    <n v="10"/>
    <n v="10"/>
    <n v="10"/>
    <n v="10"/>
    <n v="10"/>
    <n v="10"/>
  </r>
  <r>
    <d v="2025-12-28T20:08:00"/>
    <x v="0"/>
    <x v="3"/>
    <x v="0"/>
    <x v="2"/>
    <x v="0"/>
    <x v="2"/>
    <x v="0"/>
    <n v="10"/>
    <n v="9"/>
    <n v="9"/>
    <n v="9"/>
    <n v="10"/>
    <n v="9"/>
    <n v="9"/>
    <n v="8"/>
    <n v="9"/>
  </r>
  <r>
    <d v="2025-12-28T20:11:00"/>
    <x v="0"/>
    <x v="3"/>
    <x v="1"/>
    <x v="0"/>
    <x v="0"/>
    <x v="2"/>
    <x v="3"/>
    <n v="6"/>
    <n v="10"/>
    <n v="8"/>
    <n v="9"/>
    <n v="9"/>
    <n v="9"/>
    <n v="8"/>
    <n v="8"/>
    <n v="9"/>
  </r>
  <r>
    <d v="2025-12-28T20:22:00"/>
    <x v="0"/>
    <x v="3"/>
    <x v="0"/>
    <x v="0"/>
    <x v="0"/>
    <x v="2"/>
    <x v="4"/>
    <n v="10"/>
    <n v="9"/>
    <n v="9"/>
    <n v="9"/>
    <n v="10"/>
    <n v="9"/>
    <n v="8"/>
    <n v="8"/>
    <n v="10"/>
  </r>
  <r>
    <d v="2025-12-28T20:38:00"/>
    <x v="1"/>
    <x v="3"/>
    <x v="0"/>
    <x v="0"/>
    <x v="0"/>
    <x v="2"/>
    <x v="4"/>
    <n v="10"/>
    <n v="10"/>
    <n v="10"/>
    <n v="10"/>
    <n v="10"/>
    <n v="1"/>
    <n v="10"/>
    <n v="10"/>
    <n v="10"/>
  </r>
  <r>
    <d v="2025-12-28T20:38:00"/>
    <x v="1"/>
    <x v="3"/>
    <x v="0"/>
    <x v="0"/>
    <x v="0"/>
    <x v="5"/>
    <x v="4"/>
    <n v="5"/>
    <n v="8"/>
    <n v="4"/>
    <n v="9"/>
    <n v="7"/>
    <n v="5"/>
    <n v="7"/>
    <n v="8"/>
    <n v="10"/>
  </r>
  <r>
    <d v="2025-12-28T21:21:00"/>
    <x v="0"/>
    <x v="3"/>
    <x v="0"/>
    <x v="1"/>
    <x v="0"/>
    <x v="2"/>
    <x v="1"/>
    <n v="9"/>
    <n v="7"/>
    <n v="5"/>
    <n v="7"/>
    <n v="5"/>
    <n v="8"/>
    <n v="5"/>
    <n v="5"/>
    <n v="7"/>
  </r>
  <r>
    <d v="2025-12-28T21:37:00"/>
    <x v="0"/>
    <x v="1"/>
    <x v="0"/>
    <x v="0"/>
    <x v="0"/>
    <x v="5"/>
    <x v="2"/>
    <n v="4"/>
    <n v="6"/>
    <n v="5"/>
    <n v="5"/>
    <n v="4"/>
    <n v="4"/>
    <n v="3"/>
    <n v="4"/>
    <n v="3"/>
  </r>
  <r>
    <d v="2025-12-28T21:39:00"/>
    <x v="1"/>
    <x v="2"/>
    <x v="0"/>
    <x v="0"/>
    <x v="0"/>
    <x v="2"/>
    <x v="1"/>
    <n v="8"/>
    <n v="7"/>
    <n v="5"/>
    <n v="7"/>
    <n v="7"/>
    <n v="5"/>
    <n v="5"/>
    <n v="7"/>
    <n v="7"/>
  </r>
  <r>
    <d v="2025-12-28T21:40:00"/>
    <x v="0"/>
    <x v="5"/>
    <x v="0"/>
    <x v="0"/>
    <x v="1"/>
    <x v="6"/>
    <x v="3"/>
    <n v="6"/>
    <n v="6"/>
    <n v="5"/>
    <n v="5"/>
    <n v="5"/>
    <n v="5"/>
    <n v="5"/>
    <n v="5"/>
    <n v="5"/>
  </r>
  <r>
    <d v="2025-12-28T21:41:00"/>
    <x v="0"/>
    <x v="3"/>
    <x v="1"/>
    <x v="0"/>
    <x v="0"/>
    <x v="4"/>
    <x v="1"/>
    <n v="8"/>
    <n v="8"/>
    <n v="5"/>
    <n v="8"/>
    <n v="6"/>
    <n v="9"/>
    <n v="5"/>
    <n v="7"/>
    <n v="8"/>
  </r>
  <r>
    <d v="2025-12-28T21:43:00"/>
    <x v="1"/>
    <x v="0"/>
    <x v="0"/>
    <x v="0"/>
    <x v="0"/>
    <x v="7"/>
    <x v="0"/>
    <n v="6"/>
    <n v="6"/>
    <n v="3"/>
    <n v="6"/>
    <n v="5"/>
    <n v="6"/>
    <n v="5"/>
    <n v="6"/>
    <n v="6"/>
  </r>
  <r>
    <d v="2025-12-29T04:58:00"/>
    <x v="0"/>
    <x v="5"/>
    <x v="0"/>
    <x v="0"/>
    <x v="0"/>
    <x v="0"/>
    <x v="0"/>
    <n v="8"/>
    <n v="8"/>
    <n v="8"/>
    <n v="10"/>
    <n v="10"/>
    <n v="10"/>
    <n v="10"/>
    <n v="10"/>
    <n v="10"/>
  </r>
  <r>
    <d v="2025-12-29T06:44:00"/>
    <x v="0"/>
    <x v="4"/>
    <x v="0"/>
    <x v="1"/>
    <x v="0"/>
    <x v="3"/>
    <x v="3"/>
    <n v="8"/>
    <n v="8"/>
    <n v="7"/>
    <n v="8"/>
    <n v="8"/>
    <n v="7"/>
    <n v="7"/>
    <n v="7"/>
    <n v="8"/>
  </r>
  <r>
    <d v="2025-12-29T06:45:00"/>
    <x v="1"/>
    <x v="2"/>
    <x v="0"/>
    <x v="0"/>
    <x v="0"/>
    <x v="0"/>
    <x v="1"/>
    <n v="5"/>
    <n v="5"/>
    <n v="5"/>
    <n v="5"/>
    <n v="5"/>
    <n v="5"/>
    <n v="5"/>
    <n v="5"/>
    <n v="5"/>
  </r>
  <r>
    <d v="2025-12-29T06:47:00"/>
    <x v="0"/>
    <x v="5"/>
    <x v="0"/>
    <x v="0"/>
    <x v="0"/>
    <x v="5"/>
    <x v="4"/>
    <n v="8"/>
    <n v="8"/>
    <n v="5"/>
    <n v="8"/>
    <n v="5"/>
    <n v="5"/>
    <n v="6"/>
    <n v="6"/>
    <n v="5"/>
  </r>
  <r>
    <d v="2025-12-29T06:47:00"/>
    <x v="1"/>
    <x v="3"/>
    <x v="0"/>
    <x v="0"/>
    <x v="0"/>
    <x v="4"/>
    <x v="1"/>
    <n v="6"/>
    <n v="7"/>
    <n v="6"/>
    <n v="8"/>
    <n v="6"/>
    <n v="7"/>
    <n v="6"/>
    <n v="6"/>
    <n v="7"/>
  </r>
  <r>
    <d v="2025-12-29T08:21:00"/>
    <x v="1"/>
    <x v="0"/>
    <x v="0"/>
    <x v="0"/>
    <x v="0"/>
    <x v="0"/>
    <x v="0"/>
    <n v="9"/>
    <n v="10"/>
    <n v="8"/>
    <n v="8"/>
    <n v="9"/>
    <n v="9"/>
    <n v="8"/>
    <n v="6"/>
    <n v="9"/>
  </r>
  <r>
    <d v="2025-12-29T08:33:00"/>
    <x v="0"/>
    <x v="0"/>
    <x v="0"/>
    <x v="0"/>
    <x v="0"/>
    <x v="2"/>
    <x v="1"/>
    <n v="10"/>
    <n v="5"/>
    <n v="8"/>
    <n v="8"/>
    <n v="10"/>
    <n v="10"/>
    <n v="10"/>
    <n v="10"/>
    <n v="10"/>
  </r>
  <r>
    <d v="2025-12-29T08:39:00"/>
    <x v="0"/>
    <x v="1"/>
    <x v="0"/>
    <x v="0"/>
    <x v="0"/>
    <x v="7"/>
    <x v="0"/>
    <n v="7"/>
    <n v="7"/>
    <n v="7"/>
    <n v="7"/>
    <n v="7"/>
    <n v="7"/>
    <n v="7"/>
    <n v="7"/>
    <n v="8"/>
  </r>
  <r>
    <d v="2025-12-29T08:52:00"/>
    <x v="0"/>
    <x v="1"/>
    <x v="0"/>
    <x v="0"/>
    <x v="0"/>
    <x v="0"/>
    <x v="0"/>
    <n v="5"/>
    <n v="10"/>
    <n v="5"/>
    <n v="5"/>
    <n v="5"/>
    <n v="5"/>
    <n v="8"/>
    <n v="5"/>
    <n v="6"/>
  </r>
  <r>
    <d v="2025-12-29T09:03:00"/>
    <x v="0"/>
    <x v="1"/>
    <x v="0"/>
    <x v="0"/>
    <x v="0"/>
    <x v="0"/>
    <x v="0"/>
    <n v="10"/>
    <n v="10"/>
    <n v="10"/>
    <n v="10"/>
    <n v="10"/>
    <n v="10"/>
    <n v="10"/>
    <n v="10"/>
    <n v="10"/>
  </r>
  <r>
    <d v="2025-12-29T09:10:00"/>
    <x v="1"/>
    <x v="3"/>
    <x v="0"/>
    <x v="0"/>
    <x v="0"/>
    <x v="1"/>
    <x v="4"/>
    <n v="7"/>
    <n v="6"/>
    <n v="8"/>
    <n v="8"/>
    <n v="7"/>
    <n v="6"/>
    <n v="5"/>
    <n v="5"/>
    <n v="8"/>
  </r>
  <r>
    <d v="2025-12-29T09:34:00"/>
    <x v="1"/>
    <x v="4"/>
    <x v="0"/>
    <x v="0"/>
    <x v="0"/>
    <x v="7"/>
    <x v="0"/>
    <n v="8"/>
    <n v="8"/>
    <n v="6"/>
    <n v="7"/>
    <n v="6"/>
    <n v="7"/>
    <n v="5"/>
    <n v="5"/>
    <n v="5"/>
  </r>
  <r>
    <d v="2025-12-29T09:36:00"/>
    <x v="0"/>
    <x v="1"/>
    <x v="0"/>
    <x v="0"/>
    <x v="0"/>
    <x v="4"/>
    <x v="4"/>
    <n v="7"/>
    <n v="8"/>
    <n v="8"/>
    <n v="8"/>
    <n v="8"/>
    <n v="8"/>
    <n v="8"/>
    <n v="8"/>
    <n v="8"/>
  </r>
  <r>
    <d v="2025-12-29T09:50:00"/>
    <x v="0"/>
    <x v="3"/>
    <x v="0"/>
    <x v="0"/>
    <x v="0"/>
    <x v="2"/>
    <x v="2"/>
    <n v="1"/>
    <n v="1"/>
    <n v="1"/>
    <n v="1"/>
    <n v="1"/>
    <n v="1"/>
    <n v="1"/>
    <n v="1"/>
    <n v="1"/>
  </r>
  <r>
    <d v="2025-12-29T10:03:00"/>
    <x v="0"/>
    <x v="1"/>
    <x v="0"/>
    <x v="0"/>
    <x v="0"/>
    <x v="4"/>
    <x v="3"/>
    <n v="10"/>
    <n v="10"/>
    <n v="10"/>
    <n v="10"/>
    <n v="10"/>
    <n v="10"/>
    <n v="10"/>
    <n v="10"/>
    <n v="10"/>
  </r>
  <r>
    <d v="2025-12-29T10:05:00"/>
    <x v="0"/>
    <x v="1"/>
    <x v="0"/>
    <x v="1"/>
    <x v="0"/>
    <x v="0"/>
    <x v="3"/>
    <n v="1"/>
    <n v="1"/>
    <n v="1"/>
    <n v="1"/>
    <n v="1"/>
    <n v="1"/>
    <n v="1"/>
    <n v="1"/>
    <n v="1"/>
  </r>
  <r>
    <d v="2025-12-29T11:50:00"/>
    <x v="0"/>
    <x v="1"/>
    <x v="0"/>
    <x v="1"/>
    <x v="0"/>
    <x v="0"/>
    <x v="1"/>
    <n v="9"/>
    <n v="9"/>
    <n v="9"/>
    <n v="9"/>
    <n v="9"/>
    <n v="9"/>
    <n v="9"/>
    <n v="8"/>
    <n v="9"/>
  </r>
  <r>
    <d v="2025-12-29T12:10:00"/>
    <x v="0"/>
    <x v="1"/>
    <x v="0"/>
    <x v="0"/>
    <x v="0"/>
    <x v="1"/>
    <x v="1"/>
    <n v="8"/>
    <n v="9"/>
    <n v="8"/>
    <n v="6"/>
    <n v="8"/>
    <n v="8"/>
    <n v="8"/>
    <n v="8"/>
    <n v="6"/>
  </r>
  <r>
    <d v="2025-12-29T13:01:00"/>
    <x v="1"/>
    <x v="3"/>
    <x v="0"/>
    <x v="1"/>
    <x v="0"/>
    <x v="5"/>
    <x v="0"/>
    <n v="4"/>
    <n v="1"/>
    <n v="1"/>
    <n v="5"/>
    <n v="1"/>
    <n v="3"/>
    <n v="1"/>
    <n v="1"/>
    <n v="5"/>
  </r>
  <r>
    <d v="2025-12-29T13:02:00"/>
    <x v="0"/>
    <x v="5"/>
    <x v="0"/>
    <x v="0"/>
    <x v="0"/>
    <x v="1"/>
    <x v="3"/>
    <n v="8"/>
    <n v="8"/>
    <n v="6"/>
    <n v="9"/>
    <n v="8"/>
    <n v="7"/>
    <n v="7"/>
    <n v="7"/>
    <n v="7"/>
  </r>
  <r>
    <d v="2025-12-29T13:03:00"/>
    <x v="0"/>
    <x v="1"/>
    <x v="1"/>
    <x v="0"/>
    <x v="0"/>
    <x v="7"/>
    <x v="2"/>
    <n v="6"/>
    <n v="6"/>
    <n v="6"/>
    <n v="6"/>
    <n v="6"/>
    <n v="6"/>
    <n v="6"/>
    <n v="6"/>
    <n v="6"/>
  </r>
  <r>
    <d v="2025-12-29T13:04:00"/>
    <x v="1"/>
    <x v="4"/>
    <x v="0"/>
    <x v="1"/>
    <x v="1"/>
    <x v="6"/>
    <x v="3"/>
    <n v="1"/>
    <n v="1"/>
    <n v="1"/>
    <n v="5"/>
    <n v="1"/>
    <n v="1"/>
    <n v="1"/>
    <n v="1"/>
    <n v="5"/>
  </r>
  <r>
    <d v="2025-12-29T13:05:00"/>
    <x v="1"/>
    <x v="1"/>
    <x v="0"/>
    <x v="0"/>
    <x v="0"/>
    <x v="6"/>
    <x v="1"/>
    <n v="4"/>
    <n v="4"/>
    <n v="2"/>
    <n v="5"/>
    <n v="1"/>
    <n v="1"/>
    <n v="1"/>
    <n v="4"/>
    <n v="4"/>
  </r>
  <r>
    <d v="2025-12-29T13:06:00"/>
    <x v="0"/>
    <x v="2"/>
    <x v="0"/>
    <x v="0"/>
    <x v="0"/>
    <x v="2"/>
    <x v="1"/>
    <n v="7"/>
    <n v="7"/>
    <n v="7"/>
    <n v="7"/>
    <n v="7"/>
    <n v="7"/>
    <n v="7"/>
    <n v="7"/>
    <n v="8"/>
  </r>
  <r>
    <d v="2025-12-29T14:09:00"/>
    <x v="0"/>
    <x v="4"/>
    <x v="0"/>
    <x v="1"/>
    <x v="0"/>
    <x v="5"/>
    <x v="0"/>
    <n v="10"/>
    <n v="9"/>
    <n v="10"/>
    <n v="10"/>
    <n v="10"/>
    <n v="8"/>
    <n v="9"/>
    <n v="9"/>
    <n v="9"/>
  </r>
  <r>
    <d v="2025-12-29T14:10:00"/>
    <x v="0"/>
    <x v="2"/>
    <x v="0"/>
    <x v="0"/>
    <x v="0"/>
    <x v="0"/>
    <x v="4"/>
    <n v="10"/>
    <n v="10"/>
    <n v="10"/>
    <n v="10"/>
    <n v="10"/>
    <n v="10"/>
    <n v="10"/>
    <n v="10"/>
    <n v="10"/>
  </r>
  <r>
    <d v="2025-12-29T14:26:00"/>
    <x v="1"/>
    <x v="0"/>
    <x v="0"/>
    <x v="0"/>
    <x v="0"/>
    <x v="7"/>
    <x v="1"/>
    <n v="8"/>
    <n v="8"/>
    <n v="5"/>
    <n v="8"/>
    <n v="8"/>
    <n v="8"/>
    <n v="7"/>
    <n v="7"/>
    <n v="8"/>
  </r>
  <r>
    <d v="2025-12-29T14:27:00"/>
    <x v="0"/>
    <x v="1"/>
    <x v="0"/>
    <x v="0"/>
    <x v="0"/>
    <x v="6"/>
    <x v="3"/>
    <n v="1"/>
    <n v="1"/>
    <n v="1"/>
    <n v="5"/>
    <n v="1"/>
    <n v="1"/>
    <n v="1"/>
    <n v="5"/>
    <n v="5"/>
  </r>
  <r>
    <d v="2025-12-29T14:28:00"/>
    <x v="1"/>
    <x v="4"/>
    <x v="0"/>
    <x v="0"/>
    <x v="0"/>
    <x v="6"/>
    <x v="3"/>
    <n v="6"/>
    <n v="6"/>
    <n v="6"/>
    <n v="8"/>
    <n v="6"/>
    <n v="3"/>
    <n v="5"/>
    <n v="5"/>
    <n v="4"/>
  </r>
  <r>
    <d v="2025-12-29T14:29:00"/>
    <x v="1"/>
    <x v="4"/>
    <x v="0"/>
    <x v="1"/>
    <x v="0"/>
    <x v="6"/>
    <x v="2"/>
    <n v="6"/>
    <n v="6"/>
    <n v="4"/>
    <n v="5"/>
    <n v="5"/>
    <n v="1"/>
    <n v="5"/>
    <n v="4"/>
    <n v="5"/>
  </r>
  <r>
    <d v="2025-12-29T14:29:00"/>
    <x v="0"/>
    <x v="5"/>
    <x v="0"/>
    <x v="1"/>
    <x v="0"/>
    <x v="3"/>
    <x v="4"/>
    <n v="5"/>
    <n v="5"/>
    <n v="1"/>
    <n v="4"/>
    <n v="2"/>
    <n v="1"/>
    <n v="1"/>
    <n v="1"/>
    <n v="5"/>
  </r>
  <r>
    <d v="2025-12-29T14:31:00"/>
    <x v="0"/>
    <x v="3"/>
    <x v="0"/>
    <x v="1"/>
    <x v="0"/>
    <x v="3"/>
    <x v="0"/>
    <n v="8"/>
    <n v="9"/>
    <n v="5"/>
    <n v="5"/>
    <n v="5"/>
    <n v="4"/>
    <n v="5"/>
    <n v="5"/>
    <n v="5"/>
  </r>
  <r>
    <d v="2025-12-29T14:31:00"/>
    <x v="1"/>
    <x v="2"/>
    <x v="0"/>
    <x v="0"/>
    <x v="0"/>
    <x v="0"/>
    <x v="1"/>
    <n v="9"/>
    <n v="9"/>
    <n v="9"/>
    <n v="9"/>
    <n v="7"/>
    <n v="10"/>
    <n v="5"/>
    <n v="5"/>
    <n v="9"/>
  </r>
  <r>
    <d v="2025-12-29T14:32:00"/>
    <x v="1"/>
    <x v="0"/>
    <x v="0"/>
    <x v="2"/>
    <x v="0"/>
    <x v="5"/>
    <x v="1"/>
    <n v="5"/>
    <n v="5"/>
    <n v="5"/>
    <n v="5"/>
    <n v="5"/>
    <n v="5"/>
    <n v="5"/>
    <n v="5"/>
    <n v="5"/>
  </r>
  <r>
    <d v="2025-12-29T14:33:00"/>
    <x v="0"/>
    <x v="2"/>
    <x v="0"/>
    <x v="0"/>
    <x v="0"/>
    <x v="4"/>
    <x v="1"/>
    <n v="9"/>
    <n v="9"/>
    <n v="5"/>
    <n v="9"/>
    <n v="8"/>
    <n v="10"/>
    <n v="5"/>
    <n v="5"/>
    <n v="7"/>
  </r>
  <r>
    <d v="2025-12-29T14:37:00"/>
    <x v="1"/>
    <x v="2"/>
    <x v="0"/>
    <x v="0"/>
    <x v="0"/>
    <x v="0"/>
    <x v="1"/>
    <n v="5"/>
    <n v="5"/>
    <n v="5"/>
    <n v="6"/>
    <n v="6"/>
    <n v="6"/>
    <n v="6"/>
    <n v="6"/>
    <n v="6"/>
  </r>
  <r>
    <d v="2025-12-29T14:43:00"/>
    <x v="0"/>
    <x v="5"/>
    <x v="0"/>
    <x v="0"/>
    <x v="2"/>
    <x v="2"/>
    <x v="1"/>
    <n v="8"/>
    <n v="8"/>
    <n v="8"/>
    <n v="8"/>
    <n v="10"/>
    <n v="10"/>
    <n v="10"/>
    <n v="10"/>
    <n v="10"/>
  </r>
  <r>
    <d v="2025-12-29T15:18:00"/>
    <x v="1"/>
    <x v="4"/>
    <x v="0"/>
    <x v="0"/>
    <x v="0"/>
    <x v="6"/>
    <x v="3"/>
    <n v="8"/>
    <n v="8"/>
    <n v="8"/>
    <n v="8"/>
    <n v="8"/>
    <n v="8"/>
    <n v="5"/>
    <n v="7"/>
    <n v="8"/>
  </r>
  <r>
    <d v="2025-12-29T15:23:00"/>
    <x v="0"/>
    <x v="0"/>
    <x v="0"/>
    <x v="1"/>
    <x v="0"/>
    <x v="0"/>
    <x v="1"/>
    <n v="8"/>
    <n v="9"/>
    <n v="7"/>
    <n v="7"/>
    <n v="6"/>
    <n v="6"/>
    <n v="2"/>
    <n v="5"/>
    <n v="6"/>
  </r>
  <r>
    <d v="2025-12-29T20:27:00"/>
    <x v="0"/>
    <x v="1"/>
    <x v="0"/>
    <x v="1"/>
    <x v="0"/>
    <x v="6"/>
    <x v="4"/>
    <n v="5"/>
    <n v="4"/>
    <n v="7"/>
    <n v="6"/>
    <n v="3"/>
    <n v="4"/>
    <n v="4"/>
    <n v="5"/>
    <n v="5"/>
  </r>
  <r>
    <d v="2025-12-29T21:20:00"/>
    <x v="0"/>
    <x v="3"/>
    <x v="0"/>
    <x v="0"/>
    <x v="0"/>
    <x v="7"/>
    <x v="0"/>
    <n v="10"/>
    <n v="9"/>
    <n v="9"/>
    <n v="9"/>
    <n v="8"/>
    <n v="8"/>
    <n v="8"/>
    <n v="8"/>
    <n v="10"/>
  </r>
  <r>
    <d v="2025-12-29T21:21:00"/>
    <x v="1"/>
    <x v="3"/>
    <x v="0"/>
    <x v="0"/>
    <x v="0"/>
    <x v="7"/>
    <x v="0"/>
    <n v="8"/>
    <n v="7"/>
    <n v="6"/>
    <n v="6"/>
    <n v="5"/>
    <n v="5"/>
    <n v="3"/>
    <n v="3"/>
    <n v="5"/>
  </r>
  <r>
    <d v="2025-12-30T08:12:00"/>
    <x v="1"/>
    <x v="1"/>
    <x v="0"/>
    <x v="1"/>
    <x v="0"/>
    <x v="2"/>
    <x v="0"/>
    <n v="5"/>
    <n v="6"/>
    <n v="5"/>
    <n v="7"/>
    <n v="6"/>
    <n v="6"/>
    <n v="6"/>
    <n v="7"/>
    <n v="7"/>
  </r>
  <r>
    <d v="2025-12-30T10:46:00"/>
    <x v="1"/>
    <x v="3"/>
    <x v="0"/>
    <x v="1"/>
    <x v="0"/>
    <x v="6"/>
    <x v="1"/>
    <n v="1"/>
    <n v="1"/>
    <n v="8"/>
    <n v="8"/>
    <n v="8"/>
    <n v="8"/>
    <n v="8"/>
    <n v="8"/>
    <n v="8"/>
  </r>
  <r>
    <d v="2025-12-30T10:47:00"/>
    <x v="0"/>
    <x v="4"/>
    <x v="0"/>
    <x v="0"/>
    <x v="0"/>
    <x v="1"/>
    <x v="4"/>
    <n v="9"/>
    <n v="9"/>
    <n v="9"/>
    <n v="9"/>
    <n v="10"/>
    <n v="5"/>
    <n v="9"/>
    <n v="9"/>
    <n v="10"/>
  </r>
  <r>
    <d v="2025-12-30T10:50:00"/>
    <x v="0"/>
    <x v="1"/>
    <x v="0"/>
    <x v="0"/>
    <x v="0"/>
    <x v="1"/>
    <x v="4"/>
    <n v="10"/>
    <n v="10"/>
    <n v="9"/>
    <n v="6"/>
    <n v="6"/>
    <n v="3"/>
    <n v="5"/>
    <n v="5"/>
    <n v="1"/>
  </r>
  <r>
    <d v="2025-12-30T10:54:00"/>
    <x v="0"/>
    <x v="1"/>
    <x v="0"/>
    <x v="0"/>
    <x v="0"/>
    <x v="3"/>
    <x v="2"/>
    <n v="8"/>
    <n v="8"/>
    <n v="5"/>
    <n v="5"/>
    <n v="5"/>
    <n v="3"/>
    <n v="5"/>
    <n v="5"/>
    <n v="5"/>
  </r>
  <r>
    <d v="2025-12-30T10:59:00"/>
    <x v="0"/>
    <x v="5"/>
    <x v="0"/>
    <x v="1"/>
    <x v="0"/>
    <x v="6"/>
    <x v="1"/>
    <n v="7"/>
    <n v="7"/>
    <n v="1"/>
    <n v="6"/>
    <n v="3"/>
    <n v="5"/>
    <n v="1"/>
    <n v="4"/>
    <n v="5"/>
  </r>
  <r>
    <d v="2025-12-30T11:05:00"/>
    <x v="1"/>
    <x v="0"/>
    <x v="0"/>
    <x v="0"/>
    <x v="0"/>
    <x v="4"/>
    <x v="1"/>
    <n v="6"/>
    <n v="6"/>
    <n v="5"/>
    <n v="7"/>
    <n v="5"/>
    <n v="7"/>
    <n v="5"/>
    <n v="6"/>
    <n v="7"/>
  </r>
  <r>
    <d v="2025-12-30T11:09:00"/>
    <x v="0"/>
    <x v="1"/>
    <x v="0"/>
    <x v="0"/>
    <x v="0"/>
    <x v="6"/>
    <x v="2"/>
    <n v="10"/>
    <n v="10"/>
    <n v="7"/>
    <n v="8"/>
    <n v="8"/>
    <n v="4"/>
    <n v="1"/>
    <n v="3"/>
    <n v="6"/>
  </r>
  <r>
    <d v="2025-12-30T11:24:00"/>
    <x v="0"/>
    <x v="1"/>
    <x v="0"/>
    <x v="0"/>
    <x v="0"/>
    <x v="1"/>
    <x v="4"/>
    <n v="7"/>
    <n v="10"/>
    <n v="5"/>
    <n v="7"/>
    <n v="7"/>
    <n v="7"/>
    <n v="7"/>
    <n v="7"/>
    <n v="10"/>
  </r>
  <r>
    <d v="2025-12-30T11:42:00"/>
    <x v="0"/>
    <x v="3"/>
    <x v="0"/>
    <x v="0"/>
    <x v="0"/>
    <x v="3"/>
    <x v="4"/>
    <n v="8"/>
    <n v="8"/>
    <n v="8"/>
    <n v="8"/>
    <n v="8"/>
    <n v="8"/>
    <n v="8"/>
    <n v="8"/>
    <n v="8"/>
  </r>
  <r>
    <d v="2025-12-30T12:10:00"/>
    <x v="0"/>
    <x v="1"/>
    <x v="0"/>
    <x v="1"/>
    <x v="0"/>
    <x v="3"/>
    <x v="4"/>
    <n v="10"/>
    <n v="10"/>
    <n v="10"/>
    <n v="10"/>
    <n v="10"/>
    <n v="10"/>
    <n v="10"/>
    <n v="10"/>
    <n v="10"/>
  </r>
  <r>
    <d v="2025-12-30T12:21:00"/>
    <x v="1"/>
    <x v="3"/>
    <x v="0"/>
    <x v="0"/>
    <x v="0"/>
    <x v="2"/>
    <x v="0"/>
    <n v="7"/>
    <n v="7"/>
    <n v="5"/>
    <n v="7"/>
    <n v="7"/>
    <n v="7"/>
    <n v="7"/>
    <n v="7"/>
    <n v="7"/>
  </r>
  <r>
    <d v="2025-12-30T14:44:00"/>
    <x v="0"/>
    <x v="0"/>
    <x v="0"/>
    <x v="0"/>
    <x v="0"/>
    <x v="2"/>
    <x v="4"/>
    <n v="7"/>
    <n v="8"/>
    <n v="8"/>
    <n v="8"/>
    <n v="6"/>
    <n v="8"/>
    <n v="5"/>
    <n v="8"/>
    <n v="8"/>
  </r>
  <r>
    <d v="2025-12-30T18:51:00"/>
    <x v="0"/>
    <x v="3"/>
    <x v="0"/>
    <x v="1"/>
    <x v="0"/>
    <x v="1"/>
    <x v="0"/>
    <n v="10"/>
    <n v="10"/>
    <n v="10"/>
    <n v="10"/>
    <n v="10"/>
    <n v="10"/>
    <n v="10"/>
    <n v="10"/>
    <n v="10"/>
  </r>
  <r>
    <d v="2025-12-30T18:59:00"/>
    <x v="0"/>
    <x v="3"/>
    <x v="0"/>
    <x v="1"/>
    <x v="0"/>
    <x v="7"/>
    <x v="0"/>
    <n v="10"/>
    <n v="10"/>
    <n v="10"/>
    <n v="10"/>
    <n v="10"/>
    <n v="10"/>
    <n v="10"/>
    <n v="10"/>
    <n v="10"/>
  </r>
  <r>
    <d v="2025-12-30T19:26:00"/>
    <x v="1"/>
    <x v="3"/>
    <x v="0"/>
    <x v="0"/>
    <x v="0"/>
    <x v="3"/>
    <x v="3"/>
    <n v="10"/>
    <n v="10"/>
    <n v="1"/>
    <n v="10"/>
    <n v="1"/>
    <n v="1"/>
    <n v="1"/>
    <n v="1"/>
    <n v="6"/>
  </r>
  <r>
    <d v="2025-12-30T19:51:00"/>
    <x v="0"/>
    <x v="3"/>
    <x v="0"/>
    <x v="0"/>
    <x v="0"/>
    <x v="3"/>
    <x v="4"/>
    <n v="7"/>
    <n v="8"/>
    <n v="6"/>
    <n v="6"/>
    <n v="7"/>
    <n v="5"/>
    <n v="6"/>
    <n v="7"/>
    <n v="7"/>
  </r>
  <r>
    <d v="2026-01-01T10:33:00"/>
    <x v="1"/>
    <x v="1"/>
    <x v="0"/>
    <x v="0"/>
    <x v="0"/>
    <x v="5"/>
    <x v="1"/>
    <n v="2"/>
    <n v="7"/>
    <n v="10"/>
    <n v="2"/>
    <n v="10"/>
    <n v="5"/>
    <n v="10"/>
    <n v="3"/>
    <n v="3"/>
  </r>
  <r>
    <d v="2026-01-01T15:13:00"/>
    <x v="0"/>
    <x v="3"/>
    <x v="0"/>
    <x v="1"/>
    <x v="0"/>
    <x v="5"/>
    <x v="1"/>
    <n v="9"/>
    <n v="9"/>
    <n v="10"/>
    <n v="2"/>
    <n v="9"/>
    <n v="9"/>
    <n v="6"/>
    <n v="8"/>
    <n v="10"/>
  </r>
  <r>
    <d v="2026-01-01T15:17:00"/>
    <x v="0"/>
    <x v="3"/>
    <x v="0"/>
    <x v="0"/>
    <x v="0"/>
    <x v="0"/>
    <x v="1"/>
    <n v="7"/>
    <n v="5"/>
    <n v="7"/>
    <n v="5"/>
    <n v="3"/>
    <n v="4"/>
    <n v="1"/>
    <n v="5"/>
    <n v="5"/>
  </r>
  <r>
    <d v="2026-01-01T15:31:00"/>
    <x v="0"/>
    <x v="0"/>
    <x v="0"/>
    <x v="0"/>
    <x v="0"/>
    <x v="2"/>
    <x v="1"/>
    <n v="3"/>
    <n v="8"/>
    <n v="4"/>
    <n v="5"/>
    <n v="5"/>
    <n v="5"/>
    <n v="5"/>
    <n v="5"/>
    <n v="5"/>
  </r>
  <r>
    <d v="2026-01-02T07:31:00"/>
    <x v="0"/>
    <x v="0"/>
    <x v="0"/>
    <x v="0"/>
    <x v="0"/>
    <x v="0"/>
    <x v="1"/>
    <n v="10"/>
    <n v="10"/>
    <n v="10"/>
    <n v="10"/>
    <n v="10"/>
    <n v="10"/>
    <n v="10"/>
    <n v="10"/>
    <n v="10"/>
  </r>
  <r>
    <d v="2026-01-02T09:17:00"/>
    <x v="0"/>
    <x v="1"/>
    <x v="0"/>
    <x v="0"/>
    <x v="0"/>
    <x v="5"/>
    <x v="4"/>
    <n v="8"/>
    <n v="9"/>
    <n v="9"/>
    <n v="9"/>
    <n v="5"/>
    <n v="7"/>
    <n v="5"/>
    <n v="7"/>
    <n v="7"/>
  </r>
  <r>
    <d v="2026-01-02T14:22:00"/>
    <x v="0"/>
    <x v="3"/>
    <x v="0"/>
    <x v="1"/>
    <x v="0"/>
    <x v="5"/>
    <x v="1"/>
    <n v="5"/>
    <n v="5"/>
    <n v="6"/>
    <n v="6"/>
    <n v="6"/>
    <n v="6"/>
    <n v="5"/>
    <n v="7"/>
    <n v="8"/>
  </r>
  <r>
    <d v="2026-01-02T16:52:00"/>
    <x v="0"/>
    <x v="3"/>
    <x v="0"/>
    <x v="1"/>
    <x v="0"/>
    <x v="5"/>
    <x v="0"/>
    <n v="10"/>
    <n v="8"/>
    <n v="10"/>
    <n v="10"/>
    <n v="10"/>
    <n v="10"/>
    <n v="10"/>
    <n v="10"/>
    <n v="8"/>
  </r>
  <r>
    <d v="2026-01-02T18:20:00"/>
    <x v="1"/>
    <x v="3"/>
    <x v="0"/>
    <x v="1"/>
    <x v="0"/>
    <x v="3"/>
    <x v="1"/>
    <n v="5"/>
    <n v="8"/>
    <n v="5"/>
    <n v="8"/>
    <n v="4"/>
    <n v="5"/>
    <n v="1"/>
    <n v="5"/>
    <n v="5"/>
  </r>
  <r>
    <d v="2026-01-03T08:11:00"/>
    <x v="0"/>
    <x v="0"/>
    <x v="0"/>
    <x v="0"/>
    <x v="0"/>
    <x v="4"/>
    <x v="1"/>
    <n v="7"/>
    <n v="7"/>
    <n v="8"/>
    <n v="8"/>
    <n v="7"/>
    <n v="8"/>
    <n v="8"/>
    <n v="8"/>
    <n v="9"/>
  </r>
  <r>
    <d v="2026-01-03T08:59:00"/>
    <x v="1"/>
    <x v="1"/>
    <x v="0"/>
    <x v="0"/>
    <x v="0"/>
    <x v="5"/>
    <x v="1"/>
    <n v="8"/>
    <n v="8"/>
    <n v="7"/>
    <n v="8"/>
    <n v="7"/>
    <n v="7"/>
    <n v="7"/>
    <n v="8"/>
    <n v="8"/>
  </r>
  <r>
    <d v="2026-01-04T13:48:00"/>
    <x v="1"/>
    <x v="0"/>
    <x v="0"/>
    <x v="0"/>
    <x v="1"/>
    <x v="0"/>
    <x v="1"/>
    <n v="5"/>
    <n v="8"/>
    <n v="7"/>
    <n v="8"/>
    <n v="1"/>
    <n v="2"/>
    <n v="3"/>
    <n v="3"/>
    <n v="7"/>
  </r>
  <r>
    <d v="2026-01-04T13:50:00"/>
    <x v="1"/>
    <x v="2"/>
    <x v="0"/>
    <x v="0"/>
    <x v="0"/>
    <x v="2"/>
    <x v="1"/>
    <n v="6"/>
    <n v="7"/>
    <n v="5"/>
    <n v="7"/>
    <n v="7"/>
    <n v="7"/>
    <n v="5"/>
    <n v="7"/>
    <n v="7"/>
  </r>
  <r>
    <d v="2026-01-04T13:51:00"/>
    <x v="1"/>
    <x v="4"/>
    <x v="0"/>
    <x v="1"/>
    <x v="0"/>
    <x v="6"/>
    <x v="3"/>
    <n v="8"/>
    <n v="8"/>
    <n v="8"/>
    <n v="9"/>
    <n v="9"/>
    <n v="5"/>
    <n v="5"/>
    <n v="8"/>
    <n v="6"/>
  </r>
  <r>
    <d v="2026-01-04T13:52:00"/>
    <x v="0"/>
    <x v="1"/>
    <x v="0"/>
    <x v="0"/>
    <x v="0"/>
    <x v="3"/>
    <x v="2"/>
    <n v="5"/>
    <n v="5"/>
    <n v="4"/>
    <n v="6"/>
    <n v="5"/>
    <n v="4"/>
    <n v="4"/>
    <n v="5"/>
    <n v="5"/>
  </r>
  <r>
    <d v="2026-01-04T13:53:00"/>
    <x v="0"/>
    <x v="0"/>
    <x v="0"/>
    <x v="0"/>
    <x v="0"/>
    <x v="5"/>
    <x v="0"/>
    <n v="6"/>
    <n v="6"/>
    <n v="6"/>
    <n v="6"/>
    <n v="7"/>
    <n v="7"/>
    <n v="5"/>
    <n v="7"/>
    <n v="6"/>
  </r>
  <r>
    <d v="2026-01-04T13:54:00"/>
    <x v="0"/>
    <x v="4"/>
    <x v="0"/>
    <x v="1"/>
    <x v="0"/>
    <x v="6"/>
    <x v="2"/>
    <n v="4"/>
    <n v="5"/>
    <n v="4"/>
    <n v="6"/>
    <n v="4"/>
    <n v="4"/>
    <n v="4"/>
    <n v="5"/>
    <n v="4"/>
  </r>
  <r>
    <d v="2026-01-04T13:54:00"/>
    <x v="0"/>
    <x v="5"/>
    <x v="1"/>
    <x v="1"/>
    <x v="0"/>
    <x v="6"/>
    <x v="1"/>
    <n v="2"/>
    <n v="4"/>
    <n v="3"/>
    <n v="5"/>
    <n v="4"/>
    <n v="1"/>
    <n v="1"/>
    <n v="4"/>
    <n v="4"/>
  </r>
  <r>
    <d v="2026-01-04T13:56:00"/>
    <x v="0"/>
    <x v="4"/>
    <x v="0"/>
    <x v="1"/>
    <x v="0"/>
    <x v="3"/>
    <x v="4"/>
    <n v="4"/>
    <n v="4"/>
    <n v="3"/>
    <n v="5"/>
    <n v="3"/>
    <n v="2"/>
    <n v="1"/>
    <n v="1"/>
    <n v="1"/>
  </r>
  <r>
    <d v="2026-01-04T13:56:00"/>
    <x v="0"/>
    <x v="5"/>
    <x v="0"/>
    <x v="0"/>
    <x v="0"/>
    <x v="5"/>
    <x v="3"/>
    <n v="6"/>
    <n v="7"/>
    <n v="6"/>
    <n v="6"/>
    <n v="6"/>
    <n v="7"/>
    <n v="5"/>
    <n v="6"/>
    <n v="7"/>
  </r>
  <r>
    <d v="2026-01-04T13:58:00"/>
    <x v="0"/>
    <x v="3"/>
    <x v="0"/>
    <x v="1"/>
    <x v="0"/>
    <x v="7"/>
    <x v="0"/>
    <n v="7"/>
    <n v="7"/>
    <n v="7"/>
    <n v="8"/>
    <n v="7"/>
    <n v="8"/>
    <n v="7"/>
    <n v="7"/>
    <n v="8"/>
  </r>
  <r>
    <d v="2026-01-04T13:59:00"/>
    <x v="0"/>
    <x v="1"/>
    <x v="0"/>
    <x v="0"/>
    <x v="0"/>
    <x v="1"/>
    <x v="0"/>
    <n v="5"/>
    <n v="5"/>
    <n v="5"/>
    <n v="7"/>
    <n v="5"/>
    <n v="6"/>
    <n v="5"/>
    <n v="7"/>
    <n v="7"/>
  </r>
  <r>
    <d v="2026-01-04T16:48:00"/>
    <x v="0"/>
    <x v="3"/>
    <x v="0"/>
    <x v="1"/>
    <x v="0"/>
    <x v="1"/>
    <x v="4"/>
    <n v="6"/>
    <n v="7"/>
    <n v="7"/>
    <n v="8"/>
    <n v="8"/>
    <n v="7"/>
    <n v="5"/>
    <n v="7"/>
    <n v="7"/>
  </r>
  <r>
    <d v="2026-01-04T16:49:00"/>
    <x v="0"/>
    <x v="0"/>
    <x v="0"/>
    <x v="0"/>
    <x v="0"/>
    <x v="7"/>
    <x v="1"/>
    <n v="8"/>
    <n v="8"/>
    <n v="5"/>
    <n v="8"/>
    <n v="6"/>
    <n v="8"/>
    <n v="6"/>
    <n v="7"/>
    <n v="7"/>
  </r>
  <r>
    <d v="2026-01-04T16:50:00"/>
    <x v="1"/>
    <x v="5"/>
    <x v="0"/>
    <x v="1"/>
    <x v="0"/>
    <x v="6"/>
    <x v="2"/>
    <n v="2"/>
    <n v="5"/>
    <n v="3"/>
    <n v="5"/>
    <n v="3"/>
    <n v="2"/>
    <n v="1"/>
    <n v="5"/>
    <n v="5"/>
  </r>
  <r>
    <d v="2026-01-04T16:51:00"/>
    <x v="1"/>
    <x v="2"/>
    <x v="0"/>
    <x v="0"/>
    <x v="0"/>
    <x v="0"/>
    <x v="1"/>
    <n v="6"/>
    <n v="6"/>
    <n v="5"/>
    <n v="9"/>
    <n v="7"/>
    <n v="8"/>
    <n v="5"/>
    <n v="7"/>
    <n v="7"/>
  </r>
  <r>
    <d v="2026-01-04T16:52:00"/>
    <x v="0"/>
    <x v="1"/>
    <x v="1"/>
    <x v="0"/>
    <x v="1"/>
    <x v="5"/>
    <x v="2"/>
    <n v="7"/>
    <n v="7"/>
    <n v="6"/>
    <n v="8"/>
    <n v="5"/>
    <n v="5"/>
    <n v="5"/>
    <n v="6"/>
    <n v="5"/>
  </r>
  <r>
    <d v="2026-01-04T16:54:00"/>
    <x v="0"/>
    <x v="5"/>
    <x v="0"/>
    <x v="0"/>
    <x v="2"/>
    <x v="0"/>
    <x v="1"/>
    <n v="7"/>
    <n v="7"/>
    <n v="5"/>
    <n v="7"/>
    <n v="5"/>
    <n v="5"/>
    <n v="5"/>
    <n v="5"/>
    <n v="6"/>
  </r>
  <r>
    <d v="2026-01-04T17:01:00"/>
    <x v="1"/>
    <x v="1"/>
    <x v="0"/>
    <x v="1"/>
    <x v="0"/>
    <x v="5"/>
    <x v="4"/>
    <n v="6"/>
    <n v="7"/>
    <n v="6"/>
    <n v="7"/>
    <n v="6"/>
    <n v="6"/>
    <n v="5"/>
    <n v="5"/>
    <n v="6"/>
  </r>
  <r>
    <d v="2026-01-04T17:31:00"/>
    <x v="1"/>
    <x v="0"/>
    <x v="0"/>
    <x v="0"/>
    <x v="0"/>
    <x v="7"/>
    <x v="0"/>
    <n v="5"/>
    <n v="5"/>
    <n v="4"/>
    <n v="6"/>
    <n v="5"/>
    <n v="5"/>
    <n v="5"/>
    <n v="5"/>
    <n v="5"/>
  </r>
  <r>
    <d v="2026-01-04T22:56:00"/>
    <x v="1"/>
    <x v="1"/>
    <x v="0"/>
    <x v="0"/>
    <x v="0"/>
    <x v="1"/>
    <x v="4"/>
    <n v="8"/>
    <n v="8"/>
    <n v="5"/>
    <n v="7"/>
    <n v="6"/>
    <n v="8"/>
    <n v="5"/>
    <n v="7"/>
    <n v="8"/>
  </r>
  <r>
    <d v="2026-01-05T13:53:00"/>
    <x v="1"/>
    <x v="0"/>
    <x v="0"/>
    <x v="1"/>
    <x v="0"/>
    <x v="7"/>
    <x v="1"/>
    <n v="7"/>
    <n v="7"/>
    <n v="7"/>
    <n v="8"/>
    <n v="3"/>
    <n v="3"/>
    <n v="2"/>
    <n v="3"/>
    <n v="8"/>
  </r>
  <r>
    <d v="2026-01-07T16:26:00"/>
    <x v="1"/>
    <x v="3"/>
    <x v="0"/>
    <x v="1"/>
    <x v="0"/>
    <x v="1"/>
    <x v="2"/>
    <n v="7"/>
    <n v="7"/>
    <n v="6"/>
    <n v="8"/>
    <n v="7"/>
    <n v="8"/>
    <n v="7"/>
    <n v="7"/>
    <n v="7"/>
  </r>
  <r>
    <d v="2026-01-07T16:27:00"/>
    <x v="0"/>
    <x v="2"/>
    <x v="0"/>
    <x v="0"/>
    <x v="0"/>
    <x v="4"/>
    <x v="1"/>
    <n v="8"/>
    <n v="8"/>
    <n v="9"/>
    <n v="9"/>
    <n v="9"/>
    <n v="9"/>
    <n v="8"/>
    <n v="8"/>
    <n v="9"/>
  </r>
  <r>
    <d v="2026-01-08T09:52:00"/>
    <x v="0"/>
    <x v="1"/>
    <x v="0"/>
    <x v="0"/>
    <x v="0"/>
    <x v="7"/>
    <x v="4"/>
    <n v="1"/>
    <n v="1"/>
    <n v="7"/>
    <n v="5"/>
    <n v="5"/>
    <n v="7"/>
    <n v="2"/>
    <n v="5"/>
    <n v="5"/>
  </r>
  <r>
    <d v="2026-01-08T13:47:00"/>
    <x v="0"/>
    <x v="3"/>
    <x v="0"/>
    <x v="0"/>
    <x v="0"/>
    <x v="4"/>
    <x v="0"/>
    <n v="10"/>
    <n v="10"/>
    <n v="6"/>
    <n v="4"/>
    <n v="8"/>
    <n v="3"/>
    <n v="10"/>
    <n v="10"/>
    <n v="10"/>
  </r>
  <r>
    <d v="2026-01-08T15:17:00"/>
    <x v="0"/>
    <x v="0"/>
    <x v="0"/>
    <x v="0"/>
    <x v="0"/>
    <x v="0"/>
    <x v="0"/>
    <n v="9"/>
    <n v="9"/>
    <n v="5"/>
    <n v="5"/>
    <n v="7"/>
    <n v="7"/>
    <n v="8"/>
    <n v="8"/>
    <n v="8"/>
  </r>
  <r>
    <d v="2026-01-08T15:22:00"/>
    <x v="1"/>
    <x v="1"/>
    <x v="0"/>
    <x v="0"/>
    <x v="0"/>
    <x v="0"/>
    <x v="4"/>
    <n v="9"/>
    <n v="9"/>
    <n v="9"/>
    <n v="9"/>
    <n v="9"/>
    <n v="9"/>
    <n v="9"/>
    <n v="9"/>
    <n v="9"/>
  </r>
  <r>
    <d v="2026-01-08T15:23:00"/>
    <x v="0"/>
    <x v="1"/>
    <x v="0"/>
    <x v="1"/>
    <x v="0"/>
    <x v="0"/>
    <x v="2"/>
    <n v="9"/>
    <n v="10"/>
    <n v="10"/>
    <n v="9"/>
    <n v="10"/>
    <n v="10"/>
    <n v="10"/>
    <n v="9"/>
    <n v="10"/>
  </r>
  <r>
    <d v="2026-01-08T16:21:00"/>
    <x v="0"/>
    <x v="1"/>
    <x v="0"/>
    <x v="1"/>
    <x v="0"/>
    <x v="0"/>
    <x v="4"/>
    <n v="5"/>
    <n v="5"/>
    <n v="5"/>
    <n v="5"/>
    <n v="5"/>
    <n v="5"/>
    <n v="5"/>
    <n v="4"/>
    <n v="5"/>
  </r>
  <r>
    <d v="2026-01-09T08:59:00"/>
    <x v="0"/>
    <x v="5"/>
    <x v="0"/>
    <x v="1"/>
    <x v="2"/>
    <x v="2"/>
    <x v="0"/>
    <n v="9"/>
    <n v="8"/>
    <n v="9"/>
    <n v="9"/>
    <n v="8"/>
    <n v="9"/>
    <n v="10"/>
    <n v="9"/>
    <n v="10"/>
  </r>
  <r>
    <d v="2026-01-09T09:22:00"/>
    <x v="1"/>
    <x v="4"/>
    <x v="0"/>
    <x v="0"/>
    <x v="0"/>
    <x v="3"/>
    <x v="2"/>
    <n v="4"/>
    <n v="4"/>
    <n v="3"/>
    <n v="5"/>
    <n v="4"/>
    <n v="5"/>
    <n v="1"/>
    <n v="5"/>
    <n v="5"/>
  </r>
  <r>
    <d v="2026-01-09T09:23:00"/>
    <x v="0"/>
    <x v="5"/>
    <x v="0"/>
    <x v="1"/>
    <x v="0"/>
    <x v="1"/>
    <x v="0"/>
    <n v="5"/>
    <n v="5"/>
    <n v="1"/>
    <n v="5"/>
    <n v="4"/>
    <n v="2"/>
    <n v="2"/>
    <n v="5"/>
    <n v="4"/>
  </r>
  <r>
    <d v="2026-01-09T09:24:00"/>
    <x v="0"/>
    <x v="1"/>
    <x v="0"/>
    <x v="0"/>
    <x v="0"/>
    <x v="3"/>
    <x v="3"/>
    <n v="6"/>
    <n v="8"/>
    <n v="8"/>
    <n v="9"/>
    <n v="7"/>
    <n v="7"/>
    <n v="7"/>
    <n v="8"/>
    <n v="8"/>
  </r>
  <r>
    <d v="2026-01-09T09:24:00"/>
    <x v="0"/>
    <x v="4"/>
    <x v="0"/>
    <x v="1"/>
    <x v="0"/>
    <x v="6"/>
    <x v="2"/>
    <n v="5"/>
    <n v="5"/>
    <n v="5"/>
    <n v="5"/>
    <n v="5"/>
    <n v="5"/>
    <n v="5"/>
    <n v="5"/>
    <n v="5"/>
  </r>
  <r>
    <d v="2026-01-09T09:25:00"/>
    <x v="0"/>
    <x v="3"/>
    <x v="0"/>
    <x v="0"/>
    <x v="0"/>
    <x v="5"/>
    <x v="0"/>
    <n v="7"/>
    <n v="7"/>
    <n v="7"/>
    <n v="8"/>
    <n v="7"/>
    <n v="7"/>
    <n v="7"/>
    <n v="7"/>
    <n v="7"/>
  </r>
  <r>
    <d v="2026-01-09T09:26:00"/>
    <x v="0"/>
    <x v="3"/>
    <x v="0"/>
    <x v="1"/>
    <x v="0"/>
    <x v="7"/>
    <x v="1"/>
    <n v="3"/>
    <n v="1"/>
    <n v="1"/>
    <n v="5"/>
    <n v="1"/>
    <n v="1"/>
    <n v="1"/>
    <n v="4"/>
    <n v="5"/>
  </r>
  <r>
    <d v="2026-01-09T09:30:00"/>
    <x v="0"/>
    <x v="1"/>
    <x v="0"/>
    <x v="0"/>
    <x v="0"/>
    <x v="1"/>
    <x v="0"/>
    <n v="8"/>
    <n v="8"/>
    <n v="5"/>
    <n v="7"/>
    <n v="7"/>
    <n v="6"/>
    <n v="6"/>
    <n v="7"/>
    <n v="7"/>
  </r>
  <r>
    <d v="2026-01-09T09:32:00"/>
    <x v="1"/>
    <x v="3"/>
    <x v="0"/>
    <x v="0"/>
    <x v="0"/>
    <x v="1"/>
    <x v="4"/>
    <n v="4"/>
    <n v="3"/>
    <n v="1"/>
    <n v="2"/>
    <n v="1"/>
    <n v="1"/>
    <n v="1"/>
    <n v="4"/>
    <n v="2"/>
  </r>
  <r>
    <d v="2026-01-09T09:32:00"/>
    <x v="0"/>
    <x v="3"/>
    <x v="0"/>
    <x v="1"/>
    <x v="0"/>
    <x v="5"/>
    <x v="0"/>
    <n v="7"/>
    <n v="8"/>
    <n v="6"/>
    <n v="7"/>
    <n v="6"/>
    <n v="7"/>
    <n v="6"/>
    <n v="6"/>
    <n v="6"/>
  </r>
  <r>
    <d v="2026-01-09T09:33:00"/>
    <x v="0"/>
    <x v="3"/>
    <x v="0"/>
    <x v="0"/>
    <x v="0"/>
    <x v="5"/>
    <x v="1"/>
    <n v="6"/>
    <n v="6"/>
    <n v="6"/>
    <n v="6"/>
    <n v="6"/>
    <n v="5"/>
    <n v="6"/>
    <n v="6"/>
    <n v="6"/>
  </r>
  <r>
    <d v="2026-01-09T09:34:00"/>
    <x v="1"/>
    <x v="3"/>
    <x v="0"/>
    <x v="0"/>
    <x v="0"/>
    <x v="7"/>
    <x v="1"/>
    <n v="7"/>
    <n v="7"/>
    <n v="8"/>
    <n v="8"/>
    <n v="8"/>
    <n v="9"/>
    <n v="8"/>
    <n v="8"/>
    <n v="8"/>
  </r>
  <r>
    <d v="2026-01-09T09:35:00"/>
    <x v="0"/>
    <x v="3"/>
    <x v="0"/>
    <x v="0"/>
    <x v="0"/>
    <x v="1"/>
    <x v="0"/>
    <n v="7"/>
    <n v="7"/>
    <n v="7"/>
    <n v="7"/>
    <n v="7"/>
    <n v="7"/>
    <n v="7"/>
    <n v="7"/>
    <n v="7"/>
  </r>
  <r>
    <d v="2026-01-09T09:35:00"/>
    <x v="0"/>
    <x v="3"/>
    <x v="0"/>
    <x v="0"/>
    <x v="0"/>
    <x v="1"/>
    <x v="1"/>
    <n v="5"/>
    <n v="5"/>
    <n v="1"/>
    <n v="5"/>
    <n v="5"/>
    <n v="5"/>
    <n v="4"/>
    <n v="5"/>
    <n v="5"/>
  </r>
  <r>
    <d v="2026-01-09T09:36:00"/>
    <x v="0"/>
    <x v="3"/>
    <x v="0"/>
    <x v="0"/>
    <x v="0"/>
    <x v="1"/>
    <x v="3"/>
    <n v="7"/>
    <n v="8"/>
    <n v="8"/>
    <n v="8"/>
    <n v="8"/>
    <n v="8"/>
    <n v="8"/>
    <n v="8"/>
    <n v="8"/>
  </r>
  <r>
    <d v="2026-01-09T09:37:00"/>
    <x v="0"/>
    <x v="3"/>
    <x v="0"/>
    <x v="1"/>
    <x v="0"/>
    <x v="1"/>
    <x v="3"/>
    <n v="9"/>
    <n v="9"/>
    <n v="9"/>
    <n v="9"/>
    <n v="9"/>
    <n v="9"/>
    <n v="9"/>
    <n v="9"/>
    <n v="9"/>
  </r>
  <r>
    <d v="2026-01-09T09:37:00"/>
    <x v="0"/>
    <x v="3"/>
    <x v="0"/>
    <x v="1"/>
    <x v="0"/>
    <x v="4"/>
    <x v="4"/>
    <n v="5"/>
    <n v="5"/>
    <n v="5"/>
    <n v="5"/>
    <n v="5"/>
    <n v="5"/>
    <n v="5"/>
    <n v="5"/>
    <n v="5"/>
  </r>
  <r>
    <d v="2026-01-09T09:37:00"/>
    <x v="0"/>
    <x v="3"/>
    <x v="0"/>
    <x v="1"/>
    <x v="0"/>
    <x v="5"/>
    <x v="0"/>
    <n v="6"/>
    <n v="7"/>
    <n v="7"/>
    <n v="7"/>
    <n v="6"/>
    <n v="7"/>
    <n v="7"/>
    <n v="7"/>
    <n v="7"/>
  </r>
  <r>
    <d v="2026-01-09T09:38:00"/>
    <x v="1"/>
    <x v="3"/>
    <x v="0"/>
    <x v="0"/>
    <x v="0"/>
    <x v="5"/>
    <x v="1"/>
    <n v="5"/>
    <n v="5"/>
    <n v="5"/>
    <n v="6"/>
    <n v="5"/>
    <n v="5"/>
    <n v="5"/>
    <n v="5"/>
    <n v="5"/>
  </r>
  <r>
    <d v="2026-01-09T09:39:00"/>
    <x v="0"/>
    <x v="3"/>
    <x v="0"/>
    <x v="0"/>
    <x v="0"/>
    <x v="1"/>
    <x v="2"/>
    <n v="6"/>
    <n v="7"/>
    <n v="7"/>
    <n v="7"/>
    <n v="7"/>
    <n v="7"/>
    <n v="7"/>
    <n v="7"/>
    <n v="7"/>
  </r>
  <r>
    <d v="2026-01-09T09:40:00"/>
    <x v="1"/>
    <x v="5"/>
    <x v="0"/>
    <x v="1"/>
    <x v="0"/>
    <x v="6"/>
    <x v="4"/>
    <n v="7"/>
    <n v="8"/>
    <n v="8"/>
    <n v="8"/>
    <n v="8"/>
    <n v="5"/>
    <n v="5"/>
    <n v="7"/>
    <n v="6"/>
  </r>
  <r>
    <d v="2026-01-09T09:40:00"/>
    <x v="0"/>
    <x v="4"/>
    <x v="0"/>
    <x v="1"/>
    <x v="0"/>
    <x v="6"/>
    <x v="0"/>
    <n v="10"/>
    <n v="10"/>
    <n v="6"/>
    <n v="9"/>
    <n v="9"/>
    <n v="9"/>
    <n v="9"/>
    <n v="8"/>
    <n v="8"/>
  </r>
  <r>
    <d v="2026-01-09T09:41:00"/>
    <x v="0"/>
    <x v="1"/>
    <x v="0"/>
    <x v="0"/>
    <x v="0"/>
    <x v="1"/>
    <x v="0"/>
    <n v="4"/>
    <n v="4"/>
    <n v="4"/>
    <n v="6"/>
    <n v="5"/>
    <n v="6"/>
    <n v="5"/>
    <n v="6"/>
    <n v="5"/>
  </r>
  <r>
    <d v="2026-01-09T09:43:00"/>
    <x v="0"/>
    <x v="4"/>
    <x v="0"/>
    <x v="0"/>
    <x v="0"/>
    <x v="1"/>
    <x v="4"/>
    <n v="4"/>
    <n v="5"/>
    <n v="4"/>
    <n v="5"/>
    <n v="5"/>
    <n v="5"/>
    <n v="5"/>
    <n v="5"/>
    <n v="5"/>
  </r>
  <r>
    <d v="2026-01-09T09:44:00"/>
    <x v="1"/>
    <x v="3"/>
    <x v="0"/>
    <x v="0"/>
    <x v="0"/>
    <x v="1"/>
    <x v="4"/>
    <n v="6"/>
    <n v="6"/>
    <n v="7"/>
    <n v="7"/>
    <n v="6"/>
    <n v="6"/>
    <n v="8"/>
    <n v="8"/>
    <n v="7"/>
  </r>
  <r>
    <d v="2026-01-09T09:44:00"/>
    <x v="0"/>
    <x v="3"/>
    <x v="0"/>
    <x v="1"/>
    <x v="0"/>
    <x v="1"/>
    <x v="1"/>
    <n v="7"/>
    <n v="7"/>
    <n v="7"/>
    <n v="7"/>
    <n v="7"/>
    <n v="7"/>
    <n v="7"/>
    <n v="7"/>
    <n v="7"/>
  </r>
  <r>
    <d v="2026-01-09T09:45:00"/>
    <x v="0"/>
    <x v="3"/>
    <x v="0"/>
    <x v="0"/>
    <x v="0"/>
    <x v="5"/>
    <x v="0"/>
    <n v="6"/>
    <n v="6"/>
    <n v="7"/>
    <n v="7"/>
    <n v="5"/>
    <n v="6"/>
    <n v="6"/>
    <n v="6"/>
    <n v="7"/>
  </r>
  <r>
    <d v="2026-01-09T09:46:00"/>
    <x v="0"/>
    <x v="5"/>
    <x v="0"/>
    <x v="1"/>
    <x v="0"/>
    <x v="3"/>
    <x v="4"/>
    <n v="7"/>
    <n v="7"/>
    <n v="6"/>
    <n v="7"/>
    <n v="7"/>
    <n v="7"/>
    <n v="7"/>
    <n v="7"/>
    <n v="7"/>
  </r>
  <r>
    <d v="2026-01-09T09:47:00"/>
    <x v="0"/>
    <x v="0"/>
    <x v="0"/>
    <x v="0"/>
    <x v="0"/>
    <x v="7"/>
    <x v="1"/>
    <n v="6"/>
    <n v="6"/>
    <n v="6"/>
    <n v="6"/>
    <n v="6"/>
    <n v="6"/>
    <n v="6"/>
    <n v="6"/>
    <n v="6"/>
  </r>
  <r>
    <d v="2026-01-09T09:47:00"/>
    <x v="0"/>
    <x v="0"/>
    <x v="0"/>
    <x v="0"/>
    <x v="0"/>
    <x v="4"/>
    <x v="4"/>
    <n v="8"/>
    <n v="9"/>
    <n v="7"/>
    <n v="8"/>
    <n v="9"/>
    <n v="8"/>
    <n v="8"/>
    <n v="8"/>
    <n v="8"/>
  </r>
  <r>
    <d v="2026-01-09T09:48:00"/>
    <x v="0"/>
    <x v="3"/>
    <x v="0"/>
    <x v="0"/>
    <x v="0"/>
    <x v="1"/>
    <x v="4"/>
    <n v="6"/>
    <n v="6"/>
    <n v="6"/>
    <n v="6"/>
    <n v="6"/>
    <n v="7"/>
    <n v="6"/>
    <n v="6"/>
    <n v="7"/>
  </r>
  <r>
    <d v="2026-01-09T09:49:00"/>
    <x v="0"/>
    <x v="1"/>
    <x v="0"/>
    <x v="1"/>
    <x v="0"/>
    <x v="3"/>
    <x v="3"/>
    <n v="4"/>
    <n v="5"/>
    <n v="1"/>
    <n v="6"/>
    <n v="4"/>
    <n v="4"/>
    <n v="5"/>
    <n v="5"/>
    <n v="5"/>
  </r>
  <r>
    <d v="2026-01-09T09:49:00"/>
    <x v="1"/>
    <x v="5"/>
    <x v="0"/>
    <x v="1"/>
    <x v="0"/>
    <x v="6"/>
    <x v="3"/>
    <n v="8"/>
    <n v="8"/>
    <n v="8"/>
    <n v="8"/>
    <n v="7"/>
    <n v="7"/>
    <n v="8"/>
    <n v="7"/>
    <n v="8"/>
  </r>
  <r>
    <d v="2026-01-09T09:50:00"/>
    <x v="1"/>
    <x v="3"/>
    <x v="0"/>
    <x v="0"/>
    <x v="0"/>
    <x v="1"/>
    <x v="4"/>
    <n v="6"/>
    <n v="6"/>
    <n v="6"/>
    <n v="6"/>
    <n v="6"/>
    <n v="6"/>
    <n v="6"/>
    <n v="6"/>
    <n v="6"/>
  </r>
  <r>
    <d v="2026-01-09T09:50:00"/>
    <x v="0"/>
    <x v="1"/>
    <x v="0"/>
    <x v="0"/>
    <x v="0"/>
    <x v="0"/>
    <x v="0"/>
    <n v="8"/>
    <n v="8"/>
    <n v="8"/>
    <n v="8"/>
    <n v="9"/>
    <n v="8"/>
    <n v="8"/>
    <n v="8"/>
    <n v="10"/>
  </r>
  <r>
    <d v="2026-01-09T09:50:00"/>
    <x v="0"/>
    <x v="4"/>
    <x v="0"/>
    <x v="1"/>
    <x v="0"/>
    <x v="3"/>
    <x v="2"/>
    <n v="4"/>
    <n v="4"/>
    <n v="4"/>
    <n v="4"/>
    <n v="1"/>
    <n v="3"/>
    <n v="1"/>
    <n v="1"/>
    <n v="1"/>
  </r>
  <r>
    <d v="2026-01-09T09:51:00"/>
    <x v="0"/>
    <x v="3"/>
    <x v="0"/>
    <x v="0"/>
    <x v="0"/>
    <x v="5"/>
    <x v="1"/>
    <n v="6"/>
    <n v="6"/>
    <n v="1"/>
    <n v="6"/>
    <n v="5"/>
    <n v="6"/>
    <n v="5"/>
    <n v="6"/>
    <n v="6"/>
  </r>
  <r>
    <d v="2026-01-09T09:52:00"/>
    <x v="0"/>
    <x v="3"/>
    <x v="0"/>
    <x v="1"/>
    <x v="0"/>
    <x v="1"/>
    <x v="2"/>
    <n v="7"/>
    <n v="7"/>
    <n v="7"/>
    <n v="7"/>
    <n v="7"/>
    <n v="7"/>
    <n v="7"/>
    <n v="7"/>
    <n v="7"/>
  </r>
  <r>
    <d v="2026-01-09T10:03:00"/>
    <x v="1"/>
    <x v="3"/>
    <x v="0"/>
    <x v="1"/>
    <x v="1"/>
    <x v="0"/>
    <x v="2"/>
    <n v="10"/>
    <n v="10"/>
    <n v="4"/>
    <n v="6"/>
    <n v="3"/>
    <n v="1"/>
    <n v="1"/>
    <n v="3"/>
    <n v="1"/>
  </r>
  <r>
    <d v="2026-01-09T10:15:00"/>
    <x v="0"/>
    <x v="3"/>
    <x v="0"/>
    <x v="1"/>
    <x v="0"/>
    <x v="7"/>
    <x v="0"/>
    <n v="8"/>
    <n v="10"/>
    <n v="8"/>
    <n v="10"/>
    <n v="9"/>
    <n v="8"/>
    <n v="7"/>
    <n v="9"/>
    <n v="9"/>
  </r>
  <r>
    <d v="2026-01-09T10:35:00"/>
    <x v="1"/>
    <x v="5"/>
    <x v="0"/>
    <x v="1"/>
    <x v="0"/>
    <x v="3"/>
    <x v="3"/>
    <n v="6"/>
    <n v="6"/>
    <n v="6"/>
    <n v="6"/>
    <n v="6"/>
    <n v="6"/>
    <n v="6"/>
    <n v="7"/>
    <n v="6"/>
  </r>
  <r>
    <d v="2026-01-09T10:36:00"/>
    <x v="0"/>
    <x v="3"/>
    <x v="0"/>
    <x v="0"/>
    <x v="0"/>
    <x v="1"/>
    <x v="2"/>
    <n v="8"/>
    <n v="8"/>
    <n v="8"/>
    <n v="8"/>
    <n v="8"/>
    <n v="8"/>
    <n v="8"/>
    <n v="8"/>
    <n v="8"/>
  </r>
  <r>
    <d v="2026-01-09T10:36:00"/>
    <x v="0"/>
    <x v="3"/>
    <x v="0"/>
    <x v="1"/>
    <x v="0"/>
    <x v="1"/>
    <x v="0"/>
    <n v="7"/>
    <n v="6"/>
    <n v="7"/>
    <n v="7"/>
    <n v="8"/>
    <n v="8"/>
    <n v="8"/>
    <n v="8"/>
    <n v="8"/>
  </r>
  <r>
    <d v="2026-01-09T10:36:00"/>
    <x v="1"/>
    <x v="3"/>
    <x v="0"/>
    <x v="0"/>
    <x v="0"/>
    <x v="1"/>
    <x v="4"/>
    <n v="6"/>
    <n v="5"/>
    <n v="5"/>
    <n v="7"/>
    <n v="7"/>
    <n v="7"/>
    <n v="7"/>
    <n v="8"/>
    <n v="8"/>
  </r>
  <r>
    <d v="2026-01-09T10:37:00"/>
    <x v="1"/>
    <x v="4"/>
    <x v="0"/>
    <x v="0"/>
    <x v="0"/>
    <x v="3"/>
    <x v="4"/>
    <n v="6"/>
    <n v="6"/>
    <n v="6"/>
    <n v="6"/>
    <n v="6"/>
    <n v="6"/>
    <n v="6"/>
    <n v="6"/>
    <n v="6"/>
  </r>
  <r>
    <d v="2026-01-09T10:37:00"/>
    <x v="0"/>
    <x v="1"/>
    <x v="0"/>
    <x v="1"/>
    <x v="0"/>
    <x v="1"/>
    <x v="2"/>
    <n v="7"/>
    <n v="6"/>
    <n v="6"/>
    <n v="8"/>
    <n v="6"/>
    <n v="6"/>
    <n v="6"/>
    <n v="6"/>
    <n v="6"/>
  </r>
  <r>
    <d v="2026-01-09T10:38:00"/>
    <x v="1"/>
    <x v="1"/>
    <x v="0"/>
    <x v="1"/>
    <x v="0"/>
    <x v="6"/>
    <x v="1"/>
    <n v="4"/>
    <n v="4"/>
    <n v="1"/>
    <n v="4"/>
    <n v="4"/>
    <n v="4"/>
    <n v="5"/>
    <n v="5"/>
    <n v="5"/>
  </r>
  <r>
    <d v="2026-01-09T10:39:00"/>
    <x v="1"/>
    <x v="3"/>
    <x v="0"/>
    <x v="0"/>
    <x v="0"/>
    <x v="7"/>
    <x v="1"/>
    <n v="6"/>
    <n v="7"/>
    <n v="7"/>
    <n v="7"/>
    <n v="7"/>
    <n v="7"/>
    <n v="7"/>
    <n v="7"/>
    <n v="7"/>
  </r>
  <r>
    <d v="2026-01-09T10:40:00"/>
    <x v="0"/>
    <x v="4"/>
    <x v="0"/>
    <x v="1"/>
    <x v="0"/>
    <x v="1"/>
    <x v="3"/>
    <n v="8"/>
    <n v="8"/>
    <n v="8"/>
    <n v="8"/>
    <n v="8"/>
    <n v="8"/>
    <n v="8"/>
    <n v="8"/>
    <n v="8"/>
  </r>
  <r>
    <d v="2026-01-09T11:09:00"/>
    <x v="0"/>
    <x v="1"/>
    <x v="0"/>
    <x v="0"/>
    <x v="0"/>
    <x v="5"/>
    <x v="0"/>
    <n v="7"/>
    <n v="7"/>
    <n v="7"/>
    <n v="7"/>
    <n v="7"/>
    <n v="7"/>
    <n v="7"/>
    <n v="7"/>
    <n v="7"/>
  </r>
  <r>
    <d v="2026-01-09T11:09:00"/>
    <x v="1"/>
    <x v="5"/>
    <x v="0"/>
    <x v="1"/>
    <x v="0"/>
    <x v="3"/>
    <x v="2"/>
    <n v="9"/>
    <n v="9"/>
    <n v="9"/>
    <n v="9"/>
    <n v="9"/>
    <n v="9"/>
    <n v="9"/>
    <n v="9"/>
    <n v="9"/>
  </r>
  <r>
    <d v="2026-01-09T11:10:00"/>
    <x v="0"/>
    <x v="3"/>
    <x v="0"/>
    <x v="0"/>
    <x v="0"/>
    <x v="1"/>
    <x v="2"/>
    <n v="7"/>
    <n v="6"/>
    <n v="5"/>
    <n v="6"/>
    <n v="6"/>
    <n v="6"/>
    <n v="6"/>
    <n v="6"/>
    <n v="7"/>
  </r>
  <r>
    <d v="2026-01-09T11:10:00"/>
    <x v="0"/>
    <x v="3"/>
    <x v="0"/>
    <x v="0"/>
    <x v="0"/>
    <x v="5"/>
    <x v="3"/>
    <n v="8"/>
    <n v="8"/>
    <n v="8"/>
    <n v="9"/>
    <n v="8"/>
    <n v="10"/>
    <n v="7"/>
    <n v="7"/>
    <n v="10"/>
  </r>
  <r>
    <d v="2026-01-09T11:11:00"/>
    <x v="0"/>
    <x v="4"/>
    <x v="0"/>
    <x v="0"/>
    <x v="0"/>
    <x v="1"/>
    <x v="2"/>
    <n v="6"/>
    <n v="6"/>
    <n v="1"/>
    <n v="6"/>
    <n v="5"/>
    <n v="6"/>
    <n v="6"/>
    <n v="6"/>
    <n v="6"/>
  </r>
  <r>
    <d v="2026-01-09T11:12:00"/>
    <x v="1"/>
    <x v="1"/>
    <x v="0"/>
    <x v="1"/>
    <x v="0"/>
    <x v="3"/>
    <x v="3"/>
    <n v="8"/>
    <n v="8"/>
    <n v="3"/>
    <n v="9"/>
    <n v="8"/>
    <n v="8"/>
    <n v="8"/>
    <n v="8"/>
    <n v="8"/>
  </r>
  <r>
    <d v="2026-01-09T11:12:00"/>
    <x v="1"/>
    <x v="1"/>
    <x v="0"/>
    <x v="1"/>
    <x v="0"/>
    <x v="3"/>
    <x v="0"/>
    <n v="4"/>
    <n v="3"/>
    <n v="1"/>
    <n v="7"/>
    <n v="3"/>
    <n v="6"/>
    <n v="5"/>
    <n v="6"/>
    <n v="6"/>
  </r>
  <r>
    <d v="2026-01-09T11:13:00"/>
    <x v="0"/>
    <x v="3"/>
    <x v="0"/>
    <x v="1"/>
    <x v="0"/>
    <x v="1"/>
    <x v="0"/>
    <n v="6"/>
    <n v="6"/>
    <n v="1"/>
    <n v="7"/>
    <n v="5"/>
    <n v="6"/>
    <n v="6"/>
    <n v="6"/>
    <n v="6"/>
  </r>
  <r>
    <d v="2026-01-09T11:14:00"/>
    <x v="0"/>
    <x v="4"/>
    <x v="0"/>
    <x v="0"/>
    <x v="0"/>
    <x v="6"/>
    <x v="3"/>
    <n v="8"/>
    <n v="8"/>
    <n v="5"/>
    <n v="8"/>
    <n v="8"/>
    <n v="7"/>
    <n v="7"/>
    <n v="7"/>
    <n v="7"/>
  </r>
  <r>
    <d v="2026-01-09T11:15:00"/>
    <x v="0"/>
    <x v="0"/>
    <x v="0"/>
    <x v="0"/>
    <x v="0"/>
    <x v="5"/>
    <x v="0"/>
    <n v="7"/>
    <n v="8"/>
    <n v="4"/>
    <n v="8"/>
    <n v="5"/>
    <n v="7"/>
    <n v="5"/>
    <n v="6"/>
    <n v="6"/>
  </r>
  <r>
    <d v="2026-01-09T11:15:00"/>
    <x v="1"/>
    <x v="1"/>
    <x v="0"/>
    <x v="0"/>
    <x v="0"/>
    <x v="1"/>
    <x v="4"/>
    <n v="6"/>
    <n v="7"/>
    <n v="2"/>
    <n v="7"/>
    <n v="5"/>
    <n v="5"/>
    <n v="5"/>
    <n v="6"/>
    <n v="5"/>
  </r>
  <r>
    <d v="2026-01-09T11:16:00"/>
    <x v="1"/>
    <x v="4"/>
    <x v="0"/>
    <x v="1"/>
    <x v="0"/>
    <x v="6"/>
    <x v="3"/>
    <n v="2"/>
    <n v="1"/>
    <n v="1"/>
    <n v="6"/>
    <n v="2"/>
    <n v="3"/>
    <n v="1"/>
    <n v="5"/>
    <n v="4"/>
  </r>
  <r>
    <d v="2026-01-09T11:17:00"/>
    <x v="0"/>
    <x v="3"/>
    <x v="1"/>
    <x v="0"/>
    <x v="0"/>
    <x v="5"/>
    <x v="4"/>
    <n v="6"/>
    <n v="6"/>
    <n v="7"/>
    <n v="6"/>
    <n v="5"/>
    <n v="6"/>
    <n v="5"/>
    <n v="6"/>
    <n v="6"/>
  </r>
  <r>
    <d v="2026-01-09T11:18:00"/>
    <x v="1"/>
    <x v="3"/>
    <x v="0"/>
    <x v="0"/>
    <x v="0"/>
    <x v="5"/>
    <x v="0"/>
    <n v="6"/>
    <n v="7"/>
    <n v="1"/>
    <n v="9"/>
    <n v="5"/>
    <n v="4"/>
    <n v="4"/>
    <n v="5"/>
    <n v="5"/>
  </r>
  <r>
    <d v="2026-01-09T11:19:00"/>
    <x v="1"/>
    <x v="3"/>
    <x v="0"/>
    <x v="0"/>
    <x v="0"/>
    <x v="1"/>
    <x v="3"/>
    <n v="9"/>
    <n v="9"/>
    <n v="8"/>
    <n v="9"/>
    <n v="8"/>
    <n v="9"/>
    <n v="9"/>
    <n v="8"/>
    <n v="8"/>
  </r>
  <r>
    <d v="2026-01-09T11:20:00"/>
    <x v="1"/>
    <x v="3"/>
    <x v="0"/>
    <x v="1"/>
    <x v="0"/>
    <x v="3"/>
    <x v="2"/>
    <n v="8"/>
    <n v="8"/>
    <n v="5"/>
    <n v="7"/>
    <n v="7"/>
    <n v="5"/>
    <n v="5"/>
    <n v="6"/>
    <n v="6"/>
  </r>
  <r>
    <d v="2026-01-09T11:20:00"/>
    <x v="1"/>
    <x v="1"/>
    <x v="0"/>
    <x v="1"/>
    <x v="0"/>
    <x v="6"/>
    <x v="2"/>
    <n v="7"/>
    <n v="7"/>
    <n v="7"/>
    <n v="8"/>
    <n v="7"/>
    <n v="7"/>
    <n v="7"/>
    <n v="7"/>
    <n v="7"/>
  </r>
  <r>
    <d v="2026-01-09T11:21:00"/>
    <x v="0"/>
    <x v="3"/>
    <x v="0"/>
    <x v="0"/>
    <x v="0"/>
    <x v="7"/>
    <x v="1"/>
    <n v="6"/>
    <n v="5"/>
    <n v="5"/>
    <n v="7"/>
    <n v="6"/>
    <n v="7"/>
    <n v="5"/>
    <n v="6"/>
    <n v="6"/>
  </r>
  <r>
    <d v="2026-01-09T11:22:00"/>
    <x v="0"/>
    <x v="4"/>
    <x v="0"/>
    <x v="0"/>
    <x v="0"/>
    <x v="1"/>
    <x v="2"/>
    <n v="7"/>
    <n v="6"/>
    <n v="6"/>
    <n v="6"/>
    <n v="7"/>
    <n v="7"/>
    <n v="7"/>
    <n v="7"/>
    <n v="7"/>
  </r>
  <r>
    <d v="2026-01-09T11:22:00"/>
    <x v="1"/>
    <x v="1"/>
    <x v="0"/>
    <x v="1"/>
    <x v="0"/>
    <x v="1"/>
    <x v="4"/>
    <n v="6"/>
    <n v="7"/>
    <n v="7"/>
    <n v="6"/>
    <n v="6"/>
    <n v="6"/>
    <n v="6"/>
    <n v="7"/>
    <n v="7"/>
  </r>
  <r>
    <d v="2026-01-09T11:23:00"/>
    <x v="0"/>
    <x v="0"/>
    <x v="0"/>
    <x v="0"/>
    <x v="0"/>
    <x v="7"/>
    <x v="4"/>
    <n v="7"/>
    <n v="7"/>
    <n v="2"/>
    <n v="7"/>
    <n v="7"/>
    <n v="7"/>
    <n v="7"/>
    <n v="7"/>
    <n v="7"/>
  </r>
  <r>
    <d v="2026-01-09T11:24:00"/>
    <x v="1"/>
    <x v="1"/>
    <x v="0"/>
    <x v="1"/>
    <x v="0"/>
    <x v="3"/>
    <x v="3"/>
    <n v="4"/>
    <n v="5"/>
    <n v="2"/>
    <n v="6"/>
    <n v="3"/>
    <n v="3"/>
    <n v="1"/>
    <n v="3"/>
    <n v="1"/>
  </r>
  <r>
    <d v="2026-01-09T12:36:00"/>
    <x v="0"/>
    <x v="3"/>
    <x v="0"/>
    <x v="1"/>
    <x v="1"/>
    <x v="1"/>
    <x v="1"/>
    <n v="8"/>
    <n v="8"/>
    <n v="3"/>
    <n v="8"/>
    <n v="3"/>
    <n v="1"/>
    <n v="8"/>
    <n v="6"/>
    <n v="7"/>
  </r>
  <r>
    <d v="2026-01-09T14:35:00"/>
    <x v="0"/>
    <x v="3"/>
    <x v="0"/>
    <x v="1"/>
    <x v="0"/>
    <x v="1"/>
    <x v="4"/>
    <n v="7"/>
    <n v="7"/>
    <n v="4"/>
    <n v="7"/>
    <n v="7"/>
    <n v="6"/>
    <n v="5"/>
    <n v="7"/>
    <n v="6"/>
  </r>
  <r>
    <d v="2026-01-09T14:35:00"/>
    <x v="1"/>
    <x v="3"/>
    <x v="0"/>
    <x v="0"/>
    <x v="0"/>
    <x v="5"/>
    <x v="0"/>
    <n v="7"/>
    <n v="8"/>
    <n v="2"/>
    <n v="6"/>
    <n v="6"/>
    <n v="6"/>
    <n v="5"/>
    <n v="5"/>
    <n v="6"/>
  </r>
  <r>
    <d v="2026-01-09T14:36:00"/>
    <x v="0"/>
    <x v="4"/>
    <x v="0"/>
    <x v="1"/>
    <x v="0"/>
    <x v="3"/>
    <x v="3"/>
    <n v="3"/>
    <n v="3"/>
    <n v="1"/>
    <n v="6"/>
    <n v="1"/>
    <n v="1"/>
    <n v="1"/>
    <n v="1"/>
    <n v="1"/>
  </r>
  <r>
    <d v="2026-01-09T14:37:00"/>
    <x v="0"/>
    <x v="3"/>
    <x v="0"/>
    <x v="0"/>
    <x v="0"/>
    <x v="1"/>
    <x v="4"/>
    <n v="6"/>
    <n v="6"/>
    <n v="5"/>
    <n v="6"/>
    <n v="6"/>
    <n v="6"/>
    <n v="6"/>
    <n v="6"/>
    <n v="6"/>
  </r>
  <r>
    <d v="2026-01-09T14:37:00"/>
    <x v="0"/>
    <x v="1"/>
    <x v="0"/>
    <x v="1"/>
    <x v="0"/>
    <x v="1"/>
    <x v="4"/>
    <n v="8"/>
    <n v="9"/>
    <n v="5"/>
    <n v="7"/>
    <n v="6"/>
    <n v="7"/>
    <n v="7"/>
    <n v="7"/>
    <n v="7"/>
  </r>
  <r>
    <d v="2026-01-09T14:38:00"/>
    <x v="1"/>
    <x v="3"/>
    <x v="0"/>
    <x v="0"/>
    <x v="0"/>
    <x v="5"/>
    <x v="0"/>
    <n v="6"/>
    <n v="6"/>
    <n v="3"/>
    <n v="7"/>
    <n v="7"/>
    <n v="7"/>
    <n v="5"/>
    <n v="7"/>
    <n v="7"/>
  </r>
  <r>
    <d v="2026-01-09T14:39:00"/>
    <x v="0"/>
    <x v="1"/>
    <x v="0"/>
    <x v="0"/>
    <x v="0"/>
    <x v="3"/>
    <x v="3"/>
    <n v="8"/>
    <n v="8"/>
    <n v="6"/>
    <n v="7"/>
    <n v="7"/>
    <n v="4"/>
    <n v="5"/>
    <n v="5"/>
    <n v="5"/>
  </r>
  <r>
    <d v="2026-01-09T14:39:00"/>
    <x v="0"/>
    <x v="3"/>
    <x v="0"/>
    <x v="0"/>
    <x v="0"/>
    <x v="1"/>
    <x v="2"/>
    <n v="6"/>
    <n v="7"/>
    <n v="5"/>
    <n v="7"/>
    <n v="6"/>
    <n v="6"/>
    <n v="6"/>
    <n v="6"/>
    <n v="6"/>
  </r>
  <r>
    <d v="2026-01-09T14:51:00"/>
    <x v="1"/>
    <x v="3"/>
    <x v="0"/>
    <x v="1"/>
    <x v="1"/>
    <x v="3"/>
    <x v="1"/>
    <n v="6"/>
    <n v="7"/>
    <n v="5"/>
    <n v="8"/>
    <n v="6"/>
    <n v="3"/>
    <n v="6"/>
    <n v="8"/>
    <n v="6"/>
  </r>
  <r>
    <d v="2026-01-09T15:15:00"/>
    <x v="0"/>
    <x v="3"/>
    <x v="0"/>
    <x v="1"/>
    <x v="0"/>
    <x v="3"/>
    <x v="4"/>
    <n v="4"/>
    <n v="4"/>
    <n v="1"/>
    <n v="6"/>
    <n v="3"/>
    <n v="2"/>
    <n v="1"/>
    <n v="5"/>
    <n v="4"/>
  </r>
  <r>
    <d v="2026-01-09T15:16:00"/>
    <x v="0"/>
    <x v="1"/>
    <x v="0"/>
    <x v="1"/>
    <x v="0"/>
    <x v="3"/>
    <x v="2"/>
    <n v="6"/>
    <n v="7"/>
    <n v="4"/>
    <n v="8"/>
    <n v="6"/>
    <n v="6"/>
    <n v="5"/>
    <n v="7"/>
    <n v="6"/>
  </r>
  <r>
    <d v="2026-01-09T15:16:00"/>
    <x v="0"/>
    <x v="5"/>
    <x v="0"/>
    <x v="1"/>
    <x v="0"/>
    <x v="6"/>
    <x v="3"/>
    <n v="8"/>
    <n v="8"/>
    <n v="9"/>
    <n v="9"/>
    <n v="7"/>
    <n v="8"/>
    <n v="8"/>
    <n v="8"/>
    <n v="7"/>
  </r>
  <r>
    <d v="2026-01-09T15:17:00"/>
    <x v="0"/>
    <x v="1"/>
    <x v="0"/>
    <x v="0"/>
    <x v="0"/>
    <x v="1"/>
    <x v="4"/>
    <n v="5"/>
    <n v="5"/>
    <n v="2"/>
    <n v="6"/>
    <n v="5"/>
    <n v="4"/>
    <n v="5"/>
    <n v="5"/>
    <n v="4"/>
  </r>
  <r>
    <d v="2026-01-09T15:18:00"/>
    <x v="1"/>
    <x v="3"/>
    <x v="0"/>
    <x v="0"/>
    <x v="0"/>
    <x v="1"/>
    <x v="4"/>
    <n v="7"/>
    <n v="7"/>
    <n v="5"/>
    <n v="7"/>
    <n v="5"/>
    <n v="6"/>
    <n v="5"/>
    <n v="7"/>
    <n v="6"/>
  </r>
  <r>
    <d v="2026-01-09T15:22:00"/>
    <x v="1"/>
    <x v="4"/>
    <x v="0"/>
    <x v="0"/>
    <x v="0"/>
    <x v="3"/>
    <x v="2"/>
    <n v="7"/>
    <n v="7"/>
    <n v="5"/>
    <n v="8"/>
    <n v="6"/>
    <n v="6"/>
    <n v="6"/>
    <n v="7"/>
    <n v="7"/>
  </r>
  <r>
    <d v="2026-01-09T15:23:00"/>
    <x v="0"/>
    <x v="3"/>
    <x v="0"/>
    <x v="0"/>
    <x v="0"/>
    <x v="5"/>
    <x v="1"/>
    <n v="4"/>
    <n v="4"/>
    <n v="2"/>
    <n v="8"/>
    <n v="5"/>
    <n v="5"/>
    <n v="4"/>
    <n v="6"/>
    <n v="5"/>
  </r>
  <r>
    <d v="2026-01-09T15:24:00"/>
    <x v="0"/>
    <x v="4"/>
    <x v="0"/>
    <x v="0"/>
    <x v="0"/>
    <x v="1"/>
    <x v="3"/>
    <n v="10"/>
    <n v="10"/>
    <n v="7"/>
    <n v="7"/>
    <n v="8"/>
    <n v="7"/>
    <n v="8"/>
    <n v="8"/>
    <n v="8"/>
  </r>
  <r>
    <d v="2026-01-09T15:25:00"/>
    <x v="1"/>
    <x v="0"/>
    <x v="0"/>
    <x v="0"/>
    <x v="0"/>
    <x v="7"/>
    <x v="1"/>
    <n v="8"/>
    <n v="8"/>
    <n v="5"/>
    <n v="9"/>
    <n v="10"/>
    <n v="10"/>
    <n v="9"/>
    <n v="9"/>
    <n v="10"/>
  </r>
  <r>
    <d v="2026-01-09T15:25:00"/>
    <x v="0"/>
    <x v="3"/>
    <x v="0"/>
    <x v="2"/>
    <x v="0"/>
    <x v="7"/>
    <x v="0"/>
    <n v="7"/>
    <n v="7"/>
    <n v="5"/>
    <n v="6"/>
    <n v="5"/>
    <n v="5"/>
    <n v="5"/>
    <n v="5"/>
    <n v="6"/>
  </r>
  <r>
    <d v="2026-01-09T15:26:00"/>
    <x v="1"/>
    <x v="3"/>
    <x v="0"/>
    <x v="0"/>
    <x v="0"/>
    <x v="5"/>
    <x v="4"/>
    <n v="8"/>
    <n v="8"/>
    <n v="8"/>
    <n v="8"/>
    <n v="8"/>
    <n v="8"/>
    <n v="8"/>
    <n v="8"/>
    <n v="8"/>
  </r>
  <r>
    <d v="2026-01-09T15:26:00"/>
    <x v="1"/>
    <x v="0"/>
    <x v="0"/>
    <x v="0"/>
    <x v="0"/>
    <x v="1"/>
    <x v="4"/>
    <n v="9"/>
    <n v="9"/>
    <n v="3"/>
    <n v="10"/>
    <n v="8"/>
    <n v="8"/>
    <n v="6"/>
    <n v="8"/>
    <n v="8"/>
  </r>
  <r>
    <d v="2026-01-09T15:27:00"/>
    <x v="0"/>
    <x v="5"/>
    <x v="0"/>
    <x v="1"/>
    <x v="2"/>
    <x v="1"/>
    <x v="4"/>
    <n v="6"/>
    <n v="6"/>
    <n v="1"/>
    <n v="6"/>
    <n v="5"/>
    <n v="6"/>
    <n v="5"/>
    <n v="6"/>
    <n v="6"/>
  </r>
  <r>
    <d v="2026-01-09T15:30:00"/>
    <x v="0"/>
    <x v="0"/>
    <x v="0"/>
    <x v="0"/>
    <x v="0"/>
    <x v="5"/>
    <x v="0"/>
    <n v="8"/>
    <n v="8"/>
    <n v="5"/>
    <n v="8"/>
    <n v="5"/>
    <n v="6"/>
    <n v="5"/>
    <n v="6"/>
    <n v="6"/>
  </r>
  <r>
    <d v="2026-01-09T15:31:00"/>
    <x v="0"/>
    <x v="0"/>
    <x v="0"/>
    <x v="0"/>
    <x v="0"/>
    <x v="1"/>
    <x v="2"/>
    <n v="6"/>
    <n v="6"/>
    <n v="3"/>
    <n v="7"/>
    <n v="5"/>
    <n v="6"/>
    <n v="5"/>
    <n v="5"/>
    <n v="6"/>
  </r>
  <r>
    <d v="2026-01-09T15:32:00"/>
    <x v="1"/>
    <x v="2"/>
    <x v="0"/>
    <x v="0"/>
    <x v="0"/>
    <x v="7"/>
    <x v="1"/>
    <n v="8"/>
    <n v="9"/>
    <n v="9"/>
    <n v="10"/>
    <n v="8"/>
    <n v="8"/>
    <n v="9"/>
    <n v="10"/>
    <n v="10"/>
  </r>
  <r>
    <d v="2026-01-09T16:25:00"/>
    <x v="1"/>
    <x v="5"/>
    <x v="0"/>
    <x v="0"/>
    <x v="0"/>
    <x v="2"/>
    <x v="1"/>
    <n v="7"/>
    <n v="7"/>
    <n v="6"/>
    <n v="7"/>
    <n v="7"/>
    <n v="1"/>
    <n v="5"/>
    <n v="7"/>
    <n v="7"/>
  </r>
  <r>
    <d v="2026-01-09T16:50:00"/>
    <x v="0"/>
    <x v="3"/>
    <x v="0"/>
    <x v="0"/>
    <x v="0"/>
    <x v="1"/>
    <x v="4"/>
    <n v="5"/>
    <n v="10"/>
    <n v="5"/>
    <n v="5"/>
    <n v="2"/>
    <n v="3"/>
    <n v="2"/>
    <n v="5"/>
    <n v="5"/>
  </r>
  <r>
    <d v="2026-01-09T16:56:00"/>
    <x v="1"/>
    <x v="3"/>
    <x v="0"/>
    <x v="0"/>
    <x v="2"/>
    <x v="2"/>
    <x v="1"/>
    <n v="5"/>
    <n v="5"/>
    <n v="5"/>
    <n v="10"/>
    <n v="10"/>
    <n v="5"/>
    <n v="5"/>
    <n v="5"/>
    <n v="5"/>
  </r>
  <r>
    <d v="2026-01-09T17:12:00"/>
    <x v="1"/>
    <x v="3"/>
    <x v="0"/>
    <x v="1"/>
    <x v="0"/>
    <x v="5"/>
    <x v="1"/>
    <n v="10"/>
    <n v="10"/>
    <n v="10"/>
    <n v="10"/>
    <n v="10"/>
    <n v="10"/>
    <n v="10"/>
    <n v="10"/>
    <n v="10"/>
  </r>
  <r>
    <d v="2026-01-09T17:12:00"/>
    <x v="1"/>
    <x v="3"/>
    <x v="0"/>
    <x v="0"/>
    <x v="0"/>
    <x v="7"/>
    <x v="0"/>
    <n v="9"/>
    <n v="9"/>
    <n v="8"/>
    <n v="10"/>
    <n v="8"/>
    <n v="8"/>
    <n v="10"/>
    <n v="9"/>
    <n v="9"/>
  </r>
  <r>
    <d v="2026-01-09T18:35:00"/>
    <x v="1"/>
    <x v="0"/>
    <x v="0"/>
    <x v="0"/>
    <x v="0"/>
    <x v="2"/>
    <x v="1"/>
    <n v="8"/>
    <n v="7"/>
    <n v="9"/>
    <n v="5"/>
    <n v="7"/>
    <n v="7"/>
    <n v="7"/>
    <n v="6"/>
    <n v="7"/>
  </r>
  <r>
    <d v="2026-01-09T18:52:00"/>
    <x v="0"/>
    <x v="3"/>
    <x v="0"/>
    <x v="0"/>
    <x v="0"/>
    <x v="7"/>
    <x v="1"/>
    <n v="7"/>
    <n v="7"/>
    <n v="4"/>
    <n v="8"/>
    <n v="7"/>
    <n v="7"/>
    <n v="5"/>
    <n v="5"/>
    <n v="7"/>
  </r>
  <r>
    <d v="2026-01-09T18:57:00"/>
    <x v="1"/>
    <x v="3"/>
    <x v="0"/>
    <x v="0"/>
    <x v="0"/>
    <x v="7"/>
    <x v="4"/>
    <n v="6"/>
    <n v="10"/>
    <n v="5"/>
    <n v="4"/>
    <n v="3"/>
    <n v="7"/>
    <n v="4"/>
    <n v="4"/>
    <n v="5"/>
  </r>
  <r>
    <d v="2026-01-09T18:58:00"/>
    <x v="1"/>
    <x v="0"/>
    <x v="0"/>
    <x v="1"/>
    <x v="0"/>
    <x v="2"/>
    <x v="1"/>
    <n v="10"/>
    <n v="10"/>
    <n v="10"/>
    <n v="10"/>
    <n v="10"/>
    <n v="10"/>
    <n v="10"/>
    <n v="10"/>
    <n v="10"/>
  </r>
  <r>
    <d v="2026-01-09T19:09:00"/>
    <x v="1"/>
    <x v="3"/>
    <x v="0"/>
    <x v="0"/>
    <x v="0"/>
    <x v="5"/>
    <x v="1"/>
    <n v="7"/>
    <n v="9"/>
    <n v="8"/>
    <n v="6"/>
    <n v="5"/>
    <n v="3"/>
    <n v="9"/>
    <n v="3"/>
    <n v="4"/>
  </r>
  <r>
    <d v="2026-01-09T19:12:00"/>
    <x v="0"/>
    <x v="1"/>
    <x v="0"/>
    <x v="0"/>
    <x v="0"/>
    <x v="1"/>
    <x v="2"/>
    <n v="3"/>
    <n v="8"/>
    <n v="8"/>
    <n v="4"/>
    <n v="4"/>
    <n v="3"/>
    <n v="7"/>
    <n v="5"/>
    <n v="5"/>
  </r>
  <r>
    <d v="2026-01-09T19:19:00"/>
    <x v="0"/>
    <x v="5"/>
    <x v="0"/>
    <x v="1"/>
    <x v="2"/>
    <x v="0"/>
    <x v="4"/>
    <n v="2"/>
    <n v="2"/>
    <n v="2"/>
    <n v="1"/>
    <n v="2"/>
    <n v="2"/>
    <n v="2"/>
    <n v="2"/>
    <n v="2"/>
  </r>
  <r>
    <d v="2026-01-10T07:22:00"/>
    <x v="0"/>
    <x v="1"/>
    <x v="0"/>
    <x v="1"/>
    <x v="0"/>
    <x v="6"/>
    <x v="4"/>
    <n v="10"/>
    <n v="8"/>
    <n v="8"/>
    <n v="8"/>
    <n v="10"/>
    <n v="10"/>
    <n v="6"/>
    <n v="8"/>
    <n v="8"/>
  </r>
  <r>
    <d v="2026-01-10T09:06:00"/>
    <x v="1"/>
    <x v="3"/>
    <x v="0"/>
    <x v="0"/>
    <x v="0"/>
    <x v="1"/>
    <x v="0"/>
    <n v="10"/>
    <n v="10"/>
    <n v="10"/>
    <n v="10"/>
    <n v="10"/>
    <n v="9"/>
    <n v="9"/>
    <n v="10"/>
    <n v="10"/>
  </r>
  <r>
    <d v="2026-01-10T13:52:00"/>
    <x v="0"/>
    <x v="2"/>
    <x v="0"/>
    <x v="0"/>
    <x v="0"/>
    <x v="4"/>
    <x v="1"/>
    <n v="7"/>
    <n v="7"/>
    <n v="5"/>
    <n v="8"/>
    <n v="8"/>
    <n v="9"/>
    <n v="9"/>
    <n v="9"/>
    <n v="10"/>
  </r>
  <r>
    <d v="2026-01-10T13:52:00"/>
    <x v="0"/>
    <x v="2"/>
    <x v="0"/>
    <x v="0"/>
    <x v="0"/>
    <x v="0"/>
    <x v="1"/>
    <n v="6"/>
    <n v="5"/>
    <n v="4"/>
    <n v="7"/>
    <n v="5"/>
    <n v="6"/>
    <n v="6"/>
    <n v="7"/>
    <n v="7"/>
  </r>
  <r>
    <d v="2026-01-10T13:57:00"/>
    <x v="1"/>
    <x v="0"/>
    <x v="0"/>
    <x v="0"/>
    <x v="0"/>
    <x v="4"/>
    <x v="1"/>
    <n v="8"/>
    <n v="9"/>
    <n v="10"/>
    <n v="10"/>
    <n v="8"/>
    <n v="9"/>
    <n v="8"/>
    <n v="8"/>
    <n v="10"/>
  </r>
  <r>
    <d v="2026-01-11T09:35:00"/>
    <x v="1"/>
    <x v="2"/>
    <x v="0"/>
    <x v="0"/>
    <x v="0"/>
    <x v="0"/>
    <x v="1"/>
    <n v="6"/>
    <n v="6"/>
    <n v="7"/>
    <n v="7"/>
    <n v="7"/>
    <n v="8"/>
    <n v="5"/>
    <n v="5"/>
    <n v="8"/>
  </r>
  <r>
    <d v="2026-01-11T10:21:00"/>
    <x v="0"/>
    <x v="2"/>
    <x v="0"/>
    <x v="0"/>
    <x v="0"/>
    <x v="0"/>
    <x v="1"/>
    <n v="7"/>
    <n v="8"/>
    <n v="8"/>
    <n v="8"/>
    <n v="5"/>
    <n v="8"/>
    <n v="6"/>
    <n v="6"/>
    <n v="8"/>
  </r>
  <r>
    <d v="2026-01-11T21:19:00"/>
    <x v="1"/>
    <x v="2"/>
    <x v="0"/>
    <x v="0"/>
    <x v="0"/>
    <x v="4"/>
    <x v="1"/>
    <n v="4"/>
    <n v="5"/>
    <n v="5"/>
    <n v="7"/>
    <n v="5"/>
    <n v="8"/>
    <n v="5"/>
    <n v="6"/>
    <n v="8"/>
  </r>
  <r>
    <d v="2026-01-11T21:20:00"/>
    <x v="0"/>
    <x v="0"/>
    <x v="0"/>
    <x v="0"/>
    <x v="0"/>
    <x v="7"/>
    <x v="1"/>
    <n v="6"/>
    <n v="8"/>
    <n v="5"/>
    <n v="6"/>
    <n v="6"/>
    <n v="7"/>
    <n v="6"/>
    <n v="7"/>
    <n v="7"/>
  </r>
  <r>
    <d v="2026-01-12T11:29:00"/>
    <x v="0"/>
    <x v="2"/>
    <x v="0"/>
    <x v="0"/>
    <x v="0"/>
    <x v="0"/>
    <x v="1"/>
    <n v="7"/>
    <n v="7"/>
    <n v="5"/>
    <n v="8"/>
    <n v="5"/>
    <n v="8"/>
    <n v="5"/>
    <n v="7"/>
    <n v="8"/>
  </r>
  <r>
    <d v="2026-01-12T11:30:00"/>
    <x v="0"/>
    <x v="0"/>
    <x v="0"/>
    <x v="1"/>
    <x v="0"/>
    <x v="4"/>
    <x v="1"/>
    <n v="4"/>
    <n v="4"/>
    <n v="6"/>
    <n v="7"/>
    <n v="5"/>
    <n v="8"/>
    <n v="5"/>
    <n v="5"/>
    <n v="8"/>
  </r>
  <r>
    <d v="2026-01-12T11:31:00"/>
    <x v="0"/>
    <x v="2"/>
    <x v="0"/>
    <x v="0"/>
    <x v="0"/>
    <x v="0"/>
    <x v="1"/>
    <n v="8"/>
    <n v="8"/>
    <n v="10"/>
    <n v="10"/>
    <n v="9"/>
    <n v="10"/>
    <n v="8"/>
    <n v="8"/>
    <n v="10"/>
  </r>
  <r>
    <d v="2026-01-12T11:32:00"/>
    <x v="1"/>
    <x v="3"/>
    <x v="0"/>
    <x v="1"/>
    <x v="0"/>
    <x v="7"/>
    <x v="1"/>
    <n v="5"/>
    <n v="7"/>
    <n v="7"/>
    <n v="9"/>
    <n v="5"/>
    <n v="6"/>
    <n v="5"/>
    <n v="7"/>
    <n v="7"/>
  </r>
  <r>
    <d v="2026-01-12T11:33:00"/>
    <x v="0"/>
    <x v="2"/>
    <x v="0"/>
    <x v="0"/>
    <x v="0"/>
    <x v="0"/>
    <x v="1"/>
    <n v="8"/>
    <n v="8"/>
    <n v="7"/>
    <n v="9"/>
    <n v="9"/>
    <n v="9"/>
    <n v="7"/>
    <n v="9"/>
    <n v="9"/>
  </r>
  <r>
    <d v="2026-01-12T11:34:00"/>
    <x v="1"/>
    <x v="0"/>
    <x v="0"/>
    <x v="0"/>
    <x v="0"/>
    <x v="7"/>
    <x v="1"/>
    <n v="5"/>
    <n v="5"/>
    <n v="5"/>
    <n v="7"/>
    <n v="5"/>
    <n v="7"/>
    <n v="5"/>
    <n v="5"/>
    <n v="7"/>
  </r>
  <r>
    <d v="2026-01-12T11:37:00"/>
    <x v="1"/>
    <x v="0"/>
    <x v="0"/>
    <x v="1"/>
    <x v="0"/>
    <x v="7"/>
    <x v="1"/>
    <n v="7"/>
    <n v="7"/>
    <n v="8"/>
    <n v="8"/>
    <n v="6"/>
    <n v="7"/>
    <n v="6"/>
    <n v="7"/>
    <n v="7"/>
  </r>
  <r>
    <d v="2026-01-12T11:38:00"/>
    <x v="0"/>
    <x v="2"/>
    <x v="0"/>
    <x v="0"/>
    <x v="0"/>
    <x v="2"/>
    <x v="1"/>
    <n v="7"/>
    <n v="7"/>
    <n v="5"/>
    <n v="7"/>
    <n v="7"/>
    <n v="7"/>
    <n v="5"/>
    <n v="5"/>
    <n v="8"/>
  </r>
  <r>
    <d v="2026-01-12T11:39:00"/>
    <x v="1"/>
    <x v="3"/>
    <x v="0"/>
    <x v="0"/>
    <x v="0"/>
    <x v="5"/>
    <x v="0"/>
    <n v="2"/>
    <n v="2"/>
    <n v="6"/>
    <n v="7"/>
    <n v="2"/>
    <n v="5"/>
    <n v="5"/>
    <n v="6"/>
    <n v="5"/>
  </r>
  <r>
    <d v="2026-01-12T11:40:00"/>
    <x v="0"/>
    <x v="1"/>
    <x v="0"/>
    <x v="0"/>
    <x v="0"/>
    <x v="1"/>
    <x v="4"/>
    <n v="8"/>
    <n v="9"/>
    <n v="9"/>
    <n v="10"/>
    <n v="8"/>
    <n v="10"/>
    <n v="9"/>
    <n v="9"/>
    <n v="10"/>
  </r>
  <r>
    <d v="2026-01-12T11:41:00"/>
    <x v="0"/>
    <x v="0"/>
    <x v="0"/>
    <x v="0"/>
    <x v="0"/>
    <x v="4"/>
    <x v="1"/>
    <n v="7"/>
    <n v="7"/>
    <n v="7"/>
    <n v="9"/>
    <n v="7"/>
    <n v="8"/>
    <n v="5"/>
    <n v="7"/>
    <n v="8"/>
  </r>
  <r>
    <d v="2026-01-12T11:44:00"/>
    <x v="1"/>
    <x v="1"/>
    <x v="0"/>
    <x v="1"/>
    <x v="0"/>
    <x v="3"/>
    <x v="2"/>
    <n v="7"/>
    <n v="8"/>
    <n v="9"/>
    <n v="9"/>
    <n v="9"/>
    <n v="8"/>
    <n v="7"/>
    <n v="7"/>
    <n v="9"/>
  </r>
  <r>
    <d v="2026-01-12T11:47:00"/>
    <x v="0"/>
    <x v="0"/>
    <x v="0"/>
    <x v="0"/>
    <x v="0"/>
    <x v="0"/>
    <x v="1"/>
    <n v="7"/>
    <n v="7"/>
    <n v="9"/>
    <n v="9"/>
    <n v="9"/>
    <n v="9"/>
    <n v="5"/>
    <n v="6"/>
    <n v="9"/>
  </r>
  <r>
    <d v="2026-01-12T11:47:00"/>
    <x v="1"/>
    <x v="2"/>
    <x v="0"/>
    <x v="0"/>
    <x v="0"/>
    <x v="0"/>
    <x v="1"/>
    <n v="3"/>
    <n v="3"/>
    <n v="5"/>
    <n v="6"/>
    <n v="4"/>
    <n v="5"/>
    <n v="5"/>
    <n v="5"/>
    <n v="5"/>
  </r>
  <r>
    <d v="2026-01-12T12:11:00"/>
    <x v="1"/>
    <x v="3"/>
    <x v="0"/>
    <x v="0"/>
    <x v="0"/>
    <x v="7"/>
    <x v="0"/>
    <n v="4"/>
    <n v="4"/>
    <n v="5"/>
    <n v="6"/>
    <n v="4"/>
    <n v="5"/>
    <n v="3"/>
    <n v="4"/>
    <n v="5"/>
  </r>
  <r>
    <d v="2026-01-12T12:12:00"/>
    <x v="0"/>
    <x v="2"/>
    <x v="0"/>
    <x v="0"/>
    <x v="0"/>
    <x v="4"/>
    <x v="1"/>
    <n v="7"/>
    <n v="7"/>
    <n v="9"/>
    <n v="9"/>
    <n v="8"/>
    <n v="9"/>
    <n v="7"/>
    <n v="9"/>
    <n v="9"/>
  </r>
  <r>
    <d v="2026-01-12T12:13:00"/>
    <x v="1"/>
    <x v="1"/>
    <x v="0"/>
    <x v="1"/>
    <x v="0"/>
    <x v="3"/>
    <x v="0"/>
    <n v="6"/>
    <n v="6"/>
    <n v="8"/>
    <n v="8"/>
    <n v="6"/>
    <n v="7"/>
    <n v="6"/>
    <n v="7"/>
    <n v="7"/>
  </r>
  <r>
    <d v="2026-01-12T12:14:00"/>
    <x v="0"/>
    <x v="4"/>
    <x v="0"/>
    <x v="1"/>
    <x v="1"/>
    <x v="6"/>
    <x v="2"/>
    <n v="2"/>
    <n v="2"/>
    <n v="3"/>
    <n v="5"/>
    <n v="1"/>
    <n v="1"/>
    <n v="1"/>
    <n v="3"/>
    <n v="1"/>
  </r>
  <r>
    <d v="2026-01-12T12:20:00"/>
    <x v="1"/>
    <x v="2"/>
    <x v="0"/>
    <x v="0"/>
    <x v="0"/>
    <x v="0"/>
    <x v="1"/>
    <n v="7"/>
    <n v="7"/>
    <n v="8"/>
    <n v="10"/>
    <n v="9"/>
    <n v="10"/>
    <n v="8"/>
    <n v="8"/>
    <n v="10"/>
  </r>
  <r>
    <d v="2026-01-12T12:21:00"/>
    <x v="0"/>
    <x v="0"/>
    <x v="0"/>
    <x v="0"/>
    <x v="0"/>
    <x v="4"/>
    <x v="1"/>
    <n v="4"/>
    <n v="5"/>
    <n v="5"/>
    <n v="6"/>
    <n v="5"/>
    <n v="6"/>
    <n v="5"/>
    <n v="5"/>
    <n v="6"/>
  </r>
  <r>
    <d v="2026-01-12T12:22:00"/>
    <x v="1"/>
    <x v="3"/>
    <x v="0"/>
    <x v="0"/>
    <x v="0"/>
    <x v="7"/>
    <x v="1"/>
    <n v="7"/>
    <n v="8"/>
    <n v="7"/>
    <n v="7"/>
    <n v="6"/>
    <n v="8"/>
    <n v="6"/>
    <n v="8"/>
    <n v="8"/>
  </r>
  <r>
    <d v="2026-01-12T12:23:00"/>
    <x v="1"/>
    <x v="2"/>
    <x v="0"/>
    <x v="0"/>
    <x v="0"/>
    <x v="0"/>
    <x v="1"/>
    <n v="8"/>
    <n v="8"/>
    <n v="9"/>
    <n v="9"/>
    <n v="8"/>
    <n v="9"/>
    <n v="10"/>
    <n v="9"/>
    <n v="10"/>
  </r>
  <r>
    <d v="2026-01-12T12:23:00"/>
    <x v="0"/>
    <x v="2"/>
    <x v="0"/>
    <x v="0"/>
    <x v="0"/>
    <x v="0"/>
    <x v="1"/>
    <n v="7"/>
    <n v="7"/>
    <n v="8"/>
    <n v="8"/>
    <n v="6"/>
    <n v="7"/>
    <n v="6"/>
    <n v="6"/>
    <n v="7"/>
  </r>
  <r>
    <d v="2026-01-12T14:12:00"/>
    <x v="1"/>
    <x v="0"/>
    <x v="0"/>
    <x v="0"/>
    <x v="0"/>
    <x v="0"/>
    <x v="1"/>
    <n v="7"/>
    <n v="8"/>
    <n v="8"/>
    <n v="8"/>
    <n v="5"/>
    <n v="8"/>
    <n v="5"/>
    <n v="8"/>
    <n v="8"/>
  </r>
  <r>
    <d v="2026-01-12T14:13:00"/>
    <x v="0"/>
    <x v="2"/>
    <x v="0"/>
    <x v="0"/>
    <x v="0"/>
    <x v="2"/>
    <x v="1"/>
    <n v="8"/>
    <n v="8"/>
    <n v="8"/>
    <n v="9"/>
    <n v="8"/>
    <n v="8"/>
    <n v="7"/>
    <n v="7"/>
    <n v="8"/>
  </r>
  <r>
    <d v="2026-01-12T14:14:00"/>
    <x v="1"/>
    <x v="2"/>
    <x v="0"/>
    <x v="0"/>
    <x v="0"/>
    <x v="2"/>
    <x v="1"/>
    <n v="5"/>
    <n v="5"/>
    <n v="6"/>
    <n v="7"/>
    <n v="5"/>
    <n v="8"/>
    <n v="6"/>
    <n v="6"/>
    <n v="7"/>
  </r>
  <r>
    <d v="2026-01-12T14:15:00"/>
    <x v="1"/>
    <x v="0"/>
    <x v="0"/>
    <x v="0"/>
    <x v="0"/>
    <x v="0"/>
    <x v="1"/>
    <n v="7"/>
    <n v="7"/>
    <n v="8"/>
    <n v="7"/>
    <n v="8"/>
    <n v="8"/>
    <n v="8"/>
    <n v="7"/>
    <n v="8"/>
  </r>
  <r>
    <d v="2026-01-12T14:16:00"/>
    <x v="1"/>
    <x v="3"/>
    <x v="0"/>
    <x v="1"/>
    <x v="0"/>
    <x v="1"/>
    <x v="4"/>
    <n v="7"/>
    <n v="7"/>
    <n v="5"/>
    <n v="8"/>
    <n v="6"/>
    <n v="5"/>
    <n v="5"/>
    <n v="6"/>
    <n v="5"/>
  </r>
  <r>
    <d v="2026-01-12T14:28:00"/>
    <x v="0"/>
    <x v="0"/>
    <x v="0"/>
    <x v="0"/>
    <x v="0"/>
    <x v="0"/>
    <x v="1"/>
    <n v="7"/>
    <n v="7"/>
    <n v="5"/>
    <n v="8"/>
    <n v="7"/>
    <n v="7"/>
    <n v="6"/>
    <n v="7"/>
    <n v="7"/>
  </r>
  <r>
    <d v="2026-01-12T14:29:00"/>
    <x v="0"/>
    <x v="3"/>
    <x v="0"/>
    <x v="0"/>
    <x v="0"/>
    <x v="7"/>
    <x v="0"/>
    <n v="9"/>
    <n v="8"/>
    <n v="8"/>
    <n v="9"/>
    <n v="7"/>
    <n v="8"/>
    <n v="7"/>
    <n v="7"/>
    <n v="8"/>
  </r>
  <r>
    <d v="2026-01-12T14:33:00"/>
    <x v="0"/>
    <x v="0"/>
    <x v="0"/>
    <x v="0"/>
    <x v="0"/>
    <x v="4"/>
    <x v="1"/>
    <n v="8"/>
    <n v="8"/>
    <n v="7"/>
    <n v="8"/>
    <n v="6"/>
    <n v="8"/>
    <n v="6"/>
    <n v="6"/>
    <n v="8"/>
  </r>
  <r>
    <d v="2026-01-12T15:39:00"/>
    <x v="0"/>
    <x v="0"/>
    <x v="0"/>
    <x v="0"/>
    <x v="0"/>
    <x v="4"/>
    <x v="1"/>
    <n v="8"/>
    <n v="8"/>
    <n v="7"/>
    <n v="7"/>
    <n v="6"/>
    <n v="7"/>
    <n v="6"/>
    <n v="6"/>
    <n v="7"/>
  </r>
  <r>
    <d v="2026-01-12T15:42:00"/>
    <x v="0"/>
    <x v="0"/>
    <x v="0"/>
    <x v="0"/>
    <x v="0"/>
    <x v="4"/>
    <x v="1"/>
    <n v="4"/>
    <n v="4"/>
    <n v="5"/>
    <n v="7"/>
    <n v="5"/>
    <n v="6"/>
    <n v="6"/>
    <n v="6"/>
    <n v="6"/>
  </r>
  <r>
    <d v="2026-01-12T15:42:00"/>
    <x v="0"/>
    <x v="0"/>
    <x v="0"/>
    <x v="0"/>
    <x v="0"/>
    <x v="7"/>
    <x v="1"/>
    <n v="7"/>
    <n v="7"/>
    <n v="8"/>
    <n v="8"/>
    <n v="7"/>
    <n v="7"/>
    <n v="8"/>
    <n v="7"/>
    <n v="8"/>
  </r>
  <r>
    <d v="2026-01-12T15:43:00"/>
    <x v="0"/>
    <x v="3"/>
    <x v="0"/>
    <x v="0"/>
    <x v="0"/>
    <x v="5"/>
    <x v="4"/>
    <n v="8"/>
    <n v="8"/>
    <n v="6"/>
    <n v="7"/>
    <n v="6"/>
    <n v="7"/>
    <n v="5"/>
    <n v="7"/>
    <n v="7"/>
  </r>
  <r>
    <d v="2026-01-12T16:48:00"/>
    <x v="0"/>
    <x v="3"/>
    <x v="0"/>
    <x v="0"/>
    <x v="0"/>
    <x v="7"/>
    <x v="0"/>
    <n v="6"/>
    <n v="6"/>
    <n v="8"/>
    <n v="7"/>
    <n v="7"/>
    <n v="7"/>
    <n v="5"/>
    <n v="6"/>
    <n v="7"/>
  </r>
  <r>
    <d v="2026-01-12T16:49:00"/>
    <x v="1"/>
    <x v="1"/>
    <x v="0"/>
    <x v="0"/>
    <x v="0"/>
    <x v="3"/>
    <x v="3"/>
    <n v="7"/>
    <n v="7"/>
    <n v="8"/>
    <n v="8"/>
    <n v="6"/>
    <n v="7"/>
    <n v="5"/>
    <n v="7"/>
    <n v="7"/>
  </r>
  <r>
    <d v="2026-01-12T16:50:00"/>
    <x v="0"/>
    <x v="2"/>
    <x v="0"/>
    <x v="0"/>
    <x v="0"/>
    <x v="0"/>
    <x v="1"/>
    <n v="9"/>
    <n v="9"/>
    <n v="10"/>
    <n v="10"/>
    <n v="9"/>
    <n v="10"/>
    <n v="8"/>
    <n v="8"/>
    <n v="9"/>
  </r>
  <r>
    <d v="2026-01-12T17:17:00"/>
    <x v="1"/>
    <x v="2"/>
    <x v="0"/>
    <x v="0"/>
    <x v="0"/>
    <x v="0"/>
    <x v="1"/>
    <n v="7"/>
    <n v="8"/>
    <n v="8"/>
    <n v="9"/>
    <n v="8"/>
    <n v="10"/>
    <n v="8"/>
    <n v="8"/>
    <n v="9"/>
  </r>
  <r>
    <d v="2026-01-12T18:05:00"/>
    <x v="1"/>
    <x v="2"/>
    <x v="0"/>
    <x v="0"/>
    <x v="0"/>
    <x v="0"/>
    <x v="1"/>
    <n v="7"/>
    <n v="7"/>
    <n v="8"/>
    <n v="10"/>
    <n v="9"/>
    <n v="10"/>
    <n v="8"/>
    <n v="8"/>
    <n v="10"/>
  </r>
  <r>
    <d v="2026-01-12T18:28:00"/>
    <x v="1"/>
    <x v="0"/>
    <x v="0"/>
    <x v="0"/>
    <x v="0"/>
    <x v="7"/>
    <x v="1"/>
    <n v="9"/>
    <n v="9"/>
    <n v="8"/>
    <n v="9"/>
    <n v="8"/>
    <n v="8"/>
    <n v="7"/>
    <n v="7"/>
    <n v="8"/>
  </r>
  <r>
    <d v="2026-01-12T18:29:00"/>
    <x v="0"/>
    <x v="2"/>
    <x v="0"/>
    <x v="0"/>
    <x v="0"/>
    <x v="0"/>
    <x v="1"/>
    <n v="7"/>
    <n v="7"/>
    <n v="7"/>
    <n v="8"/>
    <n v="7"/>
    <n v="9"/>
    <n v="8"/>
    <n v="8"/>
    <n v="8"/>
  </r>
  <r>
    <d v="2026-01-12T18:30:00"/>
    <x v="0"/>
    <x v="0"/>
    <x v="0"/>
    <x v="0"/>
    <x v="0"/>
    <x v="4"/>
    <x v="0"/>
    <n v="4"/>
    <n v="5"/>
    <n v="6"/>
    <n v="7"/>
    <n v="7"/>
    <n v="6"/>
    <n v="4"/>
    <n v="6"/>
    <n v="7"/>
  </r>
  <r>
    <d v="2026-01-12T21:27:00"/>
    <x v="1"/>
    <x v="0"/>
    <x v="0"/>
    <x v="0"/>
    <x v="0"/>
    <x v="4"/>
    <x v="1"/>
    <n v="9"/>
    <n v="8"/>
    <n v="8"/>
    <n v="8"/>
    <n v="7"/>
    <n v="7"/>
    <n v="6"/>
    <n v="7"/>
    <n v="8"/>
  </r>
  <r>
    <d v="2026-01-12T21:28:00"/>
    <x v="0"/>
    <x v="2"/>
    <x v="0"/>
    <x v="0"/>
    <x v="0"/>
    <x v="2"/>
    <x v="1"/>
    <n v="7"/>
    <n v="7"/>
    <n v="8"/>
    <n v="9"/>
    <n v="7"/>
    <n v="10"/>
    <n v="8"/>
    <n v="8"/>
    <n v="10"/>
  </r>
  <r>
    <d v="2026-01-12T21:29:00"/>
    <x v="0"/>
    <x v="2"/>
    <x v="0"/>
    <x v="0"/>
    <x v="0"/>
    <x v="0"/>
    <x v="1"/>
    <n v="3"/>
    <n v="3"/>
    <n v="5"/>
    <n v="6"/>
    <n v="5"/>
    <n v="6"/>
    <n v="4"/>
    <n v="6"/>
    <n v="6"/>
  </r>
  <r>
    <d v="2026-01-12T21:36:00"/>
    <x v="1"/>
    <x v="0"/>
    <x v="0"/>
    <x v="0"/>
    <x v="0"/>
    <x v="7"/>
    <x v="0"/>
    <n v="8"/>
    <n v="8"/>
    <n v="5"/>
    <n v="7"/>
    <n v="5"/>
    <n v="8"/>
    <n v="5"/>
    <n v="7"/>
    <n v="8"/>
  </r>
  <r>
    <d v="2026-01-12T21:37:00"/>
    <x v="1"/>
    <x v="3"/>
    <x v="0"/>
    <x v="0"/>
    <x v="0"/>
    <x v="4"/>
    <x v="0"/>
    <n v="4"/>
    <n v="5"/>
    <n v="5"/>
    <n v="7"/>
    <n v="5"/>
    <n v="7"/>
    <n v="5"/>
    <n v="6"/>
    <n v="7"/>
  </r>
  <r>
    <d v="2026-01-12T21:38:00"/>
    <x v="0"/>
    <x v="0"/>
    <x v="0"/>
    <x v="0"/>
    <x v="0"/>
    <x v="5"/>
    <x v="1"/>
    <n v="9"/>
    <n v="9"/>
    <n v="8"/>
    <n v="9"/>
    <n v="9"/>
    <n v="7"/>
    <n v="7"/>
    <n v="7"/>
    <n v="7"/>
  </r>
  <r>
    <d v="2026-01-12T21:41:00"/>
    <x v="1"/>
    <x v="3"/>
    <x v="0"/>
    <x v="1"/>
    <x v="0"/>
    <x v="1"/>
    <x v="0"/>
    <n v="7"/>
    <n v="8"/>
    <n v="8"/>
    <n v="8"/>
    <n v="5"/>
    <n v="6"/>
    <n v="5"/>
    <n v="6"/>
    <n v="6"/>
  </r>
  <r>
    <d v="2026-01-12T21:43:00"/>
    <x v="0"/>
    <x v="2"/>
    <x v="0"/>
    <x v="0"/>
    <x v="0"/>
    <x v="0"/>
    <x v="1"/>
    <n v="8"/>
    <n v="9"/>
    <n v="8"/>
    <n v="8"/>
    <n v="9"/>
    <n v="10"/>
    <n v="10"/>
    <n v="9"/>
    <n v="10"/>
  </r>
  <r>
    <d v="2026-01-12T21:43:00"/>
    <x v="0"/>
    <x v="0"/>
    <x v="0"/>
    <x v="1"/>
    <x v="0"/>
    <x v="7"/>
    <x v="4"/>
    <n v="7"/>
    <n v="7"/>
    <n v="8"/>
    <n v="8"/>
    <n v="6"/>
    <n v="8"/>
    <n v="6"/>
    <n v="7"/>
    <n v="8"/>
  </r>
  <r>
    <d v="2026-01-12T21:47:00"/>
    <x v="1"/>
    <x v="0"/>
    <x v="0"/>
    <x v="0"/>
    <x v="0"/>
    <x v="0"/>
    <x v="1"/>
    <n v="6"/>
    <n v="6"/>
    <n v="8"/>
    <n v="9"/>
    <n v="8"/>
    <n v="8"/>
    <n v="5"/>
    <n v="7"/>
    <n v="8"/>
  </r>
  <r>
    <d v="2026-01-12T21:48:00"/>
    <x v="1"/>
    <x v="2"/>
    <x v="0"/>
    <x v="0"/>
    <x v="0"/>
    <x v="4"/>
    <x v="1"/>
    <n v="6"/>
    <n v="7"/>
    <n v="7"/>
    <n v="9"/>
    <n v="7"/>
    <n v="9"/>
    <n v="9"/>
    <n v="9"/>
    <n v="9"/>
  </r>
  <r>
    <d v="2026-01-12T21:49:00"/>
    <x v="1"/>
    <x v="1"/>
    <x v="0"/>
    <x v="1"/>
    <x v="0"/>
    <x v="1"/>
    <x v="2"/>
    <n v="4"/>
    <n v="4"/>
    <n v="5"/>
    <n v="5"/>
    <n v="5"/>
    <n v="4"/>
    <n v="5"/>
    <n v="6"/>
    <n v="5"/>
  </r>
  <r>
    <d v="2026-01-12T21:50:00"/>
    <x v="0"/>
    <x v="3"/>
    <x v="0"/>
    <x v="0"/>
    <x v="0"/>
    <x v="5"/>
    <x v="4"/>
    <n v="6"/>
    <n v="6"/>
    <n v="8"/>
    <n v="8"/>
    <n v="6"/>
    <n v="7"/>
    <n v="5"/>
    <n v="6"/>
    <n v="6"/>
  </r>
  <r>
    <d v="2026-01-12T21:51:00"/>
    <x v="0"/>
    <x v="3"/>
    <x v="0"/>
    <x v="0"/>
    <x v="0"/>
    <x v="3"/>
    <x v="4"/>
    <n v="8"/>
    <n v="8"/>
    <n v="9"/>
    <n v="9"/>
    <n v="5"/>
    <n v="5"/>
    <n v="5"/>
    <n v="6"/>
    <n v="5"/>
  </r>
  <r>
    <d v="2026-01-12T22:35:00"/>
    <x v="0"/>
    <x v="3"/>
    <x v="0"/>
    <x v="0"/>
    <x v="0"/>
    <x v="5"/>
    <x v="0"/>
    <n v="6"/>
    <n v="6"/>
    <n v="7"/>
    <n v="7"/>
    <n v="6"/>
    <n v="6"/>
    <n v="6"/>
    <n v="6"/>
    <n v="6"/>
  </r>
  <r>
    <d v="2026-01-12T23:15:00"/>
    <x v="0"/>
    <x v="3"/>
    <x v="0"/>
    <x v="0"/>
    <x v="0"/>
    <x v="1"/>
    <x v="0"/>
    <n v="8"/>
    <n v="8"/>
    <n v="8"/>
    <n v="8"/>
    <n v="7"/>
    <n v="6"/>
    <n v="6"/>
    <n v="5"/>
    <n v="7"/>
  </r>
  <r>
    <d v="2026-01-13T06:45:00"/>
    <x v="0"/>
    <x v="0"/>
    <x v="0"/>
    <x v="0"/>
    <x v="0"/>
    <x v="4"/>
    <x v="1"/>
    <n v="6"/>
    <n v="6"/>
    <n v="5"/>
    <n v="7"/>
    <n v="6"/>
    <n v="7"/>
    <n v="5"/>
    <n v="6"/>
    <n v="7"/>
  </r>
  <r>
    <d v="2026-01-13T08:14:00"/>
    <x v="1"/>
    <x v="0"/>
    <x v="0"/>
    <x v="0"/>
    <x v="0"/>
    <x v="0"/>
    <x v="1"/>
    <n v="7"/>
    <n v="8"/>
    <n v="7"/>
    <n v="7"/>
    <n v="8"/>
    <n v="9"/>
    <n v="7"/>
    <n v="7"/>
    <n v="8"/>
  </r>
  <r>
    <d v="2026-01-13T08:15:00"/>
    <x v="0"/>
    <x v="2"/>
    <x v="0"/>
    <x v="0"/>
    <x v="0"/>
    <x v="4"/>
    <x v="1"/>
    <n v="6"/>
    <n v="7"/>
    <n v="5"/>
    <n v="8"/>
    <n v="7"/>
    <n v="7"/>
    <n v="7"/>
    <n v="7"/>
    <n v="8"/>
  </r>
  <r>
    <d v="2026-01-13T08:17:00"/>
    <x v="0"/>
    <x v="2"/>
    <x v="0"/>
    <x v="0"/>
    <x v="0"/>
    <x v="0"/>
    <x v="1"/>
    <n v="8"/>
    <n v="8"/>
    <n v="9"/>
    <n v="9"/>
    <n v="7"/>
    <n v="9"/>
    <n v="7"/>
    <n v="7"/>
    <n v="9"/>
  </r>
  <r>
    <d v="2026-01-13T08:31:00"/>
    <x v="1"/>
    <x v="2"/>
    <x v="0"/>
    <x v="0"/>
    <x v="0"/>
    <x v="4"/>
    <x v="1"/>
    <n v="8"/>
    <n v="8"/>
    <n v="5"/>
    <n v="8"/>
    <n v="6"/>
    <n v="9"/>
    <n v="5"/>
    <n v="7"/>
    <n v="8"/>
  </r>
  <r>
    <d v="2026-01-13T08:53:00"/>
    <x v="1"/>
    <x v="2"/>
    <x v="0"/>
    <x v="2"/>
    <x v="0"/>
    <x v="0"/>
    <x v="1"/>
    <n v="9"/>
    <n v="9"/>
    <n v="8"/>
    <n v="9"/>
    <n v="8"/>
    <n v="10"/>
    <n v="8"/>
    <n v="8"/>
    <n v="10"/>
  </r>
  <r>
    <d v="2026-01-13T08:54:00"/>
    <x v="0"/>
    <x v="2"/>
    <x v="0"/>
    <x v="0"/>
    <x v="0"/>
    <x v="4"/>
    <x v="0"/>
    <n v="5"/>
    <n v="5"/>
    <n v="4"/>
    <n v="8"/>
    <n v="4"/>
    <n v="8"/>
    <n v="4"/>
    <n v="5"/>
    <n v="7"/>
  </r>
  <r>
    <d v="2026-01-13T08:55:00"/>
    <x v="1"/>
    <x v="4"/>
    <x v="0"/>
    <x v="1"/>
    <x v="0"/>
    <x v="3"/>
    <x v="4"/>
    <n v="1"/>
    <n v="1"/>
    <n v="4"/>
    <n v="5"/>
    <n v="5"/>
    <n v="4"/>
    <n v="4"/>
    <n v="5"/>
    <n v="3"/>
  </r>
  <r>
    <d v="2026-01-13T09:20:00"/>
    <x v="1"/>
    <x v="2"/>
    <x v="0"/>
    <x v="0"/>
    <x v="0"/>
    <x v="2"/>
    <x v="1"/>
    <n v="7"/>
    <n v="7"/>
    <n v="7"/>
    <n v="9"/>
    <n v="8"/>
    <n v="10"/>
    <n v="8"/>
    <n v="7"/>
    <n v="10"/>
  </r>
  <r>
    <d v="2026-01-13T09:45:00"/>
    <x v="1"/>
    <x v="1"/>
    <x v="0"/>
    <x v="0"/>
    <x v="0"/>
    <x v="5"/>
    <x v="4"/>
    <n v="3"/>
    <n v="3"/>
    <n v="4"/>
    <n v="6"/>
    <n v="4"/>
    <n v="5"/>
    <n v="4"/>
    <n v="5"/>
    <n v="5"/>
  </r>
  <r>
    <d v="2026-01-13T09:46:00"/>
    <x v="0"/>
    <x v="0"/>
    <x v="0"/>
    <x v="1"/>
    <x v="0"/>
    <x v="7"/>
    <x v="1"/>
    <n v="8"/>
    <n v="8"/>
    <n v="9"/>
    <n v="8"/>
    <n v="7"/>
    <n v="8"/>
    <n v="7"/>
    <n v="7"/>
    <n v="8"/>
  </r>
  <r>
    <d v="2026-01-13T10:21:00"/>
    <x v="1"/>
    <x v="3"/>
    <x v="0"/>
    <x v="0"/>
    <x v="0"/>
    <x v="1"/>
    <x v="4"/>
    <n v="5"/>
    <n v="5"/>
    <n v="5"/>
    <n v="5"/>
    <n v="5"/>
    <n v="5"/>
    <n v="5"/>
    <n v="5"/>
    <n v="5"/>
  </r>
  <r>
    <d v="2026-01-13T11:02:00"/>
    <x v="1"/>
    <x v="2"/>
    <x v="0"/>
    <x v="0"/>
    <x v="0"/>
    <x v="0"/>
    <x v="1"/>
    <n v="7"/>
    <n v="7"/>
    <n v="5"/>
    <n v="8"/>
    <n v="6"/>
    <n v="8"/>
    <n v="5"/>
    <n v="5"/>
    <n v="8"/>
  </r>
  <r>
    <d v="2026-01-13T11:10:00"/>
    <x v="1"/>
    <x v="0"/>
    <x v="0"/>
    <x v="0"/>
    <x v="0"/>
    <x v="4"/>
    <x v="1"/>
    <n v="6"/>
    <n v="8"/>
    <n v="7"/>
    <n v="8"/>
    <n v="6"/>
    <n v="8"/>
    <n v="5"/>
    <n v="5"/>
    <n v="8"/>
  </r>
  <r>
    <d v="2026-01-13T11:11:00"/>
    <x v="0"/>
    <x v="1"/>
    <x v="0"/>
    <x v="1"/>
    <x v="0"/>
    <x v="5"/>
    <x v="2"/>
    <n v="10"/>
    <n v="10"/>
    <n v="5"/>
    <n v="9"/>
    <n v="7"/>
    <n v="8"/>
    <n v="5"/>
    <n v="5"/>
    <n v="8"/>
  </r>
  <r>
    <d v="2026-01-13T11:12:00"/>
    <x v="1"/>
    <x v="0"/>
    <x v="0"/>
    <x v="0"/>
    <x v="0"/>
    <x v="0"/>
    <x v="1"/>
    <n v="4"/>
    <n v="5"/>
    <n v="7"/>
    <n v="7"/>
    <n v="5"/>
    <n v="7"/>
    <n v="5"/>
    <n v="5"/>
    <n v="7"/>
  </r>
  <r>
    <d v="2026-01-13T11:13:00"/>
    <x v="0"/>
    <x v="5"/>
    <x v="0"/>
    <x v="1"/>
    <x v="0"/>
    <x v="6"/>
    <x v="3"/>
    <n v="2"/>
    <n v="3"/>
    <n v="3"/>
    <n v="6"/>
    <n v="5"/>
    <n v="5"/>
    <n v="5"/>
    <n v="5"/>
    <n v="5"/>
  </r>
  <r>
    <d v="2026-01-13T11:14:00"/>
    <x v="0"/>
    <x v="3"/>
    <x v="0"/>
    <x v="0"/>
    <x v="0"/>
    <x v="7"/>
    <x v="4"/>
    <n v="7"/>
    <n v="7"/>
    <n v="5"/>
    <n v="8"/>
    <n v="7"/>
    <n v="7"/>
    <n v="5"/>
    <n v="6"/>
    <n v="7"/>
  </r>
  <r>
    <d v="2026-01-13T11:26:00"/>
    <x v="1"/>
    <x v="0"/>
    <x v="0"/>
    <x v="0"/>
    <x v="0"/>
    <x v="2"/>
    <x v="0"/>
    <n v="9"/>
    <n v="9"/>
    <n v="9"/>
    <n v="7"/>
    <n v="8"/>
    <n v="6"/>
    <n v="8"/>
    <n v="10"/>
    <n v="10"/>
  </r>
  <r>
    <d v="2026-01-13T12:38:00"/>
    <x v="1"/>
    <x v="4"/>
    <x v="0"/>
    <x v="0"/>
    <x v="0"/>
    <x v="5"/>
    <x v="0"/>
    <n v="7"/>
    <n v="7"/>
    <n v="5"/>
    <n v="7"/>
    <n v="5"/>
    <n v="6"/>
    <n v="5"/>
    <n v="6"/>
    <n v="6"/>
  </r>
  <r>
    <d v="2026-01-13T12:39:00"/>
    <x v="0"/>
    <x v="3"/>
    <x v="0"/>
    <x v="2"/>
    <x v="0"/>
    <x v="7"/>
    <x v="0"/>
    <n v="2"/>
    <n v="2"/>
    <n v="4"/>
    <n v="5"/>
    <n v="5"/>
    <n v="3"/>
    <n v="5"/>
    <n v="5"/>
    <n v="5"/>
  </r>
  <r>
    <d v="2026-01-13T12:40:00"/>
    <x v="0"/>
    <x v="0"/>
    <x v="0"/>
    <x v="0"/>
    <x v="0"/>
    <x v="7"/>
    <x v="1"/>
    <n v="8"/>
    <n v="8"/>
    <n v="7"/>
    <n v="7"/>
    <n v="7"/>
    <n v="8"/>
    <n v="7"/>
    <n v="8"/>
    <n v="8"/>
  </r>
  <r>
    <d v="2026-01-13T12:40:00"/>
    <x v="0"/>
    <x v="2"/>
    <x v="0"/>
    <x v="0"/>
    <x v="0"/>
    <x v="2"/>
    <x v="1"/>
    <n v="9"/>
    <n v="9"/>
    <n v="8"/>
    <n v="9"/>
    <n v="7"/>
    <n v="9"/>
    <n v="8"/>
    <n v="8"/>
    <n v="8"/>
  </r>
  <r>
    <d v="2026-01-13T12:41:00"/>
    <x v="0"/>
    <x v="0"/>
    <x v="0"/>
    <x v="1"/>
    <x v="0"/>
    <x v="7"/>
    <x v="1"/>
    <n v="7"/>
    <n v="7"/>
    <n v="5"/>
    <n v="8"/>
    <n v="7"/>
    <n v="8"/>
    <n v="6"/>
    <n v="6"/>
    <n v="8"/>
  </r>
  <r>
    <d v="2026-01-13T12:42:00"/>
    <x v="0"/>
    <x v="1"/>
    <x v="0"/>
    <x v="0"/>
    <x v="0"/>
    <x v="5"/>
    <x v="2"/>
    <n v="8"/>
    <n v="9"/>
    <n v="8"/>
    <n v="8"/>
    <n v="7"/>
    <n v="7"/>
    <n v="7"/>
    <n v="7"/>
    <n v="8"/>
  </r>
  <r>
    <d v="2026-01-13T12:42:00"/>
    <x v="0"/>
    <x v="0"/>
    <x v="1"/>
    <x v="0"/>
    <x v="0"/>
    <x v="0"/>
    <x v="1"/>
    <n v="4"/>
    <n v="4"/>
    <n v="3"/>
    <n v="5"/>
    <n v="5"/>
    <n v="2"/>
    <n v="2"/>
    <n v="5"/>
    <n v="2"/>
  </r>
  <r>
    <d v="2026-01-13T12:47:00"/>
    <x v="1"/>
    <x v="5"/>
    <x v="0"/>
    <x v="1"/>
    <x v="0"/>
    <x v="6"/>
    <x v="3"/>
    <n v="7"/>
    <n v="7"/>
    <n v="4"/>
    <n v="6"/>
    <n v="5"/>
    <n v="4"/>
    <n v="5"/>
    <n v="5"/>
    <n v="5"/>
  </r>
  <r>
    <d v="2026-01-13T12:49:00"/>
    <x v="0"/>
    <x v="0"/>
    <x v="0"/>
    <x v="0"/>
    <x v="0"/>
    <x v="7"/>
    <x v="1"/>
    <n v="7"/>
    <n v="7"/>
    <n v="7"/>
    <n v="7"/>
    <n v="7"/>
    <n v="7"/>
    <n v="7"/>
    <n v="7"/>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81148C-B28B-422A-BC57-6EC5F37C1202}" name="PivotTable2" cacheId="15"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Region">
  <location ref="E29:F32" firstHeaderRow="1" firstDataRow="1" firstDataCol="1"/>
  <pivotFields count="17">
    <pivotField numFmtId="22" showAll="0"/>
    <pivotField showAll="0">
      <items count="3">
        <item n="Male" x="1"/>
        <item n="Female" x="0"/>
        <item t="default"/>
      </items>
    </pivotField>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Khu vực bạn đang sinh sống:"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E1CBA6-78F3-4540-9169-600D9C7488DB}" name="PivotTable22" cacheId="15"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Gender">
  <location ref="E13:F16" firstHeaderRow="1" firstDataRow="1" firstDataCol="1"/>
  <pivotFields count="17">
    <pivotField numFmtId="22" showAll="0"/>
    <pivotField axis="axisRow" dataField="1" showAll="0">
      <items count="3">
        <item n="Male" x="1"/>
        <item n="Female"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Number of participant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D6106A-FD0D-41C0-AF89-0E652424E3AE}" name="PivotTable6" cacheId="15"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mployment">
  <location ref="E62:F68" firstHeaderRow="1" firstDataRow="1" firstDataCol="1"/>
  <pivotFields count="17">
    <pivotField numFmtId="22" showAll="0"/>
    <pivotField showAll="0">
      <items count="3">
        <item n="Male" x="1"/>
        <item n="Female" x="0"/>
        <item t="default"/>
      </items>
    </pivotField>
    <pivotField showAll="0"/>
    <pivotField showAll="0">
      <items count="3">
        <item x="1"/>
        <item x="0"/>
        <item t="default"/>
      </items>
    </pivotField>
    <pivotField showAll="0"/>
    <pivotField showAll="0">
      <items count="4">
        <item x="2"/>
        <item x="0"/>
        <item x="1"/>
        <item t="default"/>
      </items>
    </pivotField>
    <pivotField showAll="0"/>
    <pivotField axis="axisRow" dataField="1" showAll="0">
      <items count="6">
        <item x="1"/>
        <item x="0"/>
        <item x="4"/>
        <item x="2"/>
        <item x="3"/>
        <item t="default"/>
      </items>
    </pivotField>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Count of Số người phụ thuộc (con nhỏ, cha mẹ già...) đủ điều kiện giảm trừ gia cảnh:"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9F2649-C0F1-4050-8DAD-815F1F4344BC}" name="PivotTable5" cacheId="15"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Income">
  <location ref="E50:F59" firstHeaderRow="1" firstDataRow="1" firstDataCol="1"/>
  <pivotFields count="17">
    <pivotField numFmtId="22" showAll="0"/>
    <pivotField showAll="0">
      <items count="3">
        <item n="Male" x="1"/>
        <item n="Female" x="0"/>
        <item t="default"/>
      </items>
    </pivotField>
    <pivotField showAll="0"/>
    <pivotField showAll="0">
      <items count="3">
        <item x="1"/>
        <item x="0"/>
        <item t="default"/>
      </items>
    </pivotField>
    <pivotField showAll="0"/>
    <pivotField showAll="0">
      <items count="4">
        <item x="2"/>
        <item x="0"/>
        <item x="1"/>
        <item t="default"/>
      </items>
    </pivotField>
    <pivotField axis="axisRow" dataField="1" showAll="0">
      <items count="9">
        <item x="2"/>
        <item x="6"/>
        <item x="0"/>
        <item x="4"/>
        <item x="7"/>
        <item x="5"/>
        <item x="1"/>
        <item x="3"/>
        <item t="default"/>
      </items>
    </pivotField>
    <pivotField showAll="0"/>
    <pivotField showAll="0"/>
    <pivotField showAll="0"/>
    <pivotField showAll="0"/>
    <pivotField showAll="0"/>
    <pivotField showAll="0"/>
    <pivotField showAll="0"/>
    <pivotField showAll="0"/>
    <pivotField showAll="0"/>
    <pivotField showAll="0"/>
  </pivotFields>
  <rowFields count="1">
    <field x="6"/>
  </rowFields>
  <rowItems count="9">
    <i>
      <x/>
    </i>
    <i>
      <x v="1"/>
    </i>
    <i>
      <x v="2"/>
    </i>
    <i>
      <x v="3"/>
    </i>
    <i>
      <x v="4"/>
    </i>
    <i>
      <x v="5"/>
    </i>
    <i>
      <x v="6"/>
    </i>
    <i>
      <x v="7"/>
    </i>
    <i t="grand">
      <x/>
    </i>
  </rowItems>
  <colItems count="1">
    <i/>
  </colItems>
  <dataFields count="1">
    <dataField name="Count of Thu nhập bình quân tháng theo Hợp đồng lao động của bạn là bao nhiêu? (Vui lòng điền tổng thu nhập trước khi khấu trừ các loại Bảo hiểm (BHXH, BHYT, BHTN) và Thuế TNCN)"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D2D31A-578B-4B33-8D72-5456E5725942}" name="PivotTable3" cacheId="15"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ducation">
  <location ref="E35:F40" firstHeaderRow="1" firstDataRow="1" firstDataCol="1"/>
  <pivotFields count="17">
    <pivotField numFmtId="22" showAll="0"/>
    <pivotField showAll="0">
      <items count="3">
        <item n="Male" x="1"/>
        <item n="Female" x="0"/>
        <item t="default"/>
      </items>
    </pivotField>
    <pivotField showAll="0"/>
    <pivotField showAll="0"/>
    <pivotField axis="axisRow" dataField="1" showAll="0">
      <items count="5">
        <item x="2"/>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Count of Trình độ học vấn cao nhất:"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B8394B-9564-4159-93E1-514FDC0C4D6C}" name="PivotTable4" cacheId="15"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mployment">
  <location ref="E43:F47" firstHeaderRow="1" firstDataRow="1" firstDataCol="1"/>
  <pivotFields count="17">
    <pivotField numFmtId="22" showAll="0"/>
    <pivotField showAll="0">
      <items count="3">
        <item n="Male" x="1"/>
        <item n="Female" x="0"/>
        <item t="default"/>
      </items>
    </pivotField>
    <pivotField showAll="0"/>
    <pivotField showAll="0">
      <items count="3">
        <item x="1"/>
        <item x="0"/>
        <item t="default"/>
      </items>
    </pivotField>
    <pivotField showAll="0"/>
    <pivotField axis="axisRow" dataField="1"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Tình trạng việc làm chính:"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83461E-472F-43B8-8D13-C1279CB5C86C}" name="PivotTable1" cacheId="15"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Age">
  <location ref="E19:F26" firstHeaderRow="1" firstDataRow="1" firstDataCol="1"/>
  <pivotFields count="17">
    <pivotField numFmtId="22" showAll="0"/>
    <pivotField showAll="0">
      <items count="3">
        <item n="Male" x="1"/>
        <item n="Female" x="0"/>
        <item t="default"/>
      </items>
    </pivotField>
    <pivotField axis="axisRow" dataField="1" showAll="0">
      <items count="7">
        <item x="2"/>
        <item x="0"/>
        <item x="3"/>
        <item x="1"/>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Count of Độ tuổi của bạ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3" xr16:uid="{8C288689-D8A0-4580-BE45-7D71BEC1B7E4}" autoFormatId="16" applyNumberFormats="0" applyBorderFormats="0" applyFontFormats="0" applyPatternFormats="0" applyAlignmentFormats="0" applyWidthHeightFormats="0">
  <queryTableRefresh nextId="46">
    <queryTableFields count="45">
      <queryTableField id="1" name="Persona_ID" tableColumnId="1"/>
      <queryTableField id="2" name="Used_Seed" tableColumnId="2"/>
      <queryTableField id="3" name="Gender" tableColumnId="3"/>
      <queryTableField id="4" name="Age_Group" tableColumnId="4"/>
      <queryTableField id="5" name="Region" tableColumnId="5"/>
      <queryTableField id="6" name="Education" tableColumnId="6"/>
      <queryTableField id="7" name="Employment" tableColumnId="7"/>
      <queryTableField id="8" name="Income_Mil" tableColumnId="8"/>
      <queryTableField id="9" name="Dependents" tableColumnId="9"/>
      <queryTableField id="10" name="AI_ENF1" tableColumnId="10"/>
      <queryTableField id="11" name="Human_ENF1" tableColumnId="11"/>
      <queryTableField id="12" name="d_ENF1" tableColumnId="12"/>
      <queryTableField id="13" name="AI_ENF2" tableColumnId="13"/>
      <queryTableField id="14" name="Human_ENF2" tableColumnId="14"/>
      <queryTableField id="15" name="d_ENF2" tableColumnId="15"/>
      <queryTableField id="16" name="AI_FAC1" tableColumnId="16"/>
      <queryTableField id="17" name="Human_FAC1" tableColumnId="17"/>
      <queryTableField id="18" name="d_FAC1" tableColumnId="18"/>
      <queryTableField id="19" name="AI_FAC2" tableColumnId="19"/>
      <queryTableField id="20" name="Human_FAC2" tableColumnId="20"/>
      <queryTableField id="21" name="d_FAC2" tableColumnId="21"/>
      <queryTableField id="22" name="AI_TRU1" tableColumnId="22"/>
      <queryTableField id="23" name="Human_TRU1" tableColumnId="23"/>
      <queryTableField id="24" name="d_TRU1" tableColumnId="24"/>
      <queryTableField id="25" name="AI_TRU2" tableColumnId="25"/>
      <queryTableField id="26" name="Human_TRU2" tableColumnId="26"/>
      <queryTableField id="27" name="d_TRU2" tableColumnId="27"/>
      <queryTableField id="28" name="AI_TRU3" tableColumnId="28"/>
      <queryTableField id="29" name="Human_TRU3" tableColumnId="29"/>
      <queryTableField id="30" name="d_TRU3" tableColumnId="30"/>
      <queryTableField id="31" name="AI_TRU4" tableColumnId="31"/>
      <queryTableField id="32" name="Human_TRU4" tableColumnId="32"/>
      <queryTableField id="33" name="d_TRU4" tableColumnId="33"/>
      <queryTableField id="34" name="AI_OUT1" tableColumnId="34"/>
      <queryTableField id="35" name="Human_OUT1" tableColumnId="35"/>
      <queryTableField id="36" name="d_OUT1" tableColumnId="36"/>
      <queryTableField id="37" name="AI_ENF1_Reason" tableColumnId="37"/>
      <queryTableField id="38" name="AI_ENF2_Reason" tableColumnId="38"/>
      <queryTableField id="39" name="AI_FAC1_Reason" tableColumnId="39"/>
      <queryTableField id="40" name="AI_FAC2_Reason" tableColumnId="40"/>
      <queryTableField id="41" name="AI_TRU1_Reason" tableColumnId="41"/>
      <queryTableField id="42" name="AI_TRU2_Reason" tableColumnId="42"/>
      <queryTableField id="43" name="AI_TRU3_Reason" tableColumnId="43"/>
      <queryTableField id="44" name="AI_TRU4_Reason" tableColumnId="44"/>
      <queryTableField id="45" name="AI_OUT1_Reason" tableColumnId="4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6" xr16:uid="{0D6B1F0C-5774-475A-AC4B-AF4E6A8A1A5E}" autoFormatId="16" applyNumberFormats="0" applyBorderFormats="0" applyFontFormats="0" applyPatternFormats="0" applyAlignmentFormats="0" applyWidthHeightFormats="0">
  <queryTableRefresh nextId="18">
    <queryTableFields count="17">
      <queryTableField id="1" name="Timestamp" tableColumnId="1"/>
      <queryTableField id="2" name="Giới tính của bạn:" tableColumnId="2"/>
      <queryTableField id="3" name="Độ tuổi của bạn:" tableColumnId="3"/>
      <queryTableField id="4" name="Khu vực bạn đang sinh sống:" tableColumnId="4"/>
      <queryTableField id="5" name="Trình độ học vấn cao nhất:" tableColumnId="5"/>
      <queryTableField id="6" name="Tình trạng việc làm chính:" tableColumnId="6"/>
      <queryTableField id="7" name="Thu nhập bình quân tháng theo Hợp đồng lao động của bạn là bao nhiêu? (Vui lòng điền tổng thu nhập trước khi khấu trừ các loại Bảo hiểm (BHXH, BHYT, BHTN) và Thuế TNCN)" tableColumnId="7"/>
      <queryTableField id="8" name="Số người phụ thuộc (con nhỏ, cha mẹ già...) đủ điều kiện giảm trừ gia cảnh:" tableColumnId="8"/>
      <queryTableField id="9" name="Tôi tin rằng với các quy định quản lý thuế hiện nay, hành vi gian lận hoặc trốn thuế sẽ dễ dàng bị phát hiện và xử lý nghiêm. - HUMAN-ENF1" tableColumnId="9"/>
      <queryTableField id="10" name="Tôi tin rằng Nhà nước, cơ quan thuế có đủ khả năng và công nghệ để phát hiện, xử lý nghiêm các hành vi trốn thuế. - HUMAN-ENF2" tableColumnId="10"/>
      <queryTableField id="11" name="Các thủ tục khai báo thuế VÀ/HOẶC quy trình làm việc với cơ quan thuế đơn giản, tiện lợi, nhanh chóng hơn so với trước đây. - HUMAN-FAC1" tableColumnId="11"/>
      <queryTableField id="12" name="So với trước đây, tôi thấy cách tính thuế và các bậc thuế trong phương án mới đơn giản, dễ hiểu và dễ thực hiện hơn. - HUMAN-FAC2" tableColumnId="12"/>
      <queryTableField id="13" name="Tôi tin rằng Nhà nước, cơ quan thuế sẽ thực thi chính sách mới một cách khách quan, công tâm và đối xử bình đẳng với mọi người nộp thuế.  - HUMAN-TRU1" tableColumnId="13"/>
      <queryTableField id="14" name="Tôi thấy mức thuế tôi phải đóng theo phương án mới là công bằng (người thu nhập như tôi đóng mức này là hợp lý). - HUMAN-TRU2" tableColumnId="14"/>
      <queryTableField id="15" name="Tôi tin tưởng số tiền thuế tôi đóng sẽ được Nhà nước sử dụng hiệu quả để cải thiện dịch vụ công (y tế, đường xá...). - HUMAN-TRU3" tableColumnId="15"/>
      <queryTableField id="16" name="Tôi thấy Nhà nước đã giải thích rõ ràng, minh bạch về lý do và mục tiêu của việc sửa đổi thuế lần này. - HUMAN-TRU4" tableColumnId="16"/>
      <queryTableField id="17" name="Sau khi xem xét các quyền lợi và nghĩa vụ, bạn có ủng hộ và tuân thủ chính sách mới hiện nay? - HUMAN-OUT1"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5B07BC-6C12-4475-AC8C-783D6521EFE7}" name="step3_validation" displayName="step3_validation" ref="A1:AS404" tableType="queryTable" totalsRowShown="0">
  <autoFilter ref="A1:AS404" xr:uid="{0F5B07BC-6C12-4475-AC8C-783D6521EFE7}"/>
  <tableColumns count="45">
    <tableColumn id="1" xr3:uid="{53279836-9FF8-48DE-9590-81540231404C}" uniqueName="1" name="Persona_ID" queryTableFieldId="1"/>
    <tableColumn id="2" xr3:uid="{27B7A919-DF60-469E-910F-C979C929737F}" uniqueName="2" name="Used_Seed" queryTableFieldId="2"/>
    <tableColumn id="3" xr3:uid="{082D90CF-9682-47E0-BB78-3AF5C177F921}" uniqueName="3" name="Gender" queryTableFieldId="3" dataDxfId="21"/>
    <tableColumn id="4" xr3:uid="{017C12BD-CD74-49C6-9D27-807B2BDC9362}" uniqueName="4" name="Age_Group" queryTableFieldId="4" dataDxfId="20"/>
    <tableColumn id="5" xr3:uid="{C2713242-B0FE-431E-B737-5C0CD2717C43}" uniqueName="5" name="Region" queryTableFieldId="5" dataDxfId="19"/>
    <tableColumn id="6" xr3:uid="{E5F27353-47D0-4ADE-9327-26504714A55E}" uniqueName="6" name="Education" queryTableFieldId="6" dataDxfId="18"/>
    <tableColumn id="7" xr3:uid="{E6A982F0-981B-494A-8DCF-355A55AA0B25}" uniqueName="7" name="Employment" queryTableFieldId="7" dataDxfId="17"/>
    <tableColumn id="8" xr3:uid="{B148918C-0ADD-4C65-B814-A9B2E9EEB193}" uniqueName="8" name="Income_Mil" queryTableFieldId="8"/>
    <tableColumn id="9" xr3:uid="{0EA60FEE-F5A5-42D7-8BAC-9EF596AF1ADC}" uniqueName="9" name="Dependents" queryTableFieldId="9"/>
    <tableColumn id="10" xr3:uid="{1A2C1A90-066F-40EB-98B9-13349DE4F0D3}" uniqueName="10" name="AI_ENF1" queryTableFieldId="10"/>
    <tableColumn id="11" xr3:uid="{B3460B37-8A0E-43CF-91C9-39AE8C2CCA22}" uniqueName="11" name="Human_ENF1" queryTableFieldId="11"/>
    <tableColumn id="12" xr3:uid="{E30EADBA-1828-4014-BD2A-DF69C3CA0662}" uniqueName="12" name="d_ENF1" queryTableFieldId="12"/>
    <tableColumn id="13" xr3:uid="{1E206847-FEB6-45BF-B161-AE5A499FC5FD}" uniqueName="13" name="AI_ENF2" queryTableFieldId="13"/>
    <tableColumn id="14" xr3:uid="{10E8DED4-5C91-455D-BADB-81176A6622B9}" uniqueName="14" name="Human_ENF2" queryTableFieldId="14"/>
    <tableColumn id="15" xr3:uid="{7D5C0B3D-6E82-437A-A1AE-29363477A508}" uniqueName="15" name="d_ENF2" queryTableFieldId="15"/>
    <tableColumn id="16" xr3:uid="{6926FC19-316C-4D11-9430-D81D6D2F22EC}" uniqueName="16" name="AI_FAC1" queryTableFieldId="16"/>
    <tableColumn id="17" xr3:uid="{01761D5B-A7FA-4D80-AEF9-75D5FA700327}" uniqueName="17" name="Human_FAC1" queryTableFieldId="17"/>
    <tableColumn id="18" xr3:uid="{02B7C340-518C-431F-9AF1-2A19A5868F74}" uniqueName="18" name="d_FAC1" queryTableFieldId="18"/>
    <tableColumn id="19" xr3:uid="{AB10F9F3-064C-43BA-BA8F-AD223A8CFE0C}" uniqueName="19" name="AI_FAC2" queryTableFieldId="19"/>
    <tableColumn id="20" xr3:uid="{CEB09EC3-FDCA-4050-B150-1C1B6F11105B}" uniqueName="20" name="Human_FAC2" queryTableFieldId="20"/>
    <tableColumn id="21" xr3:uid="{464A3B57-F6F4-43CD-A960-AC2CC3E8ED89}" uniqueName="21" name="d_FAC2" queryTableFieldId="21"/>
    <tableColumn id="22" xr3:uid="{1279FF14-69ED-4B44-8C91-944FD1783B0D}" uniqueName="22" name="AI_TRU1" queryTableFieldId="22"/>
    <tableColumn id="23" xr3:uid="{E9F3B0E7-1180-4C34-99DC-2F99518B7B3F}" uniqueName="23" name="Human_TRU1" queryTableFieldId="23"/>
    <tableColumn id="24" xr3:uid="{B192DE74-A90D-433A-B70F-051EAF9A0E79}" uniqueName="24" name="d_TRU1" queryTableFieldId="24"/>
    <tableColumn id="25" xr3:uid="{3976816D-35C3-451B-9F05-AD7B74C2E8B2}" uniqueName="25" name="AI_TRU2" queryTableFieldId="25"/>
    <tableColumn id="26" xr3:uid="{04A7EAE2-4A81-4808-8893-F4D1BA6FB322}" uniqueName="26" name="Human_TRU2" queryTableFieldId="26"/>
    <tableColumn id="27" xr3:uid="{0E3D25EB-942C-4B84-B9BB-43E127D3051C}" uniqueName="27" name="d_TRU2" queryTableFieldId="27"/>
    <tableColumn id="28" xr3:uid="{1D8A56DF-7B3F-457D-A244-7E9780DD019B}" uniqueName="28" name="AI_TRU3" queryTableFieldId="28"/>
    <tableColumn id="29" xr3:uid="{C5CF3B27-33E7-497E-B63F-FA4469E69F86}" uniqueName="29" name="Human_TRU3" queryTableFieldId="29"/>
    <tableColumn id="30" xr3:uid="{9FD010C6-E64B-45BA-ACCB-3597FB3DC382}" uniqueName="30" name="d_TRU3" queryTableFieldId="30"/>
    <tableColumn id="31" xr3:uid="{3E3CAC0A-F2AE-4B78-B926-D8D8AE561E1C}" uniqueName="31" name="AI_TRU4" queryTableFieldId="31"/>
    <tableColumn id="32" xr3:uid="{FC6A2DF6-EDB7-452A-AAEE-24F5B3AE420A}" uniqueName="32" name="Human_TRU4" queryTableFieldId="32"/>
    <tableColumn id="33" xr3:uid="{64B00BE8-4370-4F93-91D7-8EA7BB14D39A}" uniqueName="33" name="d_TRU4" queryTableFieldId="33"/>
    <tableColumn id="34" xr3:uid="{7AA7B9F2-BB87-404D-BD47-1DCE3D06DB6A}" uniqueName="34" name="AI_OUT1" queryTableFieldId="34"/>
    <tableColumn id="35" xr3:uid="{CA4F69F8-B5BF-4FA1-A762-A7D9231F8AD4}" uniqueName="35" name="Human_OUT1" queryTableFieldId="35"/>
    <tableColumn id="36" xr3:uid="{6294FC09-F8EC-42D6-A6FE-749BF2A136AA}" uniqueName="36" name="d_OUT1" queryTableFieldId="36"/>
    <tableColumn id="37" xr3:uid="{3347022C-DB80-490F-AC25-9CF81086D339}" uniqueName="37" name="AI_ENF1_Reason" queryTableFieldId="37" dataDxfId="16"/>
    <tableColumn id="38" xr3:uid="{59E06D61-5446-4036-9E8A-6431D69E2262}" uniqueName="38" name="AI_ENF2_Reason" queryTableFieldId="38" dataDxfId="15"/>
    <tableColumn id="39" xr3:uid="{9D1C1D03-694B-4325-8F99-68F56F072770}" uniqueName="39" name="AI_FAC1_Reason" queryTableFieldId="39" dataDxfId="14"/>
    <tableColumn id="40" xr3:uid="{8FEF3FC1-2AF9-42B5-8A87-85B0ADC12867}" uniqueName="40" name="AI_FAC2_Reason" queryTableFieldId="40" dataDxfId="13"/>
    <tableColumn id="41" xr3:uid="{AB3E1509-A716-4A8D-9E39-4E0B0AE2B00D}" uniqueName="41" name="AI_TRU1_Reason" queryTableFieldId="41" dataDxfId="12"/>
    <tableColumn id="42" xr3:uid="{0D0A5242-E2E8-48E5-A7D9-B642CD19DAA7}" uniqueName="42" name="AI_TRU2_Reason" queryTableFieldId="42" dataDxfId="11"/>
    <tableColumn id="43" xr3:uid="{F4E6D1B8-17F4-4F8C-8ACA-9736CA19FECE}" uniqueName="43" name="AI_TRU3_Reason" queryTableFieldId="43" dataDxfId="10"/>
    <tableColumn id="44" xr3:uid="{EE2B5768-EBF5-41BD-BEE7-30229A31065E}" uniqueName="44" name="AI_TRU4_Reason" queryTableFieldId="44" dataDxfId="9"/>
    <tableColumn id="45" xr3:uid="{DB2E6CA3-26A2-4ACC-9570-BF64E63CE544}" uniqueName="45" name="AI_OUT1_Reason" queryTableFieldId="45" dataDxf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9A15079-4DF6-4B9E-BAFA-08970D3D4855}" name="survey_responses" displayName="survey_responses" ref="A1:Q404" tableType="queryTable" totalsRowShown="0">
  <autoFilter ref="A1:Q404" xr:uid="{09A15079-4DF6-4B9E-BAFA-08970D3D4855}"/>
  <tableColumns count="17">
    <tableColumn id="1" xr3:uid="{49BC4699-8DD6-4E9E-BC8F-8E0F7764D36D}" uniqueName="1" name="Timestamp" queryTableFieldId="1" dataDxfId="7"/>
    <tableColumn id="2" xr3:uid="{70DF3C2A-4006-456B-B8C3-F96B58C2A548}" uniqueName="2" name="Giới tính của bạn:" queryTableFieldId="2" dataDxfId="6"/>
    <tableColumn id="3" xr3:uid="{0D396F6A-7119-4DC5-929F-B9AA4716EA07}" uniqueName="3" name="Độ tuổi của bạn:" queryTableFieldId="3" dataDxfId="5"/>
    <tableColumn id="4" xr3:uid="{ED653D15-E907-45B2-87AB-56E1BDF8551E}" uniqueName="4" name="Khu vực bạn đang sinh sống:" queryTableFieldId="4" dataDxfId="4"/>
    <tableColumn id="5" xr3:uid="{FE3B4B68-6D22-4F02-9BCA-E0A8406F84CD}" uniqueName="5" name="Trình độ học vấn cao nhất:" queryTableFieldId="5" dataDxfId="3"/>
    <tableColumn id="6" xr3:uid="{226E0D0D-66B8-4BB7-9AB8-878A6AA53121}" uniqueName="6" name="Tình trạng việc làm chính:" queryTableFieldId="6" dataDxfId="2"/>
    <tableColumn id="7" xr3:uid="{4F05F01F-9707-4A40-B1C2-7F98802FF5B6}" uniqueName="7" name="Thu nhập bình quân tháng theo Hợp đồng lao động của bạn là bao nhiêu? (Vui lòng điền tổng thu nhập trước khi khấu trừ các loại Bảo hiểm (BHXH, BHYT, BHTN) và Thuế TNCN)" queryTableFieldId="7" dataDxfId="1"/>
    <tableColumn id="8" xr3:uid="{8122D652-5704-4626-BD56-0363FEA77FC6}" uniqueName="8" name="Số người phụ thuộc (con nhỏ, cha mẹ già...) đủ điều kiện giảm trừ gia cảnh:" queryTableFieldId="8" dataDxfId="0"/>
    <tableColumn id="9" xr3:uid="{82F99BEE-6733-4E22-973E-5A79D8BA419C}" uniqueName="9" name="Tôi tin rằng với các quy định quản lý thuế hiện nay, hành vi gian lận hoặc trốn thuế sẽ dễ dàng bị phát hiện và xử lý nghiêm. - HUMAN-ENF1" queryTableFieldId="9"/>
    <tableColumn id="10" xr3:uid="{CBC01827-5A2B-4CD5-AF3D-824684649587}" uniqueName="10" name="Tôi tin rằng Nhà nước, cơ quan thuế có đủ khả năng và công nghệ để phát hiện, xử lý nghiêm các hành vi trốn thuế. - HUMAN-ENF2" queryTableFieldId="10"/>
    <tableColumn id="11" xr3:uid="{8D391F88-C6B8-4999-B248-CC968F547211}" uniqueName="11" name="Các thủ tục khai báo thuế VÀ/HOẶC quy trình làm việc với cơ quan thuế đơn giản, tiện lợi, nhanh chóng hơn so với trước đây. - HUMAN-FAC1" queryTableFieldId="11"/>
    <tableColumn id="12" xr3:uid="{EC0B86F9-B7B3-4A61-A289-524B7ED8E8ED}" uniqueName="12" name="So với trước đây, tôi thấy cách tính thuế và các bậc thuế trong phương án mới đơn giản, dễ hiểu và dễ thực hiện hơn. - HUMAN-FAC2" queryTableFieldId="12"/>
    <tableColumn id="13" xr3:uid="{B06DCAF6-F123-4C41-B2A8-98140B89FF14}" uniqueName="13" name="Tôi tin rằng Nhà nước, cơ quan thuế sẽ thực thi chính sách mới một cách khách quan, công tâm và đối xử bình đẳng với mọi người nộp thuế.  - HUMAN-TRU1" queryTableFieldId="13"/>
    <tableColumn id="14" xr3:uid="{3F217AC2-836E-47DD-B754-307F1FFBB715}" uniqueName="14" name="Tôi thấy mức thuế tôi phải đóng theo phương án mới là công bằng (người thu nhập như tôi đóng mức này là hợp lý). - HUMAN-TRU2" queryTableFieldId="14"/>
    <tableColumn id="15" xr3:uid="{A91D1D07-CD80-4594-AB95-F9BC7DE8118F}" uniqueName="15" name="Tôi tin tưởng số tiền thuế tôi đóng sẽ được Nhà nước sử dụng hiệu quả để cải thiện dịch vụ công (y tế, đường xá...). - HUMAN-TRU3" queryTableFieldId="15"/>
    <tableColumn id="16" xr3:uid="{4B7DABDD-95AB-4F0C-9DE5-CAFF11E135EF}" uniqueName="16" name="Tôi thấy Nhà nước đã giải thích rõ ràng, minh bạch về lý do và mục tiêu của việc sửa đổi thuế lần này. - HUMAN-TRU4" queryTableFieldId="16"/>
    <tableColumn id="17" xr3:uid="{625FCBAF-A8E4-467D-802E-924E6F392BE8}" uniqueName="17" name="Sau khi xem xét các quyền lợi và nghĩa vụ, bạn có ủng hộ và tuân thủ chính sách mới hiện nay? - HUMAN-OUT1"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1A3B3-C5DC-4E82-8CC1-48F4CED08087}">
  <dimension ref="A1:AS404"/>
  <sheetViews>
    <sheetView topLeftCell="T1" workbookViewId="0">
      <selection activeCell="C18" sqref="C18"/>
    </sheetView>
  </sheetViews>
  <sheetFormatPr defaultRowHeight="14.25" x14ac:dyDescent="0.45"/>
  <cols>
    <col min="1" max="1" width="12.1328125" bestFit="1" customWidth="1"/>
    <col min="2" max="2" width="12" bestFit="1" customWidth="1"/>
    <col min="3" max="3" width="8.9296875" bestFit="1" customWidth="1"/>
    <col min="4" max="4" width="12.06640625" bestFit="1" customWidth="1"/>
    <col min="5" max="5" width="0" hidden="1" customWidth="1"/>
    <col min="6" max="6" width="17.19921875" bestFit="1" customWidth="1"/>
    <col min="7" max="7" width="13.33203125" bestFit="1" customWidth="1"/>
    <col min="8" max="8" width="12.53125" bestFit="1" customWidth="1"/>
    <col min="9" max="9" width="12.86328125" bestFit="1" customWidth="1"/>
    <col min="10" max="10" width="9.6640625" bestFit="1" customWidth="1"/>
    <col min="11" max="11" width="13.796875" bestFit="1" customWidth="1"/>
    <col min="12" max="12" width="9" bestFit="1" customWidth="1"/>
    <col min="13" max="13" width="9.6640625" bestFit="1" customWidth="1"/>
    <col min="14" max="14" width="13.796875" bestFit="1" customWidth="1"/>
    <col min="15" max="15" width="9" bestFit="1" customWidth="1"/>
    <col min="16" max="16" width="9.6640625" bestFit="1" customWidth="1"/>
    <col min="17" max="17" width="13.796875" bestFit="1" customWidth="1"/>
    <col min="18" max="18" width="9" bestFit="1" customWidth="1"/>
    <col min="19" max="19" width="9.6640625" bestFit="1" customWidth="1"/>
    <col min="20" max="20" width="13.796875" bestFit="1" customWidth="1"/>
    <col min="21" max="21" width="9" bestFit="1" customWidth="1"/>
    <col min="22" max="22" width="9.86328125" bestFit="1" customWidth="1"/>
    <col min="23" max="23" width="14" bestFit="1" customWidth="1"/>
    <col min="24" max="24" width="9.19921875" bestFit="1" customWidth="1"/>
    <col min="25" max="25" width="9.86328125" bestFit="1" customWidth="1"/>
    <col min="26" max="26" width="14" bestFit="1" customWidth="1"/>
    <col min="27" max="27" width="9.19921875" bestFit="1" customWidth="1"/>
    <col min="28" max="28" width="9.86328125" bestFit="1" customWidth="1"/>
    <col min="29" max="29" width="14" bestFit="1" customWidth="1"/>
    <col min="30" max="30" width="9.19921875" bestFit="1" customWidth="1"/>
    <col min="31" max="31" width="9.86328125" bestFit="1" customWidth="1"/>
    <col min="32" max="32" width="14" bestFit="1" customWidth="1"/>
    <col min="33" max="33" width="9.19921875" bestFit="1" customWidth="1"/>
    <col min="34" max="34" width="10.1328125" bestFit="1" customWidth="1"/>
    <col min="35" max="35" width="14.265625" bestFit="1" customWidth="1"/>
    <col min="36" max="36" width="9.46484375" bestFit="1" customWidth="1"/>
    <col min="37" max="45" width="80.53125" bestFit="1" customWidth="1"/>
  </cols>
  <sheetData>
    <row r="1" spans="1:45" x14ac:dyDescent="0.45">
      <c r="A1" t="s">
        <v>37</v>
      </c>
      <c r="B1" t="s">
        <v>197</v>
      </c>
      <c r="C1" t="s">
        <v>38</v>
      </c>
      <c r="D1" t="s">
        <v>169</v>
      </c>
      <c r="E1" t="s">
        <v>40</v>
      </c>
      <c r="F1" t="s">
        <v>41</v>
      </c>
      <c r="G1" t="s">
        <v>42</v>
      </c>
      <c r="H1" t="s">
        <v>43</v>
      </c>
      <c r="I1" t="s">
        <v>44</v>
      </c>
      <c r="J1" t="s">
        <v>170</v>
      </c>
      <c r="K1" t="s">
        <v>46</v>
      </c>
      <c r="L1" t="s">
        <v>171</v>
      </c>
      <c r="M1" t="s">
        <v>172</v>
      </c>
      <c r="N1" t="s">
        <v>49</v>
      </c>
      <c r="O1" t="s">
        <v>173</v>
      </c>
      <c r="P1" t="s">
        <v>174</v>
      </c>
      <c r="Q1" t="s">
        <v>52</v>
      </c>
      <c r="R1" t="s">
        <v>175</v>
      </c>
      <c r="S1" t="s">
        <v>176</v>
      </c>
      <c r="T1" t="s">
        <v>55</v>
      </c>
      <c r="U1" t="s">
        <v>177</v>
      </c>
      <c r="V1" t="s">
        <v>178</v>
      </c>
      <c r="W1" t="s">
        <v>58</v>
      </c>
      <c r="X1" t="s">
        <v>179</v>
      </c>
      <c r="Y1" t="s">
        <v>180</v>
      </c>
      <c r="Z1" t="s">
        <v>61</v>
      </c>
      <c r="AA1" t="s">
        <v>181</v>
      </c>
      <c r="AB1" t="s">
        <v>182</v>
      </c>
      <c r="AC1" t="s">
        <v>64</v>
      </c>
      <c r="AD1" t="s">
        <v>183</v>
      </c>
      <c r="AE1" t="s">
        <v>184</v>
      </c>
      <c r="AF1" t="s">
        <v>67</v>
      </c>
      <c r="AG1" t="s">
        <v>185</v>
      </c>
      <c r="AH1" t="s">
        <v>186</v>
      </c>
      <c r="AI1" t="s">
        <v>70</v>
      </c>
      <c r="AJ1" t="s">
        <v>187</v>
      </c>
      <c r="AK1" t="s">
        <v>47</v>
      </c>
      <c r="AL1" t="s">
        <v>50</v>
      </c>
      <c r="AM1" t="s">
        <v>53</v>
      </c>
      <c r="AN1" t="s">
        <v>56</v>
      </c>
      <c r="AO1" t="s">
        <v>59</v>
      </c>
      <c r="AP1" t="s">
        <v>62</v>
      </c>
      <c r="AQ1" t="s">
        <v>65</v>
      </c>
      <c r="AR1" t="s">
        <v>68</v>
      </c>
      <c r="AS1" t="s">
        <v>71</v>
      </c>
    </row>
    <row r="2" spans="1:45" x14ac:dyDescent="0.45">
      <c r="A2">
        <v>1</v>
      </c>
      <c r="B2">
        <v>1991</v>
      </c>
      <c r="C2" t="s">
        <v>72</v>
      </c>
      <c r="D2" t="s">
        <v>81</v>
      </c>
      <c r="E2" t="s">
        <v>74</v>
      </c>
      <c r="F2" t="s">
        <v>77</v>
      </c>
      <c r="G2" t="s">
        <v>76</v>
      </c>
      <c r="H2">
        <v>16.029544063938452</v>
      </c>
      <c r="I2">
        <v>1</v>
      </c>
      <c r="J2">
        <v>7</v>
      </c>
      <c r="K2">
        <v>10</v>
      </c>
      <c r="L2">
        <v>-3</v>
      </c>
      <c r="M2">
        <v>8</v>
      </c>
      <c r="N2">
        <v>8</v>
      </c>
      <c r="O2">
        <v>0</v>
      </c>
      <c r="P2">
        <v>6</v>
      </c>
      <c r="Q2">
        <v>5</v>
      </c>
      <c r="R2">
        <v>1</v>
      </c>
      <c r="S2">
        <v>8</v>
      </c>
      <c r="T2">
        <v>5</v>
      </c>
      <c r="U2">
        <v>3</v>
      </c>
      <c r="V2">
        <v>7</v>
      </c>
      <c r="W2">
        <v>10</v>
      </c>
      <c r="X2">
        <v>-3</v>
      </c>
      <c r="Y2">
        <v>8</v>
      </c>
      <c r="Z2">
        <v>10</v>
      </c>
      <c r="AA2">
        <v>-2</v>
      </c>
      <c r="AB2">
        <v>7</v>
      </c>
      <c r="AC2">
        <v>10</v>
      </c>
      <c r="AD2">
        <v>-3</v>
      </c>
      <c r="AE2">
        <v>6</v>
      </c>
      <c r="AF2">
        <v>10</v>
      </c>
      <c r="AG2">
        <v>-4</v>
      </c>
      <c r="AH2">
        <v>8</v>
      </c>
      <c r="AI2">
        <v>10</v>
      </c>
      <c r="AJ2">
        <v>-2</v>
      </c>
      <c r="AK2" t="s">
        <v>220</v>
      </c>
      <c r="AL2" t="s">
        <v>221</v>
      </c>
      <c r="AM2" t="s">
        <v>222</v>
      </c>
      <c r="AN2" t="s">
        <v>223</v>
      </c>
      <c r="AO2" t="s">
        <v>224</v>
      </c>
      <c r="AP2" t="s">
        <v>225</v>
      </c>
      <c r="AQ2" t="s">
        <v>226</v>
      </c>
      <c r="AR2" t="s">
        <v>227</v>
      </c>
      <c r="AS2" t="s">
        <v>228</v>
      </c>
    </row>
    <row r="3" spans="1:45" x14ac:dyDescent="0.45">
      <c r="A3">
        <v>2</v>
      </c>
      <c r="B3">
        <v>1992</v>
      </c>
      <c r="C3" t="s">
        <v>72</v>
      </c>
      <c r="D3" t="s">
        <v>81</v>
      </c>
      <c r="E3" t="s">
        <v>74</v>
      </c>
      <c r="F3" t="s">
        <v>77</v>
      </c>
      <c r="G3" t="s">
        <v>76</v>
      </c>
      <c r="H3">
        <v>12.77596048017443</v>
      </c>
      <c r="I3">
        <v>0</v>
      </c>
      <c r="J3">
        <v>7</v>
      </c>
      <c r="K3">
        <v>8</v>
      </c>
      <c r="L3">
        <v>-1</v>
      </c>
      <c r="M3">
        <v>8</v>
      </c>
      <c r="N3">
        <v>8</v>
      </c>
      <c r="O3">
        <v>0</v>
      </c>
      <c r="P3">
        <v>6</v>
      </c>
      <c r="Q3">
        <v>6</v>
      </c>
      <c r="R3">
        <v>0</v>
      </c>
      <c r="S3">
        <v>8</v>
      </c>
      <c r="T3">
        <v>9</v>
      </c>
      <c r="U3">
        <v>-1</v>
      </c>
      <c r="V3">
        <v>7</v>
      </c>
      <c r="W3">
        <v>10</v>
      </c>
      <c r="X3">
        <v>-3</v>
      </c>
      <c r="Y3">
        <v>9</v>
      </c>
      <c r="Z3">
        <v>9</v>
      </c>
      <c r="AA3">
        <v>0</v>
      </c>
      <c r="AB3">
        <v>8</v>
      </c>
      <c r="AC3">
        <v>8</v>
      </c>
      <c r="AD3">
        <v>0</v>
      </c>
      <c r="AE3">
        <v>9</v>
      </c>
      <c r="AF3">
        <v>9</v>
      </c>
      <c r="AG3">
        <v>0</v>
      </c>
      <c r="AH3">
        <v>7</v>
      </c>
      <c r="AI3">
        <v>10</v>
      </c>
      <c r="AJ3">
        <v>-3</v>
      </c>
      <c r="AK3" t="s">
        <v>229</v>
      </c>
      <c r="AL3" t="s">
        <v>230</v>
      </c>
      <c r="AM3" t="s">
        <v>231</v>
      </c>
      <c r="AN3" t="s">
        <v>232</v>
      </c>
      <c r="AO3" t="s">
        <v>233</v>
      </c>
      <c r="AP3" t="s">
        <v>234</v>
      </c>
      <c r="AQ3" t="s">
        <v>235</v>
      </c>
      <c r="AR3" t="s">
        <v>236</v>
      </c>
      <c r="AS3" t="s">
        <v>237</v>
      </c>
    </row>
    <row r="4" spans="1:45" x14ac:dyDescent="0.45">
      <c r="A4">
        <v>3</v>
      </c>
      <c r="B4">
        <v>1993</v>
      </c>
      <c r="C4" t="s">
        <v>78</v>
      </c>
      <c r="D4" t="s">
        <v>79</v>
      </c>
      <c r="E4" t="s">
        <v>74</v>
      </c>
      <c r="F4" t="s">
        <v>75</v>
      </c>
      <c r="G4" t="s">
        <v>76</v>
      </c>
      <c r="H4">
        <v>61.547531975843718</v>
      </c>
      <c r="I4">
        <v>3</v>
      </c>
      <c r="J4">
        <v>7</v>
      </c>
      <c r="K4">
        <v>6</v>
      </c>
      <c r="L4">
        <v>1</v>
      </c>
      <c r="M4">
        <v>8</v>
      </c>
      <c r="N4">
        <v>5</v>
      </c>
      <c r="O4">
        <v>3</v>
      </c>
      <c r="P4">
        <v>6</v>
      </c>
      <c r="Q4">
        <v>4</v>
      </c>
      <c r="R4">
        <v>2</v>
      </c>
      <c r="S4">
        <v>5</v>
      </c>
      <c r="T4">
        <v>5</v>
      </c>
      <c r="U4">
        <v>0</v>
      </c>
      <c r="V4">
        <v>7</v>
      </c>
      <c r="W4">
        <v>4</v>
      </c>
      <c r="X4">
        <v>3</v>
      </c>
      <c r="Y4">
        <v>6</v>
      </c>
      <c r="Z4">
        <v>4</v>
      </c>
      <c r="AA4">
        <v>2</v>
      </c>
      <c r="AB4">
        <v>7</v>
      </c>
      <c r="AC4">
        <v>4</v>
      </c>
      <c r="AD4">
        <v>3</v>
      </c>
      <c r="AE4">
        <v>5</v>
      </c>
      <c r="AF4">
        <v>10</v>
      </c>
      <c r="AG4">
        <v>-5</v>
      </c>
      <c r="AH4">
        <v>6</v>
      </c>
      <c r="AI4">
        <v>4</v>
      </c>
      <c r="AJ4">
        <v>2</v>
      </c>
      <c r="AK4" t="s">
        <v>238</v>
      </c>
      <c r="AL4" t="s">
        <v>239</v>
      </c>
      <c r="AM4" t="s">
        <v>240</v>
      </c>
      <c r="AN4" t="s">
        <v>241</v>
      </c>
      <c r="AO4" t="s">
        <v>242</v>
      </c>
      <c r="AP4" t="s">
        <v>243</v>
      </c>
      <c r="AQ4" t="s">
        <v>244</v>
      </c>
      <c r="AR4" t="s">
        <v>245</v>
      </c>
      <c r="AS4" t="s">
        <v>246</v>
      </c>
    </row>
    <row r="5" spans="1:45" x14ac:dyDescent="0.45">
      <c r="A5">
        <v>4</v>
      </c>
      <c r="B5">
        <v>1994</v>
      </c>
      <c r="C5" t="s">
        <v>72</v>
      </c>
      <c r="D5" t="s">
        <v>188</v>
      </c>
      <c r="E5" t="s">
        <v>74</v>
      </c>
      <c r="F5" t="s">
        <v>77</v>
      </c>
      <c r="G5" t="s">
        <v>76</v>
      </c>
      <c r="H5">
        <v>12</v>
      </c>
      <c r="I5">
        <v>0</v>
      </c>
      <c r="J5">
        <v>7</v>
      </c>
      <c r="K5">
        <v>10</v>
      </c>
      <c r="L5">
        <v>-3</v>
      </c>
      <c r="M5">
        <v>6</v>
      </c>
      <c r="N5">
        <v>10</v>
      </c>
      <c r="O5">
        <v>-4</v>
      </c>
      <c r="P5">
        <v>8</v>
      </c>
      <c r="Q5">
        <v>8</v>
      </c>
      <c r="R5">
        <v>0</v>
      </c>
      <c r="S5">
        <v>5</v>
      </c>
      <c r="T5">
        <v>9</v>
      </c>
      <c r="U5">
        <v>-4</v>
      </c>
      <c r="V5">
        <v>8</v>
      </c>
      <c r="W5">
        <v>9</v>
      </c>
      <c r="X5">
        <v>-1</v>
      </c>
      <c r="Y5">
        <v>7</v>
      </c>
      <c r="Z5">
        <v>7</v>
      </c>
      <c r="AA5">
        <v>0</v>
      </c>
      <c r="AB5">
        <v>6</v>
      </c>
      <c r="AC5">
        <v>10</v>
      </c>
      <c r="AD5">
        <v>-4</v>
      </c>
      <c r="AE5">
        <v>5</v>
      </c>
      <c r="AF5">
        <v>7</v>
      </c>
      <c r="AG5">
        <v>-2</v>
      </c>
      <c r="AH5">
        <v>8</v>
      </c>
      <c r="AI5">
        <v>10</v>
      </c>
      <c r="AJ5">
        <v>-2</v>
      </c>
      <c r="AK5" t="s">
        <v>247</v>
      </c>
      <c r="AL5" t="s">
        <v>248</v>
      </c>
      <c r="AM5" t="s">
        <v>249</v>
      </c>
      <c r="AN5" t="s">
        <v>250</v>
      </c>
      <c r="AO5" t="s">
        <v>251</v>
      </c>
      <c r="AP5" t="s">
        <v>252</v>
      </c>
      <c r="AQ5" t="s">
        <v>253</v>
      </c>
      <c r="AR5" t="s">
        <v>254</v>
      </c>
      <c r="AS5" t="s">
        <v>255</v>
      </c>
    </row>
    <row r="6" spans="1:45" x14ac:dyDescent="0.45">
      <c r="A6">
        <v>5</v>
      </c>
      <c r="B6">
        <v>1995</v>
      </c>
      <c r="C6" t="s">
        <v>72</v>
      </c>
      <c r="D6" t="s">
        <v>81</v>
      </c>
      <c r="E6" t="s">
        <v>74</v>
      </c>
      <c r="F6" t="s">
        <v>77</v>
      </c>
      <c r="G6" t="s">
        <v>76</v>
      </c>
      <c r="H6">
        <v>12</v>
      </c>
      <c r="I6">
        <v>0</v>
      </c>
      <c r="J6">
        <v>8</v>
      </c>
      <c r="K6">
        <v>9</v>
      </c>
      <c r="L6">
        <v>-1</v>
      </c>
      <c r="M6">
        <v>7</v>
      </c>
      <c r="N6">
        <v>9</v>
      </c>
      <c r="O6">
        <v>-2</v>
      </c>
      <c r="P6">
        <v>6</v>
      </c>
      <c r="Q6">
        <v>10</v>
      </c>
      <c r="R6">
        <v>-4</v>
      </c>
      <c r="S6">
        <v>8</v>
      </c>
      <c r="T6">
        <v>9</v>
      </c>
      <c r="U6">
        <v>-1</v>
      </c>
      <c r="V6">
        <v>7</v>
      </c>
      <c r="W6">
        <v>9</v>
      </c>
      <c r="X6">
        <v>-2</v>
      </c>
      <c r="Y6">
        <v>8</v>
      </c>
      <c r="Z6">
        <v>9</v>
      </c>
      <c r="AA6">
        <v>-1</v>
      </c>
      <c r="AB6">
        <v>7</v>
      </c>
      <c r="AC6">
        <v>9</v>
      </c>
      <c r="AD6">
        <v>-2</v>
      </c>
      <c r="AE6">
        <v>6</v>
      </c>
      <c r="AF6">
        <v>9</v>
      </c>
      <c r="AG6">
        <v>-3</v>
      </c>
      <c r="AH6">
        <v>9</v>
      </c>
      <c r="AI6">
        <v>9</v>
      </c>
      <c r="AJ6">
        <v>0</v>
      </c>
      <c r="AK6" t="s">
        <v>256</v>
      </c>
      <c r="AL6" t="s">
        <v>257</v>
      </c>
      <c r="AM6" t="s">
        <v>258</v>
      </c>
      <c r="AN6" t="s">
        <v>259</v>
      </c>
      <c r="AO6" t="s">
        <v>260</v>
      </c>
      <c r="AP6" t="s">
        <v>261</v>
      </c>
      <c r="AQ6" t="s">
        <v>262</v>
      </c>
      <c r="AR6" t="s">
        <v>263</v>
      </c>
      <c r="AS6" t="s">
        <v>264</v>
      </c>
    </row>
    <row r="7" spans="1:45" x14ac:dyDescent="0.45">
      <c r="A7">
        <v>6</v>
      </c>
      <c r="B7">
        <v>1996</v>
      </c>
      <c r="C7" t="s">
        <v>72</v>
      </c>
      <c r="D7" t="s">
        <v>73</v>
      </c>
      <c r="E7" t="s">
        <v>74</v>
      </c>
      <c r="F7" t="s">
        <v>75</v>
      </c>
      <c r="G7" t="s">
        <v>76</v>
      </c>
      <c r="H7">
        <v>92.750176336270357</v>
      </c>
      <c r="I7">
        <v>4</v>
      </c>
      <c r="J7">
        <v>8</v>
      </c>
      <c r="K7">
        <v>8</v>
      </c>
      <c r="L7">
        <v>0</v>
      </c>
      <c r="M7">
        <v>7</v>
      </c>
      <c r="N7">
        <v>8</v>
      </c>
      <c r="O7">
        <v>-1</v>
      </c>
      <c r="P7">
        <v>9</v>
      </c>
      <c r="Q7">
        <v>5</v>
      </c>
      <c r="R7">
        <v>4</v>
      </c>
      <c r="S7">
        <v>7</v>
      </c>
      <c r="T7">
        <v>8</v>
      </c>
      <c r="U7">
        <v>-1</v>
      </c>
      <c r="V7">
        <v>8</v>
      </c>
      <c r="W7">
        <v>6</v>
      </c>
      <c r="X7">
        <v>2</v>
      </c>
      <c r="Y7">
        <v>7</v>
      </c>
      <c r="Z7">
        <v>6</v>
      </c>
      <c r="AA7">
        <v>1</v>
      </c>
      <c r="AB7">
        <v>6</v>
      </c>
      <c r="AC7">
        <v>4</v>
      </c>
      <c r="AD7">
        <v>2</v>
      </c>
      <c r="AE7">
        <v>7</v>
      </c>
      <c r="AF7">
        <v>5</v>
      </c>
      <c r="AG7">
        <v>2</v>
      </c>
      <c r="AH7">
        <v>8</v>
      </c>
      <c r="AI7">
        <v>6</v>
      </c>
      <c r="AJ7">
        <v>2</v>
      </c>
      <c r="AK7" t="s">
        <v>265</v>
      </c>
      <c r="AL7" t="s">
        <v>266</v>
      </c>
      <c r="AM7" t="s">
        <v>267</v>
      </c>
      <c r="AN7" t="s">
        <v>268</v>
      </c>
      <c r="AO7" t="s">
        <v>269</v>
      </c>
      <c r="AP7" t="s">
        <v>270</v>
      </c>
      <c r="AQ7" t="s">
        <v>271</v>
      </c>
      <c r="AR7" t="s">
        <v>272</v>
      </c>
      <c r="AS7" t="s">
        <v>273</v>
      </c>
    </row>
    <row r="8" spans="1:45" x14ac:dyDescent="0.45">
      <c r="A8">
        <v>7</v>
      </c>
      <c r="B8">
        <v>1997</v>
      </c>
      <c r="C8" t="s">
        <v>72</v>
      </c>
      <c r="D8" t="s">
        <v>73</v>
      </c>
      <c r="E8" t="s">
        <v>74</v>
      </c>
      <c r="F8" t="s">
        <v>77</v>
      </c>
      <c r="G8" t="s">
        <v>76</v>
      </c>
      <c r="H8">
        <v>20.750694249558155</v>
      </c>
      <c r="I8">
        <v>2</v>
      </c>
      <c r="J8">
        <v>5</v>
      </c>
      <c r="K8">
        <v>5</v>
      </c>
      <c r="L8">
        <v>0</v>
      </c>
      <c r="M8">
        <v>6</v>
      </c>
      <c r="N8">
        <v>4</v>
      </c>
      <c r="O8">
        <v>2</v>
      </c>
      <c r="P8">
        <v>8</v>
      </c>
      <c r="Q8">
        <v>4</v>
      </c>
      <c r="R8">
        <v>4</v>
      </c>
      <c r="S8">
        <v>9</v>
      </c>
      <c r="T8">
        <v>6</v>
      </c>
      <c r="U8">
        <v>3</v>
      </c>
      <c r="V8">
        <v>7</v>
      </c>
      <c r="W8">
        <v>6</v>
      </c>
      <c r="X8">
        <v>1</v>
      </c>
      <c r="Y8">
        <v>6</v>
      </c>
      <c r="Z8">
        <v>7</v>
      </c>
      <c r="AA8">
        <v>-1</v>
      </c>
      <c r="AB8">
        <v>7</v>
      </c>
      <c r="AC8">
        <v>2</v>
      </c>
      <c r="AD8">
        <v>5</v>
      </c>
      <c r="AE8">
        <v>6</v>
      </c>
      <c r="AF8">
        <v>4</v>
      </c>
      <c r="AG8">
        <v>2</v>
      </c>
      <c r="AH8">
        <v>5</v>
      </c>
      <c r="AI8">
        <v>4</v>
      </c>
      <c r="AJ8">
        <v>1</v>
      </c>
      <c r="AK8" t="s">
        <v>274</v>
      </c>
      <c r="AL8" t="s">
        <v>275</v>
      </c>
      <c r="AM8" t="s">
        <v>276</v>
      </c>
      <c r="AN8" t="s">
        <v>277</v>
      </c>
      <c r="AO8" t="s">
        <v>278</v>
      </c>
      <c r="AP8" t="s">
        <v>279</v>
      </c>
      <c r="AQ8" t="s">
        <v>280</v>
      </c>
      <c r="AR8" t="s">
        <v>281</v>
      </c>
      <c r="AS8" t="s">
        <v>282</v>
      </c>
    </row>
    <row r="9" spans="1:45" x14ac:dyDescent="0.45">
      <c r="A9">
        <v>8</v>
      </c>
      <c r="B9">
        <v>1998</v>
      </c>
      <c r="C9" t="s">
        <v>78</v>
      </c>
      <c r="D9" t="s">
        <v>79</v>
      </c>
      <c r="E9" t="s">
        <v>74</v>
      </c>
      <c r="F9" t="s">
        <v>75</v>
      </c>
      <c r="G9" t="s">
        <v>76</v>
      </c>
      <c r="H9">
        <v>12</v>
      </c>
      <c r="I9">
        <v>2</v>
      </c>
      <c r="J9">
        <v>7</v>
      </c>
      <c r="K9">
        <v>1</v>
      </c>
      <c r="L9">
        <v>6</v>
      </c>
      <c r="M9">
        <v>8</v>
      </c>
      <c r="N9">
        <v>1</v>
      </c>
      <c r="O9">
        <v>7</v>
      </c>
      <c r="P9">
        <v>9</v>
      </c>
      <c r="Q9">
        <v>2</v>
      </c>
      <c r="R9">
        <v>7</v>
      </c>
      <c r="S9">
        <v>8</v>
      </c>
      <c r="T9">
        <v>3</v>
      </c>
      <c r="U9">
        <v>5</v>
      </c>
      <c r="V9">
        <v>9</v>
      </c>
      <c r="W9">
        <v>6</v>
      </c>
      <c r="X9">
        <v>3</v>
      </c>
      <c r="Y9">
        <v>8</v>
      </c>
      <c r="Z9">
        <v>2</v>
      </c>
      <c r="AA9">
        <v>6</v>
      </c>
      <c r="AB9">
        <v>7</v>
      </c>
      <c r="AC9">
        <v>7</v>
      </c>
      <c r="AD9">
        <v>0</v>
      </c>
      <c r="AE9">
        <v>6</v>
      </c>
      <c r="AF9">
        <v>3</v>
      </c>
      <c r="AG9">
        <v>3</v>
      </c>
      <c r="AH9">
        <v>9</v>
      </c>
      <c r="AI9">
        <v>3</v>
      </c>
      <c r="AJ9">
        <v>6</v>
      </c>
      <c r="AK9" t="s">
        <v>283</v>
      </c>
      <c r="AL9" t="s">
        <v>284</v>
      </c>
      <c r="AM9" t="s">
        <v>285</v>
      </c>
      <c r="AN9" t="s">
        <v>286</v>
      </c>
      <c r="AO9" t="s">
        <v>287</v>
      </c>
      <c r="AP9" t="s">
        <v>288</v>
      </c>
      <c r="AQ9" t="s">
        <v>289</v>
      </c>
      <c r="AR9" t="s">
        <v>290</v>
      </c>
      <c r="AS9" t="s">
        <v>291</v>
      </c>
    </row>
    <row r="10" spans="1:45" x14ac:dyDescent="0.45">
      <c r="A10">
        <v>9</v>
      </c>
      <c r="B10">
        <v>1999</v>
      </c>
      <c r="C10" t="s">
        <v>72</v>
      </c>
      <c r="D10" t="s">
        <v>81</v>
      </c>
      <c r="E10" t="s">
        <v>80</v>
      </c>
      <c r="F10" t="s">
        <v>77</v>
      </c>
      <c r="G10" t="s">
        <v>161</v>
      </c>
      <c r="H10">
        <v>14.909375702254509</v>
      </c>
      <c r="I10">
        <v>1</v>
      </c>
      <c r="J10">
        <v>7</v>
      </c>
      <c r="K10">
        <v>10</v>
      </c>
      <c r="L10">
        <v>-3</v>
      </c>
      <c r="M10">
        <v>6</v>
      </c>
      <c r="N10">
        <v>10</v>
      </c>
      <c r="O10">
        <v>-4</v>
      </c>
      <c r="P10">
        <v>8</v>
      </c>
      <c r="Q10">
        <v>8</v>
      </c>
      <c r="R10">
        <v>0</v>
      </c>
      <c r="S10">
        <v>9</v>
      </c>
      <c r="T10">
        <v>7</v>
      </c>
      <c r="U10">
        <v>2</v>
      </c>
      <c r="V10">
        <v>7</v>
      </c>
      <c r="W10">
        <v>7</v>
      </c>
      <c r="X10">
        <v>0</v>
      </c>
      <c r="Y10">
        <v>7</v>
      </c>
      <c r="Z10">
        <v>5</v>
      </c>
      <c r="AA10">
        <v>2</v>
      </c>
      <c r="AB10">
        <v>6</v>
      </c>
      <c r="AC10">
        <v>5</v>
      </c>
      <c r="AD10">
        <v>1</v>
      </c>
      <c r="AE10">
        <v>7</v>
      </c>
      <c r="AF10">
        <v>9</v>
      </c>
      <c r="AG10">
        <v>-2</v>
      </c>
      <c r="AH10">
        <v>8</v>
      </c>
      <c r="AI10">
        <v>8</v>
      </c>
      <c r="AJ10">
        <v>0</v>
      </c>
      <c r="AK10" t="s">
        <v>292</v>
      </c>
      <c r="AL10" t="s">
        <v>293</v>
      </c>
      <c r="AM10" t="s">
        <v>294</v>
      </c>
      <c r="AN10" t="s">
        <v>295</v>
      </c>
      <c r="AO10" t="s">
        <v>296</v>
      </c>
      <c r="AP10" t="s">
        <v>297</v>
      </c>
      <c r="AQ10" t="s">
        <v>298</v>
      </c>
      <c r="AR10" t="s">
        <v>299</v>
      </c>
      <c r="AS10" t="s">
        <v>300</v>
      </c>
    </row>
    <row r="11" spans="1:45" x14ac:dyDescent="0.45">
      <c r="A11">
        <v>10</v>
      </c>
      <c r="B11">
        <v>2000</v>
      </c>
      <c r="C11" t="s">
        <v>72</v>
      </c>
      <c r="D11" t="s">
        <v>81</v>
      </c>
      <c r="E11" t="s">
        <v>74</v>
      </c>
      <c r="F11" t="s">
        <v>77</v>
      </c>
      <c r="G11" t="s">
        <v>76</v>
      </c>
      <c r="H11">
        <v>20.300545275430544</v>
      </c>
      <c r="I11">
        <v>0</v>
      </c>
      <c r="J11">
        <v>7</v>
      </c>
      <c r="K11">
        <v>7</v>
      </c>
      <c r="L11">
        <v>0</v>
      </c>
      <c r="M11">
        <v>6</v>
      </c>
      <c r="N11">
        <v>10</v>
      </c>
      <c r="O11">
        <v>-4</v>
      </c>
      <c r="P11">
        <v>8</v>
      </c>
      <c r="Q11">
        <v>1</v>
      </c>
      <c r="R11">
        <v>7</v>
      </c>
      <c r="S11">
        <v>5</v>
      </c>
      <c r="T11">
        <v>5</v>
      </c>
      <c r="U11">
        <v>0</v>
      </c>
      <c r="V11">
        <v>9</v>
      </c>
      <c r="W11">
        <v>8</v>
      </c>
      <c r="X11">
        <v>1</v>
      </c>
      <c r="Y11">
        <v>7</v>
      </c>
      <c r="Z11">
        <v>5</v>
      </c>
      <c r="AA11">
        <v>2</v>
      </c>
      <c r="AB11">
        <v>6</v>
      </c>
      <c r="AC11">
        <v>5</v>
      </c>
      <c r="AD11">
        <v>1</v>
      </c>
      <c r="AE11">
        <v>8</v>
      </c>
      <c r="AF11">
        <v>5</v>
      </c>
      <c r="AG11">
        <v>3</v>
      </c>
      <c r="AH11">
        <v>9</v>
      </c>
      <c r="AI11">
        <v>10</v>
      </c>
      <c r="AJ11">
        <v>-1</v>
      </c>
      <c r="AK11" t="s">
        <v>301</v>
      </c>
      <c r="AL11" t="s">
        <v>302</v>
      </c>
      <c r="AM11" t="s">
        <v>303</v>
      </c>
      <c r="AN11" t="s">
        <v>304</v>
      </c>
      <c r="AO11" t="s">
        <v>305</v>
      </c>
      <c r="AP11" t="s">
        <v>306</v>
      </c>
      <c r="AQ11" t="s">
        <v>307</v>
      </c>
      <c r="AR11" t="s">
        <v>308</v>
      </c>
      <c r="AS11" t="s">
        <v>309</v>
      </c>
    </row>
    <row r="12" spans="1:45" x14ac:dyDescent="0.45">
      <c r="A12">
        <v>11</v>
      </c>
      <c r="B12">
        <v>2001</v>
      </c>
      <c r="C12" t="s">
        <v>78</v>
      </c>
      <c r="D12" t="s">
        <v>73</v>
      </c>
      <c r="E12" t="s">
        <v>74</v>
      </c>
      <c r="F12" t="s">
        <v>75</v>
      </c>
      <c r="G12" t="s">
        <v>161</v>
      </c>
      <c r="H12">
        <v>38.355047037430367</v>
      </c>
      <c r="I12">
        <v>4</v>
      </c>
      <c r="J12">
        <v>7</v>
      </c>
      <c r="K12">
        <v>10</v>
      </c>
      <c r="L12">
        <v>-3</v>
      </c>
      <c r="M12">
        <v>6</v>
      </c>
      <c r="N12">
        <v>3</v>
      </c>
      <c r="O12">
        <v>3</v>
      </c>
      <c r="P12">
        <v>5</v>
      </c>
      <c r="Q12">
        <v>1</v>
      </c>
      <c r="R12">
        <v>4</v>
      </c>
      <c r="S12">
        <v>8</v>
      </c>
      <c r="T12">
        <v>7</v>
      </c>
      <c r="U12">
        <v>1</v>
      </c>
      <c r="V12">
        <v>6</v>
      </c>
      <c r="W12">
        <v>1</v>
      </c>
      <c r="X12">
        <v>5</v>
      </c>
      <c r="Y12">
        <v>7</v>
      </c>
      <c r="Z12">
        <v>5</v>
      </c>
      <c r="AA12">
        <v>2</v>
      </c>
      <c r="AB12">
        <v>6</v>
      </c>
      <c r="AC12">
        <v>1</v>
      </c>
      <c r="AD12">
        <v>5</v>
      </c>
      <c r="AE12">
        <v>5</v>
      </c>
      <c r="AF12">
        <v>8</v>
      </c>
      <c r="AG12">
        <v>-3</v>
      </c>
      <c r="AH12">
        <v>4</v>
      </c>
      <c r="AI12">
        <v>6</v>
      </c>
      <c r="AJ12">
        <v>-2</v>
      </c>
      <c r="AK12" t="s">
        <v>310</v>
      </c>
      <c r="AL12" t="s">
        <v>311</v>
      </c>
      <c r="AM12" t="s">
        <v>312</v>
      </c>
      <c r="AN12" t="s">
        <v>313</v>
      </c>
      <c r="AO12" t="s">
        <v>314</v>
      </c>
      <c r="AP12" t="s">
        <v>315</v>
      </c>
      <c r="AQ12" t="s">
        <v>316</v>
      </c>
      <c r="AR12" t="s">
        <v>317</v>
      </c>
      <c r="AS12" t="s">
        <v>318</v>
      </c>
    </row>
    <row r="13" spans="1:45" x14ac:dyDescent="0.45">
      <c r="A13">
        <v>12</v>
      </c>
      <c r="B13">
        <v>2002</v>
      </c>
      <c r="C13" t="s">
        <v>72</v>
      </c>
      <c r="D13" t="s">
        <v>188</v>
      </c>
      <c r="E13" t="s">
        <v>74</v>
      </c>
      <c r="F13" t="s">
        <v>77</v>
      </c>
      <c r="G13" t="s">
        <v>76</v>
      </c>
      <c r="H13">
        <v>12</v>
      </c>
      <c r="I13">
        <v>0</v>
      </c>
      <c r="J13">
        <v>7</v>
      </c>
      <c r="K13">
        <v>5</v>
      </c>
      <c r="L13">
        <v>2</v>
      </c>
      <c r="M13">
        <v>8</v>
      </c>
      <c r="N13">
        <v>8</v>
      </c>
      <c r="O13">
        <v>0</v>
      </c>
      <c r="P13">
        <v>6</v>
      </c>
      <c r="Q13">
        <v>5</v>
      </c>
      <c r="R13">
        <v>1</v>
      </c>
      <c r="S13">
        <v>7</v>
      </c>
      <c r="T13">
        <v>5</v>
      </c>
      <c r="U13">
        <v>2</v>
      </c>
      <c r="V13">
        <v>6</v>
      </c>
      <c r="W13">
        <v>6</v>
      </c>
      <c r="X13">
        <v>0</v>
      </c>
      <c r="Y13">
        <v>7</v>
      </c>
      <c r="Z13">
        <v>5</v>
      </c>
      <c r="AA13">
        <v>2</v>
      </c>
      <c r="AB13">
        <v>6</v>
      </c>
      <c r="AC13">
        <v>5</v>
      </c>
      <c r="AD13">
        <v>1</v>
      </c>
      <c r="AE13">
        <v>6</v>
      </c>
      <c r="AF13">
        <v>5</v>
      </c>
      <c r="AG13">
        <v>1</v>
      </c>
      <c r="AH13">
        <v>6</v>
      </c>
      <c r="AI13">
        <v>5</v>
      </c>
      <c r="AJ13">
        <v>1</v>
      </c>
      <c r="AK13" t="s">
        <v>319</v>
      </c>
      <c r="AL13" t="s">
        <v>320</v>
      </c>
      <c r="AM13" t="s">
        <v>321</v>
      </c>
      <c r="AN13" t="s">
        <v>322</v>
      </c>
      <c r="AO13" t="s">
        <v>323</v>
      </c>
      <c r="AP13" t="s">
        <v>324</v>
      </c>
      <c r="AQ13" t="s">
        <v>325</v>
      </c>
      <c r="AR13" t="s">
        <v>326</v>
      </c>
      <c r="AS13" t="s">
        <v>327</v>
      </c>
    </row>
    <row r="14" spans="1:45" x14ac:dyDescent="0.45">
      <c r="A14">
        <v>13</v>
      </c>
      <c r="B14">
        <v>2003</v>
      </c>
      <c r="C14" t="s">
        <v>72</v>
      </c>
      <c r="D14" t="s">
        <v>188</v>
      </c>
      <c r="E14" t="s">
        <v>74</v>
      </c>
      <c r="F14" t="s">
        <v>77</v>
      </c>
      <c r="G14" t="s">
        <v>76</v>
      </c>
      <c r="H14">
        <v>12</v>
      </c>
      <c r="I14">
        <v>0</v>
      </c>
      <c r="J14">
        <v>8</v>
      </c>
      <c r="K14">
        <v>8</v>
      </c>
      <c r="L14">
        <v>0</v>
      </c>
      <c r="M14">
        <v>9</v>
      </c>
      <c r="N14">
        <v>7</v>
      </c>
      <c r="O14">
        <v>2</v>
      </c>
      <c r="P14">
        <v>7</v>
      </c>
      <c r="Q14">
        <v>7</v>
      </c>
      <c r="R14">
        <v>0</v>
      </c>
      <c r="S14">
        <v>8</v>
      </c>
      <c r="T14">
        <v>7</v>
      </c>
      <c r="U14">
        <v>1</v>
      </c>
      <c r="V14">
        <v>6</v>
      </c>
      <c r="W14">
        <v>7</v>
      </c>
      <c r="X14">
        <v>-1</v>
      </c>
      <c r="Y14">
        <v>7</v>
      </c>
      <c r="Z14">
        <v>8</v>
      </c>
      <c r="AA14">
        <v>-1</v>
      </c>
      <c r="AB14">
        <v>6</v>
      </c>
      <c r="AC14">
        <v>7</v>
      </c>
      <c r="AD14">
        <v>-1</v>
      </c>
      <c r="AE14">
        <v>8</v>
      </c>
      <c r="AF14">
        <v>7</v>
      </c>
      <c r="AG14">
        <v>1</v>
      </c>
      <c r="AH14">
        <v>7</v>
      </c>
      <c r="AI14">
        <v>7</v>
      </c>
      <c r="AJ14">
        <v>0</v>
      </c>
      <c r="AK14" t="s">
        <v>328</v>
      </c>
      <c r="AL14" t="s">
        <v>329</v>
      </c>
      <c r="AM14" t="s">
        <v>330</v>
      </c>
      <c r="AN14" t="s">
        <v>331</v>
      </c>
      <c r="AO14" t="s">
        <v>332</v>
      </c>
      <c r="AP14" t="s">
        <v>333</v>
      </c>
      <c r="AQ14" t="s">
        <v>332</v>
      </c>
      <c r="AR14" t="s">
        <v>334</v>
      </c>
      <c r="AS14" t="s">
        <v>335</v>
      </c>
    </row>
    <row r="15" spans="1:45" x14ac:dyDescent="0.45">
      <c r="A15">
        <v>14</v>
      </c>
      <c r="B15">
        <v>2004</v>
      </c>
      <c r="C15" t="s">
        <v>72</v>
      </c>
      <c r="D15" t="s">
        <v>73</v>
      </c>
      <c r="E15" t="s">
        <v>74</v>
      </c>
      <c r="F15" t="s">
        <v>75</v>
      </c>
      <c r="G15" t="s">
        <v>76</v>
      </c>
      <c r="H15">
        <v>20.560812066039318</v>
      </c>
      <c r="I15">
        <v>0</v>
      </c>
      <c r="J15">
        <v>8</v>
      </c>
      <c r="K15">
        <v>10</v>
      </c>
      <c r="L15">
        <v>-2</v>
      </c>
      <c r="M15">
        <v>7</v>
      </c>
      <c r="N15">
        <v>10</v>
      </c>
      <c r="O15">
        <v>-3</v>
      </c>
      <c r="P15">
        <v>6</v>
      </c>
      <c r="Q15">
        <v>8</v>
      </c>
      <c r="R15">
        <v>-2</v>
      </c>
      <c r="S15">
        <v>6</v>
      </c>
      <c r="T15">
        <v>8</v>
      </c>
      <c r="U15">
        <v>-2</v>
      </c>
      <c r="V15">
        <v>7</v>
      </c>
      <c r="W15">
        <v>8</v>
      </c>
      <c r="X15">
        <v>-1</v>
      </c>
      <c r="Y15">
        <v>6</v>
      </c>
      <c r="Z15">
        <v>6</v>
      </c>
      <c r="AA15">
        <v>0</v>
      </c>
      <c r="AB15">
        <v>5</v>
      </c>
      <c r="AC15">
        <v>6</v>
      </c>
      <c r="AD15">
        <v>-1</v>
      </c>
      <c r="AE15">
        <v>6</v>
      </c>
      <c r="AF15">
        <v>5</v>
      </c>
      <c r="AG15">
        <v>1</v>
      </c>
      <c r="AH15">
        <v>7</v>
      </c>
      <c r="AI15">
        <v>5</v>
      </c>
      <c r="AJ15">
        <v>2</v>
      </c>
      <c r="AK15" t="s">
        <v>336</v>
      </c>
      <c r="AL15" t="s">
        <v>337</v>
      </c>
      <c r="AM15" t="s">
        <v>338</v>
      </c>
      <c r="AN15" t="s">
        <v>339</v>
      </c>
      <c r="AO15" t="s">
        <v>340</v>
      </c>
      <c r="AP15" t="s">
        <v>341</v>
      </c>
      <c r="AQ15" t="s">
        <v>342</v>
      </c>
      <c r="AR15" t="s">
        <v>343</v>
      </c>
      <c r="AS15" t="s">
        <v>344</v>
      </c>
    </row>
    <row r="16" spans="1:45" x14ac:dyDescent="0.45">
      <c r="A16">
        <v>15</v>
      </c>
      <c r="B16">
        <v>2005</v>
      </c>
      <c r="C16" t="s">
        <v>78</v>
      </c>
      <c r="D16" t="s">
        <v>73</v>
      </c>
      <c r="E16" t="s">
        <v>74</v>
      </c>
      <c r="F16" t="s">
        <v>75</v>
      </c>
      <c r="G16" t="s">
        <v>76</v>
      </c>
      <c r="H16">
        <v>42.766205033209218</v>
      </c>
      <c r="I16">
        <v>2</v>
      </c>
      <c r="J16">
        <v>8</v>
      </c>
      <c r="K16">
        <v>7</v>
      </c>
      <c r="L16">
        <v>1</v>
      </c>
      <c r="M16">
        <v>7</v>
      </c>
      <c r="N16">
        <v>9</v>
      </c>
      <c r="O16">
        <v>-2</v>
      </c>
      <c r="P16">
        <v>9</v>
      </c>
      <c r="Q16">
        <v>3</v>
      </c>
      <c r="R16">
        <v>6</v>
      </c>
      <c r="S16">
        <v>7</v>
      </c>
      <c r="T16">
        <v>6</v>
      </c>
      <c r="U16">
        <v>1</v>
      </c>
      <c r="V16">
        <v>8</v>
      </c>
      <c r="W16">
        <v>1</v>
      </c>
      <c r="X16">
        <v>7</v>
      </c>
      <c r="Y16">
        <v>6</v>
      </c>
      <c r="Z16">
        <v>1</v>
      </c>
      <c r="AA16">
        <v>5</v>
      </c>
      <c r="AB16">
        <v>7</v>
      </c>
      <c r="AC16">
        <v>1</v>
      </c>
      <c r="AD16">
        <v>6</v>
      </c>
      <c r="AE16">
        <v>6</v>
      </c>
      <c r="AF16">
        <v>1</v>
      </c>
      <c r="AG16">
        <v>5</v>
      </c>
      <c r="AH16">
        <v>7</v>
      </c>
      <c r="AI16">
        <v>1</v>
      </c>
      <c r="AJ16">
        <v>6</v>
      </c>
      <c r="AK16" t="s">
        <v>345</v>
      </c>
      <c r="AL16" t="s">
        <v>346</v>
      </c>
      <c r="AM16" t="s">
        <v>347</v>
      </c>
      <c r="AN16" t="s">
        <v>348</v>
      </c>
      <c r="AO16" t="s">
        <v>349</v>
      </c>
      <c r="AP16" t="s">
        <v>350</v>
      </c>
      <c r="AQ16" t="s">
        <v>351</v>
      </c>
      <c r="AR16" t="s">
        <v>352</v>
      </c>
      <c r="AS16" t="s">
        <v>353</v>
      </c>
    </row>
    <row r="17" spans="1:45" x14ac:dyDescent="0.45">
      <c r="A17">
        <v>16</v>
      </c>
      <c r="B17">
        <v>2006</v>
      </c>
      <c r="C17" t="s">
        <v>78</v>
      </c>
      <c r="D17" t="s">
        <v>79</v>
      </c>
      <c r="E17" t="s">
        <v>74</v>
      </c>
      <c r="F17" t="s">
        <v>75</v>
      </c>
      <c r="G17" t="s">
        <v>76</v>
      </c>
      <c r="H17">
        <v>97.031267340930881</v>
      </c>
      <c r="I17">
        <v>4</v>
      </c>
      <c r="J17">
        <v>6</v>
      </c>
      <c r="K17">
        <v>8</v>
      </c>
      <c r="L17">
        <v>-2</v>
      </c>
      <c r="M17">
        <v>7</v>
      </c>
      <c r="N17">
        <v>8</v>
      </c>
      <c r="O17">
        <v>-1</v>
      </c>
      <c r="P17">
        <v>5</v>
      </c>
      <c r="Q17">
        <v>8</v>
      </c>
      <c r="R17">
        <v>-3</v>
      </c>
      <c r="S17">
        <v>8</v>
      </c>
      <c r="T17">
        <v>9</v>
      </c>
      <c r="U17">
        <v>-1</v>
      </c>
      <c r="V17">
        <v>4</v>
      </c>
      <c r="W17">
        <v>7</v>
      </c>
      <c r="X17">
        <v>-3</v>
      </c>
      <c r="Y17">
        <v>6</v>
      </c>
      <c r="Z17">
        <v>7</v>
      </c>
      <c r="AA17">
        <v>-1</v>
      </c>
      <c r="AB17">
        <v>5</v>
      </c>
      <c r="AC17">
        <v>9</v>
      </c>
      <c r="AD17">
        <v>-4</v>
      </c>
      <c r="AE17">
        <v>3</v>
      </c>
      <c r="AF17">
        <v>8</v>
      </c>
      <c r="AG17">
        <v>-5</v>
      </c>
      <c r="AH17">
        <v>7</v>
      </c>
      <c r="AI17">
        <v>7</v>
      </c>
      <c r="AJ17">
        <v>0</v>
      </c>
      <c r="AK17" t="s">
        <v>354</v>
      </c>
      <c r="AL17" t="s">
        <v>355</v>
      </c>
      <c r="AM17" t="s">
        <v>356</v>
      </c>
      <c r="AN17" t="s">
        <v>357</v>
      </c>
      <c r="AO17" t="s">
        <v>358</v>
      </c>
      <c r="AP17" t="s">
        <v>359</v>
      </c>
      <c r="AQ17" t="s">
        <v>360</v>
      </c>
      <c r="AR17" t="s">
        <v>361</v>
      </c>
      <c r="AS17" t="s">
        <v>362</v>
      </c>
    </row>
    <row r="18" spans="1:45" x14ac:dyDescent="0.45">
      <c r="A18">
        <v>17</v>
      </c>
      <c r="B18">
        <v>2007</v>
      </c>
      <c r="C18" t="s">
        <v>72</v>
      </c>
      <c r="D18" t="s">
        <v>81</v>
      </c>
      <c r="E18" t="s">
        <v>74</v>
      </c>
      <c r="F18" t="s">
        <v>77</v>
      </c>
      <c r="G18" t="s">
        <v>76</v>
      </c>
      <c r="H18">
        <v>21.039487527118101</v>
      </c>
      <c r="I18">
        <v>2</v>
      </c>
      <c r="J18">
        <v>7</v>
      </c>
      <c r="K18">
        <v>6</v>
      </c>
      <c r="L18">
        <v>1</v>
      </c>
      <c r="M18">
        <v>8</v>
      </c>
      <c r="N18">
        <v>7</v>
      </c>
      <c r="O18">
        <v>1</v>
      </c>
      <c r="P18">
        <v>9</v>
      </c>
      <c r="Q18">
        <v>5</v>
      </c>
      <c r="R18">
        <v>4</v>
      </c>
      <c r="S18">
        <v>7</v>
      </c>
      <c r="T18">
        <v>5</v>
      </c>
      <c r="U18">
        <v>2</v>
      </c>
      <c r="V18">
        <v>8</v>
      </c>
      <c r="W18">
        <v>6</v>
      </c>
      <c r="X18">
        <v>2</v>
      </c>
      <c r="Y18">
        <v>7</v>
      </c>
      <c r="Z18">
        <v>7</v>
      </c>
      <c r="AA18">
        <v>0</v>
      </c>
      <c r="AB18">
        <v>6</v>
      </c>
      <c r="AC18">
        <v>3</v>
      </c>
      <c r="AD18">
        <v>3</v>
      </c>
      <c r="AE18">
        <v>8</v>
      </c>
      <c r="AF18">
        <v>4</v>
      </c>
      <c r="AG18">
        <v>4</v>
      </c>
      <c r="AH18">
        <v>7</v>
      </c>
      <c r="AI18">
        <v>5</v>
      </c>
      <c r="AJ18">
        <v>2</v>
      </c>
      <c r="AK18" t="s">
        <v>363</v>
      </c>
      <c r="AL18" t="s">
        <v>364</v>
      </c>
      <c r="AM18" t="s">
        <v>365</v>
      </c>
      <c r="AN18" t="s">
        <v>366</v>
      </c>
      <c r="AO18" t="s">
        <v>367</v>
      </c>
      <c r="AP18" t="s">
        <v>368</v>
      </c>
      <c r="AQ18" t="s">
        <v>369</v>
      </c>
      <c r="AR18" t="s">
        <v>370</v>
      </c>
      <c r="AS18" t="s">
        <v>371</v>
      </c>
    </row>
    <row r="19" spans="1:45" x14ac:dyDescent="0.45">
      <c r="A19">
        <v>18</v>
      </c>
      <c r="B19">
        <v>2008</v>
      </c>
      <c r="C19" t="s">
        <v>78</v>
      </c>
      <c r="D19" t="s">
        <v>79</v>
      </c>
      <c r="E19" t="s">
        <v>74</v>
      </c>
      <c r="F19" t="s">
        <v>77</v>
      </c>
      <c r="G19" t="s">
        <v>161</v>
      </c>
      <c r="H19">
        <v>16.475787551693386</v>
      </c>
      <c r="I19">
        <v>0</v>
      </c>
      <c r="J19">
        <v>7</v>
      </c>
      <c r="K19">
        <v>6</v>
      </c>
      <c r="L19">
        <v>1</v>
      </c>
      <c r="M19">
        <v>8</v>
      </c>
      <c r="N19">
        <v>8</v>
      </c>
      <c r="O19">
        <v>0</v>
      </c>
      <c r="P19">
        <v>6</v>
      </c>
      <c r="Q19">
        <v>7</v>
      </c>
      <c r="R19">
        <v>-1</v>
      </c>
      <c r="S19">
        <v>8</v>
      </c>
      <c r="T19">
        <v>8</v>
      </c>
      <c r="U19">
        <v>0</v>
      </c>
      <c r="V19">
        <v>7</v>
      </c>
      <c r="W19">
        <v>8</v>
      </c>
      <c r="X19">
        <v>-1</v>
      </c>
      <c r="Y19">
        <v>9</v>
      </c>
      <c r="Z19">
        <v>7</v>
      </c>
      <c r="AA19">
        <v>2</v>
      </c>
      <c r="AB19">
        <v>7</v>
      </c>
      <c r="AC19">
        <v>7</v>
      </c>
      <c r="AD19">
        <v>0</v>
      </c>
      <c r="AE19">
        <v>8</v>
      </c>
      <c r="AF19">
        <v>6</v>
      </c>
      <c r="AG19">
        <v>2</v>
      </c>
      <c r="AH19">
        <v>9</v>
      </c>
      <c r="AI19">
        <v>8</v>
      </c>
      <c r="AJ19">
        <v>1</v>
      </c>
      <c r="AK19" t="s">
        <v>372</v>
      </c>
      <c r="AL19" t="s">
        <v>373</v>
      </c>
      <c r="AM19" t="s">
        <v>374</v>
      </c>
      <c r="AN19" t="s">
        <v>375</v>
      </c>
      <c r="AO19" t="s">
        <v>376</v>
      </c>
      <c r="AP19" t="s">
        <v>377</v>
      </c>
      <c r="AQ19" t="s">
        <v>378</v>
      </c>
      <c r="AR19" t="s">
        <v>379</v>
      </c>
      <c r="AS19" t="s">
        <v>380</v>
      </c>
    </row>
    <row r="20" spans="1:45" x14ac:dyDescent="0.45">
      <c r="A20">
        <v>19</v>
      </c>
      <c r="B20">
        <v>2009</v>
      </c>
      <c r="C20" t="s">
        <v>78</v>
      </c>
      <c r="D20" t="s">
        <v>79</v>
      </c>
      <c r="E20" t="s">
        <v>74</v>
      </c>
      <c r="F20" t="s">
        <v>77</v>
      </c>
      <c r="G20" t="s">
        <v>76</v>
      </c>
      <c r="H20">
        <v>133.36974784496124</v>
      </c>
      <c r="I20">
        <v>4</v>
      </c>
      <c r="J20">
        <v>9</v>
      </c>
      <c r="K20">
        <v>10</v>
      </c>
      <c r="L20">
        <v>-1</v>
      </c>
      <c r="M20">
        <v>8</v>
      </c>
      <c r="N20">
        <v>10</v>
      </c>
      <c r="O20">
        <v>-2</v>
      </c>
      <c r="P20">
        <v>9</v>
      </c>
      <c r="Q20">
        <v>5</v>
      </c>
      <c r="R20">
        <v>4</v>
      </c>
      <c r="S20">
        <v>8</v>
      </c>
      <c r="T20">
        <v>5</v>
      </c>
      <c r="U20">
        <v>3</v>
      </c>
      <c r="V20">
        <v>9</v>
      </c>
      <c r="W20">
        <v>5</v>
      </c>
      <c r="X20">
        <v>4</v>
      </c>
      <c r="Y20">
        <v>8</v>
      </c>
      <c r="Z20">
        <v>3</v>
      </c>
      <c r="AA20">
        <v>5</v>
      </c>
      <c r="AB20">
        <v>9</v>
      </c>
      <c r="AC20">
        <v>2</v>
      </c>
      <c r="AD20">
        <v>7</v>
      </c>
      <c r="AE20">
        <v>8</v>
      </c>
      <c r="AF20">
        <v>5</v>
      </c>
      <c r="AG20">
        <v>3</v>
      </c>
      <c r="AH20">
        <v>7</v>
      </c>
      <c r="AI20">
        <v>8</v>
      </c>
      <c r="AJ20">
        <v>-1</v>
      </c>
      <c r="AK20" t="s">
        <v>381</v>
      </c>
      <c r="AL20" t="s">
        <v>382</v>
      </c>
      <c r="AM20" t="s">
        <v>383</v>
      </c>
      <c r="AN20" t="s">
        <v>384</v>
      </c>
      <c r="AO20" t="s">
        <v>385</v>
      </c>
      <c r="AP20" t="s">
        <v>386</v>
      </c>
      <c r="AQ20" t="s">
        <v>387</v>
      </c>
      <c r="AR20" t="s">
        <v>388</v>
      </c>
      <c r="AS20" t="s">
        <v>389</v>
      </c>
    </row>
    <row r="21" spans="1:45" x14ac:dyDescent="0.45">
      <c r="A21">
        <v>20</v>
      </c>
      <c r="B21">
        <v>2010</v>
      </c>
      <c r="C21" t="s">
        <v>78</v>
      </c>
      <c r="D21" t="s">
        <v>73</v>
      </c>
      <c r="E21" t="s">
        <v>74</v>
      </c>
      <c r="F21" t="s">
        <v>75</v>
      </c>
      <c r="G21" t="s">
        <v>76</v>
      </c>
      <c r="H21">
        <v>53.113316152974953</v>
      </c>
      <c r="I21">
        <v>2</v>
      </c>
      <c r="J21">
        <v>7</v>
      </c>
      <c r="K21">
        <v>9</v>
      </c>
      <c r="L21">
        <v>-2</v>
      </c>
      <c r="M21">
        <v>8</v>
      </c>
      <c r="N21">
        <v>9</v>
      </c>
      <c r="O21">
        <v>-1</v>
      </c>
      <c r="P21">
        <v>6</v>
      </c>
      <c r="Q21">
        <v>7</v>
      </c>
      <c r="R21">
        <v>-1</v>
      </c>
      <c r="S21">
        <v>8</v>
      </c>
      <c r="T21">
        <v>9</v>
      </c>
      <c r="U21">
        <v>-1</v>
      </c>
      <c r="V21">
        <v>7</v>
      </c>
      <c r="W21">
        <v>7</v>
      </c>
      <c r="X21">
        <v>0</v>
      </c>
      <c r="Y21">
        <v>6</v>
      </c>
      <c r="Z21">
        <v>8</v>
      </c>
      <c r="AA21">
        <v>-2</v>
      </c>
      <c r="AB21">
        <v>7</v>
      </c>
      <c r="AC21">
        <v>5</v>
      </c>
      <c r="AD21">
        <v>2</v>
      </c>
      <c r="AE21">
        <v>6</v>
      </c>
      <c r="AF21">
        <v>5</v>
      </c>
      <c r="AG21">
        <v>1</v>
      </c>
      <c r="AH21">
        <v>5</v>
      </c>
      <c r="AI21">
        <v>6</v>
      </c>
      <c r="AJ21">
        <v>-1</v>
      </c>
      <c r="AK21" t="s">
        <v>390</v>
      </c>
      <c r="AL21" t="s">
        <v>391</v>
      </c>
      <c r="AM21" t="s">
        <v>392</v>
      </c>
      <c r="AN21" t="s">
        <v>393</v>
      </c>
      <c r="AO21" t="s">
        <v>394</v>
      </c>
      <c r="AP21" t="s">
        <v>395</v>
      </c>
      <c r="AQ21" t="s">
        <v>396</v>
      </c>
      <c r="AR21" t="s">
        <v>397</v>
      </c>
      <c r="AS21" t="s">
        <v>398</v>
      </c>
    </row>
    <row r="22" spans="1:45" x14ac:dyDescent="0.45">
      <c r="A22">
        <v>21</v>
      </c>
      <c r="B22">
        <v>2011</v>
      </c>
      <c r="C22" t="s">
        <v>72</v>
      </c>
      <c r="D22" t="s">
        <v>79</v>
      </c>
      <c r="E22" t="s">
        <v>74</v>
      </c>
      <c r="F22" t="s">
        <v>77</v>
      </c>
      <c r="G22" t="s">
        <v>76</v>
      </c>
      <c r="H22">
        <v>212.6300001360199</v>
      </c>
      <c r="I22">
        <v>3</v>
      </c>
      <c r="J22">
        <v>7</v>
      </c>
      <c r="K22">
        <v>10</v>
      </c>
      <c r="L22">
        <v>-3</v>
      </c>
      <c r="M22">
        <v>8</v>
      </c>
      <c r="N22">
        <v>10</v>
      </c>
      <c r="O22">
        <v>-2</v>
      </c>
      <c r="P22">
        <v>6</v>
      </c>
      <c r="Q22">
        <v>8</v>
      </c>
      <c r="R22">
        <v>-2</v>
      </c>
      <c r="S22">
        <v>8</v>
      </c>
      <c r="T22">
        <v>7</v>
      </c>
      <c r="U22">
        <v>1</v>
      </c>
      <c r="V22">
        <v>9</v>
      </c>
      <c r="W22">
        <v>7</v>
      </c>
      <c r="X22">
        <v>2</v>
      </c>
      <c r="Y22">
        <v>7</v>
      </c>
      <c r="Z22">
        <v>7</v>
      </c>
      <c r="AA22">
        <v>0</v>
      </c>
      <c r="AB22">
        <v>6</v>
      </c>
      <c r="AC22">
        <v>2</v>
      </c>
      <c r="AD22">
        <v>4</v>
      </c>
      <c r="AE22">
        <v>7</v>
      </c>
      <c r="AF22">
        <v>3</v>
      </c>
      <c r="AG22">
        <v>4</v>
      </c>
      <c r="AH22">
        <v>8</v>
      </c>
      <c r="AI22">
        <v>3</v>
      </c>
      <c r="AJ22">
        <v>5</v>
      </c>
      <c r="AK22" t="s">
        <v>399</v>
      </c>
      <c r="AL22" t="s">
        <v>400</v>
      </c>
      <c r="AM22" t="s">
        <v>401</v>
      </c>
      <c r="AN22" t="s">
        <v>402</v>
      </c>
      <c r="AO22" t="s">
        <v>403</v>
      </c>
      <c r="AP22" t="s">
        <v>404</v>
      </c>
      <c r="AQ22" t="s">
        <v>405</v>
      </c>
      <c r="AR22" t="s">
        <v>406</v>
      </c>
      <c r="AS22" t="s">
        <v>407</v>
      </c>
    </row>
    <row r="23" spans="1:45" x14ac:dyDescent="0.45">
      <c r="A23">
        <v>22</v>
      </c>
      <c r="B23">
        <v>2012</v>
      </c>
      <c r="C23" t="s">
        <v>72</v>
      </c>
      <c r="D23" t="s">
        <v>188</v>
      </c>
      <c r="E23" t="s">
        <v>74</v>
      </c>
      <c r="F23" t="s">
        <v>77</v>
      </c>
      <c r="G23" t="s">
        <v>76</v>
      </c>
      <c r="H23">
        <v>13.189093971466985</v>
      </c>
      <c r="I23">
        <v>0</v>
      </c>
      <c r="J23">
        <v>8</v>
      </c>
      <c r="K23">
        <v>8</v>
      </c>
      <c r="L23">
        <v>0</v>
      </c>
      <c r="M23">
        <v>8</v>
      </c>
      <c r="N23">
        <v>8</v>
      </c>
      <c r="O23">
        <v>0</v>
      </c>
      <c r="P23">
        <v>8</v>
      </c>
      <c r="Q23">
        <v>5</v>
      </c>
      <c r="R23">
        <v>3</v>
      </c>
      <c r="S23">
        <v>7</v>
      </c>
      <c r="T23">
        <v>8</v>
      </c>
      <c r="U23">
        <v>-1</v>
      </c>
      <c r="V23">
        <v>8</v>
      </c>
      <c r="W23">
        <v>8</v>
      </c>
      <c r="X23">
        <v>0</v>
      </c>
      <c r="Y23">
        <v>7</v>
      </c>
      <c r="Z23">
        <v>8</v>
      </c>
      <c r="AA23">
        <v>-1</v>
      </c>
      <c r="AB23">
        <v>8</v>
      </c>
      <c r="AC23">
        <v>8</v>
      </c>
      <c r="AD23">
        <v>0</v>
      </c>
      <c r="AE23">
        <v>7</v>
      </c>
      <c r="AF23">
        <v>8</v>
      </c>
      <c r="AG23">
        <v>-1</v>
      </c>
      <c r="AH23">
        <v>8</v>
      </c>
      <c r="AI23">
        <v>8</v>
      </c>
      <c r="AJ23">
        <v>0</v>
      </c>
      <c r="AK23" t="s">
        <v>408</v>
      </c>
      <c r="AL23" t="s">
        <v>409</v>
      </c>
      <c r="AM23" t="s">
        <v>410</v>
      </c>
      <c r="AN23" t="s">
        <v>411</v>
      </c>
      <c r="AO23" t="s">
        <v>412</v>
      </c>
      <c r="AP23" t="s">
        <v>413</v>
      </c>
      <c r="AQ23" t="s">
        <v>414</v>
      </c>
      <c r="AR23" t="s">
        <v>415</v>
      </c>
      <c r="AS23" t="s">
        <v>416</v>
      </c>
    </row>
    <row r="24" spans="1:45" x14ac:dyDescent="0.45">
      <c r="A24">
        <v>23</v>
      </c>
      <c r="B24">
        <v>2013</v>
      </c>
      <c r="C24" t="s">
        <v>72</v>
      </c>
      <c r="D24" t="s">
        <v>79</v>
      </c>
      <c r="E24" t="s">
        <v>74</v>
      </c>
      <c r="F24" t="s">
        <v>75</v>
      </c>
      <c r="G24" t="s">
        <v>76</v>
      </c>
      <c r="H24">
        <v>78.405168822670689</v>
      </c>
      <c r="I24">
        <v>3</v>
      </c>
      <c r="J24">
        <v>8</v>
      </c>
      <c r="K24">
        <v>5</v>
      </c>
      <c r="L24">
        <v>3</v>
      </c>
      <c r="M24">
        <v>7</v>
      </c>
      <c r="N24">
        <v>5</v>
      </c>
      <c r="O24">
        <v>2</v>
      </c>
      <c r="P24">
        <v>6</v>
      </c>
      <c r="Q24">
        <v>5</v>
      </c>
      <c r="R24">
        <v>1</v>
      </c>
      <c r="S24">
        <v>5</v>
      </c>
      <c r="T24">
        <v>5</v>
      </c>
      <c r="U24">
        <v>0</v>
      </c>
      <c r="V24">
        <v>7</v>
      </c>
      <c r="W24">
        <v>5</v>
      </c>
      <c r="X24">
        <v>2</v>
      </c>
      <c r="Y24">
        <v>6</v>
      </c>
      <c r="Z24">
        <v>5</v>
      </c>
      <c r="AA24">
        <v>1</v>
      </c>
      <c r="AB24">
        <v>7</v>
      </c>
      <c r="AC24">
        <v>5</v>
      </c>
      <c r="AD24">
        <v>2</v>
      </c>
      <c r="AE24">
        <v>6</v>
      </c>
      <c r="AF24">
        <v>5</v>
      </c>
      <c r="AG24">
        <v>1</v>
      </c>
      <c r="AH24">
        <v>6</v>
      </c>
      <c r="AI24">
        <v>5</v>
      </c>
      <c r="AJ24">
        <v>1</v>
      </c>
      <c r="AK24" t="s">
        <v>417</v>
      </c>
      <c r="AL24" t="s">
        <v>418</v>
      </c>
      <c r="AM24" t="s">
        <v>419</v>
      </c>
      <c r="AN24" t="s">
        <v>420</v>
      </c>
      <c r="AO24" t="s">
        <v>421</v>
      </c>
      <c r="AP24" t="s">
        <v>422</v>
      </c>
      <c r="AQ24" t="s">
        <v>423</v>
      </c>
      <c r="AR24" t="s">
        <v>424</v>
      </c>
      <c r="AS24" t="s">
        <v>425</v>
      </c>
    </row>
    <row r="25" spans="1:45" x14ac:dyDescent="0.45">
      <c r="A25">
        <v>24</v>
      </c>
      <c r="B25">
        <v>2014</v>
      </c>
      <c r="C25" t="s">
        <v>72</v>
      </c>
      <c r="D25" t="s">
        <v>73</v>
      </c>
      <c r="E25" t="s">
        <v>80</v>
      </c>
      <c r="F25" t="s">
        <v>77</v>
      </c>
      <c r="G25" t="s">
        <v>76</v>
      </c>
      <c r="H25">
        <v>30.348672224917316</v>
      </c>
      <c r="I25">
        <v>2</v>
      </c>
      <c r="J25">
        <v>7</v>
      </c>
      <c r="K25">
        <v>9</v>
      </c>
      <c r="L25">
        <v>-2</v>
      </c>
      <c r="M25">
        <v>8</v>
      </c>
      <c r="N25">
        <v>8</v>
      </c>
      <c r="O25">
        <v>0</v>
      </c>
      <c r="P25">
        <v>6</v>
      </c>
      <c r="Q25">
        <v>6</v>
      </c>
      <c r="R25">
        <v>0</v>
      </c>
      <c r="S25">
        <v>5</v>
      </c>
      <c r="T25">
        <v>9</v>
      </c>
      <c r="U25">
        <v>-4</v>
      </c>
      <c r="V25">
        <v>7</v>
      </c>
      <c r="W25">
        <v>8</v>
      </c>
      <c r="X25">
        <v>-1</v>
      </c>
      <c r="Y25">
        <v>6</v>
      </c>
      <c r="Z25">
        <v>10</v>
      </c>
      <c r="AA25">
        <v>-4</v>
      </c>
      <c r="AB25">
        <v>7</v>
      </c>
      <c r="AC25">
        <v>6</v>
      </c>
      <c r="AD25">
        <v>1</v>
      </c>
      <c r="AE25">
        <v>5</v>
      </c>
      <c r="AF25">
        <v>6</v>
      </c>
      <c r="AG25">
        <v>-1</v>
      </c>
      <c r="AH25">
        <v>6</v>
      </c>
      <c r="AI25">
        <v>8</v>
      </c>
      <c r="AJ25">
        <v>-2</v>
      </c>
      <c r="AK25" t="s">
        <v>426</v>
      </c>
      <c r="AL25" t="s">
        <v>427</v>
      </c>
      <c r="AM25" t="s">
        <v>428</v>
      </c>
      <c r="AN25" t="s">
        <v>429</v>
      </c>
      <c r="AO25" t="s">
        <v>430</v>
      </c>
      <c r="AP25" t="s">
        <v>431</v>
      </c>
      <c r="AQ25" t="s">
        <v>432</v>
      </c>
      <c r="AR25" t="s">
        <v>433</v>
      </c>
      <c r="AS25" t="s">
        <v>434</v>
      </c>
    </row>
    <row r="26" spans="1:45" x14ac:dyDescent="0.45">
      <c r="A26">
        <v>25</v>
      </c>
      <c r="B26">
        <v>2015</v>
      </c>
      <c r="C26" t="s">
        <v>78</v>
      </c>
      <c r="D26" t="s">
        <v>73</v>
      </c>
      <c r="E26" t="s">
        <v>74</v>
      </c>
      <c r="F26" t="s">
        <v>75</v>
      </c>
      <c r="G26" t="s">
        <v>76</v>
      </c>
      <c r="H26">
        <v>39.561083069743439</v>
      </c>
      <c r="I26">
        <v>1</v>
      </c>
      <c r="J26">
        <v>7</v>
      </c>
      <c r="K26">
        <v>6</v>
      </c>
      <c r="L26">
        <v>1</v>
      </c>
      <c r="M26">
        <v>8</v>
      </c>
      <c r="N26">
        <v>7</v>
      </c>
      <c r="O26">
        <v>1</v>
      </c>
      <c r="P26">
        <v>9</v>
      </c>
      <c r="Q26">
        <v>5</v>
      </c>
      <c r="R26">
        <v>4</v>
      </c>
      <c r="S26">
        <v>7</v>
      </c>
      <c r="T26">
        <v>6</v>
      </c>
      <c r="U26">
        <v>1</v>
      </c>
      <c r="V26">
        <v>8</v>
      </c>
      <c r="W26">
        <v>7</v>
      </c>
      <c r="X26">
        <v>1</v>
      </c>
      <c r="Y26">
        <v>6</v>
      </c>
      <c r="Z26">
        <v>7</v>
      </c>
      <c r="AA26">
        <v>-1</v>
      </c>
      <c r="AB26">
        <v>7</v>
      </c>
      <c r="AC26">
        <v>3</v>
      </c>
      <c r="AD26">
        <v>4</v>
      </c>
      <c r="AE26">
        <v>5</v>
      </c>
      <c r="AF26">
        <v>3</v>
      </c>
      <c r="AG26">
        <v>2</v>
      </c>
      <c r="AH26">
        <v>8</v>
      </c>
      <c r="AI26">
        <v>5</v>
      </c>
      <c r="AJ26">
        <v>3</v>
      </c>
      <c r="AK26" t="s">
        <v>435</v>
      </c>
      <c r="AL26" t="s">
        <v>436</v>
      </c>
      <c r="AM26" t="s">
        <v>437</v>
      </c>
      <c r="AN26" t="s">
        <v>438</v>
      </c>
      <c r="AO26" t="s">
        <v>439</v>
      </c>
      <c r="AP26" t="s">
        <v>440</v>
      </c>
      <c r="AQ26" t="s">
        <v>441</v>
      </c>
      <c r="AR26" t="s">
        <v>442</v>
      </c>
      <c r="AS26" t="s">
        <v>443</v>
      </c>
    </row>
    <row r="27" spans="1:45" x14ac:dyDescent="0.45">
      <c r="A27">
        <v>26</v>
      </c>
      <c r="B27">
        <v>2016</v>
      </c>
      <c r="C27" t="s">
        <v>78</v>
      </c>
      <c r="D27" t="s">
        <v>73</v>
      </c>
      <c r="E27" t="s">
        <v>74</v>
      </c>
      <c r="F27" t="s">
        <v>75</v>
      </c>
      <c r="G27" t="s">
        <v>76</v>
      </c>
      <c r="H27">
        <v>12</v>
      </c>
      <c r="I27">
        <v>4</v>
      </c>
      <c r="J27">
        <v>8</v>
      </c>
      <c r="K27">
        <v>10</v>
      </c>
      <c r="L27">
        <v>-2</v>
      </c>
      <c r="M27">
        <v>9</v>
      </c>
      <c r="N27">
        <v>10</v>
      </c>
      <c r="O27">
        <v>-1</v>
      </c>
      <c r="P27">
        <v>8</v>
      </c>
      <c r="Q27">
        <v>10</v>
      </c>
      <c r="R27">
        <v>-2</v>
      </c>
      <c r="S27">
        <v>7</v>
      </c>
      <c r="T27">
        <v>6</v>
      </c>
      <c r="U27">
        <v>1</v>
      </c>
      <c r="V27">
        <v>8</v>
      </c>
      <c r="W27">
        <v>6</v>
      </c>
      <c r="X27">
        <v>2</v>
      </c>
      <c r="Y27">
        <v>6</v>
      </c>
      <c r="Z27">
        <v>10</v>
      </c>
      <c r="AA27">
        <v>-4</v>
      </c>
      <c r="AB27">
        <v>7</v>
      </c>
      <c r="AC27">
        <v>1</v>
      </c>
      <c r="AD27">
        <v>6</v>
      </c>
      <c r="AE27">
        <v>6</v>
      </c>
      <c r="AF27">
        <v>4</v>
      </c>
      <c r="AG27">
        <v>2</v>
      </c>
      <c r="AH27">
        <v>7</v>
      </c>
      <c r="AI27">
        <v>10</v>
      </c>
      <c r="AJ27">
        <v>-3</v>
      </c>
      <c r="AK27" t="s">
        <v>444</v>
      </c>
      <c r="AL27" t="s">
        <v>445</v>
      </c>
      <c r="AM27" t="s">
        <v>446</v>
      </c>
      <c r="AN27" t="s">
        <v>447</v>
      </c>
      <c r="AO27" t="s">
        <v>448</v>
      </c>
      <c r="AP27" t="s">
        <v>449</v>
      </c>
      <c r="AQ27" t="s">
        <v>450</v>
      </c>
      <c r="AR27" t="s">
        <v>451</v>
      </c>
      <c r="AS27" t="s">
        <v>452</v>
      </c>
    </row>
    <row r="28" spans="1:45" x14ac:dyDescent="0.45">
      <c r="A28">
        <v>27</v>
      </c>
      <c r="B28">
        <v>2017</v>
      </c>
      <c r="C28" t="s">
        <v>78</v>
      </c>
      <c r="D28" t="s">
        <v>188</v>
      </c>
      <c r="E28" t="s">
        <v>74</v>
      </c>
      <c r="F28" t="s">
        <v>77</v>
      </c>
      <c r="G28" t="s">
        <v>76</v>
      </c>
      <c r="H28">
        <v>12</v>
      </c>
      <c r="I28">
        <v>0</v>
      </c>
      <c r="J28">
        <v>8</v>
      </c>
      <c r="K28">
        <v>1</v>
      </c>
      <c r="L28">
        <v>7</v>
      </c>
      <c r="M28">
        <v>8</v>
      </c>
      <c r="N28">
        <v>1</v>
      </c>
      <c r="O28">
        <v>7</v>
      </c>
      <c r="P28">
        <v>7</v>
      </c>
      <c r="Q28">
        <v>1</v>
      </c>
      <c r="R28">
        <v>6</v>
      </c>
      <c r="S28">
        <v>8</v>
      </c>
      <c r="T28">
        <v>1</v>
      </c>
      <c r="U28">
        <v>7</v>
      </c>
      <c r="V28">
        <v>7</v>
      </c>
      <c r="W28">
        <v>1</v>
      </c>
      <c r="X28">
        <v>6</v>
      </c>
      <c r="Y28">
        <v>8</v>
      </c>
      <c r="Z28">
        <v>1</v>
      </c>
      <c r="AA28">
        <v>7</v>
      </c>
      <c r="AB28">
        <v>6</v>
      </c>
      <c r="AC28">
        <v>1</v>
      </c>
      <c r="AD28">
        <v>5</v>
      </c>
      <c r="AE28">
        <v>7</v>
      </c>
      <c r="AF28">
        <v>1</v>
      </c>
      <c r="AG28">
        <v>6</v>
      </c>
      <c r="AH28">
        <v>7</v>
      </c>
      <c r="AI28">
        <v>1</v>
      </c>
      <c r="AJ28">
        <v>6</v>
      </c>
      <c r="AK28" t="s">
        <v>453</v>
      </c>
      <c r="AL28" t="s">
        <v>454</v>
      </c>
      <c r="AM28" t="s">
        <v>455</v>
      </c>
      <c r="AN28" t="s">
        <v>456</v>
      </c>
      <c r="AO28" t="s">
        <v>457</v>
      </c>
      <c r="AP28" t="s">
        <v>458</v>
      </c>
      <c r="AQ28" t="s">
        <v>459</v>
      </c>
      <c r="AR28" t="s">
        <v>460</v>
      </c>
      <c r="AS28" t="s">
        <v>461</v>
      </c>
    </row>
    <row r="29" spans="1:45" x14ac:dyDescent="0.45">
      <c r="A29">
        <v>28</v>
      </c>
      <c r="B29">
        <v>2018</v>
      </c>
      <c r="C29" t="s">
        <v>78</v>
      </c>
      <c r="D29" t="s">
        <v>81</v>
      </c>
      <c r="E29" t="s">
        <v>74</v>
      </c>
      <c r="F29" t="s">
        <v>77</v>
      </c>
      <c r="G29" t="s">
        <v>76</v>
      </c>
      <c r="H29">
        <v>14.437016462564985</v>
      </c>
      <c r="I29">
        <v>0</v>
      </c>
      <c r="J29">
        <v>8</v>
      </c>
      <c r="K29">
        <v>1</v>
      </c>
      <c r="L29">
        <v>7</v>
      </c>
      <c r="M29">
        <v>7</v>
      </c>
      <c r="N29">
        <v>1</v>
      </c>
      <c r="O29">
        <v>6</v>
      </c>
      <c r="P29">
        <v>9</v>
      </c>
      <c r="Q29">
        <v>1</v>
      </c>
      <c r="R29">
        <v>8</v>
      </c>
      <c r="S29">
        <v>8</v>
      </c>
      <c r="T29">
        <v>1</v>
      </c>
      <c r="U29">
        <v>7</v>
      </c>
      <c r="V29">
        <v>7</v>
      </c>
      <c r="W29">
        <v>1</v>
      </c>
      <c r="X29">
        <v>6</v>
      </c>
      <c r="Y29">
        <v>8</v>
      </c>
      <c r="Z29">
        <v>1</v>
      </c>
      <c r="AA29">
        <v>7</v>
      </c>
      <c r="AB29">
        <v>7</v>
      </c>
      <c r="AC29">
        <v>1</v>
      </c>
      <c r="AD29">
        <v>6</v>
      </c>
      <c r="AE29">
        <v>6</v>
      </c>
      <c r="AF29">
        <v>1</v>
      </c>
      <c r="AG29">
        <v>5</v>
      </c>
      <c r="AH29">
        <v>8</v>
      </c>
      <c r="AI29">
        <v>1</v>
      </c>
      <c r="AJ29">
        <v>7</v>
      </c>
      <c r="AK29" t="s">
        <v>462</v>
      </c>
      <c r="AL29" t="s">
        <v>463</v>
      </c>
      <c r="AM29" t="s">
        <v>464</v>
      </c>
      <c r="AN29" t="s">
        <v>465</v>
      </c>
      <c r="AO29" t="s">
        <v>466</v>
      </c>
      <c r="AP29" t="s">
        <v>467</v>
      </c>
      <c r="AQ29" t="s">
        <v>468</v>
      </c>
      <c r="AR29" t="s">
        <v>469</v>
      </c>
      <c r="AS29" t="s">
        <v>470</v>
      </c>
    </row>
    <row r="30" spans="1:45" x14ac:dyDescent="0.45">
      <c r="A30">
        <v>29</v>
      </c>
      <c r="B30">
        <v>2019</v>
      </c>
      <c r="C30" t="s">
        <v>72</v>
      </c>
      <c r="D30" t="s">
        <v>188</v>
      </c>
      <c r="E30" t="s">
        <v>74</v>
      </c>
      <c r="F30" t="s">
        <v>77</v>
      </c>
      <c r="G30" t="s">
        <v>76</v>
      </c>
      <c r="H30">
        <v>12.723498198559733</v>
      </c>
      <c r="I30">
        <v>0</v>
      </c>
      <c r="J30">
        <v>7</v>
      </c>
      <c r="K30">
        <v>10</v>
      </c>
      <c r="L30">
        <v>-3</v>
      </c>
      <c r="M30">
        <v>6</v>
      </c>
      <c r="N30">
        <v>10</v>
      </c>
      <c r="O30">
        <v>-4</v>
      </c>
      <c r="P30">
        <v>8</v>
      </c>
      <c r="Q30">
        <v>9</v>
      </c>
      <c r="R30">
        <v>-1</v>
      </c>
      <c r="S30">
        <v>7</v>
      </c>
      <c r="T30">
        <v>10</v>
      </c>
      <c r="U30">
        <v>-3</v>
      </c>
      <c r="V30">
        <v>6</v>
      </c>
      <c r="W30">
        <v>10</v>
      </c>
      <c r="X30">
        <v>-4</v>
      </c>
      <c r="Y30">
        <v>7</v>
      </c>
      <c r="Z30">
        <v>9</v>
      </c>
      <c r="AA30">
        <v>-2</v>
      </c>
      <c r="AB30">
        <v>5</v>
      </c>
      <c r="AC30">
        <v>10</v>
      </c>
      <c r="AD30">
        <v>-5</v>
      </c>
      <c r="AE30">
        <v>6</v>
      </c>
      <c r="AF30">
        <v>10</v>
      </c>
      <c r="AG30">
        <v>-4</v>
      </c>
      <c r="AH30">
        <v>4</v>
      </c>
      <c r="AI30">
        <v>10</v>
      </c>
      <c r="AJ30">
        <v>-6</v>
      </c>
      <c r="AK30" t="s">
        <v>471</v>
      </c>
      <c r="AL30" t="s">
        <v>472</v>
      </c>
      <c r="AM30" t="s">
        <v>473</v>
      </c>
      <c r="AN30" t="s">
        <v>474</v>
      </c>
      <c r="AO30" t="s">
        <v>475</v>
      </c>
      <c r="AP30" t="s">
        <v>476</v>
      </c>
      <c r="AQ30" t="s">
        <v>477</v>
      </c>
      <c r="AR30" t="s">
        <v>478</v>
      </c>
      <c r="AS30" t="s">
        <v>479</v>
      </c>
    </row>
    <row r="31" spans="1:45" x14ac:dyDescent="0.45">
      <c r="A31">
        <v>30</v>
      </c>
      <c r="B31">
        <v>2020</v>
      </c>
      <c r="C31" t="s">
        <v>72</v>
      </c>
      <c r="D31" t="s">
        <v>188</v>
      </c>
      <c r="E31" t="s">
        <v>74</v>
      </c>
      <c r="F31" t="s">
        <v>77</v>
      </c>
      <c r="G31" t="s">
        <v>76</v>
      </c>
      <c r="H31">
        <v>14.341537716611434</v>
      </c>
      <c r="I31">
        <v>0</v>
      </c>
      <c r="J31">
        <v>8</v>
      </c>
      <c r="K31">
        <v>10</v>
      </c>
      <c r="L31">
        <v>-2</v>
      </c>
      <c r="M31">
        <v>7</v>
      </c>
      <c r="N31">
        <v>10</v>
      </c>
      <c r="O31">
        <v>-3</v>
      </c>
      <c r="P31">
        <v>9</v>
      </c>
      <c r="Q31">
        <v>9</v>
      </c>
      <c r="R31">
        <v>0</v>
      </c>
      <c r="S31">
        <v>8</v>
      </c>
      <c r="T31">
        <v>10</v>
      </c>
      <c r="U31">
        <v>-2</v>
      </c>
      <c r="V31">
        <v>7</v>
      </c>
      <c r="W31">
        <v>10</v>
      </c>
      <c r="X31">
        <v>-3</v>
      </c>
      <c r="Y31">
        <v>6</v>
      </c>
      <c r="Z31">
        <v>10</v>
      </c>
      <c r="AA31">
        <v>-4</v>
      </c>
      <c r="AB31">
        <v>7</v>
      </c>
      <c r="AC31">
        <v>10</v>
      </c>
      <c r="AD31">
        <v>-3</v>
      </c>
      <c r="AE31">
        <v>6</v>
      </c>
      <c r="AF31">
        <v>10</v>
      </c>
      <c r="AG31">
        <v>-4</v>
      </c>
      <c r="AH31">
        <v>7</v>
      </c>
      <c r="AI31">
        <v>10</v>
      </c>
      <c r="AJ31">
        <v>-3</v>
      </c>
      <c r="AK31" t="s">
        <v>480</v>
      </c>
      <c r="AL31" t="s">
        <v>481</v>
      </c>
      <c r="AM31" t="s">
        <v>482</v>
      </c>
      <c r="AN31" t="s">
        <v>483</v>
      </c>
      <c r="AO31" t="s">
        <v>484</v>
      </c>
      <c r="AP31" t="s">
        <v>485</v>
      </c>
      <c r="AQ31" t="s">
        <v>486</v>
      </c>
      <c r="AR31" t="s">
        <v>487</v>
      </c>
      <c r="AS31" t="s">
        <v>488</v>
      </c>
    </row>
    <row r="32" spans="1:45" x14ac:dyDescent="0.45">
      <c r="A32">
        <v>31</v>
      </c>
      <c r="B32">
        <v>2021</v>
      </c>
      <c r="C32" t="s">
        <v>72</v>
      </c>
      <c r="D32" t="s">
        <v>81</v>
      </c>
      <c r="E32" t="s">
        <v>74</v>
      </c>
      <c r="F32" t="s">
        <v>77</v>
      </c>
      <c r="G32" t="s">
        <v>76</v>
      </c>
      <c r="H32">
        <v>29.055582623477338</v>
      </c>
      <c r="I32">
        <v>0</v>
      </c>
      <c r="J32">
        <v>6</v>
      </c>
      <c r="K32">
        <v>10</v>
      </c>
      <c r="L32">
        <v>-4</v>
      </c>
      <c r="M32">
        <v>7</v>
      </c>
      <c r="N32">
        <v>7</v>
      </c>
      <c r="O32">
        <v>0</v>
      </c>
      <c r="P32">
        <v>8</v>
      </c>
      <c r="Q32">
        <v>10</v>
      </c>
      <c r="R32">
        <v>-2</v>
      </c>
      <c r="S32">
        <v>9</v>
      </c>
      <c r="T32">
        <v>7</v>
      </c>
      <c r="U32">
        <v>2</v>
      </c>
      <c r="V32">
        <v>7</v>
      </c>
      <c r="W32">
        <v>10</v>
      </c>
      <c r="X32">
        <v>-3</v>
      </c>
      <c r="Y32">
        <v>6</v>
      </c>
      <c r="Z32">
        <v>10</v>
      </c>
      <c r="AA32">
        <v>-4</v>
      </c>
      <c r="AB32">
        <v>8</v>
      </c>
      <c r="AC32">
        <v>3</v>
      </c>
      <c r="AD32">
        <v>5</v>
      </c>
      <c r="AE32">
        <v>5</v>
      </c>
      <c r="AF32">
        <v>5</v>
      </c>
      <c r="AG32">
        <v>0</v>
      </c>
      <c r="AH32">
        <v>7</v>
      </c>
      <c r="AI32">
        <v>8</v>
      </c>
      <c r="AJ32">
        <v>-1</v>
      </c>
      <c r="AK32" t="s">
        <v>489</v>
      </c>
      <c r="AL32" t="s">
        <v>490</v>
      </c>
      <c r="AM32" t="s">
        <v>491</v>
      </c>
      <c r="AN32" t="s">
        <v>492</v>
      </c>
      <c r="AO32" t="s">
        <v>493</v>
      </c>
      <c r="AP32" t="s">
        <v>494</v>
      </c>
      <c r="AQ32" t="s">
        <v>495</v>
      </c>
      <c r="AR32" t="s">
        <v>496</v>
      </c>
      <c r="AS32" t="s">
        <v>497</v>
      </c>
    </row>
    <row r="33" spans="1:45" x14ac:dyDescent="0.45">
      <c r="A33">
        <v>32</v>
      </c>
      <c r="B33">
        <v>2022</v>
      </c>
      <c r="C33" t="s">
        <v>72</v>
      </c>
      <c r="D33" t="s">
        <v>188</v>
      </c>
      <c r="E33" t="s">
        <v>74</v>
      </c>
      <c r="F33" t="s">
        <v>77</v>
      </c>
      <c r="G33" t="s">
        <v>76</v>
      </c>
      <c r="H33">
        <v>24.979408507620796</v>
      </c>
      <c r="I33">
        <v>0</v>
      </c>
      <c r="J33">
        <v>7</v>
      </c>
      <c r="K33">
        <v>5</v>
      </c>
      <c r="L33">
        <v>2</v>
      </c>
      <c r="M33">
        <v>8</v>
      </c>
      <c r="N33">
        <v>5</v>
      </c>
      <c r="O33">
        <v>3</v>
      </c>
      <c r="P33">
        <v>9</v>
      </c>
      <c r="Q33">
        <v>5</v>
      </c>
      <c r="R33">
        <v>4</v>
      </c>
      <c r="S33">
        <v>8</v>
      </c>
      <c r="T33">
        <v>5</v>
      </c>
      <c r="U33">
        <v>3</v>
      </c>
      <c r="V33">
        <v>7</v>
      </c>
      <c r="W33">
        <v>5</v>
      </c>
      <c r="X33">
        <v>2</v>
      </c>
      <c r="Y33">
        <v>8</v>
      </c>
      <c r="Z33">
        <v>5</v>
      </c>
      <c r="AA33">
        <v>3</v>
      </c>
      <c r="AB33">
        <v>7</v>
      </c>
      <c r="AC33">
        <v>5</v>
      </c>
      <c r="AD33">
        <v>2</v>
      </c>
      <c r="AE33">
        <v>6</v>
      </c>
      <c r="AF33">
        <v>5</v>
      </c>
      <c r="AG33">
        <v>1</v>
      </c>
      <c r="AH33">
        <v>8</v>
      </c>
      <c r="AI33">
        <v>5</v>
      </c>
      <c r="AJ33">
        <v>3</v>
      </c>
      <c r="AK33" t="s">
        <v>498</v>
      </c>
      <c r="AL33" t="s">
        <v>499</v>
      </c>
      <c r="AM33" t="s">
        <v>500</v>
      </c>
      <c r="AN33" t="s">
        <v>501</v>
      </c>
      <c r="AO33" t="s">
        <v>502</v>
      </c>
      <c r="AP33" t="s">
        <v>503</v>
      </c>
      <c r="AQ33" t="s">
        <v>504</v>
      </c>
      <c r="AR33" t="s">
        <v>505</v>
      </c>
      <c r="AS33" t="s">
        <v>506</v>
      </c>
    </row>
    <row r="34" spans="1:45" x14ac:dyDescent="0.45">
      <c r="A34">
        <v>33</v>
      </c>
      <c r="B34">
        <v>2023</v>
      </c>
      <c r="C34" t="s">
        <v>72</v>
      </c>
      <c r="D34" t="s">
        <v>81</v>
      </c>
      <c r="E34" t="s">
        <v>74</v>
      </c>
      <c r="F34" t="s">
        <v>77</v>
      </c>
      <c r="G34" t="s">
        <v>76</v>
      </c>
      <c r="H34">
        <v>23.704435638102275</v>
      </c>
      <c r="I34">
        <v>0</v>
      </c>
      <c r="J34">
        <v>7</v>
      </c>
      <c r="K34">
        <v>8</v>
      </c>
      <c r="L34">
        <v>-1</v>
      </c>
      <c r="M34">
        <v>6</v>
      </c>
      <c r="N34">
        <v>9</v>
      </c>
      <c r="O34">
        <v>-3</v>
      </c>
      <c r="P34">
        <v>8</v>
      </c>
      <c r="Q34">
        <v>7</v>
      </c>
      <c r="R34">
        <v>1</v>
      </c>
      <c r="S34">
        <v>9</v>
      </c>
      <c r="T34">
        <v>8</v>
      </c>
      <c r="U34">
        <v>1</v>
      </c>
      <c r="V34">
        <v>6</v>
      </c>
      <c r="W34">
        <v>8</v>
      </c>
      <c r="X34">
        <v>-2</v>
      </c>
      <c r="Y34">
        <v>7</v>
      </c>
      <c r="Z34">
        <v>8</v>
      </c>
      <c r="AA34">
        <v>-1</v>
      </c>
      <c r="AB34">
        <v>6</v>
      </c>
      <c r="AC34">
        <v>3</v>
      </c>
      <c r="AD34">
        <v>3</v>
      </c>
      <c r="AE34">
        <v>7</v>
      </c>
      <c r="AF34">
        <v>6</v>
      </c>
      <c r="AG34">
        <v>1</v>
      </c>
      <c r="AH34">
        <v>5</v>
      </c>
      <c r="AI34">
        <v>7</v>
      </c>
      <c r="AJ34">
        <v>-2</v>
      </c>
      <c r="AK34" t="s">
        <v>507</v>
      </c>
      <c r="AL34" t="s">
        <v>508</v>
      </c>
      <c r="AM34" t="s">
        <v>509</v>
      </c>
      <c r="AN34" t="s">
        <v>510</v>
      </c>
      <c r="AO34" t="s">
        <v>511</v>
      </c>
      <c r="AP34" t="s">
        <v>512</v>
      </c>
      <c r="AQ34" t="s">
        <v>513</v>
      </c>
      <c r="AR34" t="s">
        <v>514</v>
      </c>
      <c r="AS34" t="s">
        <v>515</v>
      </c>
    </row>
    <row r="35" spans="1:45" x14ac:dyDescent="0.45">
      <c r="A35">
        <v>34</v>
      </c>
      <c r="B35">
        <v>2024</v>
      </c>
      <c r="C35" t="s">
        <v>78</v>
      </c>
      <c r="D35" t="s">
        <v>81</v>
      </c>
      <c r="E35" t="s">
        <v>74</v>
      </c>
      <c r="F35" t="s">
        <v>77</v>
      </c>
      <c r="G35" t="s">
        <v>76</v>
      </c>
      <c r="H35">
        <v>15.379156689906409</v>
      </c>
      <c r="I35">
        <v>1</v>
      </c>
      <c r="J35">
        <v>8</v>
      </c>
      <c r="K35">
        <v>10</v>
      </c>
      <c r="L35">
        <v>-2</v>
      </c>
      <c r="M35">
        <v>9</v>
      </c>
      <c r="N35">
        <v>10</v>
      </c>
      <c r="O35">
        <v>-1</v>
      </c>
      <c r="P35">
        <v>7</v>
      </c>
      <c r="Q35">
        <v>10</v>
      </c>
      <c r="R35">
        <v>-3</v>
      </c>
      <c r="S35">
        <v>8</v>
      </c>
      <c r="T35">
        <v>10</v>
      </c>
      <c r="U35">
        <v>-2</v>
      </c>
      <c r="V35">
        <v>8</v>
      </c>
      <c r="W35">
        <v>10</v>
      </c>
      <c r="X35">
        <v>-2</v>
      </c>
      <c r="Y35">
        <v>9</v>
      </c>
      <c r="Z35">
        <v>10</v>
      </c>
      <c r="AA35">
        <v>-1</v>
      </c>
      <c r="AB35">
        <v>8</v>
      </c>
      <c r="AC35">
        <v>10</v>
      </c>
      <c r="AD35">
        <v>-2</v>
      </c>
      <c r="AE35">
        <v>8</v>
      </c>
      <c r="AF35">
        <v>10</v>
      </c>
      <c r="AG35">
        <v>-2</v>
      </c>
      <c r="AH35">
        <v>9</v>
      </c>
      <c r="AI35">
        <v>10</v>
      </c>
      <c r="AJ35">
        <v>-1</v>
      </c>
      <c r="AK35" t="s">
        <v>516</v>
      </c>
      <c r="AL35" t="s">
        <v>517</v>
      </c>
      <c r="AM35" t="s">
        <v>518</v>
      </c>
      <c r="AN35" t="s">
        <v>519</v>
      </c>
      <c r="AO35" t="s">
        <v>520</v>
      </c>
      <c r="AP35" t="s">
        <v>521</v>
      </c>
      <c r="AQ35" t="s">
        <v>522</v>
      </c>
      <c r="AR35" t="s">
        <v>522</v>
      </c>
      <c r="AS35" t="s">
        <v>523</v>
      </c>
    </row>
    <row r="36" spans="1:45" x14ac:dyDescent="0.45">
      <c r="A36">
        <v>35</v>
      </c>
      <c r="B36">
        <v>2025</v>
      </c>
      <c r="C36" t="s">
        <v>72</v>
      </c>
      <c r="D36" t="s">
        <v>73</v>
      </c>
      <c r="E36" t="s">
        <v>74</v>
      </c>
      <c r="F36" t="s">
        <v>189</v>
      </c>
      <c r="G36" t="s">
        <v>76</v>
      </c>
      <c r="H36">
        <v>16.972289025838805</v>
      </c>
      <c r="I36">
        <v>3</v>
      </c>
      <c r="J36">
        <v>5</v>
      </c>
      <c r="K36">
        <v>10</v>
      </c>
      <c r="L36">
        <v>-5</v>
      </c>
      <c r="M36">
        <v>6</v>
      </c>
      <c r="N36">
        <v>10</v>
      </c>
      <c r="O36">
        <v>-4</v>
      </c>
      <c r="P36">
        <v>8</v>
      </c>
      <c r="Q36">
        <v>10</v>
      </c>
      <c r="R36">
        <v>-2</v>
      </c>
      <c r="S36">
        <v>7</v>
      </c>
      <c r="T36">
        <v>10</v>
      </c>
      <c r="U36">
        <v>-3</v>
      </c>
      <c r="V36">
        <v>8</v>
      </c>
      <c r="W36">
        <v>10</v>
      </c>
      <c r="X36">
        <v>-2</v>
      </c>
      <c r="Y36">
        <v>6</v>
      </c>
      <c r="Z36">
        <v>10</v>
      </c>
      <c r="AA36">
        <v>-4</v>
      </c>
      <c r="AB36">
        <v>5</v>
      </c>
      <c r="AC36">
        <v>10</v>
      </c>
      <c r="AD36">
        <v>-5</v>
      </c>
      <c r="AE36">
        <v>6</v>
      </c>
      <c r="AF36">
        <v>10</v>
      </c>
      <c r="AG36">
        <v>-4</v>
      </c>
      <c r="AH36">
        <v>7</v>
      </c>
      <c r="AI36">
        <v>10</v>
      </c>
      <c r="AJ36">
        <v>-3</v>
      </c>
      <c r="AK36" t="s">
        <v>524</v>
      </c>
      <c r="AL36" t="s">
        <v>525</v>
      </c>
      <c r="AM36" t="s">
        <v>526</v>
      </c>
      <c r="AN36" t="s">
        <v>527</v>
      </c>
      <c r="AO36" t="s">
        <v>528</v>
      </c>
      <c r="AP36" t="s">
        <v>529</v>
      </c>
      <c r="AQ36" t="s">
        <v>530</v>
      </c>
      <c r="AR36" t="s">
        <v>531</v>
      </c>
      <c r="AS36" t="s">
        <v>532</v>
      </c>
    </row>
    <row r="37" spans="1:45" x14ac:dyDescent="0.45">
      <c r="A37">
        <v>36</v>
      </c>
      <c r="B37">
        <v>2026</v>
      </c>
      <c r="C37" t="s">
        <v>72</v>
      </c>
      <c r="D37" t="s">
        <v>188</v>
      </c>
      <c r="E37" t="s">
        <v>74</v>
      </c>
      <c r="F37" t="s">
        <v>77</v>
      </c>
      <c r="G37" t="s">
        <v>76</v>
      </c>
      <c r="H37">
        <v>12.894674068377181</v>
      </c>
      <c r="I37">
        <v>0</v>
      </c>
      <c r="J37">
        <v>8</v>
      </c>
      <c r="K37">
        <v>10</v>
      </c>
      <c r="L37">
        <v>-2</v>
      </c>
      <c r="M37">
        <v>8</v>
      </c>
      <c r="N37">
        <v>9</v>
      </c>
      <c r="O37">
        <v>-1</v>
      </c>
      <c r="P37">
        <v>7</v>
      </c>
      <c r="Q37">
        <v>10</v>
      </c>
      <c r="R37">
        <v>-3</v>
      </c>
      <c r="S37">
        <v>6</v>
      </c>
      <c r="T37">
        <v>8</v>
      </c>
      <c r="U37">
        <v>-2</v>
      </c>
      <c r="V37">
        <v>7</v>
      </c>
      <c r="W37">
        <v>10</v>
      </c>
      <c r="X37">
        <v>-3</v>
      </c>
      <c r="Y37">
        <v>5</v>
      </c>
      <c r="Z37">
        <v>9</v>
      </c>
      <c r="AA37">
        <v>-4</v>
      </c>
      <c r="AB37">
        <v>6</v>
      </c>
      <c r="AC37">
        <v>10</v>
      </c>
      <c r="AD37">
        <v>-4</v>
      </c>
      <c r="AE37">
        <v>3</v>
      </c>
      <c r="AF37">
        <v>10</v>
      </c>
      <c r="AG37">
        <v>-7</v>
      </c>
      <c r="AH37">
        <v>7</v>
      </c>
      <c r="AI37">
        <v>10</v>
      </c>
      <c r="AJ37">
        <v>-3</v>
      </c>
      <c r="AK37" t="s">
        <v>533</v>
      </c>
      <c r="AL37" t="s">
        <v>534</v>
      </c>
      <c r="AM37" t="s">
        <v>535</v>
      </c>
      <c r="AN37" t="s">
        <v>536</v>
      </c>
      <c r="AO37" t="s">
        <v>537</v>
      </c>
      <c r="AP37" t="s">
        <v>538</v>
      </c>
      <c r="AQ37" t="s">
        <v>539</v>
      </c>
      <c r="AR37" t="s">
        <v>540</v>
      </c>
      <c r="AS37" t="s">
        <v>541</v>
      </c>
    </row>
    <row r="38" spans="1:45" x14ac:dyDescent="0.45">
      <c r="A38">
        <v>37</v>
      </c>
      <c r="B38">
        <v>2027</v>
      </c>
      <c r="C38" t="s">
        <v>78</v>
      </c>
      <c r="D38" t="s">
        <v>188</v>
      </c>
      <c r="E38" t="s">
        <v>74</v>
      </c>
      <c r="F38" t="s">
        <v>77</v>
      </c>
      <c r="G38" t="s">
        <v>76</v>
      </c>
      <c r="H38">
        <v>12.040027302028836</v>
      </c>
      <c r="I38">
        <v>0</v>
      </c>
      <c r="J38">
        <v>7</v>
      </c>
      <c r="K38">
        <v>10</v>
      </c>
      <c r="L38">
        <v>-3</v>
      </c>
      <c r="M38">
        <v>6</v>
      </c>
      <c r="N38">
        <v>10</v>
      </c>
      <c r="O38">
        <v>-4</v>
      </c>
      <c r="P38">
        <v>8</v>
      </c>
      <c r="Q38">
        <v>10</v>
      </c>
      <c r="R38">
        <v>-2</v>
      </c>
      <c r="S38">
        <v>7</v>
      </c>
      <c r="T38">
        <v>10</v>
      </c>
      <c r="U38">
        <v>-3</v>
      </c>
      <c r="V38">
        <v>6</v>
      </c>
      <c r="W38">
        <v>9</v>
      </c>
      <c r="X38">
        <v>-3</v>
      </c>
      <c r="Y38">
        <v>8</v>
      </c>
      <c r="Z38">
        <v>9</v>
      </c>
      <c r="AA38">
        <v>-1</v>
      </c>
      <c r="AB38">
        <v>5</v>
      </c>
      <c r="AC38">
        <v>9</v>
      </c>
      <c r="AD38">
        <v>-4</v>
      </c>
      <c r="AE38">
        <v>6</v>
      </c>
      <c r="AF38">
        <v>9</v>
      </c>
      <c r="AG38">
        <v>-3</v>
      </c>
      <c r="AH38">
        <v>7</v>
      </c>
      <c r="AI38">
        <v>8</v>
      </c>
      <c r="AJ38">
        <v>-1</v>
      </c>
      <c r="AK38" t="s">
        <v>542</v>
      </c>
      <c r="AL38" t="s">
        <v>543</v>
      </c>
      <c r="AM38" t="s">
        <v>544</v>
      </c>
      <c r="AN38" t="s">
        <v>545</v>
      </c>
      <c r="AO38" t="s">
        <v>546</v>
      </c>
      <c r="AP38" t="s">
        <v>547</v>
      </c>
      <c r="AQ38" t="s">
        <v>548</v>
      </c>
      <c r="AR38" t="s">
        <v>549</v>
      </c>
      <c r="AS38" t="s">
        <v>550</v>
      </c>
    </row>
    <row r="39" spans="1:45" x14ac:dyDescent="0.45">
      <c r="A39">
        <v>38</v>
      </c>
      <c r="B39">
        <v>2028</v>
      </c>
      <c r="C39" t="s">
        <v>72</v>
      </c>
      <c r="D39" t="s">
        <v>73</v>
      </c>
      <c r="E39" t="s">
        <v>74</v>
      </c>
      <c r="F39" t="s">
        <v>77</v>
      </c>
      <c r="G39" t="s">
        <v>76</v>
      </c>
      <c r="H39">
        <v>37.801284728450995</v>
      </c>
      <c r="I39">
        <v>1</v>
      </c>
      <c r="J39">
        <v>4</v>
      </c>
      <c r="K39">
        <v>8</v>
      </c>
      <c r="L39">
        <v>-4</v>
      </c>
      <c r="M39">
        <v>5</v>
      </c>
      <c r="N39">
        <v>8</v>
      </c>
      <c r="O39">
        <v>-3</v>
      </c>
      <c r="P39">
        <v>8</v>
      </c>
      <c r="Q39">
        <v>8</v>
      </c>
      <c r="R39">
        <v>0</v>
      </c>
      <c r="S39">
        <v>7</v>
      </c>
      <c r="T39">
        <v>8</v>
      </c>
      <c r="U39">
        <v>-1</v>
      </c>
      <c r="V39">
        <v>6</v>
      </c>
      <c r="W39">
        <v>8</v>
      </c>
      <c r="X39">
        <v>-2</v>
      </c>
      <c r="Y39">
        <v>5</v>
      </c>
      <c r="Z39">
        <v>8</v>
      </c>
      <c r="AA39">
        <v>-3</v>
      </c>
      <c r="AB39">
        <v>4</v>
      </c>
      <c r="AC39">
        <v>8</v>
      </c>
      <c r="AD39">
        <v>-4</v>
      </c>
      <c r="AE39">
        <v>5</v>
      </c>
      <c r="AF39">
        <v>8</v>
      </c>
      <c r="AG39">
        <v>-3</v>
      </c>
      <c r="AH39">
        <v>6</v>
      </c>
      <c r="AI39">
        <v>8</v>
      </c>
      <c r="AJ39">
        <v>-2</v>
      </c>
      <c r="AK39" t="s">
        <v>551</v>
      </c>
      <c r="AL39" t="s">
        <v>552</v>
      </c>
      <c r="AM39" t="s">
        <v>553</v>
      </c>
      <c r="AN39" t="s">
        <v>554</v>
      </c>
      <c r="AO39" t="s">
        <v>555</v>
      </c>
      <c r="AP39" t="s">
        <v>556</v>
      </c>
      <c r="AQ39" t="s">
        <v>557</v>
      </c>
      <c r="AR39" t="s">
        <v>558</v>
      </c>
      <c r="AS39" t="s">
        <v>559</v>
      </c>
    </row>
    <row r="40" spans="1:45" x14ac:dyDescent="0.45">
      <c r="A40">
        <v>39</v>
      </c>
      <c r="B40">
        <v>2029</v>
      </c>
      <c r="C40" t="s">
        <v>78</v>
      </c>
      <c r="D40" t="s">
        <v>81</v>
      </c>
      <c r="E40" t="s">
        <v>74</v>
      </c>
      <c r="F40" t="s">
        <v>77</v>
      </c>
      <c r="G40" t="s">
        <v>76</v>
      </c>
      <c r="H40">
        <v>15.995588382567147</v>
      </c>
      <c r="I40">
        <v>0</v>
      </c>
      <c r="J40">
        <v>7</v>
      </c>
      <c r="K40">
        <v>10</v>
      </c>
      <c r="L40">
        <v>-3</v>
      </c>
      <c r="M40">
        <v>6</v>
      </c>
      <c r="N40">
        <v>10</v>
      </c>
      <c r="O40">
        <v>-4</v>
      </c>
      <c r="P40">
        <v>8</v>
      </c>
      <c r="Q40">
        <v>10</v>
      </c>
      <c r="R40">
        <v>-2</v>
      </c>
      <c r="S40">
        <v>9</v>
      </c>
      <c r="T40">
        <v>10</v>
      </c>
      <c r="U40">
        <v>-1</v>
      </c>
      <c r="V40">
        <v>7</v>
      </c>
      <c r="W40">
        <v>10</v>
      </c>
      <c r="X40">
        <v>-3</v>
      </c>
      <c r="Y40">
        <v>6</v>
      </c>
      <c r="Z40">
        <v>10</v>
      </c>
      <c r="AA40">
        <v>-4</v>
      </c>
      <c r="AB40">
        <v>7</v>
      </c>
      <c r="AC40">
        <v>10</v>
      </c>
      <c r="AD40">
        <v>-3</v>
      </c>
      <c r="AE40">
        <v>5</v>
      </c>
      <c r="AF40">
        <v>10</v>
      </c>
      <c r="AG40">
        <v>-5</v>
      </c>
      <c r="AH40">
        <v>8</v>
      </c>
      <c r="AI40">
        <v>10</v>
      </c>
      <c r="AJ40">
        <v>-2</v>
      </c>
      <c r="AK40" t="s">
        <v>560</v>
      </c>
      <c r="AL40" t="s">
        <v>561</v>
      </c>
      <c r="AM40" t="s">
        <v>562</v>
      </c>
      <c r="AN40" t="s">
        <v>563</v>
      </c>
      <c r="AO40" t="s">
        <v>564</v>
      </c>
      <c r="AP40" t="s">
        <v>565</v>
      </c>
      <c r="AQ40" t="s">
        <v>566</v>
      </c>
      <c r="AR40" t="s">
        <v>567</v>
      </c>
      <c r="AS40" t="s">
        <v>568</v>
      </c>
    </row>
    <row r="41" spans="1:45" x14ac:dyDescent="0.45">
      <c r="A41">
        <v>40</v>
      </c>
      <c r="B41">
        <v>2030</v>
      </c>
      <c r="C41" t="s">
        <v>78</v>
      </c>
      <c r="D41" t="s">
        <v>73</v>
      </c>
      <c r="E41" t="s">
        <v>74</v>
      </c>
      <c r="F41" t="s">
        <v>77</v>
      </c>
      <c r="G41" t="s">
        <v>76</v>
      </c>
      <c r="H41">
        <v>160.65358296339355</v>
      </c>
      <c r="I41">
        <v>1</v>
      </c>
      <c r="J41">
        <v>8</v>
      </c>
      <c r="K41">
        <v>8</v>
      </c>
      <c r="L41">
        <v>0</v>
      </c>
      <c r="M41">
        <v>9</v>
      </c>
      <c r="N41">
        <v>8</v>
      </c>
      <c r="O41">
        <v>1</v>
      </c>
      <c r="P41">
        <v>8</v>
      </c>
      <c r="Q41">
        <v>6</v>
      </c>
      <c r="R41">
        <v>2</v>
      </c>
      <c r="S41">
        <v>7</v>
      </c>
      <c r="T41">
        <v>8</v>
      </c>
      <c r="U41">
        <v>-1</v>
      </c>
      <c r="V41">
        <v>8</v>
      </c>
      <c r="W41">
        <v>7</v>
      </c>
      <c r="X41">
        <v>1</v>
      </c>
      <c r="Y41">
        <v>7</v>
      </c>
      <c r="Z41">
        <v>8</v>
      </c>
      <c r="AA41">
        <v>-1</v>
      </c>
      <c r="AB41">
        <v>8</v>
      </c>
      <c r="AC41">
        <v>5</v>
      </c>
      <c r="AD41">
        <v>3</v>
      </c>
      <c r="AE41">
        <v>6</v>
      </c>
      <c r="AF41">
        <v>6</v>
      </c>
      <c r="AG41">
        <v>0</v>
      </c>
      <c r="AH41">
        <v>7</v>
      </c>
      <c r="AI41">
        <v>7</v>
      </c>
      <c r="AJ41">
        <v>0</v>
      </c>
      <c r="AK41" t="s">
        <v>569</v>
      </c>
      <c r="AL41" t="s">
        <v>570</v>
      </c>
      <c r="AM41" t="s">
        <v>571</v>
      </c>
      <c r="AN41" t="s">
        <v>572</v>
      </c>
      <c r="AO41" t="s">
        <v>573</v>
      </c>
      <c r="AP41" t="s">
        <v>574</v>
      </c>
      <c r="AQ41" t="s">
        <v>575</v>
      </c>
      <c r="AR41" t="s">
        <v>576</v>
      </c>
      <c r="AS41" t="s">
        <v>577</v>
      </c>
    </row>
    <row r="42" spans="1:45" x14ac:dyDescent="0.45">
      <c r="A42">
        <v>41</v>
      </c>
      <c r="B42">
        <v>2031</v>
      </c>
      <c r="C42" t="s">
        <v>78</v>
      </c>
      <c r="D42" t="s">
        <v>73</v>
      </c>
      <c r="E42" t="s">
        <v>74</v>
      </c>
      <c r="F42" t="s">
        <v>77</v>
      </c>
      <c r="G42" t="s">
        <v>76</v>
      </c>
      <c r="H42">
        <v>81.953873229830037</v>
      </c>
      <c r="I42">
        <v>2</v>
      </c>
      <c r="J42">
        <v>7</v>
      </c>
      <c r="K42">
        <v>9</v>
      </c>
      <c r="L42">
        <v>-2</v>
      </c>
      <c r="M42">
        <v>6</v>
      </c>
      <c r="N42">
        <v>8</v>
      </c>
      <c r="O42">
        <v>-2</v>
      </c>
      <c r="P42">
        <v>8</v>
      </c>
      <c r="Q42">
        <v>7</v>
      </c>
      <c r="R42">
        <v>1</v>
      </c>
      <c r="S42">
        <v>9</v>
      </c>
      <c r="T42">
        <v>8</v>
      </c>
      <c r="U42">
        <v>1</v>
      </c>
      <c r="V42">
        <v>8</v>
      </c>
      <c r="W42">
        <v>7</v>
      </c>
      <c r="X42">
        <v>1</v>
      </c>
      <c r="Y42">
        <v>7</v>
      </c>
      <c r="Z42">
        <v>4</v>
      </c>
      <c r="AA42">
        <v>3</v>
      </c>
      <c r="AB42">
        <v>8</v>
      </c>
      <c r="AC42">
        <v>2</v>
      </c>
      <c r="AD42">
        <v>6</v>
      </c>
      <c r="AE42">
        <v>6</v>
      </c>
      <c r="AF42">
        <v>8</v>
      </c>
      <c r="AG42">
        <v>-2</v>
      </c>
      <c r="AH42">
        <v>8</v>
      </c>
      <c r="AI42">
        <v>8</v>
      </c>
      <c r="AJ42">
        <v>0</v>
      </c>
      <c r="AK42" t="s">
        <v>578</v>
      </c>
      <c r="AL42" t="s">
        <v>579</v>
      </c>
      <c r="AM42" t="s">
        <v>580</v>
      </c>
      <c r="AN42" t="s">
        <v>581</v>
      </c>
      <c r="AO42" t="s">
        <v>582</v>
      </c>
      <c r="AP42" t="s">
        <v>583</v>
      </c>
      <c r="AQ42" t="s">
        <v>584</v>
      </c>
      <c r="AR42" t="s">
        <v>585</v>
      </c>
      <c r="AS42" t="s">
        <v>586</v>
      </c>
    </row>
    <row r="43" spans="1:45" x14ac:dyDescent="0.45">
      <c r="A43">
        <v>42</v>
      </c>
      <c r="B43">
        <v>2032</v>
      </c>
      <c r="C43" t="s">
        <v>72</v>
      </c>
      <c r="D43" t="s">
        <v>73</v>
      </c>
      <c r="E43" t="s">
        <v>74</v>
      </c>
      <c r="F43" t="s">
        <v>77</v>
      </c>
      <c r="G43" t="s">
        <v>76</v>
      </c>
      <c r="H43">
        <v>39.751023783513553</v>
      </c>
      <c r="I43">
        <v>3</v>
      </c>
      <c r="J43">
        <v>6</v>
      </c>
      <c r="K43">
        <v>10</v>
      </c>
      <c r="L43">
        <v>-4</v>
      </c>
      <c r="M43">
        <v>7</v>
      </c>
      <c r="N43">
        <v>10</v>
      </c>
      <c r="O43">
        <v>-3</v>
      </c>
      <c r="P43">
        <v>5</v>
      </c>
      <c r="Q43">
        <v>9</v>
      </c>
      <c r="R43">
        <v>-4</v>
      </c>
      <c r="S43">
        <v>7</v>
      </c>
      <c r="T43">
        <v>8</v>
      </c>
      <c r="U43">
        <v>-1</v>
      </c>
      <c r="V43">
        <v>8</v>
      </c>
      <c r="W43">
        <v>7</v>
      </c>
      <c r="X43">
        <v>1</v>
      </c>
      <c r="Y43">
        <v>6</v>
      </c>
      <c r="Z43">
        <v>9</v>
      </c>
      <c r="AA43">
        <v>-3</v>
      </c>
      <c r="AB43">
        <v>7</v>
      </c>
      <c r="AC43">
        <v>9</v>
      </c>
      <c r="AD43">
        <v>-2</v>
      </c>
      <c r="AE43">
        <v>5</v>
      </c>
      <c r="AF43">
        <v>8</v>
      </c>
      <c r="AG43">
        <v>-3</v>
      </c>
      <c r="AH43">
        <v>7</v>
      </c>
      <c r="AI43">
        <v>8</v>
      </c>
      <c r="AJ43">
        <v>-1</v>
      </c>
      <c r="AK43" t="s">
        <v>587</v>
      </c>
      <c r="AL43" t="s">
        <v>588</v>
      </c>
      <c r="AM43" t="s">
        <v>589</v>
      </c>
      <c r="AN43" t="s">
        <v>590</v>
      </c>
      <c r="AO43" t="s">
        <v>591</v>
      </c>
      <c r="AP43" t="s">
        <v>592</v>
      </c>
      <c r="AQ43" t="s">
        <v>593</v>
      </c>
      <c r="AR43" t="s">
        <v>594</v>
      </c>
      <c r="AS43" t="s">
        <v>595</v>
      </c>
    </row>
    <row r="44" spans="1:45" x14ac:dyDescent="0.45">
      <c r="A44">
        <v>43</v>
      </c>
      <c r="B44">
        <v>2033</v>
      </c>
      <c r="C44" t="s">
        <v>72</v>
      </c>
      <c r="D44" t="s">
        <v>73</v>
      </c>
      <c r="E44" t="s">
        <v>74</v>
      </c>
      <c r="F44" t="s">
        <v>77</v>
      </c>
      <c r="G44" t="s">
        <v>76</v>
      </c>
      <c r="H44">
        <v>114.70969684184294</v>
      </c>
      <c r="I44">
        <v>2</v>
      </c>
      <c r="J44">
        <v>7</v>
      </c>
      <c r="K44">
        <v>6</v>
      </c>
      <c r="L44">
        <v>1</v>
      </c>
      <c r="M44">
        <v>8</v>
      </c>
      <c r="N44">
        <v>6</v>
      </c>
      <c r="O44">
        <v>2</v>
      </c>
      <c r="P44">
        <v>9</v>
      </c>
      <c r="Q44">
        <v>8</v>
      </c>
      <c r="R44">
        <v>1</v>
      </c>
      <c r="S44">
        <v>8</v>
      </c>
      <c r="T44">
        <v>10</v>
      </c>
      <c r="U44">
        <v>-2</v>
      </c>
      <c r="V44">
        <v>7</v>
      </c>
      <c r="W44">
        <v>9</v>
      </c>
      <c r="X44">
        <v>-2</v>
      </c>
      <c r="Y44">
        <v>8</v>
      </c>
      <c r="Z44">
        <v>1</v>
      </c>
      <c r="AA44">
        <v>7</v>
      </c>
      <c r="AB44">
        <v>7</v>
      </c>
      <c r="AC44">
        <v>7</v>
      </c>
      <c r="AD44">
        <v>0</v>
      </c>
      <c r="AE44">
        <v>5</v>
      </c>
      <c r="AF44">
        <v>7</v>
      </c>
      <c r="AG44">
        <v>-2</v>
      </c>
      <c r="AH44">
        <v>8</v>
      </c>
      <c r="AI44">
        <v>8</v>
      </c>
      <c r="AJ44">
        <v>0</v>
      </c>
      <c r="AK44" t="s">
        <v>596</v>
      </c>
      <c r="AL44" t="s">
        <v>597</v>
      </c>
      <c r="AM44" t="s">
        <v>598</v>
      </c>
      <c r="AN44" t="s">
        <v>599</v>
      </c>
      <c r="AO44" t="s">
        <v>600</v>
      </c>
      <c r="AP44" t="s">
        <v>601</v>
      </c>
      <c r="AQ44" t="s">
        <v>602</v>
      </c>
      <c r="AR44" t="s">
        <v>603</v>
      </c>
      <c r="AS44" t="s">
        <v>604</v>
      </c>
    </row>
    <row r="45" spans="1:45" x14ac:dyDescent="0.45">
      <c r="A45">
        <v>44</v>
      </c>
      <c r="B45">
        <v>2034</v>
      </c>
      <c r="C45" t="s">
        <v>78</v>
      </c>
      <c r="D45" t="s">
        <v>73</v>
      </c>
      <c r="E45" t="s">
        <v>74</v>
      </c>
      <c r="F45" t="s">
        <v>77</v>
      </c>
      <c r="G45" t="s">
        <v>76</v>
      </c>
      <c r="H45">
        <v>23.431130300202721</v>
      </c>
      <c r="I45">
        <v>1</v>
      </c>
      <c r="J45">
        <v>6</v>
      </c>
      <c r="K45">
        <v>8</v>
      </c>
      <c r="L45">
        <v>-2</v>
      </c>
      <c r="M45">
        <v>7</v>
      </c>
      <c r="N45">
        <v>8</v>
      </c>
      <c r="O45">
        <v>-1</v>
      </c>
      <c r="P45">
        <v>4</v>
      </c>
      <c r="Q45">
        <v>8</v>
      </c>
      <c r="R45">
        <v>-4</v>
      </c>
      <c r="S45">
        <v>5</v>
      </c>
      <c r="T45">
        <v>8</v>
      </c>
      <c r="U45">
        <v>-3</v>
      </c>
      <c r="V45">
        <v>8</v>
      </c>
      <c r="W45">
        <v>8</v>
      </c>
      <c r="X45">
        <v>0</v>
      </c>
      <c r="Y45">
        <v>7</v>
      </c>
      <c r="Z45">
        <v>8</v>
      </c>
      <c r="AA45">
        <v>-1</v>
      </c>
      <c r="AB45">
        <v>6</v>
      </c>
      <c r="AC45">
        <v>9</v>
      </c>
      <c r="AD45">
        <v>-3</v>
      </c>
      <c r="AE45">
        <v>7</v>
      </c>
      <c r="AF45">
        <v>5</v>
      </c>
      <c r="AG45">
        <v>2</v>
      </c>
      <c r="AH45">
        <v>6</v>
      </c>
      <c r="AI45">
        <v>9</v>
      </c>
      <c r="AJ45">
        <v>-3</v>
      </c>
      <c r="AK45" t="s">
        <v>605</v>
      </c>
      <c r="AL45" t="s">
        <v>606</v>
      </c>
      <c r="AM45" t="s">
        <v>607</v>
      </c>
      <c r="AN45" t="s">
        <v>608</v>
      </c>
      <c r="AO45" t="s">
        <v>609</v>
      </c>
      <c r="AP45" t="s">
        <v>610</v>
      </c>
      <c r="AQ45" t="s">
        <v>611</v>
      </c>
      <c r="AR45" t="s">
        <v>612</v>
      </c>
      <c r="AS45" t="s">
        <v>613</v>
      </c>
    </row>
    <row r="46" spans="1:45" x14ac:dyDescent="0.45">
      <c r="A46">
        <v>45</v>
      </c>
      <c r="B46">
        <v>2035</v>
      </c>
      <c r="C46" t="s">
        <v>72</v>
      </c>
      <c r="D46" t="s">
        <v>79</v>
      </c>
      <c r="E46" t="s">
        <v>74</v>
      </c>
      <c r="F46" t="s">
        <v>77</v>
      </c>
      <c r="G46" t="s">
        <v>76</v>
      </c>
      <c r="H46">
        <v>24.360797206504195</v>
      </c>
      <c r="I46">
        <v>2</v>
      </c>
      <c r="J46">
        <v>7</v>
      </c>
      <c r="K46">
        <v>10</v>
      </c>
      <c r="L46">
        <v>-3</v>
      </c>
      <c r="M46">
        <v>6</v>
      </c>
      <c r="N46">
        <v>10</v>
      </c>
      <c r="O46">
        <v>-4</v>
      </c>
      <c r="P46">
        <v>8</v>
      </c>
      <c r="Q46">
        <v>10</v>
      </c>
      <c r="R46">
        <v>-2</v>
      </c>
      <c r="S46">
        <v>9</v>
      </c>
      <c r="T46">
        <v>9</v>
      </c>
      <c r="U46">
        <v>0</v>
      </c>
      <c r="V46">
        <v>7</v>
      </c>
      <c r="W46">
        <v>10</v>
      </c>
      <c r="X46">
        <v>-3</v>
      </c>
      <c r="Y46">
        <v>8</v>
      </c>
      <c r="Z46">
        <v>10</v>
      </c>
      <c r="AA46">
        <v>-2</v>
      </c>
      <c r="AB46">
        <v>7</v>
      </c>
      <c r="AC46">
        <v>10</v>
      </c>
      <c r="AD46">
        <v>-3</v>
      </c>
      <c r="AE46">
        <v>6</v>
      </c>
      <c r="AF46">
        <v>10</v>
      </c>
      <c r="AG46">
        <v>-4</v>
      </c>
      <c r="AH46">
        <v>8</v>
      </c>
      <c r="AI46">
        <v>10</v>
      </c>
      <c r="AJ46">
        <v>-2</v>
      </c>
      <c r="AK46" t="s">
        <v>614</v>
      </c>
      <c r="AL46" t="s">
        <v>615</v>
      </c>
      <c r="AM46" t="s">
        <v>616</v>
      </c>
      <c r="AN46" t="s">
        <v>617</v>
      </c>
      <c r="AO46" t="s">
        <v>618</v>
      </c>
      <c r="AP46" t="s">
        <v>619</v>
      </c>
      <c r="AQ46" t="s">
        <v>620</v>
      </c>
      <c r="AR46" t="s">
        <v>621</v>
      </c>
      <c r="AS46" t="s">
        <v>622</v>
      </c>
    </row>
    <row r="47" spans="1:45" x14ac:dyDescent="0.45">
      <c r="A47">
        <v>46</v>
      </c>
      <c r="B47">
        <v>2036</v>
      </c>
      <c r="C47" t="s">
        <v>72</v>
      </c>
      <c r="D47" t="s">
        <v>190</v>
      </c>
      <c r="E47" t="s">
        <v>80</v>
      </c>
      <c r="F47" t="s">
        <v>77</v>
      </c>
      <c r="G47" t="s">
        <v>76</v>
      </c>
      <c r="H47">
        <v>12</v>
      </c>
      <c r="I47">
        <v>2</v>
      </c>
      <c r="J47">
        <v>8</v>
      </c>
      <c r="K47">
        <v>1</v>
      </c>
      <c r="L47">
        <v>7</v>
      </c>
      <c r="M47">
        <v>7</v>
      </c>
      <c r="N47">
        <v>1</v>
      </c>
      <c r="O47">
        <v>6</v>
      </c>
      <c r="P47">
        <v>9</v>
      </c>
      <c r="Q47">
        <v>2</v>
      </c>
      <c r="R47">
        <v>7</v>
      </c>
      <c r="S47">
        <v>8</v>
      </c>
      <c r="T47">
        <v>1</v>
      </c>
      <c r="U47">
        <v>7</v>
      </c>
      <c r="V47">
        <v>7</v>
      </c>
      <c r="W47">
        <v>1</v>
      </c>
      <c r="X47">
        <v>6</v>
      </c>
      <c r="Y47">
        <v>6</v>
      </c>
      <c r="Z47">
        <v>1</v>
      </c>
      <c r="AA47">
        <v>5</v>
      </c>
      <c r="AB47">
        <v>5</v>
      </c>
      <c r="AC47">
        <v>1</v>
      </c>
      <c r="AD47">
        <v>4</v>
      </c>
      <c r="AE47">
        <v>4</v>
      </c>
      <c r="AF47">
        <v>1</v>
      </c>
      <c r="AG47">
        <v>3</v>
      </c>
      <c r="AH47">
        <v>6</v>
      </c>
      <c r="AI47">
        <v>1</v>
      </c>
      <c r="AJ47">
        <v>5</v>
      </c>
      <c r="AK47" t="s">
        <v>623</v>
      </c>
      <c r="AL47" t="s">
        <v>624</v>
      </c>
      <c r="AM47" t="s">
        <v>625</v>
      </c>
      <c r="AN47" t="s">
        <v>626</v>
      </c>
      <c r="AO47" t="s">
        <v>627</v>
      </c>
      <c r="AP47" t="s">
        <v>628</v>
      </c>
      <c r="AQ47" t="s">
        <v>629</v>
      </c>
      <c r="AR47" t="s">
        <v>630</v>
      </c>
      <c r="AS47" t="s">
        <v>631</v>
      </c>
    </row>
    <row r="48" spans="1:45" x14ac:dyDescent="0.45">
      <c r="A48">
        <v>47</v>
      </c>
      <c r="B48">
        <v>2037</v>
      </c>
      <c r="C48" t="s">
        <v>78</v>
      </c>
      <c r="D48" t="s">
        <v>73</v>
      </c>
      <c r="E48" t="s">
        <v>74</v>
      </c>
      <c r="F48" t="s">
        <v>77</v>
      </c>
      <c r="G48" t="s">
        <v>76</v>
      </c>
      <c r="H48">
        <v>12</v>
      </c>
      <c r="I48">
        <v>0</v>
      </c>
      <c r="J48">
        <v>8</v>
      </c>
      <c r="K48">
        <v>8</v>
      </c>
      <c r="L48">
        <v>0</v>
      </c>
      <c r="M48">
        <v>7</v>
      </c>
      <c r="N48">
        <v>8</v>
      </c>
      <c r="O48">
        <v>-1</v>
      </c>
      <c r="P48">
        <v>9</v>
      </c>
      <c r="Q48">
        <v>8</v>
      </c>
      <c r="R48">
        <v>1</v>
      </c>
      <c r="S48">
        <v>8</v>
      </c>
      <c r="T48">
        <v>7</v>
      </c>
      <c r="U48">
        <v>1</v>
      </c>
      <c r="V48">
        <v>7</v>
      </c>
      <c r="W48">
        <v>6</v>
      </c>
      <c r="X48">
        <v>1</v>
      </c>
      <c r="Y48">
        <v>8</v>
      </c>
      <c r="Z48">
        <v>8</v>
      </c>
      <c r="AA48">
        <v>0</v>
      </c>
      <c r="AB48">
        <v>7</v>
      </c>
      <c r="AC48">
        <v>8</v>
      </c>
      <c r="AD48">
        <v>-1</v>
      </c>
      <c r="AE48">
        <v>6</v>
      </c>
      <c r="AF48">
        <v>9</v>
      </c>
      <c r="AG48">
        <v>-3</v>
      </c>
      <c r="AH48">
        <v>8</v>
      </c>
      <c r="AI48">
        <v>8</v>
      </c>
      <c r="AJ48">
        <v>0</v>
      </c>
      <c r="AK48" t="s">
        <v>632</v>
      </c>
      <c r="AL48" t="s">
        <v>633</v>
      </c>
      <c r="AM48" t="s">
        <v>634</v>
      </c>
      <c r="AN48" t="s">
        <v>635</v>
      </c>
      <c r="AO48" t="s">
        <v>636</v>
      </c>
      <c r="AP48" t="s">
        <v>637</v>
      </c>
      <c r="AQ48" t="s">
        <v>638</v>
      </c>
      <c r="AR48" t="s">
        <v>639</v>
      </c>
      <c r="AS48" t="s">
        <v>640</v>
      </c>
    </row>
    <row r="49" spans="1:45" x14ac:dyDescent="0.45">
      <c r="A49">
        <v>48</v>
      </c>
      <c r="B49">
        <v>2038</v>
      </c>
      <c r="C49" t="s">
        <v>72</v>
      </c>
      <c r="D49" t="s">
        <v>73</v>
      </c>
      <c r="E49" t="s">
        <v>74</v>
      </c>
      <c r="F49" t="s">
        <v>77</v>
      </c>
      <c r="G49" t="s">
        <v>76</v>
      </c>
      <c r="H49">
        <v>41.881251106097203</v>
      </c>
      <c r="I49">
        <v>3</v>
      </c>
      <c r="J49">
        <v>7</v>
      </c>
      <c r="K49">
        <v>10</v>
      </c>
      <c r="L49">
        <v>-3</v>
      </c>
      <c r="M49">
        <v>8</v>
      </c>
      <c r="N49">
        <v>10</v>
      </c>
      <c r="O49">
        <v>-2</v>
      </c>
      <c r="P49">
        <v>9</v>
      </c>
      <c r="Q49">
        <v>10</v>
      </c>
      <c r="R49">
        <v>-1</v>
      </c>
      <c r="S49">
        <v>8</v>
      </c>
      <c r="T49">
        <v>10</v>
      </c>
      <c r="U49">
        <v>-2</v>
      </c>
      <c r="V49">
        <v>7</v>
      </c>
      <c r="W49">
        <v>10</v>
      </c>
      <c r="X49">
        <v>-3</v>
      </c>
      <c r="Y49">
        <v>6</v>
      </c>
      <c r="Z49">
        <v>10</v>
      </c>
      <c r="AA49">
        <v>-4</v>
      </c>
      <c r="AB49">
        <v>7</v>
      </c>
      <c r="AC49">
        <v>10</v>
      </c>
      <c r="AD49">
        <v>-3</v>
      </c>
      <c r="AE49">
        <v>6</v>
      </c>
      <c r="AF49">
        <v>10</v>
      </c>
      <c r="AG49">
        <v>-4</v>
      </c>
      <c r="AH49">
        <v>8</v>
      </c>
      <c r="AI49">
        <v>10</v>
      </c>
      <c r="AJ49">
        <v>-2</v>
      </c>
      <c r="AK49" t="s">
        <v>641</v>
      </c>
      <c r="AL49" t="s">
        <v>642</v>
      </c>
      <c r="AM49" t="s">
        <v>643</v>
      </c>
      <c r="AN49" t="s">
        <v>644</v>
      </c>
      <c r="AO49" t="s">
        <v>645</v>
      </c>
      <c r="AP49" t="s">
        <v>646</v>
      </c>
      <c r="AQ49" t="s">
        <v>647</v>
      </c>
      <c r="AR49" t="s">
        <v>648</v>
      </c>
      <c r="AS49" t="s">
        <v>649</v>
      </c>
    </row>
    <row r="50" spans="1:45" x14ac:dyDescent="0.45">
      <c r="A50">
        <v>49</v>
      </c>
      <c r="B50">
        <v>2039</v>
      </c>
      <c r="C50" t="s">
        <v>78</v>
      </c>
      <c r="D50" t="s">
        <v>73</v>
      </c>
      <c r="E50" t="s">
        <v>74</v>
      </c>
      <c r="F50" t="s">
        <v>77</v>
      </c>
      <c r="G50" t="s">
        <v>76</v>
      </c>
      <c r="H50">
        <v>193.46685244011763</v>
      </c>
      <c r="I50">
        <v>2</v>
      </c>
      <c r="J50">
        <v>7</v>
      </c>
      <c r="K50">
        <v>8</v>
      </c>
      <c r="L50">
        <v>-1</v>
      </c>
      <c r="M50">
        <v>8</v>
      </c>
      <c r="N50">
        <v>8</v>
      </c>
      <c r="O50">
        <v>0</v>
      </c>
      <c r="P50">
        <v>9</v>
      </c>
      <c r="Q50">
        <v>7</v>
      </c>
      <c r="R50">
        <v>2</v>
      </c>
      <c r="S50">
        <v>9</v>
      </c>
      <c r="T50">
        <v>8</v>
      </c>
      <c r="U50">
        <v>1</v>
      </c>
      <c r="V50">
        <v>7</v>
      </c>
      <c r="W50">
        <v>6</v>
      </c>
      <c r="X50">
        <v>1</v>
      </c>
      <c r="Y50">
        <v>8</v>
      </c>
      <c r="Z50">
        <v>8</v>
      </c>
      <c r="AA50">
        <v>0</v>
      </c>
      <c r="AB50">
        <v>7</v>
      </c>
      <c r="AC50">
        <v>6</v>
      </c>
      <c r="AD50">
        <v>1</v>
      </c>
      <c r="AE50">
        <v>8</v>
      </c>
      <c r="AF50">
        <v>5</v>
      </c>
      <c r="AG50">
        <v>3</v>
      </c>
      <c r="AH50">
        <v>9</v>
      </c>
      <c r="AI50">
        <v>8</v>
      </c>
      <c r="AJ50">
        <v>1</v>
      </c>
      <c r="AK50" t="s">
        <v>650</v>
      </c>
      <c r="AL50" t="s">
        <v>651</v>
      </c>
      <c r="AM50" t="s">
        <v>652</v>
      </c>
      <c r="AN50" t="s">
        <v>653</v>
      </c>
      <c r="AO50" t="s">
        <v>654</v>
      </c>
      <c r="AP50" t="s">
        <v>655</v>
      </c>
      <c r="AQ50" t="s">
        <v>656</v>
      </c>
      <c r="AR50" t="s">
        <v>657</v>
      </c>
      <c r="AS50" t="s">
        <v>658</v>
      </c>
    </row>
    <row r="51" spans="1:45" x14ac:dyDescent="0.45">
      <c r="A51">
        <v>50</v>
      </c>
      <c r="B51">
        <v>2040</v>
      </c>
      <c r="C51" t="s">
        <v>72</v>
      </c>
      <c r="D51" t="s">
        <v>73</v>
      </c>
      <c r="E51" t="s">
        <v>74</v>
      </c>
      <c r="F51" t="s">
        <v>77</v>
      </c>
      <c r="G51" t="s">
        <v>76</v>
      </c>
      <c r="H51">
        <v>20.751927455535611</v>
      </c>
      <c r="I51">
        <v>3</v>
      </c>
      <c r="J51">
        <v>7</v>
      </c>
      <c r="K51">
        <v>10</v>
      </c>
      <c r="L51">
        <v>-3</v>
      </c>
      <c r="M51">
        <v>8</v>
      </c>
      <c r="N51">
        <v>10</v>
      </c>
      <c r="O51">
        <v>-2</v>
      </c>
      <c r="P51">
        <v>6</v>
      </c>
      <c r="Q51">
        <v>10</v>
      </c>
      <c r="R51">
        <v>-4</v>
      </c>
      <c r="S51">
        <v>9</v>
      </c>
      <c r="T51">
        <v>8</v>
      </c>
      <c r="U51">
        <v>1</v>
      </c>
      <c r="V51">
        <v>7</v>
      </c>
      <c r="W51">
        <v>8</v>
      </c>
      <c r="X51">
        <v>-1</v>
      </c>
      <c r="Y51">
        <v>6</v>
      </c>
      <c r="Z51">
        <v>8</v>
      </c>
      <c r="AA51">
        <v>-2</v>
      </c>
      <c r="AB51">
        <v>6</v>
      </c>
      <c r="AC51">
        <v>8</v>
      </c>
      <c r="AD51">
        <v>-2</v>
      </c>
      <c r="AE51">
        <v>7</v>
      </c>
      <c r="AF51">
        <v>8</v>
      </c>
      <c r="AG51">
        <v>-1</v>
      </c>
      <c r="AH51">
        <v>8</v>
      </c>
      <c r="AI51">
        <v>8</v>
      </c>
      <c r="AJ51">
        <v>0</v>
      </c>
      <c r="AK51" t="s">
        <v>659</v>
      </c>
      <c r="AL51" t="s">
        <v>660</v>
      </c>
      <c r="AM51" t="s">
        <v>661</v>
      </c>
      <c r="AN51" t="s">
        <v>662</v>
      </c>
      <c r="AO51" t="s">
        <v>663</v>
      </c>
      <c r="AP51" t="s">
        <v>664</v>
      </c>
      <c r="AQ51" t="s">
        <v>665</v>
      </c>
      <c r="AR51" t="s">
        <v>666</v>
      </c>
      <c r="AS51" t="s">
        <v>667</v>
      </c>
    </row>
    <row r="52" spans="1:45" x14ac:dyDescent="0.45">
      <c r="A52">
        <v>51</v>
      </c>
      <c r="B52">
        <v>2041</v>
      </c>
      <c r="C52" t="s">
        <v>78</v>
      </c>
      <c r="D52" t="s">
        <v>81</v>
      </c>
      <c r="E52" t="s">
        <v>74</v>
      </c>
      <c r="F52" t="s">
        <v>77</v>
      </c>
      <c r="G52" t="s">
        <v>76</v>
      </c>
      <c r="H52">
        <v>14.899906689434305</v>
      </c>
      <c r="I52">
        <v>0</v>
      </c>
      <c r="J52">
        <v>4</v>
      </c>
      <c r="K52">
        <v>10</v>
      </c>
      <c r="L52">
        <v>-6</v>
      </c>
      <c r="M52">
        <v>5</v>
      </c>
      <c r="N52">
        <v>10</v>
      </c>
      <c r="O52">
        <v>-5</v>
      </c>
      <c r="P52">
        <v>6</v>
      </c>
      <c r="Q52">
        <v>10</v>
      </c>
      <c r="R52">
        <v>-4</v>
      </c>
      <c r="S52">
        <v>8</v>
      </c>
      <c r="T52">
        <v>10</v>
      </c>
      <c r="U52">
        <v>-2</v>
      </c>
      <c r="V52">
        <v>3</v>
      </c>
      <c r="W52">
        <v>10</v>
      </c>
      <c r="X52">
        <v>-7</v>
      </c>
      <c r="Y52">
        <v>7</v>
      </c>
      <c r="Z52">
        <v>10</v>
      </c>
      <c r="AA52">
        <v>-3</v>
      </c>
      <c r="AB52">
        <v>4</v>
      </c>
      <c r="AC52">
        <v>10</v>
      </c>
      <c r="AD52">
        <v>-6</v>
      </c>
      <c r="AE52">
        <v>5</v>
      </c>
      <c r="AF52">
        <v>10</v>
      </c>
      <c r="AG52">
        <v>-5</v>
      </c>
      <c r="AH52">
        <v>6</v>
      </c>
      <c r="AI52">
        <v>10</v>
      </c>
      <c r="AJ52">
        <v>-4</v>
      </c>
      <c r="AK52" t="s">
        <v>668</v>
      </c>
      <c r="AL52" t="s">
        <v>669</v>
      </c>
      <c r="AM52" t="s">
        <v>670</v>
      </c>
      <c r="AN52" t="s">
        <v>671</v>
      </c>
      <c r="AO52" t="s">
        <v>672</v>
      </c>
      <c r="AP52" t="s">
        <v>673</v>
      </c>
      <c r="AQ52" t="s">
        <v>674</v>
      </c>
      <c r="AR52" t="s">
        <v>675</v>
      </c>
      <c r="AS52" t="s">
        <v>676</v>
      </c>
    </row>
    <row r="53" spans="1:45" x14ac:dyDescent="0.45">
      <c r="A53">
        <v>52</v>
      </c>
      <c r="B53">
        <v>2042</v>
      </c>
      <c r="C53" t="s">
        <v>72</v>
      </c>
      <c r="D53" t="s">
        <v>81</v>
      </c>
      <c r="E53" t="s">
        <v>74</v>
      </c>
      <c r="F53" t="s">
        <v>77</v>
      </c>
      <c r="G53" t="s">
        <v>76</v>
      </c>
      <c r="H53">
        <v>20.133872094292034</v>
      </c>
      <c r="I53">
        <v>1</v>
      </c>
      <c r="J53">
        <v>7</v>
      </c>
      <c r="K53">
        <v>10</v>
      </c>
      <c r="L53">
        <v>-3</v>
      </c>
      <c r="M53">
        <v>6</v>
      </c>
      <c r="N53">
        <v>10</v>
      </c>
      <c r="O53">
        <v>-4</v>
      </c>
      <c r="P53">
        <v>8</v>
      </c>
      <c r="Q53">
        <v>10</v>
      </c>
      <c r="R53">
        <v>-2</v>
      </c>
      <c r="S53">
        <v>7</v>
      </c>
      <c r="T53">
        <v>10</v>
      </c>
      <c r="U53">
        <v>-3</v>
      </c>
      <c r="V53">
        <v>6</v>
      </c>
      <c r="W53">
        <v>10</v>
      </c>
      <c r="X53">
        <v>-4</v>
      </c>
      <c r="Y53">
        <v>7</v>
      </c>
      <c r="Z53">
        <v>10</v>
      </c>
      <c r="AA53">
        <v>-3</v>
      </c>
      <c r="AB53">
        <v>6</v>
      </c>
      <c r="AC53">
        <v>10</v>
      </c>
      <c r="AD53">
        <v>-4</v>
      </c>
      <c r="AE53">
        <v>7</v>
      </c>
      <c r="AF53">
        <v>10</v>
      </c>
      <c r="AG53">
        <v>-3</v>
      </c>
      <c r="AH53">
        <v>6</v>
      </c>
      <c r="AI53">
        <v>8</v>
      </c>
      <c r="AJ53">
        <v>-2</v>
      </c>
      <c r="AK53" t="s">
        <v>677</v>
      </c>
      <c r="AL53" t="s">
        <v>678</v>
      </c>
      <c r="AM53" t="s">
        <v>679</v>
      </c>
      <c r="AN53" t="s">
        <v>680</v>
      </c>
      <c r="AO53" t="s">
        <v>681</v>
      </c>
      <c r="AP53" t="s">
        <v>682</v>
      </c>
      <c r="AQ53" t="s">
        <v>683</v>
      </c>
      <c r="AR53" t="s">
        <v>684</v>
      </c>
      <c r="AS53" t="s">
        <v>685</v>
      </c>
    </row>
    <row r="54" spans="1:45" x14ac:dyDescent="0.45">
      <c r="A54">
        <v>53</v>
      </c>
      <c r="B54">
        <v>2043</v>
      </c>
      <c r="C54" t="s">
        <v>78</v>
      </c>
      <c r="D54" t="s">
        <v>81</v>
      </c>
      <c r="E54" t="s">
        <v>74</v>
      </c>
      <c r="F54" t="s">
        <v>75</v>
      </c>
      <c r="G54" t="s">
        <v>76</v>
      </c>
      <c r="H54">
        <v>16.192287050442665</v>
      </c>
      <c r="I54">
        <v>2</v>
      </c>
      <c r="J54">
        <v>7</v>
      </c>
      <c r="K54">
        <v>10</v>
      </c>
      <c r="L54">
        <v>-3</v>
      </c>
      <c r="M54">
        <v>8</v>
      </c>
      <c r="N54">
        <v>10</v>
      </c>
      <c r="O54">
        <v>-2</v>
      </c>
      <c r="P54">
        <v>9</v>
      </c>
      <c r="Q54">
        <v>10</v>
      </c>
      <c r="R54">
        <v>-1</v>
      </c>
      <c r="S54">
        <v>8</v>
      </c>
      <c r="T54">
        <v>10</v>
      </c>
      <c r="U54">
        <v>-2</v>
      </c>
      <c r="V54">
        <v>7</v>
      </c>
      <c r="W54">
        <v>10</v>
      </c>
      <c r="X54">
        <v>-3</v>
      </c>
      <c r="Y54">
        <v>8</v>
      </c>
      <c r="Z54">
        <v>10</v>
      </c>
      <c r="AA54">
        <v>-2</v>
      </c>
      <c r="AB54">
        <v>7</v>
      </c>
      <c r="AC54">
        <v>10</v>
      </c>
      <c r="AD54">
        <v>-3</v>
      </c>
      <c r="AE54">
        <v>8</v>
      </c>
      <c r="AF54">
        <v>10</v>
      </c>
      <c r="AG54">
        <v>-2</v>
      </c>
      <c r="AH54">
        <v>9</v>
      </c>
      <c r="AI54">
        <v>10</v>
      </c>
      <c r="AJ54">
        <v>-1</v>
      </c>
      <c r="AK54" t="s">
        <v>686</v>
      </c>
      <c r="AL54" t="s">
        <v>687</v>
      </c>
      <c r="AM54" t="s">
        <v>688</v>
      </c>
      <c r="AN54" t="s">
        <v>689</v>
      </c>
      <c r="AO54" t="s">
        <v>690</v>
      </c>
      <c r="AP54" t="s">
        <v>691</v>
      </c>
      <c r="AQ54" t="s">
        <v>692</v>
      </c>
      <c r="AR54" t="s">
        <v>693</v>
      </c>
      <c r="AS54" t="s">
        <v>694</v>
      </c>
    </row>
    <row r="55" spans="1:45" x14ac:dyDescent="0.45">
      <c r="A55">
        <v>54</v>
      </c>
      <c r="B55">
        <v>2044</v>
      </c>
      <c r="C55" t="s">
        <v>72</v>
      </c>
      <c r="D55" t="s">
        <v>79</v>
      </c>
      <c r="E55" t="s">
        <v>74</v>
      </c>
      <c r="F55" t="s">
        <v>77</v>
      </c>
      <c r="G55" t="s">
        <v>76</v>
      </c>
      <c r="H55">
        <v>38.810046711896966</v>
      </c>
      <c r="I55">
        <v>2</v>
      </c>
      <c r="J55">
        <v>7</v>
      </c>
      <c r="K55">
        <v>8</v>
      </c>
      <c r="L55">
        <v>-1</v>
      </c>
      <c r="M55">
        <v>8</v>
      </c>
      <c r="N55">
        <v>7</v>
      </c>
      <c r="O55">
        <v>1</v>
      </c>
      <c r="P55">
        <v>6</v>
      </c>
      <c r="Q55">
        <v>7</v>
      </c>
      <c r="R55">
        <v>-1</v>
      </c>
      <c r="S55">
        <v>5</v>
      </c>
      <c r="T55">
        <v>8</v>
      </c>
      <c r="U55">
        <v>-3</v>
      </c>
      <c r="V55">
        <v>4</v>
      </c>
      <c r="W55">
        <v>7</v>
      </c>
      <c r="X55">
        <v>-3</v>
      </c>
      <c r="Y55">
        <v>6</v>
      </c>
      <c r="Z55">
        <v>8</v>
      </c>
      <c r="AA55">
        <v>-2</v>
      </c>
      <c r="AB55">
        <v>5</v>
      </c>
      <c r="AC55">
        <v>7</v>
      </c>
      <c r="AD55">
        <v>-2</v>
      </c>
      <c r="AE55">
        <v>4</v>
      </c>
      <c r="AF55">
        <v>7</v>
      </c>
      <c r="AG55">
        <v>-3</v>
      </c>
      <c r="AH55">
        <v>5</v>
      </c>
      <c r="AI55">
        <v>8</v>
      </c>
      <c r="AJ55">
        <v>-3</v>
      </c>
      <c r="AK55" t="s">
        <v>695</v>
      </c>
      <c r="AL55" t="s">
        <v>696</v>
      </c>
      <c r="AM55" t="s">
        <v>697</v>
      </c>
      <c r="AN55" t="s">
        <v>698</v>
      </c>
      <c r="AO55" t="s">
        <v>699</v>
      </c>
      <c r="AP55" t="s">
        <v>700</v>
      </c>
      <c r="AQ55" t="s">
        <v>701</v>
      </c>
      <c r="AR55" t="s">
        <v>702</v>
      </c>
      <c r="AS55" t="s">
        <v>703</v>
      </c>
    </row>
    <row r="56" spans="1:45" x14ac:dyDescent="0.45">
      <c r="A56">
        <v>55</v>
      </c>
      <c r="B56">
        <v>2045</v>
      </c>
      <c r="C56" t="s">
        <v>72</v>
      </c>
      <c r="D56" t="s">
        <v>73</v>
      </c>
      <c r="E56" t="s">
        <v>74</v>
      </c>
      <c r="F56" t="s">
        <v>77</v>
      </c>
      <c r="G56" t="s">
        <v>76</v>
      </c>
      <c r="H56">
        <v>45.741177810676689</v>
      </c>
      <c r="I56">
        <v>1</v>
      </c>
      <c r="J56">
        <v>6</v>
      </c>
      <c r="K56">
        <v>10</v>
      </c>
      <c r="L56">
        <v>-4</v>
      </c>
      <c r="M56">
        <v>7</v>
      </c>
      <c r="N56">
        <v>9</v>
      </c>
      <c r="O56">
        <v>-2</v>
      </c>
      <c r="P56">
        <v>8</v>
      </c>
      <c r="Q56">
        <v>3</v>
      </c>
      <c r="R56">
        <v>5</v>
      </c>
      <c r="S56">
        <v>9</v>
      </c>
      <c r="T56">
        <v>4</v>
      </c>
      <c r="U56">
        <v>5</v>
      </c>
      <c r="V56">
        <v>7</v>
      </c>
      <c r="W56">
        <v>3</v>
      </c>
      <c r="X56">
        <v>4</v>
      </c>
      <c r="Y56">
        <v>8</v>
      </c>
      <c r="Z56">
        <v>3</v>
      </c>
      <c r="AA56">
        <v>5</v>
      </c>
      <c r="AB56">
        <v>7</v>
      </c>
      <c r="AC56">
        <v>1</v>
      </c>
      <c r="AD56">
        <v>6</v>
      </c>
      <c r="AE56">
        <v>6</v>
      </c>
      <c r="AF56">
        <v>1</v>
      </c>
      <c r="AG56">
        <v>5</v>
      </c>
      <c r="AH56">
        <v>7</v>
      </c>
      <c r="AI56">
        <v>3</v>
      </c>
      <c r="AJ56">
        <v>4</v>
      </c>
      <c r="AK56" t="s">
        <v>704</v>
      </c>
      <c r="AL56" t="s">
        <v>705</v>
      </c>
      <c r="AM56" t="s">
        <v>706</v>
      </c>
      <c r="AN56" t="s">
        <v>707</v>
      </c>
      <c r="AO56" t="s">
        <v>708</v>
      </c>
      <c r="AP56" t="s">
        <v>709</v>
      </c>
      <c r="AQ56" t="s">
        <v>710</v>
      </c>
      <c r="AR56" t="s">
        <v>711</v>
      </c>
      <c r="AS56" t="s">
        <v>712</v>
      </c>
    </row>
    <row r="57" spans="1:45" x14ac:dyDescent="0.45">
      <c r="A57">
        <v>56</v>
      </c>
      <c r="B57">
        <v>2046</v>
      </c>
      <c r="C57" t="s">
        <v>78</v>
      </c>
      <c r="D57" t="s">
        <v>81</v>
      </c>
      <c r="E57" t="s">
        <v>74</v>
      </c>
      <c r="F57" t="s">
        <v>77</v>
      </c>
      <c r="G57" t="s">
        <v>76</v>
      </c>
      <c r="H57">
        <v>12</v>
      </c>
      <c r="I57">
        <v>0</v>
      </c>
      <c r="J57">
        <v>7</v>
      </c>
      <c r="K57">
        <v>10</v>
      </c>
      <c r="L57">
        <v>-3</v>
      </c>
      <c r="M57">
        <v>6</v>
      </c>
      <c r="N57">
        <v>10</v>
      </c>
      <c r="O57">
        <v>-4</v>
      </c>
      <c r="P57">
        <v>8</v>
      </c>
      <c r="Q57">
        <v>9</v>
      </c>
      <c r="R57">
        <v>-1</v>
      </c>
      <c r="S57">
        <v>9</v>
      </c>
      <c r="T57">
        <v>10</v>
      </c>
      <c r="U57">
        <v>-1</v>
      </c>
      <c r="V57">
        <v>7</v>
      </c>
      <c r="W57">
        <v>9</v>
      </c>
      <c r="X57">
        <v>-2</v>
      </c>
      <c r="Y57">
        <v>7</v>
      </c>
      <c r="Z57">
        <v>10</v>
      </c>
      <c r="AA57">
        <v>-3</v>
      </c>
      <c r="AB57">
        <v>6</v>
      </c>
      <c r="AC57">
        <v>9</v>
      </c>
      <c r="AD57">
        <v>-3</v>
      </c>
      <c r="AE57">
        <v>5</v>
      </c>
      <c r="AF57">
        <v>10</v>
      </c>
      <c r="AG57">
        <v>-5</v>
      </c>
      <c r="AH57">
        <v>7</v>
      </c>
      <c r="AI57">
        <v>9</v>
      </c>
      <c r="AJ57">
        <v>-2</v>
      </c>
      <c r="AK57" t="s">
        <v>713</v>
      </c>
      <c r="AL57" t="s">
        <v>714</v>
      </c>
      <c r="AM57" t="s">
        <v>715</v>
      </c>
      <c r="AN57" t="s">
        <v>716</v>
      </c>
      <c r="AO57" t="s">
        <v>717</v>
      </c>
      <c r="AP57" t="s">
        <v>718</v>
      </c>
      <c r="AQ57" t="s">
        <v>719</v>
      </c>
      <c r="AR57" t="s">
        <v>720</v>
      </c>
      <c r="AS57" t="s">
        <v>721</v>
      </c>
    </row>
    <row r="58" spans="1:45" x14ac:dyDescent="0.45">
      <c r="A58">
        <v>57</v>
      </c>
      <c r="B58">
        <v>2047</v>
      </c>
      <c r="C58" t="s">
        <v>72</v>
      </c>
      <c r="D58" t="s">
        <v>73</v>
      </c>
      <c r="E58" t="s">
        <v>74</v>
      </c>
      <c r="F58" t="s">
        <v>77</v>
      </c>
      <c r="G58" t="s">
        <v>76</v>
      </c>
      <c r="H58">
        <v>14.434261083054142</v>
      </c>
      <c r="I58">
        <v>2</v>
      </c>
      <c r="J58">
        <v>7</v>
      </c>
      <c r="K58">
        <v>10</v>
      </c>
      <c r="L58">
        <v>-3</v>
      </c>
      <c r="M58">
        <v>8</v>
      </c>
      <c r="N58">
        <v>10</v>
      </c>
      <c r="O58">
        <v>-2</v>
      </c>
      <c r="P58">
        <v>6</v>
      </c>
      <c r="Q58">
        <v>1</v>
      </c>
      <c r="R58">
        <v>5</v>
      </c>
      <c r="S58">
        <v>7</v>
      </c>
      <c r="T58">
        <v>5</v>
      </c>
      <c r="U58">
        <v>2</v>
      </c>
      <c r="V58">
        <v>8</v>
      </c>
      <c r="W58">
        <v>7</v>
      </c>
      <c r="X58">
        <v>1</v>
      </c>
      <c r="Y58">
        <v>7</v>
      </c>
      <c r="Z58">
        <v>10</v>
      </c>
      <c r="AA58">
        <v>-3</v>
      </c>
      <c r="AB58">
        <v>6</v>
      </c>
      <c r="AC58">
        <v>9</v>
      </c>
      <c r="AD58">
        <v>-3</v>
      </c>
      <c r="AE58">
        <v>7</v>
      </c>
      <c r="AF58">
        <v>9</v>
      </c>
      <c r="AG58">
        <v>-2</v>
      </c>
      <c r="AH58">
        <v>8</v>
      </c>
      <c r="AI58">
        <v>10</v>
      </c>
      <c r="AJ58">
        <v>-2</v>
      </c>
      <c r="AK58" t="s">
        <v>722</v>
      </c>
      <c r="AL58" t="s">
        <v>723</v>
      </c>
      <c r="AM58" t="s">
        <v>724</v>
      </c>
      <c r="AN58" t="s">
        <v>725</v>
      </c>
      <c r="AO58" t="s">
        <v>726</v>
      </c>
      <c r="AP58" t="s">
        <v>727</v>
      </c>
      <c r="AQ58" t="s">
        <v>728</v>
      </c>
      <c r="AR58" t="s">
        <v>729</v>
      </c>
      <c r="AS58" t="s">
        <v>730</v>
      </c>
    </row>
    <row r="59" spans="1:45" x14ac:dyDescent="0.45">
      <c r="A59">
        <v>58</v>
      </c>
      <c r="B59">
        <v>2048</v>
      </c>
      <c r="C59" t="s">
        <v>72</v>
      </c>
      <c r="D59" t="s">
        <v>79</v>
      </c>
      <c r="E59" t="s">
        <v>74</v>
      </c>
      <c r="F59" t="s">
        <v>75</v>
      </c>
      <c r="G59" t="s">
        <v>76</v>
      </c>
      <c r="H59">
        <v>29.227489136000131</v>
      </c>
      <c r="I59">
        <v>1</v>
      </c>
      <c r="J59">
        <v>7</v>
      </c>
      <c r="K59">
        <v>5</v>
      </c>
      <c r="L59">
        <v>2</v>
      </c>
      <c r="M59">
        <v>8</v>
      </c>
      <c r="N59">
        <v>5</v>
      </c>
      <c r="O59">
        <v>3</v>
      </c>
      <c r="P59">
        <v>6</v>
      </c>
      <c r="Q59">
        <v>4</v>
      </c>
      <c r="R59">
        <v>2</v>
      </c>
      <c r="S59">
        <v>8</v>
      </c>
      <c r="T59">
        <v>8</v>
      </c>
      <c r="U59">
        <v>0</v>
      </c>
      <c r="V59">
        <v>9</v>
      </c>
      <c r="W59">
        <v>5</v>
      </c>
      <c r="X59">
        <v>4</v>
      </c>
      <c r="Y59">
        <v>8</v>
      </c>
      <c r="Z59">
        <v>7</v>
      </c>
      <c r="AA59">
        <v>1</v>
      </c>
      <c r="AB59">
        <v>9</v>
      </c>
      <c r="AC59">
        <v>7</v>
      </c>
      <c r="AD59">
        <v>2</v>
      </c>
      <c r="AE59">
        <v>7</v>
      </c>
      <c r="AF59">
        <v>7</v>
      </c>
      <c r="AG59">
        <v>0</v>
      </c>
      <c r="AH59">
        <v>9</v>
      </c>
      <c r="AI59">
        <v>7</v>
      </c>
      <c r="AJ59">
        <v>2</v>
      </c>
      <c r="AK59" t="s">
        <v>731</v>
      </c>
      <c r="AL59" t="s">
        <v>732</v>
      </c>
      <c r="AM59" t="s">
        <v>733</v>
      </c>
      <c r="AN59" t="s">
        <v>734</v>
      </c>
      <c r="AO59" t="s">
        <v>735</v>
      </c>
      <c r="AP59" t="s">
        <v>736</v>
      </c>
      <c r="AQ59" t="s">
        <v>737</v>
      </c>
      <c r="AR59" t="s">
        <v>738</v>
      </c>
      <c r="AS59" t="s">
        <v>739</v>
      </c>
    </row>
    <row r="60" spans="1:45" x14ac:dyDescent="0.45">
      <c r="A60">
        <v>59</v>
      </c>
      <c r="B60">
        <v>2049</v>
      </c>
      <c r="C60" t="s">
        <v>72</v>
      </c>
      <c r="D60" t="s">
        <v>188</v>
      </c>
      <c r="E60" t="s">
        <v>74</v>
      </c>
      <c r="F60" t="s">
        <v>77</v>
      </c>
      <c r="G60" t="s">
        <v>161</v>
      </c>
      <c r="H60">
        <v>12</v>
      </c>
      <c r="I60">
        <v>0</v>
      </c>
      <c r="J60">
        <v>7</v>
      </c>
      <c r="K60">
        <v>9</v>
      </c>
      <c r="L60">
        <v>-2</v>
      </c>
      <c r="M60">
        <v>8</v>
      </c>
      <c r="N60">
        <v>9</v>
      </c>
      <c r="O60">
        <v>-1</v>
      </c>
      <c r="P60">
        <v>6</v>
      </c>
      <c r="Q60">
        <v>9</v>
      </c>
      <c r="R60">
        <v>-3</v>
      </c>
      <c r="S60">
        <v>8</v>
      </c>
      <c r="T60">
        <v>7</v>
      </c>
      <c r="U60">
        <v>1</v>
      </c>
      <c r="V60">
        <v>7</v>
      </c>
      <c r="W60">
        <v>7</v>
      </c>
      <c r="X60">
        <v>0</v>
      </c>
      <c r="Y60">
        <v>8</v>
      </c>
      <c r="Z60">
        <v>8</v>
      </c>
      <c r="AA60">
        <v>0</v>
      </c>
      <c r="AB60">
        <v>6</v>
      </c>
      <c r="AC60">
        <v>8</v>
      </c>
      <c r="AD60">
        <v>-2</v>
      </c>
      <c r="AE60">
        <v>7</v>
      </c>
      <c r="AF60">
        <v>6</v>
      </c>
      <c r="AG60">
        <v>1</v>
      </c>
      <c r="AH60">
        <v>6</v>
      </c>
      <c r="AI60">
        <v>5</v>
      </c>
      <c r="AJ60">
        <v>1</v>
      </c>
      <c r="AK60" t="s">
        <v>740</v>
      </c>
      <c r="AL60" t="s">
        <v>741</v>
      </c>
      <c r="AM60" t="s">
        <v>742</v>
      </c>
      <c r="AN60" t="s">
        <v>743</v>
      </c>
      <c r="AO60" t="s">
        <v>744</v>
      </c>
      <c r="AP60" t="s">
        <v>745</v>
      </c>
      <c r="AQ60" t="s">
        <v>746</v>
      </c>
      <c r="AR60" t="s">
        <v>747</v>
      </c>
      <c r="AS60" t="s">
        <v>748</v>
      </c>
    </row>
    <row r="61" spans="1:45" x14ac:dyDescent="0.45">
      <c r="A61">
        <v>60</v>
      </c>
      <c r="B61">
        <v>2050</v>
      </c>
      <c r="C61" t="s">
        <v>78</v>
      </c>
      <c r="D61" t="s">
        <v>81</v>
      </c>
      <c r="E61" t="s">
        <v>74</v>
      </c>
      <c r="F61" t="s">
        <v>77</v>
      </c>
      <c r="G61" t="s">
        <v>76</v>
      </c>
      <c r="H61">
        <v>16.233290374231196</v>
      </c>
      <c r="I61">
        <v>0</v>
      </c>
      <c r="J61">
        <v>7</v>
      </c>
      <c r="K61">
        <v>5</v>
      </c>
      <c r="L61">
        <v>2</v>
      </c>
      <c r="M61">
        <v>6</v>
      </c>
      <c r="N61">
        <v>5</v>
      </c>
      <c r="O61">
        <v>1</v>
      </c>
      <c r="P61">
        <v>8</v>
      </c>
      <c r="Q61">
        <v>5</v>
      </c>
      <c r="R61">
        <v>3</v>
      </c>
      <c r="S61">
        <v>9</v>
      </c>
      <c r="T61">
        <v>5</v>
      </c>
      <c r="U61">
        <v>4</v>
      </c>
      <c r="V61">
        <v>7</v>
      </c>
      <c r="W61">
        <v>5</v>
      </c>
      <c r="X61">
        <v>2</v>
      </c>
      <c r="Y61">
        <v>8</v>
      </c>
      <c r="Z61">
        <v>8</v>
      </c>
      <c r="AA61">
        <v>0</v>
      </c>
      <c r="AB61">
        <v>6</v>
      </c>
      <c r="AC61">
        <v>4</v>
      </c>
      <c r="AD61">
        <v>2</v>
      </c>
      <c r="AE61">
        <v>7</v>
      </c>
      <c r="AF61">
        <v>5</v>
      </c>
      <c r="AG61">
        <v>2</v>
      </c>
      <c r="AH61">
        <v>8</v>
      </c>
      <c r="AI61">
        <v>5</v>
      </c>
      <c r="AJ61">
        <v>3</v>
      </c>
      <c r="AK61" t="s">
        <v>749</v>
      </c>
      <c r="AL61" t="s">
        <v>750</v>
      </c>
      <c r="AM61" t="s">
        <v>751</v>
      </c>
      <c r="AN61" t="s">
        <v>752</v>
      </c>
      <c r="AO61" t="s">
        <v>753</v>
      </c>
      <c r="AP61" t="s">
        <v>754</v>
      </c>
      <c r="AQ61" t="s">
        <v>755</v>
      </c>
      <c r="AR61" t="s">
        <v>756</v>
      </c>
      <c r="AS61" t="s">
        <v>757</v>
      </c>
    </row>
    <row r="62" spans="1:45" x14ac:dyDescent="0.45">
      <c r="A62">
        <v>61</v>
      </c>
      <c r="B62">
        <v>2051</v>
      </c>
      <c r="C62" t="s">
        <v>72</v>
      </c>
      <c r="D62" t="s">
        <v>73</v>
      </c>
      <c r="E62" t="s">
        <v>74</v>
      </c>
      <c r="F62" t="s">
        <v>75</v>
      </c>
      <c r="G62" t="s">
        <v>76</v>
      </c>
      <c r="H62">
        <v>20.266279166118991</v>
      </c>
      <c r="I62">
        <v>1</v>
      </c>
      <c r="J62">
        <v>8</v>
      </c>
      <c r="K62">
        <v>8</v>
      </c>
      <c r="L62">
        <v>0</v>
      </c>
      <c r="M62">
        <v>9</v>
      </c>
      <c r="N62">
        <v>9</v>
      </c>
      <c r="O62">
        <v>0</v>
      </c>
      <c r="P62">
        <v>8</v>
      </c>
      <c r="Q62">
        <v>9</v>
      </c>
      <c r="R62">
        <v>-1</v>
      </c>
      <c r="S62">
        <v>7</v>
      </c>
      <c r="T62">
        <v>9</v>
      </c>
      <c r="U62">
        <v>-2</v>
      </c>
      <c r="V62">
        <v>8</v>
      </c>
      <c r="W62">
        <v>9</v>
      </c>
      <c r="X62">
        <v>-1</v>
      </c>
      <c r="Y62">
        <v>6</v>
      </c>
      <c r="Z62">
        <v>8</v>
      </c>
      <c r="AA62">
        <v>-2</v>
      </c>
      <c r="AB62">
        <v>7</v>
      </c>
      <c r="AC62">
        <v>8</v>
      </c>
      <c r="AD62">
        <v>-1</v>
      </c>
      <c r="AE62">
        <v>6</v>
      </c>
      <c r="AF62">
        <v>8</v>
      </c>
      <c r="AG62">
        <v>-2</v>
      </c>
      <c r="AH62">
        <v>7</v>
      </c>
      <c r="AI62">
        <v>9</v>
      </c>
      <c r="AJ62">
        <v>-2</v>
      </c>
      <c r="AK62" t="s">
        <v>758</v>
      </c>
      <c r="AL62" t="s">
        <v>759</v>
      </c>
      <c r="AM62" t="s">
        <v>760</v>
      </c>
      <c r="AN62" t="s">
        <v>761</v>
      </c>
      <c r="AO62" t="s">
        <v>762</v>
      </c>
      <c r="AP62" t="s">
        <v>763</v>
      </c>
      <c r="AQ62" t="s">
        <v>764</v>
      </c>
      <c r="AR62" t="s">
        <v>765</v>
      </c>
      <c r="AS62" t="s">
        <v>766</v>
      </c>
    </row>
    <row r="63" spans="1:45" x14ac:dyDescent="0.45">
      <c r="A63">
        <v>62</v>
      </c>
      <c r="B63">
        <v>2052</v>
      </c>
      <c r="C63" t="s">
        <v>72</v>
      </c>
      <c r="D63" t="s">
        <v>81</v>
      </c>
      <c r="E63" t="s">
        <v>74</v>
      </c>
      <c r="F63" t="s">
        <v>75</v>
      </c>
      <c r="G63" t="s">
        <v>76</v>
      </c>
      <c r="H63">
        <v>26.00260731617913</v>
      </c>
      <c r="I63">
        <v>0</v>
      </c>
      <c r="J63">
        <v>8</v>
      </c>
      <c r="K63">
        <v>9</v>
      </c>
      <c r="L63">
        <v>-1</v>
      </c>
      <c r="M63">
        <v>9</v>
      </c>
      <c r="N63">
        <v>9</v>
      </c>
      <c r="O63">
        <v>0</v>
      </c>
      <c r="P63">
        <v>7</v>
      </c>
      <c r="Q63">
        <v>7</v>
      </c>
      <c r="R63">
        <v>0</v>
      </c>
      <c r="S63">
        <v>8</v>
      </c>
      <c r="T63">
        <v>6</v>
      </c>
      <c r="U63">
        <v>2</v>
      </c>
      <c r="V63">
        <v>7</v>
      </c>
      <c r="W63">
        <v>7</v>
      </c>
      <c r="X63">
        <v>0</v>
      </c>
      <c r="Y63">
        <v>8</v>
      </c>
      <c r="Z63">
        <v>5</v>
      </c>
      <c r="AA63">
        <v>3</v>
      </c>
      <c r="AB63">
        <v>7</v>
      </c>
      <c r="AC63">
        <v>6</v>
      </c>
      <c r="AD63">
        <v>1</v>
      </c>
      <c r="AE63">
        <v>8</v>
      </c>
      <c r="AF63">
        <v>8</v>
      </c>
      <c r="AG63">
        <v>0</v>
      </c>
      <c r="AH63">
        <v>9</v>
      </c>
      <c r="AI63">
        <v>5</v>
      </c>
      <c r="AJ63">
        <v>4</v>
      </c>
      <c r="AK63" t="s">
        <v>767</v>
      </c>
      <c r="AL63" t="s">
        <v>768</v>
      </c>
      <c r="AM63" t="s">
        <v>769</v>
      </c>
      <c r="AN63" t="s">
        <v>770</v>
      </c>
      <c r="AO63" t="s">
        <v>771</v>
      </c>
      <c r="AP63" t="s">
        <v>772</v>
      </c>
      <c r="AQ63" t="s">
        <v>773</v>
      </c>
      <c r="AR63" t="s">
        <v>774</v>
      </c>
      <c r="AS63" t="s">
        <v>775</v>
      </c>
    </row>
    <row r="64" spans="1:45" x14ac:dyDescent="0.45">
      <c r="A64">
        <v>63</v>
      </c>
      <c r="B64">
        <v>2053</v>
      </c>
      <c r="C64" t="s">
        <v>72</v>
      </c>
      <c r="D64" t="s">
        <v>190</v>
      </c>
      <c r="E64" t="s">
        <v>80</v>
      </c>
      <c r="F64" t="s">
        <v>77</v>
      </c>
      <c r="G64" t="s">
        <v>76</v>
      </c>
      <c r="H64">
        <v>21.061271422574787</v>
      </c>
      <c r="I64">
        <v>1</v>
      </c>
      <c r="J64">
        <v>6</v>
      </c>
      <c r="K64">
        <v>9</v>
      </c>
      <c r="L64">
        <v>-3</v>
      </c>
      <c r="M64">
        <v>7</v>
      </c>
      <c r="N64">
        <v>9</v>
      </c>
      <c r="O64">
        <v>-2</v>
      </c>
      <c r="P64">
        <v>8</v>
      </c>
      <c r="Q64">
        <v>9</v>
      </c>
      <c r="R64">
        <v>-1</v>
      </c>
      <c r="S64">
        <v>9</v>
      </c>
      <c r="T64">
        <v>9</v>
      </c>
      <c r="U64">
        <v>0</v>
      </c>
      <c r="V64">
        <v>7</v>
      </c>
      <c r="W64">
        <v>8</v>
      </c>
      <c r="X64">
        <v>-1</v>
      </c>
      <c r="Y64">
        <v>8</v>
      </c>
      <c r="Z64">
        <v>9</v>
      </c>
      <c r="AA64">
        <v>-1</v>
      </c>
      <c r="AB64">
        <v>5</v>
      </c>
      <c r="AC64">
        <v>9</v>
      </c>
      <c r="AD64">
        <v>-4</v>
      </c>
      <c r="AE64">
        <v>6</v>
      </c>
      <c r="AF64">
        <v>8</v>
      </c>
      <c r="AG64">
        <v>-2</v>
      </c>
      <c r="AH64">
        <v>8</v>
      </c>
      <c r="AI64">
        <v>7</v>
      </c>
      <c r="AJ64">
        <v>1</v>
      </c>
      <c r="AK64" t="s">
        <v>776</v>
      </c>
      <c r="AL64" t="s">
        <v>777</v>
      </c>
      <c r="AM64" t="s">
        <v>778</v>
      </c>
      <c r="AN64" t="s">
        <v>779</v>
      </c>
      <c r="AO64" t="s">
        <v>780</v>
      </c>
      <c r="AP64" t="s">
        <v>781</v>
      </c>
      <c r="AQ64" t="s">
        <v>782</v>
      </c>
      <c r="AR64" t="s">
        <v>783</v>
      </c>
      <c r="AS64" t="s">
        <v>784</v>
      </c>
    </row>
    <row r="65" spans="1:45" x14ac:dyDescent="0.45">
      <c r="A65">
        <v>64</v>
      </c>
      <c r="B65">
        <v>2054</v>
      </c>
      <c r="C65" t="s">
        <v>72</v>
      </c>
      <c r="D65" t="s">
        <v>73</v>
      </c>
      <c r="E65" t="s">
        <v>74</v>
      </c>
      <c r="F65" t="s">
        <v>77</v>
      </c>
      <c r="G65" t="s">
        <v>161</v>
      </c>
      <c r="H65">
        <v>176.49749807574759</v>
      </c>
      <c r="I65">
        <v>2</v>
      </c>
      <c r="J65">
        <v>6</v>
      </c>
      <c r="K65">
        <v>9</v>
      </c>
      <c r="L65">
        <v>-3</v>
      </c>
      <c r="M65">
        <v>7</v>
      </c>
      <c r="N65">
        <v>10</v>
      </c>
      <c r="O65">
        <v>-3</v>
      </c>
      <c r="P65">
        <v>8</v>
      </c>
      <c r="Q65">
        <v>9</v>
      </c>
      <c r="R65">
        <v>-1</v>
      </c>
      <c r="S65">
        <v>9</v>
      </c>
      <c r="T65">
        <v>10</v>
      </c>
      <c r="U65">
        <v>-1</v>
      </c>
      <c r="V65">
        <v>7</v>
      </c>
      <c r="W65">
        <v>10</v>
      </c>
      <c r="X65">
        <v>-3</v>
      </c>
      <c r="Y65">
        <v>8</v>
      </c>
      <c r="Z65">
        <v>5</v>
      </c>
      <c r="AA65">
        <v>3</v>
      </c>
      <c r="AB65">
        <v>7</v>
      </c>
      <c r="AC65">
        <v>10</v>
      </c>
      <c r="AD65">
        <v>-3</v>
      </c>
      <c r="AE65">
        <v>5</v>
      </c>
      <c r="AF65">
        <v>7</v>
      </c>
      <c r="AG65">
        <v>-2</v>
      </c>
      <c r="AH65">
        <v>7</v>
      </c>
      <c r="AI65">
        <v>9</v>
      </c>
      <c r="AJ65">
        <v>-2</v>
      </c>
      <c r="AK65" t="s">
        <v>785</v>
      </c>
      <c r="AL65" t="s">
        <v>786</v>
      </c>
      <c r="AM65" t="s">
        <v>787</v>
      </c>
      <c r="AN65" t="s">
        <v>788</v>
      </c>
      <c r="AO65" t="s">
        <v>789</v>
      </c>
      <c r="AP65" t="s">
        <v>790</v>
      </c>
      <c r="AQ65" t="s">
        <v>791</v>
      </c>
      <c r="AR65" t="s">
        <v>792</v>
      </c>
      <c r="AS65" t="s">
        <v>793</v>
      </c>
    </row>
    <row r="66" spans="1:45" x14ac:dyDescent="0.45">
      <c r="A66">
        <v>65</v>
      </c>
      <c r="B66">
        <v>2055</v>
      </c>
      <c r="C66" t="s">
        <v>72</v>
      </c>
      <c r="D66" t="s">
        <v>79</v>
      </c>
      <c r="E66" t="s">
        <v>80</v>
      </c>
      <c r="F66" t="s">
        <v>77</v>
      </c>
      <c r="G66" t="s">
        <v>76</v>
      </c>
      <c r="H66">
        <v>12</v>
      </c>
      <c r="I66">
        <v>2</v>
      </c>
      <c r="J66">
        <v>7</v>
      </c>
      <c r="K66">
        <v>10</v>
      </c>
      <c r="L66">
        <v>-3</v>
      </c>
      <c r="M66">
        <v>8</v>
      </c>
      <c r="N66">
        <v>10</v>
      </c>
      <c r="O66">
        <v>-2</v>
      </c>
      <c r="P66">
        <v>6</v>
      </c>
      <c r="Q66">
        <v>10</v>
      </c>
      <c r="R66">
        <v>-4</v>
      </c>
      <c r="S66">
        <v>8</v>
      </c>
      <c r="T66">
        <v>10</v>
      </c>
      <c r="U66">
        <v>-2</v>
      </c>
      <c r="V66">
        <v>7</v>
      </c>
      <c r="W66">
        <v>10</v>
      </c>
      <c r="X66">
        <v>-3</v>
      </c>
      <c r="Y66">
        <v>6</v>
      </c>
      <c r="Z66">
        <v>10</v>
      </c>
      <c r="AA66">
        <v>-4</v>
      </c>
      <c r="AB66">
        <v>5</v>
      </c>
      <c r="AC66">
        <v>10</v>
      </c>
      <c r="AD66">
        <v>-5</v>
      </c>
      <c r="AE66">
        <v>7</v>
      </c>
      <c r="AF66">
        <v>10</v>
      </c>
      <c r="AG66">
        <v>-3</v>
      </c>
      <c r="AH66">
        <v>6</v>
      </c>
      <c r="AI66">
        <v>10</v>
      </c>
      <c r="AJ66">
        <v>-4</v>
      </c>
      <c r="AK66" t="s">
        <v>794</v>
      </c>
      <c r="AL66" t="s">
        <v>795</v>
      </c>
      <c r="AM66" t="s">
        <v>796</v>
      </c>
      <c r="AN66" t="s">
        <v>797</v>
      </c>
      <c r="AO66" t="s">
        <v>798</v>
      </c>
      <c r="AP66" t="s">
        <v>799</v>
      </c>
      <c r="AQ66" t="s">
        <v>800</v>
      </c>
      <c r="AR66" t="s">
        <v>801</v>
      </c>
      <c r="AS66" t="s">
        <v>802</v>
      </c>
    </row>
    <row r="67" spans="1:45" x14ac:dyDescent="0.45">
      <c r="A67">
        <v>66</v>
      </c>
      <c r="B67">
        <v>2056</v>
      </c>
      <c r="C67" t="s">
        <v>72</v>
      </c>
      <c r="D67" t="s">
        <v>81</v>
      </c>
      <c r="E67" t="s">
        <v>74</v>
      </c>
      <c r="F67" t="s">
        <v>189</v>
      </c>
      <c r="G67" t="s">
        <v>76</v>
      </c>
      <c r="H67">
        <v>16.226287990479388</v>
      </c>
      <c r="I67">
        <v>0</v>
      </c>
      <c r="J67">
        <v>7</v>
      </c>
      <c r="K67">
        <v>7</v>
      </c>
      <c r="L67">
        <v>0</v>
      </c>
      <c r="M67">
        <v>8</v>
      </c>
      <c r="N67">
        <v>5</v>
      </c>
      <c r="O67">
        <v>3</v>
      </c>
      <c r="P67">
        <v>9</v>
      </c>
      <c r="Q67">
        <v>3</v>
      </c>
      <c r="R67">
        <v>6</v>
      </c>
      <c r="S67">
        <v>8</v>
      </c>
      <c r="T67">
        <v>5</v>
      </c>
      <c r="U67">
        <v>3</v>
      </c>
      <c r="V67">
        <v>8</v>
      </c>
      <c r="W67">
        <v>4</v>
      </c>
      <c r="X67">
        <v>4</v>
      </c>
      <c r="Y67">
        <v>7</v>
      </c>
      <c r="Z67">
        <v>3</v>
      </c>
      <c r="AA67">
        <v>4</v>
      </c>
      <c r="AB67">
        <v>7</v>
      </c>
      <c r="AC67">
        <v>5</v>
      </c>
      <c r="AD67">
        <v>2</v>
      </c>
      <c r="AE67">
        <v>7</v>
      </c>
      <c r="AF67">
        <v>6</v>
      </c>
      <c r="AG67">
        <v>1</v>
      </c>
      <c r="AH67">
        <v>8</v>
      </c>
      <c r="AI67">
        <v>6</v>
      </c>
      <c r="AJ67">
        <v>2</v>
      </c>
      <c r="AK67" t="s">
        <v>803</v>
      </c>
      <c r="AL67" t="s">
        <v>804</v>
      </c>
      <c r="AM67" t="s">
        <v>805</v>
      </c>
      <c r="AN67" t="s">
        <v>806</v>
      </c>
      <c r="AO67" t="s">
        <v>807</v>
      </c>
      <c r="AP67" t="s">
        <v>808</v>
      </c>
      <c r="AQ67" t="s">
        <v>809</v>
      </c>
      <c r="AR67" t="s">
        <v>810</v>
      </c>
      <c r="AS67" t="s">
        <v>811</v>
      </c>
    </row>
    <row r="68" spans="1:45" x14ac:dyDescent="0.45">
      <c r="A68">
        <v>67</v>
      </c>
      <c r="B68">
        <v>2057</v>
      </c>
      <c r="C68" t="s">
        <v>78</v>
      </c>
      <c r="D68" t="s">
        <v>79</v>
      </c>
      <c r="E68" t="s">
        <v>74</v>
      </c>
      <c r="F68" t="s">
        <v>75</v>
      </c>
      <c r="G68" t="s">
        <v>76</v>
      </c>
      <c r="H68">
        <v>99.597505023334961</v>
      </c>
      <c r="I68">
        <v>2</v>
      </c>
      <c r="J68">
        <v>8</v>
      </c>
      <c r="K68">
        <v>5</v>
      </c>
      <c r="L68">
        <v>3</v>
      </c>
      <c r="M68">
        <v>9</v>
      </c>
      <c r="N68">
        <v>5</v>
      </c>
      <c r="O68">
        <v>4</v>
      </c>
      <c r="P68">
        <v>8</v>
      </c>
      <c r="Q68">
        <v>4</v>
      </c>
      <c r="R68">
        <v>4</v>
      </c>
      <c r="S68">
        <v>7</v>
      </c>
      <c r="T68">
        <v>4</v>
      </c>
      <c r="U68">
        <v>3</v>
      </c>
      <c r="V68">
        <v>8</v>
      </c>
      <c r="W68">
        <v>2</v>
      </c>
      <c r="X68">
        <v>6</v>
      </c>
      <c r="Y68">
        <v>5</v>
      </c>
      <c r="Z68">
        <v>3</v>
      </c>
      <c r="AA68">
        <v>2</v>
      </c>
      <c r="AB68">
        <v>7</v>
      </c>
      <c r="AC68">
        <v>2</v>
      </c>
      <c r="AD68">
        <v>5</v>
      </c>
      <c r="AE68">
        <v>5</v>
      </c>
      <c r="AF68">
        <v>3</v>
      </c>
      <c r="AG68">
        <v>2</v>
      </c>
      <c r="AH68">
        <v>6</v>
      </c>
      <c r="AI68">
        <v>3</v>
      </c>
      <c r="AJ68">
        <v>3</v>
      </c>
      <c r="AK68" t="s">
        <v>812</v>
      </c>
      <c r="AL68" t="s">
        <v>813</v>
      </c>
      <c r="AM68" t="s">
        <v>814</v>
      </c>
      <c r="AN68" t="s">
        <v>815</v>
      </c>
      <c r="AO68" t="s">
        <v>816</v>
      </c>
      <c r="AP68" t="s">
        <v>817</v>
      </c>
      <c r="AQ68" t="s">
        <v>818</v>
      </c>
      <c r="AR68" t="s">
        <v>819</v>
      </c>
      <c r="AS68" t="s">
        <v>820</v>
      </c>
    </row>
    <row r="69" spans="1:45" x14ac:dyDescent="0.45">
      <c r="A69">
        <v>68</v>
      </c>
      <c r="B69">
        <v>2058</v>
      </c>
      <c r="C69" t="s">
        <v>72</v>
      </c>
      <c r="D69" t="s">
        <v>79</v>
      </c>
      <c r="E69" t="s">
        <v>74</v>
      </c>
      <c r="F69" t="s">
        <v>77</v>
      </c>
      <c r="G69" t="s">
        <v>76</v>
      </c>
      <c r="H69">
        <v>60.426836504796071</v>
      </c>
      <c r="I69">
        <v>2</v>
      </c>
      <c r="J69">
        <v>7</v>
      </c>
      <c r="K69">
        <v>4</v>
      </c>
      <c r="L69">
        <v>3</v>
      </c>
      <c r="M69">
        <v>8</v>
      </c>
      <c r="N69">
        <v>3</v>
      </c>
      <c r="O69">
        <v>5</v>
      </c>
      <c r="P69">
        <v>9</v>
      </c>
      <c r="Q69">
        <v>1</v>
      </c>
      <c r="R69">
        <v>8</v>
      </c>
      <c r="S69">
        <v>8</v>
      </c>
      <c r="T69">
        <v>5</v>
      </c>
      <c r="U69">
        <v>3</v>
      </c>
      <c r="V69">
        <v>7</v>
      </c>
      <c r="W69">
        <v>4</v>
      </c>
      <c r="X69">
        <v>3</v>
      </c>
      <c r="Y69">
        <v>6</v>
      </c>
      <c r="Z69">
        <v>3</v>
      </c>
      <c r="AA69">
        <v>3</v>
      </c>
      <c r="AB69">
        <v>5</v>
      </c>
      <c r="AC69">
        <v>1</v>
      </c>
      <c r="AD69">
        <v>4</v>
      </c>
      <c r="AE69">
        <v>4</v>
      </c>
      <c r="AF69">
        <v>3</v>
      </c>
      <c r="AG69">
        <v>1</v>
      </c>
      <c r="AH69">
        <v>8</v>
      </c>
      <c r="AI69">
        <v>5</v>
      </c>
      <c r="AJ69">
        <v>3</v>
      </c>
      <c r="AK69" t="s">
        <v>821</v>
      </c>
      <c r="AL69" t="s">
        <v>822</v>
      </c>
      <c r="AM69" t="s">
        <v>823</v>
      </c>
      <c r="AN69" t="s">
        <v>824</v>
      </c>
      <c r="AO69" t="s">
        <v>825</v>
      </c>
      <c r="AP69" t="s">
        <v>826</v>
      </c>
      <c r="AQ69" t="s">
        <v>827</v>
      </c>
      <c r="AR69" t="s">
        <v>828</v>
      </c>
      <c r="AS69" t="s">
        <v>829</v>
      </c>
    </row>
    <row r="70" spans="1:45" x14ac:dyDescent="0.45">
      <c r="A70">
        <v>69</v>
      </c>
      <c r="B70">
        <v>2059</v>
      </c>
      <c r="C70" t="s">
        <v>78</v>
      </c>
      <c r="D70" t="s">
        <v>81</v>
      </c>
      <c r="E70" t="s">
        <v>74</v>
      </c>
      <c r="F70" t="s">
        <v>77</v>
      </c>
      <c r="G70" t="s">
        <v>76</v>
      </c>
      <c r="H70">
        <v>19.117716651787891</v>
      </c>
      <c r="I70">
        <v>0</v>
      </c>
      <c r="J70">
        <v>8</v>
      </c>
      <c r="K70">
        <v>7</v>
      </c>
      <c r="L70">
        <v>1</v>
      </c>
      <c r="M70">
        <v>9</v>
      </c>
      <c r="N70">
        <v>7</v>
      </c>
      <c r="O70">
        <v>2</v>
      </c>
      <c r="P70">
        <v>7</v>
      </c>
      <c r="Q70">
        <v>8</v>
      </c>
      <c r="R70">
        <v>-1</v>
      </c>
      <c r="S70">
        <v>9</v>
      </c>
      <c r="T70">
        <v>9</v>
      </c>
      <c r="U70">
        <v>0</v>
      </c>
      <c r="V70">
        <v>6</v>
      </c>
      <c r="W70">
        <v>8</v>
      </c>
      <c r="X70">
        <v>-2</v>
      </c>
      <c r="Y70">
        <v>8</v>
      </c>
      <c r="Z70">
        <v>10</v>
      </c>
      <c r="AA70">
        <v>-2</v>
      </c>
      <c r="AB70">
        <v>6</v>
      </c>
      <c r="AC70">
        <v>9</v>
      </c>
      <c r="AD70">
        <v>-3</v>
      </c>
      <c r="AE70">
        <v>7</v>
      </c>
      <c r="AF70">
        <v>9</v>
      </c>
      <c r="AG70">
        <v>-2</v>
      </c>
      <c r="AH70">
        <v>8</v>
      </c>
      <c r="AI70">
        <v>9</v>
      </c>
      <c r="AJ70">
        <v>-1</v>
      </c>
      <c r="AK70" t="s">
        <v>830</v>
      </c>
      <c r="AL70" t="s">
        <v>831</v>
      </c>
      <c r="AM70" t="s">
        <v>832</v>
      </c>
      <c r="AN70" t="s">
        <v>833</v>
      </c>
      <c r="AO70" t="s">
        <v>834</v>
      </c>
      <c r="AP70" t="s">
        <v>835</v>
      </c>
      <c r="AQ70" t="s">
        <v>836</v>
      </c>
      <c r="AR70" t="s">
        <v>837</v>
      </c>
      <c r="AS70" t="s">
        <v>838</v>
      </c>
    </row>
    <row r="71" spans="1:45" x14ac:dyDescent="0.45">
      <c r="A71">
        <v>70</v>
      </c>
      <c r="B71">
        <v>2060</v>
      </c>
      <c r="C71" t="s">
        <v>78</v>
      </c>
      <c r="D71" t="s">
        <v>79</v>
      </c>
      <c r="E71" t="s">
        <v>74</v>
      </c>
      <c r="F71" t="s">
        <v>75</v>
      </c>
      <c r="G71" t="s">
        <v>161</v>
      </c>
      <c r="H71">
        <v>247.17734811541334</v>
      </c>
      <c r="I71">
        <v>1</v>
      </c>
      <c r="J71">
        <v>7</v>
      </c>
      <c r="K71">
        <v>6</v>
      </c>
      <c r="L71">
        <v>1</v>
      </c>
      <c r="M71">
        <v>8</v>
      </c>
      <c r="N71">
        <v>6</v>
      </c>
      <c r="O71">
        <v>2</v>
      </c>
      <c r="P71">
        <v>9</v>
      </c>
      <c r="Q71">
        <v>5</v>
      </c>
      <c r="R71">
        <v>4</v>
      </c>
      <c r="S71">
        <v>8</v>
      </c>
      <c r="T71">
        <v>5</v>
      </c>
      <c r="U71">
        <v>3</v>
      </c>
      <c r="V71">
        <v>6</v>
      </c>
      <c r="W71">
        <v>5</v>
      </c>
      <c r="X71">
        <v>1</v>
      </c>
      <c r="Y71">
        <v>7</v>
      </c>
      <c r="Z71">
        <v>1</v>
      </c>
      <c r="AA71">
        <v>6</v>
      </c>
      <c r="AB71">
        <v>6</v>
      </c>
      <c r="AC71">
        <v>5</v>
      </c>
      <c r="AD71">
        <v>1</v>
      </c>
      <c r="AE71">
        <v>8</v>
      </c>
      <c r="AF71">
        <v>5</v>
      </c>
      <c r="AG71">
        <v>3</v>
      </c>
      <c r="AH71">
        <v>7</v>
      </c>
      <c r="AI71">
        <v>5</v>
      </c>
      <c r="AJ71">
        <v>2</v>
      </c>
      <c r="AK71" t="s">
        <v>839</v>
      </c>
      <c r="AL71" t="s">
        <v>840</v>
      </c>
      <c r="AM71" t="s">
        <v>841</v>
      </c>
      <c r="AN71" t="s">
        <v>842</v>
      </c>
      <c r="AO71" t="s">
        <v>843</v>
      </c>
      <c r="AP71" t="s">
        <v>844</v>
      </c>
      <c r="AQ71" t="s">
        <v>845</v>
      </c>
      <c r="AR71" t="s">
        <v>846</v>
      </c>
      <c r="AS71" t="s">
        <v>847</v>
      </c>
    </row>
    <row r="72" spans="1:45" x14ac:dyDescent="0.45">
      <c r="A72">
        <v>71</v>
      </c>
      <c r="B72">
        <v>2061</v>
      </c>
      <c r="C72" t="s">
        <v>72</v>
      </c>
      <c r="D72" t="s">
        <v>73</v>
      </c>
      <c r="E72" t="s">
        <v>74</v>
      </c>
      <c r="F72" t="s">
        <v>75</v>
      </c>
      <c r="G72" t="s">
        <v>76</v>
      </c>
      <c r="H72">
        <v>24.225859396582763</v>
      </c>
      <c r="I72">
        <v>2</v>
      </c>
      <c r="J72">
        <v>7</v>
      </c>
      <c r="K72">
        <v>3</v>
      </c>
      <c r="L72">
        <v>4</v>
      </c>
      <c r="M72">
        <v>8</v>
      </c>
      <c r="N72">
        <v>3</v>
      </c>
      <c r="O72">
        <v>5</v>
      </c>
      <c r="P72">
        <v>6</v>
      </c>
      <c r="Q72">
        <v>3</v>
      </c>
      <c r="R72">
        <v>3</v>
      </c>
      <c r="S72">
        <v>8</v>
      </c>
      <c r="T72">
        <v>5</v>
      </c>
      <c r="U72">
        <v>3</v>
      </c>
      <c r="V72">
        <v>7</v>
      </c>
      <c r="W72">
        <v>3</v>
      </c>
      <c r="X72">
        <v>4</v>
      </c>
      <c r="Y72">
        <v>8</v>
      </c>
      <c r="Z72">
        <v>3</v>
      </c>
      <c r="AA72">
        <v>5</v>
      </c>
      <c r="AB72">
        <v>6</v>
      </c>
      <c r="AC72">
        <v>3</v>
      </c>
      <c r="AD72">
        <v>3</v>
      </c>
      <c r="AE72">
        <v>5</v>
      </c>
      <c r="AF72">
        <v>3</v>
      </c>
      <c r="AG72">
        <v>2</v>
      </c>
      <c r="AH72">
        <v>7</v>
      </c>
      <c r="AI72">
        <v>4</v>
      </c>
      <c r="AJ72">
        <v>3</v>
      </c>
      <c r="AK72" t="s">
        <v>848</v>
      </c>
      <c r="AL72" t="s">
        <v>849</v>
      </c>
      <c r="AM72" t="s">
        <v>850</v>
      </c>
      <c r="AN72" t="s">
        <v>851</v>
      </c>
      <c r="AO72" t="s">
        <v>852</v>
      </c>
      <c r="AP72" t="s">
        <v>853</v>
      </c>
      <c r="AQ72" t="s">
        <v>854</v>
      </c>
      <c r="AR72" t="s">
        <v>855</v>
      </c>
      <c r="AS72" t="s">
        <v>856</v>
      </c>
    </row>
    <row r="73" spans="1:45" x14ac:dyDescent="0.45">
      <c r="A73">
        <v>72</v>
      </c>
      <c r="B73">
        <v>2062</v>
      </c>
      <c r="C73" t="s">
        <v>78</v>
      </c>
      <c r="D73" t="s">
        <v>73</v>
      </c>
      <c r="E73" t="s">
        <v>74</v>
      </c>
      <c r="F73" t="s">
        <v>77</v>
      </c>
      <c r="G73" t="s">
        <v>161</v>
      </c>
      <c r="H73">
        <v>21.534208899275797</v>
      </c>
      <c r="I73">
        <v>3</v>
      </c>
      <c r="J73">
        <v>6</v>
      </c>
      <c r="K73">
        <v>8</v>
      </c>
      <c r="L73">
        <v>-2</v>
      </c>
      <c r="M73">
        <v>7</v>
      </c>
      <c r="N73">
        <v>8</v>
      </c>
      <c r="O73">
        <v>-1</v>
      </c>
      <c r="P73">
        <v>8</v>
      </c>
      <c r="Q73">
        <v>4</v>
      </c>
      <c r="R73">
        <v>4</v>
      </c>
      <c r="S73">
        <v>9</v>
      </c>
      <c r="T73">
        <v>2</v>
      </c>
      <c r="U73">
        <v>7</v>
      </c>
      <c r="V73">
        <v>6</v>
      </c>
      <c r="W73">
        <v>6</v>
      </c>
      <c r="X73">
        <v>0</v>
      </c>
      <c r="Y73">
        <v>7</v>
      </c>
      <c r="Z73">
        <v>3</v>
      </c>
      <c r="AA73">
        <v>4</v>
      </c>
      <c r="AB73">
        <v>6</v>
      </c>
      <c r="AC73">
        <v>8</v>
      </c>
      <c r="AD73">
        <v>-2</v>
      </c>
      <c r="AE73">
        <v>7</v>
      </c>
      <c r="AF73">
        <v>4</v>
      </c>
      <c r="AG73">
        <v>3</v>
      </c>
      <c r="AH73">
        <v>6</v>
      </c>
      <c r="AI73">
        <v>8</v>
      </c>
      <c r="AJ73">
        <v>-2</v>
      </c>
      <c r="AK73" t="s">
        <v>857</v>
      </c>
      <c r="AL73" t="s">
        <v>858</v>
      </c>
      <c r="AM73" t="s">
        <v>859</v>
      </c>
      <c r="AN73" t="s">
        <v>860</v>
      </c>
      <c r="AO73" t="s">
        <v>861</v>
      </c>
      <c r="AP73" t="s">
        <v>862</v>
      </c>
      <c r="AQ73" t="s">
        <v>863</v>
      </c>
      <c r="AR73" t="s">
        <v>864</v>
      </c>
      <c r="AS73" t="s">
        <v>865</v>
      </c>
    </row>
    <row r="74" spans="1:45" x14ac:dyDescent="0.45">
      <c r="A74">
        <v>73</v>
      </c>
      <c r="B74">
        <v>2063</v>
      </c>
      <c r="C74" t="s">
        <v>78</v>
      </c>
      <c r="D74" t="s">
        <v>188</v>
      </c>
      <c r="E74" t="s">
        <v>74</v>
      </c>
      <c r="F74" t="s">
        <v>191</v>
      </c>
      <c r="G74" t="s">
        <v>76</v>
      </c>
      <c r="H74">
        <v>13.59025283310098</v>
      </c>
      <c r="I74">
        <v>0</v>
      </c>
      <c r="J74">
        <v>6</v>
      </c>
      <c r="K74">
        <v>5</v>
      </c>
      <c r="L74">
        <v>1</v>
      </c>
      <c r="M74">
        <v>7</v>
      </c>
      <c r="N74">
        <v>5</v>
      </c>
      <c r="O74">
        <v>2</v>
      </c>
      <c r="P74">
        <v>8</v>
      </c>
      <c r="Q74">
        <v>5</v>
      </c>
      <c r="R74">
        <v>3</v>
      </c>
      <c r="S74">
        <v>9</v>
      </c>
      <c r="T74">
        <v>5</v>
      </c>
      <c r="U74">
        <v>4</v>
      </c>
      <c r="V74">
        <v>8</v>
      </c>
      <c r="W74">
        <v>5</v>
      </c>
      <c r="X74">
        <v>3</v>
      </c>
      <c r="Y74">
        <v>6</v>
      </c>
      <c r="Z74">
        <v>10</v>
      </c>
      <c r="AA74">
        <v>-4</v>
      </c>
      <c r="AB74">
        <v>7</v>
      </c>
      <c r="AC74">
        <v>5</v>
      </c>
      <c r="AD74">
        <v>2</v>
      </c>
      <c r="AE74">
        <v>6</v>
      </c>
      <c r="AF74">
        <v>5</v>
      </c>
      <c r="AG74">
        <v>1</v>
      </c>
      <c r="AH74">
        <v>7</v>
      </c>
      <c r="AI74">
        <v>10</v>
      </c>
      <c r="AJ74">
        <v>-3</v>
      </c>
      <c r="AK74" t="s">
        <v>866</v>
      </c>
      <c r="AL74" t="s">
        <v>867</v>
      </c>
      <c r="AM74" t="s">
        <v>868</v>
      </c>
      <c r="AN74" t="s">
        <v>869</v>
      </c>
      <c r="AO74" t="s">
        <v>870</v>
      </c>
      <c r="AP74" t="s">
        <v>871</v>
      </c>
      <c r="AQ74" t="s">
        <v>872</v>
      </c>
      <c r="AR74" t="s">
        <v>873</v>
      </c>
      <c r="AS74" t="s">
        <v>874</v>
      </c>
    </row>
    <row r="75" spans="1:45" x14ac:dyDescent="0.45">
      <c r="A75">
        <v>74</v>
      </c>
      <c r="B75">
        <v>2064</v>
      </c>
      <c r="C75" t="s">
        <v>72</v>
      </c>
      <c r="D75" t="s">
        <v>73</v>
      </c>
      <c r="E75" t="s">
        <v>74</v>
      </c>
      <c r="F75" t="s">
        <v>77</v>
      </c>
      <c r="G75" t="s">
        <v>161</v>
      </c>
      <c r="H75">
        <v>20.608193558112948</v>
      </c>
      <c r="I75">
        <v>1</v>
      </c>
      <c r="J75">
        <v>8</v>
      </c>
      <c r="K75">
        <v>5</v>
      </c>
      <c r="L75">
        <v>3</v>
      </c>
      <c r="M75">
        <v>9</v>
      </c>
      <c r="N75">
        <v>10</v>
      </c>
      <c r="O75">
        <v>-1</v>
      </c>
      <c r="P75">
        <v>7</v>
      </c>
      <c r="Q75">
        <v>2</v>
      </c>
      <c r="R75">
        <v>5</v>
      </c>
      <c r="S75">
        <v>8</v>
      </c>
      <c r="T75">
        <v>8</v>
      </c>
      <c r="U75">
        <v>0</v>
      </c>
      <c r="V75">
        <v>9</v>
      </c>
      <c r="W75">
        <v>5</v>
      </c>
      <c r="X75">
        <v>4</v>
      </c>
      <c r="Y75">
        <v>7</v>
      </c>
      <c r="Z75">
        <v>5</v>
      </c>
      <c r="AA75">
        <v>2</v>
      </c>
      <c r="AB75">
        <v>8</v>
      </c>
      <c r="AC75">
        <v>1</v>
      </c>
      <c r="AD75">
        <v>7</v>
      </c>
      <c r="AE75">
        <v>6</v>
      </c>
      <c r="AF75">
        <v>4</v>
      </c>
      <c r="AG75">
        <v>2</v>
      </c>
      <c r="AH75">
        <v>8</v>
      </c>
      <c r="AI75">
        <v>5</v>
      </c>
      <c r="AJ75">
        <v>3</v>
      </c>
      <c r="AK75" t="s">
        <v>875</v>
      </c>
      <c r="AL75" t="s">
        <v>876</v>
      </c>
      <c r="AM75" t="s">
        <v>877</v>
      </c>
      <c r="AN75" t="s">
        <v>878</v>
      </c>
      <c r="AO75" t="s">
        <v>879</v>
      </c>
      <c r="AP75" t="s">
        <v>880</v>
      </c>
      <c r="AQ75" t="s">
        <v>881</v>
      </c>
      <c r="AR75" t="s">
        <v>882</v>
      </c>
      <c r="AS75" t="s">
        <v>883</v>
      </c>
    </row>
    <row r="76" spans="1:45" x14ac:dyDescent="0.45">
      <c r="A76">
        <v>75</v>
      </c>
      <c r="B76">
        <v>2065</v>
      </c>
      <c r="C76" t="s">
        <v>78</v>
      </c>
      <c r="D76" t="s">
        <v>79</v>
      </c>
      <c r="E76" t="s">
        <v>74</v>
      </c>
      <c r="F76" t="s">
        <v>75</v>
      </c>
      <c r="G76" t="s">
        <v>76</v>
      </c>
      <c r="H76">
        <v>63.766022638741298</v>
      </c>
      <c r="I76">
        <v>2</v>
      </c>
      <c r="J76">
        <v>7</v>
      </c>
      <c r="K76">
        <v>8</v>
      </c>
      <c r="L76">
        <v>-1</v>
      </c>
      <c r="M76">
        <v>8</v>
      </c>
      <c r="N76">
        <v>9</v>
      </c>
      <c r="O76">
        <v>-1</v>
      </c>
      <c r="P76">
        <v>6</v>
      </c>
      <c r="Q76">
        <v>9</v>
      </c>
      <c r="R76">
        <v>-3</v>
      </c>
      <c r="S76">
        <v>9</v>
      </c>
      <c r="T76">
        <v>9</v>
      </c>
      <c r="U76">
        <v>0</v>
      </c>
      <c r="V76">
        <v>8</v>
      </c>
      <c r="W76">
        <v>3</v>
      </c>
      <c r="X76">
        <v>5</v>
      </c>
      <c r="Y76">
        <v>7</v>
      </c>
      <c r="Z76">
        <v>3</v>
      </c>
      <c r="AA76">
        <v>4</v>
      </c>
      <c r="AB76">
        <v>8</v>
      </c>
      <c r="AC76">
        <v>2</v>
      </c>
      <c r="AD76">
        <v>6</v>
      </c>
      <c r="AE76">
        <v>7</v>
      </c>
      <c r="AF76">
        <v>2</v>
      </c>
      <c r="AG76">
        <v>5</v>
      </c>
      <c r="AH76">
        <v>9</v>
      </c>
      <c r="AI76">
        <v>6</v>
      </c>
      <c r="AJ76">
        <v>3</v>
      </c>
      <c r="AK76" t="s">
        <v>884</v>
      </c>
      <c r="AL76" t="s">
        <v>885</v>
      </c>
      <c r="AM76" t="s">
        <v>886</v>
      </c>
      <c r="AN76" t="s">
        <v>887</v>
      </c>
      <c r="AO76" t="s">
        <v>888</v>
      </c>
      <c r="AP76" t="s">
        <v>889</v>
      </c>
      <c r="AQ76" t="s">
        <v>890</v>
      </c>
      <c r="AR76" t="s">
        <v>891</v>
      </c>
      <c r="AS76" t="s">
        <v>892</v>
      </c>
    </row>
    <row r="77" spans="1:45" x14ac:dyDescent="0.45">
      <c r="A77">
        <v>76</v>
      </c>
      <c r="B77">
        <v>2066</v>
      </c>
      <c r="C77" t="s">
        <v>78</v>
      </c>
      <c r="D77" t="s">
        <v>79</v>
      </c>
      <c r="E77" t="s">
        <v>80</v>
      </c>
      <c r="F77" t="s">
        <v>191</v>
      </c>
      <c r="G77" t="s">
        <v>161</v>
      </c>
      <c r="H77">
        <v>12.049198880927142</v>
      </c>
      <c r="I77">
        <v>3</v>
      </c>
      <c r="J77">
        <v>8</v>
      </c>
      <c r="K77">
        <v>5</v>
      </c>
      <c r="L77">
        <v>3</v>
      </c>
      <c r="M77">
        <v>7</v>
      </c>
      <c r="N77">
        <v>5</v>
      </c>
      <c r="O77">
        <v>2</v>
      </c>
      <c r="P77">
        <v>9</v>
      </c>
      <c r="Q77">
        <v>5</v>
      </c>
      <c r="R77">
        <v>4</v>
      </c>
      <c r="S77">
        <v>8</v>
      </c>
      <c r="T77">
        <v>5</v>
      </c>
      <c r="U77">
        <v>3</v>
      </c>
      <c r="V77">
        <v>6</v>
      </c>
      <c r="W77">
        <v>5</v>
      </c>
      <c r="X77">
        <v>1</v>
      </c>
      <c r="Y77">
        <v>5</v>
      </c>
      <c r="Z77">
        <v>5</v>
      </c>
      <c r="AA77">
        <v>0</v>
      </c>
      <c r="AB77">
        <v>4</v>
      </c>
      <c r="AC77">
        <v>5</v>
      </c>
      <c r="AD77">
        <v>-1</v>
      </c>
      <c r="AE77">
        <v>3</v>
      </c>
      <c r="AF77">
        <v>5</v>
      </c>
      <c r="AG77">
        <v>-2</v>
      </c>
      <c r="AH77">
        <v>5</v>
      </c>
      <c r="AI77">
        <v>5</v>
      </c>
      <c r="AJ77">
        <v>0</v>
      </c>
      <c r="AK77" t="s">
        <v>893</v>
      </c>
      <c r="AL77" t="s">
        <v>894</v>
      </c>
      <c r="AM77" t="s">
        <v>895</v>
      </c>
      <c r="AN77" t="s">
        <v>896</v>
      </c>
      <c r="AO77" t="s">
        <v>897</v>
      </c>
      <c r="AP77" t="s">
        <v>898</v>
      </c>
      <c r="AQ77" t="s">
        <v>899</v>
      </c>
      <c r="AR77" t="s">
        <v>900</v>
      </c>
      <c r="AS77" t="s">
        <v>901</v>
      </c>
    </row>
    <row r="78" spans="1:45" x14ac:dyDescent="0.45">
      <c r="A78">
        <v>77</v>
      </c>
      <c r="B78">
        <v>2067</v>
      </c>
      <c r="C78" t="s">
        <v>72</v>
      </c>
      <c r="D78" t="s">
        <v>190</v>
      </c>
      <c r="E78" t="s">
        <v>74</v>
      </c>
      <c r="F78" t="s">
        <v>77</v>
      </c>
      <c r="G78" t="s">
        <v>76</v>
      </c>
      <c r="H78">
        <v>16.163866161295601</v>
      </c>
      <c r="I78">
        <v>2</v>
      </c>
      <c r="J78">
        <v>6</v>
      </c>
      <c r="K78">
        <v>8</v>
      </c>
      <c r="L78">
        <v>-2</v>
      </c>
      <c r="M78">
        <v>7</v>
      </c>
      <c r="N78">
        <v>8</v>
      </c>
      <c r="O78">
        <v>-1</v>
      </c>
      <c r="P78">
        <v>8</v>
      </c>
      <c r="Q78">
        <v>8</v>
      </c>
      <c r="R78">
        <v>0</v>
      </c>
      <c r="S78">
        <v>7</v>
      </c>
      <c r="T78">
        <v>8</v>
      </c>
      <c r="U78">
        <v>-1</v>
      </c>
      <c r="V78">
        <v>8</v>
      </c>
      <c r="W78">
        <v>9</v>
      </c>
      <c r="X78">
        <v>-1</v>
      </c>
      <c r="Y78">
        <v>6</v>
      </c>
      <c r="Z78">
        <v>7</v>
      </c>
      <c r="AA78">
        <v>-1</v>
      </c>
      <c r="AB78">
        <v>5</v>
      </c>
      <c r="AC78">
        <v>9</v>
      </c>
      <c r="AD78">
        <v>-4</v>
      </c>
      <c r="AE78">
        <v>6</v>
      </c>
      <c r="AF78">
        <v>10</v>
      </c>
      <c r="AG78">
        <v>-4</v>
      </c>
      <c r="AH78">
        <v>7</v>
      </c>
      <c r="AI78">
        <v>8</v>
      </c>
      <c r="AJ78">
        <v>-1</v>
      </c>
      <c r="AK78" t="s">
        <v>902</v>
      </c>
      <c r="AL78" t="s">
        <v>903</v>
      </c>
      <c r="AM78" t="s">
        <v>904</v>
      </c>
      <c r="AN78" t="s">
        <v>905</v>
      </c>
      <c r="AO78" t="s">
        <v>906</v>
      </c>
      <c r="AP78" t="s">
        <v>907</v>
      </c>
      <c r="AQ78" t="s">
        <v>908</v>
      </c>
      <c r="AR78" t="s">
        <v>909</v>
      </c>
      <c r="AS78" t="s">
        <v>910</v>
      </c>
    </row>
    <row r="79" spans="1:45" x14ac:dyDescent="0.45">
      <c r="A79">
        <v>78</v>
      </c>
      <c r="B79">
        <v>2068</v>
      </c>
      <c r="C79" t="s">
        <v>72</v>
      </c>
      <c r="D79" t="s">
        <v>73</v>
      </c>
      <c r="E79" t="s">
        <v>74</v>
      </c>
      <c r="F79" t="s">
        <v>75</v>
      </c>
      <c r="G79" t="s">
        <v>76</v>
      </c>
      <c r="H79">
        <v>43.928510667121479</v>
      </c>
      <c r="I79">
        <v>2</v>
      </c>
      <c r="J79">
        <v>6</v>
      </c>
      <c r="K79">
        <v>8</v>
      </c>
      <c r="L79">
        <v>-2</v>
      </c>
      <c r="M79">
        <v>7</v>
      </c>
      <c r="N79">
        <v>7</v>
      </c>
      <c r="O79">
        <v>0</v>
      </c>
      <c r="P79">
        <v>5</v>
      </c>
      <c r="Q79">
        <v>9</v>
      </c>
      <c r="R79">
        <v>-4</v>
      </c>
      <c r="S79">
        <v>6</v>
      </c>
      <c r="T79">
        <v>8</v>
      </c>
      <c r="U79">
        <v>-2</v>
      </c>
      <c r="V79">
        <v>7</v>
      </c>
      <c r="W79">
        <v>8</v>
      </c>
      <c r="X79">
        <v>-1</v>
      </c>
      <c r="Y79">
        <v>8</v>
      </c>
      <c r="Z79">
        <v>8</v>
      </c>
      <c r="AA79">
        <v>0</v>
      </c>
      <c r="AB79">
        <v>7</v>
      </c>
      <c r="AC79">
        <v>6</v>
      </c>
      <c r="AD79">
        <v>1</v>
      </c>
      <c r="AE79">
        <v>8</v>
      </c>
      <c r="AF79">
        <v>6</v>
      </c>
      <c r="AG79">
        <v>2</v>
      </c>
      <c r="AH79">
        <v>7</v>
      </c>
      <c r="AI79">
        <v>7</v>
      </c>
      <c r="AJ79">
        <v>0</v>
      </c>
      <c r="AK79" t="s">
        <v>911</v>
      </c>
      <c r="AL79" t="s">
        <v>912</v>
      </c>
      <c r="AM79" t="s">
        <v>913</v>
      </c>
      <c r="AN79" t="s">
        <v>914</v>
      </c>
      <c r="AO79" t="s">
        <v>915</v>
      </c>
      <c r="AP79" t="s">
        <v>916</v>
      </c>
      <c r="AQ79" t="s">
        <v>917</v>
      </c>
      <c r="AR79" t="s">
        <v>918</v>
      </c>
      <c r="AS79" t="s">
        <v>919</v>
      </c>
    </row>
    <row r="80" spans="1:45" x14ac:dyDescent="0.45">
      <c r="A80">
        <v>79</v>
      </c>
      <c r="B80">
        <v>2069</v>
      </c>
      <c r="C80" t="s">
        <v>72</v>
      </c>
      <c r="D80" t="s">
        <v>192</v>
      </c>
      <c r="E80" t="s">
        <v>74</v>
      </c>
      <c r="F80" t="s">
        <v>191</v>
      </c>
      <c r="G80" t="s">
        <v>161</v>
      </c>
      <c r="H80">
        <v>13.564374857538178</v>
      </c>
      <c r="I80">
        <v>0</v>
      </c>
      <c r="J80">
        <v>7</v>
      </c>
      <c r="K80">
        <v>6</v>
      </c>
      <c r="L80">
        <v>1</v>
      </c>
      <c r="M80">
        <v>7</v>
      </c>
      <c r="N80">
        <v>2</v>
      </c>
      <c r="O80">
        <v>5</v>
      </c>
      <c r="P80">
        <v>6</v>
      </c>
      <c r="Q80">
        <v>3</v>
      </c>
      <c r="R80">
        <v>3</v>
      </c>
      <c r="S80">
        <v>6</v>
      </c>
      <c r="T80">
        <v>2</v>
      </c>
      <c r="U80">
        <v>4</v>
      </c>
      <c r="V80">
        <v>7</v>
      </c>
      <c r="W80">
        <v>3</v>
      </c>
      <c r="X80">
        <v>4</v>
      </c>
      <c r="Y80">
        <v>8</v>
      </c>
      <c r="Z80">
        <v>7</v>
      </c>
      <c r="AA80">
        <v>1</v>
      </c>
      <c r="AB80">
        <v>6</v>
      </c>
      <c r="AC80">
        <v>5</v>
      </c>
      <c r="AD80">
        <v>1</v>
      </c>
      <c r="AE80">
        <v>5</v>
      </c>
      <c r="AF80">
        <v>5</v>
      </c>
      <c r="AG80">
        <v>0</v>
      </c>
      <c r="AH80">
        <v>6</v>
      </c>
      <c r="AI80">
        <v>7</v>
      </c>
      <c r="AJ80">
        <v>-1</v>
      </c>
      <c r="AK80" t="s">
        <v>920</v>
      </c>
      <c r="AL80" t="s">
        <v>921</v>
      </c>
      <c r="AM80" t="s">
        <v>922</v>
      </c>
      <c r="AN80" t="s">
        <v>923</v>
      </c>
      <c r="AO80" t="s">
        <v>924</v>
      </c>
      <c r="AP80" t="s">
        <v>925</v>
      </c>
      <c r="AQ80" t="s">
        <v>926</v>
      </c>
      <c r="AR80" t="s">
        <v>927</v>
      </c>
      <c r="AS80" t="s">
        <v>928</v>
      </c>
    </row>
    <row r="81" spans="1:45" x14ac:dyDescent="0.45">
      <c r="A81">
        <v>80</v>
      </c>
      <c r="B81">
        <v>2070</v>
      </c>
      <c r="C81" t="s">
        <v>78</v>
      </c>
      <c r="D81" t="s">
        <v>81</v>
      </c>
      <c r="E81" t="s">
        <v>74</v>
      </c>
      <c r="F81" t="s">
        <v>77</v>
      </c>
      <c r="G81" t="s">
        <v>76</v>
      </c>
      <c r="H81">
        <v>13.25907015471039</v>
      </c>
      <c r="I81">
        <v>0</v>
      </c>
      <c r="J81">
        <v>7</v>
      </c>
      <c r="K81">
        <v>8</v>
      </c>
      <c r="L81">
        <v>-1</v>
      </c>
      <c r="M81">
        <v>8</v>
      </c>
      <c r="N81">
        <v>8</v>
      </c>
      <c r="O81">
        <v>0</v>
      </c>
      <c r="P81">
        <v>6</v>
      </c>
      <c r="Q81">
        <v>8</v>
      </c>
      <c r="R81">
        <v>-2</v>
      </c>
      <c r="S81">
        <v>8</v>
      </c>
      <c r="T81">
        <v>8</v>
      </c>
      <c r="U81">
        <v>0</v>
      </c>
      <c r="V81">
        <v>5</v>
      </c>
      <c r="W81">
        <v>8</v>
      </c>
      <c r="X81">
        <v>-3</v>
      </c>
      <c r="Y81">
        <v>7</v>
      </c>
      <c r="Z81">
        <v>8</v>
      </c>
      <c r="AA81">
        <v>-1</v>
      </c>
      <c r="AB81">
        <v>6</v>
      </c>
      <c r="AC81">
        <v>8</v>
      </c>
      <c r="AD81">
        <v>-2</v>
      </c>
      <c r="AE81">
        <v>7</v>
      </c>
      <c r="AF81">
        <v>8</v>
      </c>
      <c r="AG81">
        <v>-1</v>
      </c>
      <c r="AH81">
        <v>5</v>
      </c>
      <c r="AI81">
        <v>8</v>
      </c>
      <c r="AJ81">
        <v>-3</v>
      </c>
      <c r="AK81" t="s">
        <v>929</v>
      </c>
      <c r="AL81" t="s">
        <v>930</v>
      </c>
      <c r="AM81" t="s">
        <v>931</v>
      </c>
      <c r="AN81" t="s">
        <v>932</v>
      </c>
      <c r="AO81" t="s">
        <v>933</v>
      </c>
      <c r="AP81" t="s">
        <v>934</v>
      </c>
      <c r="AQ81" t="s">
        <v>935</v>
      </c>
      <c r="AR81" t="s">
        <v>936</v>
      </c>
      <c r="AS81" t="s">
        <v>937</v>
      </c>
    </row>
    <row r="82" spans="1:45" x14ac:dyDescent="0.45">
      <c r="A82">
        <v>81</v>
      </c>
      <c r="B82">
        <v>2071</v>
      </c>
      <c r="C82" t="s">
        <v>78</v>
      </c>
      <c r="D82" t="s">
        <v>192</v>
      </c>
      <c r="E82" t="s">
        <v>74</v>
      </c>
      <c r="F82" t="s">
        <v>75</v>
      </c>
      <c r="G82" t="s">
        <v>161</v>
      </c>
      <c r="H82">
        <v>12</v>
      </c>
      <c r="I82">
        <v>0</v>
      </c>
      <c r="J82">
        <v>7</v>
      </c>
      <c r="K82">
        <v>7</v>
      </c>
      <c r="L82">
        <v>0</v>
      </c>
      <c r="M82">
        <v>8</v>
      </c>
      <c r="N82">
        <v>7</v>
      </c>
      <c r="O82">
        <v>1</v>
      </c>
      <c r="P82">
        <v>6</v>
      </c>
      <c r="Q82">
        <v>5</v>
      </c>
      <c r="R82">
        <v>1</v>
      </c>
      <c r="S82">
        <v>9</v>
      </c>
      <c r="T82">
        <v>5</v>
      </c>
      <c r="U82">
        <v>4</v>
      </c>
      <c r="V82">
        <v>7</v>
      </c>
      <c r="W82">
        <v>6</v>
      </c>
      <c r="X82">
        <v>1</v>
      </c>
      <c r="Y82">
        <v>8</v>
      </c>
      <c r="Z82">
        <v>5</v>
      </c>
      <c r="AA82">
        <v>3</v>
      </c>
      <c r="AB82">
        <v>7</v>
      </c>
      <c r="AC82">
        <v>8</v>
      </c>
      <c r="AD82">
        <v>-1</v>
      </c>
      <c r="AE82">
        <v>6</v>
      </c>
      <c r="AF82">
        <v>6</v>
      </c>
      <c r="AG82">
        <v>0</v>
      </c>
      <c r="AH82">
        <v>7</v>
      </c>
      <c r="AI82">
        <v>8</v>
      </c>
      <c r="AJ82">
        <v>-1</v>
      </c>
      <c r="AK82" t="s">
        <v>938</v>
      </c>
      <c r="AL82" t="s">
        <v>939</v>
      </c>
      <c r="AM82" t="s">
        <v>940</v>
      </c>
      <c r="AN82" t="s">
        <v>941</v>
      </c>
      <c r="AO82" t="s">
        <v>942</v>
      </c>
      <c r="AP82" t="s">
        <v>943</v>
      </c>
      <c r="AQ82" t="s">
        <v>944</v>
      </c>
      <c r="AR82" t="s">
        <v>945</v>
      </c>
      <c r="AS82" t="s">
        <v>946</v>
      </c>
    </row>
    <row r="83" spans="1:45" x14ac:dyDescent="0.45">
      <c r="A83">
        <v>82</v>
      </c>
      <c r="B83">
        <v>2072</v>
      </c>
      <c r="C83" t="s">
        <v>72</v>
      </c>
      <c r="D83" t="s">
        <v>192</v>
      </c>
      <c r="E83" t="s">
        <v>74</v>
      </c>
      <c r="F83" t="s">
        <v>77</v>
      </c>
      <c r="G83" t="s">
        <v>161</v>
      </c>
      <c r="H83">
        <v>13.436490089019367</v>
      </c>
      <c r="I83">
        <v>1</v>
      </c>
      <c r="J83">
        <v>7</v>
      </c>
      <c r="K83">
        <v>8</v>
      </c>
      <c r="L83">
        <v>-1</v>
      </c>
      <c r="M83">
        <v>8</v>
      </c>
      <c r="N83">
        <v>9</v>
      </c>
      <c r="O83">
        <v>-1</v>
      </c>
      <c r="P83">
        <v>6</v>
      </c>
      <c r="Q83">
        <v>5</v>
      </c>
      <c r="R83">
        <v>1</v>
      </c>
      <c r="S83">
        <v>9</v>
      </c>
      <c r="T83">
        <v>5</v>
      </c>
      <c r="U83">
        <v>4</v>
      </c>
      <c r="V83">
        <v>8</v>
      </c>
      <c r="W83">
        <v>5</v>
      </c>
      <c r="X83">
        <v>3</v>
      </c>
      <c r="Y83">
        <v>7</v>
      </c>
      <c r="Z83">
        <v>5</v>
      </c>
      <c r="AA83">
        <v>2</v>
      </c>
      <c r="AB83">
        <v>6</v>
      </c>
      <c r="AC83">
        <v>1</v>
      </c>
      <c r="AD83">
        <v>5</v>
      </c>
      <c r="AE83">
        <v>8</v>
      </c>
      <c r="AF83">
        <v>5</v>
      </c>
      <c r="AG83">
        <v>3</v>
      </c>
      <c r="AH83">
        <v>9</v>
      </c>
      <c r="AI83">
        <v>5</v>
      </c>
      <c r="AJ83">
        <v>4</v>
      </c>
      <c r="AK83" t="s">
        <v>947</v>
      </c>
      <c r="AL83" t="s">
        <v>948</v>
      </c>
      <c r="AM83" t="s">
        <v>949</v>
      </c>
      <c r="AN83" t="s">
        <v>950</v>
      </c>
      <c r="AO83" t="s">
        <v>951</v>
      </c>
      <c r="AP83" t="s">
        <v>952</v>
      </c>
      <c r="AQ83" t="s">
        <v>953</v>
      </c>
      <c r="AR83" t="s">
        <v>954</v>
      </c>
      <c r="AS83" t="s">
        <v>955</v>
      </c>
    </row>
    <row r="84" spans="1:45" x14ac:dyDescent="0.45">
      <c r="A84">
        <v>83</v>
      </c>
      <c r="B84">
        <v>2073</v>
      </c>
      <c r="C84" t="s">
        <v>72</v>
      </c>
      <c r="D84" t="s">
        <v>79</v>
      </c>
      <c r="E84" t="s">
        <v>74</v>
      </c>
      <c r="F84" t="s">
        <v>75</v>
      </c>
      <c r="G84" t="s">
        <v>76</v>
      </c>
      <c r="H84">
        <v>16.910354443510919</v>
      </c>
      <c r="I84">
        <v>2</v>
      </c>
      <c r="J84">
        <v>7</v>
      </c>
      <c r="K84">
        <v>10</v>
      </c>
      <c r="L84">
        <v>-3</v>
      </c>
      <c r="M84">
        <v>6</v>
      </c>
      <c r="N84">
        <v>8</v>
      </c>
      <c r="O84">
        <v>-2</v>
      </c>
      <c r="P84">
        <v>9</v>
      </c>
      <c r="Q84">
        <v>8</v>
      </c>
      <c r="R84">
        <v>1</v>
      </c>
      <c r="S84">
        <v>8</v>
      </c>
      <c r="T84">
        <v>7</v>
      </c>
      <c r="U84">
        <v>1</v>
      </c>
      <c r="V84">
        <v>7</v>
      </c>
      <c r="W84">
        <v>7</v>
      </c>
      <c r="X84">
        <v>0</v>
      </c>
      <c r="Y84">
        <v>8</v>
      </c>
      <c r="Z84">
        <v>6</v>
      </c>
      <c r="AA84">
        <v>2</v>
      </c>
      <c r="AB84">
        <v>6</v>
      </c>
      <c r="AC84">
        <v>7</v>
      </c>
      <c r="AD84">
        <v>-1</v>
      </c>
      <c r="AE84">
        <v>5</v>
      </c>
      <c r="AF84">
        <v>6</v>
      </c>
      <c r="AG84">
        <v>-1</v>
      </c>
      <c r="AH84">
        <v>8</v>
      </c>
      <c r="AI84">
        <v>8</v>
      </c>
      <c r="AJ84">
        <v>0</v>
      </c>
      <c r="AK84" t="s">
        <v>956</v>
      </c>
      <c r="AL84" t="s">
        <v>957</v>
      </c>
      <c r="AM84" t="s">
        <v>958</v>
      </c>
      <c r="AN84" t="s">
        <v>959</v>
      </c>
      <c r="AO84" t="s">
        <v>960</v>
      </c>
      <c r="AP84" t="s">
        <v>961</v>
      </c>
      <c r="AQ84" t="s">
        <v>962</v>
      </c>
      <c r="AR84" t="s">
        <v>963</v>
      </c>
      <c r="AS84" t="s">
        <v>964</v>
      </c>
    </row>
    <row r="85" spans="1:45" x14ac:dyDescent="0.45">
      <c r="A85">
        <v>84</v>
      </c>
      <c r="B85">
        <v>2074</v>
      </c>
      <c r="C85" t="s">
        <v>72</v>
      </c>
      <c r="D85" t="s">
        <v>73</v>
      </c>
      <c r="E85" t="s">
        <v>74</v>
      </c>
      <c r="F85" t="s">
        <v>189</v>
      </c>
      <c r="G85" t="s">
        <v>76</v>
      </c>
      <c r="H85">
        <v>12.849936354493103</v>
      </c>
      <c r="I85">
        <v>1</v>
      </c>
      <c r="J85">
        <v>7</v>
      </c>
      <c r="K85">
        <v>6</v>
      </c>
      <c r="L85">
        <v>1</v>
      </c>
      <c r="M85">
        <v>8</v>
      </c>
      <c r="N85">
        <v>7</v>
      </c>
      <c r="O85">
        <v>1</v>
      </c>
      <c r="P85">
        <v>6</v>
      </c>
      <c r="Q85">
        <v>5</v>
      </c>
      <c r="R85">
        <v>1</v>
      </c>
      <c r="S85">
        <v>7</v>
      </c>
      <c r="T85">
        <v>5</v>
      </c>
      <c r="U85">
        <v>2</v>
      </c>
      <c r="V85">
        <v>8</v>
      </c>
      <c r="W85">
        <v>5</v>
      </c>
      <c r="X85">
        <v>3</v>
      </c>
      <c r="Y85">
        <v>9</v>
      </c>
      <c r="Z85">
        <v>5</v>
      </c>
      <c r="AA85">
        <v>4</v>
      </c>
      <c r="AB85">
        <v>6</v>
      </c>
      <c r="AC85">
        <v>5</v>
      </c>
      <c r="AD85">
        <v>1</v>
      </c>
      <c r="AE85">
        <v>5</v>
      </c>
      <c r="AF85">
        <v>5</v>
      </c>
      <c r="AG85">
        <v>0</v>
      </c>
      <c r="AH85">
        <v>7</v>
      </c>
      <c r="AI85">
        <v>5</v>
      </c>
      <c r="AJ85">
        <v>2</v>
      </c>
      <c r="AK85" t="s">
        <v>965</v>
      </c>
      <c r="AL85" t="s">
        <v>966</v>
      </c>
      <c r="AM85" t="s">
        <v>967</v>
      </c>
      <c r="AN85" t="s">
        <v>968</v>
      </c>
      <c r="AO85" t="s">
        <v>969</v>
      </c>
      <c r="AP85" t="s">
        <v>970</v>
      </c>
      <c r="AQ85" t="s">
        <v>971</v>
      </c>
      <c r="AR85" t="s">
        <v>972</v>
      </c>
      <c r="AS85" t="s">
        <v>973</v>
      </c>
    </row>
    <row r="86" spans="1:45" x14ac:dyDescent="0.45">
      <c r="A86">
        <v>85</v>
      </c>
      <c r="B86">
        <v>2075</v>
      </c>
      <c r="C86" t="s">
        <v>72</v>
      </c>
      <c r="D86" t="s">
        <v>79</v>
      </c>
      <c r="E86" t="s">
        <v>74</v>
      </c>
      <c r="F86" t="s">
        <v>77</v>
      </c>
      <c r="G86" t="s">
        <v>76</v>
      </c>
      <c r="H86">
        <v>15.171834045282333</v>
      </c>
      <c r="I86">
        <v>2</v>
      </c>
      <c r="J86">
        <v>6</v>
      </c>
      <c r="K86">
        <v>9</v>
      </c>
      <c r="L86">
        <v>-3</v>
      </c>
      <c r="M86">
        <v>7</v>
      </c>
      <c r="N86">
        <v>9</v>
      </c>
      <c r="O86">
        <v>-2</v>
      </c>
      <c r="P86">
        <v>8</v>
      </c>
      <c r="Q86">
        <v>8</v>
      </c>
      <c r="R86">
        <v>0</v>
      </c>
      <c r="S86">
        <v>9</v>
      </c>
      <c r="T86">
        <v>9</v>
      </c>
      <c r="U86">
        <v>0</v>
      </c>
      <c r="V86">
        <v>7</v>
      </c>
      <c r="W86">
        <v>9</v>
      </c>
      <c r="X86">
        <v>-2</v>
      </c>
      <c r="Y86">
        <v>6</v>
      </c>
      <c r="Z86">
        <v>9</v>
      </c>
      <c r="AA86">
        <v>-3</v>
      </c>
      <c r="AB86">
        <v>7</v>
      </c>
      <c r="AC86">
        <v>7</v>
      </c>
      <c r="AD86">
        <v>0</v>
      </c>
      <c r="AE86">
        <v>5</v>
      </c>
      <c r="AF86">
        <v>8</v>
      </c>
      <c r="AG86">
        <v>-3</v>
      </c>
      <c r="AH86">
        <v>7</v>
      </c>
      <c r="AI86">
        <v>8</v>
      </c>
      <c r="AJ86">
        <v>-1</v>
      </c>
      <c r="AK86" t="s">
        <v>974</v>
      </c>
      <c r="AL86" t="s">
        <v>975</v>
      </c>
      <c r="AM86" t="s">
        <v>976</v>
      </c>
      <c r="AN86" t="s">
        <v>977</v>
      </c>
      <c r="AO86" t="s">
        <v>978</v>
      </c>
      <c r="AP86" t="s">
        <v>979</v>
      </c>
      <c r="AQ86" t="s">
        <v>980</v>
      </c>
      <c r="AR86" t="s">
        <v>981</v>
      </c>
      <c r="AS86" t="s">
        <v>982</v>
      </c>
    </row>
    <row r="87" spans="1:45" x14ac:dyDescent="0.45">
      <c r="A87">
        <v>86</v>
      </c>
      <c r="B87">
        <v>2076</v>
      </c>
      <c r="C87" t="s">
        <v>78</v>
      </c>
      <c r="D87" t="s">
        <v>73</v>
      </c>
      <c r="E87" t="s">
        <v>80</v>
      </c>
      <c r="F87" t="s">
        <v>77</v>
      </c>
      <c r="G87" t="s">
        <v>76</v>
      </c>
      <c r="H87">
        <v>12.678193407051058</v>
      </c>
      <c r="I87">
        <v>0</v>
      </c>
      <c r="J87">
        <v>7</v>
      </c>
      <c r="K87">
        <v>5</v>
      </c>
      <c r="L87">
        <v>2</v>
      </c>
      <c r="M87">
        <v>6</v>
      </c>
      <c r="N87">
        <v>5</v>
      </c>
      <c r="O87">
        <v>1</v>
      </c>
      <c r="P87">
        <v>8</v>
      </c>
      <c r="Q87">
        <v>10</v>
      </c>
      <c r="R87">
        <v>-2</v>
      </c>
      <c r="S87">
        <v>7</v>
      </c>
      <c r="T87">
        <v>4</v>
      </c>
      <c r="U87">
        <v>3</v>
      </c>
      <c r="V87">
        <v>6</v>
      </c>
      <c r="W87">
        <v>4</v>
      </c>
      <c r="X87">
        <v>2</v>
      </c>
      <c r="Y87">
        <v>5</v>
      </c>
      <c r="Z87">
        <v>5</v>
      </c>
      <c r="AA87">
        <v>0</v>
      </c>
      <c r="AB87">
        <v>7</v>
      </c>
      <c r="AC87">
        <v>5</v>
      </c>
      <c r="AD87">
        <v>2</v>
      </c>
      <c r="AE87">
        <v>5</v>
      </c>
      <c r="AF87">
        <v>8</v>
      </c>
      <c r="AG87">
        <v>-3</v>
      </c>
      <c r="AH87">
        <v>6</v>
      </c>
      <c r="AI87">
        <v>8</v>
      </c>
      <c r="AJ87">
        <v>-2</v>
      </c>
      <c r="AK87" t="s">
        <v>983</v>
      </c>
      <c r="AL87" t="s">
        <v>984</v>
      </c>
      <c r="AM87" t="s">
        <v>985</v>
      </c>
      <c r="AN87" t="s">
        <v>986</v>
      </c>
      <c r="AO87" t="s">
        <v>987</v>
      </c>
      <c r="AP87" t="s">
        <v>988</v>
      </c>
      <c r="AQ87" t="s">
        <v>989</v>
      </c>
      <c r="AR87" t="s">
        <v>990</v>
      </c>
      <c r="AS87" t="s">
        <v>991</v>
      </c>
    </row>
    <row r="88" spans="1:45" x14ac:dyDescent="0.45">
      <c r="A88">
        <v>87</v>
      </c>
      <c r="B88">
        <v>2077</v>
      </c>
      <c r="C88" t="s">
        <v>78</v>
      </c>
      <c r="D88" t="s">
        <v>79</v>
      </c>
      <c r="E88" t="s">
        <v>74</v>
      </c>
      <c r="F88" t="s">
        <v>77</v>
      </c>
      <c r="G88" t="s">
        <v>76</v>
      </c>
      <c r="H88">
        <v>16.885397967793473</v>
      </c>
      <c r="I88">
        <v>2</v>
      </c>
      <c r="J88">
        <v>7</v>
      </c>
      <c r="K88">
        <v>10</v>
      </c>
      <c r="L88">
        <v>-3</v>
      </c>
      <c r="M88">
        <v>8</v>
      </c>
      <c r="N88">
        <v>9</v>
      </c>
      <c r="O88">
        <v>-1</v>
      </c>
      <c r="P88">
        <v>5</v>
      </c>
      <c r="Q88">
        <v>9</v>
      </c>
      <c r="R88">
        <v>-4</v>
      </c>
      <c r="S88">
        <v>6</v>
      </c>
      <c r="T88">
        <v>9</v>
      </c>
      <c r="U88">
        <v>-3</v>
      </c>
      <c r="V88">
        <v>7</v>
      </c>
      <c r="W88">
        <v>9</v>
      </c>
      <c r="X88">
        <v>-2</v>
      </c>
      <c r="Y88">
        <v>8</v>
      </c>
      <c r="Z88">
        <v>9</v>
      </c>
      <c r="AA88">
        <v>-1</v>
      </c>
      <c r="AB88">
        <v>6</v>
      </c>
      <c r="AC88">
        <v>10</v>
      </c>
      <c r="AD88">
        <v>-4</v>
      </c>
      <c r="AE88">
        <v>7</v>
      </c>
      <c r="AF88">
        <v>9</v>
      </c>
      <c r="AG88">
        <v>-2</v>
      </c>
      <c r="AH88">
        <v>6</v>
      </c>
      <c r="AI88">
        <v>10</v>
      </c>
      <c r="AJ88">
        <v>-4</v>
      </c>
      <c r="AK88" t="s">
        <v>992</v>
      </c>
      <c r="AL88" t="s">
        <v>993</v>
      </c>
      <c r="AM88" t="s">
        <v>994</v>
      </c>
      <c r="AN88" t="s">
        <v>995</v>
      </c>
      <c r="AO88" t="s">
        <v>996</v>
      </c>
      <c r="AP88" t="s">
        <v>997</v>
      </c>
      <c r="AQ88" t="s">
        <v>998</v>
      </c>
      <c r="AR88" t="s">
        <v>999</v>
      </c>
      <c r="AS88" t="s">
        <v>1000</v>
      </c>
    </row>
    <row r="89" spans="1:45" x14ac:dyDescent="0.45">
      <c r="A89">
        <v>88</v>
      </c>
      <c r="B89">
        <v>2078</v>
      </c>
      <c r="C89" t="s">
        <v>72</v>
      </c>
      <c r="D89" t="s">
        <v>79</v>
      </c>
      <c r="E89" t="s">
        <v>74</v>
      </c>
      <c r="F89" t="s">
        <v>191</v>
      </c>
      <c r="G89" t="s">
        <v>76</v>
      </c>
      <c r="H89">
        <v>12</v>
      </c>
      <c r="I89">
        <v>2</v>
      </c>
      <c r="J89">
        <v>7</v>
      </c>
      <c r="K89">
        <v>10</v>
      </c>
      <c r="L89">
        <v>-3</v>
      </c>
      <c r="M89">
        <v>6</v>
      </c>
      <c r="N89">
        <v>10</v>
      </c>
      <c r="O89">
        <v>-4</v>
      </c>
      <c r="P89">
        <v>8</v>
      </c>
      <c r="Q89">
        <v>10</v>
      </c>
      <c r="R89">
        <v>-2</v>
      </c>
      <c r="S89">
        <v>9</v>
      </c>
      <c r="T89">
        <v>10</v>
      </c>
      <c r="U89">
        <v>-1</v>
      </c>
      <c r="V89">
        <v>7</v>
      </c>
      <c r="W89">
        <v>10</v>
      </c>
      <c r="X89">
        <v>-3</v>
      </c>
      <c r="Y89">
        <v>8</v>
      </c>
      <c r="Z89">
        <v>10</v>
      </c>
      <c r="AA89">
        <v>-2</v>
      </c>
      <c r="AB89">
        <v>6</v>
      </c>
      <c r="AC89">
        <v>10</v>
      </c>
      <c r="AD89">
        <v>-4</v>
      </c>
      <c r="AE89">
        <v>7</v>
      </c>
      <c r="AF89">
        <v>10</v>
      </c>
      <c r="AG89">
        <v>-3</v>
      </c>
      <c r="AH89">
        <v>9</v>
      </c>
      <c r="AI89">
        <v>10</v>
      </c>
      <c r="AJ89">
        <v>-1</v>
      </c>
      <c r="AK89" t="s">
        <v>1001</v>
      </c>
      <c r="AL89" t="s">
        <v>1002</v>
      </c>
      <c r="AM89" t="s">
        <v>1003</v>
      </c>
      <c r="AN89" t="s">
        <v>1004</v>
      </c>
      <c r="AO89" t="s">
        <v>1005</v>
      </c>
      <c r="AP89" t="s">
        <v>1006</v>
      </c>
      <c r="AQ89" t="s">
        <v>1007</v>
      </c>
      <c r="AR89" t="s">
        <v>1008</v>
      </c>
      <c r="AS89" t="s">
        <v>1009</v>
      </c>
    </row>
    <row r="90" spans="1:45" x14ac:dyDescent="0.45">
      <c r="A90">
        <v>89</v>
      </c>
      <c r="B90">
        <v>2079</v>
      </c>
      <c r="C90" t="s">
        <v>72</v>
      </c>
      <c r="D90" t="s">
        <v>73</v>
      </c>
      <c r="E90" t="s">
        <v>74</v>
      </c>
      <c r="F90" t="s">
        <v>189</v>
      </c>
      <c r="G90" t="s">
        <v>76</v>
      </c>
      <c r="H90">
        <v>12</v>
      </c>
      <c r="I90">
        <v>1</v>
      </c>
      <c r="J90">
        <v>7</v>
      </c>
      <c r="K90">
        <v>10</v>
      </c>
      <c r="L90">
        <v>-3</v>
      </c>
      <c r="M90">
        <v>8</v>
      </c>
      <c r="N90">
        <v>9</v>
      </c>
      <c r="O90">
        <v>-1</v>
      </c>
      <c r="P90">
        <v>9</v>
      </c>
      <c r="Q90">
        <v>9</v>
      </c>
      <c r="R90">
        <v>0</v>
      </c>
      <c r="S90">
        <v>8</v>
      </c>
      <c r="T90">
        <v>9</v>
      </c>
      <c r="U90">
        <v>-1</v>
      </c>
      <c r="V90">
        <v>6</v>
      </c>
      <c r="W90">
        <v>10</v>
      </c>
      <c r="X90">
        <v>-4</v>
      </c>
      <c r="Y90">
        <v>7</v>
      </c>
      <c r="Z90">
        <v>9</v>
      </c>
      <c r="AA90">
        <v>-2</v>
      </c>
      <c r="AB90">
        <v>6</v>
      </c>
      <c r="AC90">
        <v>9</v>
      </c>
      <c r="AD90">
        <v>-3</v>
      </c>
      <c r="AE90">
        <v>5</v>
      </c>
      <c r="AF90">
        <v>8</v>
      </c>
      <c r="AG90">
        <v>-3</v>
      </c>
      <c r="AH90">
        <v>7</v>
      </c>
      <c r="AI90">
        <v>9</v>
      </c>
      <c r="AJ90">
        <v>-2</v>
      </c>
      <c r="AK90" t="s">
        <v>1010</v>
      </c>
      <c r="AL90" t="s">
        <v>1011</v>
      </c>
      <c r="AM90" t="s">
        <v>1012</v>
      </c>
      <c r="AN90" t="s">
        <v>1013</v>
      </c>
      <c r="AO90" t="s">
        <v>1014</v>
      </c>
      <c r="AP90" t="s">
        <v>1015</v>
      </c>
      <c r="AQ90" t="s">
        <v>1016</v>
      </c>
      <c r="AR90" t="s">
        <v>1017</v>
      </c>
      <c r="AS90" t="s">
        <v>1018</v>
      </c>
    </row>
    <row r="91" spans="1:45" x14ac:dyDescent="0.45">
      <c r="A91">
        <v>90</v>
      </c>
      <c r="B91">
        <v>2080</v>
      </c>
      <c r="C91" t="s">
        <v>72</v>
      </c>
      <c r="D91" t="s">
        <v>73</v>
      </c>
      <c r="E91" t="s">
        <v>80</v>
      </c>
      <c r="F91" t="s">
        <v>77</v>
      </c>
      <c r="G91" t="s">
        <v>76</v>
      </c>
      <c r="H91">
        <v>12</v>
      </c>
      <c r="I91">
        <v>4</v>
      </c>
      <c r="J91">
        <v>8</v>
      </c>
      <c r="K91">
        <v>6</v>
      </c>
      <c r="L91">
        <v>2</v>
      </c>
      <c r="M91">
        <v>7</v>
      </c>
      <c r="N91">
        <v>10</v>
      </c>
      <c r="O91">
        <v>-3</v>
      </c>
      <c r="P91">
        <v>9</v>
      </c>
      <c r="Q91">
        <v>8</v>
      </c>
      <c r="R91">
        <v>1</v>
      </c>
      <c r="S91">
        <v>7</v>
      </c>
      <c r="T91">
        <v>9</v>
      </c>
      <c r="U91">
        <v>-2</v>
      </c>
      <c r="V91">
        <v>8</v>
      </c>
      <c r="W91">
        <v>9</v>
      </c>
      <c r="X91">
        <v>-1</v>
      </c>
      <c r="Y91">
        <v>6</v>
      </c>
      <c r="Z91">
        <v>9</v>
      </c>
      <c r="AA91">
        <v>-3</v>
      </c>
      <c r="AB91">
        <v>7</v>
      </c>
      <c r="AC91">
        <v>8</v>
      </c>
      <c r="AD91">
        <v>-1</v>
      </c>
      <c r="AE91">
        <v>5</v>
      </c>
      <c r="AF91">
        <v>8</v>
      </c>
      <c r="AG91">
        <v>-3</v>
      </c>
      <c r="AH91">
        <v>7</v>
      </c>
      <c r="AI91">
        <v>9</v>
      </c>
      <c r="AJ91">
        <v>-2</v>
      </c>
      <c r="AK91" t="s">
        <v>1019</v>
      </c>
      <c r="AL91" t="s">
        <v>1020</v>
      </c>
      <c r="AM91" t="s">
        <v>1021</v>
      </c>
      <c r="AN91" t="s">
        <v>1022</v>
      </c>
      <c r="AO91" t="s">
        <v>1023</v>
      </c>
      <c r="AP91" t="s">
        <v>1024</v>
      </c>
      <c r="AQ91" t="s">
        <v>1025</v>
      </c>
      <c r="AR91" t="s">
        <v>1026</v>
      </c>
      <c r="AS91" t="s">
        <v>1027</v>
      </c>
    </row>
    <row r="92" spans="1:45" x14ac:dyDescent="0.45">
      <c r="A92">
        <v>91</v>
      </c>
      <c r="B92">
        <v>2081</v>
      </c>
      <c r="C92" t="s">
        <v>72</v>
      </c>
      <c r="D92" t="s">
        <v>73</v>
      </c>
      <c r="E92" t="s">
        <v>74</v>
      </c>
      <c r="F92" t="s">
        <v>77</v>
      </c>
      <c r="G92" t="s">
        <v>76</v>
      </c>
      <c r="H92">
        <v>12</v>
      </c>
      <c r="I92">
        <v>2</v>
      </c>
      <c r="J92">
        <v>7</v>
      </c>
      <c r="K92">
        <v>10</v>
      </c>
      <c r="L92">
        <v>-3</v>
      </c>
      <c r="M92">
        <v>8</v>
      </c>
      <c r="N92">
        <v>9</v>
      </c>
      <c r="O92">
        <v>-1</v>
      </c>
      <c r="P92">
        <v>9</v>
      </c>
      <c r="Q92">
        <v>9</v>
      </c>
      <c r="R92">
        <v>0</v>
      </c>
      <c r="S92">
        <v>8</v>
      </c>
      <c r="T92">
        <v>9</v>
      </c>
      <c r="U92">
        <v>-1</v>
      </c>
      <c r="V92">
        <v>7</v>
      </c>
      <c r="W92">
        <v>10</v>
      </c>
      <c r="X92">
        <v>-3</v>
      </c>
      <c r="Y92">
        <v>6</v>
      </c>
      <c r="Z92">
        <v>9</v>
      </c>
      <c r="AA92">
        <v>-3</v>
      </c>
      <c r="AB92">
        <v>7</v>
      </c>
      <c r="AC92">
        <v>8</v>
      </c>
      <c r="AD92">
        <v>-1</v>
      </c>
      <c r="AE92">
        <v>5</v>
      </c>
      <c r="AF92">
        <v>8</v>
      </c>
      <c r="AG92">
        <v>-3</v>
      </c>
      <c r="AH92">
        <v>6</v>
      </c>
      <c r="AI92">
        <v>10</v>
      </c>
      <c r="AJ92">
        <v>-4</v>
      </c>
      <c r="AK92" t="s">
        <v>1028</v>
      </c>
      <c r="AL92" t="s">
        <v>1029</v>
      </c>
      <c r="AM92" t="s">
        <v>1030</v>
      </c>
      <c r="AN92" t="s">
        <v>1031</v>
      </c>
      <c r="AO92" t="s">
        <v>1032</v>
      </c>
      <c r="AP92" t="s">
        <v>1033</v>
      </c>
      <c r="AQ92" t="s">
        <v>1034</v>
      </c>
      <c r="AR92" t="s">
        <v>1035</v>
      </c>
      <c r="AS92" t="s">
        <v>1036</v>
      </c>
    </row>
    <row r="93" spans="1:45" x14ac:dyDescent="0.45">
      <c r="A93">
        <v>92</v>
      </c>
      <c r="B93">
        <v>2082</v>
      </c>
      <c r="C93" t="s">
        <v>78</v>
      </c>
      <c r="D93" t="s">
        <v>73</v>
      </c>
      <c r="E93" t="s">
        <v>74</v>
      </c>
      <c r="F93" t="s">
        <v>77</v>
      </c>
      <c r="G93" t="s">
        <v>76</v>
      </c>
      <c r="H93">
        <v>12</v>
      </c>
      <c r="I93">
        <v>2</v>
      </c>
      <c r="J93">
        <v>7</v>
      </c>
      <c r="K93">
        <v>10</v>
      </c>
      <c r="L93">
        <v>-3</v>
      </c>
      <c r="M93">
        <v>8</v>
      </c>
      <c r="N93">
        <v>10</v>
      </c>
      <c r="O93">
        <v>-2</v>
      </c>
      <c r="P93">
        <v>6</v>
      </c>
      <c r="Q93">
        <v>10</v>
      </c>
      <c r="R93">
        <v>-4</v>
      </c>
      <c r="S93">
        <v>8</v>
      </c>
      <c r="T93">
        <v>10</v>
      </c>
      <c r="U93">
        <v>-2</v>
      </c>
      <c r="V93">
        <v>7</v>
      </c>
      <c r="W93">
        <v>10</v>
      </c>
      <c r="X93">
        <v>-3</v>
      </c>
      <c r="Y93">
        <v>6</v>
      </c>
      <c r="Z93">
        <v>1</v>
      </c>
      <c r="AA93">
        <v>5</v>
      </c>
      <c r="AB93">
        <v>5</v>
      </c>
      <c r="AC93">
        <v>10</v>
      </c>
      <c r="AD93">
        <v>-5</v>
      </c>
      <c r="AE93">
        <v>7</v>
      </c>
      <c r="AF93">
        <v>10</v>
      </c>
      <c r="AG93">
        <v>-3</v>
      </c>
      <c r="AH93">
        <v>6</v>
      </c>
      <c r="AI93">
        <v>10</v>
      </c>
      <c r="AJ93">
        <v>-4</v>
      </c>
      <c r="AK93" t="s">
        <v>1037</v>
      </c>
      <c r="AL93" t="s">
        <v>1038</v>
      </c>
      <c r="AM93" t="s">
        <v>1039</v>
      </c>
      <c r="AN93" t="s">
        <v>1040</v>
      </c>
      <c r="AO93" t="s">
        <v>1041</v>
      </c>
      <c r="AP93" t="s">
        <v>1042</v>
      </c>
      <c r="AQ93" t="s">
        <v>1043</v>
      </c>
      <c r="AR93" t="s">
        <v>1044</v>
      </c>
      <c r="AS93" t="s">
        <v>1045</v>
      </c>
    </row>
    <row r="94" spans="1:45" x14ac:dyDescent="0.45">
      <c r="A94">
        <v>93</v>
      </c>
      <c r="B94">
        <v>2083</v>
      </c>
      <c r="C94" t="s">
        <v>78</v>
      </c>
      <c r="D94" t="s">
        <v>73</v>
      </c>
      <c r="E94" t="s">
        <v>74</v>
      </c>
      <c r="F94" t="s">
        <v>77</v>
      </c>
      <c r="G94" t="s">
        <v>76</v>
      </c>
      <c r="H94">
        <v>46.571428374809159</v>
      </c>
      <c r="I94">
        <v>2</v>
      </c>
      <c r="J94">
        <v>8</v>
      </c>
      <c r="K94">
        <v>5</v>
      </c>
      <c r="L94">
        <v>3</v>
      </c>
      <c r="M94">
        <v>9</v>
      </c>
      <c r="N94">
        <v>8</v>
      </c>
      <c r="O94">
        <v>1</v>
      </c>
      <c r="P94">
        <v>7</v>
      </c>
      <c r="Q94">
        <v>4</v>
      </c>
      <c r="R94">
        <v>3</v>
      </c>
      <c r="S94">
        <v>8</v>
      </c>
      <c r="T94">
        <v>9</v>
      </c>
      <c r="U94">
        <v>-1</v>
      </c>
      <c r="V94">
        <v>7</v>
      </c>
      <c r="W94">
        <v>7</v>
      </c>
      <c r="X94">
        <v>0</v>
      </c>
      <c r="Y94">
        <v>6</v>
      </c>
      <c r="Z94">
        <v>5</v>
      </c>
      <c r="AA94">
        <v>1</v>
      </c>
      <c r="AB94">
        <v>5</v>
      </c>
      <c r="AC94">
        <v>7</v>
      </c>
      <c r="AD94">
        <v>-2</v>
      </c>
      <c r="AE94">
        <v>6</v>
      </c>
      <c r="AF94">
        <v>8</v>
      </c>
      <c r="AG94">
        <v>-2</v>
      </c>
      <c r="AH94">
        <v>7</v>
      </c>
      <c r="AI94">
        <v>10</v>
      </c>
      <c r="AJ94">
        <v>-3</v>
      </c>
      <c r="AK94" t="s">
        <v>1046</v>
      </c>
      <c r="AL94" t="s">
        <v>1047</v>
      </c>
      <c r="AM94" t="s">
        <v>1048</v>
      </c>
      <c r="AN94" t="s">
        <v>1049</v>
      </c>
      <c r="AO94" t="s">
        <v>1050</v>
      </c>
      <c r="AP94" t="s">
        <v>1051</v>
      </c>
      <c r="AQ94" t="s">
        <v>1052</v>
      </c>
      <c r="AR94" t="s">
        <v>1053</v>
      </c>
      <c r="AS94" t="s">
        <v>1054</v>
      </c>
    </row>
    <row r="95" spans="1:45" x14ac:dyDescent="0.45">
      <c r="A95">
        <v>94</v>
      </c>
      <c r="B95">
        <v>2084</v>
      </c>
      <c r="C95" t="s">
        <v>72</v>
      </c>
      <c r="D95" t="s">
        <v>73</v>
      </c>
      <c r="E95" t="s">
        <v>74</v>
      </c>
      <c r="F95" t="s">
        <v>75</v>
      </c>
      <c r="G95" t="s">
        <v>76</v>
      </c>
      <c r="H95">
        <v>12</v>
      </c>
      <c r="I95">
        <v>0</v>
      </c>
      <c r="J95">
        <v>6</v>
      </c>
      <c r="K95">
        <v>9</v>
      </c>
      <c r="L95">
        <v>-3</v>
      </c>
      <c r="M95">
        <v>7</v>
      </c>
      <c r="N95">
        <v>7</v>
      </c>
      <c r="O95">
        <v>0</v>
      </c>
      <c r="P95">
        <v>8</v>
      </c>
      <c r="Q95">
        <v>5</v>
      </c>
      <c r="R95">
        <v>3</v>
      </c>
      <c r="S95">
        <v>7</v>
      </c>
      <c r="T95">
        <v>7</v>
      </c>
      <c r="U95">
        <v>0</v>
      </c>
      <c r="V95">
        <v>7</v>
      </c>
      <c r="W95">
        <v>5</v>
      </c>
      <c r="X95">
        <v>2</v>
      </c>
      <c r="Y95">
        <v>6</v>
      </c>
      <c r="Z95">
        <v>8</v>
      </c>
      <c r="AA95">
        <v>-2</v>
      </c>
      <c r="AB95">
        <v>7</v>
      </c>
      <c r="AC95">
        <v>5</v>
      </c>
      <c r="AD95">
        <v>2</v>
      </c>
      <c r="AE95">
        <v>5</v>
      </c>
      <c r="AF95">
        <v>5</v>
      </c>
      <c r="AG95">
        <v>0</v>
      </c>
      <c r="AH95">
        <v>6</v>
      </c>
      <c r="AI95">
        <v>7</v>
      </c>
      <c r="AJ95">
        <v>-1</v>
      </c>
      <c r="AK95" t="s">
        <v>1055</v>
      </c>
      <c r="AL95" t="s">
        <v>1056</v>
      </c>
      <c r="AM95" t="s">
        <v>1057</v>
      </c>
      <c r="AN95" t="s">
        <v>1058</v>
      </c>
      <c r="AO95" t="s">
        <v>1059</v>
      </c>
      <c r="AP95" t="s">
        <v>1060</v>
      </c>
      <c r="AQ95" t="s">
        <v>1061</v>
      </c>
      <c r="AR95" t="s">
        <v>1062</v>
      </c>
      <c r="AS95" t="s">
        <v>1063</v>
      </c>
    </row>
    <row r="96" spans="1:45" x14ac:dyDescent="0.45">
      <c r="A96">
        <v>95</v>
      </c>
      <c r="B96">
        <v>2085</v>
      </c>
      <c r="C96" t="s">
        <v>72</v>
      </c>
      <c r="D96" t="s">
        <v>79</v>
      </c>
      <c r="E96" t="s">
        <v>74</v>
      </c>
      <c r="F96" t="s">
        <v>77</v>
      </c>
      <c r="G96" t="s">
        <v>76</v>
      </c>
      <c r="H96">
        <v>41.081099114666415</v>
      </c>
      <c r="I96">
        <v>3</v>
      </c>
      <c r="J96">
        <v>7</v>
      </c>
      <c r="K96">
        <v>4</v>
      </c>
      <c r="L96">
        <v>3</v>
      </c>
      <c r="M96">
        <v>6</v>
      </c>
      <c r="N96">
        <v>6</v>
      </c>
      <c r="O96">
        <v>0</v>
      </c>
      <c r="P96">
        <v>5</v>
      </c>
      <c r="Q96">
        <v>5</v>
      </c>
      <c r="R96">
        <v>0</v>
      </c>
      <c r="S96">
        <v>4</v>
      </c>
      <c r="T96">
        <v>5</v>
      </c>
      <c r="U96">
        <v>-1</v>
      </c>
      <c r="V96">
        <v>6</v>
      </c>
      <c r="W96">
        <v>4</v>
      </c>
      <c r="X96">
        <v>2</v>
      </c>
      <c r="Y96">
        <v>7</v>
      </c>
      <c r="Z96">
        <v>4</v>
      </c>
      <c r="AA96">
        <v>3</v>
      </c>
      <c r="AB96">
        <v>5</v>
      </c>
      <c r="AC96">
        <v>3</v>
      </c>
      <c r="AD96">
        <v>2</v>
      </c>
      <c r="AE96">
        <v>6</v>
      </c>
      <c r="AF96">
        <v>4</v>
      </c>
      <c r="AG96">
        <v>2</v>
      </c>
      <c r="AH96">
        <v>5</v>
      </c>
      <c r="AI96">
        <v>3</v>
      </c>
      <c r="AJ96">
        <v>2</v>
      </c>
      <c r="AK96" t="s">
        <v>1064</v>
      </c>
      <c r="AL96" t="s">
        <v>1065</v>
      </c>
      <c r="AM96" t="s">
        <v>1066</v>
      </c>
      <c r="AN96" t="s">
        <v>1067</v>
      </c>
      <c r="AO96" t="s">
        <v>1068</v>
      </c>
      <c r="AP96" t="s">
        <v>1069</v>
      </c>
      <c r="AQ96" t="s">
        <v>1070</v>
      </c>
      <c r="AR96" t="s">
        <v>1071</v>
      </c>
      <c r="AS96" t="s">
        <v>1072</v>
      </c>
    </row>
    <row r="97" spans="1:45" x14ac:dyDescent="0.45">
      <c r="A97">
        <v>96</v>
      </c>
      <c r="B97">
        <v>2086</v>
      </c>
      <c r="C97" t="s">
        <v>78</v>
      </c>
      <c r="D97" t="s">
        <v>188</v>
      </c>
      <c r="E97" t="s">
        <v>74</v>
      </c>
      <c r="F97" t="s">
        <v>77</v>
      </c>
      <c r="G97" t="s">
        <v>76</v>
      </c>
      <c r="H97">
        <v>12</v>
      </c>
      <c r="I97">
        <v>0</v>
      </c>
      <c r="J97">
        <v>6</v>
      </c>
      <c r="K97">
        <v>8</v>
      </c>
      <c r="L97">
        <v>-2</v>
      </c>
      <c r="M97">
        <v>7</v>
      </c>
      <c r="N97">
        <v>7</v>
      </c>
      <c r="O97">
        <v>0</v>
      </c>
      <c r="P97">
        <v>8</v>
      </c>
      <c r="Q97">
        <v>5</v>
      </c>
      <c r="R97">
        <v>3</v>
      </c>
      <c r="S97">
        <v>9</v>
      </c>
      <c r="T97">
        <v>7</v>
      </c>
      <c r="U97">
        <v>2</v>
      </c>
      <c r="V97">
        <v>7</v>
      </c>
      <c r="W97">
        <v>7</v>
      </c>
      <c r="X97">
        <v>0</v>
      </c>
      <c r="Y97">
        <v>8</v>
      </c>
      <c r="Z97">
        <v>5</v>
      </c>
      <c r="AA97">
        <v>3</v>
      </c>
      <c r="AB97">
        <v>7</v>
      </c>
      <c r="AC97">
        <v>5</v>
      </c>
      <c r="AD97">
        <v>2</v>
      </c>
      <c r="AE97">
        <v>6</v>
      </c>
      <c r="AF97">
        <v>7</v>
      </c>
      <c r="AG97">
        <v>-1</v>
      </c>
      <c r="AH97">
        <v>8</v>
      </c>
      <c r="AI97">
        <v>7</v>
      </c>
      <c r="AJ97">
        <v>1</v>
      </c>
      <c r="AK97" t="s">
        <v>1073</v>
      </c>
      <c r="AL97" t="s">
        <v>1074</v>
      </c>
      <c r="AM97" t="s">
        <v>1075</v>
      </c>
      <c r="AN97" t="s">
        <v>1076</v>
      </c>
      <c r="AO97" t="s">
        <v>1077</v>
      </c>
      <c r="AP97" t="s">
        <v>1078</v>
      </c>
      <c r="AQ97" t="s">
        <v>1079</v>
      </c>
      <c r="AR97" t="s">
        <v>1080</v>
      </c>
      <c r="AS97" t="s">
        <v>1081</v>
      </c>
    </row>
    <row r="98" spans="1:45" x14ac:dyDescent="0.45">
      <c r="A98">
        <v>97</v>
      </c>
      <c r="B98">
        <v>2087</v>
      </c>
      <c r="C98" t="s">
        <v>72</v>
      </c>
      <c r="D98" t="s">
        <v>192</v>
      </c>
      <c r="E98" t="s">
        <v>74</v>
      </c>
      <c r="F98" t="s">
        <v>77</v>
      </c>
      <c r="G98" t="s">
        <v>161</v>
      </c>
      <c r="H98">
        <v>163.82657445953265</v>
      </c>
      <c r="I98">
        <v>4</v>
      </c>
      <c r="J98">
        <v>8</v>
      </c>
      <c r="K98">
        <v>6</v>
      </c>
      <c r="L98">
        <v>2</v>
      </c>
      <c r="M98">
        <v>9</v>
      </c>
      <c r="N98">
        <v>6</v>
      </c>
      <c r="O98">
        <v>3</v>
      </c>
      <c r="P98">
        <v>7</v>
      </c>
      <c r="Q98">
        <v>5</v>
      </c>
      <c r="R98">
        <v>2</v>
      </c>
      <c r="S98">
        <v>8</v>
      </c>
      <c r="T98">
        <v>5</v>
      </c>
      <c r="U98">
        <v>3</v>
      </c>
      <c r="V98">
        <v>7</v>
      </c>
      <c r="W98">
        <v>5</v>
      </c>
      <c r="X98">
        <v>2</v>
      </c>
      <c r="Y98">
        <v>8</v>
      </c>
      <c r="Z98">
        <v>5</v>
      </c>
      <c r="AA98">
        <v>3</v>
      </c>
      <c r="AB98">
        <v>7</v>
      </c>
      <c r="AC98">
        <v>5</v>
      </c>
      <c r="AD98">
        <v>2</v>
      </c>
      <c r="AE98">
        <v>8</v>
      </c>
      <c r="AF98">
        <v>5</v>
      </c>
      <c r="AG98">
        <v>3</v>
      </c>
      <c r="AH98">
        <v>9</v>
      </c>
      <c r="AI98">
        <v>5</v>
      </c>
      <c r="AJ98">
        <v>4</v>
      </c>
      <c r="AK98" t="s">
        <v>1082</v>
      </c>
      <c r="AL98" t="s">
        <v>1083</v>
      </c>
      <c r="AM98" t="s">
        <v>1084</v>
      </c>
      <c r="AN98" t="s">
        <v>1085</v>
      </c>
      <c r="AO98" t="s">
        <v>1086</v>
      </c>
      <c r="AP98" t="s">
        <v>1087</v>
      </c>
      <c r="AQ98" t="s">
        <v>1088</v>
      </c>
      <c r="AR98" t="s">
        <v>1089</v>
      </c>
      <c r="AS98" t="s">
        <v>1090</v>
      </c>
    </row>
    <row r="99" spans="1:45" x14ac:dyDescent="0.45">
      <c r="A99">
        <v>98</v>
      </c>
      <c r="B99">
        <v>2088</v>
      </c>
      <c r="C99" t="s">
        <v>72</v>
      </c>
      <c r="D99" t="s">
        <v>73</v>
      </c>
      <c r="E99" t="s">
        <v>80</v>
      </c>
      <c r="F99" t="s">
        <v>77</v>
      </c>
      <c r="G99" t="s">
        <v>76</v>
      </c>
      <c r="H99">
        <v>19.176103235392247</v>
      </c>
      <c r="I99">
        <v>0</v>
      </c>
      <c r="J99">
        <v>8</v>
      </c>
      <c r="K99">
        <v>8</v>
      </c>
      <c r="L99">
        <v>0</v>
      </c>
      <c r="M99">
        <v>9</v>
      </c>
      <c r="N99">
        <v>8</v>
      </c>
      <c r="O99">
        <v>1</v>
      </c>
      <c r="P99">
        <v>7</v>
      </c>
      <c r="Q99">
        <v>5</v>
      </c>
      <c r="R99">
        <v>2</v>
      </c>
      <c r="S99">
        <v>8</v>
      </c>
      <c r="T99">
        <v>8</v>
      </c>
      <c r="U99">
        <v>0</v>
      </c>
      <c r="V99">
        <v>9</v>
      </c>
      <c r="W99">
        <v>6</v>
      </c>
      <c r="X99">
        <v>3</v>
      </c>
      <c r="Y99">
        <v>7</v>
      </c>
      <c r="Z99">
        <v>9</v>
      </c>
      <c r="AA99">
        <v>-2</v>
      </c>
      <c r="AB99">
        <v>8</v>
      </c>
      <c r="AC99">
        <v>5</v>
      </c>
      <c r="AD99">
        <v>3</v>
      </c>
      <c r="AE99">
        <v>6</v>
      </c>
      <c r="AF99">
        <v>7</v>
      </c>
      <c r="AG99">
        <v>-1</v>
      </c>
      <c r="AH99">
        <v>7</v>
      </c>
      <c r="AI99">
        <v>8</v>
      </c>
      <c r="AJ99">
        <v>-1</v>
      </c>
      <c r="AK99" t="s">
        <v>1091</v>
      </c>
      <c r="AL99" t="s">
        <v>1092</v>
      </c>
      <c r="AM99" t="s">
        <v>1093</v>
      </c>
      <c r="AN99" t="s">
        <v>1094</v>
      </c>
      <c r="AO99" t="s">
        <v>1095</v>
      </c>
      <c r="AP99" t="s">
        <v>1096</v>
      </c>
      <c r="AQ99" t="s">
        <v>1097</v>
      </c>
      <c r="AR99" t="s">
        <v>1098</v>
      </c>
      <c r="AS99" t="s">
        <v>1099</v>
      </c>
    </row>
    <row r="100" spans="1:45" x14ac:dyDescent="0.45">
      <c r="A100">
        <v>99</v>
      </c>
      <c r="B100">
        <v>2089</v>
      </c>
      <c r="C100" t="s">
        <v>78</v>
      </c>
      <c r="D100" t="s">
        <v>81</v>
      </c>
      <c r="E100" t="s">
        <v>74</v>
      </c>
      <c r="F100" t="s">
        <v>77</v>
      </c>
      <c r="G100" t="s">
        <v>76</v>
      </c>
      <c r="H100">
        <v>23.814557790619137</v>
      </c>
      <c r="I100">
        <v>1</v>
      </c>
      <c r="J100">
        <v>7</v>
      </c>
      <c r="K100">
        <v>6</v>
      </c>
      <c r="L100">
        <v>1</v>
      </c>
      <c r="M100">
        <v>6</v>
      </c>
      <c r="N100">
        <v>6</v>
      </c>
      <c r="O100">
        <v>0</v>
      </c>
      <c r="P100">
        <v>8</v>
      </c>
      <c r="Q100">
        <v>3</v>
      </c>
      <c r="R100">
        <v>5</v>
      </c>
      <c r="S100">
        <v>9</v>
      </c>
      <c r="T100">
        <v>6</v>
      </c>
      <c r="U100">
        <v>3</v>
      </c>
      <c r="V100">
        <v>7</v>
      </c>
      <c r="W100">
        <v>5</v>
      </c>
      <c r="X100">
        <v>2</v>
      </c>
      <c r="Y100">
        <v>8</v>
      </c>
      <c r="Z100">
        <v>6</v>
      </c>
      <c r="AA100">
        <v>2</v>
      </c>
      <c r="AB100">
        <v>7</v>
      </c>
      <c r="AC100">
        <v>5</v>
      </c>
      <c r="AD100">
        <v>2</v>
      </c>
      <c r="AE100">
        <v>6</v>
      </c>
      <c r="AF100">
        <v>6</v>
      </c>
      <c r="AG100">
        <v>0</v>
      </c>
      <c r="AH100">
        <v>8</v>
      </c>
      <c r="AI100">
        <v>6</v>
      </c>
      <c r="AJ100">
        <v>2</v>
      </c>
      <c r="AK100" t="s">
        <v>1100</v>
      </c>
      <c r="AL100" t="s">
        <v>1101</v>
      </c>
      <c r="AM100" t="s">
        <v>1102</v>
      </c>
      <c r="AN100" t="s">
        <v>1103</v>
      </c>
      <c r="AO100" t="s">
        <v>1104</v>
      </c>
      <c r="AP100" t="s">
        <v>1105</v>
      </c>
      <c r="AQ100" t="s">
        <v>1106</v>
      </c>
      <c r="AR100" t="s">
        <v>1107</v>
      </c>
      <c r="AS100" t="s">
        <v>1108</v>
      </c>
    </row>
    <row r="101" spans="1:45" x14ac:dyDescent="0.45">
      <c r="A101">
        <v>100</v>
      </c>
      <c r="B101">
        <v>2090</v>
      </c>
      <c r="C101" t="s">
        <v>72</v>
      </c>
      <c r="D101" t="s">
        <v>192</v>
      </c>
      <c r="E101" t="s">
        <v>74</v>
      </c>
      <c r="F101" t="s">
        <v>77</v>
      </c>
      <c r="G101" t="s">
        <v>76</v>
      </c>
      <c r="H101">
        <v>14.496198766757509</v>
      </c>
      <c r="I101">
        <v>1</v>
      </c>
      <c r="J101">
        <v>7</v>
      </c>
      <c r="K101">
        <v>8</v>
      </c>
      <c r="L101">
        <v>-1</v>
      </c>
      <c r="M101">
        <v>8</v>
      </c>
      <c r="N101">
        <v>8</v>
      </c>
      <c r="O101">
        <v>0</v>
      </c>
      <c r="P101">
        <v>9</v>
      </c>
      <c r="Q101">
        <v>8</v>
      </c>
      <c r="R101">
        <v>1</v>
      </c>
      <c r="S101">
        <v>8</v>
      </c>
      <c r="T101">
        <v>10</v>
      </c>
      <c r="U101">
        <v>-2</v>
      </c>
      <c r="V101">
        <v>7</v>
      </c>
      <c r="W101">
        <v>10</v>
      </c>
      <c r="X101">
        <v>-3</v>
      </c>
      <c r="Y101">
        <v>8</v>
      </c>
      <c r="Z101">
        <v>10</v>
      </c>
      <c r="AA101">
        <v>-2</v>
      </c>
      <c r="AB101">
        <v>7</v>
      </c>
      <c r="AC101">
        <v>10</v>
      </c>
      <c r="AD101">
        <v>-3</v>
      </c>
      <c r="AE101">
        <v>6</v>
      </c>
      <c r="AF101">
        <v>10</v>
      </c>
      <c r="AG101">
        <v>-4</v>
      </c>
      <c r="AH101">
        <v>8</v>
      </c>
      <c r="AI101">
        <v>10</v>
      </c>
      <c r="AJ101">
        <v>-2</v>
      </c>
      <c r="AK101" t="s">
        <v>1109</v>
      </c>
      <c r="AL101" t="s">
        <v>1110</v>
      </c>
      <c r="AM101" t="s">
        <v>1111</v>
      </c>
      <c r="AN101" t="s">
        <v>1112</v>
      </c>
      <c r="AO101" t="s">
        <v>1113</v>
      </c>
      <c r="AP101" t="s">
        <v>1114</v>
      </c>
      <c r="AQ101" t="s">
        <v>1115</v>
      </c>
      <c r="AR101" t="s">
        <v>1116</v>
      </c>
      <c r="AS101" t="s">
        <v>1117</v>
      </c>
    </row>
    <row r="102" spans="1:45" x14ac:dyDescent="0.45">
      <c r="A102">
        <v>101</v>
      </c>
      <c r="B102">
        <v>2091</v>
      </c>
      <c r="C102" t="s">
        <v>72</v>
      </c>
      <c r="D102" t="s">
        <v>190</v>
      </c>
      <c r="E102" t="s">
        <v>74</v>
      </c>
      <c r="F102" t="s">
        <v>75</v>
      </c>
      <c r="G102" t="s">
        <v>76</v>
      </c>
      <c r="H102">
        <v>75.396638625455793</v>
      </c>
      <c r="I102">
        <v>4</v>
      </c>
      <c r="J102">
        <v>8</v>
      </c>
      <c r="K102">
        <v>8</v>
      </c>
      <c r="L102">
        <v>0</v>
      </c>
      <c r="M102">
        <v>9</v>
      </c>
      <c r="N102">
        <v>8</v>
      </c>
      <c r="O102">
        <v>1</v>
      </c>
      <c r="P102">
        <v>8</v>
      </c>
      <c r="Q102">
        <v>7</v>
      </c>
      <c r="R102">
        <v>1</v>
      </c>
      <c r="S102">
        <v>9</v>
      </c>
      <c r="T102">
        <v>8</v>
      </c>
      <c r="U102">
        <v>1</v>
      </c>
      <c r="V102">
        <v>8</v>
      </c>
      <c r="W102">
        <v>8</v>
      </c>
      <c r="X102">
        <v>0</v>
      </c>
      <c r="Y102">
        <v>7</v>
      </c>
      <c r="Z102">
        <v>7</v>
      </c>
      <c r="AA102">
        <v>0</v>
      </c>
      <c r="AB102">
        <v>8</v>
      </c>
      <c r="AC102">
        <v>7</v>
      </c>
      <c r="AD102">
        <v>1</v>
      </c>
      <c r="AE102">
        <v>7</v>
      </c>
      <c r="AF102">
        <v>7</v>
      </c>
      <c r="AG102">
        <v>0</v>
      </c>
      <c r="AH102">
        <v>8</v>
      </c>
      <c r="AI102">
        <v>8</v>
      </c>
      <c r="AJ102">
        <v>0</v>
      </c>
      <c r="AK102" t="s">
        <v>1118</v>
      </c>
      <c r="AL102" t="s">
        <v>1119</v>
      </c>
      <c r="AM102" t="s">
        <v>1120</v>
      </c>
      <c r="AN102" t="s">
        <v>1121</v>
      </c>
      <c r="AO102" t="s">
        <v>1122</v>
      </c>
      <c r="AP102" t="s">
        <v>1123</v>
      </c>
      <c r="AQ102" t="s">
        <v>1124</v>
      </c>
      <c r="AR102" t="s">
        <v>1125</v>
      </c>
      <c r="AS102" t="s">
        <v>1126</v>
      </c>
    </row>
    <row r="103" spans="1:45" x14ac:dyDescent="0.45">
      <c r="A103">
        <v>102</v>
      </c>
      <c r="B103">
        <v>2092</v>
      </c>
      <c r="C103" t="s">
        <v>78</v>
      </c>
      <c r="D103" t="s">
        <v>188</v>
      </c>
      <c r="E103" t="s">
        <v>74</v>
      </c>
      <c r="F103" t="s">
        <v>77</v>
      </c>
      <c r="G103" t="s">
        <v>76</v>
      </c>
      <c r="H103">
        <v>15.68299098328216</v>
      </c>
      <c r="I103">
        <v>0</v>
      </c>
      <c r="J103">
        <v>7</v>
      </c>
      <c r="K103">
        <v>5</v>
      </c>
      <c r="L103">
        <v>2</v>
      </c>
      <c r="M103">
        <v>8</v>
      </c>
      <c r="N103">
        <v>5</v>
      </c>
      <c r="O103">
        <v>3</v>
      </c>
      <c r="P103">
        <v>9</v>
      </c>
      <c r="Q103">
        <v>5</v>
      </c>
      <c r="R103">
        <v>4</v>
      </c>
      <c r="S103">
        <v>8</v>
      </c>
      <c r="T103">
        <v>5</v>
      </c>
      <c r="U103">
        <v>3</v>
      </c>
      <c r="V103">
        <v>7</v>
      </c>
      <c r="W103">
        <v>5</v>
      </c>
      <c r="X103">
        <v>2</v>
      </c>
      <c r="Y103">
        <v>8</v>
      </c>
      <c r="Z103">
        <v>5</v>
      </c>
      <c r="AA103">
        <v>3</v>
      </c>
      <c r="AB103">
        <v>7</v>
      </c>
      <c r="AC103">
        <v>5</v>
      </c>
      <c r="AD103">
        <v>2</v>
      </c>
      <c r="AE103">
        <v>6</v>
      </c>
      <c r="AF103">
        <v>5</v>
      </c>
      <c r="AG103">
        <v>1</v>
      </c>
      <c r="AH103">
        <v>8</v>
      </c>
      <c r="AI103">
        <v>5</v>
      </c>
      <c r="AJ103">
        <v>3</v>
      </c>
      <c r="AK103" t="s">
        <v>1127</v>
      </c>
      <c r="AL103" t="s">
        <v>1128</v>
      </c>
      <c r="AM103" t="s">
        <v>1129</v>
      </c>
      <c r="AN103" t="s">
        <v>1130</v>
      </c>
      <c r="AO103" t="s">
        <v>1131</v>
      </c>
      <c r="AP103" t="s">
        <v>1132</v>
      </c>
      <c r="AQ103" t="s">
        <v>1133</v>
      </c>
      <c r="AR103" t="s">
        <v>1134</v>
      </c>
      <c r="AS103" t="s">
        <v>1135</v>
      </c>
    </row>
    <row r="104" spans="1:45" x14ac:dyDescent="0.45">
      <c r="A104">
        <v>103</v>
      </c>
      <c r="B104">
        <v>2093</v>
      </c>
      <c r="C104" t="s">
        <v>72</v>
      </c>
      <c r="D104" t="s">
        <v>192</v>
      </c>
      <c r="E104" t="s">
        <v>74</v>
      </c>
      <c r="F104" t="s">
        <v>77</v>
      </c>
      <c r="G104" t="s">
        <v>76</v>
      </c>
      <c r="H104">
        <v>46.528268987524349</v>
      </c>
      <c r="I104">
        <v>2</v>
      </c>
      <c r="J104">
        <v>7</v>
      </c>
      <c r="K104">
        <v>8</v>
      </c>
      <c r="L104">
        <v>-1</v>
      </c>
      <c r="M104">
        <v>6</v>
      </c>
      <c r="N104">
        <v>8</v>
      </c>
      <c r="O104">
        <v>-2</v>
      </c>
      <c r="P104">
        <v>8</v>
      </c>
      <c r="Q104">
        <v>5</v>
      </c>
      <c r="R104">
        <v>3</v>
      </c>
      <c r="S104">
        <v>7</v>
      </c>
      <c r="T104">
        <v>8</v>
      </c>
      <c r="U104">
        <v>-1</v>
      </c>
      <c r="V104">
        <v>6</v>
      </c>
      <c r="W104">
        <v>5</v>
      </c>
      <c r="X104">
        <v>1</v>
      </c>
      <c r="Y104">
        <v>7</v>
      </c>
      <c r="Z104">
        <v>5</v>
      </c>
      <c r="AA104">
        <v>2</v>
      </c>
      <c r="AB104">
        <v>6</v>
      </c>
      <c r="AC104">
        <v>6</v>
      </c>
      <c r="AD104">
        <v>0</v>
      </c>
      <c r="AE104">
        <v>6</v>
      </c>
      <c r="AF104">
        <v>6</v>
      </c>
      <c r="AG104">
        <v>0</v>
      </c>
      <c r="AH104">
        <v>6</v>
      </c>
      <c r="AI104">
        <v>5</v>
      </c>
      <c r="AJ104">
        <v>1</v>
      </c>
      <c r="AK104" t="s">
        <v>1136</v>
      </c>
      <c r="AL104" t="s">
        <v>1137</v>
      </c>
      <c r="AM104" t="s">
        <v>1138</v>
      </c>
      <c r="AN104" t="s">
        <v>1139</v>
      </c>
      <c r="AO104" t="s">
        <v>1140</v>
      </c>
      <c r="AP104" t="s">
        <v>1141</v>
      </c>
      <c r="AQ104" t="s">
        <v>1142</v>
      </c>
      <c r="AR104" t="s">
        <v>1143</v>
      </c>
      <c r="AS104" t="s">
        <v>1144</v>
      </c>
    </row>
    <row r="105" spans="1:45" x14ac:dyDescent="0.45">
      <c r="A105">
        <v>104</v>
      </c>
      <c r="B105">
        <v>2094</v>
      </c>
      <c r="C105" t="s">
        <v>78</v>
      </c>
      <c r="D105" t="s">
        <v>73</v>
      </c>
      <c r="E105" t="s">
        <v>74</v>
      </c>
      <c r="F105" t="s">
        <v>77</v>
      </c>
      <c r="G105" t="s">
        <v>76</v>
      </c>
      <c r="H105">
        <v>18.177356308135195</v>
      </c>
      <c r="I105">
        <v>0</v>
      </c>
      <c r="J105">
        <v>5</v>
      </c>
      <c r="K105">
        <v>6</v>
      </c>
      <c r="L105">
        <v>-1</v>
      </c>
      <c r="M105">
        <v>6</v>
      </c>
      <c r="N105">
        <v>7</v>
      </c>
      <c r="O105">
        <v>-1</v>
      </c>
      <c r="P105">
        <v>7</v>
      </c>
      <c r="Q105">
        <v>6</v>
      </c>
      <c r="R105">
        <v>1</v>
      </c>
      <c r="S105">
        <v>8</v>
      </c>
      <c r="T105">
        <v>8</v>
      </c>
      <c r="U105">
        <v>0</v>
      </c>
      <c r="V105">
        <v>4</v>
      </c>
      <c r="W105">
        <v>6</v>
      </c>
      <c r="X105">
        <v>-2</v>
      </c>
      <c r="Y105">
        <v>6</v>
      </c>
      <c r="Z105">
        <v>7</v>
      </c>
      <c r="AA105">
        <v>-1</v>
      </c>
      <c r="AB105">
        <v>5</v>
      </c>
      <c r="AC105">
        <v>6</v>
      </c>
      <c r="AD105">
        <v>-1</v>
      </c>
      <c r="AE105">
        <v>5</v>
      </c>
      <c r="AF105">
        <v>6</v>
      </c>
      <c r="AG105">
        <v>-1</v>
      </c>
      <c r="AH105">
        <v>6</v>
      </c>
      <c r="AI105">
        <v>7</v>
      </c>
      <c r="AJ105">
        <v>-1</v>
      </c>
      <c r="AK105" t="s">
        <v>1145</v>
      </c>
      <c r="AL105" t="s">
        <v>1146</v>
      </c>
      <c r="AM105" t="s">
        <v>1147</v>
      </c>
      <c r="AN105" t="s">
        <v>1148</v>
      </c>
      <c r="AO105" t="s">
        <v>1149</v>
      </c>
      <c r="AP105" t="s">
        <v>1150</v>
      </c>
      <c r="AQ105" t="s">
        <v>1151</v>
      </c>
      <c r="AR105" t="s">
        <v>1152</v>
      </c>
      <c r="AS105" t="s">
        <v>1153</v>
      </c>
    </row>
    <row r="106" spans="1:45" x14ac:dyDescent="0.45">
      <c r="A106">
        <v>105</v>
      </c>
      <c r="B106">
        <v>2095</v>
      </c>
      <c r="C106" t="s">
        <v>78</v>
      </c>
      <c r="D106" t="s">
        <v>81</v>
      </c>
      <c r="E106" t="s">
        <v>74</v>
      </c>
      <c r="F106" t="s">
        <v>77</v>
      </c>
      <c r="G106" t="s">
        <v>76</v>
      </c>
      <c r="H106">
        <v>16.488618968984962</v>
      </c>
      <c r="I106">
        <v>1</v>
      </c>
      <c r="J106">
        <v>7</v>
      </c>
      <c r="K106">
        <v>9</v>
      </c>
      <c r="L106">
        <v>-2</v>
      </c>
      <c r="M106">
        <v>8</v>
      </c>
      <c r="N106">
        <v>10</v>
      </c>
      <c r="O106">
        <v>-2</v>
      </c>
      <c r="P106">
        <v>9</v>
      </c>
      <c r="Q106">
        <v>8</v>
      </c>
      <c r="R106">
        <v>1</v>
      </c>
      <c r="S106">
        <v>7</v>
      </c>
      <c r="T106">
        <v>8</v>
      </c>
      <c r="U106">
        <v>-1</v>
      </c>
      <c r="V106">
        <v>6</v>
      </c>
      <c r="W106">
        <v>9</v>
      </c>
      <c r="X106">
        <v>-3</v>
      </c>
      <c r="Y106">
        <v>6</v>
      </c>
      <c r="Z106">
        <v>9</v>
      </c>
      <c r="AA106">
        <v>-3</v>
      </c>
      <c r="AB106">
        <v>6</v>
      </c>
      <c r="AC106">
        <v>8</v>
      </c>
      <c r="AD106">
        <v>-2</v>
      </c>
      <c r="AE106">
        <v>7</v>
      </c>
      <c r="AF106">
        <v>6</v>
      </c>
      <c r="AG106">
        <v>1</v>
      </c>
      <c r="AH106">
        <v>8</v>
      </c>
      <c r="AI106">
        <v>9</v>
      </c>
      <c r="AJ106">
        <v>-1</v>
      </c>
      <c r="AK106" t="s">
        <v>1154</v>
      </c>
      <c r="AL106" t="s">
        <v>1155</v>
      </c>
      <c r="AM106" t="s">
        <v>1156</v>
      </c>
      <c r="AN106" t="s">
        <v>1157</v>
      </c>
      <c r="AO106" t="s">
        <v>1158</v>
      </c>
      <c r="AP106" t="s">
        <v>1159</v>
      </c>
      <c r="AQ106" t="s">
        <v>1160</v>
      </c>
      <c r="AR106" t="s">
        <v>1161</v>
      </c>
      <c r="AS106" t="s">
        <v>1162</v>
      </c>
    </row>
    <row r="107" spans="1:45" x14ac:dyDescent="0.45">
      <c r="A107">
        <v>106</v>
      </c>
      <c r="B107">
        <v>2096</v>
      </c>
      <c r="C107" t="s">
        <v>72</v>
      </c>
      <c r="D107" t="s">
        <v>81</v>
      </c>
      <c r="E107" t="s">
        <v>74</v>
      </c>
      <c r="F107" t="s">
        <v>77</v>
      </c>
      <c r="G107" t="s">
        <v>76</v>
      </c>
      <c r="H107">
        <v>12</v>
      </c>
      <c r="I107">
        <v>0</v>
      </c>
      <c r="J107">
        <v>7</v>
      </c>
      <c r="K107">
        <v>10</v>
      </c>
      <c r="L107">
        <v>-3</v>
      </c>
      <c r="M107">
        <v>8</v>
      </c>
      <c r="N107">
        <v>5</v>
      </c>
      <c r="O107">
        <v>3</v>
      </c>
      <c r="P107">
        <v>6</v>
      </c>
      <c r="Q107">
        <v>8</v>
      </c>
      <c r="R107">
        <v>-2</v>
      </c>
      <c r="S107">
        <v>7</v>
      </c>
      <c r="T107">
        <v>8</v>
      </c>
      <c r="U107">
        <v>-1</v>
      </c>
      <c r="V107">
        <v>8</v>
      </c>
      <c r="W107">
        <v>10</v>
      </c>
      <c r="X107">
        <v>-2</v>
      </c>
      <c r="Y107">
        <v>9</v>
      </c>
      <c r="Z107">
        <v>10</v>
      </c>
      <c r="AA107">
        <v>-1</v>
      </c>
      <c r="AB107">
        <v>8</v>
      </c>
      <c r="AC107">
        <v>10</v>
      </c>
      <c r="AD107">
        <v>-2</v>
      </c>
      <c r="AE107">
        <v>7</v>
      </c>
      <c r="AF107">
        <v>10</v>
      </c>
      <c r="AG107">
        <v>-3</v>
      </c>
      <c r="AH107">
        <v>8</v>
      </c>
      <c r="AI107">
        <v>10</v>
      </c>
      <c r="AJ107">
        <v>-2</v>
      </c>
      <c r="AK107" t="s">
        <v>1163</v>
      </c>
      <c r="AL107" t="s">
        <v>1164</v>
      </c>
      <c r="AM107" t="s">
        <v>1165</v>
      </c>
      <c r="AN107" t="s">
        <v>1166</v>
      </c>
      <c r="AO107" t="s">
        <v>1167</v>
      </c>
      <c r="AP107" t="s">
        <v>1168</v>
      </c>
      <c r="AQ107" t="s">
        <v>1169</v>
      </c>
      <c r="AR107" t="s">
        <v>1170</v>
      </c>
      <c r="AS107" t="s">
        <v>1171</v>
      </c>
    </row>
    <row r="108" spans="1:45" x14ac:dyDescent="0.45">
      <c r="A108">
        <v>107</v>
      </c>
      <c r="B108">
        <v>2097</v>
      </c>
      <c r="C108" t="s">
        <v>72</v>
      </c>
      <c r="D108" t="s">
        <v>79</v>
      </c>
      <c r="E108" t="s">
        <v>74</v>
      </c>
      <c r="F108" t="s">
        <v>77</v>
      </c>
      <c r="G108" t="s">
        <v>76</v>
      </c>
      <c r="H108">
        <v>23.823548121673934</v>
      </c>
      <c r="I108">
        <v>1</v>
      </c>
      <c r="J108">
        <v>7</v>
      </c>
      <c r="K108">
        <v>7</v>
      </c>
      <c r="L108">
        <v>0</v>
      </c>
      <c r="M108">
        <v>8</v>
      </c>
      <c r="N108">
        <v>7</v>
      </c>
      <c r="O108">
        <v>1</v>
      </c>
      <c r="P108">
        <v>8</v>
      </c>
      <c r="Q108">
        <v>7</v>
      </c>
      <c r="R108">
        <v>1</v>
      </c>
      <c r="S108">
        <v>9</v>
      </c>
      <c r="T108">
        <v>7</v>
      </c>
      <c r="U108">
        <v>2</v>
      </c>
      <c r="V108">
        <v>7</v>
      </c>
      <c r="W108">
        <v>7</v>
      </c>
      <c r="X108">
        <v>0</v>
      </c>
      <c r="Y108">
        <v>6</v>
      </c>
      <c r="Z108">
        <v>7</v>
      </c>
      <c r="AA108">
        <v>-1</v>
      </c>
      <c r="AB108">
        <v>7</v>
      </c>
      <c r="AC108">
        <v>7</v>
      </c>
      <c r="AD108">
        <v>0</v>
      </c>
      <c r="AE108">
        <v>6</v>
      </c>
      <c r="AF108">
        <v>7</v>
      </c>
      <c r="AG108">
        <v>-1</v>
      </c>
      <c r="AH108">
        <v>7</v>
      </c>
      <c r="AI108">
        <v>8</v>
      </c>
      <c r="AJ108">
        <v>-1</v>
      </c>
      <c r="AK108" t="s">
        <v>1172</v>
      </c>
      <c r="AL108" t="s">
        <v>1173</v>
      </c>
      <c r="AM108" t="s">
        <v>1174</v>
      </c>
      <c r="AN108" t="s">
        <v>1175</v>
      </c>
      <c r="AO108" t="s">
        <v>1176</v>
      </c>
      <c r="AP108" t="s">
        <v>1177</v>
      </c>
      <c r="AQ108" t="s">
        <v>1178</v>
      </c>
      <c r="AR108" t="s">
        <v>1179</v>
      </c>
      <c r="AS108" t="s">
        <v>1180</v>
      </c>
    </row>
    <row r="109" spans="1:45" x14ac:dyDescent="0.45">
      <c r="A109">
        <v>108</v>
      </c>
      <c r="B109">
        <v>2098</v>
      </c>
      <c r="C109" t="s">
        <v>72</v>
      </c>
      <c r="D109" t="s">
        <v>79</v>
      </c>
      <c r="E109" t="s">
        <v>74</v>
      </c>
      <c r="F109" t="s">
        <v>77</v>
      </c>
      <c r="G109" t="s">
        <v>76</v>
      </c>
      <c r="H109">
        <v>14.186306823579844</v>
      </c>
      <c r="I109">
        <v>1</v>
      </c>
      <c r="J109">
        <v>8</v>
      </c>
      <c r="K109">
        <v>5</v>
      </c>
      <c r="L109">
        <v>3</v>
      </c>
      <c r="M109">
        <v>7</v>
      </c>
      <c r="N109">
        <v>10</v>
      </c>
      <c r="O109">
        <v>-3</v>
      </c>
      <c r="P109">
        <v>9</v>
      </c>
      <c r="Q109">
        <v>5</v>
      </c>
      <c r="R109">
        <v>4</v>
      </c>
      <c r="S109">
        <v>8</v>
      </c>
      <c r="T109">
        <v>5</v>
      </c>
      <c r="U109">
        <v>3</v>
      </c>
      <c r="V109">
        <v>9</v>
      </c>
      <c r="W109">
        <v>5</v>
      </c>
      <c r="X109">
        <v>4</v>
      </c>
      <c r="Y109">
        <v>8</v>
      </c>
      <c r="Z109">
        <v>5</v>
      </c>
      <c r="AA109">
        <v>3</v>
      </c>
      <c r="AB109">
        <v>9</v>
      </c>
      <c r="AC109">
        <v>8</v>
      </c>
      <c r="AD109">
        <v>1</v>
      </c>
      <c r="AE109">
        <v>7</v>
      </c>
      <c r="AF109">
        <v>5</v>
      </c>
      <c r="AG109">
        <v>2</v>
      </c>
      <c r="AH109">
        <v>6</v>
      </c>
      <c r="AI109">
        <v>6</v>
      </c>
      <c r="AJ109">
        <v>0</v>
      </c>
      <c r="AK109" t="s">
        <v>1181</v>
      </c>
      <c r="AL109" t="s">
        <v>1182</v>
      </c>
      <c r="AM109" t="s">
        <v>1183</v>
      </c>
      <c r="AN109" t="s">
        <v>1184</v>
      </c>
      <c r="AO109" t="s">
        <v>1185</v>
      </c>
      <c r="AP109" t="s">
        <v>1186</v>
      </c>
      <c r="AQ109" t="s">
        <v>1187</v>
      </c>
      <c r="AR109" t="s">
        <v>1188</v>
      </c>
      <c r="AS109" t="s">
        <v>1189</v>
      </c>
    </row>
    <row r="110" spans="1:45" x14ac:dyDescent="0.45">
      <c r="A110">
        <v>109</v>
      </c>
      <c r="B110">
        <v>2099</v>
      </c>
      <c r="C110" t="s">
        <v>72</v>
      </c>
      <c r="D110" t="s">
        <v>79</v>
      </c>
      <c r="E110" t="s">
        <v>74</v>
      </c>
      <c r="F110" t="s">
        <v>77</v>
      </c>
      <c r="G110" t="s">
        <v>76</v>
      </c>
      <c r="H110">
        <v>14.887271696794896</v>
      </c>
      <c r="I110">
        <v>1</v>
      </c>
      <c r="J110">
        <v>6</v>
      </c>
      <c r="K110">
        <v>10</v>
      </c>
      <c r="L110">
        <v>-4</v>
      </c>
      <c r="M110">
        <v>7</v>
      </c>
      <c r="N110">
        <v>10</v>
      </c>
      <c r="O110">
        <v>-3</v>
      </c>
      <c r="P110">
        <v>5</v>
      </c>
      <c r="Q110">
        <v>10</v>
      </c>
      <c r="R110">
        <v>-5</v>
      </c>
      <c r="S110">
        <v>7</v>
      </c>
      <c r="T110">
        <v>10</v>
      </c>
      <c r="U110">
        <v>-3</v>
      </c>
      <c r="V110">
        <v>5</v>
      </c>
      <c r="W110">
        <v>10</v>
      </c>
      <c r="X110">
        <v>-5</v>
      </c>
      <c r="Y110">
        <v>6</v>
      </c>
      <c r="Z110">
        <v>10</v>
      </c>
      <c r="AA110">
        <v>-4</v>
      </c>
      <c r="AB110">
        <v>5</v>
      </c>
      <c r="AC110">
        <v>10</v>
      </c>
      <c r="AD110">
        <v>-5</v>
      </c>
      <c r="AE110">
        <v>6</v>
      </c>
      <c r="AF110">
        <v>10</v>
      </c>
      <c r="AG110">
        <v>-4</v>
      </c>
      <c r="AH110">
        <v>5</v>
      </c>
      <c r="AI110">
        <v>10</v>
      </c>
      <c r="AJ110">
        <v>-5</v>
      </c>
      <c r="AK110" t="s">
        <v>1190</v>
      </c>
      <c r="AL110" t="s">
        <v>1191</v>
      </c>
      <c r="AM110" t="s">
        <v>1192</v>
      </c>
      <c r="AN110" t="s">
        <v>1193</v>
      </c>
      <c r="AO110" t="s">
        <v>1194</v>
      </c>
      <c r="AP110" t="s">
        <v>1195</v>
      </c>
      <c r="AQ110" t="s">
        <v>1196</v>
      </c>
      <c r="AR110" t="s">
        <v>1197</v>
      </c>
      <c r="AS110" t="s">
        <v>1198</v>
      </c>
    </row>
    <row r="111" spans="1:45" x14ac:dyDescent="0.45">
      <c r="A111">
        <v>110</v>
      </c>
      <c r="B111">
        <v>2100</v>
      </c>
      <c r="C111" t="s">
        <v>78</v>
      </c>
      <c r="D111" t="s">
        <v>73</v>
      </c>
      <c r="E111" t="s">
        <v>74</v>
      </c>
      <c r="F111" t="s">
        <v>77</v>
      </c>
      <c r="G111" t="s">
        <v>76</v>
      </c>
      <c r="H111">
        <v>54.279779262352179</v>
      </c>
      <c r="I111">
        <v>2</v>
      </c>
      <c r="J111">
        <v>7</v>
      </c>
      <c r="K111">
        <v>7</v>
      </c>
      <c r="L111">
        <v>0</v>
      </c>
      <c r="M111">
        <v>6</v>
      </c>
      <c r="N111">
        <v>6</v>
      </c>
      <c r="O111">
        <v>0</v>
      </c>
      <c r="P111">
        <v>8</v>
      </c>
      <c r="Q111">
        <v>8</v>
      </c>
      <c r="R111">
        <v>0</v>
      </c>
      <c r="S111">
        <v>9</v>
      </c>
      <c r="T111">
        <v>8</v>
      </c>
      <c r="U111">
        <v>1</v>
      </c>
      <c r="V111">
        <v>7</v>
      </c>
      <c r="W111">
        <v>7</v>
      </c>
      <c r="X111">
        <v>0</v>
      </c>
      <c r="Y111">
        <v>8</v>
      </c>
      <c r="Z111">
        <v>6</v>
      </c>
      <c r="AA111">
        <v>2</v>
      </c>
      <c r="AB111">
        <v>6</v>
      </c>
      <c r="AC111">
        <v>5</v>
      </c>
      <c r="AD111">
        <v>1</v>
      </c>
      <c r="AE111">
        <v>5</v>
      </c>
      <c r="AF111">
        <v>5</v>
      </c>
      <c r="AG111">
        <v>0</v>
      </c>
      <c r="AH111">
        <v>7</v>
      </c>
      <c r="AI111">
        <v>8</v>
      </c>
      <c r="AJ111">
        <v>-1</v>
      </c>
      <c r="AK111" t="s">
        <v>1199</v>
      </c>
      <c r="AL111" t="s">
        <v>1200</v>
      </c>
      <c r="AM111" t="s">
        <v>1201</v>
      </c>
      <c r="AN111" t="s">
        <v>1202</v>
      </c>
      <c r="AO111" t="s">
        <v>1203</v>
      </c>
      <c r="AP111" t="s">
        <v>1204</v>
      </c>
      <c r="AQ111" t="s">
        <v>1205</v>
      </c>
      <c r="AR111" t="s">
        <v>1206</v>
      </c>
      <c r="AS111" t="s">
        <v>1207</v>
      </c>
    </row>
    <row r="112" spans="1:45" x14ac:dyDescent="0.45">
      <c r="A112">
        <v>111</v>
      </c>
      <c r="B112">
        <v>2101</v>
      </c>
      <c r="C112" t="s">
        <v>78</v>
      </c>
      <c r="D112" t="s">
        <v>190</v>
      </c>
      <c r="E112" t="s">
        <v>74</v>
      </c>
      <c r="F112" t="s">
        <v>77</v>
      </c>
      <c r="G112" t="s">
        <v>76</v>
      </c>
      <c r="H112">
        <v>23.865364861513175</v>
      </c>
      <c r="I112">
        <v>1</v>
      </c>
      <c r="J112">
        <v>7</v>
      </c>
      <c r="K112">
        <v>8</v>
      </c>
      <c r="L112">
        <v>-1</v>
      </c>
      <c r="M112">
        <v>6</v>
      </c>
      <c r="N112">
        <v>8</v>
      </c>
      <c r="O112">
        <v>-2</v>
      </c>
      <c r="P112">
        <v>8</v>
      </c>
      <c r="Q112">
        <v>6</v>
      </c>
      <c r="R112">
        <v>2</v>
      </c>
      <c r="S112">
        <v>9</v>
      </c>
      <c r="T112">
        <v>7</v>
      </c>
      <c r="U112">
        <v>2</v>
      </c>
      <c r="V112">
        <v>7</v>
      </c>
      <c r="W112">
        <v>6</v>
      </c>
      <c r="X112">
        <v>1</v>
      </c>
      <c r="Y112">
        <v>8</v>
      </c>
      <c r="Z112">
        <v>7</v>
      </c>
      <c r="AA112">
        <v>1</v>
      </c>
      <c r="AB112">
        <v>6</v>
      </c>
      <c r="AC112">
        <v>5</v>
      </c>
      <c r="AD112">
        <v>1</v>
      </c>
      <c r="AE112">
        <v>7</v>
      </c>
      <c r="AF112">
        <v>5</v>
      </c>
      <c r="AG112">
        <v>2</v>
      </c>
      <c r="AH112">
        <v>8</v>
      </c>
      <c r="AI112">
        <v>5</v>
      </c>
      <c r="AJ112">
        <v>3</v>
      </c>
      <c r="AK112" t="s">
        <v>1208</v>
      </c>
      <c r="AL112" t="s">
        <v>1209</v>
      </c>
      <c r="AM112" t="s">
        <v>1210</v>
      </c>
      <c r="AN112" t="s">
        <v>1211</v>
      </c>
      <c r="AO112" t="s">
        <v>1212</v>
      </c>
      <c r="AP112" t="s">
        <v>1213</v>
      </c>
      <c r="AQ112" t="s">
        <v>1214</v>
      </c>
      <c r="AR112" t="s">
        <v>1215</v>
      </c>
      <c r="AS112" t="s">
        <v>1216</v>
      </c>
    </row>
    <row r="113" spans="1:45" x14ac:dyDescent="0.45">
      <c r="A113">
        <v>112</v>
      </c>
      <c r="B113">
        <v>2102</v>
      </c>
      <c r="C113" t="s">
        <v>72</v>
      </c>
      <c r="D113" t="s">
        <v>79</v>
      </c>
      <c r="E113" t="s">
        <v>74</v>
      </c>
      <c r="F113" t="s">
        <v>77</v>
      </c>
      <c r="G113" t="s">
        <v>76</v>
      </c>
      <c r="H113">
        <v>18.581680431978473</v>
      </c>
      <c r="I113">
        <v>2</v>
      </c>
      <c r="J113">
        <v>8</v>
      </c>
      <c r="K113">
        <v>7</v>
      </c>
      <c r="L113">
        <v>1</v>
      </c>
      <c r="M113">
        <v>7</v>
      </c>
      <c r="N113">
        <v>8</v>
      </c>
      <c r="O113">
        <v>-1</v>
      </c>
      <c r="P113">
        <v>9</v>
      </c>
      <c r="Q113">
        <v>8</v>
      </c>
      <c r="R113">
        <v>1</v>
      </c>
      <c r="S113">
        <v>8</v>
      </c>
      <c r="T113">
        <v>8</v>
      </c>
      <c r="U113">
        <v>0</v>
      </c>
      <c r="V113">
        <v>7</v>
      </c>
      <c r="W113">
        <v>8</v>
      </c>
      <c r="X113">
        <v>-1</v>
      </c>
      <c r="Y113">
        <v>6</v>
      </c>
      <c r="Z113">
        <v>8</v>
      </c>
      <c r="AA113">
        <v>-2</v>
      </c>
      <c r="AB113">
        <v>7</v>
      </c>
      <c r="AC113">
        <v>8</v>
      </c>
      <c r="AD113">
        <v>-1</v>
      </c>
      <c r="AE113">
        <v>6</v>
      </c>
      <c r="AF113">
        <v>8</v>
      </c>
      <c r="AG113">
        <v>-2</v>
      </c>
      <c r="AH113">
        <v>8</v>
      </c>
      <c r="AI113">
        <v>8</v>
      </c>
      <c r="AJ113">
        <v>0</v>
      </c>
      <c r="AK113" t="s">
        <v>1217</v>
      </c>
      <c r="AL113" t="s">
        <v>1218</v>
      </c>
      <c r="AM113" t="s">
        <v>1219</v>
      </c>
      <c r="AN113" t="s">
        <v>1220</v>
      </c>
      <c r="AO113" t="s">
        <v>1221</v>
      </c>
      <c r="AP113" t="s">
        <v>1222</v>
      </c>
      <c r="AQ113" t="s">
        <v>1223</v>
      </c>
      <c r="AR113" t="s">
        <v>1224</v>
      </c>
      <c r="AS113" t="s">
        <v>1225</v>
      </c>
    </row>
    <row r="114" spans="1:45" x14ac:dyDescent="0.45">
      <c r="A114">
        <v>113</v>
      </c>
      <c r="B114">
        <v>2103</v>
      </c>
      <c r="C114" t="s">
        <v>72</v>
      </c>
      <c r="D114" t="s">
        <v>73</v>
      </c>
      <c r="E114" t="s">
        <v>74</v>
      </c>
      <c r="F114" t="s">
        <v>77</v>
      </c>
      <c r="G114" t="s">
        <v>76</v>
      </c>
      <c r="H114">
        <v>12</v>
      </c>
      <c r="I114">
        <v>3</v>
      </c>
      <c r="J114">
        <v>7</v>
      </c>
      <c r="K114">
        <v>1</v>
      </c>
      <c r="L114">
        <v>6</v>
      </c>
      <c r="M114">
        <v>8</v>
      </c>
      <c r="N114">
        <v>1</v>
      </c>
      <c r="O114">
        <v>7</v>
      </c>
      <c r="P114">
        <v>9</v>
      </c>
      <c r="Q114">
        <v>1</v>
      </c>
      <c r="R114">
        <v>8</v>
      </c>
      <c r="S114">
        <v>8</v>
      </c>
      <c r="T114">
        <v>1</v>
      </c>
      <c r="U114">
        <v>7</v>
      </c>
      <c r="V114">
        <v>6</v>
      </c>
      <c r="W114">
        <v>1</v>
      </c>
      <c r="X114">
        <v>5</v>
      </c>
      <c r="Y114">
        <v>9</v>
      </c>
      <c r="Z114">
        <v>1</v>
      </c>
      <c r="AA114">
        <v>8</v>
      </c>
      <c r="AB114">
        <v>7</v>
      </c>
      <c r="AC114">
        <v>1</v>
      </c>
      <c r="AD114">
        <v>6</v>
      </c>
      <c r="AE114">
        <v>5</v>
      </c>
      <c r="AF114">
        <v>1</v>
      </c>
      <c r="AG114">
        <v>4</v>
      </c>
      <c r="AH114">
        <v>7</v>
      </c>
      <c r="AI114">
        <v>1</v>
      </c>
      <c r="AJ114">
        <v>6</v>
      </c>
      <c r="AK114" t="s">
        <v>1226</v>
      </c>
      <c r="AL114" t="s">
        <v>1227</v>
      </c>
      <c r="AM114" t="s">
        <v>1228</v>
      </c>
      <c r="AN114" t="s">
        <v>1229</v>
      </c>
      <c r="AO114" t="s">
        <v>1230</v>
      </c>
      <c r="AP114" t="s">
        <v>1231</v>
      </c>
      <c r="AQ114" t="s">
        <v>1232</v>
      </c>
      <c r="AR114" t="s">
        <v>1233</v>
      </c>
      <c r="AS114" t="s">
        <v>1234</v>
      </c>
    </row>
    <row r="115" spans="1:45" x14ac:dyDescent="0.45">
      <c r="A115">
        <v>114</v>
      </c>
      <c r="B115">
        <v>2104</v>
      </c>
      <c r="C115" t="s">
        <v>72</v>
      </c>
      <c r="D115" t="s">
        <v>79</v>
      </c>
      <c r="E115" t="s">
        <v>74</v>
      </c>
      <c r="F115" t="s">
        <v>77</v>
      </c>
      <c r="G115" t="s">
        <v>76</v>
      </c>
      <c r="H115">
        <v>20.635026001096445</v>
      </c>
      <c r="I115">
        <v>4</v>
      </c>
      <c r="J115">
        <v>7</v>
      </c>
      <c r="K115">
        <v>10</v>
      </c>
      <c r="L115">
        <v>-3</v>
      </c>
      <c r="M115">
        <v>6</v>
      </c>
      <c r="N115">
        <v>10</v>
      </c>
      <c r="O115">
        <v>-4</v>
      </c>
      <c r="P115">
        <v>8</v>
      </c>
      <c r="Q115">
        <v>10</v>
      </c>
      <c r="R115">
        <v>-2</v>
      </c>
      <c r="S115">
        <v>9</v>
      </c>
      <c r="T115">
        <v>10</v>
      </c>
      <c r="U115">
        <v>-1</v>
      </c>
      <c r="V115">
        <v>5</v>
      </c>
      <c r="W115">
        <v>10</v>
      </c>
      <c r="X115">
        <v>-5</v>
      </c>
      <c r="Y115">
        <v>7</v>
      </c>
      <c r="Z115">
        <v>10</v>
      </c>
      <c r="AA115">
        <v>-3</v>
      </c>
      <c r="AB115">
        <v>6</v>
      </c>
      <c r="AC115">
        <v>10</v>
      </c>
      <c r="AD115">
        <v>-4</v>
      </c>
      <c r="AE115">
        <v>8</v>
      </c>
      <c r="AF115">
        <v>10</v>
      </c>
      <c r="AG115">
        <v>-2</v>
      </c>
      <c r="AH115">
        <v>7</v>
      </c>
      <c r="AI115">
        <v>10</v>
      </c>
      <c r="AJ115">
        <v>-3</v>
      </c>
      <c r="AK115" t="s">
        <v>1235</v>
      </c>
      <c r="AL115" t="s">
        <v>1236</v>
      </c>
      <c r="AM115" t="s">
        <v>1237</v>
      </c>
      <c r="AN115" t="s">
        <v>1238</v>
      </c>
      <c r="AO115" t="s">
        <v>1239</v>
      </c>
      <c r="AP115" t="s">
        <v>1240</v>
      </c>
      <c r="AQ115" t="s">
        <v>1241</v>
      </c>
      <c r="AR115" t="s">
        <v>1242</v>
      </c>
      <c r="AS115" t="s">
        <v>1243</v>
      </c>
    </row>
    <row r="116" spans="1:45" x14ac:dyDescent="0.45">
      <c r="A116">
        <v>115</v>
      </c>
      <c r="B116">
        <v>2105</v>
      </c>
      <c r="C116" t="s">
        <v>72</v>
      </c>
      <c r="D116" t="s">
        <v>79</v>
      </c>
      <c r="E116" t="s">
        <v>74</v>
      </c>
      <c r="F116" t="s">
        <v>75</v>
      </c>
      <c r="G116" t="s">
        <v>76</v>
      </c>
      <c r="H116">
        <v>16.660673825493227</v>
      </c>
      <c r="I116">
        <v>4</v>
      </c>
      <c r="J116">
        <v>6</v>
      </c>
      <c r="K116">
        <v>1</v>
      </c>
      <c r="L116">
        <v>5</v>
      </c>
      <c r="M116">
        <v>7</v>
      </c>
      <c r="N116">
        <v>1</v>
      </c>
      <c r="O116">
        <v>6</v>
      </c>
      <c r="P116">
        <v>8</v>
      </c>
      <c r="Q116">
        <v>1</v>
      </c>
      <c r="R116">
        <v>7</v>
      </c>
      <c r="S116">
        <v>9</v>
      </c>
      <c r="T116">
        <v>1</v>
      </c>
      <c r="U116">
        <v>8</v>
      </c>
      <c r="V116">
        <v>7</v>
      </c>
      <c r="W116">
        <v>1</v>
      </c>
      <c r="X116">
        <v>6</v>
      </c>
      <c r="Y116">
        <v>6</v>
      </c>
      <c r="Z116">
        <v>1</v>
      </c>
      <c r="AA116">
        <v>5</v>
      </c>
      <c r="AB116">
        <v>5</v>
      </c>
      <c r="AC116">
        <v>1</v>
      </c>
      <c r="AD116">
        <v>4</v>
      </c>
      <c r="AE116">
        <v>6</v>
      </c>
      <c r="AF116">
        <v>1</v>
      </c>
      <c r="AG116">
        <v>5</v>
      </c>
      <c r="AH116">
        <v>7</v>
      </c>
      <c r="AI116">
        <v>1</v>
      </c>
      <c r="AJ116">
        <v>6</v>
      </c>
      <c r="AK116" t="s">
        <v>1244</v>
      </c>
      <c r="AL116" t="s">
        <v>1245</v>
      </c>
      <c r="AM116" t="s">
        <v>1246</v>
      </c>
      <c r="AN116" t="s">
        <v>1247</v>
      </c>
      <c r="AO116" t="s">
        <v>1248</v>
      </c>
      <c r="AP116" t="s">
        <v>1249</v>
      </c>
      <c r="AQ116" t="s">
        <v>1250</v>
      </c>
      <c r="AR116" t="s">
        <v>1251</v>
      </c>
      <c r="AS116" t="s">
        <v>1252</v>
      </c>
    </row>
    <row r="117" spans="1:45" x14ac:dyDescent="0.45">
      <c r="A117">
        <v>116</v>
      </c>
      <c r="B117">
        <v>2106</v>
      </c>
      <c r="C117" t="s">
        <v>72</v>
      </c>
      <c r="D117" t="s">
        <v>79</v>
      </c>
      <c r="E117" t="s">
        <v>74</v>
      </c>
      <c r="F117" t="s">
        <v>75</v>
      </c>
      <c r="G117" t="s">
        <v>76</v>
      </c>
      <c r="H117">
        <v>14.311612335351752</v>
      </c>
      <c r="I117">
        <v>0</v>
      </c>
      <c r="J117">
        <v>5</v>
      </c>
      <c r="K117">
        <v>9</v>
      </c>
      <c r="L117">
        <v>-4</v>
      </c>
      <c r="M117">
        <v>6</v>
      </c>
      <c r="N117">
        <v>9</v>
      </c>
      <c r="O117">
        <v>-3</v>
      </c>
      <c r="P117">
        <v>8</v>
      </c>
      <c r="Q117">
        <v>9</v>
      </c>
      <c r="R117">
        <v>-1</v>
      </c>
      <c r="S117">
        <v>9</v>
      </c>
      <c r="T117">
        <v>9</v>
      </c>
      <c r="U117">
        <v>0</v>
      </c>
      <c r="V117">
        <v>7</v>
      </c>
      <c r="W117">
        <v>9</v>
      </c>
      <c r="X117">
        <v>-2</v>
      </c>
      <c r="Y117">
        <v>6</v>
      </c>
      <c r="Z117">
        <v>9</v>
      </c>
      <c r="AA117">
        <v>-3</v>
      </c>
      <c r="AB117">
        <v>5</v>
      </c>
      <c r="AC117">
        <v>9</v>
      </c>
      <c r="AD117">
        <v>-4</v>
      </c>
      <c r="AE117">
        <v>6</v>
      </c>
      <c r="AF117">
        <v>8</v>
      </c>
      <c r="AG117">
        <v>-2</v>
      </c>
      <c r="AH117">
        <v>7</v>
      </c>
      <c r="AI117">
        <v>9</v>
      </c>
      <c r="AJ117">
        <v>-2</v>
      </c>
      <c r="AK117" t="s">
        <v>1253</v>
      </c>
      <c r="AL117" t="s">
        <v>1254</v>
      </c>
      <c r="AM117" t="s">
        <v>1255</v>
      </c>
      <c r="AN117" t="s">
        <v>219</v>
      </c>
      <c r="AO117" t="s">
        <v>1256</v>
      </c>
      <c r="AP117" t="s">
        <v>1257</v>
      </c>
      <c r="AQ117" t="s">
        <v>1258</v>
      </c>
      <c r="AR117" t="s">
        <v>1259</v>
      </c>
      <c r="AS117" t="s">
        <v>1260</v>
      </c>
    </row>
    <row r="118" spans="1:45" x14ac:dyDescent="0.45">
      <c r="A118">
        <v>117</v>
      </c>
      <c r="B118">
        <v>2107</v>
      </c>
      <c r="C118" t="s">
        <v>72</v>
      </c>
      <c r="D118" t="s">
        <v>79</v>
      </c>
      <c r="E118" t="s">
        <v>74</v>
      </c>
      <c r="F118" t="s">
        <v>77</v>
      </c>
      <c r="G118" t="s">
        <v>76</v>
      </c>
      <c r="H118">
        <v>55.422761197604416</v>
      </c>
      <c r="I118">
        <v>0</v>
      </c>
      <c r="J118">
        <v>7</v>
      </c>
      <c r="K118">
        <v>8</v>
      </c>
      <c r="L118">
        <v>-1</v>
      </c>
      <c r="M118">
        <v>8</v>
      </c>
      <c r="N118">
        <v>9</v>
      </c>
      <c r="O118">
        <v>-1</v>
      </c>
      <c r="P118">
        <v>6</v>
      </c>
      <c r="Q118">
        <v>8</v>
      </c>
      <c r="R118">
        <v>-2</v>
      </c>
      <c r="S118">
        <v>5</v>
      </c>
      <c r="T118">
        <v>6</v>
      </c>
      <c r="U118">
        <v>-1</v>
      </c>
      <c r="V118">
        <v>6</v>
      </c>
      <c r="W118">
        <v>8</v>
      </c>
      <c r="X118">
        <v>-2</v>
      </c>
      <c r="Y118">
        <v>7</v>
      </c>
      <c r="Z118">
        <v>8</v>
      </c>
      <c r="AA118">
        <v>-1</v>
      </c>
      <c r="AB118">
        <v>8</v>
      </c>
      <c r="AC118">
        <v>8</v>
      </c>
      <c r="AD118">
        <v>0</v>
      </c>
      <c r="AE118">
        <v>6</v>
      </c>
      <c r="AF118">
        <v>8</v>
      </c>
      <c r="AG118">
        <v>-2</v>
      </c>
      <c r="AH118">
        <v>7</v>
      </c>
      <c r="AI118">
        <v>6</v>
      </c>
      <c r="AJ118">
        <v>1</v>
      </c>
      <c r="AK118" t="s">
        <v>1261</v>
      </c>
      <c r="AL118" t="s">
        <v>1262</v>
      </c>
      <c r="AM118" t="s">
        <v>1263</v>
      </c>
      <c r="AN118" t="s">
        <v>1264</v>
      </c>
      <c r="AO118" t="s">
        <v>1265</v>
      </c>
      <c r="AP118" t="s">
        <v>1266</v>
      </c>
      <c r="AQ118" t="s">
        <v>1267</v>
      </c>
      <c r="AR118" t="s">
        <v>1268</v>
      </c>
      <c r="AS118" t="s">
        <v>1269</v>
      </c>
    </row>
    <row r="119" spans="1:45" x14ac:dyDescent="0.45">
      <c r="A119">
        <v>118</v>
      </c>
      <c r="B119">
        <v>2108</v>
      </c>
      <c r="C119" t="s">
        <v>78</v>
      </c>
      <c r="D119" t="s">
        <v>73</v>
      </c>
      <c r="E119" t="s">
        <v>74</v>
      </c>
      <c r="F119" t="s">
        <v>75</v>
      </c>
      <c r="G119" t="s">
        <v>76</v>
      </c>
      <c r="H119">
        <v>38.873279714361246</v>
      </c>
      <c r="I119">
        <v>1</v>
      </c>
      <c r="J119">
        <v>7</v>
      </c>
      <c r="K119">
        <v>4</v>
      </c>
      <c r="L119">
        <v>3</v>
      </c>
      <c r="M119">
        <v>8</v>
      </c>
      <c r="N119">
        <v>1</v>
      </c>
      <c r="O119">
        <v>7</v>
      </c>
      <c r="P119">
        <v>6</v>
      </c>
      <c r="Q119">
        <v>1</v>
      </c>
      <c r="R119">
        <v>5</v>
      </c>
      <c r="S119">
        <v>7</v>
      </c>
      <c r="T119">
        <v>5</v>
      </c>
      <c r="U119">
        <v>2</v>
      </c>
      <c r="V119">
        <v>8</v>
      </c>
      <c r="W119">
        <v>1</v>
      </c>
      <c r="X119">
        <v>7</v>
      </c>
      <c r="Y119">
        <v>6</v>
      </c>
      <c r="Z119">
        <v>3</v>
      </c>
      <c r="AA119">
        <v>3</v>
      </c>
      <c r="AB119">
        <v>7</v>
      </c>
      <c r="AC119">
        <v>1</v>
      </c>
      <c r="AD119">
        <v>6</v>
      </c>
      <c r="AE119">
        <v>6</v>
      </c>
      <c r="AF119">
        <v>1</v>
      </c>
      <c r="AG119">
        <v>5</v>
      </c>
      <c r="AH119">
        <v>5</v>
      </c>
      <c r="AI119">
        <v>5</v>
      </c>
      <c r="AJ119">
        <v>0</v>
      </c>
      <c r="AK119" t="s">
        <v>1270</v>
      </c>
      <c r="AL119" t="s">
        <v>1271</v>
      </c>
      <c r="AM119" t="s">
        <v>1272</v>
      </c>
      <c r="AN119" t="s">
        <v>1273</v>
      </c>
      <c r="AO119" t="s">
        <v>1274</v>
      </c>
      <c r="AP119" t="s">
        <v>1275</v>
      </c>
      <c r="AQ119" t="s">
        <v>1276</v>
      </c>
      <c r="AR119" t="s">
        <v>1277</v>
      </c>
      <c r="AS119" t="s">
        <v>1278</v>
      </c>
    </row>
    <row r="120" spans="1:45" x14ac:dyDescent="0.45">
      <c r="A120">
        <v>119</v>
      </c>
      <c r="B120">
        <v>2109</v>
      </c>
      <c r="C120" t="s">
        <v>72</v>
      </c>
      <c r="D120" t="s">
        <v>192</v>
      </c>
      <c r="E120" t="s">
        <v>74</v>
      </c>
      <c r="F120" t="s">
        <v>77</v>
      </c>
      <c r="G120" t="s">
        <v>76</v>
      </c>
      <c r="H120">
        <v>52.814063505627445</v>
      </c>
      <c r="I120">
        <v>4</v>
      </c>
      <c r="J120">
        <v>5</v>
      </c>
      <c r="K120">
        <v>8</v>
      </c>
      <c r="L120">
        <v>-3</v>
      </c>
      <c r="M120">
        <v>6</v>
      </c>
      <c r="N120">
        <v>8</v>
      </c>
      <c r="O120">
        <v>-2</v>
      </c>
      <c r="P120">
        <v>8</v>
      </c>
      <c r="Q120">
        <v>6</v>
      </c>
      <c r="R120">
        <v>2</v>
      </c>
      <c r="S120">
        <v>7</v>
      </c>
      <c r="T120">
        <v>9</v>
      </c>
      <c r="U120">
        <v>-2</v>
      </c>
      <c r="V120">
        <v>4</v>
      </c>
      <c r="W120">
        <v>8</v>
      </c>
      <c r="X120">
        <v>-4</v>
      </c>
      <c r="Y120">
        <v>6</v>
      </c>
      <c r="Z120">
        <v>7</v>
      </c>
      <c r="AA120">
        <v>-1</v>
      </c>
      <c r="AB120">
        <v>5</v>
      </c>
      <c r="AC120">
        <v>7</v>
      </c>
      <c r="AD120">
        <v>-2</v>
      </c>
      <c r="AE120">
        <v>3</v>
      </c>
      <c r="AF120">
        <v>7</v>
      </c>
      <c r="AG120">
        <v>-4</v>
      </c>
      <c r="AH120">
        <v>5</v>
      </c>
      <c r="AI120">
        <v>7</v>
      </c>
      <c r="AJ120">
        <v>-2</v>
      </c>
      <c r="AK120" t="s">
        <v>1279</v>
      </c>
      <c r="AL120" t="s">
        <v>1280</v>
      </c>
      <c r="AM120" t="s">
        <v>1281</v>
      </c>
      <c r="AN120" t="s">
        <v>1282</v>
      </c>
      <c r="AO120" t="s">
        <v>1283</v>
      </c>
      <c r="AP120" t="s">
        <v>1284</v>
      </c>
      <c r="AQ120" t="s">
        <v>1285</v>
      </c>
      <c r="AR120" t="s">
        <v>1286</v>
      </c>
      <c r="AS120" t="s">
        <v>1287</v>
      </c>
    </row>
    <row r="121" spans="1:45" x14ac:dyDescent="0.45">
      <c r="A121">
        <v>120</v>
      </c>
      <c r="B121">
        <v>2110</v>
      </c>
      <c r="C121" t="s">
        <v>72</v>
      </c>
      <c r="D121" t="s">
        <v>79</v>
      </c>
      <c r="E121" t="s">
        <v>80</v>
      </c>
      <c r="F121" t="s">
        <v>77</v>
      </c>
      <c r="G121" t="s">
        <v>76</v>
      </c>
      <c r="H121">
        <v>26.65643394692502</v>
      </c>
      <c r="I121">
        <v>3</v>
      </c>
      <c r="J121">
        <v>7</v>
      </c>
      <c r="K121">
        <v>6</v>
      </c>
      <c r="L121">
        <v>1</v>
      </c>
      <c r="M121">
        <v>6</v>
      </c>
      <c r="N121">
        <v>6</v>
      </c>
      <c r="O121">
        <v>0</v>
      </c>
      <c r="P121">
        <v>8</v>
      </c>
      <c r="Q121">
        <v>6</v>
      </c>
      <c r="R121">
        <v>2</v>
      </c>
      <c r="S121">
        <v>5</v>
      </c>
      <c r="T121">
        <v>6</v>
      </c>
      <c r="U121">
        <v>-1</v>
      </c>
      <c r="V121">
        <v>7</v>
      </c>
      <c r="W121">
        <v>6</v>
      </c>
      <c r="X121">
        <v>1</v>
      </c>
      <c r="Y121">
        <v>4</v>
      </c>
      <c r="Z121">
        <v>6</v>
      </c>
      <c r="AA121">
        <v>-2</v>
      </c>
      <c r="AB121">
        <v>6</v>
      </c>
      <c r="AC121">
        <v>6</v>
      </c>
      <c r="AD121">
        <v>0</v>
      </c>
      <c r="AE121">
        <v>5</v>
      </c>
      <c r="AF121">
        <v>6</v>
      </c>
      <c r="AG121">
        <v>-1</v>
      </c>
      <c r="AH121">
        <v>6</v>
      </c>
      <c r="AI121">
        <v>6</v>
      </c>
      <c r="AJ121">
        <v>0</v>
      </c>
      <c r="AK121" t="s">
        <v>1288</v>
      </c>
      <c r="AL121" t="s">
        <v>1289</v>
      </c>
      <c r="AM121" t="s">
        <v>1290</v>
      </c>
      <c r="AN121" t="s">
        <v>1291</v>
      </c>
      <c r="AO121" t="s">
        <v>1292</v>
      </c>
      <c r="AP121" t="s">
        <v>1293</v>
      </c>
      <c r="AQ121" t="s">
        <v>1294</v>
      </c>
      <c r="AR121" t="s">
        <v>1295</v>
      </c>
      <c r="AS121" t="s">
        <v>1296</v>
      </c>
    </row>
    <row r="122" spans="1:45" x14ac:dyDescent="0.45">
      <c r="A122">
        <v>121</v>
      </c>
      <c r="B122">
        <v>2111</v>
      </c>
      <c r="C122" t="s">
        <v>78</v>
      </c>
      <c r="D122" t="s">
        <v>190</v>
      </c>
      <c r="E122" t="s">
        <v>74</v>
      </c>
      <c r="F122" t="s">
        <v>75</v>
      </c>
      <c r="G122" t="s">
        <v>161</v>
      </c>
      <c r="H122">
        <v>201.27275496241441</v>
      </c>
      <c r="I122">
        <v>4</v>
      </c>
      <c r="J122">
        <v>7</v>
      </c>
      <c r="K122">
        <v>1</v>
      </c>
      <c r="L122">
        <v>6</v>
      </c>
      <c r="M122">
        <v>6</v>
      </c>
      <c r="N122">
        <v>1</v>
      </c>
      <c r="O122">
        <v>5</v>
      </c>
      <c r="P122">
        <v>5</v>
      </c>
      <c r="Q122">
        <v>1</v>
      </c>
      <c r="R122">
        <v>4</v>
      </c>
      <c r="S122">
        <v>6</v>
      </c>
      <c r="T122">
        <v>5</v>
      </c>
      <c r="U122">
        <v>1</v>
      </c>
      <c r="V122">
        <v>7</v>
      </c>
      <c r="W122">
        <v>1</v>
      </c>
      <c r="X122">
        <v>6</v>
      </c>
      <c r="Y122">
        <v>4</v>
      </c>
      <c r="Z122">
        <v>1</v>
      </c>
      <c r="AA122">
        <v>3</v>
      </c>
      <c r="AB122">
        <v>5</v>
      </c>
      <c r="AC122">
        <v>1</v>
      </c>
      <c r="AD122">
        <v>4</v>
      </c>
      <c r="AE122">
        <v>3</v>
      </c>
      <c r="AF122">
        <v>1</v>
      </c>
      <c r="AG122">
        <v>2</v>
      </c>
      <c r="AH122">
        <v>6</v>
      </c>
      <c r="AI122">
        <v>5</v>
      </c>
      <c r="AJ122">
        <v>1</v>
      </c>
      <c r="AK122" t="s">
        <v>1297</v>
      </c>
      <c r="AL122" t="s">
        <v>1298</v>
      </c>
      <c r="AM122" t="s">
        <v>1299</v>
      </c>
      <c r="AN122" t="s">
        <v>1300</v>
      </c>
      <c r="AO122" t="s">
        <v>1301</v>
      </c>
      <c r="AP122" t="s">
        <v>1302</v>
      </c>
      <c r="AQ122" t="s">
        <v>1303</v>
      </c>
      <c r="AR122" t="s">
        <v>1304</v>
      </c>
      <c r="AS122" t="s">
        <v>1305</v>
      </c>
    </row>
    <row r="123" spans="1:45" x14ac:dyDescent="0.45">
      <c r="A123">
        <v>122</v>
      </c>
      <c r="B123">
        <v>2112</v>
      </c>
      <c r="C123" t="s">
        <v>78</v>
      </c>
      <c r="D123" t="s">
        <v>79</v>
      </c>
      <c r="E123" t="s">
        <v>74</v>
      </c>
      <c r="F123" t="s">
        <v>77</v>
      </c>
      <c r="G123" t="s">
        <v>76</v>
      </c>
      <c r="H123">
        <v>114.48265751466442</v>
      </c>
      <c r="I123">
        <v>0</v>
      </c>
      <c r="J123">
        <v>8</v>
      </c>
      <c r="K123">
        <v>4</v>
      </c>
      <c r="L123">
        <v>4</v>
      </c>
      <c r="M123">
        <v>7</v>
      </c>
      <c r="N123">
        <v>4</v>
      </c>
      <c r="O123">
        <v>3</v>
      </c>
      <c r="P123">
        <v>6</v>
      </c>
      <c r="Q123">
        <v>2</v>
      </c>
      <c r="R123">
        <v>4</v>
      </c>
      <c r="S123">
        <v>7</v>
      </c>
      <c r="T123">
        <v>5</v>
      </c>
      <c r="U123">
        <v>2</v>
      </c>
      <c r="V123">
        <v>8</v>
      </c>
      <c r="W123">
        <v>1</v>
      </c>
      <c r="X123">
        <v>7</v>
      </c>
      <c r="Y123">
        <v>6</v>
      </c>
      <c r="Z123">
        <v>1</v>
      </c>
      <c r="AA123">
        <v>5</v>
      </c>
      <c r="AB123">
        <v>6</v>
      </c>
      <c r="AC123">
        <v>1</v>
      </c>
      <c r="AD123">
        <v>5</v>
      </c>
      <c r="AE123">
        <v>6</v>
      </c>
      <c r="AF123">
        <v>4</v>
      </c>
      <c r="AG123">
        <v>2</v>
      </c>
      <c r="AH123">
        <v>7</v>
      </c>
      <c r="AI123">
        <v>4</v>
      </c>
      <c r="AJ123">
        <v>3</v>
      </c>
      <c r="AK123" t="s">
        <v>1306</v>
      </c>
      <c r="AL123" t="s">
        <v>1307</v>
      </c>
      <c r="AM123" t="s">
        <v>1308</v>
      </c>
      <c r="AN123" t="s">
        <v>1309</v>
      </c>
      <c r="AO123" t="s">
        <v>1310</v>
      </c>
      <c r="AP123" t="s">
        <v>1311</v>
      </c>
      <c r="AQ123" t="s">
        <v>1312</v>
      </c>
      <c r="AR123" t="s">
        <v>1313</v>
      </c>
      <c r="AS123" t="s">
        <v>1314</v>
      </c>
    </row>
    <row r="124" spans="1:45" x14ac:dyDescent="0.45">
      <c r="A124">
        <v>123</v>
      </c>
      <c r="B124">
        <v>2113</v>
      </c>
      <c r="C124" t="s">
        <v>72</v>
      </c>
      <c r="D124" t="s">
        <v>188</v>
      </c>
      <c r="E124" t="s">
        <v>74</v>
      </c>
      <c r="F124" t="s">
        <v>77</v>
      </c>
      <c r="G124" t="s">
        <v>76</v>
      </c>
      <c r="H124">
        <v>12</v>
      </c>
      <c r="I124">
        <v>0</v>
      </c>
      <c r="J124">
        <v>7</v>
      </c>
      <c r="K124">
        <v>7</v>
      </c>
      <c r="L124">
        <v>0</v>
      </c>
      <c r="M124">
        <v>6</v>
      </c>
      <c r="N124">
        <v>7</v>
      </c>
      <c r="O124">
        <v>-1</v>
      </c>
      <c r="P124">
        <v>8</v>
      </c>
      <c r="Q124">
        <v>7</v>
      </c>
      <c r="R124">
        <v>1</v>
      </c>
      <c r="S124">
        <v>9</v>
      </c>
      <c r="T124">
        <v>7</v>
      </c>
      <c r="U124">
        <v>2</v>
      </c>
      <c r="V124">
        <v>7</v>
      </c>
      <c r="W124">
        <v>7</v>
      </c>
      <c r="X124">
        <v>0</v>
      </c>
      <c r="Y124">
        <v>6</v>
      </c>
      <c r="Z124">
        <v>7</v>
      </c>
      <c r="AA124">
        <v>-1</v>
      </c>
      <c r="AB124">
        <v>7</v>
      </c>
      <c r="AC124">
        <v>7</v>
      </c>
      <c r="AD124">
        <v>0</v>
      </c>
      <c r="AE124">
        <v>6</v>
      </c>
      <c r="AF124">
        <v>7</v>
      </c>
      <c r="AG124">
        <v>-1</v>
      </c>
      <c r="AH124">
        <v>7</v>
      </c>
      <c r="AI124">
        <v>8</v>
      </c>
      <c r="AJ124">
        <v>-1</v>
      </c>
      <c r="AK124" t="s">
        <v>1315</v>
      </c>
      <c r="AL124" t="s">
        <v>1316</v>
      </c>
      <c r="AM124" t="s">
        <v>1317</v>
      </c>
      <c r="AN124" t="s">
        <v>1318</v>
      </c>
      <c r="AO124" t="s">
        <v>1319</v>
      </c>
      <c r="AP124" t="s">
        <v>1320</v>
      </c>
      <c r="AQ124" t="s">
        <v>1321</v>
      </c>
      <c r="AR124" t="s">
        <v>1322</v>
      </c>
      <c r="AS124" t="s">
        <v>1323</v>
      </c>
    </row>
    <row r="125" spans="1:45" x14ac:dyDescent="0.45">
      <c r="A125">
        <v>124</v>
      </c>
      <c r="B125">
        <v>2114</v>
      </c>
      <c r="C125" t="s">
        <v>72</v>
      </c>
      <c r="D125" t="s">
        <v>190</v>
      </c>
      <c r="E125" t="s">
        <v>74</v>
      </c>
      <c r="F125" t="s">
        <v>75</v>
      </c>
      <c r="G125" t="s">
        <v>76</v>
      </c>
      <c r="H125">
        <v>43.908955926566975</v>
      </c>
      <c r="I125">
        <v>1</v>
      </c>
      <c r="J125">
        <v>7</v>
      </c>
      <c r="K125">
        <v>10</v>
      </c>
      <c r="L125">
        <v>-3</v>
      </c>
      <c r="M125">
        <v>8</v>
      </c>
      <c r="N125">
        <v>9</v>
      </c>
      <c r="O125">
        <v>-1</v>
      </c>
      <c r="P125">
        <v>9</v>
      </c>
      <c r="Q125">
        <v>10</v>
      </c>
      <c r="R125">
        <v>-1</v>
      </c>
      <c r="S125">
        <v>8</v>
      </c>
      <c r="T125">
        <v>10</v>
      </c>
      <c r="U125">
        <v>-2</v>
      </c>
      <c r="V125">
        <v>6</v>
      </c>
      <c r="W125">
        <v>10</v>
      </c>
      <c r="X125">
        <v>-4</v>
      </c>
      <c r="Y125">
        <v>7</v>
      </c>
      <c r="Z125">
        <v>8</v>
      </c>
      <c r="AA125">
        <v>-1</v>
      </c>
      <c r="AB125">
        <v>6</v>
      </c>
      <c r="AC125">
        <v>9</v>
      </c>
      <c r="AD125">
        <v>-3</v>
      </c>
      <c r="AE125">
        <v>5</v>
      </c>
      <c r="AF125">
        <v>9</v>
      </c>
      <c r="AG125">
        <v>-4</v>
      </c>
      <c r="AH125">
        <v>4</v>
      </c>
      <c r="AI125">
        <v>9</v>
      </c>
      <c r="AJ125">
        <v>-5</v>
      </c>
      <c r="AK125" t="s">
        <v>1324</v>
      </c>
      <c r="AL125" t="s">
        <v>1325</v>
      </c>
      <c r="AM125" t="s">
        <v>1326</v>
      </c>
      <c r="AN125" t="s">
        <v>581</v>
      </c>
      <c r="AO125" t="s">
        <v>1327</v>
      </c>
      <c r="AP125" t="s">
        <v>1328</v>
      </c>
      <c r="AQ125" t="s">
        <v>1329</v>
      </c>
      <c r="AR125" t="s">
        <v>1330</v>
      </c>
      <c r="AS125" t="s">
        <v>1331</v>
      </c>
    </row>
    <row r="126" spans="1:45" x14ac:dyDescent="0.45">
      <c r="A126">
        <v>125</v>
      </c>
      <c r="B126">
        <v>2115</v>
      </c>
      <c r="C126" t="s">
        <v>72</v>
      </c>
      <c r="D126" t="s">
        <v>188</v>
      </c>
      <c r="E126" t="s">
        <v>74</v>
      </c>
      <c r="F126" t="s">
        <v>77</v>
      </c>
      <c r="G126" t="s">
        <v>76</v>
      </c>
      <c r="H126">
        <v>14.281202914237561</v>
      </c>
      <c r="I126">
        <v>2</v>
      </c>
      <c r="J126">
        <v>6</v>
      </c>
      <c r="K126">
        <v>10</v>
      </c>
      <c r="L126">
        <v>-4</v>
      </c>
      <c r="M126">
        <v>7</v>
      </c>
      <c r="N126">
        <v>10</v>
      </c>
      <c r="O126">
        <v>-3</v>
      </c>
      <c r="P126">
        <v>5</v>
      </c>
      <c r="Q126">
        <v>10</v>
      </c>
      <c r="R126">
        <v>-5</v>
      </c>
      <c r="S126">
        <v>8</v>
      </c>
      <c r="T126">
        <v>10</v>
      </c>
      <c r="U126">
        <v>-2</v>
      </c>
      <c r="V126">
        <v>9</v>
      </c>
      <c r="W126">
        <v>10</v>
      </c>
      <c r="X126">
        <v>-1</v>
      </c>
      <c r="Y126">
        <v>7</v>
      </c>
      <c r="Z126">
        <v>10</v>
      </c>
      <c r="AA126">
        <v>-3</v>
      </c>
      <c r="AB126">
        <v>6</v>
      </c>
      <c r="AC126">
        <v>10</v>
      </c>
      <c r="AD126">
        <v>-4</v>
      </c>
      <c r="AE126">
        <v>8</v>
      </c>
      <c r="AF126">
        <v>10</v>
      </c>
      <c r="AG126">
        <v>-2</v>
      </c>
      <c r="AH126">
        <v>7</v>
      </c>
      <c r="AI126">
        <v>10</v>
      </c>
      <c r="AJ126">
        <v>-3</v>
      </c>
      <c r="AK126" t="s">
        <v>1332</v>
      </c>
      <c r="AL126" t="s">
        <v>1333</v>
      </c>
      <c r="AM126" t="s">
        <v>1334</v>
      </c>
      <c r="AN126" t="s">
        <v>1335</v>
      </c>
      <c r="AO126" t="s">
        <v>1336</v>
      </c>
      <c r="AP126" t="s">
        <v>1337</v>
      </c>
      <c r="AQ126" t="s">
        <v>1338</v>
      </c>
      <c r="AR126" t="s">
        <v>1339</v>
      </c>
      <c r="AS126" t="s">
        <v>1340</v>
      </c>
    </row>
    <row r="127" spans="1:45" x14ac:dyDescent="0.45">
      <c r="A127">
        <v>126</v>
      </c>
      <c r="B127">
        <v>2116</v>
      </c>
      <c r="C127" t="s">
        <v>78</v>
      </c>
      <c r="D127" t="s">
        <v>81</v>
      </c>
      <c r="E127" t="s">
        <v>74</v>
      </c>
      <c r="F127" t="s">
        <v>77</v>
      </c>
      <c r="G127" t="s">
        <v>76</v>
      </c>
      <c r="H127">
        <v>29.500889130141879</v>
      </c>
      <c r="I127">
        <v>0</v>
      </c>
      <c r="J127">
        <v>6</v>
      </c>
      <c r="K127">
        <v>8</v>
      </c>
      <c r="L127">
        <v>-2</v>
      </c>
      <c r="M127">
        <v>5</v>
      </c>
      <c r="N127">
        <v>8</v>
      </c>
      <c r="O127">
        <v>-3</v>
      </c>
      <c r="P127">
        <v>7</v>
      </c>
      <c r="Q127">
        <v>5</v>
      </c>
      <c r="R127">
        <v>2</v>
      </c>
      <c r="S127">
        <v>8</v>
      </c>
      <c r="T127">
        <v>8</v>
      </c>
      <c r="U127">
        <v>0</v>
      </c>
      <c r="V127">
        <v>7</v>
      </c>
      <c r="W127">
        <v>8</v>
      </c>
      <c r="X127">
        <v>-1</v>
      </c>
      <c r="Y127">
        <v>6</v>
      </c>
      <c r="Z127">
        <v>8</v>
      </c>
      <c r="AA127">
        <v>-2</v>
      </c>
      <c r="AB127">
        <v>7</v>
      </c>
      <c r="AC127">
        <v>7</v>
      </c>
      <c r="AD127">
        <v>0</v>
      </c>
      <c r="AE127">
        <v>5</v>
      </c>
      <c r="AF127">
        <v>7</v>
      </c>
      <c r="AG127">
        <v>-2</v>
      </c>
      <c r="AH127">
        <v>7</v>
      </c>
      <c r="AI127">
        <v>8</v>
      </c>
      <c r="AJ127">
        <v>-1</v>
      </c>
      <c r="AK127" t="s">
        <v>1341</v>
      </c>
      <c r="AL127" t="s">
        <v>1342</v>
      </c>
      <c r="AM127" t="s">
        <v>1343</v>
      </c>
      <c r="AN127" t="s">
        <v>1344</v>
      </c>
      <c r="AO127" t="s">
        <v>1345</v>
      </c>
      <c r="AP127" t="s">
        <v>1346</v>
      </c>
      <c r="AQ127" t="s">
        <v>1347</v>
      </c>
      <c r="AR127" t="s">
        <v>1348</v>
      </c>
      <c r="AS127" t="s">
        <v>1349</v>
      </c>
    </row>
    <row r="128" spans="1:45" x14ac:dyDescent="0.45">
      <c r="A128">
        <v>127</v>
      </c>
      <c r="B128">
        <v>2117</v>
      </c>
      <c r="C128" t="s">
        <v>72</v>
      </c>
      <c r="D128" t="s">
        <v>79</v>
      </c>
      <c r="E128" t="s">
        <v>74</v>
      </c>
      <c r="F128" t="s">
        <v>77</v>
      </c>
      <c r="G128" t="s">
        <v>76</v>
      </c>
      <c r="H128">
        <v>152.15850504787139</v>
      </c>
      <c r="I128">
        <v>4</v>
      </c>
      <c r="J128">
        <v>6</v>
      </c>
      <c r="K128">
        <v>1</v>
      </c>
      <c r="L128">
        <v>5</v>
      </c>
      <c r="M128">
        <v>5</v>
      </c>
      <c r="N128">
        <v>1</v>
      </c>
      <c r="O128">
        <v>4</v>
      </c>
      <c r="P128">
        <v>7</v>
      </c>
      <c r="Q128">
        <v>1</v>
      </c>
      <c r="R128">
        <v>6</v>
      </c>
      <c r="S128">
        <v>9</v>
      </c>
      <c r="T128">
        <v>5</v>
      </c>
      <c r="U128">
        <v>4</v>
      </c>
      <c r="V128">
        <v>8</v>
      </c>
      <c r="W128">
        <v>1</v>
      </c>
      <c r="X128">
        <v>7</v>
      </c>
      <c r="Y128">
        <v>9</v>
      </c>
      <c r="Z128">
        <v>1</v>
      </c>
      <c r="AA128">
        <v>8</v>
      </c>
      <c r="AB128">
        <v>7</v>
      </c>
      <c r="AC128">
        <v>1</v>
      </c>
      <c r="AD128">
        <v>6</v>
      </c>
      <c r="AE128">
        <v>6</v>
      </c>
      <c r="AF128">
        <v>5</v>
      </c>
      <c r="AG128">
        <v>1</v>
      </c>
      <c r="AH128">
        <v>8</v>
      </c>
      <c r="AI128">
        <v>5</v>
      </c>
      <c r="AJ128">
        <v>3</v>
      </c>
      <c r="AK128" t="s">
        <v>1350</v>
      </c>
      <c r="AL128" t="s">
        <v>1351</v>
      </c>
      <c r="AM128" t="s">
        <v>1352</v>
      </c>
      <c r="AN128" t="s">
        <v>1353</v>
      </c>
      <c r="AO128" t="s">
        <v>1354</v>
      </c>
      <c r="AP128" t="s">
        <v>1355</v>
      </c>
      <c r="AQ128" t="s">
        <v>1356</v>
      </c>
      <c r="AR128" t="s">
        <v>1357</v>
      </c>
      <c r="AS128" t="s">
        <v>1358</v>
      </c>
    </row>
    <row r="129" spans="1:45" x14ac:dyDescent="0.45">
      <c r="A129">
        <v>128</v>
      </c>
      <c r="B129">
        <v>2118</v>
      </c>
      <c r="C129" t="s">
        <v>78</v>
      </c>
      <c r="D129" t="s">
        <v>190</v>
      </c>
      <c r="E129" t="s">
        <v>74</v>
      </c>
      <c r="F129" t="s">
        <v>77</v>
      </c>
      <c r="G129" t="s">
        <v>76</v>
      </c>
      <c r="H129">
        <v>149.1450310838473</v>
      </c>
      <c r="I129">
        <v>4</v>
      </c>
      <c r="J129">
        <v>6</v>
      </c>
      <c r="K129">
        <v>6</v>
      </c>
      <c r="L129">
        <v>0</v>
      </c>
      <c r="M129">
        <v>7</v>
      </c>
      <c r="N129">
        <v>6</v>
      </c>
      <c r="O129">
        <v>1</v>
      </c>
      <c r="P129">
        <v>5</v>
      </c>
      <c r="Q129">
        <v>6</v>
      </c>
      <c r="R129">
        <v>-1</v>
      </c>
      <c r="S129">
        <v>8</v>
      </c>
      <c r="T129">
        <v>8</v>
      </c>
      <c r="U129">
        <v>0</v>
      </c>
      <c r="V129">
        <v>6</v>
      </c>
      <c r="W129">
        <v>6</v>
      </c>
      <c r="X129">
        <v>0</v>
      </c>
      <c r="Y129">
        <v>5</v>
      </c>
      <c r="Z129">
        <v>3</v>
      </c>
      <c r="AA129">
        <v>2</v>
      </c>
      <c r="AB129">
        <v>4</v>
      </c>
      <c r="AC129">
        <v>5</v>
      </c>
      <c r="AD129">
        <v>-1</v>
      </c>
      <c r="AE129">
        <v>5</v>
      </c>
      <c r="AF129">
        <v>5</v>
      </c>
      <c r="AG129">
        <v>0</v>
      </c>
      <c r="AH129">
        <v>7</v>
      </c>
      <c r="AI129">
        <v>4</v>
      </c>
      <c r="AJ129">
        <v>3</v>
      </c>
      <c r="AK129" t="s">
        <v>1359</v>
      </c>
      <c r="AL129" t="s">
        <v>1360</v>
      </c>
      <c r="AM129" t="s">
        <v>1361</v>
      </c>
      <c r="AN129" t="s">
        <v>1362</v>
      </c>
      <c r="AO129" t="s">
        <v>1363</v>
      </c>
      <c r="AP129" t="s">
        <v>1364</v>
      </c>
      <c r="AQ129" t="s">
        <v>1365</v>
      </c>
      <c r="AR129" t="s">
        <v>1366</v>
      </c>
      <c r="AS129" t="s">
        <v>1367</v>
      </c>
    </row>
    <row r="130" spans="1:45" x14ac:dyDescent="0.45">
      <c r="A130">
        <v>129</v>
      </c>
      <c r="B130">
        <v>2119</v>
      </c>
      <c r="C130" t="s">
        <v>78</v>
      </c>
      <c r="D130" t="s">
        <v>190</v>
      </c>
      <c r="E130" t="s">
        <v>74</v>
      </c>
      <c r="F130" t="s">
        <v>75</v>
      </c>
      <c r="G130" t="s">
        <v>76</v>
      </c>
      <c r="H130">
        <v>118.84447262218022</v>
      </c>
      <c r="I130">
        <v>3</v>
      </c>
      <c r="J130">
        <v>6</v>
      </c>
      <c r="K130">
        <v>6</v>
      </c>
      <c r="L130">
        <v>0</v>
      </c>
      <c r="M130">
        <v>7</v>
      </c>
      <c r="N130">
        <v>6</v>
      </c>
      <c r="O130">
        <v>1</v>
      </c>
      <c r="P130">
        <v>8</v>
      </c>
      <c r="Q130">
        <v>4</v>
      </c>
      <c r="R130">
        <v>4</v>
      </c>
      <c r="S130">
        <v>9</v>
      </c>
      <c r="T130">
        <v>5</v>
      </c>
      <c r="U130">
        <v>4</v>
      </c>
      <c r="V130">
        <v>8</v>
      </c>
      <c r="W130">
        <v>5</v>
      </c>
      <c r="X130">
        <v>3</v>
      </c>
      <c r="Y130">
        <v>7</v>
      </c>
      <c r="Z130">
        <v>1</v>
      </c>
      <c r="AA130">
        <v>6</v>
      </c>
      <c r="AB130">
        <v>8</v>
      </c>
      <c r="AC130">
        <v>5</v>
      </c>
      <c r="AD130">
        <v>3</v>
      </c>
      <c r="AE130">
        <v>5</v>
      </c>
      <c r="AF130">
        <v>4</v>
      </c>
      <c r="AG130">
        <v>1</v>
      </c>
      <c r="AH130">
        <v>7</v>
      </c>
      <c r="AI130">
        <v>5</v>
      </c>
      <c r="AJ130">
        <v>2</v>
      </c>
      <c r="AK130" t="s">
        <v>1368</v>
      </c>
      <c r="AL130" t="s">
        <v>1369</v>
      </c>
      <c r="AM130" t="s">
        <v>1370</v>
      </c>
      <c r="AN130" t="s">
        <v>1371</v>
      </c>
      <c r="AO130" t="s">
        <v>1372</v>
      </c>
      <c r="AP130" t="s">
        <v>1373</v>
      </c>
      <c r="AQ130" t="s">
        <v>1374</v>
      </c>
      <c r="AR130" t="s">
        <v>1375</v>
      </c>
      <c r="AS130" t="s">
        <v>1376</v>
      </c>
    </row>
    <row r="131" spans="1:45" x14ac:dyDescent="0.45">
      <c r="A131">
        <v>130</v>
      </c>
      <c r="B131">
        <v>2120</v>
      </c>
      <c r="C131" t="s">
        <v>72</v>
      </c>
      <c r="D131" t="s">
        <v>192</v>
      </c>
      <c r="E131" t="s">
        <v>74</v>
      </c>
      <c r="F131" t="s">
        <v>75</v>
      </c>
      <c r="G131" t="s">
        <v>76</v>
      </c>
      <c r="H131">
        <v>71.647553831807301</v>
      </c>
      <c r="I131">
        <v>2</v>
      </c>
      <c r="J131">
        <v>8</v>
      </c>
      <c r="K131">
        <v>5</v>
      </c>
      <c r="L131">
        <v>3</v>
      </c>
      <c r="M131">
        <v>7</v>
      </c>
      <c r="N131">
        <v>5</v>
      </c>
      <c r="O131">
        <v>2</v>
      </c>
      <c r="P131">
        <v>9</v>
      </c>
      <c r="Q131">
        <v>1</v>
      </c>
      <c r="R131">
        <v>8</v>
      </c>
      <c r="S131">
        <v>8</v>
      </c>
      <c r="T131">
        <v>4</v>
      </c>
      <c r="U131">
        <v>4</v>
      </c>
      <c r="V131">
        <v>7</v>
      </c>
      <c r="W131">
        <v>2</v>
      </c>
      <c r="X131">
        <v>5</v>
      </c>
      <c r="Y131">
        <v>6</v>
      </c>
      <c r="Z131">
        <v>1</v>
      </c>
      <c r="AA131">
        <v>5</v>
      </c>
      <c r="AB131">
        <v>5</v>
      </c>
      <c r="AC131">
        <v>1</v>
      </c>
      <c r="AD131">
        <v>4</v>
      </c>
      <c r="AE131">
        <v>4</v>
      </c>
      <c r="AF131">
        <v>1</v>
      </c>
      <c r="AG131">
        <v>3</v>
      </c>
      <c r="AH131">
        <v>6</v>
      </c>
      <c r="AI131">
        <v>5</v>
      </c>
      <c r="AJ131">
        <v>1</v>
      </c>
      <c r="AK131" t="s">
        <v>1377</v>
      </c>
      <c r="AL131" t="s">
        <v>1378</v>
      </c>
      <c r="AM131" t="s">
        <v>1379</v>
      </c>
      <c r="AN131" t="s">
        <v>1380</v>
      </c>
      <c r="AO131" t="s">
        <v>1381</v>
      </c>
      <c r="AP131" t="s">
        <v>1382</v>
      </c>
      <c r="AQ131" t="s">
        <v>1383</v>
      </c>
      <c r="AR131" t="s">
        <v>1384</v>
      </c>
      <c r="AS131" t="s">
        <v>1385</v>
      </c>
    </row>
    <row r="132" spans="1:45" x14ac:dyDescent="0.45">
      <c r="A132">
        <v>131</v>
      </c>
      <c r="B132">
        <v>2121</v>
      </c>
      <c r="C132" t="s">
        <v>72</v>
      </c>
      <c r="D132" t="s">
        <v>73</v>
      </c>
      <c r="E132" t="s">
        <v>74</v>
      </c>
      <c r="F132" t="s">
        <v>75</v>
      </c>
      <c r="G132" t="s">
        <v>76</v>
      </c>
      <c r="H132">
        <v>84.822633815383583</v>
      </c>
      <c r="I132">
        <v>1</v>
      </c>
      <c r="J132">
        <v>7</v>
      </c>
      <c r="K132">
        <v>8</v>
      </c>
      <c r="L132">
        <v>-1</v>
      </c>
      <c r="M132">
        <v>8</v>
      </c>
      <c r="N132">
        <v>9</v>
      </c>
      <c r="O132">
        <v>-1</v>
      </c>
      <c r="P132">
        <v>6</v>
      </c>
      <c r="Q132">
        <v>5</v>
      </c>
      <c r="R132">
        <v>1</v>
      </c>
      <c r="S132">
        <v>8</v>
      </c>
      <c r="T132">
        <v>5</v>
      </c>
      <c r="U132">
        <v>3</v>
      </c>
      <c r="V132">
        <v>7</v>
      </c>
      <c r="W132">
        <v>5</v>
      </c>
      <c r="X132">
        <v>2</v>
      </c>
      <c r="Y132">
        <v>6</v>
      </c>
      <c r="Z132">
        <v>4</v>
      </c>
      <c r="AA132">
        <v>2</v>
      </c>
      <c r="AB132">
        <v>7</v>
      </c>
      <c r="AC132">
        <v>5</v>
      </c>
      <c r="AD132">
        <v>2</v>
      </c>
      <c r="AE132">
        <v>5</v>
      </c>
      <c r="AF132">
        <v>5</v>
      </c>
      <c r="AG132">
        <v>0</v>
      </c>
      <c r="AH132">
        <v>6</v>
      </c>
      <c r="AI132">
        <v>5</v>
      </c>
      <c r="AJ132">
        <v>1</v>
      </c>
      <c r="AK132" t="s">
        <v>1386</v>
      </c>
      <c r="AL132" t="s">
        <v>1387</v>
      </c>
      <c r="AM132" t="s">
        <v>1388</v>
      </c>
      <c r="AN132" t="s">
        <v>1389</v>
      </c>
      <c r="AO132" t="s">
        <v>1390</v>
      </c>
      <c r="AP132" t="s">
        <v>1391</v>
      </c>
      <c r="AQ132" t="s">
        <v>1392</v>
      </c>
      <c r="AR132" t="s">
        <v>1393</v>
      </c>
      <c r="AS132" t="s">
        <v>1394</v>
      </c>
    </row>
    <row r="133" spans="1:45" x14ac:dyDescent="0.45">
      <c r="A133">
        <v>132</v>
      </c>
      <c r="B133">
        <v>2122</v>
      </c>
      <c r="C133" t="s">
        <v>78</v>
      </c>
      <c r="D133" t="s">
        <v>188</v>
      </c>
      <c r="E133" t="s">
        <v>74</v>
      </c>
      <c r="F133" t="s">
        <v>77</v>
      </c>
      <c r="G133" t="s">
        <v>76</v>
      </c>
      <c r="H133">
        <v>15.286572647208111</v>
      </c>
      <c r="I133">
        <v>0</v>
      </c>
      <c r="J133">
        <v>7</v>
      </c>
      <c r="K133">
        <v>9</v>
      </c>
      <c r="L133">
        <v>-2</v>
      </c>
      <c r="M133">
        <v>6</v>
      </c>
      <c r="N133">
        <v>9</v>
      </c>
      <c r="O133">
        <v>-3</v>
      </c>
      <c r="P133">
        <v>8</v>
      </c>
      <c r="Q133">
        <v>9</v>
      </c>
      <c r="R133">
        <v>-1</v>
      </c>
      <c r="S133">
        <v>9</v>
      </c>
      <c r="T133">
        <v>9</v>
      </c>
      <c r="U133">
        <v>0</v>
      </c>
      <c r="V133">
        <v>4</v>
      </c>
      <c r="W133">
        <v>7</v>
      </c>
      <c r="X133">
        <v>-3</v>
      </c>
      <c r="Y133">
        <v>5</v>
      </c>
      <c r="Z133">
        <v>10</v>
      </c>
      <c r="AA133">
        <v>-5</v>
      </c>
      <c r="AB133">
        <v>3</v>
      </c>
      <c r="AC133">
        <v>5</v>
      </c>
      <c r="AD133">
        <v>-2</v>
      </c>
      <c r="AE133">
        <v>5</v>
      </c>
      <c r="AF133">
        <v>5</v>
      </c>
      <c r="AG133">
        <v>0</v>
      </c>
      <c r="AH133">
        <v>6</v>
      </c>
      <c r="AI133">
        <v>9</v>
      </c>
      <c r="AJ133">
        <v>-3</v>
      </c>
      <c r="AK133" t="s">
        <v>1395</v>
      </c>
      <c r="AL133" t="s">
        <v>1396</v>
      </c>
      <c r="AM133" t="s">
        <v>1397</v>
      </c>
      <c r="AN133" t="s">
        <v>1398</v>
      </c>
      <c r="AO133" t="s">
        <v>1399</v>
      </c>
      <c r="AP133" t="s">
        <v>1400</v>
      </c>
      <c r="AQ133" t="s">
        <v>1401</v>
      </c>
      <c r="AR133" t="s">
        <v>1402</v>
      </c>
      <c r="AS133" t="s">
        <v>1403</v>
      </c>
    </row>
    <row r="134" spans="1:45" x14ac:dyDescent="0.45">
      <c r="A134">
        <v>133</v>
      </c>
      <c r="B134">
        <v>2123</v>
      </c>
      <c r="C134" t="s">
        <v>78</v>
      </c>
      <c r="D134" t="s">
        <v>81</v>
      </c>
      <c r="E134" t="s">
        <v>74</v>
      </c>
      <c r="F134" t="s">
        <v>189</v>
      </c>
      <c r="G134" t="s">
        <v>76</v>
      </c>
      <c r="H134">
        <v>35.477346230917526</v>
      </c>
      <c r="I134">
        <v>0</v>
      </c>
      <c r="J134">
        <v>7</v>
      </c>
      <c r="K134">
        <v>5</v>
      </c>
      <c r="L134">
        <v>2</v>
      </c>
      <c r="M134">
        <v>8</v>
      </c>
      <c r="N134">
        <v>5</v>
      </c>
      <c r="O134">
        <v>3</v>
      </c>
      <c r="P134">
        <v>6</v>
      </c>
      <c r="Q134">
        <v>5</v>
      </c>
      <c r="R134">
        <v>1</v>
      </c>
      <c r="S134">
        <v>8</v>
      </c>
      <c r="T134">
        <v>5</v>
      </c>
      <c r="U134">
        <v>3</v>
      </c>
      <c r="V134">
        <v>7</v>
      </c>
      <c r="W134">
        <v>5</v>
      </c>
      <c r="X134">
        <v>2</v>
      </c>
      <c r="Y134">
        <v>6</v>
      </c>
      <c r="Z134">
        <v>5</v>
      </c>
      <c r="AA134">
        <v>1</v>
      </c>
      <c r="AB134">
        <v>5</v>
      </c>
      <c r="AC134">
        <v>5</v>
      </c>
      <c r="AD134">
        <v>0</v>
      </c>
      <c r="AE134">
        <v>6</v>
      </c>
      <c r="AF134">
        <v>5</v>
      </c>
      <c r="AG134">
        <v>1</v>
      </c>
      <c r="AH134">
        <v>7</v>
      </c>
      <c r="AI134">
        <v>5</v>
      </c>
      <c r="AJ134">
        <v>2</v>
      </c>
      <c r="AK134" t="s">
        <v>1404</v>
      </c>
      <c r="AL134" t="s">
        <v>1405</v>
      </c>
      <c r="AM134" t="s">
        <v>1406</v>
      </c>
      <c r="AN134" t="s">
        <v>1407</v>
      </c>
      <c r="AO134" t="s">
        <v>1408</v>
      </c>
      <c r="AP134" t="s">
        <v>1409</v>
      </c>
      <c r="AQ134" t="s">
        <v>1410</v>
      </c>
      <c r="AR134" t="s">
        <v>1411</v>
      </c>
      <c r="AS134" t="s">
        <v>1412</v>
      </c>
    </row>
    <row r="135" spans="1:45" x14ac:dyDescent="0.45">
      <c r="A135">
        <v>134</v>
      </c>
      <c r="B135">
        <v>2124</v>
      </c>
      <c r="C135" t="s">
        <v>72</v>
      </c>
      <c r="D135" t="s">
        <v>188</v>
      </c>
      <c r="E135" t="s">
        <v>74</v>
      </c>
      <c r="F135" t="s">
        <v>77</v>
      </c>
      <c r="G135" t="s">
        <v>76</v>
      </c>
      <c r="H135">
        <v>19.621506850513263</v>
      </c>
      <c r="I135">
        <v>0</v>
      </c>
      <c r="J135">
        <v>7</v>
      </c>
      <c r="K135">
        <v>9</v>
      </c>
      <c r="L135">
        <v>-2</v>
      </c>
      <c r="M135">
        <v>6</v>
      </c>
      <c r="N135">
        <v>9</v>
      </c>
      <c r="O135">
        <v>-3</v>
      </c>
      <c r="P135">
        <v>8</v>
      </c>
      <c r="Q135">
        <v>5</v>
      </c>
      <c r="R135">
        <v>3</v>
      </c>
      <c r="S135">
        <v>9</v>
      </c>
      <c r="T135">
        <v>9</v>
      </c>
      <c r="U135">
        <v>0</v>
      </c>
      <c r="V135">
        <v>8</v>
      </c>
      <c r="W135">
        <v>8</v>
      </c>
      <c r="X135">
        <v>0</v>
      </c>
      <c r="Y135">
        <v>9</v>
      </c>
      <c r="Z135">
        <v>10</v>
      </c>
      <c r="AA135">
        <v>-1</v>
      </c>
      <c r="AB135">
        <v>8</v>
      </c>
      <c r="AC135">
        <v>5</v>
      </c>
      <c r="AD135">
        <v>3</v>
      </c>
      <c r="AE135">
        <v>7</v>
      </c>
      <c r="AF135">
        <v>5</v>
      </c>
      <c r="AG135">
        <v>2</v>
      </c>
      <c r="AH135">
        <v>8</v>
      </c>
      <c r="AI135">
        <v>7</v>
      </c>
      <c r="AJ135">
        <v>1</v>
      </c>
      <c r="AK135" t="s">
        <v>1413</v>
      </c>
      <c r="AL135" t="s">
        <v>1414</v>
      </c>
      <c r="AM135" t="s">
        <v>1415</v>
      </c>
      <c r="AN135" t="s">
        <v>1416</v>
      </c>
      <c r="AO135" t="s">
        <v>1417</v>
      </c>
      <c r="AP135" t="s">
        <v>1418</v>
      </c>
      <c r="AQ135" t="s">
        <v>1419</v>
      </c>
      <c r="AR135" t="s">
        <v>1420</v>
      </c>
      <c r="AS135" t="s">
        <v>1421</v>
      </c>
    </row>
    <row r="136" spans="1:45" x14ac:dyDescent="0.45">
      <c r="A136">
        <v>135</v>
      </c>
      <c r="B136">
        <v>2125</v>
      </c>
      <c r="C136" t="s">
        <v>78</v>
      </c>
      <c r="D136" t="s">
        <v>188</v>
      </c>
      <c r="E136" t="s">
        <v>74</v>
      </c>
      <c r="F136" t="s">
        <v>77</v>
      </c>
      <c r="G136" t="s">
        <v>76</v>
      </c>
      <c r="H136">
        <v>13.971867425319756</v>
      </c>
      <c r="I136">
        <v>0</v>
      </c>
      <c r="J136">
        <v>6</v>
      </c>
      <c r="K136">
        <v>5</v>
      </c>
      <c r="L136">
        <v>1</v>
      </c>
      <c r="M136">
        <v>7</v>
      </c>
      <c r="N136">
        <v>5</v>
      </c>
      <c r="O136">
        <v>2</v>
      </c>
      <c r="P136">
        <v>8</v>
      </c>
      <c r="Q136">
        <v>5</v>
      </c>
      <c r="R136">
        <v>3</v>
      </c>
      <c r="S136">
        <v>9</v>
      </c>
      <c r="T136">
        <v>6</v>
      </c>
      <c r="U136">
        <v>3</v>
      </c>
      <c r="V136">
        <v>7</v>
      </c>
      <c r="W136">
        <v>6</v>
      </c>
      <c r="X136">
        <v>1</v>
      </c>
      <c r="Y136">
        <v>6</v>
      </c>
      <c r="Z136">
        <v>6</v>
      </c>
      <c r="AA136">
        <v>0</v>
      </c>
      <c r="AB136">
        <v>5</v>
      </c>
      <c r="AC136">
        <v>6</v>
      </c>
      <c r="AD136">
        <v>-1</v>
      </c>
      <c r="AE136">
        <v>7</v>
      </c>
      <c r="AF136">
        <v>6</v>
      </c>
      <c r="AG136">
        <v>1</v>
      </c>
      <c r="AH136">
        <v>8</v>
      </c>
      <c r="AI136">
        <v>6</v>
      </c>
      <c r="AJ136">
        <v>2</v>
      </c>
      <c r="AK136" t="s">
        <v>216</v>
      </c>
      <c r="AL136" t="s">
        <v>216</v>
      </c>
      <c r="AM136" t="s">
        <v>216</v>
      </c>
      <c r="AN136" t="s">
        <v>216</v>
      </c>
      <c r="AO136" t="s">
        <v>216</v>
      </c>
      <c r="AP136" t="s">
        <v>216</v>
      </c>
      <c r="AQ136" t="s">
        <v>216</v>
      </c>
      <c r="AR136" t="s">
        <v>216</v>
      </c>
      <c r="AS136" t="s">
        <v>216</v>
      </c>
    </row>
    <row r="137" spans="1:45" x14ac:dyDescent="0.45">
      <c r="A137">
        <v>136</v>
      </c>
      <c r="B137">
        <v>2126</v>
      </c>
      <c r="C137" t="s">
        <v>72</v>
      </c>
      <c r="D137" t="s">
        <v>192</v>
      </c>
      <c r="E137" t="s">
        <v>74</v>
      </c>
      <c r="F137" t="s">
        <v>77</v>
      </c>
      <c r="G137" t="s">
        <v>161</v>
      </c>
      <c r="H137">
        <v>12</v>
      </c>
      <c r="I137">
        <v>0</v>
      </c>
      <c r="J137">
        <v>7</v>
      </c>
      <c r="K137">
        <v>8</v>
      </c>
      <c r="L137">
        <v>-1</v>
      </c>
      <c r="M137">
        <v>6</v>
      </c>
      <c r="N137">
        <v>8</v>
      </c>
      <c r="O137">
        <v>-2</v>
      </c>
      <c r="P137">
        <v>5</v>
      </c>
      <c r="Q137">
        <v>8</v>
      </c>
      <c r="R137">
        <v>-3</v>
      </c>
      <c r="S137">
        <v>7</v>
      </c>
      <c r="T137">
        <v>8</v>
      </c>
      <c r="U137">
        <v>-1</v>
      </c>
      <c r="V137">
        <v>6</v>
      </c>
      <c r="W137">
        <v>10</v>
      </c>
      <c r="X137">
        <v>-4</v>
      </c>
      <c r="Y137">
        <v>4</v>
      </c>
      <c r="Z137">
        <v>10</v>
      </c>
      <c r="AA137">
        <v>-6</v>
      </c>
      <c r="AB137">
        <v>5</v>
      </c>
      <c r="AC137">
        <v>10</v>
      </c>
      <c r="AD137">
        <v>-5</v>
      </c>
      <c r="AE137">
        <v>3</v>
      </c>
      <c r="AF137">
        <v>10</v>
      </c>
      <c r="AG137">
        <v>-7</v>
      </c>
      <c r="AH137">
        <v>5</v>
      </c>
      <c r="AI137">
        <v>10</v>
      </c>
      <c r="AJ137">
        <v>-5</v>
      </c>
      <c r="AK137" t="s">
        <v>1422</v>
      </c>
      <c r="AL137" t="s">
        <v>1423</v>
      </c>
      <c r="AM137" t="s">
        <v>1424</v>
      </c>
      <c r="AN137" t="s">
        <v>1425</v>
      </c>
      <c r="AO137" t="s">
        <v>1426</v>
      </c>
      <c r="AP137" t="s">
        <v>1427</v>
      </c>
      <c r="AQ137" t="s">
        <v>1428</v>
      </c>
      <c r="AR137" t="s">
        <v>1429</v>
      </c>
      <c r="AS137" t="s">
        <v>1430</v>
      </c>
    </row>
    <row r="138" spans="1:45" x14ac:dyDescent="0.45">
      <c r="A138">
        <v>137</v>
      </c>
      <c r="B138">
        <v>2127</v>
      </c>
      <c r="C138" t="s">
        <v>78</v>
      </c>
      <c r="D138" t="s">
        <v>190</v>
      </c>
      <c r="E138" t="s">
        <v>74</v>
      </c>
      <c r="F138" t="s">
        <v>77</v>
      </c>
      <c r="G138" t="s">
        <v>76</v>
      </c>
      <c r="H138">
        <v>247.94099676182358</v>
      </c>
      <c r="I138">
        <v>4</v>
      </c>
      <c r="J138">
        <v>7</v>
      </c>
      <c r="K138">
        <v>8</v>
      </c>
      <c r="L138">
        <v>-1</v>
      </c>
      <c r="M138">
        <v>8</v>
      </c>
      <c r="N138">
        <v>8</v>
      </c>
      <c r="O138">
        <v>0</v>
      </c>
      <c r="P138">
        <v>9</v>
      </c>
      <c r="Q138">
        <v>8</v>
      </c>
      <c r="R138">
        <v>1</v>
      </c>
      <c r="S138">
        <v>8</v>
      </c>
      <c r="T138">
        <v>8</v>
      </c>
      <c r="U138">
        <v>0</v>
      </c>
      <c r="V138">
        <v>9</v>
      </c>
      <c r="W138">
        <v>8</v>
      </c>
      <c r="X138">
        <v>1</v>
      </c>
      <c r="Y138">
        <v>8</v>
      </c>
      <c r="Z138">
        <v>8</v>
      </c>
      <c r="AA138">
        <v>0</v>
      </c>
      <c r="AB138">
        <v>9</v>
      </c>
      <c r="AC138">
        <v>5</v>
      </c>
      <c r="AD138">
        <v>4</v>
      </c>
      <c r="AE138">
        <v>7</v>
      </c>
      <c r="AF138">
        <v>7</v>
      </c>
      <c r="AG138">
        <v>0</v>
      </c>
      <c r="AH138">
        <v>8</v>
      </c>
      <c r="AI138">
        <v>8</v>
      </c>
      <c r="AJ138">
        <v>0</v>
      </c>
      <c r="AK138" t="s">
        <v>1431</v>
      </c>
      <c r="AL138" t="s">
        <v>1432</v>
      </c>
      <c r="AM138" t="s">
        <v>1433</v>
      </c>
      <c r="AN138" t="s">
        <v>1434</v>
      </c>
      <c r="AO138" t="s">
        <v>1435</v>
      </c>
      <c r="AP138" t="s">
        <v>1436</v>
      </c>
      <c r="AQ138" t="s">
        <v>1437</v>
      </c>
      <c r="AR138" t="s">
        <v>1438</v>
      </c>
      <c r="AS138" t="s">
        <v>1439</v>
      </c>
    </row>
    <row r="139" spans="1:45" x14ac:dyDescent="0.45">
      <c r="A139">
        <v>138</v>
      </c>
      <c r="B139">
        <v>2128</v>
      </c>
      <c r="C139" t="s">
        <v>72</v>
      </c>
      <c r="D139" t="s">
        <v>81</v>
      </c>
      <c r="E139" t="s">
        <v>74</v>
      </c>
      <c r="F139" t="s">
        <v>75</v>
      </c>
      <c r="G139" t="s">
        <v>76</v>
      </c>
      <c r="H139">
        <v>15.774999141099268</v>
      </c>
      <c r="I139">
        <v>0</v>
      </c>
      <c r="J139">
        <v>7</v>
      </c>
      <c r="K139">
        <v>8</v>
      </c>
      <c r="L139">
        <v>-1</v>
      </c>
      <c r="M139">
        <v>8</v>
      </c>
      <c r="N139">
        <v>9</v>
      </c>
      <c r="O139">
        <v>-1</v>
      </c>
      <c r="P139">
        <v>9</v>
      </c>
      <c r="Q139">
        <v>7</v>
      </c>
      <c r="R139">
        <v>2</v>
      </c>
      <c r="S139">
        <v>8</v>
      </c>
      <c r="T139">
        <v>7</v>
      </c>
      <c r="U139">
        <v>1</v>
      </c>
      <c r="V139">
        <v>7</v>
      </c>
      <c r="W139">
        <v>6</v>
      </c>
      <c r="X139">
        <v>1</v>
      </c>
      <c r="Y139">
        <v>8</v>
      </c>
      <c r="Z139">
        <v>6</v>
      </c>
      <c r="AA139">
        <v>2</v>
      </c>
      <c r="AB139">
        <v>7</v>
      </c>
      <c r="AC139">
        <v>2</v>
      </c>
      <c r="AD139">
        <v>5</v>
      </c>
      <c r="AE139">
        <v>6</v>
      </c>
      <c r="AF139">
        <v>5</v>
      </c>
      <c r="AG139">
        <v>1</v>
      </c>
      <c r="AH139">
        <v>7</v>
      </c>
      <c r="AI139">
        <v>6</v>
      </c>
      <c r="AJ139">
        <v>1</v>
      </c>
      <c r="AK139" t="s">
        <v>1440</v>
      </c>
      <c r="AL139" t="s">
        <v>1441</v>
      </c>
      <c r="AM139" t="s">
        <v>1442</v>
      </c>
      <c r="AN139" t="s">
        <v>1443</v>
      </c>
      <c r="AO139" t="s">
        <v>1444</v>
      </c>
      <c r="AP139" t="s">
        <v>1445</v>
      </c>
      <c r="AQ139" t="s">
        <v>1446</v>
      </c>
      <c r="AR139" t="s">
        <v>1447</v>
      </c>
      <c r="AS139" t="s">
        <v>1448</v>
      </c>
    </row>
    <row r="140" spans="1:45" x14ac:dyDescent="0.45">
      <c r="A140">
        <v>139</v>
      </c>
      <c r="B140">
        <v>2129</v>
      </c>
      <c r="C140" t="s">
        <v>72</v>
      </c>
      <c r="D140" t="s">
        <v>79</v>
      </c>
      <c r="E140" t="s">
        <v>74</v>
      </c>
      <c r="F140" t="s">
        <v>75</v>
      </c>
      <c r="G140" t="s">
        <v>76</v>
      </c>
      <c r="H140">
        <v>224.80140609221547</v>
      </c>
      <c r="I140">
        <v>2</v>
      </c>
      <c r="J140">
        <v>8</v>
      </c>
      <c r="K140">
        <v>5</v>
      </c>
      <c r="L140">
        <v>3</v>
      </c>
      <c r="M140">
        <v>7</v>
      </c>
      <c r="N140">
        <v>4</v>
      </c>
      <c r="O140">
        <v>3</v>
      </c>
      <c r="P140">
        <v>6</v>
      </c>
      <c r="Q140">
        <v>7</v>
      </c>
      <c r="R140">
        <v>-1</v>
      </c>
      <c r="S140">
        <v>5</v>
      </c>
      <c r="T140">
        <v>6</v>
      </c>
      <c r="U140">
        <v>-1</v>
      </c>
      <c r="V140">
        <v>8</v>
      </c>
      <c r="W140">
        <v>3</v>
      </c>
      <c r="X140">
        <v>5</v>
      </c>
      <c r="Y140">
        <v>7</v>
      </c>
      <c r="Z140">
        <v>4</v>
      </c>
      <c r="AA140">
        <v>3</v>
      </c>
      <c r="AB140">
        <v>6</v>
      </c>
      <c r="AC140">
        <v>4</v>
      </c>
      <c r="AD140">
        <v>2</v>
      </c>
      <c r="AE140">
        <v>5</v>
      </c>
      <c r="AF140">
        <v>5</v>
      </c>
      <c r="AG140">
        <v>0</v>
      </c>
      <c r="AH140">
        <v>8</v>
      </c>
      <c r="AI140">
        <v>5</v>
      </c>
      <c r="AJ140">
        <v>3</v>
      </c>
      <c r="AK140" t="s">
        <v>1449</v>
      </c>
      <c r="AL140" t="s">
        <v>1450</v>
      </c>
      <c r="AM140" t="s">
        <v>1451</v>
      </c>
      <c r="AN140" t="s">
        <v>1452</v>
      </c>
      <c r="AO140" t="s">
        <v>1453</v>
      </c>
      <c r="AP140" t="s">
        <v>1454</v>
      </c>
      <c r="AQ140" t="s">
        <v>1455</v>
      </c>
      <c r="AR140" t="s">
        <v>1456</v>
      </c>
      <c r="AS140" t="s">
        <v>1457</v>
      </c>
    </row>
    <row r="141" spans="1:45" x14ac:dyDescent="0.45">
      <c r="A141">
        <v>140</v>
      </c>
      <c r="B141">
        <v>2130</v>
      </c>
      <c r="C141" t="s">
        <v>72</v>
      </c>
      <c r="D141" t="s">
        <v>73</v>
      </c>
      <c r="E141" t="s">
        <v>74</v>
      </c>
      <c r="F141" t="s">
        <v>77</v>
      </c>
      <c r="G141" t="s">
        <v>76</v>
      </c>
      <c r="H141">
        <v>30.440778914880052</v>
      </c>
      <c r="I141">
        <v>1</v>
      </c>
      <c r="J141">
        <v>6</v>
      </c>
      <c r="K141">
        <v>10</v>
      </c>
      <c r="L141">
        <v>-4</v>
      </c>
      <c r="M141">
        <v>7</v>
      </c>
      <c r="N141">
        <v>9</v>
      </c>
      <c r="O141">
        <v>-2</v>
      </c>
      <c r="P141">
        <v>8</v>
      </c>
      <c r="Q141">
        <v>9</v>
      </c>
      <c r="R141">
        <v>-1</v>
      </c>
      <c r="S141">
        <v>9</v>
      </c>
      <c r="T141">
        <v>9</v>
      </c>
      <c r="U141">
        <v>0</v>
      </c>
      <c r="V141">
        <v>7</v>
      </c>
      <c r="W141">
        <v>8</v>
      </c>
      <c r="X141">
        <v>-1</v>
      </c>
      <c r="Y141">
        <v>6</v>
      </c>
      <c r="Z141">
        <v>8</v>
      </c>
      <c r="AA141">
        <v>-2</v>
      </c>
      <c r="AB141">
        <v>5</v>
      </c>
      <c r="AC141">
        <v>8</v>
      </c>
      <c r="AD141">
        <v>-3</v>
      </c>
      <c r="AE141">
        <v>7</v>
      </c>
      <c r="AF141">
        <v>8</v>
      </c>
      <c r="AG141">
        <v>-1</v>
      </c>
      <c r="AH141">
        <v>7</v>
      </c>
      <c r="AI141">
        <v>10</v>
      </c>
      <c r="AJ141">
        <v>-3</v>
      </c>
      <c r="AK141" t="s">
        <v>1458</v>
      </c>
      <c r="AL141" t="s">
        <v>1459</v>
      </c>
      <c r="AM141" t="s">
        <v>1460</v>
      </c>
      <c r="AN141" t="s">
        <v>1461</v>
      </c>
      <c r="AO141" t="s">
        <v>1462</v>
      </c>
      <c r="AP141" t="s">
        <v>1463</v>
      </c>
      <c r="AQ141" t="s">
        <v>1464</v>
      </c>
      <c r="AR141" t="s">
        <v>1465</v>
      </c>
      <c r="AS141" t="s">
        <v>1466</v>
      </c>
    </row>
    <row r="142" spans="1:45" x14ac:dyDescent="0.45">
      <c r="A142">
        <v>141</v>
      </c>
      <c r="B142">
        <v>2131</v>
      </c>
      <c r="C142" t="s">
        <v>78</v>
      </c>
      <c r="D142" t="s">
        <v>73</v>
      </c>
      <c r="E142" t="s">
        <v>74</v>
      </c>
      <c r="F142" t="s">
        <v>77</v>
      </c>
      <c r="G142" t="s">
        <v>76</v>
      </c>
      <c r="H142">
        <v>23.367160816515419</v>
      </c>
      <c r="I142">
        <v>1</v>
      </c>
      <c r="J142">
        <v>7</v>
      </c>
      <c r="K142">
        <v>8</v>
      </c>
      <c r="L142">
        <v>-1</v>
      </c>
      <c r="M142">
        <v>8</v>
      </c>
      <c r="N142">
        <v>7</v>
      </c>
      <c r="O142">
        <v>1</v>
      </c>
      <c r="P142">
        <v>6</v>
      </c>
      <c r="Q142">
        <v>6</v>
      </c>
      <c r="R142">
        <v>0</v>
      </c>
      <c r="S142">
        <v>8</v>
      </c>
      <c r="T142">
        <v>6</v>
      </c>
      <c r="U142">
        <v>2</v>
      </c>
      <c r="V142">
        <v>7</v>
      </c>
      <c r="W142">
        <v>5</v>
      </c>
      <c r="X142">
        <v>2</v>
      </c>
      <c r="Y142">
        <v>6</v>
      </c>
      <c r="Z142">
        <v>5</v>
      </c>
      <c r="AA142">
        <v>1</v>
      </c>
      <c r="AB142">
        <v>7</v>
      </c>
      <c r="AC142">
        <v>3</v>
      </c>
      <c r="AD142">
        <v>4</v>
      </c>
      <c r="AE142">
        <v>6</v>
      </c>
      <c r="AF142">
        <v>3</v>
      </c>
      <c r="AG142">
        <v>3</v>
      </c>
      <c r="AH142">
        <v>8</v>
      </c>
      <c r="AI142">
        <v>5</v>
      </c>
      <c r="AJ142">
        <v>3</v>
      </c>
      <c r="AK142" t="s">
        <v>1467</v>
      </c>
      <c r="AL142" t="s">
        <v>1468</v>
      </c>
      <c r="AM142" t="s">
        <v>1469</v>
      </c>
      <c r="AN142" t="s">
        <v>1470</v>
      </c>
      <c r="AO142" t="s">
        <v>1471</v>
      </c>
      <c r="AP142" t="s">
        <v>1472</v>
      </c>
      <c r="AQ142" t="s">
        <v>1473</v>
      </c>
      <c r="AR142" t="s">
        <v>1474</v>
      </c>
      <c r="AS142" t="s">
        <v>1475</v>
      </c>
    </row>
    <row r="143" spans="1:45" x14ac:dyDescent="0.45">
      <c r="A143">
        <v>142</v>
      </c>
      <c r="B143">
        <v>2132</v>
      </c>
      <c r="C143" t="s">
        <v>78</v>
      </c>
      <c r="D143" t="s">
        <v>79</v>
      </c>
      <c r="E143" t="s">
        <v>74</v>
      </c>
      <c r="F143" t="s">
        <v>75</v>
      </c>
      <c r="G143" t="s">
        <v>76</v>
      </c>
      <c r="H143">
        <v>12</v>
      </c>
      <c r="I143">
        <v>1</v>
      </c>
      <c r="J143">
        <v>7</v>
      </c>
      <c r="K143">
        <v>5</v>
      </c>
      <c r="L143">
        <v>2</v>
      </c>
      <c r="M143">
        <v>8</v>
      </c>
      <c r="N143">
        <v>6</v>
      </c>
      <c r="O143">
        <v>2</v>
      </c>
      <c r="P143">
        <v>9</v>
      </c>
      <c r="Q143">
        <v>5</v>
      </c>
      <c r="R143">
        <v>4</v>
      </c>
      <c r="S143">
        <v>8</v>
      </c>
      <c r="T143">
        <v>7</v>
      </c>
      <c r="U143">
        <v>1</v>
      </c>
      <c r="V143">
        <v>7</v>
      </c>
      <c r="W143">
        <v>6</v>
      </c>
      <c r="X143">
        <v>1</v>
      </c>
      <c r="Y143">
        <v>6</v>
      </c>
      <c r="Z143">
        <v>6</v>
      </c>
      <c r="AA143">
        <v>0</v>
      </c>
      <c r="AB143">
        <v>5</v>
      </c>
      <c r="AC143">
        <v>6</v>
      </c>
      <c r="AD143">
        <v>-1</v>
      </c>
      <c r="AE143">
        <v>7</v>
      </c>
      <c r="AF143">
        <v>7</v>
      </c>
      <c r="AG143">
        <v>0</v>
      </c>
      <c r="AH143">
        <v>6</v>
      </c>
      <c r="AI143">
        <v>7</v>
      </c>
      <c r="AJ143">
        <v>-1</v>
      </c>
      <c r="AK143" t="s">
        <v>1476</v>
      </c>
      <c r="AL143" t="s">
        <v>1477</v>
      </c>
      <c r="AM143" t="s">
        <v>1478</v>
      </c>
      <c r="AN143" t="s">
        <v>1479</v>
      </c>
      <c r="AO143" t="s">
        <v>1480</v>
      </c>
      <c r="AP143" t="s">
        <v>1481</v>
      </c>
      <c r="AQ143" t="s">
        <v>1482</v>
      </c>
      <c r="AR143" t="s">
        <v>1483</v>
      </c>
      <c r="AS143" t="s">
        <v>1484</v>
      </c>
    </row>
    <row r="144" spans="1:45" x14ac:dyDescent="0.45">
      <c r="A144">
        <v>143</v>
      </c>
      <c r="B144">
        <v>2133</v>
      </c>
      <c r="C144" t="s">
        <v>78</v>
      </c>
      <c r="D144" t="s">
        <v>73</v>
      </c>
      <c r="E144" t="s">
        <v>74</v>
      </c>
      <c r="F144" t="s">
        <v>75</v>
      </c>
      <c r="G144" t="s">
        <v>76</v>
      </c>
      <c r="H144">
        <v>139.02703250999451</v>
      </c>
      <c r="I144">
        <v>0</v>
      </c>
      <c r="J144">
        <v>7</v>
      </c>
      <c r="K144">
        <v>1</v>
      </c>
      <c r="L144">
        <v>6</v>
      </c>
      <c r="M144">
        <v>6</v>
      </c>
      <c r="N144">
        <v>1</v>
      </c>
      <c r="O144">
        <v>5</v>
      </c>
      <c r="P144">
        <v>8</v>
      </c>
      <c r="Q144">
        <v>8</v>
      </c>
      <c r="R144">
        <v>0</v>
      </c>
      <c r="S144">
        <v>7</v>
      </c>
      <c r="T144">
        <v>8</v>
      </c>
      <c r="U144">
        <v>-1</v>
      </c>
      <c r="V144">
        <v>5</v>
      </c>
      <c r="W144">
        <v>8</v>
      </c>
      <c r="X144">
        <v>-3</v>
      </c>
      <c r="Y144">
        <v>6</v>
      </c>
      <c r="Z144">
        <v>8</v>
      </c>
      <c r="AA144">
        <v>-2</v>
      </c>
      <c r="AB144">
        <v>4</v>
      </c>
      <c r="AC144">
        <v>8</v>
      </c>
      <c r="AD144">
        <v>-4</v>
      </c>
      <c r="AE144">
        <v>5</v>
      </c>
      <c r="AF144">
        <v>8</v>
      </c>
      <c r="AG144">
        <v>-3</v>
      </c>
      <c r="AH144">
        <v>6</v>
      </c>
      <c r="AI144">
        <v>8</v>
      </c>
      <c r="AJ144">
        <v>-2</v>
      </c>
      <c r="AK144" t="s">
        <v>1485</v>
      </c>
      <c r="AL144" t="s">
        <v>1486</v>
      </c>
      <c r="AM144" t="s">
        <v>1487</v>
      </c>
      <c r="AN144" t="s">
        <v>1488</v>
      </c>
      <c r="AO144" t="s">
        <v>1489</v>
      </c>
      <c r="AP144" t="s">
        <v>1490</v>
      </c>
      <c r="AQ144" t="s">
        <v>1491</v>
      </c>
      <c r="AR144" t="s">
        <v>1492</v>
      </c>
      <c r="AS144" t="s">
        <v>1493</v>
      </c>
    </row>
    <row r="145" spans="1:45" x14ac:dyDescent="0.45">
      <c r="A145">
        <v>144</v>
      </c>
      <c r="B145">
        <v>2134</v>
      </c>
      <c r="C145" t="s">
        <v>72</v>
      </c>
      <c r="D145" t="s">
        <v>190</v>
      </c>
      <c r="E145" t="s">
        <v>74</v>
      </c>
      <c r="F145" t="s">
        <v>77</v>
      </c>
      <c r="G145" t="s">
        <v>76</v>
      </c>
      <c r="H145">
        <v>62.626696236284886</v>
      </c>
      <c r="I145">
        <v>2</v>
      </c>
      <c r="J145">
        <v>7</v>
      </c>
      <c r="K145">
        <v>9</v>
      </c>
      <c r="L145">
        <v>-2</v>
      </c>
      <c r="M145">
        <v>8</v>
      </c>
      <c r="N145">
        <v>9</v>
      </c>
      <c r="O145">
        <v>-1</v>
      </c>
      <c r="P145">
        <v>9</v>
      </c>
      <c r="Q145">
        <v>9</v>
      </c>
      <c r="R145">
        <v>0</v>
      </c>
      <c r="S145">
        <v>8</v>
      </c>
      <c r="T145">
        <v>9</v>
      </c>
      <c r="U145">
        <v>-1</v>
      </c>
      <c r="V145">
        <v>7</v>
      </c>
      <c r="W145">
        <v>10</v>
      </c>
      <c r="X145">
        <v>-3</v>
      </c>
      <c r="Y145">
        <v>8</v>
      </c>
      <c r="Z145">
        <v>5</v>
      </c>
      <c r="AA145">
        <v>3</v>
      </c>
      <c r="AB145">
        <v>6</v>
      </c>
      <c r="AC145">
        <v>9</v>
      </c>
      <c r="AD145">
        <v>-3</v>
      </c>
      <c r="AE145">
        <v>5</v>
      </c>
      <c r="AF145">
        <v>9</v>
      </c>
      <c r="AG145">
        <v>-4</v>
      </c>
      <c r="AH145">
        <v>7</v>
      </c>
      <c r="AI145">
        <v>10</v>
      </c>
      <c r="AJ145">
        <v>-3</v>
      </c>
      <c r="AK145" t="s">
        <v>1494</v>
      </c>
      <c r="AL145" t="s">
        <v>1495</v>
      </c>
      <c r="AM145" t="s">
        <v>1496</v>
      </c>
      <c r="AN145" t="s">
        <v>1497</v>
      </c>
      <c r="AO145" t="s">
        <v>1498</v>
      </c>
      <c r="AP145" t="s">
        <v>1499</v>
      </c>
      <c r="AQ145" t="s">
        <v>1500</v>
      </c>
      <c r="AR145" t="s">
        <v>1501</v>
      </c>
      <c r="AS145" t="s">
        <v>1502</v>
      </c>
    </row>
    <row r="146" spans="1:45" x14ac:dyDescent="0.45">
      <c r="A146">
        <v>145</v>
      </c>
      <c r="B146">
        <v>2135</v>
      </c>
      <c r="C146" t="s">
        <v>72</v>
      </c>
      <c r="D146" t="s">
        <v>79</v>
      </c>
      <c r="E146" t="s">
        <v>74</v>
      </c>
      <c r="F146" t="s">
        <v>77</v>
      </c>
      <c r="G146" t="s">
        <v>76</v>
      </c>
      <c r="H146">
        <v>57.646688879409737</v>
      </c>
      <c r="I146">
        <v>2</v>
      </c>
      <c r="J146">
        <v>7</v>
      </c>
      <c r="K146">
        <v>10</v>
      </c>
      <c r="L146">
        <v>-3</v>
      </c>
      <c r="M146">
        <v>6</v>
      </c>
      <c r="N146">
        <v>10</v>
      </c>
      <c r="O146">
        <v>-4</v>
      </c>
      <c r="P146">
        <v>8</v>
      </c>
      <c r="Q146">
        <v>9</v>
      </c>
      <c r="R146">
        <v>-1</v>
      </c>
      <c r="S146">
        <v>9</v>
      </c>
      <c r="T146">
        <v>6</v>
      </c>
      <c r="U146">
        <v>3</v>
      </c>
      <c r="V146">
        <v>8</v>
      </c>
      <c r="W146">
        <v>6</v>
      </c>
      <c r="X146">
        <v>2</v>
      </c>
      <c r="Y146">
        <v>7</v>
      </c>
      <c r="Z146">
        <v>3</v>
      </c>
      <c r="AA146">
        <v>4</v>
      </c>
      <c r="AB146">
        <v>8</v>
      </c>
      <c r="AC146">
        <v>5</v>
      </c>
      <c r="AD146">
        <v>3</v>
      </c>
      <c r="AE146">
        <v>5</v>
      </c>
      <c r="AF146">
        <v>5</v>
      </c>
      <c r="AG146">
        <v>0</v>
      </c>
      <c r="AH146">
        <v>7</v>
      </c>
      <c r="AI146">
        <v>1</v>
      </c>
      <c r="AJ146">
        <v>6</v>
      </c>
      <c r="AK146" t="s">
        <v>1503</v>
      </c>
      <c r="AL146" t="s">
        <v>1504</v>
      </c>
      <c r="AM146" t="s">
        <v>1505</v>
      </c>
      <c r="AN146" t="s">
        <v>1506</v>
      </c>
      <c r="AO146" t="s">
        <v>1507</v>
      </c>
      <c r="AP146" t="s">
        <v>1508</v>
      </c>
      <c r="AQ146" t="s">
        <v>1509</v>
      </c>
      <c r="AR146" t="s">
        <v>1510</v>
      </c>
      <c r="AS146" t="s">
        <v>1511</v>
      </c>
    </row>
    <row r="147" spans="1:45" x14ac:dyDescent="0.45">
      <c r="A147">
        <v>146</v>
      </c>
      <c r="B147">
        <v>2136</v>
      </c>
      <c r="C147" t="s">
        <v>72</v>
      </c>
      <c r="D147" t="s">
        <v>79</v>
      </c>
      <c r="E147" t="s">
        <v>74</v>
      </c>
      <c r="F147" t="s">
        <v>77</v>
      </c>
      <c r="G147" t="s">
        <v>76</v>
      </c>
      <c r="H147">
        <v>85.619123253570223</v>
      </c>
      <c r="I147">
        <v>3</v>
      </c>
      <c r="J147">
        <v>8</v>
      </c>
      <c r="K147">
        <v>8</v>
      </c>
      <c r="L147">
        <v>0</v>
      </c>
      <c r="M147">
        <v>9</v>
      </c>
      <c r="N147">
        <v>8</v>
      </c>
      <c r="O147">
        <v>1</v>
      </c>
      <c r="P147">
        <v>7</v>
      </c>
      <c r="Q147">
        <v>5</v>
      </c>
      <c r="R147">
        <v>2</v>
      </c>
      <c r="S147">
        <v>6</v>
      </c>
      <c r="T147">
        <v>5</v>
      </c>
      <c r="U147">
        <v>1</v>
      </c>
      <c r="V147">
        <v>8</v>
      </c>
      <c r="W147">
        <v>5</v>
      </c>
      <c r="X147">
        <v>3</v>
      </c>
      <c r="Y147">
        <v>7</v>
      </c>
      <c r="Z147">
        <v>3</v>
      </c>
      <c r="AA147">
        <v>4</v>
      </c>
      <c r="AB147">
        <v>6</v>
      </c>
      <c r="AC147">
        <v>5</v>
      </c>
      <c r="AD147">
        <v>1</v>
      </c>
      <c r="AE147">
        <v>5</v>
      </c>
      <c r="AF147">
        <v>5</v>
      </c>
      <c r="AG147">
        <v>0</v>
      </c>
      <c r="AH147">
        <v>7</v>
      </c>
      <c r="AI147">
        <v>5</v>
      </c>
      <c r="AJ147">
        <v>2</v>
      </c>
      <c r="AK147" t="s">
        <v>1512</v>
      </c>
      <c r="AL147" t="s">
        <v>1513</v>
      </c>
      <c r="AM147" t="s">
        <v>1514</v>
      </c>
      <c r="AN147" t="s">
        <v>1515</v>
      </c>
      <c r="AO147" t="s">
        <v>1516</v>
      </c>
      <c r="AP147" t="s">
        <v>1517</v>
      </c>
      <c r="AQ147" t="s">
        <v>1518</v>
      </c>
      <c r="AR147" t="s">
        <v>1519</v>
      </c>
      <c r="AS147" t="s">
        <v>1520</v>
      </c>
    </row>
    <row r="148" spans="1:45" x14ac:dyDescent="0.45">
      <c r="A148">
        <v>147</v>
      </c>
      <c r="B148">
        <v>2137</v>
      </c>
      <c r="C148" t="s">
        <v>72</v>
      </c>
      <c r="D148" t="s">
        <v>192</v>
      </c>
      <c r="E148" t="s">
        <v>74</v>
      </c>
      <c r="F148" t="s">
        <v>75</v>
      </c>
      <c r="G148" t="s">
        <v>76</v>
      </c>
      <c r="H148">
        <v>157.45553892629545</v>
      </c>
      <c r="I148">
        <v>0</v>
      </c>
      <c r="J148">
        <v>8</v>
      </c>
      <c r="K148">
        <v>7</v>
      </c>
      <c r="L148">
        <v>1</v>
      </c>
      <c r="M148">
        <v>9</v>
      </c>
      <c r="N148">
        <v>7</v>
      </c>
      <c r="O148">
        <v>2</v>
      </c>
      <c r="P148">
        <v>8</v>
      </c>
      <c r="Q148">
        <v>1</v>
      </c>
      <c r="R148">
        <v>7</v>
      </c>
      <c r="S148">
        <v>7</v>
      </c>
      <c r="T148">
        <v>6</v>
      </c>
      <c r="U148">
        <v>1</v>
      </c>
      <c r="V148">
        <v>8</v>
      </c>
      <c r="W148">
        <v>3</v>
      </c>
      <c r="X148">
        <v>5</v>
      </c>
      <c r="Y148">
        <v>7</v>
      </c>
      <c r="Z148">
        <v>5</v>
      </c>
      <c r="AA148">
        <v>2</v>
      </c>
      <c r="AB148">
        <v>8</v>
      </c>
      <c r="AC148">
        <v>1</v>
      </c>
      <c r="AD148">
        <v>7</v>
      </c>
      <c r="AE148">
        <v>7</v>
      </c>
      <c r="AF148">
        <v>4</v>
      </c>
      <c r="AG148">
        <v>3</v>
      </c>
      <c r="AH148">
        <v>8</v>
      </c>
      <c r="AI148">
        <v>5</v>
      </c>
      <c r="AJ148">
        <v>3</v>
      </c>
      <c r="AK148" t="s">
        <v>1521</v>
      </c>
      <c r="AL148" t="s">
        <v>1522</v>
      </c>
      <c r="AM148" t="s">
        <v>1523</v>
      </c>
      <c r="AN148" t="s">
        <v>1524</v>
      </c>
      <c r="AO148" t="s">
        <v>1525</v>
      </c>
      <c r="AP148" t="s">
        <v>1526</v>
      </c>
      <c r="AQ148" t="s">
        <v>1527</v>
      </c>
      <c r="AR148" t="s">
        <v>1528</v>
      </c>
      <c r="AS148" t="s">
        <v>1529</v>
      </c>
    </row>
    <row r="149" spans="1:45" x14ac:dyDescent="0.45">
      <c r="A149">
        <v>148</v>
      </c>
      <c r="B149">
        <v>2138</v>
      </c>
      <c r="C149" t="s">
        <v>78</v>
      </c>
      <c r="D149" t="s">
        <v>81</v>
      </c>
      <c r="E149" t="s">
        <v>74</v>
      </c>
      <c r="F149" t="s">
        <v>77</v>
      </c>
      <c r="G149" t="s">
        <v>76</v>
      </c>
      <c r="H149">
        <v>19.480538476970402</v>
      </c>
      <c r="I149">
        <v>0</v>
      </c>
      <c r="J149">
        <v>8</v>
      </c>
      <c r="K149">
        <v>6</v>
      </c>
      <c r="L149">
        <v>2</v>
      </c>
      <c r="M149">
        <v>7</v>
      </c>
      <c r="N149">
        <v>6</v>
      </c>
      <c r="O149">
        <v>1</v>
      </c>
      <c r="P149">
        <v>9</v>
      </c>
      <c r="Q149">
        <v>5</v>
      </c>
      <c r="R149">
        <v>4</v>
      </c>
      <c r="S149">
        <v>8</v>
      </c>
      <c r="T149">
        <v>7</v>
      </c>
      <c r="U149">
        <v>1</v>
      </c>
      <c r="V149">
        <v>7</v>
      </c>
      <c r="W149">
        <v>5</v>
      </c>
      <c r="X149">
        <v>2</v>
      </c>
      <c r="Y149">
        <v>8</v>
      </c>
      <c r="Z149">
        <v>7</v>
      </c>
      <c r="AA149">
        <v>1</v>
      </c>
      <c r="AB149">
        <v>7</v>
      </c>
      <c r="AC149">
        <v>5</v>
      </c>
      <c r="AD149">
        <v>2</v>
      </c>
      <c r="AE149">
        <v>8</v>
      </c>
      <c r="AF149">
        <v>6</v>
      </c>
      <c r="AG149">
        <v>2</v>
      </c>
      <c r="AH149">
        <v>9</v>
      </c>
      <c r="AI149">
        <v>7</v>
      </c>
      <c r="AJ149">
        <v>2</v>
      </c>
      <c r="AK149" t="s">
        <v>1530</v>
      </c>
      <c r="AL149" t="s">
        <v>1531</v>
      </c>
      <c r="AM149" t="s">
        <v>1532</v>
      </c>
      <c r="AN149" t="s">
        <v>1533</v>
      </c>
      <c r="AO149" t="s">
        <v>1534</v>
      </c>
      <c r="AP149" t="s">
        <v>1535</v>
      </c>
      <c r="AQ149" t="s">
        <v>1536</v>
      </c>
      <c r="AR149" t="s">
        <v>1537</v>
      </c>
      <c r="AS149" t="s">
        <v>1538</v>
      </c>
    </row>
    <row r="150" spans="1:45" x14ac:dyDescent="0.45">
      <c r="A150">
        <v>149</v>
      </c>
      <c r="B150">
        <v>2139</v>
      </c>
      <c r="C150" t="s">
        <v>72</v>
      </c>
      <c r="D150" t="s">
        <v>79</v>
      </c>
      <c r="E150" t="s">
        <v>74</v>
      </c>
      <c r="F150" t="s">
        <v>77</v>
      </c>
      <c r="G150" t="s">
        <v>76</v>
      </c>
      <c r="H150">
        <v>224.2269893145295</v>
      </c>
      <c r="I150">
        <v>3</v>
      </c>
      <c r="J150">
        <v>7</v>
      </c>
      <c r="K150">
        <v>10</v>
      </c>
      <c r="L150">
        <v>-3</v>
      </c>
      <c r="M150">
        <v>8</v>
      </c>
      <c r="N150">
        <v>10</v>
      </c>
      <c r="O150">
        <v>-2</v>
      </c>
      <c r="P150">
        <v>9</v>
      </c>
      <c r="Q150">
        <v>7</v>
      </c>
      <c r="R150">
        <v>2</v>
      </c>
      <c r="S150">
        <v>8</v>
      </c>
      <c r="T150">
        <v>8</v>
      </c>
      <c r="U150">
        <v>0</v>
      </c>
      <c r="V150">
        <v>7</v>
      </c>
      <c r="W150">
        <v>8</v>
      </c>
      <c r="X150">
        <v>-1</v>
      </c>
      <c r="Y150">
        <v>8</v>
      </c>
      <c r="Z150">
        <v>4</v>
      </c>
      <c r="AA150">
        <v>4</v>
      </c>
      <c r="AB150">
        <v>7</v>
      </c>
      <c r="AC150">
        <v>1</v>
      </c>
      <c r="AD150">
        <v>6</v>
      </c>
      <c r="AE150">
        <v>6</v>
      </c>
      <c r="AF150">
        <v>3</v>
      </c>
      <c r="AG150">
        <v>3</v>
      </c>
      <c r="AH150">
        <v>7</v>
      </c>
      <c r="AI150">
        <v>6</v>
      </c>
      <c r="AJ150">
        <v>1</v>
      </c>
      <c r="AK150" t="s">
        <v>1539</v>
      </c>
      <c r="AL150" t="s">
        <v>1540</v>
      </c>
      <c r="AM150" t="s">
        <v>1541</v>
      </c>
      <c r="AN150" t="s">
        <v>1542</v>
      </c>
      <c r="AO150" t="s">
        <v>1543</v>
      </c>
      <c r="AP150" t="s">
        <v>1544</v>
      </c>
      <c r="AQ150" t="s">
        <v>1545</v>
      </c>
      <c r="AR150" t="s">
        <v>1546</v>
      </c>
      <c r="AS150" t="s">
        <v>1547</v>
      </c>
    </row>
    <row r="151" spans="1:45" x14ac:dyDescent="0.45">
      <c r="A151">
        <v>150</v>
      </c>
      <c r="B151">
        <v>2140</v>
      </c>
      <c r="C151" t="s">
        <v>72</v>
      </c>
      <c r="D151" t="s">
        <v>79</v>
      </c>
      <c r="E151" t="s">
        <v>74</v>
      </c>
      <c r="F151" t="s">
        <v>77</v>
      </c>
      <c r="G151" t="s">
        <v>76</v>
      </c>
      <c r="H151">
        <v>55.317930506592539</v>
      </c>
      <c r="I151">
        <v>2</v>
      </c>
      <c r="J151">
        <v>8</v>
      </c>
      <c r="K151">
        <v>7</v>
      </c>
      <c r="L151">
        <v>1</v>
      </c>
      <c r="M151">
        <v>9</v>
      </c>
      <c r="N151">
        <v>10</v>
      </c>
      <c r="O151">
        <v>-1</v>
      </c>
      <c r="P151">
        <v>6</v>
      </c>
      <c r="Q151">
        <v>5</v>
      </c>
      <c r="R151">
        <v>1</v>
      </c>
      <c r="S151">
        <v>8</v>
      </c>
      <c r="T151">
        <v>7</v>
      </c>
      <c r="U151">
        <v>1</v>
      </c>
      <c r="V151">
        <v>7</v>
      </c>
      <c r="W151">
        <v>7</v>
      </c>
      <c r="X151">
        <v>0</v>
      </c>
      <c r="Y151">
        <v>8</v>
      </c>
      <c r="Z151">
        <v>7</v>
      </c>
      <c r="AA151">
        <v>1</v>
      </c>
      <c r="AB151">
        <v>7</v>
      </c>
      <c r="AC151">
        <v>7</v>
      </c>
      <c r="AD151">
        <v>0</v>
      </c>
      <c r="AE151">
        <v>6</v>
      </c>
      <c r="AF151">
        <v>7</v>
      </c>
      <c r="AG151">
        <v>-1</v>
      </c>
      <c r="AH151">
        <v>7</v>
      </c>
      <c r="AI151">
        <v>10</v>
      </c>
      <c r="AJ151">
        <v>-3</v>
      </c>
      <c r="AK151" t="s">
        <v>1548</v>
      </c>
      <c r="AL151" t="s">
        <v>1549</v>
      </c>
      <c r="AM151" t="s">
        <v>1550</v>
      </c>
      <c r="AN151" t="s">
        <v>1551</v>
      </c>
      <c r="AO151" t="s">
        <v>1552</v>
      </c>
      <c r="AP151" t="s">
        <v>1553</v>
      </c>
      <c r="AQ151" t="s">
        <v>1554</v>
      </c>
      <c r="AR151" t="s">
        <v>1555</v>
      </c>
      <c r="AS151" t="s">
        <v>1556</v>
      </c>
    </row>
    <row r="152" spans="1:45" x14ac:dyDescent="0.45">
      <c r="A152">
        <v>151</v>
      </c>
      <c r="B152">
        <v>2141</v>
      </c>
      <c r="C152" t="s">
        <v>72</v>
      </c>
      <c r="D152" t="s">
        <v>73</v>
      </c>
      <c r="E152" t="s">
        <v>74</v>
      </c>
      <c r="F152" t="s">
        <v>77</v>
      </c>
      <c r="G152" t="s">
        <v>76</v>
      </c>
      <c r="H152">
        <v>74.179101185392796</v>
      </c>
      <c r="I152">
        <v>2</v>
      </c>
      <c r="J152">
        <v>8</v>
      </c>
      <c r="K152">
        <v>8</v>
      </c>
      <c r="L152">
        <v>0</v>
      </c>
      <c r="M152">
        <v>9</v>
      </c>
      <c r="N152">
        <v>8</v>
      </c>
      <c r="O152">
        <v>1</v>
      </c>
      <c r="P152">
        <v>7</v>
      </c>
      <c r="Q152">
        <v>8</v>
      </c>
      <c r="R152">
        <v>-1</v>
      </c>
      <c r="S152">
        <v>8</v>
      </c>
      <c r="T152">
        <v>8</v>
      </c>
      <c r="U152">
        <v>0</v>
      </c>
      <c r="V152">
        <v>7</v>
      </c>
      <c r="W152">
        <v>8</v>
      </c>
      <c r="X152">
        <v>-1</v>
      </c>
      <c r="Y152">
        <v>8</v>
      </c>
      <c r="Z152">
        <v>8</v>
      </c>
      <c r="AA152">
        <v>0</v>
      </c>
      <c r="AB152">
        <v>6</v>
      </c>
      <c r="AC152">
        <v>8</v>
      </c>
      <c r="AD152">
        <v>-2</v>
      </c>
      <c r="AE152">
        <v>7</v>
      </c>
      <c r="AF152">
        <v>8</v>
      </c>
      <c r="AG152">
        <v>-1</v>
      </c>
      <c r="AH152">
        <v>8</v>
      </c>
      <c r="AI152">
        <v>8</v>
      </c>
      <c r="AJ152">
        <v>0</v>
      </c>
      <c r="AK152" t="s">
        <v>1557</v>
      </c>
      <c r="AL152" t="s">
        <v>1558</v>
      </c>
      <c r="AM152" t="s">
        <v>1559</v>
      </c>
      <c r="AN152" t="s">
        <v>1560</v>
      </c>
      <c r="AO152" t="s">
        <v>1561</v>
      </c>
      <c r="AP152" t="s">
        <v>1562</v>
      </c>
      <c r="AQ152" t="s">
        <v>1563</v>
      </c>
      <c r="AR152" t="s">
        <v>1564</v>
      </c>
      <c r="AS152" t="s">
        <v>1565</v>
      </c>
    </row>
    <row r="153" spans="1:45" x14ac:dyDescent="0.45">
      <c r="A153">
        <v>152</v>
      </c>
      <c r="B153">
        <v>2142</v>
      </c>
      <c r="C153" t="s">
        <v>72</v>
      </c>
      <c r="D153" t="s">
        <v>79</v>
      </c>
      <c r="E153" t="s">
        <v>74</v>
      </c>
      <c r="F153" t="s">
        <v>75</v>
      </c>
      <c r="G153" t="s">
        <v>76</v>
      </c>
      <c r="H153">
        <v>71.547132639694141</v>
      </c>
      <c r="I153">
        <v>2</v>
      </c>
      <c r="J153">
        <v>8</v>
      </c>
      <c r="K153">
        <v>10</v>
      </c>
      <c r="L153">
        <v>-2</v>
      </c>
      <c r="M153">
        <v>9</v>
      </c>
      <c r="N153">
        <v>10</v>
      </c>
      <c r="O153">
        <v>-1</v>
      </c>
      <c r="P153">
        <v>7</v>
      </c>
      <c r="Q153">
        <v>10</v>
      </c>
      <c r="R153">
        <v>-3</v>
      </c>
      <c r="S153">
        <v>8</v>
      </c>
      <c r="T153">
        <v>10</v>
      </c>
      <c r="U153">
        <v>-2</v>
      </c>
      <c r="V153">
        <v>7</v>
      </c>
      <c r="W153">
        <v>10</v>
      </c>
      <c r="X153">
        <v>-3</v>
      </c>
      <c r="Y153">
        <v>8</v>
      </c>
      <c r="Z153">
        <v>10</v>
      </c>
      <c r="AA153">
        <v>-2</v>
      </c>
      <c r="AB153">
        <v>7</v>
      </c>
      <c r="AC153">
        <v>10</v>
      </c>
      <c r="AD153">
        <v>-3</v>
      </c>
      <c r="AE153">
        <v>8</v>
      </c>
      <c r="AF153">
        <v>10</v>
      </c>
      <c r="AG153">
        <v>-2</v>
      </c>
      <c r="AH153">
        <v>7</v>
      </c>
      <c r="AI153">
        <v>10</v>
      </c>
      <c r="AJ153">
        <v>-3</v>
      </c>
      <c r="AK153" t="s">
        <v>1566</v>
      </c>
      <c r="AL153" t="s">
        <v>1567</v>
      </c>
      <c r="AM153" t="s">
        <v>1568</v>
      </c>
      <c r="AN153" t="s">
        <v>1569</v>
      </c>
      <c r="AO153" t="s">
        <v>1570</v>
      </c>
      <c r="AP153" t="s">
        <v>1571</v>
      </c>
      <c r="AQ153" t="s">
        <v>1572</v>
      </c>
      <c r="AR153" t="s">
        <v>1573</v>
      </c>
      <c r="AS153" t="s">
        <v>1574</v>
      </c>
    </row>
    <row r="154" spans="1:45" x14ac:dyDescent="0.45">
      <c r="A154">
        <v>153</v>
      </c>
      <c r="B154">
        <v>2143</v>
      </c>
      <c r="C154" t="s">
        <v>78</v>
      </c>
      <c r="D154" t="s">
        <v>73</v>
      </c>
      <c r="E154" t="s">
        <v>74</v>
      </c>
      <c r="F154" t="s">
        <v>77</v>
      </c>
      <c r="G154" t="s">
        <v>76</v>
      </c>
      <c r="H154">
        <v>12</v>
      </c>
      <c r="I154">
        <v>1</v>
      </c>
      <c r="J154">
        <v>7</v>
      </c>
      <c r="K154">
        <v>7</v>
      </c>
      <c r="L154">
        <v>0</v>
      </c>
      <c r="M154">
        <v>8</v>
      </c>
      <c r="N154">
        <v>7</v>
      </c>
      <c r="O154">
        <v>1</v>
      </c>
      <c r="P154">
        <v>9</v>
      </c>
      <c r="Q154">
        <v>5</v>
      </c>
      <c r="R154">
        <v>4</v>
      </c>
      <c r="S154">
        <v>8</v>
      </c>
      <c r="T154">
        <v>7</v>
      </c>
      <c r="U154">
        <v>1</v>
      </c>
      <c r="V154">
        <v>6</v>
      </c>
      <c r="W154">
        <v>7</v>
      </c>
      <c r="X154">
        <v>-1</v>
      </c>
      <c r="Y154">
        <v>7</v>
      </c>
      <c r="Z154">
        <v>7</v>
      </c>
      <c r="AA154">
        <v>0</v>
      </c>
      <c r="AB154">
        <v>6</v>
      </c>
      <c r="AC154">
        <v>7</v>
      </c>
      <c r="AD154">
        <v>-1</v>
      </c>
      <c r="AE154">
        <v>5</v>
      </c>
      <c r="AF154">
        <v>7</v>
      </c>
      <c r="AG154">
        <v>-2</v>
      </c>
      <c r="AH154">
        <v>7</v>
      </c>
      <c r="AI154">
        <v>7</v>
      </c>
      <c r="AJ154">
        <v>0</v>
      </c>
      <c r="AK154" t="s">
        <v>1575</v>
      </c>
      <c r="AL154" t="s">
        <v>1576</v>
      </c>
      <c r="AM154" t="s">
        <v>1577</v>
      </c>
      <c r="AN154" t="s">
        <v>1578</v>
      </c>
      <c r="AO154" t="s">
        <v>1579</v>
      </c>
      <c r="AP154" t="s">
        <v>1580</v>
      </c>
      <c r="AQ154" t="s">
        <v>1581</v>
      </c>
      <c r="AR154" t="s">
        <v>1582</v>
      </c>
      <c r="AS154" t="s">
        <v>1583</v>
      </c>
    </row>
    <row r="155" spans="1:45" x14ac:dyDescent="0.45">
      <c r="A155">
        <v>154</v>
      </c>
      <c r="B155">
        <v>2144</v>
      </c>
      <c r="C155" t="s">
        <v>72</v>
      </c>
      <c r="D155" t="s">
        <v>81</v>
      </c>
      <c r="E155" t="s">
        <v>74</v>
      </c>
      <c r="F155" t="s">
        <v>77</v>
      </c>
      <c r="G155" t="s">
        <v>76</v>
      </c>
      <c r="H155">
        <v>12</v>
      </c>
      <c r="I155">
        <v>2</v>
      </c>
      <c r="J155">
        <v>8</v>
      </c>
      <c r="K155">
        <v>7</v>
      </c>
      <c r="L155">
        <v>1</v>
      </c>
      <c r="M155">
        <v>7</v>
      </c>
      <c r="N155">
        <v>8</v>
      </c>
      <c r="O155">
        <v>-1</v>
      </c>
      <c r="P155">
        <v>8</v>
      </c>
      <c r="Q155">
        <v>8</v>
      </c>
      <c r="R155">
        <v>0</v>
      </c>
      <c r="S155">
        <v>9</v>
      </c>
      <c r="T155">
        <v>8</v>
      </c>
      <c r="U155">
        <v>1</v>
      </c>
      <c r="V155">
        <v>8</v>
      </c>
      <c r="W155">
        <v>6</v>
      </c>
      <c r="X155">
        <v>2</v>
      </c>
      <c r="Y155">
        <v>9</v>
      </c>
      <c r="Z155">
        <v>8</v>
      </c>
      <c r="AA155">
        <v>1</v>
      </c>
      <c r="AB155">
        <v>8</v>
      </c>
      <c r="AC155">
        <v>5</v>
      </c>
      <c r="AD155">
        <v>3</v>
      </c>
      <c r="AE155">
        <v>7</v>
      </c>
      <c r="AF155">
        <v>8</v>
      </c>
      <c r="AG155">
        <v>-1</v>
      </c>
      <c r="AH155">
        <v>8</v>
      </c>
      <c r="AI155">
        <v>8</v>
      </c>
      <c r="AJ155">
        <v>0</v>
      </c>
      <c r="AK155" t="s">
        <v>1584</v>
      </c>
      <c r="AL155" t="s">
        <v>1585</v>
      </c>
      <c r="AM155" t="s">
        <v>1586</v>
      </c>
      <c r="AN155" t="s">
        <v>1587</v>
      </c>
      <c r="AO155" t="s">
        <v>1588</v>
      </c>
      <c r="AP155" t="s">
        <v>1589</v>
      </c>
      <c r="AQ155" t="s">
        <v>1590</v>
      </c>
      <c r="AR155" t="s">
        <v>1591</v>
      </c>
      <c r="AS155" t="s">
        <v>1592</v>
      </c>
    </row>
    <row r="156" spans="1:45" x14ac:dyDescent="0.45">
      <c r="A156">
        <v>155</v>
      </c>
      <c r="B156">
        <v>2145</v>
      </c>
      <c r="C156" t="s">
        <v>72</v>
      </c>
      <c r="D156" t="s">
        <v>73</v>
      </c>
      <c r="E156" t="s">
        <v>74</v>
      </c>
      <c r="F156" t="s">
        <v>75</v>
      </c>
      <c r="G156" t="s">
        <v>76</v>
      </c>
      <c r="H156">
        <v>65.294086288736366</v>
      </c>
      <c r="I156">
        <v>1</v>
      </c>
      <c r="J156">
        <v>7</v>
      </c>
      <c r="K156">
        <v>10</v>
      </c>
      <c r="L156">
        <v>-3</v>
      </c>
      <c r="M156">
        <v>6</v>
      </c>
      <c r="N156">
        <v>10</v>
      </c>
      <c r="O156">
        <v>-4</v>
      </c>
      <c r="P156">
        <v>8</v>
      </c>
      <c r="Q156">
        <v>10</v>
      </c>
      <c r="R156">
        <v>-2</v>
      </c>
      <c r="S156">
        <v>9</v>
      </c>
      <c r="T156">
        <v>10</v>
      </c>
      <c r="U156">
        <v>-1</v>
      </c>
      <c r="V156">
        <v>7</v>
      </c>
      <c r="W156">
        <v>10</v>
      </c>
      <c r="X156">
        <v>-3</v>
      </c>
      <c r="Y156">
        <v>8</v>
      </c>
      <c r="Z156">
        <v>10</v>
      </c>
      <c r="AA156">
        <v>-2</v>
      </c>
      <c r="AB156">
        <v>6</v>
      </c>
      <c r="AC156">
        <v>10</v>
      </c>
      <c r="AD156">
        <v>-4</v>
      </c>
      <c r="AE156">
        <v>7</v>
      </c>
      <c r="AF156">
        <v>10</v>
      </c>
      <c r="AG156">
        <v>-3</v>
      </c>
      <c r="AH156">
        <v>8</v>
      </c>
      <c r="AI156">
        <v>10</v>
      </c>
      <c r="AJ156">
        <v>-2</v>
      </c>
      <c r="AK156" t="s">
        <v>1593</v>
      </c>
      <c r="AL156" t="s">
        <v>1594</v>
      </c>
      <c r="AM156" t="s">
        <v>1595</v>
      </c>
      <c r="AN156" t="s">
        <v>1596</v>
      </c>
      <c r="AO156" t="s">
        <v>1597</v>
      </c>
      <c r="AP156" t="s">
        <v>1598</v>
      </c>
      <c r="AQ156" t="s">
        <v>1599</v>
      </c>
      <c r="AR156" t="s">
        <v>1600</v>
      </c>
      <c r="AS156" t="s">
        <v>1601</v>
      </c>
    </row>
    <row r="157" spans="1:45" x14ac:dyDescent="0.45">
      <c r="A157">
        <v>156</v>
      </c>
      <c r="B157">
        <v>2146</v>
      </c>
      <c r="C157" t="s">
        <v>72</v>
      </c>
      <c r="D157" t="s">
        <v>73</v>
      </c>
      <c r="E157" t="s">
        <v>74</v>
      </c>
      <c r="F157" t="s">
        <v>75</v>
      </c>
      <c r="G157" t="s">
        <v>76</v>
      </c>
      <c r="H157">
        <v>23.928243437507259</v>
      </c>
      <c r="I157">
        <v>1</v>
      </c>
      <c r="J157">
        <v>8</v>
      </c>
      <c r="K157">
        <v>10</v>
      </c>
      <c r="L157">
        <v>-2</v>
      </c>
      <c r="M157">
        <v>9</v>
      </c>
      <c r="N157">
        <v>10</v>
      </c>
      <c r="O157">
        <v>-1</v>
      </c>
      <c r="P157">
        <v>8</v>
      </c>
      <c r="Q157">
        <v>10</v>
      </c>
      <c r="R157">
        <v>-2</v>
      </c>
      <c r="S157">
        <v>8</v>
      </c>
      <c r="T157">
        <v>10</v>
      </c>
      <c r="U157">
        <v>-2</v>
      </c>
      <c r="V157">
        <v>7</v>
      </c>
      <c r="W157">
        <v>10</v>
      </c>
      <c r="X157">
        <v>-3</v>
      </c>
      <c r="Y157">
        <v>7</v>
      </c>
      <c r="Z157">
        <v>10</v>
      </c>
      <c r="AA157">
        <v>-3</v>
      </c>
      <c r="AB157">
        <v>6</v>
      </c>
      <c r="AC157">
        <v>10</v>
      </c>
      <c r="AD157">
        <v>-4</v>
      </c>
      <c r="AE157">
        <v>5</v>
      </c>
      <c r="AF157">
        <v>10</v>
      </c>
      <c r="AG157">
        <v>-5</v>
      </c>
      <c r="AH157">
        <v>7</v>
      </c>
      <c r="AI157">
        <v>10</v>
      </c>
      <c r="AJ157">
        <v>-3</v>
      </c>
      <c r="AK157" t="s">
        <v>1602</v>
      </c>
      <c r="AL157" t="s">
        <v>1603</v>
      </c>
      <c r="AM157" t="s">
        <v>1604</v>
      </c>
      <c r="AN157" t="s">
        <v>1605</v>
      </c>
      <c r="AO157" t="s">
        <v>1606</v>
      </c>
      <c r="AP157" t="s">
        <v>1607</v>
      </c>
      <c r="AQ157" t="s">
        <v>1608</v>
      </c>
      <c r="AR157" t="s">
        <v>1609</v>
      </c>
      <c r="AS157" t="s">
        <v>1610</v>
      </c>
    </row>
    <row r="158" spans="1:45" x14ac:dyDescent="0.45">
      <c r="A158">
        <v>157</v>
      </c>
      <c r="B158">
        <v>2147</v>
      </c>
      <c r="C158" t="s">
        <v>78</v>
      </c>
      <c r="D158" t="s">
        <v>73</v>
      </c>
      <c r="E158" t="s">
        <v>74</v>
      </c>
      <c r="F158" t="s">
        <v>77</v>
      </c>
      <c r="G158" t="s">
        <v>76</v>
      </c>
      <c r="H158">
        <v>79.221032608637913</v>
      </c>
      <c r="I158">
        <v>4</v>
      </c>
      <c r="J158">
        <v>8</v>
      </c>
      <c r="K158">
        <v>10</v>
      </c>
      <c r="L158">
        <v>-2</v>
      </c>
      <c r="M158">
        <v>9</v>
      </c>
      <c r="N158">
        <v>10</v>
      </c>
      <c r="O158">
        <v>-1</v>
      </c>
      <c r="P158">
        <v>8</v>
      </c>
      <c r="Q158">
        <v>1</v>
      </c>
      <c r="R158">
        <v>7</v>
      </c>
      <c r="S158">
        <v>7</v>
      </c>
      <c r="T158">
        <v>10</v>
      </c>
      <c r="U158">
        <v>-3</v>
      </c>
      <c r="V158">
        <v>8</v>
      </c>
      <c r="W158">
        <v>1</v>
      </c>
      <c r="X158">
        <v>7</v>
      </c>
      <c r="Y158">
        <v>9</v>
      </c>
      <c r="Z158">
        <v>1</v>
      </c>
      <c r="AA158">
        <v>8</v>
      </c>
      <c r="AB158">
        <v>8</v>
      </c>
      <c r="AC158">
        <v>1</v>
      </c>
      <c r="AD158">
        <v>7</v>
      </c>
      <c r="AE158">
        <v>9</v>
      </c>
      <c r="AF158">
        <v>1</v>
      </c>
      <c r="AG158">
        <v>8</v>
      </c>
      <c r="AH158">
        <v>8</v>
      </c>
      <c r="AI158">
        <v>6</v>
      </c>
      <c r="AJ158">
        <v>2</v>
      </c>
      <c r="AK158" t="s">
        <v>1611</v>
      </c>
      <c r="AL158" t="s">
        <v>1612</v>
      </c>
      <c r="AM158" t="s">
        <v>1613</v>
      </c>
      <c r="AN158" t="s">
        <v>1614</v>
      </c>
      <c r="AO158" t="s">
        <v>1615</v>
      </c>
      <c r="AP158" t="s">
        <v>1616</v>
      </c>
      <c r="AQ158" t="s">
        <v>1617</v>
      </c>
      <c r="AR158" t="s">
        <v>1618</v>
      </c>
      <c r="AS158" t="s">
        <v>1619</v>
      </c>
    </row>
    <row r="159" spans="1:45" x14ac:dyDescent="0.45">
      <c r="A159">
        <v>158</v>
      </c>
      <c r="B159">
        <v>2148</v>
      </c>
      <c r="C159" t="s">
        <v>72</v>
      </c>
      <c r="D159" t="s">
        <v>73</v>
      </c>
      <c r="E159" t="s">
        <v>74</v>
      </c>
      <c r="F159" t="s">
        <v>77</v>
      </c>
      <c r="G159" t="s">
        <v>76</v>
      </c>
      <c r="H159">
        <v>80.819067710457034</v>
      </c>
      <c r="I159">
        <v>2</v>
      </c>
      <c r="J159">
        <v>7</v>
      </c>
      <c r="K159">
        <v>7</v>
      </c>
      <c r="L159">
        <v>0</v>
      </c>
      <c r="M159">
        <v>8</v>
      </c>
      <c r="N159">
        <v>8</v>
      </c>
      <c r="O159">
        <v>0</v>
      </c>
      <c r="P159">
        <v>9</v>
      </c>
      <c r="Q159">
        <v>6</v>
      </c>
      <c r="R159">
        <v>3</v>
      </c>
      <c r="S159">
        <v>8</v>
      </c>
      <c r="T159">
        <v>6</v>
      </c>
      <c r="U159">
        <v>2</v>
      </c>
      <c r="V159">
        <v>7</v>
      </c>
      <c r="W159">
        <v>7</v>
      </c>
      <c r="X159">
        <v>0</v>
      </c>
      <c r="Y159">
        <v>8</v>
      </c>
      <c r="Z159">
        <v>5</v>
      </c>
      <c r="AA159">
        <v>3</v>
      </c>
      <c r="AB159">
        <v>7</v>
      </c>
      <c r="AC159">
        <v>6</v>
      </c>
      <c r="AD159">
        <v>1</v>
      </c>
      <c r="AE159">
        <v>8</v>
      </c>
      <c r="AF159">
        <v>7</v>
      </c>
      <c r="AG159">
        <v>1</v>
      </c>
      <c r="AH159">
        <v>7</v>
      </c>
      <c r="AI159">
        <v>7</v>
      </c>
      <c r="AJ159">
        <v>0</v>
      </c>
      <c r="AK159" t="s">
        <v>1620</v>
      </c>
      <c r="AL159" t="s">
        <v>1621</v>
      </c>
      <c r="AM159" t="s">
        <v>1622</v>
      </c>
      <c r="AN159" t="s">
        <v>1623</v>
      </c>
      <c r="AO159" t="s">
        <v>1624</v>
      </c>
      <c r="AP159" t="s">
        <v>1625</v>
      </c>
      <c r="AQ159" t="s">
        <v>1626</v>
      </c>
      <c r="AR159" t="s">
        <v>1627</v>
      </c>
      <c r="AS159" t="s">
        <v>1628</v>
      </c>
    </row>
    <row r="160" spans="1:45" x14ac:dyDescent="0.45">
      <c r="A160">
        <v>159</v>
      </c>
      <c r="B160">
        <v>2149</v>
      </c>
      <c r="C160" t="s">
        <v>78</v>
      </c>
      <c r="D160" t="s">
        <v>79</v>
      </c>
      <c r="E160" t="s">
        <v>74</v>
      </c>
      <c r="F160" t="s">
        <v>77</v>
      </c>
      <c r="G160" t="s">
        <v>76</v>
      </c>
      <c r="H160">
        <v>33.46719409588362</v>
      </c>
      <c r="I160">
        <v>0</v>
      </c>
      <c r="J160">
        <v>7</v>
      </c>
      <c r="K160">
        <v>2</v>
      </c>
      <c r="L160">
        <v>5</v>
      </c>
      <c r="M160">
        <v>6</v>
      </c>
      <c r="N160">
        <v>7</v>
      </c>
      <c r="O160">
        <v>-1</v>
      </c>
      <c r="P160">
        <v>8</v>
      </c>
      <c r="Q160">
        <v>10</v>
      </c>
      <c r="R160">
        <v>-2</v>
      </c>
      <c r="S160">
        <v>9</v>
      </c>
      <c r="T160">
        <v>2</v>
      </c>
      <c r="U160">
        <v>7</v>
      </c>
      <c r="V160">
        <v>8</v>
      </c>
      <c r="W160">
        <v>10</v>
      </c>
      <c r="X160">
        <v>-2</v>
      </c>
      <c r="Y160">
        <v>7</v>
      </c>
      <c r="Z160">
        <v>5</v>
      </c>
      <c r="AA160">
        <v>2</v>
      </c>
      <c r="AB160">
        <v>6</v>
      </c>
      <c r="AC160">
        <v>10</v>
      </c>
      <c r="AD160">
        <v>-4</v>
      </c>
      <c r="AE160">
        <v>8</v>
      </c>
      <c r="AF160">
        <v>3</v>
      </c>
      <c r="AG160">
        <v>5</v>
      </c>
      <c r="AH160">
        <v>7</v>
      </c>
      <c r="AI160">
        <v>3</v>
      </c>
      <c r="AJ160">
        <v>4</v>
      </c>
      <c r="AK160" t="s">
        <v>1629</v>
      </c>
      <c r="AL160" t="s">
        <v>1630</v>
      </c>
      <c r="AM160" t="s">
        <v>1631</v>
      </c>
      <c r="AN160" t="s">
        <v>1632</v>
      </c>
      <c r="AO160" t="s">
        <v>1633</v>
      </c>
      <c r="AP160" t="s">
        <v>1634</v>
      </c>
      <c r="AQ160" t="s">
        <v>1635</v>
      </c>
      <c r="AR160" t="s">
        <v>1636</v>
      </c>
      <c r="AS160" t="s">
        <v>1637</v>
      </c>
    </row>
    <row r="161" spans="1:45" x14ac:dyDescent="0.45">
      <c r="A161">
        <v>160</v>
      </c>
      <c r="B161">
        <v>2150</v>
      </c>
      <c r="C161" t="s">
        <v>72</v>
      </c>
      <c r="D161" t="s">
        <v>73</v>
      </c>
      <c r="E161" t="s">
        <v>74</v>
      </c>
      <c r="F161" t="s">
        <v>75</v>
      </c>
      <c r="G161" t="s">
        <v>76</v>
      </c>
      <c r="H161">
        <v>45.11869588041683</v>
      </c>
      <c r="I161">
        <v>0</v>
      </c>
      <c r="J161">
        <v>7</v>
      </c>
      <c r="K161">
        <v>9</v>
      </c>
      <c r="L161">
        <v>-2</v>
      </c>
      <c r="M161">
        <v>8</v>
      </c>
      <c r="N161">
        <v>9</v>
      </c>
      <c r="O161">
        <v>-1</v>
      </c>
      <c r="P161">
        <v>6</v>
      </c>
      <c r="Q161">
        <v>10</v>
      </c>
      <c r="R161">
        <v>-4</v>
      </c>
      <c r="S161">
        <v>8</v>
      </c>
      <c r="T161">
        <v>2</v>
      </c>
      <c r="U161">
        <v>6</v>
      </c>
      <c r="V161">
        <v>7</v>
      </c>
      <c r="W161">
        <v>9</v>
      </c>
      <c r="X161">
        <v>-2</v>
      </c>
      <c r="Y161">
        <v>6</v>
      </c>
      <c r="Z161">
        <v>9</v>
      </c>
      <c r="AA161">
        <v>-3</v>
      </c>
      <c r="AB161">
        <v>7</v>
      </c>
      <c r="AC161">
        <v>6</v>
      </c>
      <c r="AD161">
        <v>1</v>
      </c>
      <c r="AE161">
        <v>5</v>
      </c>
      <c r="AF161">
        <v>8</v>
      </c>
      <c r="AG161">
        <v>-3</v>
      </c>
      <c r="AH161">
        <v>6</v>
      </c>
      <c r="AI161">
        <v>10</v>
      </c>
      <c r="AJ161">
        <v>-4</v>
      </c>
      <c r="AK161" t="s">
        <v>1638</v>
      </c>
      <c r="AL161" t="s">
        <v>1639</v>
      </c>
      <c r="AM161" t="s">
        <v>1640</v>
      </c>
      <c r="AN161" t="s">
        <v>1641</v>
      </c>
      <c r="AO161" t="s">
        <v>1642</v>
      </c>
      <c r="AP161" t="s">
        <v>1643</v>
      </c>
      <c r="AQ161" t="s">
        <v>1644</v>
      </c>
      <c r="AR161" t="s">
        <v>1645</v>
      </c>
      <c r="AS161" t="s">
        <v>1646</v>
      </c>
    </row>
    <row r="162" spans="1:45" x14ac:dyDescent="0.45">
      <c r="A162">
        <v>161</v>
      </c>
      <c r="B162">
        <v>2151</v>
      </c>
      <c r="C162" t="s">
        <v>72</v>
      </c>
      <c r="D162" t="s">
        <v>73</v>
      </c>
      <c r="E162" t="s">
        <v>74</v>
      </c>
      <c r="F162" t="s">
        <v>77</v>
      </c>
      <c r="G162" t="s">
        <v>76</v>
      </c>
      <c r="H162">
        <v>15.442244316243173</v>
      </c>
      <c r="I162">
        <v>0</v>
      </c>
      <c r="J162">
        <v>7</v>
      </c>
      <c r="K162">
        <v>7</v>
      </c>
      <c r="L162">
        <v>0</v>
      </c>
      <c r="M162">
        <v>6</v>
      </c>
      <c r="N162">
        <v>5</v>
      </c>
      <c r="O162">
        <v>1</v>
      </c>
      <c r="P162">
        <v>8</v>
      </c>
      <c r="Q162">
        <v>7</v>
      </c>
      <c r="R162">
        <v>1</v>
      </c>
      <c r="S162">
        <v>7</v>
      </c>
      <c r="T162">
        <v>5</v>
      </c>
      <c r="U162">
        <v>2</v>
      </c>
      <c r="V162">
        <v>5</v>
      </c>
      <c r="W162">
        <v>3</v>
      </c>
      <c r="X162">
        <v>2</v>
      </c>
      <c r="Y162">
        <v>6</v>
      </c>
      <c r="Z162">
        <v>4</v>
      </c>
      <c r="AA162">
        <v>2</v>
      </c>
      <c r="AB162">
        <v>7</v>
      </c>
      <c r="AC162">
        <v>1</v>
      </c>
      <c r="AD162">
        <v>6</v>
      </c>
      <c r="AE162">
        <v>5</v>
      </c>
      <c r="AF162">
        <v>5</v>
      </c>
      <c r="AG162">
        <v>0</v>
      </c>
      <c r="AH162">
        <v>6</v>
      </c>
      <c r="AI162">
        <v>5</v>
      </c>
      <c r="AJ162">
        <v>1</v>
      </c>
      <c r="AK162" t="s">
        <v>1647</v>
      </c>
      <c r="AL162" t="s">
        <v>1648</v>
      </c>
      <c r="AM162" t="s">
        <v>1649</v>
      </c>
      <c r="AN162" t="s">
        <v>1650</v>
      </c>
      <c r="AO162" t="s">
        <v>1651</v>
      </c>
      <c r="AP162" t="s">
        <v>1652</v>
      </c>
      <c r="AQ162" t="s">
        <v>1653</v>
      </c>
      <c r="AR162" t="s">
        <v>1654</v>
      </c>
      <c r="AS162" t="s">
        <v>1655</v>
      </c>
    </row>
    <row r="163" spans="1:45" x14ac:dyDescent="0.45">
      <c r="A163">
        <v>162</v>
      </c>
      <c r="B163">
        <v>2152</v>
      </c>
      <c r="C163" t="s">
        <v>72</v>
      </c>
      <c r="D163" t="s">
        <v>81</v>
      </c>
      <c r="E163" t="s">
        <v>74</v>
      </c>
      <c r="F163" t="s">
        <v>77</v>
      </c>
      <c r="G163" t="s">
        <v>76</v>
      </c>
      <c r="H163">
        <v>12</v>
      </c>
      <c r="I163">
        <v>0</v>
      </c>
      <c r="J163">
        <v>7</v>
      </c>
      <c r="K163">
        <v>3</v>
      </c>
      <c r="L163">
        <v>4</v>
      </c>
      <c r="M163">
        <v>6</v>
      </c>
      <c r="N163">
        <v>8</v>
      </c>
      <c r="O163">
        <v>-2</v>
      </c>
      <c r="P163">
        <v>8</v>
      </c>
      <c r="Q163">
        <v>4</v>
      </c>
      <c r="R163">
        <v>4</v>
      </c>
      <c r="S163">
        <v>7</v>
      </c>
      <c r="T163">
        <v>5</v>
      </c>
      <c r="U163">
        <v>2</v>
      </c>
      <c r="V163">
        <v>8</v>
      </c>
      <c r="W163">
        <v>5</v>
      </c>
      <c r="X163">
        <v>3</v>
      </c>
      <c r="Y163">
        <v>5</v>
      </c>
      <c r="Z163">
        <v>5</v>
      </c>
      <c r="AA163">
        <v>0</v>
      </c>
      <c r="AB163">
        <v>7</v>
      </c>
      <c r="AC163">
        <v>5</v>
      </c>
      <c r="AD163">
        <v>2</v>
      </c>
      <c r="AE163">
        <v>6</v>
      </c>
      <c r="AF163">
        <v>5</v>
      </c>
      <c r="AG163">
        <v>1</v>
      </c>
      <c r="AH163">
        <v>8</v>
      </c>
      <c r="AI163">
        <v>5</v>
      </c>
      <c r="AJ163">
        <v>3</v>
      </c>
      <c r="AK163" t="s">
        <v>1656</v>
      </c>
      <c r="AL163" t="s">
        <v>1657</v>
      </c>
      <c r="AM163" t="s">
        <v>1658</v>
      </c>
      <c r="AN163" t="s">
        <v>1659</v>
      </c>
      <c r="AO163" t="s">
        <v>1660</v>
      </c>
      <c r="AP163" t="s">
        <v>1661</v>
      </c>
      <c r="AQ163" t="s">
        <v>1662</v>
      </c>
      <c r="AR163" t="s">
        <v>1663</v>
      </c>
      <c r="AS163" t="s">
        <v>1664</v>
      </c>
    </row>
    <row r="164" spans="1:45" x14ac:dyDescent="0.45">
      <c r="A164">
        <v>163</v>
      </c>
      <c r="B164">
        <v>2153</v>
      </c>
      <c r="C164" t="s">
        <v>72</v>
      </c>
      <c r="D164" t="s">
        <v>81</v>
      </c>
      <c r="E164" t="s">
        <v>74</v>
      </c>
      <c r="F164" t="s">
        <v>77</v>
      </c>
      <c r="G164" t="s">
        <v>76</v>
      </c>
      <c r="H164">
        <v>15.35907344478729</v>
      </c>
      <c r="I164">
        <v>0</v>
      </c>
      <c r="J164">
        <v>7</v>
      </c>
      <c r="K164">
        <v>10</v>
      </c>
      <c r="L164">
        <v>-3</v>
      </c>
      <c r="M164">
        <v>8</v>
      </c>
      <c r="N164">
        <v>10</v>
      </c>
      <c r="O164">
        <v>-2</v>
      </c>
      <c r="P164">
        <v>8</v>
      </c>
      <c r="Q164">
        <v>10</v>
      </c>
      <c r="R164">
        <v>-2</v>
      </c>
      <c r="S164">
        <v>8</v>
      </c>
      <c r="T164">
        <v>10</v>
      </c>
      <c r="U164">
        <v>-2</v>
      </c>
      <c r="V164">
        <v>6</v>
      </c>
      <c r="W164">
        <v>10</v>
      </c>
      <c r="X164">
        <v>-4</v>
      </c>
      <c r="Y164">
        <v>7</v>
      </c>
      <c r="Z164">
        <v>10</v>
      </c>
      <c r="AA164">
        <v>-3</v>
      </c>
      <c r="AB164">
        <v>6</v>
      </c>
      <c r="AC164">
        <v>10</v>
      </c>
      <c r="AD164">
        <v>-4</v>
      </c>
      <c r="AE164">
        <v>7</v>
      </c>
      <c r="AF164">
        <v>10</v>
      </c>
      <c r="AG164">
        <v>-3</v>
      </c>
      <c r="AH164">
        <v>6</v>
      </c>
      <c r="AI164">
        <v>10</v>
      </c>
      <c r="AJ164">
        <v>-4</v>
      </c>
      <c r="AK164" t="s">
        <v>1665</v>
      </c>
      <c r="AL164" t="s">
        <v>1666</v>
      </c>
      <c r="AM164" t="s">
        <v>1667</v>
      </c>
      <c r="AN164" t="s">
        <v>1668</v>
      </c>
      <c r="AO164" t="s">
        <v>1669</v>
      </c>
      <c r="AP164" t="s">
        <v>1670</v>
      </c>
      <c r="AQ164" t="s">
        <v>1671</v>
      </c>
      <c r="AR164" t="s">
        <v>1672</v>
      </c>
      <c r="AS164" t="s">
        <v>1673</v>
      </c>
    </row>
    <row r="165" spans="1:45" x14ac:dyDescent="0.45">
      <c r="A165">
        <v>164</v>
      </c>
      <c r="B165">
        <v>2154</v>
      </c>
      <c r="C165" t="s">
        <v>72</v>
      </c>
      <c r="D165" t="s">
        <v>79</v>
      </c>
      <c r="E165" t="s">
        <v>74</v>
      </c>
      <c r="F165" t="s">
        <v>77</v>
      </c>
      <c r="G165" t="s">
        <v>76</v>
      </c>
      <c r="H165">
        <v>39.464682757354907</v>
      </c>
      <c r="I165">
        <v>2</v>
      </c>
      <c r="J165">
        <v>8</v>
      </c>
      <c r="K165">
        <v>8</v>
      </c>
      <c r="L165">
        <v>0</v>
      </c>
      <c r="M165">
        <v>7</v>
      </c>
      <c r="N165">
        <v>9</v>
      </c>
      <c r="O165">
        <v>-2</v>
      </c>
      <c r="P165">
        <v>6</v>
      </c>
      <c r="Q165">
        <v>9</v>
      </c>
      <c r="R165">
        <v>-3</v>
      </c>
      <c r="S165">
        <v>7</v>
      </c>
      <c r="T165">
        <v>9</v>
      </c>
      <c r="U165">
        <v>-2</v>
      </c>
      <c r="V165">
        <v>8</v>
      </c>
      <c r="W165">
        <v>5</v>
      </c>
      <c r="X165">
        <v>3</v>
      </c>
      <c r="Y165">
        <v>7</v>
      </c>
      <c r="Z165">
        <v>7</v>
      </c>
      <c r="AA165">
        <v>0</v>
      </c>
      <c r="AB165">
        <v>6</v>
      </c>
      <c r="AC165">
        <v>5</v>
      </c>
      <c r="AD165">
        <v>1</v>
      </c>
      <c r="AE165">
        <v>7</v>
      </c>
      <c r="AF165">
        <v>7</v>
      </c>
      <c r="AG165">
        <v>0</v>
      </c>
      <c r="AH165">
        <v>8</v>
      </c>
      <c r="AI165">
        <v>7</v>
      </c>
      <c r="AJ165">
        <v>1</v>
      </c>
      <c r="AK165" t="s">
        <v>1674</v>
      </c>
      <c r="AL165" t="s">
        <v>1675</v>
      </c>
      <c r="AM165" t="s">
        <v>1676</v>
      </c>
      <c r="AN165" t="s">
        <v>1677</v>
      </c>
      <c r="AO165" t="s">
        <v>1678</v>
      </c>
      <c r="AP165" t="s">
        <v>1679</v>
      </c>
      <c r="AQ165" t="s">
        <v>1680</v>
      </c>
      <c r="AR165" t="s">
        <v>1681</v>
      </c>
      <c r="AS165" t="s">
        <v>1682</v>
      </c>
    </row>
    <row r="166" spans="1:45" x14ac:dyDescent="0.45">
      <c r="A166">
        <v>165</v>
      </c>
      <c r="B166">
        <v>2155</v>
      </c>
      <c r="C166" t="s">
        <v>72</v>
      </c>
      <c r="D166" t="s">
        <v>73</v>
      </c>
      <c r="E166" t="s">
        <v>74</v>
      </c>
      <c r="F166" t="s">
        <v>75</v>
      </c>
      <c r="G166" t="s">
        <v>76</v>
      </c>
      <c r="H166">
        <v>34.853131575275249</v>
      </c>
      <c r="I166">
        <v>0</v>
      </c>
      <c r="J166">
        <v>8</v>
      </c>
      <c r="K166">
        <v>5</v>
      </c>
      <c r="L166">
        <v>3</v>
      </c>
      <c r="M166">
        <v>7</v>
      </c>
      <c r="N166">
        <v>5</v>
      </c>
      <c r="O166">
        <v>2</v>
      </c>
      <c r="P166">
        <v>9</v>
      </c>
      <c r="Q166">
        <v>6</v>
      </c>
      <c r="R166">
        <v>3</v>
      </c>
      <c r="S166">
        <v>8</v>
      </c>
      <c r="T166">
        <v>6</v>
      </c>
      <c r="U166">
        <v>2</v>
      </c>
      <c r="V166">
        <v>8</v>
      </c>
      <c r="W166">
        <v>6</v>
      </c>
      <c r="X166">
        <v>2</v>
      </c>
      <c r="Y166">
        <v>7</v>
      </c>
      <c r="Z166">
        <v>6</v>
      </c>
      <c r="AA166">
        <v>1</v>
      </c>
      <c r="AB166">
        <v>6</v>
      </c>
      <c r="AC166">
        <v>5</v>
      </c>
      <c r="AD166">
        <v>1</v>
      </c>
      <c r="AE166">
        <v>5</v>
      </c>
      <c r="AF166">
        <v>7</v>
      </c>
      <c r="AG166">
        <v>-2</v>
      </c>
      <c r="AH166">
        <v>7</v>
      </c>
      <c r="AI166">
        <v>8</v>
      </c>
      <c r="AJ166">
        <v>-1</v>
      </c>
      <c r="AK166" t="s">
        <v>1683</v>
      </c>
      <c r="AL166" t="s">
        <v>1684</v>
      </c>
      <c r="AM166" t="s">
        <v>1685</v>
      </c>
      <c r="AN166" t="s">
        <v>1686</v>
      </c>
      <c r="AO166" t="s">
        <v>1687</v>
      </c>
      <c r="AP166" t="s">
        <v>1688</v>
      </c>
      <c r="AQ166" t="s">
        <v>1689</v>
      </c>
      <c r="AR166" t="s">
        <v>1690</v>
      </c>
      <c r="AS166" t="s">
        <v>1691</v>
      </c>
    </row>
    <row r="167" spans="1:45" x14ac:dyDescent="0.45">
      <c r="A167">
        <v>166</v>
      </c>
      <c r="B167">
        <v>2156</v>
      </c>
      <c r="C167" t="s">
        <v>72</v>
      </c>
      <c r="D167" t="s">
        <v>73</v>
      </c>
      <c r="E167" t="s">
        <v>74</v>
      </c>
      <c r="F167" t="s">
        <v>75</v>
      </c>
      <c r="G167" t="s">
        <v>76</v>
      </c>
      <c r="H167">
        <v>43.309098013494726</v>
      </c>
      <c r="I167">
        <v>1</v>
      </c>
      <c r="J167">
        <v>7</v>
      </c>
      <c r="K167">
        <v>10</v>
      </c>
      <c r="L167">
        <v>-3</v>
      </c>
      <c r="M167">
        <v>6</v>
      </c>
      <c r="N167">
        <v>8</v>
      </c>
      <c r="O167">
        <v>-2</v>
      </c>
      <c r="P167">
        <v>8</v>
      </c>
      <c r="Q167">
        <v>10</v>
      </c>
      <c r="R167">
        <v>-2</v>
      </c>
      <c r="S167">
        <v>9</v>
      </c>
      <c r="T167">
        <v>10</v>
      </c>
      <c r="U167">
        <v>-1</v>
      </c>
      <c r="V167">
        <v>7</v>
      </c>
      <c r="W167">
        <v>10</v>
      </c>
      <c r="X167">
        <v>-3</v>
      </c>
      <c r="Y167">
        <v>8</v>
      </c>
      <c r="Z167">
        <v>10</v>
      </c>
      <c r="AA167">
        <v>-2</v>
      </c>
      <c r="AB167">
        <v>6</v>
      </c>
      <c r="AC167">
        <v>10</v>
      </c>
      <c r="AD167">
        <v>-4</v>
      </c>
      <c r="AE167">
        <v>7</v>
      </c>
      <c r="AF167">
        <v>10</v>
      </c>
      <c r="AG167">
        <v>-3</v>
      </c>
      <c r="AH167">
        <v>8</v>
      </c>
      <c r="AI167">
        <v>8</v>
      </c>
      <c r="AJ167">
        <v>0</v>
      </c>
      <c r="AK167" t="s">
        <v>1692</v>
      </c>
      <c r="AL167" t="s">
        <v>1693</v>
      </c>
      <c r="AM167" t="s">
        <v>1694</v>
      </c>
      <c r="AN167" t="s">
        <v>1695</v>
      </c>
      <c r="AO167" t="s">
        <v>1696</v>
      </c>
      <c r="AP167" t="s">
        <v>1697</v>
      </c>
      <c r="AQ167" t="s">
        <v>1698</v>
      </c>
      <c r="AR167" t="s">
        <v>1699</v>
      </c>
      <c r="AS167" t="s">
        <v>1700</v>
      </c>
    </row>
    <row r="168" spans="1:45" x14ac:dyDescent="0.45">
      <c r="A168">
        <v>167</v>
      </c>
      <c r="B168">
        <v>2157</v>
      </c>
      <c r="C168" t="s">
        <v>78</v>
      </c>
      <c r="D168" t="s">
        <v>73</v>
      </c>
      <c r="E168" t="s">
        <v>74</v>
      </c>
      <c r="F168" t="s">
        <v>75</v>
      </c>
      <c r="G168" t="s">
        <v>76</v>
      </c>
      <c r="H168">
        <v>87.962921152290036</v>
      </c>
      <c r="I168">
        <v>0</v>
      </c>
      <c r="J168">
        <v>7</v>
      </c>
      <c r="K168">
        <v>5</v>
      </c>
      <c r="L168">
        <v>2</v>
      </c>
      <c r="M168">
        <v>6</v>
      </c>
      <c r="N168">
        <v>8</v>
      </c>
      <c r="O168">
        <v>-2</v>
      </c>
      <c r="P168">
        <v>8</v>
      </c>
      <c r="Q168">
        <v>5</v>
      </c>
      <c r="R168">
        <v>3</v>
      </c>
      <c r="S168">
        <v>7</v>
      </c>
      <c r="T168">
        <v>8</v>
      </c>
      <c r="U168">
        <v>-1</v>
      </c>
      <c r="V168">
        <v>6</v>
      </c>
      <c r="W168">
        <v>4</v>
      </c>
      <c r="X168">
        <v>2</v>
      </c>
      <c r="Y168">
        <v>5</v>
      </c>
      <c r="Z168">
        <v>5</v>
      </c>
      <c r="AA168">
        <v>0</v>
      </c>
      <c r="AB168">
        <v>6</v>
      </c>
      <c r="AC168">
        <v>1</v>
      </c>
      <c r="AD168">
        <v>5</v>
      </c>
      <c r="AE168">
        <v>5</v>
      </c>
      <c r="AF168">
        <v>5</v>
      </c>
      <c r="AG168">
        <v>0</v>
      </c>
      <c r="AH168">
        <v>7</v>
      </c>
      <c r="AI168">
        <v>5</v>
      </c>
      <c r="AJ168">
        <v>2</v>
      </c>
      <c r="AK168" t="s">
        <v>216</v>
      </c>
      <c r="AL168" t="s">
        <v>216</v>
      </c>
      <c r="AM168" t="s">
        <v>216</v>
      </c>
      <c r="AN168" t="s">
        <v>216</v>
      </c>
      <c r="AO168" t="s">
        <v>216</v>
      </c>
      <c r="AP168" t="s">
        <v>216</v>
      </c>
      <c r="AQ168" t="s">
        <v>216</v>
      </c>
      <c r="AR168" t="s">
        <v>216</v>
      </c>
      <c r="AS168" t="s">
        <v>216</v>
      </c>
    </row>
    <row r="169" spans="1:45" x14ac:dyDescent="0.45">
      <c r="A169">
        <v>168</v>
      </c>
      <c r="B169">
        <v>2158</v>
      </c>
      <c r="C169" t="s">
        <v>72</v>
      </c>
      <c r="D169" t="s">
        <v>81</v>
      </c>
      <c r="E169" t="s">
        <v>74</v>
      </c>
      <c r="F169" t="s">
        <v>77</v>
      </c>
      <c r="G169" t="s">
        <v>76</v>
      </c>
      <c r="H169">
        <v>21.442261342216373</v>
      </c>
      <c r="I169">
        <v>0</v>
      </c>
      <c r="J169">
        <v>8</v>
      </c>
      <c r="K169">
        <v>7</v>
      </c>
      <c r="L169">
        <v>1</v>
      </c>
      <c r="M169">
        <v>7</v>
      </c>
      <c r="N169">
        <v>7</v>
      </c>
      <c r="O169">
        <v>0</v>
      </c>
      <c r="P169">
        <v>9</v>
      </c>
      <c r="Q169">
        <v>8</v>
      </c>
      <c r="R169">
        <v>1</v>
      </c>
      <c r="S169">
        <v>8</v>
      </c>
      <c r="T169">
        <v>8</v>
      </c>
      <c r="U169">
        <v>0</v>
      </c>
      <c r="V169">
        <v>7</v>
      </c>
      <c r="W169">
        <v>7</v>
      </c>
      <c r="X169">
        <v>0</v>
      </c>
      <c r="Y169">
        <v>8</v>
      </c>
      <c r="Z169">
        <v>8</v>
      </c>
      <c r="AA169">
        <v>0</v>
      </c>
      <c r="AB169">
        <v>7</v>
      </c>
      <c r="AC169">
        <v>8</v>
      </c>
      <c r="AD169">
        <v>-1</v>
      </c>
      <c r="AE169">
        <v>5</v>
      </c>
      <c r="AF169">
        <v>8</v>
      </c>
      <c r="AG169">
        <v>-3</v>
      </c>
      <c r="AH169">
        <v>6</v>
      </c>
      <c r="AI169">
        <v>9</v>
      </c>
      <c r="AJ169">
        <v>-3</v>
      </c>
      <c r="AK169" t="s">
        <v>1701</v>
      </c>
      <c r="AL169" t="s">
        <v>1702</v>
      </c>
      <c r="AM169" t="s">
        <v>1703</v>
      </c>
      <c r="AN169" t="s">
        <v>1704</v>
      </c>
      <c r="AO169" t="s">
        <v>1705</v>
      </c>
      <c r="AP169" t="s">
        <v>1706</v>
      </c>
      <c r="AQ169" t="s">
        <v>1707</v>
      </c>
      <c r="AR169" t="s">
        <v>1708</v>
      </c>
      <c r="AS169" t="s">
        <v>1709</v>
      </c>
    </row>
    <row r="170" spans="1:45" x14ac:dyDescent="0.45">
      <c r="A170">
        <v>169</v>
      </c>
      <c r="B170">
        <v>2159</v>
      </c>
      <c r="C170" t="s">
        <v>78</v>
      </c>
      <c r="D170" t="s">
        <v>79</v>
      </c>
      <c r="E170" t="s">
        <v>74</v>
      </c>
      <c r="F170" t="s">
        <v>77</v>
      </c>
      <c r="G170" t="s">
        <v>76</v>
      </c>
      <c r="H170">
        <v>36.33258988407799</v>
      </c>
      <c r="I170">
        <v>0</v>
      </c>
      <c r="J170">
        <v>8</v>
      </c>
      <c r="K170">
        <v>8</v>
      </c>
      <c r="L170">
        <v>0</v>
      </c>
      <c r="M170">
        <v>7</v>
      </c>
      <c r="N170">
        <v>8</v>
      </c>
      <c r="O170">
        <v>-1</v>
      </c>
      <c r="P170">
        <v>9</v>
      </c>
      <c r="Q170">
        <v>7</v>
      </c>
      <c r="R170">
        <v>2</v>
      </c>
      <c r="S170">
        <v>8</v>
      </c>
      <c r="T170">
        <v>8</v>
      </c>
      <c r="U170">
        <v>0</v>
      </c>
      <c r="V170">
        <v>7</v>
      </c>
      <c r="W170">
        <v>7</v>
      </c>
      <c r="X170">
        <v>0</v>
      </c>
      <c r="Y170">
        <v>8</v>
      </c>
      <c r="Z170">
        <v>7</v>
      </c>
      <c r="AA170">
        <v>1</v>
      </c>
      <c r="AB170">
        <v>6</v>
      </c>
      <c r="AC170">
        <v>7</v>
      </c>
      <c r="AD170">
        <v>-1</v>
      </c>
      <c r="AE170">
        <v>7</v>
      </c>
      <c r="AF170">
        <v>8</v>
      </c>
      <c r="AG170">
        <v>-1</v>
      </c>
      <c r="AH170">
        <v>6</v>
      </c>
      <c r="AI170">
        <v>8</v>
      </c>
      <c r="AJ170">
        <v>-2</v>
      </c>
      <c r="AK170" t="s">
        <v>1710</v>
      </c>
      <c r="AL170" t="s">
        <v>1711</v>
      </c>
      <c r="AM170" t="s">
        <v>1712</v>
      </c>
      <c r="AN170" t="s">
        <v>1713</v>
      </c>
      <c r="AO170" t="s">
        <v>1714</v>
      </c>
      <c r="AP170" t="s">
        <v>1715</v>
      </c>
      <c r="AQ170" t="s">
        <v>1716</v>
      </c>
      <c r="AR170" t="s">
        <v>1717</v>
      </c>
      <c r="AS170" t="s">
        <v>1718</v>
      </c>
    </row>
    <row r="171" spans="1:45" x14ac:dyDescent="0.45">
      <c r="A171">
        <v>170</v>
      </c>
      <c r="B171">
        <v>2160</v>
      </c>
      <c r="C171" t="s">
        <v>78</v>
      </c>
      <c r="D171" t="s">
        <v>81</v>
      </c>
      <c r="E171" t="s">
        <v>74</v>
      </c>
      <c r="F171" t="s">
        <v>77</v>
      </c>
      <c r="G171" t="s">
        <v>161</v>
      </c>
      <c r="H171">
        <v>14.7876944821538</v>
      </c>
      <c r="I171">
        <v>0</v>
      </c>
      <c r="J171">
        <v>7</v>
      </c>
      <c r="K171">
        <v>5</v>
      </c>
      <c r="L171">
        <v>2</v>
      </c>
      <c r="M171">
        <v>6</v>
      </c>
      <c r="N171">
        <v>8</v>
      </c>
      <c r="O171">
        <v>-2</v>
      </c>
      <c r="P171">
        <v>5</v>
      </c>
      <c r="Q171">
        <v>7</v>
      </c>
      <c r="R171">
        <v>-2</v>
      </c>
      <c r="S171">
        <v>8</v>
      </c>
      <c r="T171">
        <v>8</v>
      </c>
      <c r="U171">
        <v>0</v>
      </c>
      <c r="V171">
        <v>6</v>
      </c>
      <c r="W171">
        <v>1</v>
      </c>
      <c r="X171">
        <v>5</v>
      </c>
      <c r="Y171">
        <v>8</v>
      </c>
      <c r="Z171">
        <v>2</v>
      </c>
      <c r="AA171">
        <v>6</v>
      </c>
      <c r="AB171">
        <v>7</v>
      </c>
      <c r="AC171">
        <v>3</v>
      </c>
      <c r="AD171">
        <v>4</v>
      </c>
      <c r="AE171">
        <v>5</v>
      </c>
      <c r="AF171">
        <v>3</v>
      </c>
      <c r="AG171">
        <v>2</v>
      </c>
      <c r="AH171">
        <v>8</v>
      </c>
      <c r="AI171">
        <v>7</v>
      </c>
      <c r="AJ171">
        <v>1</v>
      </c>
      <c r="AK171" t="s">
        <v>1719</v>
      </c>
      <c r="AL171" t="s">
        <v>1720</v>
      </c>
      <c r="AM171" t="s">
        <v>1721</v>
      </c>
      <c r="AN171" t="s">
        <v>797</v>
      </c>
      <c r="AO171" t="s">
        <v>1722</v>
      </c>
      <c r="AP171" t="s">
        <v>1723</v>
      </c>
      <c r="AQ171" t="s">
        <v>1724</v>
      </c>
      <c r="AR171" t="s">
        <v>1725</v>
      </c>
      <c r="AS171" t="s">
        <v>1726</v>
      </c>
    </row>
    <row r="172" spans="1:45" x14ac:dyDescent="0.45">
      <c r="A172">
        <v>171</v>
      </c>
      <c r="B172">
        <v>2161</v>
      </c>
      <c r="C172" t="s">
        <v>78</v>
      </c>
      <c r="D172" t="s">
        <v>188</v>
      </c>
      <c r="E172" t="s">
        <v>74</v>
      </c>
      <c r="F172" t="s">
        <v>77</v>
      </c>
      <c r="G172" t="s">
        <v>76</v>
      </c>
      <c r="H172">
        <v>12</v>
      </c>
      <c r="I172">
        <v>0</v>
      </c>
      <c r="J172">
        <v>8</v>
      </c>
      <c r="K172">
        <v>6</v>
      </c>
      <c r="L172">
        <v>2</v>
      </c>
      <c r="M172">
        <v>7</v>
      </c>
      <c r="N172">
        <v>7</v>
      </c>
      <c r="O172">
        <v>0</v>
      </c>
      <c r="P172">
        <v>6</v>
      </c>
      <c r="Q172">
        <v>5</v>
      </c>
      <c r="R172">
        <v>1</v>
      </c>
      <c r="S172">
        <v>7</v>
      </c>
      <c r="T172">
        <v>7</v>
      </c>
      <c r="U172">
        <v>0</v>
      </c>
      <c r="V172">
        <v>8</v>
      </c>
      <c r="W172">
        <v>7</v>
      </c>
      <c r="X172">
        <v>1</v>
      </c>
      <c r="Y172">
        <v>6</v>
      </c>
      <c r="Z172">
        <v>7</v>
      </c>
      <c r="AA172">
        <v>-1</v>
      </c>
      <c r="AB172">
        <v>7</v>
      </c>
      <c r="AC172">
        <v>5</v>
      </c>
      <c r="AD172">
        <v>2</v>
      </c>
      <c r="AE172">
        <v>5</v>
      </c>
      <c r="AF172">
        <v>7</v>
      </c>
      <c r="AG172">
        <v>-2</v>
      </c>
      <c r="AH172">
        <v>7</v>
      </c>
      <c r="AI172">
        <v>7</v>
      </c>
      <c r="AJ172">
        <v>0</v>
      </c>
      <c r="AK172" t="s">
        <v>1727</v>
      </c>
      <c r="AL172" t="s">
        <v>1728</v>
      </c>
      <c r="AM172" t="s">
        <v>1729</v>
      </c>
      <c r="AN172" t="s">
        <v>1730</v>
      </c>
      <c r="AO172" t="s">
        <v>1731</v>
      </c>
      <c r="AP172" t="s">
        <v>1732</v>
      </c>
      <c r="AQ172" t="s">
        <v>1733</v>
      </c>
      <c r="AR172" t="s">
        <v>1734</v>
      </c>
      <c r="AS172" t="s">
        <v>1735</v>
      </c>
    </row>
    <row r="173" spans="1:45" x14ac:dyDescent="0.45">
      <c r="A173">
        <v>172</v>
      </c>
      <c r="B173">
        <v>2162</v>
      </c>
      <c r="C173" t="s">
        <v>78</v>
      </c>
      <c r="D173" t="s">
        <v>190</v>
      </c>
      <c r="E173" t="s">
        <v>74</v>
      </c>
      <c r="F173" t="s">
        <v>75</v>
      </c>
      <c r="G173" t="s">
        <v>76</v>
      </c>
      <c r="H173">
        <v>158.49332291542495</v>
      </c>
      <c r="I173">
        <v>4</v>
      </c>
      <c r="J173">
        <v>6</v>
      </c>
      <c r="K173">
        <v>8</v>
      </c>
      <c r="L173">
        <v>-2</v>
      </c>
      <c r="M173">
        <v>7</v>
      </c>
      <c r="N173">
        <v>8</v>
      </c>
      <c r="O173">
        <v>-1</v>
      </c>
      <c r="P173">
        <v>8</v>
      </c>
      <c r="Q173">
        <v>8</v>
      </c>
      <c r="R173">
        <v>0</v>
      </c>
      <c r="S173">
        <v>7</v>
      </c>
      <c r="T173">
        <v>9</v>
      </c>
      <c r="U173">
        <v>-2</v>
      </c>
      <c r="V173">
        <v>8</v>
      </c>
      <c r="W173">
        <v>9</v>
      </c>
      <c r="X173">
        <v>-1</v>
      </c>
      <c r="Y173">
        <v>7</v>
      </c>
      <c r="Z173">
        <v>5</v>
      </c>
      <c r="AA173">
        <v>2</v>
      </c>
      <c r="AB173">
        <v>8</v>
      </c>
      <c r="AC173">
        <v>5</v>
      </c>
      <c r="AD173">
        <v>3</v>
      </c>
      <c r="AE173">
        <v>7</v>
      </c>
      <c r="AF173">
        <v>8</v>
      </c>
      <c r="AG173">
        <v>-1</v>
      </c>
      <c r="AH173">
        <v>8</v>
      </c>
      <c r="AI173">
        <v>6</v>
      </c>
      <c r="AJ173">
        <v>2</v>
      </c>
      <c r="AK173" t="s">
        <v>1736</v>
      </c>
      <c r="AL173" t="s">
        <v>1737</v>
      </c>
      <c r="AM173" t="s">
        <v>1738</v>
      </c>
      <c r="AN173" t="s">
        <v>1739</v>
      </c>
      <c r="AO173" t="s">
        <v>1740</v>
      </c>
      <c r="AP173" t="s">
        <v>1741</v>
      </c>
      <c r="AQ173" t="s">
        <v>1742</v>
      </c>
      <c r="AR173" t="s">
        <v>1743</v>
      </c>
      <c r="AS173" t="s">
        <v>1744</v>
      </c>
    </row>
    <row r="174" spans="1:45" x14ac:dyDescent="0.45">
      <c r="A174">
        <v>173</v>
      </c>
      <c r="B174">
        <v>2163</v>
      </c>
      <c r="C174" t="s">
        <v>72</v>
      </c>
      <c r="D174" t="s">
        <v>79</v>
      </c>
      <c r="E174" t="s">
        <v>74</v>
      </c>
      <c r="F174" t="s">
        <v>77</v>
      </c>
      <c r="G174" t="s">
        <v>76</v>
      </c>
      <c r="H174">
        <v>94.736136471286372</v>
      </c>
      <c r="I174">
        <v>3</v>
      </c>
      <c r="J174">
        <v>7</v>
      </c>
      <c r="K174">
        <v>5</v>
      </c>
      <c r="L174">
        <v>2</v>
      </c>
      <c r="M174">
        <v>8</v>
      </c>
      <c r="N174">
        <v>5</v>
      </c>
      <c r="O174">
        <v>3</v>
      </c>
      <c r="P174">
        <v>6</v>
      </c>
      <c r="Q174">
        <v>4</v>
      </c>
      <c r="R174">
        <v>2</v>
      </c>
      <c r="S174">
        <v>9</v>
      </c>
      <c r="T174">
        <v>6</v>
      </c>
      <c r="U174">
        <v>3</v>
      </c>
      <c r="V174">
        <v>8</v>
      </c>
      <c r="W174">
        <v>5</v>
      </c>
      <c r="X174">
        <v>3</v>
      </c>
      <c r="Y174">
        <v>7</v>
      </c>
      <c r="Z174">
        <v>4</v>
      </c>
      <c r="AA174">
        <v>3</v>
      </c>
      <c r="AB174">
        <v>8</v>
      </c>
      <c r="AC174">
        <v>4</v>
      </c>
      <c r="AD174">
        <v>4</v>
      </c>
      <c r="AE174">
        <v>6</v>
      </c>
      <c r="AF174">
        <v>5</v>
      </c>
      <c r="AG174">
        <v>1</v>
      </c>
      <c r="AH174">
        <v>7</v>
      </c>
      <c r="AI174">
        <v>5</v>
      </c>
      <c r="AJ174">
        <v>2</v>
      </c>
      <c r="AK174" t="s">
        <v>1745</v>
      </c>
      <c r="AL174" t="s">
        <v>1746</v>
      </c>
      <c r="AM174" t="s">
        <v>1747</v>
      </c>
      <c r="AN174" t="s">
        <v>1748</v>
      </c>
      <c r="AO174" t="s">
        <v>1749</v>
      </c>
      <c r="AP174" t="s">
        <v>1750</v>
      </c>
      <c r="AQ174" t="s">
        <v>1751</v>
      </c>
      <c r="AR174" t="s">
        <v>1752</v>
      </c>
      <c r="AS174" t="s">
        <v>1753</v>
      </c>
    </row>
    <row r="175" spans="1:45" x14ac:dyDescent="0.45">
      <c r="A175">
        <v>174</v>
      </c>
      <c r="B175">
        <v>2164</v>
      </c>
      <c r="C175" t="s">
        <v>72</v>
      </c>
      <c r="D175" t="s">
        <v>81</v>
      </c>
      <c r="E175" t="s">
        <v>74</v>
      </c>
      <c r="F175" t="s">
        <v>77</v>
      </c>
      <c r="G175" t="s">
        <v>76</v>
      </c>
      <c r="H175">
        <v>37.205813411436509</v>
      </c>
      <c r="I175">
        <v>1</v>
      </c>
      <c r="J175">
        <v>6</v>
      </c>
      <c r="K175">
        <v>6</v>
      </c>
      <c r="L175">
        <v>0</v>
      </c>
      <c r="M175">
        <v>7</v>
      </c>
      <c r="N175">
        <v>6</v>
      </c>
      <c r="O175">
        <v>1</v>
      </c>
      <c r="P175">
        <v>8</v>
      </c>
      <c r="Q175">
        <v>6</v>
      </c>
      <c r="R175">
        <v>2</v>
      </c>
      <c r="S175">
        <v>7</v>
      </c>
      <c r="T175">
        <v>6</v>
      </c>
      <c r="U175">
        <v>1</v>
      </c>
      <c r="V175">
        <v>8</v>
      </c>
      <c r="W175">
        <v>7</v>
      </c>
      <c r="X175">
        <v>1</v>
      </c>
      <c r="Y175">
        <v>7</v>
      </c>
      <c r="Z175">
        <v>7</v>
      </c>
      <c r="AA175">
        <v>0</v>
      </c>
      <c r="AB175">
        <v>8</v>
      </c>
      <c r="AC175">
        <v>5</v>
      </c>
      <c r="AD175">
        <v>3</v>
      </c>
      <c r="AE175">
        <v>7</v>
      </c>
      <c r="AF175">
        <v>7</v>
      </c>
      <c r="AG175">
        <v>0</v>
      </c>
      <c r="AH175">
        <v>8</v>
      </c>
      <c r="AI175">
        <v>6</v>
      </c>
      <c r="AJ175">
        <v>2</v>
      </c>
      <c r="AK175" t="s">
        <v>1754</v>
      </c>
      <c r="AL175" t="s">
        <v>1755</v>
      </c>
      <c r="AM175" t="s">
        <v>1756</v>
      </c>
      <c r="AN175" t="s">
        <v>1757</v>
      </c>
      <c r="AO175" t="s">
        <v>1758</v>
      </c>
      <c r="AP175" t="s">
        <v>1759</v>
      </c>
      <c r="AQ175" t="s">
        <v>1760</v>
      </c>
      <c r="AR175" t="s">
        <v>1761</v>
      </c>
      <c r="AS175" t="s">
        <v>1762</v>
      </c>
    </row>
    <row r="176" spans="1:45" x14ac:dyDescent="0.45">
      <c r="A176">
        <v>175</v>
      </c>
      <c r="B176">
        <v>2165</v>
      </c>
      <c r="C176" t="s">
        <v>72</v>
      </c>
      <c r="D176" t="s">
        <v>190</v>
      </c>
      <c r="E176" t="s">
        <v>74</v>
      </c>
      <c r="F176" t="s">
        <v>75</v>
      </c>
      <c r="G176" t="s">
        <v>76</v>
      </c>
      <c r="H176">
        <v>222.43464984005288</v>
      </c>
      <c r="I176">
        <v>3</v>
      </c>
      <c r="J176">
        <v>6</v>
      </c>
      <c r="K176">
        <v>4</v>
      </c>
      <c r="L176">
        <v>2</v>
      </c>
      <c r="M176">
        <v>7</v>
      </c>
      <c r="N176">
        <v>5</v>
      </c>
      <c r="O176">
        <v>2</v>
      </c>
      <c r="P176">
        <v>8</v>
      </c>
      <c r="Q176">
        <v>4</v>
      </c>
      <c r="R176">
        <v>4</v>
      </c>
      <c r="S176">
        <v>9</v>
      </c>
      <c r="T176">
        <v>6</v>
      </c>
      <c r="U176">
        <v>3</v>
      </c>
      <c r="V176">
        <v>7</v>
      </c>
      <c r="W176">
        <v>4</v>
      </c>
      <c r="X176">
        <v>3</v>
      </c>
      <c r="Y176">
        <v>8</v>
      </c>
      <c r="Z176">
        <v>4</v>
      </c>
      <c r="AA176">
        <v>4</v>
      </c>
      <c r="AB176">
        <v>7</v>
      </c>
      <c r="AC176">
        <v>4</v>
      </c>
      <c r="AD176">
        <v>3</v>
      </c>
      <c r="AE176">
        <v>6</v>
      </c>
      <c r="AF176">
        <v>5</v>
      </c>
      <c r="AG176">
        <v>1</v>
      </c>
      <c r="AH176">
        <v>7</v>
      </c>
      <c r="AI176">
        <v>4</v>
      </c>
      <c r="AJ176">
        <v>3</v>
      </c>
      <c r="AK176" t="s">
        <v>216</v>
      </c>
      <c r="AL176" t="s">
        <v>216</v>
      </c>
      <c r="AM176" t="s">
        <v>216</v>
      </c>
      <c r="AN176" t="s">
        <v>216</v>
      </c>
      <c r="AO176" t="s">
        <v>216</v>
      </c>
      <c r="AP176" t="s">
        <v>216</v>
      </c>
      <c r="AQ176" t="s">
        <v>216</v>
      </c>
      <c r="AR176" t="s">
        <v>216</v>
      </c>
      <c r="AS176" t="s">
        <v>216</v>
      </c>
    </row>
    <row r="177" spans="1:45" x14ac:dyDescent="0.45">
      <c r="A177">
        <v>176</v>
      </c>
      <c r="B177">
        <v>2166</v>
      </c>
      <c r="C177" t="s">
        <v>72</v>
      </c>
      <c r="D177" t="s">
        <v>192</v>
      </c>
      <c r="E177" t="s">
        <v>80</v>
      </c>
      <c r="F177" t="s">
        <v>75</v>
      </c>
      <c r="G177" t="s">
        <v>76</v>
      </c>
      <c r="H177">
        <v>147.16493116898454</v>
      </c>
      <c r="I177">
        <v>0</v>
      </c>
      <c r="J177">
        <v>8</v>
      </c>
      <c r="K177">
        <v>2</v>
      </c>
      <c r="L177">
        <v>6</v>
      </c>
      <c r="M177">
        <v>7</v>
      </c>
      <c r="N177">
        <v>4</v>
      </c>
      <c r="O177">
        <v>3</v>
      </c>
      <c r="P177">
        <v>9</v>
      </c>
      <c r="Q177">
        <v>3</v>
      </c>
      <c r="R177">
        <v>6</v>
      </c>
      <c r="S177">
        <v>8</v>
      </c>
      <c r="T177">
        <v>5</v>
      </c>
      <c r="U177">
        <v>3</v>
      </c>
      <c r="V177">
        <v>7</v>
      </c>
      <c r="W177">
        <v>4</v>
      </c>
      <c r="X177">
        <v>3</v>
      </c>
      <c r="Y177">
        <v>8</v>
      </c>
      <c r="Z177">
        <v>1</v>
      </c>
      <c r="AA177">
        <v>7</v>
      </c>
      <c r="AB177">
        <v>7</v>
      </c>
      <c r="AC177">
        <v>1</v>
      </c>
      <c r="AD177">
        <v>6</v>
      </c>
      <c r="AE177">
        <v>8</v>
      </c>
      <c r="AF177">
        <v>4</v>
      </c>
      <c r="AG177">
        <v>4</v>
      </c>
      <c r="AH177">
        <v>9</v>
      </c>
      <c r="AI177">
        <v>4</v>
      </c>
      <c r="AJ177">
        <v>5</v>
      </c>
      <c r="AK177" t="s">
        <v>1763</v>
      </c>
      <c r="AL177" t="s">
        <v>1764</v>
      </c>
      <c r="AM177" t="s">
        <v>1765</v>
      </c>
      <c r="AN177" t="s">
        <v>1766</v>
      </c>
      <c r="AO177" t="s">
        <v>1767</v>
      </c>
      <c r="AP177" t="s">
        <v>1768</v>
      </c>
      <c r="AQ177" t="s">
        <v>1769</v>
      </c>
      <c r="AR177" t="s">
        <v>1770</v>
      </c>
      <c r="AS177" t="s">
        <v>1771</v>
      </c>
    </row>
    <row r="178" spans="1:45" x14ac:dyDescent="0.45">
      <c r="A178">
        <v>177</v>
      </c>
      <c r="B178">
        <v>2167</v>
      </c>
      <c r="C178" t="s">
        <v>72</v>
      </c>
      <c r="D178" t="s">
        <v>190</v>
      </c>
      <c r="E178" t="s">
        <v>74</v>
      </c>
      <c r="F178" t="s">
        <v>75</v>
      </c>
      <c r="G178" t="s">
        <v>76</v>
      </c>
      <c r="H178">
        <v>96.316411587907751</v>
      </c>
      <c r="I178">
        <v>2</v>
      </c>
      <c r="J178">
        <v>7</v>
      </c>
      <c r="K178">
        <v>4</v>
      </c>
      <c r="L178">
        <v>3</v>
      </c>
      <c r="M178">
        <v>8</v>
      </c>
      <c r="N178">
        <v>4</v>
      </c>
      <c r="O178">
        <v>4</v>
      </c>
      <c r="P178">
        <v>9</v>
      </c>
      <c r="Q178">
        <v>3</v>
      </c>
      <c r="R178">
        <v>6</v>
      </c>
      <c r="S178">
        <v>7</v>
      </c>
      <c r="T178">
        <v>5</v>
      </c>
      <c r="U178">
        <v>2</v>
      </c>
      <c r="V178">
        <v>9</v>
      </c>
      <c r="W178">
        <v>3</v>
      </c>
      <c r="X178">
        <v>6</v>
      </c>
      <c r="Y178">
        <v>6</v>
      </c>
      <c r="Z178">
        <v>2</v>
      </c>
      <c r="AA178">
        <v>4</v>
      </c>
      <c r="AB178">
        <v>8</v>
      </c>
      <c r="AC178">
        <v>1</v>
      </c>
      <c r="AD178">
        <v>7</v>
      </c>
      <c r="AE178">
        <v>7</v>
      </c>
      <c r="AF178">
        <v>1</v>
      </c>
      <c r="AG178">
        <v>6</v>
      </c>
      <c r="AH178">
        <v>9</v>
      </c>
      <c r="AI178">
        <v>1</v>
      </c>
      <c r="AJ178">
        <v>8</v>
      </c>
      <c r="AK178" t="s">
        <v>1772</v>
      </c>
      <c r="AL178" t="s">
        <v>1773</v>
      </c>
      <c r="AM178" t="s">
        <v>1774</v>
      </c>
      <c r="AN178" t="s">
        <v>1775</v>
      </c>
      <c r="AO178" t="s">
        <v>1776</v>
      </c>
      <c r="AP178" t="s">
        <v>218</v>
      </c>
      <c r="AQ178" t="s">
        <v>1777</v>
      </c>
      <c r="AR178" t="s">
        <v>1778</v>
      </c>
      <c r="AS178" t="s">
        <v>1779</v>
      </c>
    </row>
    <row r="179" spans="1:45" x14ac:dyDescent="0.45">
      <c r="A179">
        <v>178</v>
      </c>
      <c r="B179">
        <v>2168</v>
      </c>
      <c r="C179" t="s">
        <v>72</v>
      </c>
      <c r="D179" t="s">
        <v>192</v>
      </c>
      <c r="E179" t="s">
        <v>74</v>
      </c>
      <c r="F179" t="s">
        <v>77</v>
      </c>
      <c r="G179" t="s">
        <v>76</v>
      </c>
      <c r="H179">
        <v>39.72833427515674</v>
      </c>
      <c r="I179">
        <v>4</v>
      </c>
      <c r="J179">
        <v>7</v>
      </c>
      <c r="K179">
        <v>6</v>
      </c>
      <c r="L179">
        <v>1</v>
      </c>
      <c r="M179">
        <v>6</v>
      </c>
      <c r="N179">
        <v>7</v>
      </c>
      <c r="O179">
        <v>-1</v>
      </c>
      <c r="P179">
        <v>8</v>
      </c>
      <c r="Q179">
        <v>6</v>
      </c>
      <c r="R179">
        <v>2</v>
      </c>
      <c r="S179">
        <v>5</v>
      </c>
      <c r="T179">
        <v>6</v>
      </c>
      <c r="U179">
        <v>-1</v>
      </c>
      <c r="V179">
        <v>7</v>
      </c>
      <c r="W179">
        <v>6</v>
      </c>
      <c r="X179">
        <v>1</v>
      </c>
      <c r="Y179">
        <v>4</v>
      </c>
      <c r="Z179">
        <v>7</v>
      </c>
      <c r="AA179">
        <v>-3</v>
      </c>
      <c r="AB179">
        <v>6</v>
      </c>
      <c r="AC179">
        <v>5</v>
      </c>
      <c r="AD179">
        <v>1</v>
      </c>
      <c r="AE179">
        <v>5</v>
      </c>
      <c r="AF179">
        <v>6</v>
      </c>
      <c r="AG179">
        <v>-1</v>
      </c>
      <c r="AH179">
        <v>7</v>
      </c>
      <c r="AI179">
        <v>7</v>
      </c>
      <c r="AJ179">
        <v>0</v>
      </c>
      <c r="AK179" t="s">
        <v>1780</v>
      </c>
      <c r="AL179" t="s">
        <v>1781</v>
      </c>
      <c r="AM179" t="s">
        <v>1782</v>
      </c>
      <c r="AN179" t="s">
        <v>1783</v>
      </c>
      <c r="AO179" t="s">
        <v>1784</v>
      </c>
      <c r="AP179" t="s">
        <v>1785</v>
      </c>
      <c r="AQ179" t="s">
        <v>1786</v>
      </c>
      <c r="AR179" t="s">
        <v>1787</v>
      </c>
      <c r="AS179" t="s">
        <v>1788</v>
      </c>
    </row>
    <row r="180" spans="1:45" x14ac:dyDescent="0.45">
      <c r="A180">
        <v>179</v>
      </c>
      <c r="B180">
        <v>2169</v>
      </c>
      <c r="C180" t="s">
        <v>72</v>
      </c>
      <c r="D180" t="s">
        <v>73</v>
      </c>
      <c r="E180" t="s">
        <v>74</v>
      </c>
      <c r="F180" t="s">
        <v>75</v>
      </c>
      <c r="G180" t="s">
        <v>76</v>
      </c>
      <c r="H180">
        <v>29.587478458911249</v>
      </c>
      <c r="I180">
        <v>1</v>
      </c>
      <c r="J180">
        <v>6</v>
      </c>
      <c r="K180">
        <v>7</v>
      </c>
      <c r="L180">
        <v>-1</v>
      </c>
      <c r="M180">
        <v>7</v>
      </c>
      <c r="N180">
        <v>7</v>
      </c>
      <c r="O180">
        <v>0</v>
      </c>
      <c r="P180">
        <v>8</v>
      </c>
      <c r="Q180">
        <v>7</v>
      </c>
      <c r="R180">
        <v>1</v>
      </c>
      <c r="S180">
        <v>7</v>
      </c>
      <c r="T180">
        <v>8</v>
      </c>
      <c r="U180">
        <v>-1</v>
      </c>
      <c r="V180">
        <v>6</v>
      </c>
      <c r="W180">
        <v>7</v>
      </c>
      <c r="X180">
        <v>-1</v>
      </c>
      <c r="Y180">
        <v>7</v>
      </c>
      <c r="Z180">
        <v>8</v>
      </c>
      <c r="AA180">
        <v>-1</v>
      </c>
      <c r="AB180">
        <v>6</v>
      </c>
      <c r="AC180">
        <v>7</v>
      </c>
      <c r="AD180">
        <v>-1</v>
      </c>
      <c r="AE180">
        <v>6</v>
      </c>
      <c r="AF180">
        <v>7</v>
      </c>
      <c r="AG180">
        <v>-1</v>
      </c>
      <c r="AH180">
        <v>7</v>
      </c>
      <c r="AI180">
        <v>8</v>
      </c>
      <c r="AJ180">
        <v>-1</v>
      </c>
      <c r="AK180" t="s">
        <v>1789</v>
      </c>
      <c r="AL180" t="s">
        <v>1790</v>
      </c>
      <c r="AM180" t="s">
        <v>1791</v>
      </c>
      <c r="AN180" t="s">
        <v>1792</v>
      </c>
      <c r="AO180" t="s">
        <v>1793</v>
      </c>
      <c r="AP180" t="s">
        <v>1794</v>
      </c>
      <c r="AQ180" t="s">
        <v>1795</v>
      </c>
      <c r="AR180" t="s">
        <v>1796</v>
      </c>
      <c r="AS180" t="s">
        <v>1797</v>
      </c>
    </row>
    <row r="181" spans="1:45" x14ac:dyDescent="0.45">
      <c r="A181">
        <v>180</v>
      </c>
      <c r="B181">
        <v>2170</v>
      </c>
      <c r="C181" t="s">
        <v>72</v>
      </c>
      <c r="D181" t="s">
        <v>79</v>
      </c>
      <c r="E181" t="s">
        <v>74</v>
      </c>
      <c r="F181" t="s">
        <v>77</v>
      </c>
      <c r="G181" t="s">
        <v>76</v>
      </c>
      <c r="H181">
        <v>57.142928137015538</v>
      </c>
      <c r="I181">
        <v>1</v>
      </c>
      <c r="J181">
        <v>8</v>
      </c>
      <c r="K181">
        <v>5</v>
      </c>
      <c r="L181">
        <v>3</v>
      </c>
      <c r="M181">
        <v>7</v>
      </c>
      <c r="N181">
        <v>5</v>
      </c>
      <c r="O181">
        <v>2</v>
      </c>
      <c r="P181">
        <v>9</v>
      </c>
      <c r="Q181">
        <v>5</v>
      </c>
      <c r="R181">
        <v>4</v>
      </c>
      <c r="S181">
        <v>8</v>
      </c>
      <c r="T181">
        <v>7</v>
      </c>
      <c r="U181">
        <v>1</v>
      </c>
      <c r="V181">
        <v>7</v>
      </c>
      <c r="W181">
        <v>5</v>
      </c>
      <c r="X181">
        <v>2</v>
      </c>
      <c r="Y181">
        <v>6</v>
      </c>
      <c r="Z181">
        <v>6</v>
      </c>
      <c r="AA181">
        <v>0</v>
      </c>
      <c r="AB181">
        <v>5</v>
      </c>
      <c r="AC181">
        <v>5</v>
      </c>
      <c r="AD181">
        <v>0</v>
      </c>
      <c r="AE181">
        <v>7</v>
      </c>
      <c r="AF181">
        <v>7</v>
      </c>
      <c r="AG181">
        <v>0</v>
      </c>
      <c r="AH181">
        <v>6</v>
      </c>
      <c r="AI181">
        <v>7</v>
      </c>
      <c r="AJ181">
        <v>-1</v>
      </c>
      <c r="AK181" t="s">
        <v>1798</v>
      </c>
      <c r="AL181" t="s">
        <v>1799</v>
      </c>
      <c r="AM181" t="s">
        <v>1800</v>
      </c>
      <c r="AN181" t="s">
        <v>1801</v>
      </c>
      <c r="AO181" t="s">
        <v>1802</v>
      </c>
      <c r="AP181" t="s">
        <v>1803</v>
      </c>
      <c r="AQ181" t="s">
        <v>1804</v>
      </c>
      <c r="AR181" t="s">
        <v>1805</v>
      </c>
      <c r="AS181" t="s">
        <v>1806</v>
      </c>
    </row>
    <row r="182" spans="1:45" x14ac:dyDescent="0.45">
      <c r="A182">
        <v>181</v>
      </c>
      <c r="B182">
        <v>2171</v>
      </c>
      <c r="C182" t="s">
        <v>72</v>
      </c>
      <c r="D182" t="s">
        <v>73</v>
      </c>
      <c r="E182" t="s">
        <v>74</v>
      </c>
      <c r="F182" t="s">
        <v>75</v>
      </c>
      <c r="G182" t="s">
        <v>76</v>
      </c>
      <c r="H182">
        <v>59.561958120153506</v>
      </c>
      <c r="I182">
        <v>2</v>
      </c>
      <c r="J182">
        <v>8</v>
      </c>
      <c r="K182">
        <v>6</v>
      </c>
      <c r="L182">
        <v>2</v>
      </c>
      <c r="M182">
        <v>9</v>
      </c>
      <c r="N182">
        <v>7</v>
      </c>
      <c r="O182">
        <v>2</v>
      </c>
      <c r="P182">
        <v>7</v>
      </c>
      <c r="Q182">
        <v>7</v>
      </c>
      <c r="R182">
        <v>0</v>
      </c>
      <c r="S182">
        <v>6</v>
      </c>
      <c r="T182">
        <v>8</v>
      </c>
      <c r="U182">
        <v>-2</v>
      </c>
      <c r="V182">
        <v>8</v>
      </c>
      <c r="W182">
        <v>8</v>
      </c>
      <c r="X182">
        <v>0</v>
      </c>
      <c r="Y182">
        <v>7</v>
      </c>
      <c r="Z182">
        <v>7</v>
      </c>
      <c r="AA182">
        <v>0</v>
      </c>
      <c r="AB182">
        <v>8</v>
      </c>
      <c r="AC182">
        <v>5</v>
      </c>
      <c r="AD182">
        <v>3</v>
      </c>
      <c r="AE182">
        <v>7</v>
      </c>
      <c r="AF182">
        <v>7</v>
      </c>
      <c r="AG182">
        <v>0</v>
      </c>
      <c r="AH182">
        <v>8</v>
      </c>
      <c r="AI182">
        <v>7</v>
      </c>
      <c r="AJ182">
        <v>1</v>
      </c>
      <c r="AK182" t="s">
        <v>1807</v>
      </c>
      <c r="AL182" t="s">
        <v>1808</v>
      </c>
      <c r="AM182" t="s">
        <v>1809</v>
      </c>
      <c r="AN182" t="s">
        <v>1810</v>
      </c>
      <c r="AO182" t="s">
        <v>1811</v>
      </c>
      <c r="AP182" t="s">
        <v>1812</v>
      </c>
      <c r="AQ182" t="s">
        <v>1813</v>
      </c>
      <c r="AR182" t="s">
        <v>1814</v>
      </c>
      <c r="AS182" t="s">
        <v>1815</v>
      </c>
    </row>
    <row r="183" spans="1:45" x14ac:dyDescent="0.45">
      <c r="A183">
        <v>182</v>
      </c>
      <c r="B183">
        <v>2172</v>
      </c>
      <c r="C183" t="s">
        <v>72</v>
      </c>
      <c r="D183" t="s">
        <v>81</v>
      </c>
      <c r="E183" t="s">
        <v>74</v>
      </c>
      <c r="F183" t="s">
        <v>77</v>
      </c>
      <c r="G183" t="s">
        <v>76</v>
      </c>
      <c r="H183">
        <v>26.225603420690188</v>
      </c>
      <c r="I183">
        <v>0</v>
      </c>
      <c r="J183">
        <v>5</v>
      </c>
      <c r="K183">
        <v>8</v>
      </c>
      <c r="L183">
        <v>-3</v>
      </c>
      <c r="M183">
        <v>6</v>
      </c>
      <c r="N183">
        <v>8</v>
      </c>
      <c r="O183">
        <v>-2</v>
      </c>
      <c r="P183">
        <v>7</v>
      </c>
      <c r="Q183">
        <v>5</v>
      </c>
      <c r="R183">
        <v>2</v>
      </c>
      <c r="S183">
        <v>8</v>
      </c>
      <c r="T183">
        <v>8</v>
      </c>
      <c r="U183">
        <v>0</v>
      </c>
      <c r="V183">
        <v>7</v>
      </c>
      <c r="W183">
        <v>6</v>
      </c>
      <c r="X183">
        <v>1</v>
      </c>
      <c r="Y183">
        <v>6</v>
      </c>
      <c r="Z183">
        <v>8</v>
      </c>
      <c r="AA183">
        <v>-2</v>
      </c>
      <c r="AB183">
        <v>4</v>
      </c>
      <c r="AC183">
        <v>6</v>
      </c>
      <c r="AD183">
        <v>-2</v>
      </c>
      <c r="AE183">
        <v>6</v>
      </c>
      <c r="AF183">
        <v>7</v>
      </c>
      <c r="AG183">
        <v>-1</v>
      </c>
      <c r="AH183">
        <v>5</v>
      </c>
      <c r="AI183">
        <v>7</v>
      </c>
      <c r="AJ183">
        <v>-2</v>
      </c>
      <c r="AK183" t="s">
        <v>1816</v>
      </c>
      <c r="AL183" t="s">
        <v>1817</v>
      </c>
      <c r="AM183" t="s">
        <v>1818</v>
      </c>
      <c r="AN183" t="s">
        <v>1819</v>
      </c>
      <c r="AO183" t="s">
        <v>1820</v>
      </c>
      <c r="AP183" t="s">
        <v>1821</v>
      </c>
      <c r="AQ183" t="s">
        <v>1822</v>
      </c>
      <c r="AR183" t="s">
        <v>1823</v>
      </c>
      <c r="AS183" t="s">
        <v>1824</v>
      </c>
    </row>
    <row r="184" spans="1:45" x14ac:dyDescent="0.45">
      <c r="A184">
        <v>183</v>
      </c>
      <c r="B184">
        <v>2173</v>
      </c>
      <c r="C184" t="s">
        <v>78</v>
      </c>
      <c r="D184" t="s">
        <v>192</v>
      </c>
      <c r="E184" t="s">
        <v>74</v>
      </c>
      <c r="F184" t="s">
        <v>75</v>
      </c>
      <c r="G184" t="s">
        <v>76</v>
      </c>
      <c r="H184">
        <v>204.3397578818587</v>
      </c>
      <c r="I184">
        <v>3</v>
      </c>
      <c r="J184">
        <v>7</v>
      </c>
      <c r="K184">
        <v>2</v>
      </c>
      <c r="L184">
        <v>5</v>
      </c>
      <c r="M184">
        <v>8</v>
      </c>
      <c r="N184">
        <v>5</v>
      </c>
      <c r="O184">
        <v>3</v>
      </c>
      <c r="P184">
        <v>6</v>
      </c>
      <c r="Q184">
        <v>3</v>
      </c>
      <c r="R184">
        <v>3</v>
      </c>
      <c r="S184">
        <v>7</v>
      </c>
      <c r="T184">
        <v>5</v>
      </c>
      <c r="U184">
        <v>2</v>
      </c>
      <c r="V184">
        <v>6</v>
      </c>
      <c r="W184">
        <v>3</v>
      </c>
      <c r="X184">
        <v>3</v>
      </c>
      <c r="Y184">
        <v>8</v>
      </c>
      <c r="Z184">
        <v>2</v>
      </c>
      <c r="AA184">
        <v>6</v>
      </c>
      <c r="AB184">
        <v>6</v>
      </c>
      <c r="AC184">
        <v>1</v>
      </c>
      <c r="AD184">
        <v>5</v>
      </c>
      <c r="AE184">
        <v>5</v>
      </c>
      <c r="AF184">
        <v>5</v>
      </c>
      <c r="AG184">
        <v>0</v>
      </c>
      <c r="AH184">
        <v>6</v>
      </c>
      <c r="AI184">
        <v>5</v>
      </c>
      <c r="AJ184">
        <v>1</v>
      </c>
      <c r="AK184" t="s">
        <v>1825</v>
      </c>
      <c r="AL184" t="s">
        <v>1826</v>
      </c>
      <c r="AM184" t="s">
        <v>1827</v>
      </c>
      <c r="AN184" t="s">
        <v>1828</v>
      </c>
      <c r="AO184" t="s">
        <v>1829</v>
      </c>
      <c r="AP184" t="s">
        <v>1830</v>
      </c>
      <c r="AQ184" t="s">
        <v>1831</v>
      </c>
      <c r="AR184" t="s">
        <v>1832</v>
      </c>
      <c r="AS184" t="s">
        <v>1833</v>
      </c>
    </row>
    <row r="185" spans="1:45" x14ac:dyDescent="0.45">
      <c r="A185">
        <v>184</v>
      </c>
      <c r="B185">
        <v>2174</v>
      </c>
      <c r="C185" t="s">
        <v>78</v>
      </c>
      <c r="D185" t="s">
        <v>188</v>
      </c>
      <c r="E185" t="s">
        <v>74</v>
      </c>
      <c r="F185" t="s">
        <v>77</v>
      </c>
      <c r="G185" t="s">
        <v>76</v>
      </c>
      <c r="H185">
        <v>16.660570317314338</v>
      </c>
      <c r="I185">
        <v>0</v>
      </c>
      <c r="J185">
        <v>8</v>
      </c>
      <c r="K185">
        <v>6</v>
      </c>
      <c r="L185">
        <v>2</v>
      </c>
      <c r="M185">
        <v>9</v>
      </c>
      <c r="N185">
        <v>6</v>
      </c>
      <c r="O185">
        <v>3</v>
      </c>
      <c r="P185">
        <v>8</v>
      </c>
      <c r="Q185">
        <v>5</v>
      </c>
      <c r="R185">
        <v>3</v>
      </c>
      <c r="S185">
        <v>9</v>
      </c>
      <c r="T185">
        <v>9</v>
      </c>
      <c r="U185">
        <v>0</v>
      </c>
      <c r="V185">
        <v>8</v>
      </c>
      <c r="W185">
        <v>7</v>
      </c>
      <c r="X185">
        <v>1</v>
      </c>
      <c r="Y185">
        <v>7</v>
      </c>
      <c r="Z185">
        <v>8</v>
      </c>
      <c r="AA185">
        <v>-1</v>
      </c>
      <c r="AB185">
        <v>6</v>
      </c>
      <c r="AC185">
        <v>5</v>
      </c>
      <c r="AD185">
        <v>1</v>
      </c>
      <c r="AE185">
        <v>7</v>
      </c>
      <c r="AF185">
        <v>7</v>
      </c>
      <c r="AG185">
        <v>0</v>
      </c>
      <c r="AH185">
        <v>7</v>
      </c>
      <c r="AI185">
        <v>7</v>
      </c>
      <c r="AJ185">
        <v>0</v>
      </c>
      <c r="AK185" t="s">
        <v>1834</v>
      </c>
      <c r="AL185" t="s">
        <v>1835</v>
      </c>
      <c r="AM185" t="s">
        <v>1836</v>
      </c>
      <c r="AN185" t="s">
        <v>1695</v>
      </c>
      <c r="AO185" t="s">
        <v>1837</v>
      </c>
      <c r="AP185" t="s">
        <v>1838</v>
      </c>
      <c r="AQ185" t="s">
        <v>1839</v>
      </c>
      <c r="AR185" t="s">
        <v>1840</v>
      </c>
      <c r="AS185" t="s">
        <v>1841</v>
      </c>
    </row>
    <row r="186" spans="1:45" x14ac:dyDescent="0.45">
      <c r="A186">
        <v>185</v>
      </c>
      <c r="B186">
        <v>2175</v>
      </c>
      <c r="C186" t="s">
        <v>72</v>
      </c>
      <c r="D186" t="s">
        <v>79</v>
      </c>
      <c r="E186" t="s">
        <v>80</v>
      </c>
      <c r="F186" t="s">
        <v>77</v>
      </c>
      <c r="G186" t="s">
        <v>161</v>
      </c>
      <c r="H186">
        <v>36.919691843798184</v>
      </c>
      <c r="I186">
        <v>3</v>
      </c>
      <c r="J186">
        <v>7</v>
      </c>
      <c r="K186">
        <v>7</v>
      </c>
      <c r="L186">
        <v>0</v>
      </c>
      <c r="M186">
        <v>8</v>
      </c>
      <c r="N186">
        <v>7</v>
      </c>
      <c r="O186">
        <v>1</v>
      </c>
      <c r="P186">
        <v>6</v>
      </c>
      <c r="Q186">
        <v>6</v>
      </c>
      <c r="R186">
        <v>0</v>
      </c>
      <c r="S186">
        <v>7</v>
      </c>
      <c r="T186">
        <v>8</v>
      </c>
      <c r="U186">
        <v>-1</v>
      </c>
      <c r="V186">
        <v>6</v>
      </c>
      <c r="W186">
        <v>5</v>
      </c>
      <c r="X186">
        <v>1</v>
      </c>
      <c r="Y186">
        <v>5</v>
      </c>
      <c r="Z186">
        <v>5</v>
      </c>
      <c r="AA186">
        <v>0</v>
      </c>
      <c r="AB186">
        <v>4</v>
      </c>
      <c r="AC186">
        <v>5</v>
      </c>
      <c r="AD186">
        <v>-1</v>
      </c>
      <c r="AE186">
        <v>5</v>
      </c>
      <c r="AF186">
        <v>6</v>
      </c>
      <c r="AG186">
        <v>-1</v>
      </c>
      <c r="AH186">
        <v>6</v>
      </c>
      <c r="AI186">
        <v>5</v>
      </c>
      <c r="AJ186">
        <v>1</v>
      </c>
      <c r="AK186" t="s">
        <v>1842</v>
      </c>
      <c r="AL186" t="s">
        <v>1843</v>
      </c>
      <c r="AM186" t="s">
        <v>1844</v>
      </c>
      <c r="AN186" t="s">
        <v>1845</v>
      </c>
      <c r="AO186" t="s">
        <v>1846</v>
      </c>
      <c r="AP186" t="s">
        <v>1847</v>
      </c>
      <c r="AQ186" t="s">
        <v>1848</v>
      </c>
      <c r="AR186" t="s">
        <v>1849</v>
      </c>
      <c r="AS186" t="s">
        <v>1850</v>
      </c>
    </row>
    <row r="187" spans="1:45" x14ac:dyDescent="0.45">
      <c r="A187">
        <v>186</v>
      </c>
      <c r="B187">
        <v>2176</v>
      </c>
      <c r="C187" t="s">
        <v>72</v>
      </c>
      <c r="D187" t="s">
        <v>192</v>
      </c>
      <c r="E187" t="s">
        <v>74</v>
      </c>
      <c r="F187" t="s">
        <v>77</v>
      </c>
      <c r="G187" t="s">
        <v>161</v>
      </c>
      <c r="H187">
        <v>14.112681507246347</v>
      </c>
      <c r="I187">
        <v>0</v>
      </c>
      <c r="J187">
        <v>7</v>
      </c>
      <c r="K187">
        <v>7</v>
      </c>
      <c r="L187">
        <v>0</v>
      </c>
      <c r="M187">
        <v>6</v>
      </c>
      <c r="N187">
        <v>7</v>
      </c>
      <c r="O187">
        <v>-1</v>
      </c>
      <c r="P187">
        <v>8</v>
      </c>
      <c r="Q187">
        <v>5</v>
      </c>
      <c r="R187">
        <v>3</v>
      </c>
      <c r="S187">
        <v>7</v>
      </c>
      <c r="T187">
        <v>7</v>
      </c>
      <c r="U187">
        <v>0</v>
      </c>
      <c r="V187">
        <v>8</v>
      </c>
      <c r="W187">
        <v>5</v>
      </c>
      <c r="X187">
        <v>3</v>
      </c>
      <c r="Y187">
        <v>6</v>
      </c>
      <c r="Z187">
        <v>5</v>
      </c>
      <c r="AA187">
        <v>1</v>
      </c>
      <c r="AB187">
        <v>7</v>
      </c>
      <c r="AC187">
        <v>5</v>
      </c>
      <c r="AD187">
        <v>2</v>
      </c>
      <c r="AE187">
        <v>5</v>
      </c>
      <c r="AF187">
        <v>5</v>
      </c>
      <c r="AG187">
        <v>0</v>
      </c>
      <c r="AH187">
        <v>6</v>
      </c>
      <c r="AI187">
        <v>6</v>
      </c>
      <c r="AJ187">
        <v>0</v>
      </c>
      <c r="AK187" t="s">
        <v>1851</v>
      </c>
      <c r="AL187" t="s">
        <v>1852</v>
      </c>
      <c r="AM187" t="s">
        <v>1853</v>
      </c>
      <c r="AN187" t="s">
        <v>1854</v>
      </c>
      <c r="AO187" t="s">
        <v>1855</v>
      </c>
      <c r="AP187" t="s">
        <v>1856</v>
      </c>
      <c r="AQ187" t="s">
        <v>1857</v>
      </c>
      <c r="AR187" t="s">
        <v>1858</v>
      </c>
      <c r="AS187" t="s">
        <v>1859</v>
      </c>
    </row>
    <row r="188" spans="1:45" x14ac:dyDescent="0.45">
      <c r="A188">
        <v>187</v>
      </c>
      <c r="B188">
        <v>2177</v>
      </c>
      <c r="C188" t="s">
        <v>78</v>
      </c>
      <c r="D188" t="s">
        <v>79</v>
      </c>
      <c r="E188" t="s">
        <v>74</v>
      </c>
      <c r="F188" t="s">
        <v>75</v>
      </c>
      <c r="G188" t="s">
        <v>76</v>
      </c>
      <c r="H188">
        <v>34.639962907137786</v>
      </c>
      <c r="I188">
        <v>2</v>
      </c>
      <c r="J188">
        <v>7</v>
      </c>
      <c r="K188">
        <v>6</v>
      </c>
      <c r="L188">
        <v>1</v>
      </c>
      <c r="M188">
        <v>6</v>
      </c>
      <c r="N188">
        <v>7</v>
      </c>
      <c r="O188">
        <v>-1</v>
      </c>
      <c r="P188">
        <v>8</v>
      </c>
      <c r="Q188">
        <v>6</v>
      </c>
      <c r="R188">
        <v>2</v>
      </c>
      <c r="S188">
        <v>9</v>
      </c>
      <c r="T188">
        <v>7</v>
      </c>
      <c r="U188">
        <v>2</v>
      </c>
      <c r="V188">
        <v>7</v>
      </c>
      <c r="W188">
        <v>6</v>
      </c>
      <c r="X188">
        <v>1</v>
      </c>
      <c r="Y188">
        <v>8</v>
      </c>
      <c r="Z188">
        <v>6</v>
      </c>
      <c r="AA188">
        <v>2</v>
      </c>
      <c r="AB188">
        <v>7</v>
      </c>
      <c r="AC188">
        <v>5</v>
      </c>
      <c r="AD188">
        <v>2</v>
      </c>
      <c r="AE188">
        <v>6</v>
      </c>
      <c r="AF188">
        <v>5</v>
      </c>
      <c r="AG188">
        <v>1</v>
      </c>
      <c r="AH188">
        <v>8</v>
      </c>
      <c r="AI188">
        <v>6</v>
      </c>
      <c r="AJ188">
        <v>2</v>
      </c>
      <c r="AK188" t="s">
        <v>1860</v>
      </c>
      <c r="AL188" t="s">
        <v>1861</v>
      </c>
      <c r="AM188" t="s">
        <v>1862</v>
      </c>
      <c r="AN188" t="s">
        <v>1863</v>
      </c>
      <c r="AO188" t="s">
        <v>1864</v>
      </c>
      <c r="AP188" t="s">
        <v>1865</v>
      </c>
      <c r="AQ188" t="s">
        <v>1866</v>
      </c>
      <c r="AR188" t="s">
        <v>1867</v>
      </c>
      <c r="AS188" t="s">
        <v>1868</v>
      </c>
    </row>
    <row r="189" spans="1:45" x14ac:dyDescent="0.45">
      <c r="A189">
        <v>188</v>
      </c>
      <c r="B189">
        <v>2178</v>
      </c>
      <c r="C189" t="s">
        <v>78</v>
      </c>
      <c r="D189" t="s">
        <v>81</v>
      </c>
      <c r="E189" t="s">
        <v>74</v>
      </c>
      <c r="F189" t="s">
        <v>77</v>
      </c>
      <c r="G189" t="s">
        <v>76</v>
      </c>
      <c r="H189">
        <v>24.967673096019993</v>
      </c>
      <c r="I189">
        <v>1</v>
      </c>
      <c r="J189">
        <v>7</v>
      </c>
      <c r="K189">
        <v>5</v>
      </c>
      <c r="L189">
        <v>2</v>
      </c>
      <c r="M189">
        <v>6</v>
      </c>
      <c r="N189">
        <v>5</v>
      </c>
      <c r="O189">
        <v>1</v>
      </c>
      <c r="P189">
        <v>8</v>
      </c>
      <c r="Q189">
        <v>4</v>
      </c>
      <c r="R189">
        <v>4</v>
      </c>
      <c r="S189">
        <v>9</v>
      </c>
      <c r="T189">
        <v>6</v>
      </c>
      <c r="U189">
        <v>3</v>
      </c>
      <c r="V189">
        <v>8</v>
      </c>
      <c r="W189">
        <v>5</v>
      </c>
      <c r="X189">
        <v>3</v>
      </c>
      <c r="Y189">
        <v>7</v>
      </c>
      <c r="Z189">
        <v>5</v>
      </c>
      <c r="AA189">
        <v>2</v>
      </c>
      <c r="AB189">
        <v>6</v>
      </c>
      <c r="AC189">
        <v>5</v>
      </c>
      <c r="AD189">
        <v>1</v>
      </c>
      <c r="AE189">
        <v>5</v>
      </c>
      <c r="AF189">
        <v>5</v>
      </c>
      <c r="AG189">
        <v>0</v>
      </c>
      <c r="AH189">
        <v>7</v>
      </c>
      <c r="AI189">
        <v>5</v>
      </c>
      <c r="AJ189">
        <v>2</v>
      </c>
      <c r="AK189" t="s">
        <v>1869</v>
      </c>
      <c r="AL189" t="s">
        <v>1870</v>
      </c>
      <c r="AM189" t="s">
        <v>1871</v>
      </c>
      <c r="AN189" t="s">
        <v>1872</v>
      </c>
      <c r="AO189" t="s">
        <v>1873</v>
      </c>
      <c r="AP189" t="s">
        <v>1874</v>
      </c>
      <c r="AQ189" t="s">
        <v>1875</v>
      </c>
      <c r="AR189" t="s">
        <v>1876</v>
      </c>
      <c r="AS189" t="s">
        <v>1877</v>
      </c>
    </row>
    <row r="190" spans="1:45" x14ac:dyDescent="0.45">
      <c r="A190">
        <v>189</v>
      </c>
      <c r="B190">
        <v>2179</v>
      </c>
      <c r="C190" t="s">
        <v>78</v>
      </c>
      <c r="D190" t="s">
        <v>79</v>
      </c>
      <c r="E190" t="s">
        <v>74</v>
      </c>
      <c r="F190" t="s">
        <v>77</v>
      </c>
      <c r="G190" t="s">
        <v>76</v>
      </c>
      <c r="H190">
        <v>49.025570258721416</v>
      </c>
      <c r="I190">
        <v>2</v>
      </c>
      <c r="J190">
        <v>6</v>
      </c>
      <c r="K190">
        <v>8</v>
      </c>
      <c r="L190">
        <v>-2</v>
      </c>
      <c r="M190">
        <v>7</v>
      </c>
      <c r="N190">
        <v>8</v>
      </c>
      <c r="O190">
        <v>-1</v>
      </c>
      <c r="P190">
        <v>5</v>
      </c>
      <c r="Q190">
        <v>5</v>
      </c>
      <c r="R190">
        <v>0</v>
      </c>
      <c r="S190">
        <v>6</v>
      </c>
      <c r="T190">
        <v>7</v>
      </c>
      <c r="U190">
        <v>-1</v>
      </c>
      <c r="V190">
        <v>7</v>
      </c>
      <c r="W190">
        <v>6</v>
      </c>
      <c r="X190">
        <v>1</v>
      </c>
      <c r="Y190">
        <v>6</v>
      </c>
      <c r="Z190">
        <v>8</v>
      </c>
      <c r="AA190">
        <v>-2</v>
      </c>
      <c r="AB190">
        <v>6</v>
      </c>
      <c r="AC190">
        <v>5</v>
      </c>
      <c r="AD190">
        <v>1</v>
      </c>
      <c r="AE190">
        <v>5</v>
      </c>
      <c r="AF190">
        <v>7</v>
      </c>
      <c r="AG190">
        <v>-2</v>
      </c>
      <c r="AH190">
        <v>4</v>
      </c>
      <c r="AI190">
        <v>8</v>
      </c>
      <c r="AJ190">
        <v>-4</v>
      </c>
      <c r="AK190" t="s">
        <v>1878</v>
      </c>
      <c r="AL190" t="s">
        <v>1879</v>
      </c>
      <c r="AM190" t="s">
        <v>1880</v>
      </c>
      <c r="AN190" t="s">
        <v>1881</v>
      </c>
      <c r="AO190" t="s">
        <v>1882</v>
      </c>
      <c r="AP190" t="s">
        <v>1883</v>
      </c>
      <c r="AQ190" t="s">
        <v>1884</v>
      </c>
      <c r="AR190" t="s">
        <v>1885</v>
      </c>
      <c r="AS190" t="s">
        <v>1886</v>
      </c>
    </row>
    <row r="191" spans="1:45" x14ac:dyDescent="0.45">
      <c r="A191">
        <v>190</v>
      </c>
      <c r="B191">
        <v>2180</v>
      </c>
      <c r="C191" t="s">
        <v>78</v>
      </c>
      <c r="D191" t="s">
        <v>81</v>
      </c>
      <c r="E191" t="s">
        <v>74</v>
      </c>
      <c r="F191" t="s">
        <v>75</v>
      </c>
      <c r="G191" t="s">
        <v>76</v>
      </c>
      <c r="H191">
        <v>24.80897648417444</v>
      </c>
      <c r="I191">
        <v>0</v>
      </c>
      <c r="J191">
        <v>7</v>
      </c>
      <c r="K191">
        <v>7</v>
      </c>
      <c r="L191">
        <v>0</v>
      </c>
      <c r="M191">
        <v>8</v>
      </c>
      <c r="N191">
        <v>7</v>
      </c>
      <c r="O191">
        <v>1</v>
      </c>
      <c r="P191">
        <v>9</v>
      </c>
      <c r="Q191">
        <v>7</v>
      </c>
      <c r="R191">
        <v>2</v>
      </c>
      <c r="S191">
        <v>8</v>
      </c>
      <c r="T191">
        <v>8</v>
      </c>
      <c r="U191">
        <v>0</v>
      </c>
      <c r="V191">
        <v>7</v>
      </c>
      <c r="W191">
        <v>3</v>
      </c>
      <c r="X191">
        <v>4</v>
      </c>
      <c r="Y191">
        <v>7</v>
      </c>
      <c r="Z191">
        <v>3</v>
      </c>
      <c r="AA191">
        <v>4</v>
      </c>
      <c r="AB191">
        <v>6</v>
      </c>
      <c r="AC191">
        <v>2</v>
      </c>
      <c r="AD191">
        <v>4</v>
      </c>
      <c r="AE191">
        <v>5</v>
      </c>
      <c r="AF191">
        <v>3</v>
      </c>
      <c r="AG191">
        <v>2</v>
      </c>
      <c r="AH191">
        <v>6</v>
      </c>
      <c r="AI191">
        <v>8</v>
      </c>
      <c r="AJ191">
        <v>-2</v>
      </c>
      <c r="AK191" t="s">
        <v>1887</v>
      </c>
      <c r="AL191" t="s">
        <v>1888</v>
      </c>
      <c r="AM191" t="s">
        <v>1889</v>
      </c>
      <c r="AN191" t="s">
        <v>1890</v>
      </c>
      <c r="AO191" t="s">
        <v>1891</v>
      </c>
      <c r="AP191" t="s">
        <v>1892</v>
      </c>
      <c r="AQ191" t="s">
        <v>1893</v>
      </c>
      <c r="AR191" t="s">
        <v>1894</v>
      </c>
      <c r="AS191" t="s">
        <v>1895</v>
      </c>
    </row>
    <row r="192" spans="1:45" x14ac:dyDescent="0.45">
      <c r="A192">
        <v>191</v>
      </c>
      <c r="B192">
        <v>2181</v>
      </c>
      <c r="C192" t="s">
        <v>78</v>
      </c>
      <c r="D192" t="s">
        <v>73</v>
      </c>
      <c r="E192" t="s">
        <v>74</v>
      </c>
      <c r="F192" t="s">
        <v>75</v>
      </c>
      <c r="G192" t="s">
        <v>76</v>
      </c>
      <c r="H192">
        <v>56.008106866924827</v>
      </c>
      <c r="I192">
        <v>3</v>
      </c>
      <c r="J192">
        <v>8</v>
      </c>
      <c r="K192">
        <v>7</v>
      </c>
      <c r="L192">
        <v>1</v>
      </c>
      <c r="M192">
        <v>7</v>
      </c>
      <c r="N192">
        <v>7</v>
      </c>
      <c r="O192">
        <v>0</v>
      </c>
      <c r="P192">
        <v>9</v>
      </c>
      <c r="Q192">
        <v>6</v>
      </c>
      <c r="R192">
        <v>3</v>
      </c>
      <c r="S192">
        <v>8</v>
      </c>
      <c r="T192">
        <v>8</v>
      </c>
      <c r="U192">
        <v>0</v>
      </c>
      <c r="V192">
        <v>7</v>
      </c>
      <c r="W192">
        <v>7</v>
      </c>
      <c r="X192">
        <v>0</v>
      </c>
      <c r="Y192">
        <v>8</v>
      </c>
      <c r="Z192">
        <v>8</v>
      </c>
      <c r="AA192">
        <v>0</v>
      </c>
      <c r="AB192">
        <v>7</v>
      </c>
      <c r="AC192">
        <v>7</v>
      </c>
      <c r="AD192">
        <v>0</v>
      </c>
      <c r="AE192">
        <v>6</v>
      </c>
      <c r="AF192">
        <v>7</v>
      </c>
      <c r="AG192">
        <v>-1</v>
      </c>
      <c r="AH192">
        <v>8</v>
      </c>
      <c r="AI192">
        <v>7</v>
      </c>
      <c r="AJ192">
        <v>1</v>
      </c>
      <c r="AK192" t="s">
        <v>1896</v>
      </c>
      <c r="AL192" t="s">
        <v>1897</v>
      </c>
      <c r="AM192" t="s">
        <v>1898</v>
      </c>
      <c r="AN192" t="s">
        <v>1899</v>
      </c>
      <c r="AO192" t="s">
        <v>1900</v>
      </c>
      <c r="AP192" t="s">
        <v>1901</v>
      </c>
      <c r="AQ192" t="s">
        <v>1902</v>
      </c>
      <c r="AR192" t="s">
        <v>1903</v>
      </c>
      <c r="AS192" t="s">
        <v>1904</v>
      </c>
    </row>
    <row r="193" spans="1:45" x14ac:dyDescent="0.45">
      <c r="A193">
        <v>192</v>
      </c>
      <c r="B193">
        <v>2182</v>
      </c>
      <c r="C193" t="s">
        <v>72</v>
      </c>
      <c r="D193" t="s">
        <v>188</v>
      </c>
      <c r="E193" t="s">
        <v>74</v>
      </c>
      <c r="F193" t="s">
        <v>77</v>
      </c>
      <c r="G193" t="s">
        <v>76</v>
      </c>
      <c r="H193">
        <v>21.006095014974331</v>
      </c>
      <c r="I193">
        <v>0</v>
      </c>
      <c r="J193">
        <v>8</v>
      </c>
      <c r="K193">
        <v>8</v>
      </c>
      <c r="L193">
        <v>0</v>
      </c>
      <c r="M193">
        <v>7</v>
      </c>
      <c r="N193">
        <v>8</v>
      </c>
      <c r="O193">
        <v>-1</v>
      </c>
      <c r="P193">
        <v>9</v>
      </c>
      <c r="Q193">
        <v>9</v>
      </c>
      <c r="R193">
        <v>0</v>
      </c>
      <c r="S193">
        <v>8</v>
      </c>
      <c r="T193">
        <v>9</v>
      </c>
      <c r="U193">
        <v>-1</v>
      </c>
      <c r="V193">
        <v>7</v>
      </c>
      <c r="W193">
        <v>9</v>
      </c>
      <c r="X193">
        <v>-2</v>
      </c>
      <c r="Y193">
        <v>5</v>
      </c>
      <c r="Z193">
        <v>9</v>
      </c>
      <c r="AA193">
        <v>-4</v>
      </c>
      <c r="AB193">
        <v>6</v>
      </c>
      <c r="AC193">
        <v>8</v>
      </c>
      <c r="AD193">
        <v>-2</v>
      </c>
      <c r="AE193">
        <v>4</v>
      </c>
      <c r="AF193">
        <v>8</v>
      </c>
      <c r="AG193">
        <v>-4</v>
      </c>
      <c r="AH193">
        <v>7</v>
      </c>
      <c r="AI193">
        <v>9</v>
      </c>
      <c r="AJ193">
        <v>-2</v>
      </c>
      <c r="AK193" t="s">
        <v>1905</v>
      </c>
      <c r="AL193" t="s">
        <v>1906</v>
      </c>
      <c r="AM193" t="s">
        <v>1907</v>
      </c>
      <c r="AN193" t="s">
        <v>1908</v>
      </c>
      <c r="AO193" t="s">
        <v>1909</v>
      </c>
      <c r="AP193" t="s">
        <v>1910</v>
      </c>
      <c r="AQ193" t="s">
        <v>1911</v>
      </c>
      <c r="AR193" t="s">
        <v>1912</v>
      </c>
      <c r="AS193" t="s">
        <v>1913</v>
      </c>
    </row>
    <row r="194" spans="1:45" x14ac:dyDescent="0.45">
      <c r="A194">
        <v>193</v>
      </c>
      <c r="B194">
        <v>2183</v>
      </c>
      <c r="C194" t="s">
        <v>72</v>
      </c>
      <c r="D194" t="s">
        <v>79</v>
      </c>
      <c r="E194" t="s">
        <v>74</v>
      </c>
      <c r="F194" t="s">
        <v>77</v>
      </c>
      <c r="G194" t="s">
        <v>76</v>
      </c>
      <c r="H194">
        <v>24.223476505769941</v>
      </c>
      <c r="I194">
        <v>2</v>
      </c>
      <c r="J194">
        <v>8</v>
      </c>
      <c r="K194">
        <v>1</v>
      </c>
      <c r="L194">
        <v>7</v>
      </c>
      <c r="M194">
        <v>9</v>
      </c>
      <c r="N194">
        <v>1</v>
      </c>
      <c r="O194">
        <v>8</v>
      </c>
      <c r="P194">
        <v>8</v>
      </c>
      <c r="Q194">
        <v>7</v>
      </c>
      <c r="R194">
        <v>1</v>
      </c>
      <c r="S194">
        <v>9</v>
      </c>
      <c r="T194">
        <v>5</v>
      </c>
      <c r="U194">
        <v>4</v>
      </c>
      <c r="V194">
        <v>8</v>
      </c>
      <c r="W194">
        <v>5</v>
      </c>
      <c r="X194">
        <v>3</v>
      </c>
      <c r="Y194">
        <v>7</v>
      </c>
      <c r="Z194">
        <v>7</v>
      </c>
      <c r="AA194">
        <v>0</v>
      </c>
      <c r="AB194">
        <v>8</v>
      </c>
      <c r="AC194">
        <v>2</v>
      </c>
      <c r="AD194">
        <v>6</v>
      </c>
      <c r="AE194">
        <v>7</v>
      </c>
      <c r="AF194">
        <v>5</v>
      </c>
      <c r="AG194">
        <v>2</v>
      </c>
      <c r="AH194">
        <v>6</v>
      </c>
      <c r="AI194">
        <v>5</v>
      </c>
      <c r="AJ194">
        <v>1</v>
      </c>
      <c r="AK194" t="s">
        <v>1914</v>
      </c>
      <c r="AL194" t="s">
        <v>1915</v>
      </c>
      <c r="AM194" t="s">
        <v>1916</v>
      </c>
      <c r="AN194" t="s">
        <v>1917</v>
      </c>
      <c r="AO194" t="s">
        <v>1918</v>
      </c>
      <c r="AP194" t="s">
        <v>1919</v>
      </c>
      <c r="AQ194" t="s">
        <v>1920</v>
      </c>
      <c r="AR194" t="s">
        <v>1921</v>
      </c>
      <c r="AS194" t="s">
        <v>1922</v>
      </c>
    </row>
    <row r="195" spans="1:45" x14ac:dyDescent="0.45">
      <c r="A195">
        <v>194</v>
      </c>
      <c r="B195">
        <v>2184</v>
      </c>
      <c r="C195" t="s">
        <v>72</v>
      </c>
      <c r="D195" t="s">
        <v>73</v>
      </c>
      <c r="E195" t="s">
        <v>74</v>
      </c>
      <c r="F195" t="s">
        <v>77</v>
      </c>
      <c r="G195" t="s">
        <v>76</v>
      </c>
      <c r="H195">
        <v>19.31967304171242</v>
      </c>
      <c r="I195">
        <v>1</v>
      </c>
      <c r="J195">
        <v>6</v>
      </c>
      <c r="K195">
        <v>10</v>
      </c>
      <c r="L195">
        <v>-4</v>
      </c>
      <c r="M195">
        <v>5</v>
      </c>
      <c r="N195">
        <v>10</v>
      </c>
      <c r="O195">
        <v>-5</v>
      </c>
      <c r="P195">
        <v>7</v>
      </c>
      <c r="Q195">
        <v>6</v>
      </c>
      <c r="R195">
        <v>1</v>
      </c>
      <c r="S195">
        <v>8</v>
      </c>
      <c r="T195">
        <v>4</v>
      </c>
      <c r="U195">
        <v>4</v>
      </c>
      <c r="V195">
        <v>4</v>
      </c>
      <c r="W195">
        <v>8</v>
      </c>
      <c r="X195">
        <v>-4</v>
      </c>
      <c r="Y195">
        <v>5</v>
      </c>
      <c r="Z195">
        <v>3</v>
      </c>
      <c r="AA195">
        <v>2</v>
      </c>
      <c r="AB195">
        <v>4</v>
      </c>
      <c r="AC195">
        <v>10</v>
      </c>
      <c r="AD195">
        <v>-6</v>
      </c>
      <c r="AE195">
        <v>6</v>
      </c>
      <c r="AF195">
        <v>10</v>
      </c>
      <c r="AG195">
        <v>-4</v>
      </c>
      <c r="AH195">
        <v>5</v>
      </c>
      <c r="AI195">
        <v>10</v>
      </c>
      <c r="AJ195">
        <v>-5</v>
      </c>
      <c r="AK195" t="s">
        <v>1923</v>
      </c>
      <c r="AL195" t="s">
        <v>1924</v>
      </c>
      <c r="AM195" t="s">
        <v>1925</v>
      </c>
      <c r="AN195" t="s">
        <v>1926</v>
      </c>
      <c r="AO195" t="s">
        <v>1927</v>
      </c>
      <c r="AP195" t="s">
        <v>1928</v>
      </c>
      <c r="AQ195" t="s">
        <v>1929</v>
      </c>
      <c r="AR195" t="s">
        <v>1930</v>
      </c>
      <c r="AS195" t="s">
        <v>1931</v>
      </c>
    </row>
    <row r="196" spans="1:45" x14ac:dyDescent="0.45">
      <c r="A196">
        <v>195</v>
      </c>
      <c r="B196">
        <v>2185</v>
      </c>
      <c r="C196" t="s">
        <v>72</v>
      </c>
      <c r="D196" t="s">
        <v>81</v>
      </c>
      <c r="E196" t="s">
        <v>74</v>
      </c>
      <c r="F196" t="s">
        <v>77</v>
      </c>
      <c r="G196" t="s">
        <v>76</v>
      </c>
      <c r="H196">
        <v>15.915735914964234</v>
      </c>
      <c r="I196">
        <v>1</v>
      </c>
      <c r="J196">
        <v>5</v>
      </c>
      <c r="K196">
        <v>9</v>
      </c>
      <c r="L196">
        <v>-4</v>
      </c>
      <c r="M196">
        <v>6</v>
      </c>
      <c r="N196">
        <v>9</v>
      </c>
      <c r="O196">
        <v>-3</v>
      </c>
      <c r="P196">
        <v>8</v>
      </c>
      <c r="Q196">
        <v>5</v>
      </c>
      <c r="R196">
        <v>3</v>
      </c>
      <c r="S196">
        <v>7</v>
      </c>
      <c r="T196">
        <v>5</v>
      </c>
      <c r="U196">
        <v>2</v>
      </c>
      <c r="V196">
        <v>8</v>
      </c>
      <c r="W196">
        <v>7</v>
      </c>
      <c r="X196">
        <v>1</v>
      </c>
      <c r="Y196">
        <v>6</v>
      </c>
      <c r="Z196">
        <v>7</v>
      </c>
      <c r="AA196">
        <v>-1</v>
      </c>
      <c r="AB196">
        <v>7</v>
      </c>
      <c r="AC196">
        <v>8</v>
      </c>
      <c r="AD196">
        <v>-1</v>
      </c>
      <c r="AE196">
        <v>5</v>
      </c>
      <c r="AF196">
        <v>8</v>
      </c>
      <c r="AG196">
        <v>-3</v>
      </c>
      <c r="AH196">
        <v>7</v>
      </c>
      <c r="AI196">
        <v>8</v>
      </c>
      <c r="AJ196">
        <v>-1</v>
      </c>
      <c r="AK196" t="s">
        <v>1932</v>
      </c>
      <c r="AL196" t="s">
        <v>1933</v>
      </c>
      <c r="AM196" t="s">
        <v>1934</v>
      </c>
      <c r="AN196" t="s">
        <v>1935</v>
      </c>
      <c r="AO196" t="s">
        <v>1936</v>
      </c>
      <c r="AP196" t="s">
        <v>1937</v>
      </c>
      <c r="AQ196" t="s">
        <v>1938</v>
      </c>
      <c r="AR196" t="s">
        <v>1939</v>
      </c>
      <c r="AS196" t="s">
        <v>1940</v>
      </c>
    </row>
    <row r="197" spans="1:45" x14ac:dyDescent="0.45">
      <c r="A197">
        <v>196</v>
      </c>
      <c r="B197">
        <v>2186</v>
      </c>
      <c r="C197" t="s">
        <v>78</v>
      </c>
      <c r="D197" t="s">
        <v>79</v>
      </c>
      <c r="E197" t="s">
        <v>74</v>
      </c>
      <c r="F197" t="s">
        <v>77</v>
      </c>
      <c r="G197" t="s">
        <v>76</v>
      </c>
      <c r="H197">
        <v>13.836921905190801</v>
      </c>
      <c r="I197">
        <v>2</v>
      </c>
      <c r="J197">
        <v>6</v>
      </c>
      <c r="K197">
        <v>9</v>
      </c>
      <c r="L197">
        <v>-3</v>
      </c>
      <c r="M197">
        <v>8</v>
      </c>
      <c r="N197">
        <v>9</v>
      </c>
      <c r="O197">
        <v>-1</v>
      </c>
      <c r="P197">
        <v>9</v>
      </c>
      <c r="Q197">
        <v>9</v>
      </c>
      <c r="R197">
        <v>0</v>
      </c>
      <c r="S197">
        <v>8</v>
      </c>
      <c r="T197">
        <v>9</v>
      </c>
      <c r="U197">
        <v>-1</v>
      </c>
      <c r="V197">
        <v>7</v>
      </c>
      <c r="W197">
        <v>9</v>
      </c>
      <c r="X197">
        <v>-2</v>
      </c>
      <c r="Y197">
        <v>6</v>
      </c>
      <c r="Z197">
        <v>9</v>
      </c>
      <c r="AA197">
        <v>-3</v>
      </c>
      <c r="AB197">
        <v>7</v>
      </c>
      <c r="AC197">
        <v>9</v>
      </c>
      <c r="AD197">
        <v>-2</v>
      </c>
      <c r="AE197">
        <v>6</v>
      </c>
      <c r="AF197">
        <v>9</v>
      </c>
      <c r="AG197">
        <v>-3</v>
      </c>
      <c r="AH197">
        <v>7</v>
      </c>
      <c r="AI197">
        <v>9</v>
      </c>
      <c r="AJ197">
        <v>-2</v>
      </c>
      <c r="AK197" t="s">
        <v>1941</v>
      </c>
      <c r="AL197" t="s">
        <v>1942</v>
      </c>
      <c r="AM197" t="s">
        <v>1943</v>
      </c>
      <c r="AN197" t="s">
        <v>1944</v>
      </c>
      <c r="AO197" t="s">
        <v>1945</v>
      </c>
      <c r="AP197" t="s">
        <v>1946</v>
      </c>
      <c r="AQ197" t="s">
        <v>1947</v>
      </c>
      <c r="AR197" t="s">
        <v>1948</v>
      </c>
      <c r="AS197" t="s">
        <v>1949</v>
      </c>
    </row>
    <row r="198" spans="1:45" x14ac:dyDescent="0.45">
      <c r="A198">
        <v>197</v>
      </c>
      <c r="B198">
        <v>2187</v>
      </c>
      <c r="C198" t="s">
        <v>72</v>
      </c>
      <c r="D198" t="s">
        <v>79</v>
      </c>
      <c r="E198" t="s">
        <v>74</v>
      </c>
      <c r="F198" t="s">
        <v>75</v>
      </c>
      <c r="G198" t="s">
        <v>76</v>
      </c>
      <c r="H198">
        <v>12.669669982638217</v>
      </c>
      <c r="I198">
        <v>3</v>
      </c>
      <c r="J198">
        <v>7</v>
      </c>
      <c r="K198">
        <v>9</v>
      </c>
      <c r="L198">
        <v>-2</v>
      </c>
      <c r="M198">
        <v>6</v>
      </c>
      <c r="N198">
        <v>10</v>
      </c>
      <c r="O198">
        <v>-4</v>
      </c>
      <c r="P198">
        <v>8</v>
      </c>
      <c r="Q198">
        <v>10</v>
      </c>
      <c r="R198">
        <v>-2</v>
      </c>
      <c r="S198">
        <v>9</v>
      </c>
      <c r="T198">
        <v>9</v>
      </c>
      <c r="U198">
        <v>0</v>
      </c>
      <c r="V198">
        <v>8</v>
      </c>
      <c r="W198">
        <v>10</v>
      </c>
      <c r="X198">
        <v>-2</v>
      </c>
      <c r="Y198">
        <v>7</v>
      </c>
      <c r="Z198">
        <v>10</v>
      </c>
      <c r="AA198">
        <v>-3</v>
      </c>
      <c r="AB198">
        <v>6</v>
      </c>
      <c r="AC198">
        <v>10</v>
      </c>
      <c r="AD198">
        <v>-4</v>
      </c>
      <c r="AE198">
        <v>5</v>
      </c>
      <c r="AF198">
        <v>9</v>
      </c>
      <c r="AG198">
        <v>-4</v>
      </c>
      <c r="AH198">
        <v>7</v>
      </c>
      <c r="AI198">
        <v>10</v>
      </c>
      <c r="AJ198">
        <v>-3</v>
      </c>
      <c r="AK198" t="s">
        <v>1950</v>
      </c>
      <c r="AL198" t="s">
        <v>1951</v>
      </c>
      <c r="AM198" t="s">
        <v>1952</v>
      </c>
      <c r="AN198" t="s">
        <v>219</v>
      </c>
      <c r="AO198" t="s">
        <v>1953</v>
      </c>
      <c r="AP198" t="s">
        <v>1954</v>
      </c>
      <c r="AQ198" t="s">
        <v>1955</v>
      </c>
      <c r="AR198" t="s">
        <v>1956</v>
      </c>
      <c r="AS198" t="s">
        <v>1957</v>
      </c>
    </row>
    <row r="199" spans="1:45" x14ac:dyDescent="0.45">
      <c r="A199">
        <v>198</v>
      </c>
      <c r="B199">
        <v>2188</v>
      </c>
      <c r="C199" t="s">
        <v>72</v>
      </c>
      <c r="D199" t="s">
        <v>79</v>
      </c>
      <c r="E199" t="s">
        <v>74</v>
      </c>
      <c r="F199" t="s">
        <v>75</v>
      </c>
      <c r="G199" t="s">
        <v>76</v>
      </c>
      <c r="H199">
        <v>12.688219564202335</v>
      </c>
      <c r="I199">
        <v>2</v>
      </c>
      <c r="J199">
        <v>7</v>
      </c>
      <c r="K199">
        <v>5</v>
      </c>
      <c r="L199">
        <v>2</v>
      </c>
      <c r="M199">
        <v>8</v>
      </c>
      <c r="N199">
        <v>5</v>
      </c>
      <c r="O199">
        <v>3</v>
      </c>
      <c r="P199">
        <v>6</v>
      </c>
      <c r="Q199">
        <v>5</v>
      </c>
      <c r="R199">
        <v>1</v>
      </c>
      <c r="S199">
        <v>8</v>
      </c>
      <c r="T199">
        <v>5</v>
      </c>
      <c r="U199">
        <v>3</v>
      </c>
      <c r="V199">
        <v>7</v>
      </c>
      <c r="W199">
        <v>5</v>
      </c>
      <c r="X199">
        <v>2</v>
      </c>
      <c r="Y199">
        <v>6</v>
      </c>
      <c r="Z199">
        <v>5</v>
      </c>
      <c r="AA199">
        <v>1</v>
      </c>
      <c r="AB199">
        <v>7</v>
      </c>
      <c r="AC199">
        <v>5</v>
      </c>
      <c r="AD199">
        <v>2</v>
      </c>
      <c r="AE199">
        <v>6</v>
      </c>
      <c r="AF199">
        <v>4</v>
      </c>
      <c r="AG199">
        <v>2</v>
      </c>
      <c r="AH199">
        <v>7</v>
      </c>
      <c r="AI199">
        <v>5</v>
      </c>
      <c r="AJ199">
        <v>2</v>
      </c>
      <c r="AK199" t="s">
        <v>1958</v>
      </c>
      <c r="AL199" t="s">
        <v>1959</v>
      </c>
      <c r="AM199" t="s">
        <v>1960</v>
      </c>
      <c r="AN199" t="s">
        <v>1961</v>
      </c>
      <c r="AO199" t="s">
        <v>1962</v>
      </c>
      <c r="AP199" t="s">
        <v>1963</v>
      </c>
      <c r="AQ199" t="s">
        <v>1964</v>
      </c>
      <c r="AR199" t="s">
        <v>1965</v>
      </c>
      <c r="AS199" t="s">
        <v>1966</v>
      </c>
    </row>
    <row r="200" spans="1:45" x14ac:dyDescent="0.45">
      <c r="A200">
        <v>199</v>
      </c>
      <c r="B200">
        <v>2189</v>
      </c>
      <c r="C200" t="s">
        <v>72</v>
      </c>
      <c r="D200" t="s">
        <v>192</v>
      </c>
      <c r="E200" t="s">
        <v>74</v>
      </c>
      <c r="F200" t="s">
        <v>75</v>
      </c>
      <c r="G200" t="s">
        <v>161</v>
      </c>
      <c r="H200">
        <v>12</v>
      </c>
      <c r="I200">
        <v>1</v>
      </c>
      <c r="J200">
        <v>7</v>
      </c>
      <c r="K200">
        <v>9</v>
      </c>
      <c r="L200">
        <v>-2</v>
      </c>
      <c r="M200">
        <v>6</v>
      </c>
      <c r="N200">
        <v>8</v>
      </c>
      <c r="O200">
        <v>-2</v>
      </c>
      <c r="P200">
        <v>5</v>
      </c>
      <c r="Q200">
        <v>9</v>
      </c>
      <c r="R200">
        <v>-4</v>
      </c>
      <c r="S200">
        <v>8</v>
      </c>
      <c r="T200">
        <v>9</v>
      </c>
      <c r="U200">
        <v>-1</v>
      </c>
      <c r="V200">
        <v>6</v>
      </c>
      <c r="W200">
        <v>8</v>
      </c>
      <c r="X200">
        <v>-2</v>
      </c>
      <c r="Y200">
        <v>7</v>
      </c>
      <c r="Z200">
        <v>9</v>
      </c>
      <c r="AA200">
        <v>-2</v>
      </c>
      <c r="AB200">
        <v>5</v>
      </c>
      <c r="AC200">
        <v>10</v>
      </c>
      <c r="AD200">
        <v>-5</v>
      </c>
      <c r="AE200">
        <v>6</v>
      </c>
      <c r="AF200">
        <v>9</v>
      </c>
      <c r="AG200">
        <v>-3</v>
      </c>
      <c r="AH200">
        <v>7</v>
      </c>
      <c r="AI200">
        <v>10</v>
      </c>
      <c r="AJ200">
        <v>-3</v>
      </c>
      <c r="AK200" t="s">
        <v>1967</v>
      </c>
      <c r="AL200" t="s">
        <v>1968</v>
      </c>
      <c r="AM200" t="s">
        <v>1969</v>
      </c>
      <c r="AN200" t="s">
        <v>1970</v>
      </c>
      <c r="AO200" t="s">
        <v>1971</v>
      </c>
      <c r="AP200" t="s">
        <v>1972</v>
      </c>
      <c r="AQ200" t="s">
        <v>1973</v>
      </c>
      <c r="AR200" t="s">
        <v>1974</v>
      </c>
      <c r="AS200" t="s">
        <v>1975</v>
      </c>
    </row>
    <row r="201" spans="1:45" x14ac:dyDescent="0.45">
      <c r="A201">
        <v>200</v>
      </c>
      <c r="B201">
        <v>2190</v>
      </c>
      <c r="C201" t="s">
        <v>78</v>
      </c>
      <c r="D201" t="s">
        <v>190</v>
      </c>
      <c r="E201" t="s">
        <v>74</v>
      </c>
      <c r="F201" t="s">
        <v>77</v>
      </c>
      <c r="G201" t="s">
        <v>76</v>
      </c>
      <c r="H201">
        <v>87.703893705269323</v>
      </c>
      <c r="I201">
        <v>3</v>
      </c>
      <c r="J201">
        <v>8</v>
      </c>
      <c r="K201">
        <v>4</v>
      </c>
      <c r="L201">
        <v>4</v>
      </c>
      <c r="M201">
        <v>9</v>
      </c>
      <c r="N201">
        <v>4</v>
      </c>
      <c r="O201">
        <v>5</v>
      </c>
      <c r="P201">
        <v>8</v>
      </c>
      <c r="Q201">
        <v>3</v>
      </c>
      <c r="R201">
        <v>5</v>
      </c>
      <c r="S201">
        <v>7</v>
      </c>
      <c r="T201">
        <v>5</v>
      </c>
      <c r="U201">
        <v>2</v>
      </c>
      <c r="V201">
        <v>8</v>
      </c>
      <c r="W201">
        <v>4</v>
      </c>
      <c r="X201">
        <v>4</v>
      </c>
      <c r="Y201">
        <v>6</v>
      </c>
      <c r="Z201">
        <v>5</v>
      </c>
      <c r="AA201">
        <v>1</v>
      </c>
      <c r="AB201">
        <v>5</v>
      </c>
      <c r="AC201">
        <v>1</v>
      </c>
      <c r="AD201">
        <v>4</v>
      </c>
      <c r="AE201">
        <v>6</v>
      </c>
      <c r="AF201">
        <v>5</v>
      </c>
      <c r="AG201">
        <v>1</v>
      </c>
      <c r="AH201">
        <v>7</v>
      </c>
      <c r="AI201">
        <v>5</v>
      </c>
      <c r="AJ201">
        <v>2</v>
      </c>
      <c r="AK201" t="s">
        <v>1976</v>
      </c>
      <c r="AL201" t="s">
        <v>1977</v>
      </c>
      <c r="AM201" t="s">
        <v>1978</v>
      </c>
      <c r="AN201" t="s">
        <v>1979</v>
      </c>
      <c r="AO201" t="s">
        <v>1980</v>
      </c>
      <c r="AP201" t="s">
        <v>1981</v>
      </c>
      <c r="AQ201" t="s">
        <v>1982</v>
      </c>
      <c r="AR201" t="s">
        <v>1983</v>
      </c>
      <c r="AS201" t="s">
        <v>1984</v>
      </c>
    </row>
    <row r="202" spans="1:45" x14ac:dyDescent="0.45">
      <c r="A202">
        <v>201</v>
      </c>
      <c r="B202">
        <v>2191</v>
      </c>
      <c r="C202" t="s">
        <v>72</v>
      </c>
      <c r="D202" t="s">
        <v>192</v>
      </c>
      <c r="E202" t="s">
        <v>74</v>
      </c>
      <c r="F202" t="s">
        <v>75</v>
      </c>
      <c r="G202" t="s">
        <v>76</v>
      </c>
      <c r="H202">
        <v>53.584938230999832</v>
      </c>
      <c r="I202">
        <v>1</v>
      </c>
      <c r="J202">
        <v>8</v>
      </c>
      <c r="K202">
        <v>5</v>
      </c>
      <c r="L202">
        <v>3</v>
      </c>
      <c r="M202">
        <v>7</v>
      </c>
      <c r="N202">
        <v>5</v>
      </c>
      <c r="O202">
        <v>2</v>
      </c>
      <c r="P202">
        <v>9</v>
      </c>
      <c r="Q202">
        <v>1</v>
      </c>
      <c r="R202">
        <v>8</v>
      </c>
      <c r="S202">
        <v>8</v>
      </c>
      <c r="T202">
        <v>5</v>
      </c>
      <c r="U202">
        <v>3</v>
      </c>
      <c r="V202">
        <v>7</v>
      </c>
      <c r="W202">
        <v>4</v>
      </c>
      <c r="X202">
        <v>3</v>
      </c>
      <c r="Y202">
        <v>8</v>
      </c>
      <c r="Z202">
        <v>2</v>
      </c>
      <c r="AA202">
        <v>6</v>
      </c>
      <c r="AB202">
        <v>7</v>
      </c>
      <c r="AC202">
        <v>2</v>
      </c>
      <c r="AD202">
        <v>5</v>
      </c>
      <c r="AE202">
        <v>6</v>
      </c>
      <c r="AF202">
        <v>5</v>
      </c>
      <c r="AG202">
        <v>1</v>
      </c>
      <c r="AH202">
        <v>7</v>
      </c>
      <c r="AI202">
        <v>4</v>
      </c>
      <c r="AJ202">
        <v>3</v>
      </c>
      <c r="AK202" t="s">
        <v>1985</v>
      </c>
      <c r="AL202" t="s">
        <v>1986</v>
      </c>
      <c r="AM202" t="s">
        <v>1987</v>
      </c>
      <c r="AN202" t="s">
        <v>1988</v>
      </c>
      <c r="AO202" t="s">
        <v>1989</v>
      </c>
      <c r="AP202" t="s">
        <v>1990</v>
      </c>
      <c r="AQ202" t="s">
        <v>1991</v>
      </c>
      <c r="AR202" t="s">
        <v>1992</v>
      </c>
      <c r="AS202" t="s">
        <v>1993</v>
      </c>
    </row>
    <row r="203" spans="1:45" x14ac:dyDescent="0.45">
      <c r="A203">
        <v>202</v>
      </c>
      <c r="B203">
        <v>2192</v>
      </c>
      <c r="C203" t="s">
        <v>72</v>
      </c>
      <c r="D203" t="s">
        <v>79</v>
      </c>
      <c r="E203" t="s">
        <v>74</v>
      </c>
      <c r="F203" t="s">
        <v>77</v>
      </c>
      <c r="G203" t="s">
        <v>76</v>
      </c>
      <c r="H203">
        <v>77.321595157775064</v>
      </c>
      <c r="I203">
        <v>4</v>
      </c>
      <c r="J203">
        <v>7</v>
      </c>
      <c r="K203">
        <v>6</v>
      </c>
      <c r="L203">
        <v>1</v>
      </c>
      <c r="M203">
        <v>6</v>
      </c>
      <c r="N203">
        <v>8</v>
      </c>
      <c r="O203">
        <v>-2</v>
      </c>
      <c r="P203">
        <v>5</v>
      </c>
      <c r="Q203">
        <v>8</v>
      </c>
      <c r="R203">
        <v>-3</v>
      </c>
      <c r="S203">
        <v>7</v>
      </c>
      <c r="T203">
        <v>9</v>
      </c>
      <c r="U203">
        <v>-2</v>
      </c>
      <c r="V203">
        <v>8</v>
      </c>
      <c r="W203">
        <v>7</v>
      </c>
      <c r="X203">
        <v>1</v>
      </c>
      <c r="Y203">
        <v>6</v>
      </c>
      <c r="Z203">
        <v>7</v>
      </c>
      <c r="AA203">
        <v>-1</v>
      </c>
      <c r="AB203">
        <v>5</v>
      </c>
      <c r="AC203">
        <v>7</v>
      </c>
      <c r="AD203">
        <v>-2</v>
      </c>
      <c r="AE203">
        <v>6</v>
      </c>
      <c r="AF203">
        <v>8</v>
      </c>
      <c r="AG203">
        <v>-2</v>
      </c>
      <c r="AH203">
        <v>7</v>
      </c>
      <c r="AI203">
        <v>8</v>
      </c>
      <c r="AJ203">
        <v>-1</v>
      </c>
      <c r="AK203" t="s">
        <v>1994</v>
      </c>
      <c r="AL203" t="s">
        <v>1995</v>
      </c>
      <c r="AM203" t="s">
        <v>1996</v>
      </c>
      <c r="AN203" t="s">
        <v>1997</v>
      </c>
      <c r="AO203" t="s">
        <v>1998</v>
      </c>
      <c r="AP203" t="s">
        <v>1999</v>
      </c>
      <c r="AQ203" t="s">
        <v>2000</v>
      </c>
      <c r="AR203" t="s">
        <v>2001</v>
      </c>
      <c r="AS203" t="s">
        <v>2002</v>
      </c>
    </row>
    <row r="204" spans="1:45" x14ac:dyDescent="0.45">
      <c r="A204">
        <v>203</v>
      </c>
      <c r="B204">
        <v>2193</v>
      </c>
      <c r="C204" t="s">
        <v>72</v>
      </c>
      <c r="D204" t="s">
        <v>190</v>
      </c>
      <c r="E204" t="s">
        <v>74</v>
      </c>
      <c r="F204" t="s">
        <v>75</v>
      </c>
      <c r="G204" t="s">
        <v>76</v>
      </c>
      <c r="H204">
        <v>196.62014524304763</v>
      </c>
      <c r="I204">
        <v>3</v>
      </c>
      <c r="J204">
        <v>7</v>
      </c>
      <c r="K204">
        <v>5</v>
      </c>
      <c r="L204">
        <v>2</v>
      </c>
      <c r="M204">
        <v>8</v>
      </c>
      <c r="N204">
        <v>5</v>
      </c>
      <c r="O204">
        <v>3</v>
      </c>
      <c r="P204">
        <v>6</v>
      </c>
      <c r="Q204">
        <v>5</v>
      </c>
      <c r="R204">
        <v>1</v>
      </c>
      <c r="S204">
        <v>8</v>
      </c>
      <c r="T204">
        <v>5</v>
      </c>
      <c r="U204">
        <v>3</v>
      </c>
      <c r="V204">
        <v>6</v>
      </c>
      <c r="W204">
        <v>5</v>
      </c>
      <c r="X204">
        <v>1</v>
      </c>
      <c r="Y204">
        <v>7</v>
      </c>
      <c r="Z204">
        <v>5</v>
      </c>
      <c r="AA204">
        <v>2</v>
      </c>
      <c r="AB204">
        <v>6</v>
      </c>
      <c r="AC204">
        <v>5</v>
      </c>
      <c r="AD204">
        <v>1</v>
      </c>
      <c r="AE204">
        <v>7</v>
      </c>
      <c r="AF204">
        <v>5</v>
      </c>
      <c r="AG204">
        <v>2</v>
      </c>
      <c r="AH204">
        <v>8</v>
      </c>
      <c r="AI204">
        <v>5</v>
      </c>
      <c r="AJ204">
        <v>3</v>
      </c>
      <c r="AK204" t="s">
        <v>2003</v>
      </c>
      <c r="AL204" t="s">
        <v>2004</v>
      </c>
      <c r="AM204" t="s">
        <v>2005</v>
      </c>
      <c r="AN204" t="s">
        <v>2006</v>
      </c>
      <c r="AO204" t="s">
        <v>2007</v>
      </c>
      <c r="AP204" t="s">
        <v>2008</v>
      </c>
      <c r="AQ204" t="s">
        <v>2009</v>
      </c>
      <c r="AR204" t="s">
        <v>2010</v>
      </c>
      <c r="AS204" t="s">
        <v>2011</v>
      </c>
    </row>
    <row r="205" spans="1:45" x14ac:dyDescent="0.45">
      <c r="A205">
        <v>204</v>
      </c>
      <c r="B205">
        <v>2194</v>
      </c>
      <c r="C205" t="s">
        <v>72</v>
      </c>
      <c r="D205" t="s">
        <v>73</v>
      </c>
      <c r="E205" t="s">
        <v>74</v>
      </c>
      <c r="F205" t="s">
        <v>77</v>
      </c>
      <c r="G205" t="s">
        <v>76</v>
      </c>
      <c r="H205">
        <v>39.051620371938974</v>
      </c>
      <c r="I205">
        <v>1</v>
      </c>
      <c r="J205">
        <v>8</v>
      </c>
      <c r="K205">
        <v>7</v>
      </c>
      <c r="L205">
        <v>1</v>
      </c>
      <c r="M205">
        <v>7</v>
      </c>
      <c r="N205">
        <v>7</v>
      </c>
      <c r="O205">
        <v>0</v>
      </c>
      <c r="P205">
        <v>9</v>
      </c>
      <c r="Q205">
        <v>7</v>
      </c>
      <c r="R205">
        <v>2</v>
      </c>
      <c r="S205">
        <v>8</v>
      </c>
      <c r="T205">
        <v>8</v>
      </c>
      <c r="U205">
        <v>0</v>
      </c>
      <c r="V205">
        <v>7</v>
      </c>
      <c r="W205">
        <v>7</v>
      </c>
      <c r="X205">
        <v>0</v>
      </c>
      <c r="Y205">
        <v>6</v>
      </c>
      <c r="Z205">
        <v>7</v>
      </c>
      <c r="AA205">
        <v>-1</v>
      </c>
      <c r="AB205">
        <v>7</v>
      </c>
      <c r="AC205">
        <v>7</v>
      </c>
      <c r="AD205">
        <v>0</v>
      </c>
      <c r="AE205">
        <v>5</v>
      </c>
      <c r="AF205">
        <v>7</v>
      </c>
      <c r="AG205">
        <v>-2</v>
      </c>
      <c r="AH205">
        <v>8</v>
      </c>
      <c r="AI205">
        <v>7</v>
      </c>
      <c r="AJ205">
        <v>1</v>
      </c>
      <c r="AK205" t="s">
        <v>2012</v>
      </c>
      <c r="AL205" t="s">
        <v>2013</v>
      </c>
      <c r="AM205" t="s">
        <v>2014</v>
      </c>
      <c r="AN205" t="s">
        <v>2015</v>
      </c>
      <c r="AO205" t="s">
        <v>2016</v>
      </c>
      <c r="AP205" t="s">
        <v>2017</v>
      </c>
      <c r="AQ205" t="s">
        <v>2018</v>
      </c>
      <c r="AR205" t="s">
        <v>2019</v>
      </c>
      <c r="AS205" t="s">
        <v>2020</v>
      </c>
    </row>
    <row r="206" spans="1:45" x14ac:dyDescent="0.45">
      <c r="A206">
        <v>205</v>
      </c>
      <c r="B206">
        <v>2195</v>
      </c>
      <c r="C206" t="s">
        <v>72</v>
      </c>
      <c r="D206" t="s">
        <v>73</v>
      </c>
      <c r="E206" t="s">
        <v>74</v>
      </c>
      <c r="F206" t="s">
        <v>75</v>
      </c>
      <c r="G206" t="s">
        <v>76</v>
      </c>
      <c r="H206">
        <v>28.020819496571374</v>
      </c>
      <c r="I206">
        <v>0</v>
      </c>
      <c r="J206">
        <v>8</v>
      </c>
      <c r="K206">
        <v>3</v>
      </c>
      <c r="L206">
        <v>5</v>
      </c>
      <c r="M206">
        <v>9</v>
      </c>
      <c r="N206">
        <v>1</v>
      </c>
      <c r="O206">
        <v>8</v>
      </c>
      <c r="P206">
        <v>8</v>
      </c>
      <c r="Q206">
        <v>1</v>
      </c>
      <c r="R206">
        <v>7</v>
      </c>
      <c r="S206">
        <v>7</v>
      </c>
      <c r="T206">
        <v>5</v>
      </c>
      <c r="U206">
        <v>2</v>
      </c>
      <c r="V206">
        <v>8</v>
      </c>
      <c r="W206">
        <v>1</v>
      </c>
      <c r="X206">
        <v>7</v>
      </c>
      <c r="Y206">
        <v>6</v>
      </c>
      <c r="Z206">
        <v>1</v>
      </c>
      <c r="AA206">
        <v>5</v>
      </c>
      <c r="AB206">
        <v>7</v>
      </c>
      <c r="AC206">
        <v>1</v>
      </c>
      <c r="AD206">
        <v>6</v>
      </c>
      <c r="AE206">
        <v>5</v>
      </c>
      <c r="AF206">
        <v>4</v>
      </c>
      <c r="AG206">
        <v>1</v>
      </c>
      <c r="AH206">
        <v>7</v>
      </c>
      <c r="AI206">
        <v>5</v>
      </c>
      <c r="AJ206">
        <v>2</v>
      </c>
      <c r="AK206" t="s">
        <v>2021</v>
      </c>
      <c r="AL206" t="s">
        <v>2022</v>
      </c>
      <c r="AM206" t="s">
        <v>2023</v>
      </c>
      <c r="AN206" t="s">
        <v>2024</v>
      </c>
      <c r="AO206" t="s">
        <v>2025</v>
      </c>
      <c r="AP206" t="s">
        <v>2026</v>
      </c>
      <c r="AQ206" t="s">
        <v>2027</v>
      </c>
      <c r="AR206" t="s">
        <v>2028</v>
      </c>
      <c r="AS206" t="s">
        <v>2029</v>
      </c>
    </row>
    <row r="207" spans="1:45" x14ac:dyDescent="0.45">
      <c r="A207">
        <v>206</v>
      </c>
      <c r="B207">
        <v>2196</v>
      </c>
      <c r="C207" t="s">
        <v>72</v>
      </c>
      <c r="D207" t="s">
        <v>79</v>
      </c>
      <c r="E207" t="s">
        <v>74</v>
      </c>
      <c r="F207" t="s">
        <v>77</v>
      </c>
      <c r="G207" t="s">
        <v>76</v>
      </c>
      <c r="H207">
        <v>67.334763590608418</v>
      </c>
      <c r="I207">
        <v>1</v>
      </c>
      <c r="J207">
        <v>7</v>
      </c>
      <c r="K207">
        <v>8</v>
      </c>
      <c r="L207">
        <v>-1</v>
      </c>
      <c r="M207">
        <v>6</v>
      </c>
      <c r="N207">
        <v>8</v>
      </c>
      <c r="O207">
        <v>-2</v>
      </c>
      <c r="P207">
        <v>9</v>
      </c>
      <c r="Q207">
        <v>5</v>
      </c>
      <c r="R207">
        <v>4</v>
      </c>
      <c r="S207">
        <v>8</v>
      </c>
      <c r="T207">
        <v>7</v>
      </c>
      <c r="U207">
        <v>1</v>
      </c>
      <c r="V207">
        <v>6</v>
      </c>
      <c r="W207">
        <v>7</v>
      </c>
      <c r="X207">
        <v>-1</v>
      </c>
      <c r="Y207">
        <v>6</v>
      </c>
      <c r="Z207">
        <v>6</v>
      </c>
      <c r="AA207">
        <v>0</v>
      </c>
      <c r="AB207">
        <v>6</v>
      </c>
      <c r="AC207">
        <v>6</v>
      </c>
      <c r="AD207">
        <v>0</v>
      </c>
      <c r="AE207">
        <v>6</v>
      </c>
      <c r="AF207">
        <v>7</v>
      </c>
      <c r="AG207">
        <v>-1</v>
      </c>
      <c r="AH207">
        <v>6</v>
      </c>
      <c r="AI207">
        <v>7</v>
      </c>
      <c r="AJ207">
        <v>-1</v>
      </c>
      <c r="AK207" t="s">
        <v>2030</v>
      </c>
      <c r="AL207" t="s">
        <v>2031</v>
      </c>
      <c r="AM207" t="s">
        <v>2032</v>
      </c>
      <c r="AN207" t="s">
        <v>2033</v>
      </c>
      <c r="AO207" t="s">
        <v>2034</v>
      </c>
      <c r="AP207" t="s">
        <v>2035</v>
      </c>
      <c r="AQ207" t="s">
        <v>2036</v>
      </c>
      <c r="AR207" t="s">
        <v>2037</v>
      </c>
      <c r="AS207" t="s">
        <v>2038</v>
      </c>
    </row>
    <row r="208" spans="1:45" x14ac:dyDescent="0.45">
      <c r="A208">
        <v>207</v>
      </c>
      <c r="B208">
        <v>2197</v>
      </c>
      <c r="C208" t="s">
        <v>78</v>
      </c>
      <c r="D208" t="s">
        <v>73</v>
      </c>
      <c r="E208" t="s">
        <v>74</v>
      </c>
      <c r="F208" t="s">
        <v>77</v>
      </c>
      <c r="G208" t="s">
        <v>76</v>
      </c>
      <c r="H208">
        <v>60.262001971001808</v>
      </c>
      <c r="I208">
        <v>2</v>
      </c>
      <c r="J208">
        <v>8</v>
      </c>
      <c r="K208">
        <v>4</v>
      </c>
      <c r="L208">
        <v>4</v>
      </c>
      <c r="M208">
        <v>7</v>
      </c>
      <c r="N208">
        <v>3</v>
      </c>
      <c r="O208">
        <v>4</v>
      </c>
      <c r="P208">
        <v>9</v>
      </c>
      <c r="Q208">
        <v>1</v>
      </c>
      <c r="R208">
        <v>8</v>
      </c>
      <c r="S208">
        <v>8</v>
      </c>
      <c r="T208">
        <v>2</v>
      </c>
      <c r="U208">
        <v>6</v>
      </c>
      <c r="V208">
        <v>7</v>
      </c>
      <c r="W208">
        <v>1</v>
      </c>
      <c r="X208">
        <v>6</v>
      </c>
      <c r="Y208">
        <v>8</v>
      </c>
      <c r="Z208">
        <v>1</v>
      </c>
      <c r="AA208">
        <v>7</v>
      </c>
      <c r="AB208">
        <v>7</v>
      </c>
      <c r="AC208">
        <v>1</v>
      </c>
      <c r="AD208">
        <v>6</v>
      </c>
      <c r="AE208">
        <v>6</v>
      </c>
      <c r="AF208">
        <v>4</v>
      </c>
      <c r="AG208">
        <v>2</v>
      </c>
      <c r="AH208">
        <v>7</v>
      </c>
      <c r="AI208">
        <v>2</v>
      </c>
      <c r="AJ208">
        <v>5</v>
      </c>
      <c r="AK208" t="s">
        <v>2039</v>
      </c>
      <c r="AL208" t="s">
        <v>2040</v>
      </c>
      <c r="AM208" t="s">
        <v>2041</v>
      </c>
      <c r="AN208" t="s">
        <v>2042</v>
      </c>
      <c r="AO208" t="s">
        <v>2043</v>
      </c>
      <c r="AP208" t="s">
        <v>2044</v>
      </c>
      <c r="AQ208" t="s">
        <v>2045</v>
      </c>
      <c r="AR208" t="s">
        <v>2046</v>
      </c>
      <c r="AS208" t="s">
        <v>2047</v>
      </c>
    </row>
    <row r="209" spans="1:45" x14ac:dyDescent="0.45">
      <c r="A209">
        <v>208</v>
      </c>
      <c r="B209">
        <v>2198</v>
      </c>
      <c r="C209" t="s">
        <v>72</v>
      </c>
      <c r="D209" t="s">
        <v>73</v>
      </c>
      <c r="E209" t="s">
        <v>74</v>
      </c>
      <c r="F209" t="s">
        <v>75</v>
      </c>
      <c r="G209" t="s">
        <v>76</v>
      </c>
      <c r="H209">
        <v>46.752900936072265</v>
      </c>
      <c r="I209">
        <v>1</v>
      </c>
      <c r="J209">
        <v>7</v>
      </c>
      <c r="K209">
        <v>7</v>
      </c>
      <c r="L209">
        <v>0</v>
      </c>
      <c r="M209">
        <v>8</v>
      </c>
      <c r="N209">
        <v>8</v>
      </c>
      <c r="O209">
        <v>0</v>
      </c>
      <c r="P209">
        <v>6</v>
      </c>
      <c r="Q209">
        <v>6</v>
      </c>
      <c r="R209">
        <v>0</v>
      </c>
      <c r="S209">
        <v>5</v>
      </c>
      <c r="T209">
        <v>7</v>
      </c>
      <c r="U209">
        <v>-2</v>
      </c>
      <c r="V209">
        <v>7</v>
      </c>
      <c r="W209">
        <v>6</v>
      </c>
      <c r="X209">
        <v>1</v>
      </c>
      <c r="Y209">
        <v>8</v>
      </c>
      <c r="Z209">
        <v>7</v>
      </c>
      <c r="AA209">
        <v>1</v>
      </c>
      <c r="AB209">
        <v>6</v>
      </c>
      <c r="AC209">
        <v>6</v>
      </c>
      <c r="AD209">
        <v>0</v>
      </c>
      <c r="AE209">
        <v>7</v>
      </c>
      <c r="AF209">
        <v>6</v>
      </c>
      <c r="AG209">
        <v>1</v>
      </c>
      <c r="AH209">
        <v>6</v>
      </c>
      <c r="AI209">
        <v>6</v>
      </c>
      <c r="AJ209">
        <v>0</v>
      </c>
      <c r="AK209" t="s">
        <v>2048</v>
      </c>
      <c r="AL209" t="s">
        <v>2049</v>
      </c>
      <c r="AM209" t="s">
        <v>2050</v>
      </c>
      <c r="AN209" t="s">
        <v>2051</v>
      </c>
      <c r="AO209" t="s">
        <v>2052</v>
      </c>
      <c r="AP209" t="s">
        <v>2053</v>
      </c>
      <c r="AQ209" t="s">
        <v>2054</v>
      </c>
      <c r="AR209" t="s">
        <v>2055</v>
      </c>
      <c r="AS209" t="s">
        <v>2056</v>
      </c>
    </row>
    <row r="210" spans="1:45" x14ac:dyDescent="0.45">
      <c r="A210">
        <v>209</v>
      </c>
      <c r="B210">
        <v>2199</v>
      </c>
      <c r="C210" t="s">
        <v>72</v>
      </c>
      <c r="D210" t="s">
        <v>73</v>
      </c>
      <c r="E210" t="s">
        <v>74</v>
      </c>
      <c r="F210" t="s">
        <v>77</v>
      </c>
      <c r="G210" t="s">
        <v>76</v>
      </c>
      <c r="H210">
        <v>43.547367865424363</v>
      </c>
      <c r="I210">
        <v>0</v>
      </c>
      <c r="J210">
        <v>7</v>
      </c>
      <c r="K210">
        <v>6</v>
      </c>
      <c r="L210">
        <v>1</v>
      </c>
      <c r="M210">
        <v>6</v>
      </c>
      <c r="N210">
        <v>6</v>
      </c>
      <c r="O210">
        <v>0</v>
      </c>
      <c r="P210">
        <v>8</v>
      </c>
      <c r="Q210">
        <v>6</v>
      </c>
      <c r="R210">
        <v>2</v>
      </c>
      <c r="S210">
        <v>7</v>
      </c>
      <c r="T210">
        <v>6</v>
      </c>
      <c r="U210">
        <v>1</v>
      </c>
      <c r="V210">
        <v>6</v>
      </c>
      <c r="W210">
        <v>6</v>
      </c>
      <c r="X210">
        <v>0</v>
      </c>
      <c r="Y210">
        <v>7</v>
      </c>
      <c r="Z210">
        <v>5</v>
      </c>
      <c r="AA210">
        <v>2</v>
      </c>
      <c r="AB210">
        <v>6</v>
      </c>
      <c r="AC210">
        <v>6</v>
      </c>
      <c r="AD210">
        <v>0</v>
      </c>
      <c r="AE210">
        <v>5</v>
      </c>
      <c r="AF210">
        <v>6</v>
      </c>
      <c r="AG210">
        <v>-1</v>
      </c>
      <c r="AH210">
        <v>4</v>
      </c>
      <c r="AI210">
        <v>6</v>
      </c>
      <c r="AJ210">
        <v>-2</v>
      </c>
      <c r="AK210" t="s">
        <v>2057</v>
      </c>
      <c r="AL210" t="s">
        <v>2058</v>
      </c>
      <c r="AM210" t="s">
        <v>2059</v>
      </c>
      <c r="AN210" t="s">
        <v>2060</v>
      </c>
      <c r="AO210" t="s">
        <v>2061</v>
      </c>
      <c r="AP210" t="s">
        <v>2062</v>
      </c>
      <c r="AQ210" t="s">
        <v>2063</v>
      </c>
      <c r="AR210" t="s">
        <v>2064</v>
      </c>
      <c r="AS210" t="s">
        <v>2065</v>
      </c>
    </row>
    <row r="211" spans="1:45" x14ac:dyDescent="0.45">
      <c r="A211">
        <v>210</v>
      </c>
      <c r="B211">
        <v>2200</v>
      </c>
      <c r="C211" t="s">
        <v>78</v>
      </c>
      <c r="D211" t="s">
        <v>73</v>
      </c>
      <c r="E211" t="s">
        <v>74</v>
      </c>
      <c r="F211" t="s">
        <v>77</v>
      </c>
      <c r="G211" t="s">
        <v>76</v>
      </c>
      <c r="H211">
        <v>28.560004683260935</v>
      </c>
      <c r="I211">
        <v>0</v>
      </c>
      <c r="J211">
        <v>9</v>
      </c>
      <c r="K211">
        <v>7</v>
      </c>
      <c r="L211">
        <v>2</v>
      </c>
      <c r="M211">
        <v>8</v>
      </c>
      <c r="N211">
        <v>7</v>
      </c>
      <c r="O211">
        <v>1</v>
      </c>
      <c r="P211">
        <v>7</v>
      </c>
      <c r="Q211">
        <v>8</v>
      </c>
      <c r="R211">
        <v>-1</v>
      </c>
      <c r="S211">
        <v>8</v>
      </c>
      <c r="T211">
        <v>8</v>
      </c>
      <c r="U211">
        <v>0</v>
      </c>
      <c r="V211">
        <v>7</v>
      </c>
      <c r="W211">
        <v>8</v>
      </c>
      <c r="X211">
        <v>-1</v>
      </c>
      <c r="Y211">
        <v>8</v>
      </c>
      <c r="Z211">
        <v>9</v>
      </c>
      <c r="AA211">
        <v>-1</v>
      </c>
      <c r="AB211">
        <v>7</v>
      </c>
      <c r="AC211">
        <v>8</v>
      </c>
      <c r="AD211">
        <v>-1</v>
      </c>
      <c r="AE211">
        <v>8</v>
      </c>
      <c r="AF211">
        <v>8</v>
      </c>
      <c r="AG211">
        <v>0</v>
      </c>
      <c r="AH211">
        <v>9</v>
      </c>
      <c r="AI211">
        <v>8</v>
      </c>
      <c r="AJ211">
        <v>1</v>
      </c>
      <c r="AK211" t="s">
        <v>2066</v>
      </c>
      <c r="AL211" t="s">
        <v>2067</v>
      </c>
      <c r="AM211" t="s">
        <v>2068</v>
      </c>
      <c r="AN211" t="s">
        <v>2069</v>
      </c>
      <c r="AO211" t="s">
        <v>2070</v>
      </c>
      <c r="AP211" t="s">
        <v>2071</v>
      </c>
      <c r="AQ211" t="s">
        <v>2072</v>
      </c>
      <c r="AR211" t="s">
        <v>2073</v>
      </c>
      <c r="AS211" t="s">
        <v>2074</v>
      </c>
    </row>
    <row r="212" spans="1:45" x14ac:dyDescent="0.45">
      <c r="A212">
        <v>211</v>
      </c>
      <c r="B212">
        <v>2201</v>
      </c>
      <c r="C212" t="s">
        <v>72</v>
      </c>
      <c r="D212" t="s">
        <v>73</v>
      </c>
      <c r="E212" t="s">
        <v>74</v>
      </c>
      <c r="F212" t="s">
        <v>77</v>
      </c>
      <c r="G212" t="s">
        <v>76</v>
      </c>
      <c r="H212">
        <v>63.416603098597655</v>
      </c>
      <c r="I212">
        <v>1</v>
      </c>
      <c r="J212">
        <v>5</v>
      </c>
      <c r="K212">
        <v>7</v>
      </c>
      <c r="L212">
        <v>-2</v>
      </c>
      <c r="M212">
        <v>6</v>
      </c>
      <c r="N212">
        <v>7</v>
      </c>
      <c r="O212">
        <v>-1</v>
      </c>
      <c r="P212">
        <v>8</v>
      </c>
      <c r="Q212">
        <v>7</v>
      </c>
      <c r="R212">
        <v>1</v>
      </c>
      <c r="S212">
        <v>9</v>
      </c>
      <c r="T212">
        <v>7</v>
      </c>
      <c r="U212">
        <v>2</v>
      </c>
      <c r="V212">
        <v>7</v>
      </c>
      <c r="W212">
        <v>7</v>
      </c>
      <c r="X212">
        <v>0</v>
      </c>
      <c r="Y212">
        <v>8</v>
      </c>
      <c r="Z212">
        <v>7</v>
      </c>
      <c r="AA212">
        <v>1</v>
      </c>
      <c r="AB212">
        <v>7</v>
      </c>
      <c r="AC212">
        <v>7</v>
      </c>
      <c r="AD212">
        <v>0</v>
      </c>
      <c r="AE212">
        <v>6</v>
      </c>
      <c r="AF212">
        <v>7</v>
      </c>
      <c r="AG212">
        <v>-1</v>
      </c>
      <c r="AH212">
        <v>7</v>
      </c>
      <c r="AI212">
        <v>7</v>
      </c>
      <c r="AJ212">
        <v>0</v>
      </c>
      <c r="AK212" t="s">
        <v>2075</v>
      </c>
      <c r="AL212" t="s">
        <v>2076</v>
      </c>
      <c r="AM212" t="s">
        <v>2077</v>
      </c>
      <c r="AN212" t="s">
        <v>2078</v>
      </c>
      <c r="AO212" t="s">
        <v>2079</v>
      </c>
      <c r="AP212" t="s">
        <v>2080</v>
      </c>
      <c r="AQ212" t="s">
        <v>2081</v>
      </c>
      <c r="AR212" t="s">
        <v>2082</v>
      </c>
      <c r="AS212" t="s">
        <v>2083</v>
      </c>
    </row>
    <row r="213" spans="1:45" x14ac:dyDescent="0.45">
      <c r="A213">
        <v>212</v>
      </c>
      <c r="B213">
        <v>2202</v>
      </c>
      <c r="C213" t="s">
        <v>72</v>
      </c>
      <c r="D213" t="s">
        <v>73</v>
      </c>
      <c r="E213" t="s">
        <v>74</v>
      </c>
      <c r="F213" t="s">
        <v>77</v>
      </c>
      <c r="G213" t="s">
        <v>76</v>
      </c>
      <c r="H213">
        <v>62.857520934509097</v>
      </c>
      <c r="I213">
        <v>0</v>
      </c>
      <c r="J213">
        <v>8</v>
      </c>
      <c r="K213">
        <v>5</v>
      </c>
      <c r="L213">
        <v>3</v>
      </c>
      <c r="M213">
        <v>7</v>
      </c>
      <c r="N213">
        <v>5</v>
      </c>
      <c r="O213">
        <v>2</v>
      </c>
      <c r="P213">
        <v>9</v>
      </c>
      <c r="Q213">
        <v>1</v>
      </c>
      <c r="R213">
        <v>8</v>
      </c>
      <c r="S213">
        <v>8</v>
      </c>
      <c r="T213">
        <v>5</v>
      </c>
      <c r="U213">
        <v>3</v>
      </c>
      <c r="V213">
        <v>7</v>
      </c>
      <c r="W213">
        <v>5</v>
      </c>
      <c r="X213">
        <v>2</v>
      </c>
      <c r="Y213">
        <v>8</v>
      </c>
      <c r="Z213">
        <v>5</v>
      </c>
      <c r="AA213">
        <v>3</v>
      </c>
      <c r="AB213">
        <v>7</v>
      </c>
      <c r="AC213">
        <v>4</v>
      </c>
      <c r="AD213">
        <v>3</v>
      </c>
      <c r="AE213">
        <v>6</v>
      </c>
      <c r="AF213">
        <v>5</v>
      </c>
      <c r="AG213">
        <v>1</v>
      </c>
      <c r="AH213">
        <v>8</v>
      </c>
      <c r="AI213">
        <v>5</v>
      </c>
      <c r="AJ213">
        <v>3</v>
      </c>
      <c r="AK213" t="s">
        <v>2084</v>
      </c>
      <c r="AL213" t="s">
        <v>2085</v>
      </c>
      <c r="AM213" t="s">
        <v>2086</v>
      </c>
      <c r="AN213" t="s">
        <v>2087</v>
      </c>
      <c r="AO213" t="s">
        <v>2088</v>
      </c>
      <c r="AP213" t="s">
        <v>2089</v>
      </c>
      <c r="AQ213" t="s">
        <v>2090</v>
      </c>
      <c r="AR213" t="s">
        <v>2091</v>
      </c>
      <c r="AS213" t="s">
        <v>2092</v>
      </c>
    </row>
    <row r="214" spans="1:45" x14ac:dyDescent="0.45">
      <c r="A214">
        <v>213</v>
      </c>
      <c r="B214">
        <v>2203</v>
      </c>
      <c r="C214" t="s">
        <v>72</v>
      </c>
      <c r="D214" t="s">
        <v>73</v>
      </c>
      <c r="E214" t="s">
        <v>74</v>
      </c>
      <c r="F214" t="s">
        <v>77</v>
      </c>
      <c r="G214" t="s">
        <v>76</v>
      </c>
      <c r="H214">
        <v>54.46559089304855</v>
      </c>
      <c r="I214">
        <v>4</v>
      </c>
      <c r="J214">
        <v>6</v>
      </c>
      <c r="K214">
        <v>7</v>
      </c>
      <c r="L214">
        <v>-1</v>
      </c>
      <c r="M214">
        <v>7</v>
      </c>
      <c r="N214">
        <v>8</v>
      </c>
      <c r="O214">
        <v>-1</v>
      </c>
      <c r="P214">
        <v>8</v>
      </c>
      <c r="Q214">
        <v>8</v>
      </c>
      <c r="R214">
        <v>0</v>
      </c>
      <c r="S214">
        <v>9</v>
      </c>
      <c r="T214">
        <v>8</v>
      </c>
      <c r="U214">
        <v>1</v>
      </c>
      <c r="V214">
        <v>8</v>
      </c>
      <c r="W214">
        <v>8</v>
      </c>
      <c r="X214">
        <v>0</v>
      </c>
      <c r="Y214">
        <v>7</v>
      </c>
      <c r="Z214">
        <v>8</v>
      </c>
      <c r="AA214">
        <v>-1</v>
      </c>
      <c r="AB214">
        <v>8</v>
      </c>
      <c r="AC214">
        <v>8</v>
      </c>
      <c r="AD214">
        <v>0</v>
      </c>
      <c r="AE214">
        <v>5</v>
      </c>
      <c r="AF214">
        <v>8</v>
      </c>
      <c r="AG214">
        <v>-3</v>
      </c>
      <c r="AH214">
        <v>7</v>
      </c>
      <c r="AI214">
        <v>8</v>
      </c>
      <c r="AJ214">
        <v>-1</v>
      </c>
      <c r="AK214" t="s">
        <v>2093</v>
      </c>
      <c r="AL214" t="s">
        <v>2094</v>
      </c>
      <c r="AM214" t="s">
        <v>2095</v>
      </c>
      <c r="AN214" t="s">
        <v>2096</v>
      </c>
      <c r="AO214" t="s">
        <v>2097</v>
      </c>
      <c r="AP214" t="s">
        <v>2098</v>
      </c>
      <c r="AQ214" t="s">
        <v>2099</v>
      </c>
      <c r="AR214" t="s">
        <v>2100</v>
      </c>
      <c r="AS214" t="s">
        <v>2101</v>
      </c>
    </row>
    <row r="215" spans="1:45" x14ac:dyDescent="0.45">
      <c r="A215">
        <v>214</v>
      </c>
      <c r="B215">
        <v>2204</v>
      </c>
      <c r="C215" t="s">
        <v>72</v>
      </c>
      <c r="D215" t="s">
        <v>73</v>
      </c>
      <c r="E215" t="s">
        <v>74</v>
      </c>
      <c r="F215" t="s">
        <v>75</v>
      </c>
      <c r="G215" t="s">
        <v>76</v>
      </c>
      <c r="H215">
        <v>64.809338630682674</v>
      </c>
      <c r="I215">
        <v>4</v>
      </c>
      <c r="J215">
        <v>7</v>
      </c>
      <c r="K215">
        <v>9</v>
      </c>
      <c r="L215">
        <v>-2</v>
      </c>
      <c r="M215">
        <v>8</v>
      </c>
      <c r="N215">
        <v>9</v>
      </c>
      <c r="O215">
        <v>-1</v>
      </c>
      <c r="P215">
        <v>6</v>
      </c>
      <c r="Q215">
        <v>9</v>
      </c>
      <c r="R215">
        <v>-3</v>
      </c>
      <c r="S215">
        <v>5</v>
      </c>
      <c r="T215">
        <v>9</v>
      </c>
      <c r="U215">
        <v>-4</v>
      </c>
      <c r="V215">
        <v>4</v>
      </c>
      <c r="W215">
        <v>9</v>
      </c>
      <c r="X215">
        <v>-5</v>
      </c>
      <c r="Y215">
        <v>7</v>
      </c>
      <c r="Z215">
        <v>9</v>
      </c>
      <c r="AA215">
        <v>-2</v>
      </c>
      <c r="AB215">
        <v>6</v>
      </c>
      <c r="AC215">
        <v>9</v>
      </c>
      <c r="AD215">
        <v>-3</v>
      </c>
      <c r="AE215">
        <v>5</v>
      </c>
      <c r="AF215">
        <v>9</v>
      </c>
      <c r="AG215">
        <v>-4</v>
      </c>
      <c r="AH215">
        <v>4</v>
      </c>
      <c r="AI215">
        <v>9</v>
      </c>
      <c r="AJ215">
        <v>-5</v>
      </c>
      <c r="AK215" t="s">
        <v>2102</v>
      </c>
      <c r="AL215" t="s">
        <v>2103</v>
      </c>
      <c r="AM215" t="s">
        <v>2104</v>
      </c>
      <c r="AN215" t="s">
        <v>2105</v>
      </c>
      <c r="AO215" t="s">
        <v>2106</v>
      </c>
      <c r="AP215" t="s">
        <v>2107</v>
      </c>
      <c r="AQ215" t="s">
        <v>2108</v>
      </c>
      <c r="AR215" t="s">
        <v>2109</v>
      </c>
      <c r="AS215" t="s">
        <v>2110</v>
      </c>
    </row>
    <row r="216" spans="1:45" x14ac:dyDescent="0.45">
      <c r="A216">
        <v>215</v>
      </c>
      <c r="B216">
        <v>2205</v>
      </c>
      <c r="C216" t="s">
        <v>72</v>
      </c>
      <c r="D216" t="s">
        <v>73</v>
      </c>
      <c r="E216" t="s">
        <v>74</v>
      </c>
      <c r="F216" t="s">
        <v>75</v>
      </c>
      <c r="G216" t="s">
        <v>76</v>
      </c>
      <c r="H216">
        <v>19.821571689948538</v>
      </c>
      <c r="I216">
        <v>2</v>
      </c>
      <c r="J216">
        <v>5</v>
      </c>
      <c r="K216">
        <v>5</v>
      </c>
      <c r="L216">
        <v>0</v>
      </c>
      <c r="M216">
        <v>6</v>
      </c>
      <c r="N216">
        <v>5</v>
      </c>
      <c r="O216">
        <v>1</v>
      </c>
      <c r="P216">
        <v>7</v>
      </c>
      <c r="Q216">
        <v>5</v>
      </c>
      <c r="R216">
        <v>2</v>
      </c>
      <c r="S216">
        <v>6</v>
      </c>
      <c r="T216">
        <v>5</v>
      </c>
      <c r="U216">
        <v>1</v>
      </c>
      <c r="V216">
        <v>7</v>
      </c>
      <c r="W216">
        <v>5</v>
      </c>
      <c r="X216">
        <v>2</v>
      </c>
      <c r="Y216">
        <v>6</v>
      </c>
      <c r="Z216">
        <v>5</v>
      </c>
      <c r="AA216">
        <v>1</v>
      </c>
      <c r="AB216">
        <v>5</v>
      </c>
      <c r="AC216">
        <v>5</v>
      </c>
      <c r="AD216">
        <v>0</v>
      </c>
      <c r="AE216">
        <v>6</v>
      </c>
      <c r="AF216">
        <v>5</v>
      </c>
      <c r="AG216">
        <v>1</v>
      </c>
      <c r="AH216">
        <v>7</v>
      </c>
      <c r="AI216">
        <v>5</v>
      </c>
      <c r="AJ216">
        <v>2</v>
      </c>
      <c r="AK216" t="s">
        <v>2111</v>
      </c>
      <c r="AL216" t="s">
        <v>2112</v>
      </c>
      <c r="AM216" t="s">
        <v>2113</v>
      </c>
      <c r="AN216" t="s">
        <v>2114</v>
      </c>
      <c r="AO216" t="s">
        <v>2115</v>
      </c>
      <c r="AP216" t="s">
        <v>2116</v>
      </c>
      <c r="AQ216" t="s">
        <v>2117</v>
      </c>
      <c r="AR216" t="s">
        <v>2118</v>
      </c>
      <c r="AS216" t="s">
        <v>2119</v>
      </c>
    </row>
    <row r="217" spans="1:45" x14ac:dyDescent="0.45">
      <c r="A217">
        <v>216</v>
      </c>
      <c r="B217">
        <v>2206</v>
      </c>
      <c r="C217" t="s">
        <v>72</v>
      </c>
      <c r="D217" t="s">
        <v>73</v>
      </c>
      <c r="E217" t="s">
        <v>74</v>
      </c>
      <c r="F217" t="s">
        <v>75</v>
      </c>
      <c r="G217" t="s">
        <v>76</v>
      </c>
      <c r="H217">
        <v>41.401414327447036</v>
      </c>
      <c r="I217">
        <v>1</v>
      </c>
      <c r="J217">
        <v>7</v>
      </c>
      <c r="K217">
        <v>6</v>
      </c>
      <c r="L217">
        <v>1</v>
      </c>
      <c r="M217">
        <v>6</v>
      </c>
      <c r="N217">
        <v>7</v>
      </c>
      <c r="O217">
        <v>-1</v>
      </c>
      <c r="P217">
        <v>8</v>
      </c>
      <c r="Q217">
        <v>7</v>
      </c>
      <c r="R217">
        <v>1</v>
      </c>
      <c r="S217">
        <v>7</v>
      </c>
      <c r="T217">
        <v>7</v>
      </c>
      <c r="U217">
        <v>0</v>
      </c>
      <c r="V217">
        <v>8</v>
      </c>
      <c r="W217">
        <v>6</v>
      </c>
      <c r="X217">
        <v>2</v>
      </c>
      <c r="Y217">
        <v>7</v>
      </c>
      <c r="Z217">
        <v>7</v>
      </c>
      <c r="AA217">
        <v>0</v>
      </c>
      <c r="AB217">
        <v>8</v>
      </c>
      <c r="AC217">
        <v>7</v>
      </c>
      <c r="AD217">
        <v>1</v>
      </c>
      <c r="AE217">
        <v>6</v>
      </c>
      <c r="AF217">
        <v>7</v>
      </c>
      <c r="AG217">
        <v>-1</v>
      </c>
      <c r="AH217">
        <v>7</v>
      </c>
      <c r="AI217">
        <v>7</v>
      </c>
      <c r="AJ217">
        <v>0</v>
      </c>
      <c r="AK217" t="s">
        <v>2120</v>
      </c>
      <c r="AL217" t="s">
        <v>2121</v>
      </c>
      <c r="AM217" t="s">
        <v>2122</v>
      </c>
      <c r="AN217" t="s">
        <v>2123</v>
      </c>
      <c r="AO217" t="s">
        <v>2124</v>
      </c>
      <c r="AP217" t="s">
        <v>2125</v>
      </c>
      <c r="AQ217" t="s">
        <v>2126</v>
      </c>
      <c r="AR217" t="s">
        <v>2127</v>
      </c>
      <c r="AS217" t="s">
        <v>2128</v>
      </c>
    </row>
    <row r="218" spans="1:45" x14ac:dyDescent="0.45">
      <c r="A218">
        <v>217</v>
      </c>
      <c r="B218">
        <v>2207</v>
      </c>
      <c r="C218" t="s">
        <v>78</v>
      </c>
      <c r="D218" t="s">
        <v>73</v>
      </c>
      <c r="E218" t="s">
        <v>74</v>
      </c>
      <c r="F218" t="s">
        <v>77</v>
      </c>
      <c r="G218" t="s">
        <v>76</v>
      </c>
      <c r="H218">
        <v>41.834261296939601</v>
      </c>
      <c r="I218">
        <v>0</v>
      </c>
      <c r="J218">
        <v>6</v>
      </c>
      <c r="K218">
        <v>5</v>
      </c>
      <c r="L218">
        <v>1</v>
      </c>
      <c r="M218">
        <v>7</v>
      </c>
      <c r="N218">
        <v>5</v>
      </c>
      <c r="O218">
        <v>2</v>
      </c>
      <c r="P218">
        <v>8</v>
      </c>
      <c r="Q218">
        <v>5</v>
      </c>
      <c r="R218">
        <v>3</v>
      </c>
      <c r="S218">
        <v>6</v>
      </c>
      <c r="T218">
        <v>6</v>
      </c>
      <c r="U218">
        <v>0</v>
      </c>
      <c r="V218">
        <v>7</v>
      </c>
      <c r="W218">
        <v>5</v>
      </c>
      <c r="X218">
        <v>2</v>
      </c>
      <c r="Y218">
        <v>6</v>
      </c>
      <c r="Z218">
        <v>5</v>
      </c>
      <c r="AA218">
        <v>1</v>
      </c>
      <c r="AB218">
        <v>7</v>
      </c>
      <c r="AC218">
        <v>5</v>
      </c>
      <c r="AD218">
        <v>2</v>
      </c>
      <c r="AE218">
        <v>5</v>
      </c>
      <c r="AF218">
        <v>5</v>
      </c>
      <c r="AG218">
        <v>0</v>
      </c>
      <c r="AH218">
        <v>6</v>
      </c>
      <c r="AI218">
        <v>5</v>
      </c>
      <c r="AJ218">
        <v>1</v>
      </c>
      <c r="AK218" t="s">
        <v>2129</v>
      </c>
      <c r="AL218" t="s">
        <v>2130</v>
      </c>
      <c r="AM218" t="s">
        <v>2131</v>
      </c>
      <c r="AN218" t="s">
        <v>2132</v>
      </c>
      <c r="AO218" t="s">
        <v>2133</v>
      </c>
      <c r="AP218" t="s">
        <v>2134</v>
      </c>
      <c r="AQ218" t="s">
        <v>2135</v>
      </c>
      <c r="AR218" t="s">
        <v>2136</v>
      </c>
      <c r="AS218" t="s">
        <v>2137</v>
      </c>
    </row>
    <row r="219" spans="1:45" x14ac:dyDescent="0.45">
      <c r="A219">
        <v>218</v>
      </c>
      <c r="B219">
        <v>2208</v>
      </c>
      <c r="C219" t="s">
        <v>72</v>
      </c>
      <c r="D219" t="s">
        <v>73</v>
      </c>
      <c r="E219" t="s">
        <v>74</v>
      </c>
      <c r="F219" t="s">
        <v>77</v>
      </c>
      <c r="G219" t="s">
        <v>76</v>
      </c>
      <c r="H219">
        <v>65.255038986454082</v>
      </c>
      <c r="I219">
        <v>3</v>
      </c>
      <c r="J219">
        <v>7</v>
      </c>
      <c r="K219">
        <v>6</v>
      </c>
      <c r="L219">
        <v>1</v>
      </c>
      <c r="M219">
        <v>8</v>
      </c>
      <c r="N219">
        <v>7</v>
      </c>
      <c r="O219">
        <v>1</v>
      </c>
      <c r="P219">
        <v>6</v>
      </c>
      <c r="Q219">
        <v>7</v>
      </c>
      <c r="R219">
        <v>-1</v>
      </c>
      <c r="S219">
        <v>5</v>
      </c>
      <c r="T219">
        <v>7</v>
      </c>
      <c r="U219">
        <v>-2</v>
      </c>
      <c r="V219">
        <v>7</v>
      </c>
      <c r="W219">
        <v>7</v>
      </c>
      <c r="X219">
        <v>0</v>
      </c>
      <c r="Y219">
        <v>6</v>
      </c>
      <c r="Z219">
        <v>7</v>
      </c>
      <c r="AA219">
        <v>-1</v>
      </c>
      <c r="AB219">
        <v>7</v>
      </c>
      <c r="AC219">
        <v>7</v>
      </c>
      <c r="AD219">
        <v>0</v>
      </c>
      <c r="AE219">
        <v>6</v>
      </c>
      <c r="AF219">
        <v>7</v>
      </c>
      <c r="AG219">
        <v>-1</v>
      </c>
      <c r="AH219">
        <v>7</v>
      </c>
      <c r="AI219">
        <v>7</v>
      </c>
      <c r="AJ219">
        <v>0</v>
      </c>
      <c r="AK219" t="s">
        <v>2138</v>
      </c>
      <c r="AL219" t="s">
        <v>2139</v>
      </c>
      <c r="AM219" t="s">
        <v>2140</v>
      </c>
      <c r="AN219" t="s">
        <v>2141</v>
      </c>
      <c r="AO219" t="s">
        <v>2142</v>
      </c>
      <c r="AP219" t="s">
        <v>2143</v>
      </c>
      <c r="AQ219" t="s">
        <v>2144</v>
      </c>
      <c r="AR219" t="s">
        <v>2145</v>
      </c>
      <c r="AS219" t="s">
        <v>2146</v>
      </c>
    </row>
    <row r="220" spans="1:45" x14ac:dyDescent="0.45">
      <c r="A220">
        <v>219</v>
      </c>
      <c r="B220">
        <v>2209</v>
      </c>
      <c r="C220" t="s">
        <v>78</v>
      </c>
      <c r="D220" t="s">
        <v>192</v>
      </c>
      <c r="E220" t="s">
        <v>74</v>
      </c>
      <c r="F220" t="s">
        <v>75</v>
      </c>
      <c r="G220" t="s">
        <v>76</v>
      </c>
      <c r="H220">
        <v>149.08467482785926</v>
      </c>
      <c r="I220">
        <v>2</v>
      </c>
      <c r="J220">
        <v>7</v>
      </c>
      <c r="K220">
        <v>7</v>
      </c>
      <c r="L220">
        <v>0</v>
      </c>
      <c r="M220">
        <v>6</v>
      </c>
      <c r="N220">
        <v>8</v>
      </c>
      <c r="O220">
        <v>-2</v>
      </c>
      <c r="P220">
        <v>4</v>
      </c>
      <c r="Q220">
        <v>8</v>
      </c>
      <c r="R220">
        <v>-4</v>
      </c>
      <c r="S220">
        <v>8</v>
      </c>
      <c r="T220">
        <v>8</v>
      </c>
      <c r="U220">
        <v>0</v>
      </c>
      <c r="V220">
        <v>6</v>
      </c>
      <c r="W220">
        <v>8</v>
      </c>
      <c r="X220">
        <v>-2</v>
      </c>
      <c r="Y220">
        <v>5</v>
      </c>
      <c r="Z220">
        <v>5</v>
      </c>
      <c r="AA220">
        <v>0</v>
      </c>
      <c r="AB220">
        <v>6</v>
      </c>
      <c r="AC220">
        <v>5</v>
      </c>
      <c r="AD220">
        <v>1</v>
      </c>
      <c r="AE220">
        <v>5</v>
      </c>
      <c r="AF220">
        <v>7</v>
      </c>
      <c r="AG220">
        <v>-2</v>
      </c>
      <c r="AH220">
        <v>7</v>
      </c>
      <c r="AI220">
        <v>6</v>
      </c>
      <c r="AJ220">
        <v>1</v>
      </c>
      <c r="AK220" t="s">
        <v>2147</v>
      </c>
      <c r="AL220" t="s">
        <v>2148</v>
      </c>
      <c r="AM220" t="s">
        <v>2149</v>
      </c>
      <c r="AN220" t="s">
        <v>2150</v>
      </c>
      <c r="AO220" t="s">
        <v>2151</v>
      </c>
      <c r="AP220" t="s">
        <v>2152</v>
      </c>
      <c r="AQ220" t="s">
        <v>2153</v>
      </c>
      <c r="AR220" t="s">
        <v>2154</v>
      </c>
      <c r="AS220" t="s">
        <v>2155</v>
      </c>
    </row>
    <row r="221" spans="1:45" x14ac:dyDescent="0.45">
      <c r="A221">
        <v>220</v>
      </c>
      <c r="B221">
        <v>2210</v>
      </c>
      <c r="C221" t="s">
        <v>72</v>
      </c>
      <c r="D221" t="s">
        <v>190</v>
      </c>
      <c r="E221" t="s">
        <v>74</v>
      </c>
      <c r="F221" t="s">
        <v>75</v>
      </c>
      <c r="G221" t="s">
        <v>76</v>
      </c>
      <c r="H221">
        <v>215.45995146555558</v>
      </c>
      <c r="I221">
        <v>1</v>
      </c>
      <c r="J221">
        <v>6</v>
      </c>
      <c r="K221">
        <v>10</v>
      </c>
      <c r="L221">
        <v>-4</v>
      </c>
      <c r="M221">
        <v>7</v>
      </c>
      <c r="N221">
        <v>10</v>
      </c>
      <c r="O221">
        <v>-3</v>
      </c>
      <c r="P221">
        <v>8</v>
      </c>
      <c r="Q221">
        <v>6</v>
      </c>
      <c r="R221">
        <v>2</v>
      </c>
      <c r="S221">
        <v>9</v>
      </c>
      <c r="T221">
        <v>9</v>
      </c>
      <c r="U221">
        <v>0</v>
      </c>
      <c r="V221">
        <v>8</v>
      </c>
      <c r="W221">
        <v>9</v>
      </c>
      <c r="X221">
        <v>-1</v>
      </c>
      <c r="Y221">
        <v>7</v>
      </c>
      <c r="Z221">
        <v>9</v>
      </c>
      <c r="AA221">
        <v>-2</v>
      </c>
      <c r="AB221">
        <v>6</v>
      </c>
      <c r="AC221">
        <v>9</v>
      </c>
      <c r="AD221">
        <v>-3</v>
      </c>
      <c r="AE221">
        <v>5</v>
      </c>
      <c r="AF221">
        <v>8</v>
      </c>
      <c r="AG221">
        <v>-3</v>
      </c>
      <c r="AH221">
        <v>7</v>
      </c>
      <c r="AI221">
        <v>8</v>
      </c>
      <c r="AJ221">
        <v>-1</v>
      </c>
      <c r="AK221" t="s">
        <v>2156</v>
      </c>
      <c r="AL221" t="s">
        <v>2157</v>
      </c>
      <c r="AM221" t="s">
        <v>2158</v>
      </c>
      <c r="AN221" t="s">
        <v>2159</v>
      </c>
      <c r="AO221" t="s">
        <v>2160</v>
      </c>
      <c r="AP221" t="s">
        <v>2161</v>
      </c>
      <c r="AQ221" t="s">
        <v>2162</v>
      </c>
      <c r="AR221" t="s">
        <v>2163</v>
      </c>
      <c r="AS221" t="s">
        <v>2164</v>
      </c>
    </row>
    <row r="222" spans="1:45" x14ac:dyDescent="0.45">
      <c r="A222">
        <v>221</v>
      </c>
      <c r="B222">
        <v>2211</v>
      </c>
      <c r="C222" t="s">
        <v>72</v>
      </c>
      <c r="D222" t="s">
        <v>79</v>
      </c>
      <c r="E222" t="s">
        <v>74</v>
      </c>
      <c r="F222" t="s">
        <v>77</v>
      </c>
      <c r="G222" t="s">
        <v>76</v>
      </c>
      <c r="H222">
        <v>64.305378599568215</v>
      </c>
      <c r="I222">
        <v>1</v>
      </c>
      <c r="J222">
        <v>8</v>
      </c>
      <c r="K222">
        <v>4</v>
      </c>
      <c r="L222">
        <v>4</v>
      </c>
      <c r="M222">
        <v>7</v>
      </c>
      <c r="N222">
        <v>4</v>
      </c>
      <c r="O222">
        <v>3</v>
      </c>
      <c r="P222">
        <v>9</v>
      </c>
      <c r="Q222">
        <v>4</v>
      </c>
      <c r="R222">
        <v>5</v>
      </c>
      <c r="S222">
        <v>8</v>
      </c>
      <c r="T222">
        <v>6</v>
      </c>
      <c r="U222">
        <v>2</v>
      </c>
      <c r="V222">
        <v>9</v>
      </c>
      <c r="W222">
        <v>5</v>
      </c>
      <c r="X222">
        <v>4</v>
      </c>
      <c r="Y222">
        <v>8</v>
      </c>
      <c r="Z222">
        <v>6</v>
      </c>
      <c r="AA222">
        <v>2</v>
      </c>
      <c r="AB222">
        <v>9</v>
      </c>
      <c r="AC222">
        <v>5</v>
      </c>
      <c r="AD222">
        <v>4</v>
      </c>
      <c r="AE222">
        <v>7</v>
      </c>
      <c r="AF222">
        <v>6</v>
      </c>
      <c r="AG222">
        <v>1</v>
      </c>
      <c r="AH222">
        <v>8</v>
      </c>
      <c r="AI222">
        <v>5</v>
      </c>
      <c r="AJ222">
        <v>3</v>
      </c>
      <c r="AK222" t="s">
        <v>2165</v>
      </c>
      <c r="AL222" t="s">
        <v>2166</v>
      </c>
      <c r="AM222" t="s">
        <v>2167</v>
      </c>
      <c r="AN222" t="s">
        <v>2168</v>
      </c>
      <c r="AO222" t="s">
        <v>2169</v>
      </c>
      <c r="AP222" t="s">
        <v>2170</v>
      </c>
      <c r="AQ222" t="s">
        <v>2171</v>
      </c>
      <c r="AR222" t="s">
        <v>2172</v>
      </c>
      <c r="AS222" t="s">
        <v>2173</v>
      </c>
    </row>
    <row r="223" spans="1:45" x14ac:dyDescent="0.45">
      <c r="A223">
        <v>222</v>
      </c>
      <c r="B223">
        <v>2212</v>
      </c>
      <c r="C223" t="s">
        <v>72</v>
      </c>
      <c r="D223" t="s">
        <v>190</v>
      </c>
      <c r="E223" t="s">
        <v>74</v>
      </c>
      <c r="F223" t="s">
        <v>77</v>
      </c>
      <c r="G223" t="s">
        <v>76</v>
      </c>
      <c r="H223">
        <v>64.997736802972142</v>
      </c>
      <c r="I223">
        <v>2</v>
      </c>
      <c r="J223">
        <v>7</v>
      </c>
      <c r="K223">
        <v>4</v>
      </c>
      <c r="L223">
        <v>3</v>
      </c>
      <c r="M223">
        <v>8</v>
      </c>
      <c r="N223">
        <v>5</v>
      </c>
      <c r="O223">
        <v>3</v>
      </c>
      <c r="P223">
        <v>9</v>
      </c>
      <c r="Q223">
        <v>4</v>
      </c>
      <c r="R223">
        <v>5</v>
      </c>
      <c r="S223">
        <v>8</v>
      </c>
      <c r="T223">
        <v>5</v>
      </c>
      <c r="U223">
        <v>3</v>
      </c>
      <c r="V223">
        <v>7</v>
      </c>
      <c r="W223">
        <v>5</v>
      </c>
      <c r="X223">
        <v>2</v>
      </c>
      <c r="Y223">
        <v>6</v>
      </c>
      <c r="Z223">
        <v>5</v>
      </c>
      <c r="AA223">
        <v>1</v>
      </c>
      <c r="AB223">
        <v>5</v>
      </c>
      <c r="AC223">
        <v>5</v>
      </c>
      <c r="AD223">
        <v>0</v>
      </c>
      <c r="AE223">
        <v>6</v>
      </c>
      <c r="AF223">
        <v>5</v>
      </c>
      <c r="AG223">
        <v>1</v>
      </c>
      <c r="AH223">
        <v>7</v>
      </c>
      <c r="AI223">
        <v>5</v>
      </c>
      <c r="AJ223">
        <v>2</v>
      </c>
      <c r="AK223" t="s">
        <v>2174</v>
      </c>
      <c r="AL223" t="s">
        <v>2175</v>
      </c>
      <c r="AM223" t="s">
        <v>2176</v>
      </c>
      <c r="AN223" t="s">
        <v>2177</v>
      </c>
      <c r="AO223" t="s">
        <v>2178</v>
      </c>
      <c r="AP223" t="s">
        <v>2179</v>
      </c>
      <c r="AQ223" t="s">
        <v>2180</v>
      </c>
      <c r="AR223" t="s">
        <v>2181</v>
      </c>
      <c r="AS223" t="s">
        <v>2182</v>
      </c>
    </row>
    <row r="224" spans="1:45" x14ac:dyDescent="0.45">
      <c r="A224">
        <v>223</v>
      </c>
      <c r="B224">
        <v>2213</v>
      </c>
      <c r="C224" t="s">
        <v>78</v>
      </c>
      <c r="D224" t="s">
        <v>73</v>
      </c>
      <c r="E224" t="s">
        <v>74</v>
      </c>
      <c r="F224" t="s">
        <v>77</v>
      </c>
      <c r="G224" t="s">
        <v>76</v>
      </c>
      <c r="H224">
        <v>65.920209687056527</v>
      </c>
      <c r="I224">
        <v>2</v>
      </c>
      <c r="J224">
        <v>6</v>
      </c>
      <c r="K224">
        <v>6</v>
      </c>
      <c r="L224">
        <v>0</v>
      </c>
      <c r="M224">
        <v>7</v>
      </c>
      <c r="N224">
        <v>6</v>
      </c>
      <c r="O224">
        <v>1</v>
      </c>
      <c r="P224">
        <v>8</v>
      </c>
      <c r="Q224">
        <v>7</v>
      </c>
      <c r="R224">
        <v>1</v>
      </c>
      <c r="S224">
        <v>7</v>
      </c>
      <c r="T224">
        <v>7</v>
      </c>
      <c r="U224">
        <v>0</v>
      </c>
      <c r="V224">
        <v>8</v>
      </c>
      <c r="W224">
        <v>6</v>
      </c>
      <c r="X224">
        <v>2</v>
      </c>
      <c r="Y224">
        <v>7</v>
      </c>
      <c r="Z224">
        <v>6</v>
      </c>
      <c r="AA224">
        <v>1</v>
      </c>
      <c r="AB224">
        <v>6</v>
      </c>
      <c r="AC224">
        <v>8</v>
      </c>
      <c r="AD224">
        <v>-2</v>
      </c>
      <c r="AE224">
        <v>5</v>
      </c>
      <c r="AF224">
        <v>8</v>
      </c>
      <c r="AG224">
        <v>-3</v>
      </c>
      <c r="AH224">
        <v>7</v>
      </c>
      <c r="AI224">
        <v>7</v>
      </c>
      <c r="AJ224">
        <v>0</v>
      </c>
      <c r="AK224" t="s">
        <v>2183</v>
      </c>
      <c r="AL224" t="s">
        <v>2184</v>
      </c>
      <c r="AM224" t="s">
        <v>2185</v>
      </c>
      <c r="AN224" t="s">
        <v>2186</v>
      </c>
      <c r="AO224" t="s">
        <v>2187</v>
      </c>
      <c r="AP224" t="s">
        <v>2188</v>
      </c>
      <c r="AQ224" t="s">
        <v>2189</v>
      </c>
      <c r="AR224" t="s">
        <v>2190</v>
      </c>
      <c r="AS224" t="s">
        <v>2191</v>
      </c>
    </row>
    <row r="225" spans="1:45" x14ac:dyDescent="0.45">
      <c r="A225">
        <v>224</v>
      </c>
      <c r="B225">
        <v>2214</v>
      </c>
      <c r="C225" t="s">
        <v>72</v>
      </c>
      <c r="D225" t="s">
        <v>73</v>
      </c>
      <c r="E225" t="s">
        <v>74</v>
      </c>
      <c r="F225" t="s">
        <v>75</v>
      </c>
      <c r="G225" t="s">
        <v>76</v>
      </c>
      <c r="H225">
        <v>54.0873404483496</v>
      </c>
      <c r="I225">
        <v>0</v>
      </c>
      <c r="J225">
        <v>7</v>
      </c>
      <c r="K225">
        <v>7</v>
      </c>
      <c r="L225">
        <v>0</v>
      </c>
      <c r="M225">
        <v>8</v>
      </c>
      <c r="N225">
        <v>7</v>
      </c>
      <c r="O225">
        <v>1</v>
      </c>
      <c r="P225">
        <v>9</v>
      </c>
      <c r="Q225">
        <v>7</v>
      </c>
      <c r="R225">
        <v>2</v>
      </c>
      <c r="S225">
        <v>8</v>
      </c>
      <c r="T225">
        <v>7</v>
      </c>
      <c r="U225">
        <v>1</v>
      </c>
      <c r="V225">
        <v>9</v>
      </c>
      <c r="W225">
        <v>7</v>
      </c>
      <c r="X225">
        <v>2</v>
      </c>
      <c r="Y225">
        <v>7</v>
      </c>
      <c r="Z225">
        <v>7</v>
      </c>
      <c r="AA225">
        <v>0</v>
      </c>
      <c r="AB225">
        <v>8</v>
      </c>
      <c r="AC225">
        <v>7</v>
      </c>
      <c r="AD225">
        <v>1</v>
      </c>
      <c r="AE225">
        <v>7</v>
      </c>
      <c r="AF225">
        <v>7</v>
      </c>
      <c r="AG225">
        <v>0</v>
      </c>
      <c r="AH225">
        <v>9</v>
      </c>
      <c r="AI225">
        <v>7</v>
      </c>
      <c r="AJ225">
        <v>2</v>
      </c>
      <c r="AK225" t="s">
        <v>2192</v>
      </c>
      <c r="AL225" t="s">
        <v>2193</v>
      </c>
      <c r="AM225" t="s">
        <v>2194</v>
      </c>
      <c r="AN225" t="s">
        <v>2195</v>
      </c>
      <c r="AO225" t="s">
        <v>2196</v>
      </c>
      <c r="AP225" t="s">
        <v>2197</v>
      </c>
      <c r="AQ225" t="s">
        <v>2198</v>
      </c>
      <c r="AR225" t="s">
        <v>2199</v>
      </c>
      <c r="AS225" t="s">
        <v>2200</v>
      </c>
    </row>
    <row r="226" spans="1:45" x14ac:dyDescent="0.45">
      <c r="A226">
        <v>225</v>
      </c>
      <c r="B226">
        <v>2215</v>
      </c>
      <c r="C226" t="s">
        <v>72</v>
      </c>
      <c r="D226" t="s">
        <v>73</v>
      </c>
      <c r="E226" t="s">
        <v>74</v>
      </c>
      <c r="F226" t="s">
        <v>77</v>
      </c>
      <c r="G226" t="s">
        <v>76</v>
      </c>
      <c r="H226">
        <v>43.414690117838731</v>
      </c>
      <c r="I226">
        <v>1</v>
      </c>
      <c r="J226">
        <v>6</v>
      </c>
      <c r="K226">
        <v>6</v>
      </c>
      <c r="L226">
        <v>0</v>
      </c>
      <c r="M226">
        <v>6</v>
      </c>
      <c r="N226">
        <v>6</v>
      </c>
      <c r="O226">
        <v>0</v>
      </c>
      <c r="P226">
        <v>7</v>
      </c>
      <c r="Q226">
        <v>7</v>
      </c>
      <c r="R226">
        <v>0</v>
      </c>
      <c r="S226">
        <v>6</v>
      </c>
      <c r="T226">
        <v>7</v>
      </c>
      <c r="U226">
        <v>-1</v>
      </c>
      <c r="V226">
        <v>7</v>
      </c>
      <c r="W226">
        <v>5</v>
      </c>
      <c r="X226">
        <v>2</v>
      </c>
      <c r="Y226">
        <v>4</v>
      </c>
      <c r="Z226">
        <v>6</v>
      </c>
      <c r="AA226">
        <v>-2</v>
      </c>
      <c r="AB226">
        <v>6</v>
      </c>
      <c r="AC226">
        <v>6</v>
      </c>
      <c r="AD226">
        <v>0</v>
      </c>
      <c r="AE226">
        <v>7</v>
      </c>
      <c r="AF226">
        <v>6</v>
      </c>
      <c r="AG226">
        <v>1</v>
      </c>
      <c r="AH226">
        <v>5</v>
      </c>
      <c r="AI226">
        <v>7</v>
      </c>
      <c r="AJ226">
        <v>-2</v>
      </c>
      <c r="AK226" t="s">
        <v>2201</v>
      </c>
      <c r="AL226" t="s">
        <v>2202</v>
      </c>
      <c r="AM226" t="s">
        <v>2203</v>
      </c>
      <c r="AN226" t="s">
        <v>2204</v>
      </c>
      <c r="AO226" t="s">
        <v>2205</v>
      </c>
      <c r="AP226" t="s">
        <v>2206</v>
      </c>
      <c r="AQ226" t="s">
        <v>2207</v>
      </c>
      <c r="AR226" t="s">
        <v>2208</v>
      </c>
      <c r="AS226" t="s">
        <v>2209</v>
      </c>
    </row>
    <row r="227" spans="1:45" x14ac:dyDescent="0.45">
      <c r="A227">
        <v>226</v>
      </c>
      <c r="B227">
        <v>2216</v>
      </c>
      <c r="C227" t="s">
        <v>72</v>
      </c>
      <c r="D227" t="s">
        <v>192</v>
      </c>
      <c r="E227" t="s">
        <v>74</v>
      </c>
      <c r="F227" t="s">
        <v>75</v>
      </c>
      <c r="G227" t="s">
        <v>76</v>
      </c>
      <c r="H227">
        <v>84.074035270115829</v>
      </c>
      <c r="I227">
        <v>2</v>
      </c>
      <c r="J227">
        <v>5</v>
      </c>
      <c r="K227">
        <v>7</v>
      </c>
      <c r="L227">
        <v>-2</v>
      </c>
      <c r="M227">
        <v>6</v>
      </c>
      <c r="N227">
        <v>7</v>
      </c>
      <c r="O227">
        <v>-1</v>
      </c>
      <c r="P227">
        <v>7</v>
      </c>
      <c r="Q227">
        <v>6</v>
      </c>
      <c r="R227">
        <v>1</v>
      </c>
      <c r="S227">
        <v>8</v>
      </c>
      <c r="T227">
        <v>7</v>
      </c>
      <c r="U227">
        <v>1</v>
      </c>
      <c r="V227">
        <v>7</v>
      </c>
      <c r="W227">
        <v>7</v>
      </c>
      <c r="X227">
        <v>0</v>
      </c>
      <c r="Y227">
        <v>8</v>
      </c>
      <c r="Z227">
        <v>7</v>
      </c>
      <c r="AA227">
        <v>1</v>
      </c>
      <c r="AB227">
        <v>6</v>
      </c>
      <c r="AC227">
        <v>7</v>
      </c>
      <c r="AD227">
        <v>-1</v>
      </c>
      <c r="AE227">
        <v>5</v>
      </c>
      <c r="AF227">
        <v>7</v>
      </c>
      <c r="AG227">
        <v>-2</v>
      </c>
      <c r="AH227">
        <v>7</v>
      </c>
      <c r="AI227">
        <v>7</v>
      </c>
      <c r="AJ227">
        <v>0</v>
      </c>
      <c r="AK227" t="s">
        <v>2210</v>
      </c>
      <c r="AL227" t="s">
        <v>2211</v>
      </c>
      <c r="AM227" t="s">
        <v>2212</v>
      </c>
      <c r="AN227" t="s">
        <v>2213</v>
      </c>
      <c r="AO227" t="s">
        <v>2214</v>
      </c>
      <c r="AP227" t="s">
        <v>2215</v>
      </c>
      <c r="AQ227" t="s">
        <v>2216</v>
      </c>
      <c r="AR227" t="s">
        <v>2217</v>
      </c>
      <c r="AS227" t="s">
        <v>2218</v>
      </c>
    </row>
    <row r="228" spans="1:45" x14ac:dyDescent="0.45">
      <c r="A228">
        <v>227</v>
      </c>
      <c r="B228">
        <v>2217</v>
      </c>
      <c r="C228" t="s">
        <v>72</v>
      </c>
      <c r="D228" t="s">
        <v>81</v>
      </c>
      <c r="E228" t="s">
        <v>74</v>
      </c>
      <c r="F228" t="s">
        <v>77</v>
      </c>
      <c r="G228" t="s">
        <v>76</v>
      </c>
      <c r="H228">
        <v>26.554586124237517</v>
      </c>
      <c r="I228">
        <v>0</v>
      </c>
      <c r="J228">
        <v>7</v>
      </c>
      <c r="K228">
        <v>6</v>
      </c>
      <c r="L228">
        <v>1</v>
      </c>
      <c r="M228">
        <v>6</v>
      </c>
      <c r="N228">
        <v>6</v>
      </c>
      <c r="O228">
        <v>0</v>
      </c>
      <c r="P228">
        <v>6</v>
      </c>
      <c r="Q228">
        <v>6</v>
      </c>
      <c r="R228">
        <v>0</v>
      </c>
      <c r="S228">
        <v>8</v>
      </c>
      <c r="T228">
        <v>6</v>
      </c>
      <c r="U228">
        <v>2</v>
      </c>
      <c r="V228">
        <v>5</v>
      </c>
      <c r="W228">
        <v>6</v>
      </c>
      <c r="X228">
        <v>-1</v>
      </c>
      <c r="Y228">
        <v>7</v>
      </c>
      <c r="Z228">
        <v>6</v>
      </c>
      <c r="AA228">
        <v>1</v>
      </c>
      <c r="AB228">
        <v>5</v>
      </c>
      <c r="AC228">
        <v>6</v>
      </c>
      <c r="AD228">
        <v>-1</v>
      </c>
      <c r="AE228">
        <v>5</v>
      </c>
      <c r="AF228">
        <v>6</v>
      </c>
      <c r="AG228">
        <v>-1</v>
      </c>
      <c r="AH228">
        <v>6</v>
      </c>
      <c r="AI228">
        <v>6</v>
      </c>
      <c r="AJ228">
        <v>0</v>
      </c>
      <c r="AK228" t="s">
        <v>2219</v>
      </c>
      <c r="AL228" t="s">
        <v>2220</v>
      </c>
      <c r="AM228" t="s">
        <v>2221</v>
      </c>
      <c r="AN228" t="s">
        <v>2222</v>
      </c>
      <c r="AO228" t="s">
        <v>2223</v>
      </c>
      <c r="AP228" t="s">
        <v>2222</v>
      </c>
      <c r="AQ228" t="s">
        <v>2224</v>
      </c>
      <c r="AR228" t="s">
        <v>2225</v>
      </c>
      <c r="AS228" t="s">
        <v>2226</v>
      </c>
    </row>
    <row r="229" spans="1:45" x14ac:dyDescent="0.45">
      <c r="A229">
        <v>228</v>
      </c>
      <c r="B229">
        <v>2218</v>
      </c>
      <c r="C229" t="s">
        <v>72</v>
      </c>
      <c r="D229" t="s">
        <v>81</v>
      </c>
      <c r="E229" t="s">
        <v>74</v>
      </c>
      <c r="F229" t="s">
        <v>77</v>
      </c>
      <c r="G229" t="s">
        <v>76</v>
      </c>
      <c r="H229">
        <v>18.971675083764307</v>
      </c>
      <c r="I229">
        <v>2</v>
      </c>
      <c r="J229">
        <v>7</v>
      </c>
      <c r="K229">
        <v>8</v>
      </c>
      <c r="L229">
        <v>-1</v>
      </c>
      <c r="M229">
        <v>8</v>
      </c>
      <c r="N229">
        <v>9</v>
      </c>
      <c r="O229">
        <v>-1</v>
      </c>
      <c r="P229">
        <v>6</v>
      </c>
      <c r="Q229">
        <v>7</v>
      </c>
      <c r="R229">
        <v>-1</v>
      </c>
      <c r="S229">
        <v>8</v>
      </c>
      <c r="T229">
        <v>8</v>
      </c>
      <c r="U229">
        <v>0</v>
      </c>
      <c r="V229">
        <v>6</v>
      </c>
      <c r="W229">
        <v>9</v>
      </c>
      <c r="X229">
        <v>-3</v>
      </c>
      <c r="Y229">
        <v>7</v>
      </c>
      <c r="Z229">
        <v>8</v>
      </c>
      <c r="AA229">
        <v>-1</v>
      </c>
      <c r="AB229">
        <v>6</v>
      </c>
      <c r="AC229">
        <v>8</v>
      </c>
      <c r="AD229">
        <v>-2</v>
      </c>
      <c r="AE229">
        <v>7</v>
      </c>
      <c r="AF229">
        <v>8</v>
      </c>
      <c r="AG229">
        <v>-1</v>
      </c>
      <c r="AH229">
        <v>6</v>
      </c>
      <c r="AI229">
        <v>8</v>
      </c>
      <c r="AJ229">
        <v>-2</v>
      </c>
      <c r="AK229" t="s">
        <v>2227</v>
      </c>
      <c r="AL229" t="s">
        <v>2228</v>
      </c>
      <c r="AM229" t="s">
        <v>2229</v>
      </c>
      <c r="AN229" t="s">
        <v>2230</v>
      </c>
      <c r="AO229" t="s">
        <v>2231</v>
      </c>
      <c r="AP229" t="s">
        <v>2232</v>
      </c>
      <c r="AQ229" t="s">
        <v>2233</v>
      </c>
      <c r="AR229" t="s">
        <v>2234</v>
      </c>
      <c r="AS229" t="s">
        <v>2235</v>
      </c>
    </row>
    <row r="230" spans="1:45" x14ac:dyDescent="0.45">
      <c r="A230">
        <v>229</v>
      </c>
      <c r="B230">
        <v>2219</v>
      </c>
      <c r="C230" t="s">
        <v>72</v>
      </c>
      <c r="D230" t="s">
        <v>73</v>
      </c>
      <c r="E230" t="s">
        <v>74</v>
      </c>
      <c r="F230" t="s">
        <v>77</v>
      </c>
      <c r="G230" t="s">
        <v>76</v>
      </c>
      <c r="H230">
        <v>62.619751996049857</v>
      </c>
      <c r="I230">
        <v>2</v>
      </c>
      <c r="J230">
        <v>8</v>
      </c>
      <c r="K230">
        <v>6</v>
      </c>
      <c r="L230">
        <v>2</v>
      </c>
      <c r="M230">
        <v>7</v>
      </c>
      <c r="N230">
        <v>6</v>
      </c>
      <c r="O230">
        <v>1</v>
      </c>
      <c r="P230">
        <v>9</v>
      </c>
      <c r="Q230">
        <v>6</v>
      </c>
      <c r="R230">
        <v>3</v>
      </c>
      <c r="S230">
        <v>8</v>
      </c>
      <c r="T230">
        <v>6</v>
      </c>
      <c r="U230">
        <v>2</v>
      </c>
      <c r="V230">
        <v>7</v>
      </c>
      <c r="W230">
        <v>6</v>
      </c>
      <c r="X230">
        <v>1</v>
      </c>
      <c r="Y230">
        <v>8</v>
      </c>
      <c r="Z230">
        <v>7</v>
      </c>
      <c r="AA230">
        <v>1</v>
      </c>
      <c r="AB230">
        <v>7</v>
      </c>
      <c r="AC230">
        <v>6</v>
      </c>
      <c r="AD230">
        <v>1</v>
      </c>
      <c r="AE230">
        <v>6</v>
      </c>
      <c r="AF230">
        <v>6</v>
      </c>
      <c r="AG230">
        <v>0</v>
      </c>
      <c r="AH230">
        <v>7</v>
      </c>
      <c r="AI230">
        <v>7</v>
      </c>
      <c r="AJ230">
        <v>0</v>
      </c>
      <c r="AK230" t="s">
        <v>2236</v>
      </c>
      <c r="AL230" t="s">
        <v>2237</v>
      </c>
      <c r="AM230" t="s">
        <v>2238</v>
      </c>
      <c r="AN230" t="s">
        <v>2239</v>
      </c>
      <c r="AO230" t="s">
        <v>2240</v>
      </c>
      <c r="AP230" t="s">
        <v>2241</v>
      </c>
      <c r="AQ230" t="s">
        <v>2242</v>
      </c>
      <c r="AR230" t="s">
        <v>2243</v>
      </c>
      <c r="AS230" t="s">
        <v>2244</v>
      </c>
    </row>
    <row r="231" spans="1:45" x14ac:dyDescent="0.45">
      <c r="A231">
        <v>230</v>
      </c>
      <c r="B231">
        <v>2220</v>
      </c>
      <c r="C231" t="s">
        <v>72</v>
      </c>
      <c r="D231" t="s">
        <v>79</v>
      </c>
      <c r="E231" t="s">
        <v>74</v>
      </c>
      <c r="F231" t="s">
        <v>75</v>
      </c>
      <c r="G231" t="s">
        <v>76</v>
      </c>
      <c r="H231">
        <v>95.054824638140062</v>
      </c>
      <c r="I231">
        <v>4</v>
      </c>
      <c r="J231">
        <v>7</v>
      </c>
      <c r="K231">
        <v>4</v>
      </c>
      <c r="L231">
        <v>3</v>
      </c>
      <c r="M231">
        <v>8</v>
      </c>
      <c r="N231">
        <v>5</v>
      </c>
      <c r="O231">
        <v>3</v>
      </c>
      <c r="P231">
        <v>6</v>
      </c>
      <c r="Q231">
        <v>1</v>
      </c>
      <c r="R231">
        <v>5</v>
      </c>
      <c r="S231">
        <v>7</v>
      </c>
      <c r="T231">
        <v>6</v>
      </c>
      <c r="U231">
        <v>1</v>
      </c>
      <c r="V231">
        <v>8</v>
      </c>
      <c r="W231">
        <v>4</v>
      </c>
      <c r="X231">
        <v>4</v>
      </c>
      <c r="Y231">
        <v>7</v>
      </c>
      <c r="Z231">
        <v>4</v>
      </c>
      <c r="AA231">
        <v>3</v>
      </c>
      <c r="AB231">
        <v>6</v>
      </c>
      <c r="AC231">
        <v>5</v>
      </c>
      <c r="AD231">
        <v>1</v>
      </c>
      <c r="AE231">
        <v>7</v>
      </c>
      <c r="AF231">
        <v>5</v>
      </c>
      <c r="AG231">
        <v>2</v>
      </c>
      <c r="AH231">
        <v>7</v>
      </c>
      <c r="AI231">
        <v>5</v>
      </c>
      <c r="AJ231">
        <v>2</v>
      </c>
      <c r="AK231" t="s">
        <v>2245</v>
      </c>
      <c r="AL231" t="s">
        <v>2246</v>
      </c>
      <c r="AM231" t="s">
        <v>2247</v>
      </c>
      <c r="AN231" t="s">
        <v>2248</v>
      </c>
      <c r="AO231" t="s">
        <v>2249</v>
      </c>
      <c r="AP231" t="s">
        <v>2250</v>
      </c>
      <c r="AQ231" t="s">
        <v>2251</v>
      </c>
      <c r="AR231" t="s">
        <v>2252</v>
      </c>
      <c r="AS231" t="s">
        <v>2253</v>
      </c>
    </row>
    <row r="232" spans="1:45" x14ac:dyDescent="0.45">
      <c r="A232">
        <v>231</v>
      </c>
      <c r="B232">
        <v>2221</v>
      </c>
      <c r="C232" t="s">
        <v>78</v>
      </c>
      <c r="D232" t="s">
        <v>192</v>
      </c>
      <c r="E232" t="s">
        <v>74</v>
      </c>
      <c r="F232" t="s">
        <v>75</v>
      </c>
      <c r="G232" t="s">
        <v>76</v>
      </c>
      <c r="H232">
        <v>186.43692716427915</v>
      </c>
      <c r="I232">
        <v>4</v>
      </c>
      <c r="J232">
        <v>7</v>
      </c>
      <c r="K232">
        <v>8</v>
      </c>
      <c r="L232">
        <v>-1</v>
      </c>
      <c r="M232">
        <v>6</v>
      </c>
      <c r="N232">
        <v>8</v>
      </c>
      <c r="O232">
        <v>-2</v>
      </c>
      <c r="P232">
        <v>8</v>
      </c>
      <c r="Q232">
        <v>8</v>
      </c>
      <c r="R232">
        <v>0</v>
      </c>
      <c r="S232">
        <v>9</v>
      </c>
      <c r="T232">
        <v>8</v>
      </c>
      <c r="U232">
        <v>1</v>
      </c>
      <c r="V232">
        <v>8</v>
      </c>
      <c r="W232">
        <v>7</v>
      </c>
      <c r="X232">
        <v>1</v>
      </c>
      <c r="Y232">
        <v>7</v>
      </c>
      <c r="Z232">
        <v>7</v>
      </c>
      <c r="AA232">
        <v>0</v>
      </c>
      <c r="AB232">
        <v>7</v>
      </c>
      <c r="AC232">
        <v>8</v>
      </c>
      <c r="AD232">
        <v>-1</v>
      </c>
      <c r="AE232">
        <v>8</v>
      </c>
      <c r="AF232">
        <v>7</v>
      </c>
      <c r="AG232">
        <v>1</v>
      </c>
      <c r="AH232">
        <v>8</v>
      </c>
      <c r="AI232">
        <v>8</v>
      </c>
      <c r="AJ232">
        <v>0</v>
      </c>
      <c r="AK232" t="s">
        <v>2254</v>
      </c>
      <c r="AL232" t="s">
        <v>2255</v>
      </c>
      <c r="AM232" t="s">
        <v>2256</v>
      </c>
      <c r="AN232" t="s">
        <v>2257</v>
      </c>
      <c r="AO232" t="s">
        <v>2258</v>
      </c>
      <c r="AP232" t="s">
        <v>2259</v>
      </c>
      <c r="AQ232" t="s">
        <v>2260</v>
      </c>
      <c r="AR232" t="s">
        <v>2261</v>
      </c>
      <c r="AS232" t="s">
        <v>2262</v>
      </c>
    </row>
    <row r="233" spans="1:45" x14ac:dyDescent="0.45">
      <c r="A233">
        <v>232</v>
      </c>
      <c r="B233">
        <v>2222</v>
      </c>
      <c r="C233" t="s">
        <v>78</v>
      </c>
      <c r="D233" t="s">
        <v>73</v>
      </c>
      <c r="E233" t="s">
        <v>74</v>
      </c>
      <c r="F233" t="s">
        <v>77</v>
      </c>
      <c r="G233" t="s">
        <v>76</v>
      </c>
      <c r="H233">
        <v>54.677067865377872</v>
      </c>
      <c r="I233">
        <v>2</v>
      </c>
      <c r="J233">
        <v>8</v>
      </c>
      <c r="K233">
        <v>6</v>
      </c>
      <c r="L233">
        <v>2</v>
      </c>
      <c r="M233">
        <v>7</v>
      </c>
      <c r="N233">
        <v>6</v>
      </c>
      <c r="O233">
        <v>1</v>
      </c>
      <c r="P233">
        <v>9</v>
      </c>
      <c r="Q233">
        <v>6</v>
      </c>
      <c r="R233">
        <v>3</v>
      </c>
      <c r="S233">
        <v>8</v>
      </c>
      <c r="T233">
        <v>6</v>
      </c>
      <c r="U233">
        <v>2</v>
      </c>
      <c r="V233">
        <v>7</v>
      </c>
      <c r="W233">
        <v>6</v>
      </c>
      <c r="X233">
        <v>1</v>
      </c>
      <c r="Y233">
        <v>6</v>
      </c>
      <c r="Z233">
        <v>6</v>
      </c>
      <c r="AA233">
        <v>0</v>
      </c>
      <c r="AB233">
        <v>6</v>
      </c>
      <c r="AC233">
        <v>6</v>
      </c>
      <c r="AD233">
        <v>0</v>
      </c>
      <c r="AE233">
        <v>5</v>
      </c>
      <c r="AF233">
        <v>6</v>
      </c>
      <c r="AG233">
        <v>-1</v>
      </c>
      <c r="AH233">
        <v>8</v>
      </c>
      <c r="AI233">
        <v>6</v>
      </c>
      <c r="AJ233">
        <v>2</v>
      </c>
      <c r="AK233" t="s">
        <v>2263</v>
      </c>
      <c r="AL233" t="s">
        <v>2264</v>
      </c>
      <c r="AM233" t="s">
        <v>2265</v>
      </c>
      <c r="AN233" t="s">
        <v>2266</v>
      </c>
      <c r="AO233" t="s">
        <v>2267</v>
      </c>
      <c r="AP233" t="s">
        <v>2268</v>
      </c>
      <c r="AQ233" t="s">
        <v>2269</v>
      </c>
      <c r="AR233" t="s">
        <v>2270</v>
      </c>
      <c r="AS233" t="s">
        <v>2271</v>
      </c>
    </row>
    <row r="234" spans="1:45" x14ac:dyDescent="0.45">
      <c r="A234">
        <v>233</v>
      </c>
      <c r="B234">
        <v>2223</v>
      </c>
      <c r="C234" t="s">
        <v>72</v>
      </c>
      <c r="D234" t="s">
        <v>79</v>
      </c>
      <c r="E234" t="s">
        <v>74</v>
      </c>
      <c r="F234" t="s">
        <v>77</v>
      </c>
      <c r="G234" t="s">
        <v>76</v>
      </c>
      <c r="H234">
        <v>13.101521068160853</v>
      </c>
      <c r="I234">
        <v>1</v>
      </c>
      <c r="J234">
        <v>7</v>
      </c>
      <c r="K234">
        <v>8</v>
      </c>
      <c r="L234">
        <v>-1</v>
      </c>
      <c r="M234">
        <v>6</v>
      </c>
      <c r="N234">
        <v>8</v>
      </c>
      <c r="O234">
        <v>-2</v>
      </c>
      <c r="P234">
        <v>8</v>
      </c>
      <c r="Q234">
        <v>8</v>
      </c>
      <c r="R234">
        <v>0</v>
      </c>
      <c r="S234">
        <v>7</v>
      </c>
      <c r="T234">
        <v>8</v>
      </c>
      <c r="U234">
        <v>-1</v>
      </c>
      <c r="V234">
        <v>8</v>
      </c>
      <c r="W234">
        <v>9</v>
      </c>
      <c r="X234">
        <v>-1</v>
      </c>
      <c r="Y234">
        <v>9</v>
      </c>
      <c r="Z234">
        <v>8</v>
      </c>
      <c r="AA234">
        <v>1</v>
      </c>
      <c r="AB234">
        <v>7</v>
      </c>
      <c r="AC234">
        <v>8</v>
      </c>
      <c r="AD234">
        <v>-1</v>
      </c>
      <c r="AE234">
        <v>6</v>
      </c>
      <c r="AF234">
        <v>8</v>
      </c>
      <c r="AG234">
        <v>-2</v>
      </c>
      <c r="AH234">
        <v>7</v>
      </c>
      <c r="AI234">
        <v>10</v>
      </c>
      <c r="AJ234">
        <v>-3</v>
      </c>
      <c r="AK234" t="s">
        <v>2272</v>
      </c>
      <c r="AL234" t="s">
        <v>2273</v>
      </c>
      <c r="AM234" t="s">
        <v>2274</v>
      </c>
      <c r="AN234" t="s">
        <v>2275</v>
      </c>
      <c r="AO234" t="s">
        <v>2276</v>
      </c>
      <c r="AP234" t="s">
        <v>2277</v>
      </c>
      <c r="AQ234" t="s">
        <v>2278</v>
      </c>
      <c r="AR234" t="s">
        <v>2279</v>
      </c>
      <c r="AS234" t="s">
        <v>2280</v>
      </c>
    </row>
    <row r="235" spans="1:45" x14ac:dyDescent="0.45">
      <c r="A235">
        <v>234</v>
      </c>
      <c r="B235">
        <v>2224</v>
      </c>
      <c r="C235" t="s">
        <v>72</v>
      </c>
      <c r="D235" t="s">
        <v>190</v>
      </c>
      <c r="E235" t="s">
        <v>74</v>
      </c>
      <c r="F235" t="s">
        <v>75</v>
      </c>
      <c r="G235" t="s">
        <v>76</v>
      </c>
      <c r="H235">
        <v>91.549762628109718</v>
      </c>
      <c r="I235">
        <v>3</v>
      </c>
      <c r="J235">
        <v>6</v>
      </c>
      <c r="K235">
        <v>4</v>
      </c>
      <c r="L235">
        <v>2</v>
      </c>
      <c r="M235">
        <v>7</v>
      </c>
      <c r="N235">
        <v>4</v>
      </c>
      <c r="O235">
        <v>3</v>
      </c>
      <c r="P235">
        <v>8</v>
      </c>
      <c r="Q235">
        <v>4</v>
      </c>
      <c r="R235">
        <v>4</v>
      </c>
      <c r="S235">
        <v>7</v>
      </c>
      <c r="T235">
        <v>4</v>
      </c>
      <c r="U235">
        <v>3</v>
      </c>
      <c r="V235">
        <v>8</v>
      </c>
      <c r="W235">
        <v>1</v>
      </c>
      <c r="X235">
        <v>7</v>
      </c>
      <c r="Y235">
        <v>9</v>
      </c>
      <c r="Z235">
        <v>3</v>
      </c>
      <c r="AA235">
        <v>6</v>
      </c>
      <c r="AB235">
        <v>7</v>
      </c>
      <c r="AC235">
        <v>1</v>
      </c>
      <c r="AD235">
        <v>6</v>
      </c>
      <c r="AE235">
        <v>8</v>
      </c>
      <c r="AF235">
        <v>1</v>
      </c>
      <c r="AG235">
        <v>7</v>
      </c>
      <c r="AH235">
        <v>9</v>
      </c>
      <c r="AI235">
        <v>1</v>
      </c>
      <c r="AJ235">
        <v>8</v>
      </c>
      <c r="AK235" t="s">
        <v>2281</v>
      </c>
      <c r="AL235" t="s">
        <v>2282</v>
      </c>
      <c r="AM235" t="s">
        <v>2283</v>
      </c>
      <c r="AN235" t="s">
        <v>2284</v>
      </c>
      <c r="AO235" t="s">
        <v>2285</v>
      </c>
      <c r="AP235" t="s">
        <v>2286</v>
      </c>
      <c r="AQ235" t="s">
        <v>2287</v>
      </c>
      <c r="AR235" t="s">
        <v>2288</v>
      </c>
      <c r="AS235" t="s">
        <v>2289</v>
      </c>
    </row>
    <row r="236" spans="1:45" x14ac:dyDescent="0.45">
      <c r="A236">
        <v>235</v>
      </c>
      <c r="B236">
        <v>2225</v>
      </c>
      <c r="C236" t="s">
        <v>72</v>
      </c>
      <c r="D236" t="s">
        <v>73</v>
      </c>
      <c r="E236" t="s">
        <v>74</v>
      </c>
      <c r="F236" t="s">
        <v>77</v>
      </c>
      <c r="G236" t="s">
        <v>76</v>
      </c>
      <c r="H236">
        <v>35.712238417609569</v>
      </c>
      <c r="I236">
        <v>0</v>
      </c>
      <c r="J236">
        <v>8</v>
      </c>
      <c r="K236">
        <v>6</v>
      </c>
      <c r="L236">
        <v>2</v>
      </c>
      <c r="M236">
        <v>7</v>
      </c>
      <c r="N236">
        <v>6</v>
      </c>
      <c r="O236">
        <v>1</v>
      </c>
      <c r="P236">
        <v>9</v>
      </c>
      <c r="Q236">
        <v>1</v>
      </c>
      <c r="R236">
        <v>8</v>
      </c>
      <c r="S236">
        <v>8</v>
      </c>
      <c r="T236">
        <v>6</v>
      </c>
      <c r="U236">
        <v>2</v>
      </c>
      <c r="V236">
        <v>6</v>
      </c>
      <c r="W236">
        <v>5</v>
      </c>
      <c r="X236">
        <v>1</v>
      </c>
      <c r="Y236">
        <v>7</v>
      </c>
      <c r="Z236">
        <v>6</v>
      </c>
      <c r="AA236">
        <v>1</v>
      </c>
      <c r="AB236">
        <v>5</v>
      </c>
      <c r="AC236">
        <v>5</v>
      </c>
      <c r="AD236">
        <v>0</v>
      </c>
      <c r="AE236">
        <v>6</v>
      </c>
      <c r="AF236">
        <v>6</v>
      </c>
      <c r="AG236">
        <v>0</v>
      </c>
      <c r="AH236">
        <v>7</v>
      </c>
      <c r="AI236">
        <v>6</v>
      </c>
      <c r="AJ236">
        <v>1</v>
      </c>
      <c r="AK236" t="s">
        <v>2290</v>
      </c>
      <c r="AL236" t="s">
        <v>2291</v>
      </c>
      <c r="AM236" t="s">
        <v>2292</v>
      </c>
      <c r="AN236" t="s">
        <v>2293</v>
      </c>
      <c r="AO236" t="s">
        <v>2294</v>
      </c>
      <c r="AP236" t="s">
        <v>2295</v>
      </c>
      <c r="AQ236" t="s">
        <v>2296</v>
      </c>
      <c r="AR236" t="s">
        <v>2297</v>
      </c>
      <c r="AS236" t="s">
        <v>2298</v>
      </c>
    </row>
    <row r="237" spans="1:45" x14ac:dyDescent="0.45">
      <c r="A237">
        <v>236</v>
      </c>
      <c r="B237">
        <v>2226</v>
      </c>
      <c r="C237" t="s">
        <v>72</v>
      </c>
      <c r="D237" t="s">
        <v>73</v>
      </c>
      <c r="E237" t="s">
        <v>74</v>
      </c>
      <c r="F237" t="s">
        <v>75</v>
      </c>
      <c r="G237" t="s">
        <v>76</v>
      </c>
      <c r="H237">
        <v>58.668880008919636</v>
      </c>
      <c r="I237">
        <v>3</v>
      </c>
      <c r="J237">
        <v>8</v>
      </c>
      <c r="K237">
        <v>7</v>
      </c>
      <c r="L237">
        <v>1</v>
      </c>
      <c r="M237">
        <v>7</v>
      </c>
      <c r="N237">
        <v>7</v>
      </c>
      <c r="O237">
        <v>0</v>
      </c>
      <c r="P237">
        <v>9</v>
      </c>
      <c r="Q237">
        <v>7</v>
      </c>
      <c r="R237">
        <v>2</v>
      </c>
      <c r="S237">
        <v>8</v>
      </c>
      <c r="T237">
        <v>7</v>
      </c>
      <c r="U237">
        <v>1</v>
      </c>
      <c r="V237">
        <v>6</v>
      </c>
      <c r="W237">
        <v>7</v>
      </c>
      <c r="X237">
        <v>-1</v>
      </c>
      <c r="Y237">
        <v>7</v>
      </c>
      <c r="Z237">
        <v>7</v>
      </c>
      <c r="AA237">
        <v>0</v>
      </c>
      <c r="AB237">
        <v>5</v>
      </c>
      <c r="AC237">
        <v>7</v>
      </c>
      <c r="AD237">
        <v>-2</v>
      </c>
      <c r="AE237">
        <v>6</v>
      </c>
      <c r="AF237">
        <v>7</v>
      </c>
      <c r="AG237">
        <v>-1</v>
      </c>
      <c r="AH237">
        <v>7</v>
      </c>
      <c r="AI237">
        <v>7</v>
      </c>
      <c r="AJ237">
        <v>0</v>
      </c>
      <c r="AK237" t="s">
        <v>2299</v>
      </c>
      <c r="AL237" t="s">
        <v>2300</v>
      </c>
      <c r="AM237" t="s">
        <v>2301</v>
      </c>
      <c r="AN237" t="s">
        <v>2302</v>
      </c>
      <c r="AO237" t="s">
        <v>2303</v>
      </c>
      <c r="AP237" t="s">
        <v>2304</v>
      </c>
      <c r="AQ237" t="s">
        <v>2305</v>
      </c>
      <c r="AR237" t="s">
        <v>2306</v>
      </c>
      <c r="AS237" t="s">
        <v>2307</v>
      </c>
    </row>
    <row r="238" spans="1:45" x14ac:dyDescent="0.45">
      <c r="A238">
        <v>237</v>
      </c>
      <c r="B238">
        <v>2227</v>
      </c>
      <c r="C238" t="s">
        <v>78</v>
      </c>
      <c r="D238" t="s">
        <v>73</v>
      </c>
      <c r="E238" t="s">
        <v>74</v>
      </c>
      <c r="F238" t="s">
        <v>75</v>
      </c>
      <c r="G238" t="s">
        <v>161</v>
      </c>
      <c r="H238">
        <v>15.776987206239891</v>
      </c>
      <c r="I238">
        <v>3</v>
      </c>
      <c r="J238">
        <v>7</v>
      </c>
      <c r="K238">
        <v>10</v>
      </c>
      <c r="L238">
        <v>-3</v>
      </c>
      <c r="M238">
        <v>6</v>
      </c>
      <c r="N238">
        <v>10</v>
      </c>
      <c r="O238">
        <v>-4</v>
      </c>
      <c r="P238">
        <v>8</v>
      </c>
      <c r="Q238">
        <v>4</v>
      </c>
      <c r="R238">
        <v>4</v>
      </c>
      <c r="S238">
        <v>7</v>
      </c>
      <c r="T238">
        <v>6</v>
      </c>
      <c r="U238">
        <v>1</v>
      </c>
      <c r="V238">
        <v>6</v>
      </c>
      <c r="W238">
        <v>3</v>
      </c>
      <c r="X238">
        <v>3</v>
      </c>
      <c r="Y238">
        <v>7</v>
      </c>
      <c r="Z238">
        <v>1</v>
      </c>
      <c r="AA238">
        <v>6</v>
      </c>
      <c r="AB238">
        <v>6</v>
      </c>
      <c r="AC238">
        <v>1</v>
      </c>
      <c r="AD238">
        <v>5</v>
      </c>
      <c r="AE238">
        <v>5</v>
      </c>
      <c r="AF238">
        <v>3</v>
      </c>
      <c r="AG238">
        <v>2</v>
      </c>
      <c r="AH238">
        <v>8</v>
      </c>
      <c r="AI238">
        <v>1</v>
      </c>
      <c r="AJ238">
        <v>7</v>
      </c>
      <c r="AK238" t="s">
        <v>2308</v>
      </c>
      <c r="AL238" t="s">
        <v>2309</v>
      </c>
      <c r="AM238" t="s">
        <v>2310</v>
      </c>
      <c r="AN238" t="s">
        <v>2311</v>
      </c>
      <c r="AO238" t="s">
        <v>2312</v>
      </c>
      <c r="AP238" t="s">
        <v>2313</v>
      </c>
      <c r="AQ238" t="s">
        <v>2314</v>
      </c>
      <c r="AR238" t="s">
        <v>2315</v>
      </c>
      <c r="AS238" t="s">
        <v>2316</v>
      </c>
    </row>
    <row r="239" spans="1:45" x14ac:dyDescent="0.45">
      <c r="A239">
        <v>238</v>
      </c>
      <c r="B239">
        <v>2228</v>
      </c>
      <c r="C239" t="s">
        <v>72</v>
      </c>
      <c r="D239" t="s">
        <v>73</v>
      </c>
      <c r="E239" t="s">
        <v>74</v>
      </c>
      <c r="F239" t="s">
        <v>75</v>
      </c>
      <c r="G239" t="s">
        <v>76</v>
      </c>
      <c r="H239">
        <v>28.665414840729056</v>
      </c>
      <c r="I239">
        <v>1</v>
      </c>
      <c r="J239">
        <v>7</v>
      </c>
      <c r="K239">
        <v>8</v>
      </c>
      <c r="L239">
        <v>-1</v>
      </c>
      <c r="M239">
        <v>8</v>
      </c>
      <c r="N239">
        <v>10</v>
      </c>
      <c r="O239">
        <v>-2</v>
      </c>
      <c r="P239">
        <v>9</v>
      </c>
      <c r="Q239">
        <v>8</v>
      </c>
      <c r="R239">
        <v>1</v>
      </c>
      <c r="S239">
        <v>8</v>
      </c>
      <c r="T239">
        <v>10</v>
      </c>
      <c r="U239">
        <v>-2</v>
      </c>
      <c r="V239">
        <v>7</v>
      </c>
      <c r="W239">
        <v>9</v>
      </c>
      <c r="X239">
        <v>-2</v>
      </c>
      <c r="Y239">
        <v>8</v>
      </c>
      <c r="Z239">
        <v>8</v>
      </c>
      <c r="AA239">
        <v>0</v>
      </c>
      <c r="AB239">
        <v>7</v>
      </c>
      <c r="AC239">
        <v>7</v>
      </c>
      <c r="AD239">
        <v>0</v>
      </c>
      <c r="AE239">
        <v>6</v>
      </c>
      <c r="AF239">
        <v>9</v>
      </c>
      <c r="AG239">
        <v>-3</v>
      </c>
      <c r="AH239">
        <v>5</v>
      </c>
      <c r="AI239">
        <v>9</v>
      </c>
      <c r="AJ239">
        <v>-4</v>
      </c>
      <c r="AK239" t="s">
        <v>2317</v>
      </c>
      <c r="AL239" t="s">
        <v>2318</v>
      </c>
      <c r="AM239" t="s">
        <v>2319</v>
      </c>
      <c r="AN239" t="s">
        <v>2320</v>
      </c>
      <c r="AO239" t="s">
        <v>2321</v>
      </c>
      <c r="AP239" t="s">
        <v>2322</v>
      </c>
      <c r="AQ239" t="s">
        <v>2323</v>
      </c>
      <c r="AR239" t="s">
        <v>2324</v>
      </c>
      <c r="AS239" t="s">
        <v>2325</v>
      </c>
    </row>
    <row r="240" spans="1:45" x14ac:dyDescent="0.45">
      <c r="A240">
        <v>239</v>
      </c>
      <c r="B240">
        <v>2229</v>
      </c>
      <c r="C240" t="s">
        <v>78</v>
      </c>
      <c r="D240" t="s">
        <v>192</v>
      </c>
      <c r="E240" t="s">
        <v>74</v>
      </c>
      <c r="F240" t="s">
        <v>75</v>
      </c>
      <c r="G240" t="s">
        <v>76</v>
      </c>
      <c r="H240">
        <v>70.63326556537244</v>
      </c>
      <c r="I240">
        <v>4</v>
      </c>
      <c r="J240">
        <v>7</v>
      </c>
      <c r="K240">
        <v>6</v>
      </c>
      <c r="L240">
        <v>1</v>
      </c>
      <c r="M240">
        <v>8</v>
      </c>
      <c r="N240">
        <v>6</v>
      </c>
      <c r="O240">
        <v>2</v>
      </c>
      <c r="P240">
        <v>6</v>
      </c>
      <c r="Q240">
        <v>6</v>
      </c>
      <c r="R240">
        <v>0</v>
      </c>
      <c r="S240">
        <v>9</v>
      </c>
      <c r="T240">
        <v>6</v>
      </c>
      <c r="U240">
        <v>3</v>
      </c>
      <c r="V240">
        <v>7</v>
      </c>
      <c r="W240">
        <v>6</v>
      </c>
      <c r="X240">
        <v>1</v>
      </c>
      <c r="Y240">
        <v>8</v>
      </c>
      <c r="Z240">
        <v>6</v>
      </c>
      <c r="AA240">
        <v>2</v>
      </c>
      <c r="AB240">
        <v>7</v>
      </c>
      <c r="AC240">
        <v>6</v>
      </c>
      <c r="AD240">
        <v>1</v>
      </c>
      <c r="AE240">
        <v>6</v>
      </c>
      <c r="AF240">
        <v>7</v>
      </c>
      <c r="AG240">
        <v>-1</v>
      </c>
      <c r="AH240">
        <v>8</v>
      </c>
      <c r="AI240">
        <v>6</v>
      </c>
      <c r="AJ240">
        <v>2</v>
      </c>
      <c r="AK240" t="s">
        <v>2326</v>
      </c>
      <c r="AL240" t="s">
        <v>2327</v>
      </c>
      <c r="AM240" t="s">
        <v>2328</v>
      </c>
      <c r="AN240" t="s">
        <v>2329</v>
      </c>
      <c r="AO240" t="s">
        <v>2330</v>
      </c>
      <c r="AP240" t="s">
        <v>2331</v>
      </c>
      <c r="AQ240" t="s">
        <v>2332</v>
      </c>
      <c r="AR240" t="s">
        <v>2333</v>
      </c>
      <c r="AS240" t="s">
        <v>2334</v>
      </c>
    </row>
    <row r="241" spans="1:45" x14ac:dyDescent="0.45">
      <c r="A241">
        <v>240</v>
      </c>
      <c r="B241">
        <v>2230</v>
      </c>
      <c r="C241" t="s">
        <v>72</v>
      </c>
      <c r="D241" t="s">
        <v>73</v>
      </c>
      <c r="E241" t="s">
        <v>74</v>
      </c>
      <c r="F241" t="s">
        <v>77</v>
      </c>
      <c r="G241" t="s">
        <v>76</v>
      </c>
      <c r="H241">
        <v>68.011487226736349</v>
      </c>
      <c r="I241">
        <v>3</v>
      </c>
      <c r="J241">
        <v>8</v>
      </c>
      <c r="K241">
        <v>8</v>
      </c>
      <c r="L241">
        <v>0</v>
      </c>
      <c r="M241">
        <v>8</v>
      </c>
      <c r="N241">
        <v>8</v>
      </c>
      <c r="O241">
        <v>0</v>
      </c>
      <c r="P241">
        <v>7</v>
      </c>
      <c r="Q241">
        <v>8</v>
      </c>
      <c r="R241">
        <v>-1</v>
      </c>
      <c r="S241">
        <v>8</v>
      </c>
      <c r="T241">
        <v>8</v>
      </c>
      <c r="U241">
        <v>0</v>
      </c>
      <c r="V241">
        <v>9</v>
      </c>
      <c r="W241">
        <v>8</v>
      </c>
      <c r="X241">
        <v>1</v>
      </c>
      <c r="Y241">
        <v>8</v>
      </c>
      <c r="Z241">
        <v>8</v>
      </c>
      <c r="AA241">
        <v>0</v>
      </c>
      <c r="AB241">
        <v>7</v>
      </c>
      <c r="AC241">
        <v>8</v>
      </c>
      <c r="AD241">
        <v>-1</v>
      </c>
      <c r="AE241">
        <v>6</v>
      </c>
      <c r="AF241">
        <v>8</v>
      </c>
      <c r="AG241">
        <v>-2</v>
      </c>
      <c r="AH241">
        <v>9</v>
      </c>
      <c r="AI241">
        <v>8</v>
      </c>
      <c r="AJ241">
        <v>1</v>
      </c>
      <c r="AK241" t="s">
        <v>2335</v>
      </c>
      <c r="AL241" t="s">
        <v>2336</v>
      </c>
      <c r="AM241" t="s">
        <v>2337</v>
      </c>
      <c r="AN241" t="s">
        <v>2338</v>
      </c>
      <c r="AO241" t="s">
        <v>2339</v>
      </c>
      <c r="AP241" t="s">
        <v>2340</v>
      </c>
      <c r="AQ241" t="s">
        <v>2341</v>
      </c>
      <c r="AR241" t="s">
        <v>2342</v>
      </c>
      <c r="AS241" t="s">
        <v>2343</v>
      </c>
    </row>
    <row r="242" spans="1:45" x14ac:dyDescent="0.45">
      <c r="A242">
        <v>241</v>
      </c>
      <c r="B242">
        <v>2231</v>
      </c>
      <c r="C242" t="s">
        <v>72</v>
      </c>
      <c r="D242" t="s">
        <v>73</v>
      </c>
      <c r="E242" t="s">
        <v>74</v>
      </c>
      <c r="F242" t="s">
        <v>75</v>
      </c>
      <c r="G242" t="s">
        <v>76</v>
      </c>
      <c r="H242">
        <v>66.754555655497384</v>
      </c>
      <c r="I242">
        <v>1</v>
      </c>
      <c r="J242">
        <v>7</v>
      </c>
      <c r="K242">
        <v>7</v>
      </c>
      <c r="L242">
        <v>0</v>
      </c>
      <c r="M242">
        <v>6</v>
      </c>
      <c r="N242">
        <v>6</v>
      </c>
      <c r="O242">
        <v>0</v>
      </c>
      <c r="P242">
        <v>8</v>
      </c>
      <c r="Q242">
        <v>7</v>
      </c>
      <c r="R242">
        <v>1</v>
      </c>
      <c r="S242">
        <v>9</v>
      </c>
      <c r="T242">
        <v>7</v>
      </c>
      <c r="U242">
        <v>2</v>
      </c>
      <c r="V242">
        <v>7</v>
      </c>
      <c r="W242">
        <v>8</v>
      </c>
      <c r="X242">
        <v>-1</v>
      </c>
      <c r="Y242">
        <v>6</v>
      </c>
      <c r="Z242">
        <v>8</v>
      </c>
      <c r="AA242">
        <v>-2</v>
      </c>
      <c r="AB242">
        <v>5</v>
      </c>
      <c r="AC242">
        <v>8</v>
      </c>
      <c r="AD242">
        <v>-3</v>
      </c>
      <c r="AE242">
        <v>6</v>
      </c>
      <c r="AF242">
        <v>8</v>
      </c>
      <c r="AG242">
        <v>-2</v>
      </c>
      <c r="AH242">
        <v>7</v>
      </c>
      <c r="AI242">
        <v>8</v>
      </c>
      <c r="AJ242">
        <v>-1</v>
      </c>
      <c r="AK242" t="s">
        <v>2344</v>
      </c>
      <c r="AL242" t="s">
        <v>2345</v>
      </c>
      <c r="AM242" t="s">
        <v>2346</v>
      </c>
      <c r="AN242" t="s">
        <v>2347</v>
      </c>
      <c r="AO242" t="s">
        <v>2348</v>
      </c>
      <c r="AP242" t="s">
        <v>2349</v>
      </c>
      <c r="AQ242" t="s">
        <v>2350</v>
      </c>
      <c r="AR242" t="s">
        <v>2351</v>
      </c>
      <c r="AS242" t="s">
        <v>2352</v>
      </c>
    </row>
    <row r="243" spans="1:45" x14ac:dyDescent="0.45">
      <c r="A243">
        <v>242</v>
      </c>
      <c r="B243">
        <v>2232</v>
      </c>
      <c r="C243" t="s">
        <v>78</v>
      </c>
      <c r="D243" t="s">
        <v>73</v>
      </c>
      <c r="E243" t="s">
        <v>74</v>
      </c>
      <c r="F243" t="s">
        <v>77</v>
      </c>
      <c r="G243" t="s">
        <v>76</v>
      </c>
      <c r="H243">
        <v>48.582354279252861</v>
      </c>
      <c r="I243">
        <v>2</v>
      </c>
      <c r="J243">
        <v>8</v>
      </c>
      <c r="K243">
        <v>6</v>
      </c>
      <c r="L243">
        <v>2</v>
      </c>
      <c r="M243">
        <v>7</v>
      </c>
      <c r="N243">
        <v>5</v>
      </c>
      <c r="O243">
        <v>2</v>
      </c>
      <c r="P243">
        <v>9</v>
      </c>
      <c r="Q243">
        <v>5</v>
      </c>
      <c r="R243">
        <v>4</v>
      </c>
      <c r="S243">
        <v>8</v>
      </c>
      <c r="T243">
        <v>7</v>
      </c>
      <c r="U243">
        <v>1</v>
      </c>
      <c r="V243">
        <v>9</v>
      </c>
      <c r="W243">
        <v>7</v>
      </c>
      <c r="X243">
        <v>2</v>
      </c>
      <c r="Y243">
        <v>6</v>
      </c>
      <c r="Z243">
        <v>7</v>
      </c>
      <c r="AA243">
        <v>-1</v>
      </c>
      <c r="AB243">
        <v>7</v>
      </c>
      <c r="AC243">
        <v>7</v>
      </c>
      <c r="AD243">
        <v>0</v>
      </c>
      <c r="AE243">
        <v>5</v>
      </c>
      <c r="AF243">
        <v>8</v>
      </c>
      <c r="AG243">
        <v>-3</v>
      </c>
      <c r="AH243">
        <v>7</v>
      </c>
      <c r="AI243">
        <v>8</v>
      </c>
      <c r="AJ243">
        <v>-1</v>
      </c>
      <c r="AK243" t="s">
        <v>2353</v>
      </c>
      <c r="AL243" t="s">
        <v>2354</v>
      </c>
      <c r="AM243" t="s">
        <v>2355</v>
      </c>
      <c r="AN243" t="s">
        <v>2356</v>
      </c>
      <c r="AO243" t="s">
        <v>2357</v>
      </c>
      <c r="AP243" t="s">
        <v>2358</v>
      </c>
      <c r="AQ243" t="s">
        <v>2359</v>
      </c>
      <c r="AR243" t="s">
        <v>2360</v>
      </c>
      <c r="AS243" t="s">
        <v>2361</v>
      </c>
    </row>
    <row r="244" spans="1:45" x14ac:dyDescent="0.45">
      <c r="A244">
        <v>243</v>
      </c>
      <c r="B244">
        <v>2233</v>
      </c>
      <c r="C244" t="s">
        <v>78</v>
      </c>
      <c r="D244" t="s">
        <v>190</v>
      </c>
      <c r="E244" t="s">
        <v>74</v>
      </c>
      <c r="F244" t="s">
        <v>77</v>
      </c>
      <c r="G244" t="s">
        <v>76</v>
      </c>
      <c r="H244">
        <v>79.535115011982171</v>
      </c>
      <c r="I244">
        <v>2</v>
      </c>
      <c r="J244">
        <v>8</v>
      </c>
      <c r="K244">
        <v>6</v>
      </c>
      <c r="L244">
        <v>2</v>
      </c>
      <c r="M244">
        <v>7</v>
      </c>
      <c r="N244">
        <v>6</v>
      </c>
      <c r="O244">
        <v>1</v>
      </c>
      <c r="P244">
        <v>9</v>
      </c>
      <c r="Q244">
        <v>6</v>
      </c>
      <c r="R244">
        <v>3</v>
      </c>
      <c r="S244">
        <v>8</v>
      </c>
      <c r="T244">
        <v>6</v>
      </c>
      <c r="U244">
        <v>2</v>
      </c>
      <c r="V244">
        <v>7</v>
      </c>
      <c r="W244">
        <v>6</v>
      </c>
      <c r="X244">
        <v>1</v>
      </c>
      <c r="Y244">
        <v>6</v>
      </c>
      <c r="Z244">
        <v>6</v>
      </c>
      <c r="AA244">
        <v>0</v>
      </c>
      <c r="AB244">
        <v>5</v>
      </c>
      <c r="AC244">
        <v>6</v>
      </c>
      <c r="AD244">
        <v>-1</v>
      </c>
      <c r="AE244">
        <v>6</v>
      </c>
      <c r="AF244">
        <v>6</v>
      </c>
      <c r="AG244">
        <v>0</v>
      </c>
      <c r="AH244">
        <v>7</v>
      </c>
      <c r="AI244">
        <v>6</v>
      </c>
      <c r="AJ244">
        <v>1</v>
      </c>
      <c r="AK244" t="s">
        <v>2362</v>
      </c>
      <c r="AL244" t="s">
        <v>2363</v>
      </c>
      <c r="AM244" t="s">
        <v>2364</v>
      </c>
      <c r="AN244" t="s">
        <v>2365</v>
      </c>
      <c r="AO244" t="s">
        <v>2366</v>
      </c>
      <c r="AP244" t="s">
        <v>2367</v>
      </c>
      <c r="AQ244" t="s">
        <v>2368</v>
      </c>
      <c r="AR244" t="s">
        <v>2369</v>
      </c>
      <c r="AS244" t="s">
        <v>2370</v>
      </c>
    </row>
    <row r="245" spans="1:45" x14ac:dyDescent="0.45">
      <c r="A245">
        <v>244</v>
      </c>
      <c r="B245">
        <v>2234</v>
      </c>
      <c r="C245" t="s">
        <v>72</v>
      </c>
      <c r="D245" t="s">
        <v>79</v>
      </c>
      <c r="E245" t="s">
        <v>74</v>
      </c>
      <c r="F245" t="s">
        <v>75</v>
      </c>
      <c r="G245" t="s">
        <v>76</v>
      </c>
      <c r="H245">
        <v>55.622846529421899</v>
      </c>
      <c r="I245">
        <v>3</v>
      </c>
      <c r="J245">
        <v>7</v>
      </c>
      <c r="K245">
        <v>7</v>
      </c>
      <c r="L245">
        <v>0</v>
      </c>
      <c r="M245">
        <v>8</v>
      </c>
      <c r="N245">
        <v>6</v>
      </c>
      <c r="O245">
        <v>2</v>
      </c>
      <c r="P245">
        <v>9</v>
      </c>
      <c r="Q245">
        <v>6</v>
      </c>
      <c r="R245">
        <v>3</v>
      </c>
      <c r="S245">
        <v>8</v>
      </c>
      <c r="T245">
        <v>8</v>
      </c>
      <c r="U245">
        <v>0</v>
      </c>
      <c r="V245">
        <v>7</v>
      </c>
      <c r="W245">
        <v>6</v>
      </c>
      <c r="X245">
        <v>1</v>
      </c>
      <c r="Y245">
        <v>8</v>
      </c>
      <c r="Z245">
        <v>6</v>
      </c>
      <c r="AA245">
        <v>2</v>
      </c>
      <c r="AB245">
        <v>7</v>
      </c>
      <c r="AC245">
        <v>6</v>
      </c>
      <c r="AD245">
        <v>1</v>
      </c>
      <c r="AE245">
        <v>6</v>
      </c>
      <c r="AF245">
        <v>6</v>
      </c>
      <c r="AG245">
        <v>0</v>
      </c>
      <c r="AH245">
        <v>7</v>
      </c>
      <c r="AI245">
        <v>6</v>
      </c>
      <c r="AJ245">
        <v>1</v>
      </c>
      <c r="AK245" t="s">
        <v>2371</v>
      </c>
      <c r="AL245" t="s">
        <v>2372</v>
      </c>
      <c r="AM245" t="s">
        <v>2373</v>
      </c>
      <c r="AN245" t="s">
        <v>2374</v>
      </c>
      <c r="AO245" t="s">
        <v>2375</v>
      </c>
      <c r="AP245" t="s">
        <v>2376</v>
      </c>
      <c r="AQ245" t="s">
        <v>2377</v>
      </c>
      <c r="AR245" t="s">
        <v>2378</v>
      </c>
      <c r="AS245" t="s">
        <v>2379</v>
      </c>
    </row>
    <row r="246" spans="1:45" x14ac:dyDescent="0.45">
      <c r="A246">
        <v>245</v>
      </c>
      <c r="B246">
        <v>2235</v>
      </c>
      <c r="C246" t="s">
        <v>78</v>
      </c>
      <c r="D246" t="s">
        <v>79</v>
      </c>
      <c r="E246" t="s">
        <v>74</v>
      </c>
      <c r="F246" t="s">
        <v>75</v>
      </c>
      <c r="G246" t="s">
        <v>76</v>
      </c>
      <c r="H246">
        <v>166.35065651465328</v>
      </c>
      <c r="I246">
        <v>0</v>
      </c>
      <c r="J246">
        <v>7</v>
      </c>
      <c r="K246">
        <v>4</v>
      </c>
      <c r="L246">
        <v>3</v>
      </c>
      <c r="M246">
        <v>8</v>
      </c>
      <c r="N246">
        <v>4</v>
      </c>
      <c r="O246">
        <v>4</v>
      </c>
      <c r="P246">
        <v>6</v>
      </c>
      <c r="Q246">
        <v>1</v>
      </c>
      <c r="R246">
        <v>5</v>
      </c>
      <c r="S246">
        <v>8</v>
      </c>
      <c r="T246">
        <v>4</v>
      </c>
      <c r="U246">
        <v>4</v>
      </c>
      <c r="V246">
        <v>7</v>
      </c>
      <c r="W246">
        <v>4</v>
      </c>
      <c r="X246">
        <v>3</v>
      </c>
      <c r="Y246">
        <v>6</v>
      </c>
      <c r="Z246">
        <v>4</v>
      </c>
      <c r="AA246">
        <v>2</v>
      </c>
      <c r="AB246">
        <v>7</v>
      </c>
      <c r="AC246">
        <v>5</v>
      </c>
      <c r="AD246">
        <v>2</v>
      </c>
      <c r="AE246">
        <v>6</v>
      </c>
      <c r="AF246">
        <v>5</v>
      </c>
      <c r="AG246">
        <v>1</v>
      </c>
      <c r="AH246">
        <v>7</v>
      </c>
      <c r="AI246">
        <v>5</v>
      </c>
      <c r="AJ246">
        <v>2</v>
      </c>
      <c r="AK246" t="s">
        <v>2380</v>
      </c>
      <c r="AL246" t="s">
        <v>2381</v>
      </c>
      <c r="AM246" t="s">
        <v>2382</v>
      </c>
      <c r="AN246" t="s">
        <v>2383</v>
      </c>
      <c r="AO246" t="s">
        <v>2384</v>
      </c>
      <c r="AP246" t="s">
        <v>2385</v>
      </c>
      <c r="AQ246" t="s">
        <v>2386</v>
      </c>
      <c r="AR246" t="s">
        <v>2387</v>
      </c>
      <c r="AS246" t="s">
        <v>2388</v>
      </c>
    </row>
    <row r="247" spans="1:45" x14ac:dyDescent="0.45">
      <c r="A247">
        <v>246</v>
      </c>
      <c r="B247">
        <v>2236</v>
      </c>
      <c r="C247" t="s">
        <v>78</v>
      </c>
      <c r="D247" t="s">
        <v>73</v>
      </c>
      <c r="E247" t="s">
        <v>74</v>
      </c>
      <c r="F247" t="s">
        <v>77</v>
      </c>
      <c r="G247" t="s">
        <v>76</v>
      </c>
      <c r="H247">
        <v>26.151790808185822</v>
      </c>
      <c r="I247">
        <v>0</v>
      </c>
      <c r="J247">
        <v>4</v>
      </c>
      <c r="K247">
        <v>6</v>
      </c>
      <c r="L247">
        <v>-2</v>
      </c>
      <c r="M247">
        <v>5</v>
      </c>
      <c r="N247">
        <v>7</v>
      </c>
      <c r="O247">
        <v>-2</v>
      </c>
      <c r="P247">
        <v>7</v>
      </c>
      <c r="Q247">
        <v>7</v>
      </c>
      <c r="R247">
        <v>0</v>
      </c>
      <c r="S247">
        <v>8</v>
      </c>
      <c r="T247">
        <v>7</v>
      </c>
      <c r="U247">
        <v>1</v>
      </c>
      <c r="V247">
        <v>5</v>
      </c>
      <c r="W247">
        <v>7</v>
      </c>
      <c r="X247">
        <v>-2</v>
      </c>
      <c r="Y247">
        <v>6</v>
      </c>
      <c r="Z247">
        <v>7</v>
      </c>
      <c r="AA247">
        <v>-1</v>
      </c>
      <c r="AB247">
        <v>4</v>
      </c>
      <c r="AC247">
        <v>7</v>
      </c>
      <c r="AD247">
        <v>-3</v>
      </c>
      <c r="AE247">
        <v>5</v>
      </c>
      <c r="AF247">
        <v>7</v>
      </c>
      <c r="AG247">
        <v>-2</v>
      </c>
      <c r="AH247">
        <v>3</v>
      </c>
      <c r="AI247">
        <v>7</v>
      </c>
      <c r="AJ247">
        <v>-4</v>
      </c>
      <c r="AK247" t="s">
        <v>2389</v>
      </c>
      <c r="AL247" t="s">
        <v>2390</v>
      </c>
      <c r="AM247" t="s">
        <v>2391</v>
      </c>
      <c r="AN247" t="s">
        <v>2392</v>
      </c>
      <c r="AO247" t="s">
        <v>2393</v>
      </c>
      <c r="AP247" t="s">
        <v>2394</v>
      </c>
      <c r="AQ247" t="s">
        <v>2395</v>
      </c>
      <c r="AR247" t="s">
        <v>2396</v>
      </c>
      <c r="AS247" t="s">
        <v>2397</v>
      </c>
    </row>
    <row r="248" spans="1:45" x14ac:dyDescent="0.45">
      <c r="A248">
        <v>247</v>
      </c>
      <c r="B248">
        <v>2237</v>
      </c>
      <c r="C248" t="s">
        <v>72</v>
      </c>
      <c r="D248" t="s">
        <v>190</v>
      </c>
      <c r="E248" t="s">
        <v>74</v>
      </c>
      <c r="F248" t="s">
        <v>75</v>
      </c>
      <c r="G248" t="s">
        <v>76</v>
      </c>
      <c r="H248">
        <v>64.505820703954043</v>
      </c>
      <c r="I248">
        <v>4</v>
      </c>
      <c r="J248">
        <v>7</v>
      </c>
      <c r="K248">
        <v>8</v>
      </c>
      <c r="L248">
        <v>-1</v>
      </c>
      <c r="M248">
        <v>6</v>
      </c>
      <c r="N248">
        <v>8</v>
      </c>
      <c r="O248">
        <v>-2</v>
      </c>
      <c r="P248">
        <v>8</v>
      </c>
      <c r="Q248">
        <v>8</v>
      </c>
      <c r="R248">
        <v>0</v>
      </c>
      <c r="S248">
        <v>7</v>
      </c>
      <c r="T248">
        <v>8</v>
      </c>
      <c r="U248">
        <v>-1</v>
      </c>
      <c r="V248">
        <v>6</v>
      </c>
      <c r="W248">
        <v>8</v>
      </c>
      <c r="X248">
        <v>-2</v>
      </c>
      <c r="Y248">
        <v>7</v>
      </c>
      <c r="Z248">
        <v>8</v>
      </c>
      <c r="AA248">
        <v>-1</v>
      </c>
      <c r="AB248">
        <v>6</v>
      </c>
      <c r="AC248">
        <v>8</v>
      </c>
      <c r="AD248">
        <v>-2</v>
      </c>
      <c r="AE248">
        <v>5</v>
      </c>
      <c r="AF248">
        <v>8</v>
      </c>
      <c r="AG248">
        <v>-3</v>
      </c>
      <c r="AH248">
        <v>6</v>
      </c>
      <c r="AI248">
        <v>8</v>
      </c>
      <c r="AJ248">
        <v>-2</v>
      </c>
      <c r="AK248" t="s">
        <v>2398</v>
      </c>
      <c r="AL248" t="s">
        <v>2399</v>
      </c>
      <c r="AM248" t="s">
        <v>2400</v>
      </c>
      <c r="AN248" t="s">
        <v>2401</v>
      </c>
      <c r="AO248" t="s">
        <v>2402</v>
      </c>
      <c r="AP248" t="s">
        <v>2403</v>
      </c>
      <c r="AQ248" t="s">
        <v>2404</v>
      </c>
      <c r="AR248" t="s">
        <v>2405</v>
      </c>
      <c r="AS248" t="s">
        <v>2406</v>
      </c>
    </row>
    <row r="249" spans="1:45" x14ac:dyDescent="0.45">
      <c r="A249">
        <v>248</v>
      </c>
      <c r="B249">
        <v>2238</v>
      </c>
      <c r="C249" t="s">
        <v>72</v>
      </c>
      <c r="D249" t="s">
        <v>79</v>
      </c>
      <c r="E249" t="s">
        <v>74</v>
      </c>
      <c r="F249" t="s">
        <v>77</v>
      </c>
      <c r="G249" t="s">
        <v>76</v>
      </c>
      <c r="H249">
        <v>38.111758052996414</v>
      </c>
      <c r="I249">
        <v>1</v>
      </c>
      <c r="J249">
        <v>8</v>
      </c>
      <c r="K249">
        <v>7</v>
      </c>
      <c r="L249">
        <v>1</v>
      </c>
      <c r="M249">
        <v>7</v>
      </c>
      <c r="N249">
        <v>7</v>
      </c>
      <c r="O249">
        <v>0</v>
      </c>
      <c r="P249">
        <v>6</v>
      </c>
      <c r="Q249">
        <v>7</v>
      </c>
      <c r="R249">
        <v>-1</v>
      </c>
      <c r="S249">
        <v>7</v>
      </c>
      <c r="T249">
        <v>7</v>
      </c>
      <c r="U249">
        <v>0</v>
      </c>
      <c r="V249">
        <v>6</v>
      </c>
      <c r="W249">
        <v>7</v>
      </c>
      <c r="X249">
        <v>-1</v>
      </c>
      <c r="Y249">
        <v>5</v>
      </c>
      <c r="Z249">
        <v>7</v>
      </c>
      <c r="AA249">
        <v>-2</v>
      </c>
      <c r="AB249">
        <v>7</v>
      </c>
      <c r="AC249">
        <v>7</v>
      </c>
      <c r="AD249">
        <v>0</v>
      </c>
      <c r="AE249">
        <v>6</v>
      </c>
      <c r="AF249">
        <v>7</v>
      </c>
      <c r="AG249">
        <v>-1</v>
      </c>
      <c r="AH249">
        <v>7</v>
      </c>
      <c r="AI249">
        <v>7</v>
      </c>
      <c r="AJ249">
        <v>0</v>
      </c>
      <c r="AK249" t="s">
        <v>2407</v>
      </c>
      <c r="AL249" t="s">
        <v>2408</v>
      </c>
      <c r="AM249" t="s">
        <v>2409</v>
      </c>
      <c r="AN249" t="s">
        <v>2410</v>
      </c>
      <c r="AO249" t="s">
        <v>2411</v>
      </c>
      <c r="AP249" t="s">
        <v>2412</v>
      </c>
      <c r="AQ249" t="s">
        <v>2413</v>
      </c>
      <c r="AR249" t="s">
        <v>2414</v>
      </c>
      <c r="AS249" t="s">
        <v>2415</v>
      </c>
    </row>
    <row r="250" spans="1:45" x14ac:dyDescent="0.45">
      <c r="A250">
        <v>249</v>
      </c>
      <c r="B250">
        <v>2239</v>
      </c>
      <c r="C250" t="s">
        <v>78</v>
      </c>
      <c r="D250" t="s">
        <v>192</v>
      </c>
      <c r="E250" t="s">
        <v>74</v>
      </c>
      <c r="F250" t="s">
        <v>75</v>
      </c>
      <c r="G250" t="s">
        <v>76</v>
      </c>
      <c r="H250">
        <v>91.208481489169714</v>
      </c>
      <c r="I250">
        <v>3</v>
      </c>
      <c r="J250">
        <v>7</v>
      </c>
      <c r="K250">
        <v>9</v>
      </c>
      <c r="L250">
        <v>-2</v>
      </c>
      <c r="M250">
        <v>7</v>
      </c>
      <c r="N250">
        <v>9</v>
      </c>
      <c r="O250">
        <v>-2</v>
      </c>
      <c r="P250">
        <v>8</v>
      </c>
      <c r="Q250">
        <v>9</v>
      </c>
      <c r="R250">
        <v>-1</v>
      </c>
      <c r="S250">
        <v>6</v>
      </c>
      <c r="T250">
        <v>9</v>
      </c>
      <c r="U250">
        <v>-3</v>
      </c>
      <c r="V250">
        <v>8</v>
      </c>
      <c r="W250">
        <v>9</v>
      </c>
      <c r="X250">
        <v>-1</v>
      </c>
      <c r="Y250">
        <v>7</v>
      </c>
      <c r="Z250">
        <v>9</v>
      </c>
      <c r="AA250">
        <v>-2</v>
      </c>
      <c r="AB250">
        <v>6</v>
      </c>
      <c r="AC250">
        <v>9</v>
      </c>
      <c r="AD250">
        <v>-3</v>
      </c>
      <c r="AE250">
        <v>5</v>
      </c>
      <c r="AF250">
        <v>9</v>
      </c>
      <c r="AG250">
        <v>-4</v>
      </c>
      <c r="AH250">
        <v>7</v>
      </c>
      <c r="AI250">
        <v>9</v>
      </c>
      <c r="AJ250">
        <v>-2</v>
      </c>
      <c r="AK250" t="s">
        <v>2416</v>
      </c>
      <c r="AL250" t="s">
        <v>2417</v>
      </c>
      <c r="AM250" t="s">
        <v>2418</v>
      </c>
      <c r="AN250" t="s">
        <v>2419</v>
      </c>
      <c r="AO250" t="s">
        <v>2420</v>
      </c>
      <c r="AP250" t="s">
        <v>2421</v>
      </c>
      <c r="AQ250" t="s">
        <v>2422</v>
      </c>
      <c r="AR250" t="s">
        <v>2423</v>
      </c>
      <c r="AS250" t="s">
        <v>2424</v>
      </c>
    </row>
    <row r="251" spans="1:45" x14ac:dyDescent="0.45">
      <c r="A251">
        <v>250</v>
      </c>
      <c r="B251">
        <v>2240</v>
      </c>
      <c r="C251" t="s">
        <v>72</v>
      </c>
      <c r="D251" t="s">
        <v>73</v>
      </c>
      <c r="E251" t="s">
        <v>74</v>
      </c>
      <c r="F251" t="s">
        <v>77</v>
      </c>
      <c r="G251" t="s">
        <v>76</v>
      </c>
      <c r="H251">
        <v>64.573837101658071</v>
      </c>
      <c r="I251">
        <v>3</v>
      </c>
      <c r="J251">
        <v>8</v>
      </c>
      <c r="K251">
        <v>7</v>
      </c>
      <c r="L251">
        <v>1</v>
      </c>
      <c r="M251">
        <v>7</v>
      </c>
      <c r="N251">
        <v>6</v>
      </c>
      <c r="O251">
        <v>1</v>
      </c>
      <c r="P251">
        <v>9</v>
      </c>
      <c r="Q251">
        <v>5</v>
      </c>
      <c r="R251">
        <v>4</v>
      </c>
      <c r="S251">
        <v>8</v>
      </c>
      <c r="T251">
        <v>6</v>
      </c>
      <c r="U251">
        <v>2</v>
      </c>
      <c r="V251">
        <v>7</v>
      </c>
      <c r="W251">
        <v>6</v>
      </c>
      <c r="X251">
        <v>1</v>
      </c>
      <c r="Y251">
        <v>6</v>
      </c>
      <c r="Z251">
        <v>6</v>
      </c>
      <c r="AA251">
        <v>0</v>
      </c>
      <c r="AB251">
        <v>7</v>
      </c>
      <c r="AC251">
        <v>6</v>
      </c>
      <c r="AD251">
        <v>1</v>
      </c>
      <c r="AE251">
        <v>5</v>
      </c>
      <c r="AF251">
        <v>6</v>
      </c>
      <c r="AG251">
        <v>-1</v>
      </c>
      <c r="AH251">
        <v>8</v>
      </c>
      <c r="AI251">
        <v>7</v>
      </c>
      <c r="AJ251">
        <v>1</v>
      </c>
      <c r="AK251" t="s">
        <v>2425</v>
      </c>
      <c r="AL251" t="s">
        <v>2426</v>
      </c>
      <c r="AM251" t="s">
        <v>2427</v>
      </c>
      <c r="AN251" t="s">
        <v>2428</v>
      </c>
      <c r="AO251" t="s">
        <v>2429</v>
      </c>
      <c r="AP251" t="s">
        <v>2430</v>
      </c>
      <c r="AQ251" t="s">
        <v>2431</v>
      </c>
      <c r="AR251" t="s">
        <v>2432</v>
      </c>
      <c r="AS251" t="s">
        <v>2433</v>
      </c>
    </row>
    <row r="252" spans="1:45" x14ac:dyDescent="0.45">
      <c r="A252">
        <v>251</v>
      </c>
      <c r="B252">
        <v>2241</v>
      </c>
      <c r="C252" t="s">
        <v>72</v>
      </c>
      <c r="D252" t="s">
        <v>73</v>
      </c>
      <c r="E252" t="s">
        <v>74</v>
      </c>
      <c r="F252" t="s">
        <v>77</v>
      </c>
      <c r="G252" t="s">
        <v>76</v>
      </c>
      <c r="H252">
        <v>46.732707487689403</v>
      </c>
      <c r="I252">
        <v>4</v>
      </c>
      <c r="J252">
        <v>7</v>
      </c>
      <c r="K252">
        <v>8</v>
      </c>
      <c r="L252">
        <v>-1</v>
      </c>
      <c r="M252">
        <v>6</v>
      </c>
      <c r="N252">
        <v>8</v>
      </c>
      <c r="O252">
        <v>-2</v>
      </c>
      <c r="P252">
        <v>8</v>
      </c>
      <c r="Q252">
        <v>8</v>
      </c>
      <c r="R252">
        <v>0</v>
      </c>
      <c r="S252">
        <v>7</v>
      </c>
      <c r="T252">
        <v>9</v>
      </c>
      <c r="U252">
        <v>-2</v>
      </c>
      <c r="V252">
        <v>7</v>
      </c>
      <c r="W252">
        <v>8</v>
      </c>
      <c r="X252">
        <v>-1</v>
      </c>
      <c r="Y252">
        <v>5</v>
      </c>
      <c r="Z252">
        <v>10</v>
      </c>
      <c r="AA252">
        <v>-5</v>
      </c>
      <c r="AB252">
        <v>6</v>
      </c>
      <c r="AC252">
        <v>7</v>
      </c>
      <c r="AD252">
        <v>-1</v>
      </c>
      <c r="AE252">
        <v>5</v>
      </c>
      <c r="AF252">
        <v>7</v>
      </c>
      <c r="AG252">
        <v>-2</v>
      </c>
      <c r="AH252">
        <v>6</v>
      </c>
      <c r="AI252">
        <v>10</v>
      </c>
      <c r="AJ252">
        <v>-4</v>
      </c>
      <c r="AK252" t="s">
        <v>2434</v>
      </c>
      <c r="AL252" t="s">
        <v>2435</v>
      </c>
      <c r="AM252" t="s">
        <v>2436</v>
      </c>
      <c r="AN252" t="s">
        <v>2437</v>
      </c>
      <c r="AO252" t="s">
        <v>2438</v>
      </c>
      <c r="AP252" t="s">
        <v>2439</v>
      </c>
      <c r="AQ252" t="s">
        <v>2440</v>
      </c>
      <c r="AR252" t="s">
        <v>2441</v>
      </c>
      <c r="AS252" t="s">
        <v>2442</v>
      </c>
    </row>
    <row r="253" spans="1:45" x14ac:dyDescent="0.45">
      <c r="A253">
        <v>252</v>
      </c>
      <c r="B253">
        <v>2242</v>
      </c>
      <c r="C253" t="s">
        <v>72</v>
      </c>
      <c r="D253" t="s">
        <v>190</v>
      </c>
      <c r="E253" t="s">
        <v>74</v>
      </c>
      <c r="F253" t="s">
        <v>77</v>
      </c>
      <c r="G253" t="s">
        <v>76</v>
      </c>
      <c r="H253">
        <v>65.532943390828976</v>
      </c>
      <c r="I253">
        <v>3</v>
      </c>
      <c r="J253">
        <v>7</v>
      </c>
      <c r="K253">
        <v>6</v>
      </c>
      <c r="L253">
        <v>1</v>
      </c>
      <c r="M253">
        <v>8</v>
      </c>
      <c r="N253">
        <v>6</v>
      </c>
      <c r="O253">
        <v>2</v>
      </c>
      <c r="P253">
        <v>7</v>
      </c>
      <c r="Q253">
        <v>1</v>
      </c>
      <c r="R253">
        <v>6</v>
      </c>
      <c r="S253">
        <v>6</v>
      </c>
      <c r="T253">
        <v>6</v>
      </c>
      <c r="U253">
        <v>0</v>
      </c>
      <c r="V253">
        <v>5</v>
      </c>
      <c r="W253">
        <v>5</v>
      </c>
      <c r="X253">
        <v>0</v>
      </c>
      <c r="Y253">
        <v>8</v>
      </c>
      <c r="Z253">
        <v>6</v>
      </c>
      <c r="AA253">
        <v>2</v>
      </c>
      <c r="AB253">
        <v>6</v>
      </c>
      <c r="AC253">
        <v>6</v>
      </c>
      <c r="AD253">
        <v>0</v>
      </c>
      <c r="AE253">
        <v>5</v>
      </c>
      <c r="AF253">
        <v>6</v>
      </c>
      <c r="AG253">
        <v>-1</v>
      </c>
      <c r="AH253">
        <v>6</v>
      </c>
      <c r="AI253">
        <v>6</v>
      </c>
      <c r="AJ253">
        <v>0</v>
      </c>
      <c r="AK253" t="s">
        <v>2443</v>
      </c>
      <c r="AL253" t="s">
        <v>2444</v>
      </c>
      <c r="AM253" t="s">
        <v>2445</v>
      </c>
      <c r="AN253" t="s">
        <v>2446</v>
      </c>
      <c r="AO253" t="s">
        <v>2447</v>
      </c>
      <c r="AP253" t="s">
        <v>2448</v>
      </c>
      <c r="AQ253" t="s">
        <v>2449</v>
      </c>
      <c r="AR253" t="s">
        <v>2450</v>
      </c>
      <c r="AS253" t="s">
        <v>2451</v>
      </c>
    </row>
    <row r="254" spans="1:45" x14ac:dyDescent="0.45">
      <c r="A254">
        <v>253</v>
      </c>
      <c r="B254">
        <v>2243</v>
      </c>
      <c r="C254" t="s">
        <v>78</v>
      </c>
      <c r="D254" t="s">
        <v>79</v>
      </c>
      <c r="E254" t="s">
        <v>74</v>
      </c>
      <c r="F254" t="s">
        <v>75</v>
      </c>
      <c r="G254" t="s">
        <v>76</v>
      </c>
      <c r="H254">
        <v>82.14951735135385</v>
      </c>
      <c r="I254">
        <v>4</v>
      </c>
      <c r="J254">
        <v>6</v>
      </c>
      <c r="K254">
        <v>8</v>
      </c>
      <c r="L254">
        <v>-2</v>
      </c>
      <c r="M254">
        <v>7</v>
      </c>
      <c r="N254">
        <v>8</v>
      </c>
      <c r="O254">
        <v>-1</v>
      </c>
      <c r="P254">
        <v>8</v>
      </c>
      <c r="Q254">
        <v>3</v>
      </c>
      <c r="R254">
        <v>5</v>
      </c>
      <c r="S254">
        <v>7</v>
      </c>
      <c r="T254">
        <v>9</v>
      </c>
      <c r="U254">
        <v>-2</v>
      </c>
      <c r="V254">
        <v>5</v>
      </c>
      <c r="W254">
        <v>8</v>
      </c>
      <c r="X254">
        <v>-3</v>
      </c>
      <c r="Y254">
        <v>6</v>
      </c>
      <c r="Z254">
        <v>8</v>
      </c>
      <c r="AA254">
        <v>-2</v>
      </c>
      <c r="AB254">
        <v>5</v>
      </c>
      <c r="AC254">
        <v>8</v>
      </c>
      <c r="AD254">
        <v>-3</v>
      </c>
      <c r="AE254">
        <v>4</v>
      </c>
      <c r="AF254">
        <v>8</v>
      </c>
      <c r="AG254">
        <v>-4</v>
      </c>
      <c r="AH254">
        <v>6</v>
      </c>
      <c r="AI254">
        <v>8</v>
      </c>
      <c r="AJ254">
        <v>-2</v>
      </c>
      <c r="AK254" t="s">
        <v>2452</v>
      </c>
      <c r="AL254" t="s">
        <v>2453</v>
      </c>
      <c r="AM254" t="s">
        <v>2454</v>
      </c>
      <c r="AN254" t="s">
        <v>2455</v>
      </c>
      <c r="AO254" t="s">
        <v>2456</v>
      </c>
      <c r="AP254" t="s">
        <v>2457</v>
      </c>
      <c r="AQ254" t="s">
        <v>2458</v>
      </c>
      <c r="AR254" t="s">
        <v>2459</v>
      </c>
      <c r="AS254" t="s">
        <v>2460</v>
      </c>
    </row>
    <row r="255" spans="1:45" x14ac:dyDescent="0.45">
      <c r="A255">
        <v>254</v>
      </c>
      <c r="B255">
        <v>2244</v>
      </c>
      <c r="C255" t="s">
        <v>78</v>
      </c>
      <c r="D255" t="s">
        <v>79</v>
      </c>
      <c r="E255" t="s">
        <v>74</v>
      </c>
      <c r="F255" t="s">
        <v>75</v>
      </c>
      <c r="G255" t="s">
        <v>76</v>
      </c>
      <c r="H255">
        <v>86.850437301740783</v>
      </c>
      <c r="I255">
        <v>1</v>
      </c>
      <c r="J255">
        <v>7</v>
      </c>
      <c r="K255">
        <v>4</v>
      </c>
      <c r="L255">
        <v>3</v>
      </c>
      <c r="M255">
        <v>8</v>
      </c>
      <c r="N255">
        <v>3</v>
      </c>
      <c r="O255">
        <v>5</v>
      </c>
      <c r="P255">
        <v>9</v>
      </c>
      <c r="Q255">
        <v>1</v>
      </c>
      <c r="R255">
        <v>8</v>
      </c>
      <c r="S255">
        <v>8</v>
      </c>
      <c r="T255">
        <v>7</v>
      </c>
      <c r="U255">
        <v>1</v>
      </c>
      <c r="V255">
        <v>9</v>
      </c>
      <c r="W255">
        <v>3</v>
      </c>
      <c r="X255">
        <v>6</v>
      </c>
      <c r="Y255">
        <v>6</v>
      </c>
      <c r="Z255">
        <v>6</v>
      </c>
      <c r="AA255">
        <v>0</v>
      </c>
      <c r="AB255">
        <v>7</v>
      </c>
      <c r="AC255">
        <v>5</v>
      </c>
      <c r="AD255">
        <v>2</v>
      </c>
      <c r="AE255">
        <v>5</v>
      </c>
      <c r="AF255">
        <v>6</v>
      </c>
      <c r="AG255">
        <v>-1</v>
      </c>
      <c r="AH255">
        <v>8</v>
      </c>
      <c r="AI255">
        <v>6</v>
      </c>
      <c r="AJ255">
        <v>2</v>
      </c>
      <c r="AK255" t="s">
        <v>2461</v>
      </c>
      <c r="AL255" t="s">
        <v>2462</v>
      </c>
      <c r="AM255" t="s">
        <v>2463</v>
      </c>
      <c r="AN255" t="s">
        <v>2464</v>
      </c>
      <c r="AO255" t="s">
        <v>2465</v>
      </c>
      <c r="AP255" t="s">
        <v>2466</v>
      </c>
      <c r="AQ255" t="s">
        <v>2467</v>
      </c>
      <c r="AR255" t="s">
        <v>2468</v>
      </c>
      <c r="AS255" t="s">
        <v>2469</v>
      </c>
    </row>
    <row r="256" spans="1:45" x14ac:dyDescent="0.45">
      <c r="A256">
        <v>255</v>
      </c>
      <c r="B256">
        <v>2245</v>
      </c>
      <c r="C256" t="s">
        <v>72</v>
      </c>
      <c r="D256" t="s">
        <v>73</v>
      </c>
      <c r="E256" t="s">
        <v>74</v>
      </c>
      <c r="F256" t="s">
        <v>75</v>
      </c>
      <c r="G256" t="s">
        <v>76</v>
      </c>
      <c r="H256">
        <v>61.469377991722489</v>
      </c>
      <c r="I256">
        <v>1</v>
      </c>
      <c r="J256">
        <v>7</v>
      </c>
      <c r="K256">
        <v>6</v>
      </c>
      <c r="L256">
        <v>1</v>
      </c>
      <c r="M256">
        <v>6</v>
      </c>
      <c r="N256">
        <v>6</v>
      </c>
      <c r="O256">
        <v>0</v>
      </c>
      <c r="P256">
        <v>8</v>
      </c>
      <c r="Q256">
        <v>1</v>
      </c>
      <c r="R256">
        <v>7</v>
      </c>
      <c r="S256">
        <v>9</v>
      </c>
      <c r="T256">
        <v>7</v>
      </c>
      <c r="U256">
        <v>2</v>
      </c>
      <c r="V256">
        <v>7</v>
      </c>
      <c r="W256">
        <v>5</v>
      </c>
      <c r="X256">
        <v>2</v>
      </c>
      <c r="Y256">
        <v>8</v>
      </c>
      <c r="Z256">
        <v>6</v>
      </c>
      <c r="AA256">
        <v>2</v>
      </c>
      <c r="AB256">
        <v>7</v>
      </c>
      <c r="AC256">
        <v>6</v>
      </c>
      <c r="AD256">
        <v>1</v>
      </c>
      <c r="AE256">
        <v>5</v>
      </c>
      <c r="AF256">
        <v>6</v>
      </c>
      <c r="AG256">
        <v>-1</v>
      </c>
      <c r="AH256">
        <v>7</v>
      </c>
      <c r="AI256">
        <v>6</v>
      </c>
      <c r="AJ256">
        <v>1</v>
      </c>
      <c r="AK256" t="s">
        <v>2470</v>
      </c>
      <c r="AL256" t="s">
        <v>2471</v>
      </c>
      <c r="AM256" t="s">
        <v>2472</v>
      </c>
      <c r="AN256" t="s">
        <v>2473</v>
      </c>
      <c r="AO256" t="s">
        <v>2474</v>
      </c>
      <c r="AP256" t="s">
        <v>2475</v>
      </c>
      <c r="AQ256" t="s">
        <v>2476</v>
      </c>
      <c r="AR256" t="s">
        <v>2477</v>
      </c>
      <c r="AS256" t="s">
        <v>2478</v>
      </c>
    </row>
    <row r="257" spans="1:45" x14ac:dyDescent="0.45">
      <c r="A257">
        <v>256</v>
      </c>
      <c r="B257">
        <v>2246</v>
      </c>
      <c r="C257" t="s">
        <v>72</v>
      </c>
      <c r="D257" t="s">
        <v>190</v>
      </c>
      <c r="E257" t="s">
        <v>74</v>
      </c>
      <c r="F257" t="s">
        <v>77</v>
      </c>
      <c r="G257" t="s">
        <v>76</v>
      </c>
      <c r="H257">
        <v>155.46569674021657</v>
      </c>
      <c r="I257">
        <v>4</v>
      </c>
      <c r="J257">
        <v>7</v>
      </c>
      <c r="K257">
        <v>8</v>
      </c>
      <c r="L257">
        <v>-1</v>
      </c>
      <c r="M257">
        <v>8</v>
      </c>
      <c r="N257">
        <v>8</v>
      </c>
      <c r="O257">
        <v>0</v>
      </c>
      <c r="P257">
        <v>7</v>
      </c>
      <c r="Q257">
        <v>5</v>
      </c>
      <c r="R257">
        <v>2</v>
      </c>
      <c r="S257">
        <v>8</v>
      </c>
      <c r="T257">
        <v>8</v>
      </c>
      <c r="U257">
        <v>0</v>
      </c>
      <c r="V257">
        <v>8</v>
      </c>
      <c r="W257">
        <v>8</v>
      </c>
      <c r="X257">
        <v>0</v>
      </c>
      <c r="Y257">
        <v>8</v>
      </c>
      <c r="Z257">
        <v>7</v>
      </c>
      <c r="AA257">
        <v>1</v>
      </c>
      <c r="AB257">
        <v>7</v>
      </c>
      <c r="AC257">
        <v>7</v>
      </c>
      <c r="AD257">
        <v>0</v>
      </c>
      <c r="AE257">
        <v>8</v>
      </c>
      <c r="AF257">
        <v>7</v>
      </c>
      <c r="AG257">
        <v>1</v>
      </c>
      <c r="AH257">
        <v>7</v>
      </c>
      <c r="AI257">
        <v>7</v>
      </c>
      <c r="AJ257">
        <v>0</v>
      </c>
      <c r="AK257" t="s">
        <v>2479</v>
      </c>
      <c r="AL257" t="s">
        <v>2480</v>
      </c>
      <c r="AM257" t="s">
        <v>2481</v>
      </c>
      <c r="AN257" t="s">
        <v>2482</v>
      </c>
      <c r="AO257" t="s">
        <v>2483</v>
      </c>
      <c r="AP257" t="s">
        <v>2484</v>
      </c>
      <c r="AQ257" t="s">
        <v>2485</v>
      </c>
      <c r="AR257" t="s">
        <v>2486</v>
      </c>
      <c r="AS257" t="s">
        <v>2487</v>
      </c>
    </row>
    <row r="258" spans="1:45" x14ac:dyDescent="0.45">
      <c r="A258">
        <v>257</v>
      </c>
      <c r="B258">
        <v>2247</v>
      </c>
      <c r="C258" t="s">
        <v>72</v>
      </c>
      <c r="D258" t="s">
        <v>81</v>
      </c>
      <c r="E258" t="s">
        <v>74</v>
      </c>
      <c r="F258" t="s">
        <v>77</v>
      </c>
      <c r="G258" t="s">
        <v>76</v>
      </c>
      <c r="H258">
        <v>32.842725037886026</v>
      </c>
      <c r="I258">
        <v>1</v>
      </c>
      <c r="J258">
        <v>7</v>
      </c>
      <c r="K258">
        <v>7</v>
      </c>
      <c r="L258">
        <v>0</v>
      </c>
      <c r="M258">
        <v>6</v>
      </c>
      <c r="N258">
        <v>8</v>
      </c>
      <c r="O258">
        <v>-2</v>
      </c>
      <c r="P258">
        <v>5</v>
      </c>
      <c r="Q258">
        <v>4</v>
      </c>
      <c r="R258">
        <v>1</v>
      </c>
      <c r="S258">
        <v>4</v>
      </c>
      <c r="T258">
        <v>8</v>
      </c>
      <c r="U258">
        <v>-4</v>
      </c>
      <c r="V258">
        <v>8</v>
      </c>
      <c r="W258">
        <v>5</v>
      </c>
      <c r="X258">
        <v>3</v>
      </c>
      <c r="Y258">
        <v>7</v>
      </c>
      <c r="Z258">
        <v>7</v>
      </c>
      <c r="AA258">
        <v>0</v>
      </c>
      <c r="AB258">
        <v>8</v>
      </c>
      <c r="AC258">
        <v>5</v>
      </c>
      <c r="AD258">
        <v>3</v>
      </c>
      <c r="AE258">
        <v>6</v>
      </c>
      <c r="AF258">
        <v>6</v>
      </c>
      <c r="AG258">
        <v>0</v>
      </c>
      <c r="AH258">
        <v>7</v>
      </c>
      <c r="AI258">
        <v>6</v>
      </c>
      <c r="AJ258">
        <v>1</v>
      </c>
      <c r="AK258" t="s">
        <v>2488</v>
      </c>
      <c r="AL258" t="s">
        <v>2489</v>
      </c>
      <c r="AM258" t="s">
        <v>2490</v>
      </c>
      <c r="AN258" t="s">
        <v>2491</v>
      </c>
      <c r="AO258" t="s">
        <v>2492</v>
      </c>
      <c r="AP258" t="s">
        <v>2493</v>
      </c>
      <c r="AQ258" t="s">
        <v>2494</v>
      </c>
      <c r="AR258" t="s">
        <v>2495</v>
      </c>
      <c r="AS258" t="s">
        <v>2496</v>
      </c>
    </row>
    <row r="259" spans="1:45" x14ac:dyDescent="0.45">
      <c r="A259">
        <v>258</v>
      </c>
      <c r="B259">
        <v>2248</v>
      </c>
      <c r="C259" t="s">
        <v>78</v>
      </c>
      <c r="D259" t="s">
        <v>79</v>
      </c>
      <c r="E259" t="s">
        <v>74</v>
      </c>
      <c r="F259" t="s">
        <v>77</v>
      </c>
      <c r="G259" t="s">
        <v>76</v>
      </c>
      <c r="H259">
        <v>68.345061331934133</v>
      </c>
      <c r="I259">
        <v>2</v>
      </c>
      <c r="J259">
        <v>7</v>
      </c>
      <c r="K259">
        <v>6</v>
      </c>
      <c r="L259">
        <v>1</v>
      </c>
      <c r="M259">
        <v>8</v>
      </c>
      <c r="N259">
        <v>7</v>
      </c>
      <c r="O259">
        <v>1</v>
      </c>
      <c r="P259">
        <v>6</v>
      </c>
      <c r="Q259">
        <v>2</v>
      </c>
      <c r="R259">
        <v>4</v>
      </c>
      <c r="S259">
        <v>8</v>
      </c>
      <c r="T259">
        <v>7</v>
      </c>
      <c r="U259">
        <v>1</v>
      </c>
      <c r="V259">
        <v>6</v>
      </c>
      <c r="W259">
        <v>5</v>
      </c>
      <c r="X259">
        <v>1</v>
      </c>
      <c r="Y259">
        <v>7</v>
      </c>
      <c r="Z259">
        <v>5</v>
      </c>
      <c r="AA259">
        <v>2</v>
      </c>
      <c r="AB259">
        <v>5</v>
      </c>
      <c r="AC259">
        <v>5</v>
      </c>
      <c r="AD259">
        <v>0</v>
      </c>
      <c r="AE259">
        <v>6</v>
      </c>
      <c r="AF259">
        <v>6</v>
      </c>
      <c r="AG259">
        <v>0</v>
      </c>
      <c r="AH259">
        <v>7</v>
      </c>
      <c r="AI259">
        <v>5</v>
      </c>
      <c r="AJ259">
        <v>2</v>
      </c>
      <c r="AK259" t="s">
        <v>2497</v>
      </c>
      <c r="AL259" t="s">
        <v>2498</v>
      </c>
      <c r="AM259" t="s">
        <v>2499</v>
      </c>
      <c r="AN259" t="s">
        <v>2500</v>
      </c>
      <c r="AO259" t="s">
        <v>2501</v>
      </c>
      <c r="AP259" t="s">
        <v>2502</v>
      </c>
      <c r="AQ259" t="s">
        <v>2503</v>
      </c>
      <c r="AR259" t="s">
        <v>2504</v>
      </c>
      <c r="AS259" t="s">
        <v>2505</v>
      </c>
    </row>
    <row r="260" spans="1:45" x14ac:dyDescent="0.45">
      <c r="A260">
        <v>259</v>
      </c>
      <c r="B260">
        <v>2249</v>
      </c>
      <c r="C260" t="s">
        <v>78</v>
      </c>
      <c r="D260" t="s">
        <v>190</v>
      </c>
      <c r="E260" t="s">
        <v>74</v>
      </c>
      <c r="F260" t="s">
        <v>75</v>
      </c>
      <c r="G260" t="s">
        <v>76</v>
      </c>
      <c r="H260">
        <v>191.86155060733867</v>
      </c>
      <c r="I260">
        <v>4</v>
      </c>
      <c r="J260">
        <v>7</v>
      </c>
      <c r="K260">
        <v>2</v>
      </c>
      <c r="L260">
        <v>5</v>
      </c>
      <c r="M260">
        <v>8</v>
      </c>
      <c r="N260">
        <v>1</v>
      </c>
      <c r="O260">
        <v>7</v>
      </c>
      <c r="P260">
        <v>6</v>
      </c>
      <c r="Q260">
        <v>1</v>
      </c>
      <c r="R260">
        <v>5</v>
      </c>
      <c r="S260">
        <v>7</v>
      </c>
      <c r="T260">
        <v>6</v>
      </c>
      <c r="U260">
        <v>1</v>
      </c>
      <c r="V260">
        <v>6</v>
      </c>
      <c r="W260">
        <v>2</v>
      </c>
      <c r="X260">
        <v>4</v>
      </c>
      <c r="Y260">
        <v>8</v>
      </c>
      <c r="Z260">
        <v>3</v>
      </c>
      <c r="AA260">
        <v>5</v>
      </c>
      <c r="AB260">
        <v>7</v>
      </c>
      <c r="AC260">
        <v>1</v>
      </c>
      <c r="AD260">
        <v>6</v>
      </c>
      <c r="AE260">
        <v>8</v>
      </c>
      <c r="AF260">
        <v>5</v>
      </c>
      <c r="AG260">
        <v>3</v>
      </c>
      <c r="AH260">
        <v>7</v>
      </c>
      <c r="AI260">
        <v>4</v>
      </c>
      <c r="AJ260">
        <v>3</v>
      </c>
      <c r="AK260" t="s">
        <v>2506</v>
      </c>
      <c r="AL260" t="s">
        <v>2507</v>
      </c>
      <c r="AM260" t="s">
        <v>2508</v>
      </c>
      <c r="AN260" t="s">
        <v>2509</v>
      </c>
      <c r="AO260" t="s">
        <v>2510</v>
      </c>
      <c r="AP260" t="s">
        <v>2511</v>
      </c>
      <c r="AQ260" t="s">
        <v>2512</v>
      </c>
      <c r="AR260" t="s">
        <v>2513</v>
      </c>
      <c r="AS260" t="s">
        <v>2514</v>
      </c>
    </row>
    <row r="261" spans="1:45" x14ac:dyDescent="0.45">
      <c r="A261">
        <v>260</v>
      </c>
      <c r="B261">
        <v>2250</v>
      </c>
      <c r="C261" t="s">
        <v>72</v>
      </c>
      <c r="D261" t="s">
        <v>73</v>
      </c>
      <c r="E261" t="s">
        <v>80</v>
      </c>
      <c r="F261" t="s">
        <v>77</v>
      </c>
      <c r="G261" t="s">
        <v>76</v>
      </c>
      <c r="H261">
        <v>37.838960492696707</v>
      </c>
      <c r="I261">
        <v>2</v>
      </c>
      <c r="J261">
        <v>7</v>
      </c>
      <c r="K261">
        <v>6</v>
      </c>
      <c r="L261">
        <v>1</v>
      </c>
      <c r="M261">
        <v>8</v>
      </c>
      <c r="N261">
        <v>6</v>
      </c>
      <c r="O261">
        <v>2</v>
      </c>
      <c r="P261">
        <v>6</v>
      </c>
      <c r="Q261">
        <v>7</v>
      </c>
      <c r="R261">
        <v>-1</v>
      </c>
      <c r="S261">
        <v>9</v>
      </c>
      <c r="T261">
        <v>6</v>
      </c>
      <c r="U261">
        <v>3</v>
      </c>
      <c r="V261">
        <v>8</v>
      </c>
      <c r="W261">
        <v>5</v>
      </c>
      <c r="X261">
        <v>3</v>
      </c>
      <c r="Y261">
        <v>7</v>
      </c>
      <c r="Z261">
        <v>6</v>
      </c>
      <c r="AA261">
        <v>1</v>
      </c>
      <c r="AB261">
        <v>8</v>
      </c>
      <c r="AC261">
        <v>5</v>
      </c>
      <c r="AD261">
        <v>3</v>
      </c>
      <c r="AE261">
        <v>5</v>
      </c>
      <c r="AF261">
        <v>6</v>
      </c>
      <c r="AG261">
        <v>-1</v>
      </c>
      <c r="AH261">
        <v>7</v>
      </c>
      <c r="AI261">
        <v>6</v>
      </c>
      <c r="AJ261">
        <v>1</v>
      </c>
      <c r="AK261" t="s">
        <v>2515</v>
      </c>
      <c r="AL261" t="s">
        <v>2516</v>
      </c>
      <c r="AM261" t="s">
        <v>2517</v>
      </c>
      <c r="AN261" t="s">
        <v>2518</v>
      </c>
      <c r="AO261" t="s">
        <v>2519</v>
      </c>
      <c r="AP261" t="s">
        <v>2520</v>
      </c>
      <c r="AQ261" t="s">
        <v>2521</v>
      </c>
      <c r="AR261" t="s">
        <v>2522</v>
      </c>
      <c r="AS261" t="s">
        <v>2523</v>
      </c>
    </row>
    <row r="262" spans="1:45" x14ac:dyDescent="0.45">
      <c r="A262">
        <v>261</v>
      </c>
      <c r="B262">
        <v>2251</v>
      </c>
      <c r="C262" t="s">
        <v>78</v>
      </c>
      <c r="D262" t="s">
        <v>73</v>
      </c>
      <c r="E262" t="s">
        <v>74</v>
      </c>
      <c r="F262" t="s">
        <v>77</v>
      </c>
      <c r="G262" t="s">
        <v>76</v>
      </c>
      <c r="H262">
        <v>44.657972186580224</v>
      </c>
      <c r="I262">
        <v>1</v>
      </c>
      <c r="J262">
        <v>8</v>
      </c>
      <c r="K262">
        <v>6</v>
      </c>
      <c r="L262">
        <v>2</v>
      </c>
      <c r="M262">
        <v>7</v>
      </c>
      <c r="N262">
        <v>7</v>
      </c>
      <c r="O262">
        <v>0</v>
      </c>
      <c r="P262">
        <v>6</v>
      </c>
      <c r="Q262">
        <v>1</v>
      </c>
      <c r="R262">
        <v>5</v>
      </c>
      <c r="S262">
        <v>8</v>
      </c>
      <c r="T262">
        <v>9</v>
      </c>
      <c r="U262">
        <v>-1</v>
      </c>
      <c r="V262">
        <v>7</v>
      </c>
      <c r="W262">
        <v>5</v>
      </c>
      <c r="X262">
        <v>2</v>
      </c>
      <c r="Y262">
        <v>6</v>
      </c>
      <c r="Z262">
        <v>4</v>
      </c>
      <c r="AA262">
        <v>2</v>
      </c>
      <c r="AB262">
        <v>5</v>
      </c>
      <c r="AC262">
        <v>4</v>
      </c>
      <c r="AD262">
        <v>1</v>
      </c>
      <c r="AE262">
        <v>6</v>
      </c>
      <c r="AF262">
        <v>5</v>
      </c>
      <c r="AG262">
        <v>1</v>
      </c>
      <c r="AH262">
        <v>6</v>
      </c>
      <c r="AI262">
        <v>5</v>
      </c>
      <c r="AJ262">
        <v>1</v>
      </c>
      <c r="AK262" t="s">
        <v>2524</v>
      </c>
      <c r="AL262" t="s">
        <v>2525</v>
      </c>
      <c r="AM262" t="s">
        <v>2526</v>
      </c>
      <c r="AN262" t="s">
        <v>2527</v>
      </c>
      <c r="AO262" t="s">
        <v>2528</v>
      </c>
      <c r="AP262" t="s">
        <v>2529</v>
      </c>
      <c r="AQ262" t="s">
        <v>2530</v>
      </c>
      <c r="AR262" t="s">
        <v>2531</v>
      </c>
      <c r="AS262" t="s">
        <v>2532</v>
      </c>
    </row>
    <row r="263" spans="1:45" x14ac:dyDescent="0.45">
      <c r="A263">
        <v>262</v>
      </c>
      <c r="B263">
        <v>2252</v>
      </c>
      <c r="C263" t="s">
        <v>78</v>
      </c>
      <c r="D263" t="s">
        <v>73</v>
      </c>
      <c r="E263" t="s">
        <v>74</v>
      </c>
      <c r="F263" t="s">
        <v>77</v>
      </c>
      <c r="G263" t="s">
        <v>76</v>
      </c>
      <c r="H263">
        <v>52.492717578087984</v>
      </c>
      <c r="I263">
        <v>4</v>
      </c>
      <c r="J263">
        <v>7</v>
      </c>
      <c r="K263">
        <v>9</v>
      </c>
      <c r="L263">
        <v>-2</v>
      </c>
      <c r="M263">
        <v>8</v>
      </c>
      <c r="N263">
        <v>9</v>
      </c>
      <c r="O263">
        <v>-1</v>
      </c>
      <c r="P263">
        <v>9</v>
      </c>
      <c r="Q263">
        <v>8</v>
      </c>
      <c r="R263">
        <v>1</v>
      </c>
      <c r="S263">
        <v>8</v>
      </c>
      <c r="T263">
        <v>9</v>
      </c>
      <c r="U263">
        <v>-1</v>
      </c>
      <c r="V263">
        <v>9</v>
      </c>
      <c r="W263">
        <v>8</v>
      </c>
      <c r="X263">
        <v>1</v>
      </c>
      <c r="Y263">
        <v>8</v>
      </c>
      <c r="Z263">
        <v>9</v>
      </c>
      <c r="AA263">
        <v>-1</v>
      </c>
      <c r="AB263">
        <v>7</v>
      </c>
      <c r="AC263">
        <v>9</v>
      </c>
      <c r="AD263">
        <v>-2</v>
      </c>
      <c r="AE263">
        <v>6</v>
      </c>
      <c r="AF263">
        <v>8</v>
      </c>
      <c r="AG263">
        <v>-2</v>
      </c>
      <c r="AH263">
        <v>8</v>
      </c>
      <c r="AI263">
        <v>8</v>
      </c>
      <c r="AJ263">
        <v>0</v>
      </c>
      <c r="AK263" t="s">
        <v>2533</v>
      </c>
      <c r="AL263" t="s">
        <v>2534</v>
      </c>
      <c r="AM263" t="s">
        <v>2535</v>
      </c>
      <c r="AN263" t="s">
        <v>2536</v>
      </c>
      <c r="AO263" t="s">
        <v>2537</v>
      </c>
      <c r="AP263" t="s">
        <v>2538</v>
      </c>
      <c r="AQ263" t="s">
        <v>2539</v>
      </c>
      <c r="AR263" t="s">
        <v>2540</v>
      </c>
      <c r="AS263" t="s">
        <v>2541</v>
      </c>
    </row>
    <row r="264" spans="1:45" x14ac:dyDescent="0.45">
      <c r="A264">
        <v>263</v>
      </c>
      <c r="B264">
        <v>2253</v>
      </c>
      <c r="C264" t="s">
        <v>78</v>
      </c>
      <c r="D264" t="s">
        <v>73</v>
      </c>
      <c r="E264" t="s">
        <v>74</v>
      </c>
      <c r="F264" t="s">
        <v>75</v>
      </c>
      <c r="G264" t="s">
        <v>76</v>
      </c>
      <c r="H264">
        <v>74.082301305339371</v>
      </c>
      <c r="I264">
        <v>3</v>
      </c>
      <c r="J264">
        <v>8</v>
      </c>
      <c r="K264">
        <v>8</v>
      </c>
      <c r="L264">
        <v>0</v>
      </c>
      <c r="M264">
        <v>7</v>
      </c>
      <c r="N264">
        <v>8</v>
      </c>
      <c r="O264">
        <v>-1</v>
      </c>
      <c r="P264">
        <v>6</v>
      </c>
      <c r="Q264">
        <v>5</v>
      </c>
      <c r="R264">
        <v>1</v>
      </c>
      <c r="S264">
        <v>8</v>
      </c>
      <c r="T264">
        <v>7</v>
      </c>
      <c r="U264">
        <v>1</v>
      </c>
      <c r="V264">
        <v>7</v>
      </c>
      <c r="W264">
        <v>7</v>
      </c>
      <c r="X264">
        <v>0</v>
      </c>
      <c r="Y264">
        <v>6</v>
      </c>
      <c r="Z264">
        <v>5</v>
      </c>
      <c r="AA264">
        <v>1</v>
      </c>
      <c r="AB264">
        <v>7</v>
      </c>
      <c r="AC264">
        <v>5</v>
      </c>
      <c r="AD264">
        <v>2</v>
      </c>
      <c r="AE264">
        <v>6</v>
      </c>
      <c r="AF264">
        <v>6</v>
      </c>
      <c r="AG264">
        <v>0</v>
      </c>
      <c r="AH264">
        <v>7</v>
      </c>
      <c r="AI264">
        <v>6</v>
      </c>
      <c r="AJ264">
        <v>1</v>
      </c>
      <c r="AK264" t="s">
        <v>2542</v>
      </c>
      <c r="AL264" t="s">
        <v>2543</v>
      </c>
      <c r="AM264" t="s">
        <v>2544</v>
      </c>
      <c r="AN264" t="s">
        <v>2545</v>
      </c>
      <c r="AO264" t="s">
        <v>2546</v>
      </c>
      <c r="AP264" t="s">
        <v>2547</v>
      </c>
      <c r="AQ264" t="s">
        <v>2548</v>
      </c>
      <c r="AR264" t="s">
        <v>2549</v>
      </c>
      <c r="AS264" t="s">
        <v>2550</v>
      </c>
    </row>
    <row r="265" spans="1:45" x14ac:dyDescent="0.45">
      <c r="A265">
        <v>264</v>
      </c>
      <c r="B265">
        <v>2254</v>
      </c>
      <c r="C265" t="s">
        <v>78</v>
      </c>
      <c r="D265" t="s">
        <v>79</v>
      </c>
      <c r="E265" t="s">
        <v>74</v>
      </c>
      <c r="F265" t="s">
        <v>75</v>
      </c>
      <c r="G265" t="s">
        <v>76</v>
      </c>
      <c r="H265">
        <v>139.51218293264679</v>
      </c>
      <c r="I265">
        <v>3</v>
      </c>
      <c r="J265">
        <v>6</v>
      </c>
      <c r="K265">
        <v>7</v>
      </c>
      <c r="L265">
        <v>-1</v>
      </c>
      <c r="M265">
        <v>7</v>
      </c>
      <c r="N265">
        <v>7</v>
      </c>
      <c r="O265">
        <v>0</v>
      </c>
      <c r="P265">
        <v>8</v>
      </c>
      <c r="Q265">
        <v>7</v>
      </c>
      <c r="R265">
        <v>1</v>
      </c>
      <c r="S265">
        <v>9</v>
      </c>
      <c r="T265">
        <v>8</v>
      </c>
      <c r="U265">
        <v>1</v>
      </c>
      <c r="V265">
        <v>7</v>
      </c>
      <c r="W265">
        <v>7</v>
      </c>
      <c r="X265">
        <v>0</v>
      </c>
      <c r="Y265">
        <v>6</v>
      </c>
      <c r="Z265">
        <v>7</v>
      </c>
      <c r="AA265">
        <v>-1</v>
      </c>
      <c r="AB265">
        <v>6</v>
      </c>
      <c r="AC265">
        <v>7</v>
      </c>
      <c r="AD265">
        <v>-1</v>
      </c>
      <c r="AE265">
        <v>7</v>
      </c>
      <c r="AF265">
        <v>7</v>
      </c>
      <c r="AG265">
        <v>0</v>
      </c>
      <c r="AH265">
        <v>8</v>
      </c>
      <c r="AI265">
        <v>7</v>
      </c>
      <c r="AJ265">
        <v>1</v>
      </c>
      <c r="AK265" t="s">
        <v>2551</v>
      </c>
      <c r="AL265" t="s">
        <v>2552</v>
      </c>
      <c r="AM265" t="s">
        <v>2553</v>
      </c>
      <c r="AN265" t="s">
        <v>2554</v>
      </c>
      <c r="AO265" t="s">
        <v>2555</v>
      </c>
      <c r="AP265" t="s">
        <v>2556</v>
      </c>
      <c r="AQ265" t="s">
        <v>2557</v>
      </c>
      <c r="AR265" t="s">
        <v>2558</v>
      </c>
      <c r="AS265" t="s">
        <v>2559</v>
      </c>
    </row>
    <row r="266" spans="1:45" x14ac:dyDescent="0.45">
      <c r="A266">
        <v>265</v>
      </c>
      <c r="B266">
        <v>2255</v>
      </c>
      <c r="C266" t="s">
        <v>72</v>
      </c>
      <c r="D266" t="s">
        <v>73</v>
      </c>
      <c r="E266" t="s">
        <v>74</v>
      </c>
      <c r="F266" t="s">
        <v>77</v>
      </c>
      <c r="G266" t="s">
        <v>76</v>
      </c>
      <c r="H266">
        <v>23.4628029662031</v>
      </c>
      <c r="I266">
        <v>0</v>
      </c>
      <c r="J266">
        <v>7</v>
      </c>
      <c r="K266">
        <v>6</v>
      </c>
      <c r="L266">
        <v>1</v>
      </c>
      <c r="M266">
        <v>8</v>
      </c>
      <c r="N266">
        <v>5</v>
      </c>
      <c r="O266">
        <v>3</v>
      </c>
      <c r="P266">
        <v>6</v>
      </c>
      <c r="Q266">
        <v>5</v>
      </c>
      <c r="R266">
        <v>1</v>
      </c>
      <c r="S266">
        <v>8</v>
      </c>
      <c r="T266">
        <v>7</v>
      </c>
      <c r="U266">
        <v>1</v>
      </c>
      <c r="V266">
        <v>7</v>
      </c>
      <c r="W266">
        <v>6</v>
      </c>
      <c r="X266">
        <v>1</v>
      </c>
      <c r="Y266">
        <v>9</v>
      </c>
      <c r="Z266">
        <v>7</v>
      </c>
      <c r="AA266">
        <v>2</v>
      </c>
      <c r="AB266">
        <v>6</v>
      </c>
      <c r="AC266">
        <v>5</v>
      </c>
      <c r="AD266">
        <v>1</v>
      </c>
      <c r="AE266">
        <v>7</v>
      </c>
      <c r="AF266">
        <v>6</v>
      </c>
      <c r="AG266">
        <v>1</v>
      </c>
      <c r="AH266">
        <v>8</v>
      </c>
      <c r="AI266">
        <v>6</v>
      </c>
      <c r="AJ266">
        <v>2</v>
      </c>
      <c r="AK266" t="s">
        <v>2560</v>
      </c>
      <c r="AL266" t="s">
        <v>2561</v>
      </c>
      <c r="AM266" t="s">
        <v>2562</v>
      </c>
      <c r="AN266" t="s">
        <v>2563</v>
      </c>
      <c r="AO266" t="s">
        <v>2564</v>
      </c>
      <c r="AP266" t="s">
        <v>2565</v>
      </c>
      <c r="AQ266" t="s">
        <v>2566</v>
      </c>
      <c r="AR266" t="s">
        <v>2567</v>
      </c>
      <c r="AS266" t="s">
        <v>2568</v>
      </c>
    </row>
    <row r="267" spans="1:45" x14ac:dyDescent="0.45">
      <c r="A267">
        <v>266</v>
      </c>
      <c r="B267">
        <v>2256</v>
      </c>
      <c r="C267" t="s">
        <v>72</v>
      </c>
      <c r="D267" t="s">
        <v>190</v>
      </c>
      <c r="E267" t="s">
        <v>74</v>
      </c>
      <c r="F267" t="s">
        <v>77</v>
      </c>
      <c r="G267" t="s">
        <v>76</v>
      </c>
      <c r="H267">
        <v>62.259642572768584</v>
      </c>
      <c r="I267">
        <v>3</v>
      </c>
      <c r="J267">
        <v>7</v>
      </c>
      <c r="K267">
        <v>7</v>
      </c>
      <c r="L267">
        <v>0</v>
      </c>
      <c r="M267">
        <v>6</v>
      </c>
      <c r="N267">
        <v>6</v>
      </c>
      <c r="O267">
        <v>0</v>
      </c>
      <c r="P267">
        <v>5</v>
      </c>
      <c r="Q267">
        <v>6</v>
      </c>
      <c r="R267">
        <v>-1</v>
      </c>
      <c r="S267">
        <v>4</v>
      </c>
      <c r="T267">
        <v>6</v>
      </c>
      <c r="U267">
        <v>-2</v>
      </c>
      <c r="V267">
        <v>7</v>
      </c>
      <c r="W267">
        <v>7</v>
      </c>
      <c r="X267">
        <v>0</v>
      </c>
      <c r="Y267">
        <v>8</v>
      </c>
      <c r="Z267">
        <v>7</v>
      </c>
      <c r="AA267">
        <v>1</v>
      </c>
      <c r="AB267">
        <v>6</v>
      </c>
      <c r="AC267">
        <v>7</v>
      </c>
      <c r="AD267">
        <v>-1</v>
      </c>
      <c r="AE267">
        <v>5</v>
      </c>
      <c r="AF267">
        <v>7</v>
      </c>
      <c r="AG267">
        <v>-2</v>
      </c>
      <c r="AH267">
        <v>6</v>
      </c>
      <c r="AI267">
        <v>7</v>
      </c>
      <c r="AJ267">
        <v>-1</v>
      </c>
      <c r="AK267" t="s">
        <v>2569</v>
      </c>
      <c r="AL267" t="s">
        <v>2570</v>
      </c>
      <c r="AM267" t="s">
        <v>2571</v>
      </c>
      <c r="AN267" t="s">
        <v>2572</v>
      </c>
      <c r="AO267" t="s">
        <v>2573</v>
      </c>
      <c r="AP267" t="s">
        <v>2574</v>
      </c>
      <c r="AQ267" t="s">
        <v>2575</v>
      </c>
      <c r="AR267" t="s">
        <v>2576</v>
      </c>
      <c r="AS267" t="s">
        <v>2577</v>
      </c>
    </row>
    <row r="268" spans="1:45" x14ac:dyDescent="0.45">
      <c r="A268">
        <v>267</v>
      </c>
      <c r="B268">
        <v>2257</v>
      </c>
      <c r="C268" t="s">
        <v>78</v>
      </c>
      <c r="D268" t="s">
        <v>79</v>
      </c>
      <c r="E268" t="s">
        <v>74</v>
      </c>
      <c r="F268" t="s">
        <v>75</v>
      </c>
      <c r="G268" t="s">
        <v>76</v>
      </c>
      <c r="H268">
        <v>60.808420867312741</v>
      </c>
      <c r="I268">
        <v>2</v>
      </c>
      <c r="J268">
        <v>7</v>
      </c>
      <c r="K268">
        <v>6</v>
      </c>
      <c r="L268">
        <v>1</v>
      </c>
      <c r="M268">
        <v>8</v>
      </c>
      <c r="N268">
        <v>7</v>
      </c>
      <c r="O268">
        <v>1</v>
      </c>
      <c r="P268">
        <v>6</v>
      </c>
      <c r="Q268">
        <v>7</v>
      </c>
      <c r="R268">
        <v>-1</v>
      </c>
      <c r="S268">
        <v>9</v>
      </c>
      <c r="T268">
        <v>6</v>
      </c>
      <c r="U268">
        <v>3</v>
      </c>
      <c r="V268">
        <v>7</v>
      </c>
      <c r="W268">
        <v>6</v>
      </c>
      <c r="X268">
        <v>1</v>
      </c>
      <c r="Y268">
        <v>8</v>
      </c>
      <c r="Z268">
        <v>6</v>
      </c>
      <c r="AA268">
        <v>2</v>
      </c>
      <c r="AB268">
        <v>9</v>
      </c>
      <c r="AC268">
        <v>6</v>
      </c>
      <c r="AD268">
        <v>3</v>
      </c>
      <c r="AE268">
        <v>6</v>
      </c>
      <c r="AF268">
        <v>7</v>
      </c>
      <c r="AG268">
        <v>-1</v>
      </c>
      <c r="AH268">
        <v>8</v>
      </c>
      <c r="AI268">
        <v>7</v>
      </c>
      <c r="AJ268">
        <v>1</v>
      </c>
      <c r="AK268" t="s">
        <v>2578</v>
      </c>
      <c r="AL268" t="s">
        <v>2579</v>
      </c>
      <c r="AM268" t="s">
        <v>2580</v>
      </c>
      <c r="AN268" t="s">
        <v>2581</v>
      </c>
      <c r="AO268" t="s">
        <v>2582</v>
      </c>
      <c r="AP268" t="s">
        <v>2583</v>
      </c>
      <c r="AQ268" t="s">
        <v>2584</v>
      </c>
      <c r="AR268" t="s">
        <v>2585</v>
      </c>
      <c r="AS268" t="s">
        <v>2586</v>
      </c>
    </row>
    <row r="269" spans="1:45" x14ac:dyDescent="0.45">
      <c r="A269">
        <v>268</v>
      </c>
      <c r="B269">
        <v>2258</v>
      </c>
      <c r="C269" t="s">
        <v>72</v>
      </c>
      <c r="D269" t="s">
        <v>81</v>
      </c>
      <c r="E269" t="s">
        <v>74</v>
      </c>
      <c r="F269" t="s">
        <v>77</v>
      </c>
      <c r="G269" t="s">
        <v>76</v>
      </c>
      <c r="H269">
        <v>24.038339925455372</v>
      </c>
      <c r="I269">
        <v>2</v>
      </c>
      <c r="J269">
        <v>8</v>
      </c>
      <c r="K269">
        <v>7</v>
      </c>
      <c r="L269">
        <v>1</v>
      </c>
      <c r="M269">
        <v>7</v>
      </c>
      <c r="N269">
        <v>7</v>
      </c>
      <c r="O269">
        <v>0</v>
      </c>
      <c r="P269">
        <v>9</v>
      </c>
      <c r="Q269">
        <v>2</v>
      </c>
      <c r="R269">
        <v>7</v>
      </c>
      <c r="S269">
        <v>8</v>
      </c>
      <c r="T269">
        <v>7</v>
      </c>
      <c r="U269">
        <v>1</v>
      </c>
      <c r="V269">
        <v>7</v>
      </c>
      <c r="W269">
        <v>7</v>
      </c>
      <c r="X269">
        <v>0</v>
      </c>
      <c r="Y269">
        <v>6</v>
      </c>
      <c r="Z269">
        <v>7</v>
      </c>
      <c r="AA269">
        <v>-1</v>
      </c>
      <c r="AB269">
        <v>7</v>
      </c>
      <c r="AC269">
        <v>7</v>
      </c>
      <c r="AD269">
        <v>0</v>
      </c>
      <c r="AE269">
        <v>6</v>
      </c>
      <c r="AF269">
        <v>7</v>
      </c>
      <c r="AG269">
        <v>-1</v>
      </c>
      <c r="AH269">
        <v>7</v>
      </c>
      <c r="AI269">
        <v>7</v>
      </c>
      <c r="AJ269">
        <v>0</v>
      </c>
      <c r="AK269" t="s">
        <v>2587</v>
      </c>
      <c r="AL269" t="s">
        <v>2588</v>
      </c>
      <c r="AM269" t="s">
        <v>2589</v>
      </c>
      <c r="AN269" t="s">
        <v>2590</v>
      </c>
      <c r="AO269" t="s">
        <v>2591</v>
      </c>
      <c r="AP269" t="s">
        <v>2592</v>
      </c>
      <c r="AQ269" t="s">
        <v>2593</v>
      </c>
      <c r="AR269" t="s">
        <v>2594</v>
      </c>
      <c r="AS269" t="s">
        <v>2595</v>
      </c>
    </row>
    <row r="270" spans="1:45" x14ac:dyDescent="0.45">
      <c r="A270">
        <v>269</v>
      </c>
      <c r="B270">
        <v>2259</v>
      </c>
      <c r="C270" t="s">
        <v>78</v>
      </c>
      <c r="D270" t="s">
        <v>79</v>
      </c>
      <c r="E270" t="s">
        <v>74</v>
      </c>
      <c r="F270" t="s">
        <v>75</v>
      </c>
      <c r="G270" t="s">
        <v>76</v>
      </c>
      <c r="H270">
        <v>88.673723159444748</v>
      </c>
      <c r="I270">
        <v>4</v>
      </c>
      <c r="J270">
        <v>7</v>
      </c>
      <c r="K270">
        <v>4</v>
      </c>
      <c r="L270">
        <v>3</v>
      </c>
      <c r="M270">
        <v>8</v>
      </c>
      <c r="N270">
        <v>5</v>
      </c>
      <c r="O270">
        <v>3</v>
      </c>
      <c r="P270">
        <v>6</v>
      </c>
      <c r="Q270">
        <v>2</v>
      </c>
      <c r="R270">
        <v>4</v>
      </c>
      <c r="S270">
        <v>7</v>
      </c>
      <c r="T270">
        <v>6</v>
      </c>
      <c r="U270">
        <v>1</v>
      </c>
      <c r="V270">
        <v>8</v>
      </c>
      <c r="W270">
        <v>3</v>
      </c>
      <c r="X270">
        <v>5</v>
      </c>
      <c r="Y270">
        <v>7</v>
      </c>
      <c r="Z270">
        <v>3</v>
      </c>
      <c r="AA270">
        <v>4</v>
      </c>
      <c r="AB270">
        <v>6</v>
      </c>
      <c r="AC270">
        <v>1</v>
      </c>
      <c r="AD270">
        <v>5</v>
      </c>
      <c r="AE270">
        <v>5</v>
      </c>
      <c r="AF270">
        <v>3</v>
      </c>
      <c r="AG270">
        <v>2</v>
      </c>
      <c r="AH270">
        <v>8</v>
      </c>
      <c r="AI270">
        <v>1</v>
      </c>
      <c r="AJ270">
        <v>7</v>
      </c>
      <c r="AK270" t="s">
        <v>2596</v>
      </c>
      <c r="AL270" t="s">
        <v>2597</v>
      </c>
      <c r="AM270" t="s">
        <v>2598</v>
      </c>
      <c r="AN270" t="s">
        <v>2599</v>
      </c>
      <c r="AO270" t="s">
        <v>2600</v>
      </c>
      <c r="AP270" t="s">
        <v>2601</v>
      </c>
      <c r="AQ270" t="s">
        <v>2602</v>
      </c>
      <c r="AR270" t="s">
        <v>2603</v>
      </c>
      <c r="AS270" t="s">
        <v>2604</v>
      </c>
    </row>
    <row r="271" spans="1:45" x14ac:dyDescent="0.45">
      <c r="A271">
        <v>270</v>
      </c>
      <c r="B271">
        <v>2260</v>
      </c>
      <c r="C271" t="s">
        <v>72</v>
      </c>
      <c r="D271" t="s">
        <v>73</v>
      </c>
      <c r="E271" t="s">
        <v>74</v>
      </c>
      <c r="F271" t="s">
        <v>75</v>
      </c>
      <c r="G271" t="s">
        <v>161</v>
      </c>
      <c r="H271">
        <v>49.263811221633972</v>
      </c>
      <c r="I271">
        <v>0</v>
      </c>
      <c r="J271">
        <v>6</v>
      </c>
      <c r="K271">
        <v>8</v>
      </c>
      <c r="L271">
        <v>-2</v>
      </c>
      <c r="M271">
        <v>7</v>
      </c>
      <c r="N271">
        <v>8</v>
      </c>
      <c r="O271">
        <v>-1</v>
      </c>
      <c r="P271">
        <v>8</v>
      </c>
      <c r="Q271">
        <v>3</v>
      </c>
      <c r="R271">
        <v>5</v>
      </c>
      <c r="S271">
        <v>9</v>
      </c>
      <c r="T271">
        <v>8</v>
      </c>
      <c r="U271">
        <v>1</v>
      </c>
      <c r="V271">
        <v>7</v>
      </c>
      <c r="W271">
        <v>3</v>
      </c>
      <c r="X271">
        <v>4</v>
      </c>
      <c r="Y271">
        <v>6</v>
      </c>
      <c r="Z271">
        <v>1</v>
      </c>
      <c r="AA271">
        <v>5</v>
      </c>
      <c r="AB271">
        <v>7</v>
      </c>
      <c r="AC271">
        <v>8</v>
      </c>
      <c r="AD271">
        <v>-1</v>
      </c>
      <c r="AE271">
        <v>5</v>
      </c>
      <c r="AF271">
        <v>6</v>
      </c>
      <c r="AG271">
        <v>-1</v>
      </c>
      <c r="AH271">
        <v>7</v>
      </c>
      <c r="AI271">
        <v>7</v>
      </c>
      <c r="AJ271">
        <v>0</v>
      </c>
      <c r="AK271" t="s">
        <v>2605</v>
      </c>
      <c r="AL271" t="s">
        <v>2606</v>
      </c>
      <c r="AM271" t="s">
        <v>2607</v>
      </c>
      <c r="AN271" t="s">
        <v>2608</v>
      </c>
      <c r="AO271" t="s">
        <v>2609</v>
      </c>
      <c r="AP271" t="s">
        <v>2610</v>
      </c>
      <c r="AQ271" t="s">
        <v>2611</v>
      </c>
      <c r="AR271" t="s">
        <v>2612</v>
      </c>
      <c r="AS271" t="s">
        <v>2613</v>
      </c>
    </row>
    <row r="272" spans="1:45" x14ac:dyDescent="0.45">
      <c r="A272">
        <v>271</v>
      </c>
      <c r="B272">
        <v>2261</v>
      </c>
      <c r="C272" t="s">
        <v>72</v>
      </c>
      <c r="D272" t="s">
        <v>73</v>
      </c>
      <c r="E272" t="s">
        <v>74</v>
      </c>
      <c r="F272" t="s">
        <v>75</v>
      </c>
      <c r="G272" t="s">
        <v>76</v>
      </c>
      <c r="H272">
        <v>61.79431873802563</v>
      </c>
      <c r="I272">
        <v>2</v>
      </c>
      <c r="J272">
        <v>6</v>
      </c>
      <c r="K272">
        <v>7</v>
      </c>
      <c r="L272">
        <v>-1</v>
      </c>
      <c r="M272">
        <v>7</v>
      </c>
      <c r="N272">
        <v>7</v>
      </c>
      <c r="O272">
        <v>0</v>
      </c>
      <c r="P272">
        <v>4</v>
      </c>
      <c r="Q272">
        <v>4</v>
      </c>
      <c r="R272">
        <v>0</v>
      </c>
      <c r="S272">
        <v>8</v>
      </c>
      <c r="T272">
        <v>7</v>
      </c>
      <c r="U272">
        <v>1</v>
      </c>
      <c r="V272">
        <v>5</v>
      </c>
      <c r="W272">
        <v>7</v>
      </c>
      <c r="X272">
        <v>-2</v>
      </c>
      <c r="Y272">
        <v>7</v>
      </c>
      <c r="Z272">
        <v>6</v>
      </c>
      <c r="AA272">
        <v>1</v>
      </c>
      <c r="AB272">
        <v>6</v>
      </c>
      <c r="AC272">
        <v>5</v>
      </c>
      <c r="AD272">
        <v>1</v>
      </c>
      <c r="AE272">
        <v>7</v>
      </c>
      <c r="AF272">
        <v>7</v>
      </c>
      <c r="AG272">
        <v>0</v>
      </c>
      <c r="AH272">
        <v>6</v>
      </c>
      <c r="AI272">
        <v>6</v>
      </c>
      <c r="AJ272">
        <v>0</v>
      </c>
      <c r="AK272" t="s">
        <v>2614</v>
      </c>
      <c r="AL272" t="s">
        <v>2615</v>
      </c>
      <c r="AM272" t="s">
        <v>2616</v>
      </c>
      <c r="AN272" t="s">
        <v>2617</v>
      </c>
      <c r="AO272" t="s">
        <v>2618</v>
      </c>
      <c r="AP272" t="s">
        <v>2619</v>
      </c>
      <c r="AQ272" t="s">
        <v>2620</v>
      </c>
      <c r="AR272" t="s">
        <v>2621</v>
      </c>
      <c r="AS272" t="s">
        <v>2622</v>
      </c>
    </row>
    <row r="273" spans="1:45" x14ac:dyDescent="0.45">
      <c r="A273">
        <v>272</v>
      </c>
      <c r="B273">
        <v>2262</v>
      </c>
      <c r="C273" t="s">
        <v>78</v>
      </c>
      <c r="D273" t="s">
        <v>73</v>
      </c>
      <c r="E273" t="s">
        <v>74</v>
      </c>
      <c r="F273" t="s">
        <v>77</v>
      </c>
      <c r="G273" t="s">
        <v>76</v>
      </c>
      <c r="H273">
        <v>43.208028220020061</v>
      </c>
      <c r="I273">
        <v>1</v>
      </c>
      <c r="J273">
        <v>8</v>
      </c>
      <c r="K273">
        <v>7</v>
      </c>
      <c r="L273">
        <v>1</v>
      </c>
      <c r="M273">
        <v>7</v>
      </c>
      <c r="N273">
        <v>8</v>
      </c>
      <c r="O273">
        <v>-1</v>
      </c>
      <c r="P273">
        <v>9</v>
      </c>
      <c r="Q273">
        <v>2</v>
      </c>
      <c r="R273">
        <v>7</v>
      </c>
      <c r="S273">
        <v>8</v>
      </c>
      <c r="T273">
        <v>6</v>
      </c>
      <c r="U273">
        <v>2</v>
      </c>
      <c r="V273">
        <v>6</v>
      </c>
      <c r="W273">
        <v>6</v>
      </c>
      <c r="X273">
        <v>0</v>
      </c>
      <c r="Y273">
        <v>7</v>
      </c>
      <c r="Z273">
        <v>6</v>
      </c>
      <c r="AA273">
        <v>1</v>
      </c>
      <c r="AB273">
        <v>6</v>
      </c>
      <c r="AC273">
        <v>5</v>
      </c>
      <c r="AD273">
        <v>1</v>
      </c>
      <c r="AE273">
        <v>7</v>
      </c>
      <c r="AF273">
        <v>5</v>
      </c>
      <c r="AG273">
        <v>2</v>
      </c>
      <c r="AH273">
        <v>8</v>
      </c>
      <c r="AI273">
        <v>6</v>
      </c>
      <c r="AJ273">
        <v>2</v>
      </c>
      <c r="AK273" t="s">
        <v>2623</v>
      </c>
      <c r="AL273" t="s">
        <v>2624</v>
      </c>
      <c r="AM273" t="s">
        <v>2625</v>
      </c>
      <c r="AN273" t="s">
        <v>2626</v>
      </c>
      <c r="AO273" t="s">
        <v>2627</v>
      </c>
      <c r="AP273" t="s">
        <v>2628</v>
      </c>
      <c r="AQ273" t="s">
        <v>2629</v>
      </c>
      <c r="AR273" t="s">
        <v>2630</v>
      </c>
      <c r="AS273" t="s">
        <v>2631</v>
      </c>
    </row>
    <row r="274" spans="1:45" x14ac:dyDescent="0.45">
      <c r="A274">
        <v>273</v>
      </c>
      <c r="B274">
        <v>2263</v>
      </c>
      <c r="C274" t="s">
        <v>72</v>
      </c>
      <c r="D274" t="s">
        <v>190</v>
      </c>
      <c r="E274" t="s">
        <v>74</v>
      </c>
      <c r="F274" t="s">
        <v>75</v>
      </c>
      <c r="G274" t="s">
        <v>76</v>
      </c>
      <c r="H274">
        <v>83.192467403288546</v>
      </c>
      <c r="I274">
        <v>4</v>
      </c>
      <c r="J274">
        <v>8</v>
      </c>
      <c r="K274">
        <v>3</v>
      </c>
      <c r="L274">
        <v>5</v>
      </c>
      <c r="M274">
        <v>9</v>
      </c>
      <c r="N274">
        <v>3</v>
      </c>
      <c r="O274">
        <v>6</v>
      </c>
      <c r="P274">
        <v>7</v>
      </c>
      <c r="Q274">
        <v>1</v>
      </c>
      <c r="R274">
        <v>6</v>
      </c>
      <c r="S274">
        <v>8</v>
      </c>
      <c r="T274">
        <v>6</v>
      </c>
      <c r="U274">
        <v>2</v>
      </c>
      <c r="V274">
        <v>6</v>
      </c>
      <c r="W274">
        <v>1</v>
      </c>
      <c r="X274">
        <v>5</v>
      </c>
      <c r="Y274">
        <v>7</v>
      </c>
      <c r="Z274">
        <v>1</v>
      </c>
      <c r="AA274">
        <v>6</v>
      </c>
      <c r="AB274">
        <v>6</v>
      </c>
      <c r="AC274">
        <v>1</v>
      </c>
      <c r="AD274">
        <v>5</v>
      </c>
      <c r="AE274">
        <v>7</v>
      </c>
      <c r="AF274">
        <v>1</v>
      </c>
      <c r="AG274">
        <v>6</v>
      </c>
      <c r="AH274">
        <v>7</v>
      </c>
      <c r="AI274">
        <v>1</v>
      </c>
      <c r="AJ274">
        <v>6</v>
      </c>
      <c r="AK274" t="s">
        <v>2632</v>
      </c>
      <c r="AL274" t="s">
        <v>2633</v>
      </c>
      <c r="AM274" t="s">
        <v>2634</v>
      </c>
      <c r="AN274" t="s">
        <v>2635</v>
      </c>
      <c r="AO274" t="s">
        <v>2636</v>
      </c>
      <c r="AP274" t="s">
        <v>2637</v>
      </c>
      <c r="AQ274" t="s">
        <v>2638</v>
      </c>
      <c r="AR274" t="s">
        <v>2639</v>
      </c>
      <c r="AS274" t="s">
        <v>2640</v>
      </c>
    </row>
    <row r="275" spans="1:45" x14ac:dyDescent="0.45">
      <c r="A275">
        <v>274</v>
      </c>
      <c r="B275">
        <v>2264</v>
      </c>
      <c r="C275" t="s">
        <v>72</v>
      </c>
      <c r="D275" t="s">
        <v>73</v>
      </c>
      <c r="E275" t="s">
        <v>74</v>
      </c>
      <c r="F275" t="s">
        <v>77</v>
      </c>
      <c r="G275" t="s">
        <v>76</v>
      </c>
      <c r="H275">
        <v>64.31641483786585</v>
      </c>
      <c r="I275">
        <v>2</v>
      </c>
      <c r="J275">
        <v>7</v>
      </c>
      <c r="K275">
        <v>6</v>
      </c>
      <c r="L275">
        <v>1</v>
      </c>
      <c r="M275">
        <v>6</v>
      </c>
      <c r="N275">
        <v>6</v>
      </c>
      <c r="O275">
        <v>0</v>
      </c>
      <c r="P275">
        <v>8</v>
      </c>
      <c r="Q275">
        <v>5</v>
      </c>
      <c r="R275">
        <v>3</v>
      </c>
      <c r="S275">
        <v>9</v>
      </c>
      <c r="T275">
        <v>6</v>
      </c>
      <c r="U275">
        <v>3</v>
      </c>
      <c r="V275">
        <v>6</v>
      </c>
      <c r="W275">
        <v>6</v>
      </c>
      <c r="X275">
        <v>0</v>
      </c>
      <c r="Y275">
        <v>7</v>
      </c>
      <c r="Z275">
        <v>6</v>
      </c>
      <c r="AA275">
        <v>1</v>
      </c>
      <c r="AB275">
        <v>6</v>
      </c>
      <c r="AC275">
        <v>6</v>
      </c>
      <c r="AD275">
        <v>0</v>
      </c>
      <c r="AE275">
        <v>5</v>
      </c>
      <c r="AF275">
        <v>6</v>
      </c>
      <c r="AG275">
        <v>-1</v>
      </c>
      <c r="AH275">
        <v>4</v>
      </c>
      <c r="AI275">
        <v>6</v>
      </c>
      <c r="AJ275">
        <v>-2</v>
      </c>
      <c r="AK275" t="s">
        <v>2641</v>
      </c>
      <c r="AL275" t="s">
        <v>2642</v>
      </c>
      <c r="AM275" t="s">
        <v>2643</v>
      </c>
      <c r="AN275" t="s">
        <v>2644</v>
      </c>
      <c r="AO275" t="s">
        <v>2645</v>
      </c>
      <c r="AP275" t="s">
        <v>2646</v>
      </c>
      <c r="AQ275" t="s">
        <v>2647</v>
      </c>
      <c r="AR275" t="s">
        <v>2648</v>
      </c>
      <c r="AS275" t="s">
        <v>2649</v>
      </c>
    </row>
    <row r="276" spans="1:45" x14ac:dyDescent="0.45">
      <c r="A276">
        <v>275</v>
      </c>
      <c r="B276">
        <v>2265</v>
      </c>
      <c r="C276" t="s">
        <v>72</v>
      </c>
      <c r="D276" t="s">
        <v>79</v>
      </c>
      <c r="E276" t="s">
        <v>74</v>
      </c>
      <c r="F276" t="s">
        <v>75</v>
      </c>
      <c r="G276" t="s">
        <v>76</v>
      </c>
      <c r="H276">
        <v>56.468503536521119</v>
      </c>
      <c r="I276">
        <v>2</v>
      </c>
      <c r="J276">
        <v>7</v>
      </c>
      <c r="K276">
        <v>8</v>
      </c>
      <c r="L276">
        <v>-1</v>
      </c>
      <c r="M276">
        <v>8</v>
      </c>
      <c r="N276">
        <v>9</v>
      </c>
      <c r="O276">
        <v>-1</v>
      </c>
      <c r="P276">
        <v>6</v>
      </c>
      <c r="Q276">
        <v>5</v>
      </c>
      <c r="R276">
        <v>1</v>
      </c>
      <c r="S276">
        <v>9</v>
      </c>
      <c r="T276">
        <v>7</v>
      </c>
      <c r="U276">
        <v>2</v>
      </c>
      <c r="V276">
        <v>8</v>
      </c>
      <c r="W276">
        <v>6</v>
      </c>
      <c r="X276">
        <v>2</v>
      </c>
      <c r="Y276">
        <v>9</v>
      </c>
      <c r="Z276">
        <v>7</v>
      </c>
      <c r="AA276">
        <v>2</v>
      </c>
      <c r="AB276">
        <v>8</v>
      </c>
      <c r="AC276">
        <v>7</v>
      </c>
      <c r="AD276">
        <v>1</v>
      </c>
      <c r="AE276">
        <v>9</v>
      </c>
      <c r="AF276">
        <v>7</v>
      </c>
      <c r="AG276">
        <v>2</v>
      </c>
      <c r="AH276">
        <v>7</v>
      </c>
      <c r="AI276">
        <v>7</v>
      </c>
      <c r="AJ276">
        <v>0</v>
      </c>
      <c r="AK276" t="s">
        <v>2650</v>
      </c>
      <c r="AL276" t="s">
        <v>2651</v>
      </c>
      <c r="AM276" t="s">
        <v>2652</v>
      </c>
      <c r="AN276" t="s">
        <v>2653</v>
      </c>
      <c r="AO276" t="s">
        <v>2654</v>
      </c>
      <c r="AP276" t="s">
        <v>2655</v>
      </c>
      <c r="AQ276" t="s">
        <v>2656</v>
      </c>
      <c r="AR276" t="s">
        <v>2657</v>
      </c>
      <c r="AS276" t="s">
        <v>2658</v>
      </c>
    </row>
    <row r="277" spans="1:45" x14ac:dyDescent="0.45">
      <c r="A277">
        <v>276</v>
      </c>
      <c r="B277">
        <v>2266</v>
      </c>
      <c r="C277" t="s">
        <v>78</v>
      </c>
      <c r="D277" t="s">
        <v>73</v>
      </c>
      <c r="E277" t="s">
        <v>74</v>
      </c>
      <c r="F277" t="s">
        <v>77</v>
      </c>
      <c r="G277" t="s">
        <v>76</v>
      </c>
      <c r="H277">
        <v>44.310110739472506</v>
      </c>
      <c r="I277">
        <v>1</v>
      </c>
      <c r="J277">
        <v>7</v>
      </c>
      <c r="K277">
        <v>6</v>
      </c>
      <c r="L277">
        <v>1</v>
      </c>
      <c r="M277">
        <v>8</v>
      </c>
      <c r="N277">
        <v>6</v>
      </c>
      <c r="O277">
        <v>2</v>
      </c>
      <c r="P277">
        <v>6</v>
      </c>
      <c r="Q277">
        <v>3</v>
      </c>
      <c r="R277">
        <v>3</v>
      </c>
      <c r="S277">
        <v>9</v>
      </c>
      <c r="T277">
        <v>7</v>
      </c>
      <c r="U277">
        <v>2</v>
      </c>
      <c r="V277">
        <v>7</v>
      </c>
      <c r="W277">
        <v>7</v>
      </c>
      <c r="X277">
        <v>0</v>
      </c>
      <c r="Y277">
        <v>8</v>
      </c>
      <c r="Z277">
        <v>7</v>
      </c>
      <c r="AA277">
        <v>1</v>
      </c>
      <c r="AB277">
        <v>7</v>
      </c>
      <c r="AC277">
        <v>5</v>
      </c>
      <c r="AD277">
        <v>2</v>
      </c>
      <c r="AE277">
        <v>8</v>
      </c>
      <c r="AF277">
        <v>7</v>
      </c>
      <c r="AG277">
        <v>1</v>
      </c>
      <c r="AH277">
        <v>8</v>
      </c>
      <c r="AI277">
        <v>7</v>
      </c>
      <c r="AJ277">
        <v>1</v>
      </c>
      <c r="AK277" t="s">
        <v>2659</v>
      </c>
      <c r="AL277" t="s">
        <v>2660</v>
      </c>
      <c r="AM277" t="s">
        <v>2661</v>
      </c>
      <c r="AN277" t="s">
        <v>2662</v>
      </c>
      <c r="AO277" t="s">
        <v>2663</v>
      </c>
      <c r="AP277" t="s">
        <v>2664</v>
      </c>
      <c r="AQ277" t="s">
        <v>2665</v>
      </c>
      <c r="AR277" t="s">
        <v>2666</v>
      </c>
      <c r="AS277" t="s">
        <v>2667</v>
      </c>
    </row>
    <row r="278" spans="1:45" x14ac:dyDescent="0.45">
      <c r="A278">
        <v>277</v>
      </c>
      <c r="B278">
        <v>2267</v>
      </c>
      <c r="C278" t="s">
        <v>72</v>
      </c>
      <c r="D278" t="s">
        <v>79</v>
      </c>
      <c r="E278" t="s">
        <v>74</v>
      </c>
      <c r="F278" t="s">
        <v>77</v>
      </c>
      <c r="G278" t="s">
        <v>76</v>
      </c>
      <c r="H278">
        <v>89.620343369473275</v>
      </c>
      <c r="I278">
        <v>4</v>
      </c>
      <c r="J278">
        <v>6</v>
      </c>
      <c r="K278">
        <v>8</v>
      </c>
      <c r="L278">
        <v>-2</v>
      </c>
      <c r="M278">
        <v>7</v>
      </c>
      <c r="N278">
        <v>8</v>
      </c>
      <c r="O278">
        <v>-1</v>
      </c>
      <c r="P278">
        <v>8</v>
      </c>
      <c r="Q278">
        <v>6</v>
      </c>
      <c r="R278">
        <v>2</v>
      </c>
      <c r="S278">
        <v>9</v>
      </c>
      <c r="T278">
        <v>7</v>
      </c>
      <c r="U278">
        <v>2</v>
      </c>
      <c r="V278">
        <v>7</v>
      </c>
      <c r="W278">
        <v>7</v>
      </c>
      <c r="X278">
        <v>0</v>
      </c>
      <c r="Y278">
        <v>8</v>
      </c>
      <c r="Z278">
        <v>4</v>
      </c>
      <c r="AA278">
        <v>4</v>
      </c>
      <c r="AB278">
        <v>6</v>
      </c>
      <c r="AC278">
        <v>5</v>
      </c>
      <c r="AD278">
        <v>1</v>
      </c>
      <c r="AE278">
        <v>5</v>
      </c>
      <c r="AF278">
        <v>5</v>
      </c>
      <c r="AG278">
        <v>0</v>
      </c>
      <c r="AH278">
        <v>7</v>
      </c>
      <c r="AI278">
        <v>5</v>
      </c>
      <c r="AJ278">
        <v>2</v>
      </c>
      <c r="AK278" t="s">
        <v>2668</v>
      </c>
      <c r="AL278" t="s">
        <v>2669</v>
      </c>
      <c r="AM278" t="s">
        <v>2670</v>
      </c>
      <c r="AN278" t="s">
        <v>2671</v>
      </c>
      <c r="AO278" t="s">
        <v>2672</v>
      </c>
      <c r="AP278" t="s">
        <v>2673</v>
      </c>
      <c r="AQ278" t="s">
        <v>2674</v>
      </c>
      <c r="AR278" t="s">
        <v>2675</v>
      </c>
      <c r="AS278" t="s">
        <v>2676</v>
      </c>
    </row>
    <row r="279" spans="1:45" x14ac:dyDescent="0.45">
      <c r="A279">
        <v>278</v>
      </c>
      <c r="B279">
        <v>2268</v>
      </c>
      <c r="C279" t="s">
        <v>72</v>
      </c>
      <c r="D279" t="s">
        <v>73</v>
      </c>
      <c r="E279" t="s">
        <v>74</v>
      </c>
      <c r="F279" t="s">
        <v>77</v>
      </c>
      <c r="G279" t="s">
        <v>76</v>
      </c>
      <c r="H279">
        <v>63.192631952157875</v>
      </c>
      <c r="I279">
        <v>3</v>
      </c>
      <c r="J279">
        <v>7</v>
      </c>
      <c r="K279">
        <v>6</v>
      </c>
      <c r="L279">
        <v>1</v>
      </c>
      <c r="M279">
        <v>8</v>
      </c>
      <c r="N279">
        <v>7</v>
      </c>
      <c r="O279">
        <v>1</v>
      </c>
      <c r="P279">
        <v>9</v>
      </c>
      <c r="Q279">
        <v>5</v>
      </c>
      <c r="R279">
        <v>4</v>
      </c>
      <c r="S279">
        <v>8</v>
      </c>
      <c r="T279">
        <v>7</v>
      </c>
      <c r="U279">
        <v>1</v>
      </c>
      <c r="V279">
        <v>7</v>
      </c>
      <c r="W279">
        <v>6</v>
      </c>
      <c r="X279">
        <v>1</v>
      </c>
      <c r="Y279">
        <v>6</v>
      </c>
      <c r="Z279">
        <v>6</v>
      </c>
      <c r="AA279">
        <v>0</v>
      </c>
      <c r="AB279">
        <v>7</v>
      </c>
      <c r="AC279">
        <v>6</v>
      </c>
      <c r="AD279">
        <v>1</v>
      </c>
      <c r="AE279">
        <v>5</v>
      </c>
      <c r="AF279">
        <v>6</v>
      </c>
      <c r="AG279">
        <v>-1</v>
      </c>
      <c r="AH279">
        <v>6</v>
      </c>
      <c r="AI279">
        <v>6</v>
      </c>
      <c r="AJ279">
        <v>0</v>
      </c>
      <c r="AK279" t="s">
        <v>2677</v>
      </c>
      <c r="AL279" t="s">
        <v>2678</v>
      </c>
      <c r="AM279" t="s">
        <v>2679</v>
      </c>
      <c r="AN279" t="s">
        <v>2680</v>
      </c>
      <c r="AO279" t="s">
        <v>2681</v>
      </c>
      <c r="AP279" t="s">
        <v>2682</v>
      </c>
      <c r="AQ279" t="s">
        <v>2683</v>
      </c>
      <c r="AR279" t="s">
        <v>2684</v>
      </c>
      <c r="AS279" t="s">
        <v>2685</v>
      </c>
    </row>
    <row r="280" spans="1:45" x14ac:dyDescent="0.45">
      <c r="A280">
        <v>279</v>
      </c>
      <c r="B280">
        <v>2269</v>
      </c>
      <c r="C280" t="s">
        <v>78</v>
      </c>
      <c r="D280" t="s">
        <v>73</v>
      </c>
      <c r="E280" t="s">
        <v>74</v>
      </c>
      <c r="F280" t="s">
        <v>75</v>
      </c>
      <c r="G280" t="s">
        <v>161</v>
      </c>
      <c r="H280">
        <v>76.618853313804934</v>
      </c>
      <c r="I280">
        <v>0</v>
      </c>
      <c r="J280">
        <v>8</v>
      </c>
      <c r="K280">
        <v>6</v>
      </c>
      <c r="L280">
        <v>2</v>
      </c>
      <c r="M280">
        <v>7</v>
      </c>
      <c r="N280">
        <v>7</v>
      </c>
      <c r="O280">
        <v>0</v>
      </c>
      <c r="P280">
        <v>9</v>
      </c>
      <c r="Q280">
        <v>5</v>
      </c>
      <c r="R280">
        <v>4</v>
      </c>
      <c r="S280">
        <v>8</v>
      </c>
      <c r="T280">
        <v>8</v>
      </c>
      <c r="U280">
        <v>0</v>
      </c>
      <c r="V280">
        <v>7</v>
      </c>
      <c r="W280">
        <v>6</v>
      </c>
      <c r="X280">
        <v>1</v>
      </c>
      <c r="Y280">
        <v>8</v>
      </c>
      <c r="Z280">
        <v>3</v>
      </c>
      <c r="AA280">
        <v>5</v>
      </c>
      <c r="AB280">
        <v>6</v>
      </c>
      <c r="AC280">
        <v>6</v>
      </c>
      <c r="AD280">
        <v>0</v>
      </c>
      <c r="AE280">
        <v>5</v>
      </c>
      <c r="AF280">
        <v>8</v>
      </c>
      <c r="AG280">
        <v>-3</v>
      </c>
      <c r="AH280">
        <v>6</v>
      </c>
      <c r="AI280">
        <v>6</v>
      </c>
      <c r="AJ280">
        <v>0</v>
      </c>
      <c r="AK280" t="s">
        <v>2686</v>
      </c>
      <c r="AL280" t="s">
        <v>2687</v>
      </c>
      <c r="AM280" t="s">
        <v>2688</v>
      </c>
      <c r="AN280" t="s">
        <v>2689</v>
      </c>
      <c r="AO280" t="s">
        <v>2690</v>
      </c>
      <c r="AP280" t="s">
        <v>2691</v>
      </c>
      <c r="AQ280" t="s">
        <v>2692</v>
      </c>
      <c r="AR280" t="s">
        <v>2693</v>
      </c>
      <c r="AS280" t="s">
        <v>2694</v>
      </c>
    </row>
    <row r="281" spans="1:45" x14ac:dyDescent="0.45">
      <c r="A281">
        <v>280</v>
      </c>
      <c r="B281">
        <v>2270</v>
      </c>
      <c r="C281" t="s">
        <v>72</v>
      </c>
      <c r="D281" t="s">
        <v>73</v>
      </c>
      <c r="E281" t="s">
        <v>74</v>
      </c>
      <c r="F281" t="s">
        <v>75</v>
      </c>
      <c r="G281" t="s">
        <v>76</v>
      </c>
      <c r="H281">
        <v>71.148209333214581</v>
      </c>
      <c r="I281">
        <v>2</v>
      </c>
      <c r="J281">
        <v>7</v>
      </c>
      <c r="K281">
        <v>4</v>
      </c>
      <c r="L281">
        <v>3</v>
      </c>
      <c r="M281">
        <v>8</v>
      </c>
      <c r="N281">
        <v>4</v>
      </c>
      <c r="O281">
        <v>4</v>
      </c>
      <c r="P281">
        <v>9</v>
      </c>
      <c r="Q281">
        <v>1</v>
      </c>
      <c r="R281">
        <v>8</v>
      </c>
      <c r="S281">
        <v>6</v>
      </c>
      <c r="T281">
        <v>6</v>
      </c>
      <c r="U281">
        <v>0</v>
      </c>
      <c r="V281">
        <v>8</v>
      </c>
      <c r="W281">
        <v>3</v>
      </c>
      <c r="X281">
        <v>5</v>
      </c>
      <c r="Y281">
        <v>7</v>
      </c>
      <c r="Z281">
        <v>2</v>
      </c>
      <c r="AA281">
        <v>5</v>
      </c>
      <c r="AB281">
        <v>6</v>
      </c>
      <c r="AC281">
        <v>1</v>
      </c>
      <c r="AD281">
        <v>5</v>
      </c>
      <c r="AE281">
        <v>5</v>
      </c>
      <c r="AF281">
        <v>5</v>
      </c>
      <c r="AG281">
        <v>0</v>
      </c>
      <c r="AH281">
        <v>7</v>
      </c>
      <c r="AI281">
        <v>4</v>
      </c>
      <c r="AJ281">
        <v>3</v>
      </c>
      <c r="AK281" t="s">
        <v>2695</v>
      </c>
      <c r="AL281" t="s">
        <v>2696</v>
      </c>
      <c r="AM281" t="s">
        <v>2697</v>
      </c>
      <c r="AN281" t="s">
        <v>2698</v>
      </c>
      <c r="AO281" t="s">
        <v>2699</v>
      </c>
      <c r="AP281" t="s">
        <v>2700</v>
      </c>
      <c r="AQ281" t="s">
        <v>2701</v>
      </c>
      <c r="AR281" t="s">
        <v>2702</v>
      </c>
      <c r="AS281" t="s">
        <v>2703</v>
      </c>
    </row>
    <row r="282" spans="1:45" x14ac:dyDescent="0.45">
      <c r="A282">
        <v>281</v>
      </c>
      <c r="B282">
        <v>2271</v>
      </c>
      <c r="C282" t="s">
        <v>72</v>
      </c>
      <c r="D282" t="s">
        <v>79</v>
      </c>
      <c r="E282" t="s">
        <v>74</v>
      </c>
      <c r="F282" t="s">
        <v>75</v>
      </c>
      <c r="G282" t="s">
        <v>76</v>
      </c>
      <c r="H282">
        <v>90.3755892969847</v>
      </c>
      <c r="I282">
        <v>3</v>
      </c>
      <c r="J282">
        <v>8</v>
      </c>
      <c r="K282">
        <v>6</v>
      </c>
      <c r="L282">
        <v>2</v>
      </c>
      <c r="M282">
        <v>9</v>
      </c>
      <c r="N282">
        <v>7</v>
      </c>
      <c r="O282">
        <v>2</v>
      </c>
      <c r="P282">
        <v>8</v>
      </c>
      <c r="Q282">
        <v>4</v>
      </c>
      <c r="R282">
        <v>4</v>
      </c>
      <c r="S282">
        <v>9</v>
      </c>
      <c r="T282">
        <v>8</v>
      </c>
      <c r="U282">
        <v>1</v>
      </c>
      <c r="V282">
        <v>8</v>
      </c>
      <c r="W282">
        <v>6</v>
      </c>
      <c r="X282">
        <v>2</v>
      </c>
      <c r="Y282">
        <v>7</v>
      </c>
      <c r="Z282">
        <v>6</v>
      </c>
      <c r="AA282">
        <v>1</v>
      </c>
      <c r="AB282">
        <v>6</v>
      </c>
      <c r="AC282">
        <v>5</v>
      </c>
      <c r="AD282">
        <v>1</v>
      </c>
      <c r="AE282">
        <v>5</v>
      </c>
      <c r="AF282">
        <v>7</v>
      </c>
      <c r="AG282">
        <v>-2</v>
      </c>
      <c r="AH282">
        <v>8</v>
      </c>
      <c r="AI282">
        <v>6</v>
      </c>
      <c r="AJ282">
        <v>2</v>
      </c>
      <c r="AK282" t="s">
        <v>2704</v>
      </c>
      <c r="AL282" t="s">
        <v>2705</v>
      </c>
      <c r="AM282" t="s">
        <v>2706</v>
      </c>
      <c r="AN282" t="s">
        <v>2707</v>
      </c>
      <c r="AO282" t="s">
        <v>2708</v>
      </c>
      <c r="AP282" t="s">
        <v>2709</v>
      </c>
      <c r="AQ282" t="s">
        <v>2710</v>
      </c>
      <c r="AR282" t="s">
        <v>2711</v>
      </c>
      <c r="AS282" t="s">
        <v>2712</v>
      </c>
    </row>
    <row r="283" spans="1:45" x14ac:dyDescent="0.45">
      <c r="A283">
        <v>282</v>
      </c>
      <c r="B283">
        <v>2272</v>
      </c>
      <c r="C283" t="s">
        <v>72</v>
      </c>
      <c r="D283" t="s">
        <v>192</v>
      </c>
      <c r="E283" t="s">
        <v>74</v>
      </c>
      <c r="F283" t="s">
        <v>75</v>
      </c>
      <c r="G283" t="s">
        <v>76</v>
      </c>
      <c r="H283">
        <v>209.08226298441062</v>
      </c>
      <c r="I283">
        <v>4</v>
      </c>
      <c r="J283">
        <v>8</v>
      </c>
      <c r="K283">
        <v>8</v>
      </c>
      <c r="L283">
        <v>0</v>
      </c>
      <c r="M283">
        <v>7</v>
      </c>
      <c r="N283">
        <v>8</v>
      </c>
      <c r="O283">
        <v>-1</v>
      </c>
      <c r="P283">
        <v>9</v>
      </c>
      <c r="Q283">
        <v>9</v>
      </c>
      <c r="R283">
        <v>0</v>
      </c>
      <c r="S283">
        <v>6</v>
      </c>
      <c r="T283">
        <v>9</v>
      </c>
      <c r="U283">
        <v>-3</v>
      </c>
      <c r="V283">
        <v>8</v>
      </c>
      <c r="W283">
        <v>7</v>
      </c>
      <c r="X283">
        <v>1</v>
      </c>
      <c r="Y283">
        <v>7</v>
      </c>
      <c r="Z283">
        <v>8</v>
      </c>
      <c r="AA283">
        <v>-1</v>
      </c>
      <c r="AB283">
        <v>7</v>
      </c>
      <c r="AC283">
        <v>8</v>
      </c>
      <c r="AD283">
        <v>-1</v>
      </c>
      <c r="AE283">
        <v>6</v>
      </c>
      <c r="AF283">
        <v>8</v>
      </c>
      <c r="AG283">
        <v>-2</v>
      </c>
      <c r="AH283">
        <v>5</v>
      </c>
      <c r="AI283">
        <v>7</v>
      </c>
      <c r="AJ283">
        <v>-2</v>
      </c>
      <c r="AK283" t="s">
        <v>2713</v>
      </c>
      <c r="AL283" t="s">
        <v>2714</v>
      </c>
      <c r="AM283" t="s">
        <v>2715</v>
      </c>
      <c r="AN283" t="s">
        <v>2716</v>
      </c>
      <c r="AO283" t="s">
        <v>2717</v>
      </c>
      <c r="AP283" t="s">
        <v>2718</v>
      </c>
      <c r="AQ283" t="s">
        <v>2719</v>
      </c>
      <c r="AR283" t="s">
        <v>2720</v>
      </c>
      <c r="AS283" t="s">
        <v>2721</v>
      </c>
    </row>
    <row r="284" spans="1:45" x14ac:dyDescent="0.45">
      <c r="A284">
        <v>283</v>
      </c>
      <c r="B284">
        <v>2273</v>
      </c>
      <c r="C284" t="s">
        <v>72</v>
      </c>
      <c r="D284" t="s">
        <v>79</v>
      </c>
      <c r="E284" t="s">
        <v>74</v>
      </c>
      <c r="F284" t="s">
        <v>77</v>
      </c>
      <c r="G284" t="s">
        <v>76</v>
      </c>
      <c r="H284">
        <v>57.282489933770037</v>
      </c>
      <c r="I284">
        <v>2</v>
      </c>
      <c r="J284">
        <v>8</v>
      </c>
      <c r="K284">
        <v>5</v>
      </c>
      <c r="L284">
        <v>3</v>
      </c>
      <c r="M284">
        <v>7</v>
      </c>
      <c r="N284">
        <v>5</v>
      </c>
      <c r="O284">
        <v>2</v>
      </c>
      <c r="P284">
        <v>9</v>
      </c>
      <c r="Q284">
        <v>2</v>
      </c>
      <c r="R284">
        <v>7</v>
      </c>
      <c r="S284">
        <v>8</v>
      </c>
      <c r="T284">
        <v>6</v>
      </c>
      <c r="U284">
        <v>2</v>
      </c>
      <c r="V284">
        <v>7</v>
      </c>
      <c r="W284">
        <v>5</v>
      </c>
      <c r="X284">
        <v>2</v>
      </c>
      <c r="Y284">
        <v>8</v>
      </c>
      <c r="Z284">
        <v>4</v>
      </c>
      <c r="AA284">
        <v>4</v>
      </c>
      <c r="AB284">
        <v>7</v>
      </c>
      <c r="AC284">
        <v>5</v>
      </c>
      <c r="AD284">
        <v>2</v>
      </c>
      <c r="AE284">
        <v>6</v>
      </c>
      <c r="AF284">
        <v>5</v>
      </c>
      <c r="AG284">
        <v>1</v>
      </c>
      <c r="AH284">
        <v>8</v>
      </c>
      <c r="AI284">
        <v>4</v>
      </c>
      <c r="AJ284">
        <v>4</v>
      </c>
      <c r="AK284" t="s">
        <v>2722</v>
      </c>
      <c r="AL284" t="s">
        <v>2723</v>
      </c>
      <c r="AM284" t="s">
        <v>2724</v>
      </c>
      <c r="AN284" t="s">
        <v>2725</v>
      </c>
      <c r="AO284" t="s">
        <v>2726</v>
      </c>
      <c r="AP284" t="s">
        <v>2727</v>
      </c>
      <c r="AQ284" t="s">
        <v>2728</v>
      </c>
      <c r="AR284" t="s">
        <v>2729</v>
      </c>
      <c r="AS284" t="s">
        <v>2730</v>
      </c>
    </row>
    <row r="285" spans="1:45" x14ac:dyDescent="0.45">
      <c r="A285">
        <v>284</v>
      </c>
      <c r="B285">
        <v>2274</v>
      </c>
      <c r="C285" t="s">
        <v>78</v>
      </c>
      <c r="D285" t="s">
        <v>73</v>
      </c>
      <c r="E285" t="s">
        <v>74</v>
      </c>
      <c r="F285" t="s">
        <v>77</v>
      </c>
      <c r="G285" t="s">
        <v>76</v>
      </c>
      <c r="H285">
        <v>63.393929452753142</v>
      </c>
      <c r="I285">
        <v>2</v>
      </c>
      <c r="J285">
        <v>7</v>
      </c>
      <c r="K285">
        <v>7</v>
      </c>
      <c r="L285">
        <v>0</v>
      </c>
      <c r="M285">
        <v>6</v>
      </c>
      <c r="N285">
        <v>7</v>
      </c>
      <c r="O285">
        <v>-1</v>
      </c>
      <c r="P285">
        <v>9</v>
      </c>
      <c r="Q285">
        <v>5</v>
      </c>
      <c r="R285">
        <v>4</v>
      </c>
      <c r="S285">
        <v>8</v>
      </c>
      <c r="T285">
        <v>7</v>
      </c>
      <c r="U285">
        <v>1</v>
      </c>
      <c r="V285">
        <v>9</v>
      </c>
      <c r="W285">
        <v>5</v>
      </c>
      <c r="X285">
        <v>4</v>
      </c>
      <c r="Y285">
        <v>7</v>
      </c>
      <c r="Z285">
        <v>6</v>
      </c>
      <c r="AA285">
        <v>1</v>
      </c>
      <c r="AB285">
        <v>8</v>
      </c>
      <c r="AC285">
        <v>5</v>
      </c>
      <c r="AD285">
        <v>3</v>
      </c>
      <c r="AE285">
        <v>7</v>
      </c>
      <c r="AF285">
        <v>7</v>
      </c>
      <c r="AG285">
        <v>0</v>
      </c>
      <c r="AH285">
        <v>8</v>
      </c>
      <c r="AI285">
        <v>6</v>
      </c>
      <c r="AJ285">
        <v>2</v>
      </c>
      <c r="AK285" t="s">
        <v>2731</v>
      </c>
      <c r="AL285" t="s">
        <v>2732</v>
      </c>
      <c r="AM285" t="s">
        <v>2733</v>
      </c>
      <c r="AN285" t="s">
        <v>2734</v>
      </c>
      <c r="AO285" t="s">
        <v>2735</v>
      </c>
      <c r="AP285" t="s">
        <v>2736</v>
      </c>
      <c r="AQ285" t="s">
        <v>2737</v>
      </c>
      <c r="AR285" t="s">
        <v>2738</v>
      </c>
      <c r="AS285" t="s">
        <v>2739</v>
      </c>
    </row>
    <row r="286" spans="1:45" x14ac:dyDescent="0.45">
      <c r="A286">
        <v>285</v>
      </c>
      <c r="B286">
        <v>2275</v>
      </c>
      <c r="C286" t="s">
        <v>78</v>
      </c>
      <c r="D286" t="s">
        <v>190</v>
      </c>
      <c r="E286" t="s">
        <v>74</v>
      </c>
      <c r="F286" t="s">
        <v>77</v>
      </c>
      <c r="G286" t="s">
        <v>76</v>
      </c>
      <c r="H286">
        <v>98.175095707980162</v>
      </c>
      <c r="I286">
        <v>3</v>
      </c>
      <c r="J286">
        <v>8</v>
      </c>
      <c r="K286">
        <v>7</v>
      </c>
      <c r="L286">
        <v>1</v>
      </c>
      <c r="M286">
        <v>7</v>
      </c>
      <c r="N286">
        <v>7</v>
      </c>
      <c r="O286">
        <v>0</v>
      </c>
      <c r="P286">
        <v>6</v>
      </c>
      <c r="Q286">
        <v>5</v>
      </c>
      <c r="R286">
        <v>1</v>
      </c>
      <c r="S286">
        <v>6</v>
      </c>
      <c r="T286">
        <v>8</v>
      </c>
      <c r="U286">
        <v>-2</v>
      </c>
      <c r="V286">
        <v>7</v>
      </c>
      <c r="W286">
        <v>6</v>
      </c>
      <c r="X286">
        <v>1</v>
      </c>
      <c r="Y286">
        <v>7</v>
      </c>
      <c r="Z286">
        <v>6</v>
      </c>
      <c r="AA286">
        <v>1</v>
      </c>
      <c r="AB286">
        <v>7</v>
      </c>
      <c r="AC286">
        <v>6</v>
      </c>
      <c r="AD286">
        <v>1</v>
      </c>
      <c r="AE286">
        <v>7</v>
      </c>
      <c r="AF286">
        <v>7</v>
      </c>
      <c r="AG286">
        <v>0</v>
      </c>
      <c r="AH286">
        <v>6</v>
      </c>
      <c r="AI286">
        <v>7</v>
      </c>
      <c r="AJ286">
        <v>-1</v>
      </c>
      <c r="AK286" t="s">
        <v>2740</v>
      </c>
      <c r="AL286" t="s">
        <v>2741</v>
      </c>
      <c r="AM286" t="s">
        <v>2742</v>
      </c>
      <c r="AN286" t="s">
        <v>2743</v>
      </c>
      <c r="AO286" t="s">
        <v>2744</v>
      </c>
      <c r="AP286" t="s">
        <v>2745</v>
      </c>
      <c r="AQ286" t="s">
        <v>2746</v>
      </c>
      <c r="AR286" t="s">
        <v>2747</v>
      </c>
      <c r="AS286" t="s">
        <v>2748</v>
      </c>
    </row>
    <row r="287" spans="1:45" x14ac:dyDescent="0.45">
      <c r="A287">
        <v>286</v>
      </c>
      <c r="B287">
        <v>2276</v>
      </c>
      <c r="C287" t="s">
        <v>72</v>
      </c>
      <c r="D287" t="s">
        <v>73</v>
      </c>
      <c r="E287" t="s">
        <v>74</v>
      </c>
      <c r="F287" t="s">
        <v>77</v>
      </c>
      <c r="G287" t="s">
        <v>76</v>
      </c>
      <c r="H287">
        <v>37.978933802969514</v>
      </c>
      <c r="I287">
        <v>0</v>
      </c>
      <c r="J287">
        <v>6</v>
      </c>
      <c r="K287">
        <v>4</v>
      </c>
      <c r="L287">
        <v>2</v>
      </c>
      <c r="M287">
        <v>8</v>
      </c>
      <c r="N287">
        <v>4</v>
      </c>
      <c r="O287">
        <v>4</v>
      </c>
      <c r="P287">
        <v>7</v>
      </c>
      <c r="Q287">
        <v>2</v>
      </c>
      <c r="R287">
        <v>5</v>
      </c>
      <c r="S287">
        <v>9</v>
      </c>
      <c r="T287">
        <v>8</v>
      </c>
      <c r="U287">
        <v>1</v>
      </c>
      <c r="V287">
        <v>5</v>
      </c>
      <c r="W287">
        <v>5</v>
      </c>
      <c r="X287">
        <v>0</v>
      </c>
      <c r="Y287">
        <v>8</v>
      </c>
      <c r="Z287">
        <v>5</v>
      </c>
      <c r="AA287">
        <v>3</v>
      </c>
      <c r="AB287">
        <v>6</v>
      </c>
      <c r="AC287">
        <v>4</v>
      </c>
      <c r="AD287">
        <v>2</v>
      </c>
      <c r="AE287">
        <v>4</v>
      </c>
      <c r="AF287">
        <v>6</v>
      </c>
      <c r="AG287">
        <v>-2</v>
      </c>
      <c r="AH287">
        <v>7</v>
      </c>
      <c r="AI287">
        <v>5</v>
      </c>
      <c r="AJ287">
        <v>2</v>
      </c>
      <c r="AK287" t="s">
        <v>2749</v>
      </c>
      <c r="AL287" t="s">
        <v>2750</v>
      </c>
      <c r="AM287" t="s">
        <v>2751</v>
      </c>
      <c r="AN287" t="s">
        <v>2752</v>
      </c>
      <c r="AO287" t="s">
        <v>2753</v>
      </c>
      <c r="AP287" t="s">
        <v>2754</v>
      </c>
      <c r="AQ287" t="s">
        <v>2755</v>
      </c>
      <c r="AR287" t="s">
        <v>2756</v>
      </c>
      <c r="AS287" t="s">
        <v>2757</v>
      </c>
    </row>
    <row r="288" spans="1:45" x14ac:dyDescent="0.45">
      <c r="A288">
        <v>287</v>
      </c>
      <c r="B288">
        <v>2277</v>
      </c>
      <c r="C288" t="s">
        <v>72</v>
      </c>
      <c r="D288" t="s">
        <v>190</v>
      </c>
      <c r="E288" t="s">
        <v>74</v>
      </c>
      <c r="F288" t="s">
        <v>77</v>
      </c>
      <c r="G288" t="s">
        <v>76</v>
      </c>
      <c r="H288">
        <v>68.388741481585825</v>
      </c>
      <c r="I288">
        <v>4</v>
      </c>
      <c r="J288">
        <v>6</v>
      </c>
      <c r="K288">
        <v>10</v>
      </c>
      <c r="L288">
        <v>-4</v>
      </c>
      <c r="M288">
        <v>8</v>
      </c>
      <c r="N288">
        <v>10</v>
      </c>
      <c r="O288">
        <v>-2</v>
      </c>
      <c r="P288">
        <v>5</v>
      </c>
      <c r="Q288">
        <v>7</v>
      </c>
      <c r="R288">
        <v>-2</v>
      </c>
      <c r="S288">
        <v>7</v>
      </c>
      <c r="T288">
        <v>7</v>
      </c>
      <c r="U288">
        <v>0</v>
      </c>
      <c r="V288">
        <v>8</v>
      </c>
      <c r="W288">
        <v>8</v>
      </c>
      <c r="X288">
        <v>0</v>
      </c>
      <c r="Y288">
        <v>7</v>
      </c>
      <c r="Z288">
        <v>7</v>
      </c>
      <c r="AA288">
        <v>0</v>
      </c>
      <c r="AB288">
        <v>5</v>
      </c>
      <c r="AC288">
        <v>8</v>
      </c>
      <c r="AD288">
        <v>-3</v>
      </c>
      <c r="AE288">
        <v>4</v>
      </c>
      <c r="AF288">
        <v>8</v>
      </c>
      <c r="AG288">
        <v>-4</v>
      </c>
      <c r="AH288">
        <v>5</v>
      </c>
      <c r="AI288">
        <v>8</v>
      </c>
      <c r="AJ288">
        <v>-3</v>
      </c>
      <c r="AK288" t="s">
        <v>2758</v>
      </c>
      <c r="AL288" t="s">
        <v>2759</v>
      </c>
      <c r="AM288" t="s">
        <v>2760</v>
      </c>
      <c r="AN288" t="s">
        <v>2761</v>
      </c>
      <c r="AO288" t="s">
        <v>2762</v>
      </c>
      <c r="AP288" t="s">
        <v>2763</v>
      </c>
      <c r="AQ288" t="s">
        <v>2764</v>
      </c>
      <c r="AR288" t="s">
        <v>2765</v>
      </c>
      <c r="AS288" t="s">
        <v>2766</v>
      </c>
    </row>
    <row r="289" spans="1:45" x14ac:dyDescent="0.45">
      <c r="A289">
        <v>288</v>
      </c>
      <c r="B289">
        <v>2278</v>
      </c>
      <c r="C289" t="s">
        <v>78</v>
      </c>
      <c r="D289" t="s">
        <v>81</v>
      </c>
      <c r="E289" t="s">
        <v>74</v>
      </c>
      <c r="F289" t="s">
        <v>77</v>
      </c>
      <c r="G289" t="s">
        <v>76</v>
      </c>
      <c r="H289">
        <v>28.964490430024476</v>
      </c>
      <c r="I289">
        <v>0</v>
      </c>
      <c r="J289">
        <v>7</v>
      </c>
      <c r="K289">
        <v>8</v>
      </c>
      <c r="L289">
        <v>-1</v>
      </c>
      <c r="M289">
        <v>8</v>
      </c>
      <c r="N289">
        <v>8</v>
      </c>
      <c r="O289">
        <v>0</v>
      </c>
      <c r="P289">
        <v>6</v>
      </c>
      <c r="Q289">
        <v>5</v>
      </c>
      <c r="R289">
        <v>1</v>
      </c>
      <c r="S289">
        <v>7</v>
      </c>
      <c r="T289">
        <v>9</v>
      </c>
      <c r="U289">
        <v>-2</v>
      </c>
      <c r="V289">
        <v>6</v>
      </c>
      <c r="W289">
        <v>10</v>
      </c>
      <c r="X289">
        <v>-4</v>
      </c>
      <c r="Y289">
        <v>5</v>
      </c>
      <c r="Z289">
        <v>10</v>
      </c>
      <c r="AA289">
        <v>-5</v>
      </c>
      <c r="AB289">
        <v>6</v>
      </c>
      <c r="AC289">
        <v>9</v>
      </c>
      <c r="AD289">
        <v>-3</v>
      </c>
      <c r="AE289">
        <v>5</v>
      </c>
      <c r="AF289">
        <v>9</v>
      </c>
      <c r="AG289">
        <v>-4</v>
      </c>
      <c r="AH289">
        <v>6</v>
      </c>
      <c r="AI289">
        <v>10</v>
      </c>
      <c r="AJ289">
        <v>-4</v>
      </c>
      <c r="AK289" t="s">
        <v>2767</v>
      </c>
      <c r="AL289" t="s">
        <v>2768</v>
      </c>
      <c r="AM289" t="s">
        <v>2769</v>
      </c>
      <c r="AN289" t="s">
        <v>2770</v>
      </c>
      <c r="AO289" t="s">
        <v>2771</v>
      </c>
      <c r="AP289" t="s">
        <v>2772</v>
      </c>
      <c r="AQ289" t="s">
        <v>2773</v>
      </c>
      <c r="AR289" t="s">
        <v>2774</v>
      </c>
      <c r="AS289" t="s">
        <v>2775</v>
      </c>
    </row>
    <row r="290" spans="1:45" x14ac:dyDescent="0.45">
      <c r="A290">
        <v>289</v>
      </c>
      <c r="B290">
        <v>2279</v>
      </c>
      <c r="C290" t="s">
        <v>72</v>
      </c>
      <c r="D290" t="s">
        <v>73</v>
      </c>
      <c r="E290" t="s">
        <v>74</v>
      </c>
      <c r="F290" t="s">
        <v>189</v>
      </c>
      <c r="G290" t="s">
        <v>76</v>
      </c>
      <c r="H290">
        <v>27.839769059456074</v>
      </c>
      <c r="I290">
        <v>1</v>
      </c>
      <c r="J290">
        <v>7</v>
      </c>
      <c r="K290">
        <v>7</v>
      </c>
      <c r="L290">
        <v>0</v>
      </c>
      <c r="M290">
        <v>6</v>
      </c>
      <c r="N290">
        <v>7</v>
      </c>
      <c r="O290">
        <v>-1</v>
      </c>
      <c r="P290">
        <v>4</v>
      </c>
      <c r="Q290">
        <v>5</v>
      </c>
      <c r="R290">
        <v>-1</v>
      </c>
      <c r="S290">
        <v>8</v>
      </c>
      <c r="T290">
        <v>6</v>
      </c>
      <c r="U290">
        <v>2</v>
      </c>
      <c r="V290">
        <v>5</v>
      </c>
      <c r="W290">
        <v>5</v>
      </c>
      <c r="X290">
        <v>0</v>
      </c>
      <c r="Y290">
        <v>6</v>
      </c>
      <c r="Z290">
        <v>5</v>
      </c>
      <c r="AA290">
        <v>1</v>
      </c>
      <c r="AB290">
        <v>4</v>
      </c>
      <c r="AC290">
        <v>5</v>
      </c>
      <c r="AD290">
        <v>-1</v>
      </c>
      <c r="AE290">
        <v>5</v>
      </c>
      <c r="AF290">
        <v>5</v>
      </c>
      <c r="AG290">
        <v>0</v>
      </c>
      <c r="AH290">
        <v>7</v>
      </c>
      <c r="AI290">
        <v>6</v>
      </c>
      <c r="AJ290">
        <v>1</v>
      </c>
      <c r="AK290" t="s">
        <v>2776</v>
      </c>
      <c r="AL290" t="s">
        <v>2777</v>
      </c>
      <c r="AM290" t="s">
        <v>2778</v>
      </c>
      <c r="AN290" t="s">
        <v>2779</v>
      </c>
      <c r="AO290" t="s">
        <v>2780</v>
      </c>
      <c r="AP290" t="s">
        <v>2781</v>
      </c>
      <c r="AQ290" t="s">
        <v>2782</v>
      </c>
      <c r="AR290" t="s">
        <v>2783</v>
      </c>
      <c r="AS290" t="s">
        <v>2784</v>
      </c>
    </row>
    <row r="291" spans="1:45" x14ac:dyDescent="0.45">
      <c r="A291">
        <v>290</v>
      </c>
      <c r="B291">
        <v>2280</v>
      </c>
      <c r="C291" t="s">
        <v>78</v>
      </c>
      <c r="D291" t="s">
        <v>73</v>
      </c>
      <c r="E291" t="s">
        <v>74</v>
      </c>
      <c r="F291" t="s">
        <v>77</v>
      </c>
      <c r="G291" t="s">
        <v>76</v>
      </c>
      <c r="H291">
        <v>37.322422703116146</v>
      </c>
      <c r="I291">
        <v>2</v>
      </c>
      <c r="J291">
        <v>7</v>
      </c>
      <c r="K291">
        <v>8</v>
      </c>
      <c r="L291">
        <v>-1</v>
      </c>
      <c r="M291">
        <v>6</v>
      </c>
      <c r="N291">
        <v>8</v>
      </c>
      <c r="O291">
        <v>-2</v>
      </c>
      <c r="P291">
        <v>8</v>
      </c>
      <c r="Q291">
        <v>8</v>
      </c>
      <c r="R291">
        <v>0</v>
      </c>
      <c r="S291">
        <v>9</v>
      </c>
      <c r="T291">
        <v>8</v>
      </c>
      <c r="U291">
        <v>1</v>
      </c>
      <c r="V291">
        <v>7</v>
      </c>
      <c r="W291">
        <v>8</v>
      </c>
      <c r="X291">
        <v>-1</v>
      </c>
      <c r="Y291">
        <v>8</v>
      </c>
      <c r="Z291">
        <v>8</v>
      </c>
      <c r="AA291">
        <v>0</v>
      </c>
      <c r="AB291">
        <v>6</v>
      </c>
      <c r="AC291">
        <v>8</v>
      </c>
      <c r="AD291">
        <v>-2</v>
      </c>
      <c r="AE291">
        <v>5</v>
      </c>
      <c r="AF291">
        <v>8</v>
      </c>
      <c r="AG291">
        <v>-3</v>
      </c>
      <c r="AH291">
        <v>8</v>
      </c>
      <c r="AI291">
        <v>8</v>
      </c>
      <c r="AJ291">
        <v>0</v>
      </c>
      <c r="AK291" t="s">
        <v>2785</v>
      </c>
      <c r="AL291" t="s">
        <v>2786</v>
      </c>
      <c r="AM291" t="s">
        <v>2787</v>
      </c>
      <c r="AN291" t="s">
        <v>2788</v>
      </c>
      <c r="AO291" t="s">
        <v>2789</v>
      </c>
      <c r="AP291" t="s">
        <v>2790</v>
      </c>
      <c r="AQ291" t="s">
        <v>2791</v>
      </c>
      <c r="AR291" t="s">
        <v>2792</v>
      </c>
      <c r="AS291" t="s">
        <v>2793</v>
      </c>
    </row>
    <row r="292" spans="1:45" x14ac:dyDescent="0.45">
      <c r="A292">
        <v>291</v>
      </c>
      <c r="B292">
        <v>2281</v>
      </c>
      <c r="C292" t="s">
        <v>78</v>
      </c>
      <c r="D292" t="s">
        <v>81</v>
      </c>
      <c r="E292" t="s">
        <v>74</v>
      </c>
      <c r="F292" t="s">
        <v>77</v>
      </c>
      <c r="G292" t="s">
        <v>76</v>
      </c>
      <c r="H292">
        <v>53.096133340729381</v>
      </c>
      <c r="I292">
        <v>2</v>
      </c>
      <c r="J292">
        <v>8</v>
      </c>
      <c r="K292">
        <v>9</v>
      </c>
      <c r="L292">
        <v>-1</v>
      </c>
      <c r="M292">
        <v>7</v>
      </c>
      <c r="N292">
        <v>9</v>
      </c>
      <c r="O292">
        <v>-2</v>
      </c>
      <c r="P292">
        <v>6</v>
      </c>
      <c r="Q292">
        <v>3</v>
      </c>
      <c r="R292">
        <v>3</v>
      </c>
      <c r="S292">
        <v>8</v>
      </c>
      <c r="T292">
        <v>10</v>
      </c>
      <c r="U292">
        <v>-2</v>
      </c>
      <c r="V292">
        <v>9</v>
      </c>
      <c r="W292">
        <v>8</v>
      </c>
      <c r="X292">
        <v>1</v>
      </c>
      <c r="Y292">
        <v>8</v>
      </c>
      <c r="Z292">
        <v>8</v>
      </c>
      <c r="AA292">
        <v>0</v>
      </c>
      <c r="AB292">
        <v>7</v>
      </c>
      <c r="AC292">
        <v>6</v>
      </c>
      <c r="AD292">
        <v>1</v>
      </c>
      <c r="AE292">
        <v>9</v>
      </c>
      <c r="AF292">
        <v>8</v>
      </c>
      <c r="AG292">
        <v>1</v>
      </c>
      <c r="AH292">
        <v>6</v>
      </c>
      <c r="AI292">
        <v>8</v>
      </c>
      <c r="AJ292">
        <v>-2</v>
      </c>
      <c r="AK292" t="s">
        <v>2794</v>
      </c>
      <c r="AL292" t="s">
        <v>2795</v>
      </c>
      <c r="AM292" t="s">
        <v>2796</v>
      </c>
      <c r="AN292" t="s">
        <v>2797</v>
      </c>
      <c r="AO292" t="s">
        <v>2798</v>
      </c>
      <c r="AP292" t="s">
        <v>2799</v>
      </c>
      <c r="AQ292" t="s">
        <v>2800</v>
      </c>
      <c r="AR292" t="s">
        <v>2801</v>
      </c>
      <c r="AS292" t="s">
        <v>2802</v>
      </c>
    </row>
    <row r="293" spans="1:45" x14ac:dyDescent="0.45">
      <c r="A293">
        <v>292</v>
      </c>
      <c r="B293">
        <v>2282</v>
      </c>
      <c r="C293" t="s">
        <v>72</v>
      </c>
      <c r="D293" t="s">
        <v>192</v>
      </c>
      <c r="E293" t="s">
        <v>74</v>
      </c>
      <c r="F293" t="s">
        <v>75</v>
      </c>
      <c r="G293" t="s">
        <v>161</v>
      </c>
      <c r="H293">
        <v>56.405672353240703</v>
      </c>
      <c r="I293">
        <v>2</v>
      </c>
      <c r="J293">
        <v>6</v>
      </c>
      <c r="K293">
        <v>6</v>
      </c>
      <c r="L293">
        <v>0</v>
      </c>
      <c r="M293">
        <v>7</v>
      </c>
      <c r="N293">
        <v>6</v>
      </c>
      <c r="O293">
        <v>1</v>
      </c>
      <c r="P293">
        <v>8</v>
      </c>
      <c r="Q293">
        <v>1</v>
      </c>
      <c r="R293">
        <v>7</v>
      </c>
      <c r="S293">
        <v>7</v>
      </c>
      <c r="T293">
        <v>6</v>
      </c>
      <c r="U293">
        <v>1</v>
      </c>
      <c r="V293">
        <v>6</v>
      </c>
      <c r="W293">
        <v>5</v>
      </c>
      <c r="X293">
        <v>1</v>
      </c>
      <c r="Y293">
        <v>8</v>
      </c>
      <c r="Z293">
        <v>6</v>
      </c>
      <c r="AA293">
        <v>2</v>
      </c>
      <c r="AB293">
        <v>6</v>
      </c>
      <c r="AC293">
        <v>5</v>
      </c>
      <c r="AD293">
        <v>1</v>
      </c>
      <c r="AE293">
        <v>5</v>
      </c>
      <c r="AF293">
        <v>6</v>
      </c>
      <c r="AG293">
        <v>-1</v>
      </c>
      <c r="AH293">
        <v>7</v>
      </c>
      <c r="AI293">
        <v>6</v>
      </c>
      <c r="AJ293">
        <v>1</v>
      </c>
      <c r="AK293" t="s">
        <v>2803</v>
      </c>
      <c r="AL293" t="s">
        <v>2804</v>
      </c>
      <c r="AM293" t="s">
        <v>2805</v>
      </c>
      <c r="AN293" t="s">
        <v>2806</v>
      </c>
      <c r="AO293" t="s">
        <v>2807</v>
      </c>
      <c r="AP293" t="s">
        <v>2808</v>
      </c>
      <c r="AQ293" t="s">
        <v>2809</v>
      </c>
      <c r="AR293" t="s">
        <v>2810</v>
      </c>
      <c r="AS293" t="s">
        <v>2811</v>
      </c>
    </row>
    <row r="294" spans="1:45" x14ac:dyDescent="0.45">
      <c r="A294">
        <v>293</v>
      </c>
      <c r="B294">
        <v>2283</v>
      </c>
      <c r="C294" t="s">
        <v>72</v>
      </c>
      <c r="D294" t="s">
        <v>81</v>
      </c>
      <c r="E294" t="s">
        <v>74</v>
      </c>
      <c r="F294" t="s">
        <v>77</v>
      </c>
      <c r="G294" t="s">
        <v>76</v>
      </c>
      <c r="H294">
        <v>43.135282492584544</v>
      </c>
      <c r="I294">
        <v>1</v>
      </c>
      <c r="J294">
        <v>6</v>
      </c>
      <c r="K294">
        <v>8</v>
      </c>
      <c r="L294">
        <v>-2</v>
      </c>
      <c r="M294">
        <v>7</v>
      </c>
      <c r="N294">
        <v>8</v>
      </c>
      <c r="O294">
        <v>-1</v>
      </c>
      <c r="P294">
        <v>8</v>
      </c>
      <c r="Q294">
        <v>5</v>
      </c>
      <c r="R294">
        <v>3</v>
      </c>
      <c r="S294">
        <v>7</v>
      </c>
      <c r="T294">
        <v>8</v>
      </c>
      <c r="U294">
        <v>-1</v>
      </c>
      <c r="V294">
        <v>8</v>
      </c>
      <c r="W294">
        <v>5</v>
      </c>
      <c r="X294">
        <v>3</v>
      </c>
      <c r="Y294">
        <v>7</v>
      </c>
      <c r="Z294">
        <v>6</v>
      </c>
      <c r="AA294">
        <v>1</v>
      </c>
      <c r="AB294">
        <v>8</v>
      </c>
      <c r="AC294">
        <v>5</v>
      </c>
      <c r="AD294">
        <v>3</v>
      </c>
      <c r="AE294">
        <v>6</v>
      </c>
      <c r="AF294">
        <v>6</v>
      </c>
      <c r="AG294">
        <v>0</v>
      </c>
      <c r="AH294">
        <v>8</v>
      </c>
      <c r="AI294">
        <v>6</v>
      </c>
      <c r="AJ294">
        <v>2</v>
      </c>
      <c r="AK294" t="s">
        <v>2812</v>
      </c>
      <c r="AL294" t="s">
        <v>2813</v>
      </c>
      <c r="AM294" t="s">
        <v>2814</v>
      </c>
      <c r="AN294" t="s">
        <v>2815</v>
      </c>
      <c r="AO294" t="s">
        <v>2816</v>
      </c>
      <c r="AP294" t="s">
        <v>2817</v>
      </c>
      <c r="AQ294" t="s">
        <v>2818</v>
      </c>
      <c r="AR294" t="s">
        <v>2819</v>
      </c>
      <c r="AS294" t="s">
        <v>2820</v>
      </c>
    </row>
    <row r="295" spans="1:45" x14ac:dyDescent="0.45">
      <c r="A295">
        <v>294</v>
      </c>
      <c r="B295">
        <v>2284</v>
      </c>
      <c r="C295" t="s">
        <v>72</v>
      </c>
      <c r="D295" t="s">
        <v>81</v>
      </c>
      <c r="E295" t="s">
        <v>74</v>
      </c>
      <c r="F295" t="s">
        <v>77</v>
      </c>
      <c r="G295" t="s">
        <v>76</v>
      </c>
      <c r="H295">
        <v>66.465718123118322</v>
      </c>
      <c r="I295">
        <v>3</v>
      </c>
      <c r="J295">
        <v>7</v>
      </c>
      <c r="K295">
        <v>6</v>
      </c>
      <c r="L295">
        <v>1</v>
      </c>
      <c r="M295">
        <v>7</v>
      </c>
      <c r="N295">
        <v>6</v>
      </c>
      <c r="O295">
        <v>1</v>
      </c>
      <c r="P295">
        <v>8</v>
      </c>
      <c r="Q295">
        <v>3</v>
      </c>
      <c r="R295">
        <v>5</v>
      </c>
      <c r="S295">
        <v>9</v>
      </c>
      <c r="T295">
        <v>7</v>
      </c>
      <c r="U295">
        <v>2</v>
      </c>
      <c r="V295">
        <v>8</v>
      </c>
      <c r="W295">
        <v>5</v>
      </c>
      <c r="X295">
        <v>3</v>
      </c>
      <c r="Y295">
        <v>9</v>
      </c>
      <c r="Z295">
        <v>6</v>
      </c>
      <c r="AA295">
        <v>3</v>
      </c>
      <c r="AB295">
        <v>8</v>
      </c>
      <c r="AC295">
        <v>5</v>
      </c>
      <c r="AD295">
        <v>3</v>
      </c>
      <c r="AE295">
        <v>8</v>
      </c>
      <c r="AF295">
        <v>5</v>
      </c>
      <c r="AG295">
        <v>3</v>
      </c>
      <c r="AH295">
        <v>9</v>
      </c>
      <c r="AI295">
        <v>6</v>
      </c>
      <c r="AJ295">
        <v>3</v>
      </c>
      <c r="AK295" t="s">
        <v>2821</v>
      </c>
      <c r="AL295" t="s">
        <v>2822</v>
      </c>
      <c r="AM295" t="s">
        <v>2823</v>
      </c>
      <c r="AN295" t="s">
        <v>2824</v>
      </c>
      <c r="AO295" t="s">
        <v>2825</v>
      </c>
      <c r="AP295" t="s">
        <v>2826</v>
      </c>
      <c r="AQ295" t="s">
        <v>2827</v>
      </c>
      <c r="AR295" t="s">
        <v>2828</v>
      </c>
      <c r="AS295" t="s">
        <v>2829</v>
      </c>
    </row>
    <row r="296" spans="1:45" x14ac:dyDescent="0.45">
      <c r="A296">
        <v>295</v>
      </c>
      <c r="B296">
        <v>2285</v>
      </c>
      <c r="C296" t="s">
        <v>78</v>
      </c>
      <c r="D296" t="s">
        <v>188</v>
      </c>
      <c r="E296" t="s">
        <v>74</v>
      </c>
      <c r="F296" t="s">
        <v>77</v>
      </c>
      <c r="G296" t="s">
        <v>76</v>
      </c>
      <c r="H296">
        <v>24.929247288114333</v>
      </c>
      <c r="I296">
        <v>0</v>
      </c>
      <c r="J296">
        <v>6</v>
      </c>
      <c r="K296">
        <v>8</v>
      </c>
      <c r="L296">
        <v>-2</v>
      </c>
      <c r="M296">
        <v>8</v>
      </c>
      <c r="N296">
        <v>9</v>
      </c>
      <c r="O296">
        <v>-1</v>
      </c>
      <c r="P296">
        <v>8</v>
      </c>
      <c r="Q296">
        <v>9</v>
      </c>
      <c r="R296">
        <v>-1</v>
      </c>
      <c r="S296">
        <v>7</v>
      </c>
      <c r="T296">
        <v>10</v>
      </c>
      <c r="U296">
        <v>-3</v>
      </c>
      <c r="V296">
        <v>5</v>
      </c>
      <c r="W296">
        <v>8</v>
      </c>
      <c r="X296">
        <v>-3</v>
      </c>
      <c r="Y296">
        <v>6</v>
      </c>
      <c r="Z296">
        <v>8</v>
      </c>
      <c r="AA296">
        <v>-2</v>
      </c>
      <c r="AB296">
        <v>7</v>
      </c>
      <c r="AC296">
        <v>9</v>
      </c>
      <c r="AD296">
        <v>-2</v>
      </c>
      <c r="AE296">
        <v>5</v>
      </c>
      <c r="AF296">
        <v>10</v>
      </c>
      <c r="AG296">
        <v>-5</v>
      </c>
      <c r="AH296">
        <v>7</v>
      </c>
      <c r="AI296">
        <v>10</v>
      </c>
      <c r="AJ296">
        <v>-3</v>
      </c>
      <c r="AK296" t="s">
        <v>2830</v>
      </c>
      <c r="AL296" t="s">
        <v>2831</v>
      </c>
      <c r="AM296" t="s">
        <v>2832</v>
      </c>
      <c r="AN296" t="s">
        <v>2833</v>
      </c>
      <c r="AO296" t="s">
        <v>2834</v>
      </c>
      <c r="AP296" t="s">
        <v>2835</v>
      </c>
      <c r="AQ296" t="s">
        <v>2836</v>
      </c>
      <c r="AR296" t="s">
        <v>2837</v>
      </c>
      <c r="AS296" t="s">
        <v>2838</v>
      </c>
    </row>
    <row r="297" spans="1:45" x14ac:dyDescent="0.45">
      <c r="A297">
        <v>296</v>
      </c>
      <c r="B297">
        <v>2286</v>
      </c>
      <c r="C297" t="s">
        <v>78</v>
      </c>
      <c r="D297" t="s">
        <v>192</v>
      </c>
      <c r="E297" t="s">
        <v>74</v>
      </c>
      <c r="F297" t="s">
        <v>77</v>
      </c>
      <c r="G297" t="s">
        <v>76</v>
      </c>
      <c r="H297">
        <v>12</v>
      </c>
      <c r="I297">
        <v>0</v>
      </c>
      <c r="J297">
        <v>7</v>
      </c>
      <c r="K297">
        <v>7</v>
      </c>
      <c r="L297">
        <v>0</v>
      </c>
      <c r="M297">
        <v>8</v>
      </c>
      <c r="N297">
        <v>7</v>
      </c>
      <c r="O297">
        <v>1</v>
      </c>
      <c r="P297">
        <v>9</v>
      </c>
      <c r="Q297">
        <v>6</v>
      </c>
      <c r="R297">
        <v>3</v>
      </c>
      <c r="S297">
        <v>8</v>
      </c>
      <c r="T297">
        <v>7</v>
      </c>
      <c r="U297">
        <v>1</v>
      </c>
      <c r="V297">
        <v>6</v>
      </c>
      <c r="W297">
        <v>7</v>
      </c>
      <c r="X297">
        <v>-1</v>
      </c>
      <c r="Y297">
        <v>7</v>
      </c>
      <c r="Z297">
        <v>1</v>
      </c>
      <c r="AA297">
        <v>6</v>
      </c>
      <c r="AB297">
        <v>6</v>
      </c>
      <c r="AC297">
        <v>5</v>
      </c>
      <c r="AD297">
        <v>1</v>
      </c>
      <c r="AE297">
        <v>5</v>
      </c>
      <c r="AF297">
        <v>7</v>
      </c>
      <c r="AG297">
        <v>-2</v>
      </c>
      <c r="AH297">
        <v>7</v>
      </c>
      <c r="AI297">
        <v>7</v>
      </c>
      <c r="AJ297">
        <v>0</v>
      </c>
      <c r="AK297" t="s">
        <v>2839</v>
      </c>
      <c r="AL297" t="s">
        <v>2840</v>
      </c>
      <c r="AM297" t="s">
        <v>2841</v>
      </c>
      <c r="AN297" t="s">
        <v>2842</v>
      </c>
      <c r="AO297" t="s">
        <v>2843</v>
      </c>
      <c r="AP297" t="s">
        <v>2844</v>
      </c>
      <c r="AQ297" t="s">
        <v>2845</v>
      </c>
      <c r="AR297" t="s">
        <v>2846</v>
      </c>
      <c r="AS297" t="s">
        <v>2847</v>
      </c>
    </row>
    <row r="298" spans="1:45" x14ac:dyDescent="0.45">
      <c r="A298">
        <v>297</v>
      </c>
      <c r="B298">
        <v>2287</v>
      </c>
      <c r="C298" t="s">
        <v>72</v>
      </c>
      <c r="D298" t="s">
        <v>73</v>
      </c>
      <c r="E298" t="s">
        <v>74</v>
      </c>
      <c r="F298" t="s">
        <v>77</v>
      </c>
      <c r="G298" t="s">
        <v>76</v>
      </c>
      <c r="H298">
        <v>48.27742925304392</v>
      </c>
      <c r="I298">
        <v>2</v>
      </c>
      <c r="J298">
        <v>7</v>
      </c>
      <c r="K298">
        <v>5</v>
      </c>
      <c r="L298">
        <v>2</v>
      </c>
      <c r="M298">
        <v>6</v>
      </c>
      <c r="N298">
        <v>10</v>
      </c>
      <c r="O298">
        <v>-4</v>
      </c>
      <c r="P298">
        <v>8</v>
      </c>
      <c r="Q298">
        <v>5</v>
      </c>
      <c r="R298">
        <v>3</v>
      </c>
      <c r="S298">
        <v>9</v>
      </c>
      <c r="T298">
        <v>5</v>
      </c>
      <c r="U298">
        <v>4</v>
      </c>
      <c r="V298">
        <v>7</v>
      </c>
      <c r="W298">
        <v>2</v>
      </c>
      <c r="X298">
        <v>5</v>
      </c>
      <c r="Y298">
        <v>8</v>
      </c>
      <c r="Z298">
        <v>3</v>
      </c>
      <c r="AA298">
        <v>5</v>
      </c>
      <c r="AB298">
        <v>7</v>
      </c>
      <c r="AC298">
        <v>2</v>
      </c>
      <c r="AD298">
        <v>5</v>
      </c>
      <c r="AE298">
        <v>6</v>
      </c>
      <c r="AF298">
        <v>5</v>
      </c>
      <c r="AG298">
        <v>1</v>
      </c>
      <c r="AH298">
        <v>5</v>
      </c>
      <c r="AI298">
        <v>5</v>
      </c>
      <c r="AJ298">
        <v>0</v>
      </c>
      <c r="AK298" t="s">
        <v>2848</v>
      </c>
      <c r="AL298" t="s">
        <v>2849</v>
      </c>
      <c r="AM298" t="s">
        <v>2850</v>
      </c>
      <c r="AN298" t="s">
        <v>2851</v>
      </c>
      <c r="AO298" t="s">
        <v>2852</v>
      </c>
      <c r="AP298" t="s">
        <v>2853</v>
      </c>
      <c r="AQ298" t="s">
        <v>2854</v>
      </c>
      <c r="AR298" t="s">
        <v>2855</v>
      </c>
      <c r="AS298" t="s">
        <v>2856</v>
      </c>
    </row>
    <row r="299" spans="1:45" x14ac:dyDescent="0.45">
      <c r="A299">
        <v>298</v>
      </c>
      <c r="B299">
        <v>2288</v>
      </c>
      <c r="C299" t="s">
        <v>78</v>
      </c>
      <c r="D299" t="s">
        <v>73</v>
      </c>
      <c r="E299" t="s">
        <v>74</v>
      </c>
      <c r="F299" t="s">
        <v>77</v>
      </c>
      <c r="G299" t="s">
        <v>161</v>
      </c>
      <c r="H299">
        <v>12</v>
      </c>
      <c r="I299">
        <v>0</v>
      </c>
      <c r="J299">
        <v>7</v>
      </c>
      <c r="K299">
        <v>5</v>
      </c>
      <c r="L299">
        <v>2</v>
      </c>
      <c r="M299">
        <v>6</v>
      </c>
      <c r="N299">
        <v>5</v>
      </c>
      <c r="O299">
        <v>1</v>
      </c>
      <c r="P299">
        <v>8</v>
      </c>
      <c r="Q299">
        <v>5</v>
      </c>
      <c r="R299">
        <v>3</v>
      </c>
      <c r="S299">
        <v>7</v>
      </c>
      <c r="T299">
        <v>10</v>
      </c>
      <c r="U299">
        <v>-3</v>
      </c>
      <c r="V299">
        <v>6</v>
      </c>
      <c r="W299">
        <v>10</v>
      </c>
      <c r="X299">
        <v>-4</v>
      </c>
      <c r="Y299">
        <v>6</v>
      </c>
      <c r="Z299">
        <v>5</v>
      </c>
      <c r="AA299">
        <v>1</v>
      </c>
      <c r="AB299">
        <v>6</v>
      </c>
      <c r="AC299">
        <v>5</v>
      </c>
      <c r="AD299">
        <v>1</v>
      </c>
      <c r="AE299">
        <v>6</v>
      </c>
      <c r="AF299">
        <v>5</v>
      </c>
      <c r="AG299">
        <v>1</v>
      </c>
      <c r="AH299">
        <v>5</v>
      </c>
      <c r="AI299">
        <v>5</v>
      </c>
      <c r="AJ299">
        <v>0</v>
      </c>
      <c r="AK299" t="s">
        <v>2857</v>
      </c>
      <c r="AL299" t="s">
        <v>2858</v>
      </c>
      <c r="AM299" t="s">
        <v>2859</v>
      </c>
      <c r="AN299" t="s">
        <v>2860</v>
      </c>
      <c r="AO299" t="s">
        <v>2861</v>
      </c>
      <c r="AP299" t="s">
        <v>2862</v>
      </c>
      <c r="AQ299" t="s">
        <v>2863</v>
      </c>
      <c r="AR299" t="s">
        <v>2864</v>
      </c>
      <c r="AS299" t="s">
        <v>2865</v>
      </c>
    </row>
    <row r="300" spans="1:45" x14ac:dyDescent="0.45">
      <c r="A300">
        <v>299</v>
      </c>
      <c r="B300">
        <v>2289</v>
      </c>
      <c r="C300" t="s">
        <v>78</v>
      </c>
      <c r="D300" t="s">
        <v>73</v>
      </c>
      <c r="E300" t="s">
        <v>74</v>
      </c>
      <c r="F300" t="s">
        <v>75</v>
      </c>
      <c r="G300" t="s">
        <v>76</v>
      </c>
      <c r="H300">
        <v>40.527526501639954</v>
      </c>
      <c r="I300">
        <v>0</v>
      </c>
      <c r="J300">
        <v>7</v>
      </c>
      <c r="K300">
        <v>10</v>
      </c>
      <c r="L300">
        <v>-3</v>
      </c>
      <c r="M300">
        <v>8</v>
      </c>
      <c r="N300">
        <v>10</v>
      </c>
      <c r="O300">
        <v>-2</v>
      </c>
      <c r="P300">
        <v>6</v>
      </c>
      <c r="Q300">
        <v>10</v>
      </c>
      <c r="R300">
        <v>-4</v>
      </c>
      <c r="S300">
        <v>7</v>
      </c>
      <c r="T300">
        <v>10</v>
      </c>
      <c r="U300">
        <v>-3</v>
      </c>
      <c r="V300">
        <v>6</v>
      </c>
      <c r="W300">
        <v>10</v>
      </c>
      <c r="X300">
        <v>-4</v>
      </c>
      <c r="Y300">
        <v>7</v>
      </c>
      <c r="Z300">
        <v>10</v>
      </c>
      <c r="AA300">
        <v>-3</v>
      </c>
      <c r="AB300">
        <v>6</v>
      </c>
      <c r="AC300">
        <v>10</v>
      </c>
      <c r="AD300">
        <v>-4</v>
      </c>
      <c r="AE300">
        <v>7</v>
      </c>
      <c r="AF300">
        <v>10</v>
      </c>
      <c r="AG300">
        <v>-3</v>
      </c>
      <c r="AH300">
        <v>7</v>
      </c>
      <c r="AI300">
        <v>10</v>
      </c>
      <c r="AJ300">
        <v>-3</v>
      </c>
      <c r="AK300" t="s">
        <v>2866</v>
      </c>
      <c r="AL300" t="s">
        <v>2867</v>
      </c>
      <c r="AM300" t="s">
        <v>2868</v>
      </c>
      <c r="AN300" t="s">
        <v>2869</v>
      </c>
      <c r="AO300" t="s">
        <v>2870</v>
      </c>
      <c r="AP300" t="s">
        <v>2871</v>
      </c>
      <c r="AQ300" t="s">
        <v>2872</v>
      </c>
      <c r="AR300" t="s">
        <v>2873</v>
      </c>
      <c r="AS300" t="s">
        <v>2874</v>
      </c>
    </row>
    <row r="301" spans="1:45" x14ac:dyDescent="0.45">
      <c r="A301">
        <v>300</v>
      </c>
      <c r="B301">
        <v>2290</v>
      </c>
      <c r="C301" t="s">
        <v>78</v>
      </c>
      <c r="D301" t="s">
        <v>73</v>
      </c>
      <c r="E301" t="s">
        <v>74</v>
      </c>
      <c r="F301" t="s">
        <v>77</v>
      </c>
      <c r="G301" t="s">
        <v>76</v>
      </c>
      <c r="H301">
        <v>23.619644223184714</v>
      </c>
      <c r="I301">
        <v>1</v>
      </c>
      <c r="J301">
        <v>8</v>
      </c>
      <c r="K301">
        <v>9</v>
      </c>
      <c r="L301">
        <v>-1</v>
      </c>
      <c r="M301">
        <v>7</v>
      </c>
      <c r="N301">
        <v>9</v>
      </c>
      <c r="O301">
        <v>-2</v>
      </c>
      <c r="P301">
        <v>6</v>
      </c>
      <c r="Q301">
        <v>8</v>
      </c>
      <c r="R301">
        <v>-2</v>
      </c>
      <c r="S301">
        <v>8</v>
      </c>
      <c r="T301">
        <v>10</v>
      </c>
      <c r="U301">
        <v>-2</v>
      </c>
      <c r="V301">
        <v>8</v>
      </c>
      <c r="W301">
        <v>8</v>
      </c>
      <c r="X301">
        <v>0</v>
      </c>
      <c r="Y301">
        <v>7</v>
      </c>
      <c r="Z301">
        <v>8</v>
      </c>
      <c r="AA301">
        <v>-1</v>
      </c>
      <c r="AB301">
        <v>6</v>
      </c>
      <c r="AC301">
        <v>10</v>
      </c>
      <c r="AD301">
        <v>-4</v>
      </c>
      <c r="AE301">
        <v>5</v>
      </c>
      <c r="AF301">
        <v>9</v>
      </c>
      <c r="AG301">
        <v>-4</v>
      </c>
      <c r="AH301">
        <v>7</v>
      </c>
      <c r="AI301">
        <v>9</v>
      </c>
      <c r="AJ301">
        <v>-2</v>
      </c>
      <c r="AK301" t="s">
        <v>2875</v>
      </c>
      <c r="AL301" t="s">
        <v>2876</v>
      </c>
      <c r="AM301" t="s">
        <v>2877</v>
      </c>
      <c r="AN301" t="s">
        <v>2878</v>
      </c>
      <c r="AO301" t="s">
        <v>2879</v>
      </c>
      <c r="AP301" t="s">
        <v>2880</v>
      </c>
      <c r="AQ301" t="s">
        <v>2881</v>
      </c>
      <c r="AR301" t="s">
        <v>2882</v>
      </c>
      <c r="AS301" t="s">
        <v>2883</v>
      </c>
    </row>
    <row r="302" spans="1:45" x14ac:dyDescent="0.45">
      <c r="A302">
        <v>301</v>
      </c>
      <c r="B302">
        <v>2291</v>
      </c>
      <c r="C302" t="s">
        <v>78</v>
      </c>
      <c r="D302" t="s">
        <v>81</v>
      </c>
      <c r="E302" t="s">
        <v>74</v>
      </c>
      <c r="F302" t="s">
        <v>77</v>
      </c>
      <c r="G302" t="s">
        <v>76</v>
      </c>
      <c r="H302">
        <v>12</v>
      </c>
      <c r="I302">
        <v>0</v>
      </c>
      <c r="J302">
        <v>8</v>
      </c>
      <c r="K302">
        <v>8</v>
      </c>
      <c r="L302">
        <v>0</v>
      </c>
      <c r="M302">
        <v>7</v>
      </c>
      <c r="N302">
        <v>7</v>
      </c>
      <c r="O302">
        <v>0</v>
      </c>
      <c r="P302">
        <v>9</v>
      </c>
      <c r="Q302">
        <v>9</v>
      </c>
      <c r="R302">
        <v>0</v>
      </c>
      <c r="S302">
        <v>8</v>
      </c>
      <c r="T302">
        <v>5</v>
      </c>
      <c r="U302">
        <v>3</v>
      </c>
      <c r="V302">
        <v>7</v>
      </c>
      <c r="W302">
        <v>7</v>
      </c>
      <c r="X302">
        <v>0</v>
      </c>
      <c r="Y302">
        <v>7</v>
      </c>
      <c r="Z302">
        <v>7</v>
      </c>
      <c r="AA302">
        <v>0</v>
      </c>
      <c r="AB302">
        <v>7</v>
      </c>
      <c r="AC302">
        <v>7</v>
      </c>
      <c r="AD302">
        <v>0</v>
      </c>
      <c r="AE302">
        <v>7</v>
      </c>
      <c r="AF302">
        <v>6</v>
      </c>
      <c r="AG302">
        <v>1</v>
      </c>
      <c r="AH302">
        <v>8</v>
      </c>
      <c r="AI302">
        <v>7</v>
      </c>
      <c r="AJ302">
        <v>1</v>
      </c>
      <c r="AK302" t="s">
        <v>2884</v>
      </c>
      <c r="AL302" t="s">
        <v>2885</v>
      </c>
      <c r="AM302" t="s">
        <v>2886</v>
      </c>
      <c r="AN302" t="s">
        <v>2887</v>
      </c>
      <c r="AO302" t="s">
        <v>2888</v>
      </c>
      <c r="AP302" t="s">
        <v>2889</v>
      </c>
      <c r="AQ302" t="s">
        <v>2890</v>
      </c>
      <c r="AR302" t="s">
        <v>2891</v>
      </c>
      <c r="AS302" t="s">
        <v>2892</v>
      </c>
    </row>
    <row r="303" spans="1:45" x14ac:dyDescent="0.45">
      <c r="A303">
        <v>302</v>
      </c>
      <c r="B303">
        <v>2292</v>
      </c>
      <c r="C303" t="s">
        <v>72</v>
      </c>
      <c r="D303" t="s">
        <v>73</v>
      </c>
      <c r="E303" t="s">
        <v>74</v>
      </c>
      <c r="F303" t="s">
        <v>77</v>
      </c>
      <c r="G303" t="s">
        <v>76</v>
      </c>
      <c r="H303">
        <v>25.452016522366868</v>
      </c>
      <c r="I303">
        <v>0</v>
      </c>
      <c r="J303">
        <v>7</v>
      </c>
      <c r="K303">
        <v>7</v>
      </c>
      <c r="L303">
        <v>0</v>
      </c>
      <c r="M303">
        <v>8</v>
      </c>
      <c r="N303">
        <v>7</v>
      </c>
      <c r="O303">
        <v>1</v>
      </c>
      <c r="P303">
        <v>6</v>
      </c>
      <c r="Q303">
        <v>4</v>
      </c>
      <c r="R303">
        <v>2</v>
      </c>
      <c r="S303">
        <v>5</v>
      </c>
      <c r="T303">
        <v>8</v>
      </c>
      <c r="U303">
        <v>-3</v>
      </c>
      <c r="V303">
        <v>6</v>
      </c>
      <c r="W303">
        <v>7</v>
      </c>
      <c r="X303">
        <v>-1</v>
      </c>
      <c r="Y303">
        <v>7</v>
      </c>
      <c r="Z303">
        <v>7</v>
      </c>
      <c r="AA303">
        <v>0</v>
      </c>
      <c r="AB303">
        <v>6</v>
      </c>
      <c r="AC303">
        <v>5</v>
      </c>
      <c r="AD303">
        <v>1</v>
      </c>
      <c r="AE303">
        <v>7</v>
      </c>
      <c r="AF303">
        <v>5</v>
      </c>
      <c r="AG303">
        <v>2</v>
      </c>
      <c r="AH303">
        <v>6</v>
      </c>
      <c r="AI303">
        <v>7</v>
      </c>
      <c r="AJ303">
        <v>-1</v>
      </c>
      <c r="AK303" t="s">
        <v>2893</v>
      </c>
      <c r="AL303" t="s">
        <v>2894</v>
      </c>
      <c r="AM303" t="s">
        <v>2895</v>
      </c>
      <c r="AN303" t="s">
        <v>2896</v>
      </c>
      <c r="AO303" t="s">
        <v>2897</v>
      </c>
      <c r="AP303" t="s">
        <v>2898</v>
      </c>
      <c r="AQ303" t="s">
        <v>2899</v>
      </c>
      <c r="AR303" t="s">
        <v>2900</v>
      </c>
      <c r="AS303" t="s">
        <v>2901</v>
      </c>
    </row>
    <row r="304" spans="1:45" x14ac:dyDescent="0.45">
      <c r="A304">
        <v>303</v>
      </c>
      <c r="B304">
        <v>2293</v>
      </c>
      <c r="C304" t="s">
        <v>78</v>
      </c>
      <c r="D304" t="s">
        <v>73</v>
      </c>
      <c r="E304" t="s">
        <v>74</v>
      </c>
      <c r="F304" t="s">
        <v>77</v>
      </c>
      <c r="G304" t="s">
        <v>76</v>
      </c>
      <c r="H304">
        <v>24.634858690807217</v>
      </c>
      <c r="I304">
        <v>2</v>
      </c>
      <c r="J304">
        <v>7</v>
      </c>
      <c r="K304">
        <v>6</v>
      </c>
      <c r="L304">
        <v>1</v>
      </c>
      <c r="M304">
        <v>8</v>
      </c>
      <c r="N304">
        <v>10</v>
      </c>
      <c r="O304">
        <v>-2</v>
      </c>
      <c r="P304">
        <v>9</v>
      </c>
      <c r="Q304">
        <v>5</v>
      </c>
      <c r="R304">
        <v>4</v>
      </c>
      <c r="S304">
        <v>9</v>
      </c>
      <c r="T304">
        <v>4</v>
      </c>
      <c r="U304">
        <v>5</v>
      </c>
      <c r="V304">
        <v>8</v>
      </c>
      <c r="W304">
        <v>3</v>
      </c>
      <c r="X304">
        <v>5</v>
      </c>
      <c r="Y304">
        <v>8</v>
      </c>
      <c r="Z304">
        <v>7</v>
      </c>
      <c r="AA304">
        <v>1</v>
      </c>
      <c r="AB304">
        <v>8</v>
      </c>
      <c r="AC304">
        <v>4</v>
      </c>
      <c r="AD304">
        <v>4</v>
      </c>
      <c r="AE304">
        <v>8</v>
      </c>
      <c r="AF304">
        <v>4</v>
      </c>
      <c r="AG304">
        <v>4</v>
      </c>
      <c r="AH304">
        <v>8</v>
      </c>
      <c r="AI304">
        <v>5</v>
      </c>
      <c r="AJ304">
        <v>3</v>
      </c>
      <c r="AK304" t="s">
        <v>2902</v>
      </c>
      <c r="AL304" t="s">
        <v>2903</v>
      </c>
      <c r="AM304" t="s">
        <v>2904</v>
      </c>
      <c r="AN304" t="s">
        <v>2905</v>
      </c>
      <c r="AO304" t="s">
        <v>2906</v>
      </c>
      <c r="AP304" t="s">
        <v>2907</v>
      </c>
      <c r="AQ304" t="s">
        <v>2908</v>
      </c>
      <c r="AR304" t="s">
        <v>2909</v>
      </c>
      <c r="AS304" t="s">
        <v>2910</v>
      </c>
    </row>
    <row r="305" spans="1:45" x14ac:dyDescent="0.45">
      <c r="A305">
        <v>304</v>
      </c>
      <c r="B305">
        <v>2294</v>
      </c>
      <c r="C305" t="s">
        <v>78</v>
      </c>
      <c r="D305" t="s">
        <v>81</v>
      </c>
      <c r="E305" t="s">
        <v>74</v>
      </c>
      <c r="F305" t="s">
        <v>75</v>
      </c>
      <c r="G305" t="s">
        <v>76</v>
      </c>
      <c r="H305">
        <v>12</v>
      </c>
      <c r="I305">
        <v>0</v>
      </c>
      <c r="J305">
        <v>6</v>
      </c>
      <c r="K305">
        <v>10</v>
      </c>
      <c r="L305">
        <v>-4</v>
      </c>
      <c r="M305">
        <v>7</v>
      </c>
      <c r="N305">
        <v>10</v>
      </c>
      <c r="O305">
        <v>-3</v>
      </c>
      <c r="P305">
        <v>8</v>
      </c>
      <c r="Q305">
        <v>10</v>
      </c>
      <c r="R305">
        <v>-2</v>
      </c>
      <c r="S305">
        <v>7</v>
      </c>
      <c r="T305">
        <v>10</v>
      </c>
      <c r="U305">
        <v>-3</v>
      </c>
      <c r="V305">
        <v>6</v>
      </c>
      <c r="W305">
        <v>10</v>
      </c>
      <c r="X305">
        <v>-4</v>
      </c>
      <c r="Y305">
        <v>5</v>
      </c>
      <c r="Z305">
        <v>10</v>
      </c>
      <c r="AA305">
        <v>-5</v>
      </c>
      <c r="AB305">
        <v>4</v>
      </c>
      <c r="AC305">
        <v>10</v>
      </c>
      <c r="AD305">
        <v>-6</v>
      </c>
      <c r="AE305">
        <v>6</v>
      </c>
      <c r="AF305">
        <v>10</v>
      </c>
      <c r="AG305">
        <v>-4</v>
      </c>
      <c r="AH305">
        <v>5</v>
      </c>
      <c r="AI305">
        <v>10</v>
      </c>
      <c r="AJ305">
        <v>-5</v>
      </c>
      <c r="AK305" t="s">
        <v>2911</v>
      </c>
      <c r="AL305" t="s">
        <v>2912</v>
      </c>
      <c r="AM305" t="s">
        <v>2913</v>
      </c>
      <c r="AN305" t="s">
        <v>2914</v>
      </c>
      <c r="AO305" t="s">
        <v>2915</v>
      </c>
      <c r="AP305" t="s">
        <v>2916</v>
      </c>
      <c r="AQ305" t="s">
        <v>2917</v>
      </c>
      <c r="AR305" t="s">
        <v>2918</v>
      </c>
      <c r="AS305" t="s">
        <v>2919</v>
      </c>
    </row>
    <row r="306" spans="1:45" x14ac:dyDescent="0.45">
      <c r="A306">
        <v>305</v>
      </c>
      <c r="B306">
        <v>2295</v>
      </c>
      <c r="C306" t="s">
        <v>78</v>
      </c>
      <c r="D306" t="s">
        <v>73</v>
      </c>
      <c r="E306" t="s">
        <v>74</v>
      </c>
      <c r="F306" t="s">
        <v>77</v>
      </c>
      <c r="G306" t="s">
        <v>76</v>
      </c>
      <c r="H306">
        <v>39.284181945225868</v>
      </c>
      <c r="I306">
        <v>0</v>
      </c>
      <c r="J306">
        <v>6</v>
      </c>
      <c r="K306">
        <v>7</v>
      </c>
      <c r="L306">
        <v>-1</v>
      </c>
      <c r="M306">
        <v>7</v>
      </c>
      <c r="N306">
        <v>9</v>
      </c>
      <c r="O306">
        <v>-2</v>
      </c>
      <c r="P306">
        <v>8</v>
      </c>
      <c r="Q306">
        <v>8</v>
      </c>
      <c r="R306">
        <v>0</v>
      </c>
      <c r="S306">
        <v>6</v>
      </c>
      <c r="T306">
        <v>6</v>
      </c>
      <c r="U306">
        <v>0</v>
      </c>
      <c r="V306">
        <v>8</v>
      </c>
      <c r="W306">
        <v>5</v>
      </c>
      <c r="X306">
        <v>3</v>
      </c>
      <c r="Y306">
        <v>7</v>
      </c>
      <c r="Z306">
        <v>3</v>
      </c>
      <c r="AA306">
        <v>4</v>
      </c>
      <c r="AB306">
        <v>6</v>
      </c>
      <c r="AC306">
        <v>9</v>
      </c>
      <c r="AD306">
        <v>-3</v>
      </c>
      <c r="AE306">
        <v>5</v>
      </c>
      <c r="AF306">
        <v>3</v>
      </c>
      <c r="AG306">
        <v>2</v>
      </c>
      <c r="AH306">
        <v>7</v>
      </c>
      <c r="AI306">
        <v>4</v>
      </c>
      <c r="AJ306">
        <v>3</v>
      </c>
      <c r="AK306" t="s">
        <v>2920</v>
      </c>
      <c r="AL306" t="s">
        <v>2921</v>
      </c>
      <c r="AM306" t="s">
        <v>2922</v>
      </c>
      <c r="AN306" t="s">
        <v>2923</v>
      </c>
      <c r="AO306" t="s">
        <v>2924</v>
      </c>
      <c r="AP306" t="s">
        <v>2925</v>
      </c>
      <c r="AQ306" t="s">
        <v>2926</v>
      </c>
      <c r="AR306" t="s">
        <v>2927</v>
      </c>
      <c r="AS306" t="s">
        <v>2928</v>
      </c>
    </row>
    <row r="307" spans="1:45" x14ac:dyDescent="0.45">
      <c r="A307">
        <v>306</v>
      </c>
      <c r="B307">
        <v>2296</v>
      </c>
      <c r="C307" t="s">
        <v>72</v>
      </c>
      <c r="D307" t="s">
        <v>79</v>
      </c>
      <c r="E307" t="s">
        <v>74</v>
      </c>
      <c r="F307" t="s">
        <v>77</v>
      </c>
      <c r="G307" t="s">
        <v>76</v>
      </c>
      <c r="H307">
        <v>56.810136217068468</v>
      </c>
      <c r="I307">
        <v>3</v>
      </c>
      <c r="J307">
        <v>8</v>
      </c>
      <c r="K307">
        <v>3</v>
      </c>
      <c r="L307">
        <v>5</v>
      </c>
      <c r="M307">
        <v>7</v>
      </c>
      <c r="N307">
        <v>8</v>
      </c>
      <c r="O307">
        <v>-1</v>
      </c>
      <c r="P307">
        <v>9</v>
      </c>
      <c r="Q307">
        <v>8</v>
      </c>
      <c r="R307">
        <v>1</v>
      </c>
      <c r="S307">
        <v>8</v>
      </c>
      <c r="T307">
        <v>4</v>
      </c>
      <c r="U307">
        <v>4</v>
      </c>
      <c r="V307">
        <v>8</v>
      </c>
      <c r="W307">
        <v>4</v>
      </c>
      <c r="X307">
        <v>4</v>
      </c>
      <c r="Y307">
        <v>9</v>
      </c>
      <c r="Z307">
        <v>3</v>
      </c>
      <c r="AA307">
        <v>6</v>
      </c>
      <c r="AB307">
        <v>7</v>
      </c>
      <c r="AC307">
        <v>7</v>
      </c>
      <c r="AD307">
        <v>0</v>
      </c>
      <c r="AE307">
        <v>6</v>
      </c>
      <c r="AF307">
        <v>5</v>
      </c>
      <c r="AG307">
        <v>1</v>
      </c>
      <c r="AH307">
        <v>8</v>
      </c>
      <c r="AI307">
        <v>5</v>
      </c>
      <c r="AJ307">
        <v>3</v>
      </c>
      <c r="AK307" t="s">
        <v>2929</v>
      </c>
      <c r="AL307" t="s">
        <v>2930</v>
      </c>
      <c r="AM307" t="s">
        <v>2931</v>
      </c>
      <c r="AN307" t="s">
        <v>2932</v>
      </c>
      <c r="AO307" t="s">
        <v>2933</v>
      </c>
      <c r="AP307" t="s">
        <v>2934</v>
      </c>
      <c r="AQ307" t="s">
        <v>2935</v>
      </c>
      <c r="AR307" t="s">
        <v>2936</v>
      </c>
      <c r="AS307" t="s">
        <v>2937</v>
      </c>
    </row>
    <row r="308" spans="1:45" x14ac:dyDescent="0.45">
      <c r="A308">
        <v>307</v>
      </c>
      <c r="B308">
        <v>2297</v>
      </c>
      <c r="C308" t="s">
        <v>72</v>
      </c>
      <c r="D308" t="s">
        <v>192</v>
      </c>
      <c r="E308" t="s">
        <v>74</v>
      </c>
      <c r="F308" t="s">
        <v>75</v>
      </c>
      <c r="G308" t="s">
        <v>161</v>
      </c>
      <c r="H308">
        <v>14.954634857941985</v>
      </c>
      <c r="I308">
        <v>2</v>
      </c>
      <c r="J308">
        <v>8</v>
      </c>
      <c r="K308">
        <v>2</v>
      </c>
      <c r="L308">
        <v>6</v>
      </c>
      <c r="M308">
        <v>7</v>
      </c>
      <c r="N308">
        <v>2</v>
      </c>
      <c r="O308">
        <v>5</v>
      </c>
      <c r="P308">
        <v>9</v>
      </c>
      <c r="Q308">
        <v>2</v>
      </c>
      <c r="R308">
        <v>7</v>
      </c>
      <c r="S308">
        <v>8</v>
      </c>
      <c r="T308">
        <v>1</v>
      </c>
      <c r="U308">
        <v>7</v>
      </c>
      <c r="V308">
        <v>9</v>
      </c>
      <c r="W308">
        <v>2</v>
      </c>
      <c r="X308">
        <v>7</v>
      </c>
      <c r="Y308">
        <v>8</v>
      </c>
      <c r="Z308">
        <v>2</v>
      </c>
      <c r="AA308">
        <v>6</v>
      </c>
      <c r="AB308">
        <v>9</v>
      </c>
      <c r="AC308">
        <v>2</v>
      </c>
      <c r="AD308">
        <v>7</v>
      </c>
      <c r="AE308">
        <v>7</v>
      </c>
      <c r="AF308">
        <v>2</v>
      </c>
      <c r="AG308">
        <v>5</v>
      </c>
      <c r="AH308">
        <v>9</v>
      </c>
      <c r="AI308">
        <v>2</v>
      </c>
      <c r="AJ308">
        <v>7</v>
      </c>
      <c r="AK308" t="s">
        <v>2938</v>
      </c>
      <c r="AL308" t="s">
        <v>2939</v>
      </c>
      <c r="AM308" t="s">
        <v>2940</v>
      </c>
      <c r="AN308" t="s">
        <v>2941</v>
      </c>
      <c r="AO308" t="s">
        <v>2942</v>
      </c>
      <c r="AP308" t="s">
        <v>2943</v>
      </c>
      <c r="AQ308" t="s">
        <v>2944</v>
      </c>
      <c r="AR308" t="s">
        <v>2945</v>
      </c>
      <c r="AS308" t="s">
        <v>2946</v>
      </c>
    </row>
    <row r="309" spans="1:45" x14ac:dyDescent="0.45">
      <c r="A309">
        <v>308</v>
      </c>
      <c r="B309">
        <v>2298</v>
      </c>
      <c r="C309" t="s">
        <v>72</v>
      </c>
      <c r="D309" t="s">
        <v>79</v>
      </c>
      <c r="E309" t="s">
        <v>74</v>
      </c>
      <c r="F309" t="s">
        <v>75</v>
      </c>
      <c r="G309" t="s">
        <v>76</v>
      </c>
      <c r="H309">
        <v>184.79089577465027</v>
      </c>
      <c r="I309">
        <v>2</v>
      </c>
      <c r="J309">
        <v>7</v>
      </c>
      <c r="K309">
        <v>10</v>
      </c>
      <c r="L309">
        <v>-3</v>
      </c>
      <c r="M309">
        <v>8</v>
      </c>
      <c r="N309">
        <v>8</v>
      </c>
      <c r="O309">
        <v>0</v>
      </c>
      <c r="P309">
        <v>6</v>
      </c>
      <c r="Q309">
        <v>8</v>
      </c>
      <c r="R309">
        <v>-2</v>
      </c>
      <c r="S309">
        <v>6</v>
      </c>
      <c r="T309">
        <v>8</v>
      </c>
      <c r="U309">
        <v>-2</v>
      </c>
      <c r="V309">
        <v>7</v>
      </c>
      <c r="W309">
        <v>10</v>
      </c>
      <c r="X309">
        <v>-3</v>
      </c>
      <c r="Y309">
        <v>8</v>
      </c>
      <c r="Z309">
        <v>10</v>
      </c>
      <c r="AA309">
        <v>-2</v>
      </c>
      <c r="AB309">
        <v>7</v>
      </c>
      <c r="AC309">
        <v>6</v>
      </c>
      <c r="AD309">
        <v>1</v>
      </c>
      <c r="AE309">
        <v>7</v>
      </c>
      <c r="AF309">
        <v>8</v>
      </c>
      <c r="AG309">
        <v>-1</v>
      </c>
      <c r="AH309">
        <v>7</v>
      </c>
      <c r="AI309">
        <v>8</v>
      </c>
      <c r="AJ309">
        <v>-1</v>
      </c>
      <c r="AK309" t="s">
        <v>2947</v>
      </c>
      <c r="AL309" t="s">
        <v>2948</v>
      </c>
      <c r="AM309" t="s">
        <v>2949</v>
      </c>
      <c r="AN309" t="s">
        <v>2950</v>
      </c>
      <c r="AO309" t="s">
        <v>2951</v>
      </c>
      <c r="AP309" t="s">
        <v>2952</v>
      </c>
      <c r="AQ309" t="s">
        <v>2953</v>
      </c>
      <c r="AR309" t="s">
        <v>2954</v>
      </c>
      <c r="AS309" t="s">
        <v>2955</v>
      </c>
    </row>
    <row r="310" spans="1:45" x14ac:dyDescent="0.45">
      <c r="A310">
        <v>309</v>
      </c>
      <c r="B310">
        <v>2299</v>
      </c>
      <c r="C310" t="s">
        <v>78</v>
      </c>
      <c r="D310" t="s">
        <v>73</v>
      </c>
      <c r="E310" t="s">
        <v>74</v>
      </c>
      <c r="F310" t="s">
        <v>77</v>
      </c>
      <c r="G310" t="s">
        <v>76</v>
      </c>
      <c r="H310">
        <v>50.676369719896847</v>
      </c>
      <c r="I310">
        <v>1</v>
      </c>
      <c r="J310">
        <v>6</v>
      </c>
      <c r="K310">
        <v>10</v>
      </c>
      <c r="L310">
        <v>-4</v>
      </c>
      <c r="M310">
        <v>7</v>
      </c>
      <c r="N310">
        <v>10</v>
      </c>
      <c r="O310">
        <v>-3</v>
      </c>
      <c r="P310">
        <v>8</v>
      </c>
      <c r="Q310">
        <v>10</v>
      </c>
      <c r="R310">
        <v>-2</v>
      </c>
      <c r="S310">
        <v>9</v>
      </c>
      <c r="T310">
        <v>10</v>
      </c>
      <c r="U310">
        <v>-1</v>
      </c>
      <c r="V310">
        <v>7</v>
      </c>
      <c r="W310">
        <v>10</v>
      </c>
      <c r="X310">
        <v>-3</v>
      </c>
      <c r="Y310">
        <v>6</v>
      </c>
      <c r="Z310">
        <v>9</v>
      </c>
      <c r="AA310">
        <v>-3</v>
      </c>
      <c r="AB310">
        <v>5</v>
      </c>
      <c r="AC310">
        <v>9</v>
      </c>
      <c r="AD310">
        <v>-4</v>
      </c>
      <c r="AE310">
        <v>6</v>
      </c>
      <c r="AF310">
        <v>10</v>
      </c>
      <c r="AG310">
        <v>-4</v>
      </c>
      <c r="AH310">
        <v>7</v>
      </c>
      <c r="AI310">
        <v>10</v>
      </c>
      <c r="AJ310">
        <v>-3</v>
      </c>
      <c r="AK310" t="s">
        <v>2956</v>
      </c>
      <c r="AL310" t="s">
        <v>2957</v>
      </c>
      <c r="AM310" t="s">
        <v>2958</v>
      </c>
      <c r="AN310" t="s">
        <v>2959</v>
      </c>
      <c r="AO310" t="s">
        <v>2960</v>
      </c>
      <c r="AP310" t="s">
        <v>2961</v>
      </c>
      <c r="AQ310" t="s">
        <v>2962</v>
      </c>
      <c r="AR310" t="s">
        <v>2963</v>
      </c>
      <c r="AS310" t="s">
        <v>2964</v>
      </c>
    </row>
    <row r="311" spans="1:45" x14ac:dyDescent="0.45">
      <c r="A311">
        <v>310</v>
      </c>
      <c r="B311">
        <v>2300</v>
      </c>
      <c r="C311" t="s">
        <v>72</v>
      </c>
      <c r="D311" t="s">
        <v>188</v>
      </c>
      <c r="E311" t="s">
        <v>74</v>
      </c>
      <c r="F311" t="s">
        <v>77</v>
      </c>
      <c r="G311" t="s">
        <v>76</v>
      </c>
      <c r="H311">
        <v>21.771079265001994</v>
      </c>
      <c r="I311">
        <v>0</v>
      </c>
      <c r="J311">
        <v>7</v>
      </c>
      <c r="K311">
        <v>7</v>
      </c>
      <c r="L311">
        <v>0</v>
      </c>
      <c r="M311">
        <v>8</v>
      </c>
      <c r="N311">
        <v>7</v>
      </c>
      <c r="O311">
        <v>1</v>
      </c>
      <c r="P311">
        <v>6</v>
      </c>
      <c r="Q311">
        <v>5</v>
      </c>
      <c r="R311">
        <v>1</v>
      </c>
      <c r="S311">
        <v>9</v>
      </c>
      <c r="T311">
        <v>8</v>
      </c>
      <c r="U311">
        <v>1</v>
      </c>
      <c r="V311">
        <v>7</v>
      </c>
      <c r="W311">
        <v>8</v>
      </c>
      <c r="X311">
        <v>-1</v>
      </c>
      <c r="Y311">
        <v>6</v>
      </c>
      <c r="Z311">
        <v>9</v>
      </c>
      <c r="AA311">
        <v>-3</v>
      </c>
      <c r="AB311">
        <v>7</v>
      </c>
      <c r="AC311">
        <v>9</v>
      </c>
      <c r="AD311">
        <v>-2</v>
      </c>
      <c r="AE311">
        <v>6</v>
      </c>
      <c r="AF311">
        <v>9</v>
      </c>
      <c r="AG311">
        <v>-3</v>
      </c>
      <c r="AH311">
        <v>7</v>
      </c>
      <c r="AI311">
        <v>10</v>
      </c>
      <c r="AJ311">
        <v>-3</v>
      </c>
      <c r="AK311" t="s">
        <v>2965</v>
      </c>
      <c r="AL311" t="s">
        <v>2966</v>
      </c>
      <c r="AM311" t="s">
        <v>2967</v>
      </c>
      <c r="AN311" t="s">
        <v>2968</v>
      </c>
      <c r="AO311" t="s">
        <v>2969</v>
      </c>
      <c r="AP311" t="s">
        <v>2970</v>
      </c>
      <c r="AQ311" t="s">
        <v>2971</v>
      </c>
      <c r="AR311" t="s">
        <v>2972</v>
      </c>
      <c r="AS311" t="s">
        <v>2973</v>
      </c>
    </row>
    <row r="312" spans="1:45" x14ac:dyDescent="0.45">
      <c r="A312">
        <v>311</v>
      </c>
      <c r="B312">
        <v>2301</v>
      </c>
      <c r="C312" t="s">
        <v>72</v>
      </c>
      <c r="D312" t="s">
        <v>188</v>
      </c>
      <c r="E312" t="s">
        <v>74</v>
      </c>
      <c r="F312" t="s">
        <v>77</v>
      </c>
      <c r="G312" t="s">
        <v>76</v>
      </c>
      <c r="H312">
        <v>15.690216748925257</v>
      </c>
      <c r="I312">
        <v>0</v>
      </c>
      <c r="J312">
        <v>7</v>
      </c>
      <c r="K312">
        <v>6</v>
      </c>
      <c r="L312">
        <v>1</v>
      </c>
      <c r="M312">
        <v>8</v>
      </c>
      <c r="N312">
        <v>5</v>
      </c>
      <c r="O312">
        <v>3</v>
      </c>
      <c r="P312">
        <v>9</v>
      </c>
      <c r="Q312">
        <v>4</v>
      </c>
      <c r="R312">
        <v>5</v>
      </c>
      <c r="S312">
        <v>8</v>
      </c>
      <c r="T312">
        <v>7</v>
      </c>
      <c r="U312">
        <v>1</v>
      </c>
      <c r="V312">
        <v>7</v>
      </c>
      <c r="W312">
        <v>5</v>
      </c>
      <c r="X312">
        <v>2</v>
      </c>
      <c r="Y312">
        <v>6</v>
      </c>
      <c r="Z312">
        <v>6</v>
      </c>
      <c r="AA312">
        <v>0</v>
      </c>
      <c r="AB312">
        <v>7</v>
      </c>
      <c r="AC312">
        <v>6</v>
      </c>
      <c r="AD312">
        <v>1</v>
      </c>
      <c r="AE312">
        <v>5</v>
      </c>
      <c r="AF312">
        <v>7</v>
      </c>
      <c r="AG312">
        <v>-2</v>
      </c>
      <c r="AH312">
        <v>7</v>
      </c>
      <c r="AI312">
        <v>7</v>
      </c>
      <c r="AJ312">
        <v>0</v>
      </c>
      <c r="AK312" t="s">
        <v>2974</v>
      </c>
      <c r="AL312" t="s">
        <v>2975</v>
      </c>
      <c r="AM312" t="s">
        <v>2976</v>
      </c>
      <c r="AN312" t="s">
        <v>2977</v>
      </c>
      <c r="AO312" t="s">
        <v>2978</v>
      </c>
      <c r="AP312" t="s">
        <v>2979</v>
      </c>
      <c r="AQ312" t="s">
        <v>2980</v>
      </c>
      <c r="AR312" t="s">
        <v>2981</v>
      </c>
      <c r="AS312" t="s">
        <v>2982</v>
      </c>
    </row>
    <row r="313" spans="1:45" x14ac:dyDescent="0.45">
      <c r="A313">
        <v>312</v>
      </c>
      <c r="B313">
        <v>2302</v>
      </c>
      <c r="C313" t="s">
        <v>78</v>
      </c>
      <c r="D313" t="s">
        <v>81</v>
      </c>
      <c r="E313" t="s">
        <v>74</v>
      </c>
      <c r="F313" t="s">
        <v>77</v>
      </c>
      <c r="G313" t="s">
        <v>76</v>
      </c>
      <c r="H313">
        <v>21.220638313442763</v>
      </c>
      <c r="I313">
        <v>0</v>
      </c>
      <c r="J313">
        <v>6</v>
      </c>
      <c r="K313">
        <v>8</v>
      </c>
      <c r="L313">
        <v>-2</v>
      </c>
      <c r="M313">
        <v>5</v>
      </c>
      <c r="N313">
        <v>9</v>
      </c>
      <c r="O313">
        <v>-4</v>
      </c>
      <c r="P313">
        <v>4</v>
      </c>
      <c r="Q313">
        <v>10</v>
      </c>
      <c r="R313">
        <v>-6</v>
      </c>
      <c r="S313">
        <v>7</v>
      </c>
      <c r="T313">
        <v>10</v>
      </c>
      <c r="U313">
        <v>-3</v>
      </c>
      <c r="V313">
        <v>8</v>
      </c>
      <c r="W313">
        <v>8</v>
      </c>
      <c r="X313">
        <v>0</v>
      </c>
      <c r="Y313">
        <v>3</v>
      </c>
      <c r="Z313">
        <v>9</v>
      </c>
      <c r="AA313">
        <v>-6</v>
      </c>
      <c r="AB313">
        <v>6</v>
      </c>
      <c r="AC313">
        <v>8</v>
      </c>
      <c r="AD313">
        <v>-2</v>
      </c>
      <c r="AE313">
        <v>4</v>
      </c>
      <c r="AF313">
        <v>8</v>
      </c>
      <c r="AG313">
        <v>-4</v>
      </c>
      <c r="AH313">
        <v>5</v>
      </c>
      <c r="AI313">
        <v>10</v>
      </c>
      <c r="AJ313">
        <v>-5</v>
      </c>
      <c r="AK313" t="s">
        <v>2983</v>
      </c>
      <c r="AL313" t="s">
        <v>2984</v>
      </c>
      <c r="AM313" t="s">
        <v>2985</v>
      </c>
      <c r="AN313" t="s">
        <v>2986</v>
      </c>
      <c r="AO313" t="s">
        <v>2987</v>
      </c>
      <c r="AP313" t="s">
        <v>2988</v>
      </c>
      <c r="AQ313" t="s">
        <v>2989</v>
      </c>
      <c r="AR313" t="s">
        <v>2990</v>
      </c>
      <c r="AS313" t="s">
        <v>2991</v>
      </c>
    </row>
    <row r="314" spans="1:45" x14ac:dyDescent="0.45">
      <c r="A314">
        <v>313</v>
      </c>
      <c r="B314">
        <v>2303</v>
      </c>
      <c r="C314" t="s">
        <v>78</v>
      </c>
      <c r="D314" t="s">
        <v>188</v>
      </c>
      <c r="E314" t="s">
        <v>74</v>
      </c>
      <c r="F314" t="s">
        <v>77</v>
      </c>
      <c r="G314" t="s">
        <v>76</v>
      </c>
      <c r="H314">
        <v>14.279434814435996</v>
      </c>
      <c r="I314">
        <v>0</v>
      </c>
      <c r="J314">
        <v>6</v>
      </c>
      <c r="K314">
        <v>6</v>
      </c>
      <c r="L314">
        <v>0</v>
      </c>
      <c r="M314">
        <v>5</v>
      </c>
      <c r="N314">
        <v>6</v>
      </c>
      <c r="O314">
        <v>-1</v>
      </c>
      <c r="P314">
        <v>8</v>
      </c>
      <c r="Q314">
        <v>7</v>
      </c>
      <c r="R314">
        <v>1</v>
      </c>
      <c r="S314">
        <v>9</v>
      </c>
      <c r="T314">
        <v>7</v>
      </c>
      <c r="U314">
        <v>2</v>
      </c>
      <c r="V314">
        <v>7</v>
      </c>
      <c r="W314">
        <v>7</v>
      </c>
      <c r="X314">
        <v>0</v>
      </c>
      <c r="Y314">
        <v>8</v>
      </c>
      <c r="Z314">
        <v>8</v>
      </c>
      <c r="AA314">
        <v>0</v>
      </c>
      <c r="AB314">
        <v>7</v>
      </c>
      <c r="AC314">
        <v>5</v>
      </c>
      <c r="AD314">
        <v>2</v>
      </c>
      <c r="AE314">
        <v>6</v>
      </c>
      <c r="AF314">
        <v>5</v>
      </c>
      <c r="AG314">
        <v>1</v>
      </c>
      <c r="AH314">
        <v>7</v>
      </c>
      <c r="AI314">
        <v>8</v>
      </c>
      <c r="AJ314">
        <v>-1</v>
      </c>
      <c r="AK314" t="s">
        <v>2992</v>
      </c>
      <c r="AL314" t="s">
        <v>2993</v>
      </c>
      <c r="AM314" t="s">
        <v>2994</v>
      </c>
      <c r="AN314" t="s">
        <v>2995</v>
      </c>
      <c r="AO314" t="s">
        <v>2996</v>
      </c>
      <c r="AP314" t="s">
        <v>2997</v>
      </c>
      <c r="AQ314" t="s">
        <v>2998</v>
      </c>
      <c r="AR314" t="s">
        <v>2999</v>
      </c>
      <c r="AS314" t="s">
        <v>3000</v>
      </c>
    </row>
    <row r="315" spans="1:45" x14ac:dyDescent="0.45">
      <c r="A315">
        <v>314</v>
      </c>
      <c r="B315">
        <v>2304</v>
      </c>
      <c r="C315" t="s">
        <v>72</v>
      </c>
      <c r="D315" t="s">
        <v>188</v>
      </c>
      <c r="E315" t="s">
        <v>74</v>
      </c>
      <c r="F315" t="s">
        <v>77</v>
      </c>
      <c r="G315" t="s">
        <v>76</v>
      </c>
      <c r="H315">
        <v>16.669427799534606</v>
      </c>
      <c r="I315">
        <v>0</v>
      </c>
      <c r="J315">
        <v>7</v>
      </c>
      <c r="K315">
        <v>7</v>
      </c>
      <c r="L315">
        <v>0</v>
      </c>
      <c r="M315">
        <v>8</v>
      </c>
      <c r="N315">
        <v>8</v>
      </c>
      <c r="O315">
        <v>0</v>
      </c>
      <c r="P315">
        <v>6</v>
      </c>
      <c r="Q315">
        <v>8</v>
      </c>
      <c r="R315">
        <v>-2</v>
      </c>
      <c r="S315">
        <v>5</v>
      </c>
      <c r="T315">
        <v>8</v>
      </c>
      <c r="U315">
        <v>-3</v>
      </c>
      <c r="V315">
        <v>8</v>
      </c>
      <c r="W315">
        <v>5</v>
      </c>
      <c r="X315">
        <v>3</v>
      </c>
      <c r="Y315">
        <v>3</v>
      </c>
      <c r="Z315">
        <v>8</v>
      </c>
      <c r="AA315">
        <v>-5</v>
      </c>
      <c r="AB315">
        <v>7</v>
      </c>
      <c r="AC315">
        <v>6</v>
      </c>
      <c r="AD315">
        <v>1</v>
      </c>
      <c r="AE315">
        <v>6</v>
      </c>
      <c r="AF315">
        <v>6</v>
      </c>
      <c r="AG315">
        <v>0</v>
      </c>
      <c r="AI315">
        <v>8</v>
      </c>
      <c r="AK315" t="s">
        <v>3001</v>
      </c>
      <c r="AL315" t="s">
        <v>3002</v>
      </c>
      <c r="AM315" t="s">
        <v>3003</v>
      </c>
      <c r="AN315" t="s">
        <v>3004</v>
      </c>
      <c r="AO315" t="s">
        <v>3005</v>
      </c>
      <c r="AP315" t="s">
        <v>3006</v>
      </c>
      <c r="AQ315" t="s">
        <v>3007</v>
      </c>
      <c r="AR315" t="s">
        <v>3008</v>
      </c>
      <c r="AS315" t="s">
        <v>216</v>
      </c>
    </row>
    <row r="316" spans="1:45" x14ac:dyDescent="0.45">
      <c r="A316">
        <v>315</v>
      </c>
      <c r="B316">
        <v>2305</v>
      </c>
      <c r="C316" t="s">
        <v>78</v>
      </c>
      <c r="D316" t="s">
        <v>188</v>
      </c>
      <c r="E316" t="s">
        <v>74</v>
      </c>
      <c r="F316" t="s">
        <v>77</v>
      </c>
      <c r="G316" t="s">
        <v>76</v>
      </c>
      <c r="H316">
        <v>18.646241298108148</v>
      </c>
      <c r="I316">
        <v>0</v>
      </c>
      <c r="J316">
        <v>7</v>
      </c>
      <c r="K316">
        <v>4</v>
      </c>
      <c r="L316">
        <v>3</v>
      </c>
      <c r="M316">
        <v>8</v>
      </c>
      <c r="N316">
        <v>5</v>
      </c>
      <c r="O316">
        <v>3</v>
      </c>
      <c r="P316">
        <v>9</v>
      </c>
      <c r="Q316">
        <v>5</v>
      </c>
      <c r="R316">
        <v>4</v>
      </c>
      <c r="S316">
        <v>8</v>
      </c>
      <c r="T316">
        <v>7</v>
      </c>
      <c r="U316">
        <v>1</v>
      </c>
      <c r="V316">
        <v>9</v>
      </c>
      <c r="W316">
        <v>5</v>
      </c>
      <c r="X316">
        <v>4</v>
      </c>
      <c r="Y316">
        <v>8</v>
      </c>
      <c r="Z316">
        <v>8</v>
      </c>
      <c r="AA316">
        <v>0</v>
      </c>
      <c r="AB316">
        <v>9</v>
      </c>
      <c r="AC316">
        <v>5</v>
      </c>
      <c r="AD316">
        <v>4</v>
      </c>
      <c r="AE316">
        <v>6</v>
      </c>
      <c r="AF316">
        <v>6</v>
      </c>
      <c r="AG316">
        <v>0</v>
      </c>
      <c r="AH316">
        <v>9</v>
      </c>
      <c r="AI316">
        <v>8</v>
      </c>
      <c r="AJ316">
        <v>1</v>
      </c>
      <c r="AK316" t="s">
        <v>3009</v>
      </c>
      <c r="AL316" t="s">
        <v>3010</v>
      </c>
      <c r="AM316" t="s">
        <v>3011</v>
      </c>
      <c r="AN316" t="s">
        <v>3012</v>
      </c>
      <c r="AO316" t="s">
        <v>3013</v>
      </c>
      <c r="AP316" t="s">
        <v>3014</v>
      </c>
      <c r="AQ316" t="s">
        <v>3015</v>
      </c>
      <c r="AR316" t="s">
        <v>3016</v>
      </c>
      <c r="AS316" t="s">
        <v>3017</v>
      </c>
    </row>
    <row r="317" spans="1:45" x14ac:dyDescent="0.45">
      <c r="A317">
        <v>316</v>
      </c>
      <c r="B317">
        <v>2306</v>
      </c>
      <c r="C317" t="s">
        <v>72</v>
      </c>
      <c r="D317" t="s">
        <v>81</v>
      </c>
      <c r="E317" t="s">
        <v>74</v>
      </c>
      <c r="F317" t="s">
        <v>77</v>
      </c>
      <c r="G317" t="s">
        <v>76</v>
      </c>
      <c r="H317">
        <v>30.586055792254186</v>
      </c>
      <c r="I317">
        <v>0</v>
      </c>
      <c r="J317">
        <v>7</v>
      </c>
      <c r="K317">
        <v>6</v>
      </c>
      <c r="L317">
        <v>1</v>
      </c>
      <c r="M317">
        <v>6</v>
      </c>
      <c r="N317">
        <v>8</v>
      </c>
      <c r="O317">
        <v>-2</v>
      </c>
      <c r="P317">
        <v>8</v>
      </c>
      <c r="Q317">
        <v>5</v>
      </c>
      <c r="R317">
        <v>3</v>
      </c>
      <c r="S317">
        <v>7</v>
      </c>
      <c r="T317">
        <v>6</v>
      </c>
      <c r="U317">
        <v>1</v>
      </c>
      <c r="V317">
        <v>6</v>
      </c>
      <c r="W317">
        <v>6</v>
      </c>
      <c r="X317">
        <v>0</v>
      </c>
      <c r="Y317">
        <v>5</v>
      </c>
      <c r="Z317">
        <v>7</v>
      </c>
      <c r="AA317">
        <v>-2</v>
      </c>
      <c r="AB317">
        <v>6</v>
      </c>
      <c r="AC317">
        <v>6</v>
      </c>
      <c r="AD317">
        <v>0</v>
      </c>
      <c r="AE317">
        <v>5</v>
      </c>
      <c r="AF317">
        <v>7</v>
      </c>
      <c r="AG317">
        <v>-2</v>
      </c>
      <c r="AH317">
        <v>6</v>
      </c>
      <c r="AI317">
        <v>7</v>
      </c>
      <c r="AJ317">
        <v>-1</v>
      </c>
      <c r="AK317" t="s">
        <v>3018</v>
      </c>
      <c r="AL317" t="s">
        <v>3019</v>
      </c>
      <c r="AM317" t="s">
        <v>3020</v>
      </c>
      <c r="AN317" t="s">
        <v>3021</v>
      </c>
      <c r="AO317" t="s">
        <v>3022</v>
      </c>
      <c r="AP317" t="s">
        <v>3023</v>
      </c>
      <c r="AQ317" t="s">
        <v>3024</v>
      </c>
      <c r="AR317" t="s">
        <v>3025</v>
      </c>
      <c r="AS317" t="s">
        <v>3026</v>
      </c>
    </row>
    <row r="318" spans="1:45" x14ac:dyDescent="0.45">
      <c r="A318">
        <v>317</v>
      </c>
      <c r="B318">
        <v>2307</v>
      </c>
      <c r="C318" t="s">
        <v>72</v>
      </c>
      <c r="D318" t="s">
        <v>188</v>
      </c>
      <c r="E318" t="s">
        <v>74</v>
      </c>
      <c r="F318" t="s">
        <v>77</v>
      </c>
      <c r="G318" t="s">
        <v>76</v>
      </c>
      <c r="H318">
        <v>13.614504885833528</v>
      </c>
      <c r="I318">
        <v>0</v>
      </c>
      <c r="J318">
        <v>5</v>
      </c>
      <c r="K318">
        <v>7</v>
      </c>
      <c r="L318">
        <v>-2</v>
      </c>
      <c r="M318">
        <v>6</v>
      </c>
      <c r="N318">
        <v>7</v>
      </c>
      <c r="O318">
        <v>-1</v>
      </c>
      <c r="P318">
        <v>7</v>
      </c>
      <c r="Q318">
        <v>5</v>
      </c>
      <c r="R318">
        <v>2</v>
      </c>
      <c r="S318">
        <v>8</v>
      </c>
      <c r="T318">
        <v>8</v>
      </c>
      <c r="U318">
        <v>0</v>
      </c>
      <c r="V318">
        <v>7</v>
      </c>
      <c r="W318">
        <v>5</v>
      </c>
      <c r="X318">
        <v>2</v>
      </c>
      <c r="Y318">
        <v>8</v>
      </c>
      <c r="Z318">
        <v>8</v>
      </c>
      <c r="AA318">
        <v>0</v>
      </c>
      <c r="AB318">
        <v>7</v>
      </c>
      <c r="AC318">
        <v>5</v>
      </c>
      <c r="AD318">
        <v>2</v>
      </c>
      <c r="AE318">
        <v>6</v>
      </c>
      <c r="AF318">
        <v>7</v>
      </c>
      <c r="AG318">
        <v>-1</v>
      </c>
      <c r="AH318">
        <v>8</v>
      </c>
      <c r="AI318">
        <v>8</v>
      </c>
      <c r="AJ318">
        <v>0</v>
      </c>
      <c r="AK318" t="s">
        <v>3027</v>
      </c>
      <c r="AL318" t="s">
        <v>3028</v>
      </c>
      <c r="AM318" t="s">
        <v>3029</v>
      </c>
      <c r="AN318" t="s">
        <v>3030</v>
      </c>
      <c r="AO318" t="s">
        <v>3031</v>
      </c>
      <c r="AP318" t="s">
        <v>3032</v>
      </c>
      <c r="AQ318" t="s">
        <v>3033</v>
      </c>
      <c r="AR318" t="s">
        <v>3034</v>
      </c>
      <c r="AS318" t="s">
        <v>3035</v>
      </c>
    </row>
    <row r="319" spans="1:45" x14ac:dyDescent="0.45">
      <c r="A319">
        <v>318</v>
      </c>
      <c r="B319">
        <v>2308</v>
      </c>
      <c r="C319" t="s">
        <v>72</v>
      </c>
      <c r="D319" t="s">
        <v>81</v>
      </c>
      <c r="E319" t="s">
        <v>74</v>
      </c>
      <c r="F319" t="s">
        <v>75</v>
      </c>
      <c r="G319" t="s">
        <v>76</v>
      </c>
      <c r="H319">
        <v>21.386217368159549</v>
      </c>
      <c r="I319">
        <v>0</v>
      </c>
      <c r="J319">
        <v>7</v>
      </c>
      <c r="K319">
        <v>4</v>
      </c>
      <c r="L319">
        <v>3</v>
      </c>
      <c r="M319">
        <v>6</v>
      </c>
      <c r="N319">
        <v>4</v>
      </c>
      <c r="O319">
        <v>2</v>
      </c>
      <c r="P319">
        <v>8</v>
      </c>
      <c r="Q319">
        <v>6</v>
      </c>
      <c r="R319">
        <v>2</v>
      </c>
      <c r="S319">
        <v>9</v>
      </c>
      <c r="T319">
        <v>7</v>
      </c>
      <c r="U319">
        <v>2</v>
      </c>
      <c r="V319">
        <v>7</v>
      </c>
      <c r="W319">
        <v>5</v>
      </c>
      <c r="X319">
        <v>2</v>
      </c>
      <c r="Y319">
        <v>6</v>
      </c>
      <c r="Z319">
        <v>8</v>
      </c>
      <c r="AA319">
        <v>-2</v>
      </c>
      <c r="AB319">
        <v>8</v>
      </c>
      <c r="AC319">
        <v>5</v>
      </c>
      <c r="AD319">
        <v>3</v>
      </c>
      <c r="AE319">
        <v>5</v>
      </c>
      <c r="AF319">
        <v>5</v>
      </c>
      <c r="AG319">
        <v>0</v>
      </c>
      <c r="AH319">
        <v>8</v>
      </c>
      <c r="AI319">
        <v>8</v>
      </c>
      <c r="AJ319">
        <v>0</v>
      </c>
      <c r="AK319" t="s">
        <v>3036</v>
      </c>
      <c r="AL319" t="s">
        <v>3037</v>
      </c>
      <c r="AM319" t="s">
        <v>3038</v>
      </c>
      <c r="AN319" t="s">
        <v>3039</v>
      </c>
      <c r="AO319" t="s">
        <v>3040</v>
      </c>
      <c r="AP319" t="s">
        <v>3041</v>
      </c>
      <c r="AQ319" t="s">
        <v>3042</v>
      </c>
      <c r="AR319" t="s">
        <v>3043</v>
      </c>
      <c r="AS319" t="s">
        <v>3044</v>
      </c>
    </row>
    <row r="320" spans="1:45" x14ac:dyDescent="0.45">
      <c r="A320">
        <v>319</v>
      </c>
      <c r="B320">
        <v>2309</v>
      </c>
      <c r="C320" t="s">
        <v>72</v>
      </c>
      <c r="D320" t="s">
        <v>188</v>
      </c>
      <c r="E320" t="s">
        <v>74</v>
      </c>
      <c r="F320" t="s">
        <v>77</v>
      </c>
      <c r="G320" t="s">
        <v>76</v>
      </c>
      <c r="H320">
        <v>15.901916868626156</v>
      </c>
      <c r="I320">
        <v>0</v>
      </c>
      <c r="J320">
        <v>7</v>
      </c>
      <c r="K320">
        <v>8</v>
      </c>
      <c r="L320">
        <v>-1</v>
      </c>
      <c r="M320">
        <v>8</v>
      </c>
      <c r="N320">
        <v>8</v>
      </c>
      <c r="O320">
        <v>0</v>
      </c>
      <c r="P320">
        <v>6</v>
      </c>
      <c r="Q320">
        <v>10</v>
      </c>
      <c r="R320">
        <v>-4</v>
      </c>
      <c r="S320">
        <v>7</v>
      </c>
      <c r="T320">
        <v>10</v>
      </c>
      <c r="U320">
        <v>-3</v>
      </c>
      <c r="V320">
        <v>8</v>
      </c>
      <c r="W320">
        <v>9</v>
      </c>
      <c r="X320">
        <v>-1</v>
      </c>
      <c r="Y320">
        <v>7</v>
      </c>
      <c r="Z320">
        <v>10</v>
      </c>
      <c r="AA320">
        <v>-3</v>
      </c>
      <c r="AB320">
        <v>6</v>
      </c>
      <c r="AC320">
        <v>8</v>
      </c>
      <c r="AD320">
        <v>-2</v>
      </c>
      <c r="AE320">
        <v>7</v>
      </c>
      <c r="AF320">
        <v>8</v>
      </c>
      <c r="AG320">
        <v>-1</v>
      </c>
      <c r="AH320">
        <v>8</v>
      </c>
      <c r="AI320">
        <v>10</v>
      </c>
      <c r="AJ320">
        <v>-2</v>
      </c>
      <c r="AK320" t="s">
        <v>3045</v>
      </c>
      <c r="AL320" t="s">
        <v>3046</v>
      </c>
      <c r="AM320" t="s">
        <v>3047</v>
      </c>
      <c r="AN320" t="s">
        <v>3048</v>
      </c>
      <c r="AO320" t="s">
        <v>3049</v>
      </c>
      <c r="AP320" t="s">
        <v>3050</v>
      </c>
      <c r="AQ320" t="s">
        <v>3051</v>
      </c>
      <c r="AR320" t="s">
        <v>3052</v>
      </c>
      <c r="AS320" t="s">
        <v>3053</v>
      </c>
    </row>
    <row r="321" spans="1:45" x14ac:dyDescent="0.45">
      <c r="A321">
        <v>320</v>
      </c>
      <c r="B321">
        <v>2310</v>
      </c>
      <c r="C321" t="s">
        <v>78</v>
      </c>
      <c r="D321" t="s">
        <v>73</v>
      </c>
      <c r="E321" t="s">
        <v>74</v>
      </c>
      <c r="F321" t="s">
        <v>75</v>
      </c>
      <c r="G321" t="s">
        <v>76</v>
      </c>
      <c r="H321">
        <v>29.341342026175226</v>
      </c>
      <c r="I321">
        <v>0</v>
      </c>
      <c r="J321">
        <v>7</v>
      </c>
      <c r="K321">
        <v>5</v>
      </c>
      <c r="L321">
        <v>2</v>
      </c>
      <c r="M321">
        <v>7</v>
      </c>
      <c r="N321">
        <v>7</v>
      </c>
      <c r="O321">
        <v>0</v>
      </c>
      <c r="P321">
        <v>9</v>
      </c>
      <c r="Q321">
        <v>7</v>
      </c>
      <c r="R321">
        <v>2</v>
      </c>
      <c r="S321">
        <v>8</v>
      </c>
      <c r="T321">
        <v>9</v>
      </c>
      <c r="U321">
        <v>-1</v>
      </c>
      <c r="V321">
        <v>6</v>
      </c>
      <c r="W321">
        <v>5</v>
      </c>
      <c r="X321">
        <v>1</v>
      </c>
      <c r="Y321">
        <v>8</v>
      </c>
      <c r="Z321">
        <v>6</v>
      </c>
      <c r="AA321">
        <v>2</v>
      </c>
      <c r="AB321">
        <v>6</v>
      </c>
      <c r="AC321">
        <v>5</v>
      </c>
      <c r="AD321">
        <v>1</v>
      </c>
      <c r="AE321">
        <v>5</v>
      </c>
      <c r="AF321">
        <v>7</v>
      </c>
      <c r="AG321">
        <v>-2</v>
      </c>
      <c r="AH321">
        <v>7</v>
      </c>
      <c r="AI321">
        <v>7</v>
      </c>
      <c r="AJ321">
        <v>0</v>
      </c>
      <c r="AK321" t="s">
        <v>3054</v>
      </c>
      <c r="AL321" t="s">
        <v>3055</v>
      </c>
      <c r="AM321" t="s">
        <v>3056</v>
      </c>
      <c r="AN321" t="s">
        <v>3057</v>
      </c>
      <c r="AO321" t="s">
        <v>3058</v>
      </c>
      <c r="AP321" t="s">
        <v>3059</v>
      </c>
      <c r="AQ321" t="s">
        <v>3060</v>
      </c>
      <c r="AR321" t="s">
        <v>3061</v>
      </c>
      <c r="AS321" t="s">
        <v>3062</v>
      </c>
    </row>
    <row r="322" spans="1:45" x14ac:dyDescent="0.45">
      <c r="A322">
        <v>321</v>
      </c>
      <c r="B322">
        <v>2311</v>
      </c>
      <c r="C322" t="s">
        <v>72</v>
      </c>
      <c r="D322" t="s">
        <v>188</v>
      </c>
      <c r="E322" t="s">
        <v>74</v>
      </c>
      <c r="F322" t="s">
        <v>77</v>
      </c>
      <c r="G322" t="s">
        <v>76</v>
      </c>
      <c r="H322">
        <v>12.933171919818072</v>
      </c>
      <c r="I322">
        <v>0</v>
      </c>
      <c r="J322">
        <v>8</v>
      </c>
      <c r="K322">
        <v>8</v>
      </c>
      <c r="L322">
        <v>0</v>
      </c>
      <c r="M322">
        <v>7</v>
      </c>
      <c r="N322">
        <v>8</v>
      </c>
      <c r="O322">
        <v>-1</v>
      </c>
      <c r="P322">
        <v>9</v>
      </c>
      <c r="Q322">
        <v>7</v>
      </c>
      <c r="R322">
        <v>2</v>
      </c>
      <c r="S322">
        <v>8</v>
      </c>
      <c r="T322">
        <v>9</v>
      </c>
      <c r="U322">
        <v>-1</v>
      </c>
      <c r="V322">
        <v>9</v>
      </c>
      <c r="W322">
        <v>9</v>
      </c>
      <c r="X322">
        <v>0</v>
      </c>
      <c r="Y322">
        <v>8</v>
      </c>
      <c r="Z322">
        <v>9</v>
      </c>
      <c r="AA322">
        <v>-1</v>
      </c>
      <c r="AB322">
        <v>9</v>
      </c>
      <c r="AC322">
        <v>7</v>
      </c>
      <c r="AD322">
        <v>2</v>
      </c>
      <c r="AE322">
        <v>8</v>
      </c>
      <c r="AF322">
        <v>9</v>
      </c>
      <c r="AG322">
        <v>-1</v>
      </c>
      <c r="AH322">
        <v>9</v>
      </c>
      <c r="AI322">
        <v>9</v>
      </c>
      <c r="AJ322">
        <v>0</v>
      </c>
      <c r="AK322" t="s">
        <v>3063</v>
      </c>
      <c r="AL322" t="s">
        <v>3064</v>
      </c>
      <c r="AM322" t="s">
        <v>3065</v>
      </c>
      <c r="AN322" t="s">
        <v>3066</v>
      </c>
      <c r="AO322" t="s">
        <v>3067</v>
      </c>
      <c r="AP322" t="s">
        <v>3068</v>
      </c>
      <c r="AQ322" t="s">
        <v>3067</v>
      </c>
      <c r="AR322" t="s">
        <v>3069</v>
      </c>
      <c r="AS322" t="s">
        <v>3070</v>
      </c>
    </row>
    <row r="323" spans="1:45" x14ac:dyDescent="0.45">
      <c r="A323">
        <v>322</v>
      </c>
      <c r="B323">
        <v>2312</v>
      </c>
      <c r="C323" t="s">
        <v>78</v>
      </c>
      <c r="D323" t="s">
        <v>81</v>
      </c>
      <c r="E323" t="s">
        <v>74</v>
      </c>
      <c r="F323" t="s">
        <v>77</v>
      </c>
      <c r="G323" t="s">
        <v>76</v>
      </c>
      <c r="H323">
        <v>26.840526521385101</v>
      </c>
      <c r="I323">
        <v>0</v>
      </c>
      <c r="J323">
        <v>6</v>
      </c>
      <c r="K323">
        <v>5</v>
      </c>
      <c r="L323">
        <v>1</v>
      </c>
      <c r="M323">
        <v>7</v>
      </c>
      <c r="N323">
        <v>5</v>
      </c>
      <c r="O323">
        <v>2</v>
      </c>
      <c r="P323">
        <v>5</v>
      </c>
      <c r="Q323">
        <v>5</v>
      </c>
      <c r="R323">
        <v>0</v>
      </c>
      <c r="S323">
        <v>8</v>
      </c>
      <c r="T323">
        <v>7</v>
      </c>
      <c r="U323">
        <v>1</v>
      </c>
      <c r="V323">
        <v>7</v>
      </c>
      <c r="W323">
        <v>5</v>
      </c>
      <c r="X323">
        <v>2</v>
      </c>
      <c r="Y323">
        <v>8</v>
      </c>
      <c r="Z323">
        <v>7</v>
      </c>
      <c r="AA323">
        <v>1</v>
      </c>
      <c r="AB323">
        <v>6</v>
      </c>
      <c r="AC323">
        <v>5</v>
      </c>
      <c r="AD323">
        <v>1</v>
      </c>
      <c r="AE323">
        <v>5</v>
      </c>
      <c r="AF323">
        <v>5</v>
      </c>
      <c r="AG323">
        <v>0</v>
      </c>
      <c r="AH323">
        <v>7</v>
      </c>
      <c r="AI323">
        <v>7</v>
      </c>
      <c r="AJ323">
        <v>0</v>
      </c>
      <c r="AK323" t="s">
        <v>3071</v>
      </c>
      <c r="AL323" t="s">
        <v>3072</v>
      </c>
      <c r="AM323" t="s">
        <v>3073</v>
      </c>
      <c r="AN323" t="s">
        <v>3074</v>
      </c>
      <c r="AO323" t="s">
        <v>3075</v>
      </c>
      <c r="AP323" t="s">
        <v>3076</v>
      </c>
      <c r="AQ323" t="s">
        <v>3077</v>
      </c>
      <c r="AR323" t="s">
        <v>3078</v>
      </c>
      <c r="AS323" t="s">
        <v>3079</v>
      </c>
    </row>
    <row r="324" spans="1:45" x14ac:dyDescent="0.45">
      <c r="A324">
        <v>323</v>
      </c>
      <c r="B324">
        <v>2313</v>
      </c>
      <c r="C324" t="s">
        <v>78</v>
      </c>
      <c r="D324" t="s">
        <v>81</v>
      </c>
      <c r="E324" t="s">
        <v>74</v>
      </c>
      <c r="F324" t="s">
        <v>75</v>
      </c>
      <c r="G324" t="s">
        <v>76</v>
      </c>
      <c r="H324">
        <v>25.672394156601221</v>
      </c>
      <c r="I324">
        <v>0</v>
      </c>
      <c r="J324">
        <v>9</v>
      </c>
      <c r="K324">
        <v>7</v>
      </c>
      <c r="L324">
        <v>2</v>
      </c>
      <c r="M324">
        <v>8</v>
      </c>
      <c r="N324">
        <v>7</v>
      </c>
      <c r="O324">
        <v>1</v>
      </c>
      <c r="P324">
        <v>7</v>
      </c>
      <c r="Q324">
        <v>8</v>
      </c>
      <c r="R324">
        <v>-1</v>
      </c>
      <c r="S324">
        <v>6</v>
      </c>
      <c r="T324">
        <v>8</v>
      </c>
      <c r="U324">
        <v>-2</v>
      </c>
      <c r="V324">
        <v>8</v>
      </c>
      <c r="W324">
        <v>6</v>
      </c>
      <c r="X324">
        <v>2</v>
      </c>
      <c r="Y324">
        <v>7</v>
      </c>
      <c r="Z324">
        <v>7</v>
      </c>
      <c r="AA324">
        <v>0</v>
      </c>
      <c r="AB324">
        <v>7</v>
      </c>
      <c r="AC324">
        <v>6</v>
      </c>
      <c r="AD324">
        <v>1</v>
      </c>
      <c r="AE324">
        <v>6</v>
      </c>
      <c r="AF324">
        <v>7</v>
      </c>
      <c r="AG324">
        <v>-1</v>
      </c>
      <c r="AH324">
        <v>8</v>
      </c>
      <c r="AI324">
        <v>7</v>
      </c>
      <c r="AJ324">
        <v>1</v>
      </c>
      <c r="AK324" t="s">
        <v>3080</v>
      </c>
      <c r="AL324" t="s">
        <v>3081</v>
      </c>
      <c r="AM324" t="s">
        <v>3082</v>
      </c>
      <c r="AN324" t="s">
        <v>3083</v>
      </c>
      <c r="AO324" t="s">
        <v>3084</v>
      </c>
      <c r="AP324" t="s">
        <v>3085</v>
      </c>
      <c r="AQ324" t="s">
        <v>3086</v>
      </c>
      <c r="AR324" t="s">
        <v>3087</v>
      </c>
      <c r="AS324" t="s">
        <v>3088</v>
      </c>
    </row>
    <row r="325" spans="1:45" x14ac:dyDescent="0.45">
      <c r="A325">
        <v>324</v>
      </c>
      <c r="B325">
        <v>2314</v>
      </c>
      <c r="C325" t="s">
        <v>72</v>
      </c>
      <c r="D325" t="s">
        <v>188</v>
      </c>
      <c r="E325" t="s">
        <v>74</v>
      </c>
      <c r="F325" t="s">
        <v>77</v>
      </c>
      <c r="G325" t="s">
        <v>76</v>
      </c>
      <c r="H325">
        <v>12</v>
      </c>
      <c r="I325">
        <v>0</v>
      </c>
      <c r="J325">
        <v>7</v>
      </c>
      <c r="K325">
        <v>7</v>
      </c>
      <c r="L325">
        <v>0</v>
      </c>
      <c r="M325">
        <v>8</v>
      </c>
      <c r="N325">
        <v>7</v>
      </c>
      <c r="O325">
        <v>1</v>
      </c>
      <c r="P325">
        <v>6</v>
      </c>
      <c r="Q325">
        <v>5</v>
      </c>
      <c r="R325">
        <v>1</v>
      </c>
      <c r="S325">
        <v>8</v>
      </c>
      <c r="T325">
        <v>7</v>
      </c>
      <c r="U325">
        <v>1</v>
      </c>
      <c r="V325">
        <v>6</v>
      </c>
      <c r="W325">
        <v>7</v>
      </c>
      <c r="X325">
        <v>-1</v>
      </c>
      <c r="Y325">
        <v>9</v>
      </c>
      <c r="Z325">
        <v>7</v>
      </c>
      <c r="AA325">
        <v>2</v>
      </c>
      <c r="AB325">
        <v>6</v>
      </c>
      <c r="AC325">
        <v>5</v>
      </c>
      <c r="AD325">
        <v>1</v>
      </c>
      <c r="AE325">
        <v>7</v>
      </c>
      <c r="AF325">
        <v>5</v>
      </c>
      <c r="AG325">
        <v>2</v>
      </c>
      <c r="AH325">
        <v>8</v>
      </c>
      <c r="AI325">
        <v>8</v>
      </c>
      <c r="AJ325">
        <v>0</v>
      </c>
      <c r="AK325" t="s">
        <v>3089</v>
      </c>
      <c r="AL325" t="s">
        <v>3090</v>
      </c>
      <c r="AM325" t="s">
        <v>3091</v>
      </c>
      <c r="AN325" t="s">
        <v>3092</v>
      </c>
      <c r="AO325" t="s">
        <v>3093</v>
      </c>
      <c r="AP325" t="s">
        <v>3094</v>
      </c>
      <c r="AQ325" t="s">
        <v>3095</v>
      </c>
      <c r="AR325" t="s">
        <v>3096</v>
      </c>
      <c r="AS325" t="s">
        <v>3097</v>
      </c>
    </row>
    <row r="326" spans="1:45" x14ac:dyDescent="0.45">
      <c r="A326">
        <v>325</v>
      </c>
      <c r="B326">
        <v>2315</v>
      </c>
      <c r="C326" t="s">
        <v>78</v>
      </c>
      <c r="D326" t="s">
        <v>73</v>
      </c>
      <c r="E326" t="s">
        <v>74</v>
      </c>
      <c r="F326" t="s">
        <v>77</v>
      </c>
      <c r="G326" t="s">
        <v>76</v>
      </c>
      <c r="H326">
        <v>32.421696879686671</v>
      </c>
      <c r="I326">
        <v>1</v>
      </c>
      <c r="J326">
        <v>7</v>
      </c>
      <c r="K326">
        <v>2</v>
      </c>
      <c r="L326">
        <v>5</v>
      </c>
      <c r="M326">
        <v>6</v>
      </c>
      <c r="N326">
        <v>2</v>
      </c>
      <c r="O326">
        <v>4</v>
      </c>
      <c r="P326">
        <v>8</v>
      </c>
      <c r="Q326">
        <v>6</v>
      </c>
      <c r="R326">
        <v>2</v>
      </c>
      <c r="S326">
        <v>9</v>
      </c>
      <c r="T326">
        <v>7</v>
      </c>
      <c r="U326">
        <v>2</v>
      </c>
      <c r="V326">
        <v>5</v>
      </c>
      <c r="W326">
        <v>2</v>
      </c>
      <c r="X326">
        <v>3</v>
      </c>
      <c r="Y326">
        <v>6</v>
      </c>
      <c r="Z326">
        <v>5</v>
      </c>
      <c r="AA326">
        <v>1</v>
      </c>
      <c r="AB326">
        <v>4</v>
      </c>
      <c r="AC326">
        <v>5</v>
      </c>
      <c r="AD326">
        <v>-1</v>
      </c>
      <c r="AE326">
        <v>5</v>
      </c>
      <c r="AF326">
        <v>6</v>
      </c>
      <c r="AG326">
        <v>-1</v>
      </c>
      <c r="AH326">
        <v>7</v>
      </c>
      <c r="AI326">
        <v>5</v>
      </c>
      <c r="AJ326">
        <v>2</v>
      </c>
      <c r="AK326" t="s">
        <v>3098</v>
      </c>
      <c r="AL326" t="s">
        <v>3099</v>
      </c>
      <c r="AM326" t="s">
        <v>3100</v>
      </c>
      <c r="AN326" t="s">
        <v>3101</v>
      </c>
      <c r="AO326" t="s">
        <v>3102</v>
      </c>
      <c r="AP326" t="s">
        <v>3103</v>
      </c>
      <c r="AQ326" t="s">
        <v>3104</v>
      </c>
      <c r="AR326" t="s">
        <v>3105</v>
      </c>
      <c r="AS326" t="s">
        <v>3106</v>
      </c>
    </row>
    <row r="327" spans="1:45" x14ac:dyDescent="0.45">
      <c r="A327">
        <v>326</v>
      </c>
      <c r="B327">
        <v>2316</v>
      </c>
      <c r="C327" t="s">
        <v>72</v>
      </c>
      <c r="D327" t="s">
        <v>79</v>
      </c>
      <c r="E327" t="s">
        <v>74</v>
      </c>
      <c r="F327" t="s">
        <v>77</v>
      </c>
      <c r="G327" t="s">
        <v>76</v>
      </c>
      <c r="H327">
        <v>66.599036760439176</v>
      </c>
      <c r="I327">
        <v>2</v>
      </c>
      <c r="J327">
        <v>8</v>
      </c>
      <c r="K327">
        <v>8</v>
      </c>
      <c r="L327">
        <v>0</v>
      </c>
      <c r="M327">
        <v>9</v>
      </c>
      <c r="N327">
        <v>9</v>
      </c>
      <c r="O327">
        <v>0</v>
      </c>
      <c r="P327">
        <v>7</v>
      </c>
      <c r="Q327">
        <v>9</v>
      </c>
      <c r="R327">
        <v>-2</v>
      </c>
      <c r="S327">
        <v>8</v>
      </c>
      <c r="T327">
        <v>10</v>
      </c>
      <c r="U327">
        <v>-2</v>
      </c>
      <c r="V327">
        <v>7</v>
      </c>
      <c r="W327">
        <v>8</v>
      </c>
      <c r="X327">
        <v>-1</v>
      </c>
      <c r="Y327">
        <v>8</v>
      </c>
      <c r="Z327">
        <v>10</v>
      </c>
      <c r="AA327">
        <v>-2</v>
      </c>
      <c r="AB327">
        <v>7</v>
      </c>
      <c r="AC327">
        <v>9</v>
      </c>
      <c r="AD327">
        <v>-2</v>
      </c>
      <c r="AE327">
        <v>6</v>
      </c>
      <c r="AF327">
        <v>9</v>
      </c>
      <c r="AG327">
        <v>-3</v>
      </c>
      <c r="AH327">
        <v>7</v>
      </c>
      <c r="AI327">
        <v>10</v>
      </c>
      <c r="AJ327">
        <v>-3</v>
      </c>
      <c r="AK327" t="s">
        <v>3107</v>
      </c>
      <c r="AL327" t="s">
        <v>3108</v>
      </c>
      <c r="AM327" t="s">
        <v>3109</v>
      </c>
      <c r="AN327" t="s">
        <v>3110</v>
      </c>
      <c r="AO327" t="s">
        <v>3111</v>
      </c>
      <c r="AP327" t="s">
        <v>3112</v>
      </c>
      <c r="AQ327" t="s">
        <v>3113</v>
      </c>
      <c r="AR327" t="s">
        <v>3114</v>
      </c>
      <c r="AS327" t="s">
        <v>3115</v>
      </c>
    </row>
    <row r="328" spans="1:45" x14ac:dyDescent="0.45">
      <c r="A328">
        <v>327</v>
      </c>
      <c r="B328">
        <v>2317</v>
      </c>
      <c r="C328" t="s">
        <v>72</v>
      </c>
      <c r="D328" t="s">
        <v>81</v>
      </c>
      <c r="E328" t="s">
        <v>74</v>
      </c>
      <c r="F328" t="s">
        <v>77</v>
      </c>
      <c r="G328" t="s">
        <v>76</v>
      </c>
      <c r="H328">
        <v>21.42524974191797</v>
      </c>
      <c r="I328">
        <v>0</v>
      </c>
      <c r="J328">
        <v>7</v>
      </c>
      <c r="K328">
        <v>7</v>
      </c>
      <c r="L328">
        <v>0</v>
      </c>
      <c r="M328">
        <v>6</v>
      </c>
      <c r="N328">
        <v>7</v>
      </c>
      <c r="O328">
        <v>-1</v>
      </c>
      <c r="P328">
        <v>5</v>
      </c>
      <c r="Q328">
        <v>7</v>
      </c>
      <c r="R328">
        <v>-2</v>
      </c>
      <c r="S328">
        <v>6</v>
      </c>
      <c r="T328">
        <v>9</v>
      </c>
      <c r="U328">
        <v>-3</v>
      </c>
      <c r="V328">
        <v>7</v>
      </c>
      <c r="W328">
        <v>7</v>
      </c>
      <c r="X328">
        <v>0</v>
      </c>
      <c r="Y328">
        <v>6</v>
      </c>
      <c r="Z328">
        <v>8</v>
      </c>
      <c r="AA328">
        <v>-2</v>
      </c>
      <c r="AB328">
        <v>7</v>
      </c>
      <c r="AC328">
        <v>5</v>
      </c>
      <c r="AD328">
        <v>2</v>
      </c>
      <c r="AE328">
        <v>6</v>
      </c>
      <c r="AF328">
        <v>7</v>
      </c>
      <c r="AG328">
        <v>-1</v>
      </c>
      <c r="AH328">
        <v>7</v>
      </c>
      <c r="AI328">
        <v>8</v>
      </c>
      <c r="AJ328">
        <v>-1</v>
      </c>
      <c r="AK328" t="s">
        <v>3116</v>
      </c>
      <c r="AL328" t="s">
        <v>3117</v>
      </c>
      <c r="AM328" t="s">
        <v>3118</v>
      </c>
      <c r="AN328" t="s">
        <v>3119</v>
      </c>
      <c r="AO328" t="s">
        <v>3120</v>
      </c>
      <c r="AP328" t="s">
        <v>3121</v>
      </c>
      <c r="AQ328" t="s">
        <v>3122</v>
      </c>
      <c r="AR328" t="s">
        <v>3123</v>
      </c>
      <c r="AS328" t="s">
        <v>3124</v>
      </c>
    </row>
    <row r="329" spans="1:45" x14ac:dyDescent="0.45">
      <c r="A329">
        <v>328</v>
      </c>
      <c r="B329">
        <v>2318</v>
      </c>
      <c r="C329" t="s">
        <v>78</v>
      </c>
      <c r="D329" t="s">
        <v>79</v>
      </c>
      <c r="E329" t="s">
        <v>74</v>
      </c>
      <c r="F329" t="s">
        <v>75</v>
      </c>
      <c r="G329" t="s">
        <v>76</v>
      </c>
      <c r="H329">
        <v>90.960749809410544</v>
      </c>
      <c r="I329">
        <v>3</v>
      </c>
      <c r="J329">
        <v>7</v>
      </c>
      <c r="K329">
        <v>7</v>
      </c>
      <c r="L329">
        <v>0</v>
      </c>
      <c r="M329">
        <v>8</v>
      </c>
      <c r="N329">
        <v>8</v>
      </c>
      <c r="O329">
        <v>0</v>
      </c>
      <c r="P329">
        <v>9</v>
      </c>
      <c r="Q329">
        <v>9</v>
      </c>
      <c r="R329">
        <v>0</v>
      </c>
      <c r="S329">
        <v>7</v>
      </c>
      <c r="T329">
        <v>9</v>
      </c>
      <c r="U329">
        <v>-2</v>
      </c>
      <c r="V329">
        <v>8</v>
      </c>
      <c r="W329">
        <v>9</v>
      </c>
      <c r="X329">
        <v>-1</v>
      </c>
      <c r="Y329">
        <v>6</v>
      </c>
      <c r="Z329">
        <v>8</v>
      </c>
      <c r="AA329">
        <v>-2</v>
      </c>
      <c r="AB329">
        <v>7</v>
      </c>
      <c r="AC329">
        <v>7</v>
      </c>
      <c r="AD329">
        <v>0</v>
      </c>
      <c r="AE329">
        <v>5</v>
      </c>
      <c r="AF329">
        <v>7</v>
      </c>
      <c r="AG329">
        <v>-2</v>
      </c>
      <c r="AH329">
        <v>6</v>
      </c>
      <c r="AI329">
        <v>9</v>
      </c>
      <c r="AJ329">
        <v>-3</v>
      </c>
      <c r="AK329" t="s">
        <v>3125</v>
      </c>
      <c r="AL329" t="s">
        <v>3126</v>
      </c>
      <c r="AM329" t="s">
        <v>3127</v>
      </c>
      <c r="AN329" t="s">
        <v>3128</v>
      </c>
      <c r="AO329" t="s">
        <v>3129</v>
      </c>
      <c r="AP329" t="s">
        <v>3130</v>
      </c>
      <c r="AQ329" t="s">
        <v>3131</v>
      </c>
      <c r="AR329" t="s">
        <v>3132</v>
      </c>
      <c r="AS329" t="s">
        <v>3133</v>
      </c>
    </row>
    <row r="330" spans="1:45" x14ac:dyDescent="0.45">
      <c r="A330">
        <v>329</v>
      </c>
      <c r="B330">
        <v>2319</v>
      </c>
      <c r="C330" t="s">
        <v>72</v>
      </c>
      <c r="D330" t="s">
        <v>81</v>
      </c>
      <c r="E330" t="s">
        <v>74</v>
      </c>
      <c r="F330" t="s">
        <v>77</v>
      </c>
      <c r="G330" t="s">
        <v>76</v>
      </c>
      <c r="H330">
        <v>16.728174054891092</v>
      </c>
      <c r="I330">
        <v>0</v>
      </c>
      <c r="J330">
        <v>8</v>
      </c>
      <c r="K330">
        <v>7</v>
      </c>
      <c r="L330">
        <v>1</v>
      </c>
      <c r="M330">
        <v>7</v>
      </c>
      <c r="N330">
        <v>7</v>
      </c>
      <c r="O330">
        <v>0</v>
      </c>
      <c r="P330">
        <v>9</v>
      </c>
      <c r="Q330">
        <v>9</v>
      </c>
      <c r="R330">
        <v>0</v>
      </c>
      <c r="S330">
        <v>8</v>
      </c>
      <c r="T330">
        <v>9</v>
      </c>
      <c r="U330">
        <v>-1</v>
      </c>
      <c r="V330">
        <v>9</v>
      </c>
      <c r="W330">
        <v>9</v>
      </c>
      <c r="X330">
        <v>0</v>
      </c>
      <c r="Y330">
        <v>8</v>
      </c>
      <c r="Z330">
        <v>9</v>
      </c>
      <c r="AA330">
        <v>-1</v>
      </c>
      <c r="AB330">
        <v>8</v>
      </c>
      <c r="AC330">
        <v>5</v>
      </c>
      <c r="AD330">
        <v>3</v>
      </c>
      <c r="AE330">
        <v>7</v>
      </c>
      <c r="AF330">
        <v>6</v>
      </c>
      <c r="AG330">
        <v>1</v>
      </c>
      <c r="AH330">
        <v>7</v>
      </c>
      <c r="AI330">
        <v>9</v>
      </c>
      <c r="AJ330">
        <v>-2</v>
      </c>
      <c r="AK330" t="s">
        <v>3134</v>
      </c>
      <c r="AL330" t="s">
        <v>3135</v>
      </c>
      <c r="AM330" t="s">
        <v>3136</v>
      </c>
      <c r="AN330" t="s">
        <v>3137</v>
      </c>
      <c r="AO330" t="s">
        <v>3138</v>
      </c>
      <c r="AP330" t="s">
        <v>3139</v>
      </c>
      <c r="AQ330" t="s">
        <v>3140</v>
      </c>
      <c r="AR330" t="s">
        <v>3141</v>
      </c>
      <c r="AS330" t="s">
        <v>3142</v>
      </c>
    </row>
    <row r="331" spans="1:45" x14ac:dyDescent="0.45">
      <c r="A331">
        <v>330</v>
      </c>
      <c r="B331">
        <v>2320</v>
      </c>
      <c r="C331" t="s">
        <v>78</v>
      </c>
      <c r="D331" t="s">
        <v>188</v>
      </c>
      <c r="E331" t="s">
        <v>74</v>
      </c>
      <c r="F331" t="s">
        <v>77</v>
      </c>
      <c r="G331" t="s">
        <v>76</v>
      </c>
      <c r="H331">
        <v>12.050702345928158</v>
      </c>
      <c r="I331">
        <v>0</v>
      </c>
      <c r="J331">
        <v>8</v>
      </c>
      <c r="K331">
        <v>3</v>
      </c>
      <c r="L331">
        <v>5</v>
      </c>
      <c r="M331">
        <v>7</v>
      </c>
      <c r="N331">
        <v>3</v>
      </c>
      <c r="O331">
        <v>4</v>
      </c>
      <c r="P331">
        <v>9</v>
      </c>
      <c r="Q331">
        <v>5</v>
      </c>
      <c r="R331">
        <v>4</v>
      </c>
      <c r="S331">
        <v>8</v>
      </c>
      <c r="T331">
        <v>6</v>
      </c>
      <c r="U331">
        <v>2</v>
      </c>
      <c r="V331">
        <v>7</v>
      </c>
      <c r="W331">
        <v>4</v>
      </c>
      <c r="X331">
        <v>3</v>
      </c>
      <c r="Y331">
        <v>7</v>
      </c>
      <c r="Z331">
        <v>5</v>
      </c>
      <c r="AA331">
        <v>2</v>
      </c>
      <c r="AB331">
        <v>6</v>
      </c>
      <c r="AC331">
        <v>5</v>
      </c>
      <c r="AD331">
        <v>1</v>
      </c>
      <c r="AE331">
        <v>7</v>
      </c>
      <c r="AF331">
        <v>5</v>
      </c>
      <c r="AG331">
        <v>2</v>
      </c>
      <c r="AH331">
        <v>7</v>
      </c>
      <c r="AI331">
        <v>5</v>
      </c>
      <c r="AJ331">
        <v>2</v>
      </c>
      <c r="AK331" t="s">
        <v>3143</v>
      </c>
      <c r="AL331" t="s">
        <v>3144</v>
      </c>
      <c r="AM331" t="s">
        <v>3145</v>
      </c>
      <c r="AN331" t="s">
        <v>3146</v>
      </c>
      <c r="AO331" t="s">
        <v>3147</v>
      </c>
      <c r="AP331" t="s">
        <v>3148</v>
      </c>
      <c r="AQ331" t="s">
        <v>3149</v>
      </c>
      <c r="AR331" t="s">
        <v>3150</v>
      </c>
      <c r="AS331" t="s">
        <v>3151</v>
      </c>
    </row>
    <row r="332" spans="1:45" x14ac:dyDescent="0.45">
      <c r="A332">
        <v>331</v>
      </c>
      <c r="B332">
        <v>2321</v>
      </c>
      <c r="C332" t="s">
        <v>78</v>
      </c>
      <c r="D332" t="s">
        <v>73</v>
      </c>
      <c r="E332" t="s">
        <v>74</v>
      </c>
      <c r="F332" t="s">
        <v>77</v>
      </c>
      <c r="G332" t="s">
        <v>76</v>
      </c>
      <c r="H332">
        <v>25.593949633815651</v>
      </c>
      <c r="I332">
        <v>1</v>
      </c>
      <c r="J332">
        <v>6</v>
      </c>
      <c r="K332">
        <v>4</v>
      </c>
      <c r="L332">
        <v>2</v>
      </c>
      <c r="M332">
        <v>7</v>
      </c>
      <c r="N332">
        <v>4</v>
      </c>
      <c r="O332">
        <v>3</v>
      </c>
      <c r="P332">
        <v>8</v>
      </c>
      <c r="Q332">
        <v>5</v>
      </c>
      <c r="R332">
        <v>3</v>
      </c>
      <c r="S332">
        <v>9</v>
      </c>
      <c r="T332">
        <v>6</v>
      </c>
      <c r="U332">
        <v>3</v>
      </c>
      <c r="V332">
        <v>7</v>
      </c>
      <c r="W332">
        <v>4</v>
      </c>
      <c r="X332">
        <v>3</v>
      </c>
      <c r="Y332">
        <v>6</v>
      </c>
      <c r="Z332">
        <v>5</v>
      </c>
      <c r="AA332">
        <v>1</v>
      </c>
      <c r="AB332">
        <v>5</v>
      </c>
      <c r="AC332">
        <v>3</v>
      </c>
      <c r="AD332">
        <v>2</v>
      </c>
      <c r="AE332">
        <v>6</v>
      </c>
      <c r="AF332">
        <v>4</v>
      </c>
      <c r="AG332">
        <v>2</v>
      </c>
      <c r="AH332">
        <v>8</v>
      </c>
      <c r="AI332">
        <v>5</v>
      </c>
      <c r="AJ332">
        <v>3</v>
      </c>
      <c r="AK332" t="s">
        <v>3152</v>
      </c>
      <c r="AL332" t="s">
        <v>3153</v>
      </c>
      <c r="AM332" t="s">
        <v>3154</v>
      </c>
      <c r="AN332" t="s">
        <v>3155</v>
      </c>
      <c r="AO332" t="s">
        <v>3156</v>
      </c>
      <c r="AP332" t="s">
        <v>3157</v>
      </c>
      <c r="AQ332" t="s">
        <v>3158</v>
      </c>
      <c r="AR332" t="s">
        <v>3159</v>
      </c>
      <c r="AS332" t="s">
        <v>3160</v>
      </c>
    </row>
    <row r="333" spans="1:45" x14ac:dyDescent="0.45">
      <c r="A333">
        <v>332</v>
      </c>
      <c r="B333">
        <v>2322</v>
      </c>
      <c r="C333" t="s">
        <v>72</v>
      </c>
      <c r="D333" t="s">
        <v>188</v>
      </c>
      <c r="E333" t="s">
        <v>74</v>
      </c>
      <c r="F333" t="s">
        <v>77</v>
      </c>
      <c r="G333" t="s">
        <v>76</v>
      </c>
      <c r="H333">
        <v>19.930764889106943</v>
      </c>
      <c r="I333">
        <v>0</v>
      </c>
      <c r="J333">
        <v>7</v>
      </c>
      <c r="K333">
        <v>7</v>
      </c>
      <c r="L333">
        <v>0</v>
      </c>
      <c r="M333">
        <v>6</v>
      </c>
      <c r="N333">
        <v>7</v>
      </c>
      <c r="O333">
        <v>-1</v>
      </c>
      <c r="P333">
        <v>8</v>
      </c>
      <c r="Q333">
        <v>9</v>
      </c>
      <c r="R333">
        <v>-1</v>
      </c>
      <c r="S333">
        <v>9</v>
      </c>
      <c r="T333">
        <v>9</v>
      </c>
      <c r="U333">
        <v>0</v>
      </c>
      <c r="V333">
        <v>7</v>
      </c>
      <c r="W333">
        <v>8</v>
      </c>
      <c r="X333">
        <v>-1</v>
      </c>
      <c r="Y333">
        <v>8</v>
      </c>
      <c r="Z333">
        <v>9</v>
      </c>
      <c r="AA333">
        <v>-1</v>
      </c>
      <c r="AB333">
        <v>7</v>
      </c>
      <c r="AC333">
        <v>7</v>
      </c>
      <c r="AD333">
        <v>0</v>
      </c>
      <c r="AE333">
        <v>6</v>
      </c>
      <c r="AF333">
        <v>9</v>
      </c>
      <c r="AG333">
        <v>-3</v>
      </c>
      <c r="AH333">
        <v>9</v>
      </c>
      <c r="AI333">
        <v>9</v>
      </c>
      <c r="AJ333">
        <v>0</v>
      </c>
      <c r="AK333" t="s">
        <v>3161</v>
      </c>
      <c r="AL333" t="s">
        <v>3162</v>
      </c>
      <c r="AM333" t="s">
        <v>3163</v>
      </c>
      <c r="AN333" t="s">
        <v>3164</v>
      </c>
      <c r="AO333" t="s">
        <v>3165</v>
      </c>
      <c r="AP333" t="s">
        <v>3166</v>
      </c>
      <c r="AQ333" t="s">
        <v>3167</v>
      </c>
      <c r="AR333" t="s">
        <v>3168</v>
      </c>
      <c r="AS333" t="s">
        <v>3169</v>
      </c>
    </row>
    <row r="334" spans="1:45" x14ac:dyDescent="0.45">
      <c r="A334">
        <v>333</v>
      </c>
      <c r="B334">
        <v>2323</v>
      </c>
      <c r="C334" t="s">
        <v>78</v>
      </c>
      <c r="D334" t="s">
        <v>79</v>
      </c>
      <c r="E334" t="s">
        <v>74</v>
      </c>
      <c r="F334" t="s">
        <v>75</v>
      </c>
      <c r="G334" t="s">
        <v>76</v>
      </c>
      <c r="H334">
        <v>71.918773550044762</v>
      </c>
      <c r="I334">
        <v>1</v>
      </c>
      <c r="J334">
        <v>7</v>
      </c>
      <c r="K334">
        <v>6</v>
      </c>
      <c r="L334">
        <v>1</v>
      </c>
      <c r="M334">
        <v>8</v>
      </c>
      <c r="N334">
        <v>6</v>
      </c>
      <c r="O334">
        <v>2</v>
      </c>
      <c r="P334">
        <v>6</v>
      </c>
      <c r="Q334">
        <v>8</v>
      </c>
      <c r="R334">
        <v>-2</v>
      </c>
      <c r="S334">
        <v>7</v>
      </c>
      <c r="T334">
        <v>8</v>
      </c>
      <c r="U334">
        <v>-1</v>
      </c>
      <c r="V334">
        <v>6</v>
      </c>
      <c r="W334">
        <v>6</v>
      </c>
      <c r="X334">
        <v>0</v>
      </c>
      <c r="Y334">
        <v>5</v>
      </c>
      <c r="Z334">
        <v>7</v>
      </c>
      <c r="AA334">
        <v>-2</v>
      </c>
      <c r="AB334">
        <v>6</v>
      </c>
      <c r="AC334">
        <v>6</v>
      </c>
      <c r="AD334">
        <v>0</v>
      </c>
      <c r="AE334">
        <v>5</v>
      </c>
      <c r="AF334">
        <v>7</v>
      </c>
      <c r="AG334">
        <v>-2</v>
      </c>
      <c r="AH334">
        <v>5</v>
      </c>
      <c r="AI334">
        <v>7</v>
      </c>
      <c r="AJ334">
        <v>-2</v>
      </c>
      <c r="AK334" t="s">
        <v>3170</v>
      </c>
      <c r="AL334" t="s">
        <v>3171</v>
      </c>
      <c r="AM334" t="s">
        <v>3172</v>
      </c>
      <c r="AN334" t="s">
        <v>3173</v>
      </c>
      <c r="AO334" t="s">
        <v>3174</v>
      </c>
      <c r="AP334" t="s">
        <v>3175</v>
      </c>
      <c r="AQ334" t="s">
        <v>3176</v>
      </c>
      <c r="AR334" t="s">
        <v>3177</v>
      </c>
      <c r="AS334" t="s">
        <v>3178</v>
      </c>
    </row>
    <row r="335" spans="1:45" x14ac:dyDescent="0.45">
      <c r="A335">
        <v>334</v>
      </c>
      <c r="B335">
        <v>2324</v>
      </c>
      <c r="C335" t="s">
        <v>72</v>
      </c>
      <c r="D335" t="s">
        <v>190</v>
      </c>
      <c r="E335" t="s">
        <v>74</v>
      </c>
      <c r="F335" t="s">
        <v>75</v>
      </c>
      <c r="G335" t="s">
        <v>161</v>
      </c>
      <c r="H335">
        <v>234.60689954896262</v>
      </c>
      <c r="I335">
        <v>3</v>
      </c>
      <c r="J335">
        <v>7</v>
      </c>
      <c r="K335">
        <v>2</v>
      </c>
      <c r="L335">
        <v>5</v>
      </c>
      <c r="M335">
        <v>8</v>
      </c>
      <c r="N335">
        <v>2</v>
      </c>
      <c r="O335">
        <v>6</v>
      </c>
      <c r="P335">
        <v>9</v>
      </c>
      <c r="Q335">
        <v>3</v>
      </c>
      <c r="R335">
        <v>6</v>
      </c>
      <c r="S335">
        <v>8</v>
      </c>
      <c r="T335">
        <v>5</v>
      </c>
      <c r="U335">
        <v>3</v>
      </c>
      <c r="V335">
        <v>7</v>
      </c>
      <c r="W335">
        <v>1</v>
      </c>
      <c r="X335">
        <v>6</v>
      </c>
      <c r="Y335">
        <v>6</v>
      </c>
      <c r="Z335">
        <v>1</v>
      </c>
      <c r="AA335">
        <v>5</v>
      </c>
      <c r="AB335">
        <v>5</v>
      </c>
      <c r="AC335">
        <v>1</v>
      </c>
      <c r="AD335">
        <v>4</v>
      </c>
      <c r="AE335">
        <v>6</v>
      </c>
      <c r="AF335">
        <v>3</v>
      </c>
      <c r="AG335">
        <v>3</v>
      </c>
      <c r="AH335">
        <v>7</v>
      </c>
      <c r="AI335">
        <v>1</v>
      </c>
      <c r="AJ335">
        <v>6</v>
      </c>
      <c r="AK335" t="s">
        <v>3179</v>
      </c>
      <c r="AL335" t="s">
        <v>3180</v>
      </c>
      <c r="AM335" t="s">
        <v>3181</v>
      </c>
      <c r="AN335" t="s">
        <v>3182</v>
      </c>
      <c r="AO335" t="s">
        <v>3183</v>
      </c>
      <c r="AP335" t="s">
        <v>3184</v>
      </c>
      <c r="AQ335" t="s">
        <v>3185</v>
      </c>
      <c r="AR335" t="s">
        <v>3186</v>
      </c>
      <c r="AS335" t="s">
        <v>3187</v>
      </c>
    </row>
    <row r="336" spans="1:45" x14ac:dyDescent="0.45">
      <c r="A336">
        <v>335</v>
      </c>
      <c r="B336">
        <v>2325</v>
      </c>
      <c r="C336" t="s">
        <v>78</v>
      </c>
      <c r="D336" t="s">
        <v>188</v>
      </c>
      <c r="E336" t="s">
        <v>74</v>
      </c>
      <c r="F336" t="s">
        <v>77</v>
      </c>
      <c r="G336" t="s">
        <v>76</v>
      </c>
      <c r="H336">
        <v>16.434566267830931</v>
      </c>
      <c r="I336">
        <v>0</v>
      </c>
      <c r="J336">
        <v>8</v>
      </c>
      <c r="K336">
        <v>7</v>
      </c>
      <c r="L336">
        <v>1</v>
      </c>
      <c r="M336">
        <v>7</v>
      </c>
      <c r="N336">
        <v>7</v>
      </c>
      <c r="O336">
        <v>0</v>
      </c>
      <c r="P336">
        <v>9</v>
      </c>
      <c r="Q336">
        <v>8</v>
      </c>
      <c r="R336">
        <v>1</v>
      </c>
      <c r="S336">
        <v>8</v>
      </c>
      <c r="T336">
        <v>10</v>
      </c>
      <c r="U336">
        <v>-2</v>
      </c>
      <c r="V336">
        <v>7</v>
      </c>
      <c r="W336">
        <v>9</v>
      </c>
      <c r="X336">
        <v>-2</v>
      </c>
      <c r="Y336">
        <v>6</v>
      </c>
      <c r="Z336">
        <v>10</v>
      </c>
      <c r="AA336">
        <v>-4</v>
      </c>
      <c r="AB336">
        <v>7</v>
      </c>
      <c r="AC336">
        <v>8</v>
      </c>
      <c r="AD336">
        <v>-1</v>
      </c>
      <c r="AE336">
        <v>5</v>
      </c>
      <c r="AF336">
        <v>8</v>
      </c>
      <c r="AG336">
        <v>-3</v>
      </c>
      <c r="AH336">
        <v>6</v>
      </c>
      <c r="AI336">
        <v>10</v>
      </c>
      <c r="AJ336">
        <v>-4</v>
      </c>
      <c r="AK336" t="s">
        <v>3188</v>
      </c>
      <c r="AL336" t="s">
        <v>3189</v>
      </c>
      <c r="AM336" t="s">
        <v>3190</v>
      </c>
      <c r="AN336" t="s">
        <v>3191</v>
      </c>
      <c r="AO336" t="s">
        <v>3192</v>
      </c>
      <c r="AP336" t="s">
        <v>3193</v>
      </c>
      <c r="AQ336" t="s">
        <v>3194</v>
      </c>
      <c r="AR336" t="s">
        <v>3195</v>
      </c>
      <c r="AS336" t="s">
        <v>3196</v>
      </c>
    </row>
    <row r="337" spans="1:45" x14ac:dyDescent="0.45">
      <c r="A337">
        <v>336</v>
      </c>
      <c r="B337">
        <v>2326</v>
      </c>
      <c r="C337" t="s">
        <v>72</v>
      </c>
      <c r="D337" t="s">
        <v>81</v>
      </c>
      <c r="E337" t="s">
        <v>74</v>
      </c>
      <c r="F337" t="s">
        <v>77</v>
      </c>
      <c r="G337" t="s">
        <v>76</v>
      </c>
      <c r="H337">
        <v>21.539914408558545</v>
      </c>
      <c r="I337">
        <v>0</v>
      </c>
      <c r="J337">
        <v>5</v>
      </c>
      <c r="K337">
        <v>4</v>
      </c>
      <c r="L337">
        <v>1</v>
      </c>
      <c r="M337">
        <v>6</v>
      </c>
      <c r="N337">
        <v>5</v>
      </c>
      <c r="O337">
        <v>1</v>
      </c>
      <c r="P337">
        <v>4</v>
      </c>
      <c r="Q337">
        <v>5</v>
      </c>
      <c r="R337">
        <v>-1</v>
      </c>
      <c r="S337">
        <v>8</v>
      </c>
      <c r="T337">
        <v>6</v>
      </c>
      <c r="U337">
        <v>2</v>
      </c>
      <c r="V337">
        <v>5</v>
      </c>
      <c r="W337">
        <v>5</v>
      </c>
      <c r="X337">
        <v>0</v>
      </c>
      <c r="Y337">
        <v>7</v>
      </c>
      <c r="Z337">
        <v>6</v>
      </c>
      <c r="AA337">
        <v>1</v>
      </c>
      <c r="AB337">
        <v>6</v>
      </c>
      <c r="AC337">
        <v>5</v>
      </c>
      <c r="AD337">
        <v>1</v>
      </c>
      <c r="AE337">
        <v>5</v>
      </c>
      <c r="AF337">
        <v>5</v>
      </c>
      <c r="AG337">
        <v>0</v>
      </c>
      <c r="AH337">
        <v>6</v>
      </c>
      <c r="AI337">
        <v>6</v>
      </c>
      <c r="AJ337">
        <v>0</v>
      </c>
      <c r="AK337" t="s">
        <v>3197</v>
      </c>
      <c r="AL337" t="s">
        <v>3198</v>
      </c>
      <c r="AM337" t="s">
        <v>3199</v>
      </c>
      <c r="AN337" t="s">
        <v>3200</v>
      </c>
      <c r="AO337" t="s">
        <v>3201</v>
      </c>
      <c r="AP337" t="s">
        <v>3202</v>
      </c>
      <c r="AQ337" t="s">
        <v>3203</v>
      </c>
      <c r="AR337" t="s">
        <v>3204</v>
      </c>
      <c r="AS337" t="s">
        <v>3205</v>
      </c>
    </row>
    <row r="338" spans="1:45" x14ac:dyDescent="0.45">
      <c r="A338">
        <v>337</v>
      </c>
      <c r="B338">
        <v>2327</v>
      </c>
      <c r="C338" t="s">
        <v>78</v>
      </c>
      <c r="D338" t="s">
        <v>73</v>
      </c>
      <c r="E338" t="s">
        <v>74</v>
      </c>
      <c r="F338" t="s">
        <v>77</v>
      </c>
      <c r="G338" t="s">
        <v>76</v>
      </c>
      <c r="H338">
        <v>28.625944835947372</v>
      </c>
      <c r="I338">
        <v>0</v>
      </c>
      <c r="J338">
        <v>8</v>
      </c>
      <c r="K338">
        <v>7</v>
      </c>
      <c r="L338">
        <v>1</v>
      </c>
      <c r="M338">
        <v>9</v>
      </c>
      <c r="N338">
        <v>8</v>
      </c>
      <c r="O338">
        <v>1</v>
      </c>
      <c r="P338">
        <v>7</v>
      </c>
      <c r="Q338">
        <v>7</v>
      </c>
      <c r="R338">
        <v>0</v>
      </c>
      <c r="S338">
        <v>8</v>
      </c>
      <c r="T338">
        <v>7</v>
      </c>
      <c r="U338">
        <v>1</v>
      </c>
      <c r="V338">
        <v>7</v>
      </c>
      <c r="W338">
        <v>6</v>
      </c>
      <c r="X338">
        <v>1</v>
      </c>
      <c r="Y338">
        <v>6</v>
      </c>
      <c r="Z338">
        <v>8</v>
      </c>
      <c r="AA338">
        <v>-2</v>
      </c>
      <c r="AB338">
        <v>7</v>
      </c>
      <c r="AC338">
        <v>6</v>
      </c>
      <c r="AD338">
        <v>1</v>
      </c>
      <c r="AE338">
        <v>5</v>
      </c>
      <c r="AF338">
        <v>8</v>
      </c>
      <c r="AG338">
        <v>-3</v>
      </c>
      <c r="AH338">
        <v>7</v>
      </c>
      <c r="AI338">
        <v>8</v>
      </c>
      <c r="AJ338">
        <v>-1</v>
      </c>
      <c r="AK338" t="s">
        <v>3206</v>
      </c>
      <c r="AL338" t="s">
        <v>3207</v>
      </c>
      <c r="AM338" t="s">
        <v>3208</v>
      </c>
      <c r="AN338" t="s">
        <v>3209</v>
      </c>
      <c r="AO338" t="s">
        <v>3210</v>
      </c>
      <c r="AP338" t="s">
        <v>3211</v>
      </c>
      <c r="AQ338" t="s">
        <v>3212</v>
      </c>
      <c r="AR338" t="s">
        <v>3213</v>
      </c>
      <c r="AS338" t="s">
        <v>3214</v>
      </c>
    </row>
    <row r="339" spans="1:45" x14ac:dyDescent="0.45">
      <c r="A339">
        <v>338</v>
      </c>
      <c r="B339">
        <v>2328</v>
      </c>
      <c r="C339" t="s">
        <v>78</v>
      </c>
      <c r="D339" t="s">
        <v>188</v>
      </c>
      <c r="E339" t="s">
        <v>74</v>
      </c>
      <c r="F339" t="s">
        <v>77</v>
      </c>
      <c r="G339" t="s">
        <v>76</v>
      </c>
      <c r="H339">
        <v>16.758565311772529</v>
      </c>
      <c r="I339">
        <v>0</v>
      </c>
      <c r="J339">
        <v>8</v>
      </c>
      <c r="K339">
        <v>8</v>
      </c>
      <c r="L339">
        <v>0</v>
      </c>
      <c r="M339">
        <v>9</v>
      </c>
      <c r="N339">
        <v>8</v>
      </c>
      <c r="O339">
        <v>1</v>
      </c>
      <c r="P339">
        <v>7</v>
      </c>
      <c r="Q339">
        <v>9</v>
      </c>
      <c r="R339">
        <v>-2</v>
      </c>
      <c r="S339">
        <v>8</v>
      </c>
      <c r="T339">
        <v>9</v>
      </c>
      <c r="U339">
        <v>-1</v>
      </c>
      <c r="V339">
        <v>6</v>
      </c>
      <c r="W339">
        <v>8</v>
      </c>
      <c r="X339">
        <v>-2</v>
      </c>
      <c r="Y339">
        <v>7</v>
      </c>
      <c r="Z339">
        <v>9</v>
      </c>
      <c r="AA339">
        <v>-2</v>
      </c>
      <c r="AB339">
        <v>6</v>
      </c>
      <c r="AC339">
        <v>10</v>
      </c>
      <c r="AD339">
        <v>-4</v>
      </c>
      <c r="AE339">
        <v>5</v>
      </c>
      <c r="AF339">
        <v>9</v>
      </c>
      <c r="AG339">
        <v>-4</v>
      </c>
      <c r="AH339">
        <v>4</v>
      </c>
      <c r="AI339">
        <v>10</v>
      </c>
      <c r="AJ339">
        <v>-6</v>
      </c>
      <c r="AK339" t="s">
        <v>3215</v>
      </c>
      <c r="AL339" t="s">
        <v>3216</v>
      </c>
      <c r="AM339" t="s">
        <v>3217</v>
      </c>
      <c r="AN339" t="s">
        <v>3218</v>
      </c>
      <c r="AO339" t="s">
        <v>3219</v>
      </c>
      <c r="AP339" t="s">
        <v>3220</v>
      </c>
      <c r="AQ339" t="s">
        <v>3221</v>
      </c>
      <c r="AR339" t="s">
        <v>3222</v>
      </c>
      <c r="AS339" t="s">
        <v>3223</v>
      </c>
    </row>
    <row r="340" spans="1:45" x14ac:dyDescent="0.45">
      <c r="A340">
        <v>339</v>
      </c>
      <c r="B340">
        <v>2329</v>
      </c>
      <c r="C340" t="s">
        <v>72</v>
      </c>
      <c r="D340" t="s">
        <v>188</v>
      </c>
      <c r="E340" t="s">
        <v>74</v>
      </c>
      <c r="F340" t="s">
        <v>77</v>
      </c>
      <c r="G340" t="s">
        <v>76</v>
      </c>
      <c r="H340">
        <v>14.632622679515956</v>
      </c>
      <c r="I340">
        <v>0</v>
      </c>
      <c r="J340">
        <v>7</v>
      </c>
      <c r="K340">
        <v>7</v>
      </c>
      <c r="L340">
        <v>0</v>
      </c>
      <c r="M340">
        <v>6</v>
      </c>
      <c r="N340">
        <v>7</v>
      </c>
      <c r="O340">
        <v>-1</v>
      </c>
      <c r="P340">
        <v>8</v>
      </c>
      <c r="Q340">
        <v>8</v>
      </c>
      <c r="R340">
        <v>0</v>
      </c>
      <c r="S340">
        <v>9</v>
      </c>
      <c r="T340">
        <v>8</v>
      </c>
      <c r="U340">
        <v>1</v>
      </c>
      <c r="V340">
        <v>8</v>
      </c>
      <c r="W340">
        <v>6</v>
      </c>
      <c r="X340">
        <v>2</v>
      </c>
      <c r="Y340">
        <v>7</v>
      </c>
      <c r="Z340">
        <v>7</v>
      </c>
      <c r="AA340">
        <v>0</v>
      </c>
      <c r="AB340">
        <v>8</v>
      </c>
      <c r="AC340">
        <v>6</v>
      </c>
      <c r="AD340">
        <v>2</v>
      </c>
      <c r="AE340">
        <v>6</v>
      </c>
      <c r="AF340">
        <v>6</v>
      </c>
      <c r="AG340">
        <v>0</v>
      </c>
      <c r="AH340">
        <v>7</v>
      </c>
      <c r="AI340">
        <v>7</v>
      </c>
      <c r="AJ340">
        <v>0</v>
      </c>
      <c r="AK340" t="s">
        <v>3224</v>
      </c>
      <c r="AL340" t="s">
        <v>3225</v>
      </c>
      <c r="AM340" t="s">
        <v>3226</v>
      </c>
      <c r="AN340" t="s">
        <v>3227</v>
      </c>
      <c r="AO340" t="s">
        <v>3228</v>
      </c>
      <c r="AP340" t="s">
        <v>3229</v>
      </c>
      <c r="AQ340" t="s">
        <v>3230</v>
      </c>
      <c r="AR340" t="s">
        <v>3231</v>
      </c>
      <c r="AS340" t="s">
        <v>3232</v>
      </c>
    </row>
    <row r="341" spans="1:45" x14ac:dyDescent="0.45">
      <c r="A341">
        <v>340</v>
      </c>
      <c r="B341">
        <v>2330</v>
      </c>
      <c r="C341" t="s">
        <v>78</v>
      </c>
      <c r="D341" t="s">
        <v>81</v>
      </c>
      <c r="E341" t="s">
        <v>74</v>
      </c>
      <c r="F341" t="s">
        <v>77</v>
      </c>
      <c r="G341" t="s">
        <v>76</v>
      </c>
      <c r="H341">
        <v>14.958310988785255</v>
      </c>
      <c r="I341">
        <v>0</v>
      </c>
      <c r="J341">
        <v>7</v>
      </c>
      <c r="K341">
        <v>7</v>
      </c>
      <c r="L341">
        <v>0</v>
      </c>
      <c r="M341">
        <v>8</v>
      </c>
      <c r="N341">
        <v>8</v>
      </c>
      <c r="O341">
        <v>0</v>
      </c>
      <c r="P341">
        <v>6</v>
      </c>
      <c r="Q341">
        <v>8</v>
      </c>
      <c r="R341">
        <v>-2</v>
      </c>
      <c r="S341">
        <v>5</v>
      </c>
      <c r="T341">
        <v>8</v>
      </c>
      <c r="U341">
        <v>-3</v>
      </c>
      <c r="V341">
        <v>7</v>
      </c>
      <c r="W341">
        <v>5</v>
      </c>
      <c r="X341">
        <v>2</v>
      </c>
      <c r="Y341">
        <v>6</v>
      </c>
      <c r="Z341">
        <v>8</v>
      </c>
      <c r="AA341">
        <v>-2</v>
      </c>
      <c r="AB341">
        <v>6</v>
      </c>
      <c r="AC341">
        <v>5</v>
      </c>
      <c r="AD341">
        <v>1</v>
      </c>
      <c r="AE341">
        <v>5</v>
      </c>
      <c r="AF341">
        <v>8</v>
      </c>
      <c r="AG341">
        <v>-3</v>
      </c>
      <c r="AH341">
        <v>6</v>
      </c>
      <c r="AI341">
        <v>8</v>
      </c>
      <c r="AJ341">
        <v>-2</v>
      </c>
      <c r="AK341" t="s">
        <v>3233</v>
      </c>
      <c r="AL341" t="s">
        <v>3234</v>
      </c>
      <c r="AM341" t="s">
        <v>3235</v>
      </c>
      <c r="AN341" t="s">
        <v>3236</v>
      </c>
      <c r="AO341" t="s">
        <v>3237</v>
      </c>
      <c r="AP341" t="s">
        <v>3238</v>
      </c>
      <c r="AQ341" t="s">
        <v>3239</v>
      </c>
      <c r="AR341" t="s">
        <v>3240</v>
      </c>
      <c r="AS341" t="s">
        <v>3241</v>
      </c>
    </row>
    <row r="342" spans="1:45" x14ac:dyDescent="0.45">
      <c r="A342">
        <v>341</v>
      </c>
      <c r="B342">
        <v>2331</v>
      </c>
      <c r="C342" t="s">
        <v>72</v>
      </c>
      <c r="D342" t="s">
        <v>188</v>
      </c>
      <c r="E342" t="s">
        <v>74</v>
      </c>
      <c r="F342" t="s">
        <v>77</v>
      </c>
      <c r="G342" t="s">
        <v>76</v>
      </c>
      <c r="H342">
        <v>12</v>
      </c>
      <c r="I342">
        <v>0</v>
      </c>
      <c r="J342">
        <v>7</v>
      </c>
      <c r="K342">
        <v>8</v>
      </c>
      <c r="L342">
        <v>-1</v>
      </c>
      <c r="M342">
        <v>8</v>
      </c>
      <c r="N342">
        <v>8</v>
      </c>
      <c r="O342">
        <v>0</v>
      </c>
      <c r="P342">
        <v>9</v>
      </c>
      <c r="Q342">
        <v>8</v>
      </c>
      <c r="R342">
        <v>1</v>
      </c>
      <c r="S342">
        <v>7</v>
      </c>
      <c r="T342">
        <v>9</v>
      </c>
      <c r="U342">
        <v>-2</v>
      </c>
      <c r="V342">
        <v>8</v>
      </c>
      <c r="W342">
        <v>8</v>
      </c>
      <c r="X342">
        <v>0</v>
      </c>
      <c r="Y342">
        <v>7</v>
      </c>
      <c r="Z342">
        <v>8</v>
      </c>
      <c r="AA342">
        <v>-1</v>
      </c>
      <c r="AB342">
        <v>6</v>
      </c>
      <c r="AC342">
        <v>7</v>
      </c>
      <c r="AD342">
        <v>-1</v>
      </c>
      <c r="AE342">
        <v>5</v>
      </c>
      <c r="AF342">
        <v>7</v>
      </c>
      <c r="AG342">
        <v>-2</v>
      </c>
      <c r="AH342">
        <v>6</v>
      </c>
      <c r="AI342">
        <v>8</v>
      </c>
      <c r="AJ342">
        <v>-2</v>
      </c>
      <c r="AK342" t="s">
        <v>3242</v>
      </c>
      <c r="AL342" t="s">
        <v>3243</v>
      </c>
      <c r="AM342" t="s">
        <v>3244</v>
      </c>
      <c r="AN342" t="s">
        <v>3245</v>
      </c>
      <c r="AO342" t="s">
        <v>3246</v>
      </c>
      <c r="AP342" t="s">
        <v>3247</v>
      </c>
      <c r="AQ342" t="s">
        <v>3248</v>
      </c>
      <c r="AR342" t="s">
        <v>3249</v>
      </c>
      <c r="AS342" t="s">
        <v>3250</v>
      </c>
    </row>
    <row r="343" spans="1:45" x14ac:dyDescent="0.45">
      <c r="A343">
        <v>342</v>
      </c>
      <c r="B343">
        <v>2332</v>
      </c>
      <c r="C343" t="s">
        <v>78</v>
      </c>
      <c r="D343" t="s">
        <v>188</v>
      </c>
      <c r="E343" t="s">
        <v>74</v>
      </c>
      <c r="F343" t="s">
        <v>77</v>
      </c>
      <c r="G343" t="s">
        <v>76</v>
      </c>
      <c r="H343">
        <v>12</v>
      </c>
      <c r="I343">
        <v>0</v>
      </c>
      <c r="J343">
        <v>7</v>
      </c>
      <c r="K343">
        <v>5</v>
      </c>
      <c r="L343">
        <v>2</v>
      </c>
      <c r="M343">
        <v>8</v>
      </c>
      <c r="N343">
        <v>5</v>
      </c>
      <c r="O343">
        <v>3</v>
      </c>
      <c r="P343">
        <v>6</v>
      </c>
      <c r="Q343">
        <v>6</v>
      </c>
      <c r="R343">
        <v>0</v>
      </c>
      <c r="S343">
        <v>8</v>
      </c>
      <c r="T343">
        <v>7</v>
      </c>
      <c r="U343">
        <v>1</v>
      </c>
      <c r="V343">
        <v>7</v>
      </c>
      <c r="W343">
        <v>5</v>
      </c>
      <c r="X343">
        <v>2</v>
      </c>
      <c r="Y343">
        <v>8</v>
      </c>
      <c r="Z343">
        <v>8</v>
      </c>
      <c r="AA343">
        <v>0</v>
      </c>
      <c r="AB343">
        <v>7</v>
      </c>
      <c r="AC343">
        <v>6</v>
      </c>
      <c r="AD343">
        <v>1</v>
      </c>
      <c r="AE343">
        <v>8</v>
      </c>
      <c r="AF343">
        <v>6</v>
      </c>
      <c r="AG343">
        <v>2</v>
      </c>
      <c r="AH343">
        <v>8</v>
      </c>
      <c r="AI343">
        <v>7</v>
      </c>
      <c r="AJ343">
        <v>1</v>
      </c>
      <c r="AK343" t="s">
        <v>3251</v>
      </c>
      <c r="AL343" t="s">
        <v>3252</v>
      </c>
      <c r="AM343" t="s">
        <v>3253</v>
      </c>
      <c r="AN343" t="s">
        <v>3254</v>
      </c>
      <c r="AO343" t="s">
        <v>3255</v>
      </c>
      <c r="AP343" t="s">
        <v>3256</v>
      </c>
      <c r="AQ343" t="s">
        <v>3257</v>
      </c>
      <c r="AR343" t="s">
        <v>3258</v>
      </c>
      <c r="AS343" t="s">
        <v>3259</v>
      </c>
    </row>
    <row r="344" spans="1:45" x14ac:dyDescent="0.45">
      <c r="A344">
        <v>343</v>
      </c>
      <c r="B344">
        <v>2333</v>
      </c>
      <c r="C344" t="s">
        <v>78</v>
      </c>
      <c r="D344" t="s">
        <v>81</v>
      </c>
      <c r="E344" t="s">
        <v>74</v>
      </c>
      <c r="F344" t="s">
        <v>77</v>
      </c>
      <c r="G344" t="s">
        <v>76</v>
      </c>
      <c r="H344">
        <v>14.640203362523385</v>
      </c>
      <c r="I344">
        <v>0</v>
      </c>
      <c r="J344">
        <v>6</v>
      </c>
      <c r="K344">
        <v>7</v>
      </c>
      <c r="L344">
        <v>-1</v>
      </c>
      <c r="M344">
        <v>6</v>
      </c>
      <c r="N344">
        <v>7</v>
      </c>
      <c r="O344">
        <v>-1</v>
      </c>
      <c r="P344">
        <v>8</v>
      </c>
      <c r="Q344">
        <v>8</v>
      </c>
      <c r="R344">
        <v>0</v>
      </c>
      <c r="S344">
        <v>9</v>
      </c>
      <c r="T344">
        <v>7</v>
      </c>
      <c r="U344">
        <v>2</v>
      </c>
      <c r="V344">
        <v>7</v>
      </c>
      <c r="W344">
        <v>8</v>
      </c>
      <c r="X344">
        <v>-1</v>
      </c>
      <c r="Y344">
        <v>8</v>
      </c>
      <c r="Z344">
        <v>8</v>
      </c>
      <c r="AA344">
        <v>0</v>
      </c>
      <c r="AB344">
        <v>7</v>
      </c>
      <c r="AC344">
        <v>8</v>
      </c>
      <c r="AD344">
        <v>-1</v>
      </c>
      <c r="AE344">
        <v>6</v>
      </c>
      <c r="AF344">
        <v>7</v>
      </c>
      <c r="AG344">
        <v>-1</v>
      </c>
      <c r="AH344">
        <v>7</v>
      </c>
      <c r="AI344">
        <v>8</v>
      </c>
      <c r="AJ344">
        <v>-1</v>
      </c>
      <c r="AK344" t="s">
        <v>3260</v>
      </c>
      <c r="AL344" t="s">
        <v>3261</v>
      </c>
      <c r="AM344" t="s">
        <v>3262</v>
      </c>
      <c r="AN344" t="s">
        <v>3263</v>
      </c>
      <c r="AO344" t="s">
        <v>3264</v>
      </c>
      <c r="AP344" t="s">
        <v>3265</v>
      </c>
      <c r="AQ344" t="s">
        <v>3266</v>
      </c>
      <c r="AR344" t="s">
        <v>3267</v>
      </c>
      <c r="AS344" t="s">
        <v>3268</v>
      </c>
    </row>
    <row r="345" spans="1:45" x14ac:dyDescent="0.45">
      <c r="A345">
        <v>344</v>
      </c>
      <c r="B345">
        <v>2334</v>
      </c>
      <c r="C345" t="s">
        <v>78</v>
      </c>
      <c r="D345" t="s">
        <v>73</v>
      </c>
      <c r="E345" t="s">
        <v>74</v>
      </c>
      <c r="F345" t="s">
        <v>75</v>
      </c>
      <c r="G345" t="s">
        <v>76</v>
      </c>
      <c r="H345">
        <v>64.845851968529757</v>
      </c>
      <c r="I345">
        <v>2</v>
      </c>
      <c r="J345">
        <v>6</v>
      </c>
      <c r="K345">
        <v>7</v>
      </c>
      <c r="L345">
        <v>-1</v>
      </c>
      <c r="M345">
        <v>7</v>
      </c>
      <c r="N345">
        <v>7</v>
      </c>
      <c r="O345">
        <v>0</v>
      </c>
      <c r="P345">
        <v>8</v>
      </c>
      <c r="Q345">
        <v>5</v>
      </c>
      <c r="R345">
        <v>3</v>
      </c>
      <c r="S345">
        <v>6</v>
      </c>
      <c r="T345">
        <v>8</v>
      </c>
      <c r="U345">
        <v>-2</v>
      </c>
      <c r="V345">
        <v>7</v>
      </c>
      <c r="W345">
        <v>6</v>
      </c>
      <c r="X345">
        <v>1</v>
      </c>
      <c r="Y345">
        <v>6</v>
      </c>
      <c r="Z345">
        <v>5</v>
      </c>
      <c r="AA345">
        <v>1</v>
      </c>
      <c r="AB345">
        <v>7</v>
      </c>
      <c r="AC345">
        <v>5</v>
      </c>
      <c r="AD345">
        <v>2</v>
      </c>
      <c r="AE345">
        <v>5</v>
      </c>
      <c r="AF345">
        <v>6</v>
      </c>
      <c r="AG345">
        <v>-1</v>
      </c>
      <c r="AH345">
        <v>6</v>
      </c>
      <c r="AI345">
        <v>5</v>
      </c>
      <c r="AJ345">
        <v>1</v>
      </c>
      <c r="AK345" t="s">
        <v>3269</v>
      </c>
      <c r="AL345" t="s">
        <v>3270</v>
      </c>
      <c r="AM345" t="s">
        <v>3271</v>
      </c>
      <c r="AN345" t="s">
        <v>3272</v>
      </c>
      <c r="AO345" t="s">
        <v>3273</v>
      </c>
      <c r="AP345" t="s">
        <v>3274</v>
      </c>
      <c r="AQ345" t="s">
        <v>3275</v>
      </c>
      <c r="AR345" t="s">
        <v>3276</v>
      </c>
      <c r="AS345" t="s">
        <v>3277</v>
      </c>
    </row>
    <row r="346" spans="1:45" x14ac:dyDescent="0.45">
      <c r="A346">
        <v>345</v>
      </c>
      <c r="B346">
        <v>2335</v>
      </c>
      <c r="C346" t="s">
        <v>72</v>
      </c>
      <c r="D346" t="s">
        <v>81</v>
      </c>
      <c r="E346" t="s">
        <v>74</v>
      </c>
      <c r="F346" t="s">
        <v>77</v>
      </c>
      <c r="G346" t="s">
        <v>76</v>
      </c>
      <c r="H346">
        <v>15.829406271752029</v>
      </c>
      <c r="I346">
        <v>0</v>
      </c>
      <c r="J346">
        <v>7</v>
      </c>
      <c r="K346">
        <v>7</v>
      </c>
      <c r="L346">
        <v>0</v>
      </c>
      <c r="M346">
        <v>6</v>
      </c>
      <c r="N346">
        <v>7</v>
      </c>
      <c r="O346">
        <v>-1</v>
      </c>
      <c r="P346">
        <v>8</v>
      </c>
      <c r="Q346">
        <v>5</v>
      </c>
      <c r="R346">
        <v>3</v>
      </c>
      <c r="S346">
        <v>9</v>
      </c>
      <c r="T346">
        <v>8</v>
      </c>
      <c r="U346">
        <v>1</v>
      </c>
      <c r="V346">
        <v>7</v>
      </c>
      <c r="W346">
        <v>7</v>
      </c>
      <c r="X346">
        <v>0</v>
      </c>
      <c r="Y346">
        <v>6</v>
      </c>
      <c r="Z346">
        <v>7</v>
      </c>
      <c r="AA346">
        <v>-1</v>
      </c>
      <c r="AB346">
        <v>7</v>
      </c>
      <c r="AC346">
        <v>6</v>
      </c>
      <c r="AD346">
        <v>1</v>
      </c>
      <c r="AE346">
        <v>6</v>
      </c>
      <c r="AF346">
        <v>7</v>
      </c>
      <c r="AG346">
        <v>-1</v>
      </c>
      <c r="AH346">
        <v>8</v>
      </c>
      <c r="AI346">
        <v>7</v>
      </c>
      <c r="AJ346">
        <v>1</v>
      </c>
      <c r="AK346" t="s">
        <v>3278</v>
      </c>
      <c r="AL346" t="s">
        <v>3279</v>
      </c>
      <c r="AM346" t="s">
        <v>3280</v>
      </c>
      <c r="AN346" t="s">
        <v>3281</v>
      </c>
      <c r="AO346" t="s">
        <v>3282</v>
      </c>
      <c r="AP346" t="s">
        <v>3283</v>
      </c>
      <c r="AQ346" t="s">
        <v>3284</v>
      </c>
      <c r="AR346" t="s">
        <v>3285</v>
      </c>
      <c r="AS346" t="s">
        <v>3286</v>
      </c>
    </row>
    <row r="347" spans="1:45" x14ac:dyDescent="0.45">
      <c r="A347">
        <v>346</v>
      </c>
      <c r="B347">
        <v>2336</v>
      </c>
      <c r="C347" t="s">
        <v>72</v>
      </c>
      <c r="D347" t="s">
        <v>73</v>
      </c>
      <c r="E347" t="s">
        <v>74</v>
      </c>
      <c r="F347" t="s">
        <v>77</v>
      </c>
      <c r="G347" t="s">
        <v>76</v>
      </c>
      <c r="H347">
        <v>25.519211290085583</v>
      </c>
      <c r="I347">
        <v>1</v>
      </c>
      <c r="J347">
        <v>6</v>
      </c>
      <c r="K347">
        <v>9</v>
      </c>
      <c r="L347">
        <v>-3</v>
      </c>
      <c r="M347">
        <v>7</v>
      </c>
      <c r="N347">
        <v>8</v>
      </c>
      <c r="O347">
        <v>-1</v>
      </c>
      <c r="P347">
        <v>8</v>
      </c>
      <c r="Q347">
        <v>8</v>
      </c>
      <c r="R347">
        <v>0</v>
      </c>
      <c r="S347">
        <v>9</v>
      </c>
      <c r="T347">
        <v>9</v>
      </c>
      <c r="U347">
        <v>0</v>
      </c>
      <c r="V347">
        <v>8</v>
      </c>
      <c r="W347">
        <v>7</v>
      </c>
      <c r="X347">
        <v>1</v>
      </c>
      <c r="Y347">
        <v>7</v>
      </c>
      <c r="Z347">
        <v>8</v>
      </c>
      <c r="AA347">
        <v>-1</v>
      </c>
      <c r="AB347">
        <v>8</v>
      </c>
      <c r="AC347">
        <v>7</v>
      </c>
      <c r="AD347">
        <v>1</v>
      </c>
      <c r="AE347">
        <v>7</v>
      </c>
      <c r="AF347">
        <v>7</v>
      </c>
      <c r="AG347">
        <v>0</v>
      </c>
      <c r="AH347">
        <v>8</v>
      </c>
      <c r="AI347">
        <v>8</v>
      </c>
      <c r="AJ347">
        <v>0</v>
      </c>
      <c r="AK347" t="s">
        <v>3287</v>
      </c>
      <c r="AL347" t="s">
        <v>3288</v>
      </c>
      <c r="AM347" t="s">
        <v>3289</v>
      </c>
      <c r="AN347" t="s">
        <v>3290</v>
      </c>
      <c r="AO347" t="s">
        <v>3291</v>
      </c>
      <c r="AP347" t="s">
        <v>3292</v>
      </c>
      <c r="AQ347" t="s">
        <v>3293</v>
      </c>
      <c r="AR347" t="s">
        <v>3294</v>
      </c>
      <c r="AS347" t="s">
        <v>3295</v>
      </c>
    </row>
    <row r="348" spans="1:45" x14ac:dyDescent="0.45">
      <c r="A348">
        <v>347</v>
      </c>
      <c r="B348">
        <v>2337</v>
      </c>
      <c r="C348" t="s">
        <v>72</v>
      </c>
      <c r="D348" t="s">
        <v>81</v>
      </c>
      <c r="E348" t="s">
        <v>74</v>
      </c>
      <c r="F348" t="s">
        <v>77</v>
      </c>
      <c r="G348" t="s">
        <v>76</v>
      </c>
      <c r="H348">
        <v>20.777676159732167</v>
      </c>
      <c r="I348">
        <v>0</v>
      </c>
      <c r="J348">
        <v>7</v>
      </c>
      <c r="K348">
        <v>8</v>
      </c>
      <c r="L348">
        <v>-1</v>
      </c>
      <c r="M348">
        <v>8</v>
      </c>
      <c r="N348">
        <v>8</v>
      </c>
      <c r="O348">
        <v>0</v>
      </c>
      <c r="P348">
        <v>6</v>
      </c>
      <c r="Q348">
        <v>7</v>
      </c>
      <c r="R348">
        <v>-1</v>
      </c>
      <c r="S348">
        <v>8</v>
      </c>
      <c r="T348">
        <v>8</v>
      </c>
      <c r="U348">
        <v>0</v>
      </c>
      <c r="V348">
        <v>9</v>
      </c>
      <c r="W348">
        <v>6</v>
      </c>
      <c r="X348">
        <v>3</v>
      </c>
      <c r="Y348">
        <v>7</v>
      </c>
      <c r="Z348">
        <v>8</v>
      </c>
      <c r="AA348">
        <v>-1</v>
      </c>
      <c r="AB348">
        <v>8</v>
      </c>
      <c r="AC348">
        <v>6</v>
      </c>
      <c r="AD348">
        <v>2</v>
      </c>
      <c r="AE348">
        <v>6</v>
      </c>
      <c r="AF348">
        <v>6</v>
      </c>
      <c r="AG348">
        <v>0</v>
      </c>
      <c r="AH348">
        <v>8</v>
      </c>
      <c r="AI348">
        <v>8</v>
      </c>
      <c r="AJ348">
        <v>0</v>
      </c>
      <c r="AK348" t="s">
        <v>3296</v>
      </c>
      <c r="AL348" t="s">
        <v>3297</v>
      </c>
      <c r="AM348" t="s">
        <v>3298</v>
      </c>
      <c r="AN348" t="s">
        <v>3299</v>
      </c>
      <c r="AO348" t="s">
        <v>3300</v>
      </c>
      <c r="AP348" t="s">
        <v>3301</v>
      </c>
      <c r="AQ348" t="s">
        <v>3302</v>
      </c>
      <c r="AR348" t="s">
        <v>3303</v>
      </c>
      <c r="AS348" t="s">
        <v>3304</v>
      </c>
    </row>
    <row r="349" spans="1:45" x14ac:dyDescent="0.45">
      <c r="A349">
        <v>348</v>
      </c>
      <c r="B349">
        <v>2338</v>
      </c>
      <c r="C349" t="s">
        <v>72</v>
      </c>
      <c r="D349" t="s">
        <v>81</v>
      </c>
      <c r="E349" t="s">
        <v>74</v>
      </c>
      <c r="F349" t="s">
        <v>77</v>
      </c>
      <c r="G349" t="s">
        <v>76</v>
      </c>
      <c r="H349">
        <v>18.653231668521222</v>
      </c>
      <c r="I349">
        <v>0</v>
      </c>
      <c r="J349">
        <v>8</v>
      </c>
      <c r="K349">
        <v>8</v>
      </c>
      <c r="L349">
        <v>0</v>
      </c>
      <c r="M349">
        <v>7</v>
      </c>
      <c r="N349">
        <v>8</v>
      </c>
      <c r="O349">
        <v>-1</v>
      </c>
      <c r="P349">
        <v>7</v>
      </c>
      <c r="Q349">
        <v>7</v>
      </c>
      <c r="R349">
        <v>0</v>
      </c>
      <c r="S349">
        <v>6</v>
      </c>
      <c r="T349">
        <v>7</v>
      </c>
      <c r="U349">
        <v>-1</v>
      </c>
      <c r="V349">
        <v>8</v>
      </c>
      <c r="W349">
        <v>6</v>
      </c>
      <c r="X349">
        <v>2</v>
      </c>
      <c r="Y349">
        <v>7</v>
      </c>
      <c r="Z349">
        <v>7</v>
      </c>
      <c r="AA349">
        <v>0</v>
      </c>
      <c r="AB349">
        <v>8</v>
      </c>
      <c r="AC349">
        <v>6</v>
      </c>
      <c r="AD349">
        <v>2</v>
      </c>
      <c r="AE349">
        <v>7</v>
      </c>
      <c r="AF349">
        <v>6</v>
      </c>
      <c r="AG349">
        <v>1</v>
      </c>
      <c r="AH349">
        <v>7</v>
      </c>
      <c r="AI349">
        <v>7</v>
      </c>
      <c r="AJ349">
        <v>0</v>
      </c>
      <c r="AK349" t="s">
        <v>3305</v>
      </c>
      <c r="AL349" t="s">
        <v>3306</v>
      </c>
      <c r="AM349" t="s">
        <v>3307</v>
      </c>
      <c r="AN349" t="s">
        <v>3308</v>
      </c>
      <c r="AO349" t="s">
        <v>3309</v>
      </c>
      <c r="AP349" t="s">
        <v>3310</v>
      </c>
      <c r="AQ349" t="s">
        <v>3311</v>
      </c>
      <c r="AR349" t="s">
        <v>3312</v>
      </c>
      <c r="AS349" t="s">
        <v>3313</v>
      </c>
    </row>
    <row r="350" spans="1:45" x14ac:dyDescent="0.45">
      <c r="A350">
        <v>349</v>
      </c>
      <c r="B350">
        <v>2339</v>
      </c>
      <c r="C350" t="s">
        <v>72</v>
      </c>
      <c r="D350" t="s">
        <v>81</v>
      </c>
      <c r="E350" t="s">
        <v>74</v>
      </c>
      <c r="F350" t="s">
        <v>77</v>
      </c>
      <c r="G350" t="s">
        <v>76</v>
      </c>
      <c r="H350">
        <v>20.35320858682794</v>
      </c>
      <c r="I350">
        <v>0</v>
      </c>
      <c r="J350">
        <v>6</v>
      </c>
      <c r="K350">
        <v>4</v>
      </c>
      <c r="L350">
        <v>2</v>
      </c>
      <c r="M350">
        <v>7</v>
      </c>
      <c r="N350">
        <v>4</v>
      </c>
      <c r="O350">
        <v>3</v>
      </c>
      <c r="P350">
        <v>8</v>
      </c>
      <c r="Q350">
        <v>5</v>
      </c>
      <c r="R350">
        <v>3</v>
      </c>
      <c r="S350">
        <v>9</v>
      </c>
      <c r="T350">
        <v>7</v>
      </c>
      <c r="U350">
        <v>2</v>
      </c>
      <c r="V350">
        <v>8</v>
      </c>
      <c r="W350">
        <v>5</v>
      </c>
      <c r="X350">
        <v>3</v>
      </c>
      <c r="Y350">
        <v>7</v>
      </c>
      <c r="Z350">
        <v>6</v>
      </c>
      <c r="AA350">
        <v>1</v>
      </c>
      <c r="AB350">
        <v>6</v>
      </c>
      <c r="AC350">
        <v>6</v>
      </c>
      <c r="AD350">
        <v>0</v>
      </c>
      <c r="AE350">
        <v>7</v>
      </c>
      <c r="AF350">
        <v>6</v>
      </c>
      <c r="AG350">
        <v>1</v>
      </c>
      <c r="AH350">
        <v>5</v>
      </c>
      <c r="AI350">
        <v>6</v>
      </c>
      <c r="AJ350">
        <v>-1</v>
      </c>
      <c r="AK350" t="s">
        <v>3314</v>
      </c>
      <c r="AL350" t="s">
        <v>3315</v>
      </c>
      <c r="AM350" t="s">
        <v>3316</v>
      </c>
      <c r="AN350" t="s">
        <v>3317</v>
      </c>
      <c r="AO350" t="s">
        <v>3318</v>
      </c>
      <c r="AP350" t="s">
        <v>3319</v>
      </c>
      <c r="AQ350" t="s">
        <v>3320</v>
      </c>
      <c r="AR350" t="s">
        <v>3321</v>
      </c>
      <c r="AS350" t="s">
        <v>3322</v>
      </c>
    </row>
    <row r="351" spans="1:45" x14ac:dyDescent="0.45">
      <c r="A351">
        <v>350</v>
      </c>
      <c r="B351">
        <v>2340</v>
      </c>
      <c r="C351" t="s">
        <v>72</v>
      </c>
      <c r="D351" t="s">
        <v>81</v>
      </c>
      <c r="E351" t="s">
        <v>74</v>
      </c>
      <c r="F351" t="s">
        <v>77</v>
      </c>
      <c r="G351" t="s">
        <v>76</v>
      </c>
      <c r="H351">
        <v>23.294302963266411</v>
      </c>
      <c r="I351">
        <v>0</v>
      </c>
      <c r="J351">
        <v>7</v>
      </c>
      <c r="K351">
        <v>7</v>
      </c>
      <c r="L351">
        <v>0</v>
      </c>
      <c r="M351">
        <v>6</v>
      </c>
      <c r="N351">
        <v>7</v>
      </c>
      <c r="O351">
        <v>-1</v>
      </c>
      <c r="P351">
        <v>8</v>
      </c>
      <c r="Q351">
        <v>8</v>
      </c>
      <c r="R351">
        <v>0</v>
      </c>
      <c r="S351">
        <v>9</v>
      </c>
      <c r="T351">
        <v>8</v>
      </c>
      <c r="U351">
        <v>1</v>
      </c>
      <c r="V351">
        <v>7</v>
      </c>
      <c r="W351">
        <v>7</v>
      </c>
      <c r="X351">
        <v>0</v>
      </c>
      <c r="Y351">
        <v>6</v>
      </c>
      <c r="Z351">
        <v>7</v>
      </c>
      <c r="AA351">
        <v>-1</v>
      </c>
      <c r="AB351">
        <v>5</v>
      </c>
      <c r="AC351">
        <v>8</v>
      </c>
      <c r="AD351">
        <v>-3</v>
      </c>
      <c r="AE351">
        <v>6</v>
      </c>
      <c r="AF351">
        <v>7</v>
      </c>
      <c r="AG351">
        <v>-1</v>
      </c>
      <c r="AH351">
        <v>7</v>
      </c>
      <c r="AI351">
        <v>8</v>
      </c>
      <c r="AJ351">
        <v>-1</v>
      </c>
      <c r="AK351" t="s">
        <v>3323</v>
      </c>
      <c r="AL351" t="s">
        <v>3324</v>
      </c>
      <c r="AM351" t="s">
        <v>3325</v>
      </c>
      <c r="AN351" t="s">
        <v>3326</v>
      </c>
      <c r="AO351" t="s">
        <v>3327</v>
      </c>
      <c r="AP351" t="s">
        <v>3328</v>
      </c>
      <c r="AQ351" t="s">
        <v>3329</v>
      </c>
      <c r="AR351" t="s">
        <v>3330</v>
      </c>
      <c r="AS351" t="s">
        <v>3331</v>
      </c>
    </row>
    <row r="352" spans="1:45" x14ac:dyDescent="0.45">
      <c r="A352">
        <v>351</v>
      </c>
      <c r="B352">
        <v>2341</v>
      </c>
      <c r="C352" t="s">
        <v>72</v>
      </c>
      <c r="D352" t="s">
        <v>73</v>
      </c>
      <c r="E352" t="s">
        <v>74</v>
      </c>
      <c r="F352" t="s">
        <v>77</v>
      </c>
      <c r="G352" t="s">
        <v>76</v>
      </c>
      <c r="H352">
        <v>41.23280230271429</v>
      </c>
      <c r="I352">
        <v>2</v>
      </c>
      <c r="J352">
        <v>7</v>
      </c>
      <c r="K352">
        <v>8</v>
      </c>
      <c r="L352">
        <v>-1</v>
      </c>
      <c r="M352">
        <v>8</v>
      </c>
      <c r="N352">
        <v>8</v>
      </c>
      <c r="O352">
        <v>0</v>
      </c>
      <c r="P352">
        <v>6</v>
      </c>
      <c r="Q352">
        <v>6</v>
      </c>
      <c r="R352">
        <v>0</v>
      </c>
      <c r="S352">
        <v>8</v>
      </c>
      <c r="T352">
        <v>7</v>
      </c>
      <c r="U352">
        <v>1</v>
      </c>
      <c r="V352">
        <v>7</v>
      </c>
      <c r="W352">
        <v>6</v>
      </c>
      <c r="X352">
        <v>1</v>
      </c>
      <c r="Y352">
        <v>6</v>
      </c>
      <c r="Z352">
        <v>7</v>
      </c>
      <c r="AA352">
        <v>-1</v>
      </c>
      <c r="AB352">
        <v>7</v>
      </c>
      <c r="AC352">
        <v>5</v>
      </c>
      <c r="AD352">
        <v>2</v>
      </c>
      <c r="AE352">
        <v>6</v>
      </c>
      <c r="AF352">
        <v>7</v>
      </c>
      <c r="AG352">
        <v>-1</v>
      </c>
      <c r="AH352">
        <v>8</v>
      </c>
      <c r="AI352">
        <v>7</v>
      </c>
      <c r="AJ352">
        <v>1</v>
      </c>
      <c r="AK352" t="s">
        <v>3332</v>
      </c>
      <c r="AL352" t="s">
        <v>3333</v>
      </c>
      <c r="AM352" t="s">
        <v>3334</v>
      </c>
      <c r="AN352" t="s">
        <v>3335</v>
      </c>
      <c r="AO352" t="s">
        <v>3336</v>
      </c>
      <c r="AP352" t="s">
        <v>3337</v>
      </c>
      <c r="AQ352" t="s">
        <v>3338</v>
      </c>
      <c r="AR352" t="s">
        <v>3339</v>
      </c>
      <c r="AS352" t="s">
        <v>3340</v>
      </c>
    </row>
    <row r="353" spans="1:45" x14ac:dyDescent="0.45">
      <c r="A353">
        <v>352</v>
      </c>
      <c r="B353">
        <v>2342</v>
      </c>
      <c r="C353" t="s">
        <v>72</v>
      </c>
      <c r="D353" t="s">
        <v>73</v>
      </c>
      <c r="E353" t="s">
        <v>74</v>
      </c>
      <c r="F353" t="s">
        <v>77</v>
      </c>
      <c r="G353" t="s">
        <v>76</v>
      </c>
      <c r="H353">
        <v>29.307246409588465</v>
      </c>
      <c r="I353">
        <v>1</v>
      </c>
      <c r="J353">
        <v>8</v>
      </c>
      <c r="K353">
        <v>6</v>
      </c>
      <c r="L353">
        <v>2</v>
      </c>
      <c r="M353">
        <v>9</v>
      </c>
      <c r="N353">
        <v>6</v>
      </c>
      <c r="O353">
        <v>3</v>
      </c>
      <c r="P353">
        <v>7</v>
      </c>
      <c r="Q353">
        <v>8</v>
      </c>
      <c r="R353">
        <v>-1</v>
      </c>
      <c r="S353">
        <v>8</v>
      </c>
      <c r="T353">
        <v>7</v>
      </c>
      <c r="U353">
        <v>1</v>
      </c>
      <c r="V353">
        <v>7</v>
      </c>
      <c r="W353">
        <v>7</v>
      </c>
      <c r="X353">
        <v>0</v>
      </c>
      <c r="Y353">
        <v>8</v>
      </c>
      <c r="Z353">
        <v>7</v>
      </c>
      <c r="AA353">
        <v>1</v>
      </c>
      <c r="AB353">
        <v>7</v>
      </c>
      <c r="AC353">
        <v>5</v>
      </c>
      <c r="AD353">
        <v>2</v>
      </c>
      <c r="AE353">
        <v>8</v>
      </c>
      <c r="AF353">
        <v>6</v>
      </c>
      <c r="AG353">
        <v>2</v>
      </c>
      <c r="AH353">
        <v>9</v>
      </c>
      <c r="AI353">
        <v>7</v>
      </c>
      <c r="AJ353">
        <v>2</v>
      </c>
      <c r="AK353" t="s">
        <v>3341</v>
      </c>
      <c r="AL353" t="s">
        <v>3342</v>
      </c>
      <c r="AM353" t="s">
        <v>3343</v>
      </c>
      <c r="AN353" t="s">
        <v>3344</v>
      </c>
      <c r="AO353" t="s">
        <v>3345</v>
      </c>
      <c r="AP353" t="s">
        <v>3346</v>
      </c>
      <c r="AQ353" t="s">
        <v>3347</v>
      </c>
      <c r="AR353" t="s">
        <v>3348</v>
      </c>
      <c r="AS353" t="s">
        <v>3349</v>
      </c>
    </row>
    <row r="354" spans="1:45" x14ac:dyDescent="0.45">
      <c r="A354">
        <v>353</v>
      </c>
      <c r="B354">
        <v>2343</v>
      </c>
      <c r="C354" t="s">
        <v>78</v>
      </c>
      <c r="D354" t="s">
        <v>79</v>
      </c>
      <c r="E354" t="s">
        <v>74</v>
      </c>
      <c r="F354" t="s">
        <v>77</v>
      </c>
      <c r="G354" t="s">
        <v>76</v>
      </c>
      <c r="H354">
        <v>84.90412737225077</v>
      </c>
      <c r="I354">
        <v>4</v>
      </c>
      <c r="J354">
        <v>7</v>
      </c>
      <c r="K354">
        <v>7</v>
      </c>
      <c r="L354">
        <v>0</v>
      </c>
      <c r="M354">
        <v>8</v>
      </c>
      <c r="N354">
        <v>7</v>
      </c>
      <c r="O354">
        <v>1</v>
      </c>
      <c r="P354">
        <v>9</v>
      </c>
      <c r="Q354">
        <v>8</v>
      </c>
      <c r="R354">
        <v>1</v>
      </c>
      <c r="S354">
        <v>8</v>
      </c>
      <c r="T354">
        <v>8</v>
      </c>
      <c r="U354">
        <v>0</v>
      </c>
      <c r="V354">
        <v>6</v>
      </c>
      <c r="W354">
        <v>6</v>
      </c>
      <c r="X354">
        <v>0</v>
      </c>
      <c r="Y354">
        <v>7</v>
      </c>
      <c r="Z354">
        <v>7</v>
      </c>
      <c r="AA354">
        <v>0</v>
      </c>
      <c r="AB354">
        <v>6</v>
      </c>
      <c r="AC354">
        <v>5</v>
      </c>
      <c r="AD354">
        <v>1</v>
      </c>
      <c r="AE354">
        <v>7</v>
      </c>
      <c r="AF354">
        <v>7</v>
      </c>
      <c r="AG354">
        <v>0</v>
      </c>
      <c r="AH354">
        <v>8</v>
      </c>
      <c r="AI354">
        <v>7</v>
      </c>
      <c r="AJ354">
        <v>1</v>
      </c>
      <c r="AK354" t="s">
        <v>3350</v>
      </c>
      <c r="AL354" t="s">
        <v>3351</v>
      </c>
      <c r="AM354" t="s">
        <v>3352</v>
      </c>
      <c r="AN354" t="s">
        <v>3353</v>
      </c>
      <c r="AO354" t="s">
        <v>3354</v>
      </c>
      <c r="AP354" t="s">
        <v>3355</v>
      </c>
      <c r="AQ354" t="s">
        <v>3356</v>
      </c>
      <c r="AR354" t="s">
        <v>3357</v>
      </c>
      <c r="AS354" t="s">
        <v>3358</v>
      </c>
    </row>
    <row r="355" spans="1:45" x14ac:dyDescent="0.45">
      <c r="A355">
        <v>354</v>
      </c>
      <c r="B355">
        <v>2344</v>
      </c>
      <c r="C355" t="s">
        <v>72</v>
      </c>
      <c r="D355" t="s">
        <v>188</v>
      </c>
      <c r="E355" t="s">
        <v>74</v>
      </c>
      <c r="F355" t="s">
        <v>77</v>
      </c>
      <c r="G355" t="s">
        <v>76</v>
      </c>
      <c r="H355">
        <v>15.930593337444501</v>
      </c>
      <c r="I355">
        <v>0</v>
      </c>
      <c r="J355">
        <v>8</v>
      </c>
      <c r="K355">
        <v>9</v>
      </c>
      <c r="L355">
        <v>-1</v>
      </c>
      <c r="M355">
        <v>9</v>
      </c>
      <c r="N355">
        <v>9</v>
      </c>
      <c r="O355">
        <v>0</v>
      </c>
      <c r="P355">
        <v>8</v>
      </c>
      <c r="Q355">
        <v>10</v>
      </c>
      <c r="R355">
        <v>-2</v>
      </c>
      <c r="S355">
        <v>7</v>
      </c>
      <c r="T355">
        <v>10</v>
      </c>
      <c r="U355">
        <v>-3</v>
      </c>
      <c r="V355">
        <v>6</v>
      </c>
      <c r="W355">
        <v>9</v>
      </c>
      <c r="X355">
        <v>-3</v>
      </c>
      <c r="Y355">
        <v>5</v>
      </c>
      <c r="Z355">
        <v>10</v>
      </c>
      <c r="AA355">
        <v>-5</v>
      </c>
      <c r="AB355">
        <v>6</v>
      </c>
      <c r="AC355">
        <v>8</v>
      </c>
      <c r="AD355">
        <v>-2</v>
      </c>
      <c r="AE355">
        <v>5</v>
      </c>
      <c r="AF355">
        <v>8</v>
      </c>
      <c r="AG355">
        <v>-3</v>
      </c>
      <c r="AH355">
        <v>4</v>
      </c>
      <c r="AI355">
        <v>9</v>
      </c>
      <c r="AJ355">
        <v>-5</v>
      </c>
      <c r="AK355" t="s">
        <v>3359</v>
      </c>
      <c r="AL355" t="s">
        <v>3360</v>
      </c>
      <c r="AM355" t="s">
        <v>3361</v>
      </c>
      <c r="AN355" t="s">
        <v>3362</v>
      </c>
      <c r="AO355" t="s">
        <v>3363</v>
      </c>
      <c r="AP355" t="s">
        <v>3364</v>
      </c>
      <c r="AQ355" t="s">
        <v>3365</v>
      </c>
      <c r="AR355" t="s">
        <v>3366</v>
      </c>
      <c r="AS355" t="s">
        <v>3367</v>
      </c>
    </row>
    <row r="356" spans="1:45" x14ac:dyDescent="0.45">
      <c r="A356">
        <v>355</v>
      </c>
      <c r="B356">
        <v>2345</v>
      </c>
      <c r="C356" t="s">
        <v>78</v>
      </c>
      <c r="D356" t="s">
        <v>188</v>
      </c>
      <c r="E356" t="s">
        <v>74</v>
      </c>
      <c r="F356" t="s">
        <v>77</v>
      </c>
      <c r="G356" t="s">
        <v>76</v>
      </c>
      <c r="H356">
        <v>14.529106801505399</v>
      </c>
      <c r="I356">
        <v>0</v>
      </c>
      <c r="J356">
        <v>7</v>
      </c>
      <c r="K356">
        <v>7</v>
      </c>
      <c r="L356">
        <v>0</v>
      </c>
      <c r="M356">
        <v>8</v>
      </c>
      <c r="N356">
        <v>8</v>
      </c>
      <c r="O356">
        <v>0</v>
      </c>
      <c r="P356">
        <v>6</v>
      </c>
      <c r="Q356">
        <v>8</v>
      </c>
      <c r="R356">
        <v>-2</v>
      </c>
      <c r="S356">
        <v>7</v>
      </c>
      <c r="T356">
        <v>9</v>
      </c>
      <c r="U356">
        <v>-2</v>
      </c>
      <c r="V356">
        <v>6</v>
      </c>
      <c r="W356">
        <v>8</v>
      </c>
      <c r="X356">
        <v>-2</v>
      </c>
      <c r="Y356">
        <v>7</v>
      </c>
      <c r="Z356">
        <v>10</v>
      </c>
      <c r="AA356">
        <v>-3</v>
      </c>
      <c r="AB356">
        <v>6</v>
      </c>
      <c r="AC356">
        <v>8</v>
      </c>
      <c r="AD356">
        <v>-2</v>
      </c>
      <c r="AE356">
        <v>5</v>
      </c>
      <c r="AF356">
        <v>8</v>
      </c>
      <c r="AG356">
        <v>-3</v>
      </c>
      <c r="AH356">
        <v>6</v>
      </c>
      <c r="AI356">
        <v>9</v>
      </c>
      <c r="AJ356">
        <v>-3</v>
      </c>
      <c r="AK356" t="s">
        <v>3368</v>
      </c>
      <c r="AL356" t="s">
        <v>3369</v>
      </c>
      <c r="AM356" t="s">
        <v>3370</v>
      </c>
      <c r="AN356" t="s">
        <v>3371</v>
      </c>
      <c r="AO356" t="s">
        <v>3372</v>
      </c>
      <c r="AP356" t="s">
        <v>3373</v>
      </c>
      <c r="AQ356" t="s">
        <v>3374</v>
      </c>
      <c r="AR356" t="s">
        <v>3375</v>
      </c>
      <c r="AS356" t="s">
        <v>3376</v>
      </c>
    </row>
    <row r="357" spans="1:45" x14ac:dyDescent="0.45">
      <c r="A357">
        <v>356</v>
      </c>
      <c r="B357">
        <v>2346</v>
      </c>
      <c r="C357" t="s">
        <v>78</v>
      </c>
      <c r="D357" t="s">
        <v>188</v>
      </c>
      <c r="E357" t="s">
        <v>74</v>
      </c>
      <c r="F357" t="s">
        <v>77</v>
      </c>
      <c r="G357" t="s">
        <v>76</v>
      </c>
      <c r="H357">
        <v>13.29466550493764</v>
      </c>
      <c r="I357">
        <v>0</v>
      </c>
      <c r="J357">
        <v>8</v>
      </c>
      <c r="K357">
        <v>7</v>
      </c>
      <c r="L357">
        <v>1</v>
      </c>
      <c r="M357">
        <v>7</v>
      </c>
      <c r="N357">
        <v>7</v>
      </c>
      <c r="O357">
        <v>0</v>
      </c>
      <c r="P357">
        <v>9</v>
      </c>
      <c r="Q357">
        <v>8</v>
      </c>
      <c r="R357">
        <v>1</v>
      </c>
      <c r="S357">
        <v>8</v>
      </c>
      <c r="T357">
        <v>10</v>
      </c>
      <c r="U357">
        <v>-2</v>
      </c>
      <c r="V357">
        <v>7</v>
      </c>
      <c r="W357">
        <v>9</v>
      </c>
      <c r="X357">
        <v>-2</v>
      </c>
      <c r="Y357">
        <v>6</v>
      </c>
      <c r="Z357">
        <v>10</v>
      </c>
      <c r="AA357">
        <v>-4</v>
      </c>
      <c r="AB357">
        <v>5</v>
      </c>
      <c r="AC357">
        <v>8</v>
      </c>
      <c r="AD357">
        <v>-3</v>
      </c>
      <c r="AE357">
        <v>4</v>
      </c>
      <c r="AF357">
        <v>8</v>
      </c>
      <c r="AG357">
        <v>-4</v>
      </c>
      <c r="AH357">
        <v>6</v>
      </c>
      <c r="AI357">
        <v>10</v>
      </c>
      <c r="AJ357">
        <v>-4</v>
      </c>
      <c r="AK357" t="s">
        <v>3377</v>
      </c>
      <c r="AL357" t="s">
        <v>3378</v>
      </c>
      <c r="AM357" t="s">
        <v>3379</v>
      </c>
      <c r="AN357" t="s">
        <v>3380</v>
      </c>
      <c r="AO357" t="s">
        <v>3381</v>
      </c>
      <c r="AP357" t="s">
        <v>3382</v>
      </c>
      <c r="AQ357" t="s">
        <v>3383</v>
      </c>
      <c r="AR357" t="s">
        <v>3384</v>
      </c>
      <c r="AS357" t="s">
        <v>3385</v>
      </c>
    </row>
    <row r="358" spans="1:45" x14ac:dyDescent="0.45">
      <c r="A358">
        <v>357</v>
      </c>
      <c r="B358">
        <v>2347</v>
      </c>
      <c r="C358" t="s">
        <v>78</v>
      </c>
      <c r="D358" t="s">
        <v>81</v>
      </c>
      <c r="E358" t="s">
        <v>74</v>
      </c>
      <c r="F358" t="s">
        <v>77</v>
      </c>
      <c r="G358" t="s">
        <v>76</v>
      </c>
      <c r="H358">
        <v>25.004337059616322</v>
      </c>
      <c r="I358">
        <v>0</v>
      </c>
      <c r="J358">
        <v>9</v>
      </c>
      <c r="K358">
        <v>9</v>
      </c>
      <c r="L358">
        <v>0</v>
      </c>
      <c r="M358">
        <v>8</v>
      </c>
      <c r="N358">
        <v>9</v>
      </c>
      <c r="O358">
        <v>-1</v>
      </c>
      <c r="P358">
        <v>8</v>
      </c>
      <c r="Q358">
        <v>8</v>
      </c>
      <c r="R358">
        <v>0</v>
      </c>
      <c r="S358">
        <v>9</v>
      </c>
      <c r="T358">
        <v>9</v>
      </c>
      <c r="U358">
        <v>0</v>
      </c>
      <c r="V358">
        <v>8</v>
      </c>
      <c r="W358">
        <v>8</v>
      </c>
      <c r="X358">
        <v>0</v>
      </c>
      <c r="Y358">
        <v>7</v>
      </c>
      <c r="Z358">
        <v>8</v>
      </c>
      <c r="AA358">
        <v>-1</v>
      </c>
      <c r="AB358">
        <v>8</v>
      </c>
      <c r="AC358">
        <v>7</v>
      </c>
      <c r="AD358">
        <v>1</v>
      </c>
      <c r="AE358">
        <v>7</v>
      </c>
      <c r="AF358">
        <v>7</v>
      </c>
      <c r="AG358">
        <v>0</v>
      </c>
      <c r="AH358">
        <v>7</v>
      </c>
      <c r="AI358">
        <v>8</v>
      </c>
      <c r="AJ358">
        <v>-1</v>
      </c>
      <c r="AK358" t="s">
        <v>3386</v>
      </c>
      <c r="AL358" t="s">
        <v>3387</v>
      </c>
      <c r="AM358" t="s">
        <v>3388</v>
      </c>
      <c r="AN358" t="s">
        <v>3389</v>
      </c>
      <c r="AO358" t="s">
        <v>3390</v>
      </c>
      <c r="AP358" t="s">
        <v>3391</v>
      </c>
      <c r="AQ358" t="s">
        <v>3392</v>
      </c>
      <c r="AR358" t="s">
        <v>3393</v>
      </c>
      <c r="AS358" t="s">
        <v>3394</v>
      </c>
    </row>
    <row r="359" spans="1:45" x14ac:dyDescent="0.45">
      <c r="A359">
        <v>358</v>
      </c>
      <c r="B359">
        <v>2348</v>
      </c>
      <c r="C359" t="s">
        <v>72</v>
      </c>
      <c r="D359" t="s">
        <v>188</v>
      </c>
      <c r="E359" t="s">
        <v>74</v>
      </c>
      <c r="F359" t="s">
        <v>77</v>
      </c>
      <c r="G359" t="s">
        <v>76</v>
      </c>
      <c r="H359">
        <v>13.343862758706214</v>
      </c>
      <c r="I359">
        <v>0</v>
      </c>
      <c r="J359">
        <v>8</v>
      </c>
      <c r="K359">
        <v>7</v>
      </c>
      <c r="L359">
        <v>1</v>
      </c>
      <c r="M359">
        <v>7</v>
      </c>
      <c r="N359">
        <v>7</v>
      </c>
      <c r="O359">
        <v>0</v>
      </c>
      <c r="P359">
        <v>9</v>
      </c>
      <c r="Q359">
        <v>7</v>
      </c>
      <c r="R359">
        <v>2</v>
      </c>
      <c r="S359">
        <v>8</v>
      </c>
      <c r="T359">
        <v>8</v>
      </c>
      <c r="U359">
        <v>0</v>
      </c>
      <c r="V359">
        <v>8</v>
      </c>
      <c r="W359">
        <v>7</v>
      </c>
      <c r="X359">
        <v>1</v>
      </c>
      <c r="Y359">
        <v>7</v>
      </c>
      <c r="Z359">
        <v>9</v>
      </c>
      <c r="AA359">
        <v>-2</v>
      </c>
      <c r="AB359">
        <v>7</v>
      </c>
      <c r="AC359">
        <v>8</v>
      </c>
      <c r="AD359">
        <v>-1</v>
      </c>
      <c r="AE359">
        <v>6</v>
      </c>
      <c r="AF359">
        <v>8</v>
      </c>
      <c r="AG359">
        <v>-2</v>
      </c>
      <c r="AH359">
        <v>7</v>
      </c>
      <c r="AI359">
        <v>8</v>
      </c>
      <c r="AJ359">
        <v>-1</v>
      </c>
      <c r="AK359" t="s">
        <v>3395</v>
      </c>
      <c r="AL359" t="s">
        <v>3396</v>
      </c>
      <c r="AM359" t="s">
        <v>3397</v>
      </c>
      <c r="AN359" t="s">
        <v>3398</v>
      </c>
      <c r="AO359" t="s">
        <v>3399</v>
      </c>
      <c r="AP359" t="s">
        <v>3400</v>
      </c>
      <c r="AQ359" t="s">
        <v>3401</v>
      </c>
      <c r="AR359" t="s">
        <v>3402</v>
      </c>
      <c r="AS359" t="s">
        <v>3403</v>
      </c>
    </row>
    <row r="360" spans="1:45" x14ac:dyDescent="0.45">
      <c r="A360">
        <v>359</v>
      </c>
      <c r="B360">
        <v>2349</v>
      </c>
      <c r="C360" t="s">
        <v>72</v>
      </c>
      <c r="D360" t="s">
        <v>81</v>
      </c>
      <c r="E360" t="s">
        <v>74</v>
      </c>
      <c r="F360" t="s">
        <v>77</v>
      </c>
      <c r="G360" t="s">
        <v>76</v>
      </c>
      <c r="H360">
        <v>18.804621973749335</v>
      </c>
      <c r="I360">
        <v>1</v>
      </c>
      <c r="J360">
        <v>7</v>
      </c>
      <c r="K360">
        <v>4</v>
      </c>
      <c r="L360">
        <v>3</v>
      </c>
      <c r="M360">
        <v>8</v>
      </c>
      <c r="N360">
        <v>5</v>
      </c>
      <c r="O360">
        <v>3</v>
      </c>
      <c r="P360">
        <v>9</v>
      </c>
      <c r="Q360">
        <v>6</v>
      </c>
      <c r="R360">
        <v>3</v>
      </c>
      <c r="S360">
        <v>8</v>
      </c>
      <c r="T360">
        <v>7</v>
      </c>
      <c r="U360">
        <v>1</v>
      </c>
      <c r="V360">
        <v>9</v>
      </c>
      <c r="W360">
        <v>7</v>
      </c>
      <c r="X360">
        <v>2</v>
      </c>
      <c r="Y360">
        <v>8</v>
      </c>
      <c r="Z360">
        <v>6</v>
      </c>
      <c r="AA360">
        <v>2</v>
      </c>
      <c r="AB360">
        <v>7</v>
      </c>
      <c r="AC360">
        <v>4</v>
      </c>
      <c r="AD360">
        <v>3</v>
      </c>
      <c r="AE360">
        <v>6</v>
      </c>
      <c r="AF360">
        <v>6</v>
      </c>
      <c r="AG360">
        <v>0</v>
      </c>
      <c r="AH360">
        <v>8</v>
      </c>
      <c r="AI360">
        <v>7</v>
      </c>
      <c r="AJ360">
        <v>1</v>
      </c>
      <c r="AK360" t="s">
        <v>3404</v>
      </c>
      <c r="AL360" t="s">
        <v>3405</v>
      </c>
      <c r="AM360" t="s">
        <v>3406</v>
      </c>
      <c r="AN360" t="s">
        <v>3407</v>
      </c>
      <c r="AO360" t="s">
        <v>3408</v>
      </c>
      <c r="AP360" t="s">
        <v>3409</v>
      </c>
      <c r="AQ360" t="s">
        <v>3410</v>
      </c>
      <c r="AR360" t="s">
        <v>3411</v>
      </c>
      <c r="AS360" t="s">
        <v>3412</v>
      </c>
    </row>
    <row r="361" spans="1:45" x14ac:dyDescent="0.45">
      <c r="A361">
        <v>360</v>
      </c>
      <c r="B361">
        <v>2350</v>
      </c>
      <c r="C361" t="s">
        <v>78</v>
      </c>
      <c r="D361" t="s">
        <v>81</v>
      </c>
      <c r="E361" t="s">
        <v>74</v>
      </c>
      <c r="F361" t="s">
        <v>77</v>
      </c>
      <c r="G361" t="s">
        <v>76</v>
      </c>
      <c r="H361">
        <v>21.424811989680624</v>
      </c>
      <c r="I361">
        <v>0</v>
      </c>
      <c r="J361">
        <v>7</v>
      </c>
      <c r="K361">
        <v>9</v>
      </c>
      <c r="L361">
        <v>-2</v>
      </c>
      <c r="M361">
        <v>8</v>
      </c>
      <c r="N361">
        <v>8</v>
      </c>
      <c r="O361">
        <v>0</v>
      </c>
      <c r="P361">
        <v>9</v>
      </c>
      <c r="Q361">
        <v>8</v>
      </c>
      <c r="R361">
        <v>1</v>
      </c>
      <c r="S361">
        <v>8</v>
      </c>
      <c r="T361">
        <v>8</v>
      </c>
      <c r="U361">
        <v>0</v>
      </c>
      <c r="V361">
        <v>7</v>
      </c>
      <c r="W361">
        <v>7</v>
      </c>
      <c r="X361">
        <v>0</v>
      </c>
      <c r="Y361">
        <v>6</v>
      </c>
      <c r="Z361">
        <v>7</v>
      </c>
      <c r="AA361">
        <v>-1</v>
      </c>
      <c r="AB361">
        <v>6</v>
      </c>
      <c r="AC361">
        <v>6</v>
      </c>
      <c r="AD361">
        <v>0</v>
      </c>
      <c r="AE361">
        <v>7</v>
      </c>
      <c r="AF361">
        <v>7</v>
      </c>
      <c r="AG361">
        <v>0</v>
      </c>
      <c r="AH361">
        <v>8</v>
      </c>
      <c r="AI361">
        <v>8</v>
      </c>
      <c r="AJ361">
        <v>0</v>
      </c>
      <c r="AK361" t="s">
        <v>3413</v>
      </c>
      <c r="AL361" t="s">
        <v>3414</v>
      </c>
      <c r="AM361" t="s">
        <v>3415</v>
      </c>
      <c r="AN361" t="s">
        <v>3416</v>
      </c>
      <c r="AO361" t="s">
        <v>3417</v>
      </c>
      <c r="AP361" t="s">
        <v>3418</v>
      </c>
      <c r="AQ361" t="s">
        <v>3419</v>
      </c>
      <c r="AR361" t="s">
        <v>3420</v>
      </c>
      <c r="AS361" t="s">
        <v>3421</v>
      </c>
    </row>
    <row r="362" spans="1:45" x14ac:dyDescent="0.45">
      <c r="A362">
        <v>361</v>
      </c>
      <c r="B362">
        <v>2351</v>
      </c>
      <c r="C362" t="s">
        <v>72</v>
      </c>
      <c r="D362" t="s">
        <v>188</v>
      </c>
      <c r="E362" t="s">
        <v>74</v>
      </c>
      <c r="F362" t="s">
        <v>77</v>
      </c>
      <c r="G362" t="s">
        <v>76</v>
      </c>
      <c r="H362">
        <v>12</v>
      </c>
      <c r="I362">
        <v>0</v>
      </c>
      <c r="J362">
        <v>7</v>
      </c>
      <c r="K362">
        <v>7</v>
      </c>
      <c r="L362">
        <v>0</v>
      </c>
      <c r="M362">
        <v>8</v>
      </c>
      <c r="N362">
        <v>7</v>
      </c>
      <c r="O362">
        <v>1</v>
      </c>
      <c r="P362">
        <v>6</v>
      </c>
      <c r="Q362">
        <v>8</v>
      </c>
      <c r="R362">
        <v>-2</v>
      </c>
      <c r="S362">
        <v>7</v>
      </c>
      <c r="T362">
        <v>9</v>
      </c>
      <c r="U362">
        <v>-2</v>
      </c>
      <c r="V362">
        <v>8</v>
      </c>
      <c r="W362">
        <v>7</v>
      </c>
      <c r="X362">
        <v>1</v>
      </c>
      <c r="Y362">
        <v>7</v>
      </c>
      <c r="Z362">
        <v>10</v>
      </c>
      <c r="AA362">
        <v>-3</v>
      </c>
      <c r="AB362">
        <v>6</v>
      </c>
      <c r="AC362">
        <v>8</v>
      </c>
      <c r="AD362">
        <v>-2</v>
      </c>
      <c r="AE362">
        <v>7</v>
      </c>
      <c r="AF362">
        <v>8</v>
      </c>
      <c r="AG362">
        <v>-1</v>
      </c>
      <c r="AH362">
        <v>8</v>
      </c>
      <c r="AI362">
        <v>10</v>
      </c>
      <c r="AJ362">
        <v>-2</v>
      </c>
      <c r="AK362" t="s">
        <v>3422</v>
      </c>
      <c r="AL362" t="s">
        <v>3423</v>
      </c>
      <c r="AM362" t="s">
        <v>3424</v>
      </c>
      <c r="AN362" t="s">
        <v>3425</v>
      </c>
      <c r="AO362" t="s">
        <v>3426</v>
      </c>
      <c r="AP362" t="s">
        <v>3427</v>
      </c>
      <c r="AQ362" t="s">
        <v>3428</v>
      </c>
      <c r="AR362" t="s">
        <v>3429</v>
      </c>
      <c r="AS362" t="s">
        <v>3430</v>
      </c>
    </row>
    <row r="363" spans="1:45" x14ac:dyDescent="0.45">
      <c r="A363">
        <v>362</v>
      </c>
      <c r="B363">
        <v>2352</v>
      </c>
      <c r="C363" t="s">
        <v>72</v>
      </c>
      <c r="D363" t="s">
        <v>188</v>
      </c>
      <c r="E363" t="s">
        <v>74</v>
      </c>
      <c r="F363" t="s">
        <v>77</v>
      </c>
      <c r="G363" t="s">
        <v>76</v>
      </c>
      <c r="H363">
        <v>15.250439861908996</v>
      </c>
      <c r="I363">
        <v>0</v>
      </c>
      <c r="J363">
        <v>4</v>
      </c>
      <c r="K363">
        <v>3</v>
      </c>
      <c r="L363">
        <v>1</v>
      </c>
      <c r="M363">
        <v>5</v>
      </c>
      <c r="N363">
        <v>3</v>
      </c>
      <c r="O363">
        <v>2</v>
      </c>
      <c r="P363">
        <v>7</v>
      </c>
      <c r="Q363">
        <v>5</v>
      </c>
      <c r="R363">
        <v>2</v>
      </c>
      <c r="S363">
        <v>8</v>
      </c>
      <c r="T363">
        <v>6</v>
      </c>
      <c r="U363">
        <v>2</v>
      </c>
      <c r="V363">
        <v>6</v>
      </c>
      <c r="W363">
        <v>5</v>
      </c>
      <c r="X363">
        <v>1</v>
      </c>
      <c r="Y363">
        <v>5</v>
      </c>
      <c r="Z363">
        <v>6</v>
      </c>
      <c r="AA363">
        <v>-1</v>
      </c>
      <c r="AB363">
        <v>6</v>
      </c>
      <c r="AC363">
        <v>4</v>
      </c>
      <c r="AD363">
        <v>2</v>
      </c>
      <c r="AE363">
        <v>4</v>
      </c>
      <c r="AF363">
        <v>6</v>
      </c>
      <c r="AG363">
        <v>-2</v>
      </c>
      <c r="AH363">
        <v>5</v>
      </c>
      <c r="AI363">
        <v>6</v>
      </c>
      <c r="AJ363">
        <v>-1</v>
      </c>
      <c r="AK363" t="s">
        <v>3431</v>
      </c>
      <c r="AL363" t="s">
        <v>3432</v>
      </c>
      <c r="AM363" t="s">
        <v>3433</v>
      </c>
      <c r="AN363" t="s">
        <v>3434</v>
      </c>
      <c r="AO363" t="s">
        <v>3435</v>
      </c>
      <c r="AP363" t="s">
        <v>3436</v>
      </c>
      <c r="AQ363" t="s">
        <v>3437</v>
      </c>
      <c r="AR363" t="s">
        <v>3438</v>
      </c>
      <c r="AS363" t="s">
        <v>3439</v>
      </c>
    </row>
    <row r="364" spans="1:45" x14ac:dyDescent="0.45">
      <c r="A364">
        <v>363</v>
      </c>
      <c r="B364">
        <v>2353</v>
      </c>
      <c r="C364" t="s">
        <v>78</v>
      </c>
      <c r="D364" t="s">
        <v>81</v>
      </c>
      <c r="E364" t="s">
        <v>74</v>
      </c>
      <c r="F364" t="s">
        <v>77</v>
      </c>
      <c r="G364" t="s">
        <v>76</v>
      </c>
      <c r="H364">
        <v>29.363439304212196</v>
      </c>
      <c r="I364">
        <v>1</v>
      </c>
      <c r="J364">
        <v>7</v>
      </c>
      <c r="K364">
        <v>8</v>
      </c>
      <c r="L364">
        <v>-1</v>
      </c>
      <c r="M364">
        <v>6</v>
      </c>
      <c r="N364">
        <v>8</v>
      </c>
      <c r="O364">
        <v>-2</v>
      </c>
      <c r="P364">
        <v>8</v>
      </c>
      <c r="Q364">
        <v>5</v>
      </c>
      <c r="R364">
        <v>3</v>
      </c>
      <c r="S364">
        <v>9</v>
      </c>
      <c r="T364">
        <v>7</v>
      </c>
      <c r="U364">
        <v>2</v>
      </c>
      <c r="V364">
        <v>7</v>
      </c>
      <c r="W364">
        <v>5</v>
      </c>
      <c r="X364">
        <v>2</v>
      </c>
      <c r="Y364">
        <v>8</v>
      </c>
      <c r="Z364">
        <v>8</v>
      </c>
      <c r="AA364">
        <v>0</v>
      </c>
      <c r="AB364">
        <v>6</v>
      </c>
      <c r="AC364">
        <v>5</v>
      </c>
      <c r="AD364">
        <v>1</v>
      </c>
      <c r="AE364">
        <v>7</v>
      </c>
      <c r="AF364">
        <v>7</v>
      </c>
      <c r="AG364">
        <v>0</v>
      </c>
      <c r="AH364">
        <v>8</v>
      </c>
      <c r="AI364">
        <v>8</v>
      </c>
      <c r="AJ364">
        <v>0</v>
      </c>
      <c r="AK364" t="s">
        <v>3440</v>
      </c>
      <c r="AL364" t="s">
        <v>3441</v>
      </c>
      <c r="AM364" t="s">
        <v>3442</v>
      </c>
      <c r="AN364" t="s">
        <v>3443</v>
      </c>
      <c r="AO364" t="s">
        <v>3444</v>
      </c>
      <c r="AP364" t="s">
        <v>3445</v>
      </c>
      <c r="AQ364" t="s">
        <v>3446</v>
      </c>
      <c r="AR364" t="s">
        <v>3447</v>
      </c>
      <c r="AS364" t="s">
        <v>3448</v>
      </c>
    </row>
    <row r="365" spans="1:45" x14ac:dyDescent="0.45">
      <c r="A365">
        <v>364</v>
      </c>
      <c r="B365">
        <v>2354</v>
      </c>
      <c r="C365" t="s">
        <v>78</v>
      </c>
      <c r="D365" t="s">
        <v>73</v>
      </c>
      <c r="E365" t="s">
        <v>74</v>
      </c>
      <c r="F365" t="s">
        <v>77</v>
      </c>
      <c r="G365" t="s">
        <v>76</v>
      </c>
      <c r="H365">
        <v>18.725084011725549</v>
      </c>
      <c r="I365">
        <v>1</v>
      </c>
      <c r="J365">
        <v>7</v>
      </c>
      <c r="K365">
        <v>4</v>
      </c>
      <c r="L365">
        <v>3</v>
      </c>
      <c r="M365">
        <v>8</v>
      </c>
      <c r="N365">
        <v>5</v>
      </c>
      <c r="O365">
        <v>3</v>
      </c>
      <c r="P365">
        <v>6</v>
      </c>
      <c r="Q365">
        <v>5</v>
      </c>
      <c r="R365">
        <v>1</v>
      </c>
      <c r="S365">
        <v>7</v>
      </c>
      <c r="T365">
        <v>7</v>
      </c>
      <c r="U365">
        <v>0</v>
      </c>
      <c r="V365">
        <v>5</v>
      </c>
      <c r="W365">
        <v>5</v>
      </c>
      <c r="X365">
        <v>0</v>
      </c>
      <c r="Y365">
        <v>6</v>
      </c>
      <c r="Z365">
        <v>7</v>
      </c>
      <c r="AA365">
        <v>-1</v>
      </c>
      <c r="AB365">
        <v>4</v>
      </c>
      <c r="AC365">
        <v>5</v>
      </c>
      <c r="AD365">
        <v>-1</v>
      </c>
      <c r="AE365">
        <v>5</v>
      </c>
      <c r="AF365">
        <v>6</v>
      </c>
      <c r="AG365">
        <v>-1</v>
      </c>
      <c r="AH365">
        <v>6</v>
      </c>
      <c r="AI365">
        <v>7</v>
      </c>
      <c r="AJ365">
        <v>-1</v>
      </c>
      <c r="AK365" t="s">
        <v>3449</v>
      </c>
      <c r="AL365" t="s">
        <v>3450</v>
      </c>
      <c r="AM365" t="s">
        <v>3451</v>
      </c>
      <c r="AN365" t="s">
        <v>3452</v>
      </c>
      <c r="AO365" t="s">
        <v>3453</v>
      </c>
      <c r="AP365" t="s">
        <v>3454</v>
      </c>
      <c r="AQ365" t="s">
        <v>3455</v>
      </c>
      <c r="AR365" t="s">
        <v>3456</v>
      </c>
      <c r="AS365" t="s">
        <v>3457</v>
      </c>
    </row>
    <row r="366" spans="1:45" x14ac:dyDescent="0.45">
      <c r="A366">
        <v>365</v>
      </c>
      <c r="B366">
        <v>2355</v>
      </c>
      <c r="C366" t="s">
        <v>72</v>
      </c>
      <c r="D366" t="s">
        <v>81</v>
      </c>
      <c r="E366" t="s">
        <v>74</v>
      </c>
      <c r="F366" t="s">
        <v>77</v>
      </c>
      <c r="G366" t="s">
        <v>76</v>
      </c>
      <c r="H366">
        <v>39.830690095258355</v>
      </c>
      <c r="I366">
        <v>0</v>
      </c>
      <c r="J366">
        <v>6</v>
      </c>
      <c r="K366">
        <v>9</v>
      </c>
      <c r="L366">
        <v>-3</v>
      </c>
      <c r="M366">
        <v>7</v>
      </c>
      <c r="N366">
        <v>9</v>
      </c>
      <c r="O366">
        <v>-2</v>
      </c>
      <c r="P366">
        <v>8</v>
      </c>
      <c r="Q366">
        <v>8</v>
      </c>
      <c r="R366">
        <v>0</v>
      </c>
      <c r="S366">
        <v>7</v>
      </c>
      <c r="T366">
        <v>9</v>
      </c>
      <c r="U366">
        <v>-2</v>
      </c>
      <c r="V366">
        <v>6</v>
      </c>
      <c r="W366">
        <v>9</v>
      </c>
      <c r="X366">
        <v>-3</v>
      </c>
      <c r="Y366">
        <v>5</v>
      </c>
      <c r="Z366">
        <v>7</v>
      </c>
      <c r="AA366">
        <v>-2</v>
      </c>
      <c r="AB366">
        <v>4</v>
      </c>
      <c r="AC366">
        <v>7</v>
      </c>
      <c r="AD366">
        <v>-3</v>
      </c>
      <c r="AE366">
        <v>5</v>
      </c>
      <c r="AF366">
        <v>7</v>
      </c>
      <c r="AG366">
        <v>-2</v>
      </c>
      <c r="AH366">
        <v>6</v>
      </c>
      <c r="AI366">
        <v>7</v>
      </c>
      <c r="AJ366">
        <v>-1</v>
      </c>
      <c r="AK366" t="s">
        <v>3458</v>
      </c>
      <c r="AL366" t="s">
        <v>3459</v>
      </c>
      <c r="AM366" t="s">
        <v>3460</v>
      </c>
      <c r="AN366" t="s">
        <v>3461</v>
      </c>
      <c r="AO366" t="s">
        <v>3462</v>
      </c>
      <c r="AP366" t="s">
        <v>3463</v>
      </c>
      <c r="AQ366" t="s">
        <v>3464</v>
      </c>
      <c r="AR366" t="s">
        <v>3465</v>
      </c>
      <c r="AS366" t="s">
        <v>3466</v>
      </c>
    </row>
    <row r="367" spans="1:45" x14ac:dyDescent="0.45">
      <c r="A367">
        <v>366</v>
      </c>
      <c r="B367">
        <v>2356</v>
      </c>
      <c r="C367" t="s">
        <v>78</v>
      </c>
      <c r="D367" t="s">
        <v>73</v>
      </c>
      <c r="E367" t="s">
        <v>74</v>
      </c>
      <c r="F367" t="s">
        <v>75</v>
      </c>
      <c r="G367" t="s">
        <v>76</v>
      </c>
      <c r="H367">
        <v>51.45867378392812</v>
      </c>
      <c r="I367">
        <v>1</v>
      </c>
      <c r="J367">
        <v>8</v>
      </c>
      <c r="K367">
        <v>7</v>
      </c>
      <c r="L367">
        <v>1</v>
      </c>
      <c r="M367">
        <v>9</v>
      </c>
      <c r="N367">
        <v>8</v>
      </c>
      <c r="O367">
        <v>1</v>
      </c>
      <c r="P367">
        <v>7</v>
      </c>
      <c r="Q367">
        <v>8</v>
      </c>
      <c r="R367">
        <v>-1</v>
      </c>
      <c r="S367">
        <v>8</v>
      </c>
      <c r="T367">
        <v>8</v>
      </c>
      <c r="U367">
        <v>0</v>
      </c>
      <c r="V367">
        <v>9</v>
      </c>
      <c r="W367">
        <v>5</v>
      </c>
      <c r="X367">
        <v>4</v>
      </c>
      <c r="Y367">
        <v>8</v>
      </c>
      <c r="Z367">
        <v>6</v>
      </c>
      <c r="AA367">
        <v>2</v>
      </c>
      <c r="AB367">
        <v>7</v>
      </c>
      <c r="AC367">
        <v>5</v>
      </c>
      <c r="AD367">
        <v>2</v>
      </c>
      <c r="AE367">
        <v>6</v>
      </c>
      <c r="AF367">
        <v>6</v>
      </c>
      <c r="AG367">
        <v>0</v>
      </c>
      <c r="AH367">
        <v>5</v>
      </c>
      <c r="AI367">
        <v>6</v>
      </c>
      <c r="AJ367">
        <v>-1</v>
      </c>
      <c r="AK367" t="s">
        <v>3467</v>
      </c>
      <c r="AL367" t="s">
        <v>3468</v>
      </c>
      <c r="AM367" t="s">
        <v>3469</v>
      </c>
      <c r="AN367" t="s">
        <v>3470</v>
      </c>
      <c r="AO367" t="s">
        <v>3471</v>
      </c>
      <c r="AP367" t="s">
        <v>3472</v>
      </c>
      <c r="AQ367" t="s">
        <v>3473</v>
      </c>
      <c r="AR367" t="s">
        <v>3474</v>
      </c>
      <c r="AS367" t="s">
        <v>3475</v>
      </c>
    </row>
    <row r="368" spans="1:45" x14ac:dyDescent="0.45">
      <c r="A368">
        <v>367</v>
      </c>
      <c r="B368">
        <v>2357</v>
      </c>
      <c r="C368" t="s">
        <v>72</v>
      </c>
      <c r="D368" t="s">
        <v>188</v>
      </c>
      <c r="E368" t="s">
        <v>74</v>
      </c>
      <c r="F368" t="s">
        <v>77</v>
      </c>
      <c r="G368" t="s">
        <v>76</v>
      </c>
      <c r="H368">
        <v>12.963323804232729</v>
      </c>
      <c r="I368">
        <v>0</v>
      </c>
      <c r="J368">
        <v>7</v>
      </c>
      <c r="K368">
        <v>8</v>
      </c>
      <c r="L368">
        <v>-1</v>
      </c>
      <c r="M368">
        <v>8</v>
      </c>
      <c r="N368">
        <v>9</v>
      </c>
      <c r="O368">
        <v>-1</v>
      </c>
      <c r="P368">
        <v>9</v>
      </c>
      <c r="Q368">
        <v>8</v>
      </c>
      <c r="R368">
        <v>1</v>
      </c>
      <c r="S368">
        <v>8</v>
      </c>
      <c r="T368">
        <v>8</v>
      </c>
      <c r="U368">
        <v>0</v>
      </c>
      <c r="V368">
        <v>7</v>
      </c>
      <c r="W368">
        <v>9</v>
      </c>
      <c r="X368">
        <v>-2</v>
      </c>
      <c r="Y368">
        <v>6</v>
      </c>
      <c r="Z368">
        <v>10</v>
      </c>
      <c r="AA368">
        <v>-4</v>
      </c>
      <c r="AB368">
        <v>5</v>
      </c>
      <c r="AC368">
        <v>10</v>
      </c>
      <c r="AD368">
        <v>-5</v>
      </c>
      <c r="AE368">
        <v>4</v>
      </c>
      <c r="AF368">
        <v>9</v>
      </c>
      <c r="AG368">
        <v>-5</v>
      </c>
      <c r="AH368">
        <v>6</v>
      </c>
      <c r="AI368">
        <v>10</v>
      </c>
      <c r="AJ368">
        <v>-4</v>
      </c>
      <c r="AK368" t="s">
        <v>3476</v>
      </c>
      <c r="AL368" t="s">
        <v>3477</v>
      </c>
      <c r="AM368" t="s">
        <v>3478</v>
      </c>
      <c r="AN368" t="s">
        <v>3479</v>
      </c>
      <c r="AO368" t="s">
        <v>3480</v>
      </c>
      <c r="AP368" t="s">
        <v>3481</v>
      </c>
      <c r="AQ368" t="s">
        <v>3482</v>
      </c>
      <c r="AR368" t="s">
        <v>3483</v>
      </c>
      <c r="AS368" t="s">
        <v>3484</v>
      </c>
    </row>
    <row r="369" spans="1:45" x14ac:dyDescent="0.45">
      <c r="A369">
        <v>368</v>
      </c>
      <c r="B369">
        <v>2358</v>
      </c>
      <c r="C369" t="s">
        <v>72</v>
      </c>
      <c r="D369" t="s">
        <v>81</v>
      </c>
      <c r="E369" t="s">
        <v>74</v>
      </c>
      <c r="F369" t="s">
        <v>75</v>
      </c>
      <c r="G369" t="s">
        <v>76</v>
      </c>
      <c r="H369">
        <v>29.994046877652671</v>
      </c>
      <c r="I369">
        <v>2</v>
      </c>
      <c r="J369">
        <v>5</v>
      </c>
      <c r="K369">
        <v>7</v>
      </c>
      <c r="L369">
        <v>-2</v>
      </c>
      <c r="M369">
        <v>6</v>
      </c>
      <c r="N369">
        <v>7</v>
      </c>
      <c r="O369">
        <v>-1</v>
      </c>
      <c r="P369">
        <v>8</v>
      </c>
      <c r="Q369">
        <v>8</v>
      </c>
      <c r="R369">
        <v>0</v>
      </c>
      <c r="S369">
        <v>7</v>
      </c>
      <c r="T369">
        <v>8</v>
      </c>
      <c r="U369">
        <v>-1</v>
      </c>
      <c r="V369">
        <v>8</v>
      </c>
      <c r="W369">
        <v>6</v>
      </c>
      <c r="X369">
        <v>2</v>
      </c>
      <c r="Y369">
        <v>7</v>
      </c>
      <c r="Z369">
        <v>8</v>
      </c>
      <c r="AA369">
        <v>-1</v>
      </c>
      <c r="AB369">
        <v>8</v>
      </c>
      <c r="AC369">
        <v>6</v>
      </c>
      <c r="AD369">
        <v>2</v>
      </c>
      <c r="AE369">
        <v>6</v>
      </c>
      <c r="AF369">
        <v>7</v>
      </c>
      <c r="AG369">
        <v>-1</v>
      </c>
      <c r="AH369">
        <v>7</v>
      </c>
      <c r="AI369">
        <v>8</v>
      </c>
      <c r="AJ369">
        <v>-1</v>
      </c>
      <c r="AK369" t="s">
        <v>3485</v>
      </c>
      <c r="AL369" t="s">
        <v>3486</v>
      </c>
      <c r="AM369" t="s">
        <v>3487</v>
      </c>
      <c r="AN369" t="s">
        <v>3488</v>
      </c>
      <c r="AO369" t="s">
        <v>3489</v>
      </c>
      <c r="AP369" t="s">
        <v>3490</v>
      </c>
      <c r="AQ369" t="s">
        <v>3491</v>
      </c>
      <c r="AR369" t="s">
        <v>3492</v>
      </c>
      <c r="AS369" t="s">
        <v>3493</v>
      </c>
    </row>
    <row r="370" spans="1:45" x14ac:dyDescent="0.45">
      <c r="A370">
        <v>369</v>
      </c>
      <c r="B370">
        <v>2359</v>
      </c>
      <c r="C370" t="s">
        <v>78</v>
      </c>
      <c r="D370" t="s">
        <v>81</v>
      </c>
      <c r="E370" t="s">
        <v>74</v>
      </c>
      <c r="F370" t="s">
        <v>77</v>
      </c>
      <c r="G370" t="s">
        <v>76</v>
      </c>
      <c r="H370">
        <v>12.136423705738206</v>
      </c>
      <c r="I370">
        <v>0</v>
      </c>
      <c r="J370">
        <v>6</v>
      </c>
      <c r="K370">
        <v>6</v>
      </c>
      <c r="L370">
        <v>0</v>
      </c>
      <c r="M370">
        <v>5</v>
      </c>
      <c r="N370">
        <v>6</v>
      </c>
      <c r="O370">
        <v>-1</v>
      </c>
      <c r="P370">
        <v>8</v>
      </c>
      <c r="Q370">
        <v>8</v>
      </c>
      <c r="R370">
        <v>0</v>
      </c>
      <c r="S370">
        <v>9</v>
      </c>
      <c r="T370">
        <v>9</v>
      </c>
      <c r="U370">
        <v>0</v>
      </c>
      <c r="V370">
        <v>7</v>
      </c>
      <c r="W370">
        <v>8</v>
      </c>
      <c r="X370">
        <v>-1</v>
      </c>
      <c r="Y370">
        <v>6</v>
      </c>
      <c r="Z370">
        <v>8</v>
      </c>
      <c r="AA370">
        <v>-2</v>
      </c>
      <c r="AB370">
        <v>7</v>
      </c>
      <c r="AC370">
        <v>5</v>
      </c>
      <c r="AD370">
        <v>2</v>
      </c>
      <c r="AE370">
        <v>4</v>
      </c>
      <c r="AF370">
        <v>7</v>
      </c>
      <c r="AG370">
        <v>-3</v>
      </c>
      <c r="AH370">
        <v>7</v>
      </c>
      <c r="AI370">
        <v>8</v>
      </c>
      <c r="AJ370">
        <v>-1</v>
      </c>
      <c r="AK370" t="s">
        <v>3494</v>
      </c>
      <c r="AL370" t="s">
        <v>3495</v>
      </c>
      <c r="AM370" t="s">
        <v>3496</v>
      </c>
      <c r="AN370" t="s">
        <v>3497</v>
      </c>
      <c r="AO370" t="s">
        <v>3498</v>
      </c>
      <c r="AP370" t="s">
        <v>3499</v>
      </c>
      <c r="AQ370" t="s">
        <v>3500</v>
      </c>
      <c r="AR370" t="s">
        <v>3501</v>
      </c>
      <c r="AS370" t="s">
        <v>3502</v>
      </c>
    </row>
    <row r="371" spans="1:45" x14ac:dyDescent="0.45">
      <c r="A371">
        <v>370</v>
      </c>
      <c r="B371">
        <v>2360</v>
      </c>
      <c r="C371" t="s">
        <v>78</v>
      </c>
      <c r="D371" t="s">
        <v>188</v>
      </c>
      <c r="E371" t="s">
        <v>74</v>
      </c>
      <c r="F371" t="s">
        <v>77</v>
      </c>
      <c r="G371" t="s">
        <v>76</v>
      </c>
      <c r="H371">
        <v>20.792196320437082</v>
      </c>
      <c r="I371">
        <v>0</v>
      </c>
      <c r="J371">
        <v>7</v>
      </c>
      <c r="K371">
        <v>6</v>
      </c>
      <c r="L371">
        <v>1</v>
      </c>
      <c r="M371">
        <v>6</v>
      </c>
      <c r="N371">
        <v>7</v>
      </c>
      <c r="O371">
        <v>-1</v>
      </c>
      <c r="P371">
        <v>5</v>
      </c>
      <c r="Q371">
        <v>7</v>
      </c>
      <c r="R371">
        <v>-2</v>
      </c>
      <c r="S371">
        <v>8</v>
      </c>
      <c r="T371">
        <v>9</v>
      </c>
      <c r="U371">
        <v>-1</v>
      </c>
      <c r="V371">
        <v>6</v>
      </c>
      <c r="W371">
        <v>7</v>
      </c>
      <c r="X371">
        <v>-1</v>
      </c>
      <c r="Y371">
        <v>7</v>
      </c>
      <c r="Z371">
        <v>9</v>
      </c>
      <c r="AA371">
        <v>-2</v>
      </c>
      <c r="AB371">
        <v>8</v>
      </c>
      <c r="AC371">
        <v>9</v>
      </c>
      <c r="AD371">
        <v>-1</v>
      </c>
      <c r="AE371">
        <v>7</v>
      </c>
      <c r="AF371">
        <v>9</v>
      </c>
      <c r="AG371">
        <v>-2</v>
      </c>
      <c r="AH371">
        <v>6</v>
      </c>
      <c r="AI371">
        <v>9</v>
      </c>
      <c r="AJ371">
        <v>-3</v>
      </c>
      <c r="AK371" t="s">
        <v>3503</v>
      </c>
      <c r="AL371" t="s">
        <v>3504</v>
      </c>
      <c r="AM371" t="s">
        <v>3505</v>
      </c>
      <c r="AN371" t="s">
        <v>3506</v>
      </c>
      <c r="AO371" t="s">
        <v>3507</v>
      </c>
      <c r="AP371" t="s">
        <v>3508</v>
      </c>
      <c r="AQ371" t="s">
        <v>3509</v>
      </c>
      <c r="AR371" t="s">
        <v>3510</v>
      </c>
      <c r="AS371" t="s">
        <v>3511</v>
      </c>
    </row>
    <row r="372" spans="1:45" x14ac:dyDescent="0.45">
      <c r="A372">
        <v>371</v>
      </c>
      <c r="B372">
        <v>2361</v>
      </c>
      <c r="C372" t="s">
        <v>78</v>
      </c>
      <c r="D372" t="s">
        <v>79</v>
      </c>
      <c r="E372" t="s">
        <v>74</v>
      </c>
      <c r="F372" t="s">
        <v>75</v>
      </c>
      <c r="G372" t="s">
        <v>76</v>
      </c>
      <c r="H372">
        <v>64.658827631072882</v>
      </c>
      <c r="I372">
        <v>3</v>
      </c>
      <c r="J372">
        <v>6</v>
      </c>
      <c r="K372">
        <v>4</v>
      </c>
      <c r="L372">
        <v>2</v>
      </c>
      <c r="M372">
        <v>7</v>
      </c>
      <c r="N372">
        <v>4</v>
      </c>
      <c r="O372">
        <v>3</v>
      </c>
      <c r="P372">
        <v>8</v>
      </c>
      <c r="Q372">
        <v>5</v>
      </c>
      <c r="R372">
        <v>3</v>
      </c>
      <c r="S372">
        <v>9</v>
      </c>
      <c r="T372">
        <v>5</v>
      </c>
      <c r="U372">
        <v>4</v>
      </c>
      <c r="V372">
        <v>5</v>
      </c>
      <c r="W372">
        <v>5</v>
      </c>
      <c r="X372">
        <v>0</v>
      </c>
      <c r="Y372">
        <v>7</v>
      </c>
      <c r="Z372">
        <v>4</v>
      </c>
      <c r="AA372">
        <v>3</v>
      </c>
      <c r="AB372">
        <v>4</v>
      </c>
      <c r="AC372">
        <v>5</v>
      </c>
      <c r="AD372">
        <v>-1</v>
      </c>
      <c r="AE372">
        <v>6</v>
      </c>
      <c r="AF372">
        <v>6</v>
      </c>
      <c r="AG372">
        <v>0</v>
      </c>
      <c r="AH372">
        <v>7</v>
      </c>
      <c r="AI372">
        <v>5</v>
      </c>
      <c r="AJ372">
        <v>2</v>
      </c>
      <c r="AK372" t="s">
        <v>3512</v>
      </c>
      <c r="AL372" t="s">
        <v>3513</v>
      </c>
      <c r="AM372" t="s">
        <v>3514</v>
      </c>
      <c r="AN372" t="s">
        <v>3515</v>
      </c>
      <c r="AO372" t="s">
        <v>3516</v>
      </c>
      <c r="AP372" t="s">
        <v>3517</v>
      </c>
      <c r="AQ372" t="s">
        <v>3518</v>
      </c>
      <c r="AR372" t="s">
        <v>3519</v>
      </c>
      <c r="AS372" t="s">
        <v>3520</v>
      </c>
    </row>
    <row r="373" spans="1:45" x14ac:dyDescent="0.45">
      <c r="A373">
        <v>372</v>
      </c>
      <c r="B373">
        <v>2362</v>
      </c>
      <c r="C373" t="s">
        <v>72</v>
      </c>
      <c r="D373" t="s">
        <v>73</v>
      </c>
      <c r="E373" t="s">
        <v>74</v>
      </c>
      <c r="F373" t="s">
        <v>77</v>
      </c>
      <c r="G373" t="s">
        <v>76</v>
      </c>
      <c r="H373">
        <v>38.305383857010327</v>
      </c>
      <c r="I373">
        <v>2</v>
      </c>
      <c r="J373">
        <v>8</v>
      </c>
      <c r="K373">
        <v>6</v>
      </c>
      <c r="L373">
        <v>2</v>
      </c>
      <c r="M373">
        <v>7</v>
      </c>
      <c r="N373">
        <v>6</v>
      </c>
      <c r="O373">
        <v>1</v>
      </c>
      <c r="P373">
        <v>9</v>
      </c>
      <c r="Q373">
        <v>8</v>
      </c>
      <c r="R373">
        <v>1</v>
      </c>
      <c r="S373">
        <v>8</v>
      </c>
      <c r="T373">
        <v>8</v>
      </c>
      <c r="U373">
        <v>0</v>
      </c>
      <c r="V373">
        <v>7</v>
      </c>
      <c r="W373">
        <v>6</v>
      </c>
      <c r="X373">
        <v>1</v>
      </c>
      <c r="Y373">
        <v>6</v>
      </c>
      <c r="Z373">
        <v>7</v>
      </c>
      <c r="AA373">
        <v>-1</v>
      </c>
      <c r="AB373">
        <v>5</v>
      </c>
      <c r="AC373">
        <v>5</v>
      </c>
      <c r="AD373">
        <v>0</v>
      </c>
      <c r="AE373">
        <v>4</v>
      </c>
      <c r="AF373">
        <v>6</v>
      </c>
      <c r="AG373">
        <v>-2</v>
      </c>
      <c r="AH373">
        <v>6</v>
      </c>
      <c r="AI373">
        <v>6</v>
      </c>
      <c r="AJ373">
        <v>0</v>
      </c>
      <c r="AK373" t="s">
        <v>3521</v>
      </c>
      <c r="AL373" t="s">
        <v>3522</v>
      </c>
      <c r="AM373" t="s">
        <v>3523</v>
      </c>
      <c r="AN373" t="s">
        <v>3524</v>
      </c>
      <c r="AO373" t="s">
        <v>3525</v>
      </c>
      <c r="AP373" t="s">
        <v>3526</v>
      </c>
      <c r="AQ373" t="s">
        <v>3527</v>
      </c>
      <c r="AR373" t="s">
        <v>3528</v>
      </c>
      <c r="AS373" t="s">
        <v>3529</v>
      </c>
    </row>
    <row r="374" spans="1:45" x14ac:dyDescent="0.45">
      <c r="A374">
        <v>373</v>
      </c>
      <c r="B374">
        <v>2363</v>
      </c>
      <c r="C374" t="s">
        <v>72</v>
      </c>
      <c r="D374" t="s">
        <v>73</v>
      </c>
      <c r="E374" t="s">
        <v>74</v>
      </c>
      <c r="F374" t="s">
        <v>77</v>
      </c>
      <c r="G374" t="s">
        <v>76</v>
      </c>
      <c r="H374">
        <v>75.716250671386007</v>
      </c>
      <c r="I374">
        <v>2</v>
      </c>
      <c r="J374">
        <v>7</v>
      </c>
      <c r="K374">
        <v>8</v>
      </c>
      <c r="L374">
        <v>-1</v>
      </c>
      <c r="M374">
        <v>6</v>
      </c>
      <c r="N374">
        <v>8</v>
      </c>
      <c r="O374">
        <v>-2</v>
      </c>
      <c r="P374">
        <v>8</v>
      </c>
      <c r="Q374">
        <v>9</v>
      </c>
      <c r="R374">
        <v>-1</v>
      </c>
      <c r="S374">
        <v>9</v>
      </c>
      <c r="T374">
        <v>9</v>
      </c>
      <c r="U374">
        <v>0</v>
      </c>
      <c r="V374">
        <v>8</v>
      </c>
      <c r="W374">
        <v>5</v>
      </c>
      <c r="X374">
        <v>3</v>
      </c>
      <c r="Y374">
        <v>7</v>
      </c>
      <c r="Z374">
        <v>5</v>
      </c>
      <c r="AA374">
        <v>2</v>
      </c>
      <c r="AB374">
        <v>6</v>
      </c>
      <c r="AC374">
        <v>5</v>
      </c>
      <c r="AD374">
        <v>1</v>
      </c>
      <c r="AE374">
        <v>5</v>
      </c>
      <c r="AF374">
        <v>6</v>
      </c>
      <c r="AG374">
        <v>-1</v>
      </c>
      <c r="AH374">
        <v>7</v>
      </c>
      <c r="AI374">
        <v>5</v>
      </c>
      <c r="AJ374">
        <v>2</v>
      </c>
      <c r="AK374" t="s">
        <v>3530</v>
      </c>
      <c r="AL374" t="s">
        <v>3531</v>
      </c>
      <c r="AM374" t="s">
        <v>3532</v>
      </c>
      <c r="AN374" t="s">
        <v>3533</v>
      </c>
      <c r="AO374" t="s">
        <v>3534</v>
      </c>
      <c r="AP374" t="s">
        <v>3535</v>
      </c>
      <c r="AQ374" t="s">
        <v>3536</v>
      </c>
      <c r="AR374" t="s">
        <v>3537</v>
      </c>
      <c r="AS374" t="s">
        <v>3538</v>
      </c>
    </row>
    <row r="375" spans="1:45" x14ac:dyDescent="0.45">
      <c r="A375">
        <v>374</v>
      </c>
      <c r="B375">
        <v>2364</v>
      </c>
      <c r="C375" t="s">
        <v>72</v>
      </c>
      <c r="D375" t="s">
        <v>73</v>
      </c>
      <c r="E375" t="s">
        <v>74</v>
      </c>
      <c r="F375" t="s">
        <v>77</v>
      </c>
      <c r="G375" t="s">
        <v>76</v>
      </c>
      <c r="H375">
        <v>46.286492782535312</v>
      </c>
      <c r="I375">
        <v>1</v>
      </c>
      <c r="J375">
        <v>5</v>
      </c>
      <c r="K375">
        <v>6</v>
      </c>
      <c r="L375">
        <v>-1</v>
      </c>
      <c r="M375">
        <v>6</v>
      </c>
      <c r="N375">
        <v>6</v>
      </c>
      <c r="O375">
        <v>0</v>
      </c>
      <c r="P375">
        <v>8</v>
      </c>
      <c r="Q375">
        <v>7</v>
      </c>
      <c r="R375">
        <v>1</v>
      </c>
      <c r="S375">
        <v>7</v>
      </c>
      <c r="T375">
        <v>7</v>
      </c>
      <c r="U375">
        <v>0</v>
      </c>
      <c r="V375">
        <v>8</v>
      </c>
      <c r="W375">
        <v>6</v>
      </c>
      <c r="X375">
        <v>2</v>
      </c>
      <c r="Y375">
        <v>6</v>
      </c>
      <c r="Z375">
        <v>6</v>
      </c>
      <c r="AA375">
        <v>0</v>
      </c>
      <c r="AB375">
        <v>7</v>
      </c>
      <c r="AC375">
        <v>6</v>
      </c>
      <c r="AD375">
        <v>1</v>
      </c>
      <c r="AE375">
        <v>5</v>
      </c>
      <c r="AF375">
        <v>6</v>
      </c>
      <c r="AG375">
        <v>-1</v>
      </c>
      <c r="AH375">
        <v>9</v>
      </c>
      <c r="AI375">
        <v>6</v>
      </c>
      <c r="AJ375">
        <v>3</v>
      </c>
      <c r="AK375" t="s">
        <v>3539</v>
      </c>
      <c r="AL375" t="s">
        <v>3540</v>
      </c>
      <c r="AM375" t="s">
        <v>3541</v>
      </c>
      <c r="AN375" t="s">
        <v>3542</v>
      </c>
      <c r="AO375" t="s">
        <v>3543</v>
      </c>
      <c r="AP375" t="s">
        <v>3544</v>
      </c>
      <c r="AQ375" t="s">
        <v>3545</v>
      </c>
      <c r="AR375" t="s">
        <v>3546</v>
      </c>
      <c r="AS375" t="s">
        <v>3547</v>
      </c>
    </row>
    <row r="376" spans="1:45" x14ac:dyDescent="0.45">
      <c r="A376">
        <v>375</v>
      </c>
      <c r="B376">
        <v>2365</v>
      </c>
      <c r="C376" t="s">
        <v>72</v>
      </c>
      <c r="D376" t="s">
        <v>73</v>
      </c>
      <c r="E376" t="s">
        <v>74</v>
      </c>
      <c r="F376" t="s">
        <v>77</v>
      </c>
      <c r="G376" t="s">
        <v>76</v>
      </c>
      <c r="H376">
        <v>61.904998155702714</v>
      </c>
      <c r="I376">
        <v>1</v>
      </c>
      <c r="J376">
        <v>6</v>
      </c>
      <c r="K376">
        <v>8</v>
      </c>
      <c r="L376">
        <v>-2</v>
      </c>
      <c r="M376">
        <v>6</v>
      </c>
      <c r="N376">
        <v>8</v>
      </c>
      <c r="O376">
        <v>-2</v>
      </c>
      <c r="P376">
        <v>6</v>
      </c>
      <c r="Q376">
        <v>8</v>
      </c>
      <c r="R376">
        <v>-2</v>
      </c>
      <c r="S376">
        <v>7</v>
      </c>
      <c r="T376">
        <v>8</v>
      </c>
      <c r="U376">
        <v>-1</v>
      </c>
      <c r="V376">
        <v>6</v>
      </c>
      <c r="W376">
        <v>7</v>
      </c>
      <c r="X376">
        <v>-1</v>
      </c>
      <c r="Y376">
        <v>7</v>
      </c>
      <c r="Z376">
        <v>6</v>
      </c>
      <c r="AA376">
        <v>1</v>
      </c>
      <c r="AB376">
        <v>5</v>
      </c>
      <c r="AC376">
        <v>6</v>
      </c>
      <c r="AD376">
        <v>-1</v>
      </c>
      <c r="AE376">
        <v>6</v>
      </c>
      <c r="AF376">
        <v>5</v>
      </c>
      <c r="AG376">
        <v>1</v>
      </c>
      <c r="AH376">
        <v>5</v>
      </c>
      <c r="AI376">
        <v>7</v>
      </c>
      <c r="AJ376">
        <v>-2</v>
      </c>
      <c r="AK376" t="s">
        <v>3548</v>
      </c>
      <c r="AL376" t="s">
        <v>3549</v>
      </c>
      <c r="AM376" t="s">
        <v>3550</v>
      </c>
      <c r="AN376" t="s">
        <v>3551</v>
      </c>
      <c r="AO376" t="s">
        <v>3552</v>
      </c>
      <c r="AP376" t="s">
        <v>3553</v>
      </c>
      <c r="AQ376" t="s">
        <v>3554</v>
      </c>
      <c r="AR376" t="s">
        <v>3555</v>
      </c>
      <c r="AS376" t="s">
        <v>3556</v>
      </c>
    </row>
    <row r="377" spans="1:45" x14ac:dyDescent="0.45">
      <c r="A377">
        <v>376</v>
      </c>
      <c r="B377">
        <v>2366</v>
      </c>
      <c r="C377" t="s">
        <v>72</v>
      </c>
      <c r="D377" t="s">
        <v>81</v>
      </c>
      <c r="E377" t="s">
        <v>74</v>
      </c>
      <c r="F377" t="s">
        <v>77</v>
      </c>
      <c r="G377" t="s">
        <v>76</v>
      </c>
      <c r="H377">
        <v>18.071519810931775</v>
      </c>
      <c r="I377">
        <v>0</v>
      </c>
      <c r="J377">
        <v>6</v>
      </c>
      <c r="K377">
        <v>6</v>
      </c>
      <c r="L377">
        <v>0</v>
      </c>
      <c r="M377">
        <v>5</v>
      </c>
      <c r="N377">
        <v>6</v>
      </c>
      <c r="O377">
        <v>-1</v>
      </c>
      <c r="P377">
        <v>7</v>
      </c>
      <c r="Q377">
        <v>5</v>
      </c>
      <c r="R377">
        <v>2</v>
      </c>
      <c r="S377">
        <v>8</v>
      </c>
      <c r="T377">
        <v>7</v>
      </c>
      <c r="U377">
        <v>1</v>
      </c>
      <c r="V377">
        <v>7</v>
      </c>
      <c r="W377">
        <v>6</v>
      </c>
      <c r="X377">
        <v>1</v>
      </c>
      <c r="Y377">
        <v>7</v>
      </c>
      <c r="Z377">
        <v>7</v>
      </c>
      <c r="AA377">
        <v>0</v>
      </c>
      <c r="AB377">
        <v>7</v>
      </c>
      <c r="AC377">
        <v>5</v>
      </c>
      <c r="AD377">
        <v>2</v>
      </c>
      <c r="AE377">
        <v>7</v>
      </c>
      <c r="AF377">
        <v>6</v>
      </c>
      <c r="AG377">
        <v>1</v>
      </c>
      <c r="AH377">
        <v>6</v>
      </c>
      <c r="AI377">
        <v>7</v>
      </c>
      <c r="AJ377">
        <v>-1</v>
      </c>
      <c r="AK377" t="s">
        <v>3557</v>
      </c>
      <c r="AL377" t="s">
        <v>3558</v>
      </c>
      <c r="AM377" t="s">
        <v>3559</v>
      </c>
      <c r="AN377" t="s">
        <v>3560</v>
      </c>
      <c r="AO377" t="s">
        <v>3561</v>
      </c>
      <c r="AP377" t="s">
        <v>3562</v>
      </c>
      <c r="AQ377" t="s">
        <v>3563</v>
      </c>
      <c r="AR377" t="s">
        <v>3564</v>
      </c>
      <c r="AS377" t="s">
        <v>3565</v>
      </c>
    </row>
    <row r="378" spans="1:45" x14ac:dyDescent="0.45">
      <c r="A378">
        <v>377</v>
      </c>
      <c r="B378">
        <v>2367</v>
      </c>
      <c r="C378" t="s">
        <v>78</v>
      </c>
      <c r="D378" t="s">
        <v>81</v>
      </c>
      <c r="E378" t="s">
        <v>74</v>
      </c>
      <c r="F378" t="s">
        <v>77</v>
      </c>
      <c r="G378" t="s">
        <v>76</v>
      </c>
      <c r="H378">
        <v>13.102010482953537</v>
      </c>
      <c r="I378">
        <v>0</v>
      </c>
      <c r="J378">
        <v>8</v>
      </c>
      <c r="K378">
        <v>7</v>
      </c>
      <c r="L378">
        <v>1</v>
      </c>
      <c r="M378">
        <v>9</v>
      </c>
      <c r="N378">
        <v>8</v>
      </c>
      <c r="O378">
        <v>1</v>
      </c>
      <c r="P378">
        <v>7</v>
      </c>
      <c r="Q378">
        <v>7</v>
      </c>
      <c r="R378">
        <v>0</v>
      </c>
      <c r="S378">
        <v>8</v>
      </c>
      <c r="T378">
        <v>7</v>
      </c>
      <c r="U378">
        <v>1</v>
      </c>
      <c r="V378">
        <v>7</v>
      </c>
      <c r="W378">
        <v>8</v>
      </c>
      <c r="X378">
        <v>-1</v>
      </c>
      <c r="Y378">
        <v>8</v>
      </c>
      <c r="Z378">
        <v>9</v>
      </c>
      <c r="AA378">
        <v>-1</v>
      </c>
      <c r="AB378">
        <v>7</v>
      </c>
      <c r="AC378">
        <v>7</v>
      </c>
      <c r="AD378">
        <v>0</v>
      </c>
      <c r="AE378">
        <v>6</v>
      </c>
      <c r="AF378">
        <v>7</v>
      </c>
      <c r="AG378">
        <v>-1</v>
      </c>
      <c r="AH378">
        <v>5</v>
      </c>
      <c r="AI378">
        <v>8</v>
      </c>
      <c r="AJ378">
        <v>-3</v>
      </c>
      <c r="AK378" t="s">
        <v>3566</v>
      </c>
      <c r="AL378" t="s">
        <v>3567</v>
      </c>
      <c r="AM378" t="s">
        <v>3568</v>
      </c>
      <c r="AN378" t="s">
        <v>3569</v>
      </c>
      <c r="AO378" t="s">
        <v>3570</v>
      </c>
      <c r="AP378" t="s">
        <v>3571</v>
      </c>
      <c r="AQ378" t="s">
        <v>3572</v>
      </c>
      <c r="AR378" t="s">
        <v>3573</v>
      </c>
      <c r="AS378" t="s">
        <v>3574</v>
      </c>
    </row>
    <row r="379" spans="1:45" x14ac:dyDescent="0.45">
      <c r="A379">
        <v>378</v>
      </c>
      <c r="B379">
        <v>2368</v>
      </c>
      <c r="C379" t="s">
        <v>72</v>
      </c>
      <c r="D379" t="s">
        <v>188</v>
      </c>
      <c r="E379" t="s">
        <v>74</v>
      </c>
      <c r="F379" t="s">
        <v>77</v>
      </c>
      <c r="G379" t="s">
        <v>76</v>
      </c>
      <c r="H379">
        <v>21.345968841037703</v>
      </c>
      <c r="I379">
        <v>0</v>
      </c>
      <c r="J379">
        <v>8</v>
      </c>
      <c r="K379">
        <v>6</v>
      </c>
      <c r="L379">
        <v>2</v>
      </c>
      <c r="M379">
        <v>7</v>
      </c>
      <c r="N379">
        <v>7</v>
      </c>
      <c r="O379">
        <v>0</v>
      </c>
      <c r="P379">
        <v>9</v>
      </c>
      <c r="Q379">
        <v>5</v>
      </c>
      <c r="R379">
        <v>4</v>
      </c>
      <c r="S379">
        <v>8</v>
      </c>
      <c r="T379">
        <v>8</v>
      </c>
      <c r="U379">
        <v>0</v>
      </c>
      <c r="V379">
        <v>9</v>
      </c>
      <c r="W379">
        <v>7</v>
      </c>
      <c r="X379">
        <v>2</v>
      </c>
      <c r="Y379">
        <v>8</v>
      </c>
      <c r="Z379">
        <v>7</v>
      </c>
      <c r="AA379">
        <v>1</v>
      </c>
      <c r="AB379">
        <v>7</v>
      </c>
      <c r="AC379">
        <v>7</v>
      </c>
      <c r="AD379">
        <v>0</v>
      </c>
      <c r="AE379">
        <v>6</v>
      </c>
      <c r="AF379">
        <v>7</v>
      </c>
      <c r="AG379">
        <v>-1</v>
      </c>
      <c r="AH379">
        <v>8</v>
      </c>
      <c r="AI379">
        <v>8</v>
      </c>
      <c r="AJ379">
        <v>0</v>
      </c>
      <c r="AK379" t="s">
        <v>3575</v>
      </c>
      <c r="AL379" t="s">
        <v>3576</v>
      </c>
      <c r="AM379" t="s">
        <v>3577</v>
      </c>
      <c r="AN379" t="s">
        <v>3578</v>
      </c>
      <c r="AO379" t="s">
        <v>3579</v>
      </c>
      <c r="AP379" t="s">
        <v>3580</v>
      </c>
      <c r="AQ379" t="s">
        <v>3581</v>
      </c>
      <c r="AR379" t="s">
        <v>3582</v>
      </c>
      <c r="AS379" t="s">
        <v>3583</v>
      </c>
    </row>
    <row r="380" spans="1:45" x14ac:dyDescent="0.45">
      <c r="A380">
        <v>379</v>
      </c>
      <c r="B380">
        <v>2369</v>
      </c>
      <c r="C380" t="s">
        <v>72</v>
      </c>
      <c r="D380" t="s">
        <v>188</v>
      </c>
      <c r="E380" t="s">
        <v>74</v>
      </c>
      <c r="F380" t="s">
        <v>77</v>
      </c>
      <c r="G380" t="s">
        <v>76</v>
      </c>
      <c r="H380">
        <v>13.086150560138417</v>
      </c>
      <c r="I380">
        <v>0</v>
      </c>
      <c r="J380">
        <v>7</v>
      </c>
      <c r="K380">
        <v>8</v>
      </c>
      <c r="L380">
        <v>-1</v>
      </c>
      <c r="M380">
        <v>8</v>
      </c>
      <c r="N380">
        <v>8</v>
      </c>
      <c r="O380">
        <v>0</v>
      </c>
      <c r="P380">
        <v>9</v>
      </c>
      <c r="Q380">
        <v>9</v>
      </c>
      <c r="R380">
        <v>0</v>
      </c>
      <c r="S380">
        <v>8</v>
      </c>
      <c r="T380">
        <v>9</v>
      </c>
      <c r="U380">
        <v>-1</v>
      </c>
      <c r="V380">
        <v>9</v>
      </c>
      <c r="W380">
        <v>7</v>
      </c>
      <c r="X380">
        <v>2</v>
      </c>
      <c r="Y380">
        <v>8</v>
      </c>
      <c r="Z380">
        <v>9</v>
      </c>
      <c r="AA380">
        <v>-1</v>
      </c>
      <c r="AB380">
        <v>8</v>
      </c>
      <c r="AC380">
        <v>7</v>
      </c>
      <c r="AD380">
        <v>1</v>
      </c>
      <c r="AE380">
        <v>7</v>
      </c>
      <c r="AF380">
        <v>7</v>
      </c>
      <c r="AG380">
        <v>0</v>
      </c>
      <c r="AH380">
        <v>8</v>
      </c>
      <c r="AI380">
        <v>9</v>
      </c>
      <c r="AJ380">
        <v>-1</v>
      </c>
      <c r="AK380" t="s">
        <v>3584</v>
      </c>
      <c r="AL380" t="s">
        <v>3585</v>
      </c>
      <c r="AM380" t="s">
        <v>3586</v>
      </c>
      <c r="AN380" t="s">
        <v>3587</v>
      </c>
      <c r="AO380" t="s">
        <v>3588</v>
      </c>
      <c r="AP380" t="s">
        <v>3589</v>
      </c>
      <c r="AQ380" t="s">
        <v>3590</v>
      </c>
      <c r="AR380" t="s">
        <v>3591</v>
      </c>
      <c r="AS380" t="s">
        <v>3592</v>
      </c>
    </row>
    <row r="381" spans="1:45" x14ac:dyDescent="0.45">
      <c r="A381">
        <v>380</v>
      </c>
      <c r="B381">
        <v>2370</v>
      </c>
      <c r="C381" t="s">
        <v>78</v>
      </c>
      <c r="D381" t="s">
        <v>188</v>
      </c>
      <c r="E381" t="s">
        <v>74</v>
      </c>
      <c r="F381" t="s">
        <v>77</v>
      </c>
      <c r="G381" t="s">
        <v>76</v>
      </c>
      <c r="H381">
        <v>19.891782772163314</v>
      </c>
      <c r="I381">
        <v>0</v>
      </c>
      <c r="J381">
        <v>8</v>
      </c>
      <c r="K381">
        <v>8</v>
      </c>
      <c r="L381">
        <v>0</v>
      </c>
      <c r="M381">
        <v>7</v>
      </c>
      <c r="N381">
        <v>8</v>
      </c>
      <c r="O381">
        <v>-1</v>
      </c>
      <c r="P381">
        <v>8</v>
      </c>
      <c r="Q381">
        <v>5</v>
      </c>
      <c r="R381">
        <v>3</v>
      </c>
      <c r="S381">
        <v>9</v>
      </c>
      <c r="T381">
        <v>8</v>
      </c>
      <c r="U381">
        <v>1</v>
      </c>
      <c r="V381">
        <v>6</v>
      </c>
      <c r="W381">
        <v>6</v>
      </c>
      <c r="X381">
        <v>0</v>
      </c>
      <c r="Y381">
        <v>7</v>
      </c>
      <c r="Z381">
        <v>9</v>
      </c>
      <c r="AA381">
        <v>-2</v>
      </c>
      <c r="AB381">
        <v>6</v>
      </c>
      <c r="AC381">
        <v>5</v>
      </c>
      <c r="AD381">
        <v>1</v>
      </c>
      <c r="AE381">
        <v>5</v>
      </c>
      <c r="AF381">
        <v>7</v>
      </c>
      <c r="AG381">
        <v>-2</v>
      </c>
      <c r="AH381">
        <v>7</v>
      </c>
      <c r="AI381">
        <v>8</v>
      </c>
      <c r="AJ381">
        <v>-1</v>
      </c>
      <c r="AK381" t="s">
        <v>3593</v>
      </c>
      <c r="AL381" t="s">
        <v>3594</v>
      </c>
      <c r="AM381" t="s">
        <v>3595</v>
      </c>
      <c r="AN381" t="s">
        <v>3596</v>
      </c>
      <c r="AO381" t="s">
        <v>3597</v>
      </c>
      <c r="AP381" t="s">
        <v>3598</v>
      </c>
      <c r="AQ381" t="s">
        <v>3599</v>
      </c>
      <c r="AR381" t="s">
        <v>3600</v>
      </c>
      <c r="AS381" t="s">
        <v>3601</v>
      </c>
    </row>
    <row r="382" spans="1:45" x14ac:dyDescent="0.45">
      <c r="A382">
        <v>381</v>
      </c>
      <c r="B382">
        <v>2371</v>
      </c>
      <c r="C382" t="s">
        <v>78</v>
      </c>
      <c r="D382" t="s">
        <v>188</v>
      </c>
      <c r="E382" t="s">
        <v>74</v>
      </c>
      <c r="F382" t="s">
        <v>189</v>
      </c>
      <c r="G382" t="s">
        <v>76</v>
      </c>
      <c r="H382">
        <v>14.038254947353952</v>
      </c>
      <c r="I382">
        <v>0</v>
      </c>
      <c r="J382">
        <v>6</v>
      </c>
      <c r="K382">
        <v>9</v>
      </c>
      <c r="L382">
        <v>-3</v>
      </c>
      <c r="M382">
        <v>7</v>
      </c>
      <c r="N382">
        <v>9</v>
      </c>
      <c r="O382">
        <v>-2</v>
      </c>
      <c r="P382">
        <v>8</v>
      </c>
      <c r="Q382">
        <v>8</v>
      </c>
      <c r="R382">
        <v>0</v>
      </c>
      <c r="S382">
        <v>7</v>
      </c>
      <c r="T382">
        <v>9</v>
      </c>
      <c r="U382">
        <v>-2</v>
      </c>
      <c r="V382">
        <v>8</v>
      </c>
      <c r="W382">
        <v>8</v>
      </c>
      <c r="X382">
        <v>0</v>
      </c>
      <c r="Y382">
        <v>6</v>
      </c>
      <c r="Z382">
        <v>10</v>
      </c>
      <c r="AA382">
        <v>-4</v>
      </c>
      <c r="AB382">
        <v>5</v>
      </c>
      <c r="AC382">
        <v>8</v>
      </c>
      <c r="AD382">
        <v>-3</v>
      </c>
      <c r="AE382">
        <v>7</v>
      </c>
      <c r="AF382">
        <v>8</v>
      </c>
      <c r="AG382">
        <v>-1</v>
      </c>
      <c r="AH382">
        <v>6</v>
      </c>
      <c r="AI382">
        <v>10</v>
      </c>
      <c r="AJ382">
        <v>-4</v>
      </c>
      <c r="AK382" t="s">
        <v>3602</v>
      </c>
      <c r="AL382" t="s">
        <v>3603</v>
      </c>
      <c r="AM382" t="s">
        <v>3604</v>
      </c>
      <c r="AN382" t="s">
        <v>3605</v>
      </c>
      <c r="AO382" t="s">
        <v>3606</v>
      </c>
      <c r="AP382" t="s">
        <v>3607</v>
      </c>
      <c r="AQ382" t="s">
        <v>3608</v>
      </c>
      <c r="AR382" t="s">
        <v>3609</v>
      </c>
      <c r="AS382" t="s">
        <v>3610</v>
      </c>
    </row>
    <row r="383" spans="1:45" x14ac:dyDescent="0.45">
      <c r="A383">
        <v>382</v>
      </c>
      <c r="B383">
        <v>2372</v>
      </c>
      <c r="C383" t="s">
        <v>72</v>
      </c>
      <c r="D383" t="s">
        <v>188</v>
      </c>
      <c r="E383" t="s">
        <v>74</v>
      </c>
      <c r="F383" t="s">
        <v>77</v>
      </c>
      <c r="G383" t="s">
        <v>76</v>
      </c>
      <c r="H383">
        <v>21.567787991110219</v>
      </c>
      <c r="I383">
        <v>1</v>
      </c>
      <c r="J383">
        <v>7</v>
      </c>
      <c r="K383">
        <v>5</v>
      </c>
      <c r="L383">
        <v>2</v>
      </c>
      <c r="M383">
        <v>6</v>
      </c>
      <c r="N383">
        <v>5</v>
      </c>
      <c r="O383">
        <v>1</v>
      </c>
      <c r="P383">
        <v>8</v>
      </c>
      <c r="Q383">
        <v>4</v>
      </c>
      <c r="R383">
        <v>4</v>
      </c>
      <c r="S383">
        <v>9</v>
      </c>
      <c r="T383">
        <v>8</v>
      </c>
      <c r="U383">
        <v>1</v>
      </c>
      <c r="V383">
        <v>8</v>
      </c>
      <c r="W383">
        <v>4</v>
      </c>
      <c r="X383">
        <v>4</v>
      </c>
      <c r="Y383">
        <v>7</v>
      </c>
      <c r="Z383">
        <v>8</v>
      </c>
      <c r="AA383">
        <v>-1</v>
      </c>
      <c r="AB383">
        <v>6</v>
      </c>
      <c r="AC383">
        <v>4</v>
      </c>
      <c r="AD383">
        <v>2</v>
      </c>
      <c r="AE383">
        <v>7</v>
      </c>
      <c r="AF383">
        <v>5</v>
      </c>
      <c r="AG383">
        <v>2</v>
      </c>
      <c r="AH383">
        <v>8</v>
      </c>
      <c r="AI383">
        <v>7</v>
      </c>
      <c r="AJ383">
        <v>1</v>
      </c>
      <c r="AK383" t="s">
        <v>3611</v>
      </c>
      <c r="AL383" t="s">
        <v>3612</v>
      </c>
      <c r="AM383" t="s">
        <v>3613</v>
      </c>
      <c r="AN383" t="s">
        <v>3614</v>
      </c>
      <c r="AO383" t="s">
        <v>3615</v>
      </c>
      <c r="AP383" t="s">
        <v>3616</v>
      </c>
      <c r="AQ383" t="s">
        <v>3617</v>
      </c>
      <c r="AR383" t="s">
        <v>3618</v>
      </c>
      <c r="AS383" t="s">
        <v>3619</v>
      </c>
    </row>
    <row r="384" spans="1:45" x14ac:dyDescent="0.45">
      <c r="A384">
        <v>383</v>
      </c>
      <c r="B384">
        <v>2373</v>
      </c>
      <c r="C384" t="s">
        <v>78</v>
      </c>
      <c r="D384" t="s">
        <v>190</v>
      </c>
      <c r="E384" t="s">
        <v>74</v>
      </c>
      <c r="F384" t="s">
        <v>75</v>
      </c>
      <c r="G384" t="s">
        <v>76</v>
      </c>
      <c r="H384">
        <v>86.583662625862345</v>
      </c>
      <c r="I384">
        <v>2</v>
      </c>
      <c r="J384">
        <v>7</v>
      </c>
      <c r="K384">
        <v>1</v>
      </c>
      <c r="L384">
        <v>6</v>
      </c>
      <c r="M384">
        <v>8</v>
      </c>
      <c r="N384">
        <v>1</v>
      </c>
      <c r="O384">
        <v>7</v>
      </c>
      <c r="P384">
        <v>9</v>
      </c>
      <c r="Q384">
        <v>4</v>
      </c>
      <c r="R384">
        <v>5</v>
      </c>
      <c r="S384">
        <v>8</v>
      </c>
      <c r="T384">
        <v>5</v>
      </c>
      <c r="U384">
        <v>3</v>
      </c>
      <c r="V384">
        <v>6</v>
      </c>
      <c r="W384">
        <v>5</v>
      </c>
      <c r="X384">
        <v>1</v>
      </c>
      <c r="Y384">
        <v>7</v>
      </c>
      <c r="Z384">
        <v>4</v>
      </c>
      <c r="AA384">
        <v>3</v>
      </c>
      <c r="AB384">
        <v>6</v>
      </c>
      <c r="AC384">
        <v>4</v>
      </c>
      <c r="AD384">
        <v>2</v>
      </c>
      <c r="AE384">
        <v>7</v>
      </c>
      <c r="AF384">
        <v>5</v>
      </c>
      <c r="AG384">
        <v>2</v>
      </c>
      <c r="AH384">
        <v>8</v>
      </c>
      <c r="AI384">
        <v>3</v>
      </c>
      <c r="AJ384">
        <v>5</v>
      </c>
      <c r="AK384" t="s">
        <v>3620</v>
      </c>
      <c r="AL384" t="s">
        <v>3621</v>
      </c>
      <c r="AM384" t="s">
        <v>3622</v>
      </c>
      <c r="AN384" t="s">
        <v>3623</v>
      </c>
      <c r="AO384" t="s">
        <v>3624</v>
      </c>
      <c r="AP384" t="s">
        <v>3625</v>
      </c>
      <c r="AQ384" t="s">
        <v>3626</v>
      </c>
      <c r="AR384" t="s">
        <v>3627</v>
      </c>
      <c r="AS384" t="s">
        <v>3628</v>
      </c>
    </row>
    <row r="385" spans="1:45" x14ac:dyDescent="0.45">
      <c r="A385">
        <v>384</v>
      </c>
      <c r="B385">
        <v>2374</v>
      </c>
      <c r="C385" t="s">
        <v>78</v>
      </c>
      <c r="D385" t="s">
        <v>188</v>
      </c>
      <c r="E385" t="s">
        <v>74</v>
      </c>
      <c r="F385" t="s">
        <v>77</v>
      </c>
      <c r="G385" t="s">
        <v>76</v>
      </c>
      <c r="H385">
        <v>12</v>
      </c>
      <c r="I385">
        <v>0</v>
      </c>
      <c r="J385">
        <v>8</v>
      </c>
      <c r="K385">
        <v>7</v>
      </c>
      <c r="L385">
        <v>1</v>
      </c>
      <c r="M385">
        <v>7</v>
      </c>
      <c r="N385">
        <v>7</v>
      </c>
      <c r="O385">
        <v>0</v>
      </c>
      <c r="P385">
        <v>9</v>
      </c>
      <c r="Q385">
        <v>7</v>
      </c>
      <c r="R385">
        <v>2</v>
      </c>
      <c r="S385">
        <v>8</v>
      </c>
      <c r="T385">
        <v>9</v>
      </c>
      <c r="U385">
        <v>-1</v>
      </c>
      <c r="V385">
        <v>8</v>
      </c>
      <c r="W385">
        <v>8</v>
      </c>
      <c r="X385">
        <v>0</v>
      </c>
      <c r="Y385">
        <v>7</v>
      </c>
      <c r="Z385">
        <v>10</v>
      </c>
      <c r="AA385">
        <v>-3</v>
      </c>
      <c r="AB385">
        <v>6</v>
      </c>
      <c r="AC385">
        <v>8</v>
      </c>
      <c r="AD385">
        <v>-2</v>
      </c>
      <c r="AE385">
        <v>5</v>
      </c>
      <c r="AF385">
        <v>7</v>
      </c>
      <c r="AG385">
        <v>-2</v>
      </c>
      <c r="AH385">
        <v>8</v>
      </c>
      <c r="AI385">
        <v>10</v>
      </c>
      <c r="AJ385">
        <v>-2</v>
      </c>
      <c r="AK385" t="s">
        <v>3629</v>
      </c>
      <c r="AL385" t="s">
        <v>3630</v>
      </c>
      <c r="AM385" t="s">
        <v>3631</v>
      </c>
      <c r="AN385" t="s">
        <v>3632</v>
      </c>
      <c r="AO385" t="s">
        <v>3633</v>
      </c>
      <c r="AP385" t="s">
        <v>3634</v>
      </c>
      <c r="AQ385" t="s">
        <v>3635</v>
      </c>
      <c r="AR385" t="s">
        <v>3636</v>
      </c>
      <c r="AS385" t="s">
        <v>3637</v>
      </c>
    </row>
    <row r="386" spans="1:45" x14ac:dyDescent="0.45">
      <c r="A386">
        <v>385</v>
      </c>
      <c r="B386">
        <v>2375</v>
      </c>
      <c r="C386" t="s">
        <v>78</v>
      </c>
      <c r="D386" t="s">
        <v>79</v>
      </c>
      <c r="E386" t="s">
        <v>74</v>
      </c>
      <c r="F386" t="s">
        <v>77</v>
      </c>
      <c r="G386" t="s">
        <v>76</v>
      </c>
      <c r="H386">
        <v>35.124308822432177</v>
      </c>
      <c r="I386">
        <v>2</v>
      </c>
      <c r="J386">
        <v>4</v>
      </c>
      <c r="K386">
        <v>3</v>
      </c>
      <c r="L386">
        <v>1</v>
      </c>
      <c r="M386">
        <v>6</v>
      </c>
      <c r="N386">
        <v>3</v>
      </c>
      <c r="O386">
        <v>3</v>
      </c>
      <c r="P386">
        <v>8</v>
      </c>
      <c r="Q386">
        <v>4</v>
      </c>
      <c r="R386">
        <v>4</v>
      </c>
      <c r="S386">
        <v>5</v>
      </c>
      <c r="T386">
        <v>6</v>
      </c>
      <c r="U386">
        <v>-1</v>
      </c>
      <c r="V386">
        <v>3</v>
      </c>
      <c r="W386">
        <v>4</v>
      </c>
      <c r="X386">
        <v>-1</v>
      </c>
      <c r="Y386">
        <v>7</v>
      </c>
      <c r="Z386">
        <v>5</v>
      </c>
      <c r="AA386">
        <v>2</v>
      </c>
      <c r="AB386">
        <v>4</v>
      </c>
      <c r="AC386">
        <v>4</v>
      </c>
      <c r="AD386">
        <v>0</v>
      </c>
      <c r="AE386">
        <v>5</v>
      </c>
      <c r="AF386">
        <v>5</v>
      </c>
      <c r="AG386">
        <v>0</v>
      </c>
      <c r="AH386">
        <v>6</v>
      </c>
      <c r="AI386">
        <v>5</v>
      </c>
      <c r="AJ386">
        <v>1</v>
      </c>
      <c r="AK386" t="s">
        <v>3638</v>
      </c>
      <c r="AL386" t="s">
        <v>3639</v>
      </c>
      <c r="AM386" t="s">
        <v>3640</v>
      </c>
      <c r="AN386" t="s">
        <v>3641</v>
      </c>
      <c r="AO386" t="s">
        <v>3642</v>
      </c>
      <c r="AP386" t="s">
        <v>3643</v>
      </c>
      <c r="AQ386" t="s">
        <v>3644</v>
      </c>
      <c r="AR386" t="s">
        <v>3645</v>
      </c>
      <c r="AS386" t="s">
        <v>3646</v>
      </c>
    </row>
    <row r="387" spans="1:45" x14ac:dyDescent="0.45">
      <c r="A387">
        <v>386</v>
      </c>
      <c r="B387">
        <v>2376</v>
      </c>
      <c r="C387" t="s">
        <v>72</v>
      </c>
      <c r="D387" t="s">
        <v>81</v>
      </c>
      <c r="E387" t="s">
        <v>74</v>
      </c>
      <c r="F387" t="s">
        <v>75</v>
      </c>
      <c r="G387" t="s">
        <v>76</v>
      </c>
      <c r="H387">
        <v>29.241842720020962</v>
      </c>
      <c r="I387">
        <v>0</v>
      </c>
      <c r="J387">
        <v>9</v>
      </c>
      <c r="K387">
        <v>8</v>
      </c>
      <c r="L387">
        <v>1</v>
      </c>
      <c r="M387">
        <v>8</v>
      </c>
      <c r="N387">
        <v>8</v>
      </c>
      <c r="O387">
        <v>0</v>
      </c>
      <c r="P387">
        <v>8</v>
      </c>
      <c r="Q387">
        <v>9</v>
      </c>
      <c r="R387">
        <v>-1</v>
      </c>
      <c r="S387">
        <v>7</v>
      </c>
      <c r="T387">
        <v>8</v>
      </c>
      <c r="U387">
        <v>-1</v>
      </c>
      <c r="V387">
        <v>8</v>
      </c>
      <c r="W387">
        <v>7</v>
      </c>
      <c r="X387">
        <v>1</v>
      </c>
      <c r="Y387">
        <v>7</v>
      </c>
      <c r="Z387">
        <v>8</v>
      </c>
      <c r="AA387">
        <v>-1</v>
      </c>
      <c r="AB387">
        <v>6</v>
      </c>
      <c r="AC387">
        <v>7</v>
      </c>
      <c r="AD387">
        <v>-1</v>
      </c>
      <c r="AE387">
        <v>8</v>
      </c>
      <c r="AF387">
        <v>7</v>
      </c>
      <c r="AG387">
        <v>1</v>
      </c>
      <c r="AH387">
        <v>9</v>
      </c>
      <c r="AI387">
        <v>8</v>
      </c>
      <c r="AJ387">
        <v>1</v>
      </c>
      <c r="AK387" t="s">
        <v>3647</v>
      </c>
      <c r="AL387" t="s">
        <v>3648</v>
      </c>
      <c r="AM387" t="s">
        <v>3649</v>
      </c>
      <c r="AN387" t="s">
        <v>3650</v>
      </c>
      <c r="AO387" t="s">
        <v>3651</v>
      </c>
      <c r="AP387" t="s">
        <v>3652</v>
      </c>
      <c r="AQ387" t="s">
        <v>3653</v>
      </c>
      <c r="AR387" t="s">
        <v>3654</v>
      </c>
      <c r="AS387" t="s">
        <v>3655</v>
      </c>
    </row>
    <row r="388" spans="1:45" x14ac:dyDescent="0.45">
      <c r="A388">
        <v>387</v>
      </c>
      <c r="B388">
        <v>2377</v>
      </c>
      <c r="C388" t="s">
        <v>78</v>
      </c>
      <c r="D388" t="s">
        <v>73</v>
      </c>
      <c r="E388" t="s">
        <v>74</v>
      </c>
      <c r="F388" t="s">
        <v>77</v>
      </c>
      <c r="G388" t="s">
        <v>76</v>
      </c>
      <c r="H388">
        <v>52.847932292906329</v>
      </c>
      <c r="I388">
        <v>2</v>
      </c>
      <c r="J388">
        <v>7</v>
      </c>
      <c r="K388">
        <v>5</v>
      </c>
      <c r="L388">
        <v>2</v>
      </c>
      <c r="M388">
        <v>8</v>
      </c>
      <c r="N388">
        <v>5</v>
      </c>
      <c r="O388">
        <v>3</v>
      </c>
      <c r="P388">
        <v>9</v>
      </c>
      <c r="Q388">
        <v>5</v>
      </c>
      <c r="R388">
        <v>4</v>
      </c>
      <c r="S388">
        <v>8</v>
      </c>
      <c r="T388">
        <v>5</v>
      </c>
      <c r="U388">
        <v>3</v>
      </c>
      <c r="V388">
        <v>6</v>
      </c>
      <c r="W388">
        <v>5</v>
      </c>
      <c r="X388">
        <v>1</v>
      </c>
      <c r="Y388">
        <v>7</v>
      </c>
      <c r="Z388">
        <v>5</v>
      </c>
      <c r="AA388">
        <v>2</v>
      </c>
      <c r="AB388">
        <v>6</v>
      </c>
      <c r="AC388">
        <v>5</v>
      </c>
      <c r="AD388">
        <v>1</v>
      </c>
      <c r="AE388">
        <v>5</v>
      </c>
      <c r="AF388">
        <v>5</v>
      </c>
      <c r="AG388">
        <v>0</v>
      </c>
      <c r="AH388">
        <v>7</v>
      </c>
      <c r="AI388">
        <v>5</v>
      </c>
      <c r="AJ388">
        <v>2</v>
      </c>
      <c r="AK388" t="s">
        <v>3656</v>
      </c>
      <c r="AL388" t="s">
        <v>3657</v>
      </c>
      <c r="AM388" t="s">
        <v>3658</v>
      </c>
      <c r="AN388" t="s">
        <v>3659</v>
      </c>
      <c r="AO388" t="s">
        <v>3660</v>
      </c>
      <c r="AP388" t="s">
        <v>3661</v>
      </c>
      <c r="AQ388" t="s">
        <v>3662</v>
      </c>
      <c r="AR388" t="s">
        <v>3663</v>
      </c>
      <c r="AS388" t="s">
        <v>3664</v>
      </c>
    </row>
    <row r="389" spans="1:45" x14ac:dyDescent="0.45">
      <c r="A389">
        <v>388</v>
      </c>
      <c r="B389">
        <v>2378</v>
      </c>
      <c r="C389" t="s">
        <v>78</v>
      </c>
      <c r="D389" t="s">
        <v>188</v>
      </c>
      <c r="E389" t="s">
        <v>74</v>
      </c>
      <c r="F389" t="s">
        <v>77</v>
      </c>
      <c r="G389" t="s">
        <v>76</v>
      </c>
      <c r="H389">
        <v>12.676222042255832</v>
      </c>
      <c r="I389">
        <v>0</v>
      </c>
      <c r="J389">
        <v>7</v>
      </c>
      <c r="K389">
        <v>7</v>
      </c>
      <c r="L389">
        <v>0</v>
      </c>
      <c r="M389">
        <v>6</v>
      </c>
      <c r="N389">
        <v>7</v>
      </c>
      <c r="O389">
        <v>-1</v>
      </c>
      <c r="P389">
        <v>8</v>
      </c>
      <c r="Q389">
        <v>5</v>
      </c>
      <c r="R389">
        <v>3</v>
      </c>
      <c r="S389">
        <v>9</v>
      </c>
      <c r="T389">
        <v>8</v>
      </c>
      <c r="U389">
        <v>1</v>
      </c>
      <c r="V389">
        <v>8</v>
      </c>
      <c r="W389">
        <v>6</v>
      </c>
      <c r="X389">
        <v>2</v>
      </c>
      <c r="Y389">
        <v>7</v>
      </c>
      <c r="Z389">
        <v>8</v>
      </c>
      <c r="AA389">
        <v>-1</v>
      </c>
      <c r="AB389">
        <v>6</v>
      </c>
      <c r="AC389">
        <v>5</v>
      </c>
      <c r="AD389">
        <v>1</v>
      </c>
      <c r="AE389">
        <v>5</v>
      </c>
      <c r="AF389">
        <v>5</v>
      </c>
      <c r="AG389">
        <v>0</v>
      </c>
      <c r="AH389">
        <v>6</v>
      </c>
      <c r="AI389">
        <v>8</v>
      </c>
      <c r="AJ389">
        <v>-2</v>
      </c>
      <c r="AK389" t="s">
        <v>3665</v>
      </c>
      <c r="AL389" t="s">
        <v>3666</v>
      </c>
      <c r="AM389" t="s">
        <v>3667</v>
      </c>
      <c r="AN389" t="s">
        <v>3668</v>
      </c>
      <c r="AO389" t="s">
        <v>3669</v>
      </c>
      <c r="AP389" t="s">
        <v>3670</v>
      </c>
      <c r="AQ389" t="s">
        <v>3671</v>
      </c>
      <c r="AR389" t="s">
        <v>3672</v>
      </c>
      <c r="AS389" t="s">
        <v>3673</v>
      </c>
    </row>
    <row r="390" spans="1:45" x14ac:dyDescent="0.45">
      <c r="A390">
        <v>389</v>
      </c>
      <c r="B390">
        <v>2379</v>
      </c>
      <c r="C390" t="s">
        <v>78</v>
      </c>
      <c r="D390" t="s">
        <v>81</v>
      </c>
      <c r="E390" t="s">
        <v>74</v>
      </c>
      <c r="F390" t="s">
        <v>77</v>
      </c>
      <c r="G390" t="s">
        <v>76</v>
      </c>
      <c r="H390">
        <v>20.136205359719021</v>
      </c>
      <c r="I390">
        <v>0</v>
      </c>
      <c r="J390">
        <v>7</v>
      </c>
      <c r="K390">
        <v>6</v>
      </c>
      <c r="L390">
        <v>1</v>
      </c>
      <c r="M390">
        <v>8</v>
      </c>
      <c r="N390">
        <v>8</v>
      </c>
      <c r="O390">
        <v>0</v>
      </c>
      <c r="P390">
        <v>9</v>
      </c>
      <c r="Q390">
        <v>7</v>
      </c>
      <c r="R390">
        <v>2</v>
      </c>
      <c r="S390">
        <v>8</v>
      </c>
      <c r="T390">
        <v>8</v>
      </c>
      <c r="U390">
        <v>0</v>
      </c>
      <c r="V390">
        <v>7</v>
      </c>
      <c r="W390">
        <v>6</v>
      </c>
      <c r="X390">
        <v>1</v>
      </c>
      <c r="Y390">
        <v>5</v>
      </c>
      <c r="Z390">
        <v>8</v>
      </c>
      <c r="AA390">
        <v>-3</v>
      </c>
      <c r="AB390">
        <v>6</v>
      </c>
      <c r="AC390">
        <v>5</v>
      </c>
      <c r="AD390">
        <v>1</v>
      </c>
      <c r="AE390">
        <v>7</v>
      </c>
      <c r="AF390">
        <v>5</v>
      </c>
      <c r="AG390">
        <v>2</v>
      </c>
      <c r="AH390">
        <v>7</v>
      </c>
      <c r="AI390">
        <v>8</v>
      </c>
      <c r="AJ390">
        <v>-1</v>
      </c>
      <c r="AK390" t="s">
        <v>3674</v>
      </c>
      <c r="AL390" t="s">
        <v>3675</v>
      </c>
      <c r="AM390" t="s">
        <v>3676</v>
      </c>
      <c r="AN390" t="s">
        <v>3677</v>
      </c>
      <c r="AO390" t="s">
        <v>3678</v>
      </c>
      <c r="AP390" t="s">
        <v>3679</v>
      </c>
      <c r="AQ390" t="s">
        <v>3680</v>
      </c>
      <c r="AR390" t="s">
        <v>3681</v>
      </c>
      <c r="AS390" t="s">
        <v>3682</v>
      </c>
    </row>
    <row r="391" spans="1:45" x14ac:dyDescent="0.45">
      <c r="A391">
        <v>390</v>
      </c>
      <c r="B391">
        <v>2380</v>
      </c>
      <c r="C391" t="s">
        <v>72</v>
      </c>
      <c r="D391" t="s">
        <v>79</v>
      </c>
      <c r="E391" t="s">
        <v>74</v>
      </c>
      <c r="F391" t="s">
        <v>75</v>
      </c>
      <c r="G391" t="s">
        <v>76</v>
      </c>
      <c r="H391">
        <v>34.459279784677925</v>
      </c>
      <c r="I391">
        <v>3</v>
      </c>
      <c r="J391">
        <v>7</v>
      </c>
      <c r="K391">
        <v>10</v>
      </c>
      <c r="L391">
        <v>-3</v>
      </c>
      <c r="M391">
        <v>6</v>
      </c>
      <c r="N391">
        <v>10</v>
      </c>
      <c r="O391">
        <v>-4</v>
      </c>
      <c r="P391">
        <v>8</v>
      </c>
      <c r="Q391">
        <v>5</v>
      </c>
      <c r="R391">
        <v>3</v>
      </c>
      <c r="S391">
        <v>7</v>
      </c>
      <c r="T391">
        <v>9</v>
      </c>
      <c r="U391">
        <v>-2</v>
      </c>
      <c r="V391">
        <v>8</v>
      </c>
      <c r="W391">
        <v>7</v>
      </c>
      <c r="X391">
        <v>1</v>
      </c>
      <c r="Y391">
        <v>6</v>
      </c>
      <c r="Z391">
        <v>8</v>
      </c>
      <c r="AA391">
        <v>-2</v>
      </c>
      <c r="AB391">
        <v>7</v>
      </c>
      <c r="AC391">
        <v>5</v>
      </c>
      <c r="AD391">
        <v>2</v>
      </c>
      <c r="AE391">
        <v>6</v>
      </c>
      <c r="AF391">
        <v>5</v>
      </c>
      <c r="AG391">
        <v>1</v>
      </c>
      <c r="AH391">
        <v>8</v>
      </c>
      <c r="AI391">
        <v>8</v>
      </c>
      <c r="AJ391">
        <v>0</v>
      </c>
      <c r="AK391" t="s">
        <v>3683</v>
      </c>
      <c r="AL391" t="s">
        <v>3684</v>
      </c>
      <c r="AM391" t="s">
        <v>3685</v>
      </c>
      <c r="AN391" t="s">
        <v>3686</v>
      </c>
      <c r="AO391" t="s">
        <v>3687</v>
      </c>
      <c r="AP391" t="s">
        <v>3688</v>
      </c>
      <c r="AQ391" t="s">
        <v>3689</v>
      </c>
      <c r="AR391" t="s">
        <v>3690</v>
      </c>
      <c r="AS391" t="s">
        <v>3691</v>
      </c>
    </row>
    <row r="392" spans="1:45" x14ac:dyDescent="0.45">
      <c r="A392">
        <v>391</v>
      </c>
      <c r="B392">
        <v>2381</v>
      </c>
      <c r="C392" t="s">
        <v>78</v>
      </c>
      <c r="D392" t="s">
        <v>81</v>
      </c>
      <c r="E392" t="s">
        <v>74</v>
      </c>
      <c r="F392" t="s">
        <v>77</v>
      </c>
      <c r="G392" t="s">
        <v>76</v>
      </c>
      <c r="H392">
        <v>15.101688341676548</v>
      </c>
      <c r="I392">
        <v>0</v>
      </c>
      <c r="J392">
        <v>6</v>
      </c>
      <c r="K392">
        <v>4</v>
      </c>
      <c r="L392">
        <v>2</v>
      </c>
      <c r="M392">
        <v>6</v>
      </c>
      <c r="N392">
        <v>5</v>
      </c>
      <c r="O392">
        <v>1</v>
      </c>
      <c r="P392">
        <v>8</v>
      </c>
      <c r="Q392">
        <v>7</v>
      </c>
      <c r="R392">
        <v>1</v>
      </c>
      <c r="S392">
        <v>8</v>
      </c>
      <c r="T392">
        <v>7</v>
      </c>
      <c r="U392">
        <v>1</v>
      </c>
      <c r="V392">
        <v>7</v>
      </c>
      <c r="W392">
        <v>5</v>
      </c>
      <c r="X392">
        <v>2</v>
      </c>
      <c r="Y392">
        <v>7</v>
      </c>
      <c r="Z392">
        <v>7</v>
      </c>
      <c r="AA392">
        <v>0</v>
      </c>
      <c r="AB392">
        <v>7</v>
      </c>
      <c r="AC392">
        <v>5</v>
      </c>
      <c r="AD392">
        <v>2</v>
      </c>
      <c r="AE392">
        <v>6</v>
      </c>
      <c r="AF392">
        <v>5</v>
      </c>
      <c r="AG392">
        <v>1</v>
      </c>
      <c r="AH392">
        <v>7</v>
      </c>
      <c r="AI392">
        <v>7</v>
      </c>
      <c r="AJ392">
        <v>0</v>
      </c>
      <c r="AK392" t="s">
        <v>3692</v>
      </c>
      <c r="AL392" t="s">
        <v>3693</v>
      </c>
      <c r="AM392" t="s">
        <v>3694</v>
      </c>
      <c r="AN392" t="s">
        <v>3695</v>
      </c>
      <c r="AO392" t="s">
        <v>3696</v>
      </c>
      <c r="AP392" t="s">
        <v>3697</v>
      </c>
      <c r="AQ392" t="s">
        <v>3698</v>
      </c>
      <c r="AR392" t="s">
        <v>3699</v>
      </c>
      <c r="AS392" t="s">
        <v>3700</v>
      </c>
    </row>
    <row r="393" spans="1:45" x14ac:dyDescent="0.45">
      <c r="A393">
        <v>392</v>
      </c>
      <c r="B393">
        <v>2382</v>
      </c>
      <c r="C393" t="s">
        <v>72</v>
      </c>
      <c r="D393" t="s">
        <v>192</v>
      </c>
      <c r="E393" t="s">
        <v>74</v>
      </c>
      <c r="F393" t="s">
        <v>75</v>
      </c>
      <c r="G393" t="s">
        <v>76</v>
      </c>
      <c r="H393">
        <v>153.63499539382221</v>
      </c>
      <c r="I393">
        <v>4</v>
      </c>
      <c r="J393">
        <v>8</v>
      </c>
      <c r="K393">
        <v>2</v>
      </c>
      <c r="L393">
        <v>6</v>
      </c>
      <c r="M393">
        <v>7</v>
      </c>
      <c r="N393">
        <v>3</v>
      </c>
      <c r="O393">
        <v>4</v>
      </c>
      <c r="P393">
        <v>9</v>
      </c>
      <c r="Q393">
        <v>3</v>
      </c>
      <c r="R393">
        <v>6</v>
      </c>
      <c r="S393">
        <v>8</v>
      </c>
      <c r="T393">
        <v>6</v>
      </c>
      <c r="U393">
        <v>2</v>
      </c>
      <c r="V393">
        <v>6</v>
      </c>
      <c r="W393">
        <v>5</v>
      </c>
      <c r="X393">
        <v>1</v>
      </c>
      <c r="Y393">
        <v>7</v>
      </c>
      <c r="Z393">
        <v>5</v>
      </c>
      <c r="AA393">
        <v>2</v>
      </c>
      <c r="AB393">
        <v>8</v>
      </c>
      <c r="AC393">
        <v>5</v>
      </c>
      <c r="AD393">
        <v>3</v>
      </c>
      <c r="AE393">
        <v>6</v>
      </c>
      <c r="AF393">
        <v>5</v>
      </c>
      <c r="AG393">
        <v>1</v>
      </c>
      <c r="AH393">
        <v>7</v>
      </c>
      <c r="AI393">
        <v>5</v>
      </c>
      <c r="AJ393">
        <v>2</v>
      </c>
      <c r="AK393" t="s">
        <v>3701</v>
      </c>
      <c r="AL393" t="s">
        <v>3702</v>
      </c>
      <c r="AM393" t="s">
        <v>3703</v>
      </c>
      <c r="AN393" t="s">
        <v>3704</v>
      </c>
      <c r="AO393" t="s">
        <v>3705</v>
      </c>
      <c r="AP393" t="s">
        <v>3706</v>
      </c>
      <c r="AQ393" t="s">
        <v>3707</v>
      </c>
      <c r="AR393" t="s">
        <v>3708</v>
      </c>
      <c r="AS393" t="s">
        <v>3709</v>
      </c>
    </row>
    <row r="394" spans="1:45" x14ac:dyDescent="0.45">
      <c r="A394">
        <v>393</v>
      </c>
      <c r="B394">
        <v>2383</v>
      </c>
      <c r="C394" t="s">
        <v>72</v>
      </c>
      <c r="D394" t="s">
        <v>73</v>
      </c>
      <c r="E394" t="s">
        <v>74</v>
      </c>
      <c r="F394" t="s">
        <v>77</v>
      </c>
      <c r="G394" t="s">
        <v>76</v>
      </c>
      <c r="H394">
        <v>26.366368373254399</v>
      </c>
      <c r="I394">
        <v>2</v>
      </c>
      <c r="J394">
        <v>8</v>
      </c>
      <c r="K394">
        <v>7</v>
      </c>
      <c r="L394">
        <v>1</v>
      </c>
      <c r="M394">
        <v>9</v>
      </c>
      <c r="N394">
        <v>7</v>
      </c>
      <c r="O394">
        <v>2</v>
      </c>
      <c r="P394">
        <v>7</v>
      </c>
      <c r="Q394">
        <v>5</v>
      </c>
      <c r="R394">
        <v>2</v>
      </c>
      <c r="S394">
        <v>8</v>
      </c>
      <c r="T394">
        <v>8</v>
      </c>
      <c r="U394">
        <v>0</v>
      </c>
      <c r="V394">
        <v>7</v>
      </c>
      <c r="W394">
        <v>7</v>
      </c>
      <c r="X394">
        <v>0</v>
      </c>
      <c r="Y394">
        <v>8</v>
      </c>
      <c r="Z394">
        <v>7</v>
      </c>
      <c r="AA394">
        <v>1</v>
      </c>
      <c r="AB394">
        <v>7</v>
      </c>
      <c r="AC394">
        <v>5</v>
      </c>
      <c r="AD394">
        <v>2</v>
      </c>
      <c r="AE394">
        <v>5</v>
      </c>
      <c r="AF394">
        <v>6</v>
      </c>
      <c r="AG394">
        <v>-1</v>
      </c>
      <c r="AH394">
        <v>6</v>
      </c>
      <c r="AI394">
        <v>7</v>
      </c>
      <c r="AJ394">
        <v>-1</v>
      </c>
      <c r="AK394" t="s">
        <v>3710</v>
      </c>
      <c r="AL394" t="s">
        <v>3711</v>
      </c>
      <c r="AM394" t="s">
        <v>3712</v>
      </c>
      <c r="AN394" t="s">
        <v>3713</v>
      </c>
      <c r="AO394" t="s">
        <v>217</v>
      </c>
      <c r="AP394" t="s">
        <v>3714</v>
      </c>
      <c r="AQ394" t="s">
        <v>3715</v>
      </c>
      <c r="AR394" t="s">
        <v>3716</v>
      </c>
      <c r="AS394" t="s">
        <v>3717</v>
      </c>
    </row>
    <row r="395" spans="1:45" x14ac:dyDescent="0.45">
      <c r="A395">
        <v>394</v>
      </c>
      <c r="B395">
        <v>2384</v>
      </c>
      <c r="C395" t="s">
        <v>78</v>
      </c>
      <c r="D395" t="s">
        <v>81</v>
      </c>
      <c r="E395" t="s">
        <v>74</v>
      </c>
      <c r="F395" t="s">
        <v>77</v>
      </c>
      <c r="G395" t="s">
        <v>76</v>
      </c>
      <c r="H395">
        <v>12</v>
      </c>
      <c r="I395">
        <v>1</v>
      </c>
      <c r="J395">
        <v>8</v>
      </c>
      <c r="K395">
        <v>9</v>
      </c>
      <c r="L395">
        <v>-1</v>
      </c>
      <c r="M395">
        <v>9</v>
      </c>
      <c r="N395">
        <v>9</v>
      </c>
      <c r="O395">
        <v>0</v>
      </c>
      <c r="P395">
        <v>8</v>
      </c>
      <c r="Q395">
        <v>9</v>
      </c>
      <c r="R395">
        <v>-1</v>
      </c>
      <c r="S395">
        <v>7</v>
      </c>
      <c r="T395">
        <v>7</v>
      </c>
      <c r="U395">
        <v>0</v>
      </c>
      <c r="V395">
        <v>8</v>
      </c>
      <c r="W395">
        <v>8</v>
      </c>
      <c r="X395">
        <v>0</v>
      </c>
      <c r="Y395">
        <v>7</v>
      </c>
      <c r="Z395">
        <v>6</v>
      </c>
      <c r="AA395">
        <v>1</v>
      </c>
      <c r="AB395">
        <v>8</v>
      </c>
      <c r="AC395">
        <v>8</v>
      </c>
      <c r="AD395">
        <v>0</v>
      </c>
      <c r="AE395">
        <v>7</v>
      </c>
      <c r="AF395">
        <v>10</v>
      </c>
      <c r="AG395">
        <v>-3</v>
      </c>
      <c r="AH395">
        <v>8</v>
      </c>
      <c r="AI395">
        <v>10</v>
      </c>
      <c r="AJ395">
        <v>-2</v>
      </c>
      <c r="AK395" t="s">
        <v>3718</v>
      </c>
      <c r="AL395" t="s">
        <v>3719</v>
      </c>
      <c r="AM395" t="s">
        <v>3720</v>
      </c>
      <c r="AN395" t="s">
        <v>3721</v>
      </c>
      <c r="AO395" t="s">
        <v>3722</v>
      </c>
      <c r="AP395" t="s">
        <v>3723</v>
      </c>
      <c r="AQ395" t="s">
        <v>3724</v>
      </c>
      <c r="AR395" t="s">
        <v>3725</v>
      </c>
      <c r="AS395" t="s">
        <v>3726</v>
      </c>
    </row>
    <row r="396" spans="1:45" x14ac:dyDescent="0.45">
      <c r="A396">
        <v>395</v>
      </c>
      <c r="B396">
        <v>2385</v>
      </c>
      <c r="C396" t="s">
        <v>78</v>
      </c>
      <c r="D396" t="s">
        <v>190</v>
      </c>
      <c r="E396" t="s">
        <v>74</v>
      </c>
      <c r="F396" t="s">
        <v>77</v>
      </c>
      <c r="G396" t="s">
        <v>76</v>
      </c>
      <c r="H396">
        <v>37.18922022252984</v>
      </c>
      <c r="I396">
        <v>1</v>
      </c>
      <c r="J396">
        <v>8</v>
      </c>
      <c r="K396">
        <v>7</v>
      </c>
      <c r="L396">
        <v>1</v>
      </c>
      <c r="M396">
        <v>7</v>
      </c>
      <c r="N396">
        <v>7</v>
      </c>
      <c r="O396">
        <v>0</v>
      </c>
      <c r="P396">
        <v>9</v>
      </c>
      <c r="Q396">
        <v>5</v>
      </c>
      <c r="R396">
        <v>4</v>
      </c>
      <c r="S396">
        <v>8</v>
      </c>
      <c r="T396">
        <v>7</v>
      </c>
      <c r="U396">
        <v>1</v>
      </c>
      <c r="V396">
        <v>7</v>
      </c>
      <c r="W396">
        <v>5</v>
      </c>
      <c r="X396">
        <v>2</v>
      </c>
      <c r="Y396">
        <v>6</v>
      </c>
      <c r="Z396">
        <v>6</v>
      </c>
      <c r="AA396">
        <v>0</v>
      </c>
      <c r="AB396">
        <v>6</v>
      </c>
      <c r="AC396">
        <v>5</v>
      </c>
      <c r="AD396">
        <v>1</v>
      </c>
      <c r="AE396">
        <v>7</v>
      </c>
      <c r="AF396">
        <v>6</v>
      </c>
      <c r="AG396">
        <v>1</v>
      </c>
      <c r="AH396">
        <v>8</v>
      </c>
      <c r="AI396">
        <v>6</v>
      </c>
      <c r="AJ396">
        <v>2</v>
      </c>
      <c r="AK396" t="s">
        <v>3727</v>
      </c>
      <c r="AL396" t="s">
        <v>3728</v>
      </c>
      <c r="AM396" t="s">
        <v>3729</v>
      </c>
      <c r="AN396" t="s">
        <v>3730</v>
      </c>
      <c r="AO396" t="s">
        <v>3731</v>
      </c>
      <c r="AP396" t="s">
        <v>3732</v>
      </c>
      <c r="AQ396" t="s">
        <v>3733</v>
      </c>
      <c r="AR396" t="s">
        <v>3734</v>
      </c>
      <c r="AS396" t="s">
        <v>3735</v>
      </c>
    </row>
    <row r="397" spans="1:45" x14ac:dyDescent="0.45">
      <c r="A397">
        <v>396</v>
      </c>
      <c r="B397">
        <v>2386</v>
      </c>
      <c r="C397" t="s">
        <v>72</v>
      </c>
      <c r="D397" t="s">
        <v>73</v>
      </c>
      <c r="E397" t="s">
        <v>74</v>
      </c>
      <c r="F397" t="s">
        <v>189</v>
      </c>
      <c r="G397" t="s">
        <v>76</v>
      </c>
      <c r="H397">
        <v>25.669016257260886</v>
      </c>
      <c r="I397">
        <v>1</v>
      </c>
      <c r="J397">
        <v>5</v>
      </c>
      <c r="K397">
        <v>2</v>
      </c>
      <c r="L397">
        <v>3</v>
      </c>
      <c r="M397">
        <v>6</v>
      </c>
      <c r="N397">
        <v>2</v>
      </c>
      <c r="O397">
        <v>4</v>
      </c>
      <c r="P397">
        <v>8</v>
      </c>
      <c r="Q397">
        <v>4</v>
      </c>
      <c r="R397">
        <v>4</v>
      </c>
      <c r="S397">
        <v>7</v>
      </c>
      <c r="T397">
        <v>5</v>
      </c>
      <c r="U397">
        <v>2</v>
      </c>
      <c r="V397">
        <v>8</v>
      </c>
      <c r="W397">
        <v>5</v>
      </c>
      <c r="X397">
        <v>3</v>
      </c>
      <c r="Y397">
        <v>6</v>
      </c>
      <c r="Z397">
        <v>3</v>
      </c>
      <c r="AA397">
        <v>3</v>
      </c>
      <c r="AB397">
        <v>5</v>
      </c>
      <c r="AC397">
        <v>5</v>
      </c>
      <c r="AD397">
        <v>0</v>
      </c>
      <c r="AE397">
        <v>7</v>
      </c>
      <c r="AF397">
        <v>5</v>
      </c>
      <c r="AG397">
        <v>2</v>
      </c>
      <c r="AH397">
        <v>6</v>
      </c>
      <c r="AI397">
        <v>5</v>
      </c>
      <c r="AJ397">
        <v>1</v>
      </c>
      <c r="AK397" t="s">
        <v>3736</v>
      </c>
      <c r="AL397" t="s">
        <v>3737</v>
      </c>
      <c r="AM397" t="s">
        <v>3738</v>
      </c>
      <c r="AN397" t="s">
        <v>3739</v>
      </c>
      <c r="AO397" t="s">
        <v>3740</v>
      </c>
      <c r="AP397" t="s">
        <v>3741</v>
      </c>
      <c r="AQ397" t="s">
        <v>3742</v>
      </c>
      <c r="AR397" t="s">
        <v>3743</v>
      </c>
      <c r="AS397" t="s">
        <v>3744</v>
      </c>
    </row>
    <row r="398" spans="1:45" x14ac:dyDescent="0.45">
      <c r="A398">
        <v>397</v>
      </c>
      <c r="B398">
        <v>2387</v>
      </c>
      <c r="C398" t="s">
        <v>72</v>
      </c>
      <c r="D398" t="s">
        <v>81</v>
      </c>
      <c r="E398" t="s">
        <v>74</v>
      </c>
      <c r="F398" t="s">
        <v>77</v>
      </c>
      <c r="G398" t="s">
        <v>76</v>
      </c>
      <c r="H398">
        <v>27.270332931984399</v>
      </c>
      <c r="I398">
        <v>0</v>
      </c>
      <c r="J398">
        <v>8</v>
      </c>
      <c r="K398">
        <v>8</v>
      </c>
      <c r="L398">
        <v>0</v>
      </c>
      <c r="M398">
        <v>7</v>
      </c>
      <c r="N398">
        <v>8</v>
      </c>
      <c r="O398">
        <v>-1</v>
      </c>
      <c r="P398">
        <v>6</v>
      </c>
      <c r="Q398">
        <v>7</v>
      </c>
      <c r="R398">
        <v>-1</v>
      </c>
      <c r="S398">
        <v>7</v>
      </c>
      <c r="T398">
        <v>7</v>
      </c>
      <c r="U398">
        <v>0</v>
      </c>
      <c r="V398">
        <v>6</v>
      </c>
      <c r="W398">
        <v>7</v>
      </c>
      <c r="X398">
        <v>-1</v>
      </c>
      <c r="Y398">
        <v>5</v>
      </c>
      <c r="Z398">
        <v>8</v>
      </c>
      <c r="AA398">
        <v>-3</v>
      </c>
      <c r="AB398">
        <v>6</v>
      </c>
      <c r="AC398">
        <v>7</v>
      </c>
      <c r="AD398">
        <v>-1</v>
      </c>
      <c r="AE398">
        <v>5</v>
      </c>
      <c r="AF398">
        <v>8</v>
      </c>
      <c r="AG398">
        <v>-3</v>
      </c>
      <c r="AH398">
        <v>7</v>
      </c>
      <c r="AI398">
        <v>8</v>
      </c>
      <c r="AJ398">
        <v>-1</v>
      </c>
      <c r="AK398" t="s">
        <v>3745</v>
      </c>
      <c r="AL398" t="s">
        <v>3746</v>
      </c>
      <c r="AM398" t="s">
        <v>3747</v>
      </c>
      <c r="AN398" t="s">
        <v>3748</v>
      </c>
      <c r="AO398" t="s">
        <v>3749</v>
      </c>
      <c r="AP398" t="s">
        <v>3750</v>
      </c>
      <c r="AQ398" t="s">
        <v>3751</v>
      </c>
      <c r="AR398" t="s">
        <v>3752</v>
      </c>
      <c r="AS398" t="s">
        <v>3753</v>
      </c>
    </row>
    <row r="399" spans="1:45" x14ac:dyDescent="0.45">
      <c r="A399">
        <v>398</v>
      </c>
      <c r="B399">
        <v>2388</v>
      </c>
      <c r="C399" t="s">
        <v>72</v>
      </c>
      <c r="D399" t="s">
        <v>188</v>
      </c>
      <c r="E399" t="s">
        <v>74</v>
      </c>
      <c r="F399" t="s">
        <v>77</v>
      </c>
      <c r="G399" t="s">
        <v>76</v>
      </c>
      <c r="H399">
        <v>12</v>
      </c>
      <c r="I399">
        <v>0</v>
      </c>
      <c r="J399">
        <v>6</v>
      </c>
      <c r="K399">
        <v>9</v>
      </c>
      <c r="L399">
        <v>-3</v>
      </c>
      <c r="M399">
        <v>7</v>
      </c>
      <c r="N399">
        <v>9</v>
      </c>
      <c r="O399">
        <v>-2</v>
      </c>
      <c r="P399">
        <v>8</v>
      </c>
      <c r="Q399">
        <v>8</v>
      </c>
      <c r="R399">
        <v>0</v>
      </c>
      <c r="S399">
        <v>7</v>
      </c>
      <c r="T399">
        <v>9</v>
      </c>
      <c r="U399">
        <v>-2</v>
      </c>
      <c r="V399">
        <v>8</v>
      </c>
      <c r="W399">
        <v>7</v>
      </c>
      <c r="X399">
        <v>1</v>
      </c>
      <c r="Y399">
        <v>7</v>
      </c>
      <c r="Z399">
        <v>9</v>
      </c>
      <c r="AA399">
        <v>-2</v>
      </c>
      <c r="AB399">
        <v>6</v>
      </c>
      <c r="AC399">
        <v>8</v>
      </c>
      <c r="AD399">
        <v>-2</v>
      </c>
      <c r="AE399">
        <v>5</v>
      </c>
      <c r="AF399">
        <v>8</v>
      </c>
      <c r="AG399">
        <v>-3</v>
      </c>
      <c r="AH399">
        <v>6</v>
      </c>
      <c r="AI399">
        <v>8</v>
      </c>
      <c r="AJ399">
        <v>-2</v>
      </c>
      <c r="AK399" t="s">
        <v>3754</v>
      </c>
      <c r="AL399" t="s">
        <v>3755</v>
      </c>
      <c r="AM399" t="s">
        <v>3756</v>
      </c>
      <c r="AN399" t="s">
        <v>3757</v>
      </c>
      <c r="AO399" t="s">
        <v>3758</v>
      </c>
      <c r="AP399" t="s">
        <v>3759</v>
      </c>
      <c r="AQ399" t="s">
        <v>3760</v>
      </c>
      <c r="AR399" t="s">
        <v>3761</v>
      </c>
      <c r="AS399" t="s">
        <v>3762</v>
      </c>
    </row>
    <row r="400" spans="1:45" x14ac:dyDescent="0.45">
      <c r="A400">
        <v>399</v>
      </c>
      <c r="B400">
        <v>2389</v>
      </c>
      <c r="C400" t="s">
        <v>72</v>
      </c>
      <c r="D400" t="s">
        <v>81</v>
      </c>
      <c r="E400" t="s">
        <v>74</v>
      </c>
      <c r="F400" t="s">
        <v>75</v>
      </c>
      <c r="G400" t="s">
        <v>76</v>
      </c>
      <c r="H400">
        <v>27.74387359222391</v>
      </c>
      <c r="I400">
        <v>0</v>
      </c>
      <c r="J400">
        <v>7</v>
      </c>
      <c r="K400">
        <v>7</v>
      </c>
      <c r="L400">
        <v>0</v>
      </c>
      <c r="M400">
        <v>8</v>
      </c>
      <c r="N400">
        <v>7</v>
      </c>
      <c r="O400">
        <v>1</v>
      </c>
      <c r="P400">
        <v>6</v>
      </c>
      <c r="Q400">
        <v>5</v>
      </c>
      <c r="R400">
        <v>1</v>
      </c>
      <c r="S400">
        <v>7</v>
      </c>
      <c r="T400">
        <v>8</v>
      </c>
      <c r="U400">
        <v>-1</v>
      </c>
      <c r="V400">
        <v>6</v>
      </c>
      <c r="W400">
        <v>7</v>
      </c>
      <c r="X400">
        <v>-1</v>
      </c>
      <c r="Y400">
        <v>7</v>
      </c>
      <c r="Z400">
        <v>8</v>
      </c>
      <c r="AA400">
        <v>-1</v>
      </c>
      <c r="AB400">
        <v>6</v>
      </c>
      <c r="AC400">
        <v>6</v>
      </c>
      <c r="AD400">
        <v>0</v>
      </c>
      <c r="AE400">
        <v>7</v>
      </c>
      <c r="AF400">
        <v>6</v>
      </c>
      <c r="AG400">
        <v>1</v>
      </c>
      <c r="AH400">
        <v>6</v>
      </c>
      <c r="AI400">
        <v>8</v>
      </c>
      <c r="AJ400">
        <v>-2</v>
      </c>
      <c r="AK400" t="s">
        <v>3763</v>
      </c>
      <c r="AL400" t="s">
        <v>3764</v>
      </c>
      <c r="AM400" t="s">
        <v>3765</v>
      </c>
      <c r="AN400" t="s">
        <v>3766</v>
      </c>
      <c r="AO400" t="s">
        <v>3767</v>
      </c>
      <c r="AP400" t="s">
        <v>3768</v>
      </c>
      <c r="AQ400" t="s">
        <v>3769</v>
      </c>
      <c r="AR400" t="s">
        <v>3770</v>
      </c>
      <c r="AS400" t="s">
        <v>3771</v>
      </c>
    </row>
    <row r="401" spans="1:45" x14ac:dyDescent="0.45">
      <c r="A401">
        <v>400</v>
      </c>
      <c r="B401">
        <v>2390</v>
      </c>
      <c r="C401" t="s">
        <v>72</v>
      </c>
      <c r="D401" t="s">
        <v>79</v>
      </c>
      <c r="E401" t="s">
        <v>74</v>
      </c>
      <c r="F401" t="s">
        <v>77</v>
      </c>
      <c r="G401" t="s">
        <v>76</v>
      </c>
      <c r="H401">
        <v>38.514138274483862</v>
      </c>
      <c r="I401">
        <v>3</v>
      </c>
      <c r="J401">
        <v>7</v>
      </c>
      <c r="K401">
        <v>8</v>
      </c>
      <c r="L401">
        <v>-1</v>
      </c>
      <c r="M401">
        <v>6</v>
      </c>
      <c r="N401">
        <v>9</v>
      </c>
      <c r="O401">
        <v>-3</v>
      </c>
      <c r="P401">
        <v>8</v>
      </c>
      <c r="Q401">
        <v>8</v>
      </c>
      <c r="R401">
        <v>0</v>
      </c>
      <c r="S401">
        <v>9</v>
      </c>
      <c r="T401">
        <v>8</v>
      </c>
      <c r="U401">
        <v>1</v>
      </c>
      <c r="V401">
        <v>7</v>
      </c>
      <c r="W401">
        <v>7</v>
      </c>
      <c r="X401">
        <v>0</v>
      </c>
      <c r="Y401">
        <v>8</v>
      </c>
      <c r="Z401">
        <v>7</v>
      </c>
      <c r="AA401">
        <v>1</v>
      </c>
      <c r="AB401">
        <v>7</v>
      </c>
      <c r="AC401">
        <v>7</v>
      </c>
      <c r="AD401">
        <v>0</v>
      </c>
      <c r="AE401">
        <v>6</v>
      </c>
      <c r="AF401">
        <v>7</v>
      </c>
      <c r="AG401">
        <v>-1</v>
      </c>
      <c r="AH401">
        <v>8</v>
      </c>
      <c r="AI401">
        <v>8</v>
      </c>
      <c r="AJ401">
        <v>0</v>
      </c>
      <c r="AK401" t="s">
        <v>3772</v>
      </c>
      <c r="AL401" t="s">
        <v>3773</v>
      </c>
      <c r="AM401" t="s">
        <v>3774</v>
      </c>
      <c r="AN401" t="s">
        <v>3775</v>
      </c>
      <c r="AO401" t="s">
        <v>3776</v>
      </c>
      <c r="AP401" t="s">
        <v>3777</v>
      </c>
      <c r="AQ401" t="s">
        <v>3778</v>
      </c>
      <c r="AR401" t="s">
        <v>3779</v>
      </c>
      <c r="AS401" t="s">
        <v>3780</v>
      </c>
    </row>
    <row r="402" spans="1:45" x14ac:dyDescent="0.45">
      <c r="A402">
        <v>401</v>
      </c>
      <c r="B402">
        <v>2391</v>
      </c>
      <c r="C402" t="s">
        <v>72</v>
      </c>
      <c r="D402" t="s">
        <v>81</v>
      </c>
      <c r="E402" t="s">
        <v>80</v>
      </c>
      <c r="F402" t="s">
        <v>77</v>
      </c>
      <c r="G402" t="s">
        <v>76</v>
      </c>
      <c r="H402">
        <v>16.079860024526425</v>
      </c>
      <c r="I402">
        <v>0</v>
      </c>
      <c r="J402">
        <v>7</v>
      </c>
      <c r="K402">
        <v>4</v>
      </c>
      <c r="L402">
        <v>3</v>
      </c>
      <c r="M402">
        <v>8</v>
      </c>
      <c r="N402">
        <v>4</v>
      </c>
      <c r="O402">
        <v>4</v>
      </c>
      <c r="P402">
        <v>6</v>
      </c>
      <c r="Q402">
        <v>3</v>
      </c>
      <c r="R402">
        <v>3</v>
      </c>
      <c r="S402">
        <v>5</v>
      </c>
      <c r="T402">
        <v>5</v>
      </c>
      <c r="U402">
        <v>0</v>
      </c>
      <c r="V402">
        <v>7</v>
      </c>
      <c r="W402">
        <v>5</v>
      </c>
      <c r="X402">
        <v>2</v>
      </c>
      <c r="Y402">
        <v>6</v>
      </c>
      <c r="Z402">
        <v>2</v>
      </c>
      <c r="AA402">
        <v>4</v>
      </c>
      <c r="AB402">
        <v>7</v>
      </c>
      <c r="AC402">
        <v>2</v>
      </c>
      <c r="AD402">
        <v>5</v>
      </c>
      <c r="AE402">
        <v>6</v>
      </c>
      <c r="AF402">
        <v>5</v>
      </c>
      <c r="AG402">
        <v>1</v>
      </c>
      <c r="AH402">
        <v>7</v>
      </c>
      <c r="AI402">
        <v>2</v>
      </c>
      <c r="AJ402">
        <v>5</v>
      </c>
      <c r="AK402" t="s">
        <v>3781</v>
      </c>
      <c r="AL402" t="s">
        <v>3782</v>
      </c>
      <c r="AM402" t="s">
        <v>3783</v>
      </c>
      <c r="AN402" t="s">
        <v>3784</v>
      </c>
      <c r="AO402" t="s">
        <v>3785</v>
      </c>
      <c r="AP402" t="s">
        <v>3786</v>
      </c>
      <c r="AQ402" t="s">
        <v>3787</v>
      </c>
      <c r="AR402" t="s">
        <v>3788</v>
      </c>
      <c r="AS402" t="s">
        <v>3789</v>
      </c>
    </row>
    <row r="403" spans="1:45" x14ac:dyDescent="0.45">
      <c r="A403">
        <v>402</v>
      </c>
      <c r="B403">
        <v>2392</v>
      </c>
      <c r="C403" t="s">
        <v>78</v>
      </c>
      <c r="D403" t="s">
        <v>192</v>
      </c>
      <c r="E403" t="s">
        <v>74</v>
      </c>
      <c r="F403" t="s">
        <v>75</v>
      </c>
      <c r="G403" t="s">
        <v>76</v>
      </c>
      <c r="H403">
        <v>246.83245577454321</v>
      </c>
      <c r="I403">
        <v>4</v>
      </c>
      <c r="J403">
        <v>7</v>
      </c>
      <c r="K403">
        <v>7</v>
      </c>
      <c r="L403">
        <v>0</v>
      </c>
      <c r="M403">
        <v>8</v>
      </c>
      <c r="N403">
        <v>7</v>
      </c>
      <c r="O403">
        <v>1</v>
      </c>
      <c r="P403">
        <v>9</v>
      </c>
      <c r="Q403">
        <v>4</v>
      </c>
      <c r="R403">
        <v>5</v>
      </c>
      <c r="S403">
        <v>9</v>
      </c>
      <c r="T403">
        <v>6</v>
      </c>
      <c r="U403">
        <v>3</v>
      </c>
      <c r="V403">
        <v>8</v>
      </c>
      <c r="W403">
        <v>5</v>
      </c>
      <c r="X403">
        <v>3</v>
      </c>
      <c r="Y403">
        <v>7</v>
      </c>
      <c r="Z403">
        <v>4</v>
      </c>
      <c r="AA403">
        <v>3</v>
      </c>
      <c r="AB403">
        <v>8</v>
      </c>
      <c r="AC403">
        <v>5</v>
      </c>
      <c r="AD403">
        <v>3</v>
      </c>
      <c r="AE403">
        <v>6</v>
      </c>
      <c r="AF403">
        <v>5</v>
      </c>
      <c r="AG403">
        <v>1</v>
      </c>
      <c r="AH403">
        <v>9</v>
      </c>
      <c r="AI403">
        <v>5</v>
      </c>
      <c r="AJ403">
        <v>4</v>
      </c>
      <c r="AK403" t="s">
        <v>3790</v>
      </c>
      <c r="AL403" t="s">
        <v>3791</v>
      </c>
      <c r="AM403" t="s">
        <v>3792</v>
      </c>
      <c r="AN403" t="s">
        <v>3793</v>
      </c>
      <c r="AO403" t="s">
        <v>3794</v>
      </c>
      <c r="AP403" t="s">
        <v>3795</v>
      </c>
      <c r="AQ403" t="s">
        <v>3796</v>
      </c>
      <c r="AR403" t="s">
        <v>3797</v>
      </c>
      <c r="AS403" t="s">
        <v>3798</v>
      </c>
    </row>
    <row r="404" spans="1:45" x14ac:dyDescent="0.45">
      <c r="A404">
        <v>403</v>
      </c>
      <c r="B404">
        <v>2393</v>
      </c>
      <c r="C404" t="s">
        <v>72</v>
      </c>
      <c r="D404" t="s">
        <v>81</v>
      </c>
      <c r="E404" t="s">
        <v>74</v>
      </c>
      <c r="F404" t="s">
        <v>77</v>
      </c>
      <c r="G404" t="s">
        <v>76</v>
      </c>
      <c r="H404">
        <v>23.605855353203044</v>
      </c>
      <c r="I404">
        <v>0</v>
      </c>
      <c r="J404">
        <v>7</v>
      </c>
      <c r="K404">
        <v>7</v>
      </c>
      <c r="L404">
        <v>0</v>
      </c>
      <c r="M404">
        <v>8</v>
      </c>
      <c r="N404">
        <v>7</v>
      </c>
      <c r="O404">
        <v>1</v>
      </c>
      <c r="P404">
        <v>6</v>
      </c>
      <c r="Q404">
        <v>7</v>
      </c>
      <c r="R404">
        <v>-1</v>
      </c>
      <c r="S404">
        <v>8</v>
      </c>
      <c r="T404">
        <v>7</v>
      </c>
      <c r="U404">
        <v>1</v>
      </c>
      <c r="V404">
        <v>9</v>
      </c>
      <c r="W404">
        <v>7</v>
      </c>
      <c r="X404">
        <v>2</v>
      </c>
      <c r="Y404">
        <v>7</v>
      </c>
      <c r="Z404">
        <v>7</v>
      </c>
      <c r="AA404">
        <v>0</v>
      </c>
      <c r="AB404">
        <v>8</v>
      </c>
      <c r="AC404">
        <v>7</v>
      </c>
      <c r="AD404">
        <v>1</v>
      </c>
      <c r="AE404">
        <v>6</v>
      </c>
      <c r="AF404">
        <v>7</v>
      </c>
      <c r="AG404">
        <v>-1</v>
      </c>
      <c r="AH404">
        <v>9</v>
      </c>
      <c r="AI404">
        <v>7</v>
      </c>
      <c r="AJ404">
        <v>2</v>
      </c>
      <c r="AK404" t="s">
        <v>3799</v>
      </c>
      <c r="AL404" t="s">
        <v>3800</v>
      </c>
      <c r="AM404" t="s">
        <v>3801</v>
      </c>
      <c r="AN404" t="s">
        <v>3802</v>
      </c>
      <c r="AO404" t="s">
        <v>3803</v>
      </c>
      <c r="AP404" t="s">
        <v>3804</v>
      </c>
      <c r="AQ404" t="s">
        <v>3805</v>
      </c>
      <c r="AR404" t="s">
        <v>3806</v>
      </c>
      <c r="AS404" t="s">
        <v>3807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0A1E5-5B85-4FCC-8D5E-A7011AE70633}">
  <dimension ref="A1:Q404"/>
  <sheetViews>
    <sheetView topLeftCell="P1" workbookViewId="0">
      <selection activeCell="Q1" sqref="Q1"/>
    </sheetView>
  </sheetViews>
  <sheetFormatPr defaultRowHeight="14.25" x14ac:dyDescent="0.45"/>
  <cols>
    <col min="1" max="1" width="15.265625" bestFit="1" customWidth="1"/>
    <col min="2" max="2" width="17.3984375" bestFit="1" customWidth="1"/>
    <col min="3" max="3" width="16.3984375" bestFit="1" customWidth="1"/>
    <col min="4" max="4" width="26.59765625" bestFit="1" customWidth="1"/>
    <col min="5" max="5" width="24.796875" bestFit="1" customWidth="1"/>
    <col min="6" max="6" width="45.796875" bestFit="1" customWidth="1"/>
    <col min="7" max="7" width="80.53125" bestFit="1" customWidth="1"/>
    <col min="8" max="8" width="65.33203125" bestFit="1" customWidth="1"/>
    <col min="9" max="17" width="80.53125" bestFit="1" customWidth="1"/>
  </cols>
  <sheetData>
    <row r="1" spans="1:17" x14ac:dyDescent="0.45">
      <c r="A1" t="s">
        <v>82</v>
      </c>
      <c r="B1" t="s">
        <v>83</v>
      </c>
      <c r="C1" t="s">
        <v>84</v>
      </c>
      <c r="D1" t="s">
        <v>85</v>
      </c>
      <c r="E1" t="s">
        <v>86</v>
      </c>
      <c r="F1" t="s">
        <v>87</v>
      </c>
      <c r="G1" t="s">
        <v>88</v>
      </c>
      <c r="H1" t="s">
        <v>89</v>
      </c>
      <c r="I1" t="s">
        <v>90</v>
      </c>
      <c r="J1" t="s">
        <v>91</v>
      </c>
      <c r="K1" t="s">
        <v>92</v>
      </c>
      <c r="L1" t="s">
        <v>93</v>
      </c>
      <c r="M1" t="s">
        <v>94</v>
      </c>
      <c r="N1" t="s">
        <v>95</v>
      </c>
      <c r="O1" t="s">
        <v>96</v>
      </c>
      <c r="P1" t="s">
        <v>97</v>
      </c>
      <c r="Q1" t="s">
        <v>98</v>
      </c>
    </row>
    <row r="2" spans="1:17" x14ac:dyDescent="0.45">
      <c r="A2" s="19">
        <v>46016.586805555555</v>
      </c>
      <c r="B2" t="s">
        <v>72</v>
      </c>
      <c r="C2" t="s">
        <v>81</v>
      </c>
      <c r="D2" t="s">
        <v>74</v>
      </c>
      <c r="E2" t="s">
        <v>77</v>
      </c>
      <c r="F2" t="s">
        <v>99</v>
      </c>
      <c r="G2" t="s">
        <v>103</v>
      </c>
      <c r="H2" t="s">
        <v>101</v>
      </c>
      <c r="I2">
        <v>10</v>
      </c>
      <c r="J2">
        <v>8</v>
      </c>
      <c r="K2">
        <v>5</v>
      </c>
      <c r="L2">
        <v>5</v>
      </c>
      <c r="M2">
        <v>10</v>
      </c>
      <c r="N2">
        <v>10</v>
      </c>
      <c r="O2">
        <v>10</v>
      </c>
      <c r="P2">
        <v>10</v>
      </c>
      <c r="Q2">
        <v>10</v>
      </c>
    </row>
    <row r="3" spans="1:17" x14ac:dyDescent="0.45">
      <c r="A3" s="19">
        <v>46016.586805555555</v>
      </c>
      <c r="B3" t="s">
        <v>72</v>
      </c>
      <c r="C3" t="s">
        <v>81</v>
      </c>
      <c r="D3" t="s">
        <v>74</v>
      </c>
      <c r="E3" t="s">
        <v>77</v>
      </c>
      <c r="F3" t="s">
        <v>99</v>
      </c>
      <c r="G3" t="s">
        <v>103</v>
      </c>
      <c r="H3" t="s">
        <v>109</v>
      </c>
      <c r="I3">
        <v>8</v>
      </c>
      <c r="J3">
        <v>8</v>
      </c>
      <c r="K3">
        <v>6</v>
      </c>
      <c r="L3">
        <v>9</v>
      </c>
      <c r="M3">
        <v>10</v>
      </c>
      <c r="N3">
        <v>9</v>
      </c>
      <c r="O3">
        <v>8</v>
      </c>
      <c r="P3">
        <v>9</v>
      </c>
      <c r="Q3">
        <v>10</v>
      </c>
    </row>
    <row r="4" spans="1:17" x14ac:dyDescent="0.45">
      <c r="A4" s="19">
        <v>46016.588194444441</v>
      </c>
      <c r="B4" t="s">
        <v>78</v>
      </c>
      <c r="C4" t="s">
        <v>79</v>
      </c>
      <c r="D4" t="s">
        <v>74</v>
      </c>
      <c r="E4" t="s">
        <v>75</v>
      </c>
      <c r="F4" t="s">
        <v>99</v>
      </c>
      <c r="G4" t="s">
        <v>110</v>
      </c>
      <c r="H4" t="s">
        <v>105</v>
      </c>
      <c r="I4">
        <v>6</v>
      </c>
      <c r="J4">
        <v>5</v>
      </c>
      <c r="K4">
        <v>4</v>
      </c>
      <c r="L4">
        <v>5</v>
      </c>
      <c r="M4">
        <v>4</v>
      </c>
      <c r="N4">
        <v>4</v>
      </c>
      <c r="O4">
        <v>4</v>
      </c>
      <c r="P4">
        <v>10</v>
      </c>
      <c r="Q4">
        <v>4</v>
      </c>
    </row>
    <row r="5" spans="1:17" x14ac:dyDescent="0.45">
      <c r="A5" s="19">
        <v>46016.588194444441</v>
      </c>
      <c r="B5" t="s">
        <v>72</v>
      </c>
      <c r="C5" t="s">
        <v>188</v>
      </c>
      <c r="D5" t="s">
        <v>74</v>
      </c>
      <c r="E5" t="s">
        <v>77</v>
      </c>
      <c r="F5" t="s">
        <v>99</v>
      </c>
      <c r="G5" t="s">
        <v>193</v>
      </c>
      <c r="H5" t="s">
        <v>109</v>
      </c>
      <c r="I5">
        <v>10</v>
      </c>
      <c r="J5">
        <v>10</v>
      </c>
      <c r="K5">
        <v>8</v>
      </c>
      <c r="L5">
        <v>9</v>
      </c>
      <c r="M5">
        <v>9</v>
      </c>
      <c r="N5">
        <v>7</v>
      </c>
      <c r="O5">
        <v>10</v>
      </c>
      <c r="P5">
        <v>7</v>
      </c>
      <c r="Q5">
        <v>10</v>
      </c>
    </row>
    <row r="6" spans="1:17" x14ac:dyDescent="0.45">
      <c r="A6" s="19">
        <v>46016.588888888888</v>
      </c>
      <c r="B6" t="s">
        <v>72</v>
      </c>
      <c r="C6" t="s">
        <v>81</v>
      </c>
      <c r="D6" t="s">
        <v>74</v>
      </c>
      <c r="E6" t="s">
        <v>77</v>
      </c>
      <c r="F6" t="s">
        <v>99</v>
      </c>
      <c r="G6" t="s">
        <v>193</v>
      </c>
      <c r="H6" t="s">
        <v>109</v>
      </c>
      <c r="I6">
        <v>9</v>
      </c>
      <c r="J6">
        <v>9</v>
      </c>
      <c r="K6">
        <v>10</v>
      </c>
      <c r="L6">
        <v>9</v>
      </c>
      <c r="M6">
        <v>9</v>
      </c>
      <c r="N6">
        <v>9</v>
      </c>
      <c r="O6">
        <v>9</v>
      </c>
      <c r="P6">
        <v>9</v>
      </c>
      <c r="Q6">
        <v>9</v>
      </c>
    </row>
    <row r="7" spans="1:17" x14ac:dyDescent="0.45">
      <c r="A7" s="19">
        <v>46016.595138888886</v>
      </c>
      <c r="B7" t="s">
        <v>72</v>
      </c>
      <c r="C7" t="s">
        <v>73</v>
      </c>
      <c r="D7" t="s">
        <v>74</v>
      </c>
      <c r="E7" t="s">
        <v>75</v>
      </c>
      <c r="F7" t="s">
        <v>99</v>
      </c>
      <c r="G7" t="s">
        <v>106</v>
      </c>
      <c r="H7" t="s">
        <v>194</v>
      </c>
      <c r="I7">
        <v>8</v>
      </c>
      <c r="J7">
        <v>8</v>
      </c>
      <c r="K7">
        <v>5</v>
      </c>
      <c r="L7">
        <v>8</v>
      </c>
      <c r="M7">
        <v>6</v>
      </c>
      <c r="N7">
        <v>6</v>
      </c>
      <c r="O7">
        <v>4</v>
      </c>
      <c r="P7">
        <v>5</v>
      </c>
      <c r="Q7">
        <v>6</v>
      </c>
    </row>
    <row r="8" spans="1:17" x14ac:dyDescent="0.45">
      <c r="A8" s="19">
        <v>46016.59652777778</v>
      </c>
      <c r="B8" t="s">
        <v>72</v>
      </c>
      <c r="C8" t="s">
        <v>73</v>
      </c>
      <c r="D8" t="s">
        <v>74</v>
      </c>
      <c r="E8" t="s">
        <v>77</v>
      </c>
      <c r="F8" t="s">
        <v>99</v>
      </c>
      <c r="G8" t="s">
        <v>195</v>
      </c>
      <c r="H8" t="s">
        <v>104</v>
      </c>
      <c r="I8">
        <v>5</v>
      </c>
      <c r="J8">
        <v>4</v>
      </c>
      <c r="K8">
        <v>4</v>
      </c>
      <c r="L8">
        <v>6</v>
      </c>
      <c r="M8">
        <v>6</v>
      </c>
      <c r="N8">
        <v>7</v>
      </c>
      <c r="O8">
        <v>2</v>
      </c>
      <c r="P8">
        <v>4</v>
      </c>
      <c r="Q8">
        <v>4</v>
      </c>
    </row>
    <row r="9" spans="1:17" x14ac:dyDescent="0.45">
      <c r="A9" s="19">
        <v>46016.602777777778</v>
      </c>
      <c r="B9" t="s">
        <v>78</v>
      </c>
      <c r="C9" t="s">
        <v>79</v>
      </c>
      <c r="D9" t="s">
        <v>74</v>
      </c>
      <c r="E9" t="s">
        <v>75</v>
      </c>
      <c r="F9" t="s">
        <v>99</v>
      </c>
      <c r="G9" t="s">
        <v>193</v>
      </c>
      <c r="H9" t="s">
        <v>104</v>
      </c>
      <c r="I9">
        <v>1</v>
      </c>
      <c r="J9">
        <v>1</v>
      </c>
      <c r="K9">
        <v>2</v>
      </c>
      <c r="L9">
        <v>3</v>
      </c>
      <c r="M9">
        <v>6</v>
      </c>
      <c r="N9">
        <v>2</v>
      </c>
      <c r="O9">
        <v>7</v>
      </c>
      <c r="P9">
        <v>3</v>
      </c>
      <c r="Q9">
        <v>3</v>
      </c>
    </row>
    <row r="10" spans="1:17" x14ac:dyDescent="0.45">
      <c r="A10" s="19">
        <v>46016.649305555555</v>
      </c>
      <c r="B10" t="s">
        <v>72</v>
      </c>
      <c r="C10" t="s">
        <v>81</v>
      </c>
      <c r="D10" t="s">
        <v>80</v>
      </c>
      <c r="E10" t="s">
        <v>77</v>
      </c>
      <c r="F10" t="s">
        <v>102</v>
      </c>
      <c r="G10" t="s">
        <v>103</v>
      </c>
      <c r="H10" t="s">
        <v>101</v>
      </c>
      <c r="I10">
        <v>10</v>
      </c>
      <c r="J10">
        <v>10</v>
      </c>
      <c r="K10">
        <v>8</v>
      </c>
      <c r="L10">
        <v>7</v>
      </c>
      <c r="M10">
        <v>7</v>
      </c>
      <c r="N10">
        <v>5</v>
      </c>
      <c r="O10">
        <v>5</v>
      </c>
      <c r="P10">
        <v>9</v>
      </c>
      <c r="Q10">
        <v>8</v>
      </c>
    </row>
    <row r="11" spans="1:17" x14ac:dyDescent="0.45">
      <c r="A11" s="19">
        <v>46016.660416666666</v>
      </c>
      <c r="B11" t="s">
        <v>72</v>
      </c>
      <c r="C11" t="s">
        <v>81</v>
      </c>
      <c r="D11" t="s">
        <v>74</v>
      </c>
      <c r="E11" t="s">
        <v>77</v>
      </c>
      <c r="F11" t="s">
        <v>99</v>
      </c>
      <c r="G11" t="s">
        <v>195</v>
      </c>
      <c r="H11" t="s">
        <v>109</v>
      </c>
      <c r="I11">
        <v>7</v>
      </c>
      <c r="J11">
        <v>10</v>
      </c>
      <c r="K11">
        <v>1</v>
      </c>
      <c r="L11">
        <v>5</v>
      </c>
      <c r="M11">
        <v>8</v>
      </c>
      <c r="N11">
        <v>5</v>
      </c>
      <c r="O11">
        <v>5</v>
      </c>
      <c r="P11">
        <v>5</v>
      </c>
      <c r="Q11">
        <v>10</v>
      </c>
    </row>
    <row r="12" spans="1:17" x14ac:dyDescent="0.45">
      <c r="A12" s="19">
        <v>46016.661111111112</v>
      </c>
      <c r="B12" t="s">
        <v>78</v>
      </c>
      <c r="C12" t="s">
        <v>73</v>
      </c>
      <c r="D12" t="s">
        <v>74</v>
      </c>
      <c r="E12" t="s">
        <v>75</v>
      </c>
      <c r="F12" t="s">
        <v>102</v>
      </c>
      <c r="G12" t="s">
        <v>108</v>
      </c>
      <c r="H12" t="s">
        <v>194</v>
      </c>
      <c r="I12">
        <v>10</v>
      </c>
      <c r="J12">
        <v>3</v>
      </c>
      <c r="K12">
        <v>1</v>
      </c>
      <c r="L12">
        <v>7</v>
      </c>
      <c r="M12">
        <v>1</v>
      </c>
      <c r="N12">
        <v>5</v>
      </c>
      <c r="O12">
        <v>1</v>
      </c>
      <c r="P12">
        <v>8</v>
      </c>
      <c r="Q12">
        <v>6</v>
      </c>
    </row>
    <row r="13" spans="1:17" x14ac:dyDescent="0.45">
      <c r="A13" s="19">
        <v>46016.709027777775</v>
      </c>
      <c r="B13" t="s">
        <v>72</v>
      </c>
      <c r="C13" t="s">
        <v>188</v>
      </c>
      <c r="D13" t="s">
        <v>74</v>
      </c>
      <c r="E13" t="s">
        <v>77</v>
      </c>
      <c r="F13" t="s">
        <v>99</v>
      </c>
      <c r="G13" t="s">
        <v>193</v>
      </c>
      <c r="H13" t="s">
        <v>109</v>
      </c>
      <c r="I13">
        <v>5</v>
      </c>
      <c r="J13">
        <v>8</v>
      </c>
      <c r="K13">
        <v>5</v>
      </c>
      <c r="L13">
        <v>5</v>
      </c>
      <c r="M13">
        <v>6</v>
      </c>
      <c r="N13">
        <v>5</v>
      </c>
      <c r="O13">
        <v>5</v>
      </c>
      <c r="P13">
        <v>5</v>
      </c>
      <c r="Q13">
        <v>5</v>
      </c>
    </row>
    <row r="14" spans="1:17" x14ac:dyDescent="0.45">
      <c r="A14" s="19">
        <v>46016.745833333334</v>
      </c>
      <c r="B14" t="s">
        <v>72</v>
      </c>
      <c r="C14" t="s">
        <v>188</v>
      </c>
      <c r="D14" t="s">
        <v>74</v>
      </c>
      <c r="E14" t="s">
        <v>77</v>
      </c>
      <c r="F14" t="s">
        <v>99</v>
      </c>
      <c r="G14" t="s">
        <v>193</v>
      </c>
      <c r="H14" t="s">
        <v>109</v>
      </c>
      <c r="I14">
        <v>8</v>
      </c>
      <c r="J14">
        <v>7</v>
      </c>
      <c r="K14">
        <v>7</v>
      </c>
      <c r="L14">
        <v>7</v>
      </c>
      <c r="M14">
        <v>7</v>
      </c>
      <c r="N14">
        <v>8</v>
      </c>
      <c r="O14">
        <v>7</v>
      </c>
      <c r="P14">
        <v>7</v>
      </c>
      <c r="Q14">
        <v>7</v>
      </c>
    </row>
    <row r="15" spans="1:17" x14ac:dyDescent="0.45">
      <c r="A15" s="19">
        <v>46016.844444444447</v>
      </c>
      <c r="B15" t="s">
        <v>72</v>
      </c>
      <c r="C15" t="s">
        <v>73</v>
      </c>
      <c r="D15" t="s">
        <v>74</v>
      </c>
      <c r="E15" t="s">
        <v>75</v>
      </c>
      <c r="F15" t="s">
        <v>99</v>
      </c>
      <c r="G15" t="s">
        <v>195</v>
      </c>
      <c r="H15" t="s">
        <v>109</v>
      </c>
      <c r="I15">
        <v>10</v>
      </c>
      <c r="J15">
        <v>10</v>
      </c>
      <c r="K15">
        <v>8</v>
      </c>
      <c r="L15">
        <v>8</v>
      </c>
      <c r="M15">
        <v>8</v>
      </c>
      <c r="N15">
        <v>6</v>
      </c>
      <c r="O15">
        <v>6</v>
      </c>
      <c r="P15">
        <v>5</v>
      </c>
      <c r="Q15">
        <v>5</v>
      </c>
    </row>
    <row r="16" spans="1:17" x14ac:dyDescent="0.45">
      <c r="A16" s="19">
        <v>46016.84652777778</v>
      </c>
      <c r="B16" t="s">
        <v>78</v>
      </c>
      <c r="C16" t="s">
        <v>73</v>
      </c>
      <c r="D16" t="s">
        <v>74</v>
      </c>
      <c r="E16" t="s">
        <v>75</v>
      </c>
      <c r="F16" t="s">
        <v>99</v>
      </c>
      <c r="G16" t="s">
        <v>108</v>
      </c>
      <c r="H16" t="s">
        <v>104</v>
      </c>
      <c r="I16">
        <v>7</v>
      </c>
      <c r="J16">
        <v>9</v>
      </c>
      <c r="K16">
        <v>3</v>
      </c>
      <c r="L16">
        <v>6</v>
      </c>
      <c r="M16">
        <v>1</v>
      </c>
      <c r="N16">
        <v>1</v>
      </c>
      <c r="O16">
        <v>1</v>
      </c>
      <c r="P16">
        <v>1</v>
      </c>
      <c r="Q16">
        <v>1</v>
      </c>
    </row>
    <row r="17" spans="1:17" x14ac:dyDescent="0.45">
      <c r="A17" s="19">
        <v>46016.881249999999</v>
      </c>
      <c r="B17" t="s">
        <v>78</v>
      </c>
      <c r="C17" t="s">
        <v>79</v>
      </c>
      <c r="D17" t="s">
        <v>74</v>
      </c>
      <c r="E17" t="s">
        <v>75</v>
      </c>
      <c r="F17" t="s">
        <v>99</v>
      </c>
      <c r="G17" t="s">
        <v>106</v>
      </c>
      <c r="H17" t="s">
        <v>194</v>
      </c>
      <c r="I17">
        <v>8</v>
      </c>
      <c r="J17">
        <v>8</v>
      </c>
      <c r="K17">
        <v>8</v>
      </c>
      <c r="L17">
        <v>9</v>
      </c>
      <c r="M17">
        <v>7</v>
      </c>
      <c r="N17">
        <v>7</v>
      </c>
      <c r="O17">
        <v>9</v>
      </c>
      <c r="P17">
        <v>8</v>
      </c>
      <c r="Q17">
        <v>7</v>
      </c>
    </row>
    <row r="18" spans="1:17" x14ac:dyDescent="0.45">
      <c r="A18" s="19">
        <v>46016.885416666664</v>
      </c>
      <c r="B18" t="s">
        <v>72</v>
      </c>
      <c r="C18" t="s">
        <v>81</v>
      </c>
      <c r="D18" t="s">
        <v>74</v>
      </c>
      <c r="E18" t="s">
        <v>77</v>
      </c>
      <c r="F18" t="s">
        <v>99</v>
      </c>
      <c r="G18" t="s">
        <v>195</v>
      </c>
      <c r="H18" t="s">
        <v>104</v>
      </c>
      <c r="I18">
        <v>6</v>
      </c>
      <c r="J18">
        <v>7</v>
      </c>
      <c r="K18">
        <v>5</v>
      </c>
      <c r="L18">
        <v>5</v>
      </c>
      <c r="M18">
        <v>6</v>
      </c>
      <c r="N18">
        <v>7</v>
      </c>
      <c r="O18">
        <v>3</v>
      </c>
      <c r="P18">
        <v>4</v>
      </c>
      <c r="Q18">
        <v>5</v>
      </c>
    </row>
    <row r="19" spans="1:17" x14ac:dyDescent="0.45">
      <c r="A19" s="19">
        <v>46016.907638888886</v>
      </c>
      <c r="B19" t="s">
        <v>78</v>
      </c>
      <c r="C19" t="s">
        <v>79</v>
      </c>
      <c r="D19" t="s">
        <v>74</v>
      </c>
      <c r="E19" t="s">
        <v>77</v>
      </c>
      <c r="F19" t="s">
        <v>102</v>
      </c>
      <c r="G19" t="s">
        <v>103</v>
      </c>
      <c r="H19" t="s">
        <v>109</v>
      </c>
      <c r="I19">
        <v>6</v>
      </c>
      <c r="J19">
        <v>8</v>
      </c>
      <c r="K19">
        <v>7</v>
      </c>
      <c r="L19">
        <v>8</v>
      </c>
      <c r="M19">
        <v>8</v>
      </c>
      <c r="N19">
        <v>7</v>
      </c>
      <c r="O19">
        <v>7</v>
      </c>
      <c r="P19">
        <v>6</v>
      </c>
      <c r="Q19">
        <v>8</v>
      </c>
    </row>
    <row r="20" spans="1:17" x14ac:dyDescent="0.45">
      <c r="A20" s="19">
        <v>46016.910416666666</v>
      </c>
      <c r="B20" t="s">
        <v>78</v>
      </c>
      <c r="C20" t="s">
        <v>79</v>
      </c>
      <c r="D20" t="s">
        <v>74</v>
      </c>
      <c r="E20" t="s">
        <v>77</v>
      </c>
      <c r="F20" t="s">
        <v>99</v>
      </c>
      <c r="G20" t="s">
        <v>107</v>
      </c>
      <c r="H20" t="s">
        <v>194</v>
      </c>
      <c r="I20">
        <v>10</v>
      </c>
      <c r="J20">
        <v>10</v>
      </c>
      <c r="K20">
        <v>5</v>
      </c>
      <c r="L20">
        <v>5</v>
      </c>
      <c r="M20">
        <v>5</v>
      </c>
      <c r="N20">
        <v>3</v>
      </c>
      <c r="O20">
        <v>2</v>
      </c>
      <c r="P20">
        <v>5</v>
      </c>
      <c r="Q20">
        <v>8</v>
      </c>
    </row>
    <row r="21" spans="1:17" x14ac:dyDescent="0.45">
      <c r="A21" s="19">
        <v>46017.081250000003</v>
      </c>
      <c r="B21" t="s">
        <v>78</v>
      </c>
      <c r="C21" t="s">
        <v>73</v>
      </c>
      <c r="D21" t="s">
        <v>74</v>
      </c>
      <c r="E21" t="s">
        <v>75</v>
      </c>
      <c r="F21" t="s">
        <v>99</v>
      </c>
      <c r="G21" t="s">
        <v>110</v>
      </c>
      <c r="H21" t="s">
        <v>104</v>
      </c>
      <c r="I21">
        <v>9</v>
      </c>
      <c r="J21">
        <v>9</v>
      </c>
      <c r="K21">
        <v>7</v>
      </c>
      <c r="L21">
        <v>9</v>
      </c>
      <c r="M21">
        <v>7</v>
      </c>
      <c r="N21">
        <v>8</v>
      </c>
      <c r="O21">
        <v>5</v>
      </c>
      <c r="P21">
        <v>5</v>
      </c>
      <c r="Q21">
        <v>6</v>
      </c>
    </row>
    <row r="22" spans="1:17" x14ac:dyDescent="0.45">
      <c r="A22" s="19">
        <v>46017.3125</v>
      </c>
      <c r="B22" t="s">
        <v>72</v>
      </c>
      <c r="C22" t="s">
        <v>79</v>
      </c>
      <c r="D22" t="s">
        <v>74</v>
      </c>
      <c r="E22" t="s">
        <v>77</v>
      </c>
      <c r="F22" t="s">
        <v>99</v>
      </c>
      <c r="G22" t="s">
        <v>107</v>
      </c>
      <c r="H22" t="s">
        <v>105</v>
      </c>
      <c r="I22">
        <v>10</v>
      </c>
      <c r="J22">
        <v>10</v>
      </c>
      <c r="K22">
        <v>8</v>
      </c>
      <c r="L22">
        <v>7</v>
      </c>
      <c r="M22">
        <v>7</v>
      </c>
      <c r="N22">
        <v>7</v>
      </c>
      <c r="O22">
        <v>2</v>
      </c>
      <c r="P22">
        <v>3</v>
      </c>
      <c r="Q22">
        <v>3</v>
      </c>
    </row>
    <row r="23" spans="1:17" x14ac:dyDescent="0.45">
      <c r="A23" s="19">
        <v>46017.362500000003</v>
      </c>
      <c r="B23" t="s">
        <v>72</v>
      </c>
      <c r="C23" t="s">
        <v>188</v>
      </c>
      <c r="D23" t="s">
        <v>74</v>
      </c>
      <c r="E23" t="s">
        <v>77</v>
      </c>
      <c r="F23" t="s">
        <v>99</v>
      </c>
      <c r="G23" t="s">
        <v>103</v>
      </c>
      <c r="H23" t="s">
        <v>109</v>
      </c>
      <c r="I23">
        <v>8</v>
      </c>
      <c r="J23">
        <v>8</v>
      </c>
      <c r="K23">
        <v>5</v>
      </c>
      <c r="L23">
        <v>8</v>
      </c>
      <c r="M23">
        <v>8</v>
      </c>
      <c r="N23">
        <v>8</v>
      </c>
      <c r="O23">
        <v>8</v>
      </c>
      <c r="P23">
        <v>8</v>
      </c>
      <c r="Q23">
        <v>8</v>
      </c>
    </row>
    <row r="24" spans="1:17" x14ac:dyDescent="0.45">
      <c r="A24" s="19">
        <v>46017.4</v>
      </c>
      <c r="B24" t="s">
        <v>72</v>
      </c>
      <c r="C24" t="s">
        <v>79</v>
      </c>
      <c r="D24" t="s">
        <v>74</v>
      </c>
      <c r="E24" t="s">
        <v>75</v>
      </c>
      <c r="F24" t="s">
        <v>99</v>
      </c>
      <c r="G24" t="s">
        <v>106</v>
      </c>
      <c r="H24" t="s">
        <v>105</v>
      </c>
      <c r="I24">
        <v>5</v>
      </c>
      <c r="J24">
        <v>5</v>
      </c>
      <c r="K24">
        <v>5</v>
      </c>
      <c r="L24">
        <v>5</v>
      </c>
      <c r="M24">
        <v>5</v>
      </c>
      <c r="N24">
        <v>5</v>
      </c>
      <c r="O24">
        <v>5</v>
      </c>
      <c r="P24">
        <v>5</v>
      </c>
      <c r="Q24">
        <v>5</v>
      </c>
    </row>
    <row r="25" spans="1:17" x14ac:dyDescent="0.45">
      <c r="A25" s="19">
        <v>46017.484027777777</v>
      </c>
      <c r="B25" t="s">
        <v>72</v>
      </c>
      <c r="C25" t="s">
        <v>73</v>
      </c>
      <c r="D25" t="s">
        <v>80</v>
      </c>
      <c r="E25" t="s">
        <v>77</v>
      </c>
      <c r="F25" t="s">
        <v>99</v>
      </c>
      <c r="G25" t="s">
        <v>100</v>
      </c>
      <c r="H25" t="s">
        <v>104</v>
      </c>
      <c r="I25">
        <v>9</v>
      </c>
      <c r="J25">
        <v>8</v>
      </c>
      <c r="K25">
        <v>6</v>
      </c>
      <c r="L25">
        <v>9</v>
      </c>
      <c r="M25">
        <v>8</v>
      </c>
      <c r="N25">
        <v>10</v>
      </c>
      <c r="O25">
        <v>6</v>
      </c>
      <c r="P25">
        <v>6</v>
      </c>
      <c r="Q25">
        <v>8</v>
      </c>
    </row>
    <row r="26" spans="1:17" x14ac:dyDescent="0.45">
      <c r="A26" s="19">
        <v>46017.486111111109</v>
      </c>
      <c r="B26" t="s">
        <v>78</v>
      </c>
      <c r="C26" t="s">
        <v>73</v>
      </c>
      <c r="D26" t="s">
        <v>74</v>
      </c>
      <c r="E26" t="s">
        <v>75</v>
      </c>
      <c r="F26" t="s">
        <v>99</v>
      </c>
      <c r="G26" t="s">
        <v>108</v>
      </c>
      <c r="H26" t="s">
        <v>101</v>
      </c>
      <c r="I26">
        <v>6</v>
      </c>
      <c r="J26">
        <v>7</v>
      </c>
      <c r="K26">
        <v>5</v>
      </c>
      <c r="L26">
        <v>6</v>
      </c>
      <c r="M26">
        <v>7</v>
      </c>
      <c r="N26">
        <v>7</v>
      </c>
      <c r="O26">
        <v>3</v>
      </c>
      <c r="P26">
        <v>3</v>
      </c>
      <c r="Q26">
        <v>5</v>
      </c>
    </row>
    <row r="27" spans="1:17" x14ac:dyDescent="0.45">
      <c r="A27" s="19">
        <v>46017.489583333336</v>
      </c>
      <c r="B27" t="s">
        <v>78</v>
      </c>
      <c r="C27" t="s">
        <v>73</v>
      </c>
      <c r="D27" t="s">
        <v>74</v>
      </c>
      <c r="E27" t="s">
        <v>75</v>
      </c>
      <c r="F27" t="s">
        <v>99</v>
      </c>
      <c r="G27" t="s">
        <v>193</v>
      </c>
      <c r="H27" t="s">
        <v>194</v>
      </c>
      <c r="I27">
        <v>10</v>
      </c>
      <c r="J27">
        <v>10</v>
      </c>
      <c r="K27">
        <v>10</v>
      </c>
      <c r="L27">
        <v>6</v>
      </c>
      <c r="M27">
        <v>6</v>
      </c>
      <c r="N27">
        <v>10</v>
      </c>
      <c r="O27">
        <v>1</v>
      </c>
      <c r="P27">
        <v>4</v>
      </c>
      <c r="Q27">
        <v>10</v>
      </c>
    </row>
    <row r="28" spans="1:17" x14ac:dyDescent="0.45">
      <c r="A28" s="19">
        <v>46017.504166666666</v>
      </c>
      <c r="B28" t="s">
        <v>78</v>
      </c>
      <c r="C28" t="s">
        <v>188</v>
      </c>
      <c r="D28" t="s">
        <v>74</v>
      </c>
      <c r="E28" t="s">
        <v>77</v>
      </c>
      <c r="F28" t="s">
        <v>99</v>
      </c>
      <c r="G28" t="s">
        <v>193</v>
      </c>
      <c r="H28" t="s">
        <v>109</v>
      </c>
      <c r="I28">
        <v>1</v>
      </c>
      <c r="J28">
        <v>1</v>
      </c>
      <c r="K28">
        <v>1</v>
      </c>
      <c r="L28">
        <v>1</v>
      </c>
      <c r="M28">
        <v>1</v>
      </c>
      <c r="N28">
        <v>1</v>
      </c>
      <c r="O28">
        <v>1</v>
      </c>
      <c r="P28">
        <v>1</v>
      </c>
      <c r="Q28">
        <v>1</v>
      </c>
    </row>
    <row r="29" spans="1:17" x14ac:dyDescent="0.45">
      <c r="A29" s="19">
        <v>46017.504166666666</v>
      </c>
      <c r="B29" t="s">
        <v>78</v>
      </c>
      <c r="C29" t="s">
        <v>81</v>
      </c>
      <c r="D29" t="s">
        <v>74</v>
      </c>
      <c r="E29" t="s">
        <v>77</v>
      </c>
      <c r="F29" t="s">
        <v>99</v>
      </c>
      <c r="G29" t="s">
        <v>103</v>
      </c>
      <c r="H29" t="s">
        <v>109</v>
      </c>
      <c r="I29">
        <v>1</v>
      </c>
      <c r="J29">
        <v>1</v>
      </c>
      <c r="K29">
        <v>1</v>
      </c>
      <c r="L29">
        <v>1</v>
      </c>
      <c r="M29">
        <v>1</v>
      </c>
      <c r="N29">
        <v>1</v>
      </c>
      <c r="O29">
        <v>1</v>
      </c>
      <c r="P29">
        <v>1</v>
      </c>
      <c r="Q29">
        <v>1</v>
      </c>
    </row>
    <row r="30" spans="1:17" x14ac:dyDescent="0.45">
      <c r="A30" s="19">
        <v>46017.504861111112</v>
      </c>
      <c r="B30" t="s">
        <v>72</v>
      </c>
      <c r="C30" t="s">
        <v>188</v>
      </c>
      <c r="D30" t="s">
        <v>74</v>
      </c>
      <c r="E30" t="s">
        <v>77</v>
      </c>
      <c r="F30" t="s">
        <v>99</v>
      </c>
      <c r="G30" t="s">
        <v>103</v>
      </c>
      <c r="H30" t="s">
        <v>109</v>
      </c>
      <c r="I30">
        <v>10</v>
      </c>
      <c r="J30">
        <v>10</v>
      </c>
      <c r="K30">
        <v>9</v>
      </c>
      <c r="L30">
        <v>10</v>
      </c>
      <c r="M30">
        <v>10</v>
      </c>
      <c r="N30">
        <v>9</v>
      </c>
      <c r="O30">
        <v>10</v>
      </c>
      <c r="P30">
        <v>10</v>
      </c>
      <c r="Q30">
        <v>10</v>
      </c>
    </row>
    <row r="31" spans="1:17" x14ac:dyDescent="0.45">
      <c r="A31" s="19">
        <v>46017.504861111112</v>
      </c>
      <c r="B31" t="s">
        <v>72</v>
      </c>
      <c r="C31" t="s">
        <v>188</v>
      </c>
      <c r="D31" t="s">
        <v>74</v>
      </c>
      <c r="E31" t="s">
        <v>77</v>
      </c>
      <c r="F31" t="s">
        <v>99</v>
      </c>
      <c r="G31" t="s">
        <v>103</v>
      </c>
      <c r="H31" t="s">
        <v>109</v>
      </c>
      <c r="I31">
        <v>10</v>
      </c>
      <c r="J31">
        <v>10</v>
      </c>
      <c r="K31">
        <v>9</v>
      </c>
      <c r="L31">
        <v>10</v>
      </c>
      <c r="M31">
        <v>10</v>
      </c>
      <c r="N31">
        <v>10</v>
      </c>
      <c r="O31">
        <v>10</v>
      </c>
      <c r="P31">
        <v>10</v>
      </c>
      <c r="Q31">
        <v>10</v>
      </c>
    </row>
    <row r="32" spans="1:17" x14ac:dyDescent="0.45">
      <c r="A32" s="19">
        <v>46017.504861111112</v>
      </c>
      <c r="B32" t="s">
        <v>72</v>
      </c>
      <c r="C32" t="s">
        <v>81</v>
      </c>
      <c r="D32" t="s">
        <v>74</v>
      </c>
      <c r="E32" t="s">
        <v>77</v>
      </c>
      <c r="F32" t="s">
        <v>99</v>
      </c>
      <c r="G32" t="s">
        <v>100</v>
      </c>
      <c r="H32" t="s">
        <v>109</v>
      </c>
      <c r="I32">
        <v>10</v>
      </c>
      <c r="J32">
        <v>7</v>
      </c>
      <c r="K32">
        <v>10</v>
      </c>
      <c r="L32">
        <v>7</v>
      </c>
      <c r="M32">
        <v>10</v>
      </c>
      <c r="N32">
        <v>10</v>
      </c>
      <c r="O32">
        <v>3</v>
      </c>
      <c r="P32">
        <v>5</v>
      </c>
      <c r="Q32">
        <v>8</v>
      </c>
    </row>
    <row r="33" spans="1:17" x14ac:dyDescent="0.45">
      <c r="A33" s="19">
        <v>46017.505555555559</v>
      </c>
      <c r="B33" t="s">
        <v>72</v>
      </c>
      <c r="C33" t="s">
        <v>188</v>
      </c>
      <c r="D33" t="s">
        <v>74</v>
      </c>
      <c r="E33" t="s">
        <v>77</v>
      </c>
      <c r="F33" t="s">
        <v>99</v>
      </c>
      <c r="G33" t="s">
        <v>100</v>
      </c>
      <c r="H33" t="s">
        <v>109</v>
      </c>
      <c r="I33">
        <v>5</v>
      </c>
      <c r="J33">
        <v>5</v>
      </c>
      <c r="K33">
        <v>5</v>
      </c>
      <c r="L33">
        <v>5</v>
      </c>
      <c r="M33">
        <v>5</v>
      </c>
      <c r="N33">
        <v>5</v>
      </c>
      <c r="O33">
        <v>5</v>
      </c>
      <c r="P33">
        <v>5</v>
      </c>
      <c r="Q33">
        <v>5</v>
      </c>
    </row>
    <row r="34" spans="1:17" x14ac:dyDescent="0.45">
      <c r="A34" s="19">
        <v>46017.505555555559</v>
      </c>
      <c r="B34" t="s">
        <v>72</v>
      </c>
      <c r="C34" t="s">
        <v>81</v>
      </c>
      <c r="D34" t="s">
        <v>74</v>
      </c>
      <c r="E34" t="s">
        <v>77</v>
      </c>
      <c r="F34" t="s">
        <v>99</v>
      </c>
      <c r="G34" t="s">
        <v>100</v>
      </c>
      <c r="H34" t="s">
        <v>109</v>
      </c>
      <c r="I34">
        <v>8</v>
      </c>
      <c r="J34">
        <v>9</v>
      </c>
      <c r="K34">
        <v>7</v>
      </c>
      <c r="L34">
        <v>8</v>
      </c>
      <c r="M34">
        <v>8</v>
      </c>
      <c r="N34">
        <v>8</v>
      </c>
      <c r="O34">
        <v>3</v>
      </c>
      <c r="P34">
        <v>6</v>
      </c>
      <c r="Q34">
        <v>7</v>
      </c>
    </row>
    <row r="35" spans="1:17" x14ac:dyDescent="0.45">
      <c r="A35" s="19">
        <v>46017.505555555559</v>
      </c>
      <c r="B35" t="s">
        <v>78</v>
      </c>
      <c r="C35" t="s">
        <v>81</v>
      </c>
      <c r="D35" t="s">
        <v>74</v>
      </c>
      <c r="E35" t="s">
        <v>77</v>
      </c>
      <c r="F35" t="s">
        <v>99</v>
      </c>
      <c r="G35" t="s">
        <v>103</v>
      </c>
      <c r="H35" t="s">
        <v>101</v>
      </c>
      <c r="I35">
        <v>10</v>
      </c>
      <c r="J35">
        <v>10</v>
      </c>
      <c r="K35">
        <v>10</v>
      </c>
      <c r="L35">
        <v>10</v>
      </c>
      <c r="M35">
        <v>10</v>
      </c>
      <c r="N35">
        <v>10</v>
      </c>
      <c r="O35">
        <v>10</v>
      </c>
      <c r="P35">
        <v>10</v>
      </c>
      <c r="Q35">
        <v>10</v>
      </c>
    </row>
    <row r="36" spans="1:17" x14ac:dyDescent="0.45">
      <c r="A36" s="19">
        <v>46017.509722222225</v>
      </c>
      <c r="B36" t="s">
        <v>72</v>
      </c>
      <c r="C36" t="s">
        <v>73</v>
      </c>
      <c r="D36" t="s">
        <v>74</v>
      </c>
      <c r="E36" t="s">
        <v>189</v>
      </c>
      <c r="F36" t="s">
        <v>99</v>
      </c>
      <c r="G36" t="s">
        <v>103</v>
      </c>
      <c r="H36" t="s">
        <v>105</v>
      </c>
      <c r="I36">
        <v>10</v>
      </c>
      <c r="J36">
        <v>10</v>
      </c>
      <c r="K36">
        <v>10</v>
      </c>
      <c r="L36">
        <v>10</v>
      </c>
      <c r="M36">
        <v>10</v>
      </c>
      <c r="N36">
        <v>10</v>
      </c>
      <c r="O36">
        <v>10</v>
      </c>
      <c r="P36">
        <v>10</v>
      </c>
      <c r="Q36">
        <v>10</v>
      </c>
    </row>
    <row r="37" spans="1:17" x14ac:dyDescent="0.45">
      <c r="A37" s="19">
        <v>46017.510416666664</v>
      </c>
      <c r="B37" t="s">
        <v>72</v>
      </c>
      <c r="C37" t="s">
        <v>188</v>
      </c>
      <c r="D37" t="s">
        <v>74</v>
      </c>
      <c r="E37" t="s">
        <v>77</v>
      </c>
      <c r="F37" t="s">
        <v>99</v>
      </c>
      <c r="G37" t="s">
        <v>103</v>
      </c>
      <c r="H37" t="s">
        <v>109</v>
      </c>
      <c r="I37">
        <v>10</v>
      </c>
      <c r="J37">
        <v>9</v>
      </c>
      <c r="K37">
        <v>10</v>
      </c>
      <c r="L37">
        <v>8</v>
      </c>
      <c r="M37">
        <v>10</v>
      </c>
      <c r="N37">
        <v>9</v>
      </c>
      <c r="O37">
        <v>10</v>
      </c>
      <c r="P37">
        <v>10</v>
      </c>
      <c r="Q37">
        <v>10</v>
      </c>
    </row>
    <row r="38" spans="1:17" x14ac:dyDescent="0.45">
      <c r="A38" s="19">
        <v>46017.511111111111</v>
      </c>
      <c r="B38" t="s">
        <v>78</v>
      </c>
      <c r="C38" t="s">
        <v>188</v>
      </c>
      <c r="D38" t="s">
        <v>74</v>
      </c>
      <c r="E38" t="s">
        <v>77</v>
      </c>
      <c r="F38" t="s">
        <v>99</v>
      </c>
      <c r="G38" t="s">
        <v>103</v>
      </c>
      <c r="H38" t="s">
        <v>109</v>
      </c>
      <c r="I38">
        <v>10</v>
      </c>
      <c r="J38">
        <v>10</v>
      </c>
      <c r="K38">
        <v>10</v>
      </c>
      <c r="L38">
        <v>10</v>
      </c>
      <c r="M38">
        <v>9</v>
      </c>
      <c r="N38">
        <v>9</v>
      </c>
      <c r="O38">
        <v>9</v>
      </c>
      <c r="P38">
        <v>9</v>
      </c>
      <c r="Q38">
        <v>8</v>
      </c>
    </row>
    <row r="39" spans="1:17" x14ac:dyDescent="0.45">
      <c r="A39" s="19">
        <v>46017.511111111111</v>
      </c>
      <c r="B39" t="s">
        <v>72</v>
      </c>
      <c r="C39" t="s">
        <v>73</v>
      </c>
      <c r="D39" t="s">
        <v>74</v>
      </c>
      <c r="E39" t="s">
        <v>77</v>
      </c>
      <c r="F39" t="s">
        <v>99</v>
      </c>
      <c r="G39" t="s">
        <v>108</v>
      </c>
      <c r="H39" t="s">
        <v>101</v>
      </c>
      <c r="I39">
        <v>8</v>
      </c>
      <c r="J39">
        <v>8</v>
      </c>
      <c r="K39">
        <v>8</v>
      </c>
      <c r="L39">
        <v>8</v>
      </c>
      <c r="M39">
        <v>8</v>
      </c>
      <c r="N39">
        <v>8</v>
      </c>
      <c r="O39">
        <v>8</v>
      </c>
      <c r="P39">
        <v>8</v>
      </c>
      <c r="Q39">
        <v>8</v>
      </c>
    </row>
    <row r="40" spans="1:17" x14ac:dyDescent="0.45">
      <c r="A40" s="19">
        <v>46017.511111111111</v>
      </c>
      <c r="B40" t="s">
        <v>78</v>
      </c>
      <c r="C40" t="s">
        <v>81</v>
      </c>
      <c r="D40" t="s">
        <v>74</v>
      </c>
      <c r="E40" t="s">
        <v>77</v>
      </c>
      <c r="F40" t="s">
        <v>99</v>
      </c>
      <c r="G40" t="s">
        <v>103</v>
      </c>
      <c r="H40" t="s">
        <v>109</v>
      </c>
      <c r="I40">
        <v>10</v>
      </c>
      <c r="J40">
        <v>10</v>
      </c>
      <c r="K40">
        <v>10</v>
      </c>
      <c r="L40">
        <v>10</v>
      </c>
      <c r="M40">
        <v>10</v>
      </c>
      <c r="N40">
        <v>10</v>
      </c>
      <c r="O40">
        <v>10</v>
      </c>
      <c r="P40">
        <v>10</v>
      </c>
      <c r="Q40">
        <v>10</v>
      </c>
    </row>
    <row r="41" spans="1:17" x14ac:dyDescent="0.45">
      <c r="A41" s="19">
        <v>46017.511111111111</v>
      </c>
      <c r="B41" t="s">
        <v>78</v>
      </c>
      <c r="C41" t="s">
        <v>73</v>
      </c>
      <c r="D41" t="s">
        <v>74</v>
      </c>
      <c r="E41" t="s">
        <v>77</v>
      </c>
      <c r="F41" t="s">
        <v>99</v>
      </c>
      <c r="G41" t="s">
        <v>107</v>
      </c>
      <c r="H41" t="s">
        <v>101</v>
      </c>
      <c r="I41">
        <v>8</v>
      </c>
      <c r="J41">
        <v>8</v>
      </c>
      <c r="K41">
        <v>6</v>
      </c>
      <c r="L41">
        <v>8</v>
      </c>
      <c r="M41">
        <v>7</v>
      </c>
      <c r="N41">
        <v>8</v>
      </c>
      <c r="O41">
        <v>5</v>
      </c>
      <c r="P41">
        <v>6</v>
      </c>
      <c r="Q41">
        <v>7</v>
      </c>
    </row>
    <row r="42" spans="1:17" x14ac:dyDescent="0.45">
      <c r="A42" s="19">
        <v>46017.511805555558</v>
      </c>
      <c r="B42" t="s">
        <v>78</v>
      </c>
      <c r="C42" t="s">
        <v>73</v>
      </c>
      <c r="D42" t="s">
        <v>74</v>
      </c>
      <c r="E42" t="s">
        <v>77</v>
      </c>
      <c r="F42" t="s">
        <v>99</v>
      </c>
      <c r="G42" t="s">
        <v>106</v>
      </c>
      <c r="H42" t="s">
        <v>104</v>
      </c>
      <c r="I42">
        <v>9</v>
      </c>
      <c r="J42">
        <v>8</v>
      </c>
      <c r="K42">
        <v>7</v>
      </c>
      <c r="L42">
        <v>8</v>
      </c>
      <c r="M42">
        <v>7</v>
      </c>
      <c r="N42">
        <v>4</v>
      </c>
      <c r="O42">
        <v>2</v>
      </c>
      <c r="P42">
        <v>8</v>
      </c>
      <c r="Q42">
        <v>8</v>
      </c>
    </row>
    <row r="43" spans="1:17" x14ac:dyDescent="0.45">
      <c r="A43" s="19">
        <v>46017.513194444444</v>
      </c>
      <c r="B43" t="s">
        <v>72</v>
      </c>
      <c r="C43" t="s">
        <v>73</v>
      </c>
      <c r="D43" t="s">
        <v>74</v>
      </c>
      <c r="E43" t="s">
        <v>77</v>
      </c>
      <c r="F43" t="s">
        <v>99</v>
      </c>
      <c r="G43" t="s">
        <v>108</v>
      </c>
      <c r="H43" t="s">
        <v>105</v>
      </c>
      <c r="I43">
        <v>10</v>
      </c>
      <c r="J43">
        <v>10</v>
      </c>
      <c r="K43">
        <v>9</v>
      </c>
      <c r="L43">
        <v>8</v>
      </c>
      <c r="M43">
        <v>7</v>
      </c>
      <c r="N43">
        <v>9</v>
      </c>
      <c r="O43">
        <v>9</v>
      </c>
      <c r="P43">
        <v>8</v>
      </c>
      <c r="Q43">
        <v>8</v>
      </c>
    </row>
    <row r="44" spans="1:17" x14ac:dyDescent="0.45">
      <c r="A44" s="19">
        <v>46017.515277777777</v>
      </c>
      <c r="B44" t="s">
        <v>72</v>
      </c>
      <c r="C44" t="s">
        <v>73</v>
      </c>
      <c r="D44" t="s">
        <v>74</v>
      </c>
      <c r="E44" t="s">
        <v>77</v>
      </c>
      <c r="F44" t="s">
        <v>99</v>
      </c>
      <c r="G44" t="s">
        <v>107</v>
      </c>
      <c r="H44" t="s">
        <v>104</v>
      </c>
      <c r="I44">
        <v>6</v>
      </c>
      <c r="J44">
        <v>6</v>
      </c>
      <c r="K44">
        <v>8</v>
      </c>
      <c r="L44">
        <v>10</v>
      </c>
      <c r="M44">
        <v>9</v>
      </c>
      <c r="N44">
        <v>1</v>
      </c>
      <c r="O44">
        <v>7</v>
      </c>
      <c r="P44">
        <v>7</v>
      </c>
      <c r="Q44">
        <v>8</v>
      </c>
    </row>
    <row r="45" spans="1:17" x14ac:dyDescent="0.45">
      <c r="A45" s="19">
        <v>46017.515972222223</v>
      </c>
      <c r="B45" t="s">
        <v>78</v>
      </c>
      <c r="C45" t="s">
        <v>73</v>
      </c>
      <c r="D45" t="s">
        <v>74</v>
      </c>
      <c r="E45" t="s">
        <v>77</v>
      </c>
      <c r="F45" t="s">
        <v>99</v>
      </c>
      <c r="G45" t="s">
        <v>100</v>
      </c>
      <c r="H45" t="s">
        <v>101</v>
      </c>
      <c r="I45">
        <v>8</v>
      </c>
      <c r="J45">
        <v>8</v>
      </c>
      <c r="K45">
        <v>8</v>
      </c>
      <c r="L45">
        <v>8</v>
      </c>
      <c r="M45">
        <v>8</v>
      </c>
      <c r="N45">
        <v>8</v>
      </c>
      <c r="O45">
        <v>9</v>
      </c>
      <c r="P45">
        <v>5</v>
      </c>
      <c r="Q45">
        <v>9</v>
      </c>
    </row>
    <row r="46" spans="1:17" x14ac:dyDescent="0.45">
      <c r="A46" s="19">
        <v>46017.518750000003</v>
      </c>
      <c r="B46" t="s">
        <v>72</v>
      </c>
      <c r="C46" t="s">
        <v>79</v>
      </c>
      <c r="D46" t="s">
        <v>74</v>
      </c>
      <c r="E46" t="s">
        <v>77</v>
      </c>
      <c r="F46" t="s">
        <v>99</v>
      </c>
      <c r="G46" t="s">
        <v>100</v>
      </c>
      <c r="H46" t="s">
        <v>104</v>
      </c>
      <c r="I46">
        <v>10</v>
      </c>
      <c r="J46">
        <v>10</v>
      </c>
      <c r="K46">
        <v>10</v>
      </c>
      <c r="L46">
        <v>9</v>
      </c>
      <c r="M46">
        <v>10</v>
      </c>
      <c r="N46">
        <v>10</v>
      </c>
      <c r="O46">
        <v>10</v>
      </c>
      <c r="P46">
        <v>10</v>
      </c>
      <c r="Q46">
        <v>10</v>
      </c>
    </row>
    <row r="47" spans="1:17" x14ac:dyDescent="0.45">
      <c r="A47" s="19">
        <v>46017.519444444442</v>
      </c>
      <c r="B47" t="s">
        <v>72</v>
      </c>
      <c r="C47" t="s">
        <v>190</v>
      </c>
      <c r="D47" t="s">
        <v>80</v>
      </c>
      <c r="E47" t="s">
        <v>77</v>
      </c>
      <c r="F47" t="s">
        <v>99</v>
      </c>
      <c r="G47" t="s">
        <v>193</v>
      </c>
      <c r="H47" t="s">
        <v>104</v>
      </c>
      <c r="I47">
        <v>1</v>
      </c>
      <c r="J47">
        <v>1</v>
      </c>
      <c r="K47">
        <v>2</v>
      </c>
      <c r="L47">
        <v>1</v>
      </c>
      <c r="M47">
        <v>1</v>
      </c>
      <c r="N47">
        <v>1</v>
      </c>
      <c r="O47">
        <v>1</v>
      </c>
      <c r="P47">
        <v>1</v>
      </c>
      <c r="Q47">
        <v>1</v>
      </c>
    </row>
    <row r="48" spans="1:17" x14ac:dyDescent="0.45">
      <c r="A48" s="19">
        <v>46017.519444444442</v>
      </c>
      <c r="B48" t="s">
        <v>78</v>
      </c>
      <c r="C48" t="s">
        <v>73</v>
      </c>
      <c r="D48" t="s">
        <v>74</v>
      </c>
      <c r="E48" t="s">
        <v>77</v>
      </c>
      <c r="F48" t="s">
        <v>99</v>
      </c>
      <c r="G48" t="s">
        <v>193</v>
      </c>
      <c r="H48" t="s">
        <v>109</v>
      </c>
      <c r="I48">
        <v>8</v>
      </c>
      <c r="J48">
        <v>8</v>
      </c>
      <c r="K48">
        <v>8</v>
      </c>
      <c r="L48">
        <v>7</v>
      </c>
      <c r="M48">
        <v>6</v>
      </c>
      <c r="N48">
        <v>8</v>
      </c>
      <c r="O48">
        <v>8</v>
      </c>
      <c r="P48">
        <v>9</v>
      </c>
      <c r="Q48">
        <v>8</v>
      </c>
    </row>
    <row r="49" spans="1:17" x14ac:dyDescent="0.45">
      <c r="A49" s="19">
        <v>46017.520138888889</v>
      </c>
      <c r="B49" t="s">
        <v>72</v>
      </c>
      <c r="C49" t="s">
        <v>73</v>
      </c>
      <c r="D49" t="s">
        <v>74</v>
      </c>
      <c r="E49" t="s">
        <v>77</v>
      </c>
      <c r="F49" t="s">
        <v>99</v>
      </c>
      <c r="G49" t="s">
        <v>108</v>
      </c>
      <c r="H49" t="s">
        <v>105</v>
      </c>
      <c r="I49">
        <v>10</v>
      </c>
      <c r="J49">
        <v>10</v>
      </c>
      <c r="K49">
        <v>10</v>
      </c>
      <c r="L49">
        <v>10</v>
      </c>
      <c r="M49">
        <v>10</v>
      </c>
      <c r="N49">
        <v>10</v>
      </c>
      <c r="O49">
        <v>10</v>
      </c>
      <c r="P49">
        <v>10</v>
      </c>
      <c r="Q49">
        <v>10</v>
      </c>
    </row>
    <row r="50" spans="1:17" x14ac:dyDescent="0.45">
      <c r="A50" s="19">
        <v>46017.520138888889</v>
      </c>
      <c r="B50" t="s">
        <v>78</v>
      </c>
      <c r="C50" t="s">
        <v>73</v>
      </c>
      <c r="D50" t="s">
        <v>74</v>
      </c>
      <c r="E50" t="s">
        <v>77</v>
      </c>
      <c r="F50" t="s">
        <v>99</v>
      </c>
      <c r="G50" t="s">
        <v>107</v>
      </c>
      <c r="H50" t="s">
        <v>104</v>
      </c>
      <c r="I50">
        <v>8</v>
      </c>
      <c r="J50">
        <v>8</v>
      </c>
      <c r="K50">
        <v>7</v>
      </c>
      <c r="L50">
        <v>8</v>
      </c>
      <c r="M50">
        <v>6</v>
      </c>
      <c r="N50">
        <v>8</v>
      </c>
      <c r="O50">
        <v>6</v>
      </c>
      <c r="P50">
        <v>5</v>
      </c>
      <c r="Q50">
        <v>8</v>
      </c>
    </row>
    <row r="51" spans="1:17" x14ac:dyDescent="0.45">
      <c r="A51" s="19">
        <v>46017.521527777775</v>
      </c>
      <c r="B51" t="s">
        <v>72</v>
      </c>
      <c r="C51" t="s">
        <v>73</v>
      </c>
      <c r="D51" t="s">
        <v>74</v>
      </c>
      <c r="E51" t="s">
        <v>77</v>
      </c>
      <c r="F51" t="s">
        <v>99</v>
      </c>
      <c r="G51" t="s">
        <v>195</v>
      </c>
      <c r="H51" t="s">
        <v>105</v>
      </c>
      <c r="I51">
        <v>10</v>
      </c>
      <c r="J51">
        <v>10</v>
      </c>
      <c r="K51">
        <v>10</v>
      </c>
      <c r="L51">
        <v>8</v>
      </c>
      <c r="M51">
        <v>8</v>
      </c>
      <c r="N51">
        <v>8</v>
      </c>
      <c r="O51">
        <v>8</v>
      </c>
      <c r="P51">
        <v>8</v>
      </c>
      <c r="Q51">
        <v>8</v>
      </c>
    </row>
    <row r="52" spans="1:17" x14ac:dyDescent="0.45">
      <c r="A52" s="19">
        <v>46017.526388888888</v>
      </c>
      <c r="B52" t="s">
        <v>78</v>
      </c>
      <c r="C52" t="s">
        <v>81</v>
      </c>
      <c r="D52" t="s">
        <v>74</v>
      </c>
      <c r="E52" t="s">
        <v>77</v>
      </c>
      <c r="F52" t="s">
        <v>99</v>
      </c>
      <c r="G52" t="s">
        <v>103</v>
      </c>
      <c r="H52" t="s">
        <v>109</v>
      </c>
      <c r="I52">
        <v>10</v>
      </c>
      <c r="J52">
        <v>10</v>
      </c>
      <c r="K52">
        <v>10</v>
      </c>
      <c r="L52">
        <v>10</v>
      </c>
      <c r="M52">
        <v>10</v>
      </c>
      <c r="N52">
        <v>10</v>
      </c>
      <c r="O52">
        <v>10</v>
      </c>
      <c r="P52">
        <v>10</v>
      </c>
      <c r="Q52">
        <v>10</v>
      </c>
    </row>
    <row r="53" spans="1:17" x14ac:dyDescent="0.45">
      <c r="A53" s="19">
        <v>46017.52847222222</v>
      </c>
      <c r="B53" t="s">
        <v>72</v>
      </c>
      <c r="C53" t="s">
        <v>81</v>
      </c>
      <c r="D53" t="s">
        <v>74</v>
      </c>
      <c r="E53" t="s">
        <v>77</v>
      </c>
      <c r="F53" t="s">
        <v>99</v>
      </c>
      <c r="G53" t="s">
        <v>195</v>
      </c>
      <c r="H53" t="s">
        <v>101</v>
      </c>
      <c r="I53">
        <v>10</v>
      </c>
      <c r="J53">
        <v>10</v>
      </c>
      <c r="K53">
        <v>10</v>
      </c>
      <c r="L53">
        <v>10</v>
      </c>
      <c r="M53">
        <v>10</v>
      </c>
      <c r="N53">
        <v>10</v>
      </c>
      <c r="O53">
        <v>10</v>
      </c>
      <c r="P53">
        <v>10</v>
      </c>
      <c r="Q53">
        <v>8</v>
      </c>
    </row>
    <row r="54" spans="1:17" x14ac:dyDescent="0.45">
      <c r="A54" s="19">
        <v>46017.53125</v>
      </c>
      <c r="B54" t="s">
        <v>78</v>
      </c>
      <c r="C54" t="s">
        <v>81</v>
      </c>
      <c r="D54" t="s">
        <v>74</v>
      </c>
      <c r="E54" t="s">
        <v>75</v>
      </c>
      <c r="F54" t="s">
        <v>99</v>
      </c>
      <c r="G54" t="s">
        <v>103</v>
      </c>
      <c r="H54" t="s">
        <v>104</v>
      </c>
      <c r="I54">
        <v>10</v>
      </c>
      <c r="J54">
        <v>10</v>
      </c>
      <c r="K54">
        <v>10</v>
      </c>
      <c r="L54">
        <v>10</v>
      </c>
      <c r="M54">
        <v>10</v>
      </c>
      <c r="N54">
        <v>10</v>
      </c>
      <c r="O54">
        <v>10</v>
      </c>
      <c r="P54">
        <v>10</v>
      </c>
      <c r="Q54">
        <v>10</v>
      </c>
    </row>
    <row r="55" spans="1:17" x14ac:dyDescent="0.45">
      <c r="A55" s="19">
        <v>46017.53125</v>
      </c>
      <c r="B55" t="s">
        <v>72</v>
      </c>
      <c r="C55" t="s">
        <v>79</v>
      </c>
      <c r="D55" t="s">
        <v>74</v>
      </c>
      <c r="E55" t="s">
        <v>77</v>
      </c>
      <c r="F55" t="s">
        <v>99</v>
      </c>
      <c r="G55" t="s">
        <v>108</v>
      </c>
      <c r="H55" t="s">
        <v>104</v>
      </c>
      <c r="I55">
        <v>8</v>
      </c>
      <c r="J55">
        <v>7</v>
      </c>
      <c r="K55">
        <v>7</v>
      </c>
      <c r="L55">
        <v>8</v>
      </c>
      <c r="M55">
        <v>7</v>
      </c>
      <c r="N55">
        <v>8</v>
      </c>
      <c r="O55">
        <v>7</v>
      </c>
      <c r="P55">
        <v>7</v>
      </c>
      <c r="Q55">
        <v>8</v>
      </c>
    </row>
    <row r="56" spans="1:17" x14ac:dyDescent="0.45">
      <c r="A56" s="19">
        <v>46017.533333333333</v>
      </c>
      <c r="B56" t="s">
        <v>72</v>
      </c>
      <c r="C56" t="s">
        <v>73</v>
      </c>
      <c r="D56" t="s">
        <v>74</v>
      </c>
      <c r="E56" t="s">
        <v>77</v>
      </c>
      <c r="F56" t="s">
        <v>99</v>
      </c>
      <c r="G56" t="s">
        <v>108</v>
      </c>
      <c r="H56" t="s">
        <v>101</v>
      </c>
      <c r="I56">
        <v>10</v>
      </c>
      <c r="J56">
        <v>9</v>
      </c>
      <c r="K56">
        <v>3</v>
      </c>
      <c r="L56">
        <v>4</v>
      </c>
      <c r="M56">
        <v>3</v>
      </c>
      <c r="N56">
        <v>3</v>
      </c>
      <c r="O56">
        <v>1</v>
      </c>
      <c r="P56">
        <v>1</v>
      </c>
      <c r="Q56">
        <v>3</v>
      </c>
    </row>
    <row r="57" spans="1:17" x14ac:dyDescent="0.45">
      <c r="A57" s="19">
        <v>46017.537499999999</v>
      </c>
      <c r="B57" t="s">
        <v>78</v>
      </c>
      <c r="C57" t="s">
        <v>81</v>
      </c>
      <c r="D57" t="s">
        <v>74</v>
      </c>
      <c r="E57" t="s">
        <v>77</v>
      </c>
      <c r="F57" t="s">
        <v>99</v>
      </c>
      <c r="G57" t="s">
        <v>193</v>
      </c>
      <c r="H57" t="s">
        <v>109</v>
      </c>
      <c r="I57">
        <v>10</v>
      </c>
      <c r="J57">
        <v>10</v>
      </c>
      <c r="K57">
        <v>9</v>
      </c>
      <c r="L57">
        <v>10</v>
      </c>
      <c r="M57">
        <v>9</v>
      </c>
      <c r="N57">
        <v>10</v>
      </c>
      <c r="O57">
        <v>9</v>
      </c>
      <c r="P57">
        <v>10</v>
      </c>
      <c r="Q57">
        <v>9</v>
      </c>
    </row>
    <row r="58" spans="1:17" x14ac:dyDescent="0.45">
      <c r="A58" s="19">
        <v>46017.55972222222</v>
      </c>
      <c r="B58" t="s">
        <v>72</v>
      </c>
      <c r="C58" t="s">
        <v>73</v>
      </c>
      <c r="D58" t="s">
        <v>74</v>
      </c>
      <c r="E58" t="s">
        <v>77</v>
      </c>
      <c r="F58" t="s">
        <v>99</v>
      </c>
      <c r="G58" t="s">
        <v>103</v>
      </c>
      <c r="H58" t="s">
        <v>104</v>
      </c>
      <c r="I58">
        <v>10</v>
      </c>
      <c r="J58">
        <v>10</v>
      </c>
      <c r="K58">
        <v>1</v>
      </c>
      <c r="L58">
        <v>5</v>
      </c>
      <c r="M58">
        <v>7</v>
      </c>
      <c r="N58">
        <v>10</v>
      </c>
      <c r="O58">
        <v>9</v>
      </c>
      <c r="P58">
        <v>9</v>
      </c>
      <c r="Q58">
        <v>10</v>
      </c>
    </row>
    <row r="59" spans="1:17" x14ac:dyDescent="0.45">
      <c r="A59" s="19">
        <v>46017.580555555556</v>
      </c>
      <c r="B59" t="s">
        <v>72</v>
      </c>
      <c r="C59" t="s">
        <v>79</v>
      </c>
      <c r="D59" t="s">
        <v>74</v>
      </c>
      <c r="E59" t="s">
        <v>75</v>
      </c>
      <c r="F59" t="s">
        <v>99</v>
      </c>
      <c r="G59" t="s">
        <v>100</v>
      </c>
      <c r="H59" t="s">
        <v>101</v>
      </c>
      <c r="I59">
        <v>5</v>
      </c>
      <c r="J59">
        <v>5</v>
      </c>
      <c r="K59">
        <v>4</v>
      </c>
      <c r="L59">
        <v>8</v>
      </c>
      <c r="M59">
        <v>5</v>
      </c>
      <c r="N59">
        <v>7</v>
      </c>
      <c r="O59">
        <v>7</v>
      </c>
      <c r="P59">
        <v>7</v>
      </c>
      <c r="Q59">
        <v>7</v>
      </c>
    </row>
    <row r="60" spans="1:17" x14ac:dyDescent="0.45">
      <c r="A60" s="19">
        <v>46017.626388888886</v>
      </c>
      <c r="B60" t="s">
        <v>72</v>
      </c>
      <c r="C60" t="s">
        <v>188</v>
      </c>
      <c r="D60" t="s">
        <v>74</v>
      </c>
      <c r="E60" t="s">
        <v>77</v>
      </c>
      <c r="F60" t="s">
        <v>102</v>
      </c>
      <c r="G60" t="s">
        <v>193</v>
      </c>
      <c r="H60" t="s">
        <v>109</v>
      </c>
      <c r="I60">
        <v>9</v>
      </c>
      <c r="J60">
        <v>9</v>
      </c>
      <c r="K60">
        <v>9</v>
      </c>
      <c r="L60">
        <v>7</v>
      </c>
      <c r="M60">
        <v>7</v>
      </c>
      <c r="N60">
        <v>8</v>
      </c>
      <c r="O60">
        <v>8</v>
      </c>
      <c r="P60">
        <v>6</v>
      </c>
      <c r="Q60">
        <v>5</v>
      </c>
    </row>
    <row r="61" spans="1:17" x14ac:dyDescent="0.45">
      <c r="A61" s="19">
        <v>46017.688194444447</v>
      </c>
      <c r="B61" t="s">
        <v>78</v>
      </c>
      <c r="C61" t="s">
        <v>81</v>
      </c>
      <c r="D61" t="s">
        <v>74</v>
      </c>
      <c r="E61" t="s">
        <v>77</v>
      </c>
      <c r="F61" t="s">
        <v>99</v>
      </c>
      <c r="G61" t="s">
        <v>103</v>
      </c>
      <c r="H61" t="s">
        <v>109</v>
      </c>
      <c r="I61">
        <v>5</v>
      </c>
      <c r="J61">
        <v>5</v>
      </c>
      <c r="K61">
        <v>5</v>
      </c>
      <c r="L61">
        <v>5</v>
      </c>
      <c r="M61">
        <v>5</v>
      </c>
      <c r="N61">
        <v>8</v>
      </c>
      <c r="O61">
        <v>4</v>
      </c>
      <c r="P61">
        <v>5</v>
      </c>
      <c r="Q61">
        <v>5</v>
      </c>
    </row>
    <row r="62" spans="1:17" x14ac:dyDescent="0.45">
      <c r="A62" s="19">
        <v>46017.698611111111</v>
      </c>
      <c r="B62" t="s">
        <v>72</v>
      </c>
      <c r="C62" t="s">
        <v>73</v>
      </c>
      <c r="D62" t="s">
        <v>74</v>
      </c>
      <c r="E62" t="s">
        <v>75</v>
      </c>
      <c r="F62" t="s">
        <v>99</v>
      </c>
      <c r="G62" t="s">
        <v>195</v>
      </c>
      <c r="H62" t="s">
        <v>101</v>
      </c>
      <c r="I62">
        <v>8</v>
      </c>
      <c r="J62">
        <v>9</v>
      </c>
      <c r="K62">
        <v>9</v>
      </c>
      <c r="L62">
        <v>9</v>
      </c>
      <c r="M62">
        <v>9</v>
      </c>
      <c r="N62">
        <v>8</v>
      </c>
      <c r="O62">
        <v>8</v>
      </c>
      <c r="P62">
        <v>8</v>
      </c>
      <c r="Q62">
        <v>9</v>
      </c>
    </row>
    <row r="63" spans="1:17" x14ac:dyDescent="0.45">
      <c r="A63" s="19">
        <v>46017.711111111108</v>
      </c>
      <c r="B63" t="s">
        <v>72</v>
      </c>
      <c r="C63" t="s">
        <v>81</v>
      </c>
      <c r="D63" t="s">
        <v>74</v>
      </c>
      <c r="E63" t="s">
        <v>75</v>
      </c>
      <c r="F63" t="s">
        <v>99</v>
      </c>
      <c r="G63" t="s">
        <v>100</v>
      </c>
      <c r="H63" t="s">
        <v>109</v>
      </c>
      <c r="I63">
        <v>9</v>
      </c>
      <c r="J63">
        <v>9</v>
      </c>
      <c r="K63">
        <v>7</v>
      </c>
      <c r="L63">
        <v>6</v>
      </c>
      <c r="M63">
        <v>7</v>
      </c>
      <c r="N63">
        <v>5</v>
      </c>
      <c r="O63">
        <v>6</v>
      </c>
      <c r="P63">
        <v>8</v>
      </c>
      <c r="Q63">
        <v>5</v>
      </c>
    </row>
    <row r="64" spans="1:17" x14ac:dyDescent="0.45">
      <c r="A64" s="19">
        <v>46017.80972222222</v>
      </c>
      <c r="B64" t="s">
        <v>72</v>
      </c>
      <c r="C64" t="s">
        <v>190</v>
      </c>
      <c r="D64" t="s">
        <v>80</v>
      </c>
      <c r="E64" t="s">
        <v>77</v>
      </c>
      <c r="F64" t="s">
        <v>99</v>
      </c>
      <c r="G64" t="s">
        <v>195</v>
      </c>
      <c r="H64" t="s">
        <v>101</v>
      </c>
      <c r="I64">
        <v>9</v>
      </c>
      <c r="J64">
        <v>9</v>
      </c>
      <c r="K64">
        <v>9</v>
      </c>
      <c r="L64">
        <v>9</v>
      </c>
      <c r="M64">
        <v>8</v>
      </c>
      <c r="N64">
        <v>9</v>
      </c>
      <c r="O64">
        <v>9</v>
      </c>
      <c r="P64">
        <v>8</v>
      </c>
      <c r="Q64">
        <v>7</v>
      </c>
    </row>
    <row r="65" spans="1:17" x14ac:dyDescent="0.45">
      <c r="A65" s="19">
        <v>46018.36041666667</v>
      </c>
      <c r="B65" t="s">
        <v>72</v>
      </c>
      <c r="C65" t="s">
        <v>73</v>
      </c>
      <c r="D65" t="s">
        <v>74</v>
      </c>
      <c r="E65" t="s">
        <v>77</v>
      </c>
      <c r="F65" t="s">
        <v>102</v>
      </c>
      <c r="G65" t="s">
        <v>107</v>
      </c>
      <c r="H65" t="s">
        <v>104</v>
      </c>
      <c r="I65">
        <v>9</v>
      </c>
      <c r="J65">
        <v>10</v>
      </c>
      <c r="K65">
        <v>9</v>
      </c>
      <c r="L65">
        <v>10</v>
      </c>
      <c r="M65">
        <v>10</v>
      </c>
      <c r="N65">
        <v>5</v>
      </c>
      <c r="O65">
        <v>10</v>
      </c>
      <c r="P65">
        <v>7</v>
      </c>
      <c r="Q65">
        <v>9</v>
      </c>
    </row>
    <row r="66" spans="1:17" x14ac:dyDescent="0.45">
      <c r="A66" s="19">
        <v>46019.6</v>
      </c>
      <c r="B66" t="s">
        <v>72</v>
      </c>
      <c r="C66" t="s">
        <v>79</v>
      </c>
      <c r="D66" t="s">
        <v>80</v>
      </c>
      <c r="E66" t="s">
        <v>77</v>
      </c>
      <c r="F66" t="s">
        <v>99</v>
      </c>
      <c r="G66" t="s">
        <v>193</v>
      </c>
      <c r="H66" t="s">
        <v>104</v>
      </c>
      <c r="I66">
        <v>10</v>
      </c>
      <c r="J66">
        <v>10</v>
      </c>
      <c r="K66">
        <v>10</v>
      </c>
      <c r="L66">
        <v>10</v>
      </c>
      <c r="M66">
        <v>10</v>
      </c>
      <c r="N66">
        <v>10</v>
      </c>
      <c r="O66">
        <v>10</v>
      </c>
      <c r="P66">
        <v>10</v>
      </c>
      <c r="Q66">
        <v>10</v>
      </c>
    </row>
    <row r="67" spans="1:17" x14ac:dyDescent="0.45">
      <c r="A67" s="19">
        <v>46019.604166666664</v>
      </c>
      <c r="B67" t="s">
        <v>72</v>
      </c>
      <c r="C67" t="s">
        <v>81</v>
      </c>
      <c r="D67" t="s">
        <v>74</v>
      </c>
      <c r="E67" t="s">
        <v>189</v>
      </c>
      <c r="F67" t="s">
        <v>99</v>
      </c>
      <c r="G67" t="s">
        <v>103</v>
      </c>
      <c r="H67" t="s">
        <v>109</v>
      </c>
      <c r="I67">
        <v>7</v>
      </c>
      <c r="J67">
        <v>5</v>
      </c>
      <c r="K67">
        <v>3</v>
      </c>
      <c r="L67">
        <v>5</v>
      </c>
      <c r="M67">
        <v>4</v>
      </c>
      <c r="N67">
        <v>3</v>
      </c>
      <c r="O67">
        <v>5</v>
      </c>
      <c r="P67">
        <v>6</v>
      </c>
      <c r="Q67">
        <v>6</v>
      </c>
    </row>
    <row r="68" spans="1:17" x14ac:dyDescent="0.45">
      <c r="A68" s="19">
        <v>46019.626388888886</v>
      </c>
      <c r="B68" t="s">
        <v>78</v>
      </c>
      <c r="C68" t="s">
        <v>79</v>
      </c>
      <c r="D68" t="s">
        <v>74</v>
      </c>
      <c r="E68" t="s">
        <v>75</v>
      </c>
      <c r="F68" t="s">
        <v>99</v>
      </c>
      <c r="G68" t="s">
        <v>106</v>
      </c>
      <c r="H68" t="s">
        <v>104</v>
      </c>
      <c r="I68">
        <v>5</v>
      </c>
      <c r="J68">
        <v>5</v>
      </c>
      <c r="K68">
        <v>4</v>
      </c>
      <c r="L68">
        <v>4</v>
      </c>
      <c r="M68">
        <v>2</v>
      </c>
      <c r="N68">
        <v>3</v>
      </c>
      <c r="O68">
        <v>2</v>
      </c>
      <c r="P68">
        <v>3</v>
      </c>
      <c r="Q68">
        <v>3</v>
      </c>
    </row>
    <row r="69" spans="1:17" x14ac:dyDescent="0.45">
      <c r="A69" s="19">
        <v>46019.645833333336</v>
      </c>
      <c r="B69" t="s">
        <v>72</v>
      </c>
      <c r="C69" t="s">
        <v>79</v>
      </c>
      <c r="D69" t="s">
        <v>74</v>
      </c>
      <c r="E69" t="s">
        <v>77</v>
      </c>
      <c r="F69" t="s">
        <v>99</v>
      </c>
      <c r="G69" t="s">
        <v>110</v>
      </c>
      <c r="H69" t="s">
        <v>104</v>
      </c>
      <c r="I69">
        <v>4</v>
      </c>
      <c r="J69">
        <v>3</v>
      </c>
      <c r="K69">
        <v>1</v>
      </c>
      <c r="L69">
        <v>5</v>
      </c>
      <c r="M69">
        <v>4</v>
      </c>
      <c r="N69">
        <v>3</v>
      </c>
      <c r="O69">
        <v>1</v>
      </c>
      <c r="P69">
        <v>3</v>
      </c>
      <c r="Q69">
        <v>5</v>
      </c>
    </row>
    <row r="70" spans="1:17" x14ac:dyDescent="0.45">
      <c r="A70" s="19">
        <v>46019.647916666669</v>
      </c>
      <c r="B70" t="s">
        <v>78</v>
      </c>
      <c r="C70" t="s">
        <v>81</v>
      </c>
      <c r="D70" t="s">
        <v>74</v>
      </c>
      <c r="E70" t="s">
        <v>77</v>
      </c>
      <c r="F70" t="s">
        <v>99</v>
      </c>
      <c r="G70" t="s">
        <v>195</v>
      </c>
      <c r="H70" t="s">
        <v>109</v>
      </c>
      <c r="I70">
        <v>7</v>
      </c>
      <c r="J70">
        <v>7</v>
      </c>
      <c r="K70">
        <v>8</v>
      </c>
      <c r="L70">
        <v>9</v>
      </c>
      <c r="M70">
        <v>8</v>
      </c>
      <c r="N70">
        <v>10</v>
      </c>
      <c r="O70">
        <v>9</v>
      </c>
      <c r="P70">
        <v>9</v>
      </c>
      <c r="Q70">
        <v>9</v>
      </c>
    </row>
    <row r="71" spans="1:17" x14ac:dyDescent="0.45">
      <c r="A71" s="19">
        <v>46019.648611111108</v>
      </c>
      <c r="B71" t="s">
        <v>78</v>
      </c>
      <c r="C71" t="s">
        <v>79</v>
      </c>
      <c r="D71" t="s">
        <v>74</v>
      </c>
      <c r="E71" t="s">
        <v>75</v>
      </c>
      <c r="F71" t="s">
        <v>102</v>
      </c>
      <c r="G71" t="s">
        <v>107</v>
      </c>
      <c r="H71" t="s">
        <v>101</v>
      </c>
      <c r="I71">
        <v>6</v>
      </c>
      <c r="J71">
        <v>6</v>
      </c>
      <c r="K71">
        <v>5</v>
      </c>
      <c r="L71">
        <v>5</v>
      </c>
      <c r="M71">
        <v>5</v>
      </c>
      <c r="N71">
        <v>1</v>
      </c>
      <c r="O71">
        <v>5</v>
      </c>
      <c r="P71">
        <v>5</v>
      </c>
      <c r="Q71">
        <v>5</v>
      </c>
    </row>
    <row r="72" spans="1:17" x14ac:dyDescent="0.45">
      <c r="A72" s="19">
        <v>46019.650694444441</v>
      </c>
      <c r="B72" t="s">
        <v>72</v>
      </c>
      <c r="C72" t="s">
        <v>73</v>
      </c>
      <c r="D72" t="s">
        <v>74</v>
      </c>
      <c r="E72" t="s">
        <v>75</v>
      </c>
      <c r="F72" t="s">
        <v>99</v>
      </c>
      <c r="G72" t="s">
        <v>100</v>
      </c>
      <c r="H72" t="s">
        <v>104</v>
      </c>
      <c r="I72">
        <v>3</v>
      </c>
      <c r="J72">
        <v>3</v>
      </c>
      <c r="K72">
        <v>3</v>
      </c>
      <c r="L72">
        <v>5</v>
      </c>
      <c r="M72">
        <v>3</v>
      </c>
      <c r="N72">
        <v>3</v>
      </c>
      <c r="O72">
        <v>3</v>
      </c>
      <c r="P72">
        <v>3</v>
      </c>
      <c r="Q72">
        <v>4</v>
      </c>
    </row>
    <row r="73" spans="1:17" x14ac:dyDescent="0.45">
      <c r="A73" s="19">
        <v>46019.652083333334</v>
      </c>
      <c r="B73" t="s">
        <v>78</v>
      </c>
      <c r="C73" t="s">
        <v>73</v>
      </c>
      <c r="D73" t="s">
        <v>74</v>
      </c>
      <c r="E73" t="s">
        <v>77</v>
      </c>
      <c r="F73" t="s">
        <v>102</v>
      </c>
      <c r="G73" t="s">
        <v>195</v>
      </c>
      <c r="H73" t="s">
        <v>105</v>
      </c>
      <c r="I73">
        <v>8</v>
      </c>
      <c r="J73">
        <v>8</v>
      </c>
      <c r="K73">
        <v>4</v>
      </c>
      <c r="L73">
        <v>2</v>
      </c>
      <c r="M73">
        <v>6</v>
      </c>
      <c r="N73">
        <v>3</v>
      </c>
      <c r="O73">
        <v>8</v>
      </c>
      <c r="P73">
        <v>4</v>
      </c>
      <c r="Q73">
        <v>8</v>
      </c>
    </row>
    <row r="74" spans="1:17" x14ac:dyDescent="0.45">
      <c r="A74" s="19">
        <v>46019.658333333333</v>
      </c>
      <c r="B74" t="s">
        <v>78</v>
      </c>
      <c r="C74" t="s">
        <v>188</v>
      </c>
      <c r="D74" t="s">
        <v>74</v>
      </c>
      <c r="E74" t="s">
        <v>191</v>
      </c>
      <c r="F74" t="s">
        <v>99</v>
      </c>
      <c r="G74" t="s">
        <v>103</v>
      </c>
      <c r="H74" t="s">
        <v>109</v>
      </c>
      <c r="I74">
        <v>5</v>
      </c>
      <c r="J74">
        <v>5</v>
      </c>
      <c r="K74">
        <v>5</v>
      </c>
      <c r="L74">
        <v>5</v>
      </c>
      <c r="M74">
        <v>5</v>
      </c>
      <c r="N74">
        <v>10</v>
      </c>
      <c r="O74">
        <v>5</v>
      </c>
      <c r="P74">
        <v>5</v>
      </c>
      <c r="Q74">
        <v>10</v>
      </c>
    </row>
    <row r="75" spans="1:17" x14ac:dyDescent="0.45">
      <c r="A75" s="19">
        <v>46019.685416666667</v>
      </c>
      <c r="B75" t="s">
        <v>72</v>
      </c>
      <c r="C75" t="s">
        <v>73</v>
      </c>
      <c r="D75" t="s">
        <v>74</v>
      </c>
      <c r="E75" t="s">
        <v>77</v>
      </c>
      <c r="F75" t="s">
        <v>102</v>
      </c>
      <c r="G75" t="s">
        <v>195</v>
      </c>
      <c r="H75" t="s">
        <v>101</v>
      </c>
      <c r="I75">
        <v>5</v>
      </c>
      <c r="J75">
        <v>10</v>
      </c>
      <c r="K75">
        <v>2</v>
      </c>
      <c r="L75">
        <v>8</v>
      </c>
      <c r="M75">
        <v>5</v>
      </c>
      <c r="N75">
        <v>5</v>
      </c>
      <c r="O75">
        <v>1</v>
      </c>
      <c r="P75">
        <v>4</v>
      </c>
      <c r="Q75">
        <v>5</v>
      </c>
    </row>
    <row r="76" spans="1:17" x14ac:dyDescent="0.45">
      <c r="A76" s="19">
        <v>46019.6875</v>
      </c>
      <c r="B76" t="s">
        <v>78</v>
      </c>
      <c r="C76" t="s">
        <v>79</v>
      </c>
      <c r="D76" t="s">
        <v>74</v>
      </c>
      <c r="E76" t="s">
        <v>75</v>
      </c>
      <c r="F76" t="s">
        <v>99</v>
      </c>
      <c r="G76" t="s">
        <v>110</v>
      </c>
      <c r="H76" t="s">
        <v>104</v>
      </c>
      <c r="I76">
        <v>8</v>
      </c>
      <c r="J76">
        <v>9</v>
      </c>
      <c r="K76">
        <v>9</v>
      </c>
      <c r="L76">
        <v>9</v>
      </c>
      <c r="M76">
        <v>3</v>
      </c>
      <c r="N76">
        <v>3</v>
      </c>
      <c r="O76">
        <v>2</v>
      </c>
      <c r="P76">
        <v>2</v>
      </c>
      <c r="Q76">
        <v>6</v>
      </c>
    </row>
    <row r="77" spans="1:17" x14ac:dyDescent="0.45">
      <c r="A77" s="19">
        <v>46019.693749999999</v>
      </c>
      <c r="B77" t="s">
        <v>78</v>
      </c>
      <c r="C77" t="s">
        <v>79</v>
      </c>
      <c r="D77" t="s">
        <v>80</v>
      </c>
      <c r="E77" t="s">
        <v>191</v>
      </c>
      <c r="F77" t="s">
        <v>102</v>
      </c>
      <c r="G77" t="s">
        <v>103</v>
      </c>
      <c r="H77" t="s">
        <v>105</v>
      </c>
      <c r="I77">
        <v>5</v>
      </c>
      <c r="J77">
        <v>5</v>
      </c>
      <c r="K77">
        <v>5</v>
      </c>
      <c r="L77">
        <v>5</v>
      </c>
      <c r="M77">
        <v>5</v>
      </c>
      <c r="N77">
        <v>5</v>
      </c>
      <c r="O77">
        <v>5</v>
      </c>
      <c r="P77">
        <v>5</v>
      </c>
      <c r="Q77">
        <v>5</v>
      </c>
    </row>
    <row r="78" spans="1:17" x14ac:dyDescent="0.45">
      <c r="A78" s="19">
        <v>46019.697222222225</v>
      </c>
      <c r="B78" t="s">
        <v>72</v>
      </c>
      <c r="C78" t="s">
        <v>190</v>
      </c>
      <c r="D78" t="s">
        <v>74</v>
      </c>
      <c r="E78" t="s">
        <v>77</v>
      </c>
      <c r="F78" t="s">
        <v>99</v>
      </c>
      <c r="G78" t="s">
        <v>103</v>
      </c>
      <c r="H78" t="s">
        <v>104</v>
      </c>
      <c r="I78">
        <v>8</v>
      </c>
      <c r="J78">
        <v>8</v>
      </c>
      <c r="K78">
        <v>8</v>
      </c>
      <c r="L78">
        <v>8</v>
      </c>
      <c r="M78">
        <v>9</v>
      </c>
      <c r="N78">
        <v>7</v>
      </c>
      <c r="O78">
        <v>9</v>
      </c>
      <c r="P78">
        <v>10</v>
      </c>
      <c r="Q78">
        <v>8</v>
      </c>
    </row>
    <row r="79" spans="1:17" x14ac:dyDescent="0.45">
      <c r="A79" s="19">
        <v>46019.699305555558</v>
      </c>
      <c r="B79" t="s">
        <v>72</v>
      </c>
      <c r="C79" t="s">
        <v>73</v>
      </c>
      <c r="D79" t="s">
        <v>74</v>
      </c>
      <c r="E79" t="s">
        <v>75</v>
      </c>
      <c r="F79" t="s">
        <v>99</v>
      </c>
      <c r="G79" t="s">
        <v>108</v>
      </c>
      <c r="H79" t="s">
        <v>104</v>
      </c>
      <c r="I79">
        <v>8</v>
      </c>
      <c r="J79">
        <v>7</v>
      </c>
      <c r="K79">
        <v>9</v>
      </c>
      <c r="L79">
        <v>8</v>
      </c>
      <c r="M79">
        <v>8</v>
      </c>
      <c r="N79">
        <v>8</v>
      </c>
      <c r="O79">
        <v>6</v>
      </c>
      <c r="P79">
        <v>6</v>
      </c>
      <c r="Q79">
        <v>7</v>
      </c>
    </row>
    <row r="80" spans="1:17" x14ac:dyDescent="0.45">
      <c r="A80" s="19">
        <v>46019.737500000003</v>
      </c>
      <c r="B80" t="s">
        <v>72</v>
      </c>
      <c r="C80" t="s">
        <v>192</v>
      </c>
      <c r="D80" t="s">
        <v>74</v>
      </c>
      <c r="E80" t="s">
        <v>191</v>
      </c>
      <c r="F80" t="s">
        <v>196</v>
      </c>
      <c r="G80" t="s">
        <v>103</v>
      </c>
      <c r="H80" t="s">
        <v>109</v>
      </c>
      <c r="I80">
        <v>6</v>
      </c>
      <c r="J80">
        <v>2</v>
      </c>
      <c r="K80">
        <v>3</v>
      </c>
      <c r="L80">
        <v>2</v>
      </c>
      <c r="M80">
        <v>3</v>
      </c>
      <c r="N80">
        <v>7</v>
      </c>
      <c r="O80">
        <v>5</v>
      </c>
      <c r="P80">
        <v>5</v>
      </c>
      <c r="Q80">
        <v>7</v>
      </c>
    </row>
    <row r="81" spans="1:17" x14ac:dyDescent="0.45">
      <c r="A81" s="19">
        <v>46019.746527777781</v>
      </c>
      <c r="B81" t="s">
        <v>78</v>
      </c>
      <c r="C81" t="s">
        <v>81</v>
      </c>
      <c r="D81" t="s">
        <v>74</v>
      </c>
      <c r="E81" t="s">
        <v>77</v>
      </c>
      <c r="F81" t="s">
        <v>99</v>
      </c>
      <c r="G81" t="s">
        <v>103</v>
      </c>
      <c r="H81" t="s">
        <v>109</v>
      </c>
      <c r="I81">
        <v>8</v>
      </c>
      <c r="J81">
        <v>8</v>
      </c>
      <c r="K81">
        <v>8</v>
      </c>
      <c r="L81">
        <v>8</v>
      </c>
      <c r="M81">
        <v>8</v>
      </c>
      <c r="N81">
        <v>8</v>
      </c>
      <c r="O81">
        <v>8</v>
      </c>
      <c r="P81">
        <v>8</v>
      </c>
      <c r="Q81">
        <v>8</v>
      </c>
    </row>
    <row r="82" spans="1:17" x14ac:dyDescent="0.45">
      <c r="A82" s="19">
        <v>46019.775694444441</v>
      </c>
      <c r="B82" t="s">
        <v>78</v>
      </c>
      <c r="C82" t="s">
        <v>192</v>
      </c>
      <c r="D82" t="s">
        <v>74</v>
      </c>
      <c r="E82" t="s">
        <v>75</v>
      </c>
      <c r="F82" t="s">
        <v>196</v>
      </c>
      <c r="G82" t="s">
        <v>193</v>
      </c>
      <c r="H82" t="s">
        <v>109</v>
      </c>
      <c r="I82">
        <v>7</v>
      </c>
      <c r="J82">
        <v>7</v>
      </c>
      <c r="K82">
        <v>5</v>
      </c>
      <c r="L82">
        <v>5</v>
      </c>
      <c r="M82">
        <v>6</v>
      </c>
      <c r="N82">
        <v>5</v>
      </c>
      <c r="O82">
        <v>8</v>
      </c>
      <c r="P82">
        <v>6</v>
      </c>
      <c r="Q82">
        <v>8</v>
      </c>
    </row>
    <row r="83" spans="1:17" x14ac:dyDescent="0.45">
      <c r="A83" s="19">
        <v>46019.807638888888</v>
      </c>
      <c r="B83" t="s">
        <v>72</v>
      </c>
      <c r="C83" t="s">
        <v>192</v>
      </c>
      <c r="D83" t="s">
        <v>74</v>
      </c>
      <c r="E83" t="s">
        <v>77</v>
      </c>
      <c r="F83" t="s">
        <v>196</v>
      </c>
      <c r="G83" t="s">
        <v>103</v>
      </c>
      <c r="H83" t="s">
        <v>101</v>
      </c>
      <c r="I83">
        <v>8</v>
      </c>
      <c r="J83">
        <v>9</v>
      </c>
      <c r="K83">
        <v>5</v>
      </c>
      <c r="L83">
        <v>5</v>
      </c>
      <c r="M83">
        <v>5</v>
      </c>
      <c r="N83">
        <v>5</v>
      </c>
      <c r="O83">
        <v>1</v>
      </c>
      <c r="P83">
        <v>5</v>
      </c>
      <c r="Q83">
        <v>5</v>
      </c>
    </row>
    <row r="84" spans="1:17" x14ac:dyDescent="0.45">
      <c r="A84" s="19">
        <v>46019.814583333333</v>
      </c>
      <c r="B84" t="s">
        <v>72</v>
      </c>
      <c r="C84" t="s">
        <v>79</v>
      </c>
      <c r="D84" t="s">
        <v>74</v>
      </c>
      <c r="E84" t="s">
        <v>75</v>
      </c>
      <c r="F84" t="s">
        <v>99</v>
      </c>
      <c r="G84" t="s">
        <v>103</v>
      </c>
      <c r="H84" t="s">
        <v>104</v>
      </c>
      <c r="I84">
        <v>10</v>
      </c>
      <c r="J84">
        <v>8</v>
      </c>
      <c r="K84">
        <v>8</v>
      </c>
      <c r="L84">
        <v>7</v>
      </c>
      <c r="M84">
        <v>7</v>
      </c>
      <c r="N84">
        <v>6</v>
      </c>
      <c r="O84">
        <v>7</v>
      </c>
      <c r="P84">
        <v>6</v>
      </c>
      <c r="Q84">
        <v>8</v>
      </c>
    </row>
    <row r="85" spans="1:17" x14ac:dyDescent="0.45">
      <c r="A85" s="19">
        <v>46019.818055555559</v>
      </c>
      <c r="B85" t="s">
        <v>72</v>
      </c>
      <c r="C85" t="s">
        <v>73</v>
      </c>
      <c r="D85" t="s">
        <v>74</v>
      </c>
      <c r="E85" t="s">
        <v>189</v>
      </c>
      <c r="F85" t="s">
        <v>99</v>
      </c>
      <c r="G85" t="s">
        <v>103</v>
      </c>
      <c r="H85" t="s">
        <v>101</v>
      </c>
      <c r="I85">
        <v>6</v>
      </c>
      <c r="J85">
        <v>7</v>
      </c>
      <c r="K85">
        <v>5</v>
      </c>
      <c r="L85">
        <v>5</v>
      </c>
      <c r="M85">
        <v>5</v>
      </c>
      <c r="N85">
        <v>5</v>
      </c>
      <c r="O85">
        <v>5</v>
      </c>
      <c r="P85">
        <v>5</v>
      </c>
      <c r="Q85">
        <v>5</v>
      </c>
    </row>
    <row r="86" spans="1:17" x14ac:dyDescent="0.45">
      <c r="A86" s="19">
        <v>46019.819444444445</v>
      </c>
      <c r="B86" t="s">
        <v>72</v>
      </c>
      <c r="C86" t="s">
        <v>79</v>
      </c>
      <c r="D86" t="s">
        <v>74</v>
      </c>
      <c r="E86" t="s">
        <v>77</v>
      </c>
      <c r="F86" t="s">
        <v>99</v>
      </c>
      <c r="G86" t="s">
        <v>103</v>
      </c>
      <c r="H86" t="s">
        <v>104</v>
      </c>
      <c r="I86">
        <v>9</v>
      </c>
      <c r="J86">
        <v>9</v>
      </c>
      <c r="K86">
        <v>8</v>
      </c>
      <c r="L86">
        <v>9</v>
      </c>
      <c r="M86">
        <v>9</v>
      </c>
      <c r="N86">
        <v>9</v>
      </c>
      <c r="O86">
        <v>7</v>
      </c>
      <c r="P86">
        <v>8</v>
      </c>
      <c r="Q86">
        <v>8</v>
      </c>
    </row>
    <row r="87" spans="1:17" x14ac:dyDescent="0.45">
      <c r="A87" s="19">
        <v>46019.820138888892</v>
      </c>
      <c r="B87" t="s">
        <v>78</v>
      </c>
      <c r="C87" t="s">
        <v>73</v>
      </c>
      <c r="D87" t="s">
        <v>80</v>
      </c>
      <c r="E87" t="s">
        <v>77</v>
      </c>
      <c r="F87" t="s">
        <v>99</v>
      </c>
      <c r="G87" t="s">
        <v>103</v>
      </c>
      <c r="H87" t="s">
        <v>109</v>
      </c>
      <c r="I87">
        <v>5</v>
      </c>
      <c r="J87">
        <v>5</v>
      </c>
      <c r="K87">
        <v>10</v>
      </c>
      <c r="L87">
        <v>4</v>
      </c>
      <c r="M87">
        <v>4</v>
      </c>
      <c r="N87">
        <v>5</v>
      </c>
      <c r="O87">
        <v>5</v>
      </c>
      <c r="P87">
        <v>8</v>
      </c>
      <c r="Q87">
        <v>8</v>
      </c>
    </row>
    <row r="88" spans="1:17" x14ac:dyDescent="0.45">
      <c r="A88" s="19">
        <v>46019.824999999997</v>
      </c>
      <c r="B88" t="s">
        <v>78</v>
      </c>
      <c r="C88" t="s">
        <v>79</v>
      </c>
      <c r="D88" t="s">
        <v>74</v>
      </c>
      <c r="E88" t="s">
        <v>77</v>
      </c>
      <c r="F88" t="s">
        <v>99</v>
      </c>
      <c r="G88" t="s">
        <v>103</v>
      </c>
      <c r="H88" t="s">
        <v>104</v>
      </c>
      <c r="I88">
        <v>10</v>
      </c>
      <c r="J88">
        <v>9</v>
      </c>
      <c r="K88">
        <v>9</v>
      </c>
      <c r="L88">
        <v>9</v>
      </c>
      <c r="M88">
        <v>9</v>
      </c>
      <c r="N88">
        <v>9</v>
      </c>
      <c r="O88">
        <v>10</v>
      </c>
      <c r="P88">
        <v>9</v>
      </c>
      <c r="Q88">
        <v>10</v>
      </c>
    </row>
    <row r="89" spans="1:17" x14ac:dyDescent="0.45">
      <c r="A89" s="19">
        <v>46019.836805555555</v>
      </c>
      <c r="B89" t="s">
        <v>72</v>
      </c>
      <c r="C89" t="s">
        <v>79</v>
      </c>
      <c r="D89" t="s">
        <v>74</v>
      </c>
      <c r="E89" t="s">
        <v>191</v>
      </c>
      <c r="F89" t="s">
        <v>99</v>
      </c>
      <c r="G89" t="s">
        <v>193</v>
      </c>
      <c r="H89" t="s">
        <v>104</v>
      </c>
      <c r="I89">
        <v>10</v>
      </c>
      <c r="J89">
        <v>10</v>
      </c>
      <c r="K89">
        <v>10</v>
      </c>
      <c r="L89">
        <v>10</v>
      </c>
      <c r="M89">
        <v>10</v>
      </c>
      <c r="N89">
        <v>10</v>
      </c>
      <c r="O89">
        <v>10</v>
      </c>
      <c r="P89">
        <v>10</v>
      </c>
      <c r="Q89">
        <v>10</v>
      </c>
    </row>
    <row r="90" spans="1:17" x14ac:dyDescent="0.45">
      <c r="A90" s="19">
        <v>46019.838888888888</v>
      </c>
      <c r="B90" t="s">
        <v>72</v>
      </c>
      <c r="C90" t="s">
        <v>73</v>
      </c>
      <c r="D90" t="s">
        <v>74</v>
      </c>
      <c r="E90" t="s">
        <v>189</v>
      </c>
      <c r="F90" t="s">
        <v>99</v>
      </c>
      <c r="G90" t="s">
        <v>193</v>
      </c>
      <c r="H90" t="s">
        <v>101</v>
      </c>
      <c r="I90">
        <v>10</v>
      </c>
      <c r="J90">
        <v>9</v>
      </c>
      <c r="K90">
        <v>9</v>
      </c>
      <c r="L90">
        <v>9</v>
      </c>
      <c r="M90">
        <v>10</v>
      </c>
      <c r="N90">
        <v>9</v>
      </c>
      <c r="O90">
        <v>9</v>
      </c>
      <c r="P90">
        <v>8</v>
      </c>
      <c r="Q90">
        <v>9</v>
      </c>
    </row>
    <row r="91" spans="1:17" x14ac:dyDescent="0.45">
      <c r="A91" s="19">
        <v>46019.84097222222</v>
      </c>
      <c r="B91" t="s">
        <v>72</v>
      </c>
      <c r="C91" t="s">
        <v>73</v>
      </c>
      <c r="D91" t="s">
        <v>80</v>
      </c>
      <c r="E91" t="s">
        <v>77</v>
      </c>
      <c r="F91" t="s">
        <v>99</v>
      </c>
      <c r="G91" t="s">
        <v>193</v>
      </c>
      <c r="H91" t="s">
        <v>194</v>
      </c>
      <c r="I91">
        <v>6</v>
      </c>
      <c r="J91">
        <v>10</v>
      </c>
      <c r="K91">
        <v>8</v>
      </c>
      <c r="L91">
        <v>9</v>
      </c>
      <c r="M91">
        <v>9</v>
      </c>
      <c r="N91">
        <v>9</v>
      </c>
      <c r="O91">
        <v>8</v>
      </c>
      <c r="P91">
        <v>8</v>
      </c>
      <c r="Q91">
        <v>9</v>
      </c>
    </row>
    <row r="92" spans="1:17" x14ac:dyDescent="0.45">
      <c r="A92" s="19">
        <v>46019.848611111112</v>
      </c>
      <c r="B92" t="s">
        <v>72</v>
      </c>
      <c r="C92" t="s">
        <v>73</v>
      </c>
      <c r="D92" t="s">
        <v>74</v>
      </c>
      <c r="E92" t="s">
        <v>77</v>
      </c>
      <c r="F92" t="s">
        <v>99</v>
      </c>
      <c r="G92" t="s">
        <v>193</v>
      </c>
      <c r="H92" t="s">
        <v>104</v>
      </c>
      <c r="I92">
        <v>10</v>
      </c>
      <c r="J92">
        <v>9</v>
      </c>
      <c r="K92">
        <v>9</v>
      </c>
      <c r="L92">
        <v>9</v>
      </c>
      <c r="M92">
        <v>10</v>
      </c>
      <c r="N92">
        <v>9</v>
      </c>
      <c r="O92">
        <v>8</v>
      </c>
      <c r="P92">
        <v>8</v>
      </c>
      <c r="Q92">
        <v>10</v>
      </c>
    </row>
    <row r="93" spans="1:17" x14ac:dyDescent="0.45">
      <c r="A93" s="19">
        <v>46019.859722222223</v>
      </c>
      <c r="B93" t="s">
        <v>78</v>
      </c>
      <c r="C93" t="s">
        <v>73</v>
      </c>
      <c r="D93" t="s">
        <v>74</v>
      </c>
      <c r="E93" t="s">
        <v>77</v>
      </c>
      <c r="F93" t="s">
        <v>99</v>
      </c>
      <c r="G93" t="s">
        <v>193</v>
      </c>
      <c r="H93" t="s">
        <v>104</v>
      </c>
      <c r="I93">
        <v>10</v>
      </c>
      <c r="J93">
        <v>10</v>
      </c>
      <c r="K93">
        <v>10</v>
      </c>
      <c r="L93">
        <v>10</v>
      </c>
      <c r="M93">
        <v>10</v>
      </c>
      <c r="N93">
        <v>1</v>
      </c>
      <c r="O93">
        <v>10</v>
      </c>
      <c r="P93">
        <v>10</v>
      </c>
      <c r="Q93">
        <v>10</v>
      </c>
    </row>
    <row r="94" spans="1:17" x14ac:dyDescent="0.45">
      <c r="A94" s="19">
        <v>46019.859722222223</v>
      </c>
      <c r="B94" t="s">
        <v>78</v>
      </c>
      <c r="C94" t="s">
        <v>73</v>
      </c>
      <c r="D94" t="s">
        <v>74</v>
      </c>
      <c r="E94" t="s">
        <v>77</v>
      </c>
      <c r="F94" t="s">
        <v>99</v>
      </c>
      <c r="G94" t="s">
        <v>108</v>
      </c>
      <c r="H94" t="s">
        <v>104</v>
      </c>
      <c r="I94">
        <v>5</v>
      </c>
      <c r="J94">
        <v>8</v>
      </c>
      <c r="K94">
        <v>4</v>
      </c>
      <c r="L94">
        <v>9</v>
      </c>
      <c r="M94">
        <v>7</v>
      </c>
      <c r="N94">
        <v>5</v>
      </c>
      <c r="O94">
        <v>7</v>
      </c>
      <c r="P94">
        <v>8</v>
      </c>
      <c r="Q94">
        <v>10</v>
      </c>
    </row>
    <row r="95" spans="1:17" x14ac:dyDescent="0.45">
      <c r="A95" s="19">
        <v>46019.88958333333</v>
      </c>
      <c r="B95" t="s">
        <v>72</v>
      </c>
      <c r="C95" t="s">
        <v>73</v>
      </c>
      <c r="D95" t="s">
        <v>74</v>
      </c>
      <c r="E95" t="s">
        <v>75</v>
      </c>
      <c r="F95" t="s">
        <v>99</v>
      </c>
      <c r="G95" t="s">
        <v>193</v>
      </c>
      <c r="H95" t="s">
        <v>109</v>
      </c>
      <c r="I95">
        <v>9</v>
      </c>
      <c r="J95">
        <v>7</v>
      </c>
      <c r="K95">
        <v>5</v>
      </c>
      <c r="L95">
        <v>7</v>
      </c>
      <c r="M95">
        <v>5</v>
      </c>
      <c r="N95">
        <v>8</v>
      </c>
      <c r="O95">
        <v>5</v>
      </c>
      <c r="P95">
        <v>5</v>
      </c>
      <c r="Q95">
        <v>7</v>
      </c>
    </row>
    <row r="96" spans="1:17" x14ac:dyDescent="0.45">
      <c r="A96" s="19">
        <v>46019.900694444441</v>
      </c>
      <c r="B96" t="s">
        <v>72</v>
      </c>
      <c r="C96" t="s">
        <v>79</v>
      </c>
      <c r="D96" t="s">
        <v>74</v>
      </c>
      <c r="E96" t="s">
        <v>77</v>
      </c>
      <c r="F96" t="s">
        <v>99</v>
      </c>
      <c r="G96" t="s">
        <v>108</v>
      </c>
      <c r="H96" t="s">
        <v>105</v>
      </c>
      <c r="I96">
        <v>4</v>
      </c>
      <c r="J96">
        <v>6</v>
      </c>
      <c r="K96">
        <v>5</v>
      </c>
      <c r="L96">
        <v>5</v>
      </c>
      <c r="M96">
        <v>4</v>
      </c>
      <c r="N96">
        <v>4</v>
      </c>
      <c r="O96">
        <v>3</v>
      </c>
      <c r="P96">
        <v>4</v>
      </c>
      <c r="Q96">
        <v>3</v>
      </c>
    </row>
    <row r="97" spans="1:17" x14ac:dyDescent="0.45">
      <c r="A97" s="19">
        <v>46019.902083333334</v>
      </c>
      <c r="B97" t="s">
        <v>78</v>
      </c>
      <c r="C97" t="s">
        <v>188</v>
      </c>
      <c r="D97" t="s">
        <v>74</v>
      </c>
      <c r="E97" t="s">
        <v>77</v>
      </c>
      <c r="F97" t="s">
        <v>99</v>
      </c>
      <c r="G97" t="s">
        <v>193</v>
      </c>
      <c r="H97" t="s">
        <v>109</v>
      </c>
      <c r="I97">
        <v>8</v>
      </c>
      <c r="J97">
        <v>7</v>
      </c>
      <c r="K97">
        <v>5</v>
      </c>
      <c r="L97">
        <v>7</v>
      </c>
      <c r="M97">
        <v>7</v>
      </c>
      <c r="N97">
        <v>5</v>
      </c>
      <c r="O97">
        <v>5</v>
      </c>
      <c r="P97">
        <v>7</v>
      </c>
      <c r="Q97">
        <v>7</v>
      </c>
    </row>
    <row r="98" spans="1:17" x14ac:dyDescent="0.45">
      <c r="A98" s="19">
        <v>46019.902777777781</v>
      </c>
      <c r="B98" t="s">
        <v>72</v>
      </c>
      <c r="C98" t="s">
        <v>192</v>
      </c>
      <c r="D98" t="s">
        <v>74</v>
      </c>
      <c r="E98" t="s">
        <v>77</v>
      </c>
      <c r="F98" t="s">
        <v>102</v>
      </c>
      <c r="G98" t="s">
        <v>107</v>
      </c>
      <c r="H98" t="s">
        <v>194</v>
      </c>
      <c r="I98">
        <v>6</v>
      </c>
      <c r="J98">
        <v>6</v>
      </c>
      <c r="K98">
        <v>5</v>
      </c>
      <c r="L98">
        <v>5</v>
      </c>
      <c r="M98">
        <v>5</v>
      </c>
      <c r="N98">
        <v>5</v>
      </c>
      <c r="O98">
        <v>5</v>
      </c>
      <c r="P98">
        <v>5</v>
      </c>
      <c r="Q98">
        <v>5</v>
      </c>
    </row>
    <row r="99" spans="1:17" x14ac:dyDescent="0.45">
      <c r="A99" s="19">
        <v>46019.90347222222</v>
      </c>
      <c r="B99" t="s">
        <v>72</v>
      </c>
      <c r="C99" t="s">
        <v>73</v>
      </c>
      <c r="D99" t="s">
        <v>80</v>
      </c>
      <c r="E99" t="s">
        <v>77</v>
      </c>
      <c r="F99" t="s">
        <v>99</v>
      </c>
      <c r="G99" t="s">
        <v>195</v>
      </c>
      <c r="H99" t="s">
        <v>109</v>
      </c>
      <c r="I99">
        <v>8</v>
      </c>
      <c r="J99">
        <v>8</v>
      </c>
      <c r="K99">
        <v>5</v>
      </c>
      <c r="L99">
        <v>8</v>
      </c>
      <c r="M99">
        <v>6</v>
      </c>
      <c r="N99">
        <v>9</v>
      </c>
      <c r="O99">
        <v>5</v>
      </c>
      <c r="P99">
        <v>7</v>
      </c>
      <c r="Q99">
        <v>8</v>
      </c>
    </row>
    <row r="100" spans="1:17" x14ac:dyDescent="0.45">
      <c r="A100" s="19">
        <v>46019.904861111114</v>
      </c>
      <c r="B100" t="s">
        <v>78</v>
      </c>
      <c r="C100" t="s">
        <v>81</v>
      </c>
      <c r="D100" t="s">
        <v>74</v>
      </c>
      <c r="E100" t="s">
        <v>77</v>
      </c>
      <c r="F100" t="s">
        <v>99</v>
      </c>
      <c r="G100" t="s">
        <v>100</v>
      </c>
      <c r="H100" t="s">
        <v>101</v>
      </c>
      <c r="I100">
        <v>6</v>
      </c>
      <c r="J100">
        <v>6</v>
      </c>
      <c r="K100">
        <v>3</v>
      </c>
      <c r="L100">
        <v>6</v>
      </c>
      <c r="M100">
        <v>5</v>
      </c>
      <c r="N100">
        <v>6</v>
      </c>
      <c r="O100">
        <v>5</v>
      </c>
      <c r="P100">
        <v>6</v>
      </c>
      <c r="Q100">
        <v>6</v>
      </c>
    </row>
    <row r="101" spans="1:17" x14ac:dyDescent="0.45">
      <c r="A101" s="19">
        <v>46020.206944444442</v>
      </c>
      <c r="B101" t="s">
        <v>72</v>
      </c>
      <c r="C101" t="s">
        <v>192</v>
      </c>
      <c r="D101" t="s">
        <v>74</v>
      </c>
      <c r="E101" t="s">
        <v>77</v>
      </c>
      <c r="F101" t="s">
        <v>99</v>
      </c>
      <c r="G101" t="s">
        <v>103</v>
      </c>
      <c r="H101" t="s">
        <v>101</v>
      </c>
      <c r="I101">
        <v>8</v>
      </c>
      <c r="J101">
        <v>8</v>
      </c>
      <c r="K101">
        <v>8</v>
      </c>
      <c r="L101">
        <v>10</v>
      </c>
      <c r="M101">
        <v>10</v>
      </c>
      <c r="N101">
        <v>10</v>
      </c>
      <c r="O101">
        <v>10</v>
      </c>
      <c r="P101">
        <v>10</v>
      </c>
      <c r="Q101">
        <v>10</v>
      </c>
    </row>
    <row r="102" spans="1:17" x14ac:dyDescent="0.45">
      <c r="A102" s="19">
        <v>46020.280555555553</v>
      </c>
      <c r="B102" t="s">
        <v>72</v>
      </c>
      <c r="C102" t="s">
        <v>190</v>
      </c>
      <c r="D102" t="s">
        <v>74</v>
      </c>
      <c r="E102" t="s">
        <v>75</v>
      </c>
      <c r="F102" t="s">
        <v>99</v>
      </c>
      <c r="G102" t="s">
        <v>106</v>
      </c>
      <c r="H102" t="s">
        <v>194</v>
      </c>
      <c r="I102">
        <v>8</v>
      </c>
      <c r="J102">
        <v>8</v>
      </c>
      <c r="K102">
        <v>7</v>
      </c>
      <c r="L102">
        <v>8</v>
      </c>
      <c r="M102">
        <v>8</v>
      </c>
      <c r="N102">
        <v>7</v>
      </c>
      <c r="O102">
        <v>7</v>
      </c>
      <c r="P102">
        <v>7</v>
      </c>
      <c r="Q102">
        <v>8</v>
      </c>
    </row>
    <row r="103" spans="1:17" x14ac:dyDescent="0.45">
      <c r="A103" s="19">
        <v>46020.28125</v>
      </c>
      <c r="B103" t="s">
        <v>78</v>
      </c>
      <c r="C103" t="s">
        <v>188</v>
      </c>
      <c r="D103" t="s">
        <v>74</v>
      </c>
      <c r="E103" t="s">
        <v>77</v>
      </c>
      <c r="F103" t="s">
        <v>99</v>
      </c>
      <c r="G103" t="s">
        <v>103</v>
      </c>
      <c r="H103" t="s">
        <v>109</v>
      </c>
      <c r="I103">
        <v>5</v>
      </c>
      <c r="J103">
        <v>5</v>
      </c>
      <c r="K103">
        <v>5</v>
      </c>
      <c r="L103">
        <v>5</v>
      </c>
      <c r="M103">
        <v>5</v>
      </c>
      <c r="N103">
        <v>5</v>
      </c>
      <c r="O103">
        <v>5</v>
      </c>
      <c r="P103">
        <v>5</v>
      </c>
      <c r="Q103">
        <v>5</v>
      </c>
    </row>
    <row r="104" spans="1:17" x14ac:dyDescent="0.45">
      <c r="A104" s="19">
        <v>46020.282638888886</v>
      </c>
      <c r="B104" t="s">
        <v>72</v>
      </c>
      <c r="C104" t="s">
        <v>192</v>
      </c>
      <c r="D104" t="s">
        <v>74</v>
      </c>
      <c r="E104" t="s">
        <v>77</v>
      </c>
      <c r="F104" t="s">
        <v>99</v>
      </c>
      <c r="G104" t="s">
        <v>108</v>
      </c>
      <c r="H104" t="s">
        <v>104</v>
      </c>
      <c r="I104">
        <v>8</v>
      </c>
      <c r="J104">
        <v>8</v>
      </c>
      <c r="K104">
        <v>5</v>
      </c>
      <c r="L104">
        <v>8</v>
      </c>
      <c r="M104">
        <v>5</v>
      </c>
      <c r="N104">
        <v>5</v>
      </c>
      <c r="O104">
        <v>6</v>
      </c>
      <c r="P104">
        <v>6</v>
      </c>
      <c r="Q104">
        <v>5</v>
      </c>
    </row>
    <row r="105" spans="1:17" x14ac:dyDescent="0.45">
      <c r="A105" s="19">
        <v>46020.282638888886</v>
      </c>
      <c r="B105" t="s">
        <v>78</v>
      </c>
      <c r="C105" t="s">
        <v>73</v>
      </c>
      <c r="D105" t="s">
        <v>74</v>
      </c>
      <c r="E105" t="s">
        <v>77</v>
      </c>
      <c r="F105" t="s">
        <v>99</v>
      </c>
      <c r="G105" t="s">
        <v>195</v>
      </c>
      <c r="H105" t="s">
        <v>109</v>
      </c>
      <c r="I105">
        <v>6</v>
      </c>
      <c r="J105">
        <v>7</v>
      </c>
      <c r="K105">
        <v>6</v>
      </c>
      <c r="L105">
        <v>8</v>
      </c>
      <c r="M105">
        <v>6</v>
      </c>
      <c r="N105">
        <v>7</v>
      </c>
      <c r="O105">
        <v>6</v>
      </c>
      <c r="P105">
        <v>6</v>
      </c>
      <c r="Q105">
        <v>7</v>
      </c>
    </row>
    <row r="106" spans="1:17" x14ac:dyDescent="0.45">
      <c r="A106" s="19">
        <v>46020.347916666666</v>
      </c>
      <c r="B106" t="s">
        <v>78</v>
      </c>
      <c r="C106" t="s">
        <v>81</v>
      </c>
      <c r="D106" t="s">
        <v>74</v>
      </c>
      <c r="E106" t="s">
        <v>77</v>
      </c>
      <c r="F106" t="s">
        <v>99</v>
      </c>
      <c r="G106" t="s">
        <v>103</v>
      </c>
      <c r="H106" t="s">
        <v>101</v>
      </c>
      <c r="I106">
        <v>9</v>
      </c>
      <c r="J106">
        <v>10</v>
      </c>
      <c r="K106">
        <v>8</v>
      </c>
      <c r="L106">
        <v>8</v>
      </c>
      <c r="M106">
        <v>9</v>
      </c>
      <c r="N106">
        <v>9</v>
      </c>
      <c r="O106">
        <v>8</v>
      </c>
      <c r="P106">
        <v>6</v>
      </c>
      <c r="Q106">
        <v>9</v>
      </c>
    </row>
    <row r="107" spans="1:17" x14ac:dyDescent="0.45">
      <c r="A107" s="19">
        <v>46020.356249999997</v>
      </c>
      <c r="B107" t="s">
        <v>72</v>
      </c>
      <c r="C107" t="s">
        <v>81</v>
      </c>
      <c r="D107" t="s">
        <v>74</v>
      </c>
      <c r="E107" t="s">
        <v>77</v>
      </c>
      <c r="F107" t="s">
        <v>99</v>
      </c>
      <c r="G107" t="s">
        <v>193</v>
      </c>
      <c r="H107" t="s">
        <v>109</v>
      </c>
      <c r="I107">
        <v>10</v>
      </c>
      <c r="J107">
        <v>5</v>
      </c>
      <c r="K107">
        <v>8</v>
      </c>
      <c r="L107">
        <v>8</v>
      </c>
      <c r="M107">
        <v>10</v>
      </c>
      <c r="N107">
        <v>10</v>
      </c>
      <c r="O107">
        <v>10</v>
      </c>
      <c r="P107">
        <v>10</v>
      </c>
      <c r="Q107">
        <v>10</v>
      </c>
    </row>
    <row r="108" spans="1:17" x14ac:dyDescent="0.45">
      <c r="A108" s="19">
        <v>46020.36041666667</v>
      </c>
      <c r="B108" t="s">
        <v>72</v>
      </c>
      <c r="C108" t="s">
        <v>79</v>
      </c>
      <c r="D108" t="s">
        <v>74</v>
      </c>
      <c r="E108" t="s">
        <v>77</v>
      </c>
      <c r="F108" t="s">
        <v>99</v>
      </c>
      <c r="G108" t="s">
        <v>100</v>
      </c>
      <c r="H108" t="s">
        <v>101</v>
      </c>
      <c r="I108">
        <v>7</v>
      </c>
      <c r="J108">
        <v>7</v>
      </c>
      <c r="K108">
        <v>7</v>
      </c>
      <c r="L108">
        <v>7</v>
      </c>
      <c r="M108">
        <v>7</v>
      </c>
      <c r="N108">
        <v>7</v>
      </c>
      <c r="O108">
        <v>7</v>
      </c>
      <c r="P108">
        <v>7</v>
      </c>
      <c r="Q108">
        <v>8</v>
      </c>
    </row>
    <row r="109" spans="1:17" x14ac:dyDescent="0.45">
      <c r="A109" s="19">
        <v>46020.369444444441</v>
      </c>
      <c r="B109" t="s">
        <v>72</v>
      </c>
      <c r="C109" t="s">
        <v>79</v>
      </c>
      <c r="D109" t="s">
        <v>74</v>
      </c>
      <c r="E109" t="s">
        <v>77</v>
      </c>
      <c r="F109" t="s">
        <v>99</v>
      </c>
      <c r="G109" t="s">
        <v>103</v>
      </c>
      <c r="H109" t="s">
        <v>101</v>
      </c>
      <c r="I109">
        <v>5</v>
      </c>
      <c r="J109">
        <v>10</v>
      </c>
      <c r="K109">
        <v>5</v>
      </c>
      <c r="L109">
        <v>5</v>
      </c>
      <c r="M109">
        <v>5</v>
      </c>
      <c r="N109">
        <v>5</v>
      </c>
      <c r="O109">
        <v>8</v>
      </c>
      <c r="P109">
        <v>5</v>
      </c>
      <c r="Q109">
        <v>6</v>
      </c>
    </row>
    <row r="110" spans="1:17" x14ac:dyDescent="0.45">
      <c r="A110" s="19">
        <v>46020.377083333333</v>
      </c>
      <c r="B110" t="s">
        <v>72</v>
      </c>
      <c r="C110" t="s">
        <v>79</v>
      </c>
      <c r="D110" t="s">
        <v>74</v>
      </c>
      <c r="E110" t="s">
        <v>77</v>
      </c>
      <c r="F110" t="s">
        <v>99</v>
      </c>
      <c r="G110" t="s">
        <v>103</v>
      </c>
      <c r="H110" t="s">
        <v>101</v>
      </c>
      <c r="I110">
        <v>10</v>
      </c>
      <c r="J110">
        <v>10</v>
      </c>
      <c r="K110">
        <v>10</v>
      </c>
      <c r="L110">
        <v>10</v>
      </c>
      <c r="M110">
        <v>10</v>
      </c>
      <c r="N110">
        <v>10</v>
      </c>
      <c r="O110">
        <v>10</v>
      </c>
      <c r="P110">
        <v>10</v>
      </c>
      <c r="Q110">
        <v>10</v>
      </c>
    </row>
    <row r="111" spans="1:17" x14ac:dyDescent="0.45">
      <c r="A111" s="19">
        <v>46020.381944444445</v>
      </c>
      <c r="B111" t="s">
        <v>78</v>
      </c>
      <c r="C111" t="s">
        <v>73</v>
      </c>
      <c r="D111" t="s">
        <v>74</v>
      </c>
      <c r="E111" t="s">
        <v>77</v>
      </c>
      <c r="F111" t="s">
        <v>99</v>
      </c>
      <c r="G111" t="s">
        <v>110</v>
      </c>
      <c r="H111" t="s">
        <v>104</v>
      </c>
      <c r="I111">
        <v>7</v>
      </c>
      <c r="J111">
        <v>6</v>
      </c>
      <c r="K111">
        <v>8</v>
      </c>
      <c r="L111">
        <v>8</v>
      </c>
      <c r="M111">
        <v>7</v>
      </c>
      <c r="N111">
        <v>6</v>
      </c>
      <c r="O111">
        <v>5</v>
      </c>
      <c r="P111">
        <v>5</v>
      </c>
      <c r="Q111">
        <v>8</v>
      </c>
    </row>
    <row r="112" spans="1:17" x14ac:dyDescent="0.45">
      <c r="A112" s="19">
        <v>46020.398611111108</v>
      </c>
      <c r="B112" t="s">
        <v>78</v>
      </c>
      <c r="C112" t="s">
        <v>190</v>
      </c>
      <c r="D112" t="s">
        <v>74</v>
      </c>
      <c r="E112" t="s">
        <v>77</v>
      </c>
      <c r="F112" t="s">
        <v>99</v>
      </c>
      <c r="G112" t="s">
        <v>100</v>
      </c>
      <c r="H112" t="s">
        <v>101</v>
      </c>
      <c r="I112">
        <v>8</v>
      </c>
      <c r="J112">
        <v>8</v>
      </c>
      <c r="K112">
        <v>6</v>
      </c>
      <c r="L112">
        <v>7</v>
      </c>
      <c r="M112">
        <v>6</v>
      </c>
      <c r="N112">
        <v>7</v>
      </c>
      <c r="O112">
        <v>5</v>
      </c>
      <c r="P112">
        <v>5</v>
      </c>
      <c r="Q112">
        <v>5</v>
      </c>
    </row>
    <row r="113" spans="1:17" x14ac:dyDescent="0.45">
      <c r="A113" s="19">
        <v>46020.4</v>
      </c>
      <c r="B113" t="s">
        <v>72</v>
      </c>
      <c r="C113" t="s">
        <v>79</v>
      </c>
      <c r="D113" t="s">
        <v>74</v>
      </c>
      <c r="E113" t="s">
        <v>77</v>
      </c>
      <c r="F113" t="s">
        <v>99</v>
      </c>
      <c r="G113" t="s">
        <v>195</v>
      </c>
      <c r="H113" t="s">
        <v>104</v>
      </c>
      <c r="I113">
        <v>7</v>
      </c>
      <c r="J113">
        <v>8</v>
      </c>
      <c r="K113">
        <v>8</v>
      </c>
      <c r="L113">
        <v>8</v>
      </c>
      <c r="M113">
        <v>8</v>
      </c>
      <c r="N113">
        <v>8</v>
      </c>
      <c r="O113">
        <v>8</v>
      </c>
      <c r="P113">
        <v>8</v>
      </c>
      <c r="Q113">
        <v>8</v>
      </c>
    </row>
    <row r="114" spans="1:17" x14ac:dyDescent="0.45">
      <c r="A114" s="19">
        <v>46020.409722222219</v>
      </c>
      <c r="B114" t="s">
        <v>72</v>
      </c>
      <c r="C114" t="s">
        <v>73</v>
      </c>
      <c r="D114" t="s">
        <v>74</v>
      </c>
      <c r="E114" t="s">
        <v>77</v>
      </c>
      <c r="F114" t="s">
        <v>99</v>
      </c>
      <c r="G114" t="s">
        <v>193</v>
      </c>
      <c r="H114" t="s">
        <v>105</v>
      </c>
      <c r="I114">
        <v>1</v>
      </c>
      <c r="J114">
        <v>1</v>
      </c>
      <c r="K114">
        <v>1</v>
      </c>
      <c r="L114">
        <v>1</v>
      </c>
      <c r="M114">
        <v>1</v>
      </c>
      <c r="N114">
        <v>1</v>
      </c>
      <c r="O114">
        <v>1</v>
      </c>
      <c r="P114">
        <v>1</v>
      </c>
      <c r="Q114">
        <v>1</v>
      </c>
    </row>
    <row r="115" spans="1:17" x14ac:dyDescent="0.45">
      <c r="A115" s="19">
        <v>46020.418749999997</v>
      </c>
      <c r="B115" t="s">
        <v>72</v>
      </c>
      <c r="C115" t="s">
        <v>79</v>
      </c>
      <c r="D115" t="s">
        <v>74</v>
      </c>
      <c r="E115" t="s">
        <v>77</v>
      </c>
      <c r="F115" t="s">
        <v>99</v>
      </c>
      <c r="G115" t="s">
        <v>195</v>
      </c>
      <c r="H115" t="s">
        <v>194</v>
      </c>
      <c r="I115">
        <v>10</v>
      </c>
      <c r="J115">
        <v>10</v>
      </c>
      <c r="K115">
        <v>10</v>
      </c>
      <c r="L115">
        <v>10</v>
      </c>
      <c r="M115">
        <v>10</v>
      </c>
      <c r="N115">
        <v>10</v>
      </c>
      <c r="O115">
        <v>10</v>
      </c>
      <c r="P115">
        <v>10</v>
      </c>
      <c r="Q115">
        <v>10</v>
      </c>
    </row>
    <row r="116" spans="1:17" x14ac:dyDescent="0.45">
      <c r="A116" s="19">
        <v>46020.420138888891</v>
      </c>
      <c r="B116" t="s">
        <v>72</v>
      </c>
      <c r="C116" t="s">
        <v>79</v>
      </c>
      <c r="D116" t="s">
        <v>74</v>
      </c>
      <c r="E116" t="s">
        <v>75</v>
      </c>
      <c r="F116" t="s">
        <v>99</v>
      </c>
      <c r="G116" t="s">
        <v>103</v>
      </c>
      <c r="H116" t="s">
        <v>194</v>
      </c>
      <c r="I116">
        <v>1</v>
      </c>
      <c r="J116">
        <v>1</v>
      </c>
      <c r="K116">
        <v>1</v>
      </c>
      <c r="L116">
        <v>1</v>
      </c>
      <c r="M116">
        <v>1</v>
      </c>
      <c r="N116">
        <v>1</v>
      </c>
      <c r="O116">
        <v>1</v>
      </c>
      <c r="P116">
        <v>1</v>
      </c>
      <c r="Q116">
        <v>1</v>
      </c>
    </row>
    <row r="117" spans="1:17" x14ac:dyDescent="0.45">
      <c r="A117" s="19">
        <v>46020.493055555555</v>
      </c>
      <c r="B117" t="s">
        <v>72</v>
      </c>
      <c r="C117" t="s">
        <v>79</v>
      </c>
      <c r="D117" t="s">
        <v>74</v>
      </c>
      <c r="E117" t="s">
        <v>75</v>
      </c>
      <c r="F117" t="s">
        <v>99</v>
      </c>
      <c r="G117" t="s">
        <v>103</v>
      </c>
      <c r="H117" t="s">
        <v>109</v>
      </c>
      <c r="I117">
        <v>9</v>
      </c>
      <c r="J117">
        <v>9</v>
      </c>
      <c r="K117">
        <v>9</v>
      </c>
      <c r="L117">
        <v>9</v>
      </c>
      <c r="M117">
        <v>9</v>
      </c>
      <c r="N117">
        <v>9</v>
      </c>
      <c r="O117">
        <v>9</v>
      </c>
      <c r="P117">
        <v>8</v>
      </c>
      <c r="Q117">
        <v>9</v>
      </c>
    </row>
    <row r="118" spans="1:17" x14ac:dyDescent="0.45">
      <c r="A118" s="19">
        <v>46020.506944444445</v>
      </c>
      <c r="B118" t="s">
        <v>72</v>
      </c>
      <c r="C118" t="s">
        <v>79</v>
      </c>
      <c r="D118" t="s">
        <v>74</v>
      </c>
      <c r="E118" t="s">
        <v>77</v>
      </c>
      <c r="F118" t="s">
        <v>99</v>
      </c>
      <c r="G118" t="s">
        <v>110</v>
      </c>
      <c r="H118" t="s">
        <v>109</v>
      </c>
      <c r="I118">
        <v>8</v>
      </c>
      <c r="J118">
        <v>9</v>
      </c>
      <c r="K118">
        <v>8</v>
      </c>
      <c r="L118">
        <v>6</v>
      </c>
      <c r="M118">
        <v>8</v>
      </c>
      <c r="N118">
        <v>8</v>
      </c>
      <c r="O118">
        <v>8</v>
      </c>
      <c r="P118">
        <v>8</v>
      </c>
      <c r="Q118">
        <v>6</v>
      </c>
    </row>
    <row r="119" spans="1:17" x14ac:dyDescent="0.45">
      <c r="A119" s="19">
        <v>46020.542361111111</v>
      </c>
      <c r="B119" t="s">
        <v>78</v>
      </c>
      <c r="C119" t="s">
        <v>73</v>
      </c>
      <c r="D119" t="s">
        <v>74</v>
      </c>
      <c r="E119" t="s">
        <v>75</v>
      </c>
      <c r="F119" t="s">
        <v>99</v>
      </c>
      <c r="G119" t="s">
        <v>108</v>
      </c>
      <c r="H119" t="s">
        <v>101</v>
      </c>
      <c r="I119">
        <v>4</v>
      </c>
      <c r="J119">
        <v>1</v>
      </c>
      <c r="K119">
        <v>1</v>
      </c>
      <c r="L119">
        <v>5</v>
      </c>
      <c r="M119">
        <v>1</v>
      </c>
      <c r="N119">
        <v>3</v>
      </c>
      <c r="O119">
        <v>1</v>
      </c>
      <c r="P119">
        <v>1</v>
      </c>
      <c r="Q119">
        <v>5</v>
      </c>
    </row>
    <row r="120" spans="1:17" x14ac:dyDescent="0.45">
      <c r="A120" s="19">
        <v>46020.543055555558</v>
      </c>
      <c r="B120" t="s">
        <v>72</v>
      </c>
      <c r="C120" t="s">
        <v>192</v>
      </c>
      <c r="D120" t="s">
        <v>74</v>
      </c>
      <c r="E120" t="s">
        <v>77</v>
      </c>
      <c r="F120" t="s">
        <v>99</v>
      </c>
      <c r="G120" t="s">
        <v>110</v>
      </c>
      <c r="H120" t="s">
        <v>194</v>
      </c>
      <c r="I120">
        <v>8</v>
      </c>
      <c r="J120">
        <v>8</v>
      </c>
      <c r="K120">
        <v>6</v>
      </c>
      <c r="L120">
        <v>9</v>
      </c>
      <c r="M120">
        <v>8</v>
      </c>
      <c r="N120">
        <v>7</v>
      </c>
      <c r="O120">
        <v>7</v>
      </c>
      <c r="P120">
        <v>7</v>
      </c>
      <c r="Q120">
        <v>7</v>
      </c>
    </row>
    <row r="121" spans="1:17" x14ac:dyDescent="0.45">
      <c r="A121" s="19">
        <v>46020.543749999997</v>
      </c>
      <c r="B121" t="s">
        <v>72</v>
      </c>
      <c r="C121" t="s">
        <v>79</v>
      </c>
      <c r="D121" t="s">
        <v>80</v>
      </c>
      <c r="E121" t="s">
        <v>77</v>
      </c>
      <c r="F121" t="s">
        <v>99</v>
      </c>
      <c r="G121" t="s">
        <v>100</v>
      </c>
      <c r="H121" t="s">
        <v>105</v>
      </c>
      <c r="I121">
        <v>6</v>
      </c>
      <c r="J121">
        <v>6</v>
      </c>
      <c r="K121">
        <v>6</v>
      </c>
      <c r="L121">
        <v>6</v>
      </c>
      <c r="M121">
        <v>6</v>
      </c>
      <c r="N121">
        <v>6</v>
      </c>
      <c r="O121">
        <v>6</v>
      </c>
      <c r="P121">
        <v>6</v>
      </c>
      <c r="Q121">
        <v>6</v>
      </c>
    </row>
    <row r="122" spans="1:17" x14ac:dyDescent="0.45">
      <c r="A122" s="19">
        <v>46020.544444444444</v>
      </c>
      <c r="B122" t="s">
        <v>78</v>
      </c>
      <c r="C122" t="s">
        <v>190</v>
      </c>
      <c r="D122" t="s">
        <v>74</v>
      </c>
      <c r="E122" t="s">
        <v>75</v>
      </c>
      <c r="F122" t="s">
        <v>102</v>
      </c>
      <c r="G122" t="s">
        <v>107</v>
      </c>
      <c r="H122" t="s">
        <v>194</v>
      </c>
      <c r="I122">
        <v>1</v>
      </c>
      <c r="J122">
        <v>1</v>
      </c>
      <c r="K122">
        <v>1</v>
      </c>
      <c r="L122">
        <v>5</v>
      </c>
      <c r="M122">
        <v>1</v>
      </c>
      <c r="N122">
        <v>1</v>
      </c>
      <c r="O122">
        <v>1</v>
      </c>
      <c r="P122">
        <v>1</v>
      </c>
      <c r="Q122">
        <v>5</v>
      </c>
    </row>
    <row r="123" spans="1:17" x14ac:dyDescent="0.45">
      <c r="A123" s="19">
        <v>46020.545138888891</v>
      </c>
      <c r="B123" t="s">
        <v>78</v>
      </c>
      <c r="C123" t="s">
        <v>79</v>
      </c>
      <c r="D123" t="s">
        <v>74</v>
      </c>
      <c r="E123" t="s">
        <v>77</v>
      </c>
      <c r="F123" t="s">
        <v>99</v>
      </c>
      <c r="G123" t="s">
        <v>107</v>
      </c>
      <c r="H123" t="s">
        <v>109</v>
      </c>
      <c r="I123">
        <v>4</v>
      </c>
      <c r="J123">
        <v>4</v>
      </c>
      <c r="K123">
        <v>2</v>
      </c>
      <c r="L123">
        <v>5</v>
      </c>
      <c r="M123">
        <v>1</v>
      </c>
      <c r="N123">
        <v>1</v>
      </c>
      <c r="O123">
        <v>1</v>
      </c>
      <c r="P123">
        <v>4</v>
      </c>
      <c r="Q123">
        <v>4</v>
      </c>
    </row>
    <row r="124" spans="1:17" x14ac:dyDescent="0.45">
      <c r="A124" s="19">
        <v>46020.54583333333</v>
      </c>
      <c r="B124" t="s">
        <v>72</v>
      </c>
      <c r="C124" t="s">
        <v>188</v>
      </c>
      <c r="D124" t="s">
        <v>74</v>
      </c>
      <c r="E124" t="s">
        <v>77</v>
      </c>
      <c r="F124" t="s">
        <v>99</v>
      </c>
      <c r="G124" t="s">
        <v>193</v>
      </c>
      <c r="H124" t="s">
        <v>109</v>
      </c>
      <c r="I124">
        <v>7</v>
      </c>
      <c r="J124">
        <v>7</v>
      </c>
      <c r="K124">
        <v>7</v>
      </c>
      <c r="L124">
        <v>7</v>
      </c>
      <c r="M124">
        <v>7</v>
      </c>
      <c r="N124">
        <v>7</v>
      </c>
      <c r="O124">
        <v>7</v>
      </c>
      <c r="P124">
        <v>7</v>
      </c>
      <c r="Q124">
        <v>8</v>
      </c>
    </row>
    <row r="125" spans="1:17" x14ac:dyDescent="0.45">
      <c r="A125" s="19">
        <v>46020.589583333334</v>
      </c>
      <c r="B125" t="s">
        <v>72</v>
      </c>
      <c r="C125" t="s">
        <v>190</v>
      </c>
      <c r="D125" t="s">
        <v>74</v>
      </c>
      <c r="E125" t="s">
        <v>75</v>
      </c>
      <c r="F125" t="s">
        <v>99</v>
      </c>
      <c r="G125" t="s">
        <v>108</v>
      </c>
      <c r="H125" t="s">
        <v>101</v>
      </c>
      <c r="I125">
        <v>10</v>
      </c>
      <c r="J125">
        <v>9</v>
      </c>
      <c r="K125">
        <v>10</v>
      </c>
      <c r="L125">
        <v>10</v>
      </c>
      <c r="M125">
        <v>10</v>
      </c>
      <c r="N125">
        <v>8</v>
      </c>
      <c r="O125">
        <v>9</v>
      </c>
      <c r="P125">
        <v>9</v>
      </c>
      <c r="Q125">
        <v>9</v>
      </c>
    </row>
    <row r="126" spans="1:17" x14ac:dyDescent="0.45">
      <c r="A126" s="19">
        <v>46020.590277777781</v>
      </c>
      <c r="B126" t="s">
        <v>72</v>
      </c>
      <c r="C126" t="s">
        <v>188</v>
      </c>
      <c r="D126" t="s">
        <v>74</v>
      </c>
      <c r="E126" t="s">
        <v>77</v>
      </c>
      <c r="F126" t="s">
        <v>99</v>
      </c>
      <c r="G126" t="s">
        <v>103</v>
      </c>
      <c r="H126" t="s">
        <v>104</v>
      </c>
      <c r="I126">
        <v>10</v>
      </c>
      <c r="J126">
        <v>10</v>
      </c>
      <c r="K126">
        <v>10</v>
      </c>
      <c r="L126">
        <v>10</v>
      </c>
      <c r="M126">
        <v>10</v>
      </c>
      <c r="N126">
        <v>10</v>
      </c>
      <c r="O126">
        <v>10</v>
      </c>
      <c r="P126">
        <v>10</v>
      </c>
      <c r="Q126">
        <v>10</v>
      </c>
    </row>
    <row r="127" spans="1:17" x14ac:dyDescent="0.45">
      <c r="A127" s="19">
        <v>46020.601388888892</v>
      </c>
      <c r="B127" t="s">
        <v>78</v>
      </c>
      <c r="C127" t="s">
        <v>81</v>
      </c>
      <c r="D127" t="s">
        <v>74</v>
      </c>
      <c r="E127" t="s">
        <v>77</v>
      </c>
      <c r="F127" t="s">
        <v>99</v>
      </c>
      <c r="G127" t="s">
        <v>100</v>
      </c>
      <c r="H127" t="s">
        <v>109</v>
      </c>
      <c r="I127">
        <v>8</v>
      </c>
      <c r="J127">
        <v>8</v>
      </c>
      <c r="K127">
        <v>5</v>
      </c>
      <c r="L127">
        <v>8</v>
      </c>
      <c r="M127">
        <v>8</v>
      </c>
      <c r="N127">
        <v>8</v>
      </c>
      <c r="O127">
        <v>7</v>
      </c>
      <c r="P127">
        <v>7</v>
      </c>
      <c r="Q127">
        <v>8</v>
      </c>
    </row>
    <row r="128" spans="1:17" x14ac:dyDescent="0.45">
      <c r="A128" s="19">
        <v>46020.602083333331</v>
      </c>
      <c r="B128" t="s">
        <v>72</v>
      </c>
      <c r="C128" t="s">
        <v>79</v>
      </c>
      <c r="D128" t="s">
        <v>74</v>
      </c>
      <c r="E128" t="s">
        <v>77</v>
      </c>
      <c r="F128" t="s">
        <v>99</v>
      </c>
      <c r="G128" t="s">
        <v>107</v>
      </c>
      <c r="H128" t="s">
        <v>194</v>
      </c>
      <c r="I128">
        <v>1</v>
      </c>
      <c r="J128">
        <v>1</v>
      </c>
      <c r="K128">
        <v>1</v>
      </c>
      <c r="L128">
        <v>5</v>
      </c>
      <c r="M128">
        <v>1</v>
      </c>
      <c r="N128">
        <v>1</v>
      </c>
      <c r="O128">
        <v>1</v>
      </c>
      <c r="P128">
        <v>5</v>
      </c>
      <c r="Q128">
        <v>5</v>
      </c>
    </row>
    <row r="129" spans="1:17" x14ac:dyDescent="0.45">
      <c r="A129" s="19">
        <v>46020.602777777778</v>
      </c>
      <c r="B129" t="s">
        <v>78</v>
      </c>
      <c r="C129" t="s">
        <v>190</v>
      </c>
      <c r="D129" t="s">
        <v>74</v>
      </c>
      <c r="E129" t="s">
        <v>77</v>
      </c>
      <c r="F129" t="s">
        <v>99</v>
      </c>
      <c r="G129" t="s">
        <v>107</v>
      </c>
      <c r="H129" t="s">
        <v>194</v>
      </c>
      <c r="I129">
        <v>6</v>
      </c>
      <c r="J129">
        <v>6</v>
      </c>
      <c r="K129">
        <v>6</v>
      </c>
      <c r="L129">
        <v>8</v>
      </c>
      <c r="M129">
        <v>6</v>
      </c>
      <c r="N129">
        <v>3</v>
      </c>
      <c r="O129">
        <v>5</v>
      </c>
      <c r="P129">
        <v>5</v>
      </c>
      <c r="Q129">
        <v>4</v>
      </c>
    </row>
    <row r="130" spans="1:17" x14ac:dyDescent="0.45">
      <c r="A130" s="19">
        <v>46020.603472222225</v>
      </c>
      <c r="B130" t="s">
        <v>78</v>
      </c>
      <c r="C130" t="s">
        <v>190</v>
      </c>
      <c r="D130" t="s">
        <v>74</v>
      </c>
      <c r="E130" t="s">
        <v>75</v>
      </c>
      <c r="F130" t="s">
        <v>99</v>
      </c>
      <c r="G130" t="s">
        <v>107</v>
      </c>
      <c r="H130" t="s">
        <v>105</v>
      </c>
      <c r="I130">
        <v>6</v>
      </c>
      <c r="J130">
        <v>6</v>
      </c>
      <c r="K130">
        <v>4</v>
      </c>
      <c r="L130">
        <v>5</v>
      </c>
      <c r="M130">
        <v>5</v>
      </c>
      <c r="N130">
        <v>1</v>
      </c>
      <c r="O130">
        <v>5</v>
      </c>
      <c r="P130">
        <v>4</v>
      </c>
      <c r="Q130">
        <v>5</v>
      </c>
    </row>
    <row r="131" spans="1:17" x14ac:dyDescent="0.45">
      <c r="A131" s="19">
        <v>46020.603472222225</v>
      </c>
      <c r="B131" t="s">
        <v>72</v>
      </c>
      <c r="C131" t="s">
        <v>192</v>
      </c>
      <c r="D131" t="s">
        <v>74</v>
      </c>
      <c r="E131" t="s">
        <v>75</v>
      </c>
      <c r="F131" t="s">
        <v>99</v>
      </c>
      <c r="G131" t="s">
        <v>106</v>
      </c>
      <c r="H131" t="s">
        <v>104</v>
      </c>
      <c r="I131">
        <v>5</v>
      </c>
      <c r="J131">
        <v>5</v>
      </c>
      <c r="K131">
        <v>1</v>
      </c>
      <c r="L131">
        <v>4</v>
      </c>
      <c r="M131">
        <v>2</v>
      </c>
      <c r="N131">
        <v>1</v>
      </c>
      <c r="O131">
        <v>1</v>
      </c>
      <c r="P131">
        <v>1</v>
      </c>
      <c r="Q131">
        <v>5</v>
      </c>
    </row>
    <row r="132" spans="1:17" x14ac:dyDescent="0.45">
      <c r="A132" s="19">
        <v>46020.604861111111</v>
      </c>
      <c r="B132" t="s">
        <v>72</v>
      </c>
      <c r="C132" t="s">
        <v>73</v>
      </c>
      <c r="D132" t="s">
        <v>74</v>
      </c>
      <c r="E132" t="s">
        <v>75</v>
      </c>
      <c r="F132" t="s">
        <v>99</v>
      </c>
      <c r="G132" t="s">
        <v>106</v>
      </c>
      <c r="H132" t="s">
        <v>101</v>
      </c>
      <c r="I132">
        <v>8</v>
      </c>
      <c r="J132">
        <v>9</v>
      </c>
      <c r="K132">
        <v>5</v>
      </c>
      <c r="L132">
        <v>5</v>
      </c>
      <c r="M132">
        <v>5</v>
      </c>
      <c r="N132">
        <v>4</v>
      </c>
      <c r="O132">
        <v>5</v>
      </c>
      <c r="P132">
        <v>5</v>
      </c>
      <c r="Q132">
        <v>5</v>
      </c>
    </row>
    <row r="133" spans="1:17" x14ac:dyDescent="0.45">
      <c r="A133" s="19">
        <v>46020.604861111111</v>
      </c>
      <c r="B133" t="s">
        <v>78</v>
      </c>
      <c r="C133" t="s">
        <v>188</v>
      </c>
      <c r="D133" t="s">
        <v>74</v>
      </c>
      <c r="E133" t="s">
        <v>77</v>
      </c>
      <c r="F133" t="s">
        <v>99</v>
      </c>
      <c r="G133" t="s">
        <v>103</v>
      </c>
      <c r="H133" t="s">
        <v>109</v>
      </c>
      <c r="I133">
        <v>9</v>
      </c>
      <c r="J133">
        <v>9</v>
      </c>
      <c r="K133">
        <v>9</v>
      </c>
      <c r="L133">
        <v>9</v>
      </c>
      <c r="M133">
        <v>7</v>
      </c>
      <c r="N133">
        <v>10</v>
      </c>
      <c r="O133">
        <v>5</v>
      </c>
      <c r="P133">
        <v>5</v>
      </c>
      <c r="Q133">
        <v>9</v>
      </c>
    </row>
    <row r="134" spans="1:17" x14ac:dyDescent="0.45">
      <c r="A134" s="19">
        <v>46020.605555555558</v>
      </c>
      <c r="B134" t="s">
        <v>78</v>
      </c>
      <c r="C134" t="s">
        <v>81</v>
      </c>
      <c r="D134" t="s">
        <v>74</v>
      </c>
      <c r="E134" t="s">
        <v>189</v>
      </c>
      <c r="F134" t="s">
        <v>99</v>
      </c>
      <c r="G134" t="s">
        <v>108</v>
      </c>
      <c r="H134" t="s">
        <v>109</v>
      </c>
      <c r="I134">
        <v>5</v>
      </c>
      <c r="J134">
        <v>5</v>
      </c>
      <c r="K134">
        <v>5</v>
      </c>
      <c r="L134">
        <v>5</v>
      </c>
      <c r="M134">
        <v>5</v>
      </c>
      <c r="N134">
        <v>5</v>
      </c>
      <c r="O134">
        <v>5</v>
      </c>
      <c r="P134">
        <v>5</v>
      </c>
      <c r="Q134">
        <v>5</v>
      </c>
    </row>
    <row r="135" spans="1:17" x14ac:dyDescent="0.45">
      <c r="A135" s="19">
        <v>46020.606249999997</v>
      </c>
      <c r="B135" t="s">
        <v>72</v>
      </c>
      <c r="C135" t="s">
        <v>188</v>
      </c>
      <c r="D135" t="s">
        <v>74</v>
      </c>
      <c r="E135" t="s">
        <v>77</v>
      </c>
      <c r="F135" t="s">
        <v>99</v>
      </c>
      <c r="G135" t="s">
        <v>195</v>
      </c>
      <c r="H135" t="s">
        <v>109</v>
      </c>
      <c r="I135">
        <v>9</v>
      </c>
      <c r="J135">
        <v>9</v>
      </c>
      <c r="K135">
        <v>5</v>
      </c>
      <c r="L135">
        <v>9</v>
      </c>
      <c r="M135">
        <v>8</v>
      </c>
      <c r="N135">
        <v>10</v>
      </c>
      <c r="O135">
        <v>5</v>
      </c>
      <c r="P135">
        <v>5</v>
      </c>
      <c r="Q135">
        <v>7</v>
      </c>
    </row>
    <row r="136" spans="1:17" x14ac:dyDescent="0.45">
      <c r="A136" s="19">
        <v>46020.609027777777</v>
      </c>
      <c r="B136" t="s">
        <v>78</v>
      </c>
      <c r="C136" t="s">
        <v>188</v>
      </c>
      <c r="D136" t="s">
        <v>74</v>
      </c>
      <c r="E136" t="s">
        <v>77</v>
      </c>
      <c r="F136" t="s">
        <v>99</v>
      </c>
      <c r="G136" t="s">
        <v>103</v>
      </c>
      <c r="H136" t="s">
        <v>109</v>
      </c>
      <c r="I136">
        <v>5</v>
      </c>
      <c r="J136">
        <v>5</v>
      </c>
      <c r="K136">
        <v>5</v>
      </c>
      <c r="L136">
        <v>6</v>
      </c>
      <c r="M136">
        <v>6</v>
      </c>
      <c r="N136">
        <v>6</v>
      </c>
      <c r="O136">
        <v>6</v>
      </c>
      <c r="P136">
        <v>6</v>
      </c>
      <c r="Q136">
        <v>6</v>
      </c>
    </row>
    <row r="137" spans="1:17" x14ac:dyDescent="0.45">
      <c r="A137" s="19">
        <v>46020.613194444442</v>
      </c>
      <c r="B137" t="s">
        <v>72</v>
      </c>
      <c r="C137" t="s">
        <v>192</v>
      </c>
      <c r="D137" t="s">
        <v>74</v>
      </c>
      <c r="E137" t="s">
        <v>77</v>
      </c>
      <c r="F137" t="s">
        <v>196</v>
      </c>
      <c r="G137" t="s">
        <v>193</v>
      </c>
      <c r="H137" t="s">
        <v>109</v>
      </c>
      <c r="I137">
        <v>8</v>
      </c>
      <c r="J137">
        <v>8</v>
      </c>
      <c r="K137">
        <v>8</v>
      </c>
      <c r="L137">
        <v>8</v>
      </c>
      <c r="M137">
        <v>10</v>
      </c>
      <c r="N137">
        <v>10</v>
      </c>
      <c r="O137">
        <v>10</v>
      </c>
      <c r="P137">
        <v>10</v>
      </c>
      <c r="Q137">
        <v>10</v>
      </c>
    </row>
    <row r="138" spans="1:17" x14ac:dyDescent="0.45">
      <c r="A138" s="19">
        <v>46020.637499999997</v>
      </c>
      <c r="B138" t="s">
        <v>78</v>
      </c>
      <c r="C138" t="s">
        <v>190</v>
      </c>
      <c r="D138" t="s">
        <v>74</v>
      </c>
      <c r="E138" t="s">
        <v>77</v>
      </c>
      <c r="F138" t="s">
        <v>99</v>
      </c>
      <c r="G138" t="s">
        <v>107</v>
      </c>
      <c r="H138" t="s">
        <v>194</v>
      </c>
      <c r="I138">
        <v>8</v>
      </c>
      <c r="J138">
        <v>8</v>
      </c>
      <c r="K138">
        <v>8</v>
      </c>
      <c r="L138">
        <v>8</v>
      </c>
      <c r="M138">
        <v>8</v>
      </c>
      <c r="N138">
        <v>8</v>
      </c>
      <c r="O138">
        <v>5</v>
      </c>
      <c r="P138">
        <v>7</v>
      </c>
      <c r="Q138">
        <v>8</v>
      </c>
    </row>
    <row r="139" spans="1:17" x14ac:dyDescent="0.45">
      <c r="A139" s="19">
        <v>46020.640972222223</v>
      </c>
      <c r="B139" t="s">
        <v>72</v>
      </c>
      <c r="C139" t="s">
        <v>81</v>
      </c>
      <c r="D139" t="s">
        <v>74</v>
      </c>
      <c r="E139" t="s">
        <v>75</v>
      </c>
      <c r="F139" t="s">
        <v>99</v>
      </c>
      <c r="G139" t="s">
        <v>103</v>
      </c>
      <c r="H139" t="s">
        <v>109</v>
      </c>
      <c r="I139">
        <v>8</v>
      </c>
      <c r="J139">
        <v>9</v>
      </c>
      <c r="K139">
        <v>7</v>
      </c>
      <c r="L139">
        <v>7</v>
      </c>
      <c r="M139">
        <v>6</v>
      </c>
      <c r="N139">
        <v>6</v>
      </c>
      <c r="O139">
        <v>2</v>
      </c>
      <c r="P139">
        <v>5</v>
      </c>
      <c r="Q139">
        <v>6</v>
      </c>
    </row>
    <row r="140" spans="1:17" x14ac:dyDescent="0.45">
      <c r="A140" s="19">
        <v>46020.852083333331</v>
      </c>
      <c r="B140" t="s">
        <v>72</v>
      </c>
      <c r="C140" t="s">
        <v>79</v>
      </c>
      <c r="D140" t="s">
        <v>74</v>
      </c>
      <c r="E140" t="s">
        <v>75</v>
      </c>
      <c r="F140" t="s">
        <v>99</v>
      </c>
      <c r="G140" t="s">
        <v>107</v>
      </c>
      <c r="H140" t="s">
        <v>104</v>
      </c>
      <c r="I140">
        <v>5</v>
      </c>
      <c r="J140">
        <v>4</v>
      </c>
      <c r="K140">
        <v>7</v>
      </c>
      <c r="L140">
        <v>6</v>
      </c>
      <c r="M140">
        <v>3</v>
      </c>
      <c r="N140">
        <v>4</v>
      </c>
      <c r="O140">
        <v>4</v>
      </c>
      <c r="P140">
        <v>5</v>
      </c>
      <c r="Q140">
        <v>5</v>
      </c>
    </row>
    <row r="141" spans="1:17" x14ac:dyDescent="0.45">
      <c r="A141" s="19">
        <v>46020.888888888891</v>
      </c>
      <c r="B141" t="s">
        <v>72</v>
      </c>
      <c r="C141" t="s">
        <v>73</v>
      </c>
      <c r="D141" t="s">
        <v>74</v>
      </c>
      <c r="E141" t="s">
        <v>77</v>
      </c>
      <c r="F141" t="s">
        <v>99</v>
      </c>
      <c r="G141" t="s">
        <v>100</v>
      </c>
      <c r="H141" t="s">
        <v>101</v>
      </c>
      <c r="I141">
        <v>10</v>
      </c>
      <c r="J141">
        <v>9</v>
      </c>
      <c r="K141">
        <v>9</v>
      </c>
      <c r="L141">
        <v>9</v>
      </c>
      <c r="M141">
        <v>8</v>
      </c>
      <c r="N141">
        <v>8</v>
      </c>
      <c r="O141">
        <v>8</v>
      </c>
      <c r="P141">
        <v>8</v>
      </c>
      <c r="Q141">
        <v>10</v>
      </c>
    </row>
    <row r="142" spans="1:17" x14ac:dyDescent="0.45">
      <c r="A142" s="19">
        <v>46020.88958333333</v>
      </c>
      <c r="B142" t="s">
        <v>78</v>
      </c>
      <c r="C142" t="s">
        <v>73</v>
      </c>
      <c r="D142" t="s">
        <v>74</v>
      </c>
      <c r="E142" t="s">
        <v>77</v>
      </c>
      <c r="F142" t="s">
        <v>99</v>
      </c>
      <c r="G142" t="s">
        <v>100</v>
      </c>
      <c r="H142" t="s">
        <v>101</v>
      </c>
      <c r="I142">
        <v>8</v>
      </c>
      <c r="J142">
        <v>7</v>
      </c>
      <c r="K142">
        <v>6</v>
      </c>
      <c r="L142">
        <v>6</v>
      </c>
      <c r="M142">
        <v>5</v>
      </c>
      <c r="N142">
        <v>5</v>
      </c>
      <c r="O142">
        <v>3</v>
      </c>
      <c r="P142">
        <v>3</v>
      </c>
      <c r="Q142">
        <v>5</v>
      </c>
    </row>
    <row r="143" spans="1:17" x14ac:dyDescent="0.45">
      <c r="A143" s="19">
        <v>46021.341666666667</v>
      </c>
      <c r="B143" t="s">
        <v>78</v>
      </c>
      <c r="C143" t="s">
        <v>79</v>
      </c>
      <c r="D143" t="s">
        <v>74</v>
      </c>
      <c r="E143" t="s">
        <v>75</v>
      </c>
      <c r="F143" t="s">
        <v>99</v>
      </c>
      <c r="G143" t="s">
        <v>193</v>
      </c>
      <c r="H143" t="s">
        <v>101</v>
      </c>
      <c r="I143">
        <v>5</v>
      </c>
      <c r="J143">
        <v>6</v>
      </c>
      <c r="K143">
        <v>5</v>
      </c>
      <c r="L143">
        <v>7</v>
      </c>
      <c r="M143">
        <v>6</v>
      </c>
      <c r="N143">
        <v>6</v>
      </c>
      <c r="O143">
        <v>6</v>
      </c>
      <c r="P143">
        <v>7</v>
      </c>
      <c r="Q143">
        <v>7</v>
      </c>
    </row>
    <row r="144" spans="1:17" x14ac:dyDescent="0.45">
      <c r="A144" s="19">
        <v>46021.448611111111</v>
      </c>
      <c r="B144" t="s">
        <v>78</v>
      </c>
      <c r="C144" t="s">
        <v>73</v>
      </c>
      <c r="D144" t="s">
        <v>74</v>
      </c>
      <c r="E144" t="s">
        <v>75</v>
      </c>
      <c r="F144" t="s">
        <v>99</v>
      </c>
      <c r="G144" t="s">
        <v>107</v>
      </c>
      <c r="H144" t="s">
        <v>109</v>
      </c>
      <c r="I144">
        <v>1</v>
      </c>
      <c r="J144">
        <v>1</v>
      </c>
      <c r="K144">
        <v>8</v>
      </c>
      <c r="L144">
        <v>8</v>
      </c>
      <c r="M144">
        <v>8</v>
      </c>
      <c r="N144">
        <v>8</v>
      </c>
      <c r="O144">
        <v>8</v>
      </c>
      <c r="P144">
        <v>8</v>
      </c>
      <c r="Q144">
        <v>8</v>
      </c>
    </row>
    <row r="145" spans="1:17" x14ac:dyDescent="0.45">
      <c r="A145" s="19">
        <v>46021.449305555558</v>
      </c>
      <c r="B145" t="s">
        <v>72</v>
      </c>
      <c r="C145" t="s">
        <v>190</v>
      </c>
      <c r="D145" t="s">
        <v>74</v>
      </c>
      <c r="E145" t="s">
        <v>77</v>
      </c>
      <c r="F145" t="s">
        <v>99</v>
      </c>
      <c r="G145" t="s">
        <v>110</v>
      </c>
      <c r="H145" t="s">
        <v>104</v>
      </c>
      <c r="I145">
        <v>9</v>
      </c>
      <c r="J145">
        <v>9</v>
      </c>
      <c r="K145">
        <v>9</v>
      </c>
      <c r="L145">
        <v>9</v>
      </c>
      <c r="M145">
        <v>10</v>
      </c>
      <c r="N145">
        <v>5</v>
      </c>
      <c r="O145">
        <v>9</v>
      </c>
      <c r="P145">
        <v>9</v>
      </c>
      <c r="Q145">
        <v>10</v>
      </c>
    </row>
    <row r="146" spans="1:17" x14ac:dyDescent="0.45">
      <c r="A146" s="19">
        <v>46021.451388888891</v>
      </c>
      <c r="B146" t="s">
        <v>72</v>
      </c>
      <c r="C146" t="s">
        <v>79</v>
      </c>
      <c r="D146" t="s">
        <v>74</v>
      </c>
      <c r="E146" t="s">
        <v>77</v>
      </c>
      <c r="F146" t="s">
        <v>99</v>
      </c>
      <c r="G146" t="s">
        <v>110</v>
      </c>
      <c r="H146" t="s">
        <v>104</v>
      </c>
      <c r="I146">
        <v>10</v>
      </c>
      <c r="J146">
        <v>10</v>
      </c>
      <c r="K146">
        <v>9</v>
      </c>
      <c r="L146">
        <v>6</v>
      </c>
      <c r="M146">
        <v>6</v>
      </c>
      <c r="N146">
        <v>3</v>
      </c>
      <c r="O146">
        <v>5</v>
      </c>
      <c r="P146">
        <v>5</v>
      </c>
      <c r="Q146">
        <v>1</v>
      </c>
    </row>
    <row r="147" spans="1:17" x14ac:dyDescent="0.45">
      <c r="A147" s="19">
        <v>46021.45416666667</v>
      </c>
      <c r="B147" t="s">
        <v>72</v>
      </c>
      <c r="C147" t="s">
        <v>79</v>
      </c>
      <c r="D147" t="s">
        <v>74</v>
      </c>
      <c r="E147" t="s">
        <v>77</v>
      </c>
      <c r="F147" t="s">
        <v>99</v>
      </c>
      <c r="G147" t="s">
        <v>106</v>
      </c>
      <c r="H147" t="s">
        <v>105</v>
      </c>
      <c r="I147">
        <v>8</v>
      </c>
      <c r="J147">
        <v>8</v>
      </c>
      <c r="K147">
        <v>5</v>
      </c>
      <c r="L147">
        <v>5</v>
      </c>
      <c r="M147">
        <v>5</v>
      </c>
      <c r="N147">
        <v>3</v>
      </c>
      <c r="O147">
        <v>5</v>
      </c>
      <c r="P147">
        <v>5</v>
      </c>
      <c r="Q147">
        <v>5</v>
      </c>
    </row>
    <row r="148" spans="1:17" x14ac:dyDescent="0.45">
      <c r="A148" s="19">
        <v>46021.457638888889</v>
      </c>
      <c r="B148" t="s">
        <v>72</v>
      </c>
      <c r="C148" t="s">
        <v>192</v>
      </c>
      <c r="D148" t="s">
        <v>74</v>
      </c>
      <c r="E148" t="s">
        <v>75</v>
      </c>
      <c r="F148" t="s">
        <v>99</v>
      </c>
      <c r="G148" t="s">
        <v>107</v>
      </c>
      <c r="H148" t="s">
        <v>109</v>
      </c>
      <c r="I148">
        <v>7</v>
      </c>
      <c r="J148">
        <v>7</v>
      </c>
      <c r="K148">
        <v>1</v>
      </c>
      <c r="L148">
        <v>6</v>
      </c>
      <c r="M148">
        <v>3</v>
      </c>
      <c r="N148">
        <v>5</v>
      </c>
      <c r="O148">
        <v>1</v>
      </c>
      <c r="P148">
        <v>4</v>
      </c>
      <c r="Q148">
        <v>5</v>
      </c>
    </row>
    <row r="149" spans="1:17" x14ac:dyDescent="0.45">
      <c r="A149" s="19">
        <v>46021.461805555555</v>
      </c>
      <c r="B149" t="s">
        <v>78</v>
      </c>
      <c r="C149" t="s">
        <v>81</v>
      </c>
      <c r="D149" t="s">
        <v>74</v>
      </c>
      <c r="E149" t="s">
        <v>77</v>
      </c>
      <c r="F149" t="s">
        <v>99</v>
      </c>
      <c r="G149" t="s">
        <v>195</v>
      </c>
      <c r="H149" t="s">
        <v>109</v>
      </c>
      <c r="I149">
        <v>6</v>
      </c>
      <c r="J149">
        <v>6</v>
      </c>
      <c r="K149">
        <v>5</v>
      </c>
      <c r="L149">
        <v>7</v>
      </c>
      <c r="M149">
        <v>5</v>
      </c>
      <c r="N149">
        <v>7</v>
      </c>
      <c r="O149">
        <v>5</v>
      </c>
      <c r="P149">
        <v>6</v>
      </c>
      <c r="Q149">
        <v>7</v>
      </c>
    </row>
    <row r="150" spans="1:17" x14ac:dyDescent="0.45">
      <c r="A150" s="19">
        <v>46021.464583333334</v>
      </c>
      <c r="B150" t="s">
        <v>72</v>
      </c>
      <c r="C150" t="s">
        <v>79</v>
      </c>
      <c r="D150" t="s">
        <v>74</v>
      </c>
      <c r="E150" t="s">
        <v>77</v>
      </c>
      <c r="F150" t="s">
        <v>99</v>
      </c>
      <c r="G150" t="s">
        <v>107</v>
      </c>
      <c r="H150" t="s">
        <v>105</v>
      </c>
      <c r="I150">
        <v>10</v>
      </c>
      <c r="J150">
        <v>10</v>
      </c>
      <c r="K150">
        <v>7</v>
      </c>
      <c r="L150">
        <v>8</v>
      </c>
      <c r="M150">
        <v>8</v>
      </c>
      <c r="N150">
        <v>4</v>
      </c>
      <c r="O150">
        <v>1</v>
      </c>
      <c r="P150">
        <v>3</v>
      </c>
      <c r="Q150">
        <v>6</v>
      </c>
    </row>
    <row r="151" spans="1:17" x14ac:dyDescent="0.45">
      <c r="A151" s="19">
        <v>46021.474999999999</v>
      </c>
      <c r="B151" t="s">
        <v>72</v>
      </c>
      <c r="C151" t="s">
        <v>79</v>
      </c>
      <c r="D151" t="s">
        <v>74</v>
      </c>
      <c r="E151" t="s">
        <v>77</v>
      </c>
      <c r="F151" t="s">
        <v>99</v>
      </c>
      <c r="G151" t="s">
        <v>110</v>
      </c>
      <c r="H151" t="s">
        <v>104</v>
      </c>
      <c r="I151">
        <v>7</v>
      </c>
      <c r="J151">
        <v>10</v>
      </c>
      <c r="K151">
        <v>5</v>
      </c>
      <c r="L151">
        <v>7</v>
      </c>
      <c r="M151">
        <v>7</v>
      </c>
      <c r="N151">
        <v>7</v>
      </c>
      <c r="O151">
        <v>7</v>
      </c>
      <c r="P151">
        <v>7</v>
      </c>
      <c r="Q151">
        <v>10</v>
      </c>
    </row>
    <row r="152" spans="1:17" x14ac:dyDescent="0.45">
      <c r="A152" s="19">
        <v>46021.487500000003</v>
      </c>
      <c r="B152" t="s">
        <v>72</v>
      </c>
      <c r="C152" t="s">
        <v>73</v>
      </c>
      <c r="D152" t="s">
        <v>74</v>
      </c>
      <c r="E152" t="s">
        <v>77</v>
      </c>
      <c r="F152" t="s">
        <v>99</v>
      </c>
      <c r="G152" t="s">
        <v>106</v>
      </c>
      <c r="H152" t="s">
        <v>104</v>
      </c>
      <c r="I152">
        <v>8</v>
      </c>
      <c r="J152">
        <v>8</v>
      </c>
      <c r="K152">
        <v>8</v>
      </c>
      <c r="L152">
        <v>8</v>
      </c>
      <c r="M152">
        <v>8</v>
      </c>
      <c r="N152">
        <v>8</v>
      </c>
      <c r="O152">
        <v>8</v>
      </c>
      <c r="P152">
        <v>8</v>
      </c>
      <c r="Q152">
        <v>8</v>
      </c>
    </row>
    <row r="153" spans="1:17" x14ac:dyDescent="0.45">
      <c r="A153" s="19">
        <v>46021.506944444445</v>
      </c>
      <c r="B153" t="s">
        <v>72</v>
      </c>
      <c r="C153" t="s">
        <v>79</v>
      </c>
      <c r="D153" t="s">
        <v>74</v>
      </c>
      <c r="E153" t="s">
        <v>75</v>
      </c>
      <c r="F153" t="s">
        <v>99</v>
      </c>
      <c r="G153" t="s">
        <v>106</v>
      </c>
      <c r="H153" t="s">
        <v>104</v>
      </c>
      <c r="I153">
        <v>10</v>
      </c>
      <c r="J153">
        <v>10</v>
      </c>
      <c r="K153">
        <v>10</v>
      </c>
      <c r="L153">
        <v>10</v>
      </c>
      <c r="M153">
        <v>10</v>
      </c>
      <c r="N153">
        <v>10</v>
      </c>
      <c r="O153">
        <v>10</v>
      </c>
      <c r="P153">
        <v>10</v>
      </c>
      <c r="Q153">
        <v>10</v>
      </c>
    </row>
    <row r="154" spans="1:17" x14ac:dyDescent="0.45">
      <c r="A154" s="19">
        <v>46021.51458333333</v>
      </c>
      <c r="B154" t="s">
        <v>78</v>
      </c>
      <c r="C154" t="s">
        <v>73</v>
      </c>
      <c r="D154" t="s">
        <v>74</v>
      </c>
      <c r="E154" t="s">
        <v>77</v>
      </c>
      <c r="F154" t="s">
        <v>99</v>
      </c>
      <c r="G154" t="s">
        <v>193</v>
      </c>
      <c r="H154" t="s">
        <v>101</v>
      </c>
      <c r="I154">
        <v>7</v>
      </c>
      <c r="J154">
        <v>7</v>
      </c>
      <c r="K154">
        <v>5</v>
      </c>
      <c r="L154">
        <v>7</v>
      </c>
      <c r="M154">
        <v>7</v>
      </c>
      <c r="N154">
        <v>7</v>
      </c>
      <c r="O154">
        <v>7</v>
      </c>
      <c r="P154">
        <v>7</v>
      </c>
      <c r="Q154">
        <v>7</v>
      </c>
    </row>
    <row r="155" spans="1:17" x14ac:dyDescent="0.45">
      <c r="A155" s="19">
        <v>46021.613888888889</v>
      </c>
      <c r="B155" t="s">
        <v>72</v>
      </c>
      <c r="C155" t="s">
        <v>81</v>
      </c>
      <c r="D155" t="s">
        <v>74</v>
      </c>
      <c r="E155" t="s">
        <v>77</v>
      </c>
      <c r="F155" t="s">
        <v>99</v>
      </c>
      <c r="G155" t="s">
        <v>193</v>
      </c>
      <c r="H155" t="s">
        <v>104</v>
      </c>
      <c r="I155">
        <v>7</v>
      </c>
      <c r="J155">
        <v>8</v>
      </c>
      <c r="K155">
        <v>8</v>
      </c>
      <c r="L155">
        <v>8</v>
      </c>
      <c r="M155">
        <v>6</v>
      </c>
      <c r="N155">
        <v>8</v>
      </c>
      <c r="O155">
        <v>5</v>
      </c>
      <c r="P155">
        <v>8</v>
      </c>
      <c r="Q155">
        <v>8</v>
      </c>
    </row>
    <row r="156" spans="1:17" x14ac:dyDescent="0.45">
      <c r="A156" s="19">
        <v>46021.785416666666</v>
      </c>
      <c r="B156" t="s">
        <v>72</v>
      </c>
      <c r="C156" t="s">
        <v>73</v>
      </c>
      <c r="D156" t="s">
        <v>74</v>
      </c>
      <c r="E156" t="s">
        <v>75</v>
      </c>
      <c r="F156" t="s">
        <v>99</v>
      </c>
      <c r="G156" t="s">
        <v>110</v>
      </c>
      <c r="H156" t="s">
        <v>101</v>
      </c>
      <c r="I156">
        <v>10</v>
      </c>
      <c r="J156">
        <v>10</v>
      </c>
      <c r="K156">
        <v>10</v>
      </c>
      <c r="L156">
        <v>10</v>
      </c>
      <c r="M156">
        <v>10</v>
      </c>
      <c r="N156">
        <v>10</v>
      </c>
      <c r="O156">
        <v>10</v>
      </c>
      <c r="P156">
        <v>10</v>
      </c>
      <c r="Q156">
        <v>10</v>
      </c>
    </row>
    <row r="157" spans="1:17" x14ac:dyDescent="0.45">
      <c r="A157" s="19">
        <v>46021.790972222225</v>
      </c>
      <c r="B157" t="s">
        <v>72</v>
      </c>
      <c r="C157" t="s">
        <v>73</v>
      </c>
      <c r="D157" t="s">
        <v>74</v>
      </c>
      <c r="E157" t="s">
        <v>75</v>
      </c>
      <c r="F157" t="s">
        <v>99</v>
      </c>
      <c r="G157" t="s">
        <v>100</v>
      </c>
      <c r="H157" t="s">
        <v>101</v>
      </c>
      <c r="I157">
        <v>10</v>
      </c>
      <c r="J157">
        <v>10</v>
      </c>
      <c r="K157">
        <v>10</v>
      </c>
      <c r="L157">
        <v>10</v>
      </c>
      <c r="M157">
        <v>10</v>
      </c>
      <c r="N157">
        <v>10</v>
      </c>
      <c r="O157">
        <v>10</v>
      </c>
      <c r="P157">
        <v>10</v>
      </c>
      <c r="Q157">
        <v>10</v>
      </c>
    </row>
    <row r="158" spans="1:17" x14ac:dyDescent="0.45">
      <c r="A158" s="19">
        <v>46021.80972222222</v>
      </c>
      <c r="B158" t="s">
        <v>78</v>
      </c>
      <c r="C158" t="s">
        <v>73</v>
      </c>
      <c r="D158" t="s">
        <v>74</v>
      </c>
      <c r="E158" t="s">
        <v>77</v>
      </c>
      <c r="F158" t="s">
        <v>99</v>
      </c>
      <c r="G158" t="s">
        <v>106</v>
      </c>
      <c r="H158" t="s">
        <v>194</v>
      </c>
      <c r="I158">
        <v>10</v>
      </c>
      <c r="J158">
        <v>10</v>
      </c>
      <c r="K158">
        <v>1</v>
      </c>
      <c r="L158">
        <v>10</v>
      </c>
      <c r="M158">
        <v>1</v>
      </c>
      <c r="N158">
        <v>1</v>
      </c>
      <c r="O158">
        <v>1</v>
      </c>
      <c r="P158">
        <v>1</v>
      </c>
      <c r="Q158">
        <v>6</v>
      </c>
    </row>
    <row r="159" spans="1:17" x14ac:dyDescent="0.45">
      <c r="A159" s="19">
        <v>46021.82708333333</v>
      </c>
      <c r="B159" t="s">
        <v>72</v>
      </c>
      <c r="C159" t="s">
        <v>73</v>
      </c>
      <c r="D159" t="s">
        <v>74</v>
      </c>
      <c r="E159" t="s">
        <v>77</v>
      </c>
      <c r="F159" t="s">
        <v>99</v>
      </c>
      <c r="G159" t="s">
        <v>106</v>
      </c>
      <c r="H159" t="s">
        <v>104</v>
      </c>
      <c r="I159">
        <v>7</v>
      </c>
      <c r="J159">
        <v>8</v>
      </c>
      <c r="K159">
        <v>6</v>
      </c>
      <c r="L159">
        <v>6</v>
      </c>
      <c r="M159">
        <v>7</v>
      </c>
      <c r="N159">
        <v>5</v>
      </c>
      <c r="O159">
        <v>6</v>
      </c>
      <c r="P159">
        <v>7</v>
      </c>
      <c r="Q159">
        <v>7</v>
      </c>
    </row>
    <row r="160" spans="1:17" x14ac:dyDescent="0.45">
      <c r="A160" s="19">
        <v>46023.439583333333</v>
      </c>
      <c r="B160" t="s">
        <v>78</v>
      </c>
      <c r="C160" t="s">
        <v>79</v>
      </c>
      <c r="D160" t="s">
        <v>74</v>
      </c>
      <c r="E160" t="s">
        <v>77</v>
      </c>
      <c r="F160" t="s">
        <v>99</v>
      </c>
      <c r="G160" t="s">
        <v>108</v>
      </c>
      <c r="H160" t="s">
        <v>109</v>
      </c>
      <c r="I160">
        <v>2</v>
      </c>
      <c r="J160">
        <v>7</v>
      </c>
      <c r="K160">
        <v>10</v>
      </c>
      <c r="L160">
        <v>2</v>
      </c>
      <c r="M160">
        <v>10</v>
      </c>
      <c r="N160">
        <v>5</v>
      </c>
      <c r="O160">
        <v>10</v>
      </c>
      <c r="P160">
        <v>3</v>
      </c>
      <c r="Q160">
        <v>3</v>
      </c>
    </row>
    <row r="161" spans="1:17" x14ac:dyDescent="0.45">
      <c r="A161" s="19">
        <v>46023.634027777778</v>
      </c>
      <c r="B161" t="s">
        <v>72</v>
      </c>
      <c r="C161" t="s">
        <v>73</v>
      </c>
      <c r="D161" t="s">
        <v>74</v>
      </c>
      <c r="E161" t="s">
        <v>75</v>
      </c>
      <c r="F161" t="s">
        <v>99</v>
      </c>
      <c r="G161" t="s">
        <v>108</v>
      </c>
      <c r="H161" t="s">
        <v>109</v>
      </c>
      <c r="I161">
        <v>9</v>
      </c>
      <c r="J161">
        <v>9</v>
      </c>
      <c r="K161">
        <v>10</v>
      </c>
      <c r="L161">
        <v>2</v>
      </c>
      <c r="M161">
        <v>9</v>
      </c>
      <c r="N161">
        <v>9</v>
      </c>
      <c r="O161">
        <v>6</v>
      </c>
      <c r="P161">
        <v>8</v>
      </c>
      <c r="Q161">
        <v>10</v>
      </c>
    </row>
    <row r="162" spans="1:17" x14ac:dyDescent="0.45">
      <c r="A162" s="19">
        <v>46023.636805555558</v>
      </c>
      <c r="B162" t="s">
        <v>72</v>
      </c>
      <c r="C162" t="s">
        <v>73</v>
      </c>
      <c r="D162" t="s">
        <v>74</v>
      </c>
      <c r="E162" t="s">
        <v>77</v>
      </c>
      <c r="F162" t="s">
        <v>99</v>
      </c>
      <c r="G162" t="s">
        <v>103</v>
      </c>
      <c r="H162" t="s">
        <v>109</v>
      </c>
      <c r="I162">
        <v>7</v>
      </c>
      <c r="J162">
        <v>5</v>
      </c>
      <c r="K162">
        <v>7</v>
      </c>
      <c r="L162">
        <v>5</v>
      </c>
      <c r="M162">
        <v>3</v>
      </c>
      <c r="N162">
        <v>4</v>
      </c>
      <c r="O162">
        <v>1</v>
      </c>
      <c r="P162">
        <v>5</v>
      </c>
      <c r="Q162">
        <v>5</v>
      </c>
    </row>
    <row r="163" spans="1:17" x14ac:dyDescent="0.45">
      <c r="A163" s="19">
        <v>46023.646527777775</v>
      </c>
      <c r="B163" t="s">
        <v>72</v>
      </c>
      <c r="C163" t="s">
        <v>81</v>
      </c>
      <c r="D163" t="s">
        <v>74</v>
      </c>
      <c r="E163" t="s">
        <v>77</v>
      </c>
      <c r="F163" t="s">
        <v>99</v>
      </c>
      <c r="G163" t="s">
        <v>193</v>
      </c>
      <c r="H163" t="s">
        <v>109</v>
      </c>
      <c r="I163">
        <v>3</v>
      </c>
      <c r="J163">
        <v>8</v>
      </c>
      <c r="K163">
        <v>4</v>
      </c>
      <c r="L163">
        <v>5</v>
      </c>
      <c r="M163">
        <v>5</v>
      </c>
      <c r="N163">
        <v>5</v>
      </c>
      <c r="O163">
        <v>5</v>
      </c>
      <c r="P163">
        <v>5</v>
      </c>
      <c r="Q163">
        <v>5</v>
      </c>
    </row>
    <row r="164" spans="1:17" x14ac:dyDescent="0.45">
      <c r="A164" s="19">
        <v>46024.313194444447</v>
      </c>
      <c r="B164" t="s">
        <v>72</v>
      </c>
      <c r="C164" t="s">
        <v>81</v>
      </c>
      <c r="D164" t="s">
        <v>74</v>
      </c>
      <c r="E164" t="s">
        <v>77</v>
      </c>
      <c r="F164" t="s">
        <v>99</v>
      </c>
      <c r="G164" t="s">
        <v>103</v>
      </c>
      <c r="H164" t="s">
        <v>109</v>
      </c>
      <c r="I164">
        <v>10</v>
      </c>
      <c r="J164">
        <v>10</v>
      </c>
      <c r="K164">
        <v>10</v>
      </c>
      <c r="L164">
        <v>10</v>
      </c>
      <c r="M164">
        <v>10</v>
      </c>
      <c r="N164">
        <v>10</v>
      </c>
      <c r="O164">
        <v>10</v>
      </c>
      <c r="P164">
        <v>10</v>
      </c>
      <c r="Q164">
        <v>10</v>
      </c>
    </row>
    <row r="165" spans="1:17" x14ac:dyDescent="0.45">
      <c r="A165" s="19">
        <v>46024.386805555558</v>
      </c>
      <c r="B165" t="s">
        <v>72</v>
      </c>
      <c r="C165" t="s">
        <v>79</v>
      </c>
      <c r="D165" t="s">
        <v>74</v>
      </c>
      <c r="E165" t="s">
        <v>77</v>
      </c>
      <c r="F165" t="s">
        <v>99</v>
      </c>
      <c r="G165" t="s">
        <v>108</v>
      </c>
      <c r="H165" t="s">
        <v>104</v>
      </c>
      <c r="I165">
        <v>8</v>
      </c>
      <c r="J165">
        <v>9</v>
      </c>
      <c r="K165">
        <v>9</v>
      </c>
      <c r="L165">
        <v>9</v>
      </c>
      <c r="M165">
        <v>5</v>
      </c>
      <c r="N165">
        <v>7</v>
      </c>
      <c r="O165">
        <v>5</v>
      </c>
      <c r="P165">
        <v>7</v>
      </c>
      <c r="Q165">
        <v>7</v>
      </c>
    </row>
    <row r="166" spans="1:17" x14ac:dyDescent="0.45">
      <c r="A166" s="19">
        <v>46024.598611111112</v>
      </c>
      <c r="B166" t="s">
        <v>72</v>
      </c>
      <c r="C166" t="s">
        <v>73</v>
      </c>
      <c r="D166" t="s">
        <v>74</v>
      </c>
      <c r="E166" t="s">
        <v>75</v>
      </c>
      <c r="F166" t="s">
        <v>99</v>
      </c>
      <c r="G166" t="s">
        <v>108</v>
      </c>
      <c r="H166" t="s">
        <v>109</v>
      </c>
      <c r="I166">
        <v>5</v>
      </c>
      <c r="J166">
        <v>5</v>
      </c>
      <c r="K166">
        <v>6</v>
      </c>
      <c r="L166">
        <v>6</v>
      </c>
      <c r="M166">
        <v>6</v>
      </c>
      <c r="N166">
        <v>6</v>
      </c>
      <c r="O166">
        <v>5</v>
      </c>
      <c r="P166">
        <v>7</v>
      </c>
      <c r="Q166">
        <v>8</v>
      </c>
    </row>
    <row r="167" spans="1:17" x14ac:dyDescent="0.45">
      <c r="A167" s="19">
        <v>46024.702777777777</v>
      </c>
      <c r="B167" t="s">
        <v>72</v>
      </c>
      <c r="C167" t="s">
        <v>73</v>
      </c>
      <c r="D167" t="s">
        <v>74</v>
      </c>
      <c r="E167" t="s">
        <v>75</v>
      </c>
      <c r="F167" t="s">
        <v>99</v>
      </c>
      <c r="G167" t="s">
        <v>108</v>
      </c>
      <c r="H167" t="s">
        <v>101</v>
      </c>
      <c r="I167">
        <v>10</v>
      </c>
      <c r="J167">
        <v>8</v>
      </c>
      <c r="K167">
        <v>10</v>
      </c>
      <c r="L167">
        <v>10</v>
      </c>
      <c r="M167">
        <v>10</v>
      </c>
      <c r="N167">
        <v>10</v>
      </c>
      <c r="O167">
        <v>10</v>
      </c>
      <c r="P167">
        <v>10</v>
      </c>
      <c r="Q167">
        <v>8</v>
      </c>
    </row>
    <row r="168" spans="1:17" x14ac:dyDescent="0.45">
      <c r="A168" s="19">
        <v>46024.763888888891</v>
      </c>
      <c r="B168" t="s">
        <v>78</v>
      </c>
      <c r="C168" t="s">
        <v>73</v>
      </c>
      <c r="D168" t="s">
        <v>74</v>
      </c>
      <c r="E168" t="s">
        <v>75</v>
      </c>
      <c r="F168" t="s">
        <v>99</v>
      </c>
      <c r="G168" t="s">
        <v>106</v>
      </c>
      <c r="H168" t="s">
        <v>109</v>
      </c>
      <c r="I168">
        <v>5</v>
      </c>
      <c r="J168">
        <v>8</v>
      </c>
      <c r="K168">
        <v>5</v>
      </c>
      <c r="L168">
        <v>8</v>
      </c>
      <c r="M168">
        <v>4</v>
      </c>
      <c r="N168">
        <v>5</v>
      </c>
      <c r="O168">
        <v>1</v>
      </c>
      <c r="P168">
        <v>5</v>
      </c>
      <c r="Q168">
        <v>5</v>
      </c>
    </row>
    <row r="169" spans="1:17" x14ac:dyDescent="0.45">
      <c r="A169" s="19">
        <v>46025.34097222222</v>
      </c>
      <c r="B169" t="s">
        <v>72</v>
      </c>
      <c r="C169" t="s">
        <v>81</v>
      </c>
      <c r="D169" t="s">
        <v>74</v>
      </c>
      <c r="E169" t="s">
        <v>77</v>
      </c>
      <c r="F169" t="s">
        <v>99</v>
      </c>
      <c r="G169" t="s">
        <v>195</v>
      </c>
      <c r="H169" t="s">
        <v>109</v>
      </c>
      <c r="I169">
        <v>7</v>
      </c>
      <c r="J169">
        <v>7</v>
      </c>
      <c r="K169">
        <v>8</v>
      </c>
      <c r="L169">
        <v>8</v>
      </c>
      <c r="M169">
        <v>7</v>
      </c>
      <c r="N169">
        <v>8</v>
      </c>
      <c r="O169">
        <v>8</v>
      </c>
      <c r="P169">
        <v>8</v>
      </c>
      <c r="Q169">
        <v>9</v>
      </c>
    </row>
    <row r="170" spans="1:17" x14ac:dyDescent="0.45">
      <c r="A170" s="19">
        <v>46025.374305555553</v>
      </c>
      <c r="B170" t="s">
        <v>78</v>
      </c>
      <c r="C170" t="s">
        <v>79</v>
      </c>
      <c r="D170" t="s">
        <v>74</v>
      </c>
      <c r="E170" t="s">
        <v>77</v>
      </c>
      <c r="F170" t="s">
        <v>99</v>
      </c>
      <c r="G170" t="s">
        <v>108</v>
      </c>
      <c r="H170" t="s">
        <v>109</v>
      </c>
      <c r="I170">
        <v>8</v>
      </c>
      <c r="J170">
        <v>8</v>
      </c>
      <c r="K170">
        <v>7</v>
      </c>
      <c r="L170">
        <v>8</v>
      </c>
      <c r="M170">
        <v>7</v>
      </c>
      <c r="N170">
        <v>7</v>
      </c>
      <c r="O170">
        <v>7</v>
      </c>
      <c r="P170">
        <v>8</v>
      </c>
      <c r="Q170">
        <v>8</v>
      </c>
    </row>
    <row r="171" spans="1:17" x14ac:dyDescent="0.45">
      <c r="A171" s="19">
        <v>46026.574999999997</v>
      </c>
      <c r="B171" t="s">
        <v>78</v>
      </c>
      <c r="C171" t="s">
        <v>81</v>
      </c>
      <c r="D171" t="s">
        <v>74</v>
      </c>
      <c r="E171" t="s">
        <v>77</v>
      </c>
      <c r="F171" t="s">
        <v>102</v>
      </c>
      <c r="G171" t="s">
        <v>103</v>
      </c>
      <c r="H171" t="s">
        <v>109</v>
      </c>
      <c r="I171">
        <v>5</v>
      </c>
      <c r="J171">
        <v>8</v>
      </c>
      <c r="K171">
        <v>7</v>
      </c>
      <c r="L171">
        <v>8</v>
      </c>
      <c r="M171">
        <v>1</v>
      </c>
      <c r="N171">
        <v>2</v>
      </c>
      <c r="O171">
        <v>3</v>
      </c>
      <c r="P171">
        <v>3</v>
      </c>
      <c r="Q171">
        <v>7</v>
      </c>
    </row>
    <row r="172" spans="1:17" x14ac:dyDescent="0.45">
      <c r="A172" s="19">
        <v>46026.576388888891</v>
      </c>
      <c r="B172" t="s">
        <v>78</v>
      </c>
      <c r="C172" t="s">
        <v>188</v>
      </c>
      <c r="D172" t="s">
        <v>74</v>
      </c>
      <c r="E172" t="s">
        <v>77</v>
      </c>
      <c r="F172" t="s">
        <v>99</v>
      </c>
      <c r="G172" t="s">
        <v>193</v>
      </c>
      <c r="H172" t="s">
        <v>109</v>
      </c>
      <c r="I172">
        <v>6</v>
      </c>
      <c r="J172">
        <v>7</v>
      </c>
      <c r="K172">
        <v>5</v>
      </c>
      <c r="L172">
        <v>7</v>
      </c>
      <c r="M172">
        <v>7</v>
      </c>
      <c r="N172">
        <v>7</v>
      </c>
      <c r="O172">
        <v>5</v>
      </c>
      <c r="P172">
        <v>7</v>
      </c>
      <c r="Q172">
        <v>7</v>
      </c>
    </row>
    <row r="173" spans="1:17" x14ac:dyDescent="0.45">
      <c r="A173" s="19">
        <v>46026.57708333333</v>
      </c>
      <c r="B173" t="s">
        <v>78</v>
      </c>
      <c r="C173" t="s">
        <v>190</v>
      </c>
      <c r="D173" t="s">
        <v>74</v>
      </c>
      <c r="E173" t="s">
        <v>75</v>
      </c>
      <c r="F173" t="s">
        <v>99</v>
      </c>
      <c r="G173" t="s">
        <v>107</v>
      </c>
      <c r="H173" t="s">
        <v>194</v>
      </c>
      <c r="I173">
        <v>8</v>
      </c>
      <c r="J173">
        <v>8</v>
      </c>
      <c r="K173">
        <v>8</v>
      </c>
      <c r="L173">
        <v>9</v>
      </c>
      <c r="M173">
        <v>9</v>
      </c>
      <c r="N173">
        <v>5</v>
      </c>
      <c r="O173">
        <v>5</v>
      </c>
      <c r="P173">
        <v>8</v>
      </c>
      <c r="Q173">
        <v>6</v>
      </c>
    </row>
    <row r="174" spans="1:17" x14ac:dyDescent="0.45">
      <c r="A174" s="19">
        <v>46026.577777777777</v>
      </c>
      <c r="B174" t="s">
        <v>72</v>
      </c>
      <c r="C174" t="s">
        <v>79</v>
      </c>
      <c r="D174" t="s">
        <v>74</v>
      </c>
      <c r="E174" t="s">
        <v>77</v>
      </c>
      <c r="F174" t="s">
        <v>99</v>
      </c>
      <c r="G174" t="s">
        <v>106</v>
      </c>
      <c r="H174" t="s">
        <v>105</v>
      </c>
      <c r="I174">
        <v>5</v>
      </c>
      <c r="J174">
        <v>5</v>
      </c>
      <c r="K174">
        <v>4</v>
      </c>
      <c r="L174">
        <v>6</v>
      </c>
      <c r="M174">
        <v>5</v>
      </c>
      <c r="N174">
        <v>4</v>
      </c>
      <c r="O174">
        <v>4</v>
      </c>
      <c r="P174">
        <v>5</v>
      </c>
      <c r="Q174">
        <v>5</v>
      </c>
    </row>
    <row r="175" spans="1:17" x14ac:dyDescent="0.45">
      <c r="A175" s="19">
        <v>46026.578472222223</v>
      </c>
      <c r="B175" t="s">
        <v>72</v>
      </c>
      <c r="C175" t="s">
        <v>81</v>
      </c>
      <c r="D175" t="s">
        <v>74</v>
      </c>
      <c r="E175" t="s">
        <v>77</v>
      </c>
      <c r="F175" t="s">
        <v>99</v>
      </c>
      <c r="G175" t="s">
        <v>108</v>
      </c>
      <c r="H175" t="s">
        <v>101</v>
      </c>
      <c r="I175">
        <v>6</v>
      </c>
      <c r="J175">
        <v>6</v>
      </c>
      <c r="K175">
        <v>6</v>
      </c>
      <c r="L175">
        <v>6</v>
      </c>
      <c r="M175">
        <v>7</v>
      </c>
      <c r="N175">
        <v>7</v>
      </c>
      <c r="O175">
        <v>5</v>
      </c>
      <c r="P175">
        <v>7</v>
      </c>
      <c r="Q175">
        <v>6</v>
      </c>
    </row>
    <row r="176" spans="1:17" x14ac:dyDescent="0.45">
      <c r="A176" s="19">
        <v>46026.57916666667</v>
      </c>
      <c r="B176" t="s">
        <v>72</v>
      </c>
      <c r="C176" t="s">
        <v>190</v>
      </c>
      <c r="D176" t="s">
        <v>74</v>
      </c>
      <c r="E176" t="s">
        <v>75</v>
      </c>
      <c r="F176" t="s">
        <v>99</v>
      </c>
      <c r="G176" t="s">
        <v>107</v>
      </c>
      <c r="H176" t="s">
        <v>105</v>
      </c>
      <c r="I176">
        <v>4</v>
      </c>
      <c r="J176">
        <v>5</v>
      </c>
      <c r="K176">
        <v>4</v>
      </c>
      <c r="L176">
        <v>6</v>
      </c>
      <c r="M176">
        <v>4</v>
      </c>
      <c r="N176">
        <v>4</v>
      </c>
      <c r="O176">
        <v>4</v>
      </c>
      <c r="P176">
        <v>5</v>
      </c>
      <c r="Q176">
        <v>4</v>
      </c>
    </row>
    <row r="177" spans="1:17" x14ac:dyDescent="0.45">
      <c r="A177" s="19">
        <v>46026.57916666667</v>
      </c>
      <c r="B177" t="s">
        <v>72</v>
      </c>
      <c r="C177" t="s">
        <v>192</v>
      </c>
      <c r="D177" t="s">
        <v>80</v>
      </c>
      <c r="E177" t="s">
        <v>75</v>
      </c>
      <c r="F177" t="s">
        <v>99</v>
      </c>
      <c r="G177" t="s">
        <v>107</v>
      </c>
      <c r="H177" t="s">
        <v>109</v>
      </c>
      <c r="I177">
        <v>2</v>
      </c>
      <c r="J177">
        <v>4</v>
      </c>
      <c r="K177">
        <v>3</v>
      </c>
      <c r="L177">
        <v>5</v>
      </c>
      <c r="M177">
        <v>4</v>
      </c>
      <c r="N177">
        <v>1</v>
      </c>
      <c r="O177">
        <v>1</v>
      </c>
      <c r="P177">
        <v>4</v>
      </c>
      <c r="Q177">
        <v>4</v>
      </c>
    </row>
    <row r="178" spans="1:17" x14ac:dyDescent="0.45">
      <c r="A178" s="19">
        <v>46026.580555555556</v>
      </c>
      <c r="B178" t="s">
        <v>72</v>
      </c>
      <c r="C178" t="s">
        <v>190</v>
      </c>
      <c r="D178" t="s">
        <v>74</v>
      </c>
      <c r="E178" t="s">
        <v>75</v>
      </c>
      <c r="F178" t="s">
        <v>99</v>
      </c>
      <c r="G178" t="s">
        <v>106</v>
      </c>
      <c r="H178" t="s">
        <v>104</v>
      </c>
      <c r="I178">
        <v>4</v>
      </c>
      <c r="J178">
        <v>4</v>
      </c>
      <c r="K178">
        <v>3</v>
      </c>
      <c r="L178">
        <v>5</v>
      </c>
      <c r="M178">
        <v>3</v>
      </c>
      <c r="N178">
        <v>2</v>
      </c>
      <c r="O178">
        <v>1</v>
      </c>
      <c r="P178">
        <v>1</v>
      </c>
      <c r="Q178">
        <v>1</v>
      </c>
    </row>
    <row r="179" spans="1:17" x14ac:dyDescent="0.45">
      <c r="A179" s="19">
        <v>46026.580555555556</v>
      </c>
      <c r="B179" t="s">
        <v>72</v>
      </c>
      <c r="C179" t="s">
        <v>192</v>
      </c>
      <c r="D179" t="s">
        <v>74</v>
      </c>
      <c r="E179" t="s">
        <v>77</v>
      </c>
      <c r="F179" t="s">
        <v>99</v>
      </c>
      <c r="G179" t="s">
        <v>108</v>
      </c>
      <c r="H179" t="s">
        <v>194</v>
      </c>
      <c r="I179">
        <v>6</v>
      </c>
      <c r="J179">
        <v>7</v>
      </c>
      <c r="K179">
        <v>6</v>
      </c>
      <c r="L179">
        <v>6</v>
      </c>
      <c r="M179">
        <v>6</v>
      </c>
      <c r="N179">
        <v>7</v>
      </c>
      <c r="O179">
        <v>5</v>
      </c>
      <c r="P179">
        <v>6</v>
      </c>
      <c r="Q179">
        <v>7</v>
      </c>
    </row>
    <row r="180" spans="1:17" x14ac:dyDescent="0.45">
      <c r="A180" s="19">
        <v>46026.581944444442</v>
      </c>
      <c r="B180" t="s">
        <v>72</v>
      </c>
      <c r="C180" t="s">
        <v>73</v>
      </c>
      <c r="D180" t="s">
        <v>74</v>
      </c>
      <c r="E180" t="s">
        <v>75</v>
      </c>
      <c r="F180" t="s">
        <v>99</v>
      </c>
      <c r="G180" t="s">
        <v>100</v>
      </c>
      <c r="H180" t="s">
        <v>101</v>
      </c>
      <c r="I180">
        <v>7</v>
      </c>
      <c r="J180">
        <v>7</v>
      </c>
      <c r="K180">
        <v>7</v>
      </c>
      <c r="L180">
        <v>8</v>
      </c>
      <c r="M180">
        <v>7</v>
      </c>
      <c r="N180">
        <v>8</v>
      </c>
      <c r="O180">
        <v>7</v>
      </c>
      <c r="P180">
        <v>7</v>
      </c>
      <c r="Q180">
        <v>8</v>
      </c>
    </row>
    <row r="181" spans="1:17" x14ac:dyDescent="0.45">
      <c r="A181" s="19">
        <v>46026.582638888889</v>
      </c>
      <c r="B181" t="s">
        <v>72</v>
      </c>
      <c r="C181" t="s">
        <v>79</v>
      </c>
      <c r="D181" t="s">
        <v>74</v>
      </c>
      <c r="E181" t="s">
        <v>77</v>
      </c>
      <c r="F181" t="s">
        <v>99</v>
      </c>
      <c r="G181" t="s">
        <v>110</v>
      </c>
      <c r="H181" t="s">
        <v>101</v>
      </c>
      <c r="I181">
        <v>5</v>
      </c>
      <c r="J181">
        <v>5</v>
      </c>
      <c r="K181">
        <v>5</v>
      </c>
      <c r="L181">
        <v>7</v>
      </c>
      <c r="M181">
        <v>5</v>
      </c>
      <c r="N181">
        <v>6</v>
      </c>
      <c r="O181">
        <v>5</v>
      </c>
      <c r="P181">
        <v>7</v>
      </c>
      <c r="Q181">
        <v>7</v>
      </c>
    </row>
    <row r="182" spans="1:17" x14ac:dyDescent="0.45">
      <c r="A182" s="19">
        <v>46026.7</v>
      </c>
      <c r="B182" t="s">
        <v>72</v>
      </c>
      <c r="C182" t="s">
        <v>73</v>
      </c>
      <c r="D182" t="s">
        <v>74</v>
      </c>
      <c r="E182" t="s">
        <v>75</v>
      </c>
      <c r="F182" t="s">
        <v>99</v>
      </c>
      <c r="G182" t="s">
        <v>110</v>
      </c>
      <c r="H182" t="s">
        <v>104</v>
      </c>
      <c r="I182">
        <v>6</v>
      </c>
      <c r="J182">
        <v>7</v>
      </c>
      <c r="K182">
        <v>7</v>
      </c>
      <c r="L182">
        <v>8</v>
      </c>
      <c r="M182">
        <v>8</v>
      </c>
      <c r="N182">
        <v>7</v>
      </c>
      <c r="O182">
        <v>5</v>
      </c>
      <c r="P182">
        <v>7</v>
      </c>
      <c r="Q182">
        <v>7</v>
      </c>
    </row>
    <row r="183" spans="1:17" x14ac:dyDescent="0.45">
      <c r="A183" s="19">
        <v>46026.700694444444</v>
      </c>
      <c r="B183" t="s">
        <v>72</v>
      </c>
      <c r="C183" t="s">
        <v>81</v>
      </c>
      <c r="D183" t="s">
        <v>74</v>
      </c>
      <c r="E183" t="s">
        <v>77</v>
      </c>
      <c r="F183" t="s">
        <v>99</v>
      </c>
      <c r="G183" t="s">
        <v>100</v>
      </c>
      <c r="H183" t="s">
        <v>109</v>
      </c>
      <c r="I183">
        <v>8</v>
      </c>
      <c r="J183">
        <v>8</v>
      </c>
      <c r="K183">
        <v>5</v>
      </c>
      <c r="L183">
        <v>8</v>
      </c>
      <c r="M183">
        <v>6</v>
      </c>
      <c r="N183">
        <v>8</v>
      </c>
      <c r="O183">
        <v>6</v>
      </c>
      <c r="P183">
        <v>7</v>
      </c>
      <c r="Q183">
        <v>7</v>
      </c>
    </row>
    <row r="184" spans="1:17" x14ac:dyDescent="0.45">
      <c r="A184" s="19">
        <v>46026.701388888891</v>
      </c>
      <c r="B184" t="s">
        <v>78</v>
      </c>
      <c r="C184" t="s">
        <v>192</v>
      </c>
      <c r="D184" t="s">
        <v>74</v>
      </c>
      <c r="E184" t="s">
        <v>75</v>
      </c>
      <c r="F184" t="s">
        <v>99</v>
      </c>
      <c r="G184" t="s">
        <v>107</v>
      </c>
      <c r="H184" t="s">
        <v>105</v>
      </c>
      <c r="I184">
        <v>2</v>
      </c>
      <c r="J184">
        <v>5</v>
      </c>
      <c r="K184">
        <v>3</v>
      </c>
      <c r="L184">
        <v>5</v>
      </c>
      <c r="M184">
        <v>3</v>
      </c>
      <c r="N184">
        <v>2</v>
      </c>
      <c r="O184">
        <v>1</v>
      </c>
      <c r="P184">
        <v>5</v>
      </c>
      <c r="Q184">
        <v>5</v>
      </c>
    </row>
    <row r="185" spans="1:17" x14ac:dyDescent="0.45">
      <c r="A185" s="19">
        <v>46026.70208333333</v>
      </c>
      <c r="B185" t="s">
        <v>78</v>
      </c>
      <c r="C185" t="s">
        <v>188</v>
      </c>
      <c r="D185" t="s">
        <v>74</v>
      </c>
      <c r="E185" t="s">
        <v>77</v>
      </c>
      <c r="F185" t="s">
        <v>99</v>
      </c>
      <c r="G185" t="s">
        <v>103</v>
      </c>
      <c r="H185" t="s">
        <v>109</v>
      </c>
      <c r="I185">
        <v>6</v>
      </c>
      <c r="J185">
        <v>6</v>
      </c>
      <c r="K185">
        <v>5</v>
      </c>
      <c r="L185">
        <v>9</v>
      </c>
      <c r="M185">
        <v>7</v>
      </c>
      <c r="N185">
        <v>8</v>
      </c>
      <c r="O185">
        <v>5</v>
      </c>
      <c r="P185">
        <v>7</v>
      </c>
      <c r="Q185">
        <v>7</v>
      </c>
    </row>
    <row r="186" spans="1:17" x14ac:dyDescent="0.45">
      <c r="A186" s="19">
        <v>46026.702777777777</v>
      </c>
      <c r="B186" t="s">
        <v>72</v>
      </c>
      <c r="C186" t="s">
        <v>79</v>
      </c>
      <c r="D186" t="s">
        <v>80</v>
      </c>
      <c r="E186" t="s">
        <v>77</v>
      </c>
      <c r="F186" t="s">
        <v>102</v>
      </c>
      <c r="G186" t="s">
        <v>108</v>
      </c>
      <c r="H186" t="s">
        <v>105</v>
      </c>
      <c r="I186">
        <v>7</v>
      </c>
      <c r="J186">
        <v>7</v>
      </c>
      <c r="K186">
        <v>6</v>
      </c>
      <c r="L186">
        <v>8</v>
      </c>
      <c r="M186">
        <v>5</v>
      </c>
      <c r="N186">
        <v>5</v>
      </c>
      <c r="O186">
        <v>5</v>
      </c>
      <c r="P186">
        <v>6</v>
      </c>
      <c r="Q186">
        <v>5</v>
      </c>
    </row>
    <row r="187" spans="1:17" x14ac:dyDescent="0.45">
      <c r="A187" s="19">
        <v>46026.70416666667</v>
      </c>
      <c r="B187" t="s">
        <v>72</v>
      </c>
      <c r="C187" t="s">
        <v>192</v>
      </c>
      <c r="D187" t="s">
        <v>74</v>
      </c>
      <c r="E187" t="s">
        <v>77</v>
      </c>
      <c r="F187" t="s">
        <v>196</v>
      </c>
      <c r="G187" t="s">
        <v>103</v>
      </c>
      <c r="H187" t="s">
        <v>109</v>
      </c>
      <c r="I187">
        <v>7</v>
      </c>
      <c r="J187">
        <v>7</v>
      </c>
      <c r="K187">
        <v>5</v>
      </c>
      <c r="L187">
        <v>7</v>
      </c>
      <c r="M187">
        <v>5</v>
      </c>
      <c r="N187">
        <v>5</v>
      </c>
      <c r="O187">
        <v>5</v>
      </c>
      <c r="P187">
        <v>5</v>
      </c>
      <c r="Q187">
        <v>6</v>
      </c>
    </row>
    <row r="188" spans="1:17" x14ac:dyDescent="0.45">
      <c r="A188" s="19">
        <v>46026.709027777775</v>
      </c>
      <c r="B188" t="s">
        <v>78</v>
      </c>
      <c r="C188" t="s">
        <v>79</v>
      </c>
      <c r="D188" t="s">
        <v>74</v>
      </c>
      <c r="E188" t="s">
        <v>75</v>
      </c>
      <c r="F188" t="s">
        <v>99</v>
      </c>
      <c r="G188" t="s">
        <v>108</v>
      </c>
      <c r="H188" t="s">
        <v>104</v>
      </c>
      <c r="I188">
        <v>6</v>
      </c>
      <c r="J188">
        <v>7</v>
      </c>
      <c r="K188">
        <v>6</v>
      </c>
      <c r="L188">
        <v>7</v>
      </c>
      <c r="M188">
        <v>6</v>
      </c>
      <c r="N188">
        <v>6</v>
      </c>
      <c r="O188">
        <v>5</v>
      </c>
      <c r="P188">
        <v>5</v>
      </c>
      <c r="Q188">
        <v>6</v>
      </c>
    </row>
    <row r="189" spans="1:17" x14ac:dyDescent="0.45">
      <c r="A189" s="19">
        <v>46026.729861111111</v>
      </c>
      <c r="B189" t="s">
        <v>78</v>
      </c>
      <c r="C189" t="s">
        <v>81</v>
      </c>
      <c r="D189" t="s">
        <v>74</v>
      </c>
      <c r="E189" t="s">
        <v>77</v>
      </c>
      <c r="F189" t="s">
        <v>99</v>
      </c>
      <c r="G189" t="s">
        <v>100</v>
      </c>
      <c r="H189" t="s">
        <v>101</v>
      </c>
      <c r="I189">
        <v>5</v>
      </c>
      <c r="J189">
        <v>5</v>
      </c>
      <c r="K189">
        <v>4</v>
      </c>
      <c r="L189">
        <v>6</v>
      </c>
      <c r="M189">
        <v>5</v>
      </c>
      <c r="N189">
        <v>5</v>
      </c>
      <c r="O189">
        <v>5</v>
      </c>
      <c r="P189">
        <v>5</v>
      </c>
      <c r="Q189">
        <v>5</v>
      </c>
    </row>
    <row r="190" spans="1:17" x14ac:dyDescent="0.45">
      <c r="A190" s="19">
        <v>46026.955555555556</v>
      </c>
      <c r="B190" t="s">
        <v>78</v>
      </c>
      <c r="C190" t="s">
        <v>79</v>
      </c>
      <c r="D190" t="s">
        <v>74</v>
      </c>
      <c r="E190" t="s">
        <v>77</v>
      </c>
      <c r="F190" t="s">
        <v>99</v>
      </c>
      <c r="G190" t="s">
        <v>110</v>
      </c>
      <c r="H190" t="s">
        <v>104</v>
      </c>
      <c r="I190">
        <v>8</v>
      </c>
      <c r="J190">
        <v>8</v>
      </c>
      <c r="K190">
        <v>5</v>
      </c>
      <c r="L190">
        <v>7</v>
      </c>
      <c r="M190">
        <v>6</v>
      </c>
      <c r="N190">
        <v>8</v>
      </c>
      <c r="O190">
        <v>5</v>
      </c>
      <c r="P190">
        <v>7</v>
      </c>
      <c r="Q190">
        <v>8</v>
      </c>
    </row>
    <row r="191" spans="1:17" x14ac:dyDescent="0.45">
      <c r="A191" s="19">
        <v>46027.578472222223</v>
      </c>
      <c r="B191" t="s">
        <v>78</v>
      </c>
      <c r="C191" t="s">
        <v>81</v>
      </c>
      <c r="D191" t="s">
        <v>74</v>
      </c>
      <c r="E191" t="s">
        <v>75</v>
      </c>
      <c r="F191" t="s">
        <v>99</v>
      </c>
      <c r="G191" t="s">
        <v>100</v>
      </c>
      <c r="H191" t="s">
        <v>109</v>
      </c>
      <c r="I191">
        <v>7</v>
      </c>
      <c r="J191">
        <v>7</v>
      </c>
      <c r="K191">
        <v>7</v>
      </c>
      <c r="L191">
        <v>8</v>
      </c>
      <c r="M191">
        <v>3</v>
      </c>
      <c r="N191">
        <v>3</v>
      </c>
      <c r="O191">
        <v>2</v>
      </c>
      <c r="P191">
        <v>3</v>
      </c>
      <c r="Q191">
        <v>8</v>
      </c>
    </row>
    <row r="192" spans="1:17" x14ac:dyDescent="0.45">
      <c r="A192" s="19">
        <v>46029.68472222222</v>
      </c>
      <c r="B192" t="s">
        <v>78</v>
      </c>
      <c r="C192" t="s">
        <v>73</v>
      </c>
      <c r="D192" t="s">
        <v>74</v>
      </c>
      <c r="E192" t="s">
        <v>75</v>
      </c>
      <c r="F192" t="s">
        <v>99</v>
      </c>
      <c r="G192" t="s">
        <v>110</v>
      </c>
      <c r="H192" t="s">
        <v>105</v>
      </c>
      <c r="I192">
        <v>7</v>
      </c>
      <c r="J192">
        <v>7</v>
      </c>
      <c r="K192">
        <v>6</v>
      </c>
      <c r="L192">
        <v>8</v>
      </c>
      <c r="M192">
        <v>7</v>
      </c>
      <c r="N192">
        <v>8</v>
      </c>
      <c r="O192">
        <v>7</v>
      </c>
      <c r="P192">
        <v>7</v>
      </c>
      <c r="Q192">
        <v>7</v>
      </c>
    </row>
    <row r="193" spans="1:17" x14ac:dyDescent="0.45">
      <c r="A193" s="19">
        <v>46029.685416666667</v>
      </c>
      <c r="B193" t="s">
        <v>72</v>
      </c>
      <c r="C193" t="s">
        <v>188</v>
      </c>
      <c r="D193" t="s">
        <v>74</v>
      </c>
      <c r="E193" t="s">
        <v>77</v>
      </c>
      <c r="F193" t="s">
        <v>99</v>
      </c>
      <c r="G193" t="s">
        <v>195</v>
      </c>
      <c r="H193" t="s">
        <v>109</v>
      </c>
      <c r="I193">
        <v>8</v>
      </c>
      <c r="J193">
        <v>8</v>
      </c>
      <c r="K193">
        <v>9</v>
      </c>
      <c r="L193">
        <v>9</v>
      </c>
      <c r="M193">
        <v>9</v>
      </c>
      <c r="N193">
        <v>9</v>
      </c>
      <c r="O193">
        <v>8</v>
      </c>
      <c r="P193">
        <v>8</v>
      </c>
      <c r="Q193">
        <v>9</v>
      </c>
    </row>
    <row r="194" spans="1:17" x14ac:dyDescent="0.45">
      <c r="A194" s="19">
        <v>46030.411111111112</v>
      </c>
      <c r="B194" t="s">
        <v>72</v>
      </c>
      <c r="C194" t="s">
        <v>79</v>
      </c>
      <c r="D194" t="s">
        <v>74</v>
      </c>
      <c r="E194" t="s">
        <v>77</v>
      </c>
      <c r="F194" t="s">
        <v>99</v>
      </c>
      <c r="G194" t="s">
        <v>100</v>
      </c>
      <c r="H194" t="s">
        <v>104</v>
      </c>
      <c r="I194">
        <v>1</v>
      </c>
      <c r="J194">
        <v>1</v>
      </c>
      <c r="K194">
        <v>7</v>
      </c>
      <c r="L194">
        <v>5</v>
      </c>
      <c r="M194">
        <v>5</v>
      </c>
      <c r="N194">
        <v>7</v>
      </c>
      <c r="O194">
        <v>2</v>
      </c>
      <c r="P194">
        <v>5</v>
      </c>
      <c r="Q194">
        <v>5</v>
      </c>
    </row>
    <row r="195" spans="1:17" x14ac:dyDescent="0.45">
      <c r="A195" s="19">
        <v>46030.574305555558</v>
      </c>
      <c r="B195" t="s">
        <v>72</v>
      </c>
      <c r="C195" t="s">
        <v>73</v>
      </c>
      <c r="D195" t="s">
        <v>74</v>
      </c>
      <c r="E195" t="s">
        <v>77</v>
      </c>
      <c r="F195" t="s">
        <v>99</v>
      </c>
      <c r="G195" t="s">
        <v>195</v>
      </c>
      <c r="H195" t="s">
        <v>101</v>
      </c>
      <c r="I195">
        <v>10</v>
      </c>
      <c r="J195">
        <v>10</v>
      </c>
      <c r="K195">
        <v>6</v>
      </c>
      <c r="L195">
        <v>4</v>
      </c>
      <c r="M195">
        <v>8</v>
      </c>
      <c r="N195">
        <v>3</v>
      </c>
      <c r="O195">
        <v>10</v>
      </c>
      <c r="P195">
        <v>10</v>
      </c>
      <c r="Q195">
        <v>10</v>
      </c>
    </row>
    <row r="196" spans="1:17" x14ac:dyDescent="0.45">
      <c r="A196" s="19">
        <v>46030.636805555558</v>
      </c>
      <c r="B196" t="s">
        <v>72</v>
      </c>
      <c r="C196" t="s">
        <v>81</v>
      </c>
      <c r="D196" t="s">
        <v>74</v>
      </c>
      <c r="E196" t="s">
        <v>77</v>
      </c>
      <c r="F196" t="s">
        <v>99</v>
      </c>
      <c r="G196" t="s">
        <v>103</v>
      </c>
      <c r="H196" t="s">
        <v>101</v>
      </c>
      <c r="I196">
        <v>9</v>
      </c>
      <c r="J196">
        <v>9</v>
      </c>
      <c r="K196">
        <v>5</v>
      </c>
      <c r="L196">
        <v>5</v>
      </c>
      <c r="M196">
        <v>7</v>
      </c>
      <c r="N196">
        <v>7</v>
      </c>
      <c r="O196">
        <v>8</v>
      </c>
      <c r="P196">
        <v>8</v>
      </c>
      <c r="Q196">
        <v>8</v>
      </c>
    </row>
    <row r="197" spans="1:17" x14ac:dyDescent="0.45">
      <c r="A197" s="19">
        <v>46030.640277777777</v>
      </c>
      <c r="B197" t="s">
        <v>78</v>
      </c>
      <c r="C197" t="s">
        <v>79</v>
      </c>
      <c r="D197" t="s">
        <v>74</v>
      </c>
      <c r="E197" t="s">
        <v>77</v>
      </c>
      <c r="F197" t="s">
        <v>99</v>
      </c>
      <c r="G197" t="s">
        <v>103</v>
      </c>
      <c r="H197" t="s">
        <v>104</v>
      </c>
      <c r="I197">
        <v>9</v>
      </c>
      <c r="J197">
        <v>9</v>
      </c>
      <c r="K197">
        <v>9</v>
      </c>
      <c r="L197">
        <v>9</v>
      </c>
      <c r="M197">
        <v>9</v>
      </c>
      <c r="N197">
        <v>9</v>
      </c>
      <c r="O197">
        <v>9</v>
      </c>
      <c r="P197">
        <v>9</v>
      </c>
      <c r="Q197">
        <v>9</v>
      </c>
    </row>
    <row r="198" spans="1:17" x14ac:dyDescent="0.45">
      <c r="A198" s="19">
        <v>46030.640972222223</v>
      </c>
      <c r="B198" t="s">
        <v>72</v>
      </c>
      <c r="C198" t="s">
        <v>79</v>
      </c>
      <c r="D198" t="s">
        <v>74</v>
      </c>
      <c r="E198" t="s">
        <v>75</v>
      </c>
      <c r="F198" t="s">
        <v>99</v>
      </c>
      <c r="G198" t="s">
        <v>103</v>
      </c>
      <c r="H198" t="s">
        <v>105</v>
      </c>
      <c r="I198">
        <v>9</v>
      </c>
      <c r="J198">
        <v>10</v>
      </c>
      <c r="K198">
        <v>10</v>
      </c>
      <c r="L198">
        <v>9</v>
      </c>
      <c r="M198">
        <v>10</v>
      </c>
      <c r="N198">
        <v>10</v>
      </c>
      <c r="O198">
        <v>10</v>
      </c>
      <c r="P198">
        <v>9</v>
      </c>
      <c r="Q198">
        <v>10</v>
      </c>
    </row>
    <row r="199" spans="1:17" x14ac:dyDescent="0.45">
      <c r="A199" s="19">
        <v>46030.681250000001</v>
      </c>
      <c r="B199" t="s">
        <v>72</v>
      </c>
      <c r="C199" t="s">
        <v>79</v>
      </c>
      <c r="D199" t="s">
        <v>74</v>
      </c>
      <c r="E199" t="s">
        <v>75</v>
      </c>
      <c r="F199" t="s">
        <v>99</v>
      </c>
      <c r="G199" t="s">
        <v>103</v>
      </c>
      <c r="H199" t="s">
        <v>104</v>
      </c>
      <c r="I199">
        <v>5</v>
      </c>
      <c r="J199">
        <v>5</v>
      </c>
      <c r="K199">
        <v>5</v>
      </c>
      <c r="L199">
        <v>5</v>
      </c>
      <c r="M199">
        <v>5</v>
      </c>
      <c r="N199">
        <v>5</v>
      </c>
      <c r="O199">
        <v>5</v>
      </c>
      <c r="P199">
        <v>4</v>
      </c>
      <c r="Q199">
        <v>5</v>
      </c>
    </row>
    <row r="200" spans="1:17" x14ac:dyDescent="0.45">
      <c r="A200" s="19">
        <v>46031.374305555553</v>
      </c>
      <c r="B200" t="s">
        <v>72</v>
      </c>
      <c r="C200" t="s">
        <v>192</v>
      </c>
      <c r="D200" t="s">
        <v>74</v>
      </c>
      <c r="E200" t="s">
        <v>75</v>
      </c>
      <c r="F200" t="s">
        <v>196</v>
      </c>
      <c r="G200" t="s">
        <v>193</v>
      </c>
      <c r="H200" t="s">
        <v>101</v>
      </c>
      <c r="I200">
        <v>9</v>
      </c>
      <c r="J200">
        <v>8</v>
      </c>
      <c r="K200">
        <v>9</v>
      </c>
      <c r="L200">
        <v>9</v>
      </c>
      <c r="M200">
        <v>8</v>
      </c>
      <c r="N200">
        <v>9</v>
      </c>
      <c r="O200">
        <v>10</v>
      </c>
      <c r="P200">
        <v>9</v>
      </c>
      <c r="Q200">
        <v>10</v>
      </c>
    </row>
    <row r="201" spans="1:17" x14ac:dyDescent="0.45">
      <c r="A201" s="19">
        <v>46031.390277777777</v>
      </c>
      <c r="B201" t="s">
        <v>78</v>
      </c>
      <c r="C201" t="s">
        <v>190</v>
      </c>
      <c r="D201" t="s">
        <v>74</v>
      </c>
      <c r="E201" t="s">
        <v>77</v>
      </c>
      <c r="F201" t="s">
        <v>99</v>
      </c>
      <c r="G201" t="s">
        <v>106</v>
      </c>
      <c r="H201" t="s">
        <v>105</v>
      </c>
      <c r="I201">
        <v>4</v>
      </c>
      <c r="J201">
        <v>4</v>
      </c>
      <c r="K201">
        <v>3</v>
      </c>
      <c r="L201">
        <v>5</v>
      </c>
      <c r="M201">
        <v>4</v>
      </c>
      <c r="N201">
        <v>5</v>
      </c>
      <c r="O201">
        <v>1</v>
      </c>
      <c r="P201">
        <v>5</v>
      </c>
      <c r="Q201">
        <v>5</v>
      </c>
    </row>
    <row r="202" spans="1:17" x14ac:dyDescent="0.45">
      <c r="A202" s="19">
        <v>46031.390972222223</v>
      </c>
      <c r="B202" t="s">
        <v>72</v>
      </c>
      <c r="C202" t="s">
        <v>192</v>
      </c>
      <c r="D202" t="s">
        <v>74</v>
      </c>
      <c r="E202" t="s">
        <v>75</v>
      </c>
      <c r="F202" t="s">
        <v>99</v>
      </c>
      <c r="G202" t="s">
        <v>110</v>
      </c>
      <c r="H202" t="s">
        <v>101</v>
      </c>
      <c r="I202">
        <v>5</v>
      </c>
      <c r="J202">
        <v>5</v>
      </c>
      <c r="K202">
        <v>1</v>
      </c>
      <c r="L202">
        <v>5</v>
      </c>
      <c r="M202">
        <v>4</v>
      </c>
      <c r="N202">
        <v>2</v>
      </c>
      <c r="O202">
        <v>2</v>
      </c>
      <c r="P202">
        <v>5</v>
      </c>
      <c r="Q202">
        <v>4</v>
      </c>
    </row>
    <row r="203" spans="1:17" x14ac:dyDescent="0.45">
      <c r="A203" s="19">
        <v>46031.39166666667</v>
      </c>
      <c r="B203" t="s">
        <v>72</v>
      </c>
      <c r="C203" t="s">
        <v>79</v>
      </c>
      <c r="D203" t="s">
        <v>74</v>
      </c>
      <c r="E203" t="s">
        <v>77</v>
      </c>
      <c r="F203" t="s">
        <v>99</v>
      </c>
      <c r="G203" t="s">
        <v>106</v>
      </c>
      <c r="H203" t="s">
        <v>194</v>
      </c>
      <c r="I203">
        <v>6</v>
      </c>
      <c r="J203">
        <v>8</v>
      </c>
      <c r="K203">
        <v>8</v>
      </c>
      <c r="L203">
        <v>9</v>
      </c>
      <c r="M203">
        <v>7</v>
      </c>
      <c r="N203">
        <v>7</v>
      </c>
      <c r="O203">
        <v>7</v>
      </c>
      <c r="P203">
        <v>8</v>
      </c>
      <c r="Q203">
        <v>8</v>
      </c>
    </row>
    <row r="204" spans="1:17" x14ac:dyDescent="0.45">
      <c r="A204" s="19">
        <v>46031.39166666667</v>
      </c>
      <c r="B204" t="s">
        <v>72</v>
      </c>
      <c r="C204" t="s">
        <v>190</v>
      </c>
      <c r="D204" t="s">
        <v>74</v>
      </c>
      <c r="E204" t="s">
        <v>75</v>
      </c>
      <c r="F204" t="s">
        <v>99</v>
      </c>
      <c r="G204" t="s">
        <v>107</v>
      </c>
      <c r="H204" t="s">
        <v>105</v>
      </c>
      <c r="I204">
        <v>5</v>
      </c>
      <c r="J204">
        <v>5</v>
      </c>
      <c r="K204">
        <v>5</v>
      </c>
      <c r="L204">
        <v>5</v>
      </c>
      <c r="M204">
        <v>5</v>
      </c>
      <c r="N204">
        <v>5</v>
      </c>
      <c r="O204">
        <v>5</v>
      </c>
      <c r="P204">
        <v>5</v>
      </c>
      <c r="Q204">
        <v>5</v>
      </c>
    </row>
    <row r="205" spans="1:17" x14ac:dyDescent="0.45">
      <c r="A205" s="19">
        <v>46031.392361111109</v>
      </c>
      <c r="B205" t="s">
        <v>72</v>
      </c>
      <c r="C205" t="s">
        <v>73</v>
      </c>
      <c r="D205" t="s">
        <v>74</v>
      </c>
      <c r="E205" t="s">
        <v>77</v>
      </c>
      <c r="F205" t="s">
        <v>99</v>
      </c>
      <c r="G205" t="s">
        <v>108</v>
      </c>
      <c r="H205" t="s">
        <v>101</v>
      </c>
      <c r="I205">
        <v>7</v>
      </c>
      <c r="J205">
        <v>7</v>
      </c>
      <c r="K205">
        <v>7</v>
      </c>
      <c r="L205">
        <v>8</v>
      </c>
      <c r="M205">
        <v>7</v>
      </c>
      <c r="N205">
        <v>7</v>
      </c>
      <c r="O205">
        <v>7</v>
      </c>
      <c r="P205">
        <v>7</v>
      </c>
      <c r="Q205">
        <v>7</v>
      </c>
    </row>
    <row r="206" spans="1:17" x14ac:dyDescent="0.45">
      <c r="A206" s="19">
        <v>46031.393055555556</v>
      </c>
      <c r="B206" t="s">
        <v>72</v>
      </c>
      <c r="C206" t="s">
        <v>73</v>
      </c>
      <c r="D206" t="s">
        <v>74</v>
      </c>
      <c r="E206" t="s">
        <v>75</v>
      </c>
      <c r="F206" t="s">
        <v>99</v>
      </c>
      <c r="G206" t="s">
        <v>100</v>
      </c>
      <c r="H206" t="s">
        <v>109</v>
      </c>
      <c r="I206">
        <v>3</v>
      </c>
      <c r="J206">
        <v>1</v>
      </c>
      <c r="K206">
        <v>1</v>
      </c>
      <c r="L206">
        <v>5</v>
      </c>
      <c r="M206">
        <v>1</v>
      </c>
      <c r="N206">
        <v>1</v>
      </c>
      <c r="O206">
        <v>1</v>
      </c>
      <c r="P206">
        <v>4</v>
      </c>
      <c r="Q206">
        <v>5</v>
      </c>
    </row>
    <row r="207" spans="1:17" x14ac:dyDescent="0.45">
      <c r="A207" s="19">
        <v>46031.395833333336</v>
      </c>
      <c r="B207" t="s">
        <v>72</v>
      </c>
      <c r="C207" t="s">
        <v>79</v>
      </c>
      <c r="D207" t="s">
        <v>74</v>
      </c>
      <c r="E207" t="s">
        <v>77</v>
      </c>
      <c r="F207" t="s">
        <v>99</v>
      </c>
      <c r="G207" t="s">
        <v>110</v>
      </c>
      <c r="H207" t="s">
        <v>101</v>
      </c>
      <c r="I207">
        <v>8</v>
      </c>
      <c r="J207">
        <v>8</v>
      </c>
      <c r="K207">
        <v>5</v>
      </c>
      <c r="L207">
        <v>7</v>
      </c>
      <c r="M207">
        <v>7</v>
      </c>
      <c r="N207">
        <v>6</v>
      </c>
      <c r="O207">
        <v>6</v>
      </c>
      <c r="P207">
        <v>7</v>
      </c>
      <c r="Q207">
        <v>7</v>
      </c>
    </row>
    <row r="208" spans="1:17" x14ac:dyDescent="0.45">
      <c r="A208" s="19">
        <v>46031.397222222222</v>
      </c>
      <c r="B208" t="s">
        <v>78</v>
      </c>
      <c r="C208" t="s">
        <v>73</v>
      </c>
      <c r="D208" t="s">
        <v>74</v>
      </c>
      <c r="E208" t="s">
        <v>77</v>
      </c>
      <c r="F208" t="s">
        <v>99</v>
      </c>
      <c r="G208" t="s">
        <v>110</v>
      </c>
      <c r="H208" t="s">
        <v>104</v>
      </c>
      <c r="I208">
        <v>4</v>
      </c>
      <c r="J208">
        <v>3</v>
      </c>
      <c r="K208">
        <v>1</v>
      </c>
      <c r="L208">
        <v>2</v>
      </c>
      <c r="M208">
        <v>1</v>
      </c>
      <c r="N208">
        <v>1</v>
      </c>
      <c r="O208">
        <v>1</v>
      </c>
      <c r="P208">
        <v>4</v>
      </c>
      <c r="Q208">
        <v>2</v>
      </c>
    </row>
    <row r="209" spans="1:17" x14ac:dyDescent="0.45">
      <c r="A209" s="19">
        <v>46031.397222222222</v>
      </c>
      <c r="B209" t="s">
        <v>72</v>
      </c>
      <c r="C209" t="s">
        <v>73</v>
      </c>
      <c r="D209" t="s">
        <v>74</v>
      </c>
      <c r="E209" t="s">
        <v>75</v>
      </c>
      <c r="F209" t="s">
        <v>99</v>
      </c>
      <c r="G209" t="s">
        <v>108</v>
      </c>
      <c r="H209" t="s">
        <v>101</v>
      </c>
      <c r="I209">
        <v>7</v>
      </c>
      <c r="J209">
        <v>8</v>
      </c>
      <c r="K209">
        <v>6</v>
      </c>
      <c r="L209">
        <v>7</v>
      </c>
      <c r="M209">
        <v>6</v>
      </c>
      <c r="N209">
        <v>7</v>
      </c>
      <c r="O209">
        <v>6</v>
      </c>
      <c r="P209">
        <v>6</v>
      </c>
      <c r="Q209">
        <v>6</v>
      </c>
    </row>
    <row r="210" spans="1:17" x14ac:dyDescent="0.45">
      <c r="A210" s="19">
        <v>46031.397916666669</v>
      </c>
      <c r="B210" t="s">
        <v>72</v>
      </c>
      <c r="C210" t="s">
        <v>73</v>
      </c>
      <c r="D210" t="s">
        <v>74</v>
      </c>
      <c r="E210" t="s">
        <v>77</v>
      </c>
      <c r="F210" t="s">
        <v>99</v>
      </c>
      <c r="G210" t="s">
        <v>108</v>
      </c>
      <c r="H210" t="s">
        <v>109</v>
      </c>
      <c r="I210">
        <v>6</v>
      </c>
      <c r="J210">
        <v>6</v>
      </c>
      <c r="K210">
        <v>6</v>
      </c>
      <c r="L210">
        <v>6</v>
      </c>
      <c r="M210">
        <v>6</v>
      </c>
      <c r="N210">
        <v>5</v>
      </c>
      <c r="O210">
        <v>6</v>
      </c>
      <c r="P210">
        <v>6</v>
      </c>
      <c r="Q210">
        <v>6</v>
      </c>
    </row>
    <row r="211" spans="1:17" x14ac:dyDescent="0.45">
      <c r="A211" s="19">
        <v>46031.398611111108</v>
      </c>
      <c r="B211" t="s">
        <v>78</v>
      </c>
      <c r="C211" t="s">
        <v>73</v>
      </c>
      <c r="D211" t="s">
        <v>74</v>
      </c>
      <c r="E211" t="s">
        <v>77</v>
      </c>
      <c r="F211" t="s">
        <v>99</v>
      </c>
      <c r="G211" t="s">
        <v>100</v>
      </c>
      <c r="H211" t="s">
        <v>109</v>
      </c>
      <c r="I211">
        <v>7</v>
      </c>
      <c r="J211">
        <v>7</v>
      </c>
      <c r="K211">
        <v>8</v>
      </c>
      <c r="L211">
        <v>8</v>
      </c>
      <c r="M211">
        <v>8</v>
      </c>
      <c r="N211">
        <v>9</v>
      </c>
      <c r="O211">
        <v>8</v>
      </c>
      <c r="P211">
        <v>8</v>
      </c>
      <c r="Q211">
        <v>8</v>
      </c>
    </row>
    <row r="212" spans="1:17" x14ac:dyDescent="0.45">
      <c r="A212" s="19">
        <v>46031.399305555555</v>
      </c>
      <c r="B212" t="s">
        <v>72</v>
      </c>
      <c r="C212" t="s">
        <v>73</v>
      </c>
      <c r="D212" t="s">
        <v>74</v>
      </c>
      <c r="E212" t="s">
        <v>77</v>
      </c>
      <c r="F212" t="s">
        <v>99</v>
      </c>
      <c r="G212" t="s">
        <v>110</v>
      </c>
      <c r="H212" t="s">
        <v>101</v>
      </c>
      <c r="I212">
        <v>7</v>
      </c>
      <c r="J212">
        <v>7</v>
      </c>
      <c r="K212">
        <v>7</v>
      </c>
      <c r="L212">
        <v>7</v>
      </c>
      <c r="M212">
        <v>7</v>
      </c>
      <c r="N212">
        <v>7</v>
      </c>
      <c r="O212">
        <v>7</v>
      </c>
      <c r="P212">
        <v>7</v>
      </c>
      <c r="Q212">
        <v>7</v>
      </c>
    </row>
    <row r="213" spans="1:17" x14ac:dyDescent="0.45">
      <c r="A213" s="19">
        <v>46031.399305555555</v>
      </c>
      <c r="B213" t="s">
        <v>72</v>
      </c>
      <c r="C213" t="s">
        <v>73</v>
      </c>
      <c r="D213" t="s">
        <v>74</v>
      </c>
      <c r="E213" t="s">
        <v>77</v>
      </c>
      <c r="F213" t="s">
        <v>99</v>
      </c>
      <c r="G213" t="s">
        <v>110</v>
      </c>
      <c r="H213" t="s">
        <v>109</v>
      </c>
      <c r="I213">
        <v>5</v>
      </c>
      <c r="J213">
        <v>5</v>
      </c>
      <c r="K213">
        <v>1</v>
      </c>
      <c r="L213">
        <v>5</v>
      </c>
      <c r="M213">
        <v>5</v>
      </c>
      <c r="N213">
        <v>5</v>
      </c>
      <c r="O213">
        <v>4</v>
      </c>
      <c r="P213">
        <v>5</v>
      </c>
      <c r="Q213">
        <v>5</v>
      </c>
    </row>
    <row r="214" spans="1:17" x14ac:dyDescent="0.45">
      <c r="A214" s="19">
        <v>46031.4</v>
      </c>
      <c r="B214" t="s">
        <v>72</v>
      </c>
      <c r="C214" t="s">
        <v>73</v>
      </c>
      <c r="D214" t="s">
        <v>74</v>
      </c>
      <c r="E214" t="s">
        <v>77</v>
      </c>
      <c r="F214" t="s">
        <v>99</v>
      </c>
      <c r="G214" t="s">
        <v>110</v>
      </c>
      <c r="H214" t="s">
        <v>194</v>
      </c>
      <c r="I214">
        <v>7</v>
      </c>
      <c r="J214">
        <v>8</v>
      </c>
      <c r="K214">
        <v>8</v>
      </c>
      <c r="L214">
        <v>8</v>
      </c>
      <c r="M214">
        <v>8</v>
      </c>
      <c r="N214">
        <v>8</v>
      </c>
      <c r="O214">
        <v>8</v>
      </c>
      <c r="P214">
        <v>8</v>
      </c>
      <c r="Q214">
        <v>8</v>
      </c>
    </row>
    <row r="215" spans="1:17" x14ac:dyDescent="0.45">
      <c r="A215" s="19">
        <v>46031.400694444441</v>
      </c>
      <c r="B215" t="s">
        <v>72</v>
      </c>
      <c r="C215" t="s">
        <v>73</v>
      </c>
      <c r="D215" t="s">
        <v>74</v>
      </c>
      <c r="E215" t="s">
        <v>75</v>
      </c>
      <c r="F215" t="s">
        <v>99</v>
      </c>
      <c r="G215" t="s">
        <v>110</v>
      </c>
      <c r="H215" t="s">
        <v>194</v>
      </c>
      <c r="I215">
        <v>9</v>
      </c>
      <c r="J215">
        <v>9</v>
      </c>
      <c r="K215">
        <v>9</v>
      </c>
      <c r="L215">
        <v>9</v>
      </c>
      <c r="M215">
        <v>9</v>
      </c>
      <c r="N215">
        <v>9</v>
      </c>
      <c r="O215">
        <v>9</v>
      </c>
      <c r="P215">
        <v>9</v>
      </c>
      <c r="Q215">
        <v>9</v>
      </c>
    </row>
    <row r="216" spans="1:17" x14ac:dyDescent="0.45">
      <c r="A216" s="19">
        <v>46031.400694444441</v>
      </c>
      <c r="B216" t="s">
        <v>72</v>
      </c>
      <c r="C216" t="s">
        <v>73</v>
      </c>
      <c r="D216" t="s">
        <v>74</v>
      </c>
      <c r="E216" t="s">
        <v>75</v>
      </c>
      <c r="F216" t="s">
        <v>99</v>
      </c>
      <c r="G216" t="s">
        <v>195</v>
      </c>
      <c r="H216" t="s">
        <v>104</v>
      </c>
      <c r="I216">
        <v>5</v>
      </c>
      <c r="J216">
        <v>5</v>
      </c>
      <c r="K216">
        <v>5</v>
      </c>
      <c r="L216">
        <v>5</v>
      </c>
      <c r="M216">
        <v>5</v>
      </c>
      <c r="N216">
        <v>5</v>
      </c>
      <c r="O216">
        <v>5</v>
      </c>
      <c r="P216">
        <v>5</v>
      </c>
      <c r="Q216">
        <v>5</v>
      </c>
    </row>
    <row r="217" spans="1:17" x14ac:dyDescent="0.45">
      <c r="A217" s="19">
        <v>46031.400694444441</v>
      </c>
      <c r="B217" t="s">
        <v>72</v>
      </c>
      <c r="C217" t="s">
        <v>73</v>
      </c>
      <c r="D217" t="s">
        <v>74</v>
      </c>
      <c r="E217" t="s">
        <v>75</v>
      </c>
      <c r="F217" t="s">
        <v>99</v>
      </c>
      <c r="G217" t="s">
        <v>108</v>
      </c>
      <c r="H217" t="s">
        <v>101</v>
      </c>
      <c r="I217">
        <v>6</v>
      </c>
      <c r="J217">
        <v>7</v>
      </c>
      <c r="K217">
        <v>7</v>
      </c>
      <c r="L217">
        <v>7</v>
      </c>
      <c r="M217">
        <v>6</v>
      </c>
      <c r="N217">
        <v>7</v>
      </c>
      <c r="O217">
        <v>7</v>
      </c>
      <c r="P217">
        <v>7</v>
      </c>
      <c r="Q217">
        <v>7</v>
      </c>
    </row>
    <row r="218" spans="1:17" x14ac:dyDescent="0.45">
      <c r="A218" s="19">
        <v>46031.401388888888</v>
      </c>
      <c r="B218" t="s">
        <v>78</v>
      </c>
      <c r="C218" t="s">
        <v>73</v>
      </c>
      <c r="D218" t="s">
        <v>74</v>
      </c>
      <c r="E218" t="s">
        <v>77</v>
      </c>
      <c r="F218" t="s">
        <v>99</v>
      </c>
      <c r="G218" t="s">
        <v>108</v>
      </c>
      <c r="H218" t="s">
        <v>109</v>
      </c>
      <c r="I218">
        <v>5</v>
      </c>
      <c r="J218">
        <v>5</v>
      </c>
      <c r="K218">
        <v>5</v>
      </c>
      <c r="L218">
        <v>6</v>
      </c>
      <c r="M218">
        <v>5</v>
      </c>
      <c r="N218">
        <v>5</v>
      </c>
      <c r="O218">
        <v>5</v>
      </c>
      <c r="P218">
        <v>5</v>
      </c>
      <c r="Q218">
        <v>5</v>
      </c>
    </row>
    <row r="219" spans="1:17" x14ac:dyDescent="0.45">
      <c r="A219" s="19">
        <v>46031.402083333334</v>
      </c>
      <c r="B219" t="s">
        <v>72</v>
      </c>
      <c r="C219" t="s">
        <v>73</v>
      </c>
      <c r="D219" t="s">
        <v>74</v>
      </c>
      <c r="E219" t="s">
        <v>77</v>
      </c>
      <c r="F219" t="s">
        <v>99</v>
      </c>
      <c r="G219" t="s">
        <v>110</v>
      </c>
      <c r="H219" t="s">
        <v>105</v>
      </c>
      <c r="I219">
        <v>6</v>
      </c>
      <c r="J219">
        <v>7</v>
      </c>
      <c r="K219">
        <v>7</v>
      </c>
      <c r="L219">
        <v>7</v>
      </c>
      <c r="M219">
        <v>7</v>
      </c>
      <c r="N219">
        <v>7</v>
      </c>
      <c r="O219">
        <v>7</v>
      </c>
      <c r="P219">
        <v>7</v>
      </c>
      <c r="Q219">
        <v>7</v>
      </c>
    </row>
    <row r="220" spans="1:17" x14ac:dyDescent="0.45">
      <c r="A220" s="19">
        <v>46031.402777777781</v>
      </c>
      <c r="B220" t="s">
        <v>78</v>
      </c>
      <c r="C220" t="s">
        <v>192</v>
      </c>
      <c r="D220" t="s">
        <v>74</v>
      </c>
      <c r="E220" t="s">
        <v>75</v>
      </c>
      <c r="F220" t="s">
        <v>99</v>
      </c>
      <c r="G220" t="s">
        <v>107</v>
      </c>
      <c r="H220" t="s">
        <v>104</v>
      </c>
      <c r="I220">
        <v>7</v>
      </c>
      <c r="J220">
        <v>8</v>
      </c>
      <c r="K220">
        <v>8</v>
      </c>
      <c r="L220">
        <v>8</v>
      </c>
      <c r="M220">
        <v>8</v>
      </c>
      <c r="N220">
        <v>5</v>
      </c>
      <c r="O220">
        <v>5</v>
      </c>
      <c r="P220">
        <v>7</v>
      </c>
      <c r="Q220">
        <v>6</v>
      </c>
    </row>
    <row r="221" spans="1:17" x14ac:dyDescent="0.45">
      <c r="A221" s="19">
        <v>46031.402777777781</v>
      </c>
      <c r="B221" t="s">
        <v>72</v>
      </c>
      <c r="C221" t="s">
        <v>190</v>
      </c>
      <c r="D221" t="s">
        <v>74</v>
      </c>
      <c r="E221" t="s">
        <v>75</v>
      </c>
      <c r="F221" t="s">
        <v>99</v>
      </c>
      <c r="G221" t="s">
        <v>107</v>
      </c>
      <c r="H221" t="s">
        <v>101</v>
      </c>
      <c r="I221">
        <v>10</v>
      </c>
      <c r="J221">
        <v>10</v>
      </c>
      <c r="K221">
        <v>6</v>
      </c>
      <c r="L221">
        <v>9</v>
      </c>
      <c r="M221">
        <v>9</v>
      </c>
      <c r="N221">
        <v>9</v>
      </c>
      <c r="O221">
        <v>9</v>
      </c>
      <c r="P221">
        <v>8</v>
      </c>
      <c r="Q221">
        <v>8</v>
      </c>
    </row>
    <row r="222" spans="1:17" x14ac:dyDescent="0.45">
      <c r="A222" s="19">
        <v>46031.40347222222</v>
      </c>
      <c r="B222" t="s">
        <v>72</v>
      </c>
      <c r="C222" t="s">
        <v>79</v>
      </c>
      <c r="D222" t="s">
        <v>74</v>
      </c>
      <c r="E222" t="s">
        <v>77</v>
      </c>
      <c r="F222" t="s">
        <v>99</v>
      </c>
      <c r="G222" t="s">
        <v>110</v>
      </c>
      <c r="H222" t="s">
        <v>101</v>
      </c>
      <c r="I222">
        <v>4</v>
      </c>
      <c r="J222">
        <v>4</v>
      </c>
      <c r="K222">
        <v>4</v>
      </c>
      <c r="L222">
        <v>6</v>
      </c>
      <c r="M222">
        <v>5</v>
      </c>
      <c r="N222">
        <v>6</v>
      </c>
      <c r="O222">
        <v>5</v>
      </c>
      <c r="P222">
        <v>6</v>
      </c>
      <c r="Q222">
        <v>5</v>
      </c>
    </row>
    <row r="223" spans="1:17" x14ac:dyDescent="0.45">
      <c r="A223" s="19">
        <v>46031.404861111114</v>
      </c>
      <c r="B223" t="s">
        <v>72</v>
      </c>
      <c r="C223" t="s">
        <v>190</v>
      </c>
      <c r="D223" t="s">
        <v>74</v>
      </c>
      <c r="E223" t="s">
        <v>77</v>
      </c>
      <c r="F223" t="s">
        <v>99</v>
      </c>
      <c r="G223" t="s">
        <v>110</v>
      </c>
      <c r="H223" t="s">
        <v>104</v>
      </c>
      <c r="I223">
        <v>4</v>
      </c>
      <c r="J223">
        <v>5</v>
      </c>
      <c r="K223">
        <v>4</v>
      </c>
      <c r="L223">
        <v>5</v>
      </c>
      <c r="M223">
        <v>5</v>
      </c>
      <c r="N223">
        <v>5</v>
      </c>
      <c r="O223">
        <v>5</v>
      </c>
      <c r="P223">
        <v>5</v>
      </c>
      <c r="Q223">
        <v>5</v>
      </c>
    </row>
    <row r="224" spans="1:17" x14ac:dyDescent="0.45">
      <c r="A224" s="19">
        <v>46031.405555555553</v>
      </c>
      <c r="B224" t="s">
        <v>78</v>
      </c>
      <c r="C224" t="s">
        <v>73</v>
      </c>
      <c r="D224" t="s">
        <v>74</v>
      </c>
      <c r="E224" t="s">
        <v>77</v>
      </c>
      <c r="F224" t="s">
        <v>99</v>
      </c>
      <c r="G224" t="s">
        <v>110</v>
      </c>
      <c r="H224" t="s">
        <v>104</v>
      </c>
      <c r="I224">
        <v>6</v>
      </c>
      <c r="J224">
        <v>6</v>
      </c>
      <c r="K224">
        <v>7</v>
      </c>
      <c r="L224">
        <v>7</v>
      </c>
      <c r="M224">
        <v>6</v>
      </c>
      <c r="N224">
        <v>6</v>
      </c>
      <c r="O224">
        <v>8</v>
      </c>
      <c r="P224">
        <v>8</v>
      </c>
      <c r="Q224">
        <v>7</v>
      </c>
    </row>
    <row r="225" spans="1:17" x14ac:dyDescent="0.45">
      <c r="A225" s="19">
        <v>46031.405555555553</v>
      </c>
      <c r="B225" t="s">
        <v>72</v>
      </c>
      <c r="C225" t="s">
        <v>73</v>
      </c>
      <c r="D225" t="s">
        <v>74</v>
      </c>
      <c r="E225" t="s">
        <v>75</v>
      </c>
      <c r="F225" t="s">
        <v>99</v>
      </c>
      <c r="G225" t="s">
        <v>110</v>
      </c>
      <c r="H225" t="s">
        <v>109</v>
      </c>
      <c r="I225">
        <v>7</v>
      </c>
      <c r="J225">
        <v>7</v>
      </c>
      <c r="K225">
        <v>7</v>
      </c>
      <c r="L225">
        <v>7</v>
      </c>
      <c r="M225">
        <v>7</v>
      </c>
      <c r="N225">
        <v>7</v>
      </c>
      <c r="O225">
        <v>7</v>
      </c>
      <c r="P225">
        <v>7</v>
      </c>
      <c r="Q225">
        <v>7</v>
      </c>
    </row>
    <row r="226" spans="1:17" x14ac:dyDescent="0.45">
      <c r="A226" s="19">
        <v>46031.40625</v>
      </c>
      <c r="B226" t="s">
        <v>72</v>
      </c>
      <c r="C226" t="s">
        <v>73</v>
      </c>
      <c r="D226" t="s">
        <v>74</v>
      </c>
      <c r="E226" t="s">
        <v>77</v>
      </c>
      <c r="F226" t="s">
        <v>99</v>
      </c>
      <c r="G226" t="s">
        <v>108</v>
      </c>
      <c r="H226" t="s">
        <v>101</v>
      </c>
      <c r="I226">
        <v>6</v>
      </c>
      <c r="J226">
        <v>6</v>
      </c>
      <c r="K226">
        <v>7</v>
      </c>
      <c r="L226">
        <v>7</v>
      </c>
      <c r="M226">
        <v>5</v>
      </c>
      <c r="N226">
        <v>6</v>
      </c>
      <c r="O226">
        <v>6</v>
      </c>
      <c r="P226">
        <v>6</v>
      </c>
      <c r="Q226">
        <v>7</v>
      </c>
    </row>
    <row r="227" spans="1:17" x14ac:dyDescent="0.45">
      <c r="A227" s="19">
        <v>46031.406944444447</v>
      </c>
      <c r="B227" t="s">
        <v>72</v>
      </c>
      <c r="C227" t="s">
        <v>192</v>
      </c>
      <c r="D227" t="s">
        <v>74</v>
      </c>
      <c r="E227" t="s">
        <v>75</v>
      </c>
      <c r="F227" t="s">
        <v>99</v>
      </c>
      <c r="G227" t="s">
        <v>106</v>
      </c>
      <c r="H227" t="s">
        <v>104</v>
      </c>
      <c r="I227">
        <v>7</v>
      </c>
      <c r="J227">
        <v>7</v>
      </c>
      <c r="K227">
        <v>6</v>
      </c>
      <c r="L227">
        <v>7</v>
      </c>
      <c r="M227">
        <v>7</v>
      </c>
      <c r="N227">
        <v>7</v>
      </c>
      <c r="O227">
        <v>7</v>
      </c>
      <c r="P227">
        <v>7</v>
      </c>
      <c r="Q227">
        <v>7</v>
      </c>
    </row>
    <row r="228" spans="1:17" x14ac:dyDescent="0.45">
      <c r="A228" s="19">
        <v>46031.407638888886</v>
      </c>
      <c r="B228" t="s">
        <v>72</v>
      </c>
      <c r="C228" t="s">
        <v>81</v>
      </c>
      <c r="D228" t="s">
        <v>74</v>
      </c>
      <c r="E228" t="s">
        <v>77</v>
      </c>
      <c r="F228" t="s">
        <v>99</v>
      </c>
      <c r="G228" t="s">
        <v>100</v>
      </c>
      <c r="H228" t="s">
        <v>109</v>
      </c>
      <c r="I228">
        <v>6</v>
      </c>
      <c r="J228">
        <v>6</v>
      </c>
      <c r="K228">
        <v>6</v>
      </c>
      <c r="L228">
        <v>6</v>
      </c>
      <c r="M228">
        <v>6</v>
      </c>
      <c r="N228">
        <v>6</v>
      </c>
      <c r="O228">
        <v>6</v>
      </c>
      <c r="P228">
        <v>6</v>
      </c>
      <c r="Q228">
        <v>6</v>
      </c>
    </row>
    <row r="229" spans="1:17" x14ac:dyDescent="0.45">
      <c r="A229" s="19">
        <v>46031.407638888886</v>
      </c>
      <c r="B229" t="s">
        <v>72</v>
      </c>
      <c r="C229" t="s">
        <v>81</v>
      </c>
      <c r="D229" t="s">
        <v>74</v>
      </c>
      <c r="E229" t="s">
        <v>77</v>
      </c>
      <c r="F229" t="s">
        <v>99</v>
      </c>
      <c r="G229" t="s">
        <v>195</v>
      </c>
      <c r="H229" t="s">
        <v>104</v>
      </c>
      <c r="I229">
        <v>8</v>
      </c>
      <c r="J229">
        <v>9</v>
      </c>
      <c r="K229">
        <v>7</v>
      </c>
      <c r="L229">
        <v>8</v>
      </c>
      <c r="M229">
        <v>9</v>
      </c>
      <c r="N229">
        <v>8</v>
      </c>
      <c r="O229">
        <v>8</v>
      </c>
      <c r="P229">
        <v>8</v>
      </c>
      <c r="Q229">
        <v>8</v>
      </c>
    </row>
    <row r="230" spans="1:17" x14ac:dyDescent="0.45">
      <c r="A230" s="19">
        <v>46031.408333333333</v>
      </c>
      <c r="B230" t="s">
        <v>72</v>
      </c>
      <c r="C230" t="s">
        <v>73</v>
      </c>
      <c r="D230" t="s">
        <v>74</v>
      </c>
      <c r="E230" t="s">
        <v>77</v>
      </c>
      <c r="F230" t="s">
        <v>99</v>
      </c>
      <c r="G230" t="s">
        <v>110</v>
      </c>
      <c r="H230" t="s">
        <v>104</v>
      </c>
      <c r="I230">
        <v>6</v>
      </c>
      <c r="J230">
        <v>6</v>
      </c>
      <c r="K230">
        <v>6</v>
      </c>
      <c r="L230">
        <v>6</v>
      </c>
      <c r="M230">
        <v>6</v>
      </c>
      <c r="N230">
        <v>7</v>
      </c>
      <c r="O230">
        <v>6</v>
      </c>
      <c r="P230">
        <v>6</v>
      </c>
      <c r="Q230">
        <v>7</v>
      </c>
    </row>
    <row r="231" spans="1:17" x14ac:dyDescent="0.45">
      <c r="A231" s="19">
        <v>46031.40902777778</v>
      </c>
      <c r="B231" t="s">
        <v>72</v>
      </c>
      <c r="C231" t="s">
        <v>79</v>
      </c>
      <c r="D231" t="s">
        <v>74</v>
      </c>
      <c r="E231" t="s">
        <v>75</v>
      </c>
      <c r="F231" t="s">
        <v>99</v>
      </c>
      <c r="G231" t="s">
        <v>106</v>
      </c>
      <c r="H231" t="s">
        <v>194</v>
      </c>
      <c r="I231">
        <v>4</v>
      </c>
      <c r="J231">
        <v>5</v>
      </c>
      <c r="K231">
        <v>1</v>
      </c>
      <c r="L231">
        <v>6</v>
      </c>
      <c r="M231">
        <v>4</v>
      </c>
      <c r="N231">
        <v>4</v>
      </c>
      <c r="O231">
        <v>5</v>
      </c>
      <c r="P231">
        <v>5</v>
      </c>
      <c r="Q231">
        <v>5</v>
      </c>
    </row>
    <row r="232" spans="1:17" x14ac:dyDescent="0.45">
      <c r="A232" s="19">
        <v>46031.40902777778</v>
      </c>
      <c r="B232" t="s">
        <v>78</v>
      </c>
      <c r="C232" t="s">
        <v>192</v>
      </c>
      <c r="D232" t="s">
        <v>74</v>
      </c>
      <c r="E232" t="s">
        <v>75</v>
      </c>
      <c r="F232" t="s">
        <v>99</v>
      </c>
      <c r="G232" t="s">
        <v>107</v>
      </c>
      <c r="H232" t="s">
        <v>194</v>
      </c>
      <c r="I232">
        <v>8</v>
      </c>
      <c r="J232">
        <v>8</v>
      </c>
      <c r="K232">
        <v>8</v>
      </c>
      <c r="L232">
        <v>8</v>
      </c>
      <c r="M232">
        <v>7</v>
      </c>
      <c r="N232">
        <v>7</v>
      </c>
      <c r="O232">
        <v>8</v>
      </c>
      <c r="P232">
        <v>7</v>
      </c>
      <c r="Q232">
        <v>8</v>
      </c>
    </row>
    <row r="233" spans="1:17" x14ac:dyDescent="0.45">
      <c r="A233" s="19">
        <v>46031.409722222219</v>
      </c>
      <c r="B233" t="s">
        <v>78</v>
      </c>
      <c r="C233" t="s">
        <v>73</v>
      </c>
      <c r="D233" t="s">
        <v>74</v>
      </c>
      <c r="E233" t="s">
        <v>77</v>
      </c>
      <c r="F233" t="s">
        <v>99</v>
      </c>
      <c r="G233" t="s">
        <v>110</v>
      </c>
      <c r="H233" t="s">
        <v>104</v>
      </c>
      <c r="I233">
        <v>6</v>
      </c>
      <c r="J233">
        <v>6</v>
      </c>
      <c r="K233">
        <v>6</v>
      </c>
      <c r="L233">
        <v>6</v>
      </c>
      <c r="M233">
        <v>6</v>
      </c>
      <c r="N233">
        <v>6</v>
      </c>
      <c r="O233">
        <v>6</v>
      </c>
      <c r="P233">
        <v>6</v>
      </c>
      <c r="Q233">
        <v>6</v>
      </c>
    </row>
    <row r="234" spans="1:17" x14ac:dyDescent="0.45">
      <c r="A234" s="19">
        <v>46031.409722222219</v>
      </c>
      <c r="B234" t="s">
        <v>72</v>
      </c>
      <c r="C234" t="s">
        <v>79</v>
      </c>
      <c r="D234" t="s">
        <v>74</v>
      </c>
      <c r="E234" t="s">
        <v>77</v>
      </c>
      <c r="F234" t="s">
        <v>99</v>
      </c>
      <c r="G234" t="s">
        <v>103</v>
      </c>
      <c r="H234" t="s">
        <v>101</v>
      </c>
      <c r="I234">
        <v>8</v>
      </c>
      <c r="J234">
        <v>8</v>
      </c>
      <c r="K234">
        <v>8</v>
      </c>
      <c r="L234">
        <v>8</v>
      </c>
      <c r="M234">
        <v>9</v>
      </c>
      <c r="N234">
        <v>8</v>
      </c>
      <c r="O234">
        <v>8</v>
      </c>
      <c r="P234">
        <v>8</v>
      </c>
      <c r="Q234">
        <v>10</v>
      </c>
    </row>
    <row r="235" spans="1:17" x14ac:dyDescent="0.45">
      <c r="A235" s="19">
        <v>46031.409722222219</v>
      </c>
      <c r="B235" t="s">
        <v>72</v>
      </c>
      <c r="C235" t="s">
        <v>190</v>
      </c>
      <c r="D235" t="s">
        <v>74</v>
      </c>
      <c r="E235" t="s">
        <v>75</v>
      </c>
      <c r="F235" t="s">
        <v>99</v>
      </c>
      <c r="G235" t="s">
        <v>106</v>
      </c>
      <c r="H235" t="s">
        <v>105</v>
      </c>
      <c r="I235">
        <v>4</v>
      </c>
      <c r="J235">
        <v>4</v>
      </c>
      <c r="K235">
        <v>4</v>
      </c>
      <c r="L235">
        <v>4</v>
      </c>
      <c r="M235">
        <v>1</v>
      </c>
      <c r="N235">
        <v>3</v>
      </c>
      <c r="O235">
        <v>1</v>
      </c>
      <c r="P235">
        <v>1</v>
      </c>
      <c r="Q235">
        <v>1</v>
      </c>
    </row>
    <row r="236" spans="1:17" x14ac:dyDescent="0.45">
      <c r="A236" s="19">
        <v>46031.410416666666</v>
      </c>
      <c r="B236" t="s">
        <v>72</v>
      </c>
      <c r="C236" t="s">
        <v>73</v>
      </c>
      <c r="D236" t="s">
        <v>74</v>
      </c>
      <c r="E236" t="s">
        <v>77</v>
      </c>
      <c r="F236" t="s">
        <v>99</v>
      </c>
      <c r="G236" t="s">
        <v>108</v>
      </c>
      <c r="H236" t="s">
        <v>109</v>
      </c>
      <c r="I236">
        <v>6</v>
      </c>
      <c r="J236">
        <v>6</v>
      </c>
      <c r="K236">
        <v>1</v>
      </c>
      <c r="L236">
        <v>6</v>
      </c>
      <c r="M236">
        <v>5</v>
      </c>
      <c r="N236">
        <v>6</v>
      </c>
      <c r="O236">
        <v>5</v>
      </c>
      <c r="P236">
        <v>6</v>
      </c>
      <c r="Q236">
        <v>6</v>
      </c>
    </row>
    <row r="237" spans="1:17" x14ac:dyDescent="0.45">
      <c r="A237" s="19">
        <v>46031.411111111112</v>
      </c>
      <c r="B237" t="s">
        <v>72</v>
      </c>
      <c r="C237" t="s">
        <v>73</v>
      </c>
      <c r="D237" t="s">
        <v>74</v>
      </c>
      <c r="E237" t="s">
        <v>75</v>
      </c>
      <c r="F237" t="s">
        <v>99</v>
      </c>
      <c r="G237" t="s">
        <v>110</v>
      </c>
      <c r="H237" t="s">
        <v>105</v>
      </c>
      <c r="I237">
        <v>7</v>
      </c>
      <c r="J237">
        <v>7</v>
      </c>
      <c r="K237">
        <v>7</v>
      </c>
      <c r="L237">
        <v>7</v>
      </c>
      <c r="M237">
        <v>7</v>
      </c>
      <c r="N237">
        <v>7</v>
      </c>
      <c r="O237">
        <v>7</v>
      </c>
      <c r="P237">
        <v>7</v>
      </c>
      <c r="Q237">
        <v>7</v>
      </c>
    </row>
    <row r="238" spans="1:17" x14ac:dyDescent="0.45">
      <c r="A238" s="19">
        <v>46031.418749999997</v>
      </c>
      <c r="B238" t="s">
        <v>78</v>
      </c>
      <c r="C238" t="s">
        <v>73</v>
      </c>
      <c r="D238" t="s">
        <v>74</v>
      </c>
      <c r="E238" t="s">
        <v>75</v>
      </c>
      <c r="F238" t="s">
        <v>102</v>
      </c>
      <c r="G238" t="s">
        <v>103</v>
      </c>
      <c r="H238" t="s">
        <v>105</v>
      </c>
      <c r="I238">
        <v>10</v>
      </c>
      <c r="J238">
        <v>10</v>
      </c>
      <c r="K238">
        <v>4</v>
      </c>
      <c r="L238">
        <v>6</v>
      </c>
      <c r="M238">
        <v>3</v>
      </c>
      <c r="N238">
        <v>1</v>
      </c>
      <c r="O238">
        <v>1</v>
      </c>
      <c r="P238">
        <v>3</v>
      </c>
      <c r="Q238">
        <v>1</v>
      </c>
    </row>
    <row r="239" spans="1:17" x14ac:dyDescent="0.45">
      <c r="A239" s="19">
        <v>46031.427083333336</v>
      </c>
      <c r="B239" t="s">
        <v>72</v>
      </c>
      <c r="C239" t="s">
        <v>73</v>
      </c>
      <c r="D239" t="s">
        <v>74</v>
      </c>
      <c r="E239" t="s">
        <v>75</v>
      </c>
      <c r="F239" t="s">
        <v>99</v>
      </c>
      <c r="G239" t="s">
        <v>100</v>
      </c>
      <c r="H239" t="s">
        <v>101</v>
      </c>
      <c r="I239">
        <v>8</v>
      </c>
      <c r="J239">
        <v>10</v>
      </c>
      <c r="K239">
        <v>8</v>
      </c>
      <c r="L239">
        <v>10</v>
      </c>
      <c r="M239">
        <v>9</v>
      </c>
      <c r="N239">
        <v>8</v>
      </c>
      <c r="O239">
        <v>7</v>
      </c>
      <c r="P239">
        <v>9</v>
      </c>
      <c r="Q239">
        <v>9</v>
      </c>
    </row>
    <row r="240" spans="1:17" x14ac:dyDescent="0.45">
      <c r="A240" s="19">
        <v>46031.440972222219</v>
      </c>
      <c r="B240" t="s">
        <v>78</v>
      </c>
      <c r="C240" t="s">
        <v>192</v>
      </c>
      <c r="D240" t="s">
        <v>74</v>
      </c>
      <c r="E240" t="s">
        <v>75</v>
      </c>
      <c r="F240" t="s">
        <v>99</v>
      </c>
      <c r="G240" t="s">
        <v>106</v>
      </c>
      <c r="H240" t="s">
        <v>194</v>
      </c>
      <c r="I240">
        <v>6</v>
      </c>
      <c r="J240">
        <v>6</v>
      </c>
      <c r="K240">
        <v>6</v>
      </c>
      <c r="L240">
        <v>6</v>
      </c>
      <c r="M240">
        <v>6</v>
      </c>
      <c r="N240">
        <v>6</v>
      </c>
      <c r="O240">
        <v>6</v>
      </c>
      <c r="P240">
        <v>7</v>
      </c>
      <c r="Q240">
        <v>6</v>
      </c>
    </row>
    <row r="241" spans="1:17" x14ac:dyDescent="0.45">
      <c r="A241" s="19">
        <v>46031.441666666666</v>
      </c>
      <c r="B241" t="s">
        <v>72</v>
      </c>
      <c r="C241" t="s">
        <v>73</v>
      </c>
      <c r="D241" t="s">
        <v>74</v>
      </c>
      <c r="E241" t="s">
        <v>77</v>
      </c>
      <c r="F241" t="s">
        <v>99</v>
      </c>
      <c r="G241" t="s">
        <v>110</v>
      </c>
      <c r="H241" t="s">
        <v>105</v>
      </c>
      <c r="I241">
        <v>8</v>
      </c>
      <c r="J241">
        <v>8</v>
      </c>
      <c r="K241">
        <v>8</v>
      </c>
      <c r="L241">
        <v>8</v>
      </c>
      <c r="M241">
        <v>8</v>
      </c>
      <c r="N241">
        <v>8</v>
      </c>
      <c r="O241">
        <v>8</v>
      </c>
      <c r="P241">
        <v>8</v>
      </c>
      <c r="Q241">
        <v>8</v>
      </c>
    </row>
    <row r="242" spans="1:17" x14ac:dyDescent="0.45">
      <c r="A242" s="19">
        <v>46031.441666666666</v>
      </c>
      <c r="B242" t="s">
        <v>72</v>
      </c>
      <c r="C242" t="s">
        <v>73</v>
      </c>
      <c r="D242" t="s">
        <v>74</v>
      </c>
      <c r="E242" t="s">
        <v>75</v>
      </c>
      <c r="F242" t="s">
        <v>99</v>
      </c>
      <c r="G242" t="s">
        <v>110</v>
      </c>
      <c r="H242" t="s">
        <v>101</v>
      </c>
      <c r="I242">
        <v>7</v>
      </c>
      <c r="J242">
        <v>6</v>
      </c>
      <c r="K242">
        <v>7</v>
      </c>
      <c r="L242">
        <v>7</v>
      </c>
      <c r="M242">
        <v>8</v>
      </c>
      <c r="N242">
        <v>8</v>
      </c>
      <c r="O242">
        <v>8</v>
      </c>
      <c r="P242">
        <v>8</v>
      </c>
      <c r="Q242">
        <v>8</v>
      </c>
    </row>
    <row r="243" spans="1:17" x14ac:dyDescent="0.45">
      <c r="A243" s="19">
        <v>46031.441666666666</v>
      </c>
      <c r="B243" t="s">
        <v>78</v>
      </c>
      <c r="C243" t="s">
        <v>73</v>
      </c>
      <c r="D243" t="s">
        <v>74</v>
      </c>
      <c r="E243" t="s">
        <v>77</v>
      </c>
      <c r="F243" t="s">
        <v>99</v>
      </c>
      <c r="G243" t="s">
        <v>110</v>
      </c>
      <c r="H243" t="s">
        <v>104</v>
      </c>
      <c r="I243">
        <v>6</v>
      </c>
      <c r="J243">
        <v>5</v>
      </c>
      <c r="K243">
        <v>5</v>
      </c>
      <c r="L243">
        <v>7</v>
      </c>
      <c r="M243">
        <v>7</v>
      </c>
      <c r="N243">
        <v>7</v>
      </c>
      <c r="O243">
        <v>7</v>
      </c>
      <c r="P243">
        <v>8</v>
      </c>
      <c r="Q243">
        <v>8</v>
      </c>
    </row>
    <row r="244" spans="1:17" x14ac:dyDescent="0.45">
      <c r="A244" s="19">
        <v>46031.442361111112</v>
      </c>
      <c r="B244" t="s">
        <v>78</v>
      </c>
      <c r="C244" t="s">
        <v>190</v>
      </c>
      <c r="D244" t="s">
        <v>74</v>
      </c>
      <c r="E244" t="s">
        <v>77</v>
      </c>
      <c r="F244" t="s">
        <v>99</v>
      </c>
      <c r="G244" t="s">
        <v>106</v>
      </c>
      <c r="H244" t="s">
        <v>104</v>
      </c>
      <c r="I244">
        <v>6</v>
      </c>
      <c r="J244">
        <v>6</v>
      </c>
      <c r="K244">
        <v>6</v>
      </c>
      <c r="L244">
        <v>6</v>
      </c>
      <c r="M244">
        <v>6</v>
      </c>
      <c r="N244">
        <v>6</v>
      </c>
      <c r="O244">
        <v>6</v>
      </c>
      <c r="P244">
        <v>6</v>
      </c>
      <c r="Q244">
        <v>6</v>
      </c>
    </row>
    <row r="245" spans="1:17" x14ac:dyDescent="0.45">
      <c r="A245" s="19">
        <v>46031.442361111112</v>
      </c>
      <c r="B245" t="s">
        <v>72</v>
      </c>
      <c r="C245" t="s">
        <v>79</v>
      </c>
      <c r="D245" t="s">
        <v>74</v>
      </c>
      <c r="E245" t="s">
        <v>75</v>
      </c>
      <c r="F245" t="s">
        <v>99</v>
      </c>
      <c r="G245" t="s">
        <v>110</v>
      </c>
      <c r="H245" t="s">
        <v>105</v>
      </c>
      <c r="I245">
        <v>7</v>
      </c>
      <c r="J245">
        <v>6</v>
      </c>
      <c r="K245">
        <v>6</v>
      </c>
      <c r="L245">
        <v>8</v>
      </c>
      <c r="M245">
        <v>6</v>
      </c>
      <c r="N245">
        <v>6</v>
      </c>
      <c r="O245">
        <v>6</v>
      </c>
      <c r="P245">
        <v>6</v>
      </c>
      <c r="Q245">
        <v>6</v>
      </c>
    </row>
    <row r="246" spans="1:17" x14ac:dyDescent="0.45">
      <c r="A246" s="19">
        <v>46031.443055555559</v>
      </c>
      <c r="B246" t="s">
        <v>78</v>
      </c>
      <c r="C246" t="s">
        <v>79</v>
      </c>
      <c r="D246" t="s">
        <v>74</v>
      </c>
      <c r="E246" t="s">
        <v>75</v>
      </c>
      <c r="F246" t="s">
        <v>99</v>
      </c>
      <c r="G246" t="s">
        <v>107</v>
      </c>
      <c r="H246" t="s">
        <v>109</v>
      </c>
      <c r="I246">
        <v>4</v>
      </c>
      <c r="J246">
        <v>4</v>
      </c>
      <c r="K246">
        <v>1</v>
      </c>
      <c r="L246">
        <v>4</v>
      </c>
      <c r="M246">
        <v>4</v>
      </c>
      <c r="N246">
        <v>4</v>
      </c>
      <c r="O246">
        <v>5</v>
      </c>
      <c r="P246">
        <v>5</v>
      </c>
      <c r="Q246">
        <v>5</v>
      </c>
    </row>
    <row r="247" spans="1:17" x14ac:dyDescent="0.45">
      <c r="A247" s="19">
        <v>46031.443749999999</v>
      </c>
      <c r="B247" t="s">
        <v>78</v>
      </c>
      <c r="C247" t="s">
        <v>73</v>
      </c>
      <c r="D247" t="s">
        <v>74</v>
      </c>
      <c r="E247" t="s">
        <v>77</v>
      </c>
      <c r="F247" t="s">
        <v>99</v>
      </c>
      <c r="G247" t="s">
        <v>100</v>
      </c>
      <c r="H247" t="s">
        <v>109</v>
      </c>
      <c r="I247">
        <v>6</v>
      </c>
      <c r="J247">
        <v>7</v>
      </c>
      <c r="K247">
        <v>7</v>
      </c>
      <c r="L247">
        <v>7</v>
      </c>
      <c r="M247">
        <v>7</v>
      </c>
      <c r="N247">
        <v>7</v>
      </c>
      <c r="O247">
        <v>7</v>
      </c>
      <c r="P247">
        <v>7</v>
      </c>
      <c r="Q247">
        <v>7</v>
      </c>
    </row>
    <row r="248" spans="1:17" x14ac:dyDescent="0.45">
      <c r="A248" s="19">
        <v>46031.444444444445</v>
      </c>
      <c r="B248" t="s">
        <v>72</v>
      </c>
      <c r="C248" t="s">
        <v>190</v>
      </c>
      <c r="D248" t="s">
        <v>74</v>
      </c>
      <c r="E248" t="s">
        <v>75</v>
      </c>
      <c r="F248" t="s">
        <v>99</v>
      </c>
      <c r="G248" t="s">
        <v>110</v>
      </c>
      <c r="H248" t="s">
        <v>194</v>
      </c>
      <c r="I248">
        <v>8</v>
      </c>
      <c r="J248">
        <v>8</v>
      </c>
      <c r="K248">
        <v>8</v>
      </c>
      <c r="L248">
        <v>8</v>
      </c>
      <c r="M248">
        <v>8</v>
      </c>
      <c r="N248">
        <v>8</v>
      </c>
      <c r="O248">
        <v>8</v>
      </c>
      <c r="P248">
        <v>8</v>
      </c>
      <c r="Q248">
        <v>8</v>
      </c>
    </row>
    <row r="249" spans="1:17" x14ac:dyDescent="0.45">
      <c r="A249" s="19">
        <v>46031.464583333334</v>
      </c>
      <c r="B249" t="s">
        <v>72</v>
      </c>
      <c r="C249" t="s">
        <v>79</v>
      </c>
      <c r="D249" t="s">
        <v>74</v>
      </c>
      <c r="E249" t="s">
        <v>77</v>
      </c>
      <c r="F249" t="s">
        <v>99</v>
      </c>
      <c r="G249" t="s">
        <v>108</v>
      </c>
      <c r="H249" t="s">
        <v>101</v>
      </c>
      <c r="I249">
        <v>7</v>
      </c>
      <c r="J249">
        <v>7</v>
      </c>
      <c r="K249">
        <v>7</v>
      </c>
      <c r="L249">
        <v>7</v>
      </c>
      <c r="M249">
        <v>7</v>
      </c>
      <c r="N249">
        <v>7</v>
      </c>
      <c r="O249">
        <v>7</v>
      </c>
      <c r="P249">
        <v>7</v>
      </c>
      <c r="Q249">
        <v>7</v>
      </c>
    </row>
    <row r="250" spans="1:17" x14ac:dyDescent="0.45">
      <c r="A250" s="19">
        <v>46031.464583333334</v>
      </c>
      <c r="B250" t="s">
        <v>78</v>
      </c>
      <c r="C250" t="s">
        <v>192</v>
      </c>
      <c r="D250" t="s">
        <v>74</v>
      </c>
      <c r="E250" t="s">
        <v>75</v>
      </c>
      <c r="F250" t="s">
        <v>99</v>
      </c>
      <c r="G250" t="s">
        <v>106</v>
      </c>
      <c r="H250" t="s">
        <v>105</v>
      </c>
      <c r="I250">
        <v>9</v>
      </c>
      <c r="J250">
        <v>9</v>
      </c>
      <c r="K250">
        <v>9</v>
      </c>
      <c r="L250">
        <v>9</v>
      </c>
      <c r="M250">
        <v>9</v>
      </c>
      <c r="N250">
        <v>9</v>
      </c>
      <c r="O250">
        <v>9</v>
      </c>
      <c r="P250">
        <v>9</v>
      </c>
      <c r="Q250">
        <v>9</v>
      </c>
    </row>
    <row r="251" spans="1:17" x14ac:dyDescent="0.45">
      <c r="A251" s="19">
        <v>46031.465277777781</v>
      </c>
      <c r="B251" t="s">
        <v>72</v>
      </c>
      <c r="C251" t="s">
        <v>73</v>
      </c>
      <c r="D251" t="s">
        <v>74</v>
      </c>
      <c r="E251" t="s">
        <v>77</v>
      </c>
      <c r="F251" t="s">
        <v>99</v>
      </c>
      <c r="G251" t="s">
        <v>110</v>
      </c>
      <c r="H251" t="s">
        <v>105</v>
      </c>
      <c r="I251">
        <v>7</v>
      </c>
      <c r="J251">
        <v>6</v>
      </c>
      <c r="K251">
        <v>5</v>
      </c>
      <c r="L251">
        <v>6</v>
      </c>
      <c r="M251">
        <v>6</v>
      </c>
      <c r="N251">
        <v>6</v>
      </c>
      <c r="O251">
        <v>6</v>
      </c>
      <c r="P251">
        <v>6</v>
      </c>
      <c r="Q251">
        <v>7</v>
      </c>
    </row>
    <row r="252" spans="1:17" x14ac:dyDescent="0.45">
      <c r="A252" s="19">
        <v>46031.465277777781</v>
      </c>
      <c r="B252" t="s">
        <v>72</v>
      </c>
      <c r="C252" t="s">
        <v>73</v>
      </c>
      <c r="D252" t="s">
        <v>74</v>
      </c>
      <c r="E252" t="s">
        <v>77</v>
      </c>
      <c r="F252" t="s">
        <v>99</v>
      </c>
      <c r="G252" t="s">
        <v>108</v>
      </c>
      <c r="H252" t="s">
        <v>194</v>
      </c>
      <c r="I252">
        <v>8</v>
      </c>
      <c r="J252">
        <v>8</v>
      </c>
      <c r="K252">
        <v>8</v>
      </c>
      <c r="L252">
        <v>9</v>
      </c>
      <c r="M252">
        <v>8</v>
      </c>
      <c r="N252">
        <v>10</v>
      </c>
      <c r="O252">
        <v>7</v>
      </c>
      <c r="P252">
        <v>7</v>
      </c>
      <c r="Q252">
        <v>10</v>
      </c>
    </row>
    <row r="253" spans="1:17" x14ac:dyDescent="0.45">
      <c r="A253" s="19">
        <v>46031.46597222222</v>
      </c>
      <c r="B253" t="s">
        <v>72</v>
      </c>
      <c r="C253" t="s">
        <v>190</v>
      </c>
      <c r="D253" t="s">
        <v>74</v>
      </c>
      <c r="E253" t="s">
        <v>77</v>
      </c>
      <c r="F253" t="s">
        <v>99</v>
      </c>
      <c r="G253" t="s">
        <v>110</v>
      </c>
      <c r="H253" t="s">
        <v>105</v>
      </c>
      <c r="I253">
        <v>6</v>
      </c>
      <c r="J253">
        <v>6</v>
      </c>
      <c r="K253">
        <v>1</v>
      </c>
      <c r="L253">
        <v>6</v>
      </c>
      <c r="M253">
        <v>5</v>
      </c>
      <c r="N253">
        <v>6</v>
      </c>
      <c r="O253">
        <v>6</v>
      </c>
      <c r="P253">
        <v>6</v>
      </c>
      <c r="Q253">
        <v>6</v>
      </c>
    </row>
    <row r="254" spans="1:17" x14ac:dyDescent="0.45">
      <c r="A254" s="19">
        <v>46031.466666666667</v>
      </c>
      <c r="B254" t="s">
        <v>78</v>
      </c>
      <c r="C254" t="s">
        <v>79</v>
      </c>
      <c r="D254" t="s">
        <v>74</v>
      </c>
      <c r="E254" t="s">
        <v>75</v>
      </c>
      <c r="F254" t="s">
        <v>99</v>
      </c>
      <c r="G254" t="s">
        <v>106</v>
      </c>
      <c r="H254" t="s">
        <v>194</v>
      </c>
      <c r="I254">
        <v>8</v>
      </c>
      <c r="J254">
        <v>8</v>
      </c>
      <c r="K254">
        <v>3</v>
      </c>
      <c r="L254">
        <v>9</v>
      </c>
      <c r="M254">
        <v>8</v>
      </c>
      <c r="N254">
        <v>8</v>
      </c>
      <c r="O254">
        <v>8</v>
      </c>
      <c r="P254">
        <v>8</v>
      </c>
      <c r="Q254">
        <v>8</v>
      </c>
    </row>
    <row r="255" spans="1:17" x14ac:dyDescent="0.45">
      <c r="A255" s="19">
        <v>46031.466666666667</v>
      </c>
      <c r="B255" t="s">
        <v>78</v>
      </c>
      <c r="C255" t="s">
        <v>79</v>
      </c>
      <c r="D255" t="s">
        <v>74</v>
      </c>
      <c r="E255" t="s">
        <v>75</v>
      </c>
      <c r="F255" t="s">
        <v>99</v>
      </c>
      <c r="G255" t="s">
        <v>106</v>
      </c>
      <c r="H255" t="s">
        <v>101</v>
      </c>
      <c r="I255">
        <v>4</v>
      </c>
      <c r="J255">
        <v>3</v>
      </c>
      <c r="K255">
        <v>1</v>
      </c>
      <c r="L255">
        <v>7</v>
      </c>
      <c r="M255">
        <v>3</v>
      </c>
      <c r="N255">
        <v>6</v>
      </c>
      <c r="O255">
        <v>5</v>
      </c>
      <c r="P255">
        <v>6</v>
      </c>
      <c r="Q255">
        <v>6</v>
      </c>
    </row>
    <row r="256" spans="1:17" x14ac:dyDescent="0.45">
      <c r="A256" s="19">
        <v>46031.467361111114</v>
      </c>
      <c r="B256" t="s">
        <v>72</v>
      </c>
      <c r="C256" t="s">
        <v>73</v>
      </c>
      <c r="D256" t="s">
        <v>74</v>
      </c>
      <c r="E256" t="s">
        <v>75</v>
      </c>
      <c r="F256" t="s">
        <v>99</v>
      </c>
      <c r="G256" t="s">
        <v>110</v>
      </c>
      <c r="H256" t="s">
        <v>101</v>
      </c>
      <c r="I256">
        <v>6</v>
      </c>
      <c r="J256">
        <v>6</v>
      </c>
      <c r="K256">
        <v>1</v>
      </c>
      <c r="L256">
        <v>7</v>
      </c>
      <c r="M256">
        <v>5</v>
      </c>
      <c r="N256">
        <v>6</v>
      </c>
      <c r="O256">
        <v>6</v>
      </c>
      <c r="P256">
        <v>6</v>
      </c>
      <c r="Q256">
        <v>6</v>
      </c>
    </row>
    <row r="257" spans="1:17" x14ac:dyDescent="0.45">
      <c r="A257" s="19">
        <v>46031.468055555553</v>
      </c>
      <c r="B257" t="s">
        <v>72</v>
      </c>
      <c r="C257" t="s">
        <v>190</v>
      </c>
      <c r="D257" t="s">
        <v>74</v>
      </c>
      <c r="E257" t="s">
        <v>77</v>
      </c>
      <c r="F257" t="s">
        <v>99</v>
      </c>
      <c r="G257" t="s">
        <v>107</v>
      </c>
      <c r="H257" t="s">
        <v>194</v>
      </c>
      <c r="I257">
        <v>8</v>
      </c>
      <c r="J257">
        <v>8</v>
      </c>
      <c r="K257">
        <v>5</v>
      </c>
      <c r="L257">
        <v>8</v>
      </c>
      <c r="M257">
        <v>8</v>
      </c>
      <c r="N257">
        <v>7</v>
      </c>
      <c r="O257">
        <v>7</v>
      </c>
      <c r="P257">
        <v>7</v>
      </c>
      <c r="Q257">
        <v>7</v>
      </c>
    </row>
    <row r="258" spans="1:17" x14ac:dyDescent="0.45">
      <c r="A258" s="19">
        <v>46031.46875</v>
      </c>
      <c r="B258" t="s">
        <v>72</v>
      </c>
      <c r="C258" t="s">
        <v>81</v>
      </c>
      <c r="D258" t="s">
        <v>74</v>
      </c>
      <c r="E258" t="s">
        <v>77</v>
      </c>
      <c r="F258" t="s">
        <v>99</v>
      </c>
      <c r="G258" t="s">
        <v>108</v>
      </c>
      <c r="H258" t="s">
        <v>101</v>
      </c>
      <c r="I258">
        <v>7</v>
      </c>
      <c r="J258">
        <v>8</v>
      </c>
      <c r="K258">
        <v>4</v>
      </c>
      <c r="L258">
        <v>8</v>
      </c>
      <c r="M258">
        <v>5</v>
      </c>
      <c r="N258">
        <v>7</v>
      </c>
      <c r="O258">
        <v>5</v>
      </c>
      <c r="P258">
        <v>6</v>
      </c>
      <c r="Q258">
        <v>6</v>
      </c>
    </row>
    <row r="259" spans="1:17" x14ac:dyDescent="0.45">
      <c r="A259" s="19">
        <v>46031.46875</v>
      </c>
      <c r="B259" t="s">
        <v>78</v>
      </c>
      <c r="C259" t="s">
        <v>79</v>
      </c>
      <c r="D259" t="s">
        <v>74</v>
      </c>
      <c r="E259" t="s">
        <v>77</v>
      </c>
      <c r="F259" t="s">
        <v>99</v>
      </c>
      <c r="G259" t="s">
        <v>110</v>
      </c>
      <c r="H259" t="s">
        <v>104</v>
      </c>
      <c r="I259">
        <v>6</v>
      </c>
      <c r="J259">
        <v>7</v>
      </c>
      <c r="K259">
        <v>2</v>
      </c>
      <c r="L259">
        <v>7</v>
      </c>
      <c r="M259">
        <v>5</v>
      </c>
      <c r="N259">
        <v>5</v>
      </c>
      <c r="O259">
        <v>5</v>
      </c>
      <c r="P259">
        <v>6</v>
      </c>
      <c r="Q259">
        <v>5</v>
      </c>
    </row>
    <row r="260" spans="1:17" x14ac:dyDescent="0.45">
      <c r="A260" s="19">
        <v>46031.469444444447</v>
      </c>
      <c r="B260" t="s">
        <v>78</v>
      </c>
      <c r="C260" t="s">
        <v>190</v>
      </c>
      <c r="D260" t="s">
        <v>74</v>
      </c>
      <c r="E260" t="s">
        <v>75</v>
      </c>
      <c r="F260" t="s">
        <v>99</v>
      </c>
      <c r="G260" t="s">
        <v>107</v>
      </c>
      <c r="H260" t="s">
        <v>194</v>
      </c>
      <c r="I260">
        <v>2</v>
      </c>
      <c r="J260">
        <v>1</v>
      </c>
      <c r="K260">
        <v>1</v>
      </c>
      <c r="L260">
        <v>6</v>
      </c>
      <c r="M260">
        <v>2</v>
      </c>
      <c r="N260">
        <v>3</v>
      </c>
      <c r="O260">
        <v>1</v>
      </c>
      <c r="P260">
        <v>5</v>
      </c>
      <c r="Q260">
        <v>4</v>
      </c>
    </row>
    <row r="261" spans="1:17" x14ac:dyDescent="0.45">
      <c r="A261" s="19">
        <v>46031.470138888886</v>
      </c>
      <c r="B261" t="s">
        <v>72</v>
      </c>
      <c r="C261" t="s">
        <v>73</v>
      </c>
      <c r="D261" t="s">
        <v>80</v>
      </c>
      <c r="E261" t="s">
        <v>77</v>
      </c>
      <c r="F261" t="s">
        <v>99</v>
      </c>
      <c r="G261" t="s">
        <v>108</v>
      </c>
      <c r="H261" t="s">
        <v>104</v>
      </c>
      <c r="I261">
        <v>6</v>
      </c>
      <c r="J261">
        <v>6</v>
      </c>
      <c r="K261">
        <v>7</v>
      </c>
      <c r="L261">
        <v>6</v>
      </c>
      <c r="M261">
        <v>5</v>
      </c>
      <c r="N261">
        <v>6</v>
      </c>
      <c r="O261">
        <v>5</v>
      </c>
      <c r="P261">
        <v>6</v>
      </c>
      <c r="Q261">
        <v>6</v>
      </c>
    </row>
    <row r="262" spans="1:17" x14ac:dyDescent="0.45">
      <c r="A262" s="19">
        <v>46031.470833333333</v>
      </c>
      <c r="B262" t="s">
        <v>78</v>
      </c>
      <c r="C262" t="s">
        <v>73</v>
      </c>
      <c r="D262" t="s">
        <v>74</v>
      </c>
      <c r="E262" t="s">
        <v>77</v>
      </c>
      <c r="F262" t="s">
        <v>99</v>
      </c>
      <c r="G262" t="s">
        <v>108</v>
      </c>
      <c r="H262" t="s">
        <v>101</v>
      </c>
      <c r="I262">
        <v>6</v>
      </c>
      <c r="J262">
        <v>7</v>
      </c>
      <c r="K262">
        <v>1</v>
      </c>
      <c r="L262">
        <v>9</v>
      </c>
      <c r="M262">
        <v>5</v>
      </c>
      <c r="N262">
        <v>4</v>
      </c>
      <c r="O262">
        <v>4</v>
      </c>
      <c r="P262">
        <v>5</v>
      </c>
      <c r="Q262">
        <v>5</v>
      </c>
    </row>
    <row r="263" spans="1:17" x14ac:dyDescent="0.45">
      <c r="A263" s="19">
        <v>46031.47152777778</v>
      </c>
      <c r="B263" t="s">
        <v>78</v>
      </c>
      <c r="C263" t="s">
        <v>73</v>
      </c>
      <c r="D263" t="s">
        <v>74</v>
      </c>
      <c r="E263" t="s">
        <v>77</v>
      </c>
      <c r="F263" t="s">
        <v>99</v>
      </c>
      <c r="G263" t="s">
        <v>110</v>
      </c>
      <c r="H263" t="s">
        <v>194</v>
      </c>
      <c r="I263">
        <v>9</v>
      </c>
      <c r="J263">
        <v>9</v>
      </c>
      <c r="K263">
        <v>8</v>
      </c>
      <c r="L263">
        <v>9</v>
      </c>
      <c r="M263">
        <v>8</v>
      </c>
      <c r="N263">
        <v>9</v>
      </c>
      <c r="O263">
        <v>9</v>
      </c>
      <c r="P263">
        <v>8</v>
      </c>
      <c r="Q263">
        <v>8</v>
      </c>
    </row>
    <row r="264" spans="1:17" x14ac:dyDescent="0.45">
      <c r="A264" s="19">
        <v>46031.472222222219</v>
      </c>
      <c r="B264" t="s">
        <v>78</v>
      </c>
      <c r="C264" t="s">
        <v>73</v>
      </c>
      <c r="D264" t="s">
        <v>74</v>
      </c>
      <c r="E264" t="s">
        <v>75</v>
      </c>
      <c r="F264" t="s">
        <v>99</v>
      </c>
      <c r="G264" t="s">
        <v>106</v>
      </c>
      <c r="H264" t="s">
        <v>105</v>
      </c>
      <c r="I264">
        <v>8</v>
      </c>
      <c r="J264">
        <v>8</v>
      </c>
      <c r="K264">
        <v>5</v>
      </c>
      <c r="L264">
        <v>7</v>
      </c>
      <c r="M264">
        <v>7</v>
      </c>
      <c r="N264">
        <v>5</v>
      </c>
      <c r="O264">
        <v>5</v>
      </c>
      <c r="P264">
        <v>6</v>
      </c>
      <c r="Q264">
        <v>6</v>
      </c>
    </row>
    <row r="265" spans="1:17" x14ac:dyDescent="0.45">
      <c r="A265" s="19">
        <v>46031.472222222219</v>
      </c>
      <c r="B265" t="s">
        <v>78</v>
      </c>
      <c r="C265" t="s">
        <v>79</v>
      </c>
      <c r="D265" t="s">
        <v>74</v>
      </c>
      <c r="E265" t="s">
        <v>75</v>
      </c>
      <c r="F265" t="s">
        <v>99</v>
      </c>
      <c r="G265" t="s">
        <v>107</v>
      </c>
      <c r="H265" t="s">
        <v>105</v>
      </c>
      <c r="I265">
        <v>7</v>
      </c>
      <c r="J265">
        <v>7</v>
      </c>
      <c r="K265">
        <v>7</v>
      </c>
      <c r="L265">
        <v>8</v>
      </c>
      <c r="M265">
        <v>7</v>
      </c>
      <c r="N265">
        <v>7</v>
      </c>
      <c r="O265">
        <v>7</v>
      </c>
      <c r="P265">
        <v>7</v>
      </c>
      <c r="Q265">
        <v>7</v>
      </c>
    </row>
    <row r="266" spans="1:17" x14ac:dyDescent="0.45">
      <c r="A266" s="19">
        <v>46031.472916666666</v>
      </c>
      <c r="B266" t="s">
        <v>72</v>
      </c>
      <c r="C266" t="s">
        <v>73</v>
      </c>
      <c r="D266" t="s">
        <v>74</v>
      </c>
      <c r="E266" t="s">
        <v>77</v>
      </c>
      <c r="F266" t="s">
        <v>99</v>
      </c>
      <c r="G266" t="s">
        <v>100</v>
      </c>
      <c r="H266" t="s">
        <v>109</v>
      </c>
      <c r="I266">
        <v>6</v>
      </c>
      <c r="J266">
        <v>5</v>
      </c>
      <c r="K266">
        <v>5</v>
      </c>
      <c r="L266">
        <v>7</v>
      </c>
      <c r="M266">
        <v>6</v>
      </c>
      <c r="N266">
        <v>7</v>
      </c>
      <c r="O266">
        <v>5</v>
      </c>
      <c r="P266">
        <v>6</v>
      </c>
      <c r="Q266">
        <v>6</v>
      </c>
    </row>
    <row r="267" spans="1:17" x14ac:dyDescent="0.45">
      <c r="A267" s="19">
        <v>46031.473611111112</v>
      </c>
      <c r="B267" t="s">
        <v>72</v>
      </c>
      <c r="C267" t="s">
        <v>190</v>
      </c>
      <c r="D267" t="s">
        <v>74</v>
      </c>
      <c r="E267" t="s">
        <v>77</v>
      </c>
      <c r="F267" t="s">
        <v>99</v>
      </c>
      <c r="G267" t="s">
        <v>110</v>
      </c>
      <c r="H267" t="s">
        <v>105</v>
      </c>
      <c r="I267">
        <v>7</v>
      </c>
      <c r="J267">
        <v>6</v>
      </c>
      <c r="K267">
        <v>6</v>
      </c>
      <c r="L267">
        <v>6</v>
      </c>
      <c r="M267">
        <v>7</v>
      </c>
      <c r="N267">
        <v>7</v>
      </c>
      <c r="O267">
        <v>7</v>
      </c>
      <c r="P267">
        <v>7</v>
      </c>
      <c r="Q267">
        <v>7</v>
      </c>
    </row>
    <row r="268" spans="1:17" x14ac:dyDescent="0.45">
      <c r="A268" s="19">
        <v>46031.473611111112</v>
      </c>
      <c r="B268" t="s">
        <v>78</v>
      </c>
      <c r="C268" t="s">
        <v>79</v>
      </c>
      <c r="D268" t="s">
        <v>74</v>
      </c>
      <c r="E268" t="s">
        <v>75</v>
      </c>
      <c r="F268" t="s">
        <v>99</v>
      </c>
      <c r="G268" t="s">
        <v>110</v>
      </c>
      <c r="H268" t="s">
        <v>104</v>
      </c>
      <c r="I268">
        <v>6</v>
      </c>
      <c r="J268">
        <v>7</v>
      </c>
      <c r="K268">
        <v>7</v>
      </c>
      <c r="L268">
        <v>6</v>
      </c>
      <c r="M268">
        <v>6</v>
      </c>
      <c r="N268">
        <v>6</v>
      </c>
      <c r="O268">
        <v>6</v>
      </c>
      <c r="P268">
        <v>7</v>
      </c>
      <c r="Q268">
        <v>7</v>
      </c>
    </row>
    <row r="269" spans="1:17" x14ac:dyDescent="0.45">
      <c r="A269" s="19">
        <v>46031.474305555559</v>
      </c>
      <c r="B269" t="s">
        <v>72</v>
      </c>
      <c r="C269" t="s">
        <v>81</v>
      </c>
      <c r="D269" t="s">
        <v>74</v>
      </c>
      <c r="E269" t="s">
        <v>77</v>
      </c>
      <c r="F269" t="s">
        <v>99</v>
      </c>
      <c r="G269" t="s">
        <v>100</v>
      </c>
      <c r="H269" t="s">
        <v>104</v>
      </c>
      <c r="I269">
        <v>7</v>
      </c>
      <c r="J269">
        <v>7</v>
      </c>
      <c r="K269">
        <v>2</v>
      </c>
      <c r="L269">
        <v>7</v>
      </c>
      <c r="M269">
        <v>7</v>
      </c>
      <c r="N269">
        <v>7</v>
      </c>
      <c r="O269">
        <v>7</v>
      </c>
      <c r="P269">
        <v>7</v>
      </c>
      <c r="Q269">
        <v>7</v>
      </c>
    </row>
    <row r="270" spans="1:17" x14ac:dyDescent="0.45">
      <c r="A270" s="19">
        <v>46031.474999999999</v>
      </c>
      <c r="B270" t="s">
        <v>78</v>
      </c>
      <c r="C270" t="s">
        <v>79</v>
      </c>
      <c r="D270" t="s">
        <v>74</v>
      </c>
      <c r="E270" t="s">
        <v>75</v>
      </c>
      <c r="F270" t="s">
        <v>99</v>
      </c>
      <c r="G270" t="s">
        <v>106</v>
      </c>
      <c r="H270" t="s">
        <v>194</v>
      </c>
      <c r="I270">
        <v>4</v>
      </c>
      <c r="J270">
        <v>5</v>
      </c>
      <c r="K270">
        <v>2</v>
      </c>
      <c r="L270">
        <v>6</v>
      </c>
      <c r="M270">
        <v>3</v>
      </c>
      <c r="N270">
        <v>3</v>
      </c>
      <c r="O270">
        <v>1</v>
      </c>
      <c r="P270">
        <v>3</v>
      </c>
      <c r="Q270">
        <v>1</v>
      </c>
    </row>
    <row r="271" spans="1:17" x14ac:dyDescent="0.45">
      <c r="A271" s="19">
        <v>46031.525000000001</v>
      </c>
      <c r="B271" t="s">
        <v>72</v>
      </c>
      <c r="C271" t="s">
        <v>73</v>
      </c>
      <c r="D271" t="s">
        <v>74</v>
      </c>
      <c r="E271" t="s">
        <v>75</v>
      </c>
      <c r="F271" t="s">
        <v>102</v>
      </c>
      <c r="G271" t="s">
        <v>110</v>
      </c>
      <c r="H271" t="s">
        <v>109</v>
      </c>
      <c r="I271">
        <v>8</v>
      </c>
      <c r="J271">
        <v>8</v>
      </c>
      <c r="K271">
        <v>3</v>
      </c>
      <c r="L271">
        <v>8</v>
      </c>
      <c r="M271">
        <v>3</v>
      </c>
      <c r="N271">
        <v>1</v>
      </c>
      <c r="O271">
        <v>8</v>
      </c>
      <c r="P271">
        <v>6</v>
      </c>
      <c r="Q271">
        <v>7</v>
      </c>
    </row>
    <row r="272" spans="1:17" x14ac:dyDescent="0.45">
      <c r="A272" s="19">
        <v>46031.607638888891</v>
      </c>
      <c r="B272" t="s">
        <v>72</v>
      </c>
      <c r="C272" t="s">
        <v>73</v>
      </c>
      <c r="D272" t="s">
        <v>74</v>
      </c>
      <c r="E272" t="s">
        <v>75</v>
      </c>
      <c r="F272" t="s">
        <v>99</v>
      </c>
      <c r="G272" t="s">
        <v>110</v>
      </c>
      <c r="H272" t="s">
        <v>104</v>
      </c>
      <c r="I272">
        <v>7</v>
      </c>
      <c r="J272">
        <v>7</v>
      </c>
      <c r="K272">
        <v>4</v>
      </c>
      <c r="L272">
        <v>7</v>
      </c>
      <c r="M272">
        <v>7</v>
      </c>
      <c r="N272">
        <v>6</v>
      </c>
      <c r="O272">
        <v>5</v>
      </c>
      <c r="P272">
        <v>7</v>
      </c>
      <c r="Q272">
        <v>6</v>
      </c>
    </row>
    <row r="273" spans="1:17" x14ac:dyDescent="0.45">
      <c r="A273" s="19">
        <v>46031.607638888891</v>
      </c>
      <c r="B273" t="s">
        <v>78</v>
      </c>
      <c r="C273" t="s">
        <v>73</v>
      </c>
      <c r="D273" t="s">
        <v>74</v>
      </c>
      <c r="E273" t="s">
        <v>77</v>
      </c>
      <c r="F273" t="s">
        <v>99</v>
      </c>
      <c r="G273" t="s">
        <v>108</v>
      </c>
      <c r="H273" t="s">
        <v>101</v>
      </c>
      <c r="I273">
        <v>7</v>
      </c>
      <c r="J273">
        <v>8</v>
      </c>
      <c r="K273">
        <v>2</v>
      </c>
      <c r="L273">
        <v>6</v>
      </c>
      <c r="M273">
        <v>6</v>
      </c>
      <c r="N273">
        <v>6</v>
      </c>
      <c r="O273">
        <v>5</v>
      </c>
      <c r="P273">
        <v>5</v>
      </c>
      <c r="Q273">
        <v>6</v>
      </c>
    </row>
    <row r="274" spans="1:17" x14ac:dyDescent="0.45">
      <c r="A274" s="19">
        <v>46031.60833333333</v>
      </c>
      <c r="B274" t="s">
        <v>72</v>
      </c>
      <c r="C274" t="s">
        <v>190</v>
      </c>
      <c r="D274" t="s">
        <v>74</v>
      </c>
      <c r="E274" t="s">
        <v>75</v>
      </c>
      <c r="F274" t="s">
        <v>99</v>
      </c>
      <c r="G274" t="s">
        <v>106</v>
      </c>
      <c r="H274" t="s">
        <v>194</v>
      </c>
      <c r="I274">
        <v>3</v>
      </c>
      <c r="J274">
        <v>3</v>
      </c>
      <c r="K274">
        <v>1</v>
      </c>
      <c r="L274">
        <v>6</v>
      </c>
      <c r="M274">
        <v>1</v>
      </c>
      <c r="N274">
        <v>1</v>
      </c>
      <c r="O274">
        <v>1</v>
      </c>
      <c r="P274">
        <v>1</v>
      </c>
      <c r="Q274">
        <v>1</v>
      </c>
    </row>
    <row r="275" spans="1:17" x14ac:dyDescent="0.45">
      <c r="A275" s="19">
        <v>46031.609027777777</v>
      </c>
      <c r="B275" t="s">
        <v>72</v>
      </c>
      <c r="C275" t="s">
        <v>73</v>
      </c>
      <c r="D275" t="s">
        <v>74</v>
      </c>
      <c r="E275" t="s">
        <v>77</v>
      </c>
      <c r="F275" t="s">
        <v>99</v>
      </c>
      <c r="G275" t="s">
        <v>110</v>
      </c>
      <c r="H275" t="s">
        <v>104</v>
      </c>
      <c r="I275">
        <v>6</v>
      </c>
      <c r="J275">
        <v>6</v>
      </c>
      <c r="K275">
        <v>5</v>
      </c>
      <c r="L275">
        <v>6</v>
      </c>
      <c r="M275">
        <v>6</v>
      </c>
      <c r="N275">
        <v>6</v>
      </c>
      <c r="O275">
        <v>6</v>
      </c>
      <c r="P275">
        <v>6</v>
      </c>
      <c r="Q275">
        <v>6</v>
      </c>
    </row>
    <row r="276" spans="1:17" x14ac:dyDescent="0.45">
      <c r="A276" s="19">
        <v>46031.609027777777</v>
      </c>
      <c r="B276" t="s">
        <v>72</v>
      </c>
      <c r="C276" t="s">
        <v>79</v>
      </c>
      <c r="D276" t="s">
        <v>74</v>
      </c>
      <c r="E276" t="s">
        <v>75</v>
      </c>
      <c r="F276" t="s">
        <v>99</v>
      </c>
      <c r="G276" t="s">
        <v>110</v>
      </c>
      <c r="H276" t="s">
        <v>104</v>
      </c>
      <c r="I276">
        <v>8</v>
      </c>
      <c r="J276">
        <v>9</v>
      </c>
      <c r="K276">
        <v>5</v>
      </c>
      <c r="L276">
        <v>7</v>
      </c>
      <c r="M276">
        <v>6</v>
      </c>
      <c r="N276">
        <v>7</v>
      </c>
      <c r="O276">
        <v>7</v>
      </c>
      <c r="P276">
        <v>7</v>
      </c>
      <c r="Q276">
        <v>7</v>
      </c>
    </row>
    <row r="277" spans="1:17" x14ac:dyDescent="0.45">
      <c r="A277" s="19">
        <v>46031.609722222223</v>
      </c>
      <c r="B277" t="s">
        <v>78</v>
      </c>
      <c r="C277" t="s">
        <v>73</v>
      </c>
      <c r="D277" t="s">
        <v>74</v>
      </c>
      <c r="E277" t="s">
        <v>77</v>
      </c>
      <c r="F277" t="s">
        <v>99</v>
      </c>
      <c r="G277" t="s">
        <v>108</v>
      </c>
      <c r="H277" t="s">
        <v>101</v>
      </c>
      <c r="I277">
        <v>6</v>
      </c>
      <c r="J277">
        <v>6</v>
      </c>
      <c r="K277">
        <v>3</v>
      </c>
      <c r="L277">
        <v>7</v>
      </c>
      <c r="M277">
        <v>7</v>
      </c>
      <c r="N277">
        <v>7</v>
      </c>
      <c r="O277">
        <v>5</v>
      </c>
      <c r="P277">
        <v>7</v>
      </c>
      <c r="Q277">
        <v>7</v>
      </c>
    </row>
    <row r="278" spans="1:17" x14ac:dyDescent="0.45">
      <c r="A278" s="19">
        <v>46031.61041666667</v>
      </c>
      <c r="B278" t="s">
        <v>72</v>
      </c>
      <c r="C278" t="s">
        <v>79</v>
      </c>
      <c r="D278" t="s">
        <v>74</v>
      </c>
      <c r="E278" t="s">
        <v>77</v>
      </c>
      <c r="F278" t="s">
        <v>99</v>
      </c>
      <c r="G278" t="s">
        <v>106</v>
      </c>
      <c r="H278" t="s">
        <v>194</v>
      </c>
      <c r="I278">
        <v>8</v>
      </c>
      <c r="J278">
        <v>8</v>
      </c>
      <c r="K278">
        <v>6</v>
      </c>
      <c r="L278">
        <v>7</v>
      </c>
      <c r="M278">
        <v>7</v>
      </c>
      <c r="N278">
        <v>4</v>
      </c>
      <c r="O278">
        <v>5</v>
      </c>
      <c r="P278">
        <v>5</v>
      </c>
      <c r="Q278">
        <v>5</v>
      </c>
    </row>
    <row r="279" spans="1:17" x14ac:dyDescent="0.45">
      <c r="A279" s="19">
        <v>46031.61041666667</v>
      </c>
      <c r="B279" t="s">
        <v>72</v>
      </c>
      <c r="C279" t="s">
        <v>73</v>
      </c>
      <c r="D279" t="s">
        <v>74</v>
      </c>
      <c r="E279" t="s">
        <v>77</v>
      </c>
      <c r="F279" t="s">
        <v>99</v>
      </c>
      <c r="G279" t="s">
        <v>110</v>
      </c>
      <c r="H279" t="s">
        <v>105</v>
      </c>
      <c r="I279">
        <v>6</v>
      </c>
      <c r="J279">
        <v>7</v>
      </c>
      <c r="K279">
        <v>5</v>
      </c>
      <c r="L279">
        <v>7</v>
      </c>
      <c r="M279">
        <v>6</v>
      </c>
      <c r="N279">
        <v>6</v>
      </c>
      <c r="O279">
        <v>6</v>
      </c>
      <c r="P279">
        <v>6</v>
      </c>
      <c r="Q279">
        <v>6</v>
      </c>
    </row>
    <row r="280" spans="1:17" x14ac:dyDescent="0.45">
      <c r="A280" s="19">
        <v>46031.618750000001</v>
      </c>
      <c r="B280" t="s">
        <v>78</v>
      </c>
      <c r="C280" t="s">
        <v>73</v>
      </c>
      <c r="D280" t="s">
        <v>74</v>
      </c>
      <c r="E280" t="s">
        <v>75</v>
      </c>
      <c r="F280" t="s">
        <v>102</v>
      </c>
      <c r="G280" t="s">
        <v>106</v>
      </c>
      <c r="H280" t="s">
        <v>109</v>
      </c>
      <c r="I280">
        <v>6</v>
      </c>
      <c r="J280">
        <v>7</v>
      </c>
      <c r="K280">
        <v>5</v>
      </c>
      <c r="L280">
        <v>8</v>
      </c>
      <c r="M280">
        <v>6</v>
      </c>
      <c r="N280">
        <v>3</v>
      </c>
      <c r="O280">
        <v>6</v>
      </c>
      <c r="P280">
        <v>8</v>
      </c>
      <c r="Q280">
        <v>6</v>
      </c>
    </row>
    <row r="281" spans="1:17" x14ac:dyDescent="0.45">
      <c r="A281" s="19">
        <v>46031.635416666664</v>
      </c>
      <c r="B281" t="s">
        <v>72</v>
      </c>
      <c r="C281" t="s">
        <v>73</v>
      </c>
      <c r="D281" t="s">
        <v>74</v>
      </c>
      <c r="E281" t="s">
        <v>75</v>
      </c>
      <c r="F281" t="s">
        <v>99</v>
      </c>
      <c r="G281" t="s">
        <v>106</v>
      </c>
      <c r="H281" t="s">
        <v>104</v>
      </c>
      <c r="I281">
        <v>4</v>
      </c>
      <c r="J281">
        <v>4</v>
      </c>
      <c r="K281">
        <v>1</v>
      </c>
      <c r="L281">
        <v>6</v>
      </c>
      <c r="M281">
        <v>3</v>
      </c>
      <c r="N281">
        <v>2</v>
      </c>
      <c r="O281">
        <v>1</v>
      </c>
      <c r="P281">
        <v>5</v>
      </c>
      <c r="Q281">
        <v>4</v>
      </c>
    </row>
    <row r="282" spans="1:17" x14ac:dyDescent="0.45">
      <c r="A282" s="19">
        <v>46031.636111111111</v>
      </c>
      <c r="B282" t="s">
        <v>72</v>
      </c>
      <c r="C282" t="s">
        <v>79</v>
      </c>
      <c r="D282" t="s">
        <v>74</v>
      </c>
      <c r="E282" t="s">
        <v>75</v>
      </c>
      <c r="F282" t="s">
        <v>99</v>
      </c>
      <c r="G282" t="s">
        <v>106</v>
      </c>
      <c r="H282" t="s">
        <v>105</v>
      </c>
      <c r="I282">
        <v>6</v>
      </c>
      <c r="J282">
        <v>7</v>
      </c>
      <c r="K282">
        <v>4</v>
      </c>
      <c r="L282">
        <v>8</v>
      </c>
      <c r="M282">
        <v>6</v>
      </c>
      <c r="N282">
        <v>6</v>
      </c>
      <c r="O282">
        <v>5</v>
      </c>
      <c r="P282">
        <v>7</v>
      </c>
      <c r="Q282">
        <v>6</v>
      </c>
    </row>
    <row r="283" spans="1:17" x14ac:dyDescent="0.45">
      <c r="A283" s="19">
        <v>46031.636111111111</v>
      </c>
      <c r="B283" t="s">
        <v>72</v>
      </c>
      <c r="C283" t="s">
        <v>192</v>
      </c>
      <c r="D283" t="s">
        <v>74</v>
      </c>
      <c r="E283" t="s">
        <v>75</v>
      </c>
      <c r="F283" t="s">
        <v>99</v>
      </c>
      <c r="G283" t="s">
        <v>107</v>
      </c>
      <c r="H283" t="s">
        <v>194</v>
      </c>
      <c r="I283">
        <v>8</v>
      </c>
      <c r="J283">
        <v>8</v>
      </c>
      <c r="K283">
        <v>9</v>
      </c>
      <c r="L283">
        <v>9</v>
      </c>
      <c r="M283">
        <v>7</v>
      </c>
      <c r="N283">
        <v>8</v>
      </c>
      <c r="O283">
        <v>8</v>
      </c>
      <c r="P283">
        <v>8</v>
      </c>
      <c r="Q283">
        <v>7</v>
      </c>
    </row>
    <row r="284" spans="1:17" x14ac:dyDescent="0.45">
      <c r="A284" s="19">
        <v>46031.636805555558</v>
      </c>
      <c r="B284" t="s">
        <v>72</v>
      </c>
      <c r="C284" t="s">
        <v>79</v>
      </c>
      <c r="D284" t="s">
        <v>74</v>
      </c>
      <c r="E284" t="s">
        <v>77</v>
      </c>
      <c r="F284" t="s">
        <v>99</v>
      </c>
      <c r="G284" t="s">
        <v>110</v>
      </c>
      <c r="H284" t="s">
        <v>104</v>
      </c>
      <c r="I284">
        <v>5</v>
      </c>
      <c r="J284">
        <v>5</v>
      </c>
      <c r="K284">
        <v>2</v>
      </c>
      <c r="L284">
        <v>6</v>
      </c>
      <c r="M284">
        <v>5</v>
      </c>
      <c r="N284">
        <v>4</v>
      </c>
      <c r="O284">
        <v>5</v>
      </c>
      <c r="P284">
        <v>5</v>
      </c>
      <c r="Q284">
        <v>4</v>
      </c>
    </row>
    <row r="285" spans="1:17" x14ac:dyDescent="0.45">
      <c r="A285" s="19">
        <v>46031.637499999997</v>
      </c>
      <c r="B285" t="s">
        <v>78</v>
      </c>
      <c r="C285" t="s">
        <v>73</v>
      </c>
      <c r="D285" t="s">
        <v>74</v>
      </c>
      <c r="E285" t="s">
        <v>77</v>
      </c>
      <c r="F285" t="s">
        <v>99</v>
      </c>
      <c r="G285" t="s">
        <v>110</v>
      </c>
      <c r="H285" t="s">
        <v>104</v>
      </c>
      <c r="I285">
        <v>7</v>
      </c>
      <c r="J285">
        <v>7</v>
      </c>
      <c r="K285">
        <v>5</v>
      </c>
      <c r="L285">
        <v>7</v>
      </c>
      <c r="M285">
        <v>5</v>
      </c>
      <c r="N285">
        <v>6</v>
      </c>
      <c r="O285">
        <v>5</v>
      </c>
      <c r="P285">
        <v>7</v>
      </c>
      <c r="Q285">
        <v>6</v>
      </c>
    </row>
    <row r="286" spans="1:17" x14ac:dyDescent="0.45">
      <c r="A286" s="19">
        <v>46031.640277777777</v>
      </c>
      <c r="B286" t="s">
        <v>78</v>
      </c>
      <c r="C286" t="s">
        <v>190</v>
      </c>
      <c r="D286" t="s">
        <v>74</v>
      </c>
      <c r="E286" t="s">
        <v>77</v>
      </c>
      <c r="F286" t="s">
        <v>99</v>
      </c>
      <c r="G286" t="s">
        <v>106</v>
      </c>
      <c r="H286" t="s">
        <v>105</v>
      </c>
      <c r="I286">
        <v>7</v>
      </c>
      <c r="J286">
        <v>7</v>
      </c>
      <c r="K286">
        <v>5</v>
      </c>
      <c r="L286">
        <v>8</v>
      </c>
      <c r="M286">
        <v>6</v>
      </c>
      <c r="N286">
        <v>6</v>
      </c>
      <c r="O286">
        <v>6</v>
      </c>
      <c r="P286">
        <v>7</v>
      </c>
      <c r="Q286">
        <v>7</v>
      </c>
    </row>
    <row r="287" spans="1:17" x14ac:dyDescent="0.45">
      <c r="A287" s="19">
        <v>46031.640972222223</v>
      </c>
      <c r="B287" t="s">
        <v>72</v>
      </c>
      <c r="C287" t="s">
        <v>73</v>
      </c>
      <c r="D287" t="s">
        <v>74</v>
      </c>
      <c r="E287" t="s">
        <v>77</v>
      </c>
      <c r="F287" t="s">
        <v>99</v>
      </c>
      <c r="G287" t="s">
        <v>108</v>
      </c>
      <c r="H287" t="s">
        <v>109</v>
      </c>
      <c r="I287">
        <v>4</v>
      </c>
      <c r="J287">
        <v>4</v>
      </c>
      <c r="K287">
        <v>2</v>
      </c>
      <c r="L287">
        <v>8</v>
      </c>
      <c r="M287">
        <v>5</v>
      </c>
      <c r="N287">
        <v>5</v>
      </c>
      <c r="O287">
        <v>4</v>
      </c>
      <c r="P287">
        <v>6</v>
      </c>
      <c r="Q287">
        <v>5</v>
      </c>
    </row>
    <row r="288" spans="1:17" x14ac:dyDescent="0.45">
      <c r="A288" s="19">
        <v>46031.64166666667</v>
      </c>
      <c r="B288" t="s">
        <v>72</v>
      </c>
      <c r="C288" t="s">
        <v>190</v>
      </c>
      <c r="D288" t="s">
        <v>74</v>
      </c>
      <c r="E288" t="s">
        <v>77</v>
      </c>
      <c r="F288" t="s">
        <v>99</v>
      </c>
      <c r="G288" t="s">
        <v>110</v>
      </c>
      <c r="H288" t="s">
        <v>194</v>
      </c>
      <c r="I288">
        <v>10</v>
      </c>
      <c r="J288">
        <v>10</v>
      </c>
      <c r="K288">
        <v>7</v>
      </c>
      <c r="L288">
        <v>7</v>
      </c>
      <c r="M288">
        <v>8</v>
      </c>
      <c r="N288">
        <v>7</v>
      </c>
      <c r="O288">
        <v>8</v>
      </c>
      <c r="P288">
        <v>8</v>
      </c>
      <c r="Q288">
        <v>8</v>
      </c>
    </row>
    <row r="289" spans="1:17" x14ac:dyDescent="0.45">
      <c r="A289" s="19">
        <v>46031.642361111109</v>
      </c>
      <c r="B289" t="s">
        <v>78</v>
      </c>
      <c r="C289" t="s">
        <v>81</v>
      </c>
      <c r="D289" t="s">
        <v>74</v>
      </c>
      <c r="E289" t="s">
        <v>77</v>
      </c>
      <c r="F289" t="s">
        <v>99</v>
      </c>
      <c r="G289" t="s">
        <v>100</v>
      </c>
      <c r="H289" t="s">
        <v>109</v>
      </c>
      <c r="I289">
        <v>8</v>
      </c>
      <c r="J289">
        <v>8</v>
      </c>
      <c r="K289">
        <v>5</v>
      </c>
      <c r="L289">
        <v>9</v>
      </c>
      <c r="M289">
        <v>10</v>
      </c>
      <c r="N289">
        <v>10</v>
      </c>
      <c r="O289">
        <v>9</v>
      </c>
      <c r="P289">
        <v>9</v>
      </c>
      <c r="Q289">
        <v>10</v>
      </c>
    </row>
    <row r="290" spans="1:17" x14ac:dyDescent="0.45">
      <c r="A290" s="19">
        <v>46031.642361111109</v>
      </c>
      <c r="B290" t="s">
        <v>72</v>
      </c>
      <c r="C290" t="s">
        <v>73</v>
      </c>
      <c r="D290" t="s">
        <v>74</v>
      </c>
      <c r="E290" t="s">
        <v>189</v>
      </c>
      <c r="F290" t="s">
        <v>99</v>
      </c>
      <c r="G290" t="s">
        <v>100</v>
      </c>
      <c r="H290" t="s">
        <v>101</v>
      </c>
      <c r="I290">
        <v>7</v>
      </c>
      <c r="J290">
        <v>7</v>
      </c>
      <c r="K290">
        <v>5</v>
      </c>
      <c r="L290">
        <v>6</v>
      </c>
      <c r="M290">
        <v>5</v>
      </c>
      <c r="N290">
        <v>5</v>
      </c>
      <c r="O290">
        <v>5</v>
      </c>
      <c r="P290">
        <v>5</v>
      </c>
      <c r="Q290">
        <v>6</v>
      </c>
    </row>
    <row r="291" spans="1:17" x14ac:dyDescent="0.45">
      <c r="A291" s="19">
        <v>46031.643055555556</v>
      </c>
      <c r="B291" t="s">
        <v>78</v>
      </c>
      <c r="C291" t="s">
        <v>73</v>
      </c>
      <c r="D291" t="s">
        <v>74</v>
      </c>
      <c r="E291" t="s">
        <v>77</v>
      </c>
      <c r="F291" t="s">
        <v>99</v>
      </c>
      <c r="G291" t="s">
        <v>108</v>
      </c>
      <c r="H291" t="s">
        <v>104</v>
      </c>
      <c r="I291">
        <v>8</v>
      </c>
      <c r="J291">
        <v>8</v>
      </c>
      <c r="K291">
        <v>8</v>
      </c>
      <c r="L291">
        <v>8</v>
      </c>
      <c r="M291">
        <v>8</v>
      </c>
      <c r="N291">
        <v>8</v>
      </c>
      <c r="O291">
        <v>8</v>
      </c>
      <c r="P291">
        <v>8</v>
      </c>
      <c r="Q291">
        <v>8</v>
      </c>
    </row>
    <row r="292" spans="1:17" x14ac:dyDescent="0.45">
      <c r="A292" s="19">
        <v>46031.643055555556</v>
      </c>
      <c r="B292" t="s">
        <v>78</v>
      </c>
      <c r="C292" t="s">
        <v>81</v>
      </c>
      <c r="D292" t="s">
        <v>74</v>
      </c>
      <c r="E292" t="s">
        <v>77</v>
      </c>
      <c r="F292" t="s">
        <v>99</v>
      </c>
      <c r="G292" t="s">
        <v>110</v>
      </c>
      <c r="H292" t="s">
        <v>104</v>
      </c>
      <c r="I292">
        <v>9</v>
      </c>
      <c r="J292">
        <v>9</v>
      </c>
      <c r="K292">
        <v>3</v>
      </c>
      <c r="L292">
        <v>10</v>
      </c>
      <c r="M292">
        <v>8</v>
      </c>
      <c r="N292">
        <v>8</v>
      </c>
      <c r="O292">
        <v>6</v>
      </c>
      <c r="P292">
        <v>8</v>
      </c>
      <c r="Q292">
        <v>8</v>
      </c>
    </row>
    <row r="293" spans="1:17" x14ac:dyDescent="0.45">
      <c r="A293" s="19">
        <v>46031.643750000003</v>
      </c>
      <c r="B293" t="s">
        <v>72</v>
      </c>
      <c r="C293" t="s">
        <v>192</v>
      </c>
      <c r="D293" t="s">
        <v>74</v>
      </c>
      <c r="E293" t="s">
        <v>75</v>
      </c>
      <c r="F293" t="s">
        <v>196</v>
      </c>
      <c r="G293" t="s">
        <v>110</v>
      </c>
      <c r="H293" t="s">
        <v>104</v>
      </c>
      <c r="I293">
        <v>6</v>
      </c>
      <c r="J293">
        <v>6</v>
      </c>
      <c r="K293">
        <v>1</v>
      </c>
      <c r="L293">
        <v>6</v>
      </c>
      <c r="M293">
        <v>5</v>
      </c>
      <c r="N293">
        <v>6</v>
      </c>
      <c r="O293">
        <v>5</v>
      </c>
      <c r="P293">
        <v>6</v>
      </c>
      <c r="Q293">
        <v>6</v>
      </c>
    </row>
    <row r="294" spans="1:17" x14ac:dyDescent="0.45">
      <c r="A294" s="19">
        <v>46031.645833333336</v>
      </c>
      <c r="B294" t="s">
        <v>72</v>
      </c>
      <c r="C294" t="s">
        <v>81</v>
      </c>
      <c r="D294" t="s">
        <v>74</v>
      </c>
      <c r="E294" t="s">
        <v>77</v>
      </c>
      <c r="F294" t="s">
        <v>99</v>
      </c>
      <c r="G294" t="s">
        <v>108</v>
      </c>
      <c r="H294" t="s">
        <v>101</v>
      </c>
      <c r="I294">
        <v>8</v>
      </c>
      <c r="J294">
        <v>8</v>
      </c>
      <c r="K294">
        <v>5</v>
      </c>
      <c r="L294">
        <v>8</v>
      </c>
      <c r="M294">
        <v>5</v>
      </c>
      <c r="N294">
        <v>6</v>
      </c>
      <c r="O294">
        <v>5</v>
      </c>
      <c r="P294">
        <v>6</v>
      </c>
      <c r="Q294">
        <v>6</v>
      </c>
    </row>
    <row r="295" spans="1:17" x14ac:dyDescent="0.45">
      <c r="A295" s="19">
        <v>46031.646527777775</v>
      </c>
      <c r="B295" t="s">
        <v>72</v>
      </c>
      <c r="C295" t="s">
        <v>81</v>
      </c>
      <c r="D295" t="s">
        <v>74</v>
      </c>
      <c r="E295" t="s">
        <v>77</v>
      </c>
      <c r="F295" t="s">
        <v>99</v>
      </c>
      <c r="G295" t="s">
        <v>110</v>
      </c>
      <c r="H295" t="s">
        <v>105</v>
      </c>
      <c r="I295">
        <v>6</v>
      </c>
      <c r="J295">
        <v>6</v>
      </c>
      <c r="K295">
        <v>3</v>
      </c>
      <c r="L295">
        <v>7</v>
      </c>
      <c r="M295">
        <v>5</v>
      </c>
      <c r="N295">
        <v>6</v>
      </c>
      <c r="O295">
        <v>5</v>
      </c>
      <c r="P295">
        <v>5</v>
      </c>
      <c r="Q295">
        <v>6</v>
      </c>
    </row>
    <row r="296" spans="1:17" x14ac:dyDescent="0.45">
      <c r="A296" s="19">
        <v>46031.647222222222</v>
      </c>
      <c r="B296" t="s">
        <v>78</v>
      </c>
      <c r="C296" t="s">
        <v>188</v>
      </c>
      <c r="D296" t="s">
        <v>74</v>
      </c>
      <c r="E296" t="s">
        <v>77</v>
      </c>
      <c r="F296" t="s">
        <v>99</v>
      </c>
      <c r="G296" t="s">
        <v>100</v>
      </c>
      <c r="H296" t="s">
        <v>109</v>
      </c>
      <c r="I296">
        <v>8</v>
      </c>
      <c r="J296">
        <v>9</v>
      </c>
      <c r="K296">
        <v>9</v>
      </c>
      <c r="L296">
        <v>10</v>
      </c>
      <c r="M296">
        <v>8</v>
      </c>
      <c r="N296">
        <v>8</v>
      </c>
      <c r="O296">
        <v>9</v>
      </c>
      <c r="P296">
        <v>10</v>
      </c>
      <c r="Q296">
        <v>10</v>
      </c>
    </row>
    <row r="297" spans="1:17" x14ac:dyDescent="0.45">
      <c r="A297" s="19">
        <v>46031.684027777781</v>
      </c>
      <c r="B297" t="s">
        <v>78</v>
      </c>
      <c r="C297" t="s">
        <v>192</v>
      </c>
      <c r="D297" t="s">
        <v>74</v>
      </c>
      <c r="E297" t="s">
        <v>77</v>
      </c>
      <c r="F297" t="s">
        <v>99</v>
      </c>
      <c r="G297" t="s">
        <v>193</v>
      </c>
      <c r="H297" t="s">
        <v>109</v>
      </c>
      <c r="I297">
        <v>7</v>
      </c>
      <c r="J297">
        <v>7</v>
      </c>
      <c r="K297">
        <v>6</v>
      </c>
      <c r="L297">
        <v>7</v>
      </c>
      <c r="M297">
        <v>7</v>
      </c>
      <c r="N297">
        <v>1</v>
      </c>
      <c r="O297">
        <v>5</v>
      </c>
      <c r="P297">
        <v>7</v>
      </c>
      <c r="Q297">
        <v>7</v>
      </c>
    </row>
    <row r="298" spans="1:17" x14ac:dyDescent="0.45">
      <c r="A298" s="19">
        <v>46031.701388888891</v>
      </c>
      <c r="B298" t="s">
        <v>72</v>
      </c>
      <c r="C298" t="s">
        <v>73</v>
      </c>
      <c r="D298" t="s">
        <v>74</v>
      </c>
      <c r="E298" t="s">
        <v>77</v>
      </c>
      <c r="F298" t="s">
        <v>99</v>
      </c>
      <c r="G298" t="s">
        <v>110</v>
      </c>
      <c r="H298" t="s">
        <v>104</v>
      </c>
      <c r="I298">
        <v>5</v>
      </c>
      <c r="J298">
        <v>10</v>
      </c>
      <c r="K298">
        <v>5</v>
      </c>
      <c r="L298">
        <v>5</v>
      </c>
      <c r="M298">
        <v>2</v>
      </c>
      <c r="N298">
        <v>3</v>
      </c>
      <c r="O298">
        <v>2</v>
      </c>
      <c r="P298">
        <v>5</v>
      </c>
      <c r="Q298">
        <v>5</v>
      </c>
    </row>
    <row r="299" spans="1:17" x14ac:dyDescent="0.45">
      <c r="A299" s="19">
        <v>46031.705555555556</v>
      </c>
      <c r="B299" t="s">
        <v>78</v>
      </c>
      <c r="C299" t="s">
        <v>73</v>
      </c>
      <c r="D299" t="s">
        <v>74</v>
      </c>
      <c r="E299" t="s">
        <v>77</v>
      </c>
      <c r="F299" t="s">
        <v>196</v>
      </c>
      <c r="G299" t="s">
        <v>193</v>
      </c>
      <c r="H299" t="s">
        <v>109</v>
      </c>
      <c r="I299">
        <v>5</v>
      </c>
      <c r="J299">
        <v>5</v>
      </c>
      <c r="K299">
        <v>5</v>
      </c>
      <c r="L299">
        <v>10</v>
      </c>
      <c r="M299">
        <v>10</v>
      </c>
      <c r="N299">
        <v>5</v>
      </c>
      <c r="O299">
        <v>5</v>
      </c>
      <c r="P299">
        <v>5</v>
      </c>
      <c r="Q299">
        <v>5</v>
      </c>
    </row>
    <row r="300" spans="1:17" x14ac:dyDescent="0.45">
      <c r="A300" s="19">
        <v>46031.716666666667</v>
      </c>
      <c r="B300" t="s">
        <v>78</v>
      </c>
      <c r="C300" t="s">
        <v>73</v>
      </c>
      <c r="D300" t="s">
        <v>74</v>
      </c>
      <c r="E300" t="s">
        <v>75</v>
      </c>
      <c r="F300" t="s">
        <v>99</v>
      </c>
      <c r="G300" t="s">
        <v>108</v>
      </c>
      <c r="H300" t="s">
        <v>109</v>
      </c>
      <c r="I300">
        <v>10</v>
      </c>
      <c r="J300">
        <v>10</v>
      </c>
      <c r="K300">
        <v>10</v>
      </c>
      <c r="L300">
        <v>10</v>
      </c>
      <c r="M300">
        <v>10</v>
      </c>
      <c r="N300">
        <v>10</v>
      </c>
      <c r="O300">
        <v>10</v>
      </c>
      <c r="P300">
        <v>10</v>
      </c>
      <c r="Q300">
        <v>10</v>
      </c>
    </row>
    <row r="301" spans="1:17" x14ac:dyDescent="0.45">
      <c r="A301" s="19">
        <v>46031.716666666667</v>
      </c>
      <c r="B301" t="s">
        <v>78</v>
      </c>
      <c r="C301" t="s">
        <v>73</v>
      </c>
      <c r="D301" t="s">
        <v>74</v>
      </c>
      <c r="E301" t="s">
        <v>77</v>
      </c>
      <c r="F301" t="s">
        <v>99</v>
      </c>
      <c r="G301" t="s">
        <v>100</v>
      </c>
      <c r="H301" t="s">
        <v>101</v>
      </c>
      <c r="I301">
        <v>9</v>
      </c>
      <c r="J301">
        <v>9</v>
      </c>
      <c r="K301">
        <v>8</v>
      </c>
      <c r="L301">
        <v>10</v>
      </c>
      <c r="M301">
        <v>8</v>
      </c>
      <c r="N301">
        <v>8</v>
      </c>
      <c r="O301">
        <v>10</v>
      </c>
      <c r="P301">
        <v>9</v>
      </c>
      <c r="Q301">
        <v>9</v>
      </c>
    </row>
    <row r="302" spans="1:17" x14ac:dyDescent="0.45">
      <c r="A302" s="19">
        <v>46031.774305555555</v>
      </c>
      <c r="B302" t="s">
        <v>78</v>
      </c>
      <c r="C302" t="s">
        <v>81</v>
      </c>
      <c r="D302" t="s">
        <v>74</v>
      </c>
      <c r="E302" t="s">
        <v>77</v>
      </c>
      <c r="F302" t="s">
        <v>99</v>
      </c>
      <c r="G302" t="s">
        <v>193</v>
      </c>
      <c r="H302" t="s">
        <v>109</v>
      </c>
      <c r="I302">
        <v>8</v>
      </c>
      <c r="J302">
        <v>7</v>
      </c>
      <c r="K302">
        <v>9</v>
      </c>
      <c r="L302">
        <v>5</v>
      </c>
      <c r="M302">
        <v>7</v>
      </c>
      <c r="N302">
        <v>7</v>
      </c>
      <c r="O302">
        <v>7</v>
      </c>
      <c r="P302">
        <v>6</v>
      </c>
      <c r="Q302">
        <v>7</v>
      </c>
    </row>
    <row r="303" spans="1:17" x14ac:dyDescent="0.45">
      <c r="A303" s="19">
        <v>46031.786111111112</v>
      </c>
      <c r="B303" t="s">
        <v>72</v>
      </c>
      <c r="C303" t="s">
        <v>73</v>
      </c>
      <c r="D303" t="s">
        <v>74</v>
      </c>
      <c r="E303" t="s">
        <v>77</v>
      </c>
      <c r="F303" t="s">
        <v>99</v>
      </c>
      <c r="G303" t="s">
        <v>100</v>
      </c>
      <c r="H303" t="s">
        <v>109</v>
      </c>
      <c r="I303">
        <v>7</v>
      </c>
      <c r="J303">
        <v>7</v>
      </c>
      <c r="K303">
        <v>4</v>
      </c>
      <c r="L303">
        <v>8</v>
      </c>
      <c r="M303">
        <v>7</v>
      </c>
      <c r="N303">
        <v>7</v>
      </c>
      <c r="O303">
        <v>5</v>
      </c>
      <c r="P303">
        <v>5</v>
      </c>
      <c r="Q303">
        <v>7</v>
      </c>
    </row>
    <row r="304" spans="1:17" x14ac:dyDescent="0.45">
      <c r="A304" s="19">
        <v>46031.789583333331</v>
      </c>
      <c r="B304" t="s">
        <v>78</v>
      </c>
      <c r="C304" t="s">
        <v>73</v>
      </c>
      <c r="D304" t="s">
        <v>74</v>
      </c>
      <c r="E304" t="s">
        <v>77</v>
      </c>
      <c r="F304" t="s">
        <v>99</v>
      </c>
      <c r="G304" t="s">
        <v>100</v>
      </c>
      <c r="H304" t="s">
        <v>104</v>
      </c>
      <c r="I304">
        <v>6</v>
      </c>
      <c r="J304">
        <v>10</v>
      </c>
      <c r="K304">
        <v>5</v>
      </c>
      <c r="L304">
        <v>4</v>
      </c>
      <c r="M304">
        <v>3</v>
      </c>
      <c r="N304">
        <v>7</v>
      </c>
      <c r="O304">
        <v>4</v>
      </c>
      <c r="P304">
        <v>4</v>
      </c>
      <c r="Q304">
        <v>5</v>
      </c>
    </row>
    <row r="305" spans="1:17" x14ac:dyDescent="0.45">
      <c r="A305" s="19">
        <v>46031.790277777778</v>
      </c>
      <c r="B305" t="s">
        <v>78</v>
      </c>
      <c r="C305" t="s">
        <v>81</v>
      </c>
      <c r="D305" t="s">
        <v>74</v>
      </c>
      <c r="E305" t="s">
        <v>75</v>
      </c>
      <c r="F305" t="s">
        <v>99</v>
      </c>
      <c r="G305" t="s">
        <v>193</v>
      </c>
      <c r="H305" t="s">
        <v>109</v>
      </c>
      <c r="I305">
        <v>10</v>
      </c>
      <c r="J305">
        <v>10</v>
      </c>
      <c r="K305">
        <v>10</v>
      </c>
      <c r="L305">
        <v>10</v>
      </c>
      <c r="M305">
        <v>10</v>
      </c>
      <c r="N305">
        <v>10</v>
      </c>
      <c r="O305">
        <v>10</v>
      </c>
      <c r="P305">
        <v>10</v>
      </c>
      <c r="Q305">
        <v>10</v>
      </c>
    </row>
    <row r="306" spans="1:17" x14ac:dyDescent="0.45">
      <c r="A306" s="19">
        <v>46031.79791666667</v>
      </c>
      <c r="B306" t="s">
        <v>78</v>
      </c>
      <c r="C306" t="s">
        <v>73</v>
      </c>
      <c r="D306" t="s">
        <v>74</v>
      </c>
      <c r="E306" t="s">
        <v>77</v>
      </c>
      <c r="F306" t="s">
        <v>99</v>
      </c>
      <c r="G306" t="s">
        <v>108</v>
      </c>
      <c r="H306" t="s">
        <v>109</v>
      </c>
      <c r="I306">
        <v>7</v>
      </c>
      <c r="J306">
        <v>9</v>
      </c>
      <c r="K306">
        <v>8</v>
      </c>
      <c r="L306">
        <v>6</v>
      </c>
      <c r="M306">
        <v>5</v>
      </c>
      <c r="N306">
        <v>3</v>
      </c>
      <c r="O306">
        <v>9</v>
      </c>
      <c r="P306">
        <v>3</v>
      </c>
      <c r="Q306">
        <v>4</v>
      </c>
    </row>
    <row r="307" spans="1:17" x14ac:dyDescent="0.45">
      <c r="A307" s="19">
        <v>46031.8</v>
      </c>
      <c r="B307" t="s">
        <v>72</v>
      </c>
      <c r="C307" t="s">
        <v>79</v>
      </c>
      <c r="D307" t="s">
        <v>74</v>
      </c>
      <c r="E307" t="s">
        <v>77</v>
      </c>
      <c r="F307" t="s">
        <v>99</v>
      </c>
      <c r="G307" t="s">
        <v>110</v>
      </c>
      <c r="H307" t="s">
        <v>105</v>
      </c>
      <c r="I307">
        <v>3</v>
      </c>
      <c r="J307">
        <v>8</v>
      </c>
      <c r="K307">
        <v>8</v>
      </c>
      <c r="L307">
        <v>4</v>
      </c>
      <c r="M307">
        <v>4</v>
      </c>
      <c r="N307">
        <v>3</v>
      </c>
      <c r="O307">
        <v>7</v>
      </c>
      <c r="P307">
        <v>5</v>
      </c>
      <c r="Q307">
        <v>5</v>
      </c>
    </row>
    <row r="308" spans="1:17" x14ac:dyDescent="0.45">
      <c r="A308" s="19">
        <v>46031.804861111108</v>
      </c>
      <c r="B308" t="s">
        <v>72</v>
      </c>
      <c r="C308" t="s">
        <v>192</v>
      </c>
      <c r="D308" t="s">
        <v>74</v>
      </c>
      <c r="E308" t="s">
        <v>75</v>
      </c>
      <c r="F308" t="s">
        <v>196</v>
      </c>
      <c r="G308" t="s">
        <v>103</v>
      </c>
      <c r="H308" t="s">
        <v>104</v>
      </c>
      <c r="I308">
        <v>2</v>
      </c>
      <c r="J308">
        <v>2</v>
      </c>
      <c r="K308">
        <v>2</v>
      </c>
      <c r="L308">
        <v>1</v>
      </c>
      <c r="M308">
        <v>2</v>
      </c>
      <c r="N308">
        <v>2</v>
      </c>
      <c r="O308">
        <v>2</v>
      </c>
      <c r="P308">
        <v>2</v>
      </c>
      <c r="Q308">
        <v>2</v>
      </c>
    </row>
    <row r="309" spans="1:17" x14ac:dyDescent="0.45">
      <c r="A309" s="19">
        <v>46032.306944444441</v>
      </c>
      <c r="B309" t="s">
        <v>72</v>
      </c>
      <c r="C309" t="s">
        <v>79</v>
      </c>
      <c r="D309" t="s">
        <v>74</v>
      </c>
      <c r="E309" t="s">
        <v>75</v>
      </c>
      <c r="F309" t="s">
        <v>99</v>
      </c>
      <c r="G309" t="s">
        <v>107</v>
      </c>
      <c r="H309" t="s">
        <v>104</v>
      </c>
      <c r="I309">
        <v>10</v>
      </c>
      <c r="J309">
        <v>8</v>
      </c>
      <c r="K309">
        <v>8</v>
      </c>
      <c r="L309">
        <v>8</v>
      </c>
      <c r="M309">
        <v>10</v>
      </c>
      <c r="N309">
        <v>10</v>
      </c>
      <c r="O309">
        <v>6</v>
      </c>
      <c r="P309">
        <v>8</v>
      </c>
      <c r="Q309">
        <v>8</v>
      </c>
    </row>
    <row r="310" spans="1:17" x14ac:dyDescent="0.45">
      <c r="A310" s="19">
        <v>46032.379166666666</v>
      </c>
      <c r="B310" t="s">
        <v>78</v>
      </c>
      <c r="C310" t="s">
        <v>73</v>
      </c>
      <c r="D310" t="s">
        <v>74</v>
      </c>
      <c r="E310" t="s">
        <v>77</v>
      </c>
      <c r="F310" t="s">
        <v>99</v>
      </c>
      <c r="G310" t="s">
        <v>110</v>
      </c>
      <c r="H310" t="s">
        <v>101</v>
      </c>
      <c r="I310">
        <v>10</v>
      </c>
      <c r="J310">
        <v>10</v>
      </c>
      <c r="K310">
        <v>10</v>
      </c>
      <c r="L310">
        <v>10</v>
      </c>
      <c r="M310">
        <v>10</v>
      </c>
      <c r="N310">
        <v>9</v>
      </c>
      <c r="O310">
        <v>9</v>
      </c>
      <c r="P310">
        <v>10</v>
      </c>
      <c r="Q310">
        <v>10</v>
      </c>
    </row>
    <row r="311" spans="1:17" x14ac:dyDescent="0.45">
      <c r="A311" s="19">
        <v>46032.577777777777</v>
      </c>
      <c r="B311" t="s">
        <v>72</v>
      </c>
      <c r="C311" t="s">
        <v>188</v>
      </c>
      <c r="D311" t="s">
        <v>74</v>
      </c>
      <c r="E311" t="s">
        <v>77</v>
      </c>
      <c r="F311" t="s">
        <v>99</v>
      </c>
      <c r="G311" t="s">
        <v>195</v>
      </c>
      <c r="H311" t="s">
        <v>109</v>
      </c>
      <c r="I311">
        <v>7</v>
      </c>
      <c r="J311">
        <v>7</v>
      </c>
      <c r="K311">
        <v>5</v>
      </c>
      <c r="L311">
        <v>8</v>
      </c>
      <c r="M311">
        <v>8</v>
      </c>
      <c r="N311">
        <v>9</v>
      </c>
      <c r="O311">
        <v>9</v>
      </c>
      <c r="P311">
        <v>9</v>
      </c>
      <c r="Q311">
        <v>10</v>
      </c>
    </row>
    <row r="312" spans="1:17" x14ac:dyDescent="0.45">
      <c r="A312" s="19">
        <v>46032.577777777777</v>
      </c>
      <c r="B312" t="s">
        <v>72</v>
      </c>
      <c r="C312" t="s">
        <v>188</v>
      </c>
      <c r="D312" t="s">
        <v>74</v>
      </c>
      <c r="E312" t="s">
        <v>77</v>
      </c>
      <c r="F312" t="s">
        <v>99</v>
      </c>
      <c r="G312" t="s">
        <v>103</v>
      </c>
      <c r="H312" t="s">
        <v>109</v>
      </c>
      <c r="I312">
        <v>6</v>
      </c>
      <c r="J312">
        <v>5</v>
      </c>
      <c r="K312">
        <v>4</v>
      </c>
      <c r="L312">
        <v>7</v>
      </c>
      <c r="M312">
        <v>5</v>
      </c>
      <c r="N312">
        <v>6</v>
      </c>
      <c r="O312">
        <v>6</v>
      </c>
      <c r="P312">
        <v>7</v>
      </c>
      <c r="Q312">
        <v>7</v>
      </c>
    </row>
    <row r="313" spans="1:17" x14ac:dyDescent="0.45">
      <c r="A313" s="19">
        <v>46032.581250000003</v>
      </c>
      <c r="B313" t="s">
        <v>78</v>
      </c>
      <c r="C313" t="s">
        <v>81</v>
      </c>
      <c r="D313" t="s">
        <v>74</v>
      </c>
      <c r="E313" t="s">
        <v>77</v>
      </c>
      <c r="F313" t="s">
        <v>99</v>
      </c>
      <c r="G313" t="s">
        <v>195</v>
      </c>
      <c r="H313" t="s">
        <v>109</v>
      </c>
      <c r="I313">
        <v>8</v>
      </c>
      <c r="J313">
        <v>9</v>
      </c>
      <c r="K313">
        <v>10</v>
      </c>
      <c r="L313">
        <v>10</v>
      </c>
      <c r="M313">
        <v>8</v>
      </c>
      <c r="N313">
        <v>9</v>
      </c>
      <c r="O313">
        <v>8</v>
      </c>
      <c r="P313">
        <v>8</v>
      </c>
      <c r="Q313">
        <v>10</v>
      </c>
    </row>
    <row r="314" spans="1:17" x14ac:dyDescent="0.45">
      <c r="A314" s="19">
        <v>46033.399305555555</v>
      </c>
      <c r="B314" t="s">
        <v>78</v>
      </c>
      <c r="C314" t="s">
        <v>188</v>
      </c>
      <c r="D314" t="s">
        <v>74</v>
      </c>
      <c r="E314" t="s">
        <v>77</v>
      </c>
      <c r="F314" t="s">
        <v>99</v>
      </c>
      <c r="G314" t="s">
        <v>103</v>
      </c>
      <c r="H314" t="s">
        <v>109</v>
      </c>
      <c r="I314">
        <v>6</v>
      </c>
      <c r="J314">
        <v>6</v>
      </c>
      <c r="K314">
        <v>7</v>
      </c>
      <c r="L314">
        <v>7</v>
      </c>
      <c r="M314">
        <v>7</v>
      </c>
      <c r="N314">
        <v>8</v>
      </c>
      <c r="O314">
        <v>5</v>
      </c>
      <c r="P314">
        <v>5</v>
      </c>
      <c r="Q314">
        <v>8</v>
      </c>
    </row>
    <row r="315" spans="1:17" x14ac:dyDescent="0.45">
      <c r="A315" s="19">
        <v>46033.431250000001</v>
      </c>
      <c r="B315" t="s">
        <v>72</v>
      </c>
      <c r="C315" t="s">
        <v>188</v>
      </c>
      <c r="D315" t="s">
        <v>74</v>
      </c>
      <c r="E315" t="s">
        <v>77</v>
      </c>
      <c r="F315" t="s">
        <v>99</v>
      </c>
      <c r="G315" t="s">
        <v>103</v>
      </c>
      <c r="H315" t="s">
        <v>109</v>
      </c>
      <c r="I315">
        <v>7</v>
      </c>
      <c r="J315">
        <v>8</v>
      </c>
      <c r="K315">
        <v>8</v>
      </c>
      <c r="L315">
        <v>8</v>
      </c>
      <c r="M315">
        <v>5</v>
      </c>
      <c r="N315">
        <v>8</v>
      </c>
      <c r="O315">
        <v>6</v>
      </c>
      <c r="P315">
        <v>6</v>
      </c>
      <c r="Q315">
        <v>8</v>
      </c>
    </row>
    <row r="316" spans="1:17" x14ac:dyDescent="0.45">
      <c r="A316" s="19">
        <v>46033.888194444444</v>
      </c>
      <c r="B316" t="s">
        <v>78</v>
      </c>
      <c r="C316" t="s">
        <v>188</v>
      </c>
      <c r="D316" t="s">
        <v>74</v>
      </c>
      <c r="E316" t="s">
        <v>77</v>
      </c>
      <c r="F316" t="s">
        <v>99</v>
      </c>
      <c r="G316" t="s">
        <v>195</v>
      </c>
      <c r="H316" t="s">
        <v>109</v>
      </c>
      <c r="I316">
        <v>4</v>
      </c>
      <c r="J316">
        <v>5</v>
      </c>
      <c r="K316">
        <v>5</v>
      </c>
      <c r="L316">
        <v>7</v>
      </c>
      <c r="M316">
        <v>5</v>
      </c>
      <c r="N316">
        <v>8</v>
      </c>
      <c r="O316">
        <v>5</v>
      </c>
      <c r="P316">
        <v>6</v>
      </c>
      <c r="Q316">
        <v>8</v>
      </c>
    </row>
    <row r="317" spans="1:17" x14ac:dyDescent="0.45">
      <c r="A317" s="19">
        <v>46033.888888888891</v>
      </c>
      <c r="B317" t="s">
        <v>72</v>
      </c>
      <c r="C317" t="s">
        <v>81</v>
      </c>
      <c r="D317" t="s">
        <v>74</v>
      </c>
      <c r="E317" t="s">
        <v>77</v>
      </c>
      <c r="F317" t="s">
        <v>99</v>
      </c>
      <c r="G317" t="s">
        <v>100</v>
      </c>
      <c r="H317" t="s">
        <v>109</v>
      </c>
      <c r="I317">
        <v>6</v>
      </c>
      <c r="J317">
        <v>8</v>
      </c>
      <c r="K317">
        <v>5</v>
      </c>
      <c r="L317">
        <v>6</v>
      </c>
      <c r="M317">
        <v>6</v>
      </c>
      <c r="N317">
        <v>7</v>
      </c>
      <c r="O317">
        <v>6</v>
      </c>
      <c r="P317">
        <v>7</v>
      </c>
      <c r="Q317">
        <v>7</v>
      </c>
    </row>
    <row r="318" spans="1:17" x14ac:dyDescent="0.45">
      <c r="A318" s="19">
        <v>46034.478472222225</v>
      </c>
      <c r="B318" t="s">
        <v>72</v>
      </c>
      <c r="C318" t="s">
        <v>188</v>
      </c>
      <c r="D318" t="s">
        <v>74</v>
      </c>
      <c r="E318" t="s">
        <v>77</v>
      </c>
      <c r="F318" t="s">
        <v>99</v>
      </c>
      <c r="G318" t="s">
        <v>103</v>
      </c>
      <c r="H318" t="s">
        <v>109</v>
      </c>
      <c r="I318">
        <v>7</v>
      </c>
      <c r="J318">
        <v>7</v>
      </c>
      <c r="K318">
        <v>5</v>
      </c>
      <c r="L318">
        <v>8</v>
      </c>
      <c r="M318">
        <v>5</v>
      </c>
      <c r="N318">
        <v>8</v>
      </c>
      <c r="O318">
        <v>5</v>
      </c>
      <c r="P318">
        <v>7</v>
      </c>
      <c r="Q318">
        <v>8</v>
      </c>
    </row>
    <row r="319" spans="1:17" x14ac:dyDescent="0.45">
      <c r="A319" s="19">
        <v>46034.479166666664</v>
      </c>
      <c r="B319" t="s">
        <v>72</v>
      </c>
      <c r="C319" t="s">
        <v>81</v>
      </c>
      <c r="D319" t="s">
        <v>74</v>
      </c>
      <c r="E319" t="s">
        <v>75</v>
      </c>
      <c r="F319" t="s">
        <v>99</v>
      </c>
      <c r="G319" t="s">
        <v>195</v>
      </c>
      <c r="H319" t="s">
        <v>109</v>
      </c>
      <c r="I319">
        <v>4</v>
      </c>
      <c r="J319">
        <v>4</v>
      </c>
      <c r="K319">
        <v>6</v>
      </c>
      <c r="L319">
        <v>7</v>
      </c>
      <c r="M319">
        <v>5</v>
      </c>
      <c r="N319">
        <v>8</v>
      </c>
      <c r="O319">
        <v>5</v>
      </c>
      <c r="P319">
        <v>5</v>
      </c>
      <c r="Q319">
        <v>8</v>
      </c>
    </row>
    <row r="320" spans="1:17" x14ac:dyDescent="0.45">
      <c r="A320" s="19">
        <v>46034.479861111111</v>
      </c>
      <c r="B320" t="s">
        <v>72</v>
      </c>
      <c r="C320" t="s">
        <v>188</v>
      </c>
      <c r="D320" t="s">
        <v>74</v>
      </c>
      <c r="E320" t="s">
        <v>77</v>
      </c>
      <c r="F320" t="s">
        <v>99</v>
      </c>
      <c r="G320" t="s">
        <v>103</v>
      </c>
      <c r="H320" t="s">
        <v>109</v>
      </c>
      <c r="I320">
        <v>8</v>
      </c>
      <c r="J320">
        <v>8</v>
      </c>
      <c r="K320">
        <v>10</v>
      </c>
      <c r="L320">
        <v>10</v>
      </c>
      <c r="M320">
        <v>9</v>
      </c>
      <c r="N320">
        <v>10</v>
      </c>
      <c r="O320">
        <v>8</v>
      </c>
      <c r="P320">
        <v>8</v>
      </c>
      <c r="Q320">
        <v>10</v>
      </c>
    </row>
    <row r="321" spans="1:17" x14ac:dyDescent="0.45">
      <c r="A321" s="19">
        <v>46034.480555555558</v>
      </c>
      <c r="B321" t="s">
        <v>78</v>
      </c>
      <c r="C321" t="s">
        <v>73</v>
      </c>
      <c r="D321" t="s">
        <v>74</v>
      </c>
      <c r="E321" t="s">
        <v>75</v>
      </c>
      <c r="F321" t="s">
        <v>99</v>
      </c>
      <c r="G321" t="s">
        <v>100</v>
      </c>
      <c r="H321" t="s">
        <v>109</v>
      </c>
      <c r="I321">
        <v>5</v>
      </c>
      <c r="J321">
        <v>7</v>
      </c>
      <c r="K321">
        <v>7</v>
      </c>
      <c r="L321">
        <v>9</v>
      </c>
      <c r="M321">
        <v>5</v>
      </c>
      <c r="N321">
        <v>6</v>
      </c>
      <c r="O321">
        <v>5</v>
      </c>
      <c r="P321">
        <v>7</v>
      </c>
      <c r="Q321">
        <v>7</v>
      </c>
    </row>
    <row r="322" spans="1:17" x14ac:dyDescent="0.45">
      <c r="A322" s="19">
        <v>46034.481249999997</v>
      </c>
      <c r="B322" t="s">
        <v>72</v>
      </c>
      <c r="C322" t="s">
        <v>188</v>
      </c>
      <c r="D322" t="s">
        <v>74</v>
      </c>
      <c r="E322" t="s">
        <v>77</v>
      </c>
      <c r="F322" t="s">
        <v>99</v>
      </c>
      <c r="G322" t="s">
        <v>103</v>
      </c>
      <c r="H322" t="s">
        <v>109</v>
      </c>
      <c r="I322">
        <v>8</v>
      </c>
      <c r="J322">
        <v>8</v>
      </c>
      <c r="K322">
        <v>7</v>
      </c>
      <c r="L322">
        <v>9</v>
      </c>
      <c r="M322">
        <v>9</v>
      </c>
      <c r="N322">
        <v>9</v>
      </c>
      <c r="O322">
        <v>7</v>
      </c>
      <c r="P322">
        <v>9</v>
      </c>
      <c r="Q322">
        <v>9</v>
      </c>
    </row>
    <row r="323" spans="1:17" x14ac:dyDescent="0.45">
      <c r="A323" s="19">
        <v>46034.481944444444</v>
      </c>
      <c r="B323" t="s">
        <v>78</v>
      </c>
      <c r="C323" t="s">
        <v>81</v>
      </c>
      <c r="D323" t="s">
        <v>74</v>
      </c>
      <c r="E323" t="s">
        <v>77</v>
      </c>
      <c r="F323" t="s">
        <v>99</v>
      </c>
      <c r="G323" t="s">
        <v>100</v>
      </c>
      <c r="H323" t="s">
        <v>109</v>
      </c>
      <c r="I323">
        <v>5</v>
      </c>
      <c r="J323">
        <v>5</v>
      </c>
      <c r="K323">
        <v>5</v>
      </c>
      <c r="L323">
        <v>7</v>
      </c>
      <c r="M323">
        <v>5</v>
      </c>
      <c r="N323">
        <v>7</v>
      </c>
      <c r="O323">
        <v>5</v>
      </c>
      <c r="P323">
        <v>5</v>
      </c>
      <c r="Q323">
        <v>7</v>
      </c>
    </row>
    <row r="324" spans="1:17" x14ac:dyDescent="0.45">
      <c r="A324" s="19">
        <v>46034.484027777777</v>
      </c>
      <c r="B324" t="s">
        <v>78</v>
      </c>
      <c r="C324" t="s">
        <v>81</v>
      </c>
      <c r="D324" t="s">
        <v>74</v>
      </c>
      <c r="E324" t="s">
        <v>75</v>
      </c>
      <c r="F324" t="s">
        <v>99</v>
      </c>
      <c r="G324" t="s">
        <v>100</v>
      </c>
      <c r="H324" t="s">
        <v>109</v>
      </c>
      <c r="I324">
        <v>7</v>
      </c>
      <c r="J324">
        <v>7</v>
      </c>
      <c r="K324">
        <v>8</v>
      </c>
      <c r="L324">
        <v>8</v>
      </c>
      <c r="M324">
        <v>6</v>
      </c>
      <c r="N324">
        <v>7</v>
      </c>
      <c r="O324">
        <v>6</v>
      </c>
      <c r="P324">
        <v>7</v>
      </c>
      <c r="Q324">
        <v>7</v>
      </c>
    </row>
    <row r="325" spans="1:17" x14ac:dyDescent="0.45">
      <c r="A325" s="19">
        <v>46034.484722222223</v>
      </c>
      <c r="B325" t="s">
        <v>72</v>
      </c>
      <c r="C325" t="s">
        <v>188</v>
      </c>
      <c r="D325" t="s">
        <v>74</v>
      </c>
      <c r="E325" t="s">
        <v>77</v>
      </c>
      <c r="F325" t="s">
        <v>99</v>
      </c>
      <c r="G325" t="s">
        <v>193</v>
      </c>
      <c r="H325" t="s">
        <v>109</v>
      </c>
      <c r="I325">
        <v>7</v>
      </c>
      <c r="J325">
        <v>7</v>
      </c>
      <c r="K325">
        <v>5</v>
      </c>
      <c r="L325">
        <v>7</v>
      </c>
      <c r="M325">
        <v>7</v>
      </c>
      <c r="N325">
        <v>7</v>
      </c>
      <c r="O325">
        <v>5</v>
      </c>
      <c r="P325">
        <v>5</v>
      </c>
      <c r="Q325">
        <v>8</v>
      </c>
    </row>
    <row r="326" spans="1:17" x14ac:dyDescent="0.45">
      <c r="A326" s="19">
        <v>46034.48541666667</v>
      </c>
      <c r="B326" t="s">
        <v>78</v>
      </c>
      <c r="C326" t="s">
        <v>73</v>
      </c>
      <c r="D326" t="s">
        <v>74</v>
      </c>
      <c r="E326" t="s">
        <v>77</v>
      </c>
      <c r="F326" t="s">
        <v>99</v>
      </c>
      <c r="G326" t="s">
        <v>108</v>
      </c>
      <c r="H326" t="s">
        <v>101</v>
      </c>
      <c r="I326">
        <v>2</v>
      </c>
      <c r="J326">
        <v>2</v>
      </c>
      <c r="K326">
        <v>6</v>
      </c>
      <c r="L326">
        <v>7</v>
      </c>
      <c r="M326">
        <v>2</v>
      </c>
      <c r="N326">
        <v>5</v>
      </c>
      <c r="O326">
        <v>5</v>
      </c>
      <c r="P326">
        <v>6</v>
      </c>
      <c r="Q326">
        <v>5</v>
      </c>
    </row>
    <row r="327" spans="1:17" x14ac:dyDescent="0.45">
      <c r="A327" s="19">
        <v>46034.486111111109</v>
      </c>
      <c r="B327" t="s">
        <v>72</v>
      </c>
      <c r="C327" t="s">
        <v>79</v>
      </c>
      <c r="D327" t="s">
        <v>74</v>
      </c>
      <c r="E327" t="s">
        <v>77</v>
      </c>
      <c r="F327" t="s">
        <v>99</v>
      </c>
      <c r="G327" t="s">
        <v>110</v>
      </c>
      <c r="H327" t="s">
        <v>104</v>
      </c>
      <c r="I327">
        <v>8</v>
      </c>
      <c r="J327">
        <v>9</v>
      </c>
      <c r="K327">
        <v>9</v>
      </c>
      <c r="L327">
        <v>10</v>
      </c>
      <c r="M327">
        <v>8</v>
      </c>
      <c r="N327">
        <v>10</v>
      </c>
      <c r="O327">
        <v>9</v>
      </c>
      <c r="P327">
        <v>9</v>
      </c>
      <c r="Q327">
        <v>10</v>
      </c>
    </row>
    <row r="328" spans="1:17" x14ac:dyDescent="0.45">
      <c r="A328" s="19">
        <v>46034.486805555556</v>
      </c>
      <c r="B328" t="s">
        <v>72</v>
      </c>
      <c r="C328" t="s">
        <v>81</v>
      </c>
      <c r="D328" t="s">
        <v>74</v>
      </c>
      <c r="E328" t="s">
        <v>77</v>
      </c>
      <c r="F328" t="s">
        <v>99</v>
      </c>
      <c r="G328" t="s">
        <v>195</v>
      </c>
      <c r="H328" t="s">
        <v>109</v>
      </c>
      <c r="I328">
        <v>7</v>
      </c>
      <c r="J328">
        <v>7</v>
      </c>
      <c r="K328">
        <v>7</v>
      </c>
      <c r="L328">
        <v>9</v>
      </c>
      <c r="M328">
        <v>7</v>
      </c>
      <c r="N328">
        <v>8</v>
      </c>
      <c r="O328">
        <v>5</v>
      </c>
      <c r="P328">
        <v>7</v>
      </c>
      <c r="Q328">
        <v>8</v>
      </c>
    </row>
    <row r="329" spans="1:17" x14ac:dyDescent="0.45">
      <c r="A329" s="19">
        <v>46034.488888888889</v>
      </c>
      <c r="B329" t="s">
        <v>78</v>
      </c>
      <c r="C329" t="s">
        <v>79</v>
      </c>
      <c r="D329" t="s">
        <v>74</v>
      </c>
      <c r="E329" t="s">
        <v>75</v>
      </c>
      <c r="F329" t="s">
        <v>99</v>
      </c>
      <c r="G329" t="s">
        <v>106</v>
      </c>
      <c r="H329" t="s">
        <v>105</v>
      </c>
      <c r="I329">
        <v>7</v>
      </c>
      <c r="J329">
        <v>8</v>
      </c>
      <c r="K329">
        <v>9</v>
      </c>
      <c r="L329">
        <v>9</v>
      </c>
      <c r="M329">
        <v>9</v>
      </c>
      <c r="N329">
        <v>8</v>
      </c>
      <c r="O329">
        <v>7</v>
      </c>
      <c r="P329">
        <v>7</v>
      </c>
      <c r="Q329">
        <v>9</v>
      </c>
    </row>
    <row r="330" spans="1:17" x14ac:dyDescent="0.45">
      <c r="A330" s="19">
        <v>46034.490972222222</v>
      </c>
      <c r="B330" t="s">
        <v>72</v>
      </c>
      <c r="C330" t="s">
        <v>81</v>
      </c>
      <c r="D330" t="s">
        <v>74</v>
      </c>
      <c r="E330" t="s">
        <v>77</v>
      </c>
      <c r="F330" t="s">
        <v>99</v>
      </c>
      <c r="G330" t="s">
        <v>103</v>
      </c>
      <c r="H330" t="s">
        <v>109</v>
      </c>
      <c r="I330">
        <v>7</v>
      </c>
      <c r="J330">
        <v>7</v>
      </c>
      <c r="K330">
        <v>9</v>
      </c>
      <c r="L330">
        <v>9</v>
      </c>
      <c r="M330">
        <v>9</v>
      </c>
      <c r="N330">
        <v>9</v>
      </c>
      <c r="O330">
        <v>5</v>
      </c>
      <c r="P330">
        <v>6</v>
      </c>
      <c r="Q330">
        <v>9</v>
      </c>
    </row>
    <row r="331" spans="1:17" x14ac:dyDescent="0.45">
      <c r="A331" s="19">
        <v>46034.490972222222</v>
      </c>
      <c r="B331" t="s">
        <v>78</v>
      </c>
      <c r="C331" t="s">
        <v>188</v>
      </c>
      <c r="D331" t="s">
        <v>74</v>
      </c>
      <c r="E331" t="s">
        <v>77</v>
      </c>
      <c r="F331" t="s">
        <v>99</v>
      </c>
      <c r="G331" t="s">
        <v>103</v>
      </c>
      <c r="H331" t="s">
        <v>109</v>
      </c>
      <c r="I331">
        <v>3</v>
      </c>
      <c r="J331">
        <v>3</v>
      </c>
      <c r="K331">
        <v>5</v>
      </c>
      <c r="L331">
        <v>6</v>
      </c>
      <c r="M331">
        <v>4</v>
      </c>
      <c r="N331">
        <v>5</v>
      </c>
      <c r="O331">
        <v>5</v>
      </c>
      <c r="P331">
        <v>5</v>
      </c>
      <c r="Q331">
        <v>5</v>
      </c>
    </row>
    <row r="332" spans="1:17" x14ac:dyDescent="0.45">
      <c r="A332" s="19">
        <v>46034.507638888892</v>
      </c>
      <c r="B332" t="s">
        <v>78</v>
      </c>
      <c r="C332" t="s">
        <v>73</v>
      </c>
      <c r="D332" t="s">
        <v>74</v>
      </c>
      <c r="E332" t="s">
        <v>77</v>
      </c>
      <c r="F332" t="s">
        <v>99</v>
      </c>
      <c r="G332" t="s">
        <v>100</v>
      </c>
      <c r="H332" t="s">
        <v>101</v>
      </c>
      <c r="I332">
        <v>4</v>
      </c>
      <c r="J332">
        <v>4</v>
      </c>
      <c r="K332">
        <v>5</v>
      </c>
      <c r="L332">
        <v>6</v>
      </c>
      <c r="M332">
        <v>4</v>
      </c>
      <c r="N332">
        <v>5</v>
      </c>
      <c r="O332">
        <v>3</v>
      </c>
      <c r="P332">
        <v>4</v>
      </c>
      <c r="Q332">
        <v>5</v>
      </c>
    </row>
    <row r="333" spans="1:17" x14ac:dyDescent="0.45">
      <c r="A333" s="19">
        <v>46034.508333333331</v>
      </c>
      <c r="B333" t="s">
        <v>72</v>
      </c>
      <c r="C333" t="s">
        <v>188</v>
      </c>
      <c r="D333" t="s">
        <v>74</v>
      </c>
      <c r="E333" t="s">
        <v>77</v>
      </c>
      <c r="F333" t="s">
        <v>99</v>
      </c>
      <c r="G333" t="s">
        <v>195</v>
      </c>
      <c r="H333" t="s">
        <v>109</v>
      </c>
      <c r="I333">
        <v>7</v>
      </c>
      <c r="J333">
        <v>7</v>
      </c>
      <c r="K333">
        <v>9</v>
      </c>
      <c r="L333">
        <v>9</v>
      </c>
      <c r="M333">
        <v>8</v>
      </c>
      <c r="N333">
        <v>9</v>
      </c>
      <c r="O333">
        <v>7</v>
      </c>
      <c r="P333">
        <v>9</v>
      </c>
      <c r="Q333">
        <v>9</v>
      </c>
    </row>
    <row r="334" spans="1:17" x14ac:dyDescent="0.45">
      <c r="A334" s="19">
        <v>46034.509027777778</v>
      </c>
      <c r="B334" t="s">
        <v>78</v>
      </c>
      <c r="C334" t="s">
        <v>79</v>
      </c>
      <c r="D334" t="s">
        <v>74</v>
      </c>
      <c r="E334" t="s">
        <v>75</v>
      </c>
      <c r="F334" t="s">
        <v>99</v>
      </c>
      <c r="G334" t="s">
        <v>106</v>
      </c>
      <c r="H334" t="s">
        <v>101</v>
      </c>
      <c r="I334">
        <v>6</v>
      </c>
      <c r="J334">
        <v>6</v>
      </c>
      <c r="K334">
        <v>8</v>
      </c>
      <c r="L334">
        <v>8</v>
      </c>
      <c r="M334">
        <v>6</v>
      </c>
      <c r="N334">
        <v>7</v>
      </c>
      <c r="O334">
        <v>6</v>
      </c>
      <c r="P334">
        <v>7</v>
      </c>
      <c r="Q334">
        <v>7</v>
      </c>
    </row>
    <row r="335" spans="1:17" x14ac:dyDescent="0.45">
      <c r="A335" s="19">
        <v>46034.509722222225</v>
      </c>
      <c r="B335" t="s">
        <v>72</v>
      </c>
      <c r="C335" t="s">
        <v>190</v>
      </c>
      <c r="D335" t="s">
        <v>74</v>
      </c>
      <c r="E335" t="s">
        <v>75</v>
      </c>
      <c r="F335" t="s">
        <v>102</v>
      </c>
      <c r="G335" t="s">
        <v>107</v>
      </c>
      <c r="H335" t="s">
        <v>105</v>
      </c>
      <c r="I335">
        <v>2</v>
      </c>
      <c r="J335">
        <v>2</v>
      </c>
      <c r="K335">
        <v>3</v>
      </c>
      <c r="L335">
        <v>5</v>
      </c>
      <c r="M335">
        <v>1</v>
      </c>
      <c r="N335">
        <v>1</v>
      </c>
      <c r="O335">
        <v>1</v>
      </c>
      <c r="P335">
        <v>3</v>
      </c>
      <c r="Q335">
        <v>1</v>
      </c>
    </row>
    <row r="336" spans="1:17" x14ac:dyDescent="0.45">
      <c r="A336" s="19">
        <v>46034.513888888891</v>
      </c>
      <c r="B336" t="s">
        <v>78</v>
      </c>
      <c r="C336" t="s">
        <v>188</v>
      </c>
      <c r="D336" t="s">
        <v>74</v>
      </c>
      <c r="E336" t="s">
        <v>77</v>
      </c>
      <c r="F336" t="s">
        <v>99</v>
      </c>
      <c r="G336" t="s">
        <v>103</v>
      </c>
      <c r="H336" t="s">
        <v>109</v>
      </c>
      <c r="I336">
        <v>7</v>
      </c>
      <c r="J336">
        <v>7</v>
      </c>
      <c r="K336">
        <v>8</v>
      </c>
      <c r="L336">
        <v>10</v>
      </c>
      <c r="M336">
        <v>9</v>
      </c>
      <c r="N336">
        <v>10</v>
      </c>
      <c r="O336">
        <v>8</v>
      </c>
      <c r="P336">
        <v>8</v>
      </c>
      <c r="Q336">
        <v>10</v>
      </c>
    </row>
    <row r="337" spans="1:17" x14ac:dyDescent="0.45">
      <c r="A337" s="19">
        <v>46034.51458333333</v>
      </c>
      <c r="B337" t="s">
        <v>72</v>
      </c>
      <c r="C337" t="s">
        <v>81</v>
      </c>
      <c r="D337" t="s">
        <v>74</v>
      </c>
      <c r="E337" t="s">
        <v>77</v>
      </c>
      <c r="F337" t="s">
        <v>99</v>
      </c>
      <c r="G337" t="s">
        <v>195</v>
      </c>
      <c r="H337" t="s">
        <v>109</v>
      </c>
      <c r="I337">
        <v>4</v>
      </c>
      <c r="J337">
        <v>5</v>
      </c>
      <c r="K337">
        <v>5</v>
      </c>
      <c r="L337">
        <v>6</v>
      </c>
      <c r="M337">
        <v>5</v>
      </c>
      <c r="N337">
        <v>6</v>
      </c>
      <c r="O337">
        <v>5</v>
      </c>
      <c r="P337">
        <v>5</v>
      </c>
      <c r="Q337">
        <v>6</v>
      </c>
    </row>
    <row r="338" spans="1:17" x14ac:dyDescent="0.45">
      <c r="A338" s="19">
        <v>46034.515277777777</v>
      </c>
      <c r="B338" t="s">
        <v>78</v>
      </c>
      <c r="C338" t="s">
        <v>73</v>
      </c>
      <c r="D338" t="s">
        <v>74</v>
      </c>
      <c r="E338" t="s">
        <v>77</v>
      </c>
      <c r="F338" t="s">
        <v>99</v>
      </c>
      <c r="G338" t="s">
        <v>100</v>
      </c>
      <c r="H338" t="s">
        <v>109</v>
      </c>
      <c r="I338">
        <v>7</v>
      </c>
      <c r="J338">
        <v>8</v>
      </c>
      <c r="K338">
        <v>7</v>
      </c>
      <c r="L338">
        <v>7</v>
      </c>
      <c r="M338">
        <v>6</v>
      </c>
      <c r="N338">
        <v>8</v>
      </c>
      <c r="O338">
        <v>6</v>
      </c>
      <c r="P338">
        <v>8</v>
      </c>
      <c r="Q338">
        <v>8</v>
      </c>
    </row>
    <row r="339" spans="1:17" x14ac:dyDescent="0.45">
      <c r="A339" s="19">
        <v>46034.515972222223</v>
      </c>
      <c r="B339" t="s">
        <v>78</v>
      </c>
      <c r="C339" t="s">
        <v>188</v>
      </c>
      <c r="D339" t="s">
        <v>74</v>
      </c>
      <c r="E339" t="s">
        <v>77</v>
      </c>
      <c r="F339" t="s">
        <v>99</v>
      </c>
      <c r="G339" t="s">
        <v>103</v>
      </c>
      <c r="H339" t="s">
        <v>109</v>
      </c>
      <c r="I339">
        <v>8</v>
      </c>
      <c r="J339">
        <v>8</v>
      </c>
      <c r="K339">
        <v>9</v>
      </c>
      <c r="L339">
        <v>9</v>
      </c>
      <c r="M339">
        <v>8</v>
      </c>
      <c r="N339">
        <v>9</v>
      </c>
      <c r="O339">
        <v>10</v>
      </c>
      <c r="P339">
        <v>9</v>
      </c>
      <c r="Q339">
        <v>10</v>
      </c>
    </row>
    <row r="340" spans="1:17" x14ac:dyDescent="0.45">
      <c r="A340" s="19">
        <v>46034.515972222223</v>
      </c>
      <c r="B340" t="s">
        <v>72</v>
      </c>
      <c r="C340" t="s">
        <v>188</v>
      </c>
      <c r="D340" t="s">
        <v>74</v>
      </c>
      <c r="E340" t="s">
        <v>77</v>
      </c>
      <c r="F340" t="s">
        <v>99</v>
      </c>
      <c r="G340" t="s">
        <v>103</v>
      </c>
      <c r="H340" t="s">
        <v>109</v>
      </c>
      <c r="I340">
        <v>7</v>
      </c>
      <c r="J340">
        <v>7</v>
      </c>
      <c r="K340">
        <v>8</v>
      </c>
      <c r="L340">
        <v>8</v>
      </c>
      <c r="M340">
        <v>6</v>
      </c>
      <c r="N340">
        <v>7</v>
      </c>
      <c r="O340">
        <v>6</v>
      </c>
      <c r="P340">
        <v>6</v>
      </c>
      <c r="Q340">
        <v>7</v>
      </c>
    </row>
    <row r="341" spans="1:17" x14ac:dyDescent="0.45">
      <c r="A341" s="19">
        <v>46034.591666666667</v>
      </c>
      <c r="B341" t="s">
        <v>78</v>
      </c>
      <c r="C341" t="s">
        <v>81</v>
      </c>
      <c r="D341" t="s">
        <v>74</v>
      </c>
      <c r="E341" t="s">
        <v>77</v>
      </c>
      <c r="F341" t="s">
        <v>99</v>
      </c>
      <c r="G341" t="s">
        <v>103</v>
      </c>
      <c r="H341" t="s">
        <v>109</v>
      </c>
      <c r="I341">
        <v>7</v>
      </c>
      <c r="J341">
        <v>8</v>
      </c>
      <c r="K341">
        <v>8</v>
      </c>
      <c r="L341">
        <v>8</v>
      </c>
      <c r="M341">
        <v>5</v>
      </c>
      <c r="N341">
        <v>8</v>
      </c>
      <c r="O341">
        <v>5</v>
      </c>
      <c r="P341">
        <v>8</v>
      </c>
      <c r="Q341">
        <v>8</v>
      </c>
    </row>
    <row r="342" spans="1:17" x14ac:dyDescent="0.45">
      <c r="A342" s="19">
        <v>46034.592361111114</v>
      </c>
      <c r="B342" t="s">
        <v>72</v>
      </c>
      <c r="C342" t="s">
        <v>188</v>
      </c>
      <c r="D342" t="s">
        <v>74</v>
      </c>
      <c r="E342" t="s">
        <v>77</v>
      </c>
      <c r="F342" t="s">
        <v>99</v>
      </c>
      <c r="G342" t="s">
        <v>193</v>
      </c>
      <c r="H342" t="s">
        <v>109</v>
      </c>
      <c r="I342">
        <v>8</v>
      </c>
      <c r="J342">
        <v>8</v>
      </c>
      <c r="K342">
        <v>8</v>
      </c>
      <c r="L342">
        <v>9</v>
      </c>
      <c r="M342">
        <v>8</v>
      </c>
      <c r="N342">
        <v>8</v>
      </c>
      <c r="O342">
        <v>7</v>
      </c>
      <c r="P342">
        <v>7</v>
      </c>
      <c r="Q342">
        <v>8</v>
      </c>
    </row>
    <row r="343" spans="1:17" x14ac:dyDescent="0.45">
      <c r="A343" s="19">
        <v>46034.593055555553</v>
      </c>
      <c r="B343" t="s">
        <v>78</v>
      </c>
      <c r="C343" t="s">
        <v>188</v>
      </c>
      <c r="D343" t="s">
        <v>74</v>
      </c>
      <c r="E343" t="s">
        <v>77</v>
      </c>
      <c r="F343" t="s">
        <v>99</v>
      </c>
      <c r="G343" t="s">
        <v>193</v>
      </c>
      <c r="H343" t="s">
        <v>109</v>
      </c>
      <c r="I343">
        <v>5</v>
      </c>
      <c r="J343">
        <v>5</v>
      </c>
      <c r="K343">
        <v>6</v>
      </c>
      <c r="L343">
        <v>7</v>
      </c>
      <c r="M343">
        <v>5</v>
      </c>
      <c r="N343">
        <v>8</v>
      </c>
      <c r="O343">
        <v>6</v>
      </c>
      <c r="P343">
        <v>6</v>
      </c>
      <c r="Q343">
        <v>7</v>
      </c>
    </row>
    <row r="344" spans="1:17" x14ac:dyDescent="0.45">
      <c r="A344" s="19">
        <v>46034.59375</v>
      </c>
      <c r="B344" t="s">
        <v>78</v>
      </c>
      <c r="C344" t="s">
        <v>81</v>
      </c>
      <c r="D344" t="s">
        <v>74</v>
      </c>
      <c r="E344" t="s">
        <v>77</v>
      </c>
      <c r="F344" t="s">
        <v>99</v>
      </c>
      <c r="G344" t="s">
        <v>103</v>
      </c>
      <c r="H344" t="s">
        <v>109</v>
      </c>
      <c r="I344">
        <v>7</v>
      </c>
      <c r="J344">
        <v>7</v>
      </c>
      <c r="K344">
        <v>8</v>
      </c>
      <c r="L344">
        <v>7</v>
      </c>
      <c r="M344">
        <v>8</v>
      </c>
      <c r="N344">
        <v>8</v>
      </c>
      <c r="O344">
        <v>8</v>
      </c>
      <c r="P344">
        <v>7</v>
      </c>
      <c r="Q344">
        <v>8</v>
      </c>
    </row>
    <row r="345" spans="1:17" x14ac:dyDescent="0.45">
      <c r="A345" s="19">
        <v>46034.594444444447</v>
      </c>
      <c r="B345" t="s">
        <v>78</v>
      </c>
      <c r="C345" t="s">
        <v>73</v>
      </c>
      <c r="D345" t="s">
        <v>74</v>
      </c>
      <c r="E345" t="s">
        <v>75</v>
      </c>
      <c r="F345" t="s">
        <v>99</v>
      </c>
      <c r="G345" t="s">
        <v>110</v>
      </c>
      <c r="H345" t="s">
        <v>104</v>
      </c>
      <c r="I345">
        <v>7</v>
      </c>
      <c r="J345">
        <v>7</v>
      </c>
      <c r="K345">
        <v>5</v>
      </c>
      <c r="L345">
        <v>8</v>
      </c>
      <c r="M345">
        <v>6</v>
      </c>
      <c r="N345">
        <v>5</v>
      </c>
      <c r="O345">
        <v>5</v>
      </c>
      <c r="P345">
        <v>6</v>
      </c>
      <c r="Q345">
        <v>5</v>
      </c>
    </row>
    <row r="346" spans="1:17" x14ac:dyDescent="0.45">
      <c r="A346" s="19">
        <v>46034.602777777778</v>
      </c>
      <c r="B346" t="s">
        <v>72</v>
      </c>
      <c r="C346" t="s">
        <v>81</v>
      </c>
      <c r="D346" t="s">
        <v>74</v>
      </c>
      <c r="E346" t="s">
        <v>77</v>
      </c>
      <c r="F346" t="s">
        <v>99</v>
      </c>
      <c r="G346" t="s">
        <v>103</v>
      </c>
      <c r="H346" t="s">
        <v>109</v>
      </c>
      <c r="I346">
        <v>7</v>
      </c>
      <c r="J346">
        <v>7</v>
      </c>
      <c r="K346">
        <v>5</v>
      </c>
      <c r="L346">
        <v>8</v>
      </c>
      <c r="M346">
        <v>7</v>
      </c>
      <c r="N346">
        <v>7</v>
      </c>
      <c r="O346">
        <v>6</v>
      </c>
      <c r="P346">
        <v>7</v>
      </c>
      <c r="Q346">
        <v>7</v>
      </c>
    </row>
    <row r="347" spans="1:17" x14ac:dyDescent="0.45">
      <c r="A347" s="19">
        <v>46034.603472222225</v>
      </c>
      <c r="B347" t="s">
        <v>72</v>
      </c>
      <c r="C347" t="s">
        <v>73</v>
      </c>
      <c r="D347" t="s">
        <v>74</v>
      </c>
      <c r="E347" t="s">
        <v>77</v>
      </c>
      <c r="F347" t="s">
        <v>99</v>
      </c>
      <c r="G347" t="s">
        <v>100</v>
      </c>
      <c r="H347" t="s">
        <v>101</v>
      </c>
      <c r="I347">
        <v>9</v>
      </c>
      <c r="J347">
        <v>8</v>
      </c>
      <c r="K347">
        <v>8</v>
      </c>
      <c r="L347">
        <v>9</v>
      </c>
      <c r="M347">
        <v>7</v>
      </c>
      <c r="N347">
        <v>8</v>
      </c>
      <c r="O347">
        <v>7</v>
      </c>
      <c r="P347">
        <v>7</v>
      </c>
      <c r="Q347">
        <v>8</v>
      </c>
    </row>
    <row r="348" spans="1:17" x14ac:dyDescent="0.45">
      <c r="A348" s="19">
        <v>46034.606249999997</v>
      </c>
      <c r="B348" t="s">
        <v>72</v>
      </c>
      <c r="C348" t="s">
        <v>81</v>
      </c>
      <c r="D348" t="s">
        <v>74</v>
      </c>
      <c r="E348" t="s">
        <v>77</v>
      </c>
      <c r="F348" t="s">
        <v>99</v>
      </c>
      <c r="G348" t="s">
        <v>195</v>
      </c>
      <c r="H348" t="s">
        <v>109</v>
      </c>
      <c r="I348">
        <v>8</v>
      </c>
      <c r="J348">
        <v>8</v>
      </c>
      <c r="K348">
        <v>7</v>
      </c>
      <c r="L348">
        <v>8</v>
      </c>
      <c r="M348">
        <v>6</v>
      </c>
      <c r="N348">
        <v>8</v>
      </c>
      <c r="O348">
        <v>6</v>
      </c>
      <c r="P348">
        <v>6</v>
      </c>
      <c r="Q348">
        <v>8</v>
      </c>
    </row>
    <row r="349" spans="1:17" x14ac:dyDescent="0.45">
      <c r="A349" s="19">
        <v>46034.652083333334</v>
      </c>
      <c r="B349" t="s">
        <v>72</v>
      </c>
      <c r="C349" t="s">
        <v>81</v>
      </c>
      <c r="D349" t="s">
        <v>74</v>
      </c>
      <c r="E349" t="s">
        <v>77</v>
      </c>
      <c r="F349" t="s">
        <v>99</v>
      </c>
      <c r="G349" t="s">
        <v>195</v>
      </c>
      <c r="H349" t="s">
        <v>109</v>
      </c>
      <c r="I349">
        <v>8</v>
      </c>
      <c r="J349">
        <v>8</v>
      </c>
      <c r="K349">
        <v>7</v>
      </c>
      <c r="L349">
        <v>7</v>
      </c>
      <c r="M349">
        <v>6</v>
      </c>
      <c r="N349">
        <v>7</v>
      </c>
      <c r="O349">
        <v>6</v>
      </c>
      <c r="P349">
        <v>6</v>
      </c>
      <c r="Q349">
        <v>7</v>
      </c>
    </row>
    <row r="350" spans="1:17" x14ac:dyDescent="0.45">
      <c r="A350" s="19">
        <v>46034.654166666667</v>
      </c>
      <c r="B350" t="s">
        <v>72</v>
      </c>
      <c r="C350" t="s">
        <v>81</v>
      </c>
      <c r="D350" t="s">
        <v>74</v>
      </c>
      <c r="E350" t="s">
        <v>77</v>
      </c>
      <c r="F350" t="s">
        <v>99</v>
      </c>
      <c r="G350" t="s">
        <v>195</v>
      </c>
      <c r="H350" t="s">
        <v>109</v>
      </c>
      <c r="I350">
        <v>4</v>
      </c>
      <c r="J350">
        <v>4</v>
      </c>
      <c r="K350">
        <v>5</v>
      </c>
      <c r="L350">
        <v>7</v>
      </c>
      <c r="M350">
        <v>5</v>
      </c>
      <c r="N350">
        <v>6</v>
      </c>
      <c r="O350">
        <v>6</v>
      </c>
      <c r="P350">
        <v>6</v>
      </c>
      <c r="Q350">
        <v>6</v>
      </c>
    </row>
    <row r="351" spans="1:17" x14ac:dyDescent="0.45">
      <c r="A351" s="19">
        <v>46034.654166666667</v>
      </c>
      <c r="B351" t="s">
        <v>72</v>
      </c>
      <c r="C351" t="s">
        <v>81</v>
      </c>
      <c r="D351" t="s">
        <v>74</v>
      </c>
      <c r="E351" t="s">
        <v>77</v>
      </c>
      <c r="F351" t="s">
        <v>99</v>
      </c>
      <c r="G351" t="s">
        <v>100</v>
      </c>
      <c r="H351" t="s">
        <v>109</v>
      </c>
      <c r="I351">
        <v>7</v>
      </c>
      <c r="J351">
        <v>7</v>
      </c>
      <c r="K351">
        <v>8</v>
      </c>
      <c r="L351">
        <v>8</v>
      </c>
      <c r="M351">
        <v>7</v>
      </c>
      <c r="N351">
        <v>7</v>
      </c>
      <c r="O351">
        <v>8</v>
      </c>
      <c r="P351">
        <v>7</v>
      </c>
      <c r="Q351">
        <v>8</v>
      </c>
    </row>
    <row r="352" spans="1:17" x14ac:dyDescent="0.45">
      <c r="A352" s="19">
        <v>46034.654861111114</v>
      </c>
      <c r="B352" t="s">
        <v>72</v>
      </c>
      <c r="C352" t="s">
        <v>73</v>
      </c>
      <c r="D352" t="s">
        <v>74</v>
      </c>
      <c r="E352" t="s">
        <v>77</v>
      </c>
      <c r="F352" t="s">
        <v>99</v>
      </c>
      <c r="G352" t="s">
        <v>108</v>
      </c>
      <c r="H352" t="s">
        <v>104</v>
      </c>
      <c r="I352">
        <v>8</v>
      </c>
      <c r="J352">
        <v>8</v>
      </c>
      <c r="K352">
        <v>6</v>
      </c>
      <c r="L352">
        <v>7</v>
      </c>
      <c r="M352">
        <v>6</v>
      </c>
      <c r="N352">
        <v>7</v>
      </c>
      <c r="O352">
        <v>5</v>
      </c>
      <c r="P352">
        <v>7</v>
      </c>
      <c r="Q352">
        <v>7</v>
      </c>
    </row>
    <row r="353" spans="1:17" x14ac:dyDescent="0.45">
      <c r="A353" s="19">
        <v>46034.7</v>
      </c>
      <c r="B353" t="s">
        <v>72</v>
      </c>
      <c r="C353" t="s">
        <v>73</v>
      </c>
      <c r="D353" t="s">
        <v>74</v>
      </c>
      <c r="E353" t="s">
        <v>77</v>
      </c>
      <c r="F353" t="s">
        <v>99</v>
      </c>
      <c r="G353" t="s">
        <v>100</v>
      </c>
      <c r="H353" t="s">
        <v>101</v>
      </c>
      <c r="I353">
        <v>6</v>
      </c>
      <c r="J353">
        <v>6</v>
      </c>
      <c r="K353">
        <v>8</v>
      </c>
      <c r="L353">
        <v>7</v>
      </c>
      <c r="M353">
        <v>7</v>
      </c>
      <c r="N353">
        <v>7</v>
      </c>
      <c r="O353">
        <v>5</v>
      </c>
      <c r="P353">
        <v>6</v>
      </c>
      <c r="Q353">
        <v>7</v>
      </c>
    </row>
    <row r="354" spans="1:17" x14ac:dyDescent="0.45">
      <c r="A354" s="19">
        <v>46034.700694444444</v>
      </c>
      <c r="B354" t="s">
        <v>78</v>
      </c>
      <c r="C354" t="s">
        <v>79</v>
      </c>
      <c r="D354" t="s">
        <v>74</v>
      </c>
      <c r="E354" t="s">
        <v>77</v>
      </c>
      <c r="F354" t="s">
        <v>99</v>
      </c>
      <c r="G354" t="s">
        <v>106</v>
      </c>
      <c r="H354" t="s">
        <v>194</v>
      </c>
      <c r="I354">
        <v>7</v>
      </c>
      <c r="J354">
        <v>7</v>
      </c>
      <c r="K354">
        <v>8</v>
      </c>
      <c r="L354">
        <v>8</v>
      </c>
      <c r="M354">
        <v>6</v>
      </c>
      <c r="N354">
        <v>7</v>
      </c>
      <c r="O354">
        <v>5</v>
      </c>
      <c r="P354">
        <v>7</v>
      </c>
      <c r="Q354">
        <v>7</v>
      </c>
    </row>
    <row r="355" spans="1:17" x14ac:dyDescent="0.45">
      <c r="A355" s="19">
        <v>46034.701388888891</v>
      </c>
      <c r="B355" t="s">
        <v>72</v>
      </c>
      <c r="C355" t="s">
        <v>188</v>
      </c>
      <c r="D355" t="s">
        <v>74</v>
      </c>
      <c r="E355" t="s">
        <v>77</v>
      </c>
      <c r="F355" t="s">
        <v>99</v>
      </c>
      <c r="G355" t="s">
        <v>103</v>
      </c>
      <c r="H355" t="s">
        <v>109</v>
      </c>
      <c r="I355">
        <v>9</v>
      </c>
      <c r="J355">
        <v>9</v>
      </c>
      <c r="K355">
        <v>10</v>
      </c>
      <c r="L355">
        <v>10</v>
      </c>
      <c r="M355">
        <v>9</v>
      </c>
      <c r="N355">
        <v>10</v>
      </c>
      <c r="O355">
        <v>8</v>
      </c>
      <c r="P355">
        <v>8</v>
      </c>
      <c r="Q355">
        <v>9</v>
      </c>
    </row>
    <row r="356" spans="1:17" x14ac:dyDescent="0.45">
      <c r="A356" s="19">
        <v>46034.720138888886</v>
      </c>
      <c r="B356" t="s">
        <v>78</v>
      </c>
      <c r="C356" t="s">
        <v>188</v>
      </c>
      <c r="D356" t="s">
        <v>74</v>
      </c>
      <c r="E356" t="s">
        <v>77</v>
      </c>
      <c r="F356" t="s">
        <v>99</v>
      </c>
      <c r="G356" t="s">
        <v>103</v>
      </c>
      <c r="H356" t="s">
        <v>109</v>
      </c>
      <c r="I356">
        <v>7</v>
      </c>
      <c r="J356">
        <v>8</v>
      </c>
      <c r="K356">
        <v>8</v>
      </c>
      <c r="L356">
        <v>9</v>
      </c>
      <c r="M356">
        <v>8</v>
      </c>
      <c r="N356">
        <v>10</v>
      </c>
      <c r="O356">
        <v>8</v>
      </c>
      <c r="P356">
        <v>8</v>
      </c>
      <c r="Q356">
        <v>9</v>
      </c>
    </row>
    <row r="357" spans="1:17" x14ac:dyDescent="0.45">
      <c r="A357" s="19">
        <v>46034.753472222219</v>
      </c>
      <c r="B357" t="s">
        <v>78</v>
      </c>
      <c r="C357" t="s">
        <v>188</v>
      </c>
      <c r="D357" t="s">
        <v>74</v>
      </c>
      <c r="E357" t="s">
        <v>77</v>
      </c>
      <c r="F357" t="s">
        <v>99</v>
      </c>
      <c r="G357" t="s">
        <v>103</v>
      </c>
      <c r="H357" t="s">
        <v>109</v>
      </c>
      <c r="I357">
        <v>7</v>
      </c>
      <c r="J357">
        <v>7</v>
      </c>
      <c r="K357">
        <v>8</v>
      </c>
      <c r="L357">
        <v>10</v>
      </c>
      <c r="M357">
        <v>9</v>
      </c>
      <c r="N357">
        <v>10</v>
      </c>
      <c r="O357">
        <v>8</v>
      </c>
      <c r="P357">
        <v>8</v>
      </c>
      <c r="Q357">
        <v>10</v>
      </c>
    </row>
    <row r="358" spans="1:17" x14ac:dyDescent="0.45">
      <c r="A358" s="19">
        <v>46034.769444444442</v>
      </c>
      <c r="B358" t="s">
        <v>78</v>
      </c>
      <c r="C358" t="s">
        <v>81</v>
      </c>
      <c r="D358" t="s">
        <v>74</v>
      </c>
      <c r="E358" t="s">
        <v>77</v>
      </c>
      <c r="F358" t="s">
        <v>99</v>
      </c>
      <c r="G358" t="s">
        <v>100</v>
      </c>
      <c r="H358" t="s">
        <v>109</v>
      </c>
      <c r="I358">
        <v>9</v>
      </c>
      <c r="J358">
        <v>9</v>
      </c>
      <c r="K358">
        <v>8</v>
      </c>
      <c r="L358">
        <v>9</v>
      </c>
      <c r="M358">
        <v>8</v>
      </c>
      <c r="N358">
        <v>8</v>
      </c>
      <c r="O358">
        <v>7</v>
      </c>
      <c r="P358">
        <v>7</v>
      </c>
      <c r="Q358">
        <v>8</v>
      </c>
    </row>
    <row r="359" spans="1:17" x14ac:dyDescent="0.45">
      <c r="A359" s="19">
        <v>46034.770138888889</v>
      </c>
      <c r="B359" t="s">
        <v>72</v>
      </c>
      <c r="C359" t="s">
        <v>188</v>
      </c>
      <c r="D359" t="s">
        <v>74</v>
      </c>
      <c r="E359" t="s">
        <v>77</v>
      </c>
      <c r="F359" t="s">
        <v>99</v>
      </c>
      <c r="G359" t="s">
        <v>103</v>
      </c>
      <c r="H359" t="s">
        <v>109</v>
      </c>
      <c r="I359">
        <v>7</v>
      </c>
      <c r="J359">
        <v>7</v>
      </c>
      <c r="K359">
        <v>7</v>
      </c>
      <c r="L359">
        <v>8</v>
      </c>
      <c r="M359">
        <v>7</v>
      </c>
      <c r="N359">
        <v>9</v>
      </c>
      <c r="O359">
        <v>8</v>
      </c>
      <c r="P359">
        <v>8</v>
      </c>
      <c r="Q359">
        <v>8</v>
      </c>
    </row>
    <row r="360" spans="1:17" x14ac:dyDescent="0.45">
      <c r="A360" s="19">
        <v>46034.770833333336</v>
      </c>
      <c r="B360" t="s">
        <v>72</v>
      </c>
      <c r="C360" t="s">
        <v>81</v>
      </c>
      <c r="D360" t="s">
        <v>74</v>
      </c>
      <c r="E360" t="s">
        <v>77</v>
      </c>
      <c r="F360" t="s">
        <v>99</v>
      </c>
      <c r="G360" t="s">
        <v>195</v>
      </c>
      <c r="H360" t="s">
        <v>101</v>
      </c>
      <c r="I360">
        <v>4</v>
      </c>
      <c r="J360">
        <v>5</v>
      </c>
      <c r="K360">
        <v>6</v>
      </c>
      <c r="L360">
        <v>7</v>
      </c>
      <c r="M360">
        <v>7</v>
      </c>
      <c r="N360">
        <v>6</v>
      </c>
      <c r="O360">
        <v>4</v>
      </c>
      <c r="P360">
        <v>6</v>
      </c>
      <c r="Q360">
        <v>7</v>
      </c>
    </row>
    <row r="361" spans="1:17" x14ac:dyDescent="0.45">
      <c r="A361" s="19">
        <v>46034.893750000003</v>
      </c>
      <c r="B361" t="s">
        <v>78</v>
      </c>
      <c r="C361" t="s">
        <v>81</v>
      </c>
      <c r="D361" t="s">
        <v>74</v>
      </c>
      <c r="E361" t="s">
        <v>77</v>
      </c>
      <c r="F361" t="s">
        <v>99</v>
      </c>
      <c r="G361" t="s">
        <v>195</v>
      </c>
      <c r="H361" t="s">
        <v>109</v>
      </c>
      <c r="I361">
        <v>9</v>
      </c>
      <c r="J361">
        <v>8</v>
      </c>
      <c r="K361">
        <v>8</v>
      </c>
      <c r="L361">
        <v>8</v>
      </c>
      <c r="M361">
        <v>7</v>
      </c>
      <c r="N361">
        <v>7</v>
      </c>
      <c r="O361">
        <v>6</v>
      </c>
      <c r="P361">
        <v>7</v>
      </c>
      <c r="Q361">
        <v>8</v>
      </c>
    </row>
    <row r="362" spans="1:17" x14ac:dyDescent="0.45">
      <c r="A362" s="19">
        <v>46034.894444444442</v>
      </c>
      <c r="B362" t="s">
        <v>72</v>
      </c>
      <c r="C362" t="s">
        <v>188</v>
      </c>
      <c r="D362" t="s">
        <v>74</v>
      </c>
      <c r="E362" t="s">
        <v>77</v>
      </c>
      <c r="F362" t="s">
        <v>99</v>
      </c>
      <c r="G362" t="s">
        <v>193</v>
      </c>
      <c r="H362" t="s">
        <v>109</v>
      </c>
      <c r="I362">
        <v>7</v>
      </c>
      <c r="J362">
        <v>7</v>
      </c>
      <c r="K362">
        <v>8</v>
      </c>
      <c r="L362">
        <v>9</v>
      </c>
      <c r="M362">
        <v>7</v>
      </c>
      <c r="N362">
        <v>10</v>
      </c>
      <c r="O362">
        <v>8</v>
      </c>
      <c r="P362">
        <v>8</v>
      </c>
      <c r="Q362">
        <v>10</v>
      </c>
    </row>
    <row r="363" spans="1:17" x14ac:dyDescent="0.45">
      <c r="A363" s="19">
        <v>46034.895138888889</v>
      </c>
      <c r="B363" t="s">
        <v>72</v>
      </c>
      <c r="C363" t="s">
        <v>188</v>
      </c>
      <c r="D363" t="s">
        <v>74</v>
      </c>
      <c r="E363" t="s">
        <v>77</v>
      </c>
      <c r="F363" t="s">
        <v>99</v>
      </c>
      <c r="G363" t="s">
        <v>103</v>
      </c>
      <c r="H363" t="s">
        <v>109</v>
      </c>
      <c r="I363">
        <v>3</v>
      </c>
      <c r="J363">
        <v>3</v>
      </c>
      <c r="K363">
        <v>5</v>
      </c>
      <c r="L363">
        <v>6</v>
      </c>
      <c r="M363">
        <v>5</v>
      </c>
      <c r="N363">
        <v>6</v>
      </c>
      <c r="O363">
        <v>4</v>
      </c>
      <c r="P363">
        <v>6</v>
      </c>
      <c r="Q363">
        <v>6</v>
      </c>
    </row>
    <row r="364" spans="1:17" x14ac:dyDescent="0.45">
      <c r="A364" s="19">
        <v>46034.9</v>
      </c>
      <c r="B364" t="s">
        <v>78</v>
      </c>
      <c r="C364" t="s">
        <v>81</v>
      </c>
      <c r="D364" t="s">
        <v>74</v>
      </c>
      <c r="E364" t="s">
        <v>77</v>
      </c>
      <c r="F364" t="s">
        <v>99</v>
      </c>
      <c r="G364" t="s">
        <v>100</v>
      </c>
      <c r="H364" t="s">
        <v>101</v>
      </c>
      <c r="I364">
        <v>8</v>
      </c>
      <c r="J364">
        <v>8</v>
      </c>
      <c r="K364">
        <v>5</v>
      </c>
      <c r="L364">
        <v>7</v>
      </c>
      <c r="M364">
        <v>5</v>
      </c>
      <c r="N364">
        <v>8</v>
      </c>
      <c r="O364">
        <v>5</v>
      </c>
      <c r="P364">
        <v>7</v>
      </c>
      <c r="Q364">
        <v>8</v>
      </c>
    </row>
    <row r="365" spans="1:17" x14ac:dyDescent="0.45">
      <c r="A365" s="19">
        <v>46034.900694444441</v>
      </c>
      <c r="B365" t="s">
        <v>78</v>
      </c>
      <c r="C365" t="s">
        <v>73</v>
      </c>
      <c r="D365" t="s">
        <v>74</v>
      </c>
      <c r="E365" t="s">
        <v>77</v>
      </c>
      <c r="F365" t="s">
        <v>99</v>
      </c>
      <c r="G365" t="s">
        <v>195</v>
      </c>
      <c r="H365" t="s">
        <v>101</v>
      </c>
      <c r="I365">
        <v>4</v>
      </c>
      <c r="J365">
        <v>5</v>
      </c>
      <c r="K365">
        <v>5</v>
      </c>
      <c r="L365">
        <v>7</v>
      </c>
      <c r="M365">
        <v>5</v>
      </c>
      <c r="N365">
        <v>7</v>
      </c>
      <c r="O365">
        <v>5</v>
      </c>
      <c r="P365">
        <v>6</v>
      </c>
      <c r="Q365">
        <v>7</v>
      </c>
    </row>
    <row r="366" spans="1:17" x14ac:dyDescent="0.45">
      <c r="A366" s="19">
        <v>46034.901388888888</v>
      </c>
      <c r="B366" t="s">
        <v>72</v>
      </c>
      <c r="C366" t="s">
        <v>81</v>
      </c>
      <c r="D366" t="s">
        <v>74</v>
      </c>
      <c r="E366" t="s">
        <v>77</v>
      </c>
      <c r="F366" t="s">
        <v>99</v>
      </c>
      <c r="G366" t="s">
        <v>108</v>
      </c>
      <c r="H366" t="s">
        <v>109</v>
      </c>
      <c r="I366">
        <v>9</v>
      </c>
      <c r="J366">
        <v>9</v>
      </c>
      <c r="K366">
        <v>8</v>
      </c>
      <c r="L366">
        <v>9</v>
      </c>
      <c r="M366">
        <v>9</v>
      </c>
      <c r="N366">
        <v>7</v>
      </c>
      <c r="O366">
        <v>7</v>
      </c>
      <c r="P366">
        <v>7</v>
      </c>
      <c r="Q366">
        <v>7</v>
      </c>
    </row>
    <row r="367" spans="1:17" x14ac:dyDescent="0.45">
      <c r="A367" s="19">
        <v>46034.90347222222</v>
      </c>
      <c r="B367" t="s">
        <v>78</v>
      </c>
      <c r="C367" t="s">
        <v>73</v>
      </c>
      <c r="D367" t="s">
        <v>74</v>
      </c>
      <c r="E367" t="s">
        <v>75</v>
      </c>
      <c r="F367" t="s">
        <v>99</v>
      </c>
      <c r="G367" t="s">
        <v>110</v>
      </c>
      <c r="H367" t="s">
        <v>101</v>
      </c>
      <c r="I367">
        <v>7</v>
      </c>
      <c r="J367">
        <v>8</v>
      </c>
      <c r="K367">
        <v>8</v>
      </c>
      <c r="L367">
        <v>8</v>
      </c>
      <c r="M367">
        <v>5</v>
      </c>
      <c r="N367">
        <v>6</v>
      </c>
      <c r="O367">
        <v>5</v>
      </c>
      <c r="P367">
        <v>6</v>
      </c>
      <c r="Q367">
        <v>6</v>
      </c>
    </row>
    <row r="368" spans="1:17" x14ac:dyDescent="0.45">
      <c r="A368" s="19">
        <v>46034.904861111114</v>
      </c>
      <c r="B368" t="s">
        <v>72</v>
      </c>
      <c r="C368" t="s">
        <v>188</v>
      </c>
      <c r="D368" t="s">
        <v>74</v>
      </c>
      <c r="E368" t="s">
        <v>77</v>
      </c>
      <c r="F368" t="s">
        <v>99</v>
      </c>
      <c r="G368" t="s">
        <v>103</v>
      </c>
      <c r="H368" t="s">
        <v>109</v>
      </c>
      <c r="I368">
        <v>8</v>
      </c>
      <c r="J368">
        <v>9</v>
      </c>
      <c r="K368">
        <v>8</v>
      </c>
      <c r="L368">
        <v>8</v>
      </c>
      <c r="M368">
        <v>9</v>
      </c>
      <c r="N368">
        <v>10</v>
      </c>
      <c r="O368">
        <v>10</v>
      </c>
      <c r="P368">
        <v>9</v>
      </c>
      <c r="Q368">
        <v>10</v>
      </c>
    </row>
    <row r="369" spans="1:17" x14ac:dyDescent="0.45">
      <c r="A369" s="19">
        <v>46034.904861111114</v>
      </c>
      <c r="B369" t="s">
        <v>72</v>
      </c>
      <c r="C369" t="s">
        <v>81</v>
      </c>
      <c r="D369" t="s">
        <v>74</v>
      </c>
      <c r="E369" t="s">
        <v>75</v>
      </c>
      <c r="F369" t="s">
        <v>99</v>
      </c>
      <c r="G369" t="s">
        <v>100</v>
      </c>
      <c r="H369" t="s">
        <v>104</v>
      </c>
      <c r="I369">
        <v>7</v>
      </c>
      <c r="J369">
        <v>7</v>
      </c>
      <c r="K369">
        <v>8</v>
      </c>
      <c r="L369">
        <v>8</v>
      </c>
      <c r="M369">
        <v>6</v>
      </c>
      <c r="N369">
        <v>8</v>
      </c>
      <c r="O369">
        <v>6</v>
      </c>
      <c r="P369">
        <v>7</v>
      </c>
      <c r="Q369">
        <v>8</v>
      </c>
    </row>
    <row r="370" spans="1:17" x14ac:dyDescent="0.45">
      <c r="A370" s="19">
        <v>46034.907638888886</v>
      </c>
      <c r="B370" t="s">
        <v>78</v>
      </c>
      <c r="C370" t="s">
        <v>81</v>
      </c>
      <c r="D370" t="s">
        <v>74</v>
      </c>
      <c r="E370" t="s">
        <v>77</v>
      </c>
      <c r="F370" t="s">
        <v>99</v>
      </c>
      <c r="G370" t="s">
        <v>103</v>
      </c>
      <c r="H370" t="s">
        <v>109</v>
      </c>
      <c r="I370">
        <v>6</v>
      </c>
      <c r="J370">
        <v>6</v>
      </c>
      <c r="K370">
        <v>8</v>
      </c>
      <c r="L370">
        <v>9</v>
      </c>
      <c r="M370">
        <v>8</v>
      </c>
      <c r="N370">
        <v>8</v>
      </c>
      <c r="O370">
        <v>5</v>
      </c>
      <c r="P370">
        <v>7</v>
      </c>
      <c r="Q370">
        <v>8</v>
      </c>
    </row>
    <row r="371" spans="1:17" x14ac:dyDescent="0.45">
      <c r="A371" s="19">
        <v>46034.908333333333</v>
      </c>
      <c r="B371" t="s">
        <v>78</v>
      </c>
      <c r="C371" t="s">
        <v>188</v>
      </c>
      <c r="D371" t="s">
        <v>74</v>
      </c>
      <c r="E371" t="s">
        <v>77</v>
      </c>
      <c r="F371" t="s">
        <v>99</v>
      </c>
      <c r="G371" t="s">
        <v>195</v>
      </c>
      <c r="H371" t="s">
        <v>109</v>
      </c>
      <c r="I371">
        <v>6</v>
      </c>
      <c r="J371">
        <v>7</v>
      </c>
      <c r="K371">
        <v>7</v>
      </c>
      <c r="L371">
        <v>9</v>
      </c>
      <c r="M371">
        <v>7</v>
      </c>
      <c r="N371">
        <v>9</v>
      </c>
      <c r="O371">
        <v>9</v>
      </c>
      <c r="P371">
        <v>9</v>
      </c>
      <c r="Q371">
        <v>9</v>
      </c>
    </row>
    <row r="372" spans="1:17" x14ac:dyDescent="0.45">
      <c r="A372" s="19">
        <v>46034.90902777778</v>
      </c>
      <c r="B372" t="s">
        <v>78</v>
      </c>
      <c r="C372" t="s">
        <v>79</v>
      </c>
      <c r="D372" t="s">
        <v>74</v>
      </c>
      <c r="E372" t="s">
        <v>75</v>
      </c>
      <c r="F372" t="s">
        <v>99</v>
      </c>
      <c r="G372" t="s">
        <v>110</v>
      </c>
      <c r="H372" t="s">
        <v>105</v>
      </c>
      <c r="I372">
        <v>4</v>
      </c>
      <c r="J372">
        <v>4</v>
      </c>
      <c r="K372">
        <v>5</v>
      </c>
      <c r="L372">
        <v>5</v>
      </c>
      <c r="M372">
        <v>5</v>
      </c>
      <c r="N372">
        <v>4</v>
      </c>
      <c r="O372">
        <v>5</v>
      </c>
      <c r="P372">
        <v>6</v>
      </c>
      <c r="Q372">
        <v>5</v>
      </c>
    </row>
    <row r="373" spans="1:17" x14ac:dyDescent="0.45">
      <c r="A373" s="19">
        <v>46034.909722222219</v>
      </c>
      <c r="B373" t="s">
        <v>72</v>
      </c>
      <c r="C373" t="s">
        <v>73</v>
      </c>
      <c r="D373" t="s">
        <v>74</v>
      </c>
      <c r="E373" t="s">
        <v>77</v>
      </c>
      <c r="F373" t="s">
        <v>99</v>
      </c>
      <c r="G373" t="s">
        <v>108</v>
      </c>
      <c r="H373" t="s">
        <v>104</v>
      </c>
      <c r="I373">
        <v>6</v>
      </c>
      <c r="J373">
        <v>6</v>
      </c>
      <c r="K373">
        <v>8</v>
      </c>
      <c r="L373">
        <v>8</v>
      </c>
      <c r="M373">
        <v>6</v>
      </c>
      <c r="N373">
        <v>7</v>
      </c>
      <c r="O373">
        <v>5</v>
      </c>
      <c r="P373">
        <v>6</v>
      </c>
      <c r="Q373">
        <v>6</v>
      </c>
    </row>
    <row r="374" spans="1:17" x14ac:dyDescent="0.45">
      <c r="A374" s="19">
        <v>46034.910416666666</v>
      </c>
      <c r="B374" t="s">
        <v>72</v>
      </c>
      <c r="C374" t="s">
        <v>73</v>
      </c>
      <c r="D374" t="s">
        <v>74</v>
      </c>
      <c r="E374" t="s">
        <v>77</v>
      </c>
      <c r="F374" t="s">
        <v>99</v>
      </c>
      <c r="G374" t="s">
        <v>106</v>
      </c>
      <c r="H374" t="s">
        <v>104</v>
      </c>
      <c r="I374">
        <v>8</v>
      </c>
      <c r="J374">
        <v>8</v>
      </c>
      <c r="K374">
        <v>9</v>
      </c>
      <c r="L374">
        <v>9</v>
      </c>
      <c r="M374">
        <v>5</v>
      </c>
      <c r="N374">
        <v>5</v>
      </c>
      <c r="O374">
        <v>5</v>
      </c>
      <c r="P374">
        <v>6</v>
      </c>
      <c r="Q374">
        <v>5</v>
      </c>
    </row>
    <row r="375" spans="1:17" x14ac:dyDescent="0.45">
      <c r="A375" s="19">
        <v>46034.940972222219</v>
      </c>
      <c r="B375" t="s">
        <v>72</v>
      </c>
      <c r="C375" t="s">
        <v>73</v>
      </c>
      <c r="D375" t="s">
        <v>74</v>
      </c>
      <c r="E375" t="s">
        <v>77</v>
      </c>
      <c r="F375" t="s">
        <v>99</v>
      </c>
      <c r="G375" t="s">
        <v>108</v>
      </c>
      <c r="H375" t="s">
        <v>101</v>
      </c>
      <c r="I375">
        <v>6</v>
      </c>
      <c r="J375">
        <v>6</v>
      </c>
      <c r="K375">
        <v>7</v>
      </c>
      <c r="L375">
        <v>7</v>
      </c>
      <c r="M375">
        <v>6</v>
      </c>
      <c r="N375">
        <v>6</v>
      </c>
      <c r="O375">
        <v>6</v>
      </c>
      <c r="P375">
        <v>6</v>
      </c>
      <c r="Q375">
        <v>6</v>
      </c>
    </row>
    <row r="376" spans="1:17" x14ac:dyDescent="0.45">
      <c r="A376" s="19">
        <v>46034.96875</v>
      </c>
      <c r="B376" t="s">
        <v>72</v>
      </c>
      <c r="C376" t="s">
        <v>73</v>
      </c>
      <c r="D376" t="s">
        <v>74</v>
      </c>
      <c r="E376" t="s">
        <v>77</v>
      </c>
      <c r="F376" t="s">
        <v>99</v>
      </c>
      <c r="G376" t="s">
        <v>110</v>
      </c>
      <c r="H376" t="s">
        <v>101</v>
      </c>
      <c r="I376">
        <v>8</v>
      </c>
      <c r="J376">
        <v>8</v>
      </c>
      <c r="K376">
        <v>8</v>
      </c>
      <c r="L376">
        <v>8</v>
      </c>
      <c r="M376">
        <v>7</v>
      </c>
      <c r="N376">
        <v>6</v>
      </c>
      <c r="O376">
        <v>6</v>
      </c>
      <c r="P376">
        <v>5</v>
      </c>
      <c r="Q376">
        <v>7</v>
      </c>
    </row>
    <row r="377" spans="1:17" x14ac:dyDescent="0.45">
      <c r="A377" s="19">
        <v>46035.28125</v>
      </c>
      <c r="B377" t="s">
        <v>72</v>
      </c>
      <c r="C377" t="s">
        <v>81</v>
      </c>
      <c r="D377" t="s">
        <v>74</v>
      </c>
      <c r="E377" t="s">
        <v>77</v>
      </c>
      <c r="F377" t="s">
        <v>99</v>
      </c>
      <c r="G377" t="s">
        <v>195</v>
      </c>
      <c r="H377" t="s">
        <v>109</v>
      </c>
      <c r="I377">
        <v>6</v>
      </c>
      <c r="J377">
        <v>6</v>
      </c>
      <c r="K377">
        <v>5</v>
      </c>
      <c r="L377">
        <v>7</v>
      </c>
      <c r="M377">
        <v>6</v>
      </c>
      <c r="N377">
        <v>7</v>
      </c>
      <c r="O377">
        <v>5</v>
      </c>
      <c r="P377">
        <v>6</v>
      </c>
      <c r="Q377">
        <v>7</v>
      </c>
    </row>
    <row r="378" spans="1:17" x14ac:dyDescent="0.45">
      <c r="A378" s="19">
        <v>46035.343055555553</v>
      </c>
      <c r="B378" t="s">
        <v>78</v>
      </c>
      <c r="C378" t="s">
        <v>81</v>
      </c>
      <c r="D378" t="s">
        <v>74</v>
      </c>
      <c r="E378" t="s">
        <v>77</v>
      </c>
      <c r="F378" t="s">
        <v>99</v>
      </c>
      <c r="G378" t="s">
        <v>103</v>
      </c>
      <c r="H378" t="s">
        <v>109</v>
      </c>
      <c r="I378">
        <v>7</v>
      </c>
      <c r="J378">
        <v>8</v>
      </c>
      <c r="K378">
        <v>7</v>
      </c>
      <c r="L378">
        <v>7</v>
      </c>
      <c r="M378">
        <v>8</v>
      </c>
      <c r="N378">
        <v>9</v>
      </c>
      <c r="O378">
        <v>7</v>
      </c>
      <c r="P378">
        <v>7</v>
      </c>
      <c r="Q378">
        <v>8</v>
      </c>
    </row>
    <row r="379" spans="1:17" x14ac:dyDescent="0.45">
      <c r="A379" s="19">
        <v>46035.34375</v>
      </c>
      <c r="B379" t="s">
        <v>72</v>
      </c>
      <c r="C379" t="s">
        <v>188</v>
      </c>
      <c r="D379" t="s">
        <v>74</v>
      </c>
      <c r="E379" t="s">
        <v>77</v>
      </c>
      <c r="F379" t="s">
        <v>99</v>
      </c>
      <c r="G379" t="s">
        <v>195</v>
      </c>
      <c r="H379" t="s">
        <v>109</v>
      </c>
      <c r="I379">
        <v>6</v>
      </c>
      <c r="J379">
        <v>7</v>
      </c>
      <c r="K379">
        <v>5</v>
      </c>
      <c r="L379">
        <v>8</v>
      </c>
      <c r="M379">
        <v>7</v>
      </c>
      <c r="N379">
        <v>7</v>
      </c>
      <c r="O379">
        <v>7</v>
      </c>
      <c r="P379">
        <v>7</v>
      </c>
      <c r="Q379">
        <v>8</v>
      </c>
    </row>
    <row r="380" spans="1:17" x14ac:dyDescent="0.45">
      <c r="A380" s="19">
        <v>46035.345138888886</v>
      </c>
      <c r="B380" t="s">
        <v>72</v>
      </c>
      <c r="C380" t="s">
        <v>188</v>
      </c>
      <c r="D380" t="s">
        <v>74</v>
      </c>
      <c r="E380" t="s">
        <v>77</v>
      </c>
      <c r="F380" t="s">
        <v>99</v>
      </c>
      <c r="G380" t="s">
        <v>103</v>
      </c>
      <c r="H380" t="s">
        <v>109</v>
      </c>
      <c r="I380">
        <v>8</v>
      </c>
      <c r="J380">
        <v>8</v>
      </c>
      <c r="K380">
        <v>9</v>
      </c>
      <c r="L380">
        <v>9</v>
      </c>
      <c r="M380">
        <v>7</v>
      </c>
      <c r="N380">
        <v>9</v>
      </c>
      <c r="O380">
        <v>7</v>
      </c>
      <c r="P380">
        <v>7</v>
      </c>
      <c r="Q380">
        <v>9</v>
      </c>
    </row>
    <row r="381" spans="1:17" x14ac:dyDescent="0.45">
      <c r="A381" s="19">
        <v>46035.354861111111</v>
      </c>
      <c r="B381" t="s">
        <v>78</v>
      </c>
      <c r="C381" t="s">
        <v>188</v>
      </c>
      <c r="D381" t="s">
        <v>74</v>
      </c>
      <c r="E381" t="s">
        <v>77</v>
      </c>
      <c r="F381" t="s">
        <v>99</v>
      </c>
      <c r="G381" t="s">
        <v>195</v>
      </c>
      <c r="H381" t="s">
        <v>109</v>
      </c>
      <c r="I381">
        <v>8</v>
      </c>
      <c r="J381">
        <v>8</v>
      </c>
      <c r="K381">
        <v>5</v>
      </c>
      <c r="L381">
        <v>8</v>
      </c>
      <c r="M381">
        <v>6</v>
      </c>
      <c r="N381">
        <v>9</v>
      </c>
      <c r="O381">
        <v>5</v>
      </c>
      <c r="P381">
        <v>7</v>
      </c>
      <c r="Q381">
        <v>8</v>
      </c>
    </row>
    <row r="382" spans="1:17" x14ac:dyDescent="0.45">
      <c r="A382" s="19">
        <v>46035.370138888888</v>
      </c>
      <c r="B382" t="s">
        <v>78</v>
      </c>
      <c r="C382" t="s">
        <v>188</v>
      </c>
      <c r="D382" t="s">
        <v>74</v>
      </c>
      <c r="E382" t="s">
        <v>189</v>
      </c>
      <c r="F382" t="s">
        <v>99</v>
      </c>
      <c r="G382" t="s">
        <v>103</v>
      </c>
      <c r="H382" t="s">
        <v>109</v>
      </c>
      <c r="I382">
        <v>9</v>
      </c>
      <c r="J382">
        <v>9</v>
      </c>
      <c r="K382">
        <v>8</v>
      </c>
      <c r="L382">
        <v>9</v>
      </c>
      <c r="M382">
        <v>8</v>
      </c>
      <c r="N382">
        <v>10</v>
      </c>
      <c r="O382">
        <v>8</v>
      </c>
      <c r="P382">
        <v>8</v>
      </c>
      <c r="Q382">
        <v>10</v>
      </c>
    </row>
    <row r="383" spans="1:17" x14ac:dyDescent="0.45">
      <c r="A383" s="19">
        <v>46035.370833333334</v>
      </c>
      <c r="B383" t="s">
        <v>72</v>
      </c>
      <c r="C383" t="s">
        <v>188</v>
      </c>
      <c r="D383" t="s">
        <v>74</v>
      </c>
      <c r="E383" t="s">
        <v>77</v>
      </c>
      <c r="F383" t="s">
        <v>99</v>
      </c>
      <c r="G383" t="s">
        <v>195</v>
      </c>
      <c r="H383" t="s">
        <v>101</v>
      </c>
      <c r="I383">
        <v>5</v>
      </c>
      <c r="J383">
        <v>5</v>
      </c>
      <c r="K383">
        <v>4</v>
      </c>
      <c r="L383">
        <v>8</v>
      </c>
      <c r="M383">
        <v>4</v>
      </c>
      <c r="N383">
        <v>8</v>
      </c>
      <c r="O383">
        <v>4</v>
      </c>
      <c r="P383">
        <v>5</v>
      </c>
      <c r="Q383">
        <v>7</v>
      </c>
    </row>
    <row r="384" spans="1:17" x14ac:dyDescent="0.45">
      <c r="A384" s="19">
        <v>46035.371527777781</v>
      </c>
      <c r="B384" t="s">
        <v>78</v>
      </c>
      <c r="C384" t="s">
        <v>190</v>
      </c>
      <c r="D384" t="s">
        <v>74</v>
      </c>
      <c r="E384" t="s">
        <v>75</v>
      </c>
      <c r="F384" t="s">
        <v>99</v>
      </c>
      <c r="G384" t="s">
        <v>106</v>
      </c>
      <c r="H384" t="s">
        <v>104</v>
      </c>
      <c r="I384">
        <v>1</v>
      </c>
      <c r="J384">
        <v>1</v>
      </c>
      <c r="K384">
        <v>4</v>
      </c>
      <c r="L384">
        <v>5</v>
      </c>
      <c r="M384">
        <v>5</v>
      </c>
      <c r="N384">
        <v>4</v>
      </c>
      <c r="O384">
        <v>4</v>
      </c>
      <c r="P384">
        <v>5</v>
      </c>
      <c r="Q384">
        <v>3</v>
      </c>
    </row>
    <row r="385" spans="1:17" x14ac:dyDescent="0.45">
      <c r="A385" s="19">
        <v>46035.388888888891</v>
      </c>
      <c r="B385" t="s">
        <v>78</v>
      </c>
      <c r="C385" t="s">
        <v>188</v>
      </c>
      <c r="D385" t="s">
        <v>74</v>
      </c>
      <c r="E385" t="s">
        <v>77</v>
      </c>
      <c r="F385" t="s">
        <v>99</v>
      </c>
      <c r="G385" t="s">
        <v>193</v>
      </c>
      <c r="H385" t="s">
        <v>109</v>
      </c>
      <c r="I385">
        <v>7</v>
      </c>
      <c r="J385">
        <v>7</v>
      </c>
      <c r="K385">
        <v>7</v>
      </c>
      <c r="L385">
        <v>9</v>
      </c>
      <c r="M385">
        <v>8</v>
      </c>
      <c r="N385">
        <v>10</v>
      </c>
      <c r="O385">
        <v>8</v>
      </c>
      <c r="P385">
        <v>7</v>
      </c>
      <c r="Q385">
        <v>10</v>
      </c>
    </row>
    <row r="386" spans="1:17" x14ac:dyDescent="0.45">
      <c r="A386" s="19">
        <v>46035.40625</v>
      </c>
      <c r="B386" t="s">
        <v>78</v>
      </c>
      <c r="C386" t="s">
        <v>79</v>
      </c>
      <c r="D386" t="s">
        <v>74</v>
      </c>
      <c r="E386" t="s">
        <v>77</v>
      </c>
      <c r="F386" t="s">
        <v>99</v>
      </c>
      <c r="G386" t="s">
        <v>108</v>
      </c>
      <c r="H386" t="s">
        <v>104</v>
      </c>
      <c r="I386">
        <v>3</v>
      </c>
      <c r="J386">
        <v>3</v>
      </c>
      <c r="K386">
        <v>4</v>
      </c>
      <c r="L386">
        <v>6</v>
      </c>
      <c r="M386">
        <v>4</v>
      </c>
      <c r="N386">
        <v>5</v>
      </c>
      <c r="O386">
        <v>4</v>
      </c>
      <c r="P386">
        <v>5</v>
      </c>
      <c r="Q386">
        <v>5</v>
      </c>
    </row>
    <row r="387" spans="1:17" x14ac:dyDescent="0.45">
      <c r="A387" s="19">
        <v>46035.406944444447</v>
      </c>
      <c r="B387" t="s">
        <v>72</v>
      </c>
      <c r="C387" t="s">
        <v>81</v>
      </c>
      <c r="D387" t="s">
        <v>74</v>
      </c>
      <c r="E387" t="s">
        <v>75</v>
      </c>
      <c r="F387" t="s">
        <v>99</v>
      </c>
      <c r="G387" t="s">
        <v>100</v>
      </c>
      <c r="H387" t="s">
        <v>109</v>
      </c>
      <c r="I387">
        <v>8</v>
      </c>
      <c r="J387">
        <v>8</v>
      </c>
      <c r="K387">
        <v>9</v>
      </c>
      <c r="L387">
        <v>8</v>
      </c>
      <c r="M387">
        <v>7</v>
      </c>
      <c r="N387">
        <v>8</v>
      </c>
      <c r="O387">
        <v>7</v>
      </c>
      <c r="P387">
        <v>7</v>
      </c>
      <c r="Q387">
        <v>8</v>
      </c>
    </row>
    <row r="388" spans="1:17" x14ac:dyDescent="0.45">
      <c r="A388" s="19">
        <v>46035.431250000001</v>
      </c>
      <c r="B388" t="s">
        <v>78</v>
      </c>
      <c r="C388" t="s">
        <v>73</v>
      </c>
      <c r="D388" t="s">
        <v>74</v>
      </c>
      <c r="E388" t="s">
        <v>77</v>
      </c>
      <c r="F388" t="s">
        <v>99</v>
      </c>
      <c r="G388" t="s">
        <v>110</v>
      </c>
      <c r="H388" t="s">
        <v>104</v>
      </c>
      <c r="I388">
        <v>5</v>
      </c>
      <c r="J388">
        <v>5</v>
      </c>
      <c r="K388">
        <v>5</v>
      </c>
      <c r="L388">
        <v>5</v>
      </c>
      <c r="M388">
        <v>5</v>
      </c>
      <c r="N388">
        <v>5</v>
      </c>
      <c r="O388">
        <v>5</v>
      </c>
      <c r="P388">
        <v>5</v>
      </c>
      <c r="Q388">
        <v>5</v>
      </c>
    </row>
    <row r="389" spans="1:17" x14ac:dyDescent="0.45">
      <c r="A389" s="19">
        <v>46035.459722222222</v>
      </c>
      <c r="B389" t="s">
        <v>78</v>
      </c>
      <c r="C389" t="s">
        <v>188</v>
      </c>
      <c r="D389" t="s">
        <v>74</v>
      </c>
      <c r="E389" t="s">
        <v>77</v>
      </c>
      <c r="F389" t="s">
        <v>99</v>
      </c>
      <c r="G389" t="s">
        <v>103</v>
      </c>
      <c r="H389" t="s">
        <v>109</v>
      </c>
      <c r="I389">
        <v>7</v>
      </c>
      <c r="J389">
        <v>7</v>
      </c>
      <c r="K389">
        <v>5</v>
      </c>
      <c r="L389">
        <v>8</v>
      </c>
      <c r="M389">
        <v>6</v>
      </c>
      <c r="N389">
        <v>8</v>
      </c>
      <c r="O389">
        <v>5</v>
      </c>
      <c r="P389">
        <v>5</v>
      </c>
      <c r="Q389">
        <v>8</v>
      </c>
    </row>
    <row r="390" spans="1:17" x14ac:dyDescent="0.45">
      <c r="A390" s="19">
        <v>46035.465277777781</v>
      </c>
      <c r="B390" t="s">
        <v>78</v>
      </c>
      <c r="C390" t="s">
        <v>81</v>
      </c>
      <c r="D390" t="s">
        <v>74</v>
      </c>
      <c r="E390" t="s">
        <v>77</v>
      </c>
      <c r="F390" t="s">
        <v>99</v>
      </c>
      <c r="G390" t="s">
        <v>195</v>
      </c>
      <c r="H390" t="s">
        <v>109</v>
      </c>
      <c r="I390">
        <v>6</v>
      </c>
      <c r="J390">
        <v>8</v>
      </c>
      <c r="K390">
        <v>7</v>
      </c>
      <c r="L390">
        <v>8</v>
      </c>
      <c r="M390">
        <v>6</v>
      </c>
      <c r="N390">
        <v>8</v>
      </c>
      <c r="O390">
        <v>5</v>
      </c>
      <c r="P390">
        <v>5</v>
      </c>
      <c r="Q390">
        <v>8</v>
      </c>
    </row>
    <row r="391" spans="1:17" x14ac:dyDescent="0.45">
      <c r="A391" s="19">
        <v>46035.46597222222</v>
      </c>
      <c r="B391" t="s">
        <v>72</v>
      </c>
      <c r="C391" t="s">
        <v>79</v>
      </c>
      <c r="D391" t="s">
        <v>74</v>
      </c>
      <c r="E391" t="s">
        <v>75</v>
      </c>
      <c r="F391" t="s">
        <v>99</v>
      </c>
      <c r="G391" t="s">
        <v>108</v>
      </c>
      <c r="H391" t="s">
        <v>105</v>
      </c>
      <c r="I391">
        <v>10</v>
      </c>
      <c r="J391">
        <v>10</v>
      </c>
      <c r="K391">
        <v>5</v>
      </c>
      <c r="L391">
        <v>9</v>
      </c>
      <c r="M391">
        <v>7</v>
      </c>
      <c r="N391">
        <v>8</v>
      </c>
      <c r="O391">
        <v>5</v>
      </c>
      <c r="P391">
        <v>5</v>
      </c>
      <c r="Q391">
        <v>8</v>
      </c>
    </row>
    <row r="392" spans="1:17" x14ac:dyDescent="0.45">
      <c r="A392" s="19">
        <v>46035.466666666667</v>
      </c>
      <c r="B392" t="s">
        <v>78</v>
      </c>
      <c r="C392" t="s">
        <v>81</v>
      </c>
      <c r="D392" t="s">
        <v>74</v>
      </c>
      <c r="E392" t="s">
        <v>77</v>
      </c>
      <c r="F392" t="s">
        <v>99</v>
      </c>
      <c r="G392" t="s">
        <v>103</v>
      </c>
      <c r="H392" t="s">
        <v>109</v>
      </c>
      <c r="I392">
        <v>4</v>
      </c>
      <c r="J392">
        <v>5</v>
      </c>
      <c r="K392">
        <v>7</v>
      </c>
      <c r="L392">
        <v>7</v>
      </c>
      <c r="M392">
        <v>5</v>
      </c>
      <c r="N392">
        <v>7</v>
      </c>
      <c r="O392">
        <v>5</v>
      </c>
      <c r="P392">
        <v>5</v>
      </c>
      <c r="Q392">
        <v>7</v>
      </c>
    </row>
    <row r="393" spans="1:17" x14ac:dyDescent="0.45">
      <c r="A393" s="19">
        <v>46035.467361111114</v>
      </c>
      <c r="B393" t="s">
        <v>72</v>
      </c>
      <c r="C393" t="s">
        <v>192</v>
      </c>
      <c r="D393" t="s">
        <v>74</v>
      </c>
      <c r="E393" t="s">
        <v>75</v>
      </c>
      <c r="F393" t="s">
        <v>99</v>
      </c>
      <c r="G393" t="s">
        <v>107</v>
      </c>
      <c r="H393" t="s">
        <v>194</v>
      </c>
      <c r="I393">
        <v>2</v>
      </c>
      <c r="J393">
        <v>3</v>
      </c>
      <c r="K393">
        <v>3</v>
      </c>
      <c r="L393">
        <v>6</v>
      </c>
      <c r="M393">
        <v>5</v>
      </c>
      <c r="N393">
        <v>5</v>
      </c>
      <c r="O393">
        <v>5</v>
      </c>
      <c r="P393">
        <v>5</v>
      </c>
      <c r="Q393">
        <v>5</v>
      </c>
    </row>
    <row r="394" spans="1:17" x14ac:dyDescent="0.45">
      <c r="A394" s="19">
        <v>46035.468055555553</v>
      </c>
      <c r="B394" t="s">
        <v>72</v>
      </c>
      <c r="C394" t="s">
        <v>73</v>
      </c>
      <c r="D394" t="s">
        <v>74</v>
      </c>
      <c r="E394" t="s">
        <v>77</v>
      </c>
      <c r="F394" t="s">
        <v>99</v>
      </c>
      <c r="G394" t="s">
        <v>100</v>
      </c>
      <c r="H394" t="s">
        <v>104</v>
      </c>
      <c r="I394">
        <v>7</v>
      </c>
      <c r="J394">
        <v>7</v>
      </c>
      <c r="K394">
        <v>5</v>
      </c>
      <c r="L394">
        <v>8</v>
      </c>
      <c r="M394">
        <v>7</v>
      </c>
      <c r="N394">
        <v>7</v>
      </c>
      <c r="O394">
        <v>5</v>
      </c>
      <c r="P394">
        <v>6</v>
      </c>
      <c r="Q394">
        <v>7</v>
      </c>
    </row>
    <row r="395" spans="1:17" x14ac:dyDescent="0.45">
      <c r="A395" s="19">
        <v>46035.476388888892</v>
      </c>
      <c r="B395" t="s">
        <v>78</v>
      </c>
      <c r="C395" t="s">
        <v>81</v>
      </c>
      <c r="D395" t="s">
        <v>74</v>
      </c>
      <c r="E395" t="s">
        <v>77</v>
      </c>
      <c r="F395" t="s">
        <v>99</v>
      </c>
      <c r="G395" t="s">
        <v>193</v>
      </c>
      <c r="H395" t="s">
        <v>101</v>
      </c>
      <c r="I395">
        <v>9</v>
      </c>
      <c r="J395">
        <v>9</v>
      </c>
      <c r="K395">
        <v>9</v>
      </c>
      <c r="L395">
        <v>7</v>
      </c>
      <c r="M395">
        <v>8</v>
      </c>
      <c r="N395">
        <v>6</v>
      </c>
      <c r="O395">
        <v>8</v>
      </c>
      <c r="P395">
        <v>10</v>
      </c>
      <c r="Q395">
        <v>10</v>
      </c>
    </row>
    <row r="396" spans="1:17" x14ac:dyDescent="0.45">
      <c r="A396" s="19">
        <v>46035.526388888888</v>
      </c>
      <c r="B396" t="s">
        <v>78</v>
      </c>
      <c r="C396" t="s">
        <v>190</v>
      </c>
      <c r="D396" t="s">
        <v>74</v>
      </c>
      <c r="E396" t="s">
        <v>77</v>
      </c>
      <c r="F396" t="s">
        <v>99</v>
      </c>
      <c r="G396" t="s">
        <v>108</v>
      </c>
      <c r="H396" t="s">
        <v>101</v>
      </c>
      <c r="I396">
        <v>7</v>
      </c>
      <c r="J396">
        <v>7</v>
      </c>
      <c r="K396">
        <v>5</v>
      </c>
      <c r="L396">
        <v>7</v>
      </c>
      <c r="M396">
        <v>5</v>
      </c>
      <c r="N396">
        <v>6</v>
      </c>
      <c r="O396">
        <v>5</v>
      </c>
      <c r="P396">
        <v>6</v>
      </c>
      <c r="Q396">
        <v>6</v>
      </c>
    </row>
    <row r="397" spans="1:17" x14ac:dyDescent="0.45">
      <c r="A397" s="19">
        <v>46035.527083333334</v>
      </c>
      <c r="B397" t="s">
        <v>72</v>
      </c>
      <c r="C397" t="s">
        <v>73</v>
      </c>
      <c r="D397" t="s">
        <v>74</v>
      </c>
      <c r="E397" t="s">
        <v>189</v>
      </c>
      <c r="F397" t="s">
        <v>99</v>
      </c>
      <c r="G397" t="s">
        <v>100</v>
      </c>
      <c r="H397" t="s">
        <v>101</v>
      </c>
      <c r="I397">
        <v>2</v>
      </c>
      <c r="J397">
        <v>2</v>
      </c>
      <c r="K397">
        <v>4</v>
      </c>
      <c r="L397">
        <v>5</v>
      </c>
      <c r="M397">
        <v>5</v>
      </c>
      <c r="N397">
        <v>3</v>
      </c>
      <c r="O397">
        <v>5</v>
      </c>
      <c r="P397">
        <v>5</v>
      </c>
      <c r="Q397">
        <v>5</v>
      </c>
    </row>
    <row r="398" spans="1:17" x14ac:dyDescent="0.45">
      <c r="A398" s="19">
        <v>46035.527777777781</v>
      </c>
      <c r="B398" t="s">
        <v>72</v>
      </c>
      <c r="C398" t="s">
        <v>81</v>
      </c>
      <c r="D398" t="s">
        <v>74</v>
      </c>
      <c r="E398" t="s">
        <v>77</v>
      </c>
      <c r="F398" t="s">
        <v>99</v>
      </c>
      <c r="G398" t="s">
        <v>100</v>
      </c>
      <c r="H398" t="s">
        <v>109</v>
      </c>
      <c r="I398">
        <v>8</v>
      </c>
      <c r="J398">
        <v>8</v>
      </c>
      <c r="K398">
        <v>7</v>
      </c>
      <c r="L398">
        <v>7</v>
      </c>
      <c r="M398">
        <v>7</v>
      </c>
      <c r="N398">
        <v>8</v>
      </c>
      <c r="O398">
        <v>7</v>
      </c>
      <c r="P398">
        <v>8</v>
      </c>
      <c r="Q398">
        <v>8</v>
      </c>
    </row>
    <row r="399" spans="1:17" x14ac:dyDescent="0.45">
      <c r="A399" s="19">
        <v>46035.527777777781</v>
      </c>
      <c r="B399" t="s">
        <v>72</v>
      </c>
      <c r="C399" t="s">
        <v>188</v>
      </c>
      <c r="D399" t="s">
        <v>74</v>
      </c>
      <c r="E399" t="s">
        <v>77</v>
      </c>
      <c r="F399" t="s">
        <v>99</v>
      </c>
      <c r="G399" t="s">
        <v>193</v>
      </c>
      <c r="H399" t="s">
        <v>109</v>
      </c>
      <c r="I399">
        <v>9</v>
      </c>
      <c r="J399">
        <v>9</v>
      </c>
      <c r="K399">
        <v>8</v>
      </c>
      <c r="L399">
        <v>9</v>
      </c>
      <c r="M399">
        <v>7</v>
      </c>
      <c r="N399">
        <v>9</v>
      </c>
      <c r="O399">
        <v>8</v>
      </c>
      <c r="P399">
        <v>8</v>
      </c>
      <c r="Q399">
        <v>8</v>
      </c>
    </row>
    <row r="400" spans="1:17" x14ac:dyDescent="0.45">
      <c r="A400" s="19">
        <v>46035.52847222222</v>
      </c>
      <c r="B400" t="s">
        <v>72</v>
      </c>
      <c r="C400" t="s">
        <v>81</v>
      </c>
      <c r="D400" t="s">
        <v>74</v>
      </c>
      <c r="E400" t="s">
        <v>75</v>
      </c>
      <c r="F400" t="s">
        <v>99</v>
      </c>
      <c r="G400" t="s">
        <v>100</v>
      </c>
      <c r="H400" t="s">
        <v>109</v>
      </c>
      <c r="I400">
        <v>7</v>
      </c>
      <c r="J400">
        <v>7</v>
      </c>
      <c r="K400">
        <v>5</v>
      </c>
      <c r="L400">
        <v>8</v>
      </c>
      <c r="M400">
        <v>7</v>
      </c>
      <c r="N400">
        <v>8</v>
      </c>
      <c r="O400">
        <v>6</v>
      </c>
      <c r="P400">
        <v>6</v>
      </c>
      <c r="Q400">
        <v>8</v>
      </c>
    </row>
    <row r="401" spans="1:17" x14ac:dyDescent="0.45">
      <c r="A401" s="19">
        <v>46035.529166666667</v>
      </c>
      <c r="B401" t="s">
        <v>72</v>
      </c>
      <c r="C401" t="s">
        <v>79</v>
      </c>
      <c r="D401" t="s">
        <v>74</v>
      </c>
      <c r="E401" t="s">
        <v>77</v>
      </c>
      <c r="F401" t="s">
        <v>99</v>
      </c>
      <c r="G401" t="s">
        <v>108</v>
      </c>
      <c r="H401" t="s">
        <v>105</v>
      </c>
      <c r="I401">
        <v>8</v>
      </c>
      <c r="J401">
        <v>9</v>
      </c>
      <c r="K401">
        <v>8</v>
      </c>
      <c r="L401">
        <v>8</v>
      </c>
      <c r="M401">
        <v>7</v>
      </c>
      <c r="N401">
        <v>7</v>
      </c>
      <c r="O401">
        <v>7</v>
      </c>
      <c r="P401">
        <v>7</v>
      </c>
      <c r="Q401">
        <v>8</v>
      </c>
    </row>
    <row r="402" spans="1:17" x14ac:dyDescent="0.45">
      <c r="A402" s="19">
        <v>46035.529166666667</v>
      </c>
      <c r="B402" t="s">
        <v>72</v>
      </c>
      <c r="C402" t="s">
        <v>81</v>
      </c>
      <c r="D402" t="s">
        <v>80</v>
      </c>
      <c r="E402" t="s">
        <v>77</v>
      </c>
      <c r="F402" t="s">
        <v>99</v>
      </c>
      <c r="G402" t="s">
        <v>103</v>
      </c>
      <c r="H402" t="s">
        <v>109</v>
      </c>
      <c r="I402">
        <v>4</v>
      </c>
      <c r="J402">
        <v>4</v>
      </c>
      <c r="K402">
        <v>3</v>
      </c>
      <c r="L402">
        <v>5</v>
      </c>
      <c r="M402">
        <v>5</v>
      </c>
      <c r="N402">
        <v>2</v>
      </c>
      <c r="O402">
        <v>2</v>
      </c>
      <c r="P402">
        <v>5</v>
      </c>
      <c r="Q402">
        <v>2</v>
      </c>
    </row>
    <row r="403" spans="1:17" x14ac:dyDescent="0.45">
      <c r="A403" s="19">
        <v>46035.532638888886</v>
      </c>
      <c r="B403" t="s">
        <v>78</v>
      </c>
      <c r="C403" t="s">
        <v>192</v>
      </c>
      <c r="D403" t="s">
        <v>74</v>
      </c>
      <c r="E403" t="s">
        <v>75</v>
      </c>
      <c r="F403" t="s">
        <v>99</v>
      </c>
      <c r="G403" t="s">
        <v>107</v>
      </c>
      <c r="H403" t="s">
        <v>194</v>
      </c>
      <c r="I403">
        <v>7</v>
      </c>
      <c r="J403">
        <v>7</v>
      </c>
      <c r="K403">
        <v>4</v>
      </c>
      <c r="L403">
        <v>6</v>
      </c>
      <c r="M403">
        <v>5</v>
      </c>
      <c r="N403">
        <v>4</v>
      </c>
      <c r="O403">
        <v>5</v>
      </c>
      <c r="P403">
        <v>5</v>
      </c>
      <c r="Q403">
        <v>5</v>
      </c>
    </row>
    <row r="404" spans="1:17" x14ac:dyDescent="0.45">
      <c r="A404" s="19">
        <v>46035.53402777778</v>
      </c>
      <c r="B404" t="s">
        <v>72</v>
      </c>
      <c r="C404" t="s">
        <v>81</v>
      </c>
      <c r="D404" t="s">
        <v>74</v>
      </c>
      <c r="E404" t="s">
        <v>77</v>
      </c>
      <c r="F404" t="s">
        <v>99</v>
      </c>
      <c r="G404" t="s">
        <v>100</v>
      </c>
      <c r="H404" t="s">
        <v>109</v>
      </c>
      <c r="I404">
        <v>7</v>
      </c>
      <c r="J404">
        <v>7</v>
      </c>
      <c r="K404">
        <v>7</v>
      </c>
      <c r="L404">
        <v>7</v>
      </c>
      <c r="M404">
        <v>7</v>
      </c>
      <c r="N404">
        <v>7</v>
      </c>
      <c r="O404">
        <v>7</v>
      </c>
      <c r="P404">
        <v>7</v>
      </c>
      <c r="Q404">
        <v>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E10F7-2B84-40C6-9388-EA08AD4F398E}">
  <dimension ref="A1:BI409"/>
  <sheetViews>
    <sheetView topLeftCell="AL1" workbookViewId="0">
      <selection activeCell="BE404" sqref="BE2:BE404"/>
    </sheetView>
  </sheetViews>
  <sheetFormatPr defaultRowHeight="14.25" x14ac:dyDescent="0.45"/>
  <sheetData>
    <row r="1" spans="1:61" s="23" customFormat="1" x14ac:dyDescent="0.45">
      <c r="A1" s="17" t="s">
        <v>37</v>
      </c>
      <c r="B1" s="18" t="s">
        <v>197</v>
      </c>
      <c r="C1" s="18" t="s">
        <v>111</v>
      </c>
      <c r="D1" s="18" t="s">
        <v>112</v>
      </c>
      <c r="E1" s="18" t="s">
        <v>113</v>
      </c>
      <c r="F1" s="18" t="s">
        <v>114</v>
      </c>
      <c r="G1" s="18" t="s">
        <v>115</v>
      </c>
      <c r="H1" s="18" t="s">
        <v>116</v>
      </c>
      <c r="I1" s="18" t="s">
        <v>117</v>
      </c>
      <c r="J1" s="18" t="s">
        <v>118</v>
      </c>
      <c r="K1" s="18" t="s">
        <v>119</v>
      </c>
      <c r="L1" s="18" t="s">
        <v>120</v>
      </c>
      <c r="M1" s="18" t="s">
        <v>121</v>
      </c>
      <c r="N1" s="18" t="s">
        <v>122</v>
      </c>
      <c r="O1" s="18" t="s">
        <v>123</v>
      </c>
      <c r="P1" s="18" t="s">
        <v>124</v>
      </c>
      <c r="Q1" s="21" t="s">
        <v>45</v>
      </c>
      <c r="R1" s="21" t="s">
        <v>126</v>
      </c>
      <c r="S1" s="21" t="s">
        <v>125</v>
      </c>
      <c r="T1" s="21" t="s">
        <v>127</v>
      </c>
      <c r="U1" s="18" t="s">
        <v>128</v>
      </c>
      <c r="V1" s="22" t="s">
        <v>48</v>
      </c>
      <c r="W1" s="22" t="s">
        <v>129</v>
      </c>
      <c r="X1" s="22" t="s">
        <v>130</v>
      </c>
      <c r="Y1" s="22" t="s">
        <v>131</v>
      </c>
      <c r="Z1" s="20" t="s">
        <v>132</v>
      </c>
      <c r="AA1" s="21" t="s">
        <v>51</v>
      </c>
      <c r="AB1" s="21" t="s">
        <v>133</v>
      </c>
      <c r="AC1" s="21" t="s">
        <v>134</v>
      </c>
      <c r="AD1" s="21" t="s">
        <v>135</v>
      </c>
      <c r="AE1" s="18" t="s">
        <v>136</v>
      </c>
      <c r="AF1" s="22" t="s">
        <v>54</v>
      </c>
      <c r="AG1" s="22" t="s">
        <v>137</v>
      </c>
      <c r="AH1" s="22" t="s">
        <v>138</v>
      </c>
      <c r="AI1" s="22" t="s">
        <v>139</v>
      </c>
      <c r="AJ1" s="22" t="s">
        <v>140</v>
      </c>
      <c r="AK1" s="21" t="s">
        <v>57</v>
      </c>
      <c r="AL1" s="21" t="s">
        <v>141</v>
      </c>
      <c r="AM1" s="21" t="s">
        <v>142</v>
      </c>
      <c r="AN1" s="21" t="s">
        <v>143</v>
      </c>
      <c r="AO1" s="21" t="s">
        <v>144</v>
      </c>
      <c r="AP1" s="22" t="s">
        <v>60</v>
      </c>
      <c r="AQ1" s="22" t="s">
        <v>145</v>
      </c>
      <c r="AR1" s="22" t="s">
        <v>146</v>
      </c>
      <c r="AS1" s="22" t="s">
        <v>147</v>
      </c>
      <c r="AT1" s="22" t="s">
        <v>148</v>
      </c>
      <c r="AU1" s="21" t="s">
        <v>63</v>
      </c>
      <c r="AV1" s="21" t="s">
        <v>149</v>
      </c>
      <c r="AW1" s="21" t="s">
        <v>150</v>
      </c>
      <c r="AX1" s="21" t="s">
        <v>151</v>
      </c>
      <c r="AY1" s="21" t="s">
        <v>152</v>
      </c>
      <c r="AZ1" s="22" t="s">
        <v>66</v>
      </c>
      <c r="BA1" s="22" t="s">
        <v>153</v>
      </c>
      <c r="BB1" s="22" t="s">
        <v>154</v>
      </c>
      <c r="BC1" s="22" t="s">
        <v>155</v>
      </c>
      <c r="BD1" s="22" t="s">
        <v>156</v>
      </c>
      <c r="BE1" s="21" t="s">
        <v>69</v>
      </c>
      <c r="BF1" s="21" t="s">
        <v>157</v>
      </c>
      <c r="BG1" s="21" t="s">
        <v>158</v>
      </c>
      <c r="BH1" s="21" t="s">
        <v>159</v>
      </c>
      <c r="BI1" s="21" t="s">
        <v>160</v>
      </c>
    </row>
    <row r="2" spans="1:61" x14ac:dyDescent="0.45">
      <c r="A2" s="30">
        <f>step3_validation[[#This Row],[Persona_ID]]</f>
        <v>1</v>
      </c>
      <c r="B2" s="31">
        <f>step3_validation[[#This Row],[Used_Seed]]</f>
        <v>1991</v>
      </c>
      <c r="C2" t="str">
        <f>step3_validation[[#This Row],[Gender]]</f>
        <v>Nữ</v>
      </c>
      <c r="D2" t="str">
        <f>survey_responses[[#This Row],[Giới tính của bạn:]]</f>
        <v>Nữ</v>
      </c>
      <c r="E2" t="str">
        <f>step3_validation[[#This Row],[Age_Group]]</f>
        <v>25 - 29</v>
      </c>
      <c r="F2" t="str">
        <f>survey_responses[[#This Row],[Độ tuổi của bạn:]]</f>
        <v>25 - 29</v>
      </c>
      <c r="G2" t="str">
        <f>step3_validation[[#This Row],[Region]]</f>
        <v>Thành thị</v>
      </c>
      <c r="H2" t="str">
        <f>survey_responses[[#This Row],[Khu vực bạn đang sinh sống:]]</f>
        <v>Thành thị</v>
      </c>
      <c r="I2" t="str">
        <f>step3_validation[[#This Row],[Education]]</f>
        <v>Đại học</v>
      </c>
      <c r="J2" t="str">
        <f>survey_responses[[#This Row],[Trình độ học vấn cao nhất:]]</f>
        <v>Đại học</v>
      </c>
      <c r="K2" t="str">
        <f>step3_validation[[#This Row],[Employment]]</f>
        <v>Chính thức</v>
      </c>
      <c r="L2" t="str">
        <f>survey_responses[[#This Row],[Tình trạng việc làm chính:]]</f>
        <v>Khu vực chính thức (Có Hợp đồng lao động, đóng BHXH)</v>
      </c>
      <c r="M2">
        <f>step3_validation[[#This Row],[Income_Mil]]</f>
        <v>16.029544063938452</v>
      </c>
      <c r="N2" t="str">
        <f>survey_responses[[#This Row],[Thu nhập bình quân tháng theo Hợp đồng lao động của bạn là bao nhiêu? (Vui lòng điền tổng thu nhập trước khi khấu trừ các loại Bảo hiểm (BHXH, BHYT, BHTN) và Thuế TNCN)]]</f>
        <v>Từ 12 - 18 triệu VNĐ</v>
      </c>
      <c r="O2">
        <f>step3_validation[[#This Row],[Dependents]]</f>
        <v>1</v>
      </c>
      <c r="P2" t="str">
        <f>survey_responses[[#This Row],[Số người phụ thuộc (con nhỏ, cha mẹ già...) đủ điều kiện giảm trừ gia cảnh:]]</f>
        <v>1 người</v>
      </c>
      <c r="Q2">
        <f>step3_validation[[#This Row],[AI_ENF1]]</f>
        <v>7</v>
      </c>
      <c r="R2" t="str">
        <f>IF(AND(Q2&gt;=1,Q2&lt;5),"Oppose",IF(AND(Q2&gt;=5,Q2&lt;8),"Neutral",IF(AND(Q2&gt;=8,Q2&lt;=10),"Support","")))</f>
        <v>Neutral</v>
      </c>
      <c r="S2">
        <f>survey_responses[[#This Row],[Tôi tin rằng với các quy định quản lý thuế hiện nay, hành vi gian lận hoặc trốn thuế sẽ dễ dàng bị phát hiện và xử lý nghiêm. - HUMAN-ENF1]]</f>
        <v>10</v>
      </c>
      <c r="T2" t="str">
        <f>IF(AND(S2&gt;=1,S2&lt;5),"Oppose",IF(AND(S2&gt;=5,S2&lt;8),"Neutral",IF(AND(S2&gt;=8,S2&lt;=10),"Support","")))</f>
        <v>Support</v>
      </c>
      <c r="U2" s="32">
        <f>ABS(S2-Q2)</f>
        <v>3</v>
      </c>
      <c r="V2">
        <f>step3_validation[[#This Row],[AI_ENF2]]</f>
        <v>8</v>
      </c>
      <c r="W2" t="str">
        <f>IF(AND(V2&gt;=1,V2&lt;5),"Oppose",IF(AND(V2&gt;=5,V2&lt;8),"Neutral",IF(AND(V2&gt;=8,V2&lt;=10),"Support","")))</f>
        <v>Support</v>
      </c>
      <c r="X2">
        <f>survey_responses[[#This Row],[Tôi tin rằng Nhà nước, cơ quan thuế có đủ khả năng và công nghệ để phát hiện, xử lý nghiêm các hành vi trốn thuế. - HUMAN-ENF2]]</f>
        <v>8</v>
      </c>
      <c r="Y2" t="str">
        <f>IF(AND(X2&gt;=1,X2&lt;5),"Oppose",IF(AND(X2&gt;=5,X2&lt;8),"Neutral",IF(AND(X2&gt;=8,X2&lt;=10),"Support","")))</f>
        <v>Support</v>
      </c>
      <c r="Z2" s="32">
        <f>ABS(X2-V2)</f>
        <v>0</v>
      </c>
      <c r="AA2">
        <f>step3_validation[[#This Row],[AI_FAC1]]</f>
        <v>6</v>
      </c>
      <c r="AB2" t="str">
        <f>IF(AND(AA2&gt;=1,AA2&lt;5),"Oppose",IF(AND(AA2&gt;=5,AA2&lt;8),"Neutral",IF(AND(AA2&gt;=8,AA2&lt;=10),"Support","")))</f>
        <v>Neutral</v>
      </c>
      <c r="AC2">
        <f>survey_responses[[#This Row],[Các thủ tục khai báo thuế VÀ/HOẶC quy trình làm việc với cơ quan thuế đơn giản, tiện lợi, nhanh chóng hơn so với trước đây. - HUMAN-FAC1]]</f>
        <v>5</v>
      </c>
      <c r="AD2" t="str">
        <f>IF(AND(AC2&gt;=1,AC2&lt;5),"Oppose",IF(AND(AC2&gt;=5,AC2&lt;8),"Neutral",IF(AND(AC2&gt;=8,AC2&lt;=10),"Support","")))</f>
        <v>Neutral</v>
      </c>
      <c r="AE2" s="32">
        <f>ABS(AC2-AA2)</f>
        <v>1</v>
      </c>
      <c r="AF2">
        <f>step3_validation[[#This Row],[AI_FAC2]]</f>
        <v>8</v>
      </c>
      <c r="AG2" t="str">
        <f>IF(AND(AF2&gt;=1,AF2&lt;5),"Oppose",IF(AND(AF2&gt;=5,AF2&lt;8),"Neutral",IF(AND(AF2&gt;=8,AF2&lt;=10),"Support","")))</f>
        <v>Support</v>
      </c>
      <c r="AH2">
        <f>survey_responses[[#This Row],[So với trước đây, tôi thấy cách tính thuế và các bậc thuế trong phương án mới đơn giản, dễ hiểu và dễ thực hiện hơn. - HUMAN-FAC2]]</f>
        <v>5</v>
      </c>
      <c r="AI2" t="str">
        <f>IF(AND(AH2&gt;=1,AH2&lt;5),"Oppose",IF(AND(AH2&gt;=5,AH2&lt;8),"Neutral",IF(AND(AH2&gt;=8,AH2&lt;=10),"Support","")))</f>
        <v>Neutral</v>
      </c>
      <c r="AJ2" s="32">
        <f>ABS(AH2-AF2)</f>
        <v>3</v>
      </c>
      <c r="AK2">
        <f>step3_validation[[#This Row],[AI_TRU1]]</f>
        <v>7</v>
      </c>
      <c r="AL2" t="str">
        <f>IF(AND(AK2&gt;=1,AK2&lt;5),"Oppose",IF(AND(AK2&gt;=5,AK2&lt;8),"Neutral",IF(AND(AK2&gt;=8,AK2&lt;=10),"Support","")))</f>
        <v>Neutral</v>
      </c>
      <c r="AM2">
        <f>survey_responses[[#This Row],[Tôi tin rằng Nhà nước, cơ quan thuế sẽ thực thi chính sách mới một cách khách quan, công tâm và đối xử bình đẳng với mọi người nộp thuế.  - HUMAN-TRU1]]</f>
        <v>10</v>
      </c>
      <c r="AN2" t="str">
        <f>IF(AND(AM2&gt;=1,AM2&lt;5),"Oppose",IF(AND(AM2&gt;=5,AM2&lt;8),"Neutral",IF(AND(AM2&gt;=8,AM2&lt;=10),"Support","")))</f>
        <v>Support</v>
      </c>
      <c r="AO2" s="32">
        <f>ABS(AM2-AK2)</f>
        <v>3</v>
      </c>
      <c r="AP2">
        <f>step3_validation[[#This Row],[AI_TRU2]]</f>
        <v>8</v>
      </c>
      <c r="AQ2" t="str">
        <f>IF(AND(AP2&gt;=1,AP2&lt;5),"Oppose",IF(AND(AP2&gt;=5,AP2&lt;8),"Neutral",IF(AND(AP2&gt;=8,AP2&lt;=10),"Support","")))</f>
        <v>Support</v>
      </c>
      <c r="AR2">
        <f>survey_responses[[#This Row],[Tôi thấy mức thuế tôi phải đóng theo phương án mới là công bằng (người thu nhập như tôi đóng mức này là hợp lý). - HUMAN-TRU2]]</f>
        <v>10</v>
      </c>
      <c r="AS2" t="str">
        <f>IF(AND(AR2&gt;=1,AR2&lt;5),"Oppose",IF(AND(AR2&gt;=5,AR2&lt;8),"Neutral",IF(AND(AR2&gt;=8,AR2&lt;=10),"Support","")))</f>
        <v>Support</v>
      </c>
      <c r="AT2" s="32">
        <f>ABS(AR2-AP2)</f>
        <v>2</v>
      </c>
      <c r="AU2">
        <f>step3_validation[[#This Row],[AI_TRU3]]</f>
        <v>7</v>
      </c>
      <c r="AV2" t="str">
        <f>IF(AND(AU2&gt;=1,AU2&lt;5),"Oppose",IF(AND(AU2&gt;=5,AU2&lt;8),"Neutral",IF(AND(AU2&gt;=8,AU2&lt;=10),"Support","")))</f>
        <v>Neutral</v>
      </c>
      <c r="AW2">
        <f>survey_responses[[#This Row],[Tôi tin tưởng số tiền thuế tôi đóng sẽ được Nhà nước sử dụng hiệu quả để cải thiện dịch vụ công (y tế, đường xá...). - HUMAN-TRU3]]</f>
        <v>10</v>
      </c>
      <c r="AX2" t="str">
        <f>IF(AND(AW2&gt;=1,AW2&lt;5),"Oppose",IF(AND(AW2&gt;=5,AW2&lt;8),"Neutral",IF(AND(AW2&gt;=8,AW2&lt;=10),"Support","")))</f>
        <v>Support</v>
      </c>
      <c r="AY2" s="32">
        <f>ABS(AW2-AU2)</f>
        <v>3</v>
      </c>
      <c r="AZ2">
        <f>step3_validation[[#This Row],[AI_TRU4]]</f>
        <v>6</v>
      </c>
      <c r="BA2" t="str">
        <f>IF(AND(AZ2&gt;=1,AZ2&lt;5),"Oppose",IF(AND(AZ2&gt;=5,AZ2&lt;8),"Neutral",IF(AND(AZ2&gt;=8,AZ2&lt;=10),"Support","")))</f>
        <v>Neutral</v>
      </c>
      <c r="BB2">
        <f>survey_responses[[#This Row],[Tôi thấy Nhà nước đã giải thích rõ ràng, minh bạch về lý do và mục tiêu của việc sửa đổi thuế lần này. - HUMAN-TRU4]]</f>
        <v>10</v>
      </c>
      <c r="BC2" t="str">
        <f>IF(AND(BB2&gt;=1,BB2&lt;5),"Oppose",IF(AND(BB2&gt;=5,BB2&lt;8),"Neutral",IF(AND(BB2&gt;=8,BB2&lt;=10),"Support","")))</f>
        <v>Support</v>
      </c>
      <c r="BD2" s="32">
        <f>ABS(BB2-AZ2)</f>
        <v>4</v>
      </c>
      <c r="BE2">
        <f>step3_validation[[#This Row],[AI_OUT1]]</f>
        <v>8</v>
      </c>
      <c r="BF2" t="str">
        <f>IF(AND(BE2&gt;=1,BE2&lt;5),"Oppose",IF(AND(BE2&gt;=5,BE2&lt;8),"Neutral",IF(AND(BE2&gt;=8,BE2&lt;=10),"Support","")))</f>
        <v>Support</v>
      </c>
      <c r="BG2">
        <f>survey_responses[[#This Row],[Sau khi xem xét các quyền lợi và nghĩa vụ, bạn có ủng hộ và tuân thủ chính sách mới hiện nay? - HUMAN-OUT1]]</f>
        <v>10</v>
      </c>
      <c r="BH2" t="str">
        <f>IF(AND(BG2&gt;=1,BG2&lt;5),"Oppose",IF(AND(BG2&gt;=5,BG2&lt;8),"Neutral",IF(AND(BG2&gt;=8,BG2&lt;=10),"Support","")))</f>
        <v>Support</v>
      </c>
      <c r="BI2" s="32">
        <f>ABS(BG2-BE2)</f>
        <v>2</v>
      </c>
    </row>
    <row r="3" spans="1:61" x14ac:dyDescent="0.45">
      <c r="A3" s="30">
        <f>step3_validation[[#This Row],[Persona_ID]]</f>
        <v>2</v>
      </c>
      <c r="B3" s="31">
        <f>step3_validation[[#This Row],[Used_Seed]]</f>
        <v>1992</v>
      </c>
      <c r="C3" t="str">
        <f>step3_validation[[#This Row],[Gender]]</f>
        <v>Nữ</v>
      </c>
      <c r="D3" t="str">
        <f>survey_responses[[#This Row],[Giới tính của bạn:]]</f>
        <v>Nữ</v>
      </c>
      <c r="E3" t="str">
        <f>step3_validation[[#This Row],[Age_Group]]</f>
        <v>25 - 29</v>
      </c>
      <c r="F3" t="str">
        <f>survey_responses[[#This Row],[Độ tuổi của bạn:]]</f>
        <v>25 - 29</v>
      </c>
      <c r="G3" t="str">
        <f>step3_validation[[#This Row],[Region]]</f>
        <v>Thành thị</v>
      </c>
      <c r="H3" t="str">
        <f>survey_responses[[#This Row],[Khu vực bạn đang sinh sống:]]</f>
        <v>Thành thị</v>
      </c>
      <c r="I3" t="str">
        <f>step3_validation[[#This Row],[Education]]</f>
        <v>Đại học</v>
      </c>
      <c r="J3" t="str">
        <f>survey_responses[[#This Row],[Trình độ học vấn cao nhất:]]</f>
        <v>Đại học</v>
      </c>
      <c r="K3" t="str">
        <f>step3_validation[[#This Row],[Employment]]</f>
        <v>Chính thức</v>
      </c>
      <c r="L3" t="str">
        <f>survey_responses[[#This Row],[Tình trạng việc làm chính:]]</f>
        <v>Khu vực chính thức (Có Hợp đồng lao động, đóng BHXH)</v>
      </c>
      <c r="M3">
        <f>step3_validation[[#This Row],[Income_Mil]]</f>
        <v>12.77596048017443</v>
      </c>
      <c r="N3" t="str">
        <f>survey_responses[[#This Row],[Thu nhập bình quân tháng theo Hợp đồng lao động của bạn là bao nhiêu? (Vui lòng điền tổng thu nhập trước khi khấu trừ các loại Bảo hiểm (BHXH, BHYT, BHTN) và Thuế TNCN)]]</f>
        <v>Từ 12 - 18 triệu VNĐ</v>
      </c>
      <c r="O3">
        <f>step3_validation[[#This Row],[Dependents]]</f>
        <v>0</v>
      </c>
      <c r="P3" t="str">
        <f>survey_responses[[#This Row],[Số người phụ thuộc (con nhỏ, cha mẹ già...) đủ điều kiện giảm trừ gia cảnh:]]</f>
        <v>0 người</v>
      </c>
      <c r="Q3">
        <f>step3_validation[[#This Row],[AI_ENF1]]</f>
        <v>7</v>
      </c>
      <c r="R3" t="str">
        <f t="shared" ref="R3:R66" si="0">IF(AND(Q3&gt;=1,Q3&lt;5),"Oppose",IF(AND(Q3&gt;=5,Q3&lt;8),"Neutral",IF(AND(Q3&gt;=8,Q3&lt;=10),"Support","")))</f>
        <v>Neutral</v>
      </c>
      <c r="S3">
        <f>survey_responses[[#This Row],[Tôi tin rằng với các quy định quản lý thuế hiện nay, hành vi gian lận hoặc trốn thuế sẽ dễ dàng bị phát hiện và xử lý nghiêm. - HUMAN-ENF1]]</f>
        <v>8</v>
      </c>
      <c r="T3" t="str">
        <f t="shared" ref="T3:T66" si="1">IF(AND(S3&gt;=1,S3&lt;5),"Oppose",IF(AND(S3&gt;=5,S3&lt;8),"Neutral",IF(AND(S3&gt;=8,S3&lt;=10),"Support","")))</f>
        <v>Support</v>
      </c>
      <c r="U3" s="32">
        <f t="shared" ref="U3:U66" si="2">ABS(S3-Q3)</f>
        <v>1</v>
      </c>
      <c r="V3">
        <f>step3_validation[[#This Row],[AI_ENF2]]</f>
        <v>8</v>
      </c>
      <c r="W3" t="str">
        <f t="shared" ref="W3:W66" si="3">IF(AND(V3&gt;=1,V3&lt;5),"Oppose",IF(AND(V3&gt;=5,V3&lt;8),"Neutral",IF(AND(V3&gt;=8,V3&lt;=10),"Support","")))</f>
        <v>Support</v>
      </c>
      <c r="X3">
        <f>survey_responses[[#This Row],[Tôi tin rằng Nhà nước, cơ quan thuế có đủ khả năng và công nghệ để phát hiện, xử lý nghiêm các hành vi trốn thuế. - HUMAN-ENF2]]</f>
        <v>8</v>
      </c>
      <c r="Y3" t="str">
        <f t="shared" ref="Y3:Y66" si="4">IF(AND(X3&gt;=1,X3&lt;5),"Oppose",IF(AND(X3&gt;=5,X3&lt;8),"Neutral",IF(AND(X3&gt;=8,X3&lt;=10),"Support","")))</f>
        <v>Support</v>
      </c>
      <c r="Z3" s="32">
        <f t="shared" ref="Z3:Z66" si="5">ABS(X3-V3)</f>
        <v>0</v>
      </c>
      <c r="AA3">
        <f>step3_validation[[#This Row],[AI_FAC1]]</f>
        <v>6</v>
      </c>
      <c r="AB3" t="str">
        <f t="shared" ref="AB3:AB66" si="6">IF(AND(AA3&gt;=1,AA3&lt;5),"Oppose",IF(AND(AA3&gt;=5,AA3&lt;8),"Neutral",IF(AND(AA3&gt;=8,AA3&lt;=10),"Support","")))</f>
        <v>Neutral</v>
      </c>
      <c r="AC3">
        <f>survey_responses[[#This Row],[Các thủ tục khai báo thuế VÀ/HOẶC quy trình làm việc với cơ quan thuế đơn giản, tiện lợi, nhanh chóng hơn so với trước đây. - HUMAN-FAC1]]</f>
        <v>6</v>
      </c>
      <c r="AD3" t="str">
        <f t="shared" ref="AD3:AD66" si="7">IF(AND(AC3&gt;=1,AC3&lt;5),"Oppose",IF(AND(AC3&gt;=5,AC3&lt;8),"Neutral",IF(AND(AC3&gt;=8,AC3&lt;=10),"Support","")))</f>
        <v>Neutral</v>
      </c>
      <c r="AE3" s="32">
        <f t="shared" ref="AE3:AE66" si="8">ABS(AC3-AA3)</f>
        <v>0</v>
      </c>
      <c r="AF3">
        <f>step3_validation[[#This Row],[AI_FAC2]]</f>
        <v>8</v>
      </c>
      <c r="AG3" t="str">
        <f t="shared" ref="AG3:AG66" si="9">IF(AND(AF3&gt;=1,AF3&lt;5),"Oppose",IF(AND(AF3&gt;=5,AF3&lt;8),"Neutral",IF(AND(AF3&gt;=8,AF3&lt;=10),"Support","")))</f>
        <v>Support</v>
      </c>
      <c r="AH3">
        <f>survey_responses[[#This Row],[So với trước đây, tôi thấy cách tính thuế và các bậc thuế trong phương án mới đơn giản, dễ hiểu và dễ thực hiện hơn. - HUMAN-FAC2]]</f>
        <v>9</v>
      </c>
      <c r="AI3" t="str">
        <f t="shared" ref="AI3:AI66" si="10">IF(AND(AH3&gt;=1,AH3&lt;5),"Oppose",IF(AND(AH3&gt;=5,AH3&lt;8),"Neutral",IF(AND(AH3&gt;=8,AH3&lt;=10),"Support","")))</f>
        <v>Support</v>
      </c>
      <c r="AJ3" s="32">
        <f t="shared" ref="AJ3:AJ66" si="11">ABS(AH3-AF3)</f>
        <v>1</v>
      </c>
      <c r="AK3">
        <f>step3_validation[[#This Row],[AI_TRU1]]</f>
        <v>7</v>
      </c>
      <c r="AL3" t="str">
        <f t="shared" ref="AL3:AL66" si="12">IF(AND(AK3&gt;=1,AK3&lt;5),"Oppose",IF(AND(AK3&gt;=5,AK3&lt;8),"Neutral",IF(AND(AK3&gt;=8,AK3&lt;=10),"Support","")))</f>
        <v>Neutral</v>
      </c>
      <c r="AM3">
        <f>survey_responses[[#This Row],[Tôi tin rằng Nhà nước, cơ quan thuế sẽ thực thi chính sách mới một cách khách quan, công tâm và đối xử bình đẳng với mọi người nộp thuế.  - HUMAN-TRU1]]</f>
        <v>10</v>
      </c>
      <c r="AN3" t="str">
        <f t="shared" ref="AN3:AN66" si="13">IF(AND(AM3&gt;=1,AM3&lt;5),"Oppose",IF(AND(AM3&gt;=5,AM3&lt;8),"Neutral",IF(AND(AM3&gt;=8,AM3&lt;=10),"Support","")))</f>
        <v>Support</v>
      </c>
      <c r="AO3" s="32">
        <f t="shared" ref="AO3:AO66" si="14">ABS(AM3-AK3)</f>
        <v>3</v>
      </c>
      <c r="AP3">
        <f>step3_validation[[#This Row],[AI_TRU2]]</f>
        <v>9</v>
      </c>
      <c r="AQ3" t="str">
        <f t="shared" ref="AQ3:AQ66" si="15">IF(AND(AP3&gt;=1,AP3&lt;5),"Oppose",IF(AND(AP3&gt;=5,AP3&lt;8),"Neutral",IF(AND(AP3&gt;=8,AP3&lt;=10),"Support","")))</f>
        <v>Support</v>
      </c>
      <c r="AR3">
        <f>survey_responses[[#This Row],[Tôi thấy mức thuế tôi phải đóng theo phương án mới là công bằng (người thu nhập như tôi đóng mức này là hợp lý). - HUMAN-TRU2]]</f>
        <v>9</v>
      </c>
      <c r="AS3" t="str">
        <f t="shared" ref="AS3:AS66" si="16">IF(AND(AR3&gt;=1,AR3&lt;5),"Oppose",IF(AND(AR3&gt;=5,AR3&lt;8),"Neutral",IF(AND(AR3&gt;=8,AR3&lt;=10),"Support","")))</f>
        <v>Support</v>
      </c>
      <c r="AT3" s="32">
        <f t="shared" ref="AT3:AT66" si="17">ABS(AR3-AP3)</f>
        <v>0</v>
      </c>
      <c r="AU3">
        <f>step3_validation[[#This Row],[AI_TRU3]]</f>
        <v>8</v>
      </c>
      <c r="AV3" t="str">
        <f t="shared" ref="AV3:AV66" si="18">IF(AND(AU3&gt;=1,AU3&lt;5),"Oppose",IF(AND(AU3&gt;=5,AU3&lt;8),"Neutral",IF(AND(AU3&gt;=8,AU3&lt;=10),"Support","")))</f>
        <v>Support</v>
      </c>
      <c r="AW3">
        <f>survey_responses[[#This Row],[Tôi tin tưởng số tiền thuế tôi đóng sẽ được Nhà nước sử dụng hiệu quả để cải thiện dịch vụ công (y tế, đường xá...). - HUMAN-TRU3]]</f>
        <v>8</v>
      </c>
      <c r="AX3" t="str">
        <f t="shared" ref="AX3:AX66" si="19">IF(AND(AW3&gt;=1,AW3&lt;5),"Oppose",IF(AND(AW3&gt;=5,AW3&lt;8),"Neutral",IF(AND(AW3&gt;=8,AW3&lt;=10),"Support","")))</f>
        <v>Support</v>
      </c>
      <c r="AY3" s="32">
        <f t="shared" ref="AY3:AY66" si="20">ABS(AW3-AU3)</f>
        <v>0</v>
      </c>
      <c r="AZ3">
        <f>step3_validation[[#This Row],[AI_TRU4]]</f>
        <v>9</v>
      </c>
      <c r="BA3" t="str">
        <f t="shared" ref="BA3:BA66" si="21">IF(AND(AZ3&gt;=1,AZ3&lt;5),"Oppose",IF(AND(AZ3&gt;=5,AZ3&lt;8),"Neutral",IF(AND(AZ3&gt;=8,AZ3&lt;=10),"Support","")))</f>
        <v>Support</v>
      </c>
      <c r="BB3">
        <f>survey_responses[[#This Row],[Tôi thấy Nhà nước đã giải thích rõ ràng, minh bạch về lý do và mục tiêu của việc sửa đổi thuế lần này. - HUMAN-TRU4]]</f>
        <v>9</v>
      </c>
      <c r="BC3" t="str">
        <f t="shared" ref="BC3:BC66" si="22">IF(AND(BB3&gt;=1,BB3&lt;5),"Oppose",IF(AND(BB3&gt;=5,BB3&lt;8),"Neutral",IF(AND(BB3&gt;=8,BB3&lt;=10),"Support","")))</f>
        <v>Support</v>
      </c>
      <c r="BD3" s="32">
        <f t="shared" ref="BD3:BD66" si="23">ABS(BB3-AZ3)</f>
        <v>0</v>
      </c>
      <c r="BE3">
        <f>step3_validation[[#This Row],[AI_OUT1]]</f>
        <v>7</v>
      </c>
      <c r="BF3" t="str">
        <f t="shared" ref="BF3:BF66" si="24">IF(AND(BE3&gt;=1,BE3&lt;5),"Oppose",IF(AND(BE3&gt;=5,BE3&lt;8),"Neutral",IF(AND(BE3&gt;=8,BE3&lt;=10),"Support","")))</f>
        <v>Neutral</v>
      </c>
      <c r="BG3">
        <f>survey_responses[[#This Row],[Sau khi xem xét các quyền lợi và nghĩa vụ, bạn có ủng hộ và tuân thủ chính sách mới hiện nay? - HUMAN-OUT1]]</f>
        <v>10</v>
      </c>
      <c r="BH3" t="str">
        <f t="shared" ref="BH3:BH66" si="25">IF(AND(BG3&gt;=1,BG3&lt;5),"Oppose",IF(AND(BG3&gt;=5,BG3&lt;8),"Neutral",IF(AND(BG3&gt;=8,BG3&lt;=10),"Support","")))</f>
        <v>Support</v>
      </c>
      <c r="BI3" s="32">
        <f t="shared" ref="BI3:BI66" si="26">ABS(BG3-BE3)</f>
        <v>3</v>
      </c>
    </row>
    <row r="4" spans="1:61" x14ac:dyDescent="0.45">
      <c r="A4" s="30">
        <f>step3_validation[[#This Row],[Persona_ID]]</f>
        <v>3</v>
      </c>
      <c r="B4" s="31">
        <f>step3_validation[[#This Row],[Used_Seed]]</f>
        <v>1993</v>
      </c>
      <c r="C4" t="str">
        <f>step3_validation[[#This Row],[Gender]]</f>
        <v>Nam</v>
      </c>
      <c r="D4" t="str">
        <f>survey_responses[[#This Row],[Giới tính của bạn:]]</f>
        <v>Nam</v>
      </c>
      <c r="E4" t="str">
        <f>step3_validation[[#This Row],[Age_Group]]</f>
        <v>40 - 49</v>
      </c>
      <c r="F4" t="str">
        <f>survey_responses[[#This Row],[Độ tuổi của bạn:]]</f>
        <v>40 - 49</v>
      </c>
      <c r="G4" t="str">
        <f>step3_validation[[#This Row],[Region]]</f>
        <v>Thành thị</v>
      </c>
      <c r="H4" t="str">
        <f>survey_responses[[#This Row],[Khu vực bạn đang sinh sống:]]</f>
        <v>Thành thị</v>
      </c>
      <c r="I4" t="str">
        <f>step3_validation[[#This Row],[Education]]</f>
        <v>Sau Đại học</v>
      </c>
      <c r="J4" t="str">
        <f>survey_responses[[#This Row],[Trình độ học vấn cao nhất:]]</f>
        <v>Sau Đại học</v>
      </c>
      <c r="K4" t="str">
        <f>step3_validation[[#This Row],[Employment]]</f>
        <v>Chính thức</v>
      </c>
      <c r="L4" t="str">
        <f>survey_responses[[#This Row],[Tình trạng việc làm chính:]]</f>
        <v>Khu vực chính thức (Có Hợp đồng lao động, đóng BHXH)</v>
      </c>
      <c r="M4">
        <f>step3_validation[[#This Row],[Income_Mil]]</f>
        <v>61.547531975843718</v>
      </c>
      <c r="N4" t="str">
        <f>survey_responses[[#This Row],[Thu nhập bình quân tháng theo Hợp đồng lao động của bạn là bao nhiêu? (Vui lòng điền tổng thu nhập trước khi khấu trừ các loại Bảo hiểm (BHXH, BHYT, BHTN) và Thuế TNCN)]]</f>
        <v>Từ 48 - 70 triệu VNĐ</v>
      </c>
      <c r="O4">
        <f>step3_validation[[#This Row],[Dependents]]</f>
        <v>3</v>
      </c>
      <c r="P4" t="str">
        <f>survey_responses[[#This Row],[Số người phụ thuộc (con nhỏ, cha mẹ già...) đủ điều kiện giảm trừ gia cảnh:]]</f>
        <v>3 người</v>
      </c>
      <c r="Q4">
        <f>step3_validation[[#This Row],[AI_ENF1]]</f>
        <v>7</v>
      </c>
      <c r="R4" t="str">
        <f t="shared" si="0"/>
        <v>Neutral</v>
      </c>
      <c r="S4">
        <f>survey_responses[[#This Row],[Tôi tin rằng với các quy định quản lý thuế hiện nay, hành vi gian lận hoặc trốn thuế sẽ dễ dàng bị phát hiện và xử lý nghiêm. - HUMAN-ENF1]]</f>
        <v>6</v>
      </c>
      <c r="T4" t="str">
        <f t="shared" si="1"/>
        <v>Neutral</v>
      </c>
      <c r="U4" s="32">
        <f t="shared" si="2"/>
        <v>1</v>
      </c>
      <c r="V4">
        <f>step3_validation[[#This Row],[AI_ENF2]]</f>
        <v>8</v>
      </c>
      <c r="W4" t="str">
        <f t="shared" si="3"/>
        <v>Support</v>
      </c>
      <c r="X4">
        <f>survey_responses[[#This Row],[Tôi tin rằng Nhà nước, cơ quan thuế có đủ khả năng và công nghệ để phát hiện, xử lý nghiêm các hành vi trốn thuế. - HUMAN-ENF2]]</f>
        <v>5</v>
      </c>
      <c r="Y4" t="str">
        <f t="shared" si="4"/>
        <v>Neutral</v>
      </c>
      <c r="Z4" s="32">
        <f t="shared" si="5"/>
        <v>3</v>
      </c>
      <c r="AA4">
        <f>step3_validation[[#This Row],[AI_FAC1]]</f>
        <v>6</v>
      </c>
      <c r="AB4" t="str">
        <f t="shared" si="6"/>
        <v>Neutral</v>
      </c>
      <c r="AC4">
        <f>survey_responses[[#This Row],[Các thủ tục khai báo thuế VÀ/HOẶC quy trình làm việc với cơ quan thuế đơn giản, tiện lợi, nhanh chóng hơn so với trước đây. - HUMAN-FAC1]]</f>
        <v>4</v>
      </c>
      <c r="AD4" t="str">
        <f t="shared" si="7"/>
        <v>Oppose</v>
      </c>
      <c r="AE4" s="32">
        <f t="shared" si="8"/>
        <v>2</v>
      </c>
      <c r="AF4">
        <f>step3_validation[[#This Row],[AI_FAC2]]</f>
        <v>5</v>
      </c>
      <c r="AG4" t="str">
        <f t="shared" si="9"/>
        <v>Neutral</v>
      </c>
      <c r="AH4">
        <f>survey_responses[[#This Row],[So với trước đây, tôi thấy cách tính thuế và các bậc thuế trong phương án mới đơn giản, dễ hiểu và dễ thực hiện hơn. - HUMAN-FAC2]]</f>
        <v>5</v>
      </c>
      <c r="AI4" t="str">
        <f t="shared" si="10"/>
        <v>Neutral</v>
      </c>
      <c r="AJ4" s="32">
        <f t="shared" si="11"/>
        <v>0</v>
      </c>
      <c r="AK4">
        <f>step3_validation[[#This Row],[AI_TRU1]]</f>
        <v>7</v>
      </c>
      <c r="AL4" t="str">
        <f t="shared" si="12"/>
        <v>Neutral</v>
      </c>
      <c r="AM4">
        <f>survey_responses[[#This Row],[Tôi tin rằng Nhà nước, cơ quan thuế sẽ thực thi chính sách mới một cách khách quan, công tâm và đối xử bình đẳng với mọi người nộp thuế.  - HUMAN-TRU1]]</f>
        <v>4</v>
      </c>
      <c r="AN4" t="str">
        <f t="shared" si="13"/>
        <v>Oppose</v>
      </c>
      <c r="AO4" s="32">
        <f t="shared" si="14"/>
        <v>3</v>
      </c>
      <c r="AP4">
        <f>step3_validation[[#This Row],[AI_TRU2]]</f>
        <v>6</v>
      </c>
      <c r="AQ4" t="str">
        <f t="shared" si="15"/>
        <v>Neutral</v>
      </c>
      <c r="AR4">
        <f>survey_responses[[#This Row],[Tôi thấy mức thuế tôi phải đóng theo phương án mới là công bằng (người thu nhập như tôi đóng mức này là hợp lý). - HUMAN-TRU2]]</f>
        <v>4</v>
      </c>
      <c r="AS4" t="str">
        <f t="shared" si="16"/>
        <v>Oppose</v>
      </c>
      <c r="AT4" s="32">
        <f t="shared" si="17"/>
        <v>2</v>
      </c>
      <c r="AU4">
        <f>step3_validation[[#This Row],[AI_TRU3]]</f>
        <v>7</v>
      </c>
      <c r="AV4" t="str">
        <f t="shared" si="18"/>
        <v>Neutral</v>
      </c>
      <c r="AW4">
        <f>survey_responses[[#This Row],[Tôi tin tưởng số tiền thuế tôi đóng sẽ được Nhà nước sử dụng hiệu quả để cải thiện dịch vụ công (y tế, đường xá...). - HUMAN-TRU3]]</f>
        <v>4</v>
      </c>
      <c r="AX4" t="str">
        <f t="shared" si="19"/>
        <v>Oppose</v>
      </c>
      <c r="AY4" s="32">
        <f t="shared" si="20"/>
        <v>3</v>
      </c>
      <c r="AZ4">
        <f>step3_validation[[#This Row],[AI_TRU4]]</f>
        <v>5</v>
      </c>
      <c r="BA4" t="str">
        <f t="shared" si="21"/>
        <v>Neutral</v>
      </c>
      <c r="BB4">
        <f>survey_responses[[#This Row],[Tôi thấy Nhà nước đã giải thích rõ ràng, minh bạch về lý do và mục tiêu của việc sửa đổi thuế lần này. - HUMAN-TRU4]]</f>
        <v>10</v>
      </c>
      <c r="BC4" t="str">
        <f t="shared" si="22"/>
        <v>Support</v>
      </c>
      <c r="BD4" s="32">
        <f t="shared" si="23"/>
        <v>5</v>
      </c>
      <c r="BE4">
        <f>step3_validation[[#This Row],[AI_OUT1]]</f>
        <v>6</v>
      </c>
      <c r="BF4" t="str">
        <f t="shared" si="24"/>
        <v>Neutral</v>
      </c>
      <c r="BG4">
        <f>survey_responses[[#This Row],[Sau khi xem xét các quyền lợi và nghĩa vụ, bạn có ủng hộ và tuân thủ chính sách mới hiện nay? - HUMAN-OUT1]]</f>
        <v>4</v>
      </c>
      <c r="BH4" t="str">
        <f t="shared" si="25"/>
        <v>Oppose</v>
      </c>
      <c r="BI4" s="32">
        <f t="shared" si="26"/>
        <v>2</v>
      </c>
    </row>
    <row r="5" spans="1:61" x14ac:dyDescent="0.45">
      <c r="A5" s="30">
        <f>step3_validation[[#This Row],[Persona_ID]]</f>
        <v>4</v>
      </c>
      <c r="B5" s="31">
        <f>step3_validation[[#This Row],[Used_Seed]]</f>
        <v>1994</v>
      </c>
      <c r="C5" t="str">
        <f>step3_validation[[#This Row],[Gender]]</f>
        <v>Nữ</v>
      </c>
      <c r="D5" t="str">
        <f>survey_responses[[#This Row],[Giới tính của bạn:]]</f>
        <v>Nữ</v>
      </c>
      <c r="E5" t="str">
        <f>step3_validation[[#This Row],[Age_Group]]</f>
        <v>18 - 24</v>
      </c>
      <c r="F5" t="str">
        <f>survey_responses[[#This Row],[Độ tuổi của bạn:]]</f>
        <v>18 - 24</v>
      </c>
      <c r="G5" t="str">
        <f>step3_validation[[#This Row],[Region]]</f>
        <v>Thành thị</v>
      </c>
      <c r="H5" t="str">
        <f>survey_responses[[#This Row],[Khu vực bạn đang sinh sống:]]</f>
        <v>Thành thị</v>
      </c>
      <c r="I5" t="str">
        <f>step3_validation[[#This Row],[Education]]</f>
        <v>Đại học</v>
      </c>
      <c r="J5" t="str">
        <f>survey_responses[[#This Row],[Trình độ học vấn cao nhất:]]</f>
        <v>Đại học</v>
      </c>
      <c r="K5" t="str">
        <f>step3_validation[[#This Row],[Employment]]</f>
        <v>Chính thức</v>
      </c>
      <c r="L5" t="str">
        <f>survey_responses[[#This Row],[Tình trạng việc làm chính:]]</f>
        <v>Khu vực chính thức (Có Hợp đồng lao động, đóng BHXH)</v>
      </c>
      <c r="M5">
        <f>step3_validation[[#This Row],[Income_Mil]]</f>
        <v>12</v>
      </c>
      <c r="N5" t="str">
        <f>survey_responses[[#This Row],[Thu nhập bình quân tháng theo Hợp đồng lao động của bạn là bao nhiêu? (Vui lòng điền tổng thu nhập trước khi khấu trừ các loại Bảo hiểm (BHXH, BHYT, BHTN) và Thuế TNCN)]]</f>
        <v>Dưới 12 triệu VNĐ</v>
      </c>
      <c r="O5">
        <f>step3_validation[[#This Row],[Dependents]]</f>
        <v>0</v>
      </c>
      <c r="P5" t="str">
        <f>survey_responses[[#This Row],[Số người phụ thuộc (con nhỏ, cha mẹ già...) đủ điều kiện giảm trừ gia cảnh:]]</f>
        <v>0 người</v>
      </c>
      <c r="Q5">
        <f>step3_validation[[#This Row],[AI_ENF1]]</f>
        <v>7</v>
      </c>
      <c r="R5" t="str">
        <f t="shared" si="0"/>
        <v>Neutral</v>
      </c>
      <c r="S5">
        <f>survey_responses[[#This Row],[Tôi tin rằng với các quy định quản lý thuế hiện nay, hành vi gian lận hoặc trốn thuế sẽ dễ dàng bị phát hiện và xử lý nghiêm. - HUMAN-ENF1]]</f>
        <v>10</v>
      </c>
      <c r="T5" t="str">
        <f t="shared" si="1"/>
        <v>Support</v>
      </c>
      <c r="U5" s="32">
        <f t="shared" si="2"/>
        <v>3</v>
      </c>
      <c r="V5">
        <f>step3_validation[[#This Row],[AI_ENF2]]</f>
        <v>6</v>
      </c>
      <c r="W5" t="str">
        <f t="shared" si="3"/>
        <v>Neutral</v>
      </c>
      <c r="X5">
        <f>survey_responses[[#This Row],[Tôi tin rằng Nhà nước, cơ quan thuế có đủ khả năng và công nghệ để phát hiện, xử lý nghiêm các hành vi trốn thuế. - HUMAN-ENF2]]</f>
        <v>10</v>
      </c>
      <c r="Y5" t="str">
        <f t="shared" si="4"/>
        <v>Support</v>
      </c>
      <c r="Z5" s="32">
        <f t="shared" si="5"/>
        <v>4</v>
      </c>
      <c r="AA5">
        <f>step3_validation[[#This Row],[AI_FAC1]]</f>
        <v>8</v>
      </c>
      <c r="AB5" t="str">
        <f t="shared" si="6"/>
        <v>Support</v>
      </c>
      <c r="AC5">
        <f>survey_responses[[#This Row],[Các thủ tục khai báo thuế VÀ/HOẶC quy trình làm việc với cơ quan thuế đơn giản, tiện lợi, nhanh chóng hơn so với trước đây. - HUMAN-FAC1]]</f>
        <v>8</v>
      </c>
      <c r="AD5" t="str">
        <f t="shared" si="7"/>
        <v>Support</v>
      </c>
      <c r="AE5" s="32">
        <f t="shared" si="8"/>
        <v>0</v>
      </c>
      <c r="AF5">
        <f>step3_validation[[#This Row],[AI_FAC2]]</f>
        <v>5</v>
      </c>
      <c r="AG5" t="str">
        <f t="shared" si="9"/>
        <v>Neutral</v>
      </c>
      <c r="AH5">
        <f>survey_responses[[#This Row],[So với trước đây, tôi thấy cách tính thuế và các bậc thuế trong phương án mới đơn giản, dễ hiểu và dễ thực hiện hơn. - HUMAN-FAC2]]</f>
        <v>9</v>
      </c>
      <c r="AI5" t="str">
        <f t="shared" si="10"/>
        <v>Support</v>
      </c>
      <c r="AJ5" s="32">
        <f t="shared" si="11"/>
        <v>4</v>
      </c>
      <c r="AK5">
        <f>step3_validation[[#This Row],[AI_TRU1]]</f>
        <v>8</v>
      </c>
      <c r="AL5" t="str">
        <f t="shared" si="12"/>
        <v>Support</v>
      </c>
      <c r="AM5">
        <f>survey_responses[[#This Row],[Tôi tin rằng Nhà nước, cơ quan thuế sẽ thực thi chính sách mới một cách khách quan, công tâm và đối xử bình đẳng với mọi người nộp thuế.  - HUMAN-TRU1]]</f>
        <v>9</v>
      </c>
      <c r="AN5" t="str">
        <f t="shared" si="13"/>
        <v>Support</v>
      </c>
      <c r="AO5" s="32">
        <f t="shared" si="14"/>
        <v>1</v>
      </c>
      <c r="AP5">
        <f>step3_validation[[#This Row],[AI_TRU2]]</f>
        <v>7</v>
      </c>
      <c r="AQ5" t="str">
        <f t="shared" si="15"/>
        <v>Neutral</v>
      </c>
      <c r="AR5">
        <f>survey_responses[[#This Row],[Tôi thấy mức thuế tôi phải đóng theo phương án mới là công bằng (người thu nhập như tôi đóng mức này là hợp lý). - HUMAN-TRU2]]</f>
        <v>7</v>
      </c>
      <c r="AS5" t="str">
        <f t="shared" si="16"/>
        <v>Neutral</v>
      </c>
      <c r="AT5" s="32">
        <f t="shared" si="17"/>
        <v>0</v>
      </c>
      <c r="AU5">
        <f>step3_validation[[#This Row],[AI_TRU3]]</f>
        <v>6</v>
      </c>
      <c r="AV5" t="str">
        <f t="shared" si="18"/>
        <v>Neutral</v>
      </c>
      <c r="AW5">
        <f>survey_responses[[#This Row],[Tôi tin tưởng số tiền thuế tôi đóng sẽ được Nhà nước sử dụng hiệu quả để cải thiện dịch vụ công (y tế, đường xá...). - HUMAN-TRU3]]</f>
        <v>10</v>
      </c>
      <c r="AX5" t="str">
        <f t="shared" si="19"/>
        <v>Support</v>
      </c>
      <c r="AY5" s="32">
        <f t="shared" si="20"/>
        <v>4</v>
      </c>
      <c r="AZ5">
        <f>step3_validation[[#This Row],[AI_TRU4]]</f>
        <v>5</v>
      </c>
      <c r="BA5" t="str">
        <f t="shared" si="21"/>
        <v>Neutral</v>
      </c>
      <c r="BB5">
        <f>survey_responses[[#This Row],[Tôi thấy Nhà nước đã giải thích rõ ràng, minh bạch về lý do và mục tiêu của việc sửa đổi thuế lần này. - HUMAN-TRU4]]</f>
        <v>7</v>
      </c>
      <c r="BC5" t="str">
        <f t="shared" si="22"/>
        <v>Neutral</v>
      </c>
      <c r="BD5" s="32">
        <f t="shared" si="23"/>
        <v>2</v>
      </c>
      <c r="BE5">
        <f>step3_validation[[#This Row],[AI_OUT1]]</f>
        <v>8</v>
      </c>
      <c r="BF5" t="str">
        <f t="shared" si="24"/>
        <v>Support</v>
      </c>
      <c r="BG5">
        <f>survey_responses[[#This Row],[Sau khi xem xét các quyền lợi và nghĩa vụ, bạn có ủng hộ và tuân thủ chính sách mới hiện nay? - HUMAN-OUT1]]</f>
        <v>10</v>
      </c>
      <c r="BH5" t="str">
        <f t="shared" si="25"/>
        <v>Support</v>
      </c>
      <c r="BI5" s="32">
        <f t="shared" si="26"/>
        <v>2</v>
      </c>
    </row>
    <row r="6" spans="1:61" x14ac:dyDescent="0.45">
      <c r="A6" s="30">
        <f>step3_validation[[#This Row],[Persona_ID]]</f>
        <v>5</v>
      </c>
      <c r="B6" s="31">
        <f>step3_validation[[#This Row],[Used_Seed]]</f>
        <v>1995</v>
      </c>
      <c r="C6" t="str">
        <f>step3_validation[[#This Row],[Gender]]</f>
        <v>Nữ</v>
      </c>
      <c r="D6" t="str">
        <f>survey_responses[[#This Row],[Giới tính của bạn:]]</f>
        <v>Nữ</v>
      </c>
      <c r="E6" t="str">
        <f>step3_validation[[#This Row],[Age_Group]]</f>
        <v>25 - 29</v>
      </c>
      <c r="F6" t="str">
        <f>survey_responses[[#This Row],[Độ tuổi của bạn:]]</f>
        <v>25 - 29</v>
      </c>
      <c r="G6" t="str">
        <f>step3_validation[[#This Row],[Region]]</f>
        <v>Thành thị</v>
      </c>
      <c r="H6" t="str">
        <f>survey_responses[[#This Row],[Khu vực bạn đang sinh sống:]]</f>
        <v>Thành thị</v>
      </c>
      <c r="I6" t="str">
        <f>step3_validation[[#This Row],[Education]]</f>
        <v>Đại học</v>
      </c>
      <c r="J6" t="str">
        <f>survey_responses[[#This Row],[Trình độ học vấn cao nhất:]]</f>
        <v>Đại học</v>
      </c>
      <c r="K6" t="str">
        <f>step3_validation[[#This Row],[Employment]]</f>
        <v>Chính thức</v>
      </c>
      <c r="L6" t="str">
        <f>survey_responses[[#This Row],[Tình trạng việc làm chính:]]</f>
        <v>Khu vực chính thức (Có Hợp đồng lao động, đóng BHXH)</v>
      </c>
      <c r="M6">
        <f>step3_validation[[#This Row],[Income_Mil]]</f>
        <v>12</v>
      </c>
      <c r="N6" t="str">
        <f>survey_responses[[#This Row],[Thu nhập bình quân tháng theo Hợp đồng lao động của bạn là bao nhiêu? (Vui lòng điền tổng thu nhập trước khi khấu trừ các loại Bảo hiểm (BHXH, BHYT, BHTN) và Thuế TNCN)]]</f>
        <v>Dưới 12 triệu VNĐ</v>
      </c>
      <c r="O6">
        <f>step3_validation[[#This Row],[Dependents]]</f>
        <v>0</v>
      </c>
      <c r="P6" t="str">
        <f>survey_responses[[#This Row],[Số người phụ thuộc (con nhỏ, cha mẹ già...) đủ điều kiện giảm trừ gia cảnh:]]</f>
        <v>0 người</v>
      </c>
      <c r="Q6">
        <f>step3_validation[[#This Row],[AI_ENF1]]</f>
        <v>8</v>
      </c>
      <c r="R6" t="str">
        <f t="shared" si="0"/>
        <v>Support</v>
      </c>
      <c r="S6">
        <f>survey_responses[[#This Row],[Tôi tin rằng với các quy định quản lý thuế hiện nay, hành vi gian lận hoặc trốn thuế sẽ dễ dàng bị phát hiện và xử lý nghiêm. - HUMAN-ENF1]]</f>
        <v>9</v>
      </c>
      <c r="T6" t="str">
        <f t="shared" si="1"/>
        <v>Support</v>
      </c>
      <c r="U6" s="32">
        <f t="shared" si="2"/>
        <v>1</v>
      </c>
      <c r="V6">
        <f>step3_validation[[#This Row],[AI_ENF2]]</f>
        <v>7</v>
      </c>
      <c r="W6" t="str">
        <f t="shared" si="3"/>
        <v>Neutral</v>
      </c>
      <c r="X6">
        <f>survey_responses[[#This Row],[Tôi tin rằng Nhà nước, cơ quan thuế có đủ khả năng và công nghệ để phát hiện, xử lý nghiêm các hành vi trốn thuế. - HUMAN-ENF2]]</f>
        <v>9</v>
      </c>
      <c r="Y6" t="str">
        <f t="shared" si="4"/>
        <v>Support</v>
      </c>
      <c r="Z6" s="32">
        <f t="shared" si="5"/>
        <v>2</v>
      </c>
      <c r="AA6">
        <f>step3_validation[[#This Row],[AI_FAC1]]</f>
        <v>6</v>
      </c>
      <c r="AB6" t="str">
        <f t="shared" si="6"/>
        <v>Neutral</v>
      </c>
      <c r="AC6">
        <f>survey_responses[[#This Row],[Các thủ tục khai báo thuế VÀ/HOẶC quy trình làm việc với cơ quan thuế đơn giản, tiện lợi, nhanh chóng hơn so với trước đây. - HUMAN-FAC1]]</f>
        <v>10</v>
      </c>
      <c r="AD6" t="str">
        <f t="shared" si="7"/>
        <v>Support</v>
      </c>
      <c r="AE6" s="32">
        <f t="shared" si="8"/>
        <v>4</v>
      </c>
      <c r="AF6">
        <f>step3_validation[[#This Row],[AI_FAC2]]</f>
        <v>8</v>
      </c>
      <c r="AG6" t="str">
        <f t="shared" si="9"/>
        <v>Support</v>
      </c>
      <c r="AH6">
        <f>survey_responses[[#This Row],[So với trước đây, tôi thấy cách tính thuế và các bậc thuế trong phương án mới đơn giản, dễ hiểu và dễ thực hiện hơn. - HUMAN-FAC2]]</f>
        <v>9</v>
      </c>
      <c r="AI6" t="str">
        <f t="shared" si="10"/>
        <v>Support</v>
      </c>
      <c r="AJ6" s="32">
        <f t="shared" si="11"/>
        <v>1</v>
      </c>
      <c r="AK6">
        <f>step3_validation[[#This Row],[AI_TRU1]]</f>
        <v>7</v>
      </c>
      <c r="AL6" t="str">
        <f t="shared" si="12"/>
        <v>Neutral</v>
      </c>
      <c r="AM6">
        <f>survey_responses[[#This Row],[Tôi tin rằng Nhà nước, cơ quan thuế sẽ thực thi chính sách mới một cách khách quan, công tâm và đối xử bình đẳng với mọi người nộp thuế.  - HUMAN-TRU1]]</f>
        <v>9</v>
      </c>
      <c r="AN6" t="str">
        <f t="shared" si="13"/>
        <v>Support</v>
      </c>
      <c r="AO6" s="32">
        <f t="shared" si="14"/>
        <v>2</v>
      </c>
      <c r="AP6">
        <f>step3_validation[[#This Row],[AI_TRU2]]</f>
        <v>8</v>
      </c>
      <c r="AQ6" t="str">
        <f t="shared" si="15"/>
        <v>Support</v>
      </c>
      <c r="AR6">
        <f>survey_responses[[#This Row],[Tôi thấy mức thuế tôi phải đóng theo phương án mới là công bằng (người thu nhập như tôi đóng mức này là hợp lý). - HUMAN-TRU2]]</f>
        <v>9</v>
      </c>
      <c r="AS6" t="str">
        <f t="shared" si="16"/>
        <v>Support</v>
      </c>
      <c r="AT6" s="32">
        <f t="shared" si="17"/>
        <v>1</v>
      </c>
      <c r="AU6">
        <f>step3_validation[[#This Row],[AI_TRU3]]</f>
        <v>7</v>
      </c>
      <c r="AV6" t="str">
        <f t="shared" si="18"/>
        <v>Neutral</v>
      </c>
      <c r="AW6">
        <f>survey_responses[[#This Row],[Tôi tin tưởng số tiền thuế tôi đóng sẽ được Nhà nước sử dụng hiệu quả để cải thiện dịch vụ công (y tế, đường xá...). - HUMAN-TRU3]]</f>
        <v>9</v>
      </c>
      <c r="AX6" t="str">
        <f t="shared" si="19"/>
        <v>Support</v>
      </c>
      <c r="AY6" s="32">
        <f t="shared" si="20"/>
        <v>2</v>
      </c>
      <c r="AZ6">
        <f>step3_validation[[#This Row],[AI_TRU4]]</f>
        <v>6</v>
      </c>
      <c r="BA6" t="str">
        <f t="shared" si="21"/>
        <v>Neutral</v>
      </c>
      <c r="BB6">
        <f>survey_responses[[#This Row],[Tôi thấy Nhà nước đã giải thích rõ ràng, minh bạch về lý do và mục tiêu của việc sửa đổi thuế lần này. - HUMAN-TRU4]]</f>
        <v>9</v>
      </c>
      <c r="BC6" t="str">
        <f t="shared" si="22"/>
        <v>Support</v>
      </c>
      <c r="BD6" s="32">
        <f t="shared" si="23"/>
        <v>3</v>
      </c>
      <c r="BE6">
        <f>step3_validation[[#This Row],[AI_OUT1]]</f>
        <v>9</v>
      </c>
      <c r="BF6" t="str">
        <f t="shared" si="24"/>
        <v>Support</v>
      </c>
      <c r="BG6">
        <f>survey_responses[[#This Row],[Sau khi xem xét các quyền lợi và nghĩa vụ, bạn có ủng hộ và tuân thủ chính sách mới hiện nay? - HUMAN-OUT1]]</f>
        <v>9</v>
      </c>
      <c r="BH6" t="str">
        <f t="shared" si="25"/>
        <v>Support</v>
      </c>
      <c r="BI6" s="32">
        <f t="shared" si="26"/>
        <v>0</v>
      </c>
    </row>
    <row r="7" spans="1:61" x14ac:dyDescent="0.45">
      <c r="A7" s="30">
        <f>step3_validation[[#This Row],[Persona_ID]]</f>
        <v>6</v>
      </c>
      <c r="B7" s="31">
        <f>step3_validation[[#This Row],[Used_Seed]]</f>
        <v>1996</v>
      </c>
      <c r="C7" t="str">
        <f>step3_validation[[#This Row],[Gender]]</f>
        <v>Nữ</v>
      </c>
      <c r="D7" t="str">
        <f>survey_responses[[#This Row],[Giới tính của bạn:]]</f>
        <v>Nữ</v>
      </c>
      <c r="E7" t="str">
        <f>step3_validation[[#This Row],[Age_Group]]</f>
        <v>30 - 39</v>
      </c>
      <c r="F7" t="str">
        <f>survey_responses[[#This Row],[Độ tuổi của bạn:]]</f>
        <v>30 - 39</v>
      </c>
      <c r="G7" t="str">
        <f>step3_validation[[#This Row],[Region]]</f>
        <v>Thành thị</v>
      </c>
      <c r="H7" t="str">
        <f>survey_responses[[#This Row],[Khu vực bạn đang sinh sống:]]</f>
        <v>Thành thị</v>
      </c>
      <c r="I7" t="str">
        <f>step3_validation[[#This Row],[Education]]</f>
        <v>Sau Đại học</v>
      </c>
      <c r="J7" t="str">
        <f>survey_responses[[#This Row],[Trình độ học vấn cao nhất:]]</f>
        <v>Sau Đại học</v>
      </c>
      <c r="K7" t="str">
        <f>step3_validation[[#This Row],[Employment]]</f>
        <v>Chính thức</v>
      </c>
      <c r="L7" t="str">
        <f>survey_responses[[#This Row],[Tình trạng việc làm chính:]]</f>
        <v>Khu vực chính thức (Có Hợp đồng lao động, đóng BHXH)</v>
      </c>
      <c r="M7">
        <f>step3_validation[[#This Row],[Income_Mil]]</f>
        <v>92.750176336270357</v>
      </c>
      <c r="N7" t="str">
        <f>survey_responses[[#This Row],[Thu nhập bình quân tháng theo Hợp đồng lao động của bạn là bao nhiêu? (Vui lòng điền tổng thu nhập trước khi khấu trừ các loại Bảo hiểm (BHXH, BHYT, BHTN) và Thuế TNCN)]]</f>
        <v>Từ 70 - 102 triệu VNĐ</v>
      </c>
      <c r="O7">
        <f>step3_validation[[#This Row],[Dependents]]</f>
        <v>4</v>
      </c>
      <c r="P7" t="str">
        <f>survey_responses[[#This Row],[Số người phụ thuộc (con nhỏ, cha mẹ già...) đủ điều kiện giảm trừ gia cảnh:]]</f>
        <v>4 người trở lên</v>
      </c>
      <c r="Q7">
        <f>step3_validation[[#This Row],[AI_ENF1]]</f>
        <v>8</v>
      </c>
      <c r="R7" t="str">
        <f t="shared" si="0"/>
        <v>Support</v>
      </c>
      <c r="S7">
        <f>survey_responses[[#This Row],[Tôi tin rằng với các quy định quản lý thuế hiện nay, hành vi gian lận hoặc trốn thuế sẽ dễ dàng bị phát hiện và xử lý nghiêm. - HUMAN-ENF1]]</f>
        <v>8</v>
      </c>
      <c r="T7" t="str">
        <f t="shared" si="1"/>
        <v>Support</v>
      </c>
      <c r="U7" s="32">
        <f t="shared" si="2"/>
        <v>0</v>
      </c>
      <c r="V7">
        <f>step3_validation[[#This Row],[AI_ENF2]]</f>
        <v>7</v>
      </c>
      <c r="W7" t="str">
        <f t="shared" si="3"/>
        <v>Neutral</v>
      </c>
      <c r="X7">
        <f>survey_responses[[#This Row],[Tôi tin rằng Nhà nước, cơ quan thuế có đủ khả năng và công nghệ để phát hiện, xử lý nghiêm các hành vi trốn thuế. - HUMAN-ENF2]]</f>
        <v>8</v>
      </c>
      <c r="Y7" t="str">
        <f t="shared" si="4"/>
        <v>Support</v>
      </c>
      <c r="Z7" s="32">
        <f t="shared" si="5"/>
        <v>1</v>
      </c>
      <c r="AA7">
        <f>step3_validation[[#This Row],[AI_FAC1]]</f>
        <v>9</v>
      </c>
      <c r="AB7" t="str">
        <f t="shared" si="6"/>
        <v>Support</v>
      </c>
      <c r="AC7">
        <f>survey_responses[[#This Row],[Các thủ tục khai báo thuế VÀ/HOẶC quy trình làm việc với cơ quan thuế đơn giản, tiện lợi, nhanh chóng hơn so với trước đây. - HUMAN-FAC1]]</f>
        <v>5</v>
      </c>
      <c r="AD7" t="str">
        <f t="shared" si="7"/>
        <v>Neutral</v>
      </c>
      <c r="AE7" s="32">
        <f t="shared" si="8"/>
        <v>4</v>
      </c>
      <c r="AF7">
        <f>step3_validation[[#This Row],[AI_FAC2]]</f>
        <v>7</v>
      </c>
      <c r="AG7" t="str">
        <f t="shared" si="9"/>
        <v>Neutral</v>
      </c>
      <c r="AH7">
        <f>survey_responses[[#This Row],[So với trước đây, tôi thấy cách tính thuế và các bậc thuế trong phương án mới đơn giản, dễ hiểu và dễ thực hiện hơn. - HUMAN-FAC2]]</f>
        <v>8</v>
      </c>
      <c r="AI7" t="str">
        <f t="shared" si="10"/>
        <v>Support</v>
      </c>
      <c r="AJ7" s="32">
        <f t="shared" si="11"/>
        <v>1</v>
      </c>
      <c r="AK7">
        <f>step3_validation[[#This Row],[AI_TRU1]]</f>
        <v>8</v>
      </c>
      <c r="AL7" t="str">
        <f t="shared" si="12"/>
        <v>Support</v>
      </c>
      <c r="AM7">
        <f>survey_responses[[#This Row],[Tôi tin rằng Nhà nước, cơ quan thuế sẽ thực thi chính sách mới một cách khách quan, công tâm và đối xử bình đẳng với mọi người nộp thuế.  - HUMAN-TRU1]]</f>
        <v>6</v>
      </c>
      <c r="AN7" t="str">
        <f t="shared" si="13"/>
        <v>Neutral</v>
      </c>
      <c r="AO7" s="32">
        <f t="shared" si="14"/>
        <v>2</v>
      </c>
      <c r="AP7">
        <f>step3_validation[[#This Row],[AI_TRU2]]</f>
        <v>7</v>
      </c>
      <c r="AQ7" t="str">
        <f t="shared" si="15"/>
        <v>Neutral</v>
      </c>
      <c r="AR7">
        <f>survey_responses[[#This Row],[Tôi thấy mức thuế tôi phải đóng theo phương án mới là công bằng (người thu nhập như tôi đóng mức này là hợp lý). - HUMAN-TRU2]]</f>
        <v>6</v>
      </c>
      <c r="AS7" t="str">
        <f t="shared" si="16"/>
        <v>Neutral</v>
      </c>
      <c r="AT7" s="32">
        <f t="shared" si="17"/>
        <v>1</v>
      </c>
      <c r="AU7">
        <f>step3_validation[[#This Row],[AI_TRU3]]</f>
        <v>6</v>
      </c>
      <c r="AV7" t="str">
        <f t="shared" si="18"/>
        <v>Neutral</v>
      </c>
      <c r="AW7">
        <f>survey_responses[[#This Row],[Tôi tin tưởng số tiền thuế tôi đóng sẽ được Nhà nước sử dụng hiệu quả để cải thiện dịch vụ công (y tế, đường xá...). - HUMAN-TRU3]]</f>
        <v>4</v>
      </c>
      <c r="AX7" t="str">
        <f t="shared" si="19"/>
        <v>Oppose</v>
      </c>
      <c r="AY7" s="32">
        <f t="shared" si="20"/>
        <v>2</v>
      </c>
      <c r="AZ7">
        <f>step3_validation[[#This Row],[AI_TRU4]]</f>
        <v>7</v>
      </c>
      <c r="BA7" t="str">
        <f t="shared" si="21"/>
        <v>Neutral</v>
      </c>
      <c r="BB7">
        <f>survey_responses[[#This Row],[Tôi thấy Nhà nước đã giải thích rõ ràng, minh bạch về lý do và mục tiêu của việc sửa đổi thuế lần này. - HUMAN-TRU4]]</f>
        <v>5</v>
      </c>
      <c r="BC7" t="str">
        <f t="shared" si="22"/>
        <v>Neutral</v>
      </c>
      <c r="BD7" s="32">
        <f t="shared" si="23"/>
        <v>2</v>
      </c>
      <c r="BE7">
        <f>step3_validation[[#This Row],[AI_OUT1]]</f>
        <v>8</v>
      </c>
      <c r="BF7" t="str">
        <f t="shared" si="24"/>
        <v>Support</v>
      </c>
      <c r="BG7">
        <f>survey_responses[[#This Row],[Sau khi xem xét các quyền lợi và nghĩa vụ, bạn có ủng hộ và tuân thủ chính sách mới hiện nay? - HUMAN-OUT1]]</f>
        <v>6</v>
      </c>
      <c r="BH7" t="str">
        <f t="shared" si="25"/>
        <v>Neutral</v>
      </c>
      <c r="BI7" s="32">
        <f t="shared" si="26"/>
        <v>2</v>
      </c>
    </row>
    <row r="8" spans="1:61" x14ac:dyDescent="0.45">
      <c r="A8" s="30">
        <f>step3_validation[[#This Row],[Persona_ID]]</f>
        <v>7</v>
      </c>
      <c r="B8" s="31">
        <f>step3_validation[[#This Row],[Used_Seed]]</f>
        <v>1997</v>
      </c>
      <c r="C8" t="str">
        <f>step3_validation[[#This Row],[Gender]]</f>
        <v>Nữ</v>
      </c>
      <c r="D8" t="str">
        <f>survey_responses[[#This Row],[Giới tính của bạn:]]</f>
        <v>Nữ</v>
      </c>
      <c r="E8" t="str">
        <f>step3_validation[[#This Row],[Age_Group]]</f>
        <v>30 - 39</v>
      </c>
      <c r="F8" t="str">
        <f>survey_responses[[#This Row],[Độ tuổi của bạn:]]</f>
        <v>30 - 39</v>
      </c>
      <c r="G8" t="str">
        <f>step3_validation[[#This Row],[Region]]</f>
        <v>Thành thị</v>
      </c>
      <c r="H8" t="str">
        <f>survey_responses[[#This Row],[Khu vực bạn đang sinh sống:]]</f>
        <v>Thành thị</v>
      </c>
      <c r="I8" t="str">
        <f>step3_validation[[#This Row],[Education]]</f>
        <v>Đại học</v>
      </c>
      <c r="J8" t="str">
        <f>survey_responses[[#This Row],[Trình độ học vấn cao nhất:]]</f>
        <v>Đại học</v>
      </c>
      <c r="K8" t="str">
        <f>step3_validation[[#This Row],[Employment]]</f>
        <v>Chính thức</v>
      </c>
      <c r="L8" t="str">
        <f>survey_responses[[#This Row],[Tình trạng việc làm chính:]]</f>
        <v>Khu vực chính thức (Có Hợp đồng lao động, đóng BHXH)</v>
      </c>
      <c r="M8">
        <f>step3_validation[[#This Row],[Income_Mil]]</f>
        <v>20.750694249558155</v>
      </c>
      <c r="N8" t="str">
        <f>survey_responses[[#This Row],[Thu nhập bình quân tháng theo Hợp đồng lao động của bạn là bao nhiêu? (Vui lòng điền tổng thu nhập trước khi khấu trừ các loại Bảo hiểm (BHXH, BHYT, BHTN) và Thuế TNCN)]]</f>
        <v>Từ 18 - 23 triệu VNĐ</v>
      </c>
      <c r="O8">
        <f>step3_validation[[#This Row],[Dependents]]</f>
        <v>2</v>
      </c>
      <c r="P8" t="str">
        <f>survey_responses[[#This Row],[Số người phụ thuộc (con nhỏ, cha mẹ già...) đủ điều kiện giảm trừ gia cảnh:]]</f>
        <v>2 người</v>
      </c>
      <c r="Q8">
        <f>step3_validation[[#This Row],[AI_ENF1]]</f>
        <v>5</v>
      </c>
      <c r="R8" t="str">
        <f t="shared" si="0"/>
        <v>Neutral</v>
      </c>
      <c r="S8">
        <f>survey_responses[[#This Row],[Tôi tin rằng với các quy định quản lý thuế hiện nay, hành vi gian lận hoặc trốn thuế sẽ dễ dàng bị phát hiện và xử lý nghiêm. - HUMAN-ENF1]]</f>
        <v>5</v>
      </c>
      <c r="T8" t="str">
        <f t="shared" si="1"/>
        <v>Neutral</v>
      </c>
      <c r="U8" s="32">
        <f t="shared" si="2"/>
        <v>0</v>
      </c>
      <c r="V8">
        <f>step3_validation[[#This Row],[AI_ENF2]]</f>
        <v>6</v>
      </c>
      <c r="W8" t="str">
        <f t="shared" si="3"/>
        <v>Neutral</v>
      </c>
      <c r="X8">
        <f>survey_responses[[#This Row],[Tôi tin rằng Nhà nước, cơ quan thuế có đủ khả năng và công nghệ để phát hiện, xử lý nghiêm các hành vi trốn thuế. - HUMAN-ENF2]]</f>
        <v>4</v>
      </c>
      <c r="Y8" t="str">
        <f t="shared" si="4"/>
        <v>Oppose</v>
      </c>
      <c r="Z8" s="32">
        <f t="shared" si="5"/>
        <v>2</v>
      </c>
      <c r="AA8">
        <f>step3_validation[[#This Row],[AI_FAC1]]</f>
        <v>8</v>
      </c>
      <c r="AB8" t="str">
        <f t="shared" si="6"/>
        <v>Support</v>
      </c>
      <c r="AC8">
        <f>survey_responses[[#This Row],[Các thủ tục khai báo thuế VÀ/HOẶC quy trình làm việc với cơ quan thuế đơn giản, tiện lợi, nhanh chóng hơn so với trước đây. - HUMAN-FAC1]]</f>
        <v>4</v>
      </c>
      <c r="AD8" t="str">
        <f t="shared" si="7"/>
        <v>Oppose</v>
      </c>
      <c r="AE8" s="32">
        <f t="shared" si="8"/>
        <v>4</v>
      </c>
      <c r="AF8">
        <f>step3_validation[[#This Row],[AI_FAC2]]</f>
        <v>9</v>
      </c>
      <c r="AG8" t="str">
        <f t="shared" si="9"/>
        <v>Support</v>
      </c>
      <c r="AH8">
        <f>survey_responses[[#This Row],[So với trước đây, tôi thấy cách tính thuế và các bậc thuế trong phương án mới đơn giản, dễ hiểu và dễ thực hiện hơn. - HUMAN-FAC2]]</f>
        <v>6</v>
      </c>
      <c r="AI8" t="str">
        <f t="shared" si="10"/>
        <v>Neutral</v>
      </c>
      <c r="AJ8" s="32">
        <f t="shared" si="11"/>
        <v>3</v>
      </c>
      <c r="AK8">
        <f>step3_validation[[#This Row],[AI_TRU1]]</f>
        <v>7</v>
      </c>
      <c r="AL8" t="str">
        <f t="shared" si="12"/>
        <v>Neutral</v>
      </c>
      <c r="AM8">
        <f>survey_responses[[#This Row],[Tôi tin rằng Nhà nước, cơ quan thuế sẽ thực thi chính sách mới một cách khách quan, công tâm và đối xử bình đẳng với mọi người nộp thuế.  - HUMAN-TRU1]]</f>
        <v>6</v>
      </c>
      <c r="AN8" t="str">
        <f t="shared" si="13"/>
        <v>Neutral</v>
      </c>
      <c r="AO8" s="32">
        <f t="shared" si="14"/>
        <v>1</v>
      </c>
      <c r="AP8">
        <f>step3_validation[[#This Row],[AI_TRU2]]</f>
        <v>6</v>
      </c>
      <c r="AQ8" t="str">
        <f t="shared" si="15"/>
        <v>Neutral</v>
      </c>
      <c r="AR8">
        <f>survey_responses[[#This Row],[Tôi thấy mức thuế tôi phải đóng theo phương án mới là công bằng (người thu nhập như tôi đóng mức này là hợp lý). - HUMAN-TRU2]]</f>
        <v>7</v>
      </c>
      <c r="AS8" t="str">
        <f t="shared" si="16"/>
        <v>Neutral</v>
      </c>
      <c r="AT8" s="32">
        <f t="shared" si="17"/>
        <v>1</v>
      </c>
      <c r="AU8">
        <f>step3_validation[[#This Row],[AI_TRU3]]</f>
        <v>7</v>
      </c>
      <c r="AV8" t="str">
        <f t="shared" si="18"/>
        <v>Neutral</v>
      </c>
      <c r="AW8">
        <f>survey_responses[[#This Row],[Tôi tin tưởng số tiền thuế tôi đóng sẽ được Nhà nước sử dụng hiệu quả để cải thiện dịch vụ công (y tế, đường xá...). - HUMAN-TRU3]]</f>
        <v>2</v>
      </c>
      <c r="AX8" t="str">
        <f t="shared" si="19"/>
        <v>Oppose</v>
      </c>
      <c r="AY8" s="32">
        <f t="shared" si="20"/>
        <v>5</v>
      </c>
      <c r="AZ8">
        <f>step3_validation[[#This Row],[AI_TRU4]]</f>
        <v>6</v>
      </c>
      <c r="BA8" t="str">
        <f t="shared" si="21"/>
        <v>Neutral</v>
      </c>
      <c r="BB8">
        <f>survey_responses[[#This Row],[Tôi thấy Nhà nước đã giải thích rõ ràng, minh bạch về lý do và mục tiêu của việc sửa đổi thuế lần này. - HUMAN-TRU4]]</f>
        <v>4</v>
      </c>
      <c r="BC8" t="str">
        <f t="shared" si="22"/>
        <v>Oppose</v>
      </c>
      <c r="BD8" s="32">
        <f t="shared" si="23"/>
        <v>2</v>
      </c>
      <c r="BE8">
        <f>step3_validation[[#This Row],[AI_OUT1]]</f>
        <v>5</v>
      </c>
      <c r="BF8" t="str">
        <f t="shared" si="24"/>
        <v>Neutral</v>
      </c>
      <c r="BG8">
        <f>survey_responses[[#This Row],[Sau khi xem xét các quyền lợi và nghĩa vụ, bạn có ủng hộ và tuân thủ chính sách mới hiện nay? - HUMAN-OUT1]]</f>
        <v>4</v>
      </c>
      <c r="BH8" t="str">
        <f t="shared" si="25"/>
        <v>Oppose</v>
      </c>
      <c r="BI8" s="32">
        <f t="shared" si="26"/>
        <v>1</v>
      </c>
    </row>
    <row r="9" spans="1:61" x14ac:dyDescent="0.45">
      <c r="A9" s="30">
        <f>step3_validation[[#This Row],[Persona_ID]]</f>
        <v>8</v>
      </c>
      <c r="B9" s="31">
        <f>step3_validation[[#This Row],[Used_Seed]]</f>
        <v>1998</v>
      </c>
      <c r="C9" t="str">
        <f>step3_validation[[#This Row],[Gender]]</f>
        <v>Nam</v>
      </c>
      <c r="D9" t="str">
        <f>survey_responses[[#This Row],[Giới tính của bạn:]]</f>
        <v>Nam</v>
      </c>
      <c r="E9" t="str">
        <f>step3_validation[[#This Row],[Age_Group]]</f>
        <v>40 - 49</v>
      </c>
      <c r="F9" t="str">
        <f>survey_responses[[#This Row],[Độ tuổi của bạn:]]</f>
        <v>40 - 49</v>
      </c>
      <c r="G9" t="str">
        <f>step3_validation[[#This Row],[Region]]</f>
        <v>Thành thị</v>
      </c>
      <c r="H9" t="str">
        <f>survey_responses[[#This Row],[Khu vực bạn đang sinh sống:]]</f>
        <v>Thành thị</v>
      </c>
      <c r="I9" t="str">
        <f>step3_validation[[#This Row],[Education]]</f>
        <v>Sau Đại học</v>
      </c>
      <c r="J9" t="str">
        <f>survey_responses[[#This Row],[Trình độ học vấn cao nhất:]]</f>
        <v>Sau Đại học</v>
      </c>
      <c r="K9" t="str">
        <f>step3_validation[[#This Row],[Employment]]</f>
        <v>Chính thức</v>
      </c>
      <c r="L9" t="str">
        <f>survey_responses[[#This Row],[Tình trạng việc làm chính:]]</f>
        <v>Khu vực chính thức (Có Hợp đồng lao động, đóng BHXH)</v>
      </c>
      <c r="M9">
        <f>step3_validation[[#This Row],[Income_Mil]]</f>
        <v>12</v>
      </c>
      <c r="N9" t="str">
        <f>survey_responses[[#This Row],[Thu nhập bình quân tháng theo Hợp đồng lao động của bạn là bao nhiêu? (Vui lòng điền tổng thu nhập trước khi khấu trừ các loại Bảo hiểm (BHXH, BHYT, BHTN) và Thuế TNCN)]]</f>
        <v>Dưới 12 triệu VNĐ</v>
      </c>
      <c r="O9">
        <f>step3_validation[[#This Row],[Dependents]]</f>
        <v>2</v>
      </c>
      <c r="P9" t="str">
        <f>survey_responses[[#This Row],[Số người phụ thuộc (con nhỏ, cha mẹ già...) đủ điều kiện giảm trừ gia cảnh:]]</f>
        <v>2 người</v>
      </c>
      <c r="Q9">
        <f>step3_validation[[#This Row],[AI_ENF1]]</f>
        <v>7</v>
      </c>
      <c r="R9" t="str">
        <f t="shared" si="0"/>
        <v>Neutral</v>
      </c>
      <c r="S9">
        <f>survey_responses[[#This Row],[Tôi tin rằng với các quy định quản lý thuế hiện nay, hành vi gian lận hoặc trốn thuế sẽ dễ dàng bị phát hiện và xử lý nghiêm. - HUMAN-ENF1]]</f>
        <v>1</v>
      </c>
      <c r="T9" t="str">
        <f t="shared" si="1"/>
        <v>Oppose</v>
      </c>
      <c r="U9" s="32">
        <f t="shared" si="2"/>
        <v>6</v>
      </c>
      <c r="V9">
        <f>step3_validation[[#This Row],[AI_ENF2]]</f>
        <v>8</v>
      </c>
      <c r="W9" t="str">
        <f t="shared" si="3"/>
        <v>Support</v>
      </c>
      <c r="X9">
        <f>survey_responses[[#This Row],[Tôi tin rằng Nhà nước, cơ quan thuế có đủ khả năng và công nghệ để phát hiện, xử lý nghiêm các hành vi trốn thuế. - HUMAN-ENF2]]</f>
        <v>1</v>
      </c>
      <c r="Y9" t="str">
        <f t="shared" si="4"/>
        <v>Oppose</v>
      </c>
      <c r="Z9" s="32">
        <f t="shared" si="5"/>
        <v>7</v>
      </c>
      <c r="AA9">
        <f>step3_validation[[#This Row],[AI_FAC1]]</f>
        <v>9</v>
      </c>
      <c r="AB9" t="str">
        <f t="shared" si="6"/>
        <v>Support</v>
      </c>
      <c r="AC9">
        <f>survey_responses[[#This Row],[Các thủ tục khai báo thuế VÀ/HOẶC quy trình làm việc với cơ quan thuế đơn giản, tiện lợi, nhanh chóng hơn so với trước đây. - HUMAN-FAC1]]</f>
        <v>2</v>
      </c>
      <c r="AD9" t="str">
        <f t="shared" si="7"/>
        <v>Oppose</v>
      </c>
      <c r="AE9" s="32">
        <f t="shared" si="8"/>
        <v>7</v>
      </c>
      <c r="AF9">
        <f>step3_validation[[#This Row],[AI_FAC2]]</f>
        <v>8</v>
      </c>
      <c r="AG9" t="str">
        <f t="shared" si="9"/>
        <v>Support</v>
      </c>
      <c r="AH9">
        <f>survey_responses[[#This Row],[So với trước đây, tôi thấy cách tính thuế và các bậc thuế trong phương án mới đơn giản, dễ hiểu và dễ thực hiện hơn. - HUMAN-FAC2]]</f>
        <v>3</v>
      </c>
      <c r="AI9" t="str">
        <f t="shared" si="10"/>
        <v>Oppose</v>
      </c>
      <c r="AJ9" s="32">
        <f t="shared" si="11"/>
        <v>5</v>
      </c>
      <c r="AK9">
        <f>step3_validation[[#This Row],[AI_TRU1]]</f>
        <v>9</v>
      </c>
      <c r="AL9" t="str">
        <f t="shared" si="12"/>
        <v>Support</v>
      </c>
      <c r="AM9">
        <f>survey_responses[[#This Row],[Tôi tin rằng Nhà nước, cơ quan thuế sẽ thực thi chính sách mới một cách khách quan, công tâm và đối xử bình đẳng với mọi người nộp thuế.  - HUMAN-TRU1]]</f>
        <v>6</v>
      </c>
      <c r="AN9" t="str">
        <f t="shared" si="13"/>
        <v>Neutral</v>
      </c>
      <c r="AO9" s="32">
        <f t="shared" si="14"/>
        <v>3</v>
      </c>
      <c r="AP9">
        <f>step3_validation[[#This Row],[AI_TRU2]]</f>
        <v>8</v>
      </c>
      <c r="AQ9" t="str">
        <f t="shared" si="15"/>
        <v>Support</v>
      </c>
      <c r="AR9">
        <f>survey_responses[[#This Row],[Tôi thấy mức thuế tôi phải đóng theo phương án mới là công bằng (người thu nhập như tôi đóng mức này là hợp lý). - HUMAN-TRU2]]</f>
        <v>2</v>
      </c>
      <c r="AS9" t="str">
        <f t="shared" si="16"/>
        <v>Oppose</v>
      </c>
      <c r="AT9" s="32">
        <f t="shared" si="17"/>
        <v>6</v>
      </c>
      <c r="AU9">
        <f>step3_validation[[#This Row],[AI_TRU3]]</f>
        <v>7</v>
      </c>
      <c r="AV9" t="str">
        <f t="shared" si="18"/>
        <v>Neutral</v>
      </c>
      <c r="AW9">
        <f>survey_responses[[#This Row],[Tôi tin tưởng số tiền thuế tôi đóng sẽ được Nhà nước sử dụng hiệu quả để cải thiện dịch vụ công (y tế, đường xá...). - HUMAN-TRU3]]</f>
        <v>7</v>
      </c>
      <c r="AX9" t="str">
        <f t="shared" si="19"/>
        <v>Neutral</v>
      </c>
      <c r="AY9" s="32">
        <f t="shared" si="20"/>
        <v>0</v>
      </c>
      <c r="AZ9">
        <f>step3_validation[[#This Row],[AI_TRU4]]</f>
        <v>6</v>
      </c>
      <c r="BA9" t="str">
        <f t="shared" si="21"/>
        <v>Neutral</v>
      </c>
      <c r="BB9">
        <f>survey_responses[[#This Row],[Tôi thấy Nhà nước đã giải thích rõ ràng, minh bạch về lý do và mục tiêu của việc sửa đổi thuế lần này. - HUMAN-TRU4]]</f>
        <v>3</v>
      </c>
      <c r="BC9" t="str">
        <f t="shared" si="22"/>
        <v>Oppose</v>
      </c>
      <c r="BD9" s="32">
        <f t="shared" si="23"/>
        <v>3</v>
      </c>
      <c r="BE9">
        <f>step3_validation[[#This Row],[AI_OUT1]]</f>
        <v>9</v>
      </c>
      <c r="BF9" t="str">
        <f t="shared" si="24"/>
        <v>Support</v>
      </c>
      <c r="BG9">
        <f>survey_responses[[#This Row],[Sau khi xem xét các quyền lợi và nghĩa vụ, bạn có ủng hộ và tuân thủ chính sách mới hiện nay? - HUMAN-OUT1]]</f>
        <v>3</v>
      </c>
      <c r="BH9" t="str">
        <f t="shared" si="25"/>
        <v>Oppose</v>
      </c>
      <c r="BI9" s="32">
        <f t="shared" si="26"/>
        <v>6</v>
      </c>
    </row>
    <row r="10" spans="1:61" x14ac:dyDescent="0.45">
      <c r="A10" s="30">
        <f>step3_validation[[#This Row],[Persona_ID]]</f>
        <v>9</v>
      </c>
      <c r="B10" s="31">
        <f>step3_validation[[#This Row],[Used_Seed]]</f>
        <v>1999</v>
      </c>
      <c r="C10" t="str">
        <f>step3_validation[[#This Row],[Gender]]</f>
        <v>Nữ</v>
      </c>
      <c r="D10" t="str">
        <f>survey_responses[[#This Row],[Giới tính của bạn:]]</f>
        <v>Nữ</v>
      </c>
      <c r="E10" t="str">
        <f>step3_validation[[#This Row],[Age_Group]]</f>
        <v>25 - 29</v>
      </c>
      <c r="F10" t="str">
        <f>survey_responses[[#This Row],[Độ tuổi của bạn:]]</f>
        <v>25 - 29</v>
      </c>
      <c r="G10" t="str">
        <f>step3_validation[[#This Row],[Region]]</f>
        <v>Nông thôn</v>
      </c>
      <c r="H10" t="str">
        <f>survey_responses[[#This Row],[Khu vực bạn đang sinh sống:]]</f>
        <v>Nông thôn</v>
      </c>
      <c r="I10" t="str">
        <f>step3_validation[[#This Row],[Education]]</f>
        <v>Đại học</v>
      </c>
      <c r="J10" t="str">
        <f>survey_responses[[#This Row],[Trình độ học vấn cao nhất:]]</f>
        <v>Đại học</v>
      </c>
      <c r="K10" t="str">
        <f>step3_validation[[#This Row],[Employment]]</f>
        <v>Phi chính thức</v>
      </c>
      <c r="L10" t="str">
        <f>survey_responses[[#This Row],[Tình trạng việc làm chính:]]</f>
        <v>Khu vực phi chính thức (Lao động tự do, không có HĐLĐ)</v>
      </c>
      <c r="M10">
        <f>step3_validation[[#This Row],[Income_Mil]]</f>
        <v>14.909375702254509</v>
      </c>
      <c r="N10" t="str">
        <f>survey_responses[[#This Row],[Thu nhập bình quân tháng theo Hợp đồng lao động của bạn là bao nhiêu? (Vui lòng điền tổng thu nhập trước khi khấu trừ các loại Bảo hiểm (BHXH, BHYT, BHTN) và Thuế TNCN)]]</f>
        <v>Từ 12 - 18 triệu VNĐ</v>
      </c>
      <c r="O10">
        <f>step3_validation[[#This Row],[Dependents]]</f>
        <v>1</v>
      </c>
      <c r="P10" t="str">
        <f>survey_responses[[#This Row],[Số người phụ thuộc (con nhỏ, cha mẹ già...) đủ điều kiện giảm trừ gia cảnh:]]</f>
        <v>1 người</v>
      </c>
      <c r="Q10">
        <f>step3_validation[[#This Row],[AI_ENF1]]</f>
        <v>7</v>
      </c>
      <c r="R10" t="str">
        <f t="shared" si="0"/>
        <v>Neutral</v>
      </c>
      <c r="S10">
        <f>survey_responses[[#This Row],[Tôi tin rằng với các quy định quản lý thuế hiện nay, hành vi gian lận hoặc trốn thuế sẽ dễ dàng bị phát hiện và xử lý nghiêm. - HUMAN-ENF1]]</f>
        <v>10</v>
      </c>
      <c r="T10" t="str">
        <f t="shared" si="1"/>
        <v>Support</v>
      </c>
      <c r="U10" s="32">
        <f t="shared" si="2"/>
        <v>3</v>
      </c>
      <c r="V10">
        <f>step3_validation[[#This Row],[AI_ENF2]]</f>
        <v>6</v>
      </c>
      <c r="W10" t="str">
        <f t="shared" si="3"/>
        <v>Neutral</v>
      </c>
      <c r="X10">
        <f>survey_responses[[#This Row],[Tôi tin rằng Nhà nước, cơ quan thuế có đủ khả năng và công nghệ để phát hiện, xử lý nghiêm các hành vi trốn thuế. - HUMAN-ENF2]]</f>
        <v>10</v>
      </c>
      <c r="Y10" t="str">
        <f t="shared" si="4"/>
        <v>Support</v>
      </c>
      <c r="Z10" s="32">
        <f t="shared" si="5"/>
        <v>4</v>
      </c>
      <c r="AA10">
        <f>step3_validation[[#This Row],[AI_FAC1]]</f>
        <v>8</v>
      </c>
      <c r="AB10" t="str">
        <f t="shared" si="6"/>
        <v>Support</v>
      </c>
      <c r="AC10">
        <f>survey_responses[[#This Row],[Các thủ tục khai báo thuế VÀ/HOẶC quy trình làm việc với cơ quan thuế đơn giản, tiện lợi, nhanh chóng hơn so với trước đây. - HUMAN-FAC1]]</f>
        <v>8</v>
      </c>
      <c r="AD10" t="str">
        <f t="shared" si="7"/>
        <v>Support</v>
      </c>
      <c r="AE10" s="32">
        <f t="shared" si="8"/>
        <v>0</v>
      </c>
      <c r="AF10">
        <f>step3_validation[[#This Row],[AI_FAC2]]</f>
        <v>9</v>
      </c>
      <c r="AG10" t="str">
        <f t="shared" si="9"/>
        <v>Support</v>
      </c>
      <c r="AH10">
        <f>survey_responses[[#This Row],[So với trước đây, tôi thấy cách tính thuế và các bậc thuế trong phương án mới đơn giản, dễ hiểu và dễ thực hiện hơn. - HUMAN-FAC2]]</f>
        <v>7</v>
      </c>
      <c r="AI10" t="str">
        <f t="shared" si="10"/>
        <v>Neutral</v>
      </c>
      <c r="AJ10" s="32">
        <f t="shared" si="11"/>
        <v>2</v>
      </c>
      <c r="AK10">
        <f>step3_validation[[#This Row],[AI_TRU1]]</f>
        <v>7</v>
      </c>
      <c r="AL10" t="str">
        <f t="shared" si="12"/>
        <v>Neutral</v>
      </c>
      <c r="AM10">
        <f>survey_responses[[#This Row],[Tôi tin rằng Nhà nước, cơ quan thuế sẽ thực thi chính sách mới một cách khách quan, công tâm và đối xử bình đẳng với mọi người nộp thuế.  - HUMAN-TRU1]]</f>
        <v>7</v>
      </c>
      <c r="AN10" t="str">
        <f t="shared" si="13"/>
        <v>Neutral</v>
      </c>
      <c r="AO10" s="32">
        <f t="shared" si="14"/>
        <v>0</v>
      </c>
      <c r="AP10">
        <f>step3_validation[[#This Row],[AI_TRU2]]</f>
        <v>7</v>
      </c>
      <c r="AQ10" t="str">
        <f t="shared" si="15"/>
        <v>Neutral</v>
      </c>
      <c r="AR10">
        <f>survey_responses[[#This Row],[Tôi thấy mức thuế tôi phải đóng theo phương án mới là công bằng (người thu nhập như tôi đóng mức này là hợp lý). - HUMAN-TRU2]]</f>
        <v>5</v>
      </c>
      <c r="AS10" t="str">
        <f t="shared" si="16"/>
        <v>Neutral</v>
      </c>
      <c r="AT10" s="32">
        <f t="shared" si="17"/>
        <v>2</v>
      </c>
      <c r="AU10">
        <f>step3_validation[[#This Row],[AI_TRU3]]</f>
        <v>6</v>
      </c>
      <c r="AV10" t="str">
        <f t="shared" si="18"/>
        <v>Neutral</v>
      </c>
      <c r="AW10">
        <f>survey_responses[[#This Row],[Tôi tin tưởng số tiền thuế tôi đóng sẽ được Nhà nước sử dụng hiệu quả để cải thiện dịch vụ công (y tế, đường xá...). - HUMAN-TRU3]]</f>
        <v>5</v>
      </c>
      <c r="AX10" t="str">
        <f t="shared" si="19"/>
        <v>Neutral</v>
      </c>
      <c r="AY10" s="32">
        <f t="shared" si="20"/>
        <v>1</v>
      </c>
      <c r="AZ10">
        <f>step3_validation[[#This Row],[AI_TRU4]]</f>
        <v>7</v>
      </c>
      <c r="BA10" t="str">
        <f t="shared" si="21"/>
        <v>Neutral</v>
      </c>
      <c r="BB10">
        <f>survey_responses[[#This Row],[Tôi thấy Nhà nước đã giải thích rõ ràng, minh bạch về lý do và mục tiêu của việc sửa đổi thuế lần này. - HUMAN-TRU4]]</f>
        <v>9</v>
      </c>
      <c r="BC10" t="str">
        <f t="shared" si="22"/>
        <v>Support</v>
      </c>
      <c r="BD10" s="32">
        <f t="shared" si="23"/>
        <v>2</v>
      </c>
      <c r="BE10">
        <f>step3_validation[[#This Row],[AI_OUT1]]</f>
        <v>8</v>
      </c>
      <c r="BF10" t="str">
        <f t="shared" si="24"/>
        <v>Support</v>
      </c>
      <c r="BG10">
        <f>survey_responses[[#This Row],[Sau khi xem xét các quyền lợi và nghĩa vụ, bạn có ủng hộ và tuân thủ chính sách mới hiện nay? - HUMAN-OUT1]]</f>
        <v>8</v>
      </c>
      <c r="BH10" t="str">
        <f t="shared" si="25"/>
        <v>Support</v>
      </c>
      <c r="BI10" s="32">
        <f t="shared" si="26"/>
        <v>0</v>
      </c>
    </row>
    <row r="11" spans="1:61" x14ac:dyDescent="0.45">
      <c r="A11" s="30">
        <f>step3_validation[[#This Row],[Persona_ID]]</f>
        <v>10</v>
      </c>
      <c r="B11" s="31">
        <f>step3_validation[[#This Row],[Used_Seed]]</f>
        <v>2000</v>
      </c>
      <c r="C11" t="str">
        <f>step3_validation[[#This Row],[Gender]]</f>
        <v>Nữ</v>
      </c>
      <c r="D11" t="str">
        <f>survey_responses[[#This Row],[Giới tính của bạn:]]</f>
        <v>Nữ</v>
      </c>
      <c r="E11" t="str">
        <f>step3_validation[[#This Row],[Age_Group]]</f>
        <v>25 - 29</v>
      </c>
      <c r="F11" t="str">
        <f>survey_responses[[#This Row],[Độ tuổi của bạn:]]</f>
        <v>25 - 29</v>
      </c>
      <c r="G11" t="str">
        <f>step3_validation[[#This Row],[Region]]</f>
        <v>Thành thị</v>
      </c>
      <c r="H11" t="str">
        <f>survey_responses[[#This Row],[Khu vực bạn đang sinh sống:]]</f>
        <v>Thành thị</v>
      </c>
      <c r="I11" t="str">
        <f>step3_validation[[#This Row],[Education]]</f>
        <v>Đại học</v>
      </c>
      <c r="J11" t="str">
        <f>survey_responses[[#This Row],[Trình độ học vấn cao nhất:]]</f>
        <v>Đại học</v>
      </c>
      <c r="K11" t="str">
        <f>step3_validation[[#This Row],[Employment]]</f>
        <v>Chính thức</v>
      </c>
      <c r="L11" t="str">
        <f>survey_responses[[#This Row],[Tình trạng việc làm chính:]]</f>
        <v>Khu vực chính thức (Có Hợp đồng lao động, đóng BHXH)</v>
      </c>
      <c r="M11">
        <f>step3_validation[[#This Row],[Income_Mil]]</f>
        <v>20.300545275430544</v>
      </c>
      <c r="N11" t="str">
        <f>survey_responses[[#This Row],[Thu nhập bình quân tháng theo Hợp đồng lao động của bạn là bao nhiêu? (Vui lòng điền tổng thu nhập trước khi khấu trừ các loại Bảo hiểm (BHXH, BHYT, BHTN) và Thuế TNCN)]]</f>
        <v>Từ 18 - 23 triệu VNĐ</v>
      </c>
      <c r="O11">
        <f>step3_validation[[#This Row],[Dependents]]</f>
        <v>0</v>
      </c>
      <c r="P11" t="str">
        <f>survey_responses[[#This Row],[Số người phụ thuộc (con nhỏ, cha mẹ già...) đủ điều kiện giảm trừ gia cảnh:]]</f>
        <v>0 người</v>
      </c>
      <c r="Q11">
        <f>step3_validation[[#This Row],[AI_ENF1]]</f>
        <v>7</v>
      </c>
      <c r="R11" t="str">
        <f t="shared" si="0"/>
        <v>Neutral</v>
      </c>
      <c r="S11">
        <f>survey_responses[[#This Row],[Tôi tin rằng với các quy định quản lý thuế hiện nay, hành vi gian lận hoặc trốn thuế sẽ dễ dàng bị phát hiện và xử lý nghiêm. - HUMAN-ENF1]]</f>
        <v>7</v>
      </c>
      <c r="T11" t="str">
        <f t="shared" si="1"/>
        <v>Neutral</v>
      </c>
      <c r="U11" s="32">
        <f t="shared" si="2"/>
        <v>0</v>
      </c>
      <c r="V11">
        <f>step3_validation[[#This Row],[AI_ENF2]]</f>
        <v>6</v>
      </c>
      <c r="W11" t="str">
        <f t="shared" si="3"/>
        <v>Neutral</v>
      </c>
      <c r="X11">
        <f>survey_responses[[#This Row],[Tôi tin rằng Nhà nước, cơ quan thuế có đủ khả năng và công nghệ để phát hiện, xử lý nghiêm các hành vi trốn thuế. - HUMAN-ENF2]]</f>
        <v>10</v>
      </c>
      <c r="Y11" t="str">
        <f t="shared" si="4"/>
        <v>Support</v>
      </c>
      <c r="Z11" s="32">
        <f t="shared" si="5"/>
        <v>4</v>
      </c>
      <c r="AA11">
        <f>step3_validation[[#This Row],[AI_FAC1]]</f>
        <v>8</v>
      </c>
      <c r="AB11" t="str">
        <f t="shared" si="6"/>
        <v>Support</v>
      </c>
      <c r="AC11">
        <f>survey_responses[[#This Row],[Các thủ tục khai báo thuế VÀ/HOẶC quy trình làm việc với cơ quan thuế đơn giản, tiện lợi, nhanh chóng hơn so với trước đây. - HUMAN-FAC1]]</f>
        <v>1</v>
      </c>
      <c r="AD11" t="str">
        <f t="shared" si="7"/>
        <v>Oppose</v>
      </c>
      <c r="AE11" s="32">
        <f t="shared" si="8"/>
        <v>7</v>
      </c>
      <c r="AF11">
        <f>step3_validation[[#This Row],[AI_FAC2]]</f>
        <v>5</v>
      </c>
      <c r="AG11" t="str">
        <f t="shared" si="9"/>
        <v>Neutral</v>
      </c>
      <c r="AH11">
        <f>survey_responses[[#This Row],[So với trước đây, tôi thấy cách tính thuế và các bậc thuế trong phương án mới đơn giản, dễ hiểu và dễ thực hiện hơn. - HUMAN-FAC2]]</f>
        <v>5</v>
      </c>
      <c r="AI11" t="str">
        <f t="shared" si="10"/>
        <v>Neutral</v>
      </c>
      <c r="AJ11" s="32">
        <f t="shared" si="11"/>
        <v>0</v>
      </c>
      <c r="AK11">
        <f>step3_validation[[#This Row],[AI_TRU1]]</f>
        <v>9</v>
      </c>
      <c r="AL11" t="str">
        <f t="shared" si="12"/>
        <v>Support</v>
      </c>
      <c r="AM11">
        <f>survey_responses[[#This Row],[Tôi tin rằng Nhà nước, cơ quan thuế sẽ thực thi chính sách mới một cách khách quan, công tâm và đối xử bình đẳng với mọi người nộp thuế.  - HUMAN-TRU1]]</f>
        <v>8</v>
      </c>
      <c r="AN11" t="str">
        <f t="shared" si="13"/>
        <v>Support</v>
      </c>
      <c r="AO11" s="32">
        <f t="shared" si="14"/>
        <v>1</v>
      </c>
      <c r="AP11">
        <f>step3_validation[[#This Row],[AI_TRU2]]</f>
        <v>7</v>
      </c>
      <c r="AQ11" t="str">
        <f t="shared" si="15"/>
        <v>Neutral</v>
      </c>
      <c r="AR11">
        <f>survey_responses[[#This Row],[Tôi thấy mức thuế tôi phải đóng theo phương án mới là công bằng (người thu nhập như tôi đóng mức này là hợp lý). - HUMAN-TRU2]]</f>
        <v>5</v>
      </c>
      <c r="AS11" t="str">
        <f t="shared" si="16"/>
        <v>Neutral</v>
      </c>
      <c r="AT11" s="32">
        <f t="shared" si="17"/>
        <v>2</v>
      </c>
      <c r="AU11">
        <f>step3_validation[[#This Row],[AI_TRU3]]</f>
        <v>6</v>
      </c>
      <c r="AV11" t="str">
        <f t="shared" si="18"/>
        <v>Neutral</v>
      </c>
      <c r="AW11">
        <f>survey_responses[[#This Row],[Tôi tin tưởng số tiền thuế tôi đóng sẽ được Nhà nước sử dụng hiệu quả để cải thiện dịch vụ công (y tế, đường xá...). - HUMAN-TRU3]]</f>
        <v>5</v>
      </c>
      <c r="AX11" t="str">
        <f t="shared" si="19"/>
        <v>Neutral</v>
      </c>
      <c r="AY11" s="32">
        <f t="shared" si="20"/>
        <v>1</v>
      </c>
      <c r="AZ11">
        <f>step3_validation[[#This Row],[AI_TRU4]]</f>
        <v>8</v>
      </c>
      <c r="BA11" t="str">
        <f t="shared" si="21"/>
        <v>Support</v>
      </c>
      <c r="BB11">
        <f>survey_responses[[#This Row],[Tôi thấy Nhà nước đã giải thích rõ ràng, minh bạch về lý do và mục tiêu của việc sửa đổi thuế lần này. - HUMAN-TRU4]]</f>
        <v>5</v>
      </c>
      <c r="BC11" t="str">
        <f t="shared" si="22"/>
        <v>Neutral</v>
      </c>
      <c r="BD11" s="32">
        <f t="shared" si="23"/>
        <v>3</v>
      </c>
      <c r="BE11">
        <f>step3_validation[[#This Row],[AI_OUT1]]</f>
        <v>9</v>
      </c>
      <c r="BF11" t="str">
        <f t="shared" si="24"/>
        <v>Support</v>
      </c>
      <c r="BG11">
        <f>survey_responses[[#This Row],[Sau khi xem xét các quyền lợi và nghĩa vụ, bạn có ủng hộ và tuân thủ chính sách mới hiện nay? - HUMAN-OUT1]]</f>
        <v>10</v>
      </c>
      <c r="BH11" t="str">
        <f t="shared" si="25"/>
        <v>Support</v>
      </c>
      <c r="BI11" s="32">
        <f t="shared" si="26"/>
        <v>1</v>
      </c>
    </row>
    <row r="12" spans="1:61" x14ac:dyDescent="0.45">
      <c r="A12" s="30">
        <f>step3_validation[[#This Row],[Persona_ID]]</f>
        <v>11</v>
      </c>
      <c r="B12" s="31">
        <f>step3_validation[[#This Row],[Used_Seed]]</f>
        <v>2001</v>
      </c>
      <c r="C12" t="str">
        <f>step3_validation[[#This Row],[Gender]]</f>
        <v>Nam</v>
      </c>
      <c r="D12" t="str">
        <f>survey_responses[[#This Row],[Giới tính của bạn:]]</f>
        <v>Nam</v>
      </c>
      <c r="E12" t="str">
        <f>step3_validation[[#This Row],[Age_Group]]</f>
        <v>30 - 39</v>
      </c>
      <c r="F12" t="str">
        <f>survey_responses[[#This Row],[Độ tuổi của bạn:]]</f>
        <v>30 - 39</v>
      </c>
      <c r="G12" t="str">
        <f>step3_validation[[#This Row],[Region]]</f>
        <v>Thành thị</v>
      </c>
      <c r="H12" t="str">
        <f>survey_responses[[#This Row],[Khu vực bạn đang sinh sống:]]</f>
        <v>Thành thị</v>
      </c>
      <c r="I12" t="str">
        <f>step3_validation[[#This Row],[Education]]</f>
        <v>Sau Đại học</v>
      </c>
      <c r="J12" t="str">
        <f>survey_responses[[#This Row],[Trình độ học vấn cao nhất:]]</f>
        <v>Sau Đại học</v>
      </c>
      <c r="K12" t="str">
        <f>step3_validation[[#This Row],[Employment]]</f>
        <v>Phi chính thức</v>
      </c>
      <c r="L12" t="str">
        <f>survey_responses[[#This Row],[Tình trạng việc làm chính:]]</f>
        <v>Khu vực phi chính thức (Lao động tự do, không có HĐLĐ)</v>
      </c>
      <c r="M12">
        <f>step3_validation[[#This Row],[Income_Mil]]</f>
        <v>38.355047037430367</v>
      </c>
      <c r="N12" t="str">
        <f>survey_responses[[#This Row],[Thu nhập bình quân tháng theo Hợp đồng lao động của bạn là bao nhiêu? (Vui lòng điền tổng thu nhập trước khi khấu trừ các loại Bảo hiểm (BHXH, BHYT, BHTN) và Thuế TNCN)]]</f>
        <v>Từ 32 - 48 triệu VNĐ</v>
      </c>
      <c r="O12">
        <f>step3_validation[[#This Row],[Dependents]]</f>
        <v>4</v>
      </c>
      <c r="P12" t="str">
        <f>survey_responses[[#This Row],[Số người phụ thuộc (con nhỏ, cha mẹ già...) đủ điều kiện giảm trừ gia cảnh:]]</f>
        <v>4 người trở lên</v>
      </c>
      <c r="Q12">
        <f>step3_validation[[#This Row],[AI_ENF1]]</f>
        <v>7</v>
      </c>
      <c r="R12" t="str">
        <f t="shared" si="0"/>
        <v>Neutral</v>
      </c>
      <c r="S12">
        <f>survey_responses[[#This Row],[Tôi tin rằng với các quy định quản lý thuế hiện nay, hành vi gian lận hoặc trốn thuế sẽ dễ dàng bị phát hiện và xử lý nghiêm. - HUMAN-ENF1]]</f>
        <v>10</v>
      </c>
      <c r="T12" t="str">
        <f t="shared" si="1"/>
        <v>Support</v>
      </c>
      <c r="U12" s="32">
        <f t="shared" si="2"/>
        <v>3</v>
      </c>
      <c r="V12">
        <f>step3_validation[[#This Row],[AI_ENF2]]</f>
        <v>6</v>
      </c>
      <c r="W12" t="str">
        <f t="shared" si="3"/>
        <v>Neutral</v>
      </c>
      <c r="X12">
        <f>survey_responses[[#This Row],[Tôi tin rằng Nhà nước, cơ quan thuế có đủ khả năng và công nghệ để phát hiện, xử lý nghiêm các hành vi trốn thuế. - HUMAN-ENF2]]</f>
        <v>3</v>
      </c>
      <c r="Y12" t="str">
        <f t="shared" si="4"/>
        <v>Oppose</v>
      </c>
      <c r="Z12" s="32">
        <f t="shared" si="5"/>
        <v>3</v>
      </c>
      <c r="AA12">
        <f>step3_validation[[#This Row],[AI_FAC1]]</f>
        <v>5</v>
      </c>
      <c r="AB12" t="str">
        <f t="shared" si="6"/>
        <v>Neutral</v>
      </c>
      <c r="AC12">
        <f>survey_responses[[#This Row],[Các thủ tục khai báo thuế VÀ/HOẶC quy trình làm việc với cơ quan thuế đơn giản, tiện lợi, nhanh chóng hơn so với trước đây. - HUMAN-FAC1]]</f>
        <v>1</v>
      </c>
      <c r="AD12" t="str">
        <f t="shared" si="7"/>
        <v>Oppose</v>
      </c>
      <c r="AE12" s="32">
        <f t="shared" si="8"/>
        <v>4</v>
      </c>
      <c r="AF12">
        <f>step3_validation[[#This Row],[AI_FAC2]]</f>
        <v>8</v>
      </c>
      <c r="AG12" t="str">
        <f t="shared" si="9"/>
        <v>Support</v>
      </c>
      <c r="AH12">
        <f>survey_responses[[#This Row],[So với trước đây, tôi thấy cách tính thuế và các bậc thuế trong phương án mới đơn giản, dễ hiểu và dễ thực hiện hơn. - HUMAN-FAC2]]</f>
        <v>7</v>
      </c>
      <c r="AI12" t="str">
        <f t="shared" si="10"/>
        <v>Neutral</v>
      </c>
      <c r="AJ12" s="32">
        <f t="shared" si="11"/>
        <v>1</v>
      </c>
      <c r="AK12">
        <f>step3_validation[[#This Row],[AI_TRU1]]</f>
        <v>6</v>
      </c>
      <c r="AL12" t="str">
        <f t="shared" si="12"/>
        <v>Neutral</v>
      </c>
      <c r="AM12">
        <f>survey_responses[[#This Row],[Tôi tin rằng Nhà nước, cơ quan thuế sẽ thực thi chính sách mới một cách khách quan, công tâm và đối xử bình đẳng với mọi người nộp thuế.  - HUMAN-TRU1]]</f>
        <v>1</v>
      </c>
      <c r="AN12" t="str">
        <f t="shared" si="13"/>
        <v>Oppose</v>
      </c>
      <c r="AO12" s="32">
        <f t="shared" si="14"/>
        <v>5</v>
      </c>
      <c r="AP12">
        <f>step3_validation[[#This Row],[AI_TRU2]]</f>
        <v>7</v>
      </c>
      <c r="AQ12" t="str">
        <f t="shared" si="15"/>
        <v>Neutral</v>
      </c>
      <c r="AR12">
        <f>survey_responses[[#This Row],[Tôi thấy mức thuế tôi phải đóng theo phương án mới là công bằng (người thu nhập như tôi đóng mức này là hợp lý). - HUMAN-TRU2]]</f>
        <v>5</v>
      </c>
      <c r="AS12" t="str">
        <f t="shared" si="16"/>
        <v>Neutral</v>
      </c>
      <c r="AT12" s="32">
        <f t="shared" si="17"/>
        <v>2</v>
      </c>
      <c r="AU12">
        <f>step3_validation[[#This Row],[AI_TRU3]]</f>
        <v>6</v>
      </c>
      <c r="AV12" t="str">
        <f t="shared" si="18"/>
        <v>Neutral</v>
      </c>
      <c r="AW12">
        <f>survey_responses[[#This Row],[Tôi tin tưởng số tiền thuế tôi đóng sẽ được Nhà nước sử dụng hiệu quả để cải thiện dịch vụ công (y tế, đường xá...). - HUMAN-TRU3]]</f>
        <v>1</v>
      </c>
      <c r="AX12" t="str">
        <f t="shared" si="19"/>
        <v>Oppose</v>
      </c>
      <c r="AY12" s="32">
        <f t="shared" si="20"/>
        <v>5</v>
      </c>
      <c r="AZ12">
        <f>step3_validation[[#This Row],[AI_TRU4]]</f>
        <v>5</v>
      </c>
      <c r="BA12" t="str">
        <f t="shared" si="21"/>
        <v>Neutral</v>
      </c>
      <c r="BB12">
        <f>survey_responses[[#This Row],[Tôi thấy Nhà nước đã giải thích rõ ràng, minh bạch về lý do và mục tiêu của việc sửa đổi thuế lần này. - HUMAN-TRU4]]</f>
        <v>8</v>
      </c>
      <c r="BC12" t="str">
        <f t="shared" si="22"/>
        <v>Support</v>
      </c>
      <c r="BD12" s="32">
        <f t="shared" si="23"/>
        <v>3</v>
      </c>
      <c r="BE12">
        <f>step3_validation[[#This Row],[AI_OUT1]]</f>
        <v>4</v>
      </c>
      <c r="BF12" t="str">
        <f t="shared" si="24"/>
        <v>Oppose</v>
      </c>
      <c r="BG12">
        <f>survey_responses[[#This Row],[Sau khi xem xét các quyền lợi và nghĩa vụ, bạn có ủng hộ và tuân thủ chính sách mới hiện nay? - HUMAN-OUT1]]</f>
        <v>6</v>
      </c>
      <c r="BH12" t="str">
        <f t="shared" si="25"/>
        <v>Neutral</v>
      </c>
      <c r="BI12" s="32">
        <f t="shared" si="26"/>
        <v>2</v>
      </c>
    </row>
    <row r="13" spans="1:61" x14ac:dyDescent="0.45">
      <c r="A13" s="30">
        <f>step3_validation[[#This Row],[Persona_ID]]</f>
        <v>12</v>
      </c>
      <c r="B13" s="31">
        <f>step3_validation[[#This Row],[Used_Seed]]</f>
        <v>2002</v>
      </c>
      <c r="C13" t="str">
        <f>step3_validation[[#This Row],[Gender]]</f>
        <v>Nữ</v>
      </c>
      <c r="D13" t="str">
        <f>survey_responses[[#This Row],[Giới tính của bạn:]]</f>
        <v>Nữ</v>
      </c>
      <c r="E13" t="str">
        <f>step3_validation[[#This Row],[Age_Group]]</f>
        <v>18 - 24</v>
      </c>
      <c r="F13" t="str">
        <f>survey_responses[[#This Row],[Độ tuổi của bạn:]]</f>
        <v>18 - 24</v>
      </c>
      <c r="G13" t="str">
        <f>step3_validation[[#This Row],[Region]]</f>
        <v>Thành thị</v>
      </c>
      <c r="H13" t="str">
        <f>survey_responses[[#This Row],[Khu vực bạn đang sinh sống:]]</f>
        <v>Thành thị</v>
      </c>
      <c r="I13" t="str">
        <f>step3_validation[[#This Row],[Education]]</f>
        <v>Đại học</v>
      </c>
      <c r="J13" t="str">
        <f>survey_responses[[#This Row],[Trình độ học vấn cao nhất:]]</f>
        <v>Đại học</v>
      </c>
      <c r="K13" t="str">
        <f>step3_validation[[#This Row],[Employment]]</f>
        <v>Chính thức</v>
      </c>
      <c r="L13" t="str">
        <f>survey_responses[[#This Row],[Tình trạng việc làm chính:]]</f>
        <v>Khu vực chính thức (Có Hợp đồng lao động, đóng BHXH)</v>
      </c>
      <c r="M13">
        <f>step3_validation[[#This Row],[Income_Mil]]</f>
        <v>12</v>
      </c>
      <c r="N13" t="str">
        <f>survey_responses[[#This Row],[Thu nhập bình quân tháng theo Hợp đồng lao động của bạn là bao nhiêu? (Vui lòng điền tổng thu nhập trước khi khấu trừ các loại Bảo hiểm (BHXH, BHYT, BHTN) và Thuế TNCN)]]</f>
        <v>Dưới 12 triệu VNĐ</v>
      </c>
      <c r="O13">
        <f>step3_validation[[#This Row],[Dependents]]</f>
        <v>0</v>
      </c>
      <c r="P13" t="str">
        <f>survey_responses[[#This Row],[Số người phụ thuộc (con nhỏ, cha mẹ già...) đủ điều kiện giảm trừ gia cảnh:]]</f>
        <v>0 người</v>
      </c>
      <c r="Q13">
        <f>step3_validation[[#This Row],[AI_ENF1]]</f>
        <v>7</v>
      </c>
      <c r="R13" t="str">
        <f t="shared" si="0"/>
        <v>Neutral</v>
      </c>
      <c r="S13">
        <f>survey_responses[[#This Row],[Tôi tin rằng với các quy định quản lý thuế hiện nay, hành vi gian lận hoặc trốn thuế sẽ dễ dàng bị phát hiện và xử lý nghiêm. - HUMAN-ENF1]]</f>
        <v>5</v>
      </c>
      <c r="T13" t="str">
        <f t="shared" si="1"/>
        <v>Neutral</v>
      </c>
      <c r="U13" s="32">
        <f t="shared" si="2"/>
        <v>2</v>
      </c>
      <c r="V13">
        <f>step3_validation[[#This Row],[AI_ENF2]]</f>
        <v>8</v>
      </c>
      <c r="W13" t="str">
        <f t="shared" si="3"/>
        <v>Support</v>
      </c>
      <c r="X13">
        <f>survey_responses[[#This Row],[Tôi tin rằng Nhà nước, cơ quan thuế có đủ khả năng và công nghệ để phát hiện, xử lý nghiêm các hành vi trốn thuế. - HUMAN-ENF2]]</f>
        <v>8</v>
      </c>
      <c r="Y13" t="str">
        <f t="shared" si="4"/>
        <v>Support</v>
      </c>
      <c r="Z13" s="32">
        <f t="shared" si="5"/>
        <v>0</v>
      </c>
      <c r="AA13">
        <f>step3_validation[[#This Row],[AI_FAC1]]</f>
        <v>6</v>
      </c>
      <c r="AB13" t="str">
        <f t="shared" si="6"/>
        <v>Neutral</v>
      </c>
      <c r="AC13">
        <f>survey_responses[[#This Row],[Các thủ tục khai báo thuế VÀ/HOẶC quy trình làm việc với cơ quan thuế đơn giản, tiện lợi, nhanh chóng hơn so với trước đây. - HUMAN-FAC1]]</f>
        <v>5</v>
      </c>
      <c r="AD13" t="str">
        <f t="shared" si="7"/>
        <v>Neutral</v>
      </c>
      <c r="AE13" s="32">
        <f t="shared" si="8"/>
        <v>1</v>
      </c>
      <c r="AF13">
        <f>step3_validation[[#This Row],[AI_FAC2]]</f>
        <v>7</v>
      </c>
      <c r="AG13" t="str">
        <f t="shared" si="9"/>
        <v>Neutral</v>
      </c>
      <c r="AH13">
        <f>survey_responses[[#This Row],[So với trước đây, tôi thấy cách tính thuế và các bậc thuế trong phương án mới đơn giản, dễ hiểu và dễ thực hiện hơn. - HUMAN-FAC2]]</f>
        <v>5</v>
      </c>
      <c r="AI13" t="str">
        <f t="shared" si="10"/>
        <v>Neutral</v>
      </c>
      <c r="AJ13" s="32">
        <f t="shared" si="11"/>
        <v>2</v>
      </c>
      <c r="AK13">
        <f>step3_validation[[#This Row],[AI_TRU1]]</f>
        <v>6</v>
      </c>
      <c r="AL13" t="str">
        <f t="shared" si="12"/>
        <v>Neutral</v>
      </c>
      <c r="AM13">
        <f>survey_responses[[#This Row],[Tôi tin rằng Nhà nước, cơ quan thuế sẽ thực thi chính sách mới một cách khách quan, công tâm và đối xử bình đẳng với mọi người nộp thuế.  - HUMAN-TRU1]]</f>
        <v>6</v>
      </c>
      <c r="AN13" t="str">
        <f t="shared" si="13"/>
        <v>Neutral</v>
      </c>
      <c r="AO13" s="32">
        <f t="shared" si="14"/>
        <v>0</v>
      </c>
      <c r="AP13">
        <f>step3_validation[[#This Row],[AI_TRU2]]</f>
        <v>7</v>
      </c>
      <c r="AQ13" t="str">
        <f t="shared" si="15"/>
        <v>Neutral</v>
      </c>
      <c r="AR13">
        <f>survey_responses[[#This Row],[Tôi thấy mức thuế tôi phải đóng theo phương án mới là công bằng (người thu nhập như tôi đóng mức này là hợp lý). - HUMAN-TRU2]]</f>
        <v>5</v>
      </c>
      <c r="AS13" t="str">
        <f t="shared" si="16"/>
        <v>Neutral</v>
      </c>
      <c r="AT13" s="32">
        <f t="shared" si="17"/>
        <v>2</v>
      </c>
      <c r="AU13">
        <f>step3_validation[[#This Row],[AI_TRU3]]</f>
        <v>6</v>
      </c>
      <c r="AV13" t="str">
        <f t="shared" si="18"/>
        <v>Neutral</v>
      </c>
      <c r="AW13">
        <f>survey_responses[[#This Row],[Tôi tin tưởng số tiền thuế tôi đóng sẽ được Nhà nước sử dụng hiệu quả để cải thiện dịch vụ công (y tế, đường xá...). - HUMAN-TRU3]]</f>
        <v>5</v>
      </c>
      <c r="AX13" t="str">
        <f t="shared" si="19"/>
        <v>Neutral</v>
      </c>
      <c r="AY13" s="32">
        <f t="shared" si="20"/>
        <v>1</v>
      </c>
      <c r="AZ13">
        <f>step3_validation[[#This Row],[AI_TRU4]]</f>
        <v>6</v>
      </c>
      <c r="BA13" t="str">
        <f t="shared" si="21"/>
        <v>Neutral</v>
      </c>
      <c r="BB13">
        <f>survey_responses[[#This Row],[Tôi thấy Nhà nước đã giải thích rõ ràng, minh bạch về lý do và mục tiêu của việc sửa đổi thuế lần này. - HUMAN-TRU4]]</f>
        <v>5</v>
      </c>
      <c r="BC13" t="str">
        <f t="shared" si="22"/>
        <v>Neutral</v>
      </c>
      <c r="BD13" s="32">
        <f t="shared" si="23"/>
        <v>1</v>
      </c>
      <c r="BE13">
        <f>step3_validation[[#This Row],[AI_OUT1]]</f>
        <v>6</v>
      </c>
      <c r="BF13" t="str">
        <f t="shared" si="24"/>
        <v>Neutral</v>
      </c>
      <c r="BG13">
        <f>survey_responses[[#This Row],[Sau khi xem xét các quyền lợi và nghĩa vụ, bạn có ủng hộ và tuân thủ chính sách mới hiện nay? - HUMAN-OUT1]]</f>
        <v>5</v>
      </c>
      <c r="BH13" t="str">
        <f t="shared" si="25"/>
        <v>Neutral</v>
      </c>
      <c r="BI13" s="32">
        <f t="shared" si="26"/>
        <v>1</v>
      </c>
    </row>
    <row r="14" spans="1:61" x14ac:dyDescent="0.45">
      <c r="A14" s="30">
        <f>step3_validation[[#This Row],[Persona_ID]]</f>
        <v>13</v>
      </c>
      <c r="B14" s="31">
        <f>step3_validation[[#This Row],[Used_Seed]]</f>
        <v>2003</v>
      </c>
      <c r="C14" t="str">
        <f>step3_validation[[#This Row],[Gender]]</f>
        <v>Nữ</v>
      </c>
      <c r="D14" t="str">
        <f>survey_responses[[#This Row],[Giới tính của bạn:]]</f>
        <v>Nữ</v>
      </c>
      <c r="E14" t="str">
        <f>step3_validation[[#This Row],[Age_Group]]</f>
        <v>18 - 24</v>
      </c>
      <c r="F14" t="str">
        <f>survey_responses[[#This Row],[Độ tuổi của bạn:]]</f>
        <v>18 - 24</v>
      </c>
      <c r="G14" t="str">
        <f>step3_validation[[#This Row],[Region]]</f>
        <v>Thành thị</v>
      </c>
      <c r="H14" t="str">
        <f>survey_responses[[#This Row],[Khu vực bạn đang sinh sống:]]</f>
        <v>Thành thị</v>
      </c>
      <c r="I14" t="str">
        <f>step3_validation[[#This Row],[Education]]</f>
        <v>Đại học</v>
      </c>
      <c r="J14" t="str">
        <f>survey_responses[[#This Row],[Trình độ học vấn cao nhất:]]</f>
        <v>Đại học</v>
      </c>
      <c r="K14" t="str">
        <f>step3_validation[[#This Row],[Employment]]</f>
        <v>Chính thức</v>
      </c>
      <c r="L14" t="str">
        <f>survey_responses[[#This Row],[Tình trạng việc làm chính:]]</f>
        <v>Khu vực chính thức (Có Hợp đồng lao động, đóng BHXH)</v>
      </c>
      <c r="M14">
        <f>step3_validation[[#This Row],[Income_Mil]]</f>
        <v>12</v>
      </c>
      <c r="N14" t="str">
        <f>survey_responses[[#This Row],[Thu nhập bình quân tháng theo Hợp đồng lao động của bạn là bao nhiêu? (Vui lòng điền tổng thu nhập trước khi khấu trừ các loại Bảo hiểm (BHXH, BHYT, BHTN) và Thuế TNCN)]]</f>
        <v>Dưới 12 triệu VNĐ</v>
      </c>
      <c r="O14">
        <f>step3_validation[[#This Row],[Dependents]]</f>
        <v>0</v>
      </c>
      <c r="P14" t="str">
        <f>survey_responses[[#This Row],[Số người phụ thuộc (con nhỏ, cha mẹ già...) đủ điều kiện giảm trừ gia cảnh:]]</f>
        <v>0 người</v>
      </c>
      <c r="Q14">
        <f>step3_validation[[#This Row],[AI_ENF1]]</f>
        <v>8</v>
      </c>
      <c r="R14" t="str">
        <f t="shared" si="0"/>
        <v>Support</v>
      </c>
      <c r="S14">
        <f>survey_responses[[#This Row],[Tôi tin rằng với các quy định quản lý thuế hiện nay, hành vi gian lận hoặc trốn thuế sẽ dễ dàng bị phát hiện và xử lý nghiêm. - HUMAN-ENF1]]</f>
        <v>8</v>
      </c>
      <c r="T14" t="str">
        <f t="shared" si="1"/>
        <v>Support</v>
      </c>
      <c r="U14" s="32">
        <f t="shared" si="2"/>
        <v>0</v>
      </c>
      <c r="V14">
        <f>step3_validation[[#This Row],[AI_ENF2]]</f>
        <v>9</v>
      </c>
      <c r="W14" t="str">
        <f t="shared" si="3"/>
        <v>Support</v>
      </c>
      <c r="X14">
        <f>survey_responses[[#This Row],[Tôi tin rằng Nhà nước, cơ quan thuế có đủ khả năng và công nghệ để phát hiện, xử lý nghiêm các hành vi trốn thuế. - HUMAN-ENF2]]</f>
        <v>7</v>
      </c>
      <c r="Y14" t="str">
        <f t="shared" si="4"/>
        <v>Neutral</v>
      </c>
      <c r="Z14" s="32">
        <f t="shared" si="5"/>
        <v>2</v>
      </c>
      <c r="AA14">
        <f>step3_validation[[#This Row],[AI_FAC1]]</f>
        <v>7</v>
      </c>
      <c r="AB14" t="str">
        <f t="shared" si="6"/>
        <v>Neutral</v>
      </c>
      <c r="AC14">
        <f>survey_responses[[#This Row],[Các thủ tục khai báo thuế VÀ/HOẶC quy trình làm việc với cơ quan thuế đơn giản, tiện lợi, nhanh chóng hơn so với trước đây. - HUMAN-FAC1]]</f>
        <v>7</v>
      </c>
      <c r="AD14" t="str">
        <f t="shared" si="7"/>
        <v>Neutral</v>
      </c>
      <c r="AE14" s="32">
        <f t="shared" si="8"/>
        <v>0</v>
      </c>
      <c r="AF14">
        <f>step3_validation[[#This Row],[AI_FAC2]]</f>
        <v>8</v>
      </c>
      <c r="AG14" t="str">
        <f t="shared" si="9"/>
        <v>Support</v>
      </c>
      <c r="AH14">
        <f>survey_responses[[#This Row],[So với trước đây, tôi thấy cách tính thuế và các bậc thuế trong phương án mới đơn giản, dễ hiểu và dễ thực hiện hơn. - HUMAN-FAC2]]</f>
        <v>7</v>
      </c>
      <c r="AI14" t="str">
        <f t="shared" si="10"/>
        <v>Neutral</v>
      </c>
      <c r="AJ14" s="32">
        <f t="shared" si="11"/>
        <v>1</v>
      </c>
      <c r="AK14">
        <f>step3_validation[[#This Row],[AI_TRU1]]</f>
        <v>6</v>
      </c>
      <c r="AL14" t="str">
        <f t="shared" si="12"/>
        <v>Neutral</v>
      </c>
      <c r="AM14">
        <f>survey_responses[[#This Row],[Tôi tin rằng Nhà nước, cơ quan thuế sẽ thực thi chính sách mới một cách khách quan, công tâm và đối xử bình đẳng với mọi người nộp thuế.  - HUMAN-TRU1]]</f>
        <v>7</v>
      </c>
      <c r="AN14" t="str">
        <f t="shared" si="13"/>
        <v>Neutral</v>
      </c>
      <c r="AO14" s="32">
        <f t="shared" si="14"/>
        <v>1</v>
      </c>
      <c r="AP14">
        <f>step3_validation[[#This Row],[AI_TRU2]]</f>
        <v>7</v>
      </c>
      <c r="AQ14" t="str">
        <f t="shared" si="15"/>
        <v>Neutral</v>
      </c>
      <c r="AR14">
        <f>survey_responses[[#This Row],[Tôi thấy mức thuế tôi phải đóng theo phương án mới là công bằng (người thu nhập như tôi đóng mức này là hợp lý). - HUMAN-TRU2]]</f>
        <v>8</v>
      </c>
      <c r="AS14" t="str">
        <f t="shared" si="16"/>
        <v>Support</v>
      </c>
      <c r="AT14" s="32">
        <f t="shared" si="17"/>
        <v>1</v>
      </c>
      <c r="AU14">
        <f>step3_validation[[#This Row],[AI_TRU3]]</f>
        <v>6</v>
      </c>
      <c r="AV14" t="str">
        <f t="shared" si="18"/>
        <v>Neutral</v>
      </c>
      <c r="AW14">
        <f>survey_responses[[#This Row],[Tôi tin tưởng số tiền thuế tôi đóng sẽ được Nhà nước sử dụng hiệu quả để cải thiện dịch vụ công (y tế, đường xá...). - HUMAN-TRU3]]</f>
        <v>7</v>
      </c>
      <c r="AX14" t="str">
        <f t="shared" si="19"/>
        <v>Neutral</v>
      </c>
      <c r="AY14" s="32">
        <f t="shared" si="20"/>
        <v>1</v>
      </c>
      <c r="AZ14">
        <f>step3_validation[[#This Row],[AI_TRU4]]</f>
        <v>8</v>
      </c>
      <c r="BA14" t="str">
        <f t="shared" si="21"/>
        <v>Support</v>
      </c>
      <c r="BB14">
        <f>survey_responses[[#This Row],[Tôi thấy Nhà nước đã giải thích rõ ràng, minh bạch về lý do và mục tiêu của việc sửa đổi thuế lần này. - HUMAN-TRU4]]</f>
        <v>7</v>
      </c>
      <c r="BC14" t="str">
        <f t="shared" si="22"/>
        <v>Neutral</v>
      </c>
      <c r="BD14" s="32">
        <f t="shared" si="23"/>
        <v>1</v>
      </c>
      <c r="BE14">
        <f>step3_validation[[#This Row],[AI_OUT1]]</f>
        <v>7</v>
      </c>
      <c r="BF14" t="str">
        <f t="shared" si="24"/>
        <v>Neutral</v>
      </c>
      <c r="BG14">
        <f>survey_responses[[#This Row],[Sau khi xem xét các quyền lợi và nghĩa vụ, bạn có ủng hộ và tuân thủ chính sách mới hiện nay? - HUMAN-OUT1]]</f>
        <v>7</v>
      </c>
      <c r="BH14" t="str">
        <f t="shared" si="25"/>
        <v>Neutral</v>
      </c>
      <c r="BI14" s="32">
        <f t="shared" si="26"/>
        <v>0</v>
      </c>
    </row>
    <row r="15" spans="1:61" x14ac:dyDescent="0.45">
      <c r="A15" s="30">
        <f>step3_validation[[#This Row],[Persona_ID]]</f>
        <v>14</v>
      </c>
      <c r="B15" s="31">
        <f>step3_validation[[#This Row],[Used_Seed]]</f>
        <v>2004</v>
      </c>
      <c r="C15" t="str">
        <f>step3_validation[[#This Row],[Gender]]</f>
        <v>Nữ</v>
      </c>
      <c r="D15" t="str">
        <f>survey_responses[[#This Row],[Giới tính của bạn:]]</f>
        <v>Nữ</v>
      </c>
      <c r="E15" t="str">
        <f>step3_validation[[#This Row],[Age_Group]]</f>
        <v>30 - 39</v>
      </c>
      <c r="F15" t="str">
        <f>survey_responses[[#This Row],[Độ tuổi của bạn:]]</f>
        <v>30 - 39</v>
      </c>
      <c r="G15" t="str">
        <f>step3_validation[[#This Row],[Region]]</f>
        <v>Thành thị</v>
      </c>
      <c r="H15" t="str">
        <f>survey_responses[[#This Row],[Khu vực bạn đang sinh sống:]]</f>
        <v>Thành thị</v>
      </c>
      <c r="I15" t="str">
        <f>step3_validation[[#This Row],[Education]]</f>
        <v>Sau Đại học</v>
      </c>
      <c r="J15" t="str">
        <f>survey_responses[[#This Row],[Trình độ học vấn cao nhất:]]</f>
        <v>Sau Đại học</v>
      </c>
      <c r="K15" t="str">
        <f>step3_validation[[#This Row],[Employment]]</f>
        <v>Chính thức</v>
      </c>
      <c r="L15" t="str">
        <f>survey_responses[[#This Row],[Tình trạng việc làm chính:]]</f>
        <v>Khu vực chính thức (Có Hợp đồng lao động, đóng BHXH)</v>
      </c>
      <c r="M15">
        <f>step3_validation[[#This Row],[Income_Mil]]</f>
        <v>20.560812066039318</v>
      </c>
      <c r="N15" t="str">
        <f>survey_responses[[#This Row],[Thu nhập bình quân tháng theo Hợp đồng lao động của bạn là bao nhiêu? (Vui lòng điền tổng thu nhập trước khi khấu trừ các loại Bảo hiểm (BHXH, BHYT, BHTN) và Thuế TNCN)]]</f>
        <v>Từ 18 - 23 triệu VNĐ</v>
      </c>
      <c r="O15">
        <f>step3_validation[[#This Row],[Dependents]]</f>
        <v>0</v>
      </c>
      <c r="P15" t="str">
        <f>survey_responses[[#This Row],[Số người phụ thuộc (con nhỏ, cha mẹ già...) đủ điều kiện giảm trừ gia cảnh:]]</f>
        <v>0 người</v>
      </c>
      <c r="Q15">
        <f>step3_validation[[#This Row],[AI_ENF1]]</f>
        <v>8</v>
      </c>
      <c r="R15" t="str">
        <f t="shared" si="0"/>
        <v>Support</v>
      </c>
      <c r="S15">
        <f>survey_responses[[#This Row],[Tôi tin rằng với các quy định quản lý thuế hiện nay, hành vi gian lận hoặc trốn thuế sẽ dễ dàng bị phát hiện và xử lý nghiêm. - HUMAN-ENF1]]</f>
        <v>10</v>
      </c>
      <c r="T15" t="str">
        <f t="shared" si="1"/>
        <v>Support</v>
      </c>
      <c r="U15" s="32">
        <f t="shared" si="2"/>
        <v>2</v>
      </c>
      <c r="V15">
        <f>step3_validation[[#This Row],[AI_ENF2]]</f>
        <v>7</v>
      </c>
      <c r="W15" t="str">
        <f t="shared" si="3"/>
        <v>Neutral</v>
      </c>
      <c r="X15">
        <f>survey_responses[[#This Row],[Tôi tin rằng Nhà nước, cơ quan thuế có đủ khả năng và công nghệ để phát hiện, xử lý nghiêm các hành vi trốn thuế. - HUMAN-ENF2]]</f>
        <v>10</v>
      </c>
      <c r="Y15" t="str">
        <f t="shared" si="4"/>
        <v>Support</v>
      </c>
      <c r="Z15" s="32">
        <f t="shared" si="5"/>
        <v>3</v>
      </c>
      <c r="AA15">
        <f>step3_validation[[#This Row],[AI_FAC1]]</f>
        <v>6</v>
      </c>
      <c r="AB15" t="str">
        <f t="shared" si="6"/>
        <v>Neutral</v>
      </c>
      <c r="AC15">
        <f>survey_responses[[#This Row],[Các thủ tục khai báo thuế VÀ/HOẶC quy trình làm việc với cơ quan thuế đơn giản, tiện lợi, nhanh chóng hơn so với trước đây. - HUMAN-FAC1]]</f>
        <v>8</v>
      </c>
      <c r="AD15" t="str">
        <f t="shared" si="7"/>
        <v>Support</v>
      </c>
      <c r="AE15" s="32">
        <f t="shared" si="8"/>
        <v>2</v>
      </c>
      <c r="AF15">
        <f>step3_validation[[#This Row],[AI_FAC2]]</f>
        <v>6</v>
      </c>
      <c r="AG15" t="str">
        <f t="shared" si="9"/>
        <v>Neutral</v>
      </c>
      <c r="AH15">
        <f>survey_responses[[#This Row],[So với trước đây, tôi thấy cách tính thuế và các bậc thuế trong phương án mới đơn giản, dễ hiểu và dễ thực hiện hơn. - HUMAN-FAC2]]</f>
        <v>8</v>
      </c>
      <c r="AI15" t="str">
        <f t="shared" si="10"/>
        <v>Support</v>
      </c>
      <c r="AJ15" s="32">
        <f t="shared" si="11"/>
        <v>2</v>
      </c>
      <c r="AK15">
        <f>step3_validation[[#This Row],[AI_TRU1]]</f>
        <v>7</v>
      </c>
      <c r="AL15" t="str">
        <f t="shared" si="12"/>
        <v>Neutral</v>
      </c>
      <c r="AM15">
        <f>survey_responses[[#This Row],[Tôi tin rằng Nhà nước, cơ quan thuế sẽ thực thi chính sách mới một cách khách quan, công tâm và đối xử bình đẳng với mọi người nộp thuế.  - HUMAN-TRU1]]</f>
        <v>8</v>
      </c>
      <c r="AN15" t="str">
        <f t="shared" si="13"/>
        <v>Support</v>
      </c>
      <c r="AO15" s="32">
        <f t="shared" si="14"/>
        <v>1</v>
      </c>
      <c r="AP15">
        <f>step3_validation[[#This Row],[AI_TRU2]]</f>
        <v>6</v>
      </c>
      <c r="AQ15" t="str">
        <f t="shared" si="15"/>
        <v>Neutral</v>
      </c>
      <c r="AR15">
        <f>survey_responses[[#This Row],[Tôi thấy mức thuế tôi phải đóng theo phương án mới là công bằng (người thu nhập như tôi đóng mức này là hợp lý). - HUMAN-TRU2]]</f>
        <v>6</v>
      </c>
      <c r="AS15" t="str">
        <f t="shared" si="16"/>
        <v>Neutral</v>
      </c>
      <c r="AT15" s="32">
        <f t="shared" si="17"/>
        <v>0</v>
      </c>
      <c r="AU15">
        <f>step3_validation[[#This Row],[AI_TRU3]]</f>
        <v>5</v>
      </c>
      <c r="AV15" t="str">
        <f t="shared" si="18"/>
        <v>Neutral</v>
      </c>
      <c r="AW15">
        <f>survey_responses[[#This Row],[Tôi tin tưởng số tiền thuế tôi đóng sẽ được Nhà nước sử dụng hiệu quả để cải thiện dịch vụ công (y tế, đường xá...). - HUMAN-TRU3]]</f>
        <v>6</v>
      </c>
      <c r="AX15" t="str">
        <f t="shared" si="19"/>
        <v>Neutral</v>
      </c>
      <c r="AY15" s="32">
        <f t="shared" si="20"/>
        <v>1</v>
      </c>
      <c r="AZ15">
        <f>step3_validation[[#This Row],[AI_TRU4]]</f>
        <v>6</v>
      </c>
      <c r="BA15" t="str">
        <f t="shared" si="21"/>
        <v>Neutral</v>
      </c>
      <c r="BB15">
        <f>survey_responses[[#This Row],[Tôi thấy Nhà nước đã giải thích rõ ràng, minh bạch về lý do và mục tiêu của việc sửa đổi thuế lần này. - HUMAN-TRU4]]</f>
        <v>5</v>
      </c>
      <c r="BC15" t="str">
        <f t="shared" si="22"/>
        <v>Neutral</v>
      </c>
      <c r="BD15" s="32">
        <f t="shared" si="23"/>
        <v>1</v>
      </c>
      <c r="BE15">
        <f>step3_validation[[#This Row],[AI_OUT1]]</f>
        <v>7</v>
      </c>
      <c r="BF15" t="str">
        <f t="shared" si="24"/>
        <v>Neutral</v>
      </c>
      <c r="BG15">
        <f>survey_responses[[#This Row],[Sau khi xem xét các quyền lợi và nghĩa vụ, bạn có ủng hộ và tuân thủ chính sách mới hiện nay? - HUMAN-OUT1]]</f>
        <v>5</v>
      </c>
      <c r="BH15" t="str">
        <f t="shared" si="25"/>
        <v>Neutral</v>
      </c>
      <c r="BI15" s="32">
        <f t="shared" si="26"/>
        <v>2</v>
      </c>
    </row>
    <row r="16" spans="1:61" x14ac:dyDescent="0.45">
      <c r="A16" s="30">
        <f>step3_validation[[#This Row],[Persona_ID]]</f>
        <v>15</v>
      </c>
      <c r="B16" s="31">
        <f>step3_validation[[#This Row],[Used_Seed]]</f>
        <v>2005</v>
      </c>
      <c r="C16" t="str">
        <f>step3_validation[[#This Row],[Gender]]</f>
        <v>Nam</v>
      </c>
      <c r="D16" t="str">
        <f>survey_responses[[#This Row],[Giới tính của bạn:]]</f>
        <v>Nam</v>
      </c>
      <c r="E16" t="str">
        <f>step3_validation[[#This Row],[Age_Group]]</f>
        <v>30 - 39</v>
      </c>
      <c r="F16" t="str">
        <f>survey_responses[[#This Row],[Độ tuổi của bạn:]]</f>
        <v>30 - 39</v>
      </c>
      <c r="G16" t="str">
        <f>step3_validation[[#This Row],[Region]]</f>
        <v>Thành thị</v>
      </c>
      <c r="H16" t="str">
        <f>survey_responses[[#This Row],[Khu vực bạn đang sinh sống:]]</f>
        <v>Thành thị</v>
      </c>
      <c r="I16" t="str">
        <f>step3_validation[[#This Row],[Education]]</f>
        <v>Sau Đại học</v>
      </c>
      <c r="J16" t="str">
        <f>survey_responses[[#This Row],[Trình độ học vấn cao nhất:]]</f>
        <v>Sau Đại học</v>
      </c>
      <c r="K16" t="str">
        <f>step3_validation[[#This Row],[Employment]]</f>
        <v>Chính thức</v>
      </c>
      <c r="L16" t="str">
        <f>survey_responses[[#This Row],[Tình trạng việc làm chính:]]</f>
        <v>Khu vực chính thức (Có Hợp đồng lao động, đóng BHXH)</v>
      </c>
      <c r="M16">
        <f>step3_validation[[#This Row],[Income_Mil]]</f>
        <v>42.766205033209218</v>
      </c>
      <c r="N16" t="str">
        <f>survey_responses[[#This Row],[Thu nhập bình quân tháng theo Hợp đồng lao động của bạn là bao nhiêu? (Vui lòng điền tổng thu nhập trước khi khấu trừ các loại Bảo hiểm (BHXH, BHYT, BHTN) và Thuế TNCN)]]</f>
        <v>Từ 32 - 48 triệu VNĐ</v>
      </c>
      <c r="O16">
        <f>step3_validation[[#This Row],[Dependents]]</f>
        <v>2</v>
      </c>
      <c r="P16" t="str">
        <f>survey_responses[[#This Row],[Số người phụ thuộc (con nhỏ, cha mẹ già...) đủ điều kiện giảm trừ gia cảnh:]]</f>
        <v>2 người</v>
      </c>
      <c r="Q16">
        <f>step3_validation[[#This Row],[AI_ENF1]]</f>
        <v>8</v>
      </c>
      <c r="R16" t="str">
        <f t="shared" si="0"/>
        <v>Support</v>
      </c>
      <c r="S16">
        <f>survey_responses[[#This Row],[Tôi tin rằng với các quy định quản lý thuế hiện nay, hành vi gian lận hoặc trốn thuế sẽ dễ dàng bị phát hiện và xử lý nghiêm. - HUMAN-ENF1]]</f>
        <v>7</v>
      </c>
      <c r="T16" t="str">
        <f t="shared" si="1"/>
        <v>Neutral</v>
      </c>
      <c r="U16" s="32">
        <f t="shared" si="2"/>
        <v>1</v>
      </c>
      <c r="V16">
        <f>step3_validation[[#This Row],[AI_ENF2]]</f>
        <v>7</v>
      </c>
      <c r="W16" t="str">
        <f t="shared" si="3"/>
        <v>Neutral</v>
      </c>
      <c r="X16">
        <f>survey_responses[[#This Row],[Tôi tin rằng Nhà nước, cơ quan thuế có đủ khả năng và công nghệ để phát hiện, xử lý nghiêm các hành vi trốn thuế. - HUMAN-ENF2]]</f>
        <v>9</v>
      </c>
      <c r="Y16" t="str">
        <f t="shared" si="4"/>
        <v>Support</v>
      </c>
      <c r="Z16" s="32">
        <f t="shared" si="5"/>
        <v>2</v>
      </c>
      <c r="AA16">
        <f>step3_validation[[#This Row],[AI_FAC1]]</f>
        <v>9</v>
      </c>
      <c r="AB16" t="str">
        <f t="shared" si="6"/>
        <v>Support</v>
      </c>
      <c r="AC16">
        <f>survey_responses[[#This Row],[Các thủ tục khai báo thuế VÀ/HOẶC quy trình làm việc với cơ quan thuế đơn giản, tiện lợi, nhanh chóng hơn so với trước đây. - HUMAN-FAC1]]</f>
        <v>3</v>
      </c>
      <c r="AD16" t="str">
        <f t="shared" si="7"/>
        <v>Oppose</v>
      </c>
      <c r="AE16" s="32">
        <f t="shared" si="8"/>
        <v>6</v>
      </c>
      <c r="AF16">
        <f>step3_validation[[#This Row],[AI_FAC2]]</f>
        <v>7</v>
      </c>
      <c r="AG16" t="str">
        <f t="shared" si="9"/>
        <v>Neutral</v>
      </c>
      <c r="AH16">
        <f>survey_responses[[#This Row],[So với trước đây, tôi thấy cách tính thuế và các bậc thuế trong phương án mới đơn giản, dễ hiểu và dễ thực hiện hơn. - HUMAN-FAC2]]</f>
        <v>6</v>
      </c>
      <c r="AI16" t="str">
        <f t="shared" si="10"/>
        <v>Neutral</v>
      </c>
      <c r="AJ16" s="32">
        <f t="shared" si="11"/>
        <v>1</v>
      </c>
      <c r="AK16">
        <f>step3_validation[[#This Row],[AI_TRU1]]</f>
        <v>8</v>
      </c>
      <c r="AL16" t="str">
        <f t="shared" si="12"/>
        <v>Support</v>
      </c>
      <c r="AM16">
        <f>survey_responses[[#This Row],[Tôi tin rằng Nhà nước, cơ quan thuế sẽ thực thi chính sách mới một cách khách quan, công tâm và đối xử bình đẳng với mọi người nộp thuế.  - HUMAN-TRU1]]</f>
        <v>1</v>
      </c>
      <c r="AN16" t="str">
        <f t="shared" si="13"/>
        <v>Oppose</v>
      </c>
      <c r="AO16" s="32">
        <f t="shared" si="14"/>
        <v>7</v>
      </c>
      <c r="AP16">
        <f>step3_validation[[#This Row],[AI_TRU2]]</f>
        <v>6</v>
      </c>
      <c r="AQ16" t="str">
        <f t="shared" si="15"/>
        <v>Neutral</v>
      </c>
      <c r="AR16">
        <f>survey_responses[[#This Row],[Tôi thấy mức thuế tôi phải đóng theo phương án mới là công bằng (người thu nhập như tôi đóng mức này là hợp lý). - HUMAN-TRU2]]</f>
        <v>1</v>
      </c>
      <c r="AS16" t="str">
        <f t="shared" si="16"/>
        <v>Oppose</v>
      </c>
      <c r="AT16" s="32">
        <f t="shared" si="17"/>
        <v>5</v>
      </c>
      <c r="AU16">
        <f>step3_validation[[#This Row],[AI_TRU3]]</f>
        <v>7</v>
      </c>
      <c r="AV16" t="str">
        <f t="shared" si="18"/>
        <v>Neutral</v>
      </c>
      <c r="AW16">
        <f>survey_responses[[#This Row],[Tôi tin tưởng số tiền thuế tôi đóng sẽ được Nhà nước sử dụng hiệu quả để cải thiện dịch vụ công (y tế, đường xá...). - HUMAN-TRU3]]</f>
        <v>1</v>
      </c>
      <c r="AX16" t="str">
        <f t="shared" si="19"/>
        <v>Oppose</v>
      </c>
      <c r="AY16" s="32">
        <f t="shared" si="20"/>
        <v>6</v>
      </c>
      <c r="AZ16">
        <f>step3_validation[[#This Row],[AI_TRU4]]</f>
        <v>6</v>
      </c>
      <c r="BA16" t="str">
        <f t="shared" si="21"/>
        <v>Neutral</v>
      </c>
      <c r="BB16">
        <f>survey_responses[[#This Row],[Tôi thấy Nhà nước đã giải thích rõ ràng, minh bạch về lý do và mục tiêu của việc sửa đổi thuế lần này. - HUMAN-TRU4]]</f>
        <v>1</v>
      </c>
      <c r="BC16" t="str">
        <f t="shared" si="22"/>
        <v>Oppose</v>
      </c>
      <c r="BD16" s="32">
        <f t="shared" si="23"/>
        <v>5</v>
      </c>
      <c r="BE16">
        <f>step3_validation[[#This Row],[AI_OUT1]]</f>
        <v>7</v>
      </c>
      <c r="BF16" t="str">
        <f t="shared" si="24"/>
        <v>Neutral</v>
      </c>
      <c r="BG16">
        <f>survey_responses[[#This Row],[Sau khi xem xét các quyền lợi và nghĩa vụ, bạn có ủng hộ và tuân thủ chính sách mới hiện nay? - HUMAN-OUT1]]</f>
        <v>1</v>
      </c>
      <c r="BH16" t="str">
        <f t="shared" si="25"/>
        <v>Oppose</v>
      </c>
      <c r="BI16" s="32">
        <f t="shared" si="26"/>
        <v>6</v>
      </c>
    </row>
    <row r="17" spans="1:61" x14ac:dyDescent="0.45">
      <c r="A17" s="30">
        <f>step3_validation[[#This Row],[Persona_ID]]</f>
        <v>16</v>
      </c>
      <c r="B17" s="31">
        <f>step3_validation[[#This Row],[Used_Seed]]</f>
        <v>2006</v>
      </c>
      <c r="C17" t="str">
        <f>step3_validation[[#This Row],[Gender]]</f>
        <v>Nam</v>
      </c>
      <c r="D17" t="str">
        <f>survey_responses[[#This Row],[Giới tính của bạn:]]</f>
        <v>Nam</v>
      </c>
      <c r="E17" t="str">
        <f>step3_validation[[#This Row],[Age_Group]]</f>
        <v>40 - 49</v>
      </c>
      <c r="F17" t="str">
        <f>survey_responses[[#This Row],[Độ tuổi của bạn:]]</f>
        <v>40 - 49</v>
      </c>
      <c r="G17" t="str">
        <f>step3_validation[[#This Row],[Region]]</f>
        <v>Thành thị</v>
      </c>
      <c r="H17" t="str">
        <f>survey_responses[[#This Row],[Khu vực bạn đang sinh sống:]]</f>
        <v>Thành thị</v>
      </c>
      <c r="I17" t="str">
        <f>step3_validation[[#This Row],[Education]]</f>
        <v>Sau Đại học</v>
      </c>
      <c r="J17" t="str">
        <f>survey_responses[[#This Row],[Trình độ học vấn cao nhất:]]</f>
        <v>Sau Đại học</v>
      </c>
      <c r="K17" t="str">
        <f>step3_validation[[#This Row],[Employment]]</f>
        <v>Chính thức</v>
      </c>
      <c r="L17" t="str">
        <f>survey_responses[[#This Row],[Tình trạng việc làm chính:]]</f>
        <v>Khu vực chính thức (Có Hợp đồng lao động, đóng BHXH)</v>
      </c>
      <c r="M17">
        <f>step3_validation[[#This Row],[Income_Mil]]</f>
        <v>97.031267340930881</v>
      </c>
      <c r="N17" t="str">
        <f>survey_responses[[#This Row],[Thu nhập bình quân tháng theo Hợp đồng lao động của bạn là bao nhiêu? (Vui lòng điền tổng thu nhập trước khi khấu trừ các loại Bảo hiểm (BHXH, BHYT, BHTN) và Thuế TNCN)]]</f>
        <v>Từ 70 - 102 triệu VNĐ</v>
      </c>
      <c r="O17">
        <f>step3_validation[[#This Row],[Dependents]]</f>
        <v>4</v>
      </c>
      <c r="P17" t="str">
        <f>survey_responses[[#This Row],[Số người phụ thuộc (con nhỏ, cha mẹ già...) đủ điều kiện giảm trừ gia cảnh:]]</f>
        <v>4 người trở lên</v>
      </c>
      <c r="Q17">
        <f>step3_validation[[#This Row],[AI_ENF1]]</f>
        <v>6</v>
      </c>
      <c r="R17" t="str">
        <f t="shared" si="0"/>
        <v>Neutral</v>
      </c>
      <c r="S17">
        <f>survey_responses[[#This Row],[Tôi tin rằng với các quy định quản lý thuế hiện nay, hành vi gian lận hoặc trốn thuế sẽ dễ dàng bị phát hiện và xử lý nghiêm. - HUMAN-ENF1]]</f>
        <v>8</v>
      </c>
      <c r="T17" t="str">
        <f t="shared" si="1"/>
        <v>Support</v>
      </c>
      <c r="U17" s="32">
        <f t="shared" si="2"/>
        <v>2</v>
      </c>
      <c r="V17">
        <f>step3_validation[[#This Row],[AI_ENF2]]</f>
        <v>7</v>
      </c>
      <c r="W17" t="str">
        <f t="shared" si="3"/>
        <v>Neutral</v>
      </c>
      <c r="X17">
        <f>survey_responses[[#This Row],[Tôi tin rằng Nhà nước, cơ quan thuế có đủ khả năng và công nghệ để phát hiện, xử lý nghiêm các hành vi trốn thuế. - HUMAN-ENF2]]</f>
        <v>8</v>
      </c>
      <c r="Y17" t="str">
        <f t="shared" si="4"/>
        <v>Support</v>
      </c>
      <c r="Z17" s="32">
        <f t="shared" si="5"/>
        <v>1</v>
      </c>
      <c r="AA17">
        <f>step3_validation[[#This Row],[AI_FAC1]]</f>
        <v>5</v>
      </c>
      <c r="AB17" t="str">
        <f t="shared" si="6"/>
        <v>Neutral</v>
      </c>
      <c r="AC17">
        <f>survey_responses[[#This Row],[Các thủ tục khai báo thuế VÀ/HOẶC quy trình làm việc với cơ quan thuế đơn giản, tiện lợi, nhanh chóng hơn so với trước đây. - HUMAN-FAC1]]</f>
        <v>8</v>
      </c>
      <c r="AD17" t="str">
        <f t="shared" si="7"/>
        <v>Support</v>
      </c>
      <c r="AE17" s="32">
        <f t="shared" si="8"/>
        <v>3</v>
      </c>
      <c r="AF17">
        <f>step3_validation[[#This Row],[AI_FAC2]]</f>
        <v>8</v>
      </c>
      <c r="AG17" t="str">
        <f t="shared" si="9"/>
        <v>Support</v>
      </c>
      <c r="AH17">
        <f>survey_responses[[#This Row],[So với trước đây, tôi thấy cách tính thuế và các bậc thuế trong phương án mới đơn giản, dễ hiểu và dễ thực hiện hơn. - HUMAN-FAC2]]</f>
        <v>9</v>
      </c>
      <c r="AI17" t="str">
        <f t="shared" si="10"/>
        <v>Support</v>
      </c>
      <c r="AJ17" s="32">
        <f t="shared" si="11"/>
        <v>1</v>
      </c>
      <c r="AK17">
        <f>step3_validation[[#This Row],[AI_TRU1]]</f>
        <v>4</v>
      </c>
      <c r="AL17" t="str">
        <f t="shared" si="12"/>
        <v>Oppose</v>
      </c>
      <c r="AM17">
        <f>survey_responses[[#This Row],[Tôi tin rằng Nhà nước, cơ quan thuế sẽ thực thi chính sách mới một cách khách quan, công tâm và đối xử bình đẳng với mọi người nộp thuế.  - HUMAN-TRU1]]</f>
        <v>7</v>
      </c>
      <c r="AN17" t="str">
        <f t="shared" si="13"/>
        <v>Neutral</v>
      </c>
      <c r="AO17" s="32">
        <f t="shared" si="14"/>
        <v>3</v>
      </c>
      <c r="AP17">
        <f>step3_validation[[#This Row],[AI_TRU2]]</f>
        <v>6</v>
      </c>
      <c r="AQ17" t="str">
        <f t="shared" si="15"/>
        <v>Neutral</v>
      </c>
      <c r="AR17">
        <f>survey_responses[[#This Row],[Tôi thấy mức thuế tôi phải đóng theo phương án mới là công bằng (người thu nhập như tôi đóng mức này là hợp lý). - HUMAN-TRU2]]</f>
        <v>7</v>
      </c>
      <c r="AS17" t="str">
        <f t="shared" si="16"/>
        <v>Neutral</v>
      </c>
      <c r="AT17" s="32">
        <f t="shared" si="17"/>
        <v>1</v>
      </c>
      <c r="AU17">
        <f>step3_validation[[#This Row],[AI_TRU3]]</f>
        <v>5</v>
      </c>
      <c r="AV17" t="str">
        <f t="shared" si="18"/>
        <v>Neutral</v>
      </c>
      <c r="AW17">
        <f>survey_responses[[#This Row],[Tôi tin tưởng số tiền thuế tôi đóng sẽ được Nhà nước sử dụng hiệu quả để cải thiện dịch vụ công (y tế, đường xá...). - HUMAN-TRU3]]</f>
        <v>9</v>
      </c>
      <c r="AX17" t="str">
        <f t="shared" si="19"/>
        <v>Support</v>
      </c>
      <c r="AY17" s="32">
        <f t="shared" si="20"/>
        <v>4</v>
      </c>
      <c r="AZ17">
        <f>step3_validation[[#This Row],[AI_TRU4]]</f>
        <v>3</v>
      </c>
      <c r="BA17" t="str">
        <f t="shared" si="21"/>
        <v>Oppose</v>
      </c>
      <c r="BB17">
        <f>survey_responses[[#This Row],[Tôi thấy Nhà nước đã giải thích rõ ràng, minh bạch về lý do và mục tiêu của việc sửa đổi thuế lần này. - HUMAN-TRU4]]</f>
        <v>8</v>
      </c>
      <c r="BC17" t="str">
        <f t="shared" si="22"/>
        <v>Support</v>
      </c>
      <c r="BD17" s="32">
        <f t="shared" si="23"/>
        <v>5</v>
      </c>
      <c r="BE17">
        <f>step3_validation[[#This Row],[AI_OUT1]]</f>
        <v>7</v>
      </c>
      <c r="BF17" t="str">
        <f t="shared" si="24"/>
        <v>Neutral</v>
      </c>
      <c r="BG17">
        <f>survey_responses[[#This Row],[Sau khi xem xét các quyền lợi và nghĩa vụ, bạn có ủng hộ và tuân thủ chính sách mới hiện nay? - HUMAN-OUT1]]</f>
        <v>7</v>
      </c>
      <c r="BH17" t="str">
        <f t="shared" si="25"/>
        <v>Neutral</v>
      </c>
      <c r="BI17" s="32">
        <f t="shared" si="26"/>
        <v>0</v>
      </c>
    </row>
    <row r="18" spans="1:61" x14ac:dyDescent="0.45">
      <c r="A18" s="30">
        <f>step3_validation[[#This Row],[Persona_ID]]</f>
        <v>17</v>
      </c>
      <c r="B18" s="31">
        <f>step3_validation[[#This Row],[Used_Seed]]</f>
        <v>2007</v>
      </c>
      <c r="C18" t="str">
        <f>step3_validation[[#This Row],[Gender]]</f>
        <v>Nữ</v>
      </c>
      <c r="D18" t="str">
        <f>survey_responses[[#This Row],[Giới tính của bạn:]]</f>
        <v>Nữ</v>
      </c>
      <c r="E18" t="str">
        <f>step3_validation[[#This Row],[Age_Group]]</f>
        <v>25 - 29</v>
      </c>
      <c r="F18" t="str">
        <f>survey_responses[[#This Row],[Độ tuổi của bạn:]]</f>
        <v>25 - 29</v>
      </c>
      <c r="G18" t="str">
        <f>step3_validation[[#This Row],[Region]]</f>
        <v>Thành thị</v>
      </c>
      <c r="H18" t="str">
        <f>survey_responses[[#This Row],[Khu vực bạn đang sinh sống:]]</f>
        <v>Thành thị</v>
      </c>
      <c r="I18" t="str">
        <f>step3_validation[[#This Row],[Education]]</f>
        <v>Đại học</v>
      </c>
      <c r="J18" t="str">
        <f>survey_responses[[#This Row],[Trình độ học vấn cao nhất:]]</f>
        <v>Đại học</v>
      </c>
      <c r="K18" t="str">
        <f>step3_validation[[#This Row],[Employment]]</f>
        <v>Chính thức</v>
      </c>
      <c r="L18" t="str">
        <f>survey_responses[[#This Row],[Tình trạng việc làm chính:]]</f>
        <v>Khu vực chính thức (Có Hợp đồng lao động, đóng BHXH)</v>
      </c>
      <c r="M18">
        <f>step3_validation[[#This Row],[Income_Mil]]</f>
        <v>21.039487527118101</v>
      </c>
      <c r="N18" t="str">
        <f>survey_responses[[#This Row],[Thu nhập bình quân tháng theo Hợp đồng lao động của bạn là bao nhiêu? (Vui lòng điền tổng thu nhập trước khi khấu trừ các loại Bảo hiểm (BHXH, BHYT, BHTN) và Thuế TNCN)]]</f>
        <v>Từ 18 - 23 triệu VNĐ</v>
      </c>
      <c r="O18">
        <f>step3_validation[[#This Row],[Dependents]]</f>
        <v>2</v>
      </c>
      <c r="P18" t="str">
        <f>survey_responses[[#This Row],[Số người phụ thuộc (con nhỏ, cha mẹ già...) đủ điều kiện giảm trừ gia cảnh:]]</f>
        <v>2 người</v>
      </c>
      <c r="Q18">
        <f>step3_validation[[#This Row],[AI_ENF1]]</f>
        <v>7</v>
      </c>
      <c r="R18" t="str">
        <f t="shared" si="0"/>
        <v>Neutral</v>
      </c>
      <c r="S18">
        <f>survey_responses[[#This Row],[Tôi tin rằng với các quy định quản lý thuế hiện nay, hành vi gian lận hoặc trốn thuế sẽ dễ dàng bị phát hiện và xử lý nghiêm. - HUMAN-ENF1]]</f>
        <v>6</v>
      </c>
      <c r="T18" t="str">
        <f t="shared" si="1"/>
        <v>Neutral</v>
      </c>
      <c r="U18" s="32">
        <f t="shared" si="2"/>
        <v>1</v>
      </c>
      <c r="V18">
        <f>step3_validation[[#This Row],[AI_ENF2]]</f>
        <v>8</v>
      </c>
      <c r="W18" t="str">
        <f t="shared" si="3"/>
        <v>Support</v>
      </c>
      <c r="X18">
        <f>survey_responses[[#This Row],[Tôi tin rằng Nhà nước, cơ quan thuế có đủ khả năng và công nghệ để phát hiện, xử lý nghiêm các hành vi trốn thuế. - HUMAN-ENF2]]</f>
        <v>7</v>
      </c>
      <c r="Y18" t="str">
        <f t="shared" si="4"/>
        <v>Neutral</v>
      </c>
      <c r="Z18" s="32">
        <f t="shared" si="5"/>
        <v>1</v>
      </c>
      <c r="AA18">
        <f>step3_validation[[#This Row],[AI_FAC1]]</f>
        <v>9</v>
      </c>
      <c r="AB18" t="str">
        <f t="shared" si="6"/>
        <v>Support</v>
      </c>
      <c r="AC18">
        <f>survey_responses[[#This Row],[Các thủ tục khai báo thuế VÀ/HOẶC quy trình làm việc với cơ quan thuế đơn giản, tiện lợi, nhanh chóng hơn so với trước đây. - HUMAN-FAC1]]</f>
        <v>5</v>
      </c>
      <c r="AD18" t="str">
        <f t="shared" si="7"/>
        <v>Neutral</v>
      </c>
      <c r="AE18" s="32">
        <f t="shared" si="8"/>
        <v>4</v>
      </c>
      <c r="AF18">
        <f>step3_validation[[#This Row],[AI_FAC2]]</f>
        <v>7</v>
      </c>
      <c r="AG18" t="str">
        <f t="shared" si="9"/>
        <v>Neutral</v>
      </c>
      <c r="AH18">
        <f>survey_responses[[#This Row],[So với trước đây, tôi thấy cách tính thuế và các bậc thuế trong phương án mới đơn giản, dễ hiểu và dễ thực hiện hơn. - HUMAN-FAC2]]</f>
        <v>5</v>
      </c>
      <c r="AI18" t="str">
        <f t="shared" si="10"/>
        <v>Neutral</v>
      </c>
      <c r="AJ18" s="32">
        <f t="shared" si="11"/>
        <v>2</v>
      </c>
      <c r="AK18">
        <f>step3_validation[[#This Row],[AI_TRU1]]</f>
        <v>8</v>
      </c>
      <c r="AL18" t="str">
        <f t="shared" si="12"/>
        <v>Support</v>
      </c>
      <c r="AM18">
        <f>survey_responses[[#This Row],[Tôi tin rằng Nhà nước, cơ quan thuế sẽ thực thi chính sách mới một cách khách quan, công tâm và đối xử bình đẳng với mọi người nộp thuế.  - HUMAN-TRU1]]</f>
        <v>6</v>
      </c>
      <c r="AN18" t="str">
        <f t="shared" si="13"/>
        <v>Neutral</v>
      </c>
      <c r="AO18" s="32">
        <f t="shared" si="14"/>
        <v>2</v>
      </c>
      <c r="AP18">
        <f>step3_validation[[#This Row],[AI_TRU2]]</f>
        <v>7</v>
      </c>
      <c r="AQ18" t="str">
        <f t="shared" si="15"/>
        <v>Neutral</v>
      </c>
      <c r="AR18">
        <f>survey_responses[[#This Row],[Tôi thấy mức thuế tôi phải đóng theo phương án mới là công bằng (người thu nhập như tôi đóng mức này là hợp lý). - HUMAN-TRU2]]</f>
        <v>7</v>
      </c>
      <c r="AS18" t="str">
        <f t="shared" si="16"/>
        <v>Neutral</v>
      </c>
      <c r="AT18" s="32">
        <f t="shared" si="17"/>
        <v>0</v>
      </c>
      <c r="AU18">
        <f>step3_validation[[#This Row],[AI_TRU3]]</f>
        <v>6</v>
      </c>
      <c r="AV18" t="str">
        <f t="shared" si="18"/>
        <v>Neutral</v>
      </c>
      <c r="AW18">
        <f>survey_responses[[#This Row],[Tôi tin tưởng số tiền thuế tôi đóng sẽ được Nhà nước sử dụng hiệu quả để cải thiện dịch vụ công (y tế, đường xá...). - HUMAN-TRU3]]</f>
        <v>3</v>
      </c>
      <c r="AX18" t="str">
        <f t="shared" si="19"/>
        <v>Oppose</v>
      </c>
      <c r="AY18" s="32">
        <f t="shared" si="20"/>
        <v>3</v>
      </c>
      <c r="AZ18">
        <f>step3_validation[[#This Row],[AI_TRU4]]</f>
        <v>8</v>
      </c>
      <c r="BA18" t="str">
        <f t="shared" si="21"/>
        <v>Support</v>
      </c>
      <c r="BB18">
        <f>survey_responses[[#This Row],[Tôi thấy Nhà nước đã giải thích rõ ràng, minh bạch về lý do và mục tiêu của việc sửa đổi thuế lần này. - HUMAN-TRU4]]</f>
        <v>4</v>
      </c>
      <c r="BC18" t="str">
        <f t="shared" si="22"/>
        <v>Oppose</v>
      </c>
      <c r="BD18" s="32">
        <f t="shared" si="23"/>
        <v>4</v>
      </c>
      <c r="BE18">
        <f>step3_validation[[#This Row],[AI_OUT1]]</f>
        <v>7</v>
      </c>
      <c r="BF18" t="str">
        <f t="shared" si="24"/>
        <v>Neutral</v>
      </c>
      <c r="BG18">
        <f>survey_responses[[#This Row],[Sau khi xem xét các quyền lợi và nghĩa vụ, bạn có ủng hộ và tuân thủ chính sách mới hiện nay? - HUMAN-OUT1]]</f>
        <v>5</v>
      </c>
      <c r="BH18" t="str">
        <f t="shared" si="25"/>
        <v>Neutral</v>
      </c>
      <c r="BI18" s="32">
        <f t="shared" si="26"/>
        <v>2</v>
      </c>
    </row>
    <row r="19" spans="1:61" x14ac:dyDescent="0.45">
      <c r="A19" s="30">
        <f>step3_validation[[#This Row],[Persona_ID]]</f>
        <v>18</v>
      </c>
      <c r="B19" s="31">
        <f>step3_validation[[#This Row],[Used_Seed]]</f>
        <v>2008</v>
      </c>
      <c r="C19" t="str">
        <f>step3_validation[[#This Row],[Gender]]</f>
        <v>Nam</v>
      </c>
      <c r="D19" t="str">
        <f>survey_responses[[#This Row],[Giới tính của bạn:]]</f>
        <v>Nam</v>
      </c>
      <c r="E19" t="str">
        <f>step3_validation[[#This Row],[Age_Group]]</f>
        <v>40 - 49</v>
      </c>
      <c r="F19" t="str">
        <f>survey_responses[[#This Row],[Độ tuổi của bạn:]]</f>
        <v>40 - 49</v>
      </c>
      <c r="G19" t="str">
        <f>step3_validation[[#This Row],[Region]]</f>
        <v>Thành thị</v>
      </c>
      <c r="H19" t="str">
        <f>survey_responses[[#This Row],[Khu vực bạn đang sinh sống:]]</f>
        <v>Thành thị</v>
      </c>
      <c r="I19" t="str">
        <f>step3_validation[[#This Row],[Education]]</f>
        <v>Đại học</v>
      </c>
      <c r="J19" t="str">
        <f>survey_responses[[#This Row],[Trình độ học vấn cao nhất:]]</f>
        <v>Đại học</v>
      </c>
      <c r="K19" t="str">
        <f>step3_validation[[#This Row],[Employment]]</f>
        <v>Phi chính thức</v>
      </c>
      <c r="L19" t="str">
        <f>survey_responses[[#This Row],[Tình trạng việc làm chính:]]</f>
        <v>Khu vực phi chính thức (Lao động tự do, không có HĐLĐ)</v>
      </c>
      <c r="M19">
        <f>step3_validation[[#This Row],[Income_Mil]]</f>
        <v>16.475787551693386</v>
      </c>
      <c r="N19" t="str">
        <f>survey_responses[[#This Row],[Thu nhập bình quân tháng theo Hợp đồng lao động của bạn là bao nhiêu? (Vui lòng điền tổng thu nhập trước khi khấu trừ các loại Bảo hiểm (BHXH, BHYT, BHTN) và Thuế TNCN)]]</f>
        <v>Từ 12 - 18 triệu VNĐ</v>
      </c>
      <c r="O19">
        <f>step3_validation[[#This Row],[Dependents]]</f>
        <v>0</v>
      </c>
      <c r="P19" t="str">
        <f>survey_responses[[#This Row],[Số người phụ thuộc (con nhỏ, cha mẹ già...) đủ điều kiện giảm trừ gia cảnh:]]</f>
        <v>0 người</v>
      </c>
      <c r="Q19">
        <f>step3_validation[[#This Row],[AI_ENF1]]</f>
        <v>7</v>
      </c>
      <c r="R19" t="str">
        <f t="shared" si="0"/>
        <v>Neutral</v>
      </c>
      <c r="S19">
        <f>survey_responses[[#This Row],[Tôi tin rằng với các quy định quản lý thuế hiện nay, hành vi gian lận hoặc trốn thuế sẽ dễ dàng bị phát hiện và xử lý nghiêm. - HUMAN-ENF1]]</f>
        <v>6</v>
      </c>
      <c r="T19" t="str">
        <f t="shared" si="1"/>
        <v>Neutral</v>
      </c>
      <c r="U19" s="32">
        <f t="shared" si="2"/>
        <v>1</v>
      </c>
      <c r="V19">
        <f>step3_validation[[#This Row],[AI_ENF2]]</f>
        <v>8</v>
      </c>
      <c r="W19" t="str">
        <f t="shared" si="3"/>
        <v>Support</v>
      </c>
      <c r="X19">
        <f>survey_responses[[#This Row],[Tôi tin rằng Nhà nước, cơ quan thuế có đủ khả năng và công nghệ để phát hiện, xử lý nghiêm các hành vi trốn thuế. - HUMAN-ENF2]]</f>
        <v>8</v>
      </c>
      <c r="Y19" t="str">
        <f t="shared" si="4"/>
        <v>Support</v>
      </c>
      <c r="Z19" s="32">
        <f t="shared" si="5"/>
        <v>0</v>
      </c>
      <c r="AA19">
        <f>step3_validation[[#This Row],[AI_FAC1]]</f>
        <v>6</v>
      </c>
      <c r="AB19" t="str">
        <f t="shared" si="6"/>
        <v>Neutral</v>
      </c>
      <c r="AC19">
        <f>survey_responses[[#This Row],[Các thủ tục khai báo thuế VÀ/HOẶC quy trình làm việc với cơ quan thuế đơn giản, tiện lợi, nhanh chóng hơn so với trước đây. - HUMAN-FAC1]]</f>
        <v>7</v>
      </c>
      <c r="AD19" t="str">
        <f t="shared" si="7"/>
        <v>Neutral</v>
      </c>
      <c r="AE19" s="32">
        <f t="shared" si="8"/>
        <v>1</v>
      </c>
      <c r="AF19">
        <f>step3_validation[[#This Row],[AI_FAC2]]</f>
        <v>8</v>
      </c>
      <c r="AG19" t="str">
        <f t="shared" si="9"/>
        <v>Support</v>
      </c>
      <c r="AH19">
        <f>survey_responses[[#This Row],[So với trước đây, tôi thấy cách tính thuế và các bậc thuế trong phương án mới đơn giản, dễ hiểu và dễ thực hiện hơn. - HUMAN-FAC2]]</f>
        <v>8</v>
      </c>
      <c r="AI19" t="str">
        <f t="shared" si="10"/>
        <v>Support</v>
      </c>
      <c r="AJ19" s="32">
        <f t="shared" si="11"/>
        <v>0</v>
      </c>
      <c r="AK19">
        <f>step3_validation[[#This Row],[AI_TRU1]]</f>
        <v>7</v>
      </c>
      <c r="AL19" t="str">
        <f t="shared" si="12"/>
        <v>Neutral</v>
      </c>
      <c r="AM19">
        <f>survey_responses[[#This Row],[Tôi tin rằng Nhà nước, cơ quan thuế sẽ thực thi chính sách mới một cách khách quan, công tâm và đối xử bình đẳng với mọi người nộp thuế.  - HUMAN-TRU1]]</f>
        <v>8</v>
      </c>
      <c r="AN19" t="str">
        <f t="shared" si="13"/>
        <v>Support</v>
      </c>
      <c r="AO19" s="32">
        <f t="shared" si="14"/>
        <v>1</v>
      </c>
      <c r="AP19">
        <f>step3_validation[[#This Row],[AI_TRU2]]</f>
        <v>9</v>
      </c>
      <c r="AQ19" t="str">
        <f t="shared" si="15"/>
        <v>Support</v>
      </c>
      <c r="AR19">
        <f>survey_responses[[#This Row],[Tôi thấy mức thuế tôi phải đóng theo phương án mới là công bằng (người thu nhập như tôi đóng mức này là hợp lý). - HUMAN-TRU2]]</f>
        <v>7</v>
      </c>
      <c r="AS19" t="str">
        <f t="shared" si="16"/>
        <v>Neutral</v>
      </c>
      <c r="AT19" s="32">
        <f t="shared" si="17"/>
        <v>2</v>
      </c>
      <c r="AU19">
        <f>step3_validation[[#This Row],[AI_TRU3]]</f>
        <v>7</v>
      </c>
      <c r="AV19" t="str">
        <f t="shared" si="18"/>
        <v>Neutral</v>
      </c>
      <c r="AW19">
        <f>survey_responses[[#This Row],[Tôi tin tưởng số tiền thuế tôi đóng sẽ được Nhà nước sử dụng hiệu quả để cải thiện dịch vụ công (y tế, đường xá...). - HUMAN-TRU3]]</f>
        <v>7</v>
      </c>
      <c r="AX19" t="str">
        <f t="shared" si="19"/>
        <v>Neutral</v>
      </c>
      <c r="AY19" s="32">
        <f t="shared" si="20"/>
        <v>0</v>
      </c>
      <c r="AZ19">
        <f>step3_validation[[#This Row],[AI_TRU4]]</f>
        <v>8</v>
      </c>
      <c r="BA19" t="str">
        <f t="shared" si="21"/>
        <v>Support</v>
      </c>
      <c r="BB19">
        <f>survey_responses[[#This Row],[Tôi thấy Nhà nước đã giải thích rõ ràng, minh bạch về lý do và mục tiêu của việc sửa đổi thuế lần này. - HUMAN-TRU4]]</f>
        <v>6</v>
      </c>
      <c r="BC19" t="str">
        <f t="shared" si="22"/>
        <v>Neutral</v>
      </c>
      <c r="BD19" s="32">
        <f t="shared" si="23"/>
        <v>2</v>
      </c>
      <c r="BE19">
        <f>step3_validation[[#This Row],[AI_OUT1]]</f>
        <v>9</v>
      </c>
      <c r="BF19" t="str">
        <f t="shared" si="24"/>
        <v>Support</v>
      </c>
      <c r="BG19">
        <f>survey_responses[[#This Row],[Sau khi xem xét các quyền lợi và nghĩa vụ, bạn có ủng hộ và tuân thủ chính sách mới hiện nay? - HUMAN-OUT1]]</f>
        <v>8</v>
      </c>
      <c r="BH19" t="str">
        <f t="shared" si="25"/>
        <v>Support</v>
      </c>
      <c r="BI19" s="32">
        <f t="shared" si="26"/>
        <v>1</v>
      </c>
    </row>
    <row r="20" spans="1:61" x14ac:dyDescent="0.45">
      <c r="A20" s="30">
        <f>step3_validation[[#This Row],[Persona_ID]]</f>
        <v>19</v>
      </c>
      <c r="B20" s="31">
        <f>step3_validation[[#This Row],[Used_Seed]]</f>
        <v>2009</v>
      </c>
      <c r="C20" t="str">
        <f>step3_validation[[#This Row],[Gender]]</f>
        <v>Nam</v>
      </c>
      <c r="D20" t="str">
        <f>survey_responses[[#This Row],[Giới tính của bạn:]]</f>
        <v>Nam</v>
      </c>
      <c r="E20" t="str">
        <f>step3_validation[[#This Row],[Age_Group]]</f>
        <v>40 - 49</v>
      </c>
      <c r="F20" t="str">
        <f>survey_responses[[#This Row],[Độ tuổi của bạn:]]</f>
        <v>40 - 49</v>
      </c>
      <c r="G20" t="str">
        <f>step3_validation[[#This Row],[Region]]</f>
        <v>Thành thị</v>
      </c>
      <c r="H20" t="str">
        <f>survey_responses[[#This Row],[Khu vực bạn đang sinh sống:]]</f>
        <v>Thành thị</v>
      </c>
      <c r="I20" t="str">
        <f>step3_validation[[#This Row],[Education]]</f>
        <v>Đại học</v>
      </c>
      <c r="J20" t="str">
        <f>survey_responses[[#This Row],[Trình độ học vấn cao nhất:]]</f>
        <v>Đại học</v>
      </c>
      <c r="K20" t="str">
        <f>step3_validation[[#This Row],[Employment]]</f>
        <v>Chính thức</v>
      </c>
      <c r="L20" t="str">
        <f>survey_responses[[#This Row],[Tình trạng việc làm chính:]]</f>
        <v>Khu vực chính thức (Có Hợp đồng lao động, đóng BHXH)</v>
      </c>
      <c r="M20">
        <f>step3_validation[[#This Row],[Income_Mil]]</f>
        <v>133.36974784496124</v>
      </c>
      <c r="N20" t="str">
        <f>survey_responses[[#This Row],[Thu nhập bình quân tháng theo Hợp đồng lao động của bạn là bao nhiêu? (Vui lòng điền tổng thu nhập trước khi khấu trừ các loại Bảo hiểm (BHXH, BHYT, BHTN) và Thuế TNCN)]]</f>
        <v>Trên 102 triệu VNĐ</v>
      </c>
      <c r="O20">
        <f>step3_validation[[#This Row],[Dependents]]</f>
        <v>4</v>
      </c>
      <c r="P20" t="str">
        <f>survey_responses[[#This Row],[Số người phụ thuộc (con nhỏ, cha mẹ già...) đủ điều kiện giảm trừ gia cảnh:]]</f>
        <v>4 người trở lên</v>
      </c>
      <c r="Q20">
        <f>step3_validation[[#This Row],[AI_ENF1]]</f>
        <v>9</v>
      </c>
      <c r="R20" t="str">
        <f t="shared" si="0"/>
        <v>Support</v>
      </c>
      <c r="S20">
        <f>survey_responses[[#This Row],[Tôi tin rằng với các quy định quản lý thuế hiện nay, hành vi gian lận hoặc trốn thuế sẽ dễ dàng bị phát hiện và xử lý nghiêm. - HUMAN-ENF1]]</f>
        <v>10</v>
      </c>
      <c r="T20" t="str">
        <f t="shared" si="1"/>
        <v>Support</v>
      </c>
      <c r="U20" s="32">
        <f t="shared" si="2"/>
        <v>1</v>
      </c>
      <c r="V20">
        <f>step3_validation[[#This Row],[AI_ENF2]]</f>
        <v>8</v>
      </c>
      <c r="W20" t="str">
        <f t="shared" si="3"/>
        <v>Support</v>
      </c>
      <c r="X20">
        <f>survey_responses[[#This Row],[Tôi tin rằng Nhà nước, cơ quan thuế có đủ khả năng và công nghệ để phát hiện, xử lý nghiêm các hành vi trốn thuế. - HUMAN-ENF2]]</f>
        <v>10</v>
      </c>
      <c r="Y20" t="str">
        <f t="shared" si="4"/>
        <v>Support</v>
      </c>
      <c r="Z20" s="32">
        <f t="shared" si="5"/>
        <v>2</v>
      </c>
      <c r="AA20">
        <f>step3_validation[[#This Row],[AI_FAC1]]</f>
        <v>9</v>
      </c>
      <c r="AB20" t="str">
        <f t="shared" si="6"/>
        <v>Support</v>
      </c>
      <c r="AC20">
        <f>survey_responses[[#This Row],[Các thủ tục khai báo thuế VÀ/HOẶC quy trình làm việc với cơ quan thuế đơn giản, tiện lợi, nhanh chóng hơn so với trước đây. - HUMAN-FAC1]]</f>
        <v>5</v>
      </c>
      <c r="AD20" t="str">
        <f t="shared" si="7"/>
        <v>Neutral</v>
      </c>
      <c r="AE20" s="32">
        <f t="shared" si="8"/>
        <v>4</v>
      </c>
      <c r="AF20">
        <f>step3_validation[[#This Row],[AI_FAC2]]</f>
        <v>8</v>
      </c>
      <c r="AG20" t="str">
        <f t="shared" si="9"/>
        <v>Support</v>
      </c>
      <c r="AH20">
        <f>survey_responses[[#This Row],[So với trước đây, tôi thấy cách tính thuế và các bậc thuế trong phương án mới đơn giản, dễ hiểu và dễ thực hiện hơn. - HUMAN-FAC2]]</f>
        <v>5</v>
      </c>
      <c r="AI20" t="str">
        <f t="shared" si="10"/>
        <v>Neutral</v>
      </c>
      <c r="AJ20" s="32">
        <f t="shared" si="11"/>
        <v>3</v>
      </c>
      <c r="AK20">
        <f>step3_validation[[#This Row],[AI_TRU1]]</f>
        <v>9</v>
      </c>
      <c r="AL20" t="str">
        <f t="shared" si="12"/>
        <v>Support</v>
      </c>
      <c r="AM20">
        <f>survey_responses[[#This Row],[Tôi tin rằng Nhà nước, cơ quan thuế sẽ thực thi chính sách mới một cách khách quan, công tâm và đối xử bình đẳng với mọi người nộp thuế.  - HUMAN-TRU1]]</f>
        <v>5</v>
      </c>
      <c r="AN20" t="str">
        <f t="shared" si="13"/>
        <v>Neutral</v>
      </c>
      <c r="AO20" s="32">
        <f t="shared" si="14"/>
        <v>4</v>
      </c>
      <c r="AP20">
        <f>step3_validation[[#This Row],[AI_TRU2]]</f>
        <v>8</v>
      </c>
      <c r="AQ20" t="str">
        <f t="shared" si="15"/>
        <v>Support</v>
      </c>
      <c r="AR20">
        <f>survey_responses[[#This Row],[Tôi thấy mức thuế tôi phải đóng theo phương án mới là công bằng (người thu nhập như tôi đóng mức này là hợp lý). - HUMAN-TRU2]]</f>
        <v>3</v>
      </c>
      <c r="AS20" t="str">
        <f t="shared" si="16"/>
        <v>Oppose</v>
      </c>
      <c r="AT20" s="32">
        <f t="shared" si="17"/>
        <v>5</v>
      </c>
      <c r="AU20">
        <f>step3_validation[[#This Row],[AI_TRU3]]</f>
        <v>9</v>
      </c>
      <c r="AV20" t="str">
        <f t="shared" si="18"/>
        <v>Support</v>
      </c>
      <c r="AW20">
        <f>survey_responses[[#This Row],[Tôi tin tưởng số tiền thuế tôi đóng sẽ được Nhà nước sử dụng hiệu quả để cải thiện dịch vụ công (y tế, đường xá...). - HUMAN-TRU3]]</f>
        <v>2</v>
      </c>
      <c r="AX20" t="str">
        <f t="shared" si="19"/>
        <v>Oppose</v>
      </c>
      <c r="AY20" s="32">
        <f t="shared" si="20"/>
        <v>7</v>
      </c>
      <c r="AZ20">
        <f>step3_validation[[#This Row],[AI_TRU4]]</f>
        <v>8</v>
      </c>
      <c r="BA20" t="str">
        <f t="shared" si="21"/>
        <v>Support</v>
      </c>
      <c r="BB20">
        <f>survey_responses[[#This Row],[Tôi thấy Nhà nước đã giải thích rõ ràng, minh bạch về lý do và mục tiêu của việc sửa đổi thuế lần này. - HUMAN-TRU4]]</f>
        <v>5</v>
      </c>
      <c r="BC20" t="str">
        <f t="shared" si="22"/>
        <v>Neutral</v>
      </c>
      <c r="BD20" s="32">
        <f t="shared" si="23"/>
        <v>3</v>
      </c>
      <c r="BE20">
        <f>step3_validation[[#This Row],[AI_OUT1]]</f>
        <v>7</v>
      </c>
      <c r="BF20" t="str">
        <f t="shared" si="24"/>
        <v>Neutral</v>
      </c>
      <c r="BG20">
        <f>survey_responses[[#This Row],[Sau khi xem xét các quyền lợi và nghĩa vụ, bạn có ủng hộ và tuân thủ chính sách mới hiện nay? - HUMAN-OUT1]]</f>
        <v>8</v>
      </c>
      <c r="BH20" t="str">
        <f t="shared" si="25"/>
        <v>Support</v>
      </c>
      <c r="BI20" s="32">
        <f t="shared" si="26"/>
        <v>1</v>
      </c>
    </row>
    <row r="21" spans="1:61" x14ac:dyDescent="0.45">
      <c r="A21" s="30">
        <f>step3_validation[[#This Row],[Persona_ID]]</f>
        <v>20</v>
      </c>
      <c r="B21" s="31">
        <f>step3_validation[[#This Row],[Used_Seed]]</f>
        <v>2010</v>
      </c>
      <c r="C21" t="str">
        <f>step3_validation[[#This Row],[Gender]]</f>
        <v>Nam</v>
      </c>
      <c r="D21" t="str">
        <f>survey_responses[[#This Row],[Giới tính của bạn:]]</f>
        <v>Nam</v>
      </c>
      <c r="E21" t="str">
        <f>step3_validation[[#This Row],[Age_Group]]</f>
        <v>30 - 39</v>
      </c>
      <c r="F21" t="str">
        <f>survey_responses[[#This Row],[Độ tuổi của bạn:]]</f>
        <v>30 - 39</v>
      </c>
      <c r="G21" t="str">
        <f>step3_validation[[#This Row],[Region]]</f>
        <v>Thành thị</v>
      </c>
      <c r="H21" t="str">
        <f>survey_responses[[#This Row],[Khu vực bạn đang sinh sống:]]</f>
        <v>Thành thị</v>
      </c>
      <c r="I21" t="str">
        <f>step3_validation[[#This Row],[Education]]</f>
        <v>Sau Đại học</v>
      </c>
      <c r="J21" t="str">
        <f>survey_responses[[#This Row],[Trình độ học vấn cao nhất:]]</f>
        <v>Sau Đại học</v>
      </c>
      <c r="K21" t="str">
        <f>step3_validation[[#This Row],[Employment]]</f>
        <v>Chính thức</v>
      </c>
      <c r="L21" t="str">
        <f>survey_responses[[#This Row],[Tình trạng việc làm chính:]]</f>
        <v>Khu vực chính thức (Có Hợp đồng lao động, đóng BHXH)</v>
      </c>
      <c r="M21">
        <f>step3_validation[[#This Row],[Income_Mil]]</f>
        <v>53.113316152974953</v>
      </c>
      <c r="N21" t="str">
        <f>survey_responses[[#This Row],[Thu nhập bình quân tháng theo Hợp đồng lao động của bạn là bao nhiêu? (Vui lòng điền tổng thu nhập trước khi khấu trừ các loại Bảo hiểm (BHXH, BHYT, BHTN) và Thuế TNCN)]]</f>
        <v>Từ 48 - 70 triệu VNĐ</v>
      </c>
      <c r="O21">
        <f>step3_validation[[#This Row],[Dependents]]</f>
        <v>2</v>
      </c>
      <c r="P21" t="str">
        <f>survey_responses[[#This Row],[Số người phụ thuộc (con nhỏ, cha mẹ già...) đủ điều kiện giảm trừ gia cảnh:]]</f>
        <v>2 người</v>
      </c>
      <c r="Q21">
        <f>step3_validation[[#This Row],[AI_ENF1]]</f>
        <v>7</v>
      </c>
      <c r="R21" t="str">
        <f t="shared" si="0"/>
        <v>Neutral</v>
      </c>
      <c r="S21">
        <f>survey_responses[[#This Row],[Tôi tin rằng với các quy định quản lý thuế hiện nay, hành vi gian lận hoặc trốn thuế sẽ dễ dàng bị phát hiện và xử lý nghiêm. - HUMAN-ENF1]]</f>
        <v>9</v>
      </c>
      <c r="T21" t="str">
        <f t="shared" si="1"/>
        <v>Support</v>
      </c>
      <c r="U21" s="32">
        <f t="shared" si="2"/>
        <v>2</v>
      </c>
      <c r="V21">
        <f>step3_validation[[#This Row],[AI_ENF2]]</f>
        <v>8</v>
      </c>
      <c r="W21" t="str">
        <f t="shared" si="3"/>
        <v>Support</v>
      </c>
      <c r="X21">
        <f>survey_responses[[#This Row],[Tôi tin rằng Nhà nước, cơ quan thuế có đủ khả năng và công nghệ để phát hiện, xử lý nghiêm các hành vi trốn thuế. - HUMAN-ENF2]]</f>
        <v>9</v>
      </c>
      <c r="Y21" t="str">
        <f t="shared" si="4"/>
        <v>Support</v>
      </c>
      <c r="Z21" s="32">
        <f t="shared" si="5"/>
        <v>1</v>
      </c>
      <c r="AA21">
        <f>step3_validation[[#This Row],[AI_FAC1]]</f>
        <v>6</v>
      </c>
      <c r="AB21" t="str">
        <f t="shared" si="6"/>
        <v>Neutral</v>
      </c>
      <c r="AC21">
        <f>survey_responses[[#This Row],[Các thủ tục khai báo thuế VÀ/HOẶC quy trình làm việc với cơ quan thuế đơn giản, tiện lợi, nhanh chóng hơn so với trước đây. - HUMAN-FAC1]]</f>
        <v>7</v>
      </c>
      <c r="AD21" t="str">
        <f t="shared" si="7"/>
        <v>Neutral</v>
      </c>
      <c r="AE21" s="32">
        <f t="shared" si="8"/>
        <v>1</v>
      </c>
      <c r="AF21">
        <f>step3_validation[[#This Row],[AI_FAC2]]</f>
        <v>8</v>
      </c>
      <c r="AG21" t="str">
        <f t="shared" si="9"/>
        <v>Support</v>
      </c>
      <c r="AH21">
        <f>survey_responses[[#This Row],[So với trước đây, tôi thấy cách tính thuế và các bậc thuế trong phương án mới đơn giản, dễ hiểu và dễ thực hiện hơn. - HUMAN-FAC2]]</f>
        <v>9</v>
      </c>
      <c r="AI21" t="str">
        <f t="shared" si="10"/>
        <v>Support</v>
      </c>
      <c r="AJ21" s="32">
        <f t="shared" si="11"/>
        <v>1</v>
      </c>
      <c r="AK21">
        <f>step3_validation[[#This Row],[AI_TRU1]]</f>
        <v>7</v>
      </c>
      <c r="AL21" t="str">
        <f t="shared" si="12"/>
        <v>Neutral</v>
      </c>
      <c r="AM21">
        <f>survey_responses[[#This Row],[Tôi tin rằng Nhà nước, cơ quan thuế sẽ thực thi chính sách mới một cách khách quan, công tâm và đối xử bình đẳng với mọi người nộp thuế.  - HUMAN-TRU1]]</f>
        <v>7</v>
      </c>
      <c r="AN21" t="str">
        <f t="shared" si="13"/>
        <v>Neutral</v>
      </c>
      <c r="AO21" s="32">
        <f t="shared" si="14"/>
        <v>0</v>
      </c>
      <c r="AP21">
        <f>step3_validation[[#This Row],[AI_TRU2]]</f>
        <v>6</v>
      </c>
      <c r="AQ21" t="str">
        <f t="shared" si="15"/>
        <v>Neutral</v>
      </c>
      <c r="AR21">
        <f>survey_responses[[#This Row],[Tôi thấy mức thuế tôi phải đóng theo phương án mới là công bằng (người thu nhập như tôi đóng mức này là hợp lý). - HUMAN-TRU2]]</f>
        <v>8</v>
      </c>
      <c r="AS21" t="str">
        <f t="shared" si="16"/>
        <v>Support</v>
      </c>
      <c r="AT21" s="32">
        <f t="shared" si="17"/>
        <v>2</v>
      </c>
      <c r="AU21">
        <f>step3_validation[[#This Row],[AI_TRU3]]</f>
        <v>7</v>
      </c>
      <c r="AV21" t="str">
        <f t="shared" si="18"/>
        <v>Neutral</v>
      </c>
      <c r="AW21">
        <f>survey_responses[[#This Row],[Tôi tin tưởng số tiền thuế tôi đóng sẽ được Nhà nước sử dụng hiệu quả để cải thiện dịch vụ công (y tế, đường xá...). - HUMAN-TRU3]]</f>
        <v>5</v>
      </c>
      <c r="AX21" t="str">
        <f t="shared" si="19"/>
        <v>Neutral</v>
      </c>
      <c r="AY21" s="32">
        <f t="shared" si="20"/>
        <v>2</v>
      </c>
      <c r="AZ21">
        <f>step3_validation[[#This Row],[AI_TRU4]]</f>
        <v>6</v>
      </c>
      <c r="BA21" t="str">
        <f t="shared" si="21"/>
        <v>Neutral</v>
      </c>
      <c r="BB21">
        <f>survey_responses[[#This Row],[Tôi thấy Nhà nước đã giải thích rõ ràng, minh bạch về lý do và mục tiêu của việc sửa đổi thuế lần này. - HUMAN-TRU4]]</f>
        <v>5</v>
      </c>
      <c r="BC21" t="str">
        <f t="shared" si="22"/>
        <v>Neutral</v>
      </c>
      <c r="BD21" s="32">
        <f t="shared" si="23"/>
        <v>1</v>
      </c>
      <c r="BE21">
        <f>step3_validation[[#This Row],[AI_OUT1]]</f>
        <v>5</v>
      </c>
      <c r="BF21" t="str">
        <f t="shared" si="24"/>
        <v>Neutral</v>
      </c>
      <c r="BG21">
        <f>survey_responses[[#This Row],[Sau khi xem xét các quyền lợi và nghĩa vụ, bạn có ủng hộ và tuân thủ chính sách mới hiện nay? - HUMAN-OUT1]]</f>
        <v>6</v>
      </c>
      <c r="BH21" t="str">
        <f t="shared" si="25"/>
        <v>Neutral</v>
      </c>
      <c r="BI21" s="32">
        <f t="shared" si="26"/>
        <v>1</v>
      </c>
    </row>
    <row r="22" spans="1:61" x14ac:dyDescent="0.45">
      <c r="A22" s="30">
        <f>step3_validation[[#This Row],[Persona_ID]]</f>
        <v>21</v>
      </c>
      <c r="B22" s="31">
        <f>step3_validation[[#This Row],[Used_Seed]]</f>
        <v>2011</v>
      </c>
      <c r="C22" t="str">
        <f>step3_validation[[#This Row],[Gender]]</f>
        <v>Nữ</v>
      </c>
      <c r="D22" t="str">
        <f>survey_responses[[#This Row],[Giới tính của bạn:]]</f>
        <v>Nữ</v>
      </c>
      <c r="E22" t="str">
        <f>step3_validation[[#This Row],[Age_Group]]</f>
        <v>40 - 49</v>
      </c>
      <c r="F22" t="str">
        <f>survey_responses[[#This Row],[Độ tuổi của bạn:]]</f>
        <v>40 - 49</v>
      </c>
      <c r="G22" t="str">
        <f>step3_validation[[#This Row],[Region]]</f>
        <v>Thành thị</v>
      </c>
      <c r="H22" t="str">
        <f>survey_responses[[#This Row],[Khu vực bạn đang sinh sống:]]</f>
        <v>Thành thị</v>
      </c>
      <c r="I22" t="str">
        <f>step3_validation[[#This Row],[Education]]</f>
        <v>Đại học</v>
      </c>
      <c r="J22" t="str">
        <f>survey_responses[[#This Row],[Trình độ học vấn cao nhất:]]</f>
        <v>Đại học</v>
      </c>
      <c r="K22" t="str">
        <f>step3_validation[[#This Row],[Employment]]</f>
        <v>Chính thức</v>
      </c>
      <c r="L22" t="str">
        <f>survey_responses[[#This Row],[Tình trạng việc làm chính:]]</f>
        <v>Khu vực chính thức (Có Hợp đồng lao động, đóng BHXH)</v>
      </c>
      <c r="M22">
        <f>step3_validation[[#This Row],[Income_Mil]]</f>
        <v>212.6300001360199</v>
      </c>
      <c r="N22" t="str">
        <f>survey_responses[[#This Row],[Thu nhập bình quân tháng theo Hợp đồng lao động của bạn là bao nhiêu? (Vui lòng điền tổng thu nhập trước khi khấu trừ các loại Bảo hiểm (BHXH, BHYT, BHTN) và Thuế TNCN)]]</f>
        <v>Trên 102 triệu VNĐ</v>
      </c>
      <c r="O22">
        <f>step3_validation[[#This Row],[Dependents]]</f>
        <v>3</v>
      </c>
      <c r="P22" t="str">
        <f>survey_responses[[#This Row],[Số người phụ thuộc (con nhỏ, cha mẹ già...) đủ điều kiện giảm trừ gia cảnh:]]</f>
        <v>3 người</v>
      </c>
      <c r="Q22">
        <f>step3_validation[[#This Row],[AI_ENF1]]</f>
        <v>7</v>
      </c>
      <c r="R22" t="str">
        <f t="shared" si="0"/>
        <v>Neutral</v>
      </c>
      <c r="S22">
        <f>survey_responses[[#This Row],[Tôi tin rằng với các quy định quản lý thuế hiện nay, hành vi gian lận hoặc trốn thuế sẽ dễ dàng bị phát hiện và xử lý nghiêm. - HUMAN-ENF1]]</f>
        <v>10</v>
      </c>
      <c r="T22" t="str">
        <f t="shared" si="1"/>
        <v>Support</v>
      </c>
      <c r="U22" s="32">
        <f t="shared" si="2"/>
        <v>3</v>
      </c>
      <c r="V22">
        <f>step3_validation[[#This Row],[AI_ENF2]]</f>
        <v>8</v>
      </c>
      <c r="W22" t="str">
        <f t="shared" si="3"/>
        <v>Support</v>
      </c>
      <c r="X22">
        <f>survey_responses[[#This Row],[Tôi tin rằng Nhà nước, cơ quan thuế có đủ khả năng và công nghệ để phát hiện, xử lý nghiêm các hành vi trốn thuế. - HUMAN-ENF2]]</f>
        <v>10</v>
      </c>
      <c r="Y22" t="str">
        <f t="shared" si="4"/>
        <v>Support</v>
      </c>
      <c r="Z22" s="32">
        <f t="shared" si="5"/>
        <v>2</v>
      </c>
      <c r="AA22">
        <f>step3_validation[[#This Row],[AI_FAC1]]</f>
        <v>6</v>
      </c>
      <c r="AB22" t="str">
        <f t="shared" si="6"/>
        <v>Neutral</v>
      </c>
      <c r="AC22">
        <f>survey_responses[[#This Row],[Các thủ tục khai báo thuế VÀ/HOẶC quy trình làm việc với cơ quan thuế đơn giản, tiện lợi, nhanh chóng hơn so với trước đây. - HUMAN-FAC1]]</f>
        <v>8</v>
      </c>
      <c r="AD22" t="str">
        <f t="shared" si="7"/>
        <v>Support</v>
      </c>
      <c r="AE22" s="32">
        <f t="shared" si="8"/>
        <v>2</v>
      </c>
      <c r="AF22">
        <f>step3_validation[[#This Row],[AI_FAC2]]</f>
        <v>8</v>
      </c>
      <c r="AG22" t="str">
        <f t="shared" si="9"/>
        <v>Support</v>
      </c>
      <c r="AH22">
        <f>survey_responses[[#This Row],[So với trước đây, tôi thấy cách tính thuế và các bậc thuế trong phương án mới đơn giản, dễ hiểu và dễ thực hiện hơn. - HUMAN-FAC2]]</f>
        <v>7</v>
      </c>
      <c r="AI22" t="str">
        <f t="shared" si="10"/>
        <v>Neutral</v>
      </c>
      <c r="AJ22" s="32">
        <f t="shared" si="11"/>
        <v>1</v>
      </c>
      <c r="AK22">
        <f>step3_validation[[#This Row],[AI_TRU1]]</f>
        <v>9</v>
      </c>
      <c r="AL22" t="str">
        <f t="shared" si="12"/>
        <v>Support</v>
      </c>
      <c r="AM22">
        <f>survey_responses[[#This Row],[Tôi tin rằng Nhà nước, cơ quan thuế sẽ thực thi chính sách mới một cách khách quan, công tâm và đối xử bình đẳng với mọi người nộp thuế.  - HUMAN-TRU1]]</f>
        <v>7</v>
      </c>
      <c r="AN22" t="str">
        <f t="shared" si="13"/>
        <v>Neutral</v>
      </c>
      <c r="AO22" s="32">
        <f t="shared" si="14"/>
        <v>2</v>
      </c>
      <c r="AP22">
        <f>step3_validation[[#This Row],[AI_TRU2]]</f>
        <v>7</v>
      </c>
      <c r="AQ22" t="str">
        <f t="shared" si="15"/>
        <v>Neutral</v>
      </c>
      <c r="AR22">
        <f>survey_responses[[#This Row],[Tôi thấy mức thuế tôi phải đóng theo phương án mới là công bằng (người thu nhập như tôi đóng mức này là hợp lý). - HUMAN-TRU2]]</f>
        <v>7</v>
      </c>
      <c r="AS22" t="str">
        <f t="shared" si="16"/>
        <v>Neutral</v>
      </c>
      <c r="AT22" s="32">
        <f t="shared" si="17"/>
        <v>0</v>
      </c>
      <c r="AU22">
        <f>step3_validation[[#This Row],[AI_TRU3]]</f>
        <v>6</v>
      </c>
      <c r="AV22" t="str">
        <f t="shared" si="18"/>
        <v>Neutral</v>
      </c>
      <c r="AW22">
        <f>survey_responses[[#This Row],[Tôi tin tưởng số tiền thuế tôi đóng sẽ được Nhà nước sử dụng hiệu quả để cải thiện dịch vụ công (y tế, đường xá...). - HUMAN-TRU3]]</f>
        <v>2</v>
      </c>
      <c r="AX22" t="str">
        <f t="shared" si="19"/>
        <v>Oppose</v>
      </c>
      <c r="AY22" s="32">
        <f t="shared" si="20"/>
        <v>4</v>
      </c>
      <c r="AZ22">
        <f>step3_validation[[#This Row],[AI_TRU4]]</f>
        <v>7</v>
      </c>
      <c r="BA22" t="str">
        <f t="shared" si="21"/>
        <v>Neutral</v>
      </c>
      <c r="BB22">
        <f>survey_responses[[#This Row],[Tôi thấy Nhà nước đã giải thích rõ ràng, minh bạch về lý do và mục tiêu của việc sửa đổi thuế lần này. - HUMAN-TRU4]]</f>
        <v>3</v>
      </c>
      <c r="BC22" t="str">
        <f t="shared" si="22"/>
        <v>Oppose</v>
      </c>
      <c r="BD22" s="32">
        <f t="shared" si="23"/>
        <v>4</v>
      </c>
      <c r="BE22">
        <f>step3_validation[[#This Row],[AI_OUT1]]</f>
        <v>8</v>
      </c>
      <c r="BF22" t="str">
        <f t="shared" si="24"/>
        <v>Support</v>
      </c>
      <c r="BG22">
        <f>survey_responses[[#This Row],[Sau khi xem xét các quyền lợi và nghĩa vụ, bạn có ủng hộ và tuân thủ chính sách mới hiện nay? - HUMAN-OUT1]]</f>
        <v>3</v>
      </c>
      <c r="BH22" t="str">
        <f t="shared" si="25"/>
        <v>Oppose</v>
      </c>
      <c r="BI22" s="32">
        <f t="shared" si="26"/>
        <v>5</v>
      </c>
    </row>
    <row r="23" spans="1:61" x14ac:dyDescent="0.45">
      <c r="A23" s="30">
        <f>step3_validation[[#This Row],[Persona_ID]]</f>
        <v>22</v>
      </c>
      <c r="B23" s="31">
        <f>step3_validation[[#This Row],[Used_Seed]]</f>
        <v>2012</v>
      </c>
      <c r="C23" t="str">
        <f>step3_validation[[#This Row],[Gender]]</f>
        <v>Nữ</v>
      </c>
      <c r="D23" t="str">
        <f>survey_responses[[#This Row],[Giới tính của bạn:]]</f>
        <v>Nữ</v>
      </c>
      <c r="E23" t="str">
        <f>step3_validation[[#This Row],[Age_Group]]</f>
        <v>18 - 24</v>
      </c>
      <c r="F23" t="str">
        <f>survey_responses[[#This Row],[Độ tuổi của bạn:]]</f>
        <v>18 - 24</v>
      </c>
      <c r="G23" t="str">
        <f>step3_validation[[#This Row],[Region]]</f>
        <v>Thành thị</v>
      </c>
      <c r="H23" t="str">
        <f>survey_responses[[#This Row],[Khu vực bạn đang sinh sống:]]</f>
        <v>Thành thị</v>
      </c>
      <c r="I23" t="str">
        <f>step3_validation[[#This Row],[Education]]</f>
        <v>Đại học</v>
      </c>
      <c r="J23" t="str">
        <f>survey_responses[[#This Row],[Trình độ học vấn cao nhất:]]</f>
        <v>Đại học</v>
      </c>
      <c r="K23" t="str">
        <f>step3_validation[[#This Row],[Employment]]</f>
        <v>Chính thức</v>
      </c>
      <c r="L23" t="str">
        <f>survey_responses[[#This Row],[Tình trạng việc làm chính:]]</f>
        <v>Khu vực chính thức (Có Hợp đồng lao động, đóng BHXH)</v>
      </c>
      <c r="M23">
        <f>step3_validation[[#This Row],[Income_Mil]]</f>
        <v>13.189093971466985</v>
      </c>
      <c r="N23" t="str">
        <f>survey_responses[[#This Row],[Thu nhập bình quân tháng theo Hợp đồng lao động của bạn là bao nhiêu? (Vui lòng điền tổng thu nhập trước khi khấu trừ các loại Bảo hiểm (BHXH, BHYT, BHTN) và Thuế TNCN)]]</f>
        <v>Từ 12 - 18 triệu VNĐ</v>
      </c>
      <c r="O23">
        <f>step3_validation[[#This Row],[Dependents]]</f>
        <v>0</v>
      </c>
      <c r="P23" t="str">
        <f>survey_responses[[#This Row],[Số người phụ thuộc (con nhỏ, cha mẹ già...) đủ điều kiện giảm trừ gia cảnh:]]</f>
        <v>0 người</v>
      </c>
      <c r="Q23">
        <f>step3_validation[[#This Row],[AI_ENF1]]</f>
        <v>8</v>
      </c>
      <c r="R23" t="str">
        <f t="shared" si="0"/>
        <v>Support</v>
      </c>
      <c r="S23">
        <f>survey_responses[[#This Row],[Tôi tin rằng với các quy định quản lý thuế hiện nay, hành vi gian lận hoặc trốn thuế sẽ dễ dàng bị phát hiện và xử lý nghiêm. - HUMAN-ENF1]]</f>
        <v>8</v>
      </c>
      <c r="T23" t="str">
        <f t="shared" si="1"/>
        <v>Support</v>
      </c>
      <c r="U23" s="32">
        <f t="shared" si="2"/>
        <v>0</v>
      </c>
      <c r="V23">
        <f>step3_validation[[#This Row],[AI_ENF2]]</f>
        <v>8</v>
      </c>
      <c r="W23" t="str">
        <f t="shared" si="3"/>
        <v>Support</v>
      </c>
      <c r="X23">
        <f>survey_responses[[#This Row],[Tôi tin rằng Nhà nước, cơ quan thuế có đủ khả năng và công nghệ để phát hiện, xử lý nghiêm các hành vi trốn thuế. - HUMAN-ENF2]]</f>
        <v>8</v>
      </c>
      <c r="Y23" t="str">
        <f t="shared" si="4"/>
        <v>Support</v>
      </c>
      <c r="Z23" s="32">
        <f t="shared" si="5"/>
        <v>0</v>
      </c>
      <c r="AA23">
        <f>step3_validation[[#This Row],[AI_FAC1]]</f>
        <v>8</v>
      </c>
      <c r="AB23" t="str">
        <f t="shared" si="6"/>
        <v>Support</v>
      </c>
      <c r="AC23">
        <f>survey_responses[[#This Row],[Các thủ tục khai báo thuế VÀ/HOẶC quy trình làm việc với cơ quan thuế đơn giản, tiện lợi, nhanh chóng hơn so với trước đây. - HUMAN-FAC1]]</f>
        <v>5</v>
      </c>
      <c r="AD23" t="str">
        <f t="shared" si="7"/>
        <v>Neutral</v>
      </c>
      <c r="AE23" s="32">
        <f t="shared" si="8"/>
        <v>3</v>
      </c>
      <c r="AF23">
        <f>step3_validation[[#This Row],[AI_FAC2]]</f>
        <v>7</v>
      </c>
      <c r="AG23" t="str">
        <f t="shared" si="9"/>
        <v>Neutral</v>
      </c>
      <c r="AH23">
        <f>survey_responses[[#This Row],[So với trước đây, tôi thấy cách tính thuế và các bậc thuế trong phương án mới đơn giản, dễ hiểu và dễ thực hiện hơn. - HUMAN-FAC2]]</f>
        <v>8</v>
      </c>
      <c r="AI23" t="str">
        <f t="shared" si="10"/>
        <v>Support</v>
      </c>
      <c r="AJ23" s="32">
        <f t="shared" si="11"/>
        <v>1</v>
      </c>
      <c r="AK23">
        <f>step3_validation[[#This Row],[AI_TRU1]]</f>
        <v>8</v>
      </c>
      <c r="AL23" t="str">
        <f t="shared" si="12"/>
        <v>Support</v>
      </c>
      <c r="AM23">
        <f>survey_responses[[#This Row],[Tôi tin rằng Nhà nước, cơ quan thuế sẽ thực thi chính sách mới một cách khách quan, công tâm và đối xử bình đẳng với mọi người nộp thuế.  - HUMAN-TRU1]]</f>
        <v>8</v>
      </c>
      <c r="AN23" t="str">
        <f t="shared" si="13"/>
        <v>Support</v>
      </c>
      <c r="AO23" s="32">
        <f t="shared" si="14"/>
        <v>0</v>
      </c>
      <c r="AP23">
        <f>step3_validation[[#This Row],[AI_TRU2]]</f>
        <v>7</v>
      </c>
      <c r="AQ23" t="str">
        <f t="shared" si="15"/>
        <v>Neutral</v>
      </c>
      <c r="AR23">
        <f>survey_responses[[#This Row],[Tôi thấy mức thuế tôi phải đóng theo phương án mới là công bằng (người thu nhập như tôi đóng mức này là hợp lý). - HUMAN-TRU2]]</f>
        <v>8</v>
      </c>
      <c r="AS23" t="str">
        <f t="shared" si="16"/>
        <v>Support</v>
      </c>
      <c r="AT23" s="32">
        <f t="shared" si="17"/>
        <v>1</v>
      </c>
      <c r="AU23">
        <f>step3_validation[[#This Row],[AI_TRU3]]</f>
        <v>8</v>
      </c>
      <c r="AV23" t="str">
        <f t="shared" si="18"/>
        <v>Support</v>
      </c>
      <c r="AW23">
        <f>survey_responses[[#This Row],[Tôi tin tưởng số tiền thuế tôi đóng sẽ được Nhà nước sử dụng hiệu quả để cải thiện dịch vụ công (y tế, đường xá...). - HUMAN-TRU3]]</f>
        <v>8</v>
      </c>
      <c r="AX23" t="str">
        <f t="shared" si="19"/>
        <v>Support</v>
      </c>
      <c r="AY23" s="32">
        <f t="shared" si="20"/>
        <v>0</v>
      </c>
      <c r="AZ23">
        <f>step3_validation[[#This Row],[AI_TRU4]]</f>
        <v>7</v>
      </c>
      <c r="BA23" t="str">
        <f t="shared" si="21"/>
        <v>Neutral</v>
      </c>
      <c r="BB23">
        <f>survey_responses[[#This Row],[Tôi thấy Nhà nước đã giải thích rõ ràng, minh bạch về lý do và mục tiêu của việc sửa đổi thuế lần này. - HUMAN-TRU4]]</f>
        <v>8</v>
      </c>
      <c r="BC23" t="str">
        <f t="shared" si="22"/>
        <v>Support</v>
      </c>
      <c r="BD23" s="32">
        <f t="shared" si="23"/>
        <v>1</v>
      </c>
      <c r="BE23">
        <f>step3_validation[[#This Row],[AI_OUT1]]</f>
        <v>8</v>
      </c>
      <c r="BF23" t="str">
        <f t="shared" si="24"/>
        <v>Support</v>
      </c>
      <c r="BG23">
        <f>survey_responses[[#This Row],[Sau khi xem xét các quyền lợi và nghĩa vụ, bạn có ủng hộ và tuân thủ chính sách mới hiện nay? - HUMAN-OUT1]]</f>
        <v>8</v>
      </c>
      <c r="BH23" t="str">
        <f t="shared" si="25"/>
        <v>Support</v>
      </c>
      <c r="BI23" s="32">
        <f t="shared" si="26"/>
        <v>0</v>
      </c>
    </row>
    <row r="24" spans="1:61" x14ac:dyDescent="0.45">
      <c r="A24" s="30">
        <f>step3_validation[[#This Row],[Persona_ID]]</f>
        <v>23</v>
      </c>
      <c r="B24" s="31">
        <f>step3_validation[[#This Row],[Used_Seed]]</f>
        <v>2013</v>
      </c>
      <c r="C24" t="str">
        <f>step3_validation[[#This Row],[Gender]]</f>
        <v>Nữ</v>
      </c>
      <c r="D24" t="str">
        <f>survey_responses[[#This Row],[Giới tính của bạn:]]</f>
        <v>Nữ</v>
      </c>
      <c r="E24" t="str">
        <f>step3_validation[[#This Row],[Age_Group]]</f>
        <v>40 - 49</v>
      </c>
      <c r="F24" t="str">
        <f>survey_responses[[#This Row],[Độ tuổi của bạn:]]</f>
        <v>40 - 49</v>
      </c>
      <c r="G24" t="str">
        <f>step3_validation[[#This Row],[Region]]</f>
        <v>Thành thị</v>
      </c>
      <c r="H24" t="str">
        <f>survey_responses[[#This Row],[Khu vực bạn đang sinh sống:]]</f>
        <v>Thành thị</v>
      </c>
      <c r="I24" t="str">
        <f>step3_validation[[#This Row],[Education]]</f>
        <v>Sau Đại học</v>
      </c>
      <c r="J24" t="str">
        <f>survey_responses[[#This Row],[Trình độ học vấn cao nhất:]]</f>
        <v>Sau Đại học</v>
      </c>
      <c r="K24" t="str">
        <f>step3_validation[[#This Row],[Employment]]</f>
        <v>Chính thức</v>
      </c>
      <c r="L24" t="str">
        <f>survey_responses[[#This Row],[Tình trạng việc làm chính:]]</f>
        <v>Khu vực chính thức (Có Hợp đồng lao động, đóng BHXH)</v>
      </c>
      <c r="M24">
        <f>step3_validation[[#This Row],[Income_Mil]]</f>
        <v>78.405168822670689</v>
      </c>
      <c r="N24" t="str">
        <f>survey_responses[[#This Row],[Thu nhập bình quân tháng theo Hợp đồng lao động của bạn là bao nhiêu? (Vui lòng điền tổng thu nhập trước khi khấu trừ các loại Bảo hiểm (BHXH, BHYT, BHTN) và Thuế TNCN)]]</f>
        <v>Từ 70 - 102 triệu VNĐ</v>
      </c>
      <c r="O24">
        <f>step3_validation[[#This Row],[Dependents]]</f>
        <v>3</v>
      </c>
      <c r="P24" t="str">
        <f>survey_responses[[#This Row],[Số người phụ thuộc (con nhỏ, cha mẹ già...) đủ điều kiện giảm trừ gia cảnh:]]</f>
        <v>3 người</v>
      </c>
      <c r="Q24">
        <f>step3_validation[[#This Row],[AI_ENF1]]</f>
        <v>8</v>
      </c>
      <c r="R24" t="str">
        <f t="shared" si="0"/>
        <v>Support</v>
      </c>
      <c r="S24">
        <f>survey_responses[[#This Row],[Tôi tin rằng với các quy định quản lý thuế hiện nay, hành vi gian lận hoặc trốn thuế sẽ dễ dàng bị phát hiện và xử lý nghiêm. - HUMAN-ENF1]]</f>
        <v>5</v>
      </c>
      <c r="T24" t="str">
        <f t="shared" si="1"/>
        <v>Neutral</v>
      </c>
      <c r="U24" s="32">
        <f t="shared" si="2"/>
        <v>3</v>
      </c>
      <c r="V24">
        <f>step3_validation[[#This Row],[AI_ENF2]]</f>
        <v>7</v>
      </c>
      <c r="W24" t="str">
        <f t="shared" si="3"/>
        <v>Neutral</v>
      </c>
      <c r="X24">
        <f>survey_responses[[#This Row],[Tôi tin rằng Nhà nước, cơ quan thuế có đủ khả năng và công nghệ để phát hiện, xử lý nghiêm các hành vi trốn thuế. - HUMAN-ENF2]]</f>
        <v>5</v>
      </c>
      <c r="Y24" t="str">
        <f t="shared" si="4"/>
        <v>Neutral</v>
      </c>
      <c r="Z24" s="32">
        <f t="shared" si="5"/>
        <v>2</v>
      </c>
      <c r="AA24">
        <f>step3_validation[[#This Row],[AI_FAC1]]</f>
        <v>6</v>
      </c>
      <c r="AB24" t="str">
        <f t="shared" si="6"/>
        <v>Neutral</v>
      </c>
      <c r="AC24">
        <f>survey_responses[[#This Row],[Các thủ tục khai báo thuế VÀ/HOẶC quy trình làm việc với cơ quan thuế đơn giản, tiện lợi, nhanh chóng hơn so với trước đây. - HUMAN-FAC1]]</f>
        <v>5</v>
      </c>
      <c r="AD24" t="str">
        <f t="shared" si="7"/>
        <v>Neutral</v>
      </c>
      <c r="AE24" s="32">
        <f t="shared" si="8"/>
        <v>1</v>
      </c>
      <c r="AF24">
        <f>step3_validation[[#This Row],[AI_FAC2]]</f>
        <v>5</v>
      </c>
      <c r="AG24" t="str">
        <f t="shared" si="9"/>
        <v>Neutral</v>
      </c>
      <c r="AH24">
        <f>survey_responses[[#This Row],[So với trước đây, tôi thấy cách tính thuế và các bậc thuế trong phương án mới đơn giản, dễ hiểu và dễ thực hiện hơn. - HUMAN-FAC2]]</f>
        <v>5</v>
      </c>
      <c r="AI24" t="str">
        <f t="shared" si="10"/>
        <v>Neutral</v>
      </c>
      <c r="AJ24" s="32">
        <f t="shared" si="11"/>
        <v>0</v>
      </c>
      <c r="AK24">
        <f>step3_validation[[#This Row],[AI_TRU1]]</f>
        <v>7</v>
      </c>
      <c r="AL24" t="str">
        <f t="shared" si="12"/>
        <v>Neutral</v>
      </c>
      <c r="AM24">
        <f>survey_responses[[#This Row],[Tôi tin rằng Nhà nước, cơ quan thuế sẽ thực thi chính sách mới một cách khách quan, công tâm và đối xử bình đẳng với mọi người nộp thuế.  - HUMAN-TRU1]]</f>
        <v>5</v>
      </c>
      <c r="AN24" t="str">
        <f t="shared" si="13"/>
        <v>Neutral</v>
      </c>
      <c r="AO24" s="32">
        <f t="shared" si="14"/>
        <v>2</v>
      </c>
      <c r="AP24">
        <f>step3_validation[[#This Row],[AI_TRU2]]</f>
        <v>6</v>
      </c>
      <c r="AQ24" t="str">
        <f t="shared" si="15"/>
        <v>Neutral</v>
      </c>
      <c r="AR24">
        <f>survey_responses[[#This Row],[Tôi thấy mức thuế tôi phải đóng theo phương án mới là công bằng (người thu nhập như tôi đóng mức này là hợp lý). - HUMAN-TRU2]]</f>
        <v>5</v>
      </c>
      <c r="AS24" t="str">
        <f t="shared" si="16"/>
        <v>Neutral</v>
      </c>
      <c r="AT24" s="32">
        <f t="shared" si="17"/>
        <v>1</v>
      </c>
      <c r="AU24">
        <f>step3_validation[[#This Row],[AI_TRU3]]</f>
        <v>7</v>
      </c>
      <c r="AV24" t="str">
        <f t="shared" si="18"/>
        <v>Neutral</v>
      </c>
      <c r="AW24">
        <f>survey_responses[[#This Row],[Tôi tin tưởng số tiền thuế tôi đóng sẽ được Nhà nước sử dụng hiệu quả để cải thiện dịch vụ công (y tế, đường xá...). - HUMAN-TRU3]]</f>
        <v>5</v>
      </c>
      <c r="AX24" t="str">
        <f t="shared" si="19"/>
        <v>Neutral</v>
      </c>
      <c r="AY24" s="32">
        <f t="shared" si="20"/>
        <v>2</v>
      </c>
      <c r="AZ24">
        <f>step3_validation[[#This Row],[AI_TRU4]]</f>
        <v>6</v>
      </c>
      <c r="BA24" t="str">
        <f t="shared" si="21"/>
        <v>Neutral</v>
      </c>
      <c r="BB24">
        <f>survey_responses[[#This Row],[Tôi thấy Nhà nước đã giải thích rõ ràng, minh bạch về lý do và mục tiêu của việc sửa đổi thuế lần này. - HUMAN-TRU4]]</f>
        <v>5</v>
      </c>
      <c r="BC24" t="str">
        <f t="shared" si="22"/>
        <v>Neutral</v>
      </c>
      <c r="BD24" s="32">
        <f t="shared" si="23"/>
        <v>1</v>
      </c>
      <c r="BE24">
        <f>step3_validation[[#This Row],[AI_OUT1]]</f>
        <v>6</v>
      </c>
      <c r="BF24" t="str">
        <f t="shared" si="24"/>
        <v>Neutral</v>
      </c>
      <c r="BG24">
        <f>survey_responses[[#This Row],[Sau khi xem xét các quyền lợi và nghĩa vụ, bạn có ủng hộ và tuân thủ chính sách mới hiện nay? - HUMAN-OUT1]]</f>
        <v>5</v>
      </c>
      <c r="BH24" t="str">
        <f t="shared" si="25"/>
        <v>Neutral</v>
      </c>
      <c r="BI24" s="32">
        <f t="shared" si="26"/>
        <v>1</v>
      </c>
    </row>
    <row r="25" spans="1:61" x14ac:dyDescent="0.45">
      <c r="A25" s="30">
        <f>step3_validation[[#This Row],[Persona_ID]]</f>
        <v>24</v>
      </c>
      <c r="B25" s="31">
        <f>step3_validation[[#This Row],[Used_Seed]]</f>
        <v>2014</v>
      </c>
      <c r="C25" t="str">
        <f>step3_validation[[#This Row],[Gender]]</f>
        <v>Nữ</v>
      </c>
      <c r="D25" t="str">
        <f>survey_responses[[#This Row],[Giới tính của bạn:]]</f>
        <v>Nữ</v>
      </c>
      <c r="E25" t="str">
        <f>step3_validation[[#This Row],[Age_Group]]</f>
        <v>30 - 39</v>
      </c>
      <c r="F25" t="str">
        <f>survey_responses[[#This Row],[Độ tuổi của bạn:]]</f>
        <v>30 - 39</v>
      </c>
      <c r="G25" t="str">
        <f>step3_validation[[#This Row],[Region]]</f>
        <v>Nông thôn</v>
      </c>
      <c r="H25" t="str">
        <f>survey_responses[[#This Row],[Khu vực bạn đang sinh sống:]]</f>
        <v>Nông thôn</v>
      </c>
      <c r="I25" t="str">
        <f>step3_validation[[#This Row],[Education]]</f>
        <v>Đại học</v>
      </c>
      <c r="J25" t="str">
        <f>survey_responses[[#This Row],[Trình độ học vấn cao nhất:]]</f>
        <v>Đại học</v>
      </c>
      <c r="K25" t="str">
        <f>step3_validation[[#This Row],[Employment]]</f>
        <v>Chính thức</v>
      </c>
      <c r="L25" t="str">
        <f>survey_responses[[#This Row],[Tình trạng việc làm chính:]]</f>
        <v>Khu vực chính thức (Có Hợp đồng lao động, đóng BHXH)</v>
      </c>
      <c r="M25">
        <f>step3_validation[[#This Row],[Income_Mil]]</f>
        <v>30.348672224917316</v>
      </c>
      <c r="N25" t="str">
        <f>survey_responses[[#This Row],[Thu nhập bình quân tháng theo Hợp đồng lao động của bạn là bao nhiêu? (Vui lòng điền tổng thu nhập trước khi khấu trừ các loại Bảo hiểm (BHXH, BHYT, BHTN) và Thuế TNCN)]]</f>
        <v>Từ 23 - 32 triệu VNĐ</v>
      </c>
      <c r="O25">
        <f>step3_validation[[#This Row],[Dependents]]</f>
        <v>2</v>
      </c>
      <c r="P25" t="str">
        <f>survey_responses[[#This Row],[Số người phụ thuộc (con nhỏ, cha mẹ già...) đủ điều kiện giảm trừ gia cảnh:]]</f>
        <v>2 người</v>
      </c>
      <c r="Q25">
        <f>step3_validation[[#This Row],[AI_ENF1]]</f>
        <v>7</v>
      </c>
      <c r="R25" t="str">
        <f t="shared" si="0"/>
        <v>Neutral</v>
      </c>
      <c r="S25">
        <f>survey_responses[[#This Row],[Tôi tin rằng với các quy định quản lý thuế hiện nay, hành vi gian lận hoặc trốn thuế sẽ dễ dàng bị phát hiện và xử lý nghiêm. - HUMAN-ENF1]]</f>
        <v>9</v>
      </c>
      <c r="T25" t="str">
        <f t="shared" si="1"/>
        <v>Support</v>
      </c>
      <c r="U25" s="32">
        <f t="shared" si="2"/>
        <v>2</v>
      </c>
      <c r="V25">
        <f>step3_validation[[#This Row],[AI_ENF2]]</f>
        <v>8</v>
      </c>
      <c r="W25" t="str">
        <f t="shared" si="3"/>
        <v>Support</v>
      </c>
      <c r="X25">
        <f>survey_responses[[#This Row],[Tôi tin rằng Nhà nước, cơ quan thuế có đủ khả năng và công nghệ để phát hiện, xử lý nghiêm các hành vi trốn thuế. - HUMAN-ENF2]]</f>
        <v>8</v>
      </c>
      <c r="Y25" t="str">
        <f t="shared" si="4"/>
        <v>Support</v>
      </c>
      <c r="Z25" s="32">
        <f t="shared" si="5"/>
        <v>0</v>
      </c>
      <c r="AA25">
        <f>step3_validation[[#This Row],[AI_FAC1]]</f>
        <v>6</v>
      </c>
      <c r="AB25" t="str">
        <f t="shared" si="6"/>
        <v>Neutral</v>
      </c>
      <c r="AC25">
        <f>survey_responses[[#This Row],[Các thủ tục khai báo thuế VÀ/HOẶC quy trình làm việc với cơ quan thuế đơn giản, tiện lợi, nhanh chóng hơn so với trước đây. - HUMAN-FAC1]]</f>
        <v>6</v>
      </c>
      <c r="AD25" t="str">
        <f t="shared" si="7"/>
        <v>Neutral</v>
      </c>
      <c r="AE25" s="32">
        <f t="shared" si="8"/>
        <v>0</v>
      </c>
      <c r="AF25">
        <f>step3_validation[[#This Row],[AI_FAC2]]</f>
        <v>5</v>
      </c>
      <c r="AG25" t="str">
        <f t="shared" si="9"/>
        <v>Neutral</v>
      </c>
      <c r="AH25">
        <f>survey_responses[[#This Row],[So với trước đây, tôi thấy cách tính thuế và các bậc thuế trong phương án mới đơn giản, dễ hiểu và dễ thực hiện hơn. - HUMAN-FAC2]]</f>
        <v>9</v>
      </c>
      <c r="AI25" t="str">
        <f t="shared" si="10"/>
        <v>Support</v>
      </c>
      <c r="AJ25" s="32">
        <f t="shared" si="11"/>
        <v>4</v>
      </c>
      <c r="AK25">
        <f>step3_validation[[#This Row],[AI_TRU1]]</f>
        <v>7</v>
      </c>
      <c r="AL25" t="str">
        <f t="shared" si="12"/>
        <v>Neutral</v>
      </c>
      <c r="AM25">
        <f>survey_responses[[#This Row],[Tôi tin rằng Nhà nước, cơ quan thuế sẽ thực thi chính sách mới một cách khách quan, công tâm và đối xử bình đẳng với mọi người nộp thuế.  - HUMAN-TRU1]]</f>
        <v>8</v>
      </c>
      <c r="AN25" t="str">
        <f t="shared" si="13"/>
        <v>Support</v>
      </c>
      <c r="AO25" s="32">
        <f t="shared" si="14"/>
        <v>1</v>
      </c>
      <c r="AP25">
        <f>step3_validation[[#This Row],[AI_TRU2]]</f>
        <v>6</v>
      </c>
      <c r="AQ25" t="str">
        <f t="shared" si="15"/>
        <v>Neutral</v>
      </c>
      <c r="AR25">
        <f>survey_responses[[#This Row],[Tôi thấy mức thuế tôi phải đóng theo phương án mới là công bằng (người thu nhập như tôi đóng mức này là hợp lý). - HUMAN-TRU2]]</f>
        <v>10</v>
      </c>
      <c r="AS25" t="str">
        <f t="shared" si="16"/>
        <v>Support</v>
      </c>
      <c r="AT25" s="32">
        <f t="shared" si="17"/>
        <v>4</v>
      </c>
      <c r="AU25">
        <f>step3_validation[[#This Row],[AI_TRU3]]</f>
        <v>7</v>
      </c>
      <c r="AV25" t="str">
        <f t="shared" si="18"/>
        <v>Neutral</v>
      </c>
      <c r="AW25">
        <f>survey_responses[[#This Row],[Tôi tin tưởng số tiền thuế tôi đóng sẽ được Nhà nước sử dụng hiệu quả để cải thiện dịch vụ công (y tế, đường xá...). - HUMAN-TRU3]]</f>
        <v>6</v>
      </c>
      <c r="AX25" t="str">
        <f t="shared" si="19"/>
        <v>Neutral</v>
      </c>
      <c r="AY25" s="32">
        <f t="shared" si="20"/>
        <v>1</v>
      </c>
      <c r="AZ25">
        <f>step3_validation[[#This Row],[AI_TRU4]]</f>
        <v>5</v>
      </c>
      <c r="BA25" t="str">
        <f t="shared" si="21"/>
        <v>Neutral</v>
      </c>
      <c r="BB25">
        <f>survey_responses[[#This Row],[Tôi thấy Nhà nước đã giải thích rõ ràng, minh bạch về lý do và mục tiêu của việc sửa đổi thuế lần này. - HUMAN-TRU4]]</f>
        <v>6</v>
      </c>
      <c r="BC25" t="str">
        <f t="shared" si="22"/>
        <v>Neutral</v>
      </c>
      <c r="BD25" s="32">
        <f t="shared" si="23"/>
        <v>1</v>
      </c>
      <c r="BE25">
        <f>step3_validation[[#This Row],[AI_OUT1]]</f>
        <v>6</v>
      </c>
      <c r="BF25" t="str">
        <f t="shared" si="24"/>
        <v>Neutral</v>
      </c>
      <c r="BG25">
        <f>survey_responses[[#This Row],[Sau khi xem xét các quyền lợi và nghĩa vụ, bạn có ủng hộ và tuân thủ chính sách mới hiện nay? - HUMAN-OUT1]]</f>
        <v>8</v>
      </c>
      <c r="BH25" t="str">
        <f t="shared" si="25"/>
        <v>Support</v>
      </c>
      <c r="BI25" s="32">
        <f t="shared" si="26"/>
        <v>2</v>
      </c>
    </row>
    <row r="26" spans="1:61" x14ac:dyDescent="0.45">
      <c r="A26" s="30">
        <f>step3_validation[[#This Row],[Persona_ID]]</f>
        <v>25</v>
      </c>
      <c r="B26" s="31">
        <f>step3_validation[[#This Row],[Used_Seed]]</f>
        <v>2015</v>
      </c>
      <c r="C26" t="str">
        <f>step3_validation[[#This Row],[Gender]]</f>
        <v>Nam</v>
      </c>
      <c r="D26" t="str">
        <f>survey_responses[[#This Row],[Giới tính của bạn:]]</f>
        <v>Nam</v>
      </c>
      <c r="E26" t="str">
        <f>step3_validation[[#This Row],[Age_Group]]</f>
        <v>30 - 39</v>
      </c>
      <c r="F26" t="str">
        <f>survey_responses[[#This Row],[Độ tuổi của bạn:]]</f>
        <v>30 - 39</v>
      </c>
      <c r="G26" t="str">
        <f>step3_validation[[#This Row],[Region]]</f>
        <v>Thành thị</v>
      </c>
      <c r="H26" t="str">
        <f>survey_responses[[#This Row],[Khu vực bạn đang sinh sống:]]</f>
        <v>Thành thị</v>
      </c>
      <c r="I26" t="str">
        <f>step3_validation[[#This Row],[Education]]</f>
        <v>Sau Đại học</v>
      </c>
      <c r="J26" t="str">
        <f>survey_responses[[#This Row],[Trình độ học vấn cao nhất:]]</f>
        <v>Sau Đại học</v>
      </c>
      <c r="K26" t="str">
        <f>step3_validation[[#This Row],[Employment]]</f>
        <v>Chính thức</v>
      </c>
      <c r="L26" t="str">
        <f>survey_responses[[#This Row],[Tình trạng việc làm chính:]]</f>
        <v>Khu vực chính thức (Có Hợp đồng lao động, đóng BHXH)</v>
      </c>
      <c r="M26">
        <f>step3_validation[[#This Row],[Income_Mil]]</f>
        <v>39.561083069743439</v>
      </c>
      <c r="N26" t="str">
        <f>survey_responses[[#This Row],[Thu nhập bình quân tháng theo Hợp đồng lao động của bạn là bao nhiêu? (Vui lòng điền tổng thu nhập trước khi khấu trừ các loại Bảo hiểm (BHXH, BHYT, BHTN) và Thuế TNCN)]]</f>
        <v>Từ 32 - 48 triệu VNĐ</v>
      </c>
      <c r="O26">
        <f>step3_validation[[#This Row],[Dependents]]</f>
        <v>1</v>
      </c>
      <c r="P26" t="str">
        <f>survey_responses[[#This Row],[Số người phụ thuộc (con nhỏ, cha mẹ già...) đủ điều kiện giảm trừ gia cảnh:]]</f>
        <v>1 người</v>
      </c>
      <c r="Q26">
        <f>step3_validation[[#This Row],[AI_ENF1]]</f>
        <v>7</v>
      </c>
      <c r="R26" t="str">
        <f t="shared" si="0"/>
        <v>Neutral</v>
      </c>
      <c r="S26">
        <f>survey_responses[[#This Row],[Tôi tin rằng với các quy định quản lý thuế hiện nay, hành vi gian lận hoặc trốn thuế sẽ dễ dàng bị phát hiện và xử lý nghiêm. - HUMAN-ENF1]]</f>
        <v>6</v>
      </c>
      <c r="T26" t="str">
        <f t="shared" si="1"/>
        <v>Neutral</v>
      </c>
      <c r="U26" s="32">
        <f t="shared" si="2"/>
        <v>1</v>
      </c>
      <c r="V26">
        <f>step3_validation[[#This Row],[AI_ENF2]]</f>
        <v>8</v>
      </c>
      <c r="W26" t="str">
        <f t="shared" si="3"/>
        <v>Support</v>
      </c>
      <c r="X26">
        <f>survey_responses[[#This Row],[Tôi tin rằng Nhà nước, cơ quan thuế có đủ khả năng và công nghệ để phát hiện, xử lý nghiêm các hành vi trốn thuế. - HUMAN-ENF2]]</f>
        <v>7</v>
      </c>
      <c r="Y26" t="str">
        <f t="shared" si="4"/>
        <v>Neutral</v>
      </c>
      <c r="Z26" s="32">
        <f t="shared" si="5"/>
        <v>1</v>
      </c>
      <c r="AA26">
        <f>step3_validation[[#This Row],[AI_FAC1]]</f>
        <v>9</v>
      </c>
      <c r="AB26" t="str">
        <f t="shared" si="6"/>
        <v>Support</v>
      </c>
      <c r="AC26">
        <f>survey_responses[[#This Row],[Các thủ tục khai báo thuế VÀ/HOẶC quy trình làm việc với cơ quan thuế đơn giản, tiện lợi, nhanh chóng hơn so với trước đây. - HUMAN-FAC1]]</f>
        <v>5</v>
      </c>
      <c r="AD26" t="str">
        <f t="shared" si="7"/>
        <v>Neutral</v>
      </c>
      <c r="AE26" s="32">
        <f t="shared" si="8"/>
        <v>4</v>
      </c>
      <c r="AF26">
        <f>step3_validation[[#This Row],[AI_FAC2]]</f>
        <v>7</v>
      </c>
      <c r="AG26" t="str">
        <f t="shared" si="9"/>
        <v>Neutral</v>
      </c>
      <c r="AH26">
        <f>survey_responses[[#This Row],[So với trước đây, tôi thấy cách tính thuế và các bậc thuế trong phương án mới đơn giản, dễ hiểu và dễ thực hiện hơn. - HUMAN-FAC2]]</f>
        <v>6</v>
      </c>
      <c r="AI26" t="str">
        <f t="shared" si="10"/>
        <v>Neutral</v>
      </c>
      <c r="AJ26" s="32">
        <f t="shared" si="11"/>
        <v>1</v>
      </c>
      <c r="AK26">
        <f>step3_validation[[#This Row],[AI_TRU1]]</f>
        <v>8</v>
      </c>
      <c r="AL26" t="str">
        <f t="shared" si="12"/>
        <v>Support</v>
      </c>
      <c r="AM26">
        <f>survey_responses[[#This Row],[Tôi tin rằng Nhà nước, cơ quan thuế sẽ thực thi chính sách mới một cách khách quan, công tâm và đối xử bình đẳng với mọi người nộp thuế.  - HUMAN-TRU1]]</f>
        <v>7</v>
      </c>
      <c r="AN26" t="str">
        <f t="shared" si="13"/>
        <v>Neutral</v>
      </c>
      <c r="AO26" s="32">
        <f t="shared" si="14"/>
        <v>1</v>
      </c>
      <c r="AP26">
        <f>step3_validation[[#This Row],[AI_TRU2]]</f>
        <v>6</v>
      </c>
      <c r="AQ26" t="str">
        <f t="shared" si="15"/>
        <v>Neutral</v>
      </c>
      <c r="AR26">
        <f>survey_responses[[#This Row],[Tôi thấy mức thuế tôi phải đóng theo phương án mới là công bằng (người thu nhập như tôi đóng mức này là hợp lý). - HUMAN-TRU2]]</f>
        <v>7</v>
      </c>
      <c r="AS26" t="str">
        <f t="shared" si="16"/>
        <v>Neutral</v>
      </c>
      <c r="AT26" s="32">
        <f t="shared" si="17"/>
        <v>1</v>
      </c>
      <c r="AU26">
        <f>step3_validation[[#This Row],[AI_TRU3]]</f>
        <v>7</v>
      </c>
      <c r="AV26" t="str">
        <f t="shared" si="18"/>
        <v>Neutral</v>
      </c>
      <c r="AW26">
        <f>survey_responses[[#This Row],[Tôi tin tưởng số tiền thuế tôi đóng sẽ được Nhà nước sử dụng hiệu quả để cải thiện dịch vụ công (y tế, đường xá...). - HUMAN-TRU3]]</f>
        <v>3</v>
      </c>
      <c r="AX26" t="str">
        <f t="shared" si="19"/>
        <v>Oppose</v>
      </c>
      <c r="AY26" s="32">
        <f t="shared" si="20"/>
        <v>4</v>
      </c>
      <c r="AZ26">
        <f>step3_validation[[#This Row],[AI_TRU4]]</f>
        <v>5</v>
      </c>
      <c r="BA26" t="str">
        <f t="shared" si="21"/>
        <v>Neutral</v>
      </c>
      <c r="BB26">
        <f>survey_responses[[#This Row],[Tôi thấy Nhà nước đã giải thích rõ ràng, minh bạch về lý do và mục tiêu của việc sửa đổi thuế lần này. - HUMAN-TRU4]]</f>
        <v>3</v>
      </c>
      <c r="BC26" t="str">
        <f t="shared" si="22"/>
        <v>Oppose</v>
      </c>
      <c r="BD26" s="32">
        <f t="shared" si="23"/>
        <v>2</v>
      </c>
      <c r="BE26">
        <f>step3_validation[[#This Row],[AI_OUT1]]</f>
        <v>8</v>
      </c>
      <c r="BF26" t="str">
        <f t="shared" si="24"/>
        <v>Support</v>
      </c>
      <c r="BG26">
        <f>survey_responses[[#This Row],[Sau khi xem xét các quyền lợi và nghĩa vụ, bạn có ủng hộ và tuân thủ chính sách mới hiện nay? - HUMAN-OUT1]]</f>
        <v>5</v>
      </c>
      <c r="BH26" t="str">
        <f t="shared" si="25"/>
        <v>Neutral</v>
      </c>
      <c r="BI26" s="32">
        <f t="shared" si="26"/>
        <v>3</v>
      </c>
    </row>
    <row r="27" spans="1:61" x14ac:dyDescent="0.45">
      <c r="A27" s="30">
        <f>step3_validation[[#This Row],[Persona_ID]]</f>
        <v>26</v>
      </c>
      <c r="B27" s="31">
        <f>step3_validation[[#This Row],[Used_Seed]]</f>
        <v>2016</v>
      </c>
      <c r="C27" t="str">
        <f>step3_validation[[#This Row],[Gender]]</f>
        <v>Nam</v>
      </c>
      <c r="D27" t="str">
        <f>survey_responses[[#This Row],[Giới tính của bạn:]]</f>
        <v>Nam</v>
      </c>
      <c r="E27" t="str">
        <f>step3_validation[[#This Row],[Age_Group]]</f>
        <v>30 - 39</v>
      </c>
      <c r="F27" t="str">
        <f>survey_responses[[#This Row],[Độ tuổi của bạn:]]</f>
        <v>30 - 39</v>
      </c>
      <c r="G27" t="str">
        <f>step3_validation[[#This Row],[Region]]</f>
        <v>Thành thị</v>
      </c>
      <c r="H27" t="str">
        <f>survey_responses[[#This Row],[Khu vực bạn đang sinh sống:]]</f>
        <v>Thành thị</v>
      </c>
      <c r="I27" t="str">
        <f>step3_validation[[#This Row],[Education]]</f>
        <v>Sau Đại học</v>
      </c>
      <c r="J27" t="str">
        <f>survey_responses[[#This Row],[Trình độ học vấn cao nhất:]]</f>
        <v>Sau Đại học</v>
      </c>
      <c r="K27" t="str">
        <f>step3_validation[[#This Row],[Employment]]</f>
        <v>Chính thức</v>
      </c>
      <c r="L27" t="str">
        <f>survey_responses[[#This Row],[Tình trạng việc làm chính:]]</f>
        <v>Khu vực chính thức (Có Hợp đồng lao động, đóng BHXH)</v>
      </c>
      <c r="M27">
        <f>step3_validation[[#This Row],[Income_Mil]]</f>
        <v>12</v>
      </c>
      <c r="N27" t="str">
        <f>survey_responses[[#This Row],[Thu nhập bình quân tháng theo Hợp đồng lao động của bạn là bao nhiêu? (Vui lòng điền tổng thu nhập trước khi khấu trừ các loại Bảo hiểm (BHXH, BHYT, BHTN) và Thuế TNCN)]]</f>
        <v>Dưới 12 triệu VNĐ</v>
      </c>
      <c r="O27">
        <f>step3_validation[[#This Row],[Dependents]]</f>
        <v>4</v>
      </c>
      <c r="P27" t="str">
        <f>survey_responses[[#This Row],[Số người phụ thuộc (con nhỏ, cha mẹ già...) đủ điều kiện giảm trừ gia cảnh:]]</f>
        <v>4 người trở lên</v>
      </c>
      <c r="Q27">
        <f>step3_validation[[#This Row],[AI_ENF1]]</f>
        <v>8</v>
      </c>
      <c r="R27" t="str">
        <f t="shared" si="0"/>
        <v>Support</v>
      </c>
      <c r="S27">
        <f>survey_responses[[#This Row],[Tôi tin rằng với các quy định quản lý thuế hiện nay, hành vi gian lận hoặc trốn thuế sẽ dễ dàng bị phát hiện và xử lý nghiêm. - HUMAN-ENF1]]</f>
        <v>10</v>
      </c>
      <c r="T27" t="str">
        <f t="shared" si="1"/>
        <v>Support</v>
      </c>
      <c r="U27" s="32">
        <f t="shared" si="2"/>
        <v>2</v>
      </c>
      <c r="V27">
        <f>step3_validation[[#This Row],[AI_ENF2]]</f>
        <v>9</v>
      </c>
      <c r="W27" t="str">
        <f t="shared" si="3"/>
        <v>Support</v>
      </c>
      <c r="X27">
        <f>survey_responses[[#This Row],[Tôi tin rằng Nhà nước, cơ quan thuế có đủ khả năng và công nghệ để phát hiện, xử lý nghiêm các hành vi trốn thuế. - HUMAN-ENF2]]</f>
        <v>10</v>
      </c>
      <c r="Y27" t="str">
        <f t="shared" si="4"/>
        <v>Support</v>
      </c>
      <c r="Z27" s="32">
        <f t="shared" si="5"/>
        <v>1</v>
      </c>
      <c r="AA27">
        <f>step3_validation[[#This Row],[AI_FAC1]]</f>
        <v>8</v>
      </c>
      <c r="AB27" t="str">
        <f t="shared" si="6"/>
        <v>Support</v>
      </c>
      <c r="AC27">
        <f>survey_responses[[#This Row],[Các thủ tục khai báo thuế VÀ/HOẶC quy trình làm việc với cơ quan thuế đơn giản, tiện lợi, nhanh chóng hơn so với trước đây. - HUMAN-FAC1]]</f>
        <v>10</v>
      </c>
      <c r="AD27" t="str">
        <f t="shared" si="7"/>
        <v>Support</v>
      </c>
      <c r="AE27" s="32">
        <f t="shared" si="8"/>
        <v>2</v>
      </c>
      <c r="AF27">
        <f>step3_validation[[#This Row],[AI_FAC2]]</f>
        <v>7</v>
      </c>
      <c r="AG27" t="str">
        <f t="shared" si="9"/>
        <v>Neutral</v>
      </c>
      <c r="AH27">
        <f>survey_responses[[#This Row],[So với trước đây, tôi thấy cách tính thuế và các bậc thuế trong phương án mới đơn giản, dễ hiểu và dễ thực hiện hơn. - HUMAN-FAC2]]</f>
        <v>6</v>
      </c>
      <c r="AI27" t="str">
        <f t="shared" si="10"/>
        <v>Neutral</v>
      </c>
      <c r="AJ27" s="32">
        <f t="shared" si="11"/>
        <v>1</v>
      </c>
      <c r="AK27">
        <f>step3_validation[[#This Row],[AI_TRU1]]</f>
        <v>8</v>
      </c>
      <c r="AL27" t="str">
        <f t="shared" si="12"/>
        <v>Support</v>
      </c>
      <c r="AM27">
        <f>survey_responses[[#This Row],[Tôi tin rằng Nhà nước, cơ quan thuế sẽ thực thi chính sách mới một cách khách quan, công tâm và đối xử bình đẳng với mọi người nộp thuế.  - HUMAN-TRU1]]</f>
        <v>6</v>
      </c>
      <c r="AN27" t="str">
        <f t="shared" si="13"/>
        <v>Neutral</v>
      </c>
      <c r="AO27" s="32">
        <f t="shared" si="14"/>
        <v>2</v>
      </c>
      <c r="AP27">
        <f>step3_validation[[#This Row],[AI_TRU2]]</f>
        <v>6</v>
      </c>
      <c r="AQ27" t="str">
        <f t="shared" si="15"/>
        <v>Neutral</v>
      </c>
      <c r="AR27">
        <f>survey_responses[[#This Row],[Tôi thấy mức thuế tôi phải đóng theo phương án mới là công bằng (người thu nhập như tôi đóng mức này là hợp lý). - HUMAN-TRU2]]</f>
        <v>10</v>
      </c>
      <c r="AS27" t="str">
        <f t="shared" si="16"/>
        <v>Support</v>
      </c>
      <c r="AT27" s="32">
        <f t="shared" si="17"/>
        <v>4</v>
      </c>
      <c r="AU27">
        <f>step3_validation[[#This Row],[AI_TRU3]]</f>
        <v>7</v>
      </c>
      <c r="AV27" t="str">
        <f t="shared" si="18"/>
        <v>Neutral</v>
      </c>
      <c r="AW27">
        <f>survey_responses[[#This Row],[Tôi tin tưởng số tiền thuế tôi đóng sẽ được Nhà nước sử dụng hiệu quả để cải thiện dịch vụ công (y tế, đường xá...). - HUMAN-TRU3]]</f>
        <v>1</v>
      </c>
      <c r="AX27" t="str">
        <f t="shared" si="19"/>
        <v>Oppose</v>
      </c>
      <c r="AY27" s="32">
        <f t="shared" si="20"/>
        <v>6</v>
      </c>
      <c r="AZ27">
        <f>step3_validation[[#This Row],[AI_TRU4]]</f>
        <v>6</v>
      </c>
      <c r="BA27" t="str">
        <f t="shared" si="21"/>
        <v>Neutral</v>
      </c>
      <c r="BB27">
        <f>survey_responses[[#This Row],[Tôi thấy Nhà nước đã giải thích rõ ràng, minh bạch về lý do và mục tiêu của việc sửa đổi thuế lần này. - HUMAN-TRU4]]</f>
        <v>4</v>
      </c>
      <c r="BC27" t="str">
        <f t="shared" si="22"/>
        <v>Oppose</v>
      </c>
      <c r="BD27" s="32">
        <f t="shared" si="23"/>
        <v>2</v>
      </c>
      <c r="BE27">
        <f>step3_validation[[#This Row],[AI_OUT1]]</f>
        <v>7</v>
      </c>
      <c r="BF27" t="str">
        <f t="shared" si="24"/>
        <v>Neutral</v>
      </c>
      <c r="BG27">
        <f>survey_responses[[#This Row],[Sau khi xem xét các quyền lợi và nghĩa vụ, bạn có ủng hộ và tuân thủ chính sách mới hiện nay? - HUMAN-OUT1]]</f>
        <v>10</v>
      </c>
      <c r="BH27" t="str">
        <f t="shared" si="25"/>
        <v>Support</v>
      </c>
      <c r="BI27" s="32">
        <f t="shared" si="26"/>
        <v>3</v>
      </c>
    </row>
    <row r="28" spans="1:61" x14ac:dyDescent="0.45">
      <c r="A28" s="30">
        <f>step3_validation[[#This Row],[Persona_ID]]</f>
        <v>27</v>
      </c>
      <c r="B28" s="31">
        <f>step3_validation[[#This Row],[Used_Seed]]</f>
        <v>2017</v>
      </c>
      <c r="C28" t="str">
        <f>step3_validation[[#This Row],[Gender]]</f>
        <v>Nam</v>
      </c>
      <c r="D28" t="str">
        <f>survey_responses[[#This Row],[Giới tính của bạn:]]</f>
        <v>Nam</v>
      </c>
      <c r="E28" t="str">
        <f>step3_validation[[#This Row],[Age_Group]]</f>
        <v>18 - 24</v>
      </c>
      <c r="F28" t="str">
        <f>survey_responses[[#This Row],[Độ tuổi của bạn:]]</f>
        <v>18 - 24</v>
      </c>
      <c r="G28" t="str">
        <f>step3_validation[[#This Row],[Region]]</f>
        <v>Thành thị</v>
      </c>
      <c r="H28" t="str">
        <f>survey_responses[[#This Row],[Khu vực bạn đang sinh sống:]]</f>
        <v>Thành thị</v>
      </c>
      <c r="I28" t="str">
        <f>step3_validation[[#This Row],[Education]]</f>
        <v>Đại học</v>
      </c>
      <c r="J28" t="str">
        <f>survey_responses[[#This Row],[Trình độ học vấn cao nhất:]]</f>
        <v>Đại học</v>
      </c>
      <c r="K28" t="str">
        <f>step3_validation[[#This Row],[Employment]]</f>
        <v>Chính thức</v>
      </c>
      <c r="L28" t="str">
        <f>survey_responses[[#This Row],[Tình trạng việc làm chính:]]</f>
        <v>Khu vực chính thức (Có Hợp đồng lao động, đóng BHXH)</v>
      </c>
      <c r="M28">
        <f>step3_validation[[#This Row],[Income_Mil]]</f>
        <v>12</v>
      </c>
      <c r="N28" t="str">
        <f>survey_responses[[#This Row],[Thu nhập bình quân tháng theo Hợp đồng lao động của bạn là bao nhiêu? (Vui lòng điền tổng thu nhập trước khi khấu trừ các loại Bảo hiểm (BHXH, BHYT, BHTN) và Thuế TNCN)]]</f>
        <v>Dưới 12 triệu VNĐ</v>
      </c>
      <c r="O28">
        <f>step3_validation[[#This Row],[Dependents]]</f>
        <v>0</v>
      </c>
      <c r="P28" t="str">
        <f>survey_responses[[#This Row],[Số người phụ thuộc (con nhỏ, cha mẹ già...) đủ điều kiện giảm trừ gia cảnh:]]</f>
        <v>0 người</v>
      </c>
      <c r="Q28">
        <f>step3_validation[[#This Row],[AI_ENF1]]</f>
        <v>8</v>
      </c>
      <c r="R28" t="str">
        <f t="shared" si="0"/>
        <v>Support</v>
      </c>
      <c r="S28">
        <f>survey_responses[[#This Row],[Tôi tin rằng với các quy định quản lý thuế hiện nay, hành vi gian lận hoặc trốn thuế sẽ dễ dàng bị phát hiện và xử lý nghiêm. - HUMAN-ENF1]]</f>
        <v>1</v>
      </c>
      <c r="T28" t="str">
        <f t="shared" si="1"/>
        <v>Oppose</v>
      </c>
      <c r="U28" s="32">
        <f t="shared" si="2"/>
        <v>7</v>
      </c>
      <c r="V28">
        <f>step3_validation[[#This Row],[AI_ENF2]]</f>
        <v>8</v>
      </c>
      <c r="W28" t="str">
        <f t="shared" si="3"/>
        <v>Support</v>
      </c>
      <c r="X28">
        <f>survey_responses[[#This Row],[Tôi tin rằng Nhà nước, cơ quan thuế có đủ khả năng và công nghệ để phát hiện, xử lý nghiêm các hành vi trốn thuế. - HUMAN-ENF2]]</f>
        <v>1</v>
      </c>
      <c r="Y28" t="str">
        <f t="shared" si="4"/>
        <v>Oppose</v>
      </c>
      <c r="Z28" s="32">
        <f t="shared" si="5"/>
        <v>7</v>
      </c>
      <c r="AA28">
        <f>step3_validation[[#This Row],[AI_FAC1]]</f>
        <v>7</v>
      </c>
      <c r="AB28" t="str">
        <f t="shared" si="6"/>
        <v>Neutral</v>
      </c>
      <c r="AC28">
        <f>survey_responses[[#This Row],[Các thủ tục khai báo thuế VÀ/HOẶC quy trình làm việc với cơ quan thuế đơn giản, tiện lợi, nhanh chóng hơn so với trước đây. - HUMAN-FAC1]]</f>
        <v>1</v>
      </c>
      <c r="AD28" t="str">
        <f t="shared" si="7"/>
        <v>Oppose</v>
      </c>
      <c r="AE28" s="32">
        <f t="shared" si="8"/>
        <v>6</v>
      </c>
      <c r="AF28">
        <f>step3_validation[[#This Row],[AI_FAC2]]</f>
        <v>8</v>
      </c>
      <c r="AG28" t="str">
        <f t="shared" si="9"/>
        <v>Support</v>
      </c>
      <c r="AH28">
        <f>survey_responses[[#This Row],[So với trước đây, tôi thấy cách tính thuế và các bậc thuế trong phương án mới đơn giản, dễ hiểu và dễ thực hiện hơn. - HUMAN-FAC2]]</f>
        <v>1</v>
      </c>
      <c r="AI28" t="str">
        <f t="shared" si="10"/>
        <v>Oppose</v>
      </c>
      <c r="AJ28" s="32">
        <f t="shared" si="11"/>
        <v>7</v>
      </c>
      <c r="AK28">
        <f>step3_validation[[#This Row],[AI_TRU1]]</f>
        <v>7</v>
      </c>
      <c r="AL28" t="str">
        <f t="shared" si="12"/>
        <v>Neutral</v>
      </c>
      <c r="AM28">
        <f>survey_responses[[#This Row],[Tôi tin rằng Nhà nước, cơ quan thuế sẽ thực thi chính sách mới một cách khách quan, công tâm và đối xử bình đẳng với mọi người nộp thuế.  - HUMAN-TRU1]]</f>
        <v>1</v>
      </c>
      <c r="AN28" t="str">
        <f t="shared" si="13"/>
        <v>Oppose</v>
      </c>
      <c r="AO28" s="32">
        <f t="shared" si="14"/>
        <v>6</v>
      </c>
      <c r="AP28">
        <f>step3_validation[[#This Row],[AI_TRU2]]</f>
        <v>8</v>
      </c>
      <c r="AQ28" t="str">
        <f t="shared" si="15"/>
        <v>Support</v>
      </c>
      <c r="AR28">
        <f>survey_responses[[#This Row],[Tôi thấy mức thuế tôi phải đóng theo phương án mới là công bằng (người thu nhập như tôi đóng mức này là hợp lý). - HUMAN-TRU2]]</f>
        <v>1</v>
      </c>
      <c r="AS28" t="str">
        <f t="shared" si="16"/>
        <v>Oppose</v>
      </c>
      <c r="AT28" s="32">
        <f t="shared" si="17"/>
        <v>7</v>
      </c>
      <c r="AU28">
        <f>step3_validation[[#This Row],[AI_TRU3]]</f>
        <v>6</v>
      </c>
      <c r="AV28" t="str">
        <f t="shared" si="18"/>
        <v>Neutral</v>
      </c>
      <c r="AW28">
        <f>survey_responses[[#This Row],[Tôi tin tưởng số tiền thuế tôi đóng sẽ được Nhà nước sử dụng hiệu quả để cải thiện dịch vụ công (y tế, đường xá...). - HUMAN-TRU3]]</f>
        <v>1</v>
      </c>
      <c r="AX28" t="str">
        <f t="shared" si="19"/>
        <v>Oppose</v>
      </c>
      <c r="AY28" s="32">
        <f t="shared" si="20"/>
        <v>5</v>
      </c>
      <c r="AZ28">
        <f>step3_validation[[#This Row],[AI_TRU4]]</f>
        <v>7</v>
      </c>
      <c r="BA28" t="str">
        <f t="shared" si="21"/>
        <v>Neutral</v>
      </c>
      <c r="BB28">
        <f>survey_responses[[#This Row],[Tôi thấy Nhà nước đã giải thích rõ ràng, minh bạch về lý do và mục tiêu của việc sửa đổi thuế lần này. - HUMAN-TRU4]]</f>
        <v>1</v>
      </c>
      <c r="BC28" t="str">
        <f t="shared" si="22"/>
        <v>Oppose</v>
      </c>
      <c r="BD28" s="32">
        <f t="shared" si="23"/>
        <v>6</v>
      </c>
      <c r="BE28">
        <f>step3_validation[[#This Row],[AI_OUT1]]</f>
        <v>7</v>
      </c>
      <c r="BF28" t="str">
        <f t="shared" si="24"/>
        <v>Neutral</v>
      </c>
      <c r="BG28">
        <f>survey_responses[[#This Row],[Sau khi xem xét các quyền lợi và nghĩa vụ, bạn có ủng hộ và tuân thủ chính sách mới hiện nay? - HUMAN-OUT1]]</f>
        <v>1</v>
      </c>
      <c r="BH28" t="str">
        <f t="shared" si="25"/>
        <v>Oppose</v>
      </c>
      <c r="BI28" s="32">
        <f t="shared" si="26"/>
        <v>6</v>
      </c>
    </row>
    <row r="29" spans="1:61" x14ac:dyDescent="0.45">
      <c r="A29" s="30">
        <f>step3_validation[[#This Row],[Persona_ID]]</f>
        <v>28</v>
      </c>
      <c r="B29" s="31">
        <f>step3_validation[[#This Row],[Used_Seed]]</f>
        <v>2018</v>
      </c>
      <c r="C29" t="str">
        <f>step3_validation[[#This Row],[Gender]]</f>
        <v>Nam</v>
      </c>
      <c r="D29" t="str">
        <f>survey_responses[[#This Row],[Giới tính của bạn:]]</f>
        <v>Nam</v>
      </c>
      <c r="E29" t="str">
        <f>step3_validation[[#This Row],[Age_Group]]</f>
        <v>25 - 29</v>
      </c>
      <c r="F29" t="str">
        <f>survey_responses[[#This Row],[Độ tuổi của bạn:]]</f>
        <v>25 - 29</v>
      </c>
      <c r="G29" t="str">
        <f>step3_validation[[#This Row],[Region]]</f>
        <v>Thành thị</v>
      </c>
      <c r="H29" t="str">
        <f>survey_responses[[#This Row],[Khu vực bạn đang sinh sống:]]</f>
        <v>Thành thị</v>
      </c>
      <c r="I29" t="str">
        <f>step3_validation[[#This Row],[Education]]</f>
        <v>Đại học</v>
      </c>
      <c r="J29" t="str">
        <f>survey_responses[[#This Row],[Trình độ học vấn cao nhất:]]</f>
        <v>Đại học</v>
      </c>
      <c r="K29" t="str">
        <f>step3_validation[[#This Row],[Employment]]</f>
        <v>Chính thức</v>
      </c>
      <c r="L29" t="str">
        <f>survey_responses[[#This Row],[Tình trạng việc làm chính:]]</f>
        <v>Khu vực chính thức (Có Hợp đồng lao động, đóng BHXH)</v>
      </c>
      <c r="M29">
        <f>step3_validation[[#This Row],[Income_Mil]]</f>
        <v>14.437016462564985</v>
      </c>
      <c r="N29" t="str">
        <f>survey_responses[[#This Row],[Thu nhập bình quân tháng theo Hợp đồng lao động của bạn là bao nhiêu? (Vui lòng điền tổng thu nhập trước khi khấu trừ các loại Bảo hiểm (BHXH, BHYT, BHTN) và Thuế TNCN)]]</f>
        <v>Từ 12 - 18 triệu VNĐ</v>
      </c>
      <c r="O29">
        <f>step3_validation[[#This Row],[Dependents]]</f>
        <v>0</v>
      </c>
      <c r="P29" t="str">
        <f>survey_responses[[#This Row],[Số người phụ thuộc (con nhỏ, cha mẹ già...) đủ điều kiện giảm trừ gia cảnh:]]</f>
        <v>0 người</v>
      </c>
      <c r="Q29">
        <f>step3_validation[[#This Row],[AI_ENF1]]</f>
        <v>8</v>
      </c>
      <c r="R29" t="str">
        <f t="shared" si="0"/>
        <v>Support</v>
      </c>
      <c r="S29">
        <f>survey_responses[[#This Row],[Tôi tin rằng với các quy định quản lý thuế hiện nay, hành vi gian lận hoặc trốn thuế sẽ dễ dàng bị phát hiện và xử lý nghiêm. - HUMAN-ENF1]]</f>
        <v>1</v>
      </c>
      <c r="T29" t="str">
        <f t="shared" si="1"/>
        <v>Oppose</v>
      </c>
      <c r="U29" s="32">
        <f t="shared" si="2"/>
        <v>7</v>
      </c>
      <c r="V29">
        <f>step3_validation[[#This Row],[AI_ENF2]]</f>
        <v>7</v>
      </c>
      <c r="W29" t="str">
        <f t="shared" si="3"/>
        <v>Neutral</v>
      </c>
      <c r="X29">
        <f>survey_responses[[#This Row],[Tôi tin rằng Nhà nước, cơ quan thuế có đủ khả năng và công nghệ để phát hiện, xử lý nghiêm các hành vi trốn thuế. - HUMAN-ENF2]]</f>
        <v>1</v>
      </c>
      <c r="Y29" t="str">
        <f t="shared" si="4"/>
        <v>Oppose</v>
      </c>
      <c r="Z29" s="32">
        <f t="shared" si="5"/>
        <v>6</v>
      </c>
      <c r="AA29">
        <f>step3_validation[[#This Row],[AI_FAC1]]</f>
        <v>9</v>
      </c>
      <c r="AB29" t="str">
        <f t="shared" si="6"/>
        <v>Support</v>
      </c>
      <c r="AC29">
        <f>survey_responses[[#This Row],[Các thủ tục khai báo thuế VÀ/HOẶC quy trình làm việc với cơ quan thuế đơn giản, tiện lợi, nhanh chóng hơn so với trước đây. - HUMAN-FAC1]]</f>
        <v>1</v>
      </c>
      <c r="AD29" t="str">
        <f t="shared" si="7"/>
        <v>Oppose</v>
      </c>
      <c r="AE29" s="32">
        <f t="shared" si="8"/>
        <v>8</v>
      </c>
      <c r="AF29">
        <f>step3_validation[[#This Row],[AI_FAC2]]</f>
        <v>8</v>
      </c>
      <c r="AG29" t="str">
        <f t="shared" si="9"/>
        <v>Support</v>
      </c>
      <c r="AH29">
        <f>survey_responses[[#This Row],[So với trước đây, tôi thấy cách tính thuế và các bậc thuế trong phương án mới đơn giản, dễ hiểu và dễ thực hiện hơn. - HUMAN-FAC2]]</f>
        <v>1</v>
      </c>
      <c r="AI29" t="str">
        <f t="shared" si="10"/>
        <v>Oppose</v>
      </c>
      <c r="AJ29" s="32">
        <f t="shared" si="11"/>
        <v>7</v>
      </c>
      <c r="AK29">
        <f>step3_validation[[#This Row],[AI_TRU1]]</f>
        <v>7</v>
      </c>
      <c r="AL29" t="str">
        <f t="shared" si="12"/>
        <v>Neutral</v>
      </c>
      <c r="AM29">
        <f>survey_responses[[#This Row],[Tôi tin rằng Nhà nước, cơ quan thuế sẽ thực thi chính sách mới một cách khách quan, công tâm và đối xử bình đẳng với mọi người nộp thuế.  - HUMAN-TRU1]]</f>
        <v>1</v>
      </c>
      <c r="AN29" t="str">
        <f t="shared" si="13"/>
        <v>Oppose</v>
      </c>
      <c r="AO29" s="32">
        <f t="shared" si="14"/>
        <v>6</v>
      </c>
      <c r="AP29">
        <f>step3_validation[[#This Row],[AI_TRU2]]</f>
        <v>8</v>
      </c>
      <c r="AQ29" t="str">
        <f t="shared" si="15"/>
        <v>Support</v>
      </c>
      <c r="AR29">
        <f>survey_responses[[#This Row],[Tôi thấy mức thuế tôi phải đóng theo phương án mới là công bằng (người thu nhập như tôi đóng mức này là hợp lý). - HUMAN-TRU2]]</f>
        <v>1</v>
      </c>
      <c r="AS29" t="str">
        <f t="shared" si="16"/>
        <v>Oppose</v>
      </c>
      <c r="AT29" s="32">
        <f t="shared" si="17"/>
        <v>7</v>
      </c>
      <c r="AU29">
        <f>step3_validation[[#This Row],[AI_TRU3]]</f>
        <v>7</v>
      </c>
      <c r="AV29" t="str">
        <f t="shared" si="18"/>
        <v>Neutral</v>
      </c>
      <c r="AW29">
        <f>survey_responses[[#This Row],[Tôi tin tưởng số tiền thuế tôi đóng sẽ được Nhà nước sử dụng hiệu quả để cải thiện dịch vụ công (y tế, đường xá...). - HUMAN-TRU3]]</f>
        <v>1</v>
      </c>
      <c r="AX29" t="str">
        <f t="shared" si="19"/>
        <v>Oppose</v>
      </c>
      <c r="AY29" s="32">
        <f t="shared" si="20"/>
        <v>6</v>
      </c>
      <c r="AZ29">
        <f>step3_validation[[#This Row],[AI_TRU4]]</f>
        <v>6</v>
      </c>
      <c r="BA29" t="str">
        <f t="shared" si="21"/>
        <v>Neutral</v>
      </c>
      <c r="BB29">
        <f>survey_responses[[#This Row],[Tôi thấy Nhà nước đã giải thích rõ ràng, minh bạch về lý do và mục tiêu của việc sửa đổi thuế lần này. - HUMAN-TRU4]]</f>
        <v>1</v>
      </c>
      <c r="BC29" t="str">
        <f t="shared" si="22"/>
        <v>Oppose</v>
      </c>
      <c r="BD29" s="32">
        <f t="shared" si="23"/>
        <v>5</v>
      </c>
      <c r="BE29">
        <f>step3_validation[[#This Row],[AI_OUT1]]</f>
        <v>8</v>
      </c>
      <c r="BF29" t="str">
        <f t="shared" si="24"/>
        <v>Support</v>
      </c>
      <c r="BG29">
        <f>survey_responses[[#This Row],[Sau khi xem xét các quyền lợi và nghĩa vụ, bạn có ủng hộ và tuân thủ chính sách mới hiện nay? - HUMAN-OUT1]]</f>
        <v>1</v>
      </c>
      <c r="BH29" t="str">
        <f t="shared" si="25"/>
        <v>Oppose</v>
      </c>
      <c r="BI29" s="32">
        <f t="shared" si="26"/>
        <v>7</v>
      </c>
    </row>
    <row r="30" spans="1:61" x14ac:dyDescent="0.45">
      <c r="A30" s="30">
        <f>step3_validation[[#This Row],[Persona_ID]]</f>
        <v>29</v>
      </c>
      <c r="B30" s="31">
        <f>step3_validation[[#This Row],[Used_Seed]]</f>
        <v>2019</v>
      </c>
      <c r="C30" t="str">
        <f>step3_validation[[#This Row],[Gender]]</f>
        <v>Nữ</v>
      </c>
      <c r="D30" t="str">
        <f>survey_responses[[#This Row],[Giới tính của bạn:]]</f>
        <v>Nữ</v>
      </c>
      <c r="E30" t="str">
        <f>step3_validation[[#This Row],[Age_Group]]</f>
        <v>18 - 24</v>
      </c>
      <c r="F30" t="str">
        <f>survey_responses[[#This Row],[Độ tuổi của bạn:]]</f>
        <v>18 - 24</v>
      </c>
      <c r="G30" t="str">
        <f>step3_validation[[#This Row],[Region]]</f>
        <v>Thành thị</v>
      </c>
      <c r="H30" t="str">
        <f>survey_responses[[#This Row],[Khu vực bạn đang sinh sống:]]</f>
        <v>Thành thị</v>
      </c>
      <c r="I30" t="str">
        <f>step3_validation[[#This Row],[Education]]</f>
        <v>Đại học</v>
      </c>
      <c r="J30" t="str">
        <f>survey_responses[[#This Row],[Trình độ học vấn cao nhất:]]</f>
        <v>Đại học</v>
      </c>
      <c r="K30" t="str">
        <f>step3_validation[[#This Row],[Employment]]</f>
        <v>Chính thức</v>
      </c>
      <c r="L30" t="str">
        <f>survey_responses[[#This Row],[Tình trạng việc làm chính:]]</f>
        <v>Khu vực chính thức (Có Hợp đồng lao động, đóng BHXH)</v>
      </c>
      <c r="M30">
        <f>step3_validation[[#This Row],[Income_Mil]]</f>
        <v>12.723498198559733</v>
      </c>
      <c r="N30" t="str">
        <f>survey_responses[[#This Row],[Thu nhập bình quân tháng theo Hợp đồng lao động của bạn là bao nhiêu? (Vui lòng điền tổng thu nhập trước khi khấu trừ các loại Bảo hiểm (BHXH, BHYT, BHTN) và Thuế TNCN)]]</f>
        <v>Từ 12 - 18 triệu VNĐ</v>
      </c>
      <c r="O30">
        <f>step3_validation[[#This Row],[Dependents]]</f>
        <v>0</v>
      </c>
      <c r="P30" t="str">
        <f>survey_responses[[#This Row],[Số người phụ thuộc (con nhỏ, cha mẹ già...) đủ điều kiện giảm trừ gia cảnh:]]</f>
        <v>0 người</v>
      </c>
      <c r="Q30">
        <f>step3_validation[[#This Row],[AI_ENF1]]</f>
        <v>7</v>
      </c>
      <c r="R30" t="str">
        <f t="shared" si="0"/>
        <v>Neutral</v>
      </c>
      <c r="S30">
        <f>survey_responses[[#This Row],[Tôi tin rằng với các quy định quản lý thuế hiện nay, hành vi gian lận hoặc trốn thuế sẽ dễ dàng bị phát hiện và xử lý nghiêm. - HUMAN-ENF1]]</f>
        <v>10</v>
      </c>
      <c r="T30" t="str">
        <f t="shared" si="1"/>
        <v>Support</v>
      </c>
      <c r="U30" s="32">
        <f t="shared" si="2"/>
        <v>3</v>
      </c>
      <c r="V30">
        <f>step3_validation[[#This Row],[AI_ENF2]]</f>
        <v>6</v>
      </c>
      <c r="W30" t="str">
        <f t="shared" si="3"/>
        <v>Neutral</v>
      </c>
      <c r="X30">
        <f>survey_responses[[#This Row],[Tôi tin rằng Nhà nước, cơ quan thuế có đủ khả năng và công nghệ để phát hiện, xử lý nghiêm các hành vi trốn thuế. - HUMAN-ENF2]]</f>
        <v>10</v>
      </c>
      <c r="Y30" t="str">
        <f t="shared" si="4"/>
        <v>Support</v>
      </c>
      <c r="Z30" s="32">
        <f t="shared" si="5"/>
        <v>4</v>
      </c>
      <c r="AA30">
        <f>step3_validation[[#This Row],[AI_FAC1]]</f>
        <v>8</v>
      </c>
      <c r="AB30" t="str">
        <f t="shared" si="6"/>
        <v>Support</v>
      </c>
      <c r="AC30">
        <f>survey_responses[[#This Row],[Các thủ tục khai báo thuế VÀ/HOẶC quy trình làm việc với cơ quan thuế đơn giản, tiện lợi, nhanh chóng hơn so với trước đây. - HUMAN-FAC1]]</f>
        <v>9</v>
      </c>
      <c r="AD30" t="str">
        <f t="shared" si="7"/>
        <v>Support</v>
      </c>
      <c r="AE30" s="32">
        <f t="shared" si="8"/>
        <v>1</v>
      </c>
      <c r="AF30">
        <f>step3_validation[[#This Row],[AI_FAC2]]</f>
        <v>7</v>
      </c>
      <c r="AG30" t="str">
        <f t="shared" si="9"/>
        <v>Neutral</v>
      </c>
      <c r="AH30">
        <f>survey_responses[[#This Row],[So với trước đây, tôi thấy cách tính thuế và các bậc thuế trong phương án mới đơn giản, dễ hiểu và dễ thực hiện hơn. - HUMAN-FAC2]]</f>
        <v>10</v>
      </c>
      <c r="AI30" t="str">
        <f t="shared" si="10"/>
        <v>Support</v>
      </c>
      <c r="AJ30" s="32">
        <f t="shared" si="11"/>
        <v>3</v>
      </c>
      <c r="AK30">
        <f>step3_validation[[#This Row],[AI_TRU1]]</f>
        <v>6</v>
      </c>
      <c r="AL30" t="str">
        <f t="shared" si="12"/>
        <v>Neutral</v>
      </c>
      <c r="AM30">
        <f>survey_responses[[#This Row],[Tôi tin rằng Nhà nước, cơ quan thuế sẽ thực thi chính sách mới một cách khách quan, công tâm và đối xử bình đẳng với mọi người nộp thuế.  - HUMAN-TRU1]]</f>
        <v>10</v>
      </c>
      <c r="AN30" t="str">
        <f t="shared" si="13"/>
        <v>Support</v>
      </c>
      <c r="AO30" s="32">
        <f t="shared" si="14"/>
        <v>4</v>
      </c>
      <c r="AP30">
        <f>step3_validation[[#This Row],[AI_TRU2]]</f>
        <v>7</v>
      </c>
      <c r="AQ30" t="str">
        <f t="shared" si="15"/>
        <v>Neutral</v>
      </c>
      <c r="AR30">
        <f>survey_responses[[#This Row],[Tôi thấy mức thuế tôi phải đóng theo phương án mới là công bằng (người thu nhập như tôi đóng mức này là hợp lý). - HUMAN-TRU2]]</f>
        <v>9</v>
      </c>
      <c r="AS30" t="str">
        <f t="shared" si="16"/>
        <v>Support</v>
      </c>
      <c r="AT30" s="32">
        <f t="shared" si="17"/>
        <v>2</v>
      </c>
      <c r="AU30">
        <f>step3_validation[[#This Row],[AI_TRU3]]</f>
        <v>5</v>
      </c>
      <c r="AV30" t="str">
        <f t="shared" si="18"/>
        <v>Neutral</v>
      </c>
      <c r="AW30">
        <f>survey_responses[[#This Row],[Tôi tin tưởng số tiền thuế tôi đóng sẽ được Nhà nước sử dụng hiệu quả để cải thiện dịch vụ công (y tế, đường xá...). - HUMAN-TRU3]]</f>
        <v>10</v>
      </c>
      <c r="AX30" t="str">
        <f t="shared" si="19"/>
        <v>Support</v>
      </c>
      <c r="AY30" s="32">
        <f t="shared" si="20"/>
        <v>5</v>
      </c>
      <c r="AZ30">
        <f>step3_validation[[#This Row],[AI_TRU4]]</f>
        <v>6</v>
      </c>
      <c r="BA30" t="str">
        <f t="shared" si="21"/>
        <v>Neutral</v>
      </c>
      <c r="BB30">
        <f>survey_responses[[#This Row],[Tôi thấy Nhà nước đã giải thích rõ ràng, minh bạch về lý do và mục tiêu của việc sửa đổi thuế lần này. - HUMAN-TRU4]]</f>
        <v>10</v>
      </c>
      <c r="BC30" t="str">
        <f t="shared" si="22"/>
        <v>Support</v>
      </c>
      <c r="BD30" s="32">
        <f t="shared" si="23"/>
        <v>4</v>
      </c>
      <c r="BE30">
        <f>step3_validation[[#This Row],[AI_OUT1]]</f>
        <v>4</v>
      </c>
      <c r="BF30" t="str">
        <f t="shared" si="24"/>
        <v>Oppose</v>
      </c>
      <c r="BG30">
        <f>survey_responses[[#This Row],[Sau khi xem xét các quyền lợi và nghĩa vụ, bạn có ủng hộ và tuân thủ chính sách mới hiện nay? - HUMAN-OUT1]]</f>
        <v>10</v>
      </c>
      <c r="BH30" t="str">
        <f t="shared" si="25"/>
        <v>Support</v>
      </c>
      <c r="BI30" s="32">
        <f t="shared" si="26"/>
        <v>6</v>
      </c>
    </row>
    <row r="31" spans="1:61" x14ac:dyDescent="0.45">
      <c r="A31" s="30">
        <f>step3_validation[[#This Row],[Persona_ID]]</f>
        <v>30</v>
      </c>
      <c r="B31" s="31">
        <f>step3_validation[[#This Row],[Used_Seed]]</f>
        <v>2020</v>
      </c>
      <c r="C31" t="str">
        <f>step3_validation[[#This Row],[Gender]]</f>
        <v>Nữ</v>
      </c>
      <c r="D31" t="str">
        <f>survey_responses[[#This Row],[Giới tính của bạn:]]</f>
        <v>Nữ</v>
      </c>
      <c r="E31" t="str">
        <f>step3_validation[[#This Row],[Age_Group]]</f>
        <v>18 - 24</v>
      </c>
      <c r="F31" t="str">
        <f>survey_responses[[#This Row],[Độ tuổi của bạn:]]</f>
        <v>18 - 24</v>
      </c>
      <c r="G31" t="str">
        <f>step3_validation[[#This Row],[Region]]</f>
        <v>Thành thị</v>
      </c>
      <c r="H31" t="str">
        <f>survey_responses[[#This Row],[Khu vực bạn đang sinh sống:]]</f>
        <v>Thành thị</v>
      </c>
      <c r="I31" t="str">
        <f>step3_validation[[#This Row],[Education]]</f>
        <v>Đại học</v>
      </c>
      <c r="J31" t="str">
        <f>survey_responses[[#This Row],[Trình độ học vấn cao nhất:]]</f>
        <v>Đại học</v>
      </c>
      <c r="K31" t="str">
        <f>step3_validation[[#This Row],[Employment]]</f>
        <v>Chính thức</v>
      </c>
      <c r="L31" t="str">
        <f>survey_responses[[#This Row],[Tình trạng việc làm chính:]]</f>
        <v>Khu vực chính thức (Có Hợp đồng lao động, đóng BHXH)</v>
      </c>
      <c r="M31">
        <f>step3_validation[[#This Row],[Income_Mil]]</f>
        <v>14.341537716611434</v>
      </c>
      <c r="N31" t="str">
        <f>survey_responses[[#This Row],[Thu nhập bình quân tháng theo Hợp đồng lao động của bạn là bao nhiêu? (Vui lòng điền tổng thu nhập trước khi khấu trừ các loại Bảo hiểm (BHXH, BHYT, BHTN) và Thuế TNCN)]]</f>
        <v>Từ 12 - 18 triệu VNĐ</v>
      </c>
      <c r="O31">
        <f>step3_validation[[#This Row],[Dependents]]</f>
        <v>0</v>
      </c>
      <c r="P31" t="str">
        <f>survey_responses[[#This Row],[Số người phụ thuộc (con nhỏ, cha mẹ già...) đủ điều kiện giảm trừ gia cảnh:]]</f>
        <v>0 người</v>
      </c>
      <c r="Q31">
        <f>step3_validation[[#This Row],[AI_ENF1]]</f>
        <v>8</v>
      </c>
      <c r="R31" t="str">
        <f t="shared" si="0"/>
        <v>Support</v>
      </c>
      <c r="S31">
        <f>survey_responses[[#This Row],[Tôi tin rằng với các quy định quản lý thuế hiện nay, hành vi gian lận hoặc trốn thuế sẽ dễ dàng bị phát hiện và xử lý nghiêm. - HUMAN-ENF1]]</f>
        <v>10</v>
      </c>
      <c r="T31" t="str">
        <f t="shared" si="1"/>
        <v>Support</v>
      </c>
      <c r="U31" s="32">
        <f t="shared" si="2"/>
        <v>2</v>
      </c>
      <c r="V31">
        <f>step3_validation[[#This Row],[AI_ENF2]]</f>
        <v>7</v>
      </c>
      <c r="W31" t="str">
        <f t="shared" si="3"/>
        <v>Neutral</v>
      </c>
      <c r="X31">
        <f>survey_responses[[#This Row],[Tôi tin rằng Nhà nước, cơ quan thuế có đủ khả năng và công nghệ để phát hiện, xử lý nghiêm các hành vi trốn thuế. - HUMAN-ENF2]]</f>
        <v>10</v>
      </c>
      <c r="Y31" t="str">
        <f t="shared" si="4"/>
        <v>Support</v>
      </c>
      <c r="Z31" s="32">
        <f t="shared" si="5"/>
        <v>3</v>
      </c>
      <c r="AA31">
        <f>step3_validation[[#This Row],[AI_FAC1]]</f>
        <v>9</v>
      </c>
      <c r="AB31" t="str">
        <f t="shared" si="6"/>
        <v>Support</v>
      </c>
      <c r="AC31">
        <f>survey_responses[[#This Row],[Các thủ tục khai báo thuế VÀ/HOẶC quy trình làm việc với cơ quan thuế đơn giản, tiện lợi, nhanh chóng hơn so với trước đây. - HUMAN-FAC1]]</f>
        <v>9</v>
      </c>
      <c r="AD31" t="str">
        <f t="shared" si="7"/>
        <v>Support</v>
      </c>
      <c r="AE31" s="32">
        <f t="shared" si="8"/>
        <v>0</v>
      </c>
      <c r="AF31">
        <f>step3_validation[[#This Row],[AI_FAC2]]</f>
        <v>8</v>
      </c>
      <c r="AG31" t="str">
        <f t="shared" si="9"/>
        <v>Support</v>
      </c>
      <c r="AH31">
        <f>survey_responses[[#This Row],[So với trước đây, tôi thấy cách tính thuế và các bậc thuế trong phương án mới đơn giản, dễ hiểu và dễ thực hiện hơn. - HUMAN-FAC2]]</f>
        <v>10</v>
      </c>
      <c r="AI31" t="str">
        <f t="shared" si="10"/>
        <v>Support</v>
      </c>
      <c r="AJ31" s="32">
        <f t="shared" si="11"/>
        <v>2</v>
      </c>
      <c r="AK31">
        <f>step3_validation[[#This Row],[AI_TRU1]]</f>
        <v>7</v>
      </c>
      <c r="AL31" t="str">
        <f t="shared" si="12"/>
        <v>Neutral</v>
      </c>
      <c r="AM31">
        <f>survey_responses[[#This Row],[Tôi tin rằng Nhà nước, cơ quan thuế sẽ thực thi chính sách mới một cách khách quan, công tâm và đối xử bình đẳng với mọi người nộp thuế.  - HUMAN-TRU1]]</f>
        <v>10</v>
      </c>
      <c r="AN31" t="str">
        <f t="shared" si="13"/>
        <v>Support</v>
      </c>
      <c r="AO31" s="32">
        <f t="shared" si="14"/>
        <v>3</v>
      </c>
      <c r="AP31">
        <f>step3_validation[[#This Row],[AI_TRU2]]</f>
        <v>6</v>
      </c>
      <c r="AQ31" t="str">
        <f t="shared" si="15"/>
        <v>Neutral</v>
      </c>
      <c r="AR31">
        <f>survey_responses[[#This Row],[Tôi thấy mức thuế tôi phải đóng theo phương án mới là công bằng (người thu nhập như tôi đóng mức này là hợp lý). - HUMAN-TRU2]]</f>
        <v>10</v>
      </c>
      <c r="AS31" t="str">
        <f t="shared" si="16"/>
        <v>Support</v>
      </c>
      <c r="AT31" s="32">
        <f t="shared" si="17"/>
        <v>4</v>
      </c>
      <c r="AU31">
        <f>step3_validation[[#This Row],[AI_TRU3]]</f>
        <v>7</v>
      </c>
      <c r="AV31" t="str">
        <f t="shared" si="18"/>
        <v>Neutral</v>
      </c>
      <c r="AW31">
        <f>survey_responses[[#This Row],[Tôi tin tưởng số tiền thuế tôi đóng sẽ được Nhà nước sử dụng hiệu quả để cải thiện dịch vụ công (y tế, đường xá...). - HUMAN-TRU3]]</f>
        <v>10</v>
      </c>
      <c r="AX31" t="str">
        <f t="shared" si="19"/>
        <v>Support</v>
      </c>
      <c r="AY31" s="32">
        <f t="shared" si="20"/>
        <v>3</v>
      </c>
      <c r="AZ31">
        <f>step3_validation[[#This Row],[AI_TRU4]]</f>
        <v>6</v>
      </c>
      <c r="BA31" t="str">
        <f t="shared" si="21"/>
        <v>Neutral</v>
      </c>
      <c r="BB31">
        <f>survey_responses[[#This Row],[Tôi thấy Nhà nước đã giải thích rõ ràng, minh bạch về lý do và mục tiêu của việc sửa đổi thuế lần này. - HUMAN-TRU4]]</f>
        <v>10</v>
      </c>
      <c r="BC31" t="str">
        <f t="shared" si="22"/>
        <v>Support</v>
      </c>
      <c r="BD31" s="32">
        <f t="shared" si="23"/>
        <v>4</v>
      </c>
      <c r="BE31">
        <f>step3_validation[[#This Row],[AI_OUT1]]</f>
        <v>7</v>
      </c>
      <c r="BF31" t="str">
        <f t="shared" si="24"/>
        <v>Neutral</v>
      </c>
      <c r="BG31">
        <f>survey_responses[[#This Row],[Sau khi xem xét các quyền lợi và nghĩa vụ, bạn có ủng hộ và tuân thủ chính sách mới hiện nay? - HUMAN-OUT1]]</f>
        <v>10</v>
      </c>
      <c r="BH31" t="str">
        <f t="shared" si="25"/>
        <v>Support</v>
      </c>
      <c r="BI31" s="32">
        <f t="shared" si="26"/>
        <v>3</v>
      </c>
    </row>
    <row r="32" spans="1:61" x14ac:dyDescent="0.45">
      <c r="A32" s="30">
        <f>step3_validation[[#This Row],[Persona_ID]]</f>
        <v>31</v>
      </c>
      <c r="B32" s="31">
        <f>step3_validation[[#This Row],[Used_Seed]]</f>
        <v>2021</v>
      </c>
      <c r="C32" t="str">
        <f>step3_validation[[#This Row],[Gender]]</f>
        <v>Nữ</v>
      </c>
      <c r="D32" t="str">
        <f>survey_responses[[#This Row],[Giới tính của bạn:]]</f>
        <v>Nữ</v>
      </c>
      <c r="E32" t="str">
        <f>step3_validation[[#This Row],[Age_Group]]</f>
        <v>25 - 29</v>
      </c>
      <c r="F32" t="str">
        <f>survey_responses[[#This Row],[Độ tuổi của bạn:]]</f>
        <v>25 - 29</v>
      </c>
      <c r="G32" t="str">
        <f>step3_validation[[#This Row],[Region]]</f>
        <v>Thành thị</v>
      </c>
      <c r="H32" t="str">
        <f>survey_responses[[#This Row],[Khu vực bạn đang sinh sống:]]</f>
        <v>Thành thị</v>
      </c>
      <c r="I32" t="str">
        <f>step3_validation[[#This Row],[Education]]</f>
        <v>Đại học</v>
      </c>
      <c r="J32" t="str">
        <f>survey_responses[[#This Row],[Trình độ học vấn cao nhất:]]</f>
        <v>Đại học</v>
      </c>
      <c r="K32" t="str">
        <f>step3_validation[[#This Row],[Employment]]</f>
        <v>Chính thức</v>
      </c>
      <c r="L32" t="str">
        <f>survey_responses[[#This Row],[Tình trạng việc làm chính:]]</f>
        <v>Khu vực chính thức (Có Hợp đồng lao động, đóng BHXH)</v>
      </c>
      <c r="M32">
        <f>step3_validation[[#This Row],[Income_Mil]]</f>
        <v>29.055582623477338</v>
      </c>
      <c r="N32" t="str">
        <f>survey_responses[[#This Row],[Thu nhập bình quân tháng theo Hợp đồng lao động của bạn là bao nhiêu? (Vui lòng điền tổng thu nhập trước khi khấu trừ các loại Bảo hiểm (BHXH, BHYT, BHTN) và Thuế TNCN)]]</f>
        <v>Từ 23 - 32 triệu VNĐ</v>
      </c>
      <c r="O32">
        <f>step3_validation[[#This Row],[Dependents]]</f>
        <v>0</v>
      </c>
      <c r="P32" t="str">
        <f>survey_responses[[#This Row],[Số người phụ thuộc (con nhỏ, cha mẹ già...) đủ điều kiện giảm trừ gia cảnh:]]</f>
        <v>0 người</v>
      </c>
      <c r="Q32">
        <f>step3_validation[[#This Row],[AI_ENF1]]</f>
        <v>6</v>
      </c>
      <c r="R32" t="str">
        <f t="shared" si="0"/>
        <v>Neutral</v>
      </c>
      <c r="S32">
        <f>survey_responses[[#This Row],[Tôi tin rằng với các quy định quản lý thuế hiện nay, hành vi gian lận hoặc trốn thuế sẽ dễ dàng bị phát hiện và xử lý nghiêm. - HUMAN-ENF1]]</f>
        <v>10</v>
      </c>
      <c r="T32" t="str">
        <f t="shared" si="1"/>
        <v>Support</v>
      </c>
      <c r="U32" s="32">
        <f t="shared" si="2"/>
        <v>4</v>
      </c>
      <c r="V32">
        <f>step3_validation[[#This Row],[AI_ENF2]]</f>
        <v>7</v>
      </c>
      <c r="W32" t="str">
        <f t="shared" si="3"/>
        <v>Neutral</v>
      </c>
      <c r="X32">
        <f>survey_responses[[#This Row],[Tôi tin rằng Nhà nước, cơ quan thuế có đủ khả năng và công nghệ để phát hiện, xử lý nghiêm các hành vi trốn thuế. - HUMAN-ENF2]]</f>
        <v>7</v>
      </c>
      <c r="Y32" t="str">
        <f t="shared" si="4"/>
        <v>Neutral</v>
      </c>
      <c r="Z32" s="32">
        <f t="shared" si="5"/>
        <v>0</v>
      </c>
      <c r="AA32">
        <f>step3_validation[[#This Row],[AI_FAC1]]</f>
        <v>8</v>
      </c>
      <c r="AB32" t="str">
        <f t="shared" si="6"/>
        <v>Support</v>
      </c>
      <c r="AC32">
        <f>survey_responses[[#This Row],[Các thủ tục khai báo thuế VÀ/HOẶC quy trình làm việc với cơ quan thuế đơn giản, tiện lợi, nhanh chóng hơn so với trước đây. - HUMAN-FAC1]]</f>
        <v>10</v>
      </c>
      <c r="AD32" t="str">
        <f t="shared" si="7"/>
        <v>Support</v>
      </c>
      <c r="AE32" s="32">
        <f t="shared" si="8"/>
        <v>2</v>
      </c>
      <c r="AF32">
        <f>step3_validation[[#This Row],[AI_FAC2]]</f>
        <v>9</v>
      </c>
      <c r="AG32" t="str">
        <f t="shared" si="9"/>
        <v>Support</v>
      </c>
      <c r="AH32">
        <f>survey_responses[[#This Row],[So với trước đây, tôi thấy cách tính thuế và các bậc thuế trong phương án mới đơn giản, dễ hiểu và dễ thực hiện hơn. - HUMAN-FAC2]]</f>
        <v>7</v>
      </c>
      <c r="AI32" t="str">
        <f t="shared" si="10"/>
        <v>Neutral</v>
      </c>
      <c r="AJ32" s="32">
        <f t="shared" si="11"/>
        <v>2</v>
      </c>
      <c r="AK32">
        <f>step3_validation[[#This Row],[AI_TRU1]]</f>
        <v>7</v>
      </c>
      <c r="AL32" t="str">
        <f t="shared" si="12"/>
        <v>Neutral</v>
      </c>
      <c r="AM32">
        <f>survey_responses[[#This Row],[Tôi tin rằng Nhà nước, cơ quan thuế sẽ thực thi chính sách mới một cách khách quan, công tâm và đối xử bình đẳng với mọi người nộp thuế.  - HUMAN-TRU1]]</f>
        <v>10</v>
      </c>
      <c r="AN32" t="str">
        <f t="shared" si="13"/>
        <v>Support</v>
      </c>
      <c r="AO32" s="32">
        <f t="shared" si="14"/>
        <v>3</v>
      </c>
      <c r="AP32">
        <f>step3_validation[[#This Row],[AI_TRU2]]</f>
        <v>6</v>
      </c>
      <c r="AQ32" t="str">
        <f t="shared" si="15"/>
        <v>Neutral</v>
      </c>
      <c r="AR32">
        <f>survey_responses[[#This Row],[Tôi thấy mức thuế tôi phải đóng theo phương án mới là công bằng (người thu nhập như tôi đóng mức này là hợp lý). - HUMAN-TRU2]]</f>
        <v>10</v>
      </c>
      <c r="AS32" t="str">
        <f t="shared" si="16"/>
        <v>Support</v>
      </c>
      <c r="AT32" s="32">
        <f t="shared" si="17"/>
        <v>4</v>
      </c>
      <c r="AU32">
        <f>step3_validation[[#This Row],[AI_TRU3]]</f>
        <v>8</v>
      </c>
      <c r="AV32" t="str">
        <f t="shared" si="18"/>
        <v>Support</v>
      </c>
      <c r="AW32">
        <f>survey_responses[[#This Row],[Tôi tin tưởng số tiền thuế tôi đóng sẽ được Nhà nước sử dụng hiệu quả để cải thiện dịch vụ công (y tế, đường xá...). - HUMAN-TRU3]]</f>
        <v>3</v>
      </c>
      <c r="AX32" t="str">
        <f t="shared" si="19"/>
        <v>Oppose</v>
      </c>
      <c r="AY32" s="32">
        <f t="shared" si="20"/>
        <v>5</v>
      </c>
      <c r="AZ32">
        <f>step3_validation[[#This Row],[AI_TRU4]]</f>
        <v>5</v>
      </c>
      <c r="BA32" t="str">
        <f t="shared" si="21"/>
        <v>Neutral</v>
      </c>
      <c r="BB32">
        <f>survey_responses[[#This Row],[Tôi thấy Nhà nước đã giải thích rõ ràng, minh bạch về lý do và mục tiêu của việc sửa đổi thuế lần này. - HUMAN-TRU4]]</f>
        <v>5</v>
      </c>
      <c r="BC32" t="str">
        <f t="shared" si="22"/>
        <v>Neutral</v>
      </c>
      <c r="BD32" s="32">
        <f t="shared" si="23"/>
        <v>0</v>
      </c>
      <c r="BE32">
        <f>step3_validation[[#This Row],[AI_OUT1]]</f>
        <v>7</v>
      </c>
      <c r="BF32" t="str">
        <f t="shared" si="24"/>
        <v>Neutral</v>
      </c>
      <c r="BG32">
        <f>survey_responses[[#This Row],[Sau khi xem xét các quyền lợi và nghĩa vụ, bạn có ủng hộ và tuân thủ chính sách mới hiện nay? - HUMAN-OUT1]]</f>
        <v>8</v>
      </c>
      <c r="BH32" t="str">
        <f t="shared" si="25"/>
        <v>Support</v>
      </c>
      <c r="BI32" s="32">
        <f t="shared" si="26"/>
        <v>1</v>
      </c>
    </row>
    <row r="33" spans="1:61" x14ac:dyDescent="0.45">
      <c r="A33" s="30">
        <f>step3_validation[[#This Row],[Persona_ID]]</f>
        <v>32</v>
      </c>
      <c r="B33" s="31">
        <f>step3_validation[[#This Row],[Used_Seed]]</f>
        <v>2022</v>
      </c>
      <c r="C33" t="str">
        <f>step3_validation[[#This Row],[Gender]]</f>
        <v>Nữ</v>
      </c>
      <c r="D33" t="str">
        <f>survey_responses[[#This Row],[Giới tính của bạn:]]</f>
        <v>Nữ</v>
      </c>
      <c r="E33" t="str">
        <f>step3_validation[[#This Row],[Age_Group]]</f>
        <v>18 - 24</v>
      </c>
      <c r="F33" t="str">
        <f>survey_responses[[#This Row],[Độ tuổi của bạn:]]</f>
        <v>18 - 24</v>
      </c>
      <c r="G33" t="str">
        <f>step3_validation[[#This Row],[Region]]</f>
        <v>Thành thị</v>
      </c>
      <c r="H33" t="str">
        <f>survey_responses[[#This Row],[Khu vực bạn đang sinh sống:]]</f>
        <v>Thành thị</v>
      </c>
      <c r="I33" t="str">
        <f>step3_validation[[#This Row],[Education]]</f>
        <v>Đại học</v>
      </c>
      <c r="J33" t="str">
        <f>survey_responses[[#This Row],[Trình độ học vấn cao nhất:]]</f>
        <v>Đại học</v>
      </c>
      <c r="K33" t="str">
        <f>step3_validation[[#This Row],[Employment]]</f>
        <v>Chính thức</v>
      </c>
      <c r="L33" t="str">
        <f>survey_responses[[#This Row],[Tình trạng việc làm chính:]]</f>
        <v>Khu vực chính thức (Có Hợp đồng lao động, đóng BHXH)</v>
      </c>
      <c r="M33">
        <f>step3_validation[[#This Row],[Income_Mil]]</f>
        <v>24.979408507620796</v>
      </c>
      <c r="N33" t="str">
        <f>survey_responses[[#This Row],[Thu nhập bình quân tháng theo Hợp đồng lao động của bạn là bao nhiêu? (Vui lòng điền tổng thu nhập trước khi khấu trừ các loại Bảo hiểm (BHXH, BHYT, BHTN) và Thuế TNCN)]]</f>
        <v>Từ 23 - 32 triệu VNĐ</v>
      </c>
      <c r="O33">
        <f>step3_validation[[#This Row],[Dependents]]</f>
        <v>0</v>
      </c>
      <c r="P33" t="str">
        <f>survey_responses[[#This Row],[Số người phụ thuộc (con nhỏ, cha mẹ già...) đủ điều kiện giảm trừ gia cảnh:]]</f>
        <v>0 người</v>
      </c>
      <c r="Q33">
        <f>step3_validation[[#This Row],[AI_ENF1]]</f>
        <v>7</v>
      </c>
      <c r="R33" t="str">
        <f t="shared" si="0"/>
        <v>Neutral</v>
      </c>
      <c r="S33">
        <f>survey_responses[[#This Row],[Tôi tin rằng với các quy định quản lý thuế hiện nay, hành vi gian lận hoặc trốn thuế sẽ dễ dàng bị phát hiện và xử lý nghiêm. - HUMAN-ENF1]]</f>
        <v>5</v>
      </c>
      <c r="T33" t="str">
        <f t="shared" si="1"/>
        <v>Neutral</v>
      </c>
      <c r="U33" s="32">
        <f t="shared" si="2"/>
        <v>2</v>
      </c>
      <c r="V33">
        <f>step3_validation[[#This Row],[AI_ENF2]]</f>
        <v>8</v>
      </c>
      <c r="W33" t="str">
        <f t="shared" si="3"/>
        <v>Support</v>
      </c>
      <c r="X33">
        <f>survey_responses[[#This Row],[Tôi tin rằng Nhà nước, cơ quan thuế có đủ khả năng và công nghệ để phát hiện, xử lý nghiêm các hành vi trốn thuế. - HUMAN-ENF2]]</f>
        <v>5</v>
      </c>
      <c r="Y33" t="str">
        <f t="shared" si="4"/>
        <v>Neutral</v>
      </c>
      <c r="Z33" s="32">
        <f t="shared" si="5"/>
        <v>3</v>
      </c>
      <c r="AA33">
        <f>step3_validation[[#This Row],[AI_FAC1]]</f>
        <v>9</v>
      </c>
      <c r="AB33" t="str">
        <f t="shared" si="6"/>
        <v>Support</v>
      </c>
      <c r="AC33">
        <f>survey_responses[[#This Row],[Các thủ tục khai báo thuế VÀ/HOẶC quy trình làm việc với cơ quan thuế đơn giản, tiện lợi, nhanh chóng hơn so với trước đây. - HUMAN-FAC1]]</f>
        <v>5</v>
      </c>
      <c r="AD33" t="str">
        <f t="shared" si="7"/>
        <v>Neutral</v>
      </c>
      <c r="AE33" s="32">
        <f t="shared" si="8"/>
        <v>4</v>
      </c>
      <c r="AF33">
        <f>step3_validation[[#This Row],[AI_FAC2]]</f>
        <v>8</v>
      </c>
      <c r="AG33" t="str">
        <f t="shared" si="9"/>
        <v>Support</v>
      </c>
      <c r="AH33">
        <f>survey_responses[[#This Row],[So với trước đây, tôi thấy cách tính thuế và các bậc thuế trong phương án mới đơn giản, dễ hiểu và dễ thực hiện hơn. - HUMAN-FAC2]]</f>
        <v>5</v>
      </c>
      <c r="AI33" t="str">
        <f t="shared" si="10"/>
        <v>Neutral</v>
      </c>
      <c r="AJ33" s="32">
        <f t="shared" si="11"/>
        <v>3</v>
      </c>
      <c r="AK33">
        <f>step3_validation[[#This Row],[AI_TRU1]]</f>
        <v>7</v>
      </c>
      <c r="AL33" t="str">
        <f t="shared" si="12"/>
        <v>Neutral</v>
      </c>
      <c r="AM33">
        <f>survey_responses[[#This Row],[Tôi tin rằng Nhà nước, cơ quan thuế sẽ thực thi chính sách mới một cách khách quan, công tâm và đối xử bình đẳng với mọi người nộp thuế.  - HUMAN-TRU1]]</f>
        <v>5</v>
      </c>
      <c r="AN33" t="str">
        <f t="shared" si="13"/>
        <v>Neutral</v>
      </c>
      <c r="AO33" s="32">
        <f t="shared" si="14"/>
        <v>2</v>
      </c>
      <c r="AP33">
        <f>step3_validation[[#This Row],[AI_TRU2]]</f>
        <v>8</v>
      </c>
      <c r="AQ33" t="str">
        <f t="shared" si="15"/>
        <v>Support</v>
      </c>
      <c r="AR33">
        <f>survey_responses[[#This Row],[Tôi thấy mức thuế tôi phải đóng theo phương án mới là công bằng (người thu nhập như tôi đóng mức này là hợp lý). - HUMAN-TRU2]]</f>
        <v>5</v>
      </c>
      <c r="AS33" t="str">
        <f t="shared" si="16"/>
        <v>Neutral</v>
      </c>
      <c r="AT33" s="32">
        <f t="shared" si="17"/>
        <v>3</v>
      </c>
      <c r="AU33">
        <f>step3_validation[[#This Row],[AI_TRU3]]</f>
        <v>7</v>
      </c>
      <c r="AV33" t="str">
        <f t="shared" si="18"/>
        <v>Neutral</v>
      </c>
      <c r="AW33">
        <f>survey_responses[[#This Row],[Tôi tin tưởng số tiền thuế tôi đóng sẽ được Nhà nước sử dụng hiệu quả để cải thiện dịch vụ công (y tế, đường xá...). - HUMAN-TRU3]]</f>
        <v>5</v>
      </c>
      <c r="AX33" t="str">
        <f t="shared" si="19"/>
        <v>Neutral</v>
      </c>
      <c r="AY33" s="32">
        <f t="shared" si="20"/>
        <v>2</v>
      </c>
      <c r="AZ33">
        <f>step3_validation[[#This Row],[AI_TRU4]]</f>
        <v>6</v>
      </c>
      <c r="BA33" t="str">
        <f t="shared" si="21"/>
        <v>Neutral</v>
      </c>
      <c r="BB33">
        <f>survey_responses[[#This Row],[Tôi thấy Nhà nước đã giải thích rõ ràng, minh bạch về lý do và mục tiêu của việc sửa đổi thuế lần này. - HUMAN-TRU4]]</f>
        <v>5</v>
      </c>
      <c r="BC33" t="str">
        <f t="shared" si="22"/>
        <v>Neutral</v>
      </c>
      <c r="BD33" s="32">
        <f t="shared" si="23"/>
        <v>1</v>
      </c>
      <c r="BE33">
        <f>step3_validation[[#This Row],[AI_OUT1]]</f>
        <v>8</v>
      </c>
      <c r="BF33" t="str">
        <f t="shared" si="24"/>
        <v>Support</v>
      </c>
      <c r="BG33">
        <f>survey_responses[[#This Row],[Sau khi xem xét các quyền lợi và nghĩa vụ, bạn có ủng hộ và tuân thủ chính sách mới hiện nay? - HUMAN-OUT1]]</f>
        <v>5</v>
      </c>
      <c r="BH33" t="str">
        <f t="shared" si="25"/>
        <v>Neutral</v>
      </c>
      <c r="BI33" s="32">
        <f t="shared" si="26"/>
        <v>3</v>
      </c>
    </row>
    <row r="34" spans="1:61" x14ac:dyDescent="0.45">
      <c r="A34" s="30">
        <f>step3_validation[[#This Row],[Persona_ID]]</f>
        <v>33</v>
      </c>
      <c r="B34" s="31">
        <f>step3_validation[[#This Row],[Used_Seed]]</f>
        <v>2023</v>
      </c>
      <c r="C34" t="str">
        <f>step3_validation[[#This Row],[Gender]]</f>
        <v>Nữ</v>
      </c>
      <c r="D34" t="str">
        <f>survey_responses[[#This Row],[Giới tính của bạn:]]</f>
        <v>Nữ</v>
      </c>
      <c r="E34" t="str">
        <f>step3_validation[[#This Row],[Age_Group]]</f>
        <v>25 - 29</v>
      </c>
      <c r="F34" t="str">
        <f>survey_responses[[#This Row],[Độ tuổi của bạn:]]</f>
        <v>25 - 29</v>
      </c>
      <c r="G34" t="str">
        <f>step3_validation[[#This Row],[Region]]</f>
        <v>Thành thị</v>
      </c>
      <c r="H34" t="str">
        <f>survey_responses[[#This Row],[Khu vực bạn đang sinh sống:]]</f>
        <v>Thành thị</v>
      </c>
      <c r="I34" t="str">
        <f>step3_validation[[#This Row],[Education]]</f>
        <v>Đại học</v>
      </c>
      <c r="J34" t="str">
        <f>survey_responses[[#This Row],[Trình độ học vấn cao nhất:]]</f>
        <v>Đại học</v>
      </c>
      <c r="K34" t="str">
        <f>step3_validation[[#This Row],[Employment]]</f>
        <v>Chính thức</v>
      </c>
      <c r="L34" t="str">
        <f>survey_responses[[#This Row],[Tình trạng việc làm chính:]]</f>
        <v>Khu vực chính thức (Có Hợp đồng lao động, đóng BHXH)</v>
      </c>
      <c r="M34">
        <f>step3_validation[[#This Row],[Income_Mil]]</f>
        <v>23.704435638102275</v>
      </c>
      <c r="N34" t="str">
        <f>survey_responses[[#This Row],[Thu nhập bình quân tháng theo Hợp đồng lao động của bạn là bao nhiêu? (Vui lòng điền tổng thu nhập trước khi khấu trừ các loại Bảo hiểm (BHXH, BHYT, BHTN) và Thuế TNCN)]]</f>
        <v>Từ 23 - 32 triệu VNĐ</v>
      </c>
      <c r="O34">
        <f>step3_validation[[#This Row],[Dependents]]</f>
        <v>0</v>
      </c>
      <c r="P34" t="str">
        <f>survey_responses[[#This Row],[Số người phụ thuộc (con nhỏ, cha mẹ già...) đủ điều kiện giảm trừ gia cảnh:]]</f>
        <v>0 người</v>
      </c>
      <c r="Q34">
        <f>step3_validation[[#This Row],[AI_ENF1]]</f>
        <v>7</v>
      </c>
      <c r="R34" t="str">
        <f t="shared" si="0"/>
        <v>Neutral</v>
      </c>
      <c r="S34">
        <f>survey_responses[[#This Row],[Tôi tin rằng với các quy định quản lý thuế hiện nay, hành vi gian lận hoặc trốn thuế sẽ dễ dàng bị phát hiện và xử lý nghiêm. - HUMAN-ENF1]]</f>
        <v>8</v>
      </c>
      <c r="T34" t="str">
        <f t="shared" si="1"/>
        <v>Support</v>
      </c>
      <c r="U34" s="32">
        <f t="shared" si="2"/>
        <v>1</v>
      </c>
      <c r="V34">
        <f>step3_validation[[#This Row],[AI_ENF2]]</f>
        <v>6</v>
      </c>
      <c r="W34" t="str">
        <f t="shared" si="3"/>
        <v>Neutral</v>
      </c>
      <c r="X34">
        <f>survey_responses[[#This Row],[Tôi tin rằng Nhà nước, cơ quan thuế có đủ khả năng và công nghệ để phát hiện, xử lý nghiêm các hành vi trốn thuế. - HUMAN-ENF2]]</f>
        <v>9</v>
      </c>
      <c r="Y34" t="str">
        <f t="shared" si="4"/>
        <v>Support</v>
      </c>
      <c r="Z34" s="32">
        <f t="shared" si="5"/>
        <v>3</v>
      </c>
      <c r="AA34">
        <f>step3_validation[[#This Row],[AI_FAC1]]</f>
        <v>8</v>
      </c>
      <c r="AB34" t="str">
        <f t="shared" si="6"/>
        <v>Support</v>
      </c>
      <c r="AC34">
        <f>survey_responses[[#This Row],[Các thủ tục khai báo thuế VÀ/HOẶC quy trình làm việc với cơ quan thuế đơn giản, tiện lợi, nhanh chóng hơn so với trước đây. - HUMAN-FAC1]]</f>
        <v>7</v>
      </c>
      <c r="AD34" t="str">
        <f t="shared" si="7"/>
        <v>Neutral</v>
      </c>
      <c r="AE34" s="32">
        <f t="shared" si="8"/>
        <v>1</v>
      </c>
      <c r="AF34">
        <f>step3_validation[[#This Row],[AI_FAC2]]</f>
        <v>9</v>
      </c>
      <c r="AG34" t="str">
        <f t="shared" si="9"/>
        <v>Support</v>
      </c>
      <c r="AH34">
        <f>survey_responses[[#This Row],[So với trước đây, tôi thấy cách tính thuế và các bậc thuế trong phương án mới đơn giản, dễ hiểu và dễ thực hiện hơn. - HUMAN-FAC2]]</f>
        <v>8</v>
      </c>
      <c r="AI34" t="str">
        <f t="shared" si="10"/>
        <v>Support</v>
      </c>
      <c r="AJ34" s="32">
        <f t="shared" si="11"/>
        <v>1</v>
      </c>
      <c r="AK34">
        <f>step3_validation[[#This Row],[AI_TRU1]]</f>
        <v>6</v>
      </c>
      <c r="AL34" t="str">
        <f t="shared" si="12"/>
        <v>Neutral</v>
      </c>
      <c r="AM34">
        <f>survey_responses[[#This Row],[Tôi tin rằng Nhà nước, cơ quan thuế sẽ thực thi chính sách mới một cách khách quan, công tâm và đối xử bình đẳng với mọi người nộp thuế.  - HUMAN-TRU1]]</f>
        <v>8</v>
      </c>
      <c r="AN34" t="str">
        <f t="shared" si="13"/>
        <v>Support</v>
      </c>
      <c r="AO34" s="32">
        <f t="shared" si="14"/>
        <v>2</v>
      </c>
      <c r="AP34">
        <f>step3_validation[[#This Row],[AI_TRU2]]</f>
        <v>7</v>
      </c>
      <c r="AQ34" t="str">
        <f t="shared" si="15"/>
        <v>Neutral</v>
      </c>
      <c r="AR34">
        <f>survey_responses[[#This Row],[Tôi thấy mức thuế tôi phải đóng theo phương án mới là công bằng (người thu nhập như tôi đóng mức này là hợp lý). - HUMAN-TRU2]]</f>
        <v>8</v>
      </c>
      <c r="AS34" t="str">
        <f t="shared" si="16"/>
        <v>Support</v>
      </c>
      <c r="AT34" s="32">
        <f t="shared" si="17"/>
        <v>1</v>
      </c>
      <c r="AU34">
        <f>step3_validation[[#This Row],[AI_TRU3]]</f>
        <v>6</v>
      </c>
      <c r="AV34" t="str">
        <f t="shared" si="18"/>
        <v>Neutral</v>
      </c>
      <c r="AW34">
        <f>survey_responses[[#This Row],[Tôi tin tưởng số tiền thuế tôi đóng sẽ được Nhà nước sử dụng hiệu quả để cải thiện dịch vụ công (y tế, đường xá...). - HUMAN-TRU3]]</f>
        <v>3</v>
      </c>
      <c r="AX34" t="str">
        <f t="shared" si="19"/>
        <v>Oppose</v>
      </c>
      <c r="AY34" s="32">
        <f t="shared" si="20"/>
        <v>3</v>
      </c>
      <c r="AZ34">
        <f>step3_validation[[#This Row],[AI_TRU4]]</f>
        <v>7</v>
      </c>
      <c r="BA34" t="str">
        <f t="shared" si="21"/>
        <v>Neutral</v>
      </c>
      <c r="BB34">
        <f>survey_responses[[#This Row],[Tôi thấy Nhà nước đã giải thích rõ ràng, minh bạch về lý do và mục tiêu của việc sửa đổi thuế lần này. - HUMAN-TRU4]]</f>
        <v>6</v>
      </c>
      <c r="BC34" t="str">
        <f t="shared" si="22"/>
        <v>Neutral</v>
      </c>
      <c r="BD34" s="32">
        <f t="shared" si="23"/>
        <v>1</v>
      </c>
      <c r="BE34">
        <f>step3_validation[[#This Row],[AI_OUT1]]</f>
        <v>5</v>
      </c>
      <c r="BF34" t="str">
        <f t="shared" si="24"/>
        <v>Neutral</v>
      </c>
      <c r="BG34">
        <f>survey_responses[[#This Row],[Sau khi xem xét các quyền lợi và nghĩa vụ, bạn có ủng hộ và tuân thủ chính sách mới hiện nay? - HUMAN-OUT1]]</f>
        <v>7</v>
      </c>
      <c r="BH34" t="str">
        <f t="shared" si="25"/>
        <v>Neutral</v>
      </c>
      <c r="BI34" s="32">
        <f t="shared" si="26"/>
        <v>2</v>
      </c>
    </row>
    <row r="35" spans="1:61" x14ac:dyDescent="0.45">
      <c r="A35" s="30">
        <f>step3_validation[[#This Row],[Persona_ID]]</f>
        <v>34</v>
      </c>
      <c r="B35" s="31">
        <f>step3_validation[[#This Row],[Used_Seed]]</f>
        <v>2024</v>
      </c>
      <c r="C35" t="str">
        <f>step3_validation[[#This Row],[Gender]]</f>
        <v>Nam</v>
      </c>
      <c r="D35" t="str">
        <f>survey_responses[[#This Row],[Giới tính của bạn:]]</f>
        <v>Nam</v>
      </c>
      <c r="E35" t="str">
        <f>step3_validation[[#This Row],[Age_Group]]</f>
        <v>25 - 29</v>
      </c>
      <c r="F35" t="str">
        <f>survey_responses[[#This Row],[Độ tuổi của bạn:]]</f>
        <v>25 - 29</v>
      </c>
      <c r="G35" t="str">
        <f>step3_validation[[#This Row],[Region]]</f>
        <v>Thành thị</v>
      </c>
      <c r="H35" t="str">
        <f>survey_responses[[#This Row],[Khu vực bạn đang sinh sống:]]</f>
        <v>Thành thị</v>
      </c>
      <c r="I35" t="str">
        <f>step3_validation[[#This Row],[Education]]</f>
        <v>Đại học</v>
      </c>
      <c r="J35" t="str">
        <f>survey_responses[[#This Row],[Trình độ học vấn cao nhất:]]</f>
        <v>Đại học</v>
      </c>
      <c r="K35" t="str">
        <f>step3_validation[[#This Row],[Employment]]</f>
        <v>Chính thức</v>
      </c>
      <c r="L35" t="str">
        <f>survey_responses[[#This Row],[Tình trạng việc làm chính:]]</f>
        <v>Khu vực chính thức (Có Hợp đồng lao động, đóng BHXH)</v>
      </c>
      <c r="M35">
        <f>step3_validation[[#This Row],[Income_Mil]]</f>
        <v>15.379156689906409</v>
      </c>
      <c r="N35" t="str">
        <f>survey_responses[[#This Row],[Thu nhập bình quân tháng theo Hợp đồng lao động của bạn là bao nhiêu? (Vui lòng điền tổng thu nhập trước khi khấu trừ các loại Bảo hiểm (BHXH, BHYT, BHTN) và Thuế TNCN)]]</f>
        <v>Từ 12 - 18 triệu VNĐ</v>
      </c>
      <c r="O35">
        <f>step3_validation[[#This Row],[Dependents]]</f>
        <v>1</v>
      </c>
      <c r="P35" t="str">
        <f>survey_responses[[#This Row],[Số người phụ thuộc (con nhỏ, cha mẹ già...) đủ điều kiện giảm trừ gia cảnh:]]</f>
        <v>1 người</v>
      </c>
      <c r="Q35">
        <f>step3_validation[[#This Row],[AI_ENF1]]</f>
        <v>8</v>
      </c>
      <c r="R35" t="str">
        <f t="shared" si="0"/>
        <v>Support</v>
      </c>
      <c r="S35">
        <f>survey_responses[[#This Row],[Tôi tin rằng với các quy định quản lý thuế hiện nay, hành vi gian lận hoặc trốn thuế sẽ dễ dàng bị phát hiện và xử lý nghiêm. - HUMAN-ENF1]]</f>
        <v>10</v>
      </c>
      <c r="T35" t="str">
        <f t="shared" si="1"/>
        <v>Support</v>
      </c>
      <c r="U35" s="32">
        <f t="shared" si="2"/>
        <v>2</v>
      </c>
      <c r="V35">
        <f>step3_validation[[#This Row],[AI_ENF2]]</f>
        <v>9</v>
      </c>
      <c r="W35" t="str">
        <f t="shared" si="3"/>
        <v>Support</v>
      </c>
      <c r="X35">
        <f>survey_responses[[#This Row],[Tôi tin rằng Nhà nước, cơ quan thuế có đủ khả năng và công nghệ để phát hiện, xử lý nghiêm các hành vi trốn thuế. - HUMAN-ENF2]]</f>
        <v>10</v>
      </c>
      <c r="Y35" t="str">
        <f t="shared" si="4"/>
        <v>Support</v>
      </c>
      <c r="Z35" s="32">
        <f t="shared" si="5"/>
        <v>1</v>
      </c>
      <c r="AA35">
        <f>step3_validation[[#This Row],[AI_FAC1]]</f>
        <v>7</v>
      </c>
      <c r="AB35" t="str">
        <f t="shared" si="6"/>
        <v>Neutral</v>
      </c>
      <c r="AC35">
        <f>survey_responses[[#This Row],[Các thủ tục khai báo thuế VÀ/HOẶC quy trình làm việc với cơ quan thuế đơn giản, tiện lợi, nhanh chóng hơn so với trước đây. - HUMAN-FAC1]]</f>
        <v>10</v>
      </c>
      <c r="AD35" t="str">
        <f t="shared" si="7"/>
        <v>Support</v>
      </c>
      <c r="AE35" s="32">
        <f t="shared" si="8"/>
        <v>3</v>
      </c>
      <c r="AF35">
        <f>step3_validation[[#This Row],[AI_FAC2]]</f>
        <v>8</v>
      </c>
      <c r="AG35" t="str">
        <f t="shared" si="9"/>
        <v>Support</v>
      </c>
      <c r="AH35">
        <f>survey_responses[[#This Row],[So với trước đây, tôi thấy cách tính thuế và các bậc thuế trong phương án mới đơn giản, dễ hiểu và dễ thực hiện hơn. - HUMAN-FAC2]]</f>
        <v>10</v>
      </c>
      <c r="AI35" t="str">
        <f t="shared" si="10"/>
        <v>Support</v>
      </c>
      <c r="AJ35" s="32">
        <f t="shared" si="11"/>
        <v>2</v>
      </c>
      <c r="AK35">
        <f>step3_validation[[#This Row],[AI_TRU1]]</f>
        <v>8</v>
      </c>
      <c r="AL35" t="str">
        <f t="shared" si="12"/>
        <v>Support</v>
      </c>
      <c r="AM35">
        <f>survey_responses[[#This Row],[Tôi tin rằng Nhà nước, cơ quan thuế sẽ thực thi chính sách mới một cách khách quan, công tâm và đối xử bình đẳng với mọi người nộp thuế.  - HUMAN-TRU1]]</f>
        <v>10</v>
      </c>
      <c r="AN35" t="str">
        <f t="shared" si="13"/>
        <v>Support</v>
      </c>
      <c r="AO35" s="32">
        <f t="shared" si="14"/>
        <v>2</v>
      </c>
      <c r="AP35">
        <f>step3_validation[[#This Row],[AI_TRU2]]</f>
        <v>9</v>
      </c>
      <c r="AQ35" t="str">
        <f t="shared" si="15"/>
        <v>Support</v>
      </c>
      <c r="AR35">
        <f>survey_responses[[#This Row],[Tôi thấy mức thuế tôi phải đóng theo phương án mới là công bằng (người thu nhập như tôi đóng mức này là hợp lý). - HUMAN-TRU2]]</f>
        <v>10</v>
      </c>
      <c r="AS35" t="str">
        <f t="shared" si="16"/>
        <v>Support</v>
      </c>
      <c r="AT35" s="32">
        <f t="shared" si="17"/>
        <v>1</v>
      </c>
      <c r="AU35">
        <f>step3_validation[[#This Row],[AI_TRU3]]</f>
        <v>8</v>
      </c>
      <c r="AV35" t="str">
        <f t="shared" si="18"/>
        <v>Support</v>
      </c>
      <c r="AW35">
        <f>survey_responses[[#This Row],[Tôi tin tưởng số tiền thuế tôi đóng sẽ được Nhà nước sử dụng hiệu quả để cải thiện dịch vụ công (y tế, đường xá...). - HUMAN-TRU3]]</f>
        <v>10</v>
      </c>
      <c r="AX35" t="str">
        <f t="shared" si="19"/>
        <v>Support</v>
      </c>
      <c r="AY35" s="32">
        <f t="shared" si="20"/>
        <v>2</v>
      </c>
      <c r="AZ35">
        <f>step3_validation[[#This Row],[AI_TRU4]]</f>
        <v>8</v>
      </c>
      <c r="BA35" t="str">
        <f t="shared" si="21"/>
        <v>Support</v>
      </c>
      <c r="BB35">
        <f>survey_responses[[#This Row],[Tôi thấy Nhà nước đã giải thích rõ ràng, minh bạch về lý do và mục tiêu của việc sửa đổi thuế lần này. - HUMAN-TRU4]]</f>
        <v>10</v>
      </c>
      <c r="BC35" t="str">
        <f t="shared" si="22"/>
        <v>Support</v>
      </c>
      <c r="BD35" s="32">
        <f t="shared" si="23"/>
        <v>2</v>
      </c>
      <c r="BE35">
        <f>step3_validation[[#This Row],[AI_OUT1]]</f>
        <v>9</v>
      </c>
      <c r="BF35" t="str">
        <f t="shared" si="24"/>
        <v>Support</v>
      </c>
      <c r="BG35">
        <f>survey_responses[[#This Row],[Sau khi xem xét các quyền lợi và nghĩa vụ, bạn có ủng hộ và tuân thủ chính sách mới hiện nay? - HUMAN-OUT1]]</f>
        <v>10</v>
      </c>
      <c r="BH35" t="str">
        <f t="shared" si="25"/>
        <v>Support</v>
      </c>
      <c r="BI35" s="32">
        <f t="shared" si="26"/>
        <v>1</v>
      </c>
    </row>
    <row r="36" spans="1:61" x14ac:dyDescent="0.45">
      <c r="A36" s="30">
        <f>step3_validation[[#This Row],[Persona_ID]]</f>
        <v>35</v>
      </c>
      <c r="B36" s="31">
        <f>step3_validation[[#This Row],[Used_Seed]]</f>
        <v>2025</v>
      </c>
      <c r="C36" t="str">
        <f>step3_validation[[#This Row],[Gender]]</f>
        <v>Nữ</v>
      </c>
      <c r="D36" t="str">
        <f>survey_responses[[#This Row],[Giới tính của bạn:]]</f>
        <v>Nữ</v>
      </c>
      <c r="E36" t="str">
        <f>step3_validation[[#This Row],[Age_Group]]</f>
        <v>30 - 39</v>
      </c>
      <c r="F36" t="str">
        <f>survey_responses[[#This Row],[Độ tuổi của bạn:]]</f>
        <v>30 - 39</v>
      </c>
      <c r="G36" t="str">
        <f>step3_validation[[#This Row],[Region]]</f>
        <v>Thành thị</v>
      </c>
      <c r="H36" t="str">
        <f>survey_responses[[#This Row],[Khu vực bạn đang sinh sống:]]</f>
        <v>Thành thị</v>
      </c>
      <c r="I36" t="str">
        <f>step3_validation[[#This Row],[Education]]</f>
        <v>Cao đẳng</v>
      </c>
      <c r="J36" t="str">
        <f>survey_responses[[#This Row],[Trình độ học vấn cao nhất:]]</f>
        <v>Cao đẳng</v>
      </c>
      <c r="K36" t="str">
        <f>step3_validation[[#This Row],[Employment]]</f>
        <v>Chính thức</v>
      </c>
      <c r="L36" t="str">
        <f>survey_responses[[#This Row],[Tình trạng việc làm chính:]]</f>
        <v>Khu vực chính thức (Có Hợp đồng lao động, đóng BHXH)</v>
      </c>
      <c r="M36">
        <f>step3_validation[[#This Row],[Income_Mil]]</f>
        <v>16.972289025838805</v>
      </c>
      <c r="N36" t="str">
        <f>survey_responses[[#This Row],[Thu nhập bình quân tháng theo Hợp đồng lao động của bạn là bao nhiêu? (Vui lòng điền tổng thu nhập trước khi khấu trừ các loại Bảo hiểm (BHXH, BHYT, BHTN) và Thuế TNCN)]]</f>
        <v>Từ 12 - 18 triệu VNĐ</v>
      </c>
      <c r="O36">
        <f>step3_validation[[#This Row],[Dependents]]</f>
        <v>3</v>
      </c>
      <c r="P36" t="str">
        <f>survey_responses[[#This Row],[Số người phụ thuộc (con nhỏ, cha mẹ già...) đủ điều kiện giảm trừ gia cảnh:]]</f>
        <v>3 người</v>
      </c>
      <c r="Q36">
        <f>step3_validation[[#This Row],[AI_ENF1]]</f>
        <v>5</v>
      </c>
      <c r="R36" t="str">
        <f t="shared" si="0"/>
        <v>Neutral</v>
      </c>
      <c r="S36">
        <f>survey_responses[[#This Row],[Tôi tin rằng với các quy định quản lý thuế hiện nay, hành vi gian lận hoặc trốn thuế sẽ dễ dàng bị phát hiện và xử lý nghiêm. - HUMAN-ENF1]]</f>
        <v>10</v>
      </c>
      <c r="T36" t="str">
        <f t="shared" si="1"/>
        <v>Support</v>
      </c>
      <c r="U36" s="32">
        <f t="shared" si="2"/>
        <v>5</v>
      </c>
      <c r="V36">
        <f>step3_validation[[#This Row],[AI_ENF2]]</f>
        <v>6</v>
      </c>
      <c r="W36" t="str">
        <f t="shared" si="3"/>
        <v>Neutral</v>
      </c>
      <c r="X36">
        <f>survey_responses[[#This Row],[Tôi tin rằng Nhà nước, cơ quan thuế có đủ khả năng và công nghệ để phát hiện, xử lý nghiêm các hành vi trốn thuế. - HUMAN-ENF2]]</f>
        <v>10</v>
      </c>
      <c r="Y36" t="str">
        <f t="shared" si="4"/>
        <v>Support</v>
      </c>
      <c r="Z36" s="32">
        <f t="shared" si="5"/>
        <v>4</v>
      </c>
      <c r="AA36">
        <f>step3_validation[[#This Row],[AI_FAC1]]</f>
        <v>8</v>
      </c>
      <c r="AB36" t="str">
        <f t="shared" si="6"/>
        <v>Support</v>
      </c>
      <c r="AC36">
        <f>survey_responses[[#This Row],[Các thủ tục khai báo thuế VÀ/HOẶC quy trình làm việc với cơ quan thuế đơn giản, tiện lợi, nhanh chóng hơn so với trước đây. - HUMAN-FAC1]]</f>
        <v>10</v>
      </c>
      <c r="AD36" t="str">
        <f t="shared" si="7"/>
        <v>Support</v>
      </c>
      <c r="AE36" s="32">
        <f t="shared" si="8"/>
        <v>2</v>
      </c>
      <c r="AF36">
        <f>step3_validation[[#This Row],[AI_FAC2]]</f>
        <v>7</v>
      </c>
      <c r="AG36" t="str">
        <f t="shared" si="9"/>
        <v>Neutral</v>
      </c>
      <c r="AH36">
        <f>survey_responses[[#This Row],[So với trước đây, tôi thấy cách tính thuế và các bậc thuế trong phương án mới đơn giản, dễ hiểu và dễ thực hiện hơn. - HUMAN-FAC2]]</f>
        <v>10</v>
      </c>
      <c r="AI36" t="str">
        <f t="shared" si="10"/>
        <v>Support</v>
      </c>
      <c r="AJ36" s="32">
        <f t="shared" si="11"/>
        <v>3</v>
      </c>
      <c r="AK36">
        <f>step3_validation[[#This Row],[AI_TRU1]]</f>
        <v>8</v>
      </c>
      <c r="AL36" t="str">
        <f t="shared" si="12"/>
        <v>Support</v>
      </c>
      <c r="AM36">
        <f>survey_responses[[#This Row],[Tôi tin rằng Nhà nước, cơ quan thuế sẽ thực thi chính sách mới một cách khách quan, công tâm và đối xử bình đẳng với mọi người nộp thuế.  - HUMAN-TRU1]]</f>
        <v>10</v>
      </c>
      <c r="AN36" t="str">
        <f t="shared" si="13"/>
        <v>Support</v>
      </c>
      <c r="AO36" s="32">
        <f t="shared" si="14"/>
        <v>2</v>
      </c>
      <c r="AP36">
        <f>step3_validation[[#This Row],[AI_TRU2]]</f>
        <v>6</v>
      </c>
      <c r="AQ36" t="str">
        <f t="shared" si="15"/>
        <v>Neutral</v>
      </c>
      <c r="AR36">
        <f>survey_responses[[#This Row],[Tôi thấy mức thuế tôi phải đóng theo phương án mới là công bằng (người thu nhập như tôi đóng mức này là hợp lý). - HUMAN-TRU2]]</f>
        <v>10</v>
      </c>
      <c r="AS36" t="str">
        <f t="shared" si="16"/>
        <v>Support</v>
      </c>
      <c r="AT36" s="32">
        <f t="shared" si="17"/>
        <v>4</v>
      </c>
      <c r="AU36">
        <f>step3_validation[[#This Row],[AI_TRU3]]</f>
        <v>5</v>
      </c>
      <c r="AV36" t="str">
        <f t="shared" si="18"/>
        <v>Neutral</v>
      </c>
      <c r="AW36">
        <f>survey_responses[[#This Row],[Tôi tin tưởng số tiền thuế tôi đóng sẽ được Nhà nước sử dụng hiệu quả để cải thiện dịch vụ công (y tế, đường xá...). - HUMAN-TRU3]]</f>
        <v>10</v>
      </c>
      <c r="AX36" t="str">
        <f t="shared" si="19"/>
        <v>Support</v>
      </c>
      <c r="AY36" s="32">
        <f t="shared" si="20"/>
        <v>5</v>
      </c>
      <c r="AZ36">
        <f>step3_validation[[#This Row],[AI_TRU4]]</f>
        <v>6</v>
      </c>
      <c r="BA36" t="str">
        <f t="shared" si="21"/>
        <v>Neutral</v>
      </c>
      <c r="BB36">
        <f>survey_responses[[#This Row],[Tôi thấy Nhà nước đã giải thích rõ ràng, minh bạch về lý do và mục tiêu của việc sửa đổi thuế lần này. - HUMAN-TRU4]]</f>
        <v>10</v>
      </c>
      <c r="BC36" t="str">
        <f t="shared" si="22"/>
        <v>Support</v>
      </c>
      <c r="BD36" s="32">
        <f t="shared" si="23"/>
        <v>4</v>
      </c>
      <c r="BE36">
        <f>step3_validation[[#This Row],[AI_OUT1]]</f>
        <v>7</v>
      </c>
      <c r="BF36" t="str">
        <f t="shared" si="24"/>
        <v>Neutral</v>
      </c>
      <c r="BG36">
        <f>survey_responses[[#This Row],[Sau khi xem xét các quyền lợi và nghĩa vụ, bạn có ủng hộ và tuân thủ chính sách mới hiện nay? - HUMAN-OUT1]]</f>
        <v>10</v>
      </c>
      <c r="BH36" t="str">
        <f t="shared" si="25"/>
        <v>Support</v>
      </c>
      <c r="BI36" s="32">
        <f t="shared" si="26"/>
        <v>3</v>
      </c>
    </row>
    <row r="37" spans="1:61" x14ac:dyDescent="0.45">
      <c r="A37" s="30">
        <f>step3_validation[[#This Row],[Persona_ID]]</f>
        <v>36</v>
      </c>
      <c r="B37" s="31">
        <f>step3_validation[[#This Row],[Used_Seed]]</f>
        <v>2026</v>
      </c>
      <c r="C37" t="str">
        <f>step3_validation[[#This Row],[Gender]]</f>
        <v>Nữ</v>
      </c>
      <c r="D37" t="str">
        <f>survey_responses[[#This Row],[Giới tính của bạn:]]</f>
        <v>Nữ</v>
      </c>
      <c r="E37" t="str">
        <f>step3_validation[[#This Row],[Age_Group]]</f>
        <v>18 - 24</v>
      </c>
      <c r="F37" t="str">
        <f>survey_responses[[#This Row],[Độ tuổi của bạn:]]</f>
        <v>18 - 24</v>
      </c>
      <c r="G37" t="str">
        <f>step3_validation[[#This Row],[Region]]</f>
        <v>Thành thị</v>
      </c>
      <c r="H37" t="str">
        <f>survey_responses[[#This Row],[Khu vực bạn đang sinh sống:]]</f>
        <v>Thành thị</v>
      </c>
      <c r="I37" t="str">
        <f>step3_validation[[#This Row],[Education]]</f>
        <v>Đại học</v>
      </c>
      <c r="J37" t="str">
        <f>survey_responses[[#This Row],[Trình độ học vấn cao nhất:]]</f>
        <v>Đại học</v>
      </c>
      <c r="K37" t="str">
        <f>step3_validation[[#This Row],[Employment]]</f>
        <v>Chính thức</v>
      </c>
      <c r="L37" t="str">
        <f>survey_responses[[#This Row],[Tình trạng việc làm chính:]]</f>
        <v>Khu vực chính thức (Có Hợp đồng lao động, đóng BHXH)</v>
      </c>
      <c r="M37">
        <f>step3_validation[[#This Row],[Income_Mil]]</f>
        <v>12.894674068377181</v>
      </c>
      <c r="N37" t="str">
        <f>survey_responses[[#This Row],[Thu nhập bình quân tháng theo Hợp đồng lao động của bạn là bao nhiêu? (Vui lòng điền tổng thu nhập trước khi khấu trừ các loại Bảo hiểm (BHXH, BHYT, BHTN) và Thuế TNCN)]]</f>
        <v>Từ 12 - 18 triệu VNĐ</v>
      </c>
      <c r="O37">
        <f>step3_validation[[#This Row],[Dependents]]</f>
        <v>0</v>
      </c>
      <c r="P37" t="str">
        <f>survey_responses[[#This Row],[Số người phụ thuộc (con nhỏ, cha mẹ già...) đủ điều kiện giảm trừ gia cảnh:]]</f>
        <v>0 người</v>
      </c>
      <c r="Q37">
        <f>step3_validation[[#This Row],[AI_ENF1]]</f>
        <v>8</v>
      </c>
      <c r="R37" t="str">
        <f t="shared" si="0"/>
        <v>Support</v>
      </c>
      <c r="S37">
        <f>survey_responses[[#This Row],[Tôi tin rằng với các quy định quản lý thuế hiện nay, hành vi gian lận hoặc trốn thuế sẽ dễ dàng bị phát hiện và xử lý nghiêm. - HUMAN-ENF1]]</f>
        <v>10</v>
      </c>
      <c r="T37" t="str">
        <f t="shared" si="1"/>
        <v>Support</v>
      </c>
      <c r="U37" s="32">
        <f t="shared" si="2"/>
        <v>2</v>
      </c>
      <c r="V37">
        <f>step3_validation[[#This Row],[AI_ENF2]]</f>
        <v>8</v>
      </c>
      <c r="W37" t="str">
        <f t="shared" si="3"/>
        <v>Support</v>
      </c>
      <c r="X37">
        <f>survey_responses[[#This Row],[Tôi tin rằng Nhà nước, cơ quan thuế có đủ khả năng và công nghệ để phát hiện, xử lý nghiêm các hành vi trốn thuế. - HUMAN-ENF2]]</f>
        <v>9</v>
      </c>
      <c r="Y37" t="str">
        <f t="shared" si="4"/>
        <v>Support</v>
      </c>
      <c r="Z37" s="32">
        <f t="shared" si="5"/>
        <v>1</v>
      </c>
      <c r="AA37">
        <f>step3_validation[[#This Row],[AI_FAC1]]</f>
        <v>7</v>
      </c>
      <c r="AB37" t="str">
        <f t="shared" si="6"/>
        <v>Neutral</v>
      </c>
      <c r="AC37">
        <f>survey_responses[[#This Row],[Các thủ tục khai báo thuế VÀ/HOẶC quy trình làm việc với cơ quan thuế đơn giản, tiện lợi, nhanh chóng hơn so với trước đây. - HUMAN-FAC1]]</f>
        <v>10</v>
      </c>
      <c r="AD37" t="str">
        <f t="shared" si="7"/>
        <v>Support</v>
      </c>
      <c r="AE37" s="32">
        <f t="shared" si="8"/>
        <v>3</v>
      </c>
      <c r="AF37">
        <f>step3_validation[[#This Row],[AI_FAC2]]</f>
        <v>6</v>
      </c>
      <c r="AG37" t="str">
        <f t="shared" si="9"/>
        <v>Neutral</v>
      </c>
      <c r="AH37">
        <f>survey_responses[[#This Row],[So với trước đây, tôi thấy cách tính thuế và các bậc thuế trong phương án mới đơn giản, dễ hiểu và dễ thực hiện hơn. - HUMAN-FAC2]]</f>
        <v>8</v>
      </c>
      <c r="AI37" t="str">
        <f t="shared" si="10"/>
        <v>Support</v>
      </c>
      <c r="AJ37" s="32">
        <f t="shared" si="11"/>
        <v>2</v>
      </c>
      <c r="AK37">
        <f>step3_validation[[#This Row],[AI_TRU1]]</f>
        <v>7</v>
      </c>
      <c r="AL37" t="str">
        <f t="shared" si="12"/>
        <v>Neutral</v>
      </c>
      <c r="AM37">
        <f>survey_responses[[#This Row],[Tôi tin rằng Nhà nước, cơ quan thuế sẽ thực thi chính sách mới một cách khách quan, công tâm và đối xử bình đẳng với mọi người nộp thuế.  - HUMAN-TRU1]]</f>
        <v>10</v>
      </c>
      <c r="AN37" t="str">
        <f t="shared" si="13"/>
        <v>Support</v>
      </c>
      <c r="AO37" s="32">
        <f t="shared" si="14"/>
        <v>3</v>
      </c>
      <c r="AP37">
        <f>step3_validation[[#This Row],[AI_TRU2]]</f>
        <v>5</v>
      </c>
      <c r="AQ37" t="str">
        <f t="shared" si="15"/>
        <v>Neutral</v>
      </c>
      <c r="AR37">
        <f>survey_responses[[#This Row],[Tôi thấy mức thuế tôi phải đóng theo phương án mới là công bằng (người thu nhập như tôi đóng mức này là hợp lý). - HUMAN-TRU2]]</f>
        <v>9</v>
      </c>
      <c r="AS37" t="str">
        <f t="shared" si="16"/>
        <v>Support</v>
      </c>
      <c r="AT37" s="32">
        <f t="shared" si="17"/>
        <v>4</v>
      </c>
      <c r="AU37">
        <f>step3_validation[[#This Row],[AI_TRU3]]</f>
        <v>6</v>
      </c>
      <c r="AV37" t="str">
        <f t="shared" si="18"/>
        <v>Neutral</v>
      </c>
      <c r="AW37">
        <f>survey_responses[[#This Row],[Tôi tin tưởng số tiền thuế tôi đóng sẽ được Nhà nước sử dụng hiệu quả để cải thiện dịch vụ công (y tế, đường xá...). - HUMAN-TRU3]]</f>
        <v>10</v>
      </c>
      <c r="AX37" t="str">
        <f t="shared" si="19"/>
        <v>Support</v>
      </c>
      <c r="AY37" s="32">
        <f t="shared" si="20"/>
        <v>4</v>
      </c>
      <c r="AZ37">
        <f>step3_validation[[#This Row],[AI_TRU4]]</f>
        <v>3</v>
      </c>
      <c r="BA37" t="str">
        <f t="shared" si="21"/>
        <v>Oppose</v>
      </c>
      <c r="BB37">
        <f>survey_responses[[#This Row],[Tôi thấy Nhà nước đã giải thích rõ ràng, minh bạch về lý do và mục tiêu của việc sửa đổi thuế lần này. - HUMAN-TRU4]]</f>
        <v>10</v>
      </c>
      <c r="BC37" t="str">
        <f t="shared" si="22"/>
        <v>Support</v>
      </c>
      <c r="BD37" s="32">
        <f t="shared" si="23"/>
        <v>7</v>
      </c>
      <c r="BE37">
        <f>step3_validation[[#This Row],[AI_OUT1]]</f>
        <v>7</v>
      </c>
      <c r="BF37" t="str">
        <f t="shared" si="24"/>
        <v>Neutral</v>
      </c>
      <c r="BG37">
        <f>survey_responses[[#This Row],[Sau khi xem xét các quyền lợi và nghĩa vụ, bạn có ủng hộ và tuân thủ chính sách mới hiện nay? - HUMAN-OUT1]]</f>
        <v>10</v>
      </c>
      <c r="BH37" t="str">
        <f t="shared" si="25"/>
        <v>Support</v>
      </c>
      <c r="BI37" s="32">
        <f t="shared" si="26"/>
        <v>3</v>
      </c>
    </row>
    <row r="38" spans="1:61" x14ac:dyDescent="0.45">
      <c r="A38" s="30">
        <f>step3_validation[[#This Row],[Persona_ID]]</f>
        <v>37</v>
      </c>
      <c r="B38" s="31">
        <f>step3_validation[[#This Row],[Used_Seed]]</f>
        <v>2027</v>
      </c>
      <c r="C38" t="str">
        <f>step3_validation[[#This Row],[Gender]]</f>
        <v>Nam</v>
      </c>
      <c r="D38" t="str">
        <f>survey_responses[[#This Row],[Giới tính của bạn:]]</f>
        <v>Nam</v>
      </c>
      <c r="E38" t="str">
        <f>step3_validation[[#This Row],[Age_Group]]</f>
        <v>18 - 24</v>
      </c>
      <c r="F38" t="str">
        <f>survey_responses[[#This Row],[Độ tuổi của bạn:]]</f>
        <v>18 - 24</v>
      </c>
      <c r="G38" t="str">
        <f>step3_validation[[#This Row],[Region]]</f>
        <v>Thành thị</v>
      </c>
      <c r="H38" t="str">
        <f>survey_responses[[#This Row],[Khu vực bạn đang sinh sống:]]</f>
        <v>Thành thị</v>
      </c>
      <c r="I38" t="str">
        <f>step3_validation[[#This Row],[Education]]</f>
        <v>Đại học</v>
      </c>
      <c r="J38" t="str">
        <f>survey_responses[[#This Row],[Trình độ học vấn cao nhất:]]</f>
        <v>Đại học</v>
      </c>
      <c r="K38" t="str">
        <f>step3_validation[[#This Row],[Employment]]</f>
        <v>Chính thức</v>
      </c>
      <c r="L38" t="str">
        <f>survey_responses[[#This Row],[Tình trạng việc làm chính:]]</f>
        <v>Khu vực chính thức (Có Hợp đồng lao động, đóng BHXH)</v>
      </c>
      <c r="M38">
        <f>step3_validation[[#This Row],[Income_Mil]]</f>
        <v>12.040027302028836</v>
      </c>
      <c r="N38" t="str">
        <f>survey_responses[[#This Row],[Thu nhập bình quân tháng theo Hợp đồng lao động của bạn là bao nhiêu? (Vui lòng điền tổng thu nhập trước khi khấu trừ các loại Bảo hiểm (BHXH, BHYT, BHTN) và Thuế TNCN)]]</f>
        <v>Từ 12 - 18 triệu VNĐ</v>
      </c>
      <c r="O38">
        <f>step3_validation[[#This Row],[Dependents]]</f>
        <v>0</v>
      </c>
      <c r="P38" t="str">
        <f>survey_responses[[#This Row],[Số người phụ thuộc (con nhỏ, cha mẹ già...) đủ điều kiện giảm trừ gia cảnh:]]</f>
        <v>0 người</v>
      </c>
      <c r="Q38">
        <f>step3_validation[[#This Row],[AI_ENF1]]</f>
        <v>7</v>
      </c>
      <c r="R38" t="str">
        <f t="shared" si="0"/>
        <v>Neutral</v>
      </c>
      <c r="S38">
        <f>survey_responses[[#This Row],[Tôi tin rằng với các quy định quản lý thuế hiện nay, hành vi gian lận hoặc trốn thuế sẽ dễ dàng bị phát hiện và xử lý nghiêm. - HUMAN-ENF1]]</f>
        <v>10</v>
      </c>
      <c r="T38" t="str">
        <f t="shared" si="1"/>
        <v>Support</v>
      </c>
      <c r="U38" s="32">
        <f t="shared" si="2"/>
        <v>3</v>
      </c>
      <c r="V38">
        <f>step3_validation[[#This Row],[AI_ENF2]]</f>
        <v>6</v>
      </c>
      <c r="W38" t="str">
        <f t="shared" si="3"/>
        <v>Neutral</v>
      </c>
      <c r="X38">
        <f>survey_responses[[#This Row],[Tôi tin rằng Nhà nước, cơ quan thuế có đủ khả năng và công nghệ để phát hiện, xử lý nghiêm các hành vi trốn thuế. - HUMAN-ENF2]]</f>
        <v>10</v>
      </c>
      <c r="Y38" t="str">
        <f t="shared" si="4"/>
        <v>Support</v>
      </c>
      <c r="Z38" s="32">
        <f t="shared" si="5"/>
        <v>4</v>
      </c>
      <c r="AA38">
        <f>step3_validation[[#This Row],[AI_FAC1]]</f>
        <v>8</v>
      </c>
      <c r="AB38" t="str">
        <f t="shared" si="6"/>
        <v>Support</v>
      </c>
      <c r="AC38">
        <f>survey_responses[[#This Row],[Các thủ tục khai báo thuế VÀ/HOẶC quy trình làm việc với cơ quan thuế đơn giản, tiện lợi, nhanh chóng hơn so với trước đây. - HUMAN-FAC1]]</f>
        <v>10</v>
      </c>
      <c r="AD38" t="str">
        <f t="shared" si="7"/>
        <v>Support</v>
      </c>
      <c r="AE38" s="32">
        <f t="shared" si="8"/>
        <v>2</v>
      </c>
      <c r="AF38">
        <f>step3_validation[[#This Row],[AI_FAC2]]</f>
        <v>7</v>
      </c>
      <c r="AG38" t="str">
        <f t="shared" si="9"/>
        <v>Neutral</v>
      </c>
      <c r="AH38">
        <f>survey_responses[[#This Row],[So với trước đây, tôi thấy cách tính thuế và các bậc thuế trong phương án mới đơn giản, dễ hiểu và dễ thực hiện hơn. - HUMAN-FAC2]]</f>
        <v>10</v>
      </c>
      <c r="AI38" t="str">
        <f t="shared" si="10"/>
        <v>Support</v>
      </c>
      <c r="AJ38" s="32">
        <f t="shared" si="11"/>
        <v>3</v>
      </c>
      <c r="AK38">
        <f>step3_validation[[#This Row],[AI_TRU1]]</f>
        <v>6</v>
      </c>
      <c r="AL38" t="str">
        <f t="shared" si="12"/>
        <v>Neutral</v>
      </c>
      <c r="AM38">
        <f>survey_responses[[#This Row],[Tôi tin rằng Nhà nước, cơ quan thuế sẽ thực thi chính sách mới một cách khách quan, công tâm và đối xử bình đẳng với mọi người nộp thuế.  - HUMAN-TRU1]]</f>
        <v>9</v>
      </c>
      <c r="AN38" t="str">
        <f t="shared" si="13"/>
        <v>Support</v>
      </c>
      <c r="AO38" s="32">
        <f t="shared" si="14"/>
        <v>3</v>
      </c>
      <c r="AP38">
        <f>step3_validation[[#This Row],[AI_TRU2]]</f>
        <v>8</v>
      </c>
      <c r="AQ38" t="str">
        <f t="shared" si="15"/>
        <v>Support</v>
      </c>
      <c r="AR38">
        <f>survey_responses[[#This Row],[Tôi thấy mức thuế tôi phải đóng theo phương án mới là công bằng (người thu nhập như tôi đóng mức này là hợp lý). - HUMAN-TRU2]]</f>
        <v>9</v>
      </c>
      <c r="AS38" t="str">
        <f t="shared" si="16"/>
        <v>Support</v>
      </c>
      <c r="AT38" s="32">
        <f t="shared" si="17"/>
        <v>1</v>
      </c>
      <c r="AU38">
        <f>step3_validation[[#This Row],[AI_TRU3]]</f>
        <v>5</v>
      </c>
      <c r="AV38" t="str">
        <f t="shared" si="18"/>
        <v>Neutral</v>
      </c>
      <c r="AW38">
        <f>survey_responses[[#This Row],[Tôi tin tưởng số tiền thuế tôi đóng sẽ được Nhà nước sử dụng hiệu quả để cải thiện dịch vụ công (y tế, đường xá...). - HUMAN-TRU3]]</f>
        <v>9</v>
      </c>
      <c r="AX38" t="str">
        <f t="shared" si="19"/>
        <v>Support</v>
      </c>
      <c r="AY38" s="32">
        <f t="shared" si="20"/>
        <v>4</v>
      </c>
      <c r="AZ38">
        <f>step3_validation[[#This Row],[AI_TRU4]]</f>
        <v>6</v>
      </c>
      <c r="BA38" t="str">
        <f t="shared" si="21"/>
        <v>Neutral</v>
      </c>
      <c r="BB38">
        <f>survey_responses[[#This Row],[Tôi thấy Nhà nước đã giải thích rõ ràng, minh bạch về lý do và mục tiêu của việc sửa đổi thuế lần này. - HUMAN-TRU4]]</f>
        <v>9</v>
      </c>
      <c r="BC38" t="str">
        <f t="shared" si="22"/>
        <v>Support</v>
      </c>
      <c r="BD38" s="32">
        <f t="shared" si="23"/>
        <v>3</v>
      </c>
      <c r="BE38">
        <f>step3_validation[[#This Row],[AI_OUT1]]</f>
        <v>7</v>
      </c>
      <c r="BF38" t="str">
        <f t="shared" si="24"/>
        <v>Neutral</v>
      </c>
      <c r="BG38">
        <f>survey_responses[[#This Row],[Sau khi xem xét các quyền lợi và nghĩa vụ, bạn có ủng hộ và tuân thủ chính sách mới hiện nay? - HUMAN-OUT1]]</f>
        <v>8</v>
      </c>
      <c r="BH38" t="str">
        <f t="shared" si="25"/>
        <v>Support</v>
      </c>
      <c r="BI38" s="32">
        <f t="shared" si="26"/>
        <v>1</v>
      </c>
    </row>
    <row r="39" spans="1:61" x14ac:dyDescent="0.45">
      <c r="A39" s="30">
        <f>step3_validation[[#This Row],[Persona_ID]]</f>
        <v>38</v>
      </c>
      <c r="B39" s="31">
        <f>step3_validation[[#This Row],[Used_Seed]]</f>
        <v>2028</v>
      </c>
      <c r="C39" t="str">
        <f>step3_validation[[#This Row],[Gender]]</f>
        <v>Nữ</v>
      </c>
      <c r="D39" t="str">
        <f>survey_responses[[#This Row],[Giới tính của bạn:]]</f>
        <v>Nữ</v>
      </c>
      <c r="E39" t="str">
        <f>step3_validation[[#This Row],[Age_Group]]</f>
        <v>30 - 39</v>
      </c>
      <c r="F39" t="str">
        <f>survey_responses[[#This Row],[Độ tuổi của bạn:]]</f>
        <v>30 - 39</v>
      </c>
      <c r="G39" t="str">
        <f>step3_validation[[#This Row],[Region]]</f>
        <v>Thành thị</v>
      </c>
      <c r="H39" t="str">
        <f>survey_responses[[#This Row],[Khu vực bạn đang sinh sống:]]</f>
        <v>Thành thị</v>
      </c>
      <c r="I39" t="str">
        <f>step3_validation[[#This Row],[Education]]</f>
        <v>Đại học</v>
      </c>
      <c r="J39" t="str">
        <f>survey_responses[[#This Row],[Trình độ học vấn cao nhất:]]</f>
        <v>Đại học</v>
      </c>
      <c r="K39" t="str">
        <f>step3_validation[[#This Row],[Employment]]</f>
        <v>Chính thức</v>
      </c>
      <c r="L39" t="str">
        <f>survey_responses[[#This Row],[Tình trạng việc làm chính:]]</f>
        <v>Khu vực chính thức (Có Hợp đồng lao động, đóng BHXH)</v>
      </c>
      <c r="M39">
        <f>step3_validation[[#This Row],[Income_Mil]]</f>
        <v>37.801284728450995</v>
      </c>
      <c r="N39" t="str">
        <f>survey_responses[[#This Row],[Thu nhập bình quân tháng theo Hợp đồng lao động của bạn là bao nhiêu? (Vui lòng điền tổng thu nhập trước khi khấu trừ các loại Bảo hiểm (BHXH, BHYT, BHTN) và Thuế TNCN)]]</f>
        <v>Từ 32 - 48 triệu VNĐ</v>
      </c>
      <c r="O39">
        <f>step3_validation[[#This Row],[Dependents]]</f>
        <v>1</v>
      </c>
      <c r="P39" t="str">
        <f>survey_responses[[#This Row],[Số người phụ thuộc (con nhỏ, cha mẹ già...) đủ điều kiện giảm trừ gia cảnh:]]</f>
        <v>1 người</v>
      </c>
      <c r="Q39">
        <f>step3_validation[[#This Row],[AI_ENF1]]</f>
        <v>4</v>
      </c>
      <c r="R39" t="str">
        <f t="shared" si="0"/>
        <v>Oppose</v>
      </c>
      <c r="S39">
        <f>survey_responses[[#This Row],[Tôi tin rằng với các quy định quản lý thuế hiện nay, hành vi gian lận hoặc trốn thuế sẽ dễ dàng bị phát hiện và xử lý nghiêm. - HUMAN-ENF1]]</f>
        <v>8</v>
      </c>
      <c r="T39" t="str">
        <f t="shared" si="1"/>
        <v>Support</v>
      </c>
      <c r="U39" s="32">
        <f t="shared" si="2"/>
        <v>4</v>
      </c>
      <c r="V39">
        <f>step3_validation[[#This Row],[AI_ENF2]]</f>
        <v>5</v>
      </c>
      <c r="W39" t="str">
        <f t="shared" si="3"/>
        <v>Neutral</v>
      </c>
      <c r="X39">
        <f>survey_responses[[#This Row],[Tôi tin rằng Nhà nước, cơ quan thuế có đủ khả năng và công nghệ để phát hiện, xử lý nghiêm các hành vi trốn thuế. - HUMAN-ENF2]]</f>
        <v>8</v>
      </c>
      <c r="Y39" t="str">
        <f t="shared" si="4"/>
        <v>Support</v>
      </c>
      <c r="Z39" s="32">
        <f t="shared" si="5"/>
        <v>3</v>
      </c>
      <c r="AA39">
        <f>step3_validation[[#This Row],[AI_FAC1]]</f>
        <v>8</v>
      </c>
      <c r="AB39" t="str">
        <f t="shared" si="6"/>
        <v>Support</v>
      </c>
      <c r="AC39">
        <f>survey_responses[[#This Row],[Các thủ tục khai báo thuế VÀ/HOẶC quy trình làm việc với cơ quan thuế đơn giản, tiện lợi, nhanh chóng hơn so với trước đây. - HUMAN-FAC1]]</f>
        <v>8</v>
      </c>
      <c r="AD39" t="str">
        <f t="shared" si="7"/>
        <v>Support</v>
      </c>
      <c r="AE39" s="32">
        <f t="shared" si="8"/>
        <v>0</v>
      </c>
      <c r="AF39">
        <f>step3_validation[[#This Row],[AI_FAC2]]</f>
        <v>7</v>
      </c>
      <c r="AG39" t="str">
        <f t="shared" si="9"/>
        <v>Neutral</v>
      </c>
      <c r="AH39">
        <f>survey_responses[[#This Row],[So với trước đây, tôi thấy cách tính thuế và các bậc thuế trong phương án mới đơn giản, dễ hiểu và dễ thực hiện hơn. - HUMAN-FAC2]]</f>
        <v>8</v>
      </c>
      <c r="AI39" t="str">
        <f t="shared" si="10"/>
        <v>Support</v>
      </c>
      <c r="AJ39" s="32">
        <f t="shared" si="11"/>
        <v>1</v>
      </c>
      <c r="AK39">
        <f>step3_validation[[#This Row],[AI_TRU1]]</f>
        <v>6</v>
      </c>
      <c r="AL39" t="str">
        <f t="shared" si="12"/>
        <v>Neutral</v>
      </c>
      <c r="AM39">
        <f>survey_responses[[#This Row],[Tôi tin rằng Nhà nước, cơ quan thuế sẽ thực thi chính sách mới một cách khách quan, công tâm và đối xử bình đẳng với mọi người nộp thuế.  - HUMAN-TRU1]]</f>
        <v>8</v>
      </c>
      <c r="AN39" t="str">
        <f t="shared" si="13"/>
        <v>Support</v>
      </c>
      <c r="AO39" s="32">
        <f t="shared" si="14"/>
        <v>2</v>
      </c>
      <c r="AP39">
        <f>step3_validation[[#This Row],[AI_TRU2]]</f>
        <v>5</v>
      </c>
      <c r="AQ39" t="str">
        <f t="shared" si="15"/>
        <v>Neutral</v>
      </c>
      <c r="AR39">
        <f>survey_responses[[#This Row],[Tôi thấy mức thuế tôi phải đóng theo phương án mới là công bằng (người thu nhập như tôi đóng mức này là hợp lý). - HUMAN-TRU2]]</f>
        <v>8</v>
      </c>
      <c r="AS39" t="str">
        <f t="shared" si="16"/>
        <v>Support</v>
      </c>
      <c r="AT39" s="32">
        <f t="shared" si="17"/>
        <v>3</v>
      </c>
      <c r="AU39">
        <f>step3_validation[[#This Row],[AI_TRU3]]</f>
        <v>4</v>
      </c>
      <c r="AV39" t="str">
        <f t="shared" si="18"/>
        <v>Oppose</v>
      </c>
      <c r="AW39">
        <f>survey_responses[[#This Row],[Tôi tin tưởng số tiền thuế tôi đóng sẽ được Nhà nước sử dụng hiệu quả để cải thiện dịch vụ công (y tế, đường xá...). - HUMAN-TRU3]]</f>
        <v>8</v>
      </c>
      <c r="AX39" t="str">
        <f t="shared" si="19"/>
        <v>Support</v>
      </c>
      <c r="AY39" s="32">
        <f t="shared" si="20"/>
        <v>4</v>
      </c>
      <c r="AZ39">
        <f>step3_validation[[#This Row],[AI_TRU4]]</f>
        <v>5</v>
      </c>
      <c r="BA39" t="str">
        <f t="shared" si="21"/>
        <v>Neutral</v>
      </c>
      <c r="BB39">
        <f>survey_responses[[#This Row],[Tôi thấy Nhà nước đã giải thích rõ ràng, minh bạch về lý do và mục tiêu của việc sửa đổi thuế lần này. - HUMAN-TRU4]]</f>
        <v>8</v>
      </c>
      <c r="BC39" t="str">
        <f t="shared" si="22"/>
        <v>Support</v>
      </c>
      <c r="BD39" s="32">
        <f t="shared" si="23"/>
        <v>3</v>
      </c>
      <c r="BE39">
        <f>step3_validation[[#This Row],[AI_OUT1]]</f>
        <v>6</v>
      </c>
      <c r="BF39" t="str">
        <f t="shared" si="24"/>
        <v>Neutral</v>
      </c>
      <c r="BG39">
        <f>survey_responses[[#This Row],[Sau khi xem xét các quyền lợi và nghĩa vụ, bạn có ủng hộ và tuân thủ chính sách mới hiện nay? - HUMAN-OUT1]]</f>
        <v>8</v>
      </c>
      <c r="BH39" t="str">
        <f t="shared" si="25"/>
        <v>Support</v>
      </c>
      <c r="BI39" s="32">
        <f t="shared" si="26"/>
        <v>2</v>
      </c>
    </row>
    <row r="40" spans="1:61" x14ac:dyDescent="0.45">
      <c r="A40" s="30">
        <f>step3_validation[[#This Row],[Persona_ID]]</f>
        <v>39</v>
      </c>
      <c r="B40" s="31">
        <f>step3_validation[[#This Row],[Used_Seed]]</f>
        <v>2029</v>
      </c>
      <c r="C40" t="str">
        <f>step3_validation[[#This Row],[Gender]]</f>
        <v>Nam</v>
      </c>
      <c r="D40" t="str">
        <f>survey_responses[[#This Row],[Giới tính của bạn:]]</f>
        <v>Nam</v>
      </c>
      <c r="E40" t="str">
        <f>step3_validation[[#This Row],[Age_Group]]</f>
        <v>25 - 29</v>
      </c>
      <c r="F40" t="str">
        <f>survey_responses[[#This Row],[Độ tuổi của bạn:]]</f>
        <v>25 - 29</v>
      </c>
      <c r="G40" t="str">
        <f>step3_validation[[#This Row],[Region]]</f>
        <v>Thành thị</v>
      </c>
      <c r="H40" t="str">
        <f>survey_responses[[#This Row],[Khu vực bạn đang sinh sống:]]</f>
        <v>Thành thị</v>
      </c>
      <c r="I40" t="str">
        <f>step3_validation[[#This Row],[Education]]</f>
        <v>Đại học</v>
      </c>
      <c r="J40" t="str">
        <f>survey_responses[[#This Row],[Trình độ học vấn cao nhất:]]</f>
        <v>Đại học</v>
      </c>
      <c r="K40" t="str">
        <f>step3_validation[[#This Row],[Employment]]</f>
        <v>Chính thức</v>
      </c>
      <c r="L40" t="str">
        <f>survey_responses[[#This Row],[Tình trạng việc làm chính:]]</f>
        <v>Khu vực chính thức (Có Hợp đồng lao động, đóng BHXH)</v>
      </c>
      <c r="M40">
        <f>step3_validation[[#This Row],[Income_Mil]]</f>
        <v>15.995588382567147</v>
      </c>
      <c r="N40" t="str">
        <f>survey_responses[[#This Row],[Thu nhập bình quân tháng theo Hợp đồng lao động của bạn là bao nhiêu? (Vui lòng điền tổng thu nhập trước khi khấu trừ các loại Bảo hiểm (BHXH, BHYT, BHTN) và Thuế TNCN)]]</f>
        <v>Từ 12 - 18 triệu VNĐ</v>
      </c>
      <c r="O40">
        <f>step3_validation[[#This Row],[Dependents]]</f>
        <v>0</v>
      </c>
      <c r="P40" t="str">
        <f>survey_responses[[#This Row],[Số người phụ thuộc (con nhỏ, cha mẹ già...) đủ điều kiện giảm trừ gia cảnh:]]</f>
        <v>0 người</v>
      </c>
      <c r="Q40">
        <f>step3_validation[[#This Row],[AI_ENF1]]</f>
        <v>7</v>
      </c>
      <c r="R40" t="str">
        <f t="shared" si="0"/>
        <v>Neutral</v>
      </c>
      <c r="S40">
        <f>survey_responses[[#This Row],[Tôi tin rằng với các quy định quản lý thuế hiện nay, hành vi gian lận hoặc trốn thuế sẽ dễ dàng bị phát hiện và xử lý nghiêm. - HUMAN-ENF1]]</f>
        <v>10</v>
      </c>
      <c r="T40" t="str">
        <f t="shared" si="1"/>
        <v>Support</v>
      </c>
      <c r="U40" s="32">
        <f t="shared" si="2"/>
        <v>3</v>
      </c>
      <c r="V40">
        <f>step3_validation[[#This Row],[AI_ENF2]]</f>
        <v>6</v>
      </c>
      <c r="W40" t="str">
        <f t="shared" si="3"/>
        <v>Neutral</v>
      </c>
      <c r="X40">
        <f>survey_responses[[#This Row],[Tôi tin rằng Nhà nước, cơ quan thuế có đủ khả năng và công nghệ để phát hiện, xử lý nghiêm các hành vi trốn thuế. - HUMAN-ENF2]]</f>
        <v>10</v>
      </c>
      <c r="Y40" t="str">
        <f t="shared" si="4"/>
        <v>Support</v>
      </c>
      <c r="Z40" s="32">
        <f t="shared" si="5"/>
        <v>4</v>
      </c>
      <c r="AA40">
        <f>step3_validation[[#This Row],[AI_FAC1]]</f>
        <v>8</v>
      </c>
      <c r="AB40" t="str">
        <f t="shared" si="6"/>
        <v>Support</v>
      </c>
      <c r="AC40">
        <f>survey_responses[[#This Row],[Các thủ tục khai báo thuế VÀ/HOẶC quy trình làm việc với cơ quan thuế đơn giản, tiện lợi, nhanh chóng hơn so với trước đây. - HUMAN-FAC1]]</f>
        <v>10</v>
      </c>
      <c r="AD40" t="str">
        <f t="shared" si="7"/>
        <v>Support</v>
      </c>
      <c r="AE40" s="32">
        <f t="shared" si="8"/>
        <v>2</v>
      </c>
      <c r="AF40">
        <f>step3_validation[[#This Row],[AI_FAC2]]</f>
        <v>9</v>
      </c>
      <c r="AG40" t="str">
        <f t="shared" si="9"/>
        <v>Support</v>
      </c>
      <c r="AH40">
        <f>survey_responses[[#This Row],[So với trước đây, tôi thấy cách tính thuế và các bậc thuế trong phương án mới đơn giản, dễ hiểu và dễ thực hiện hơn. - HUMAN-FAC2]]</f>
        <v>10</v>
      </c>
      <c r="AI40" t="str">
        <f t="shared" si="10"/>
        <v>Support</v>
      </c>
      <c r="AJ40" s="32">
        <f t="shared" si="11"/>
        <v>1</v>
      </c>
      <c r="AK40">
        <f>step3_validation[[#This Row],[AI_TRU1]]</f>
        <v>7</v>
      </c>
      <c r="AL40" t="str">
        <f t="shared" si="12"/>
        <v>Neutral</v>
      </c>
      <c r="AM40">
        <f>survey_responses[[#This Row],[Tôi tin rằng Nhà nước, cơ quan thuế sẽ thực thi chính sách mới một cách khách quan, công tâm và đối xử bình đẳng với mọi người nộp thuế.  - HUMAN-TRU1]]</f>
        <v>10</v>
      </c>
      <c r="AN40" t="str">
        <f t="shared" si="13"/>
        <v>Support</v>
      </c>
      <c r="AO40" s="32">
        <f t="shared" si="14"/>
        <v>3</v>
      </c>
      <c r="AP40">
        <f>step3_validation[[#This Row],[AI_TRU2]]</f>
        <v>6</v>
      </c>
      <c r="AQ40" t="str">
        <f t="shared" si="15"/>
        <v>Neutral</v>
      </c>
      <c r="AR40">
        <f>survey_responses[[#This Row],[Tôi thấy mức thuế tôi phải đóng theo phương án mới là công bằng (người thu nhập như tôi đóng mức này là hợp lý). - HUMAN-TRU2]]</f>
        <v>10</v>
      </c>
      <c r="AS40" t="str">
        <f t="shared" si="16"/>
        <v>Support</v>
      </c>
      <c r="AT40" s="32">
        <f t="shared" si="17"/>
        <v>4</v>
      </c>
      <c r="AU40">
        <f>step3_validation[[#This Row],[AI_TRU3]]</f>
        <v>7</v>
      </c>
      <c r="AV40" t="str">
        <f t="shared" si="18"/>
        <v>Neutral</v>
      </c>
      <c r="AW40">
        <f>survey_responses[[#This Row],[Tôi tin tưởng số tiền thuế tôi đóng sẽ được Nhà nước sử dụng hiệu quả để cải thiện dịch vụ công (y tế, đường xá...). - HUMAN-TRU3]]</f>
        <v>10</v>
      </c>
      <c r="AX40" t="str">
        <f t="shared" si="19"/>
        <v>Support</v>
      </c>
      <c r="AY40" s="32">
        <f t="shared" si="20"/>
        <v>3</v>
      </c>
      <c r="AZ40">
        <f>step3_validation[[#This Row],[AI_TRU4]]</f>
        <v>5</v>
      </c>
      <c r="BA40" t="str">
        <f t="shared" si="21"/>
        <v>Neutral</v>
      </c>
      <c r="BB40">
        <f>survey_responses[[#This Row],[Tôi thấy Nhà nước đã giải thích rõ ràng, minh bạch về lý do và mục tiêu của việc sửa đổi thuế lần này. - HUMAN-TRU4]]</f>
        <v>10</v>
      </c>
      <c r="BC40" t="str">
        <f t="shared" si="22"/>
        <v>Support</v>
      </c>
      <c r="BD40" s="32">
        <f t="shared" si="23"/>
        <v>5</v>
      </c>
      <c r="BE40">
        <f>step3_validation[[#This Row],[AI_OUT1]]</f>
        <v>8</v>
      </c>
      <c r="BF40" t="str">
        <f t="shared" si="24"/>
        <v>Support</v>
      </c>
      <c r="BG40">
        <f>survey_responses[[#This Row],[Sau khi xem xét các quyền lợi và nghĩa vụ, bạn có ủng hộ và tuân thủ chính sách mới hiện nay? - HUMAN-OUT1]]</f>
        <v>10</v>
      </c>
      <c r="BH40" t="str">
        <f t="shared" si="25"/>
        <v>Support</v>
      </c>
      <c r="BI40" s="32">
        <f t="shared" si="26"/>
        <v>2</v>
      </c>
    </row>
    <row r="41" spans="1:61" x14ac:dyDescent="0.45">
      <c r="A41" s="30">
        <f>step3_validation[[#This Row],[Persona_ID]]</f>
        <v>40</v>
      </c>
      <c r="B41" s="31">
        <f>step3_validation[[#This Row],[Used_Seed]]</f>
        <v>2030</v>
      </c>
      <c r="C41" t="str">
        <f>step3_validation[[#This Row],[Gender]]</f>
        <v>Nam</v>
      </c>
      <c r="D41" t="str">
        <f>survey_responses[[#This Row],[Giới tính của bạn:]]</f>
        <v>Nam</v>
      </c>
      <c r="E41" t="str">
        <f>step3_validation[[#This Row],[Age_Group]]</f>
        <v>30 - 39</v>
      </c>
      <c r="F41" t="str">
        <f>survey_responses[[#This Row],[Độ tuổi của bạn:]]</f>
        <v>30 - 39</v>
      </c>
      <c r="G41" t="str">
        <f>step3_validation[[#This Row],[Region]]</f>
        <v>Thành thị</v>
      </c>
      <c r="H41" t="str">
        <f>survey_responses[[#This Row],[Khu vực bạn đang sinh sống:]]</f>
        <v>Thành thị</v>
      </c>
      <c r="I41" t="str">
        <f>step3_validation[[#This Row],[Education]]</f>
        <v>Đại học</v>
      </c>
      <c r="J41" t="str">
        <f>survey_responses[[#This Row],[Trình độ học vấn cao nhất:]]</f>
        <v>Đại học</v>
      </c>
      <c r="K41" t="str">
        <f>step3_validation[[#This Row],[Employment]]</f>
        <v>Chính thức</v>
      </c>
      <c r="L41" t="str">
        <f>survey_responses[[#This Row],[Tình trạng việc làm chính:]]</f>
        <v>Khu vực chính thức (Có Hợp đồng lao động, đóng BHXH)</v>
      </c>
      <c r="M41">
        <f>step3_validation[[#This Row],[Income_Mil]]</f>
        <v>160.65358296339355</v>
      </c>
      <c r="N41" t="str">
        <f>survey_responses[[#This Row],[Thu nhập bình quân tháng theo Hợp đồng lao động của bạn là bao nhiêu? (Vui lòng điền tổng thu nhập trước khi khấu trừ các loại Bảo hiểm (BHXH, BHYT, BHTN) và Thuế TNCN)]]</f>
        <v>Trên 102 triệu VNĐ</v>
      </c>
      <c r="O41">
        <f>step3_validation[[#This Row],[Dependents]]</f>
        <v>1</v>
      </c>
      <c r="P41" t="str">
        <f>survey_responses[[#This Row],[Số người phụ thuộc (con nhỏ, cha mẹ già...) đủ điều kiện giảm trừ gia cảnh:]]</f>
        <v>1 người</v>
      </c>
      <c r="Q41">
        <f>step3_validation[[#This Row],[AI_ENF1]]</f>
        <v>8</v>
      </c>
      <c r="R41" t="str">
        <f t="shared" si="0"/>
        <v>Support</v>
      </c>
      <c r="S41">
        <f>survey_responses[[#This Row],[Tôi tin rằng với các quy định quản lý thuế hiện nay, hành vi gian lận hoặc trốn thuế sẽ dễ dàng bị phát hiện và xử lý nghiêm. - HUMAN-ENF1]]</f>
        <v>8</v>
      </c>
      <c r="T41" t="str">
        <f t="shared" si="1"/>
        <v>Support</v>
      </c>
      <c r="U41" s="32">
        <f t="shared" si="2"/>
        <v>0</v>
      </c>
      <c r="V41">
        <f>step3_validation[[#This Row],[AI_ENF2]]</f>
        <v>9</v>
      </c>
      <c r="W41" t="str">
        <f t="shared" si="3"/>
        <v>Support</v>
      </c>
      <c r="X41">
        <f>survey_responses[[#This Row],[Tôi tin rằng Nhà nước, cơ quan thuế có đủ khả năng và công nghệ để phát hiện, xử lý nghiêm các hành vi trốn thuế. - HUMAN-ENF2]]</f>
        <v>8</v>
      </c>
      <c r="Y41" t="str">
        <f t="shared" si="4"/>
        <v>Support</v>
      </c>
      <c r="Z41" s="32">
        <f t="shared" si="5"/>
        <v>1</v>
      </c>
      <c r="AA41">
        <f>step3_validation[[#This Row],[AI_FAC1]]</f>
        <v>8</v>
      </c>
      <c r="AB41" t="str">
        <f t="shared" si="6"/>
        <v>Support</v>
      </c>
      <c r="AC41">
        <f>survey_responses[[#This Row],[Các thủ tục khai báo thuế VÀ/HOẶC quy trình làm việc với cơ quan thuế đơn giản, tiện lợi, nhanh chóng hơn so với trước đây. - HUMAN-FAC1]]</f>
        <v>6</v>
      </c>
      <c r="AD41" t="str">
        <f t="shared" si="7"/>
        <v>Neutral</v>
      </c>
      <c r="AE41" s="32">
        <f t="shared" si="8"/>
        <v>2</v>
      </c>
      <c r="AF41">
        <f>step3_validation[[#This Row],[AI_FAC2]]</f>
        <v>7</v>
      </c>
      <c r="AG41" t="str">
        <f t="shared" si="9"/>
        <v>Neutral</v>
      </c>
      <c r="AH41">
        <f>survey_responses[[#This Row],[So với trước đây, tôi thấy cách tính thuế và các bậc thuế trong phương án mới đơn giản, dễ hiểu và dễ thực hiện hơn. - HUMAN-FAC2]]</f>
        <v>8</v>
      </c>
      <c r="AI41" t="str">
        <f t="shared" si="10"/>
        <v>Support</v>
      </c>
      <c r="AJ41" s="32">
        <f t="shared" si="11"/>
        <v>1</v>
      </c>
      <c r="AK41">
        <f>step3_validation[[#This Row],[AI_TRU1]]</f>
        <v>8</v>
      </c>
      <c r="AL41" t="str">
        <f t="shared" si="12"/>
        <v>Support</v>
      </c>
      <c r="AM41">
        <f>survey_responses[[#This Row],[Tôi tin rằng Nhà nước, cơ quan thuế sẽ thực thi chính sách mới một cách khách quan, công tâm và đối xử bình đẳng với mọi người nộp thuế.  - HUMAN-TRU1]]</f>
        <v>7</v>
      </c>
      <c r="AN41" t="str">
        <f t="shared" si="13"/>
        <v>Neutral</v>
      </c>
      <c r="AO41" s="32">
        <f t="shared" si="14"/>
        <v>1</v>
      </c>
      <c r="AP41">
        <f>step3_validation[[#This Row],[AI_TRU2]]</f>
        <v>7</v>
      </c>
      <c r="AQ41" t="str">
        <f t="shared" si="15"/>
        <v>Neutral</v>
      </c>
      <c r="AR41">
        <f>survey_responses[[#This Row],[Tôi thấy mức thuế tôi phải đóng theo phương án mới là công bằng (người thu nhập như tôi đóng mức này là hợp lý). - HUMAN-TRU2]]</f>
        <v>8</v>
      </c>
      <c r="AS41" t="str">
        <f t="shared" si="16"/>
        <v>Support</v>
      </c>
      <c r="AT41" s="32">
        <f t="shared" si="17"/>
        <v>1</v>
      </c>
      <c r="AU41">
        <f>step3_validation[[#This Row],[AI_TRU3]]</f>
        <v>8</v>
      </c>
      <c r="AV41" t="str">
        <f t="shared" si="18"/>
        <v>Support</v>
      </c>
      <c r="AW41">
        <f>survey_responses[[#This Row],[Tôi tin tưởng số tiền thuế tôi đóng sẽ được Nhà nước sử dụng hiệu quả để cải thiện dịch vụ công (y tế, đường xá...). - HUMAN-TRU3]]</f>
        <v>5</v>
      </c>
      <c r="AX41" t="str">
        <f t="shared" si="19"/>
        <v>Neutral</v>
      </c>
      <c r="AY41" s="32">
        <f t="shared" si="20"/>
        <v>3</v>
      </c>
      <c r="AZ41">
        <f>step3_validation[[#This Row],[AI_TRU4]]</f>
        <v>6</v>
      </c>
      <c r="BA41" t="str">
        <f t="shared" si="21"/>
        <v>Neutral</v>
      </c>
      <c r="BB41">
        <f>survey_responses[[#This Row],[Tôi thấy Nhà nước đã giải thích rõ ràng, minh bạch về lý do và mục tiêu của việc sửa đổi thuế lần này. - HUMAN-TRU4]]</f>
        <v>6</v>
      </c>
      <c r="BC41" t="str">
        <f t="shared" si="22"/>
        <v>Neutral</v>
      </c>
      <c r="BD41" s="32">
        <f t="shared" si="23"/>
        <v>0</v>
      </c>
      <c r="BE41">
        <f>step3_validation[[#This Row],[AI_OUT1]]</f>
        <v>7</v>
      </c>
      <c r="BF41" t="str">
        <f t="shared" si="24"/>
        <v>Neutral</v>
      </c>
      <c r="BG41">
        <f>survey_responses[[#This Row],[Sau khi xem xét các quyền lợi và nghĩa vụ, bạn có ủng hộ và tuân thủ chính sách mới hiện nay? - HUMAN-OUT1]]</f>
        <v>7</v>
      </c>
      <c r="BH41" t="str">
        <f t="shared" si="25"/>
        <v>Neutral</v>
      </c>
      <c r="BI41" s="32">
        <f t="shared" si="26"/>
        <v>0</v>
      </c>
    </row>
    <row r="42" spans="1:61" x14ac:dyDescent="0.45">
      <c r="A42" s="30">
        <f>step3_validation[[#This Row],[Persona_ID]]</f>
        <v>41</v>
      </c>
      <c r="B42" s="31">
        <f>step3_validation[[#This Row],[Used_Seed]]</f>
        <v>2031</v>
      </c>
      <c r="C42" t="str">
        <f>step3_validation[[#This Row],[Gender]]</f>
        <v>Nam</v>
      </c>
      <c r="D42" t="str">
        <f>survey_responses[[#This Row],[Giới tính của bạn:]]</f>
        <v>Nam</v>
      </c>
      <c r="E42" t="str">
        <f>step3_validation[[#This Row],[Age_Group]]</f>
        <v>30 - 39</v>
      </c>
      <c r="F42" t="str">
        <f>survey_responses[[#This Row],[Độ tuổi của bạn:]]</f>
        <v>30 - 39</v>
      </c>
      <c r="G42" t="str">
        <f>step3_validation[[#This Row],[Region]]</f>
        <v>Thành thị</v>
      </c>
      <c r="H42" t="str">
        <f>survey_responses[[#This Row],[Khu vực bạn đang sinh sống:]]</f>
        <v>Thành thị</v>
      </c>
      <c r="I42" t="str">
        <f>step3_validation[[#This Row],[Education]]</f>
        <v>Đại học</v>
      </c>
      <c r="J42" t="str">
        <f>survey_responses[[#This Row],[Trình độ học vấn cao nhất:]]</f>
        <v>Đại học</v>
      </c>
      <c r="K42" t="str">
        <f>step3_validation[[#This Row],[Employment]]</f>
        <v>Chính thức</v>
      </c>
      <c r="L42" t="str">
        <f>survey_responses[[#This Row],[Tình trạng việc làm chính:]]</f>
        <v>Khu vực chính thức (Có Hợp đồng lao động, đóng BHXH)</v>
      </c>
      <c r="M42">
        <f>step3_validation[[#This Row],[Income_Mil]]</f>
        <v>81.953873229830037</v>
      </c>
      <c r="N42" t="str">
        <f>survey_responses[[#This Row],[Thu nhập bình quân tháng theo Hợp đồng lao động của bạn là bao nhiêu? (Vui lòng điền tổng thu nhập trước khi khấu trừ các loại Bảo hiểm (BHXH, BHYT, BHTN) và Thuế TNCN)]]</f>
        <v>Từ 70 - 102 triệu VNĐ</v>
      </c>
      <c r="O42">
        <f>step3_validation[[#This Row],[Dependents]]</f>
        <v>2</v>
      </c>
      <c r="P42" t="str">
        <f>survey_responses[[#This Row],[Số người phụ thuộc (con nhỏ, cha mẹ già...) đủ điều kiện giảm trừ gia cảnh:]]</f>
        <v>2 người</v>
      </c>
      <c r="Q42">
        <f>step3_validation[[#This Row],[AI_ENF1]]</f>
        <v>7</v>
      </c>
      <c r="R42" t="str">
        <f t="shared" si="0"/>
        <v>Neutral</v>
      </c>
      <c r="S42">
        <f>survey_responses[[#This Row],[Tôi tin rằng với các quy định quản lý thuế hiện nay, hành vi gian lận hoặc trốn thuế sẽ dễ dàng bị phát hiện và xử lý nghiêm. - HUMAN-ENF1]]</f>
        <v>9</v>
      </c>
      <c r="T42" t="str">
        <f t="shared" si="1"/>
        <v>Support</v>
      </c>
      <c r="U42" s="32">
        <f t="shared" si="2"/>
        <v>2</v>
      </c>
      <c r="V42">
        <f>step3_validation[[#This Row],[AI_ENF2]]</f>
        <v>6</v>
      </c>
      <c r="W42" t="str">
        <f t="shared" si="3"/>
        <v>Neutral</v>
      </c>
      <c r="X42">
        <f>survey_responses[[#This Row],[Tôi tin rằng Nhà nước, cơ quan thuế có đủ khả năng và công nghệ để phát hiện, xử lý nghiêm các hành vi trốn thuế. - HUMAN-ENF2]]</f>
        <v>8</v>
      </c>
      <c r="Y42" t="str">
        <f t="shared" si="4"/>
        <v>Support</v>
      </c>
      <c r="Z42" s="32">
        <f t="shared" si="5"/>
        <v>2</v>
      </c>
      <c r="AA42">
        <f>step3_validation[[#This Row],[AI_FAC1]]</f>
        <v>8</v>
      </c>
      <c r="AB42" t="str">
        <f t="shared" si="6"/>
        <v>Support</v>
      </c>
      <c r="AC42">
        <f>survey_responses[[#This Row],[Các thủ tục khai báo thuế VÀ/HOẶC quy trình làm việc với cơ quan thuế đơn giản, tiện lợi, nhanh chóng hơn so với trước đây. - HUMAN-FAC1]]</f>
        <v>7</v>
      </c>
      <c r="AD42" t="str">
        <f t="shared" si="7"/>
        <v>Neutral</v>
      </c>
      <c r="AE42" s="32">
        <f t="shared" si="8"/>
        <v>1</v>
      </c>
      <c r="AF42">
        <f>step3_validation[[#This Row],[AI_FAC2]]</f>
        <v>9</v>
      </c>
      <c r="AG42" t="str">
        <f t="shared" si="9"/>
        <v>Support</v>
      </c>
      <c r="AH42">
        <f>survey_responses[[#This Row],[So với trước đây, tôi thấy cách tính thuế và các bậc thuế trong phương án mới đơn giản, dễ hiểu và dễ thực hiện hơn. - HUMAN-FAC2]]</f>
        <v>8</v>
      </c>
      <c r="AI42" t="str">
        <f t="shared" si="10"/>
        <v>Support</v>
      </c>
      <c r="AJ42" s="32">
        <f t="shared" si="11"/>
        <v>1</v>
      </c>
      <c r="AK42">
        <f>step3_validation[[#This Row],[AI_TRU1]]</f>
        <v>8</v>
      </c>
      <c r="AL42" t="str">
        <f t="shared" si="12"/>
        <v>Support</v>
      </c>
      <c r="AM42">
        <f>survey_responses[[#This Row],[Tôi tin rằng Nhà nước, cơ quan thuế sẽ thực thi chính sách mới một cách khách quan, công tâm và đối xử bình đẳng với mọi người nộp thuế.  - HUMAN-TRU1]]</f>
        <v>7</v>
      </c>
      <c r="AN42" t="str">
        <f t="shared" si="13"/>
        <v>Neutral</v>
      </c>
      <c r="AO42" s="32">
        <f t="shared" si="14"/>
        <v>1</v>
      </c>
      <c r="AP42">
        <f>step3_validation[[#This Row],[AI_TRU2]]</f>
        <v>7</v>
      </c>
      <c r="AQ42" t="str">
        <f t="shared" si="15"/>
        <v>Neutral</v>
      </c>
      <c r="AR42">
        <f>survey_responses[[#This Row],[Tôi thấy mức thuế tôi phải đóng theo phương án mới là công bằng (người thu nhập như tôi đóng mức này là hợp lý). - HUMAN-TRU2]]</f>
        <v>4</v>
      </c>
      <c r="AS42" t="str">
        <f t="shared" si="16"/>
        <v>Oppose</v>
      </c>
      <c r="AT42" s="32">
        <f t="shared" si="17"/>
        <v>3</v>
      </c>
      <c r="AU42">
        <f>step3_validation[[#This Row],[AI_TRU3]]</f>
        <v>8</v>
      </c>
      <c r="AV42" t="str">
        <f t="shared" si="18"/>
        <v>Support</v>
      </c>
      <c r="AW42">
        <f>survey_responses[[#This Row],[Tôi tin tưởng số tiền thuế tôi đóng sẽ được Nhà nước sử dụng hiệu quả để cải thiện dịch vụ công (y tế, đường xá...). - HUMAN-TRU3]]</f>
        <v>2</v>
      </c>
      <c r="AX42" t="str">
        <f t="shared" si="19"/>
        <v>Oppose</v>
      </c>
      <c r="AY42" s="32">
        <f t="shared" si="20"/>
        <v>6</v>
      </c>
      <c r="AZ42">
        <f>step3_validation[[#This Row],[AI_TRU4]]</f>
        <v>6</v>
      </c>
      <c r="BA42" t="str">
        <f t="shared" si="21"/>
        <v>Neutral</v>
      </c>
      <c r="BB42">
        <f>survey_responses[[#This Row],[Tôi thấy Nhà nước đã giải thích rõ ràng, minh bạch về lý do và mục tiêu của việc sửa đổi thuế lần này. - HUMAN-TRU4]]</f>
        <v>8</v>
      </c>
      <c r="BC42" t="str">
        <f t="shared" si="22"/>
        <v>Support</v>
      </c>
      <c r="BD42" s="32">
        <f t="shared" si="23"/>
        <v>2</v>
      </c>
      <c r="BE42">
        <f>step3_validation[[#This Row],[AI_OUT1]]</f>
        <v>8</v>
      </c>
      <c r="BF42" t="str">
        <f t="shared" si="24"/>
        <v>Support</v>
      </c>
      <c r="BG42">
        <f>survey_responses[[#This Row],[Sau khi xem xét các quyền lợi và nghĩa vụ, bạn có ủng hộ và tuân thủ chính sách mới hiện nay? - HUMAN-OUT1]]</f>
        <v>8</v>
      </c>
      <c r="BH42" t="str">
        <f t="shared" si="25"/>
        <v>Support</v>
      </c>
      <c r="BI42" s="32">
        <f t="shared" si="26"/>
        <v>0</v>
      </c>
    </row>
    <row r="43" spans="1:61" x14ac:dyDescent="0.45">
      <c r="A43" s="30">
        <f>step3_validation[[#This Row],[Persona_ID]]</f>
        <v>42</v>
      </c>
      <c r="B43" s="31">
        <f>step3_validation[[#This Row],[Used_Seed]]</f>
        <v>2032</v>
      </c>
      <c r="C43" t="str">
        <f>step3_validation[[#This Row],[Gender]]</f>
        <v>Nữ</v>
      </c>
      <c r="D43" t="str">
        <f>survey_responses[[#This Row],[Giới tính của bạn:]]</f>
        <v>Nữ</v>
      </c>
      <c r="E43" t="str">
        <f>step3_validation[[#This Row],[Age_Group]]</f>
        <v>30 - 39</v>
      </c>
      <c r="F43" t="str">
        <f>survey_responses[[#This Row],[Độ tuổi của bạn:]]</f>
        <v>30 - 39</v>
      </c>
      <c r="G43" t="str">
        <f>step3_validation[[#This Row],[Region]]</f>
        <v>Thành thị</v>
      </c>
      <c r="H43" t="str">
        <f>survey_responses[[#This Row],[Khu vực bạn đang sinh sống:]]</f>
        <v>Thành thị</v>
      </c>
      <c r="I43" t="str">
        <f>step3_validation[[#This Row],[Education]]</f>
        <v>Đại học</v>
      </c>
      <c r="J43" t="str">
        <f>survey_responses[[#This Row],[Trình độ học vấn cao nhất:]]</f>
        <v>Đại học</v>
      </c>
      <c r="K43" t="str">
        <f>step3_validation[[#This Row],[Employment]]</f>
        <v>Chính thức</v>
      </c>
      <c r="L43" t="str">
        <f>survey_responses[[#This Row],[Tình trạng việc làm chính:]]</f>
        <v>Khu vực chính thức (Có Hợp đồng lao động, đóng BHXH)</v>
      </c>
      <c r="M43">
        <f>step3_validation[[#This Row],[Income_Mil]]</f>
        <v>39.751023783513553</v>
      </c>
      <c r="N43" t="str">
        <f>survey_responses[[#This Row],[Thu nhập bình quân tháng theo Hợp đồng lao động của bạn là bao nhiêu? (Vui lòng điền tổng thu nhập trước khi khấu trừ các loại Bảo hiểm (BHXH, BHYT, BHTN) và Thuế TNCN)]]</f>
        <v>Từ 32 - 48 triệu VNĐ</v>
      </c>
      <c r="O43">
        <f>step3_validation[[#This Row],[Dependents]]</f>
        <v>3</v>
      </c>
      <c r="P43" t="str">
        <f>survey_responses[[#This Row],[Số người phụ thuộc (con nhỏ, cha mẹ già...) đủ điều kiện giảm trừ gia cảnh:]]</f>
        <v>3 người</v>
      </c>
      <c r="Q43">
        <f>step3_validation[[#This Row],[AI_ENF1]]</f>
        <v>6</v>
      </c>
      <c r="R43" t="str">
        <f t="shared" si="0"/>
        <v>Neutral</v>
      </c>
      <c r="S43">
        <f>survey_responses[[#This Row],[Tôi tin rằng với các quy định quản lý thuế hiện nay, hành vi gian lận hoặc trốn thuế sẽ dễ dàng bị phát hiện và xử lý nghiêm. - HUMAN-ENF1]]</f>
        <v>10</v>
      </c>
      <c r="T43" t="str">
        <f t="shared" si="1"/>
        <v>Support</v>
      </c>
      <c r="U43" s="32">
        <f t="shared" si="2"/>
        <v>4</v>
      </c>
      <c r="V43">
        <f>step3_validation[[#This Row],[AI_ENF2]]</f>
        <v>7</v>
      </c>
      <c r="W43" t="str">
        <f t="shared" si="3"/>
        <v>Neutral</v>
      </c>
      <c r="X43">
        <f>survey_responses[[#This Row],[Tôi tin rằng Nhà nước, cơ quan thuế có đủ khả năng và công nghệ để phát hiện, xử lý nghiêm các hành vi trốn thuế. - HUMAN-ENF2]]</f>
        <v>10</v>
      </c>
      <c r="Y43" t="str">
        <f t="shared" si="4"/>
        <v>Support</v>
      </c>
      <c r="Z43" s="32">
        <f t="shared" si="5"/>
        <v>3</v>
      </c>
      <c r="AA43">
        <f>step3_validation[[#This Row],[AI_FAC1]]</f>
        <v>5</v>
      </c>
      <c r="AB43" t="str">
        <f t="shared" si="6"/>
        <v>Neutral</v>
      </c>
      <c r="AC43">
        <f>survey_responses[[#This Row],[Các thủ tục khai báo thuế VÀ/HOẶC quy trình làm việc với cơ quan thuế đơn giản, tiện lợi, nhanh chóng hơn so với trước đây. - HUMAN-FAC1]]</f>
        <v>9</v>
      </c>
      <c r="AD43" t="str">
        <f t="shared" si="7"/>
        <v>Support</v>
      </c>
      <c r="AE43" s="32">
        <f t="shared" si="8"/>
        <v>4</v>
      </c>
      <c r="AF43">
        <f>step3_validation[[#This Row],[AI_FAC2]]</f>
        <v>7</v>
      </c>
      <c r="AG43" t="str">
        <f t="shared" si="9"/>
        <v>Neutral</v>
      </c>
      <c r="AH43">
        <f>survey_responses[[#This Row],[So với trước đây, tôi thấy cách tính thuế và các bậc thuế trong phương án mới đơn giản, dễ hiểu và dễ thực hiện hơn. - HUMAN-FAC2]]</f>
        <v>8</v>
      </c>
      <c r="AI43" t="str">
        <f t="shared" si="10"/>
        <v>Support</v>
      </c>
      <c r="AJ43" s="32">
        <f t="shared" si="11"/>
        <v>1</v>
      </c>
      <c r="AK43">
        <f>step3_validation[[#This Row],[AI_TRU1]]</f>
        <v>8</v>
      </c>
      <c r="AL43" t="str">
        <f t="shared" si="12"/>
        <v>Support</v>
      </c>
      <c r="AM43">
        <f>survey_responses[[#This Row],[Tôi tin rằng Nhà nước, cơ quan thuế sẽ thực thi chính sách mới một cách khách quan, công tâm và đối xử bình đẳng với mọi người nộp thuế.  - HUMAN-TRU1]]</f>
        <v>7</v>
      </c>
      <c r="AN43" t="str">
        <f t="shared" si="13"/>
        <v>Neutral</v>
      </c>
      <c r="AO43" s="32">
        <f t="shared" si="14"/>
        <v>1</v>
      </c>
      <c r="AP43">
        <f>step3_validation[[#This Row],[AI_TRU2]]</f>
        <v>6</v>
      </c>
      <c r="AQ43" t="str">
        <f t="shared" si="15"/>
        <v>Neutral</v>
      </c>
      <c r="AR43">
        <f>survey_responses[[#This Row],[Tôi thấy mức thuế tôi phải đóng theo phương án mới là công bằng (người thu nhập như tôi đóng mức này là hợp lý). - HUMAN-TRU2]]</f>
        <v>9</v>
      </c>
      <c r="AS43" t="str">
        <f t="shared" si="16"/>
        <v>Support</v>
      </c>
      <c r="AT43" s="32">
        <f t="shared" si="17"/>
        <v>3</v>
      </c>
      <c r="AU43">
        <f>step3_validation[[#This Row],[AI_TRU3]]</f>
        <v>7</v>
      </c>
      <c r="AV43" t="str">
        <f t="shared" si="18"/>
        <v>Neutral</v>
      </c>
      <c r="AW43">
        <f>survey_responses[[#This Row],[Tôi tin tưởng số tiền thuế tôi đóng sẽ được Nhà nước sử dụng hiệu quả để cải thiện dịch vụ công (y tế, đường xá...). - HUMAN-TRU3]]</f>
        <v>9</v>
      </c>
      <c r="AX43" t="str">
        <f t="shared" si="19"/>
        <v>Support</v>
      </c>
      <c r="AY43" s="32">
        <f t="shared" si="20"/>
        <v>2</v>
      </c>
      <c r="AZ43">
        <f>step3_validation[[#This Row],[AI_TRU4]]</f>
        <v>5</v>
      </c>
      <c r="BA43" t="str">
        <f t="shared" si="21"/>
        <v>Neutral</v>
      </c>
      <c r="BB43">
        <f>survey_responses[[#This Row],[Tôi thấy Nhà nước đã giải thích rõ ràng, minh bạch về lý do và mục tiêu của việc sửa đổi thuế lần này. - HUMAN-TRU4]]</f>
        <v>8</v>
      </c>
      <c r="BC43" t="str">
        <f t="shared" si="22"/>
        <v>Support</v>
      </c>
      <c r="BD43" s="32">
        <f t="shared" si="23"/>
        <v>3</v>
      </c>
      <c r="BE43">
        <f>step3_validation[[#This Row],[AI_OUT1]]</f>
        <v>7</v>
      </c>
      <c r="BF43" t="str">
        <f t="shared" si="24"/>
        <v>Neutral</v>
      </c>
      <c r="BG43">
        <f>survey_responses[[#This Row],[Sau khi xem xét các quyền lợi và nghĩa vụ, bạn có ủng hộ và tuân thủ chính sách mới hiện nay? - HUMAN-OUT1]]</f>
        <v>8</v>
      </c>
      <c r="BH43" t="str">
        <f t="shared" si="25"/>
        <v>Support</v>
      </c>
      <c r="BI43" s="32">
        <f t="shared" si="26"/>
        <v>1</v>
      </c>
    </row>
    <row r="44" spans="1:61" x14ac:dyDescent="0.45">
      <c r="A44" s="30">
        <f>step3_validation[[#This Row],[Persona_ID]]</f>
        <v>43</v>
      </c>
      <c r="B44" s="31">
        <f>step3_validation[[#This Row],[Used_Seed]]</f>
        <v>2033</v>
      </c>
      <c r="C44" t="str">
        <f>step3_validation[[#This Row],[Gender]]</f>
        <v>Nữ</v>
      </c>
      <c r="D44" t="str">
        <f>survey_responses[[#This Row],[Giới tính của bạn:]]</f>
        <v>Nữ</v>
      </c>
      <c r="E44" t="str">
        <f>step3_validation[[#This Row],[Age_Group]]</f>
        <v>30 - 39</v>
      </c>
      <c r="F44" t="str">
        <f>survey_responses[[#This Row],[Độ tuổi của bạn:]]</f>
        <v>30 - 39</v>
      </c>
      <c r="G44" t="str">
        <f>step3_validation[[#This Row],[Region]]</f>
        <v>Thành thị</v>
      </c>
      <c r="H44" t="str">
        <f>survey_responses[[#This Row],[Khu vực bạn đang sinh sống:]]</f>
        <v>Thành thị</v>
      </c>
      <c r="I44" t="str">
        <f>step3_validation[[#This Row],[Education]]</f>
        <v>Đại học</v>
      </c>
      <c r="J44" t="str">
        <f>survey_responses[[#This Row],[Trình độ học vấn cao nhất:]]</f>
        <v>Đại học</v>
      </c>
      <c r="K44" t="str">
        <f>step3_validation[[#This Row],[Employment]]</f>
        <v>Chính thức</v>
      </c>
      <c r="L44" t="str">
        <f>survey_responses[[#This Row],[Tình trạng việc làm chính:]]</f>
        <v>Khu vực chính thức (Có Hợp đồng lao động, đóng BHXH)</v>
      </c>
      <c r="M44">
        <f>step3_validation[[#This Row],[Income_Mil]]</f>
        <v>114.70969684184294</v>
      </c>
      <c r="N44" t="str">
        <f>survey_responses[[#This Row],[Thu nhập bình quân tháng theo Hợp đồng lao động của bạn là bao nhiêu? (Vui lòng điền tổng thu nhập trước khi khấu trừ các loại Bảo hiểm (BHXH, BHYT, BHTN) và Thuế TNCN)]]</f>
        <v>Trên 102 triệu VNĐ</v>
      </c>
      <c r="O44">
        <f>step3_validation[[#This Row],[Dependents]]</f>
        <v>2</v>
      </c>
      <c r="P44" t="str">
        <f>survey_responses[[#This Row],[Số người phụ thuộc (con nhỏ, cha mẹ già...) đủ điều kiện giảm trừ gia cảnh:]]</f>
        <v>2 người</v>
      </c>
      <c r="Q44">
        <f>step3_validation[[#This Row],[AI_ENF1]]</f>
        <v>7</v>
      </c>
      <c r="R44" t="str">
        <f t="shared" si="0"/>
        <v>Neutral</v>
      </c>
      <c r="S44">
        <f>survey_responses[[#This Row],[Tôi tin rằng với các quy định quản lý thuế hiện nay, hành vi gian lận hoặc trốn thuế sẽ dễ dàng bị phát hiện và xử lý nghiêm. - HUMAN-ENF1]]</f>
        <v>6</v>
      </c>
      <c r="T44" t="str">
        <f t="shared" si="1"/>
        <v>Neutral</v>
      </c>
      <c r="U44" s="32">
        <f t="shared" si="2"/>
        <v>1</v>
      </c>
      <c r="V44">
        <f>step3_validation[[#This Row],[AI_ENF2]]</f>
        <v>8</v>
      </c>
      <c r="W44" t="str">
        <f t="shared" si="3"/>
        <v>Support</v>
      </c>
      <c r="X44">
        <f>survey_responses[[#This Row],[Tôi tin rằng Nhà nước, cơ quan thuế có đủ khả năng và công nghệ để phát hiện, xử lý nghiêm các hành vi trốn thuế. - HUMAN-ENF2]]</f>
        <v>6</v>
      </c>
      <c r="Y44" t="str">
        <f t="shared" si="4"/>
        <v>Neutral</v>
      </c>
      <c r="Z44" s="32">
        <f t="shared" si="5"/>
        <v>2</v>
      </c>
      <c r="AA44">
        <f>step3_validation[[#This Row],[AI_FAC1]]</f>
        <v>9</v>
      </c>
      <c r="AB44" t="str">
        <f t="shared" si="6"/>
        <v>Support</v>
      </c>
      <c r="AC44">
        <f>survey_responses[[#This Row],[Các thủ tục khai báo thuế VÀ/HOẶC quy trình làm việc với cơ quan thuế đơn giản, tiện lợi, nhanh chóng hơn so với trước đây. - HUMAN-FAC1]]</f>
        <v>8</v>
      </c>
      <c r="AD44" t="str">
        <f t="shared" si="7"/>
        <v>Support</v>
      </c>
      <c r="AE44" s="32">
        <f t="shared" si="8"/>
        <v>1</v>
      </c>
      <c r="AF44">
        <f>step3_validation[[#This Row],[AI_FAC2]]</f>
        <v>8</v>
      </c>
      <c r="AG44" t="str">
        <f t="shared" si="9"/>
        <v>Support</v>
      </c>
      <c r="AH44">
        <f>survey_responses[[#This Row],[So với trước đây, tôi thấy cách tính thuế và các bậc thuế trong phương án mới đơn giản, dễ hiểu và dễ thực hiện hơn. - HUMAN-FAC2]]</f>
        <v>10</v>
      </c>
      <c r="AI44" t="str">
        <f t="shared" si="10"/>
        <v>Support</v>
      </c>
      <c r="AJ44" s="32">
        <f t="shared" si="11"/>
        <v>2</v>
      </c>
      <c r="AK44">
        <f>step3_validation[[#This Row],[AI_TRU1]]</f>
        <v>7</v>
      </c>
      <c r="AL44" t="str">
        <f t="shared" si="12"/>
        <v>Neutral</v>
      </c>
      <c r="AM44">
        <f>survey_responses[[#This Row],[Tôi tin rằng Nhà nước, cơ quan thuế sẽ thực thi chính sách mới một cách khách quan, công tâm và đối xử bình đẳng với mọi người nộp thuế.  - HUMAN-TRU1]]</f>
        <v>9</v>
      </c>
      <c r="AN44" t="str">
        <f t="shared" si="13"/>
        <v>Support</v>
      </c>
      <c r="AO44" s="32">
        <f t="shared" si="14"/>
        <v>2</v>
      </c>
      <c r="AP44">
        <f>step3_validation[[#This Row],[AI_TRU2]]</f>
        <v>8</v>
      </c>
      <c r="AQ44" t="str">
        <f t="shared" si="15"/>
        <v>Support</v>
      </c>
      <c r="AR44">
        <f>survey_responses[[#This Row],[Tôi thấy mức thuế tôi phải đóng theo phương án mới là công bằng (người thu nhập như tôi đóng mức này là hợp lý). - HUMAN-TRU2]]</f>
        <v>1</v>
      </c>
      <c r="AS44" t="str">
        <f t="shared" si="16"/>
        <v>Oppose</v>
      </c>
      <c r="AT44" s="32">
        <f t="shared" si="17"/>
        <v>7</v>
      </c>
      <c r="AU44">
        <f>step3_validation[[#This Row],[AI_TRU3]]</f>
        <v>7</v>
      </c>
      <c r="AV44" t="str">
        <f t="shared" si="18"/>
        <v>Neutral</v>
      </c>
      <c r="AW44">
        <f>survey_responses[[#This Row],[Tôi tin tưởng số tiền thuế tôi đóng sẽ được Nhà nước sử dụng hiệu quả để cải thiện dịch vụ công (y tế, đường xá...). - HUMAN-TRU3]]</f>
        <v>7</v>
      </c>
      <c r="AX44" t="str">
        <f t="shared" si="19"/>
        <v>Neutral</v>
      </c>
      <c r="AY44" s="32">
        <f t="shared" si="20"/>
        <v>0</v>
      </c>
      <c r="AZ44">
        <f>step3_validation[[#This Row],[AI_TRU4]]</f>
        <v>5</v>
      </c>
      <c r="BA44" t="str">
        <f t="shared" si="21"/>
        <v>Neutral</v>
      </c>
      <c r="BB44">
        <f>survey_responses[[#This Row],[Tôi thấy Nhà nước đã giải thích rõ ràng, minh bạch về lý do và mục tiêu của việc sửa đổi thuế lần này. - HUMAN-TRU4]]</f>
        <v>7</v>
      </c>
      <c r="BC44" t="str">
        <f t="shared" si="22"/>
        <v>Neutral</v>
      </c>
      <c r="BD44" s="32">
        <f t="shared" si="23"/>
        <v>2</v>
      </c>
      <c r="BE44">
        <f>step3_validation[[#This Row],[AI_OUT1]]</f>
        <v>8</v>
      </c>
      <c r="BF44" t="str">
        <f t="shared" si="24"/>
        <v>Support</v>
      </c>
      <c r="BG44">
        <f>survey_responses[[#This Row],[Sau khi xem xét các quyền lợi và nghĩa vụ, bạn có ủng hộ và tuân thủ chính sách mới hiện nay? - HUMAN-OUT1]]</f>
        <v>8</v>
      </c>
      <c r="BH44" t="str">
        <f t="shared" si="25"/>
        <v>Support</v>
      </c>
      <c r="BI44" s="32">
        <f t="shared" si="26"/>
        <v>0</v>
      </c>
    </row>
    <row r="45" spans="1:61" x14ac:dyDescent="0.45">
      <c r="A45" s="30">
        <f>step3_validation[[#This Row],[Persona_ID]]</f>
        <v>44</v>
      </c>
      <c r="B45" s="31">
        <f>step3_validation[[#This Row],[Used_Seed]]</f>
        <v>2034</v>
      </c>
      <c r="C45" t="str">
        <f>step3_validation[[#This Row],[Gender]]</f>
        <v>Nam</v>
      </c>
      <c r="D45" t="str">
        <f>survey_responses[[#This Row],[Giới tính của bạn:]]</f>
        <v>Nam</v>
      </c>
      <c r="E45" t="str">
        <f>step3_validation[[#This Row],[Age_Group]]</f>
        <v>30 - 39</v>
      </c>
      <c r="F45" t="str">
        <f>survey_responses[[#This Row],[Độ tuổi của bạn:]]</f>
        <v>30 - 39</v>
      </c>
      <c r="G45" t="str">
        <f>step3_validation[[#This Row],[Region]]</f>
        <v>Thành thị</v>
      </c>
      <c r="H45" t="str">
        <f>survey_responses[[#This Row],[Khu vực bạn đang sinh sống:]]</f>
        <v>Thành thị</v>
      </c>
      <c r="I45" t="str">
        <f>step3_validation[[#This Row],[Education]]</f>
        <v>Đại học</v>
      </c>
      <c r="J45" t="str">
        <f>survey_responses[[#This Row],[Trình độ học vấn cao nhất:]]</f>
        <v>Đại học</v>
      </c>
      <c r="K45" t="str">
        <f>step3_validation[[#This Row],[Employment]]</f>
        <v>Chính thức</v>
      </c>
      <c r="L45" t="str">
        <f>survey_responses[[#This Row],[Tình trạng việc làm chính:]]</f>
        <v>Khu vực chính thức (Có Hợp đồng lao động, đóng BHXH)</v>
      </c>
      <c r="M45">
        <f>step3_validation[[#This Row],[Income_Mil]]</f>
        <v>23.431130300202721</v>
      </c>
      <c r="N45" t="str">
        <f>survey_responses[[#This Row],[Thu nhập bình quân tháng theo Hợp đồng lao động của bạn là bao nhiêu? (Vui lòng điền tổng thu nhập trước khi khấu trừ các loại Bảo hiểm (BHXH, BHYT, BHTN) và Thuế TNCN)]]</f>
        <v>Từ 23 - 32 triệu VNĐ</v>
      </c>
      <c r="O45">
        <f>step3_validation[[#This Row],[Dependents]]</f>
        <v>1</v>
      </c>
      <c r="P45" t="str">
        <f>survey_responses[[#This Row],[Số người phụ thuộc (con nhỏ, cha mẹ già...) đủ điều kiện giảm trừ gia cảnh:]]</f>
        <v>1 người</v>
      </c>
      <c r="Q45">
        <f>step3_validation[[#This Row],[AI_ENF1]]</f>
        <v>6</v>
      </c>
      <c r="R45" t="str">
        <f t="shared" si="0"/>
        <v>Neutral</v>
      </c>
      <c r="S45">
        <f>survey_responses[[#This Row],[Tôi tin rằng với các quy định quản lý thuế hiện nay, hành vi gian lận hoặc trốn thuế sẽ dễ dàng bị phát hiện và xử lý nghiêm. - HUMAN-ENF1]]</f>
        <v>8</v>
      </c>
      <c r="T45" t="str">
        <f t="shared" si="1"/>
        <v>Support</v>
      </c>
      <c r="U45" s="32">
        <f t="shared" si="2"/>
        <v>2</v>
      </c>
      <c r="V45">
        <f>step3_validation[[#This Row],[AI_ENF2]]</f>
        <v>7</v>
      </c>
      <c r="W45" t="str">
        <f t="shared" si="3"/>
        <v>Neutral</v>
      </c>
      <c r="X45">
        <f>survey_responses[[#This Row],[Tôi tin rằng Nhà nước, cơ quan thuế có đủ khả năng và công nghệ để phát hiện, xử lý nghiêm các hành vi trốn thuế. - HUMAN-ENF2]]</f>
        <v>8</v>
      </c>
      <c r="Y45" t="str">
        <f t="shared" si="4"/>
        <v>Support</v>
      </c>
      <c r="Z45" s="32">
        <f t="shared" si="5"/>
        <v>1</v>
      </c>
      <c r="AA45">
        <f>step3_validation[[#This Row],[AI_FAC1]]</f>
        <v>4</v>
      </c>
      <c r="AB45" t="str">
        <f t="shared" si="6"/>
        <v>Oppose</v>
      </c>
      <c r="AC45">
        <f>survey_responses[[#This Row],[Các thủ tục khai báo thuế VÀ/HOẶC quy trình làm việc với cơ quan thuế đơn giản, tiện lợi, nhanh chóng hơn so với trước đây. - HUMAN-FAC1]]</f>
        <v>8</v>
      </c>
      <c r="AD45" t="str">
        <f t="shared" si="7"/>
        <v>Support</v>
      </c>
      <c r="AE45" s="32">
        <f t="shared" si="8"/>
        <v>4</v>
      </c>
      <c r="AF45">
        <f>step3_validation[[#This Row],[AI_FAC2]]</f>
        <v>5</v>
      </c>
      <c r="AG45" t="str">
        <f t="shared" si="9"/>
        <v>Neutral</v>
      </c>
      <c r="AH45">
        <f>survey_responses[[#This Row],[So với trước đây, tôi thấy cách tính thuế và các bậc thuế trong phương án mới đơn giản, dễ hiểu và dễ thực hiện hơn. - HUMAN-FAC2]]</f>
        <v>8</v>
      </c>
      <c r="AI45" t="str">
        <f t="shared" si="10"/>
        <v>Support</v>
      </c>
      <c r="AJ45" s="32">
        <f t="shared" si="11"/>
        <v>3</v>
      </c>
      <c r="AK45">
        <f>step3_validation[[#This Row],[AI_TRU1]]</f>
        <v>8</v>
      </c>
      <c r="AL45" t="str">
        <f t="shared" si="12"/>
        <v>Support</v>
      </c>
      <c r="AM45">
        <f>survey_responses[[#This Row],[Tôi tin rằng Nhà nước, cơ quan thuế sẽ thực thi chính sách mới một cách khách quan, công tâm và đối xử bình đẳng với mọi người nộp thuế.  - HUMAN-TRU1]]</f>
        <v>8</v>
      </c>
      <c r="AN45" t="str">
        <f t="shared" si="13"/>
        <v>Support</v>
      </c>
      <c r="AO45" s="32">
        <f t="shared" si="14"/>
        <v>0</v>
      </c>
      <c r="AP45">
        <f>step3_validation[[#This Row],[AI_TRU2]]</f>
        <v>7</v>
      </c>
      <c r="AQ45" t="str">
        <f t="shared" si="15"/>
        <v>Neutral</v>
      </c>
      <c r="AR45">
        <f>survey_responses[[#This Row],[Tôi thấy mức thuế tôi phải đóng theo phương án mới là công bằng (người thu nhập như tôi đóng mức này là hợp lý). - HUMAN-TRU2]]</f>
        <v>8</v>
      </c>
      <c r="AS45" t="str">
        <f t="shared" si="16"/>
        <v>Support</v>
      </c>
      <c r="AT45" s="32">
        <f t="shared" si="17"/>
        <v>1</v>
      </c>
      <c r="AU45">
        <f>step3_validation[[#This Row],[AI_TRU3]]</f>
        <v>6</v>
      </c>
      <c r="AV45" t="str">
        <f t="shared" si="18"/>
        <v>Neutral</v>
      </c>
      <c r="AW45">
        <f>survey_responses[[#This Row],[Tôi tin tưởng số tiền thuế tôi đóng sẽ được Nhà nước sử dụng hiệu quả để cải thiện dịch vụ công (y tế, đường xá...). - HUMAN-TRU3]]</f>
        <v>9</v>
      </c>
      <c r="AX45" t="str">
        <f t="shared" si="19"/>
        <v>Support</v>
      </c>
      <c r="AY45" s="32">
        <f t="shared" si="20"/>
        <v>3</v>
      </c>
      <c r="AZ45">
        <f>step3_validation[[#This Row],[AI_TRU4]]</f>
        <v>7</v>
      </c>
      <c r="BA45" t="str">
        <f t="shared" si="21"/>
        <v>Neutral</v>
      </c>
      <c r="BB45">
        <f>survey_responses[[#This Row],[Tôi thấy Nhà nước đã giải thích rõ ràng, minh bạch về lý do và mục tiêu của việc sửa đổi thuế lần này. - HUMAN-TRU4]]</f>
        <v>5</v>
      </c>
      <c r="BC45" t="str">
        <f t="shared" si="22"/>
        <v>Neutral</v>
      </c>
      <c r="BD45" s="32">
        <f t="shared" si="23"/>
        <v>2</v>
      </c>
      <c r="BE45">
        <f>step3_validation[[#This Row],[AI_OUT1]]</f>
        <v>6</v>
      </c>
      <c r="BF45" t="str">
        <f t="shared" si="24"/>
        <v>Neutral</v>
      </c>
      <c r="BG45">
        <f>survey_responses[[#This Row],[Sau khi xem xét các quyền lợi và nghĩa vụ, bạn có ủng hộ và tuân thủ chính sách mới hiện nay? - HUMAN-OUT1]]</f>
        <v>9</v>
      </c>
      <c r="BH45" t="str">
        <f t="shared" si="25"/>
        <v>Support</v>
      </c>
      <c r="BI45" s="32">
        <f t="shared" si="26"/>
        <v>3</v>
      </c>
    </row>
    <row r="46" spans="1:61" x14ac:dyDescent="0.45">
      <c r="A46" s="30">
        <f>step3_validation[[#This Row],[Persona_ID]]</f>
        <v>45</v>
      </c>
      <c r="B46" s="31">
        <f>step3_validation[[#This Row],[Used_Seed]]</f>
        <v>2035</v>
      </c>
      <c r="C46" t="str">
        <f>step3_validation[[#This Row],[Gender]]</f>
        <v>Nữ</v>
      </c>
      <c r="D46" t="str">
        <f>survey_responses[[#This Row],[Giới tính của bạn:]]</f>
        <v>Nữ</v>
      </c>
      <c r="E46" t="str">
        <f>step3_validation[[#This Row],[Age_Group]]</f>
        <v>40 - 49</v>
      </c>
      <c r="F46" t="str">
        <f>survey_responses[[#This Row],[Độ tuổi của bạn:]]</f>
        <v>40 - 49</v>
      </c>
      <c r="G46" t="str">
        <f>step3_validation[[#This Row],[Region]]</f>
        <v>Thành thị</v>
      </c>
      <c r="H46" t="str">
        <f>survey_responses[[#This Row],[Khu vực bạn đang sinh sống:]]</f>
        <v>Thành thị</v>
      </c>
      <c r="I46" t="str">
        <f>step3_validation[[#This Row],[Education]]</f>
        <v>Đại học</v>
      </c>
      <c r="J46" t="str">
        <f>survey_responses[[#This Row],[Trình độ học vấn cao nhất:]]</f>
        <v>Đại học</v>
      </c>
      <c r="K46" t="str">
        <f>step3_validation[[#This Row],[Employment]]</f>
        <v>Chính thức</v>
      </c>
      <c r="L46" t="str">
        <f>survey_responses[[#This Row],[Tình trạng việc làm chính:]]</f>
        <v>Khu vực chính thức (Có Hợp đồng lao động, đóng BHXH)</v>
      </c>
      <c r="M46">
        <f>step3_validation[[#This Row],[Income_Mil]]</f>
        <v>24.360797206504195</v>
      </c>
      <c r="N46" t="str">
        <f>survey_responses[[#This Row],[Thu nhập bình quân tháng theo Hợp đồng lao động của bạn là bao nhiêu? (Vui lòng điền tổng thu nhập trước khi khấu trừ các loại Bảo hiểm (BHXH, BHYT, BHTN) và Thuế TNCN)]]</f>
        <v>Từ 23 - 32 triệu VNĐ</v>
      </c>
      <c r="O46">
        <f>step3_validation[[#This Row],[Dependents]]</f>
        <v>2</v>
      </c>
      <c r="P46" t="str">
        <f>survey_responses[[#This Row],[Số người phụ thuộc (con nhỏ, cha mẹ già...) đủ điều kiện giảm trừ gia cảnh:]]</f>
        <v>2 người</v>
      </c>
      <c r="Q46">
        <f>step3_validation[[#This Row],[AI_ENF1]]</f>
        <v>7</v>
      </c>
      <c r="R46" t="str">
        <f t="shared" si="0"/>
        <v>Neutral</v>
      </c>
      <c r="S46">
        <f>survey_responses[[#This Row],[Tôi tin rằng với các quy định quản lý thuế hiện nay, hành vi gian lận hoặc trốn thuế sẽ dễ dàng bị phát hiện và xử lý nghiêm. - HUMAN-ENF1]]</f>
        <v>10</v>
      </c>
      <c r="T46" t="str">
        <f t="shared" si="1"/>
        <v>Support</v>
      </c>
      <c r="U46" s="32">
        <f t="shared" si="2"/>
        <v>3</v>
      </c>
      <c r="V46">
        <f>step3_validation[[#This Row],[AI_ENF2]]</f>
        <v>6</v>
      </c>
      <c r="W46" t="str">
        <f t="shared" si="3"/>
        <v>Neutral</v>
      </c>
      <c r="X46">
        <f>survey_responses[[#This Row],[Tôi tin rằng Nhà nước, cơ quan thuế có đủ khả năng và công nghệ để phát hiện, xử lý nghiêm các hành vi trốn thuế. - HUMAN-ENF2]]</f>
        <v>10</v>
      </c>
      <c r="Y46" t="str">
        <f t="shared" si="4"/>
        <v>Support</v>
      </c>
      <c r="Z46" s="32">
        <f t="shared" si="5"/>
        <v>4</v>
      </c>
      <c r="AA46">
        <f>step3_validation[[#This Row],[AI_FAC1]]</f>
        <v>8</v>
      </c>
      <c r="AB46" t="str">
        <f t="shared" si="6"/>
        <v>Support</v>
      </c>
      <c r="AC46">
        <f>survey_responses[[#This Row],[Các thủ tục khai báo thuế VÀ/HOẶC quy trình làm việc với cơ quan thuế đơn giản, tiện lợi, nhanh chóng hơn so với trước đây. - HUMAN-FAC1]]</f>
        <v>10</v>
      </c>
      <c r="AD46" t="str">
        <f t="shared" si="7"/>
        <v>Support</v>
      </c>
      <c r="AE46" s="32">
        <f t="shared" si="8"/>
        <v>2</v>
      </c>
      <c r="AF46">
        <f>step3_validation[[#This Row],[AI_FAC2]]</f>
        <v>9</v>
      </c>
      <c r="AG46" t="str">
        <f t="shared" si="9"/>
        <v>Support</v>
      </c>
      <c r="AH46">
        <f>survey_responses[[#This Row],[So với trước đây, tôi thấy cách tính thuế và các bậc thuế trong phương án mới đơn giản, dễ hiểu và dễ thực hiện hơn. - HUMAN-FAC2]]</f>
        <v>9</v>
      </c>
      <c r="AI46" t="str">
        <f t="shared" si="10"/>
        <v>Support</v>
      </c>
      <c r="AJ46" s="32">
        <f t="shared" si="11"/>
        <v>0</v>
      </c>
      <c r="AK46">
        <f>step3_validation[[#This Row],[AI_TRU1]]</f>
        <v>7</v>
      </c>
      <c r="AL46" t="str">
        <f t="shared" si="12"/>
        <v>Neutral</v>
      </c>
      <c r="AM46">
        <f>survey_responses[[#This Row],[Tôi tin rằng Nhà nước, cơ quan thuế sẽ thực thi chính sách mới một cách khách quan, công tâm và đối xử bình đẳng với mọi người nộp thuế.  - HUMAN-TRU1]]</f>
        <v>10</v>
      </c>
      <c r="AN46" t="str">
        <f t="shared" si="13"/>
        <v>Support</v>
      </c>
      <c r="AO46" s="32">
        <f t="shared" si="14"/>
        <v>3</v>
      </c>
      <c r="AP46">
        <f>step3_validation[[#This Row],[AI_TRU2]]</f>
        <v>8</v>
      </c>
      <c r="AQ46" t="str">
        <f t="shared" si="15"/>
        <v>Support</v>
      </c>
      <c r="AR46">
        <f>survey_responses[[#This Row],[Tôi thấy mức thuế tôi phải đóng theo phương án mới là công bằng (người thu nhập như tôi đóng mức này là hợp lý). - HUMAN-TRU2]]</f>
        <v>10</v>
      </c>
      <c r="AS46" t="str">
        <f t="shared" si="16"/>
        <v>Support</v>
      </c>
      <c r="AT46" s="32">
        <f t="shared" si="17"/>
        <v>2</v>
      </c>
      <c r="AU46">
        <f>step3_validation[[#This Row],[AI_TRU3]]</f>
        <v>7</v>
      </c>
      <c r="AV46" t="str">
        <f t="shared" si="18"/>
        <v>Neutral</v>
      </c>
      <c r="AW46">
        <f>survey_responses[[#This Row],[Tôi tin tưởng số tiền thuế tôi đóng sẽ được Nhà nước sử dụng hiệu quả để cải thiện dịch vụ công (y tế, đường xá...). - HUMAN-TRU3]]</f>
        <v>10</v>
      </c>
      <c r="AX46" t="str">
        <f t="shared" si="19"/>
        <v>Support</v>
      </c>
      <c r="AY46" s="32">
        <f t="shared" si="20"/>
        <v>3</v>
      </c>
      <c r="AZ46">
        <f>step3_validation[[#This Row],[AI_TRU4]]</f>
        <v>6</v>
      </c>
      <c r="BA46" t="str">
        <f t="shared" si="21"/>
        <v>Neutral</v>
      </c>
      <c r="BB46">
        <f>survey_responses[[#This Row],[Tôi thấy Nhà nước đã giải thích rõ ràng, minh bạch về lý do và mục tiêu của việc sửa đổi thuế lần này. - HUMAN-TRU4]]</f>
        <v>10</v>
      </c>
      <c r="BC46" t="str">
        <f t="shared" si="22"/>
        <v>Support</v>
      </c>
      <c r="BD46" s="32">
        <f t="shared" si="23"/>
        <v>4</v>
      </c>
      <c r="BE46">
        <f>step3_validation[[#This Row],[AI_OUT1]]</f>
        <v>8</v>
      </c>
      <c r="BF46" t="str">
        <f t="shared" si="24"/>
        <v>Support</v>
      </c>
      <c r="BG46">
        <f>survey_responses[[#This Row],[Sau khi xem xét các quyền lợi và nghĩa vụ, bạn có ủng hộ và tuân thủ chính sách mới hiện nay? - HUMAN-OUT1]]</f>
        <v>10</v>
      </c>
      <c r="BH46" t="str">
        <f t="shared" si="25"/>
        <v>Support</v>
      </c>
      <c r="BI46" s="32">
        <f t="shared" si="26"/>
        <v>2</v>
      </c>
    </row>
    <row r="47" spans="1:61" x14ac:dyDescent="0.45">
      <c r="A47" s="30">
        <f>step3_validation[[#This Row],[Persona_ID]]</f>
        <v>46</v>
      </c>
      <c r="B47" s="31">
        <f>step3_validation[[#This Row],[Used_Seed]]</f>
        <v>2036</v>
      </c>
      <c r="C47" t="str">
        <f>step3_validation[[#This Row],[Gender]]</f>
        <v>Nữ</v>
      </c>
      <c r="D47" t="str">
        <f>survey_responses[[#This Row],[Giới tính của bạn:]]</f>
        <v>Nữ</v>
      </c>
      <c r="E47" t="str">
        <f>step3_validation[[#This Row],[Age_Group]]</f>
        <v>50 - 54</v>
      </c>
      <c r="F47" t="str">
        <f>survey_responses[[#This Row],[Độ tuổi của bạn:]]</f>
        <v>50 - 54</v>
      </c>
      <c r="G47" t="str">
        <f>step3_validation[[#This Row],[Region]]</f>
        <v>Nông thôn</v>
      </c>
      <c r="H47" t="str">
        <f>survey_responses[[#This Row],[Khu vực bạn đang sinh sống:]]</f>
        <v>Nông thôn</v>
      </c>
      <c r="I47" t="str">
        <f>step3_validation[[#This Row],[Education]]</f>
        <v>Đại học</v>
      </c>
      <c r="J47" t="str">
        <f>survey_responses[[#This Row],[Trình độ học vấn cao nhất:]]</f>
        <v>Đại học</v>
      </c>
      <c r="K47" t="str">
        <f>step3_validation[[#This Row],[Employment]]</f>
        <v>Chính thức</v>
      </c>
      <c r="L47" t="str">
        <f>survey_responses[[#This Row],[Tình trạng việc làm chính:]]</f>
        <v>Khu vực chính thức (Có Hợp đồng lao động, đóng BHXH)</v>
      </c>
      <c r="M47">
        <f>step3_validation[[#This Row],[Income_Mil]]</f>
        <v>12</v>
      </c>
      <c r="N47" t="str">
        <f>survey_responses[[#This Row],[Thu nhập bình quân tháng theo Hợp đồng lao động của bạn là bao nhiêu? (Vui lòng điền tổng thu nhập trước khi khấu trừ các loại Bảo hiểm (BHXH, BHYT, BHTN) và Thuế TNCN)]]</f>
        <v>Dưới 12 triệu VNĐ</v>
      </c>
      <c r="O47">
        <f>step3_validation[[#This Row],[Dependents]]</f>
        <v>2</v>
      </c>
      <c r="P47" t="str">
        <f>survey_responses[[#This Row],[Số người phụ thuộc (con nhỏ, cha mẹ già...) đủ điều kiện giảm trừ gia cảnh:]]</f>
        <v>2 người</v>
      </c>
      <c r="Q47">
        <f>step3_validation[[#This Row],[AI_ENF1]]</f>
        <v>8</v>
      </c>
      <c r="R47" t="str">
        <f t="shared" si="0"/>
        <v>Support</v>
      </c>
      <c r="S47">
        <f>survey_responses[[#This Row],[Tôi tin rằng với các quy định quản lý thuế hiện nay, hành vi gian lận hoặc trốn thuế sẽ dễ dàng bị phát hiện và xử lý nghiêm. - HUMAN-ENF1]]</f>
        <v>1</v>
      </c>
      <c r="T47" t="str">
        <f t="shared" si="1"/>
        <v>Oppose</v>
      </c>
      <c r="U47" s="32">
        <f t="shared" si="2"/>
        <v>7</v>
      </c>
      <c r="V47">
        <f>step3_validation[[#This Row],[AI_ENF2]]</f>
        <v>7</v>
      </c>
      <c r="W47" t="str">
        <f t="shared" si="3"/>
        <v>Neutral</v>
      </c>
      <c r="X47">
        <f>survey_responses[[#This Row],[Tôi tin rằng Nhà nước, cơ quan thuế có đủ khả năng và công nghệ để phát hiện, xử lý nghiêm các hành vi trốn thuế. - HUMAN-ENF2]]</f>
        <v>1</v>
      </c>
      <c r="Y47" t="str">
        <f t="shared" si="4"/>
        <v>Oppose</v>
      </c>
      <c r="Z47" s="32">
        <f t="shared" si="5"/>
        <v>6</v>
      </c>
      <c r="AA47">
        <f>step3_validation[[#This Row],[AI_FAC1]]</f>
        <v>9</v>
      </c>
      <c r="AB47" t="str">
        <f t="shared" si="6"/>
        <v>Support</v>
      </c>
      <c r="AC47">
        <f>survey_responses[[#This Row],[Các thủ tục khai báo thuế VÀ/HOẶC quy trình làm việc với cơ quan thuế đơn giản, tiện lợi, nhanh chóng hơn so với trước đây. - HUMAN-FAC1]]</f>
        <v>2</v>
      </c>
      <c r="AD47" t="str">
        <f t="shared" si="7"/>
        <v>Oppose</v>
      </c>
      <c r="AE47" s="32">
        <f t="shared" si="8"/>
        <v>7</v>
      </c>
      <c r="AF47">
        <f>step3_validation[[#This Row],[AI_FAC2]]</f>
        <v>8</v>
      </c>
      <c r="AG47" t="str">
        <f t="shared" si="9"/>
        <v>Support</v>
      </c>
      <c r="AH47">
        <f>survey_responses[[#This Row],[So với trước đây, tôi thấy cách tính thuế và các bậc thuế trong phương án mới đơn giản, dễ hiểu và dễ thực hiện hơn. - HUMAN-FAC2]]</f>
        <v>1</v>
      </c>
      <c r="AI47" t="str">
        <f t="shared" si="10"/>
        <v>Oppose</v>
      </c>
      <c r="AJ47" s="32">
        <f t="shared" si="11"/>
        <v>7</v>
      </c>
      <c r="AK47">
        <f>step3_validation[[#This Row],[AI_TRU1]]</f>
        <v>7</v>
      </c>
      <c r="AL47" t="str">
        <f t="shared" si="12"/>
        <v>Neutral</v>
      </c>
      <c r="AM47">
        <f>survey_responses[[#This Row],[Tôi tin rằng Nhà nước, cơ quan thuế sẽ thực thi chính sách mới một cách khách quan, công tâm và đối xử bình đẳng với mọi người nộp thuế.  - HUMAN-TRU1]]</f>
        <v>1</v>
      </c>
      <c r="AN47" t="str">
        <f t="shared" si="13"/>
        <v>Oppose</v>
      </c>
      <c r="AO47" s="32">
        <f t="shared" si="14"/>
        <v>6</v>
      </c>
      <c r="AP47">
        <f>step3_validation[[#This Row],[AI_TRU2]]</f>
        <v>6</v>
      </c>
      <c r="AQ47" t="str">
        <f t="shared" si="15"/>
        <v>Neutral</v>
      </c>
      <c r="AR47">
        <f>survey_responses[[#This Row],[Tôi thấy mức thuế tôi phải đóng theo phương án mới là công bằng (người thu nhập như tôi đóng mức này là hợp lý). - HUMAN-TRU2]]</f>
        <v>1</v>
      </c>
      <c r="AS47" t="str">
        <f t="shared" si="16"/>
        <v>Oppose</v>
      </c>
      <c r="AT47" s="32">
        <f t="shared" si="17"/>
        <v>5</v>
      </c>
      <c r="AU47">
        <f>step3_validation[[#This Row],[AI_TRU3]]</f>
        <v>5</v>
      </c>
      <c r="AV47" t="str">
        <f t="shared" si="18"/>
        <v>Neutral</v>
      </c>
      <c r="AW47">
        <f>survey_responses[[#This Row],[Tôi tin tưởng số tiền thuế tôi đóng sẽ được Nhà nước sử dụng hiệu quả để cải thiện dịch vụ công (y tế, đường xá...). - HUMAN-TRU3]]</f>
        <v>1</v>
      </c>
      <c r="AX47" t="str">
        <f t="shared" si="19"/>
        <v>Oppose</v>
      </c>
      <c r="AY47" s="32">
        <f t="shared" si="20"/>
        <v>4</v>
      </c>
      <c r="AZ47">
        <f>step3_validation[[#This Row],[AI_TRU4]]</f>
        <v>4</v>
      </c>
      <c r="BA47" t="str">
        <f t="shared" si="21"/>
        <v>Oppose</v>
      </c>
      <c r="BB47">
        <f>survey_responses[[#This Row],[Tôi thấy Nhà nước đã giải thích rõ ràng, minh bạch về lý do và mục tiêu của việc sửa đổi thuế lần này. - HUMAN-TRU4]]</f>
        <v>1</v>
      </c>
      <c r="BC47" t="str">
        <f t="shared" si="22"/>
        <v>Oppose</v>
      </c>
      <c r="BD47" s="32">
        <f t="shared" si="23"/>
        <v>3</v>
      </c>
      <c r="BE47">
        <f>step3_validation[[#This Row],[AI_OUT1]]</f>
        <v>6</v>
      </c>
      <c r="BF47" t="str">
        <f t="shared" si="24"/>
        <v>Neutral</v>
      </c>
      <c r="BG47">
        <f>survey_responses[[#This Row],[Sau khi xem xét các quyền lợi và nghĩa vụ, bạn có ủng hộ và tuân thủ chính sách mới hiện nay? - HUMAN-OUT1]]</f>
        <v>1</v>
      </c>
      <c r="BH47" t="str">
        <f t="shared" si="25"/>
        <v>Oppose</v>
      </c>
      <c r="BI47" s="32">
        <f t="shared" si="26"/>
        <v>5</v>
      </c>
    </row>
    <row r="48" spans="1:61" x14ac:dyDescent="0.45">
      <c r="A48" s="30">
        <f>step3_validation[[#This Row],[Persona_ID]]</f>
        <v>47</v>
      </c>
      <c r="B48" s="31">
        <f>step3_validation[[#This Row],[Used_Seed]]</f>
        <v>2037</v>
      </c>
      <c r="C48" t="str">
        <f>step3_validation[[#This Row],[Gender]]</f>
        <v>Nam</v>
      </c>
      <c r="D48" t="str">
        <f>survey_responses[[#This Row],[Giới tính của bạn:]]</f>
        <v>Nam</v>
      </c>
      <c r="E48" t="str">
        <f>step3_validation[[#This Row],[Age_Group]]</f>
        <v>30 - 39</v>
      </c>
      <c r="F48" t="str">
        <f>survey_responses[[#This Row],[Độ tuổi của bạn:]]</f>
        <v>30 - 39</v>
      </c>
      <c r="G48" t="str">
        <f>step3_validation[[#This Row],[Region]]</f>
        <v>Thành thị</v>
      </c>
      <c r="H48" t="str">
        <f>survey_responses[[#This Row],[Khu vực bạn đang sinh sống:]]</f>
        <v>Thành thị</v>
      </c>
      <c r="I48" t="str">
        <f>step3_validation[[#This Row],[Education]]</f>
        <v>Đại học</v>
      </c>
      <c r="J48" t="str">
        <f>survey_responses[[#This Row],[Trình độ học vấn cao nhất:]]</f>
        <v>Đại học</v>
      </c>
      <c r="K48" t="str">
        <f>step3_validation[[#This Row],[Employment]]</f>
        <v>Chính thức</v>
      </c>
      <c r="L48" t="str">
        <f>survey_responses[[#This Row],[Tình trạng việc làm chính:]]</f>
        <v>Khu vực chính thức (Có Hợp đồng lao động, đóng BHXH)</v>
      </c>
      <c r="M48">
        <f>step3_validation[[#This Row],[Income_Mil]]</f>
        <v>12</v>
      </c>
      <c r="N48" t="str">
        <f>survey_responses[[#This Row],[Thu nhập bình quân tháng theo Hợp đồng lao động của bạn là bao nhiêu? (Vui lòng điền tổng thu nhập trước khi khấu trừ các loại Bảo hiểm (BHXH, BHYT, BHTN) và Thuế TNCN)]]</f>
        <v>Dưới 12 triệu VNĐ</v>
      </c>
      <c r="O48">
        <f>step3_validation[[#This Row],[Dependents]]</f>
        <v>0</v>
      </c>
      <c r="P48" t="str">
        <f>survey_responses[[#This Row],[Số người phụ thuộc (con nhỏ, cha mẹ già...) đủ điều kiện giảm trừ gia cảnh:]]</f>
        <v>0 người</v>
      </c>
      <c r="Q48">
        <f>step3_validation[[#This Row],[AI_ENF1]]</f>
        <v>8</v>
      </c>
      <c r="R48" t="str">
        <f t="shared" si="0"/>
        <v>Support</v>
      </c>
      <c r="S48">
        <f>survey_responses[[#This Row],[Tôi tin rằng với các quy định quản lý thuế hiện nay, hành vi gian lận hoặc trốn thuế sẽ dễ dàng bị phát hiện và xử lý nghiêm. - HUMAN-ENF1]]</f>
        <v>8</v>
      </c>
      <c r="T48" t="str">
        <f t="shared" si="1"/>
        <v>Support</v>
      </c>
      <c r="U48" s="32">
        <f t="shared" si="2"/>
        <v>0</v>
      </c>
      <c r="V48">
        <f>step3_validation[[#This Row],[AI_ENF2]]</f>
        <v>7</v>
      </c>
      <c r="W48" t="str">
        <f t="shared" si="3"/>
        <v>Neutral</v>
      </c>
      <c r="X48">
        <f>survey_responses[[#This Row],[Tôi tin rằng Nhà nước, cơ quan thuế có đủ khả năng và công nghệ để phát hiện, xử lý nghiêm các hành vi trốn thuế. - HUMAN-ENF2]]</f>
        <v>8</v>
      </c>
      <c r="Y48" t="str">
        <f t="shared" si="4"/>
        <v>Support</v>
      </c>
      <c r="Z48" s="32">
        <f t="shared" si="5"/>
        <v>1</v>
      </c>
      <c r="AA48">
        <f>step3_validation[[#This Row],[AI_FAC1]]</f>
        <v>9</v>
      </c>
      <c r="AB48" t="str">
        <f t="shared" si="6"/>
        <v>Support</v>
      </c>
      <c r="AC48">
        <f>survey_responses[[#This Row],[Các thủ tục khai báo thuế VÀ/HOẶC quy trình làm việc với cơ quan thuế đơn giản, tiện lợi, nhanh chóng hơn so với trước đây. - HUMAN-FAC1]]</f>
        <v>8</v>
      </c>
      <c r="AD48" t="str">
        <f t="shared" si="7"/>
        <v>Support</v>
      </c>
      <c r="AE48" s="32">
        <f t="shared" si="8"/>
        <v>1</v>
      </c>
      <c r="AF48">
        <f>step3_validation[[#This Row],[AI_FAC2]]</f>
        <v>8</v>
      </c>
      <c r="AG48" t="str">
        <f t="shared" si="9"/>
        <v>Support</v>
      </c>
      <c r="AH48">
        <f>survey_responses[[#This Row],[So với trước đây, tôi thấy cách tính thuế và các bậc thuế trong phương án mới đơn giản, dễ hiểu và dễ thực hiện hơn. - HUMAN-FAC2]]</f>
        <v>7</v>
      </c>
      <c r="AI48" t="str">
        <f t="shared" si="10"/>
        <v>Neutral</v>
      </c>
      <c r="AJ48" s="32">
        <f t="shared" si="11"/>
        <v>1</v>
      </c>
      <c r="AK48">
        <f>step3_validation[[#This Row],[AI_TRU1]]</f>
        <v>7</v>
      </c>
      <c r="AL48" t="str">
        <f t="shared" si="12"/>
        <v>Neutral</v>
      </c>
      <c r="AM48">
        <f>survey_responses[[#This Row],[Tôi tin rằng Nhà nước, cơ quan thuế sẽ thực thi chính sách mới một cách khách quan, công tâm và đối xử bình đẳng với mọi người nộp thuế.  - HUMAN-TRU1]]</f>
        <v>6</v>
      </c>
      <c r="AN48" t="str">
        <f t="shared" si="13"/>
        <v>Neutral</v>
      </c>
      <c r="AO48" s="32">
        <f t="shared" si="14"/>
        <v>1</v>
      </c>
      <c r="AP48">
        <f>step3_validation[[#This Row],[AI_TRU2]]</f>
        <v>8</v>
      </c>
      <c r="AQ48" t="str">
        <f t="shared" si="15"/>
        <v>Support</v>
      </c>
      <c r="AR48">
        <f>survey_responses[[#This Row],[Tôi thấy mức thuế tôi phải đóng theo phương án mới là công bằng (người thu nhập như tôi đóng mức này là hợp lý). - HUMAN-TRU2]]</f>
        <v>8</v>
      </c>
      <c r="AS48" t="str">
        <f t="shared" si="16"/>
        <v>Support</v>
      </c>
      <c r="AT48" s="32">
        <f t="shared" si="17"/>
        <v>0</v>
      </c>
      <c r="AU48">
        <f>step3_validation[[#This Row],[AI_TRU3]]</f>
        <v>7</v>
      </c>
      <c r="AV48" t="str">
        <f t="shared" si="18"/>
        <v>Neutral</v>
      </c>
      <c r="AW48">
        <f>survey_responses[[#This Row],[Tôi tin tưởng số tiền thuế tôi đóng sẽ được Nhà nước sử dụng hiệu quả để cải thiện dịch vụ công (y tế, đường xá...). - HUMAN-TRU3]]</f>
        <v>8</v>
      </c>
      <c r="AX48" t="str">
        <f t="shared" si="19"/>
        <v>Support</v>
      </c>
      <c r="AY48" s="32">
        <f t="shared" si="20"/>
        <v>1</v>
      </c>
      <c r="AZ48">
        <f>step3_validation[[#This Row],[AI_TRU4]]</f>
        <v>6</v>
      </c>
      <c r="BA48" t="str">
        <f t="shared" si="21"/>
        <v>Neutral</v>
      </c>
      <c r="BB48">
        <f>survey_responses[[#This Row],[Tôi thấy Nhà nước đã giải thích rõ ràng, minh bạch về lý do và mục tiêu của việc sửa đổi thuế lần này. - HUMAN-TRU4]]</f>
        <v>9</v>
      </c>
      <c r="BC48" t="str">
        <f t="shared" si="22"/>
        <v>Support</v>
      </c>
      <c r="BD48" s="32">
        <f t="shared" si="23"/>
        <v>3</v>
      </c>
      <c r="BE48">
        <f>step3_validation[[#This Row],[AI_OUT1]]</f>
        <v>8</v>
      </c>
      <c r="BF48" t="str">
        <f t="shared" si="24"/>
        <v>Support</v>
      </c>
      <c r="BG48">
        <f>survey_responses[[#This Row],[Sau khi xem xét các quyền lợi và nghĩa vụ, bạn có ủng hộ và tuân thủ chính sách mới hiện nay? - HUMAN-OUT1]]</f>
        <v>8</v>
      </c>
      <c r="BH48" t="str">
        <f t="shared" si="25"/>
        <v>Support</v>
      </c>
      <c r="BI48" s="32">
        <f t="shared" si="26"/>
        <v>0</v>
      </c>
    </row>
    <row r="49" spans="1:61" x14ac:dyDescent="0.45">
      <c r="A49" s="30">
        <f>step3_validation[[#This Row],[Persona_ID]]</f>
        <v>48</v>
      </c>
      <c r="B49" s="31">
        <f>step3_validation[[#This Row],[Used_Seed]]</f>
        <v>2038</v>
      </c>
      <c r="C49" t="str">
        <f>step3_validation[[#This Row],[Gender]]</f>
        <v>Nữ</v>
      </c>
      <c r="D49" t="str">
        <f>survey_responses[[#This Row],[Giới tính của bạn:]]</f>
        <v>Nữ</v>
      </c>
      <c r="E49" t="str">
        <f>step3_validation[[#This Row],[Age_Group]]</f>
        <v>30 - 39</v>
      </c>
      <c r="F49" t="str">
        <f>survey_responses[[#This Row],[Độ tuổi của bạn:]]</f>
        <v>30 - 39</v>
      </c>
      <c r="G49" t="str">
        <f>step3_validation[[#This Row],[Region]]</f>
        <v>Thành thị</v>
      </c>
      <c r="H49" t="str">
        <f>survey_responses[[#This Row],[Khu vực bạn đang sinh sống:]]</f>
        <v>Thành thị</v>
      </c>
      <c r="I49" t="str">
        <f>step3_validation[[#This Row],[Education]]</f>
        <v>Đại học</v>
      </c>
      <c r="J49" t="str">
        <f>survey_responses[[#This Row],[Trình độ học vấn cao nhất:]]</f>
        <v>Đại học</v>
      </c>
      <c r="K49" t="str">
        <f>step3_validation[[#This Row],[Employment]]</f>
        <v>Chính thức</v>
      </c>
      <c r="L49" t="str">
        <f>survey_responses[[#This Row],[Tình trạng việc làm chính:]]</f>
        <v>Khu vực chính thức (Có Hợp đồng lao động, đóng BHXH)</v>
      </c>
      <c r="M49">
        <f>step3_validation[[#This Row],[Income_Mil]]</f>
        <v>41.881251106097203</v>
      </c>
      <c r="N49" t="str">
        <f>survey_responses[[#This Row],[Thu nhập bình quân tháng theo Hợp đồng lao động của bạn là bao nhiêu? (Vui lòng điền tổng thu nhập trước khi khấu trừ các loại Bảo hiểm (BHXH, BHYT, BHTN) và Thuế TNCN)]]</f>
        <v>Từ 32 - 48 triệu VNĐ</v>
      </c>
      <c r="O49">
        <f>step3_validation[[#This Row],[Dependents]]</f>
        <v>3</v>
      </c>
      <c r="P49" t="str">
        <f>survey_responses[[#This Row],[Số người phụ thuộc (con nhỏ, cha mẹ già...) đủ điều kiện giảm trừ gia cảnh:]]</f>
        <v>3 người</v>
      </c>
      <c r="Q49">
        <f>step3_validation[[#This Row],[AI_ENF1]]</f>
        <v>7</v>
      </c>
      <c r="R49" t="str">
        <f t="shared" si="0"/>
        <v>Neutral</v>
      </c>
      <c r="S49">
        <f>survey_responses[[#This Row],[Tôi tin rằng với các quy định quản lý thuế hiện nay, hành vi gian lận hoặc trốn thuế sẽ dễ dàng bị phát hiện và xử lý nghiêm. - HUMAN-ENF1]]</f>
        <v>10</v>
      </c>
      <c r="T49" t="str">
        <f t="shared" si="1"/>
        <v>Support</v>
      </c>
      <c r="U49" s="32">
        <f t="shared" si="2"/>
        <v>3</v>
      </c>
      <c r="V49">
        <f>step3_validation[[#This Row],[AI_ENF2]]</f>
        <v>8</v>
      </c>
      <c r="W49" t="str">
        <f t="shared" si="3"/>
        <v>Support</v>
      </c>
      <c r="X49">
        <f>survey_responses[[#This Row],[Tôi tin rằng Nhà nước, cơ quan thuế có đủ khả năng và công nghệ để phát hiện, xử lý nghiêm các hành vi trốn thuế. - HUMAN-ENF2]]</f>
        <v>10</v>
      </c>
      <c r="Y49" t="str">
        <f t="shared" si="4"/>
        <v>Support</v>
      </c>
      <c r="Z49" s="32">
        <f t="shared" si="5"/>
        <v>2</v>
      </c>
      <c r="AA49">
        <f>step3_validation[[#This Row],[AI_FAC1]]</f>
        <v>9</v>
      </c>
      <c r="AB49" t="str">
        <f t="shared" si="6"/>
        <v>Support</v>
      </c>
      <c r="AC49">
        <f>survey_responses[[#This Row],[Các thủ tục khai báo thuế VÀ/HOẶC quy trình làm việc với cơ quan thuế đơn giản, tiện lợi, nhanh chóng hơn so với trước đây. - HUMAN-FAC1]]</f>
        <v>10</v>
      </c>
      <c r="AD49" t="str">
        <f t="shared" si="7"/>
        <v>Support</v>
      </c>
      <c r="AE49" s="32">
        <f t="shared" si="8"/>
        <v>1</v>
      </c>
      <c r="AF49">
        <f>step3_validation[[#This Row],[AI_FAC2]]</f>
        <v>8</v>
      </c>
      <c r="AG49" t="str">
        <f t="shared" si="9"/>
        <v>Support</v>
      </c>
      <c r="AH49">
        <f>survey_responses[[#This Row],[So với trước đây, tôi thấy cách tính thuế và các bậc thuế trong phương án mới đơn giản, dễ hiểu và dễ thực hiện hơn. - HUMAN-FAC2]]</f>
        <v>10</v>
      </c>
      <c r="AI49" t="str">
        <f t="shared" si="10"/>
        <v>Support</v>
      </c>
      <c r="AJ49" s="32">
        <f t="shared" si="11"/>
        <v>2</v>
      </c>
      <c r="AK49">
        <f>step3_validation[[#This Row],[AI_TRU1]]</f>
        <v>7</v>
      </c>
      <c r="AL49" t="str">
        <f t="shared" si="12"/>
        <v>Neutral</v>
      </c>
      <c r="AM49">
        <f>survey_responses[[#This Row],[Tôi tin rằng Nhà nước, cơ quan thuế sẽ thực thi chính sách mới một cách khách quan, công tâm và đối xử bình đẳng với mọi người nộp thuế.  - HUMAN-TRU1]]</f>
        <v>10</v>
      </c>
      <c r="AN49" t="str">
        <f t="shared" si="13"/>
        <v>Support</v>
      </c>
      <c r="AO49" s="32">
        <f t="shared" si="14"/>
        <v>3</v>
      </c>
      <c r="AP49">
        <f>step3_validation[[#This Row],[AI_TRU2]]</f>
        <v>6</v>
      </c>
      <c r="AQ49" t="str">
        <f t="shared" si="15"/>
        <v>Neutral</v>
      </c>
      <c r="AR49">
        <f>survey_responses[[#This Row],[Tôi thấy mức thuế tôi phải đóng theo phương án mới là công bằng (người thu nhập như tôi đóng mức này là hợp lý). - HUMAN-TRU2]]</f>
        <v>10</v>
      </c>
      <c r="AS49" t="str">
        <f t="shared" si="16"/>
        <v>Support</v>
      </c>
      <c r="AT49" s="32">
        <f t="shared" si="17"/>
        <v>4</v>
      </c>
      <c r="AU49">
        <f>step3_validation[[#This Row],[AI_TRU3]]</f>
        <v>7</v>
      </c>
      <c r="AV49" t="str">
        <f t="shared" si="18"/>
        <v>Neutral</v>
      </c>
      <c r="AW49">
        <f>survey_responses[[#This Row],[Tôi tin tưởng số tiền thuế tôi đóng sẽ được Nhà nước sử dụng hiệu quả để cải thiện dịch vụ công (y tế, đường xá...). - HUMAN-TRU3]]</f>
        <v>10</v>
      </c>
      <c r="AX49" t="str">
        <f t="shared" si="19"/>
        <v>Support</v>
      </c>
      <c r="AY49" s="32">
        <f t="shared" si="20"/>
        <v>3</v>
      </c>
      <c r="AZ49">
        <f>step3_validation[[#This Row],[AI_TRU4]]</f>
        <v>6</v>
      </c>
      <c r="BA49" t="str">
        <f t="shared" si="21"/>
        <v>Neutral</v>
      </c>
      <c r="BB49">
        <f>survey_responses[[#This Row],[Tôi thấy Nhà nước đã giải thích rõ ràng, minh bạch về lý do và mục tiêu của việc sửa đổi thuế lần này. - HUMAN-TRU4]]</f>
        <v>10</v>
      </c>
      <c r="BC49" t="str">
        <f t="shared" si="22"/>
        <v>Support</v>
      </c>
      <c r="BD49" s="32">
        <f t="shared" si="23"/>
        <v>4</v>
      </c>
      <c r="BE49">
        <f>step3_validation[[#This Row],[AI_OUT1]]</f>
        <v>8</v>
      </c>
      <c r="BF49" t="str">
        <f t="shared" si="24"/>
        <v>Support</v>
      </c>
      <c r="BG49">
        <f>survey_responses[[#This Row],[Sau khi xem xét các quyền lợi và nghĩa vụ, bạn có ủng hộ và tuân thủ chính sách mới hiện nay? - HUMAN-OUT1]]</f>
        <v>10</v>
      </c>
      <c r="BH49" t="str">
        <f t="shared" si="25"/>
        <v>Support</v>
      </c>
      <c r="BI49" s="32">
        <f t="shared" si="26"/>
        <v>2</v>
      </c>
    </row>
    <row r="50" spans="1:61" x14ac:dyDescent="0.45">
      <c r="A50" s="30">
        <f>step3_validation[[#This Row],[Persona_ID]]</f>
        <v>49</v>
      </c>
      <c r="B50" s="31">
        <f>step3_validation[[#This Row],[Used_Seed]]</f>
        <v>2039</v>
      </c>
      <c r="C50" t="str">
        <f>step3_validation[[#This Row],[Gender]]</f>
        <v>Nam</v>
      </c>
      <c r="D50" t="str">
        <f>survey_responses[[#This Row],[Giới tính của bạn:]]</f>
        <v>Nam</v>
      </c>
      <c r="E50" t="str">
        <f>step3_validation[[#This Row],[Age_Group]]</f>
        <v>30 - 39</v>
      </c>
      <c r="F50" t="str">
        <f>survey_responses[[#This Row],[Độ tuổi của bạn:]]</f>
        <v>30 - 39</v>
      </c>
      <c r="G50" t="str">
        <f>step3_validation[[#This Row],[Region]]</f>
        <v>Thành thị</v>
      </c>
      <c r="H50" t="str">
        <f>survey_responses[[#This Row],[Khu vực bạn đang sinh sống:]]</f>
        <v>Thành thị</v>
      </c>
      <c r="I50" t="str">
        <f>step3_validation[[#This Row],[Education]]</f>
        <v>Đại học</v>
      </c>
      <c r="J50" t="str">
        <f>survey_responses[[#This Row],[Trình độ học vấn cao nhất:]]</f>
        <v>Đại học</v>
      </c>
      <c r="K50" t="str">
        <f>step3_validation[[#This Row],[Employment]]</f>
        <v>Chính thức</v>
      </c>
      <c r="L50" t="str">
        <f>survey_responses[[#This Row],[Tình trạng việc làm chính:]]</f>
        <v>Khu vực chính thức (Có Hợp đồng lao động, đóng BHXH)</v>
      </c>
      <c r="M50">
        <f>step3_validation[[#This Row],[Income_Mil]]</f>
        <v>193.46685244011763</v>
      </c>
      <c r="N50" t="str">
        <f>survey_responses[[#This Row],[Thu nhập bình quân tháng theo Hợp đồng lao động của bạn là bao nhiêu? (Vui lòng điền tổng thu nhập trước khi khấu trừ các loại Bảo hiểm (BHXH, BHYT, BHTN) và Thuế TNCN)]]</f>
        <v>Trên 102 triệu VNĐ</v>
      </c>
      <c r="O50">
        <f>step3_validation[[#This Row],[Dependents]]</f>
        <v>2</v>
      </c>
      <c r="P50" t="str">
        <f>survey_responses[[#This Row],[Số người phụ thuộc (con nhỏ, cha mẹ già...) đủ điều kiện giảm trừ gia cảnh:]]</f>
        <v>2 người</v>
      </c>
      <c r="Q50">
        <f>step3_validation[[#This Row],[AI_ENF1]]</f>
        <v>7</v>
      </c>
      <c r="R50" t="str">
        <f t="shared" si="0"/>
        <v>Neutral</v>
      </c>
      <c r="S50">
        <f>survey_responses[[#This Row],[Tôi tin rằng với các quy định quản lý thuế hiện nay, hành vi gian lận hoặc trốn thuế sẽ dễ dàng bị phát hiện và xử lý nghiêm. - HUMAN-ENF1]]</f>
        <v>8</v>
      </c>
      <c r="T50" t="str">
        <f t="shared" si="1"/>
        <v>Support</v>
      </c>
      <c r="U50" s="32">
        <f t="shared" si="2"/>
        <v>1</v>
      </c>
      <c r="V50">
        <f>step3_validation[[#This Row],[AI_ENF2]]</f>
        <v>8</v>
      </c>
      <c r="W50" t="str">
        <f t="shared" si="3"/>
        <v>Support</v>
      </c>
      <c r="X50">
        <f>survey_responses[[#This Row],[Tôi tin rằng Nhà nước, cơ quan thuế có đủ khả năng và công nghệ để phát hiện, xử lý nghiêm các hành vi trốn thuế. - HUMAN-ENF2]]</f>
        <v>8</v>
      </c>
      <c r="Y50" t="str">
        <f t="shared" si="4"/>
        <v>Support</v>
      </c>
      <c r="Z50" s="32">
        <f t="shared" si="5"/>
        <v>0</v>
      </c>
      <c r="AA50">
        <f>step3_validation[[#This Row],[AI_FAC1]]</f>
        <v>9</v>
      </c>
      <c r="AB50" t="str">
        <f t="shared" si="6"/>
        <v>Support</v>
      </c>
      <c r="AC50">
        <f>survey_responses[[#This Row],[Các thủ tục khai báo thuế VÀ/HOẶC quy trình làm việc với cơ quan thuế đơn giản, tiện lợi, nhanh chóng hơn so với trước đây. - HUMAN-FAC1]]</f>
        <v>7</v>
      </c>
      <c r="AD50" t="str">
        <f t="shared" si="7"/>
        <v>Neutral</v>
      </c>
      <c r="AE50" s="32">
        <f t="shared" si="8"/>
        <v>2</v>
      </c>
      <c r="AF50">
        <f>step3_validation[[#This Row],[AI_FAC2]]</f>
        <v>9</v>
      </c>
      <c r="AG50" t="str">
        <f t="shared" si="9"/>
        <v>Support</v>
      </c>
      <c r="AH50">
        <f>survey_responses[[#This Row],[So với trước đây, tôi thấy cách tính thuế và các bậc thuế trong phương án mới đơn giản, dễ hiểu và dễ thực hiện hơn. - HUMAN-FAC2]]</f>
        <v>8</v>
      </c>
      <c r="AI50" t="str">
        <f t="shared" si="10"/>
        <v>Support</v>
      </c>
      <c r="AJ50" s="32">
        <f t="shared" si="11"/>
        <v>1</v>
      </c>
      <c r="AK50">
        <f>step3_validation[[#This Row],[AI_TRU1]]</f>
        <v>7</v>
      </c>
      <c r="AL50" t="str">
        <f t="shared" si="12"/>
        <v>Neutral</v>
      </c>
      <c r="AM50">
        <f>survey_responses[[#This Row],[Tôi tin rằng Nhà nước, cơ quan thuế sẽ thực thi chính sách mới một cách khách quan, công tâm và đối xử bình đẳng với mọi người nộp thuế.  - HUMAN-TRU1]]</f>
        <v>6</v>
      </c>
      <c r="AN50" t="str">
        <f t="shared" si="13"/>
        <v>Neutral</v>
      </c>
      <c r="AO50" s="32">
        <f t="shared" si="14"/>
        <v>1</v>
      </c>
      <c r="AP50">
        <f>step3_validation[[#This Row],[AI_TRU2]]</f>
        <v>8</v>
      </c>
      <c r="AQ50" t="str">
        <f t="shared" si="15"/>
        <v>Support</v>
      </c>
      <c r="AR50">
        <f>survey_responses[[#This Row],[Tôi thấy mức thuế tôi phải đóng theo phương án mới là công bằng (người thu nhập như tôi đóng mức này là hợp lý). - HUMAN-TRU2]]</f>
        <v>8</v>
      </c>
      <c r="AS50" t="str">
        <f t="shared" si="16"/>
        <v>Support</v>
      </c>
      <c r="AT50" s="32">
        <f t="shared" si="17"/>
        <v>0</v>
      </c>
      <c r="AU50">
        <f>step3_validation[[#This Row],[AI_TRU3]]</f>
        <v>7</v>
      </c>
      <c r="AV50" t="str">
        <f t="shared" si="18"/>
        <v>Neutral</v>
      </c>
      <c r="AW50">
        <f>survey_responses[[#This Row],[Tôi tin tưởng số tiền thuế tôi đóng sẽ được Nhà nước sử dụng hiệu quả để cải thiện dịch vụ công (y tế, đường xá...). - HUMAN-TRU3]]</f>
        <v>6</v>
      </c>
      <c r="AX50" t="str">
        <f t="shared" si="19"/>
        <v>Neutral</v>
      </c>
      <c r="AY50" s="32">
        <f t="shared" si="20"/>
        <v>1</v>
      </c>
      <c r="AZ50">
        <f>step3_validation[[#This Row],[AI_TRU4]]</f>
        <v>8</v>
      </c>
      <c r="BA50" t="str">
        <f t="shared" si="21"/>
        <v>Support</v>
      </c>
      <c r="BB50">
        <f>survey_responses[[#This Row],[Tôi thấy Nhà nước đã giải thích rõ ràng, minh bạch về lý do và mục tiêu của việc sửa đổi thuế lần này. - HUMAN-TRU4]]</f>
        <v>5</v>
      </c>
      <c r="BC50" t="str">
        <f t="shared" si="22"/>
        <v>Neutral</v>
      </c>
      <c r="BD50" s="32">
        <f t="shared" si="23"/>
        <v>3</v>
      </c>
      <c r="BE50">
        <f>step3_validation[[#This Row],[AI_OUT1]]</f>
        <v>9</v>
      </c>
      <c r="BF50" t="str">
        <f t="shared" si="24"/>
        <v>Support</v>
      </c>
      <c r="BG50">
        <f>survey_responses[[#This Row],[Sau khi xem xét các quyền lợi và nghĩa vụ, bạn có ủng hộ và tuân thủ chính sách mới hiện nay? - HUMAN-OUT1]]</f>
        <v>8</v>
      </c>
      <c r="BH50" t="str">
        <f t="shared" si="25"/>
        <v>Support</v>
      </c>
      <c r="BI50" s="32">
        <f t="shared" si="26"/>
        <v>1</v>
      </c>
    </row>
    <row r="51" spans="1:61" x14ac:dyDescent="0.45">
      <c r="A51" s="30">
        <f>step3_validation[[#This Row],[Persona_ID]]</f>
        <v>50</v>
      </c>
      <c r="B51" s="31">
        <f>step3_validation[[#This Row],[Used_Seed]]</f>
        <v>2040</v>
      </c>
      <c r="C51" t="str">
        <f>step3_validation[[#This Row],[Gender]]</f>
        <v>Nữ</v>
      </c>
      <c r="D51" t="str">
        <f>survey_responses[[#This Row],[Giới tính của bạn:]]</f>
        <v>Nữ</v>
      </c>
      <c r="E51" t="str">
        <f>step3_validation[[#This Row],[Age_Group]]</f>
        <v>30 - 39</v>
      </c>
      <c r="F51" t="str">
        <f>survey_responses[[#This Row],[Độ tuổi của bạn:]]</f>
        <v>30 - 39</v>
      </c>
      <c r="G51" t="str">
        <f>step3_validation[[#This Row],[Region]]</f>
        <v>Thành thị</v>
      </c>
      <c r="H51" t="str">
        <f>survey_responses[[#This Row],[Khu vực bạn đang sinh sống:]]</f>
        <v>Thành thị</v>
      </c>
      <c r="I51" t="str">
        <f>step3_validation[[#This Row],[Education]]</f>
        <v>Đại học</v>
      </c>
      <c r="J51" t="str">
        <f>survey_responses[[#This Row],[Trình độ học vấn cao nhất:]]</f>
        <v>Đại học</v>
      </c>
      <c r="K51" t="str">
        <f>step3_validation[[#This Row],[Employment]]</f>
        <v>Chính thức</v>
      </c>
      <c r="L51" t="str">
        <f>survey_responses[[#This Row],[Tình trạng việc làm chính:]]</f>
        <v>Khu vực chính thức (Có Hợp đồng lao động, đóng BHXH)</v>
      </c>
      <c r="M51">
        <f>step3_validation[[#This Row],[Income_Mil]]</f>
        <v>20.751927455535611</v>
      </c>
      <c r="N51" t="str">
        <f>survey_responses[[#This Row],[Thu nhập bình quân tháng theo Hợp đồng lao động của bạn là bao nhiêu? (Vui lòng điền tổng thu nhập trước khi khấu trừ các loại Bảo hiểm (BHXH, BHYT, BHTN) và Thuế TNCN)]]</f>
        <v>Từ 18 - 23 triệu VNĐ</v>
      </c>
      <c r="O51">
        <f>step3_validation[[#This Row],[Dependents]]</f>
        <v>3</v>
      </c>
      <c r="P51" t="str">
        <f>survey_responses[[#This Row],[Số người phụ thuộc (con nhỏ, cha mẹ già...) đủ điều kiện giảm trừ gia cảnh:]]</f>
        <v>3 người</v>
      </c>
      <c r="Q51">
        <f>step3_validation[[#This Row],[AI_ENF1]]</f>
        <v>7</v>
      </c>
      <c r="R51" t="str">
        <f t="shared" si="0"/>
        <v>Neutral</v>
      </c>
      <c r="S51">
        <f>survey_responses[[#This Row],[Tôi tin rằng với các quy định quản lý thuế hiện nay, hành vi gian lận hoặc trốn thuế sẽ dễ dàng bị phát hiện và xử lý nghiêm. - HUMAN-ENF1]]</f>
        <v>10</v>
      </c>
      <c r="T51" t="str">
        <f t="shared" si="1"/>
        <v>Support</v>
      </c>
      <c r="U51" s="32">
        <f t="shared" si="2"/>
        <v>3</v>
      </c>
      <c r="V51">
        <f>step3_validation[[#This Row],[AI_ENF2]]</f>
        <v>8</v>
      </c>
      <c r="W51" t="str">
        <f t="shared" si="3"/>
        <v>Support</v>
      </c>
      <c r="X51">
        <f>survey_responses[[#This Row],[Tôi tin rằng Nhà nước, cơ quan thuế có đủ khả năng và công nghệ để phát hiện, xử lý nghiêm các hành vi trốn thuế. - HUMAN-ENF2]]</f>
        <v>10</v>
      </c>
      <c r="Y51" t="str">
        <f t="shared" si="4"/>
        <v>Support</v>
      </c>
      <c r="Z51" s="32">
        <f t="shared" si="5"/>
        <v>2</v>
      </c>
      <c r="AA51">
        <f>step3_validation[[#This Row],[AI_FAC1]]</f>
        <v>6</v>
      </c>
      <c r="AB51" t="str">
        <f t="shared" si="6"/>
        <v>Neutral</v>
      </c>
      <c r="AC51">
        <f>survey_responses[[#This Row],[Các thủ tục khai báo thuế VÀ/HOẶC quy trình làm việc với cơ quan thuế đơn giản, tiện lợi, nhanh chóng hơn so với trước đây. - HUMAN-FAC1]]</f>
        <v>10</v>
      </c>
      <c r="AD51" t="str">
        <f t="shared" si="7"/>
        <v>Support</v>
      </c>
      <c r="AE51" s="32">
        <f t="shared" si="8"/>
        <v>4</v>
      </c>
      <c r="AF51">
        <f>step3_validation[[#This Row],[AI_FAC2]]</f>
        <v>9</v>
      </c>
      <c r="AG51" t="str">
        <f t="shared" si="9"/>
        <v>Support</v>
      </c>
      <c r="AH51">
        <f>survey_responses[[#This Row],[So với trước đây, tôi thấy cách tính thuế và các bậc thuế trong phương án mới đơn giản, dễ hiểu và dễ thực hiện hơn. - HUMAN-FAC2]]</f>
        <v>8</v>
      </c>
      <c r="AI51" t="str">
        <f t="shared" si="10"/>
        <v>Support</v>
      </c>
      <c r="AJ51" s="32">
        <f t="shared" si="11"/>
        <v>1</v>
      </c>
      <c r="AK51">
        <f>step3_validation[[#This Row],[AI_TRU1]]</f>
        <v>7</v>
      </c>
      <c r="AL51" t="str">
        <f t="shared" si="12"/>
        <v>Neutral</v>
      </c>
      <c r="AM51">
        <f>survey_responses[[#This Row],[Tôi tin rằng Nhà nước, cơ quan thuế sẽ thực thi chính sách mới một cách khách quan, công tâm và đối xử bình đẳng với mọi người nộp thuế.  - HUMAN-TRU1]]</f>
        <v>8</v>
      </c>
      <c r="AN51" t="str">
        <f t="shared" si="13"/>
        <v>Support</v>
      </c>
      <c r="AO51" s="32">
        <f t="shared" si="14"/>
        <v>1</v>
      </c>
      <c r="AP51">
        <f>step3_validation[[#This Row],[AI_TRU2]]</f>
        <v>6</v>
      </c>
      <c r="AQ51" t="str">
        <f t="shared" si="15"/>
        <v>Neutral</v>
      </c>
      <c r="AR51">
        <f>survey_responses[[#This Row],[Tôi thấy mức thuế tôi phải đóng theo phương án mới là công bằng (người thu nhập như tôi đóng mức này là hợp lý). - HUMAN-TRU2]]</f>
        <v>8</v>
      </c>
      <c r="AS51" t="str">
        <f t="shared" si="16"/>
        <v>Support</v>
      </c>
      <c r="AT51" s="32">
        <f t="shared" si="17"/>
        <v>2</v>
      </c>
      <c r="AU51">
        <f>step3_validation[[#This Row],[AI_TRU3]]</f>
        <v>6</v>
      </c>
      <c r="AV51" t="str">
        <f t="shared" si="18"/>
        <v>Neutral</v>
      </c>
      <c r="AW51">
        <f>survey_responses[[#This Row],[Tôi tin tưởng số tiền thuế tôi đóng sẽ được Nhà nước sử dụng hiệu quả để cải thiện dịch vụ công (y tế, đường xá...). - HUMAN-TRU3]]</f>
        <v>8</v>
      </c>
      <c r="AX51" t="str">
        <f t="shared" si="19"/>
        <v>Support</v>
      </c>
      <c r="AY51" s="32">
        <f t="shared" si="20"/>
        <v>2</v>
      </c>
      <c r="AZ51">
        <f>step3_validation[[#This Row],[AI_TRU4]]</f>
        <v>7</v>
      </c>
      <c r="BA51" t="str">
        <f t="shared" si="21"/>
        <v>Neutral</v>
      </c>
      <c r="BB51">
        <f>survey_responses[[#This Row],[Tôi thấy Nhà nước đã giải thích rõ ràng, minh bạch về lý do và mục tiêu của việc sửa đổi thuế lần này. - HUMAN-TRU4]]</f>
        <v>8</v>
      </c>
      <c r="BC51" t="str">
        <f t="shared" si="22"/>
        <v>Support</v>
      </c>
      <c r="BD51" s="32">
        <f t="shared" si="23"/>
        <v>1</v>
      </c>
      <c r="BE51">
        <f>step3_validation[[#This Row],[AI_OUT1]]</f>
        <v>8</v>
      </c>
      <c r="BF51" t="str">
        <f t="shared" si="24"/>
        <v>Support</v>
      </c>
      <c r="BG51">
        <f>survey_responses[[#This Row],[Sau khi xem xét các quyền lợi và nghĩa vụ, bạn có ủng hộ và tuân thủ chính sách mới hiện nay? - HUMAN-OUT1]]</f>
        <v>8</v>
      </c>
      <c r="BH51" t="str">
        <f t="shared" si="25"/>
        <v>Support</v>
      </c>
      <c r="BI51" s="32">
        <f t="shared" si="26"/>
        <v>0</v>
      </c>
    </row>
    <row r="52" spans="1:61" x14ac:dyDescent="0.45">
      <c r="A52" s="30">
        <f>step3_validation[[#This Row],[Persona_ID]]</f>
        <v>51</v>
      </c>
      <c r="B52" s="31">
        <f>step3_validation[[#This Row],[Used_Seed]]</f>
        <v>2041</v>
      </c>
      <c r="C52" t="str">
        <f>step3_validation[[#This Row],[Gender]]</f>
        <v>Nam</v>
      </c>
      <c r="D52" t="str">
        <f>survey_responses[[#This Row],[Giới tính của bạn:]]</f>
        <v>Nam</v>
      </c>
      <c r="E52" t="str">
        <f>step3_validation[[#This Row],[Age_Group]]</f>
        <v>25 - 29</v>
      </c>
      <c r="F52" t="str">
        <f>survey_responses[[#This Row],[Độ tuổi của bạn:]]</f>
        <v>25 - 29</v>
      </c>
      <c r="G52" t="str">
        <f>step3_validation[[#This Row],[Region]]</f>
        <v>Thành thị</v>
      </c>
      <c r="H52" t="str">
        <f>survey_responses[[#This Row],[Khu vực bạn đang sinh sống:]]</f>
        <v>Thành thị</v>
      </c>
      <c r="I52" t="str">
        <f>step3_validation[[#This Row],[Education]]</f>
        <v>Đại học</v>
      </c>
      <c r="J52" t="str">
        <f>survey_responses[[#This Row],[Trình độ học vấn cao nhất:]]</f>
        <v>Đại học</v>
      </c>
      <c r="K52" t="str">
        <f>step3_validation[[#This Row],[Employment]]</f>
        <v>Chính thức</v>
      </c>
      <c r="L52" t="str">
        <f>survey_responses[[#This Row],[Tình trạng việc làm chính:]]</f>
        <v>Khu vực chính thức (Có Hợp đồng lao động, đóng BHXH)</v>
      </c>
      <c r="M52">
        <f>step3_validation[[#This Row],[Income_Mil]]</f>
        <v>14.899906689434305</v>
      </c>
      <c r="N52" t="str">
        <f>survey_responses[[#This Row],[Thu nhập bình quân tháng theo Hợp đồng lao động của bạn là bao nhiêu? (Vui lòng điền tổng thu nhập trước khi khấu trừ các loại Bảo hiểm (BHXH, BHYT, BHTN) và Thuế TNCN)]]</f>
        <v>Từ 12 - 18 triệu VNĐ</v>
      </c>
      <c r="O52">
        <f>step3_validation[[#This Row],[Dependents]]</f>
        <v>0</v>
      </c>
      <c r="P52" t="str">
        <f>survey_responses[[#This Row],[Số người phụ thuộc (con nhỏ, cha mẹ già...) đủ điều kiện giảm trừ gia cảnh:]]</f>
        <v>0 người</v>
      </c>
      <c r="Q52">
        <f>step3_validation[[#This Row],[AI_ENF1]]</f>
        <v>4</v>
      </c>
      <c r="R52" t="str">
        <f t="shared" si="0"/>
        <v>Oppose</v>
      </c>
      <c r="S52">
        <f>survey_responses[[#This Row],[Tôi tin rằng với các quy định quản lý thuế hiện nay, hành vi gian lận hoặc trốn thuế sẽ dễ dàng bị phát hiện và xử lý nghiêm. - HUMAN-ENF1]]</f>
        <v>10</v>
      </c>
      <c r="T52" t="str">
        <f t="shared" si="1"/>
        <v>Support</v>
      </c>
      <c r="U52" s="32">
        <f t="shared" si="2"/>
        <v>6</v>
      </c>
      <c r="V52">
        <f>step3_validation[[#This Row],[AI_ENF2]]</f>
        <v>5</v>
      </c>
      <c r="W52" t="str">
        <f t="shared" si="3"/>
        <v>Neutral</v>
      </c>
      <c r="X52">
        <f>survey_responses[[#This Row],[Tôi tin rằng Nhà nước, cơ quan thuế có đủ khả năng và công nghệ để phát hiện, xử lý nghiêm các hành vi trốn thuế. - HUMAN-ENF2]]</f>
        <v>10</v>
      </c>
      <c r="Y52" t="str">
        <f t="shared" si="4"/>
        <v>Support</v>
      </c>
      <c r="Z52" s="32">
        <f t="shared" si="5"/>
        <v>5</v>
      </c>
      <c r="AA52">
        <f>step3_validation[[#This Row],[AI_FAC1]]</f>
        <v>6</v>
      </c>
      <c r="AB52" t="str">
        <f t="shared" si="6"/>
        <v>Neutral</v>
      </c>
      <c r="AC52">
        <f>survey_responses[[#This Row],[Các thủ tục khai báo thuế VÀ/HOẶC quy trình làm việc với cơ quan thuế đơn giản, tiện lợi, nhanh chóng hơn so với trước đây. - HUMAN-FAC1]]</f>
        <v>10</v>
      </c>
      <c r="AD52" t="str">
        <f t="shared" si="7"/>
        <v>Support</v>
      </c>
      <c r="AE52" s="32">
        <f t="shared" si="8"/>
        <v>4</v>
      </c>
      <c r="AF52">
        <f>step3_validation[[#This Row],[AI_FAC2]]</f>
        <v>8</v>
      </c>
      <c r="AG52" t="str">
        <f t="shared" si="9"/>
        <v>Support</v>
      </c>
      <c r="AH52">
        <f>survey_responses[[#This Row],[So với trước đây, tôi thấy cách tính thuế và các bậc thuế trong phương án mới đơn giản, dễ hiểu và dễ thực hiện hơn. - HUMAN-FAC2]]</f>
        <v>10</v>
      </c>
      <c r="AI52" t="str">
        <f t="shared" si="10"/>
        <v>Support</v>
      </c>
      <c r="AJ52" s="32">
        <f t="shared" si="11"/>
        <v>2</v>
      </c>
      <c r="AK52">
        <f>step3_validation[[#This Row],[AI_TRU1]]</f>
        <v>3</v>
      </c>
      <c r="AL52" t="str">
        <f t="shared" si="12"/>
        <v>Oppose</v>
      </c>
      <c r="AM52">
        <f>survey_responses[[#This Row],[Tôi tin rằng Nhà nước, cơ quan thuế sẽ thực thi chính sách mới một cách khách quan, công tâm và đối xử bình đẳng với mọi người nộp thuế.  - HUMAN-TRU1]]</f>
        <v>10</v>
      </c>
      <c r="AN52" t="str">
        <f t="shared" si="13"/>
        <v>Support</v>
      </c>
      <c r="AO52" s="32">
        <f t="shared" si="14"/>
        <v>7</v>
      </c>
      <c r="AP52">
        <f>step3_validation[[#This Row],[AI_TRU2]]</f>
        <v>7</v>
      </c>
      <c r="AQ52" t="str">
        <f t="shared" si="15"/>
        <v>Neutral</v>
      </c>
      <c r="AR52">
        <f>survey_responses[[#This Row],[Tôi thấy mức thuế tôi phải đóng theo phương án mới là công bằng (người thu nhập như tôi đóng mức này là hợp lý). - HUMAN-TRU2]]</f>
        <v>10</v>
      </c>
      <c r="AS52" t="str">
        <f t="shared" si="16"/>
        <v>Support</v>
      </c>
      <c r="AT52" s="32">
        <f t="shared" si="17"/>
        <v>3</v>
      </c>
      <c r="AU52">
        <f>step3_validation[[#This Row],[AI_TRU3]]</f>
        <v>4</v>
      </c>
      <c r="AV52" t="str">
        <f t="shared" si="18"/>
        <v>Oppose</v>
      </c>
      <c r="AW52">
        <f>survey_responses[[#This Row],[Tôi tin tưởng số tiền thuế tôi đóng sẽ được Nhà nước sử dụng hiệu quả để cải thiện dịch vụ công (y tế, đường xá...). - HUMAN-TRU3]]</f>
        <v>10</v>
      </c>
      <c r="AX52" t="str">
        <f t="shared" si="19"/>
        <v>Support</v>
      </c>
      <c r="AY52" s="32">
        <f t="shared" si="20"/>
        <v>6</v>
      </c>
      <c r="AZ52">
        <f>step3_validation[[#This Row],[AI_TRU4]]</f>
        <v>5</v>
      </c>
      <c r="BA52" t="str">
        <f t="shared" si="21"/>
        <v>Neutral</v>
      </c>
      <c r="BB52">
        <f>survey_responses[[#This Row],[Tôi thấy Nhà nước đã giải thích rõ ràng, minh bạch về lý do và mục tiêu của việc sửa đổi thuế lần này. - HUMAN-TRU4]]</f>
        <v>10</v>
      </c>
      <c r="BC52" t="str">
        <f t="shared" si="22"/>
        <v>Support</v>
      </c>
      <c r="BD52" s="32">
        <f t="shared" si="23"/>
        <v>5</v>
      </c>
      <c r="BE52">
        <f>step3_validation[[#This Row],[AI_OUT1]]</f>
        <v>6</v>
      </c>
      <c r="BF52" t="str">
        <f t="shared" si="24"/>
        <v>Neutral</v>
      </c>
      <c r="BG52">
        <f>survey_responses[[#This Row],[Sau khi xem xét các quyền lợi và nghĩa vụ, bạn có ủng hộ và tuân thủ chính sách mới hiện nay? - HUMAN-OUT1]]</f>
        <v>10</v>
      </c>
      <c r="BH52" t="str">
        <f t="shared" si="25"/>
        <v>Support</v>
      </c>
      <c r="BI52" s="32">
        <f t="shared" si="26"/>
        <v>4</v>
      </c>
    </row>
    <row r="53" spans="1:61" x14ac:dyDescent="0.45">
      <c r="A53" s="30">
        <f>step3_validation[[#This Row],[Persona_ID]]</f>
        <v>52</v>
      </c>
      <c r="B53" s="31">
        <f>step3_validation[[#This Row],[Used_Seed]]</f>
        <v>2042</v>
      </c>
      <c r="C53" t="str">
        <f>step3_validation[[#This Row],[Gender]]</f>
        <v>Nữ</v>
      </c>
      <c r="D53" t="str">
        <f>survey_responses[[#This Row],[Giới tính của bạn:]]</f>
        <v>Nữ</v>
      </c>
      <c r="E53" t="str">
        <f>step3_validation[[#This Row],[Age_Group]]</f>
        <v>25 - 29</v>
      </c>
      <c r="F53" t="str">
        <f>survey_responses[[#This Row],[Độ tuổi của bạn:]]</f>
        <v>25 - 29</v>
      </c>
      <c r="G53" t="str">
        <f>step3_validation[[#This Row],[Region]]</f>
        <v>Thành thị</v>
      </c>
      <c r="H53" t="str">
        <f>survey_responses[[#This Row],[Khu vực bạn đang sinh sống:]]</f>
        <v>Thành thị</v>
      </c>
      <c r="I53" t="str">
        <f>step3_validation[[#This Row],[Education]]</f>
        <v>Đại học</v>
      </c>
      <c r="J53" t="str">
        <f>survey_responses[[#This Row],[Trình độ học vấn cao nhất:]]</f>
        <v>Đại học</v>
      </c>
      <c r="K53" t="str">
        <f>step3_validation[[#This Row],[Employment]]</f>
        <v>Chính thức</v>
      </c>
      <c r="L53" t="str">
        <f>survey_responses[[#This Row],[Tình trạng việc làm chính:]]</f>
        <v>Khu vực chính thức (Có Hợp đồng lao động, đóng BHXH)</v>
      </c>
      <c r="M53">
        <f>step3_validation[[#This Row],[Income_Mil]]</f>
        <v>20.133872094292034</v>
      </c>
      <c r="N53" t="str">
        <f>survey_responses[[#This Row],[Thu nhập bình quân tháng theo Hợp đồng lao động của bạn là bao nhiêu? (Vui lòng điền tổng thu nhập trước khi khấu trừ các loại Bảo hiểm (BHXH, BHYT, BHTN) và Thuế TNCN)]]</f>
        <v>Từ 18 - 23 triệu VNĐ</v>
      </c>
      <c r="O53">
        <f>step3_validation[[#This Row],[Dependents]]</f>
        <v>1</v>
      </c>
      <c r="P53" t="str">
        <f>survey_responses[[#This Row],[Số người phụ thuộc (con nhỏ, cha mẹ già...) đủ điều kiện giảm trừ gia cảnh:]]</f>
        <v>1 người</v>
      </c>
      <c r="Q53">
        <f>step3_validation[[#This Row],[AI_ENF1]]</f>
        <v>7</v>
      </c>
      <c r="R53" t="str">
        <f t="shared" si="0"/>
        <v>Neutral</v>
      </c>
      <c r="S53">
        <f>survey_responses[[#This Row],[Tôi tin rằng với các quy định quản lý thuế hiện nay, hành vi gian lận hoặc trốn thuế sẽ dễ dàng bị phát hiện và xử lý nghiêm. - HUMAN-ENF1]]</f>
        <v>10</v>
      </c>
      <c r="T53" t="str">
        <f t="shared" si="1"/>
        <v>Support</v>
      </c>
      <c r="U53" s="32">
        <f t="shared" si="2"/>
        <v>3</v>
      </c>
      <c r="V53">
        <f>step3_validation[[#This Row],[AI_ENF2]]</f>
        <v>6</v>
      </c>
      <c r="W53" t="str">
        <f t="shared" si="3"/>
        <v>Neutral</v>
      </c>
      <c r="X53">
        <f>survey_responses[[#This Row],[Tôi tin rằng Nhà nước, cơ quan thuế có đủ khả năng và công nghệ để phát hiện, xử lý nghiêm các hành vi trốn thuế. - HUMAN-ENF2]]</f>
        <v>10</v>
      </c>
      <c r="Y53" t="str">
        <f t="shared" si="4"/>
        <v>Support</v>
      </c>
      <c r="Z53" s="32">
        <f t="shared" si="5"/>
        <v>4</v>
      </c>
      <c r="AA53">
        <f>step3_validation[[#This Row],[AI_FAC1]]</f>
        <v>8</v>
      </c>
      <c r="AB53" t="str">
        <f t="shared" si="6"/>
        <v>Support</v>
      </c>
      <c r="AC53">
        <f>survey_responses[[#This Row],[Các thủ tục khai báo thuế VÀ/HOẶC quy trình làm việc với cơ quan thuế đơn giản, tiện lợi, nhanh chóng hơn so với trước đây. - HUMAN-FAC1]]</f>
        <v>10</v>
      </c>
      <c r="AD53" t="str">
        <f t="shared" si="7"/>
        <v>Support</v>
      </c>
      <c r="AE53" s="32">
        <f t="shared" si="8"/>
        <v>2</v>
      </c>
      <c r="AF53">
        <f>step3_validation[[#This Row],[AI_FAC2]]</f>
        <v>7</v>
      </c>
      <c r="AG53" t="str">
        <f t="shared" si="9"/>
        <v>Neutral</v>
      </c>
      <c r="AH53">
        <f>survey_responses[[#This Row],[So với trước đây, tôi thấy cách tính thuế và các bậc thuế trong phương án mới đơn giản, dễ hiểu và dễ thực hiện hơn. - HUMAN-FAC2]]</f>
        <v>10</v>
      </c>
      <c r="AI53" t="str">
        <f t="shared" si="10"/>
        <v>Support</v>
      </c>
      <c r="AJ53" s="32">
        <f t="shared" si="11"/>
        <v>3</v>
      </c>
      <c r="AK53">
        <f>step3_validation[[#This Row],[AI_TRU1]]</f>
        <v>6</v>
      </c>
      <c r="AL53" t="str">
        <f t="shared" si="12"/>
        <v>Neutral</v>
      </c>
      <c r="AM53">
        <f>survey_responses[[#This Row],[Tôi tin rằng Nhà nước, cơ quan thuế sẽ thực thi chính sách mới một cách khách quan, công tâm và đối xử bình đẳng với mọi người nộp thuế.  - HUMAN-TRU1]]</f>
        <v>10</v>
      </c>
      <c r="AN53" t="str">
        <f t="shared" si="13"/>
        <v>Support</v>
      </c>
      <c r="AO53" s="32">
        <f t="shared" si="14"/>
        <v>4</v>
      </c>
      <c r="AP53">
        <f>step3_validation[[#This Row],[AI_TRU2]]</f>
        <v>7</v>
      </c>
      <c r="AQ53" t="str">
        <f t="shared" si="15"/>
        <v>Neutral</v>
      </c>
      <c r="AR53">
        <f>survey_responses[[#This Row],[Tôi thấy mức thuế tôi phải đóng theo phương án mới là công bằng (người thu nhập như tôi đóng mức này là hợp lý). - HUMAN-TRU2]]</f>
        <v>10</v>
      </c>
      <c r="AS53" t="str">
        <f t="shared" si="16"/>
        <v>Support</v>
      </c>
      <c r="AT53" s="32">
        <f t="shared" si="17"/>
        <v>3</v>
      </c>
      <c r="AU53">
        <f>step3_validation[[#This Row],[AI_TRU3]]</f>
        <v>6</v>
      </c>
      <c r="AV53" t="str">
        <f t="shared" si="18"/>
        <v>Neutral</v>
      </c>
      <c r="AW53">
        <f>survey_responses[[#This Row],[Tôi tin tưởng số tiền thuế tôi đóng sẽ được Nhà nước sử dụng hiệu quả để cải thiện dịch vụ công (y tế, đường xá...). - HUMAN-TRU3]]</f>
        <v>10</v>
      </c>
      <c r="AX53" t="str">
        <f t="shared" si="19"/>
        <v>Support</v>
      </c>
      <c r="AY53" s="32">
        <f t="shared" si="20"/>
        <v>4</v>
      </c>
      <c r="AZ53">
        <f>step3_validation[[#This Row],[AI_TRU4]]</f>
        <v>7</v>
      </c>
      <c r="BA53" t="str">
        <f t="shared" si="21"/>
        <v>Neutral</v>
      </c>
      <c r="BB53">
        <f>survey_responses[[#This Row],[Tôi thấy Nhà nước đã giải thích rõ ràng, minh bạch về lý do và mục tiêu của việc sửa đổi thuế lần này. - HUMAN-TRU4]]</f>
        <v>10</v>
      </c>
      <c r="BC53" t="str">
        <f t="shared" si="22"/>
        <v>Support</v>
      </c>
      <c r="BD53" s="32">
        <f t="shared" si="23"/>
        <v>3</v>
      </c>
      <c r="BE53">
        <f>step3_validation[[#This Row],[AI_OUT1]]</f>
        <v>6</v>
      </c>
      <c r="BF53" t="str">
        <f t="shared" si="24"/>
        <v>Neutral</v>
      </c>
      <c r="BG53">
        <f>survey_responses[[#This Row],[Sau khi xem xét các quyền lợi và nghĩa vụ, bạn có ủng hộ và tuân thủ chính sách mới hiện nay? - HUMAN-OUT1]]</f>
        <v>8</v>
      </c>
      <c r="BH53" t="str">
        <f t="shared" si="25"/>
        <v>Support</v>
      </c>
      <c r="BI53" s="32">
        <f t="shared" si="26"/>
        <v>2</v>
      </c>
    </row>
    <row r="54" spans="1:61" x14ac:dyDescent="0.45">
      <c r="A54" s="30">
        <f>step3_validation[[#This Row],[Persona_ID]]</f>
        <v>53</v>
      </c>
      <c r="B54" s="31">
        <f>step3_validation[[#This Row],[Used_Seed]]</f>
        <v>2043</v>
      </c>
      <c r="C54" t="str">
        <f>step3_validation[[#This Row],[Gender]]</f>
        <v>Nam</v>
      </c>
      <c r="D54" t="str">
        <f>survey_responses[[#This Row],[Giới tính của bạn:]]</f>
        <v>Nam</v>
      </c>
      <c r="E54" t="str">
        <f>step3_validation[[#This Row],[Age_Group]]</f>
        <v>25 - 29</v>
      </c>
      <c r="F54" t="str">
        <f>survey_responses[[#This Row],[Độ tuổi của bạn:]]</f>
        <v>25 - 29</v>
      </c>
      <c r="G54" t="str">
        <f>step3_validation[[#This Row],[Region]]</f>
        <v>Thành thị</v>
      </c>
      <c r="H54" t="str">
        <f>survey_responses[[#This Row],[Khu vực bạn đang sinh sống:]]</f>
        <v>Thành thị</v>
      </c>
      <c r="I54" t="str">
        <f>step3_validation[[#This Row],[Education]]</f>
        <v>Sau Đại học</v>
      </c>
      <c r="J54" t="str">
        <f>survey_responses[[#This Row],[Trình độ học vấn cao nhất:]]</f>
        <v>Sau Đại học</v>
      </c>
      <c r="K54" t="str">
        <f>step3_validation[[#This Row],[Employment]]</f>
        <v>Chính thức</v>
      </c>
      <c r="L54" t="str">
        <f>survey_responses[[#This Row],[Tình trạng việc làm chính:]]</f>
        <v>Khu vực chính thức (Có Hợp đồng lao động, đóng BHXH)</v>
      </c>
      <c r="M54">
        <f>step3_validation[[#This Row],[Income_Mil]]</f>
        <v>16.192287050442665</v>
      </c>
      <c r="N54" t="str">
        <f>survey_responses[[#This Row],[Thu nhập bình quân tháng theo Hợp đồng lao động của bạn là bao nhiêu? (Vui lòng điền tổng thu nhập trước khi khấu trừ các loại Bảo hiểm (BHXH, BHYT, BHTN) và Thuế TNCN)]]</f>
        <v>Từ 12 - 18 triệu VNĐ</v>
      </c>
      <c r="O54">
        <f>step3_validation[[#This Row],[Dependents]]</f>
        <v>2</v>
      </c>
      <c r="P54" t="str">
        <f>survey_responses[[#This Row],[Số người phụ thuộc (con nhỏ, cha mẹ già...) đủ điều kiện giảm trừ gia cảnh:]]</f>
        <v>2 người</v>
      </c>
      <c r="Q54">
        <f>step3_validation[[#This Row],[AI_ENF1]]</f>
        <v>7</v>
      </c>
      <c r="R54" t="str">
        <f t="shared" si="0"/>
        <v>Neutral</v>
      </c>
      <c r="S54">
        <f>survey_responses[[#This Row],[Tôi tin rằng với các quy định quản lý thuế hiện nay, hành vi gian lận hoặc trốn thuế sẽ dễ dàng bị phát hiện và xử lý nghiêm. - HUMAN-ENF1]]</f>
        <v>10</v>
      </c>
      <c r="T54" t="str">
        <f t="shared" si="1"/>
        <v>Support</v>
      </c>
      <c r="U54" s="32">
        <f t="shared" si="2"/>
        <v>3</v>
      </c>
      <c r="V54">
        <f>step3_validation[[#This Row],[AI_ENF2]]</f>
        <v>8</v>
      </c>
      <c r="W54" t="str">
        <f t="shared" si="3"/>
        <v>Support</v>
      </c>
      <c r="X54">
        <f>survey_responses[[#This Row],[Tôi tin rằng Nhà nước, cơ quan thuế có đủ khả năng và công nghệ để phát hiện, xử lý nghiêm các hành vi trốn thuế. - HUMAN-ENF2]]</f>
        <v>10</v>
      </c>
      <c r="Y54" t="str">
        <f t="shared" si="4"/>
        <v>Support</v>
      </c>
      <c r="Z54" s="32">
        <f t="shared" si="5"/>
        <v>2</v>
      </c>
      <c r="AA54">
        <f>step3_validation[[#This Row],[AI_FAC1]]</f>
        <v>9</v>
      </c>
      <c r="AB54" t="str">
        <f t="shared" si="6"/>
        <v>Support</v>
      </c>
      <c r="AC54">
        <f>survey_responses[[#This Row],[Các thủ tục khai báo thuế VÀ/HOẶC quy trình làm việc với cơ quan thuế đơn giản, tiện lợi, nhanh chóng hơn so với trước đây. - HUMAN-FAC1]]</f>
        <v>10</v>
      </c>
      <c r="AD54" t="str">
        <f t="shared" si="7"/>
        <v>Support</v>
      </c>
      <c r="AE54" s="32">
        <f t="shared" si="8"/>
        <v>1</v>
      </c>
      <c r="AF54">
        <f>step3_validation[[#This Row],[AI_FAC2]]</f>
        <v>8</v>
      </c>
      <c r="AG54" t="str">
        <f t="shared" si="9"/>
        <v>Support</v>
      </c>
      <c r="AH54">
        <f>survey_responses[[#This Row],[So với trước đây, tôi thấy cách tính thuế và các bậc thuế trong phương án mới đơn giản, dễ hiểu và dễ thực hiện hơn. - HUMAN-FAC2]]</f>
        <v>10</v>
      </c>
      <c r="AI54" t="str">
        <f t="shared" si="10"/>
        <v>Support</v>
      </c>
      <c r="AJ54" s="32">
        <f t="shared" si="11"/>
        <v>2</v>
      </c>
      <c r="AK54">
        <f>step3_validation[[#This Row],[AI_TRU1]]</f>
        <v>7</v>
      </c>
      <c r="AL54" t="str">
        <f t="shared" si="12"/>
        <v>Neutral</v>
      </c>
      <c r="AM54">
        <f>survey_responses[[#This Row],[Tôi tin rằng Nhà nước, cơ quan thuế sẽ thực thi chính sách mới một cách khách quan, công tâm và đối xử bình đẳng với mọi người nộp thuế.  - HUMAN-TRU1]]</f>
        <v>10</v>
      </c>
      <c r="AN54" t="str">
        <f t="shared" si="13"/>
        <v>Support</v>
      </c>
      <c r="AO54" s="32">
        <f t="shared" si="14"/>
        <v>3</v>
      </c>
      <c r="AP54">
        <f>step3_validation[[#This Row],[AI_TRU2]]</f>
        <v>8</v>
      </c>
      <c r="AQ54" t="str">
        <f t="shared" si="15"/>
        <v>Support</v>
      </c>
      <c r="AR54">
        <f>survey_responses[[#This Row],[Tôi thấy mức thuế tôi phải đóng theo phương án mới là công bằng (người thu nhập như tôi đóng mức này là hợp lý). - HUMAN-TRU2]]</f>
        <v>10</v>
      </c>
      <c r="AS54" t="str">
        <f t="shared" si="16"/>
        <v>Support</v>
      </c>
      <c r="AT54" s="32">
        <f t="shared" si="17"/>
        <v>2</v>
      </c>
      <c r="AU54">
        <f>step3_validation[[#This Row],[AI_TRU3]]</f>
        <v>7</v>
      </c>
      <c r="AV54" t="str">
        <f t="shared" si="18"/>
        <v>Neutral</v>
      </c>
      <c r="AW54">
        <f>survey_responses[[#This Row],[Tôi tin tưởng số tiền thuế tôi đóng sẽ được Nhà nước sử dụng hiệu quả để cải thiện dịch vụ công (y tế, đường xá...). - HUMAN-TRU3]]</f>
        <v>10</v>
      </c>
      <c r="AX54" t="str">
        <f t="shared" si="19"/>
        <v>Support</v>
      </c>
      <c r="AY54" s="32">
        <f t="shared" si="20"/>
        <v>3</v>
      </c>
      <c r="AZ54">
        <f>step3_validation[[#This Row],[AI_TRU4]]</f>
        <v>8</v>
      </c>
      <c r="BA54" t="str">
        <f t="shared" si="21"/>
        <v>Support</v>
      </c>
      <c r="BB54">
        <f>survey_responses[[#This Row],[Tôi thấy Nhà nước đã giải thích rõ ràng, minh bạch về lý do và mục tiêu của việc sửa đổi thuế lần này. - HUMAN-TRU4]]</f>
        <v>10</v>
      </c>
      <c r="BC54" t="str">
        <f t="shared" si="22"/>
        <v>Support</v>
      </c>
      <c r="BD54" s="32">
        <f t="shared" si="23"/>
        <v>2</v>
      </c>
      <c r="BE54">
        <f>step3_validation[[#This Row],[AI_OUT1]]</f>
        <v>9</v>
      </c>
      <c r="BF54" t="str">
        <f t="shared" si="24"/>
        <v>Support</v>
      </c>
      <c r="BG54">
        <f>survey_responses[[#This Row],[Sau khi xem xét các quyền lợi và nghĩa vụ, bạn có ủng hộ và tuân thủ chính sách mới hiện nay? - HUMAN-OUT1]]</f>
        <v>10</v>
      </c>
      <c r="BH54" t="str">
        <f t="shared" si="25"/>
        <v>Support</v>
      </c>
      <c r="BI54" s="32">
        <f t="shared" si="26"/>
        <v>1</v>
      </c>
    </row>
    <row r="55" spans="1:61" x14ac:dyDescent="0.45">
      <c r="A55" s="30">
        <f>step3_validation[[#This Row],[Persona_ID]]</f>
        <v>54</v>
      </c>
      <c r="B55" s="31">
        <f>step3_validation[[#This Row],[Used_Seed]]</f>
        <v>2044</v>
      </c>
      <c r="C55" t="str">
        <f>step3_validation[[#This Row],[Gender]]</f>
        <v>Nữ</v>
      </c>
      <c r="D55" t="str">
        <f>survey_responses[[#This Row],[Giới tính của bạn:]]</f>
        <v>Nữ</v>
      </c>
      <c r="E55" t="str">
        <f>step3_validation[[#This Row],[Age_Group]]</f>
        <v>40 - 49</v>
      </c>
      <c r="F55" t="str">
        <f>survey_responses[[#This Row],[Độ tuổi của bạn:]]</f>
        <v>40 - 49</v>
      </c>
      <c r="G55" t="str">
        <f>step3_validation[[#This Row],[Region]]</f>
        <v>Thành thị</v>
      </c>
      <c r="H55" t="str">
        <f>survey_responses[[#This Row],[Khu vực bạn đang sinh sống:]]</f>
        <v>Thành thị</v>
      </c>
      <c r="I55" t="str">
        <f>step3_validation[[#This Row],[Education]]</f>
        <v>Đại học</v>
      </c>
      <c r="J55" t="str">
        <f>survey_responses[[#This Row],[Trình độ học vấn cao nhất:]]</f>
        <v>Đại học</v>
      </c>
      <c r="K55" t="str">
        <f>step3_validation[[#This Row],[Employment]]</f>
        <v>Chính thức</v>
      </c>
      <c r="L55" t="str">
        <f>survey_responses[[#This Row],[Tình trạng việc làm chính:]]</f>
        <v>Khu vực chính thức (Có Hợp đồng lao động, đóng BHXH)</v>
      </c>
      <c r="M55">
        <f>step3_validation[[#This Row],[Income_Mil]]</f>
        <v>38.810046711896966</v>
      </c>
      <c r="N55" t="str">
        <f>survey_responses[[#This Row],[Thu nhập bình quân tháng theo Hợp đồng lao động của bạn là bao nhiêu? (Vui lòng điền tổng thu nhập trước khi khấu trừ các loại Bảo hiểm (BHXH, BHYT, BHTN) và Thuế TNCN)]]</f>
        <v>Từ 32 - 48 triệu VNĐ</v>
      </c>
      <c r="O55">
        <f>step3_validation[[#This Row],[Dependents]]</f>
        <v>2</v>
      </c>
      <c r="P55" t="str">
        <f>survey_responses[[#This Row],[Số người phụ thuộc (con nhỏ, cha mẹ già...) đủ điều kiện giảm trừ gia cảnh:]]</f>
        <v>2 người</v>
      </c>
      <c r="Q55">
        <f>step3_validation[[#This Row],[AI_ENF1]]</f>
        <v>7</v>
      </c>
      <c r="R55" t="str">
        <f t="shared" si="0"/>
        <v>Neutral</v>
      </c>
      <c r="S55">
        <f>survey_responses[[#This Row],[Tôi tin rằng với các quy định quản lý thuế hiện nay, hành vi gian lận hoặc trốn thuế sẽ dễ dàng bị phát hiện và xử lý nghiêm. - HUMAN-ENF1]]</f>
        <v>8</v>
      </c>
      <c r="T55" t="str">
        <f t="shared" si="1"/>
        <v>Support</v>
      </c>
      <c r="U55" s="32">
        <f t="shared" si="2"/>
        <v>1</v>
      </c>
      <c r="V55">
        <f>step3_validation[[#This Row],[AI_ENF2]]</f>
        <v>8</v>
      </c>
      <c r="W55" t="str">
        <f t="shared" si="3"/>
        <v>Support</v>
      </c>
      <c r="X55">
        <f>survey_responses[[#This Row],[Tôi tin rằng Nhà nước, cơ quan thuế có đủ khả năng và công nghệ để phát hiện, xử lý nghiêm các hành vi trốn thuế. - HUMAN-ENF2]]</f>
        <v>7</v>
      </c>
      <c r="Y55" t="str">
        <f t="shared" si="4"/>
        <v>Neutral</v>
      </c>
      <c r="Z55" s="32">
        <f t="shared" si="5"/>
        <v>1</v>
      </c>
      <c r="AA55">
        <f>step3_validation[[#This Row],[AI_FAC1]]</f>
        <v>6</v>
      </c>
      <c r="AB55" t="str">
        <f t="shared" si="6"/>
        <v>Neutral</v>
      </c>
      <c r="AC55">
        <f>survey_responses[[#This Row],[Các thủ tục khai báo thuế VÀ/HOẶC quy trình làm việc với cơ quan thuế đơn giản, tiện lợi, nhanh chóng hơn so với trước đây. - HUMAN-FAC1]]</f>
        <v>7</v>
      </c>
      <c r="AD55" t="str">
        <f t="shared" si="7"/>
        <v>Neutral</v>
      </c>
      <c r="AE55" s="32">
        <f t="shared" si="8"/>
        <v>1</v>
      </c>
      <c r="AF55">
        <f>step3_validation[[#This Row],[AI_FAC2]]</f>
        <v>5</v>
      </c>
      <c r="AG55" t="str">
        <f t="shared" si="9"/>
        <v>Neutral</v>
      </c>
      <c r="AH55">
        <f>survey_responses[[#This Row],[So với trước đây, tôi thấy cách tính thuế và các bậc thuế trong phương án mới đơn giản, dễ hiểu và dễ thực hiện hơn. - HUMAN-FAC2]]</f>
        <v>8</v>
      </c>
      <c r="AI55" t="str">
        <f t="shared" si="10"/>
        <v>Support</v>
      </c>
      <c r="AJ55" s="32">
        <f t="shared" si="11"/>
        <v>3</v>
      </c>
      <c r="AK55">
        <f>step3_validation[[#This Row],[AI_TRU1]]</f>
        <v>4</v>
      </c>
      <c r="AL55" t="str">
        <f t="shared" si="12"/>
        <v>Oppose</v>
      </c>
      <c r="AM55">
        <f>survey_responses[[#This Row],[Tôi tin rằng Nhà nước, cơ quan thuế sẽ thực thi chính sách mới một cách khách quan, công tâm và đối xử bình đẳng với mọi người nộp thuế.  - HUMAN-TRU1]]</f>
        <v>7</v>
      </c>
      <c r="AN55" t="str">
        <f t="shared" si="13"/>
        <v>Neutral</v>
      </c>
      <c r="AO55" s="32">
        <f t="shared" si="14"/>
        <v>3</v>
      </c>
      <c r="AP55">
        <f>step3_validation[[#This Row],[AI_TRU2]]</f>
        <v>6</v>
      </c>
      <c r="AQ55" t="str">
        <f t="shared" si="15"/>
        <v>Neutral</v>
      </c>
      <c r="AR55">
        <f>survey_responses[[#This Row],[Tôi thấy mức thuế tôi phải đóng theo phương án mới là công bằng (người thu nhập như tôi đóng mức này là hợp lý). - HUMAN-TRU2]]</f>
        <v>8</v>
      </c>
      <c r="AS55" t="str">
        <f t="shared" si="16"/>
        <v>Support</v>
      </c>
      <c r="AT55" s="32">
        <f t="shared" si="17"/>
        <v>2</v>
      </c>
      <c r="AU55">
        <f>step3_validation[[#This Row],[AI_TRU3]]</f>
        <v>5</v>
      </c>
      <c r="AV55" t="str">
        <f t="shared" si="18"/>
        <v>Neutral</v>
      </c>
      <c r="AW55">
        <f>survey_responses[[#This Row],[Tôi tin tưởng số tiền thuế tôi đóng sẽ được Nhà nước sử dụng hiệu quả để cải thiện dịch vụ công (y tế, đường xá...). - HUMAN-TRU3]]</f>
        <v>7</v>
      </c>
      <c r="AX55" t="str">
        <f t="shared" si="19"/>
        <v>Neutral</v>
      </c>
      <c r="AY55" s="32">
        <f t="shared" si="20"/>
        <v>2</v>
      </c>
      <c r="AZ55">
        <f>step3_validation[[#This Row],[AI_TRU4]]</f>
        <v>4</v>
      </c>
      <c r="BA55" t="str">
        <f t="shared" si="21"/>
        <v>Oppose</v>
      </c>
      <c r="BB55">
        <f>survey_responses[[#This Row],[Tôi thấy Nhà nước đã giải thích rõ ràng, minh bạch về lý do và mục tiêu của việc sửa đổi thuế lần này. - HUMAN-TRU4]]</f>
        <v>7</v>
      </c>
      <c r="BC55" t="str">
        <f t="shared" si="22"/>
        <v>Neutral</v>
      </c>
      <c r="BD55" s="32">
        <f t="shared" si="23"/>
        <v>3</v>
      </c>
      <c r="BE55">
        <f>step3_validation[[#This Row],[AI_OUT1]]</f>
        <v>5</v>
      </c>
      <c r="BF55" t="str">
        <f t="shared" si="24"/>
        <v>Neutral</v>
      </c>
      <c r="BG55">
        <f>survey_responses[[#This Row],[Sau khi xem xét các quyền lợi và nghĩa vụ, bạn có ủng hộ và tuân thủ chính sách mới hiện nay? - HUMAN-OUT1]]</f>
        <v>8</v>
      </c>
      <c r="BH55" t="str">
        <f t="shared" si="25"/>
        <v>Support</v>
      </c>
      <c r="BI55" s="32">
        <f t="shared" si="26"/>
        <v>3</v>
      </c>
    </row>
    <row r="56" spans="1:61" x14ac:dyDescent="0.45">
      <c r="A56" s="30">
        <f>step3_validation[[#This Row],[Persona_ID]]</f>
        <v>55</v>
      </c>
      <c r="B56" s="31">
        <f>step3_validation[[#This Row],[Used_Seed]]</f>
        <v>2045</v>
      </c>
      <c r="C56" t="str">
        <f>step3_validation[[#This Row],[Gender]]</f>
        <v>Nữ</v>
      </c>
      <c r="D56" t="str">
        <f>survey_responses[[#This Row],[Giới tính của bạn:]]</f>
        <v>Nữ</v>
      </c>
      <c r="E56" t="str">
        <f>step3_validation[[#This Row],[Age_Group]]</f>
        <v>30 - 39</v>
      </c>
      <c r="F56" t="str">
        <f>survey_responses[[#This Row],[Độ tuổi của bạn:]]</f>
        <v>30 - 39</v>
      </c>
      <c r="G56" t="str">
        <f>step3_validation[[#This Row],[Region]]</f>
        <v>Thành thị</v>
      </c>
      <c r="H56" t="str">
        <f>survey_responses[[#This Row],[Khu vực bạn đang sinh sống:]]</f>
        <v>Thành thị</v>
      </c>
      <c r="I56" t="str">
        <f>step3_validation[[#This Row],[Education]]</f>
        <v>Đại học</v>
      </c>
      <c r="J56" t="str">
        <f>survey_responses[[#This Row],[Trình độ học vấn cao nhất:]]</f>
        <v>Đại học</v>
      </c>
      <c r="K56" t="str">
        <f>step3_validation[[#This Row],[Employment]]</f>
        <v>Chính thức</v>
      </c>
      <c r="L56" t="str">
        <f>survey_responses[[#This Row],[Tình trạng việc làm chính:]]</f>
        <v>Khu vực chính thức (Có Hợp đồng lao động, đóng BHXH)</v>
      </c>
      <c r="M56">
        <f>step3_validation[[#This Row],[Income_Mil]]</f>
        <v>45.741177810676689</v>
      </c>
      <c r="N56" t="str">
        <f>survey_responses[[#This Row],[Thu nhập bình quân tháng theo Hợp đồng lao động của bạn là bao nhiêu? (Vui lòng điền tổng thu nhập trước khi khấu trừ các loại Bảo hiểm (BHXH, BHYT, BHTN) và Thuế TNCN)]]</f>
        <v>Từ 32 - 48 triệu VNĐ</v>
      </c>
      <c r="O56">
        <f>step3_validation[[#This Row],[Dependents]]</f>
        <v>1</v>
      </c>
      <c r="P56" t="str">
        <f>survey_responses[[#This Row],[Số người phụ thuộc (con nhỏ, cha mẹ già...) đủ điều kiện giảm trừ gia cảnh:]]</f>
        <v>1 người</v>
      </c>
      <c r="Q56">
        <f>step3_validation[[#This Row],[AI_ENF1]]</f>
        <v>6</v>
      </c>
      <c r="R56" t="str">
        <f t="shared" si="0"/>
        <v>Neutral</v>
      </c>
      <c r="S56">
        <f>survey_responses[[#This Row],[Tôi tin rằng với các quy định quản lý thuế hiện nay, hành vi gian lận hoặc trốn thuế sẽ dễ dàng bị phát hiện và xử lý nghiêm. - HUMAN-ENF1]]</f>
        <v>10</v>
      </c>
      <c r="T56" t="str">
        <f t="shared" si="1"/>
        <v>Support</v>
      </c>
      <c r="U56" s="32">
        <f t="shared" si="2"/>
        <v>4</v>
      </c>
      <c r="V56">
        <f>step3_validation[[#This Row],[AI_ENF2]]</f>
        <v>7</v>
      </c>
      <c r="W56" t="str">
        <f t="shared" si="3"/>
        <v>Neutral</v>
      </c>
      <c r="X56">
        <f>survey_responses[[#This Row],[Tôi tin rằng Nhà nước, cơ quan thuế có đủ khả năng và công nghệ để phát hiện, xử lý nghiêm các hành vi trốn thuế. - HUMAN-ENF2]]</f>
        <v>9</v>
      </c>
      <c r="Y56" t="str">
        <f t="shared" si="4"/>
        <v>Support</v>
      </c>
      <c r="Z56" s="32">
        <f t="shared" si="5"/>
        <v>2</v>
      </c>
      <c r="AA56">
        <f>step3_validation[[#This Row],[AI_FAC1]]</f>
        <v>8</v>
      </c>
      <c r="AB56" t="str">
        <f t="shared" si="6"/>
        <v>Support</v>
      </c>
      <c r="AC56">
        <f>survey_responses[[#This Row],[Các thủ tục khai báo thuế VÀ/HOẶC quy trình làm việc với cơ quan thuế đơn giản, tiện lợi, nhanh chóng hơn so với trước đây. - HUMAN-FAC1]]</f>
        <v>3</v>
      </c>
      <c r="AD56" t="str">
        <f t="shared" si="7"/>
        <v>Oppose</v>
      </c>
      <c r="AE56" s="32">
        <f t="shared" si="8"/>
        <v>5</v>
      </c>
      <c r="AF56">
        <f>step3_validation[[#This Row],[AI_FAC2]]</f>
        <v>9</v>
      </c>
      <c r="AG56" t="str">
        <f t="shared" si="9"/>
        <v>Support</v>
      </c>
      <c r="AH56">
        <f>survey_responses[[#This Row],[So với trước đây, tôi thấy cách tính thuế và các bậc thuế trong phương án mới đơn giản, dễ hiểu và dễ thực hiện hơn. - HUMAN-FAC2]]</f>
        <v>4</v>
      </c>
      <c r="AI56" t="str">
        <f t="shared" si="10"/>
        <v>Oppose</v>
      </c>
      <c r="AJ56" s="32">
        <f t="shared" si="11"/>
        <v>5</v>
      </c>
      <c r="AK56">
        <f>step3_validation[[#This Row],[AI_TRU1]]</f>
        <v>7</v>
      </c>
      <c r="AL56" t="str">
        <f t="shared" si="12"/>
        <v>Neutral</v>
      </c>
      <c r="AM56">
        <f>survey_responses[[#This Row],[Tôi tin rằng Nhà nước, cơ quan thuế sẽ thực thi chính sách mới một cách khách quan, công tâm và đối xử bình đẳng với mọi người nộp thuế.  - HUMAN-TRU1]]</f>
        <v>3</v>
      </c>
      <c r="AN56" t="str">
        <f t="shared" si="13"/>
        <v>Oppose</v>
      </c>
      <c r="AO56" s="32">
        <f t="shared" si="14"/>
        <v>4</v>
      </c>
      <c r="AP56">
        <f>step3_validation[[#This Row],[AI_TRU2]]</f>
        <v>8</v>
      </c>
      <c r="AQ56" t="str">
        <f t="shared" si="15"/>
        <v>Support</v>
      </c>
      <c r="AR56">
        <f>survey_responses[[#This Row],[Tôi thấy mức thuế tôi phải đóng theo phương án mới là công bằng (người thu nhập như tôi đóng mức này là hợp lý). - HUMAN-TRU2]]</f>
        <v>3</v>
      </c>
      <c r="AS56" t="str">
        <f t="shared" si="16"/>
        <v>Oppose</v>
      </c>
      <c r="AT56" s="32">
        <f t="shared" si="17"/>
        <v>5</v>
      </c>
      <c r="AU56">
        <f>step3_validation[[#This Row],[AI_TRU3]]</f>
        <v>7</v>
      </c>
      <c r="AV56" t="str">
        <f t="shared" si="18"/>
        <v>Neutral</v>
      </c>
      <c r="AW56">
        <f>survey_responses[[#This Row],[Tôi tin tưởng số tiền thuế tôi đóng sẽ được Nhà nước sử dụng hiệu quả để cải thiện dịch vụ công (y tế, đường xá...). - HUMAN-TRU3]]</f>
        <v>1</v>
      </c>
      <c r="AX56" t="str">
        <f t="shared" si="19"/>
        <v>Oppose</v>
      </c>
      <c r="AY56" s="32">
        <f t="shared" si="20"/>
        <v>6</v>
      </c>
      <c r="AZ56">
        <f>step3_validation[[#This Row],[AI_TRU4]]</f>
        <v>6</v>
      </c>
      <c r="BA56" t="str">
        <f t="shared" si="21"/>
        <v>Neutral</v>
      </c>
      <c r="BB56">
        <f>survey_responses[[#This Row],[Tôi thấy Nhà nước đã giải thích rõ ràng, minh bạch về lý do và mục tiêu của việc sửa đổi thuế lần này. - HUMAN-TRU4]]</f>
        <v>1</v>
      </c>
      <c r="BC56" t="str">
        <f t="shared" si="22"/>
        <v>Oppose</v>
      </c>
      <c r="BD56" s="32">
        <f t="shared" si="23"/>
        <v>5</v>
      </c>
      <c r="BE56">
        <f>step3_validation[[#This Row],[AI_OUT1]]</f>
        <v>7</v>
      </c>
      <c r="BF56" t="str">
        <f t="shared" si="24"/>
        <v>Neutral</v>
      </c>
      <c r="BG56">
        <f>survey_responses[[#This Row],[Sau khi xem xét các quyền lợi và nghĩa vụ, bạn có ủng hộ và tuân thủ chính sách mới hiện nay? - HUMAN-OUT1]]</f>
        <v>3</v>
      </c>
      <c r="BH56" t="str">
        <f t="shared" si="25"/>
        <v>Oppose</v>
      </c>
      <c r="BI56" s="32">
        <f t="shared" si="26"/>
        <v>4</v>
      </c>
    </row>
    <row r="57" spans="1:61" x14ac:dyDescent="0.45">
      <c r="A57" s="30">
        <f>step3_validation[[#This Row],[Persona_ID]]</f>
        <v>56</v>
      </c>
      <c r="B57" s="31">
        <f>step3_validation[[#This Row],[Used_Seed]]</f>
        <v>2046</v>
      </c>
      <c r="C57" t="str">
        <f>step3_validation[[#This Row],[Gender]]</f>
        <v>Nam</v>
      </c>
      <c r="D57" t="str">
        <f>survey_responses[[#This Row],[Giới tính của bạn:]]</f>
        <v>Nam</v>
      </c>
      <c r="E57" t="str">
        <f>step3_validation[[#This Row],[Age_Group]]</f>
        <v>25 - 29</v>
      </c>
      <c r="F57" t="str">
        <f>survey_responses[[#This Row],[Độ tuổi của bạn:]]</f>
        <v>25 - 29</v>
      </c>
      <c r="G57" t="str">
        <f>step3_validation[[#This Row],[Region]]</f>
        <v>Thành thị</v>
      </c>
      <c r="H57" t="str">
        <f>survey_responses[[#This Row],[Khu vực bạn đang sinh sống:]]</f>
        <v>Thành thị</v>
      </c>
      <c r="I57" t="str">
        <f>step3_validation[[#This Row],[Education]]</f>
        <v>Đại học</v>
      </c>
      <c r="J57" t="str">
        <f>survey_responses[[#This Row],[Trình độ học vấn cao nhất:]]</f>
        <v>Đại học</v>
      </c>
      <c r="K57" t="str">
        <f>step3_validation[[#This Row],[Employment]]</f>
        <v>Chính thức</v>
      </c>
      <c r="L57" t="str">
        <f>survey_responses[[#This Row],[Tình trạng việc làm chính:]]</f>
        <v>Khu vực chính thức (Có Hợp đồng lao động, đóng BHXH)</v>
      </c>
      <c r="M57">
        <f>step3_validation[[#This Row],[Income_Mil]]</f>
        <v>12</v>
      </c>
      <c r="N57" t="str">
        <f>survey_responses[[#This Row],[Thu nhập bình quân tháng theo Hợp đồng lao động của bạn là bao nhiêu? (Vui lòng điền tổng thu nhập trước khi khấu trừ các loại Bảo hiểm (BHXH, BHYT, BHTN) và Thuế TNCN)]]</f>
        <v>Dưới 12 triệu VNĐ</v>
      </c>
      <c r="O57">
        <f>step3_validation[[#This Row],[Dependents]]</f>
        <v>0</v>
      </c>
      <c r="P57" t="str">
        <f>survey_responses[[#This Row],[Số người phụ thuộc (con nhỏ, cha mẹ già...) đủ điều kiện giảm trừ gia cảnh:]]</f>
        <v>0 người</v>
      </c>
      <c r="Q57">
        <f>step3_validation[[#This Row],[AI_ENF1]]</f>
        <v>7</v>
      </c>
      <c r="R57" t="str">
        <f t="shared" si="0"/>
        <v>Neutral</v>
      </c>
      <c r="S57">
        <f>survey_responses[[#This Row],[Tôi tin rằng với các quy định quản lý thuế hiện nay, hành vi gian lận hoặc trốn thuế sẽ dễ dàng bị phát hiện và xử lý nghiêm. - HUMAN-ENF1]]</f>
        <v>10</v>
      </c>
      <c r="T57" t="str">
        <f t="shared" si="1"/>
        <v>Support</v>
      </c>
      <c r="U57" s="32">
        <f t="shared" si="2"/>
        <v>3</v>
      </c>
      <c r="V57">
        <f>step3_validation[[#This Row],[AI_ENF2]]</f>
        <v>6</v>
      </c>
      <c r="W57" t="str">
        <f t="shared" si="3"/>
        <v>Neutral</v>
      </c>
      <c r="X57">
        <f>survey_responses[[#This Row],[Tôi tin rằng Nhà nước, cơ quan thuế có đủ khả năng và công nghệ để phát hiện, xử lý nghiêm các hành vi trốn thuế. - HUMAN-ENF2]]</f>
        <v>10</v>
      </c>
      <c r="Y57" t="str">
        <f t="shared" si="4"/>
        <v>Support</v>
      </c>
      <c r="Z57" s="32">
        <f t="shared" si="5"/>
        <v>4</v>
      </c>
      <c r="AA57">
        <f>step3_validation[[#This Row],[AI_FAC1]]</f>
        <v>8</v>
      </c>
      <c r="AB57" t="str">
        <f t="shared" si="6"/>
        <v>Support</v>
      </c>
      <c r="AC57">
        <f>survey_responses[[#This Row],[Các thủ tục khai báo thuế VÀ/HOẶC quy trình làm việc với cơ quan thuế đơn giản, tiện lợi, nhanh chóng hơn so với trước đây. - HUMAN-FAC1]]</f>
        <v>9</v>
      </c>
      <c r="AD57" t="str">
        <f t="shared" si="7"/>
        <v>Support</v>
      </c>
      <c r="AE57" s="32">
        <f t="shared" si="8"/>
        <v>1</v>
      </c>
      <c r="AF57">
        <f>step3_validation[[#This Row],[AI_FAC2]]</f>
        <v>9</v>
      </c>
      <c r="AG57" t="str">
        <f t="shared" si="9"/>
        <v>Support</v>
      </c>
      <c r="AH57">
        <f>survey_responses[[#This Row],[So với trước đây, tôi thấy cách tính thuế và các bậc thuế trong phương án mới đơn giản, dễ hiểu và dễ thực hiện hơn. - HUMAN-FAC2]]</f>
        <v>10</v>
      </c>
      <c r="AI57" t="str">
        <f t="shared" si="10"/>
        <v>Support</v>
      </c>
      <c r="AJ57" s="32">
        <f t="shared" si="11"/>
        <v>1</v>
      </c>
      <c r="AK57">
        <f>step3_validation[[#This Row],[AI_TRU1]]</f>
        <v>7</v>
      </c>
      <c r="AL57" t="str">
        <f t="shared" si="12"/>
        <v>Neutral</v>
      </c>
      <c r="AM57">
        <f>survey_responses[[#This Row],[Tôi tin rằng Nhà nước, cơ quan thuế sẽ thực thi chính sách mới một cách khách quan, công tâm và đối xử bình đẳng với mọi người nộp thuế.  - HUMAN-TRU1]]</f>
        <v>9</v>
      </c>
      <c r="AN57" t="str">
        <f t="shared" si="13"/>
        <v>Support</v>
      </c>
      <c r="AO57" s="32">
        <f t="shared" si="14"/>
        <v>2</v>
      </c>
      <c r="AP57">
        <f>step3_validation[[#This Row],[AI_TRU2]]</f>
        <v>7</v>
      </c>
      <c r="AQ57" t="str">
        <f t="shared" si="15"/>
        <v>Neutral</v>
      </c>
      <c r="AR57">
        <f>survey_responses[[#This Row],[Tôi thấy mức thuế tôi phải đóng theo phương án mới là công bằng (người thu nhập như tôi đóng mức này là hợp lý). - HUMAN-TRU2]]</f>
        <v>10</v>
      </c>
      <c r="AS57" t="str">
        <f t="shared" si="16"/>
        <v>Support</v>
      </c>
      <c r="AT57" s="32">
        <f t="shared" si="17"/>
        <v>3</v>
      </c>
      <c r="AU57">
        <f>step3_validation[[#This Row],[AI_TRU3]]</f>
        <v>6</v>
      </c>
      <c r="AV57" t="str">
        <f t="shared" si="18"/>
        <v>Neutral</v>
      </c>
      <c r="AW57">
        <f>survey_responses[[#This Row],[Tôi tin tưởng số tiền thuế tôi đóng sẽ được Nhà nước sử dụng hiệu quả để cải thiện dịch vụ công (y tế, đường xá...). - HUMAN-TRU3]]</f>
        <v>9</v>
      </c>
      <c r="AX57" t="str">
        <f t="shared" si="19"/>
        <v>Support</v>
      </c>
      <c r="AY57" s="32">
        <f t="shared" si="20"/>
        <v>3</v>
      </c>
      <c r="AZ57">
        <f>step3_validation[[#This Row],[AI_TRU4]]</f>
        <v>5</v>
      </c>
      <c r="BA57" t="str">
        <f t="shared" si="21"/>
        <v>Neutral</v>
      </c>
      <c r="BB57">
        <f>survey_responses[[#This Row],[Tôi thấy Nhà nước đã giải thích rõ ràng, minh bạch về lý do và mục tiêu của việc sửa đổi thuế lần này. - HUMAN-TRU4]]</f>
        <v>10</v>
      </c>
      <c r="BC57" t="str">
        <f t="shared" si="22"/>
        <v>Support</v>
      </c>
      <c r="BD57" s="32">
        <f t="shared" si="23"/>
        <v>5</v>
      </c>
      <c r="BE57">
        <f>step3_validation[[#This Row],[AI_OUT1]]</f>
        <v>7</v>
      </c>
      <c r="BF57" t="str">
        <f t="shared" si="24"/>
        <v>Neutral</v>
      </c>
      <c r="BG57">
        <f>survey_responses[[#This Row],[Sau khi xem xét các quyền lợi và nghĩa vụ, bạn có ủng hộ và tuân thủ chính sách mới hiện nay? - HUMAN-OUT1]]</f>
        <v>9</v>
      </c>
      <c r="BH57" t="str">
        <f t="shared" si="25"/>
        <v>Support</v>
      </c>
      <c r="BI57" s="32">
        <f t="shared" si="26"/>
        <v>2</v>
      </c>
    </row>
    <row r="58" spans="1:61" x14ac:dyDescent="0.45">
      <c r="A58" s="30">
        <f>step3_validation[[#This Row],[Persona_ID]]</f>
        <v>57</v>
      </c>
      <c r="B58" s="31">
        <f>step3_validation[[#This Row],[Used_Seed]]</f>
        <v>2047</v>
      </c>
      <c r="C58" t="str">
        <f>step3_validation[[#This Row],[Gender]]</f>
        <v>Nữ</v>
      </c>
      <c r="D58" t="str">
        <f>survey_responses[[#This Row],[Giới tính của bạn:]]</f>
        <v>Nữ</v>
      </c>
      <c r="E58" t="str">
        <f>step3_validation[[#This Row],[Age_Group]]</f>
        <v>30 - 39</v>
      </c>
      <c r="F58" t="str">
        <f>survey_responses[[#This Row],[Độ tuổi của bạn:]]</f>
        <v>30 - 39</v>
      </c>
      <c r="G58" t="str">
        <f>step3_validation[[#This Row],[Region]]</f>
        <v>Thành thị</v>
      </c>
      <c r="H58" t="str">
        <f>survey_responses[[#This Row],[Khu vực bạn đang sinh sống:]]</f>
        <v>Thành thị</v>
      </c>
      <c r="I58" t="str">
        <f>step3_validation[[#This Row],[Education]]</f>
        <v>Đại học</v>
      </c>
      <c r="J58" t="str">
        <f>survey_responses[[#This Row],[Trình độ học vấn cao nhất:]]</f>
        <v>Đại học</v>
      </c>
      <c r="K58" t="str">
        <f>step3_validation[[#This Row],[Employment]]</f>
        <v>Chính thức</v>
      </c>
      <c r="L58" t="str">
        <f>survey_responses[[#This Row],[Tình trạng việc làm chính:]]</f>
        <v>Khu vực chính thức (Có Hợp đồng lao động, đóng BHXH)</v>
      </c>
      <c r="M58">
        <f>step3_validation[[#This Row],[Income_Mil]]</f>
        <v>14.434261083054142</v>
      </c>
      <c r="N58" t="str">
        <f>survey_responses[[#This Row],[Thu nhập bình quân tháng theo Hợp đồng lao động của bạn là bao nhiêu? (Vui lòng điền tổng thu nhập trước khi khấu trừ các loại Bảo hiểm (BHXH, BHYT, BHTN) và Thuế TNCN)]]</f>
        <v>Từ 12 - 18 triệu VNĐ</v>
      </c>
      <c r="O58">
        <f>step3_validation[[#This Row],[Dependents]]</f>
        <v>2</v>
      </c>
      <c r="P58" t="str">
        <f>survey_responses[[#This Row],[Số người phụ thuộc (con nhỏ, cha mẹ già...) đủ điều kiện giảm trừ gia cảnh:]]</f>
        <v>2 người</v>
      </c>
      <c r="Q58">
        <f>step3_validation[[#This Row],[AI_ENF1]]</f>
        <v>7</v>
      </c>
      <c r="R58" t="str">
        <f t="shared" si="0"/>
        <v>Neutral</v>
      </c>
      <c r="S58">
        <f>survey_responses[[#This Row],[Tôi tin rằng với các quy định quản lý thuế hiện nay, hành vi gian lận hoặc trốn thuế sẽ dễ dàng bị phát hiện và xử lý nghiêm. - HUMAN-ENF1]]</f>
        <v>10</v>
      </c>
      <c r="T58" t="str">
        <f t="shared" si="1"/>
        <v>Support</v>
      </c>
      <c r="U58" s="32">
        <f t="shared" si="2"/>
        <v>3</v>
      </c>
      <c r="V58">
        <f>step3_validation[[#This Row],[AI_ENF2]]</f>
        <v>8</v>
      </c>
      <c r="W58" t="str">
        <f t="shared" si="3"/>
        <v>Support</v>
      </c>
      <c r="X58">
        <f>survey_responses[[#This Row],[Tôi tin rằng Nhà nước, cơ quan thuế có đủ khả năng và công nghệ để phát hiện, xử lý nghiêm các hành vi trốn thuế. - HUMAN-ENF2]]</f>
        <v>10</v>
      </c>
      <c r="Y58" t="str">
        <f t="shared" si="4"/>
        <v>Support</v>
      </c>
      <c r="Z58" s="32">
        <f t="shared" si="5"/>
        <v>2</v>
      </c>
      <c r="AA58">
        <f>step3_validation[[#This Row],[AI_FAC1]]</f>
        <v>6</v>
      </c>
      <c r="AB58" t="str">
        <f t="shared" si="6"/>
        <v>Neutral</v>
      </c>
      <c r="AC58">
        <f>survey_responses[[#This Row],[Các thủ tục khai báo thuế VÀ/HOẶC quy trình làm việc với cơ quan thuế đơn giản, tiện lợi, nhanh chóng hơn so với trước đây. - HUMAN-FAC1]]</f>
        <v>1</v>
      </c>
      <c r="AD58" t="str">
        <f t="shared" si="7"/>
        <v>Oppose</v>
      </c>
      <c r="AE58" s="32">
        <f t="shared" si="8"/>
        <v>5</v>
      </c>
      <c r="AF58">
        <f>step3_validation[[#This Row],[AI_FAC2]]</f>
        <v>7</v>
      </c>
      <c r="AG58" t="str">
        <f t="shared" si="9"/>
        <v>Neutral</v>
      </c>
      <c r="AH58">
        <f>survey_responses[[#This Row],[So với trước đây, tôi thấy cách tính thuế và các bậc thuế trong phương án mới đơn giản, dễ hiểu và dễ thực hiện hơn. - HUMAN-FAC2]]</f>
        <v>5</v>
      </c>
      <c r="AI58" t="str">
        <f t="shared" si="10"/>
        <v>Neutral</v>
      </c>
      <c r="AJ58" s="32">
        <f t="shared" si="11"/>
        <v>2</v>
      </c>
      <c r="AK58">
        <f>step3_validation[[#This Row],[AI_TRU1]]</f>
        <v>8</v>
      </c>
      <c r="AL58" t="str">
        <f t="shared" si="12"/>
        <v>Support</v>
      </c>
      <c r="AM58">
        <f>survey_responses[[#This Row],[Tôi tin rằng Nhà nước, cơ quan thuế sẽ thực thi chính sách mới một cách khách quan, công tâm và đối xử bình đẳng với mọi người nộp thuế.  - HUMAN-TRU1]]</f>
        <v>7</v>
      </c>
      <c r="AN58" t="str">
        <f t="shared" si="13"/>
        <v>Neutral</v>
      </c>
      <c r="AO58" s="32">
        <f t="shared" si="14"/>
        <v>1</v>
      </c>
      <c r="AP58">
        <f>step3_validation[[#This Row],[AI_TRU2]]</f>
        <v>7</v>
      </c>
      <c r="AQ58" t="str">
        <f t="shared" si="15"/>
        <v>Neutral</v>
      </c>
      <c r="AR58">
        <f>survey_responses[[#This Row],[Tôi thấy mức thuế tôi phải đóng theo phương án mới là công bằng (người thu nhập như tôi đóng mức này là hợp lý). - HUMAN-TRU2]]</f>
        <v>10</v>
      </c>
      <c r="AS58" t="str">
        <f t="shared" si="16"/>
        <v>Support</v>
      </c>
      <c r="AT58" s="32">
        <f t="shared" si="17"/>
        <v>3</v>
      </c>
      <c r="AU58">
        <f>step3_validation[[#This Row],[AI_TRU3]]</f>
        <v>6</v>
      </c>
      <c r="AV58" t="str">
        <f t="shared" si="18"/>
        <v>Neutral</v>
      </c>
      <c r="AW58">
        <f>survey_responses[[#This Row],[Tôi tin tưởng số tiền thuế tôi đóng sẽ được Nhà nước sử dụng hiệu quả để cải thiện dịch vụ công (y tế, đường xá...). - HUMAN-TRU3]]</f>
        <v>9</v>
      </c>
      <c r="AX58" t="str">
        <f t="shared" si="19"/>
        <v>Support</v>
      </c>
      <c r="AY58" s="32">
        <f t="shared" si="20"/>
        <v>3</v>
      </c>
      <c r="AZ58">
        <f>step3_validation[[#This Row],[AI_TRU4]]</f>
        <v>7</v>
      </c>
      <c r="BA58" t="str">
        <f t="shared" si="21"/>
        <v>Neutral</v>
      </c>
      <c r="BB58">
        <f>survey_responses[[#This Row],[Tôi thấy Nhà nước đã giải thích rõ ràng, minh bạch về lý do và mục tiêu của việc sửa đổi thuế lần này. - HUMAN-TRU4]]</f>
        <v>9</v>
      </c>
      <c r="BC58" t="str">
        <f t="shared" si="22"/>
        <v>Support</v>
      </c>
      <c r="BD58" s="32">
        <f t="shared" si="23"/>
        <v>2</v>
      </c>
      <c r="BE58">
        <f>step3_validation[[#This Row],[AI_OUT1]]</f>
        <v>8</v>
      </c>
      <c r="BF58" t="str">
        <f t="shared" si="24"/>
        <v>Support</v>
      </c>
      <c r="BG58">
        <f>survey_responses[[#This Row],[Sau khi xem xét các quyền lợi và nghĩa vụ, bạn có ủng hộ và tuân thủ chính sách mới hiện nay? - HUMAN-OUT1]]</f>
        <v>10</v>
      </c>
      <c r="BH58" t="str">
        <f t="shared" si="25"/>
        <v>Support</v>
      </c>
      <c r="BI58" s="32">
        <f t="shared" si="26"/>
        <v>2</v>
      </c>
    </row>
    <row r="59" spans="1:61" x14ac:dyDescent="0.45">
      <c r="A59" s="30">
        <f>step3_validation[[#This Row],[Persona_ID]]</f>
        <v>58</v>
      </c>
      <c r="B59" s="31">
        <f>step3_validation[[#This Row],[Used_Seed]]</f>
        <v>2048</v>
      </c>
      <c r="C59" t="str">
        <f>step3_validation[[#This Row],[Gender]]</f>
        <v>Nữ</v>
      </c>
      <c r="D59" t="str">
        <f>survey_responses[[#This Row],[Giới tính của bạn:]]</f>
        <v>Nữ</v>
      </c>
      <c r="E59" t="str">
        <f>step3_validation[[#This Row],[Age_Group]]</f>
        <v>40 - 49</v>
      </c>
      <c r="F59" t="str">
        <f>survey_responses[[#This Row],[Độ tuổi của bạn:]]</f>
        <v>40 - 49</v>
      </c>
      <c r="G59" t="str">
        <f>step3_validation[[#This Row],[Region]]</f>
        <v>Thành thị</v>
      </c>
      <c r="H59" t="str">
        <f>survey_responses[[#This Row],[Khu vực bạn đang sinh sống:]]</f>
        <v>Thành thị</v>
      </c>
      <c r="I59" t="str">
        <f>step3_validation[[#This Row],[Education]]</f>
        <v>Sau Đại học</v>
      </c>
      <c r="J59" t="str">
        <f>survey_responses[[#This Row],[Trình độ học vấn cao nhất:]]</f>
        <v>Sau Đại học</v>
      </c>
      <c r="K59" t="str">
        <f>step3_validation[[#This Row],[Employment]]</f>
        <v>Chính thức</v>
      </c>
      <c r="L59" t="str">
        <f>survey_responses[[#This Row],[Tình trạng việc làm chính:]]</f>
        <v>Khu vực chính thức (Có Hợp đồng lao động, đóng BHXH)</v>
      </c>
      <c r="M59">
        <f>step3_validation[[#This Row],[Income_Mil]]</f>
        <v>29.227489136000131</v>
      </c>
      <c r="N59" t="str">
        <f>survey_responses[[#This Row],[Thu nhập bình quân tháng theo Hợp đồng lao động của bạn là bao nhiêu? (Vui lòng điền tổng thu nhập trước khi khấu trừ các loại Bảo hiểm (BHXH, BHYT, BHTN) và Thuế TNCN)]]</f>
        <v>Từ 23 - 32 triệu VNĐ</v>
      </c>
      <c r="O59">
        <f>step3_validation[[#This Row],[Dependents]]</f>
        <v>1</v>
      </c>
      <c r="P59" t="str">
        <f>survey_responses[[#This Row],[Số người phụ thuộc (con nhỏ, cha mẹ già...) đủ điều kiện giảm trừ gia cảnh:]]</f>
        <v>1 người</v>
      </c>
      <c r="Q59">
        <f>step3_validation[[#This Row],[AI_ENF1]]</f>
        <v>7</v>
      </c>
      <c r="R59" t="str">
        <f t="shared" si="0"/>
        <v>Neutral</v>
      </c>
      <c r="S59">
        <f>survey_responses[[#This Row],[Tôi tin rằng với các quy định quản lý thuế hiện nay, hành vi gian lận hoặc trốn thuế sẽ dễ dàng bị phát hiện và xử lý nghiêm. - HUMAN-ENF1]]</f>
        <v>5</v>
      </c>
      <c r="T59" t="str">
        <f t="shared" si="1"/>
        <v>Neutral</v>
      </c>
      <c r="U59" s="32">
        <f t="shared" si="2"/>
        <v>2</v>
      </c>
      <c r="V59">
        <f>step3_validation[[#This Row],[AI_ENF2]]</f>
        <v>8</v>
      </c>
      <c r="W59" t="str">
        <f t="shared" si="3"/>
        <v>Support</v>
      </c>
      <c r="X59">
        <f>survey_responses[[#This Row],[Tôi tin rằng Nhà nước, cơ quan thuế có đủ khả năng và công nghệ để phát hiện, xử lý nghiêm các hành vi trốn thuế. - HUMAN-ENF2]]</f>
        <v>5</v>
      </c>
      <c r="Y59" t="str">
        <f t="shared" si="4"/>
        <v>Neutral</v>
      </c>
      <c r="Z59" s="32">
        <f t="shared" si="5"/>
        <v>3</v>
      </c>
      <c r="AA59">
        <f>step3_validation[[#This Row],[AI_FAC1]]</f>
        <v>6</v>
      </c>
      <c r="AB59" t="str">
        <f t="shared" si="6"/>
        <v>Neutral</v>
      </c>
      <c r="AC59">
        <f>survey_responses[[#This Row],[Các thủ tục khai báo thuế VÀ/HOẶC quy trình làm việc với cơ quan thuế đơn giản, tiện lợi, nhanh chóng hơn so với trước đây. - HUMAN-FAC1]]</f>
        <v>4</v>
      </c>
      <c r="AD59" t="str">
        <f t="shared" si="7"/>
        <v>Oppose</v>
      </c>
      <c r="AE59" s="32">
        <f t="shared" si="8"/>
        <v>2</v>
      </c>
      <c r="AF59">
        <f>step3_validation[[#This Row],[AI_FAC2]]</f>
        <v>8</v>
      </c>
      <c r="AG59" t="str">
        <f t="shared" si="9"/>
        <v>Support</v>
      </c>
      <c r="AH59">
        <f>survey_responses[[#This Row],[So với trước đây, tôi thấy cách tính thuế và các bậc thuế trong phương án mới đơn giản, dễ hiểu và dễ thực hiện hơn. - HUMAN-FAC2]]</f>
        <v>8</v>
      </c>
      <c r="AI59" t="str">
        <f t="shared" si="10"/>
        <v>Support</v>
      </c>
      <c r="AJ59" s="32">
        <f t="shared" si="11"/>
        <v>0</v>
      </c>
      <c r="AK59">
        <f>step3_validation[[#This Row],[AI_TRU1]]</f>
        <v>9</v>
      </c>
      <c r="AL59" t="str">
        <f t="shared" si="12"/>
        <v>Support</v>
      </c>
      <c r="AM59">
        <f>survey_responses[[#This Row],[Tôi tin rằng Nhà nước, cơ quan thuế sẽ thực thi chính sách mới một cách khách quan, công tâm và đối xử bình đẳng với mọi người nộp thuế.  - HUMAN-TRU1]]</f>
        <v>5</v>
      </c>
      <c r="AN59" t="str">
        <f t="shared" si="13"/>
        <v>Neutral</v>
      </c>
      <c r="AO59" s="32">
        <f t="shared" si="14"/>
        <v>4</v>
      </c>
      <c r="AP59">
        <f>step3_validation[[#This Row],[AI_TRU2]]</f>
        <v>8</v>
      </c>
      <c r="AQ59" t="str">
        <f t="shared" si="15"/>
        <v>Support</v>
      </c>
      <c r="AR59">
        <f>survey_responses[[#This Row],[Tôi thấy mức thuế tôi phải đóng theo phương án mới là công bằng (người thu nhập như tôi đóng mức này là hợp lý). - HUMAN-TRU2]]</f>
        <v>7</v>
      </c>
      <c r="AS59" t="str">
        <f t="shared" si="16"/>
        <v>Neutral</v>
      </c>
      <c r="AT59" s="32">
        <f t="shared" si="17"/>
        <v>1</v>
      </c>
      <c r="AU59">
        <f>step3_validation[[#This Row],[AI_TRU3]]</f>
        <v>9</v>
      </c>
      <c r="AV59" t="str">
        <f t="shared" si="18"/>
        <v>Support</v>
      </c>
      <c r="AW59">
        <f>survey_responses[[#This Row],[Tôi tin tưởng số tiền thuế tôi đóng sẽ được Nhà nước sử dụng hiệu quả để cải thiện dịch vụ công (y tế, đường xá...). - HUMAN-TRU3]]</f>
        <v>7</v>
      </c>
      <c r="AX59" t="str">
        <f t="shared" si="19"/>
        <v>Neutral</v>
      </c>
      <c r="AY59" s="32">
        <f t="shared" si="20"/>
        <v>2</v>
      </c>
      <c r="AZ59">
        <f>step3_validation[[#This Row],[AI_TRU4]]</f>
        <v>7</v>
      </c>
      <c r="BA59" t="str">
        <f t="shared" si="21"/>
        <v>Neutral</v>
      </c>
      <c r="BB59">
        <f>survey_responses[[#This Row],[Tôi thấy Nhà nước đã giải thích rõ ràng, minh bạch về lý do và mục tiêu của việc sửa đổi thuế lần này. - HUMAN-TRU4]]</f>
        <v>7</v>
      </c>
      <c r="BC59" t="str">
        <f t="shared" si="22"/>
        <v>Neutral</v>
      </c>
      <c r="BD59" s="32">
        <f t="shared" si="23"/>
        <v>0</v>
      </c>
      <c r="BE59">
        <f>step3_validation[[#This Row],[AI_OUT1]]</f>
        <v>9</v>
      </c>
      <c r="BF59" t="str">
        <f t="shared" si="24"/>
        <v>Support</v>
      </c>
      <c r="BG59">
        <f>survey_responses[[#This Row],[Sau khi xem xét các quyền lợi và nghĩa vụ, bạn có ủng hộ và tuân thủ chính sách mới hiện nay? - HUMAN-OUT1]]</f>
        <v>7</v>
      </c>
      <c r="BH59" t="str">
        <f t="shared" si="25"/>
        <v>Neutral</v>
      </c>
      <c r="BI59" s="32">
        <f t="shared" si="26"/>
        <v>2</v>
      </c>
    </row>
    <row r="60" spans="1:61" x14ac:dyDescent="0.45">
      <c r="A60" s="30">
        <f>step3_validation[[#This Row],[Persona_ID]]</f>
        <v>59</v>
      </c>
      <c r="B60" s="31">
        <f>step3_validation[[#This Row],[Used_Seed]]</f>
        <v>2049</v>
      </c>
      <c r="C60" t="str">
        <f>step3_validation[[#This Row],[Gender]]</f>
        <v>Nữ</v>
      </c>
      <c r="D60" t="str">
        <f>survey_responses[[#This Row],[Giới tính của bạn:]]</f>
        <v>Nữ</v>
      </c>
      <c r="E60" t="str">
        <f>step3_validation[[#This Row],[Age_Group]]</f>
        <v>18 - 24</v>
      </c>
      <c r="F60" t="str">
        <f>survey_responses[[#This Row],[Độ tuổi của bạn:]]</f>
        <v>18 - 24</v>
      </c>
      <c r="G60" t="str">
        <f>step3_validation[[#This Row],[Region]]</f>
        <v>Thành thị</v>
      </c>
      <c r="H60" t="str">
        <f>survey_responses[[#This Row],[Khu vực bạn đang sinh sống:]]</f>
        <v>Thành thị</v>
      </c>
      <c r="I60" t="str">
        <f>step3_validation[[#This Row],[Education]]</f>
        <v>Đại học</v>
      </c>
      <c r="J60" t="str">
        <f>survey_responses[[#This Row],[Trình độ học vấn cao nhất:]]</f>
        <v>Đại học</v>
      </c>
      <c r="K60" t="str">
        <f>step3_validation[[#This Row],[Employment]]</f>
        <v>Phi chính thức</v>
      </c>
      <c r="L60" t="str">
        <f>survey_responses[[#This Row],[Tình trạng việc làm chính:]]</f>
        <v>Khu vực phi chính thức (Lao động tự do, không có HĐLĐ)</v>
      </c>
      <c r="M60">
        <f>step3_validation[[#This Row],[Income_Mil]]</f>
        <v>12</v>
      </c>
      <c r="N60" t="str">
        <f>survey_responses[[#This Row],[Thu nhập bình quân tháng theo Hợp đồng lao động của bạn là bao nhiêu? (Vui lòng điền tổng thu nhập trước khi khấu trừ các loại Bảo hiểm (BHXH, BHYT, BHTN) và Thuế TNCN)]]</f>
        <v>Dưới 12 triệu VNĐ</v>
      </c>
      <c r="O60">
        <f>step3_validation[[#This Row],[Dependents]]</f>
        <v>0</v>
      </c>
      <c r="P60" t="str">
        <f>survey_responses[[#This Row],[Số người phụ thuộc (con nhỏ, cha mẹ già...) đủ điều kiện giảm trừ gia cảnh:]]</f>
        <v>0 người</v>
      </c>
      <c r="Q60">
        <f>step3_validation[[#This Row],[AI_ENF1]]</f>
        <v>7</v>
      </c>
      <c r="R60" t="str">
        <f t="shared" si="0"/>
        <v>Neutral</v>
      </c>
      <c r="S60">
        <f>survey_responses[[#This Row],[Tôi tin rằng với các quy định quản lý thuế hiện nay, hành vi gian lận hoặc trốn thuế sẽ dễ dàng bị phát hiện và xử lý nghiêm. - HUMAN-ENF1]]</f>
        <v>9</v>
      </c>
      <c r="T60" t="str">
        <f t="shared" si="1"/>
        <v>Support</v>
      </c>
      <c r="U60" s="32">
        <f t="shared" si="2"/>
        <v>2</v>
      </c>
      <c r="V60">
        <f>step3_validation[[#This Row],[AI_ENF2]]</f>
        <v>8</v>
      </c>
      <c r="W60" t="str">
        <f t="shared" si="3"/>
        <v>Support</v>
      </c>
      <c r="X60">
        <f>survey_responses[[#This Row],[Tôi tin rằng Nhà nước, cơ quan thuế có đủ khả năng và công nghệ để phát hiện, xử lý nghiêm các hành vi trốn thuế. - HUMAN-ENF2]]</f>
        <v>9</v>
      </c>
      <c r="Y60" t="str">
        <f t="shared" si="4"/>
        <v>Support</v>
      </c>
      <c r="Z60" s="32">
        <f t="shared" si="5"/>
        <v>1</v>
      </c>
      <c r="AA60">
        <f>step3_validation[[#This Row],[AI_FAC1]]</f>
        <v>6</v>
      </c>
      <c r="AB60" t="str">
        <f t="shared" si="6"/>
        <v>Neutral</v>
      </c>
      <c r="AC60">
        <f>survey_responses[[#This Row],[Các thủ tục khai báo thuế VÀ/HOẶC quy trình làm việc với cơ quan thuế đơn giản, tiện lợi, nhanh chóng hơn so với trước đây. - HUMAN-FAC1]]</f>
        <v>9</v>
      </c>
      <c r="AD60" t="str">
        <f t="shared" si="7"/>
        <v>Support</v>
      </c>
      <c r="AE60" s="32">
        <f t="shared" si="8"/>
        <v>3</v>
      </c>
      <c r="AF60">
        <f>step3_validation[[#This Row],[AI_FAC2]]</f>
        <v>8</v>
      </c>
      <c r="AG60" t="str">
        <f t="shared" si="9"/>
        <v>Support</v>
      </c>
      <c r="AH60">
        <f>survey_responses[[#This Row],[So với trước đây, tôi thấy cách tính thuế và các bậc thuế trong phương án mới đơn giản, dễ hiểu và dễ thực hiện hơn. - HUMAN-FAC2]]</f>
        <v>7</v>
      </c>
      <c r="AI60" t="str">
        <f t="shared" si="10"/>
        <v>Neutral</v>
      </c>
      <c r="AJ60" s="32">
        <f t="shared" si="11"/>
        <v>1</v>
      </c>
      <c r="AK60">
        <f>step3_validation[[#This Row],[AI_TRU1]]</f>
        <v>7</v>
      </c>
      <c r="AL60" t="str">
        <f t="shared" si="12"/>
        <v>Neutral</v>
      </c>
      <c r="AM60">
        <f>survey_responses[[#This Row],[Tôi tin rằng Nhà nước, cơ quan thuế sẽ thực thi chính sách mới một cách khách quan, công tâm và đối xử bình đẳng với mọi người nộp thuế.  - HUMAN-TRU1]]</f>
        <v>7</v>
      </c>
      <c r="AN60" t="str">
        <f t="shared" si="13"/>
        <v>Neutral</v>
      </c>
      <c r="AO60" s="32">
        <f t="shared" si="14"/>
        <v>0</v>
      </c>
      <c r="AP60">
        <f>step3_validation[[#This Row],[AI_TRU2]]</f>
        <v>8</v>
      </c>
      <c r="AQ60" t="str">
        <f t="shared" si="15"/>
        <v>Support</v>
      </c>
      <c r="AR60">
        <f>survey_responses[[#This Row],[Tôi thấy mức thuế tôi phải đóng theo phương án mới là công bằng (người thu nhập như tôi đóng mức này là hợp lý). - HUMAN-TRU2]]</f>
        <v>8</v>
      </c>
      <c r="AS60" t="str">
        <f t="shared" si="16"/>
        <v>Support</v>
      </c>
      <c r="AT60" s="32">
        <f t="shared" si="17"/>
        <v>0</v>
      </c>
      <c r="AU60">
        <f>step3_validation[[#This Row],[AI_TRU3]]</f>
        <v>6</v>
      </c>
      <c r="AV60" t="str">
        <f t="shared" si="18"/>
        <v>Neutral</v>
      </c>
      <c r="AW60">
        <f>survey_responses[[#This Row],[Tôi tin tưởng số tiền thuế tôi đóng sẽ được Nhà nước sử dụng hiệu quả để cải thiện dịch vụ công (y tế, đường xá...). - HUMAN-TRU3]]</f>
        <v>8</v>
      </c>
      <c r="AX60" t="str">
        <f t="shared" si="19"/>
        <v>Support</v>
      </c>
      <c r="AY60" s="32">
        <f t="shared" si="20"/>
        <v>2</v>
      </c>
      <c r="AZ60">
        <f>step3_validation[[#This Row],[AI_TRU4]]</f>
        <v>7</v>
      </c>
      <c r="BA60" t="str">
        <f t="shared" si="21"/>
        <v>Neutral</v>
      </c>
      <c r="BB60">
        <f>survey_responses[[#This Row],[Tôi thấy Nhà nước đã giải thích rõ ràng, minh bạch về lý do và mục tiêu của việc sửa đổi thuế lần này. - HUMAN-TRU4]]</f>
        <v>6</v>
      </c>
      <c r="BC60" t="str">
        <f t="shared" si="22"/>
        <v>Neutral</v>
      </c>
      <c r="BD60" s="32">
        <f t="shared" si="23"/>
        <v>1</v>
      </c>
      <c r="BE60">
        <f>step3_validation[[#This Row],[AI_OUT1]]</f>
        <v>6</v>
      </c>
      <c r="BF60" t="str">
        <f t="shared" si="24"/>
        <v>Neutral</v>
      </c>
      <c r="BG60">
        <f>survey_responses[[#This Row],[Sau khi xem xét các quyền lợi và nghĩa vụ, bạn có ủng hộ và tuân thủ chính sách mới hiện nay? - HUMAN-OUT1]]</f>
        <v>5</v>
      </c>
      <c r="BH60" t="str">
        <f t="shared" si="25"/>
        <v>Neutral</v>
      </c>
      <c r="BI60" s="32">
        <f t="shared" si="26"/>
        <v>1</v>
      </c>
    </row>
    <row r="61" spans="1:61" x14ac:dyDescent="0.45">
      <c r="A61" s="30">
        <f>step3_validation[[#This Row],[Persona_ID]]</f>
        <v>60</v>
      </c>
      <c r="B61" s="31">
        <f>step3_validation[[#This Row],[Used_Seed]]</f>
        <v>2050</v>
      </c>
      <c r="C61" t="str">
        <f>step3_validation[[#This Row],[Gender]]</f>
        <v>Nam</v>
      </c>
      <c r="D61" t="str">
        <f>survey_responses[[#This Row],[Giới tính của bạn:]]</f>
        <v>Nam</v>
      </c>
      <c r="E61" t="str">
        <f>step3_validation[[#This Row],[Age_Group]]</f>
        <v>25 - 29</v>
      </c>
      <c r="F61" t="str">
        <f>survey_responses[[#This Row],[Độ tuổi của bạn:]]</f>
        <v>25 - 29</v>
      </c>
      <c r="G61" t="str">
        <f>step3_validation[[#This Row],[Region]]</f>
        <v>Thành thị</v>
      </c>
      <c r="H61" t="str">
        <f>survey_responses[[#This Row],[Khu vực bạn đang sinh sống:]]</f>
        <v>Thành thị</v>
      </c>
      <c r="I61" t="str">
        <f>step3_validation[[#This Row],[Education]]</f>
        <v>Đại học</v>
      </c>
      <c r="J61" t="str">
        <f>survey_responses[[#This Row],[Trình độ học vấn cao nhất:]]</f>
        <v>Đại học</v>
      </c>
      <c r="K61" t="str">
        <f>step3_validation[[#This Row],[Employment]]</f>
        <v>Chính thức</v>
      </c>
      <c r="L61" t="str">
        <f>survey_responses[[#This Row],[Tình trạng việc làm chính:]]</f>
        <v>Khu vực chính thức (Có Hợp đồng lao động, đóng BHXH)</v>
      </c>
      <c r="M61">
        <f>step3_validation[[#This Row],[Income_Mil]]</f>
        <v>16.233290374231196</v>
      </c>
      <c r="N61" t="str">
        <f>survey_responses[[#This Row],[Thu nhập bình quân tháng theo Hợp đồng lao động của bạn là bao nhiêu? (Vui lòng điền tổng thu nhập trước khi khấu trừ các loại Bảo hiểm (BHXH, BHYT, BHTN) và Thuế TNCN)]]</f>
        <v>Từ 12 - 18 triệu VNĐ</v>
      </c>
      <c r="O61">
        <f>step3_validation[[#This Row],[Dependents]]</f>
        <v>0</v>
      </c>
      <c r="P61" t="str">
        <f>survey_responses[[#This Row],[Số người phụ thuộc (con nhỏ, cha mẹ già...) đủ điều kiện giảm trừ gia cảnh:]]</f>
        <v>0 người</v>
      </c>
      <c r="Q61">
        <f>step3_validation[[#This Row],[AI_ENF1]]</f>
        <v>7</v>
      </c>
      <c r="R61" t="str">
        <f t="shared" si="0"/>
        <v>Neutral</v>
      </c>
      <c r="S61">
        <f>survey_responses[[#This Row],[Tôi tin rằng với các quy định quản lý thuế hiện nay, hành vi gian lận hoặc trốn thuế sẽ dễ dàng bị phát hiện và xử lý nghiêm. - HUMAN-ENF1]]</f>
        <v>5</v>
      </c>
      <c r="T61" t="str">
        <f t="shared" si="1"/>
        <v>Neutral</v>
      </c>
      <c r="U61" s="32">
        <f t="shared" si="2"/>
        <v>2</v>
      </c>
      <c r="V61">
        <f>step3_validation[[#This Row],[AI_ENF2]]</f>
        <v>6</v>
      </c>
      <c r="W61" t="str">
        <f t="shared" si="3"/>
        <v>Neutral</v>
      </c>
      <c r="X61">
        <f>survey_responses[[#This Row],[Tôi tin rằng Nhà nước, cơ quan thuế có đủ khả năng và công nghệ để phát hiện, xử lý nghiêm các hành vi trốn thuế. - HUMAN-ENF2]]</f>
        <v>5</v>
      </c>
      <c r="Y61" t="str">
        <f t="shared" si="4"/>
        <v>Neutral</v>
      </c>
      <c r="Z61" s="32">
        <f t="shared" si="5"/>
        <v>1</v>
      </c>
      <c r="AA61">
        <f>step3_validation[[#This Row],[AI_FAC1]]</f>
        <v>8</v>
      </c>
      <c r="AB61" t="str">
        <f t="shared" si="6"/>
        <v>Support</v>
      </c>
      <c r="AC61">
        <f>survey_responses[[#This Row],[Các thủ tục khai báo thuế VÀ/HOẶC quy trình làm việc với cơ quan thuế đơn giản, tiện lợi, nhanh chóng hơn so với trước đây. - HUMAN-FAC1]]</f>
        <v>5</v>
      </c>
      <c r="AD61" t="str">
        <f t="shared" si="7"/>
        <v>Neutral</v>
      </c>
      <c r="AE61" s="32">
        <f t="shared" si="8"/>
        <v>3</v>
      </c>
      <c r="AF61">
        <f>step3_validation[[#This Row],[AI_FAC2]]</f>
        <v>9</v>
      </c>
      <c r="AG61" t="str">
        <f t="shared" si="9"/>
        <v>Support</v>
      </c>
      <c r="AH61">
        <f>survey_responses[[#This Row],[So với trước đây, tôi thấy cách tính thuế và các bậc thuế trong phương án mới đơn giản, dễ hiểu và dễ thực hiện hơn. - HUMAN-FAC2]]</f>
        <v>5</v>
      </c>
      <c r="AI61" t="str">
        <f t="shared" si="10"/>
        <v>Neutral</v>
      </c>
      <c r="AJ61" s="32">
        <f t="shared" si="11"/>
        <v>4</v>
      </c>
      <c r="AK61">
        <f>step3_validation[[#This Row],[AI_TRU1]]</f>
        <v>7</v>
      </c>
      <c r="AL61" t="str">
        <f t="shared" si="12"/>
        <v>Neutral</v>
      </c>
      <c r="AM61">
        <f>survey_responses[[#This Row],[Tôi tin rằng Nhà nước, cơ quan thuế sẽ thực thi chính sách mới một cách khách quan, công tâm và đối xử bình đẳng với mọi người nộp thuế.  - HUMAN-TRU1]]</f>
        <v>5</v>
      </c>
      <c r="AN61" t="str">
        <f t="shared" si="13"/>
        <v>Neutral</v>
      </c>
      <c r="AO61" s="32">
        <f t="shared" si="14"/>
        <v>2</v>
      </c>
      <c r="AP61">
        <f>step3_validation[[#This Row],[AI_TRU2]]</f>
        <v>8</v>
      </c>
      <c r="AQ61" t="str">
        <f t="shared" si="15"/>
        <v>Support</v>
      </c>
      <c r="AR61">
        <f>survey_responses[[#This Row],[Tôi thấy mức thuế tôi phải đóng theo phương án mới là công bằng (người thu nhập như tôi đóng mức này là hợp lý). - HUMAN-TRU2]]</f>
        <v>8</v>
      </c>
      <c r="AS61" t="str">
        <f t="shared" si="16"/>
        <v>Support</v>
      </c>
      <c r="AT61" s="32">
        <f t="shared" si="17"/>
        <v>0</v>
      </c>
      <c r="AU61">
        <f>step3_validation[[#This Row],[AI_TRU3]]</f>
        <v>6</v>
      </c>
      <c r="AV61" t="str">
        <f t="shared" si="18"/>
        <v>Neutral</v>
      </c>
      <c r="AW61">
        <f>survey_responses[[#This Row],[Tôi tin tưởng số tiền thuế tôi đóng sẽ được Nhà nước sử dụng hiệu quả để cải thiện dịch vụ công (y tế, đường xá...). - HUMAN-TRU3]]</f>
        <v>4</v>
      </c>
      <c r="AX61" t="str">
        <f t="shared" si="19"/>
        <v>Oppose</v>
      </c>
      <c r="AY61" s="32">
        <f t="shared" si="20"/>
        <v>2</v>
      </c>
      <c r="AZ61">
        <f>step3_validation[[#This Row],[AI_TRU4]]</f>
        <v>7</v>
      </c>
      <c r="BA61" t="str">
        <f t="shared" si="21"/>
        <v>Neutral</v>
      </c>
      <c r="BB61">
        <f>survey_responses[[#This Row],[Tôi thấy Nhà nước đã giải thích rõ ràng, minh bạch về lý do và mục tiêu của việc sửa đổi thuế lần này. - HUMAN-TRU4]]</f>
        <v>5</v>
      </c>
      <c r="BC61" t="str">
        <f t="shared" si="22"/>
        <v>Neutral</v>
      </c>
      <c r="BD61" s="32">
        <f t="shared" si="23"/>
        <v>2</v>
      </c>
      <c r="BE61">
        <f>step3_validation[[#This Row],[AI_OUT1]]</f>
        <v>8</v>
      </c>
      <c r="BF61" t="str">
        <f t="shared" si="24"/>
        <v>Support</v>
      </c>
      <c r="BG61">
        <f>survey_responses[[#This Row],[Sau khi xem xét các quyền lợi và nghĩa vụ, bạn có ủng hộ và tuân thủ chính sách mới hiện nay? - HUMAN-OUT1]]</f>
        <v>5</v>
      </c>
      <c r="BH61" t="str">
        <f t="shared" si="25"/>
        <v>Neutral</v>
      </c>
      <c r="BI61" s="32">
        <f t="shared" si="26"/>
        <v>3</v>
      </c>
    </row>
    <row r="62" spans="1:61" x14ac:dyDescent="0.45">
      <c r="A62" s="30">
        <f>step3_validation[[#This Row],[Persona_ID]]</f>
        <v>61</v>
      </c>
      <c r="B62" s="31">
        <f>step3_validation[[#This Row],[Used_Seed]]</f>
        <v>2051</v>
      </c>
      <c r="C62" t="str">
        <f>step3_validation[[#This Row],[Gender]]</f>
        <v>Nữ</v>
      </c>
      <c r="D62" t="str">
        <f>survey_responses[[#This Row],[Giới tính của bạn:]]</f>
        <v>Nữ</v>
      </c>
      <c r="E62" t="str">
        <f>step3_validation[[#This Row],[Age_Group]]</f>
        <v>30 - 39</v>
      </c>
      <c r="F62" t="str">
        <f>survey_responses[[#This Row],[Độ tuổi của bạn:]]</f>
        <v>30 - 39</v>
      </c>
      <c r="G62" t="str">
        <f>step3_validation[[#This Row],[Region]]</f>
        <v>Thành thị</v>
      </c>
      <c r="H62" t="str">
        <f>survey_responses[[#This Row],[Khu vực bạn đang sinh sống:]]</f>
        <v>Thành thị</v>
      </c>
      <c r="I62" t="str">
        <f>step3_validation[[#This Row],[Education]]</f>
        <v>Sau Đại học</v>
      </c>
      <c r="J62" t="str">
        <f>survey_responses[[#This Row],[Trình độ học vấn cao nhất:]]</f>
        <v>Sau Đại học</v>
      </c>
      <c r="K62" t="str">
        <f>step3_validation[[#This Row],[Employment]]</f>
        <v>Chính thức</v>
      </c>
      <c r="L62" t="str">
        <f>survey_responses[[#This Row],[Tình trạng việc làm chính:]]</f>
        <v>Khu vực chính thức (Có Hợp đồng lao động, đóng BHXH)</v>
      </c>
      <c r="M62">
        <f>step3_validation[[#This Row],[Income_Mil]]</f>
        <v>20.266279166118991</v>
      </c>
      <c r="N62" t="str">
        <f>survey_responses[[#This Row],[Thu nhập bình quân tháng theo Hợp đồng lao động của bạn là bao nhiêu? (Vui lòng điền tổng thu nhập trước khi khấu trừ các loại Bảo hiểm (BHXH, BHYT, BHTN) và Thuế TNCN)]]</f>
        <v>Từ 18 - 23 triệu VNĐ</v>
      </c>
      <c r="O62">
        <f>step3_validation[[#This Row],[Dependents]]</f>
        <v>1</v>
      </c>
      <c r="P62" t="str">
        <f>survey_responses[[#This Row],[Số người phụ thuộc (con nhỏ, cha mẹ già...) đủ điều kiện giảm trừ gia cảnh:]]</f>
        <v>1 người</v>
      </c>
      <c r="Q62">
        <f>step3_validation[[#This Row],[AI_ENF1]]</f>
        <v>8</v>
      </c>
      <c r="R62" t="str">
        <f t="shared" si="0"/>
        <v>Support</v>
      </c>
      <c r="S62">
        <f>survey_responses[[#This Row],[Tôi tin rằng với các quy định quản lý thuế hiện nay, hành vi gian lận hoặc trốn thuế sẽ dễ dàng bị phát hiện và xử lý nghiêm. - HUMAN-ENF1]]</f>
        <v>8</v>
      </c>
      <c r="T62" t="str">
        <f t="shared" si="1"/>
        <v>Support</v>
      </c>
      <c r="U62" s="32">
        <f t="shared" si="2"/>
        <v>0</v>
      </c>
      <c r="V62">
        <f>step3_validation[[#This Row],[AI_ENF2]]</f>
        <v>9</v>
      </c>
      <c r="W62" t="str">
        <f t="shared" si="3"/>
        <v>Support</v>
      </c>
      <c r="X62">
        <f>survey_responses[[#This Row],[Tôi tin rằng Nhà nước, cơ quan thuế có đủ khả năng và công nghệ để phát hiện, xử lý nghiêm các hành vi trốn thuế. - HUMAN-ENF2]]</f>
        <v>9</v>
      </c>
      <c r="Y62" t="str">
        <f t="shared" si="4"/>
        <v>Support</v>
      </c>
      <c r="Z62" s="32">
        <f t="shared" si="5"/>
        <v>0</v>
      </c>
      <c r="AA62">
        <f>step3_validation[[#This Row],[AI_FAC1]]</f>
        <v>8</v>
      </c>
      <c r="AB62" t="str">
        <f t="shared" si="6"/>
        <v>Support</v>
      </c>
      <c r="AC62">
        <f>survey_responses[[#This Row],[Các thủ tục khai báo thuế VÀ/HOẶC quy trình làm việc với cơ quan thuế đơn giản, tiện lợi, nhanh chóng hơn so với trước đây. - HUMAN-FAC1]]</f>
        <v>9</v>
      </c>
      <c r="AD62" t="str">
        <f t="shared" si="7"/>
        <v>Support</v>
      </c>
      <c r="AE62" s="32">
        <f t="shared" si="8"/>
        <v>1</v>
      </c>
      <c r="AF62">
        <f>step3_validation[[#This Row],[AI_FAC2]]</f>
        <v>7</v>
      </c>
      <c r="AG62" t="str">
        <f t="shared" si="9"/>
        <v>Neutral</v>
      </c>
      <c r="AH62">
        <f>survey_responses[[#This Row],[So với trước đây, tôi thấy cách tính thuế và các bậc thuế trong phương án mới đơn giản, dễ hiểu và dễ thực hiện hơn. - HUMAN-FAC2]]</f>
        <v>9</v>
      </c>
      <c r="AI62" t="str">
        <f t="shared" si="10"/>
        <v>Support</v>
      </c>
      <c r="AJ62" s="32">
        <f t="shared" si="11"/>
        <v>2</v>
      </c>
      <c r="AK62">
        <f>step3_validation[[#This Row],[AI_TRU1]]</f>
        <v>8</v>
      </c>
      <c r="AL62" t="str">
        <f t="shared" si="12"/>
        <v>Support</v>
      </c>
      <c r="AM62">
        <f>survey_responses[[#This Row],[Tôi tin rằng Nhà nước, cơ quan thuế sẽ thực thi chính sách mới một cách khách quan, công tâm và đối xử bình đẳng với mọi người nộp thuế.  - HUMAN-TRU1]]</f>
        <v>9</v>
      </c>
      <c r="AN62" t="str">
        <f t="shared" si="13"/>
        <v>Support</v>
      </c>
      <c r="AO62" s="32">
        <f t="shared" si="14"/>
        <v>1</v>
      </c>
      <c r="AP62">
        <f>step3_validation[[#This Row],[AI_TRU2]]</f>
        <v>6</v>
      </c>
      <c r="AQ62" t="str">
        <f t="shared" si="15"/>
        <v>Neutral</v>
      </c>
      <c r="AR62">
        <f>survey_responses[[#This Row],[Tôi thấy mức thuế tôi phải đóng theo phương án mới là công bằng (người thu nhập như tôi đóng mức này là hợp lý). - HUMAN-TRU2]]</f>
        <v>8</v>
      </c>
      <c r="AS62" t="str">
        <f t="shared" si="16"/>
        <v>Support</v>
      </c>
      <c r="AT62" s="32">
        <f t="shared" si="17"/>
        <v>2</v>
      </c>
      <c r="AU62">
        <f>step3_validation[[#This Row],[AI_TRU3]]</f>
        <v>7</v>
      </c>
      <c r="AV62" t="str">
        <f t="shared" si="18"/>
        <v>Neutral</v>
      </c>
      <c r="AW62">
        <f>survey_responses[[#This Row],[Tôi tin tưởng số tiền thuế tôi đóng sẽ được Nhà nước sử dụng hiệu quả để cải thiện dịch vụ công (y tế, đường xá...). - HUMAN-TRU3]]</f>
        <v>8</v>
      </c>
      <c r="AX62" t="str">
        <f t="shared" si="19"/>
        <v>Support</v>
      </c>
      <c r="AY62" s="32">
        <f t="shared" si="20"/>
        <v>1</v>
      </c>
      <c r="AZ62">
        <f>step3_validation[[#This Row],[AI_TRU4]]</f>
        <v>6</v>
      </c>
      <c r="BA62" t="str">
        <f t="shared" si="21"/>
        <v>Neutral</v>
      </c>
      <c r="BB62">
        <f>survey_responses[[#This Row],[Tôi thấy Nhà nước đã giải thích rõ ràng, minh bạch về lý do và mục tiêu của việc sửa đổi thuế lần này. - HUMAN-TRU4]]</f>
        <v>8</v>
      </c>
      <c r="BC62" t="str">
        <f t="shared" si="22"/>
        <v>Support</v>
      </c>
      <c r="BD62" s="32">
        <f t="shared" si="23"/>
        <v>2</v>
      </c>
      <c r="BE62">
        <f>step3_validation[[#This Row],[AI_OUT1]]</f>
        <v>7</v>
      </c>
      <c r="BF62" t="str">
        <f t="shared" si="24"/>
        <v>Neutral</v>
      </c>
      <c r="BG62">
        <f>survey_responses[[#This Row],[Sau khi xem xét các quyền lợi và nghĩa vụ, bạn có ủng hộ và tuân thủ chính sách mới hiện nay? - HUMAN-OUT1]]</f>
        <v>9</v>
      </c>
      <c r="BH62" t="str">
        <f t="shared" si="25"/>
        <v>Support</v>
      </c>
      <c r="BI62" s="32">
        <f t="shared" si="26"/>
        <v>2</v>
      </c>
    </row>
    <row r="63" spans="1:61" x14ac:dyDescent="0.45">
      <c r="A63" s="30">
        <f>step3_validation[[#This Row],[Persona_ID]]</f>
        <v>62</v>
      </c>
      <c r="B63" s="31">
        <f>step3_validation[[#This Row],[Used_Seed]]</f>
        <v>2052</v>
      </c>
      <c r="C63" t="str">
        <f>step3_validation[[#This Row],[Gender]]</f>
        <v>Nữ</v>
      </c>
      <c r="D63" t="str">
        <f>survey_responses[[#This Row],[Giới tính của bạn:]]</f>
        <v>Nữ</v>
      </c>
      <c r="E63" t="str">
        <f>step3_validation[[#This Row],[Age_Group]]</f>
        <v>25 - 29</v>
      </c>
      <c r="F63" t="str">
        <f>survey_responses[[#This Row],[Độ tuổi của bạn:]]</f>
        <v>25 - 29</v>
      </c>
      <c r="G63" t="str">
        <f>step3_validation[[#This Row],[Region]]</f>
        <v>Thành thị</v>
      </c>
      <c r="H63" t="str">
        <f>survey_responses[[#This Row],[Khu vực bạn đang sinh sống:]]</f>
        <v>Thành thị</v>
      </c>
      <c r="I63" t="str">
        <f>step3_validation[[#This Row],[Education]]</f>
        <v>Sau Đại học</v>
      </c>
      <c r="J63" t="str">
        <f>survey_responses[[#This Row],[Trình độ học vấn cao nhất:]]</f>
        <v>Sau Đại học</v>
      </c>
      <c r="K63" t="str">
        <f>step3_validation[[#This Row],[Employment]]</f>
        <v>Chính thức</v>
      </c>
      <c r="L63" t="str">
        <f>survey_responses[[#This Row],[Tình trạng việc làm chính:]]</f>
        <v>Khu vực chính thức (Có Hợp đồng lao động, đóng BHXH)</v>
      </c>
      <c r="M63">
        <f>step3_validation[[#This Row],[Income_Mil]]</f>
        <v>26.00260731617913</v>
      </c>
      <c r="N63" t="str">
        <f>survey_responses[[#This Row],[Thu nhập bình quân tháng theo Hợp đồng lao động của bạn là bao nhiêu? (Vui lòng điền tổng thu nhập trước khi khấu trừ các loại Bảo hiểm (BHXH, BHYT, BHTN) và Thuế TNCN)]]</f>
        <v>Từ 23 - 32 triệu VNĐ</v>
      </c>
      <c r="O63">
        <f>step3_validation[[#This Row],[Dependents]]</f>
        <v>0</v>
      </c>
      <c r="P63" t="str">
        <f>survey_responses[[#This Row],[Số người phụ thuộc (con nhỏ, cha mẹ già...) đủ điều kiện giảm trừ gia cảnh:]]</f>
        <v>0 người</v>
      </c>
      <c r="Q63">
        <f>step3_validation[[#This Row],[AI_ENF1]]</f>
        <v>8</v>
      </c>
      <c r="R63" t="str">
        <f t="shared" si="0"/>
        <v>Support</v>
      </c>
      <c r="S63">
        <f>survey_responses[[#This Row],[Tôi tin rằng với các quy định quản lý thuế hiện nay, hành vi gian lận hoặc trốn thuế sẽ dễ dàng bị phát hiện và xử lý nghiêm. - HUMAN-ENF1]]</f>
        <v>9</v>
      </c>
      <c r="T63" t="str">
        <f t="shared" si="1"/>
        <v>Support</v>
      </c>
      <c r="U63" s="32">
        <f t="shared" si="2"/>
        <v>1</v>
      </c>
      <c r="V63">
        <f>step3_validation[[#This Row],[AI_ENF2]]</f>
        <v>9</v>
      </c>
      <c r="W63" t="str">
        <f t="shared" si="3"/>
        <v>Support</v>
      </c>
      <c r="X63">
        <f>survey_responses[[#This Row],[Tôi tin rằng Nhà nước, cơ quan thuế có đủ khả năng và công nghệ để phát hiện, xử lý nghiêm các hành vi trốn thuế. - HUMAN-ENF2]]</f>
        <v>9</v>
      </c>
      <c r="Y63" t="str">
        <f t="shared" si="4"/>
        <v>Support</v>
      </c>
      <c r="Z63" s="32">
        <f t="shared" si="5"/>
        <v>0</v>
      </c>
      <c r="AA63">
        <f>step3_validation[[#This Row],[AI_FAC1]]</f>
        <v>7</v>
      </c>
      <c r="AB63" t="str">
        <f t="shared" si="6"/>
        <v>Neutral</v>
      </c>
      <c r="AC63">
        <f>survey_responses[[#This Row],[Các thủ tục khai báo thuế VÀ/HOẶC quy trình làm việc với cơ quan thuế đơn giản, tiện lợi, nhanh chóng hơn so với trước đây. - HUMAN-FAC1]]</f>
        <v>7</v>
      </c>
      <c r="AD63" t="str">
        <f t="shared" si="7"/>
        <v>Neutral</v>
      </c>
      <c r="AE63" s="32">
        <f t="shared" si="8"/>
        <v>0</v>
      </c>
      <c r="AF63">
        <f>step3_validation[[#This Row],[AI_FAC2]]</f>
        <v>8</v>
      </c>
      <c r="AG63" t="str">
        <f t="shared" si="9"/>
        <v>Support</v>
      </c>
      <c r="AH63">
        <f>survey_responses[[#This Row],[So với trước đây, tôi thấy cách tính thuế và các bậc thuế trong phương án mới đơn giản, dễ hiểu và dễ thực hiện hơn. - HUMAN-FAC2]]</f>
        <v>6</v>
      </c>
      <c r="AI63" t="str">
        <f t="shared" si="10"/>
        <v>Neutral</v>
      </c>
      <c r="AJ63" s="32">
        <f t="shared" si="11"/>
        <v>2</v>
      </c>
      <c r="AK63">
        <f>step3_validation[[#This Row],[AI_TRU1]]</f>
        <v>7</v>
      </c>
      <c r="AL63" t="str">
        <f t="shared" si="12"/>
        <v>Neutral</v>
      </c>
      <c r="AM63">
        <f>survey_responses[[#This Row],[Tôi tin rằng Nhà nước, cơ quan thuế sẽ thực thi chính sách mới một cách khách quan, công tâm và đối xử bình đẳng với mọi người nộp thuế.  - HUMAN-TRU1]]</f>
        <v>7</v>
      </c>
      <c r="AN63" t="str">
        <f t="shared" si="13"/>
        <v>Neutral</v>
      </c>
      <c r="AO63" s="32">
        <f t="shared" si="14"/>
        <v>0</v>
      </c>
      <c r="AP63">
        <f>step3_validation[[#This Row],[AI_TRU2]]</f>
        <v>8</v>
      </c>
      <c r="AQ63" t="str">
        <f t="shared" si="15"/>
        <v>Support</v>
      </c>
      <c r="AR63">
        <f>survey_responses[[#This Row],[Tôi thấy mức thuế tôi phải đóng theo phương án mới là công bằng (người thu nhập như tôi đóng mức này là hợp lý). - HUMAN-TRU2]]</f>
        <v>5</v>
      </c>
      <c r="AS63" t="str">
        <f t="shared" si="16"/>
        <v>Neutral</v>
      </c>
      <c r="AT63" s="32">
        <f t="shared" si="17"/>
        <v>3</v>
      </c>
      <c r="AU63">
        <f>step3_validation[[#This Row],[AI_TRU3]]</f>
        <v>7</v>
      </c>
      <c r="AV63" t="str">
        <f t="shared" si="18"/>
        <v>Neutral</v>
      </c>
      <c r="AW63">
        <f>survey_responses[[#This Row],[Tôi tin tưởng số tiền thuế tôi đóng sẽ được Nhà nước sử dụng hiệu quả để cải thiện dịch vụ công (y tế, đường xá...). - HUMAN-TRU3]]</f>
        <v>6</v>
      </c>
      <c r="AX63" t="str">
        <f t="shared" si="19"/>
        <v>Neutral</v>
      </c>
      <c r="AY63" s="32">
        <f t="shared" si="20"/>
        <v>1</v>
      </c>
      <c r="AZ63">
        <f>step3_validation[[#This Row],[AI_TRU4]]</f>
        <v>8</v>
      </c>
      <c r="BA63" t="str">
        <f t="shared" si="21"/>
        <v>Support</v>
      </c>
      <c r="BB63">
        <f>survey_responses[[#This Row],[Tôi thấy Nhà nước đã giải thích rõ ràng, minh bạch về lý do và mục tiêu của việc sửa đổi thuế lần này. - HUMAN-TRU4]]</f>
        <v>8</v>
      </c>
      <c r="BC63" t="str">
        <f t="shared" si="22"/>
        <v>Support</v>
      </c>
      <c r="BD63" s="32">
        <f t="shared" si="23"/>
        <v>0</v>
      </c>
      <c r="BE63">
        <f>step3_validation[[#This Row],[AI_OUT1]]</f>
        <v>9</v>
      </c>
      <c r="BF63" t="str">
        <f t="shared" si="24"/>
        <v>Support</v>
      </c>
      <c r="BG63">
        <f>survey_responses[[#This Row],[Sau khi xem xét các quyền lợi và nghĩa vụ, bạn có ủng hộ và tuân thủ chính sách mới hiện nay? - HUMAN-OUT1]]</f>
        <v>5</v>
      </c>
      <c r="BH63" t="str">
        <f t="shared" si="25"/>
        <v>Neutral</v>
      </c>
      <c r="BI63" s="32">
        <f t="shared" si="26"/>
        <v>4</v>
      </c>
    </row>
    <row r="64" spans="1:61" x14ac:dyDescent="0.45">
      <c r="A64" s="30">
        <f>step3_validation[[#This Row],[Persona_ID]]</f>
        <v>63</v>
      </c>
      <c r="B64" s="31">
        <f>step3_validation[[#This Row],[Used_Seed]]</f>
        <v>2053</v>
      </c>
      <c r="C64" t="str">
        <f>step3_validation[[#This Row],[Gender]]</f>
        <v>Nữ</v>
      </c>
      <c r="D64" t="str">
        <f>survey_responses[[#This Row],[Giới tính của bạn:]]</f>
        <v>Nữ</v>
      </c>
      <c r="E64" t="str">
        <f>step3_validation[[#This Row],[Age_Group]]</f>
        <v>50 - 54</v>
      </c>
      <c r="F64" t="str">
        <f>survey_responses[[#This Row],[Độ tuổi của bạn:]]</f>
        <v>50 - 54</v>
      </c>
      <c r="G64" t="str">
        <f>step3_validation[[#This Row],[Region]]</f>
        <v>Nông thôn</v>
      </c>
      <c r="H64" t="str">
        <f>survey_responses[[#This Row],[Khu vực bạn đang sinh sống:]]</f>
        <v>Nông thôn</v>
      </c>
      <c r="I64" t="str">
        <f>step3_validation[[#This Row],[Education]]</f>
        <v>Đại học</v>
      </c>
      <c r="J64" t="str">
        <f>survey_responses[[#This Row],[Trình độ học vấn cao nhất:]]</f>
        <v>Đại học</v>
      </c>
      <c r="K64" t="str">
        <f>step3_validation[[#This Row],[Employment]]</f>
        <v>Chính thức</v>
      </c>
      <c r="L64" t="str">
        <f>survey_responses[[#This Row],[Tình trạng việc làm chính:]]</f>
        <v>Khu vực chính thức (Có Hợp đồng lao động, đóng BHXH)</v>
      </c>
      <c r="M64">
        <f>step3_validation[[#This Row],[Income_Mil]]</f>
        <v>21.061271422574787</v>
      </c>
      <c r="N64" t="str">
        <f>survey_responses[[#This Row],[Thu nhập bình quân tháng theo Hợp đồng lao động của bạn là bao nhiêu? (Vui lòng điền tổng thu nhập trước khi khấu trừ các loại Bảo hiểm (BHXH, BHYT, BHTN) và Thuế TNCN)]]</f>
        <v>Từ 18 - 23 triệu VNĐ</v>
      </c>
      <c r="O64">
        <f>step3_validation[[#This Row],[Dependents]]</f>
        <v>1</v>
      </c>
      <c r="P64" t="str">
        <f>survey_responses[[#This Row],[Số người phụ thuộc (con nhỏ, cha mẹ già...) đủ điều kiện giảm trừ gia cảnh:]]</f>
        <v>1 người</v>
      </c>
      <c r="Q64">
        <f>step3_validation[[#This Row],[AI_ENF1]]</f>
        <v>6</v>
      </c>
      <c r="R64" t="str">
        <f t="shared" si="0"/>
        <v>Neutral</v>
      </c>
      <c r="S64">
        <f>survey_responses[[#This Row],[Tôi tin rằng với các quy định quản lý thuế hiện nay, hành vi gian lận hoặc trốn thuế sẽ dễ dàng bị phát hiện và xử lý nghiêm. - HUMAN-ENF1]]</f>
        <v>9</v>
      </c>
      <c r="T64" t="str">
        <f t="shared" si="1"/>
        <v>Support</v>
      </c>
      <c r="U64" s="32">
        <f t="shared" si="2"/>
        <v>3</v>
      </c>
      <c r="V64">
        <f>step3_validation[[#This Row],[AI_ENF2]]</f>
        <v>7</v>
      </c>
      <c r="W64" t="str">
        <f t="shared" si="3"/>
        <v>Neutral</v>
      </c>
      <c r="X64">
        <f>survey_responses[[#This Row],[Tôi tin rằng Nhà nước, cơ quan thuế có đủ khả năng và công nghệ để phát hiện, xử lý nghiêm các hành vi trốn thuế. - HUMAN-ENF2]]</f>
        <v>9</v>
      </c>
      <c r="Y64" t="str">
        <f t="shared" si="4"/>
        <v>Support</v>
      </c>
      <c r="Z64" s="32">
        <f t="shared" si="5"/>
        <v>2</v>
      </c>
      <c r="AA64">
        <f>step3_validation[[#This Row],[AI_FAC1]]</f>
        <v>8</v>
      </c>
      <c r="AB64" t="str">
        <f t="shared" si="6"/>
        <v>Support</v>
      </c>
      <c r="AC64">
        <f>survey_responses[[#This Row],[Các thủ tục khai báo thuế VÀ/HOẶC quy trình làm việc với cơ quan thuế đơn giản, tiện lợi, nhanh chóng hơn so với trước đây. - HUMAN-FAC1]]</f>
        <v>9</v>
      </c>
      <c r="AD64" t="str">
        <f t="shared" si="7"/>
        <v>Support</v>
      </c>
      <c r="AE64" s="32">
        <f t="shared" si="8"/>
        <v>1</v>
      </c>
      <c r="AF64">
        <f>step3_validation[[#This Row],[AI_FAC2]]</f>
        <v>9</v>
      </c>
      <c r="AG64" t="str">
        <f t="shared" si="9"/>
        <v>Support</v>
      </c>
      <c r="AH64">
        <f>survey_responses[[#This Row],[So với trước đây, tôi thấy cách tính thuế và các bậc thuế trong phương án mới đơn giản, dễ hiểu và dễ thực hiện hơn. - HUMAN-FAC2]]</f>
        <v>9</v>
      </c>
      <c r="AI64" t="str">
        <f t="shared" si="10"/>
        <v>Support</v>
      </c>
      <c r="AJ64" s="32">
        <f t="shared" si="11"/>
        <v>0</v>
      </c>
      <c r="AK64">
        <f>step3_validation[[#This Row],[AI_TRU1]]</f>
        <v>7</v>
      </c>
      <c r="AL64" t="str">
        <f t="shared" si="12"/>
        <v>Neutral</v>
      </c>
      <c r="AM64">
        <f>survey_responses[[#This Row],[Tôi tin rằng Nhà nước, cơ quan thuế sẽ thực thi chính sách mới một cách khách quan, công tâm và đối xử bình đẳng với mọi người nộp thuế.  - HUMAN-TRU1]]</f>
        <v>8</v>
      </c>
      <c r="AN64" t="str">
        <f t="shared" si="13"/>
        <v>Support</v>
      </c>
      <c r="AO64" s="32">
        <f t="shared" si="14"/>
        <v>1</v>
      </c>
      <c r="AP64">
        <f>step3_validation[[#This Row],[AI_TRU2]]</f>
        <v>8</v>
      </c>
      <c r="AQ64" t="str">
        <f t="shared" si="15"/>
        <v>Support</v>
      </c>
      <c r="AR64">
        <f>survey_responses[[#This Row],[Tôi thấy mức thuế tôi phải đóng theo phương án mới là công bằng (người thu nhập như tôi đóng mức này là hợp lý). - HUMAN-TRU2]]</f>
        <v>9</v>
      </c>
      <c r="AS64" t="str">
        <f t="shared" si="16"/>
        <v>Support</v>
      </c>
      <c r="AT64" s="32">
        <f t="shared" si="17"/>
        <v>1</v>
      </c>
      <c r="AU64">
        <f>step3_validation[[#This Row],[AI_TRU3]]</f>
        <v>5</v>
      </c>
      <c r="AV64" t="str">
        <f t="shared" si="18"/>
        <v>Neutral</v>
      </c>
      <c r="AW64">
        <f>survey_responses[[#This Row],[Tôi tin tưởng số tiền thuế tôi đóng sẽ được Nhà nước sử dụng hiệu quả để cải thiện dịch vụ công (y tế, đường xá...). - HUMAN-TRU3]]</f>
        <v>9</v>
      </c>
      <c r="AX64" t="str">
        <f t="shared" si="19"/>
        <v>Support</v>
      </c>
      <c r="AY64" s="32">
        <f t="shared" si="20"/>
        <v>4</v>
      </c>
      <c r="AZ64">
        <f>step3_validation[[#This Row],[AI_TRU4]]</f>
        <v>6</v>
      </c>
      <c r="BA64" t="str">
        <f t="shared" si="21"/>
        <v>Neutral</v>
      </c>
      <c r="BB64">
        <f>survey_responses[[#This Row],[Tôi thấy Nhà nước đã giải thích rõ ràng, minh bạch về lý do và mục tiêu của việc sửa đổi thuế lần này. - HUMAN-TRU4]]</f>
        <v>8</v>
      </c>
      <c r="BC64" t="str">
        <f t="shared" si="22"/>
        <v>Support</v>
      </c>
      <c r="BD64" s="32">
        <f t="shared" si="23"/>
        <v>2</v>
      </c>
      <c r="BE64">
        <f>step3_validation[[#This Row],[AI_OUT1]]</f>
        <v>8</v>
      </c>
      <c r="BF64" t="str">
        <f t="shared" si="24"/>
        <v>Support</v>
      </c>
      <c r="BG64">
        <f>survey_responses[[#This Row],[Sau khi xem xét các quyền lợi và nghĩa vụ, bạn có ủng hộ và tuân thủ chính sách mới hiện nay? - HUMAN-OUT1]]</f>
        <v>7</v>
      </c>
      <c r="BH64" t="str">
        <f t="shared" si="25"/>
        <v>Neutral</v>
      </c>
      <c r="BI64" s="32">
        <f t="shared" si="26"/>
        <v>1</v>
      </c>
    </row>
    <row r="65" spans="1:61" x14ac:dyDescent="0.45">
      <c r="A65" s="30">
        <f>step3_validation[[#This Row],[Persona_ID]]</f>
        <v>64</v>
      </c>
      <c r="B65" s="31">
        <f>step3_validation[[#This Row],[Used_Seed]]</f>
        <v>2054</v>
      </c>
      <c r="C65" t="str">
        <f>step3_validation[[#This Row],[Gender]]</f>
        <v>Nữ</v>
      </c>
      <c r="D65" t="str">
        <f>survey_responses[[#This Row],[Giới tính của bạn:]]</f>
        <v>Nữ</v>
      </c>
      <c r="E65" t="str">
        <f>step3_validation[[#This Row],[Age_Group]]</f>
        <v>30 - 39</v>
      </c>
      <c r="F65" t="str">
        <f>survey_responses[[#This Row],[Độ tuổi của bạn:]]</f>
        <v>30 - 39</v>
      </c>
      <c r="G65" t="str">
        <f>step3_validation[[#This Row],[Region]]</f>
        <v>Thành thị</v>
      </c>
      <c r="H65" t="str">
        <f>survey_responses[[#This Row],[Khu vực bạn đang sinh sống:]]</f>
        <v>Thành thị</v>
      </c>
      <c r="I65" t="str">
        <f>step3_validation[[#This Row],[Education]]</f>
        <v>Đại học</v>
      </c>
      <c r="J65" t="str">
        <f>survey_responses[[#This Row],[Trình độ học vấn cao nhất:]]</f>
        <v>Đại học</v>
      </c>
      <c r="K65" t="str">
        <f>step3_validation[[#This Row],[Employment]]</f>
        <v>Phi chính thức</v>
      </c>
      <c r="L65" t="str">
        <f>survey_responses[[#This Row],[Tình trạng việc làm chính:]]</f>
        <v>Khu vực phi chính thức (Lao động tự do, không có HĐLĐ)</v>
      </c>
      <c r="M65">
        <f>step3_validation[[#This Row],[Income_Mil]]</f>
        <v>176.49749807574759</v>
      </c>
      <c r="N65" t="str">
        <f>survey_responses[[#This Row],[Thu nhập bình quân tháng theo Hợp đồng lao động của bạn là bao nhiêu? (Vui lòng điền tổng thu nhập trước khi khấu trừ các loại Bảo hiểm (BHXH, BHYT, BHTN) và Thuế TNCN)]]</f>
        <v>Trên 102 triệu VNĐ</v>
      </c>
      <c r="O65">
        <f>step3_validation[[#This Row],[Dependents]]</f>
        <v>2</v>
      </c>
      <c r="P65" t="str">
        <f>survey_responses[[#This Row],[Số người phụ thuộc (con nhỏ, cha mẹ già...) đủ điều kiện giảm trừ gia cảnh:]]</f>
        <v>2 người</v>
      </c>
      <c r="Q65">
        <f>step3_validation[[#This Row],[AI_ENF1]]</f>
        <v>6</v>
      </c>
      <c r="R65" t="str">
        <f t="shared" si="0"/>
        <v>Neutral</v>
      </c>
      <c r="S65">
        <f>survey_responses[[#This Row],[Tôi tin rằng với các quy định quản lý thuế hiện nay, hành vi gian lận hoặc trốn thuế sẽ dễ dàng bị phát hiện và xử lý nghiêm. - HUMAN-ENF1]]</f>
        <v>9</v>
      </c>
      <c r="T65" t="str">
        <f t="shared" si="1"/>
        <v>Support</v>
      </c>
      <c r="U65" s="32">
        <f t="shared" si="2"/>
        <v>3</v>
      </c>
      <c r="V65">
        <f>step3_validation[[#This Row],[AI_ENF2]]</f>
        <v>7</v>
      </c>
      <c r="W65" t="str">
        <f t="shared" si="3"/>
        <v>Neutral</v>
      </c>
      <c r="X65">
        <f>survey_responses[[#This Row],[Tôi tin rằng Nhà nước, cơ quan thuế có đủ khả năng và công nghệ để phát hiện, xử lý nghiêm các hành vi trốn thuế. - HUMAN-ENF2]]</f>
        <v>10</v>
      </c>
      <c r="Y65" t="str">
        <f t="shared" si="4"/>
        <v>Support</v>
      </c>
      <c r="Z65" s="32">
        <f t="shared" si="5"/>
        <v>3</v>
      </c>
      <c r="AA65">
        <f>step3_validation[[#This Row],[AI_FAC1]]</f>
        <v>8</v>
      </c>
      <c r="AB65" t="str">
        <f t="shared" si="6"/>
        <v>Support</v>
      </c>
      <c r="AC65">
        <f>survey_responses[[#This Row],[Các thủ tục khai báo thuế VÀ/HOẶC quy trình làm việc với cơ quan thuế đơn giản, tiện lợi, nhanh chóng hơn so với trước đây. - HUMAN-FAC1]]</f>
        <v>9</v>
      </c>
      <c r="AD65" t="str">
        <f t="shared" si="7"/>
        <v>Support</v>
      </c>
      <c r="AE65" s="32">
        <f t="shared" si="8"/>
        <v>1</v>
      </c>
      <c r="AF65">
        <f>step3_validation[[#This Row],[AI_FAC2]]</f>
        <v>9</v>
      </c>
      <c r="AG65" t="str">
        <f t="shared" si="9"/>
        <v>Support</v>
      </c>
      <c r="AH65">
        <f>survey_responses[[#This Row],[So với trước đây, tôi thấy cách tính thuế và các bậc thuế trong phương án mới đơn giản, dễ hiểu và dễ thực hiện hơn. - HUMAN-FAC2]]</f>
        <v>10</v>
      </c>
      <c r="AI65" t="str">
        <f t="shared" si="10"/>
        <v>Support</v>
      </c>
      <c r="AJ65" s="32">
        <f t="shared" si="11"/>
        <v>1</v>
      </c>
      <c r="AK65">
        <f>step3_validation[[#This Row],[AI_TRU1]]</f>
        <v>7</v>
      </c>
      <c r="AL65" t="str">
        <f t="shared" si="12"/>
        <v>Neutral</v>
      </c>
      <c r="AM65">
        <f>survey_responses[[#This Row],[Tôi tin rằng Nhà nước, cơ quan thuế sẽ thực thi chính sách mới một cách khách quan, công tâm và đối xử bình đẳng với mọi người nộp thuế.  - HUMAN-TRU1]]</f>
        <v>10</v>
      </c>
      <c r="AN65" t="str">
        <f t="shared" si="13"/>
        <v>Support</v>
      </c>
      <c r="AO65" s="32">
        <f t="shared" si="14"/>
        <v>3</v>
      </c>
      <c r="AP65">
        <f>step3_validation[[#This Row],[AI_TRU2]]</f>
        <v>8</v>
      </c>
      <c r="AQ65" t="str">
        <f t="shared" si="15"/>
        <v>Support</v>
      </c>
      <c r="AR65">
        <f>survey_responses[[#This Row],[Tôi thấy mức thuế tôi phải đóng theo phương án mới là công bằng (người thu nhập như tôi đóng mức này là hợp lý). - HUMAN-TRU2]]</f>
        <v>5</v>
      </c>
      <c r="AS65" t="str">
        <f t="shared" si="16"/>
        <v>Neutral</v>
      </c>
      <c r="AT65" s="32">
        <f t="shared" si="17"/>
        <v>3</v>
      </c>
      <c r="AU65">
        <f>step3_validation[[#This Row],[AI_TRU3]]</f>
        <v>7</v>
      </c>
      <c r="AV65" t="str">
        <f t="shared" si="18"/>
        <v>Neutral</v>
      </c>
      <c r="AW65">
        <f>survey_responses[[#This Row],[Tôi tin tưởng số tiền thuế tôi đóng sẽ được Nhà nước sử dụng hiệu quả để cải thiện dịch vụ công (y tế, đường xá...). - HUMAN-TRU3]]</f>
        <v>10</v>
      </c>
      <c r="AX65" t="str">
        <f t="shared" si="19"/>
        <v>Support</v>
      </c>
      <c r="AY65" s="32">
        <f t="shared" si="20"/>
        <v>3</v>
      </c>
      <c r="AZ65">
        <f>step3_validation[[#This Row],[AI_TRU4]]</f>
        <v>5</v>
      </c>
      <c r="BA65" t="str">
        <f t="shared" si="21"/>
        <v>Neutral</v>
      </c>
      <c r="BB65">
        <f>survey_responses[[#This Row],[Tôi thấy Nhà nước đã giải thích rõ ràng, minh bạch về lý do và mục tiêu của việc sửa đổi thuế lần này. - HUMAN-TRU4]]</f>
        <v>7</v>
      </c>
      <c r="BC65" t="str">
        <f t="shared" si="22"/>
        <v>Neutral</v>
      </c>
      <c r="BD65" s="32">
        <f t="shared" si="23"/>
        <v>2</v>
      </c>
      <c r="BE65">
        <f>step3_validation[[#This Row],[AI_OUT1]]</f>
        <v>7</v>
      </c>
      <c r="BF65" t="str">
        <f t="shared" si="24"/>
        <v>Neutral</v>
      </c>
      <c r="BG65">
        <f>survey_responses[[#This Row],[Sau khi xem xét các quyền lợi và nghĩa vụ, bạn có ủng hộ và tuân thủ chính sách mới hiện nay? - HUMAN-OUT1]]</f>
        <v>9</v>
      </c>
      <c r="BH65" t="str">
        <f t="shared" si="25"/>
        <v>Support</v>
      </c>
      <c r="BI65" s="32">
        <f t="shared" si="26"/>
        <v>2</v>
      </c>
    </row>
    <row r="66" spans="1:61" x14ac:dyDescent="0.45">
      <c r="A66" s="30">
        <f>step3_validation[[#This Row],[Persona_ID]]</f>
        <v>65</v>
      </c>
      <c r="B66" s="31">
        <f>step3_validation[[#This Row],[Used_Seed]]</f>
        <v>2055</v>
      </c>
      <c r="C66" t="str">
        <f>step3_validation[[#This Row],[Gender]]</f>
        <v>Nữ</v>
      </c>
      <c r="D66" t="str">
        <f>survey_responses[[#This Row],[Giới tính của bạn:]]</f>
        <v>Nữ</v>
      </c>
      <c r="E66" t="str">
        <f>step3_validation[[#This Row],[Age_Group]]</f>
        <v>40 - 49</v>
      </c>
      <c r="F66" t="str">
        <f>survey_responses[[#This Row],[Độ tuổi của bạn:]]</f>
        <v>40 - 49</v>
      </c>
      <c r="G66" t="str">
        <f>step3_validation[[#This Row],[Region]]</f>
        <v>Nông thôn</v>
      </c>
      <c r="H66" t="str">
        <f>survey_responses[[#This Row],[Khu vực bạn đang sinh sống:]]</f>
        <v>Nông thôn</v>
      </c>
      <c r="I66" t="str">
        <f>step3_validation[[#This Row],[Education]]</f>
        <v>Đại học</v>
      </c>
      <c r="J66" t="str">
        <f>survey_responses[[#This Row],[Trình độ học vấn cao nhất:]]</f>
        <v>Đại học</v>
      </c>
      <c r="K66" t="str">
        <f>step3_validation[[#This Row],[Employment]]</f>
        <v>Chính thức</v>
      </c>
      <c r="L66" t="str">
        <f>survey_responses[[#This Row],[Tình trạng việc làm chính:]]</f>
        <v>Khu vực chính thức (Có Hợp đồng lao động, đóng BHXH)</v>
      </c>
      <c r="M66">
        <f>step3_validation[[#This Row],[Income_Mil]]</f>
        <v>12</v>
      </c>
      <c r="N66" t="str">
        <f>survey_responses[[#This Row],[Thu nhập bình quân tháng theo Hợp đồng lao động của bạn là bao nhiêu? (Vui lòng điền tổng thu nhập trước khi khấu trừ các loại Bảo hiểm (BHXH, BHYT, BHTN) và Thuế TNCN)]]</f>
        <v>Dưới 12 triệu VNĐ</v>
      </c>
      <c r="O66">
        <f>step3_validation[[#This Row],[Dependents]]</f>
        <v>2</v>
      </c>
      <c r="P66" t="str">
        <f>survey_responses[[#This Row],[Số người phụ thuộc (con nhỏ, cha mẹ già...) đủ điều kiện giảm trừ gia cảnh:]]</f>
        <v>2 người</v>
      </c>
      <c r="Q66">
        <f>step3_validation[[#This Row],[AI_ENF1]]</f>
        <v>7</v>
      </c>
      <c r="R66" t="str">
        <f t="shared" si="0"/>
        <v>Neutral</v>
      </c>
      <c r="S66">
        <f>survey_responses[[#This Row],[Tôi tin rằng với các quy định quản lý thuế hiện nay, hành vi gian lận hoặc trốn thuế sẽ dễ dàng bị phát hiện và xử lý nghiêm. - HUMAN-ENF1]]</f>
        <v>10</v>
      </c>
      <c r="T66" t="str">
        <f t="shared" si="1"/>
        <v>Support</v>
      </c>
      <c r="U66" s="32">
        <f t="shared" si="2"/>
        <v>3</v>
      </c>
      <c r="V66">
        <f>step3_validation[[#This Row],[AI_ENF2]]</f>
        <v>8</v>
      </c>
      <c r="W66" t="str">
        <f t="shared" si="3"/>
        <v>Support</v>
      </c>
      <c r="X66">
        <f>survey_responses[[#This Row],[Tôi tin rằng Nhà nước, cơ quan thuế có đủ khả năng và công nghệ để phát hiện, xử lý nghiêm các hành vi trốn thuế. - HUMAN-ENF2]]</f>
        <v>10</v>
      </c>
      <c r="Y66" t="str">
        <f t="shared" si="4"/>
        <v>Support</v>
      </c>
      <c r="Z66" s="32">
        <f t="shared" si="5"/>
        <v>2</v>
      </c>
      <c r="AA66">
        <f>step3_validation[[#This Row],[AI_FAC1]]</f>
        <v>6</v>
      </c>
      <c r="AB66" t="str">
        <f t="shared" si="6"/>
        <v>Neutral</v>
      </c>
      <c r="AC66">
        <f>survey_responses[[#This Row],[Các thủ tục khai báo thuế VÀ/HOẶC quy trình làm việc với cơ quan thuế đơn giản, tiện lợi, nhanh chóng hơn so với trước đây. - HUMAN-FAC1]]</f>
        <v>10</v>
      </c>
      <c r="AD66" t="str">
        <f t="shared" si="7"/>
        <v>Support</v>
      </c>
      <c r="AE66" s="32">
        <f t="shared" si="8"/>
        <v>4</v>
      </c>
      <c r="AF66">
        <f>step3_validation[[#This Row],[AI_FAC2]]</f>
        <v>8</v>
      </c>
      <c r="AG66" t="str">
        <f t="shared" si="9"/>
        <v>Support</v>
      </c>
      <c r="AH66">
        <f>survey_responses[[#This Row],[So với trước đây, tôi thấy cách tính thuế và các bậc thuế trong phương án mới đơn giản, dễ hiểu và dễ thực hiện hơn. - HUMAN-FAC2]]</f>
        <v>10</v>
      </c>
      <c r="AI66" t="str">
        <f t="shared" si="10"/>
        <v>Support</v>
      </c>
      <c r="AJ66" s="32">
        <f t="shared" si="11"/>
        <v>2</v>
      </c>
      <c r="AK66">
        <f>step3_validation[[#This Row],[AI_TRU1]]</f>
        <v>7</v>
      </c>
      <c r="AL66" t="str">
        <f t="shared" si="12"/>
        <v>Neutral</v>
      </c>
      <c r="AM66">
        <f>survey_responses[[#This Row],[Tôi tin rằng Nhà nước, cơ quan thuế sẽ thực thi chính sách mới một cách khách quan, công tâm và đối xử bình đẳng với mọi người nộp thuế.  - HUMAN-TRU1]]</f>
        <v>10</v>
      </c>
      <c r="AN66" t="str">
        <f t="shared" si="13"/>
        <v>Support</v>
      </c>
      <c r="AO66" s="32">
        <f t="shared" si="14"/>
        <v>3</v>
      </c>
      <c r="AP66">
        <f>step3_validation[[#This Row],[AI_TRU2]]</f>
        <v>6</v>
      </c>
      <c r="AQ66" t="str">
        <f t="shared" si="15"/>
        <v>Neutral</v>
      </c>
      <c r="AR66">
        <f>survey_responses[[#This Row],[Tôi thấy mức thuế tôi phải đóng theo phương án mới là công bằng (người thu nhập như tôi đóng mức này là hợp lý). - HUMAN-TRU2]]</f>
        <v>10</v>
      </c>
      <c r="AS66" t="str">
        <f t="shared" si="16"/>
        <v>Support</v>
      </c>
      <c r="AT66" s="32">
        <f t="shared" si="17"/>
        <v>4</v>
      </c>
      <c r="AU66">
        <f>step3_validation[[#This Row],[AI_TRU3]]</f>
        <v>5</v>
      </c>
      <c r="AV66" t="str">
        <f t="shared" si="18"/>
        <v>Neutral</v>
      </c>
      <c r="AW66">
        <f>survey_responses[[#This Row],[Tôi tin tưởng số tiền thuế tôi đóng sẽ được Nhà nước sử dụng hiệu quả để cải thiện dịch vụ công (y tế, đường xá...). - HUMAN-TRU3]]</f>
        <v>10</v>
      </c>
      <c r="AX66" t="str">
        <f t="shared" si="19"/>
        <v>Support</v>
      </c>
      <c r="AY66" s="32">
        <f t="shared" si="20"/>
        <v>5</v>
      </c>
      <c r="AZ66">
        <f>step3_validation[[#This Row],[AI_TRU4]]</f>
        <v>7</v>
      </c>
      <c r="BA66" t="str">
        <f t="shared" si="21"/>
        <v>Neutral</v>
      </c>
      <c r="BB66">
        <f>survey_responses[[#This Row],[Tôi thấy Nhà nước đã giải thích rõ ràng, minh bạch về lý do và mục tiêu của việc sửa đổi thuế lần này. - HUMAN-TRU4]]</f>
        <v>10</v>
      </c>
      <c r="BC66" t="str">
        <f t="shared" si="22"/>
        <v>Support</v>
      </c>
      <c r="BD66" s="32">
        <f t="shared" si="23"/>
        <v>3</v>
      </c>
      <c r="BE66">
        <f>step3_validation[[#This Row],[AI_OUT1]]</f>
        <v>6</v>
      </c>
      <c r="BF66" t="str">
        <f t="shared" si="24"/>
        <v>Neutral</v>
      </c>
      <c r="BG66">
        <f>survey_responses[[#This Row],[Sau khi xem xét các quyền lợi và nghĩa vụ, bạn có ủng hộ và tuân thủ chính sách mới hiện nay? - HUMAN-OUT1]]</f>
        <v>10</v>
      </c>
      <c r="BH66" t="str">
        <f t="shared" si="25"/>
        <v>Support</v>
      </c>
      <c r="BI66" s="32">
        <f t="shared" si="26"/>
        <v>4</v>
      </c>
    </row>
    <row r="67" spans="1:61" x14ac:dyDescent="0.45">
      <c r="A67" s="30">
        <f>step3_validation[[#This Row],[Persona_ID]]</f>
        <v>66</v>
      </c>
      <c r="B67" s="31">
        <f>step3_validation[[#This Row],[Used_Seed]]</f>
        <v>2056</v>
      </c>
      <c r="C67" t="str">
        <f>step3_validation[[#This Row],[Gender]]</f>
        <v>Nữ</v>
      </c>
      <c r="D67" t="str">
        <f>survey_responses[[#This Row],[Giới tính của bạn:]]</f>
        <v>Nữ</v>
      </c>
      <c r="E67" t="str">
        <f>step3_validation[[#This Row],[Age_Group]]</f>
        <v>25 - 29</v>
      </c>
      <c r="F67" t="str">
        <f>survey_responses[[#This Row],[Độ tuổi của bạn:]]</f>
        <v>25 - 29</v>
      </c>
      <c r="G67" t="str">
        <f>step3_validation[[#This Row],[Region]]</f>
        <v>Thành thị</v>
      </c>
      <c r="H67" t="str">
        <f>survey_responses[[#This Row],[Khu vực bạn đang sinh sống:]]</f>
        <v>Thành thị</v>
      </c>
      <c r="I67" t="str">
        <f>step3_validation[[#This Row],[Education]]</f>
        <v>Cao đẳng</v>
      </c>
      <c r="J67" t="str">
        <f>survey_responses[[#This Row],[Trình độ học vấn cao nhất:]]</f>
        <v>Cao đẳng</v>
      </c>
      <c r="K67" t="str">
        <f>step3_validation[[#This Row],[Employment]]</f>
        <v>Chính thức</v>
      </c>
      <c r="L67" t="str">
        <f>survey_responses[[#This Row],[Tình trạng việc làm chính:]]</f>
        <v>Khu vực chính thức (Có Hợp đồng lao động, đóng BHXH)</v>
      </c>
      <c r="M67">
        <f>step3_validation[[#This Row],[Income_Mil]]</f>
        <v>16.226287990479388</v>
      </c>
      <c r="N67" t="str">
        <f>survey_responses[[#This Row],[Thu nhập bình quân tháng theo Hợp đồng lao động của bạn là bao nhiêu? (Vui lòng điền tổng thu nhập trước khi khấu trừ các loại Bảo hiểm (BHXH, BHYT, BHTN) và Thuế TNCN)]]</f>
        <v>Từ 12 - 18 triệu VNĐ</v>
      </c>
      <c r="O67">
        <f>step3_validation[[#This Row],[Dependents]]</f>
        <v>0</v>
      </c>
      <c r="P67" t="str">
        <f>survey_responses[[#This Row],[Số người phụ thuộc (con nhỏ, cha mẹ già...) đủ điều kiện giảm trừ gia cảnh:]]</f>
        <v>0 người</v>
      </c>
      <c r="Q67">
        <f>step3_validation[[#This Row],[AI_ENF1]]</f>
        <v>7</v>
      </c>
      <c r="R67" t="str">
        <f t="shared" ref="R67:R130" si="27">IF(AND(Q67&gt;=1,Q67&lt;5),"Oppose",IF(AND(Q67&gt;=5,Q67&lt;8),"Neutral",IF(AND(Q67&gt;=8,Q67&lt;=10),"Support","")))</f>
        <v>Neutral</v>
      </c>
      <c r="S67">
        <f>survey_responses[[#This Row],[Tôi tin rằng với các quy định quản lý thuế hiện nay, hành vi gian lận hoặc trốn thuế sẽ dễ dàng bị phát hiện và xử lý nghiêm. - HUMAN-ENF1]]</f>
        <v>7</v>
      </c>
      <c r="T67" t="str">
        <f t="shared" ref="T67:T130" si="28">IF(AND(S67&gt;=1,S67&lt;5),"Oppose",IF(AND(S67&gt;=5,S67&lt;8),"Neutral",IF(AND(S67&gt;=8,S67&lt;=10),"Support","")))</f>
        <v>Neutral</v>
      </c>
      <c r="U67" s="32">
        <f t="shared" ref="U67:U130" si="29">ABS(S67-Q67)</f>
        <v>0</v>
      </c>
      <c r="V67">
        <f>step3_validation[[#This Row],[AI_ENF2]]</f>
        <v>8</v>
      </c>
      <c r="W67" t="str">
        <f t="shared" ref="W67:W130" si="30">IF(AND(V67&gt;=1,V67&lt;5),"Oppose",IF(AND(V67&gt;=5,V67&lt;8),"Neutral",IF(AND(V67&gt;=8,V67&lt;=10),"Support","")))</f>
        <v>Support</v>
      </c>
      <c r="X67">
        <f>survey_responses[[#This Row],[Tôi tin rằng Nhà nước, cơ quan thuế có đủ khả năng và công nghệ để phát hiện, xử lý nghiêm các hành vi trốn thuế. - HUMAN-ENF2]]</f>
        <v>5</v>
      </c>
      <c r="Y67" t="str">
        <f t="shared" ref="Y67:Y130" si="31">IF(AND(X67&gt;=1,X67&lt;5),"Oppose",IF(AND(X67&gt;=5,X67&lt;8),"Neutral",IF(AND(X67&gt;=8,X67&lt;=10),"Support","")))</f>
        <v>Neutral</v>
      </c>
      <c r="Z67" s="32">
        <f t="shared" ref="Z67:Z130" si="32">ABS(X67-V67)</f>
        <v>3</v>
      </c>
      <c r="AA67">
        <f>step3_validation[[#This Row],[AI_FAC1]]</f>
        <v>9</v>
      </c>
      <c r="AB67" t="str">
        <f t="shared" ref="AB67:AB130" si="33">IF(AND(AA67&gt;=1,AA67&lt;5),"Oppose",IF(AND(AA67&gt;=5,AA67&lt;8),"Neutral",IF(AND(AA67&gt;=8,AA67&lt;=10),"Support","")))</f>
        <v>Support</v>
      </c>
      <c r="AC67">
        <f>survey_responses[[#This Row],[Các thủ tục khai báo thuế VÀ/HOẶC quy trình làm việc với cơ quan thuế đơn giản, tiện lợi, nhanh chóng hơn so với trước đây. - HUMAN-FAC1]]</f>
        <v>3</v>
      </c>
      <c r="AD67" t="str">
        <f t="shared" ref="AD67:AD130" si="34">IF(AND(AC67&gt;=1,AC67&lt;5),"Oppose",IF(AND(AC67&gt;=5,AC67&lt;8),"Neutral",IF(AND(AC67&gt;=8,AC67&lt;=10),"Support","")))</f>
        <v>Oppose</v>
      </c>
      <c r="AE67" s="32">
        <f t="shared" ref="AE67:AE130" si="35">ABS(AC67-AA67)</f>
        <v>6</v>
      </c>
      <c r="AF67">
        <f>step3_validation[[#This Row],[AI_FAC2]]</f>
        <v>8</v>
      </c>
      <c r="AG67" t="str">
        <f t="shared" ref="AG67:AG130" si="36">IF(AND(AF67&gt;=1,AF67&lt;5),"Oppose",IF(AND(AF67&gt;=5,AF67&lt;8),"Neutral",IF(AND(AF67&gt;=8,AF67&lt;=10),"Support","")))</f>
        <v>Support</v>
      </c>
      <c r="AH67">
        <f>survey_responses[[#This Row],[So với trước đây, tôi thấy cách tính thuế và các bậc thuế trong phương án mới đơn giản, dễ hiểu và dễ thực hiện hơn. - HUMAN-FAC2]]</f>
        <v>5</v>
      </c>
      <c r="AI67" t="str">
        <f t="shared" ref="AI67:AI130" si="37">IF(AND(AH67&gt;=1,AH67&lt;5),"Oppose",IF(AND(AH67&gt;=5,AH67&lt;8),"Neutral",IF(AND(AH67&gt;=8,AH67&lt;=10),"Support","")))</f>
        <v>Neutral</v>
      </c>
      <c r="AJ67" s="32">
        <f t="shared" ref="AJ67:AJ130" si="38">ABS(AH67-AF67)</f>
        <v>3</v>
      </c>
      <c r="AK67">
        <f>step3_validation[[#This Row],[AI_TRU1]]</f>
        <v>8</v>
      </c>
      <c r="AL67" t="str">
        <f t="shared" ref="AL67:AL130" si="39">IF(AND(AK67&gt;=1,AK67&lt;5),"Oppose",IF(AND(AK67&gt;=5,AK67&lt;8),"Neutral",IF(AND(AK67&gt;=8,AK67&lt;=10),"Support","")))</f>
        <v>Support</v>
      </c>
      <c r="AM67">
        <f>survey_responses[[#This Row],[Tôi tin rằng Nhà nước, cơ quan thuế sẽ thực thi chính sách mới một cách khách quan, công tâm và đối xử bình đẳng với mọi người nộp thuế.  - HUMAN-TRU1]]</f>
        <v>4</v>
      </c>
      <c r="AN67" t="str">
        <f t="shared" ref="AN67:AN130" si="40">IF(AND(AM67&gt;=1,AM67&lt;5),"Oppose",IF(AND(AM67&gt;=5,AM67&lt;8),"Neutral",IF(AND(AM67&gt;=8,AM67&lt;=10),"Support","")))</f>
        <v>Oppose</v>
      </c>
      <c r="AO67" s="32">
        <f t="shared" ref="AO67:AO130" si="41">ABS(AM67-AK67)</f>
        <v>4</v>
      </c>
      <c r="AP67">
        <f>step3_validation[[#This Row],[AI_TRU2]]</f>
        <v>7</v>
      </c>
      <c r="AQ67" t="str">
        <f t="shared" ref="AQ67:AQ130" si="42">IF(AND(AP67&gt;=1,AP67&lt;5),"Oppose",IF(AND(AP67&gt;=5,AP67&lt;8),"Neutral",IF(AND(AP67&gt;=8,AP67&lt;=10),"Support","")))</f>
        <v>Neutral</v>
      </c>
      <c r="AR67">
        <f>survey_responses[[#This Row],[Tôi thấy mức thuế tôi phải đóng theo phương án mới là công bằng (người thu nhập như tôi đóng mức này là hợp lý). - HUMAN-TRU2]]</f>
        <v>3</v>
      </c>
      <c r="AS67" t="str">
        <f t="shared" ref="AS67:AS130" si="43">IF(AND(AR67&gt;=1,AR67&lt;5),"Oppose",IF(AND(AR67&gt;=5,AR67&lt;8),"Neutral",IF(AND(AR67&gt;=8,AR67&lt;=10),"Support","")))</f>
        <v>Oppose</v>
      </c>
      <c r="AT67" s="32">
        <f t="shared" ref="AT67:AT130" si="44">ABS(AR67-AP67)</f>
        <v>4</v>
      </c>
      <c r="AU67">
        <f>step3_validation[[#This Row],[AI_TRU3]]</f>
        <v>7</v>
      </c>
      <c r="AV67" t="str">
        <f t="shared" ref="AV67:AV130" si="45">IF(AND(AU67&gt;=1,AU67&lt;5),"Oppose",IF(AND(AU67&gt;=5,AU67&lt;8),"Neutral",IF(AND(AU67&gt;=8,AU67&lt;=10),"Support","")))</f>
        <v>Neutral</v>
      </c>
      <c r="AW67">
        <f>survey_responses[[#This Row],[Tôi tin tưởng số tiền thuế tôi đóng sẽ được Nhà nước sử dụng hiệu quả để cải thiện dịch vụ công (y tế, đường xá...). - HUMAN-TRU3]]</f>
        <v>5</v>
      </c>
      <c r="AX67" t="str">
        <f t="shared" ref="AX67:AX130" si="46">IF(AND(AW67&gt;=1,AW67&lt;5),"Oppose",IF(AND(AW67&gt;=5,AW67&lt;8),"Neutral",IF(AND(AW67&gt;=8,AW67&lt;=10),"Support","")))</f>
        <v>Neutral</v>
      </c>
      <c r="AY67" s="32">
        <f t="shared" ref="AY67:AY130" si="47">ABS(AW67-AU67)</f>
        <v>2</v>
      </c>
      <c r="AZ67">
        <f>step3_validation[[#This Row],[AI_TRU4]]</f>
        <v>7</v>
      </c>
      <c r="BA67" t="str">
        <f t="shared" ref="BA67:BA130" si="48">IF(AND(AZ67&gt;=1,AZ67&lt;5),"Oppose",IF(AND(AZ67&gt;=5,AZ67&lt;8),"Neutral",IF(AND(AZ67&gt;=8,AZ67&lt;=10),"Support","")))</f>
        <v>Neutral</v>
      </c>
      <c r="BB67">
        <f>survey_responses[[#This Row],[Tôi thấy Nhà nước đã giải thích rõ ràng, minh bạch về lý do và mục tiêu của việc sửa đổi thuế lần này. - HUMAN-TRU4]]</f>
        <v>6</v>
      </c>
      <c r="BC67" t="str">
        <f t="shared" ref="BC67:BC130" si="49">IF(AND(BB67&gt;=1,BB67&lt;5),"Oppose",IF(AND(BB67&gt;=5,BB67&lt;8),"Neutral",IF(AND(BB67&gt;=8,BB67&lt;=10),"Support","")))</f>
        <v>Neutral</v>
      </c>
      <c r="BD67" s="32">
        <f t="shared" ref="BD67:BD130" si="50">ABS(BB67-AZ67)</f>
        <v>1</v>
      </c>
      <c r="BE67">
        <f>step3_validation[[#This Row],[AI_OUT1]]</f>
        <v>8</v>
      </c>
      <c r="BF67" t="str">
        <f t="shared" ref="BF67:BF130" si="51">IF(AND(BE67&gt;=1,BE67&lt;5),"Oppose",IF(AND(BE67&gt;=5,BE67&lt;8),"Neutral",IF(AND(BE67&gt;=8,BE67&lt;=10),"Support","")))</f>
        <v>Support</v>
      </c>
      <c r="BG67">
        <f>survey_responses[[#This Row],[Sau khi xem xét các quyền lợi và nghĩa vụ, bạn có ủng hộ và tuân thủ chính sách mới hiện nay? - HUMAN-OUT1]]</f>
        <v>6</v>
      </c>
      <c r="BH67" t="str">
        <f t="shared" ref="BH67:BH130" si="52">IF(AND(BG67&gt;=1,BG67&lt;5),"Oppose",IF(AND(BG67&gt;=5,BG67&lt;8),"Neutral",IF(AND(BG67&gt;=8,BG67&lt;=10),"Support","")))</f>
        <v>Neutral</v>
      </c>
      <c r="BI67" s="32">
        <f t="shared" ref="BI67:BI130" si="53">ABS(BG67-BE67)</f>
        <v>2</v>
      </c>
    </row>
    <row r="68" spans="1:61" x14ac:dyDescent="0.45">
      <c r="A68" s="30">
        <f>step3_validation[[#This Row],[Persona_ID]]</f>
        <v>67</v>
      </c>
      <c r="B68" s="31">
        <f>step3_validation[[#This Row],[Used_Seed]]</f>
        <v>2057</v>
      </c>
      <c r="C68" t="str">
        <f>step3_validation[[#This Row],[Gender]]</f>
        <v>Nam</v>
      </c>
      <c r="D68" t="str">
        <f>survey_responses[[#This Row],[Giới tính của bạn:]]</f>
        <v>Nam</v>
      </c>
      <c r="E68" t="str">
        <f>step3_validation[[#This Row],[Age_Group]]</f>
        <v>40 - 49</v>
      </c>
      <c r="F68" t="str">
        <f>survey_responses[[#This Row],[Độ tuổi của bạn:]]</f>
        <v>40 - 49</v>
      </c>
      <c r="G68" t="str">
        <f>step3_validation[[#This Row],[Region]]</f>
        <v>Thành thị</v>
      </c>
      <c r="H68" t="str">
        <f>survey_responses[[#This Row],[Khu vực bạn đang sinh sống:]]</f>
        <v>Thành thị</v>
      </c>
      <c r="I68" t="str">
        <f>step3_validation[[#This Row],[Education]]</f>
        <v>Sau Đại học</v>
      </c>
      <c r="J68" t="str">
        <f>survey_responses[[#This Row],[Trình độ học vấn cao nhất:]]</f>
        <v>Sau Đại học</v>
      </c>
      <c r="K68" t="str">
        <f>step3_validation[[#This Row],[Employment]]</f>
        <v>Chính thức</v>
      </c>
      <c r="L68" t="str">
        <f>survey_responses[[#This Row],[Tình trạng việc làm chính:]]</f>
        <v>Khu vực chính thức (Có Hợp đồng lao động, đóng BHXH)</v>
      </c>
      <c r="M68">
        <f>step3_validation[[#This Row],[Income_Mil]]</f>
        <v>99.597505023334961</v>
      </c>
      <c r="N68" t="str">
        <f>survey_responses[[#This Row],[Thu nhập bình quân tháng theo Hợp đồng lao động của bạn là bao nhiêu? (Vui lòng điền tổng thu nhập trước khi khấu trừ các loại Bảo hiểm (BHXH, BHYT, BHTN) và Thuế TNCN)]]</f>
        <v>Từ 70 - 102 triệu VNĐ</v>
      </c>
      <c r="O68">
        <f>step3_validation[[#This Row],[Dependents]]</f>
        <v>2</v>
      </c>
      <c r="P68" t="str">
        <f>survey_responses[[#This Row],[Số người phụ thuộc (con nhỏ, cha mẹ già...) đủ điều kiện giảm trừ gia cảnh:]]</f>
        <v>2 người</v>
      </c>
      <c r="Q68">
        <f>step3_validation[[#This Row],[AI_ENF1]]</f>
        <v>8</v>
      </c>
      <c r="R68" t="str">
        <f t="shared" si="27"/>
        <v>Support</v>
      </c>
      <c r="S68">
        <f>survey_responses[[#This Row],[Tôi tin rằng với các quy định quản lý thuế hiện nay, hành vi gian lận hoặc trốn thuế sẽ dễ dàng bị phát hiện và xử lý nghiêm. - HUMAN-ENF1]]</f>
        <v>5</v>
      </c>
      <c r="T68" t="str">
        <f t="shared" si="28"/>
        <v>Neutral</v>
      </c>
      <c r="U68" s="32">
        <f t="shared" si="29"/>
        <v>3</v>
      </c>
      <c r="V68">
        <f>step3_validation[[#This Row],[AI_ENF2]]</f>
        <v>9</v>
      </c>
      <c r="W68" t="str">
        <f t="shared" si="30"/>
        <v>Support</v>
      </c>
      <c r="X68">
        <f>survey_responses[[#This Row],[Tôi tin rằng Nhà nước, cơ quan thuế có đủ khả năng và công nghệ để phát hiện, xử lý nghiêm các hành vi trốn thuế. - HUMAN-ENF2]]</f>
        <v>5</v>
      </c>
      <c r="Y68" t="str">
        <f t="shared" si="31"/>
        <v>Neutral</v>
      </c>
      <c r="Z68" s="32">
        <f t="shared" si="32"/>
        <v>4</v>
      </c>
      <c r="AA68">
        <f>step3_validation[[#This Row],[AI_FAC1]]</f>
        <v>8</v>
      </c>
      <c r="AB68" t="str">
        <f t="shared" si="33"/>
        <v>Support</v>
      </c>
      <c r="AC68">
        <f>survey_responses[[#This Row],[Các thủ tục khai báo thuế VÀ/HOẶC quy trình làm việc với cơ quan thuế đơn giản, tiện lợi, nhanh chóng hơn so với trước đây. - HUMAN-FAC1]]</f>
        <v>4</v>
      </c>
      <c r="AD68" t="str">
        <f t="shared" si="34"/>
        <v>Oppose</v>
      </c>
      <c r="AE68" s="32">
        <f t="shared" si="35"/>
        <v>4</v>
      </c>
      <c r="AF68">
        <f>step3_validation[[#This Row],[AI_FAC2]]</f>
        <v>7</v>
      </c>
      <c r="AG68" t="str">
        <f t="shared" si="36"/>
        <v>Neutral</v>
      </c>
      <c r="AH68">
        <f>survey_responses[[#This Row],[So với trước đây, tôi thấy cách tính thuế và các bậc thuế trong phương án mới đơn giản, dễ hiểu và dễ thực hiện hơn. - HUMAN-FAC2]]</f>
        <v>4</v>
      </c>
      <c r="AI68" t="str">
        <f t="shared" si="37"/>
        <v>Oppose</v>
      </c>
      <c r="AJ68" s="32">
        <f t="shared" si="38"/>
        <v>3</v>
      </c>
      <c r="AK68">
        <f>step3_validation[[#This Row],[AI_TRU1]]</f>
        <v>8</v>
      </c>
      <c r="AL68" t="str">
        <f t="shared" si="39"/>
        <v>Support</v>
      </c>
      <c r="AM68">
        <f>survey_responses[[#This Row],[Tôi tin rằng Nhà nước, cơ quan thuế sẽ thực thi chính sách mới một cách khách quan, công tâm và đối xử bình đẳng với mọi người nộp thuế.  - HUMAN-TRU1]]</f>
        <v>2</v>
      </c>
      <c r="AN68" t="str">
        <f t="shared" si="40"/>
        <v>Oppose</v>
      </c>
      <c r="AO68" s="32">
        <f t="shared" si="41"/>
        <v>6</v>
      </c>
      <c r="AP68">
        <f>step3_validation[[#This Row],[AI_TRU2]]</f>
        <v>5</v>
      </c>
      <c r="AQ68" t="str">
        <f t="shared" si="42"/>
        <v>Neutral</v>
      </c>
      <c r="AR68">
        <f>survey_responses[[#This Row],[Tôi thấy mức thuế tôi phải đóng theo phương án mới là công bằng (người thu nhập như tôi đóng mức này là hợp lý). - HUMAN-TRU2]]</f>
        <v>3</v>
      </c>
      <c r="AS68" t="str">
        <f t="shared" si="43"/>
        <v>Oppose</v>
      </c>
      <c r="AT68" s="32">
        <f t="shared" si="44"/>
        <v>2</v>
      </c>
      <c r="AU68">
        <f>step3_validation[[#This Row],[AI_TRU3]]</f>
        <v>7</v>
      </c>
      <c r="AV68" t="str">
        <f t="shared" si="45"/>
        <v>Neutral</v>
      </c>
      <c r="AW68">
        <f>survey_responses[[#This Row],[Tôi tin tưởng số tiền thuế tôi đóng sẽ được Nhà nước sử dụng hiệu quả để cải thiện dịch vụ công (y tế, đường xá...). - HUMAN-TRU3]]</f>
        <v>2</v>
      </c>
      <c r="AX68" t="str">
        <f t="shared" si="46"/>
        <v>Oppose</v>
      </c>
      <c r="AY68" s="32">
        <f t="shared" si="47"/>
        <v>5</v>
      </c>
      <c r="AZ68">
        <f>step3_validation[[#This Row],[AI_TRU4]]</f>
        <v>5</v>
      </c>
      <c r="BA68" t="str">
        <f t="shared" si="48"/>
        <v>Neutral</v>
      </c>
      <c r="BB68">
        <f>survey_responses[[#This Row],[Tôi thấy Nhà nước đã giải thích rõ ràng, minh bạch về lý do và mục tiêu của việc sửa đổi thuế lần này. - HUMAN-TRU4]]</f>
        <v>3</v>
      </c>
      <c r="BC68" t="str">
        <f t="shared" si="49"/>
        <v>Oppose</v>
      </c>
      <c r="BD68" s="32">
        <f t="shared" si="50"/>
        <v>2</v>
      </c>
      <c r="BE68">
        <f>step3_validation[[#This Row],[AI_OUT1]]</f>
        <v>6</v>
      </c>
      <c r="BF68" t="str">
        <f t="shared" si="51"/>
        <v>Neutral</v>
      </c>
      <c r="BG68">
        <f>survey_responses[[#This Row],[Sau khi xem xét các quyền lợi và nghĩa vụ, bạn có ủng hộ và tuân thủ chính sách mới hiện nay? - HUMAN-OUT1]]</f>
        <v>3</v>
      </c>
      <c r="BH68" t="str">
        <f t="shared" si="52"/>
        <v>Oppose</v>
      </c>
      <c r="BI68" s="32">
        <f t="shared" si="53"/>
        <v>3</v>
      </c>
    </row>
    <row r="69" spans="1:61" x14ac:dyDescent="0.45">
      <c r="A69" s="30">
        <f>step3_validation[[#This Row],[Persona_ID]]</f>
        <v>68</v>
      </c>
      <c r="B69" s="31">
        <f>step3_validation[[#This Row],[Used_Seed]]</f>
        <v>2058</v>
      </c>
      <c r="C69" t="str">
        <f>step3_validation[[#This Row],[Gender]]</f>
        <v>Nữ</v>
      </c>
      <c r="D69" t="str">
        <f>survey_responses[[#This Row],[Giới tính của bạn:]]</f>
        <v>Nữ</v>
      </c>
      <c r="E69" t="str">
        <f>step3_validation[[#This Row],[Age_Group]]</f>
        <v>40 - 49</v>
      </c>
      <c r="F69" t="str">
        <f>survey_responses[[#This Row],[Độ tuổi của bạn:]]</f>
        <v>40 - 49</v>
      </c>
      <c r="G69" t="str">
        <f>step3_validation[[#This Row],[Region]]</f>
        <v>Thành thị</v>
      </c>
      <c r="H69" t="str">
        <f>survey_responses[[#This Row],[Khu vực bạn đang sinh sống:]]</f>
        <v>Thành thị</v>
      </c>
      <c r="I69" t="str">
        <f>step3_validation[[#This Row],[Education]]</f>
        <v>Đại học</v>
      </c>
      <c r="J69" t="str">
        <f>survey_responses[[#This Row],[Trình độ học vấn cao nhất:]]</f>
        <v>Đại học</v>
      </c>
      <c r="K69" t="str">
        <f>step3_validation[[#This Row],[Employment]]</f>
        <v>Chính thức</v>
      </c>
      <c r="L69" t="str">
        <f>survey_responses[[#This Row],[Tình trạng việc làm chính:]]</f>
        <v>Khu vực chính thức (Có Hợp đồng lao động, đóng BHXH)</v>
      </c>
      <c r="M69">
        <f>step3_validation[[#This Row],[Income_Mil]]</f>
        <v>60.426836504796071</v>
      </c>
      <c r="N69" t="str">
        <f>survey_responses[[#This Row],[Thu nhập bình quân tháng theo Hợp đồng lao động của bạn là bao nhiêu? (Vui lòng điền tổng thu nhập trước khi khấu trừ các loại Bảo hiểm (BHXH, BHYT, BHTN) và Thuế TNCN)]]</f>
        <v>Từ 48 - 70 triệu VNĐ</v>
      </c>
      <c r="O69">
        <f>step3_validation[[#This Row],[Dependents]]</f>
        <v>2</v>
      </c>
      <c r="P69" t="str">
        <f>survey_responses[[#This Row],[Số người phụ thuộc (con nhỏ, cha mẹ già...) đủ điều kiện giảm trừ gia cảnh:]]</f>
        <v>2 người</v>
      </c>
      <c r="Q69">
        <f>step3_validation[[#This Row],[AI_ENF1]]</f>
        <v>7</v>
      </c>
      <c r="R69" t="str">
        <f t="shared" si="27"/>
        <v>Neutral</v>
      </c>
      <c r="S69">
        <f>survey_responses[[#This Row],[Tôi tin rằng với các quy định quản lý thuế hiện nay, hành vi gian lận hoặc trốn thuế sẽ dễ dàng bị phát hiện và xử lý nghiêm. - HUMAN-ENF1]]</f>
        <v>4</v>
      </c>
      <c r="T69" t="str">
        <f t="shared" si="28"/>
        <v>Oppose</v>
      </c>
      <c r="U69" s="32">
        <f t="shared" si="29"/>
        <v>3</v>
      </c>
      <c r="V69">
        <f>step3_validation[[#This Row],[AI_ENF2]]</f>
        <v>8</v>
      </c>
      <c r="W69" t="str">
        <f t="shared" si="30"/>
        <v>Support</v>
      </c>
      <c r="X69">
        <f>survey_responses[[#This Row],[Tôi tin rằng Nhà nước, cơ quan thuế có đủ khả năng và công nghệ để phát hiện, xử lý nghiêm các hành vi trốn thuế. - HUMAN-ENF2]]</f>
        <v>3</v>
      </c>
      <c r="Y69" t="str">
        <f t="shared" si="31"/>
        <v>Oppose</v>
      </c>
      <c r="Z69" s="32">
        <f t="shared" si="32"/>
        <v>5</v>
      </c>
      <c r="AA69">
        <f>step3_validation[[#This Row],[AI_FAC1]]</f>
        <v>9</v>
      </c>
      <c r="AB69" t="str">
        <f t="shared" si="33"/>
        <v>Support</v>
      </c>
      <c r="AC69">
        <f>survey_responses[[#This Row],[Các thủ tục khai báo thuế VÀ/HOẶC quy trình làm việc với cơ quan thuế đơn giản, tiện lợi, nhanh chóng hơn so với trước đây. - HUMAN-FAC1]]</f>
        <v>1</v>
      </c>
      <c r="AD69" t="str">
        <f t="shared" si="34"/>
        <v>Oppose</v>
      </c>
      <c r="AE69" s="32">
        <f t="shared" si="35"/>
        <v>8</v>
      </c>
      <c r="AF69">
        <f>step3_validation[[#This Row],[AI_FAC2]]</f>
        <v>8</v>
      </c>
      <c r="AG69" t="str">
        <f t="shared" si="36"/>
        <v>Support</v>
      </c>
      <c r="AH69">
        <f>survey_responses[[#This Row],[So với trước đây, tôi thấy cách tính thuế và các bậc thuế trong phương án mới đơn giản, dễ hiểu và dễ thực hiện hơn. - HUMAN-FAC2]]</f>
        <v>5</v>
      </c>
      <c r="AI69" t="str">
        <f t="shared" si="37"/>
        <v>Neutral</v>
      </c>
      <c r="AJ69" s="32">
        <f t="shared" si="38"/>
        <v>3</v>
      </c>
      <c r="AK69">
        <f>step3_validation[[#This Row],[AI_TRU1]]</f>
        <v>7</v>
      </c>
      <c r="AL69" t="str">
        <f t="shared" si="39"/>
        <v>Neutral</v>
      </c>
      <c r="AM69">
        <f>survey_responses[[#This Row],[Tôi tin rằng Nhà nước, cơ quan thuế sẽ thực thi chính sách mới một cách khách quan, công tâm và đối xử bình đẳng với mọi người nộp thuế.  - HUMAN-TRU1]]</f>
        <v>4</v>
      </c>
      <c r="AN69" t="str">
        <f t="shared" si="40"/>
        <v>Oppose</v>
      </c>
      <c r="AO69" s="32">
        <f t="shared" si="41"/>
        <v>3</v>
      </c>
      <c r="AP69">
        <f>step3_validation[[#This Row],[AI_TRU2]]</f>
        <v>6</v>
      </c>
      <c r="AQ69" t="str">
        <f t="shared" si="42"/>
        <v>Neutral</v>
      </c>
      <c r="AR69">
        <f>survey_responses[[#This Row],[Tôi thấy mức thuế tôi phải đóng theo phương án mới là công bằng (người thu nhập như tôi đóng mức này là hợp lý). - HUMAN-TRU2]]</f>
        <v>3</v>
      </c>
      <c r="AS69" t="str">
        <f t="shared" si="43"/>
        <v>Oppose</v>
      </c>
      <c r="AT69" s="32">
        <f t="shared" si="44"/>
        <v>3</v>
      </c>
      <c r="AU69">
        <f>step3_validation[[#This Row],[AI_TRU3]]</f>
        <v>5</v>
      </c>
      <c r="AV69" t="str">
        <f t="shared" si="45"/>
        <v>Neutral</v>
      </c>
      <c r="AW69">
        <f>survey_responses[[#This Row],[Tôi tin tưởng số tiền thuế tôi đóng sẽ được Nhà nước sử dụng hiệu quả để cải thiện dịch vụ công (y tế, đường xá...). - HUMAN-TRU3]]</f>
        <v>1</v>
      </c>
      <c r="AX69" t="str">
        <f t="shared" si="46"/>
        <v>Oppose</v>
      </c>
      <c r="AY69" s="32">
        <f t="shared" si="47"/>
        <v>4</v>
      </c>
      <c r="AZ69">
        <f>step3_validation[[#This Row],[AI_TRU4]]</f>
        <v>4</v>
      </c>
      <c r="BA69" t="str">
        <f t="shared" si="48"/>
        <v>Oppose</v>
      </c>
      <c r="BB69">
        <f>survey_responses[[#This Row],[Tôi thấy Nhà nước đã giải thích rõ ràng, minh bạch về lý do và mục tiêu của việc sửa đổi thuế lần này. - HUMAN-TRU4]]</f>
        <v>3</v>
      </c>
      <c r="BC69" t="str">
        <f t="shared" si="49"/>
        <v>Oppose</v>
      </c>
      <c r="BD69" s="32">
        <f t="shared" si="50"/>
        <v>1</v>
      </c>
      <c r="BE69">
        <f>step3_validation[[#This Row],[AI_OUT1]]</f>
        <v>8</v>
      </c>
      <c r="BF69" t="str">
        <f t="shared" si="51"/>
        <v>Support</v>
      </c>
      <c r="BG69">
        <f>survey_responses[[#This Row],[Sau khi xem xét các quyền lợi và nghĩa vụ, bạn có ủng hộ và tuân thủ chính sách mới hiện nay? - HUMAN-OUT1]]</f>
        <v>5</v>
      </c>
      <c r="BH69" t="str">
        <f t="shared" si="52"/>
        <v>Neutral</v>
      </c>
      <c r="BI69" s="32">
        <f t="shared" si="53"/>
        <v>3</v>
      </c>
    </row>
    <row r="70" spans="1:61" x14ac:dyDescent="0.45">
      <c r="A70" s="30">
        <f>step3_validation[[#This Row],[Persona_ID]]</f>
        <v>69</v>
      </c>
      <c r="B70" s="31">
        <f>step3_validation[[#This Row],[Used_Seed]]</f>
        <v>2059</v>
      </c>
      <c r="C70" t="str">
        <f>step3_validation[[#This Row],[Gender]]</f>
        <v>Nam</v>
      </c>
      <c r="D70" t="str">
        <f>survey_responses[[#This Row],[Giới tính của bạn:]]</f>
        <v>Nam</v>
      </c>
      <c r="E70" t="str">
        <f>step3_validation[[#This Row],[Age_Group]]</f>
        <v>25 - 29</v>
      </c>
      <c r="F70" t="str">
        <f>survey_responses[[#This Row],[Độ tuổi của bạn:]]</f>
        <v>25 - 29</v>
      </c>
      <c r="G70" t="str">
        <f>step3_validation[[#This Row],[Region]]</f>
        <v>Thành thị</v>
      </c>
      <c r="H70" t="str">
        <f>survey_responses[[#This Row],[Khu vực bạn đang sinh sống:]]</f>
        <v>Thành thị</v>
      </c>
      <c r="I70" t="str">
        <f>step3_validation[[#This Row],[Education]]</f>
        <v>Đại học</v>
      </c>
      <c r="J70" t="str">
        <f>survey_responses[[#This Row],[Trình độ học vấn cao nhất:]]</f>
        <v>Đại học</v>
      </c>
      <c r="K70" t="str">
        <f>step3_validation[[#This Row],[Employment]]</f>
        <v>Chính thức</v>
      </c>
      <c r="L70" t="str">
        <f>survey_responses[[#This Row],[Tình trạng việc làm chính:]]</f>
        <v>Khu vực chính thức (Có Hợp đồng lao động, đóng BHXH)</v>
      </c>
      <c r="M70">
        <f>step3_validation[[#This Row],[Income_Mil]]</f>
        <v>19.117716651787891</v>
      </c>
      <c r="N70" t="str">
        <f>survey_responses[[#This Row],[Thu nhập bình quân tháng theo Hợp đồng lao động của bạn là bao nhiêu? (Vui lòng điền tổng thu nhập trước khi khấu trừ các loại Bảo hiểm (BHXH, BHYT, BHTN) và Thuế TNCN)]]</f>
        <v>Từ 18 - 23 triệu VNĐ</v>
      </c>
      <c r="O70">
        <f>step3_validation[[#This Row],[Dependents]]</f>
        <v>0</v>
      </c>
      <c r="P70" t="str">
        <f>survey_responses[[#This Row],[Số người phụ thuộc (con nhỏ, cha mẹ già...) đủ điều kiện giảm trừ gia cảnh:]]</f>
        <v>0 người</v>
      </c>
      <c r="Q70">
        <f>step3_validation[[#This Row],[AI_ENF1]]</f>
        <v>8</v>
      </c>
      <c r="R70" t="str">
        <f t="shared" si="27"/>
        <v>Support</v>
      </c>
      <c r="S70">
        <f>survey_responses[[#This Row],[Tôi tin rằng với các quy định quản lý thuế hiện nay, hành vi gian lận hoặc trốn thuế sẽ dễ dàng bị phát hiện và xử lý nghiêm. - HUMAN-ENF1]]</f>
        <v>7</v>
      </c>
      <c r="T70" t="str">
        <f t="shared" si="28"/>
        <v>Neutral</v>
      </c>
      <c r="U70" s="32">
        <f t="shared" si="29"/>
        <v>1</v>
      </c>
      <c r="V70">
        <f>step3_validation[[#This Row],[AI_ENF2]]</f>
        <v>9</v>
      </c>
      <c r="W70" t="str">
        <f t="shared" si="30"/>
        <v>Support</v>
      </c>
      <c r="X70">
        <f>survey_responses[[#This Row],[Tôi tin rằng Nhà nước, cơ quan thuế có đủ khả năng và công nghệ để phát hiện, xử lý nghiêm các hành vi trốn thuế. - HUMAN-ENF2]]</f>
        <v>7</v>
      </c>
      <c r="Y70" t="str">
        <f t="shared" si="31"/>
        <v>Neutral</v>
      </c>
      <c r="Z70" s="32">
        <f t="shared" si="32"/>
        <v>2</v>
      </c>
      <c r="AA70">
        <f>step3_validation[[#This Row],[AI_FAC1]]</f>
        <v>7</v>
      </c>
      <c r="AB70" t="str">
        <f t="shared" si="33"/>
        <v>Neutral</v>
      </c>
      <c r="AC70">
        <f>survey_responses[[#This Row],[Các thủ tục khai báo thuế VÀ/HOẶC quy trình làm việc với cơ quan thuế đơn giản, tiện lợi, nhanh chóng hơn so với trước đây. - HUMAN-FAC1]]</f>
        <v>8</v>
      </c>
      <c r="AD70" t="str">
        <f t="shared" si="34"/>
        <v>Support</v>
      </c>
      <c r="AE70" s="32">
        <f t="shared" si="35"/>
        <v>1</v>
      </c>
      <c r="AF70">
        <f>step3_validation[[#This Row],[AI_FAC2]]</f>
        <v>9</v>
      </c>
      <c r="AG70" t="str">
        <f t="shared" si="36"/>
        <v>Support</v>
      </c>
      <c r="AH70">
        <f>survey_responses[[#This Row],[So với trước đây, tôi thấy cách tính thuế và các bậc thuế trong phương án mới đơn giản, dễ hiểu và dễ thực hiện hơn. - HUMAN-FAC2]]</f>
        <v>9</v>
      </c>
      <c r="AI70" t="str">
        <f t="shared" si="37"/>
        <v>Support</v>
      </c>
      <c r="AJ70" s="32">
        <f t="shared" si="38"/>
        <v>0</v>
      </c>
      <c r="AK70">
        <f>step3_validation[[#This Row],[AI_TRU1]]</f>
        <v>6</v>
      </c>
      <c r="AL70" t="str">
        <f t="shared" si="39"/>
        <v>Neutral</v>
      </c>
      <c r="AM70">
        <f>survey_responses[[#This Row],[Tôi tin rằng Nhà nước, cơ quan thuế sẽ thực thi chính sách mới một cách khách quan, công tâm và đối xử bình đẳng với mọi người nộp thuế.  - HUMAN-TRU1]]</f>
        <v>8</v>
      </c>
      <c r="AN70" t="str">
        <f t="shared" si="40"/>
        <v>Support</v>
      </c>
      <c r="AO70" s="32">
        <f t="shared" si="41"/>
        <v>2</v>
      </c>
      <c r="AP70">
        <f>step3_validation[[#This Row],[AI_TRU2]]</f>
        <v>8</v>
      </c>
      <c r="AQ70" t="str">
        <f t="shared" si="42"/>
        <v>Support</v>
      </c>
      <c r="AR70">
        <f>survey_responses[[#This Row],[Tôi thấy mức thuế tôi phải đóng theo phương án mới là công bằng (người thu nhập như tôi đóng mức này là hợp lý). - HUMAN-TRU2]]</f>
        <v>10</v>
      </c>
      <c r="AS70" t="str">
        <f t="shared" si="43"/>
        <v>Support</v>
      </c>
      <c r="AT70" s="32">
        <f t="shared" si="44"/>
        <v>2</v>
      </c>
      <c r="AU70">
        <f>step3_validation[[#This Row],[AI_TRU3]]</f>
        <v>6</v>
      </c>
      <c r="AV70" t="str">
        <f t="shared" si="45"/>
        <v>Neutral</v>
      </c>
      <c r="AW70">
        <f>survey_responses[[#This Row],[Tôi tin tưởng số tiền thuế tôi đóng sẽ được Nhà nước sử dụng hiệu quả để cải thiện dịch vụ công (y tế, đường xá...). - HUMAN-TRU3]]</f>
        <v>9</v>
      </c>
      <c r="AX70" t="str">
        <f t="shared" si="46"/>
        <v>Support</v>
      </c>
      <c r="AY70" s="32">
        <f t="shared" si="47"/>
        <v>3</v>
      </c>
      <c r="AZ70">
        <f>step3_validation[[#This Row],[AI_TRU4]]</f>
        <v>7</v>
      </c>
      <c r="BA70" t="str">
        <f t="shared" si="48"/>
        <v>Neutral</v>
      </c>
      <c r="BB70">
        <f>survey_responses[[#This Row],[Tôi thấy Nhà nước đã giải thích rõ ràng, minh bạch về lý do và mục tiêu của việc sửa đổi thuế lần này. - HUMAN-TRU4]]</f>
        <v>9</v>
      </c>
      <c r="BC70" t="str">
        <f t="shared" si="49"/>
        <v>Support</v>
      </c>
      <c r="BD70" s="32">
        <f t="shared" si="50"/>
        <v>2</v>
      </c>
      <c r="BE70">
        <f>step3_validation[[#This Row],[AI_OUT1]]</f>
        <v>8</v>
      </c>
      <c r="BF70" t="str">
        <f t="shared" si="51"/>
        <v>Support</v>
      </c>
      <c r="BG70">
        <f>survey_responses[[#This Row],[Sau khi xem xét các quyền lợi và nghĩa vụ, bạn có ủng hộ và tuân thủ chính sách mới hiện nay? - HUMAN-OUT1]]</f>
        <v>9</v>
      </c>
      <c r="BH70" t="str">
        <f t="shared" si="52"/>
        <v>Support</v>
      </c>
      <c r="BI70" s="32">
        <f t="shared" si="53"/>
        <v>1</v>
      </c>
    </row>
    <row r="71" spans="1:61" x14ac:dyDescent="0.45">
      <c r="A71" s="30">
        <f>step3_validation[[#This Row],[Persona_ID]]</f>
        <v>70</v>
      </c>
      <c r="B71" s="31">
        <f>step3_validation[[#This Row],[Used_Seed]]</f>
        <v>2060</v>
      </c>
      <c r="C71" t="str">
        <f>step3_validation[[#This Row],[Gender]]</f>
        <v>Nam</v>
      </c>
      <c r="D71" t="str">
        <f>survey_responses[[#This Row],[Giới tính của bạn:]]</f>
        <v>Nam</v>
      </c>
      <c r="E71" t="str">
        <f>step3_validation[[#This Row],[Age_Group]]</f>
        <v>40 - 49</v>
      </c>
      <c r="F71" t="str">
        <f>survey_responses[[#This Row],[Độ tuổi của bạn:]]</f>
        <v>40 - 49</v>
      </c>
      <c r="G71" t="str">
        <f>step3_validation[[#This Row],[Region]]</f>
        <v>Thành thị</v>
      </c>
      <c r="H71" t="str">
        <f>survey_responses[[#This Row],[Khu vực bạn đang sinh sống:]]</f>
        <v>Thành thị</v>
      </c>
      <c r="I71" t="str">
        <f>step3_validation[[#This Row],[Education]]</f>
        <v>Sau Đại học</v>
      </c>
      <c r="J71" t="str">
        <f>survey_responses[[#This Row],[Trình độ học vấn cao nhất:]]</f>
        <v>Sau Đại học</v>
      </c>
      <c r="K71" t="str">
        <f>step3_validation[[#This Row],[Employment]]</f>
        <v>Phi chính thức</v>
      </c>
      <c r="L71" t="str">
        <f>survey_responses[[#This Row],[Tình trạng việc làm chính:]]</f>
        <v>Khu vực phi chính thức (Lao động tự do, không có HĐLĐ)</v>
      </c>
      <c r="M71">
        <f>step3_validation[[#This Row],[Income_Mil]]</f>
        <v>247.17734811541334</v>
      </c>
      <c r="N71" t="str">
        <f>survey_responses[[#This Row],[Thu nhập bình quân tháng theo Hợp đồng lao động của bạn là bao nhiêu? (Vui lòng điền tổng thu nhập trước khi khấu trừ các loại Bảo hiểm (BHXH, BHYT, BHTN) và Thuế TNCN)]]</f>
        <v>Trên 102 triệu VNĐ</v>
      </c>
      <c r="O71">
        <f>step3_validation[[#This Row],[Dependents]]</f>
        <v>1</v>
      </c>
      <c r="P71" t="str">
        <f>survey_responses[[#This Row],[Số người phụ thuộc (con nhỏ, cha mẹ già...) đủ điều kiện giảm trừ gia cảnh:]]</f>
        <v>1 người</v>
      </c>
      <c r="Q71">
        <f>step3_validation[[#This Row],[AI_ENF1]]</f>
        <v>7</v>
      </c>
      <c r="R71" t="str">
        <f t="shared" si="27"/>
        <v>Neutral</v>
      </c>
      <c r="S71">
        <f>survey_responses[[#This Row],[Tôi tin rằng với các quy định quản lý thuế hiện nay, hành vi gian lận hoặc trốn thuế sẽ dễ dàng bị phát hiện và xử lý nghiêm. - HUMAN-ENF1]]</f>
        <v>6</v>
      </c>
      <c r="T71" t="str">
        <f t="shared" si="28"/>
        <v>Neutral</v>
      </c>
      <c r="U71" s="32">
        <f t="shared" si="29"/>
        <v>1</v>
      </c>
      <c r="V71">
        <f>step3_validation[[#This Row],[AI_ENF2]]</f>
        <v>8</v>
      </c>
      <c r="W71" t="str">
        <f t="shared" si="30"/>
        <v>Support</v>
      </c>
      <c r="X71">
        <f>survey_responses[[#This Row],[Tôi tin rằng Nhà nước, cơ quan thuế có đủ khả năng và công nghệ để phát hiện, xử lý nghiêm các hành vi trốn thuế. - HUMAN-ENF2]]</f>
        <v>6</v>
      </c>
      <c r="Y71" t="str">
        <f t="shared" si="31"/>
        <v>Neutral</v>
      </c>
      <c r="Z71" s="32">
        <f t="shared" si="32"/>
        <v>2</v>
      </c>
      <c r="AA71">
        <f>step3_validation[[#This Row],[AI_FAC1]]</f>
        <v>9</v>
      </c>
      <c r="AB71" t="str">
        <f t="shared" si="33"/>
        <v>Support</v>
      </c>
      <c r="AC71">
        <f>survey_responses[[#This Row],[Các thủ tục khai báo thuế VÀ/HOẶC quy trình làm việc với cơ quan thuế đơn giản, tiện lợi, nhanh chóng hơn so với trước đây. - HUMAN-FAC1]]</f>
        <v>5</v>
      </c>
      <c r="AD71" t="str">
        <f t="shared" si="34"/>
        <v>Neutral</v>
      </c>
      <c r="AE71" s="32">
        <f t="shared" si="35"/>
        <v>4</v>
      </c>
      <c r="AF71">
        <f>step3_validation[[#This Row],[AI_FAC2]]</f>
        <v>8</v>
      </c>
      <c r="AG71" t="str">
        <f t="shared" si="36"/>
        <v>Support</v>
      </c>
      <c r="AH71">
        <f>survey_responses[[#This Row],[So với trước đây, tôi thấy cách tính thuế và các bậc thuế trong phương án mới đơn giản, dễ hiểu và dễ thực hiện hơn. - HUMAN-FAC2]]</f>
        <v>5</v>
      </c>
      <c r="AI71" t="str">
        <f t="shared" si="37"/>
        <v>Neutral</v>
      </c>
      <c r="AJ71" s="32">
        <f t="shared" si="38"/>
        <v>3</v>
      </c>
      <c r="AK71">
        <f>step3_validation[[#This Row],[AI_TRU1]]</f>
        <v>6</v>
      </c>
      <c r="AL71" t="str">
        <f t="shared" si="39"/>
        <v>Neutral</v>
      </c>
      <c r="AM71">
        <f>survey_responses[[#This Row],[Tôi tin rằng Nhà nước, cơ quan thuế sẽ thực thi chính sách mới một cách khách quan, công tâm và đối xử bình đẳng với mọi người nộp thuế.  - HUMAN-TRU1]]</f>
        <v>5</v>
      </c>
      <c r="AN71" t="str">
        <f t="shared" si="40"/>
        <v>Neutral</v>
      </c>
      <c r="AO71" s="32">
        <f t="shared" si="41"/>
        <v>1</v>
      </c>
      <c r="AP71">
        <f>step3_validation[[#This Row],[AI_TRU2]]</f>
        <v>7</v>
      </c>
      <c r="AQ71" t="str">
        <f t="shared" si="42"/>
        <v>Neutral</v>
      </c>
      <c r="AR71">
        <f>survey_responses[[#This Row],[Tôi thấy mức thuế tôi phải đóng theo phương án mới là công bằng (người thu nhập như tôi đóng mức này là hợp lý). - HUMAN-TRU2]]</f>
        <v>1</v>
      </c>
      <c r="AS71" t="str">
        <f t="shared" si="43"/>
        <v>Oppose</v>
      </c>
      <c r="AT71" s="32">
        <f t="shared" si="44"/>
        <v>6</v>
      </c>
      <c r="AU71">
        <f>step3_validation[[#This Row],[AI_TRU3]]</f>
        <v>6</v>
      </c>
      <c r="AV71" t="str">
        <f t="shared" si="45"/>
        <v>Neutral</v>
      </c>
      <c r="AW71">
        <f>survey_responses[[#This Row],[Tôi tin tưởng số tiền thuế tôi đóng sẽ được Nhà nước sử dụng hiệu quả để cải thiện dịch vụ công (y tế, đường xá...). - HUMAN-TRU3]]</f>
        <v>5</v>
      </c>
      <c r="AX71" t="str">
        <f t="shared" si="46"/>
        <v>Neutral</v>
      </c>
      <c r="AY71" s="32">
        <f t="shared" si="47"/>
        <v>1</v>
      </c>
      <c r="AZ71">
        <f>step3_validation[[#This Row],[AI_TRU4]]</f>
        <v>8</v>
      </c>
      <c r="BA71" t="str">
        <f t="shared" si="48"/>
        <v>Support</v>
      </c>
      <c r="BB71">
        <f>survey_responses[[#This Row],[Tôi thấy Nhà nước đã giải thích rõ ràng, minh bạch về lý do và mục tiêu của việc sửa đổi thuế lần này. - HUMAN-TRU4]]</f>
        <v>5</v>
      </c>
      <c r="BC71" t="str">
        <f t="shared" si="49"/>
        <v>Neutral</v>
      </c>
      <c r="BD71" s="32">
        <f t="shared" si="50"/>
        <v>3</v>
      </c>
      <c r="BE71">
        <f>step3_validation[[#This Row],[AI_OUT1]]</f>
        <v>7</v>
      </c>
      <c r="BF71" t="str">
        <f t="shared" si="51"/>
        <v>Neutral</v>
      </c>
      <c r="BG71">
        <f>survey_responses[[#This Row],[Sau khi xem xét các quyền lợi và nghĩa vụ, bạn có ủng hộ và tuân thủ chính sách mới hiện nay? - HUMAN-OUT1]]</f>
        <v>5</v>
      </c>
      <c r="BH71" t="str">
        <f t="shared" si="52"/>
        <v>Neutral</v>
      </c>
      <c r="BI71" s="32">
        <f t="shared" si="53"/>
        <v>2</v>
      </c>
    </row>
    <row r="72" spans="1:61" x14ac:dyDescent="0.45">
      <c r="A72" s="30">
        <f>step3_validation[[#This Row],[Persona_ID]]</f>
        <v>71</v>
      </c>
      <c r="B72" s="31">
        <f>step3_validation[[#This Row],[Used_Seed]]</f>
        <v>2061</v>
      </c>
      <c r="C72" t="str">
        <f>step3_validation[[#This Row],[Gender]]</f>
        <v>Nữ</v>
      </c>
      <c r="D72" t="str">
        <f>survey_responses[[#This Row],[Giới tính của bạn:]]</f>
        <v>Nữ</v>
      </c>
      <c r="E72" t="str">
        <f>step3_validation[[#This Row],[Age_Group]]</f>
        <v>30 - 39</v>
      </c>
      <c r="F72" t="str">
        <f>survey_responses[[#This Row],[Độ tuổi của bạn:]]</f>
        <v>30 - 39</v>
      </c>
      <c r="G72" t="str">
        <f>step3_validation[[#This Row],[Region]]</f>
        <v>Thành thị</v>
      </c>
      <c r="H72" t="str">
        <f>survey_responses[[#This Row],[Khu vực bạn đang sinh sống:]]</f>
        <v>Thành thị</v>
      </c>
      <c r="I72" t="str">
        <f>step3_validation[[#This Row],[Education]]</f>
        <v>Sau Đại học</v>
      </c>
      <c r="J72" t="str">
        <f>survey_responses[[#This Row],[Trình độ học vấn cao nhất:]]</f>
        <v>Sau Đại học</v>
      </c>
      <c r="K72" t="str">
        <f>step3_validation[[#This Row],[Employment]]</f>
        <v>Chính thức</v>
      </c>
      <c r="L72" t="str">
        <f>survey_responses[[#This Row],[Tình trạng việc làm chính:]]</f>
        <v>Khu vực chính thức (Có Hợp đồng lao động, đóng BHXH)</v>
      </c>
      <c r="M72">
        <f>step3_validation[[#This Row],[Income_Mil]]</f>
        <v>24.225859396582763</v>
      </c>
      <c r="N72" t="str">
        <f>survey_responses[[#This Row],[Thu nhập bình quân tháng theo Hợp đồng lao động của bạn là bao nhiêu? (Vui lòng điền tổng thu nhập trước khi khấu trừ các loại Bảo hiểm (BHXH, BHYT, BHTN) và Thuế TNCN)]]</f>
        <v>Từ 23 - 32 triệu VNĐ</v>
      </c>
      <c r="O72">
        <f>step3_validation[[#This Row],[Dependents]]</f>
        <v>2</v>
      </c>
      <c r="P72" t="str">
        <f>survey_responses[[#This Row],[Số người phụ thuộc (con nhỏ, cha mẹ già...) đủ điều kiện giảm trừ gia cảnh:]]</f>
        <v>2 người</v>
      </c>
      <c r="Q72">
        <f>step3_validation[[#This Row],[AI_ENF1]]</f>
        <v>7</v>
      </c>
      <c r="R72" t="str">
        <f t="shared" si="27"/>
        <v>Neutral</v>
      </c>
      <c r="S72">
        <f>survey_responses[[#This Row],[Tôi tin rằng với các quy định quản lý thuế hiện nay, hành vi gian lận hoặc trốn thuế sẽ dễ dàng bị phát hiện và xử lý nghiêm. - HUMAN-ENF1]]</f>
        <v>3</v>
      </c>
      <c r="T72" t="str">
        <f t="shared" si="28"/>
        <v>Oppose</v>
      </c>
      <c r="U72" s="32">
        <f t="shared" si="29"/>
        <v>4</v>
      </c>
      <c r="V72">
        <f>step3_validation[[#This Row],[AI_ENF2]]</f>
        <v>8</v>
      </c>
      <c r="W72" t="str">
        <f t="shared" si="30"/>
        <v>Support</v>
      </c>
      <c r="X72">
        <f>survey_responses[[#This Row],[Tôi tin rằng Nhà nước, cơ quan thuế có đủ khả năng và công nghệ để phát hiện, xử lý nghiêm các hành vi trốn thuế. - HUMAN-ENF2]]</f>
        <v>3</v>
      </c>
      <c r="Y72" t="str">
        <f t="shared" si="31"/>
        <v>Oppose</v>
      </c>
      <c r="Z72" s="32">
        <f t="shared" si="32"/>
        <v>5</v>
      </c>
      <c r="AA72">
        <f>step3_validation[[#This Row],[AI_FAC1]]</f>
        <v>6</v>
      </c>
      <c r="AB72" t="str">
        <f t="shared" si="33"/>
        <v>Neutral</v>
      </c>
      <c r="AC72">
        <f>survey_responses[[#This Row],[Các thủ tục khai báo thuế VÀ/HOẶC quy trình làm việc với cơ quan thuế đơn giản, tiện lợi, nhanh chóng hơn so với trước đây. - HUMAN-FAC1]]</f>
        <v>3</v>
      </c>
      <c r="AD72" t="str">
        <f t="shared" si="34"/>
        <v>Oppose</v>
      </c>
      <c r="AE72" s="32">
        <f t="shared" si="35"/>
        <v>3</v>
      </c>
      <c r="AF72">
        <f>step3_validation[[#This Row],[AI_FAC2]]</f>
        <v>8</v>
      </c>
      <c r="AG72" t="str">
        <f t="shared" si="36"/>
        <v>Support</v>
      </c>
      <c r="AH72">
        <f>survey_responses[[#This Row],[So với trước đây, tôi thấy cách tính thuế và các bậc thuế trong phương án mới đơn giản, dễ hiểu và dễ thực hiện hơn. - HUMAN-FAC2]]</f>
        <v>5</v>
      </c>
      <c r="AI72" t="str">
        <f t="shared" si="37"/>
        <v>Neutral</v>
      </c>
      <c r="AJ72" s="32">
        <f t="shared" si="38"/>
        <v>3</v>
      </c>
      <c r="AK72">
        <f>step3_validation[[#This Row],[AI_TRU1]]</f>
        <v>7</v>
      </c>
      <c r="AL72" t="str">
        <f t="shared" si="39"/>
        <v>Neutral</v>
      </c>
      <c r="AM72">
        <f>survey_responses[[#This Row],[Tôi tin rằng Nhà nước, cơ quan thuế sẽ thực thi chính sách mới một cách khách quan, công tâm và đối xử bình đẳng với mọi người nộp thuế.  - HUMAN-TRU1]]</f>
        <v>3</v>
      </c>
      <c r="AN72" t="str">
        <f t="shared" si="40"/>
        <v>Oppose</v>
      </c>
      <c r="AO72" s="32">
        <f t="shared" si="41"/>
        <v>4</v>
      </c>
      <c r="AP72">
        <f>step3_validation[[#This Row],[AI_TRU2]]</f>
        <v>8</v>
      </c>
      <c r="AQ72" t="str">
        <f t="shared" si="42"/>
        <v>Support</v>
      </c>
      <c r="AR72">
        <f>survey_responses[[#This Row],[Tôi thấy mức thuế tôi phải đóng theo phương án mới là công bằng (người thu nhập như tôi đóng mức này là hợp lý). - HUMAN-TRU2]]</f>
        <v>3</v>
      </c>
      <c r="AS72" t="str">
        <f t="shared" si="43"/>
        <v>Oppose</v>
      </c>
      <c r="AT72" s="32">
        <f t="shared" si="44"/>
        <v>5</v>
      </c>
      <c r="AU72">
        <f>step3_validation[[#This Row],[AI_TRU3]]</f>
        <v>6</v>
      </c>
      <c r="AV72" t="str">
        <f t="shared" si="45"/>
        <v>Neutral</v>
      </c>
      <c r="AW72">
        <f>survey_responses[[#This Row],[Tôi tin tưởng số tiền thuế tôi đóng sẽ được Nhà nước sử dụng hiệu quả để cải thiện dịch vụ công (y tế, đường xá...). - HUMAN-TRU3]]</f>
        <v>3</v>
      </c>
      <c r="AX72" t="str">
        <f t="shared" si="46"/>
        <v>Oppose</v>
      </c>
      <c r="AY72" s="32">
        <f t="shared" si="47"/>
        <v>3</v>
      </c>
      <c r="AZ72">
        <f>step3_validation[[#This Row],[AI_TRU4]]</f>
        <v>5</v>
      </c>
      <c r="BA72" t="str">
        <f t="shared" si="48"/>
        <v>Neutral</v>
      </c>
      <c r="BB72">
        <f>survey_responses[[#This Row],[Tôi thấy Nhà nước đã giải thích rõ ràng, minh bạch về lý do và mục tiêu của việc sửa đổi thuế lần này. - HUMAN-TRU4]]</f>
        <v>3</v>
      </c>
      <c r="BC72" t="str">
        <f t="shared" si="49"/>
        <v>Oppose</v>
      </c>
      <c r="BD72" s="32">
        <f t="shared" si="50"/>
        <v>2</v>
      </c>
      <c r="BE72">
        <f>step3_validation[[#This Row],[AI_OUT1]]</f>
        <v>7</v>
      </c>
      <c r="BF72" t="str">
        <f t="shared" si="51"/>
        <v>Neutral</v>
      </c>
      <c r="BG72">
        <f>survey_responses[[#This Row],[Sau khi xem xét các quyền lợi và nghĩa vụ, bạn có ủng hộ và tuân thủ chính sách mới hiện nay? - HUMAN-OUT1]]</f>
        <v>4</v>
      </c>
      <c r="BH72" t="str">
        <f t="shared" si="52"/>
        <v>Oppose</v>
      </c>
      <c r="BI72" s="32">
        <f t="shared" si="53"/>
        <v>3</v>
      </c>
    </row>
    <row r="73" spans="1:61" x14ac:dyDescent="0.45">
      <c r="A73" s="30">
        <f>step3_validation[[#This Row],[Persona_ID]]</f>
        <v>72</v>
      </c>
      <c r="B73" s="31">
        <f>step3_validation[[#This Row],[Used_Seed]]</f>
        <v>2062</v>
      </c>
      <c r="C73" t="str">
        <f>step3_validation[[#This Row],[Gender]]</f>
        <v>Nam</v>
      </c>
      <c r="D73" t="str">
        <f>survey_responses[[#This Row],[Giới tính của bạn:]]</f>
        <v>Nam</v>
      </c>
      <c r="E73" t="str">
        <f>step3_validation[[#This Row],[Age_Group]]</f>
        <v>30 - 39</v>
      </c>
      <c r="F73" t="str">
        <f>survey_responses[[#This Row],[Độ tuổi của bạn:]]</f>
        <v>30 - 39</v>
      </c>
      <c r="G73" t="str">
        <f>step3_validation[[#This Row],[Region]]</f>
        <v>Thành thị</v>
      </c>
      <c r="H73" t="str">
        <f>survey_responses[[#This Row],[Khu vực bạn đang sinh sống:]]</f>
        <v>Thành thị</v>
      </c>
      <c r="I73" t="str">
        <f>step3_validation[[#This Row],[Education]]</f>
        <v>Đại học</v>
      </c>
      <c r="J73" t="str">
        <f>survey_responses[[#This Row],[Trình độ học vấn cao nhất:]]</f>
        <v>Đại học</v>
      </c>
      <c r="K73" t="str">
        <f>step3_validation[[#This Row],[Employment]]</f>
        <v>Phi chính thức</v>
      </c>
      <c r="L73" t="str">
        <f>survey_responses[[#This Row],[Tình trạng việc làm chính:]]</f>
        <v>Khu vực phi chính thức (Lao động tự do, không có HĐLĐ)</v>
      </c>
      <c r="M73">
        <f>step3_validation[[#This Row],[Income_Mil]]</f>
        <v>21.534208899275797</v>
      </c>
      <c r="N73" t="str">
        <f>survey_responses[[#This Row],[Thu nhập bình quân tháng theo Hợp đồng lao động của bạn là bao nhiêu? (Vui lòng điền tổng thu nhập trước khi khấu trừ các loại Bảo hiểm (BHXH, BHYT, BHTN) và Thuế TNCN)]]</f>
        <v>Từ 18 - 23 triệu VNĐ</v>
      </c>
      <c r="O73">
        <f>step3_validation[[#This Row],[Dependents]]</f>
        <v>3</v>
      </c>
      <c r="P73" t="str">
        <f>survey_responses[[#This Row],[Số người phụ thuộc (con nhỏ, cha mẹ già...) đủ điều kiện giảm trừ gia cảnh:]]</f>
        <v>3 người</v>
      </c>
      <c r="Q73">
        <f>step3_validation[[#This Row],[AI_ENF1]]</f>
        <v>6</v>
      </c>
      <c r="R73" t="str">
        <f t="shared" si="27"/>
        <v>Neutral</v>
      </c>
      <c r="S73">
        <f>survey_responses[[#This Row],[Tôi tin rằng với các quy định quản lý thuế hiện nay, hành vi gian lận hoặc trốn thuế sẽ dễ dàng bị phát hiện và xử lý nghiêm. - HUMAN-ENF1]]</f>
        <v>8</v>
      </c>
      <c r="T73" t="str">
        <f t="shared" si="28"/>
        <v>Support</v>
      </c>
      <c r="U73" s="32">
        <f t="shared" si="29"/>
        <v>2</v>
      </c>
      <c r="V73">
        <f>step3_validation[[#This Row],[AI_ENF2]]</f>
        <v>7</v>
      </c>
      <c r="W73" t="str">
        <f t="shared" si="30"/>
        <v>Neutral</v>
      </c>
      <c r="X73">
        <f>survey_responses[[#This Row],[Tôi tin rằng Nhà nước, cơ quan thuế có đủ khả năng và công nghệ để phát hiện, xử lý nghiêm các hành vi trốn thuế. - HUMAN-ENF2]]</f>
        <v>8</v>
      </c>
      <c r="Y73" t="str">
        <f t="shared" si="31"/>
        <v>Support</v>
      </c>
      <c r="Z73" s="32">
        <f t="shared" si="32"/>
        <v>1</v>
      </c>
      <c r="AA73">
        <f>step3_validation[[#This Row],[AI_FAC1]]</f>
        <v>8</v>
      </c>
      <c r="AB73" t="str">
        <f t="shared" si="33"/>
        <v>Support</v>
      </c>
      <c r="AC73">
        <f>survey_responses[[#This Row],[Các thủ tục khai báo thuế VÀ/HOẶC quy trình làm việc với cơ quan thuế đơn giản, tiện lợi, nhanh chóng hơn so với trước đây. - HUMAN-FAC1]]</f>
        <v>4</v>
      </c>
      <c r="AD73" t="str">
        <f t="shared" si="34"/>
        <v>Oppose</v>
      </c>
      <c r="AE73" s="32">
        <f t="shared" si="35"/>
        <v>4</v>
      </c>
      <c r="AF73">
        <f>step3_validation[[#This Row],[AI_FAC2]]</f>
        <v>9</v>
      </c>
      <c r="AG73" t="str">
        <f t="shared" si="36"/>
        <v>Support</v>
      </c>
      <c r="AH73">
        <f>survey_responses[[#This Row],[So với trước đây, tôi thấy cách tính thuế và các bậc thuế trong phương án mới đơn giản, dễ hiểu và dễ thực hiện hơn. - HUMAN-FAC2]]</f>
        <v>2</v>
      </c>
      <c r="AI73" t="str">
        <f t="shared" si="37"/>
        <v>Oppose</v>
      </c>
      <c r="AJ73" s="32">
        <f t="shared" si="38"/>
        <v>7</v>
      </c>
      <c r="AK73">
        <f>step3_validation[[#This Row],[AI_TRU1]]</f>
        <v>6</v>
      </c>
      <c r="AL73" t="str">
        <f t="shared" si="39"/>
        <v>Neutral</v>
      </c>
      <c r="AM73">
        <f>survey_responses[[#This Row],[Tôi tin rằng Nhà nước, cơ quan thuế sẽ thực thi chính sách mới một cách khách quan, công tâm và đối xử bình đẳng với mọi người nộp thuế.  - HUMAN-TRU1]]</f>
        <v>6</v>
      </c>
      <c r="AN73" t="str">
        <f t="shared" si="40"/>
        <v>Neutral</v>
      </c>
      <c r="AO73" s="32">
        <f t="shared" si="41"/>
        <v>0</v>
      </c>
      <c r="AP73">
        <f>step3_validation[[#This Row],[AI_TRU2]]</f>
        <v>7</v>
      </c>
      <c r="AQ73" t="str">
        <f t="shared" si="42"/>
        <v>Neutral</v>
      </c>
      <c r="AR73">
        <f>survey_responses[[#This Row],[Tôi thấy mức thuế tôi phải đóng theo phương án mới là công bằng (người thu nhập như tôi đóng mức này là hợp lý). - HUMAN-TRU2]]</f>
        <v>3</v>
      </c>
      <c r="AS73" t="str">
        <f t="shared" si="43"/>
        <v>Oppose</v>
      </c>
      <c r="AT73" s="32">
        <f t="shared" si="44"/>
        <v>4</v>
      </c>
      <c r="AU73">
        <f>step3_validation[[#This Row],[AI_TRU3]]</f>
        <v>6</v>
      </c>
      <c r="AV73" t="str">
        <f t="shared" si="45"/>
        <v>Neutral</v>
      </c>
      <c r="AW73">
        <f>survey_responses[[#This Row],[Tôi tin tưởng số tiền thuế tôi đóng sẽ được Nhà nước sử dụng hiệu quả để cải thiện dịch vụ công (y tế, đường xá...). - HUMAN-TRU3]]</f>
        <v>8</v>
      </c>
      <c r="AX73" t="str">
        <f t="shared" si="46"/>
        <v>Support</v>
      </c>
      <c r="AY73" s="32">
        <f t="shared" si="47"/>
        <v>2</v>
      </c>
      <c r="AZ73">
        <f>step3_validation[[#This Row],[AI_TRU4]]</f>
        <v>7</v>
      </c>
      <c r="BA73" t="str">
        <f t="shared" si="48"/>
        <v>Neutral</v>
      </c>
      <c r="BB73">
        <f>survey_responses[[#This Row],[Tôi thấy Nhà nước đã giải thích rõ ràng, minh bạch về lý do và mục tiêu của việc sửa đổi thuế lần này. - HUMAN-TRU4]]</f>
        <v>4</v>
      </c>
      <c r="BC73" t="str">
        <f t="shared" si="49"/>
        <v>Oppose</v>
      </c>
      <c r="BD73" s="32">
        <f t="shared" si="50"/>
        <v>3</v>
      </c>
      <c r="BE73">
        <f>step3_validation[[#This Row],[AI_OUT1]]</f>
        <v>6</v>
      </c>
      <c r="BF73" t="str">
        <f t="shared" si="51"/>
        <v>Neutral</v>
      </c>
      <c r="BG73">
        <f>survey_responses[[#This Row],[Sau khi xem xét các quyền lợi và nghĩa vụ, bạn có ủng hộ và tuân thủ chính sách mới hiện nay? - HUMAN-OUT1]]</f>
        <v>8</v>
      </c>
      <c r="BH73" t="str">
        <f t="shared" si="52"/>
        <v>Support</v>
      </c>
      <c r="BI73" s="32">
        <f t="shared" si="53"/>
        <v>2</v>
      </c>
    </row>
    <row r="74" spans="1:61" x14ac:dyDescent="0.45">
      <c r="A74" s="30">
        <f>step3_validation[[#This Row],[Persona_ID]]</f>
        <v>73</v>
      </c>
      <c r="B74" s="31">
        <f>step3_validation[[#This Row],[Used_Seed]]</f>
        <v>2063</v>
      </c>
      <c r="C74" t="str">
        <f>step3_validation[[#This Row],[Gender]]</f>
        <v>Nam</v>
      </c>
      <c r="D74" t="str">
        <f>survey_responses[[#This Row],[Giới tính của bạn:]]</f>
        <v>Nam</v>
      </c>
      <c r="E74" t="str">
        <f>step3_validation[[#This Row],[Age_Group]]</f>
        <v>18 - 24</v>
      </c>
      <c r="F74" t="str">
        <f>survey_responses[[#This Row],[Độ tuổi của bạn:]]</f>
        <v>18 - 24</v>
      </c>
      <c r="G74" t="str">
        <f>step3_validation[[#This Row],[Region]]</f>
        <v>Thành thị</v>
      </c>
      <c r="H74" t="str">
        <f>survey_responses[[#This Row],[Khu vực bạn đang sinh sống:]]</f>
        <v>Thành thị</v>
      </c>
      <c r="I74" t="str">
        <f>step3_validation[[#This Row],[Education]]</f>
        <v>Trung học phổ thông</v>
      </c>
      <c r="J74" t="str">
        <f>survey_responses[[#This Row],[Trình độ học vấn cao nhất:]]</f>
        <v>Trung học phổ thông</v>
      </c>
      <c r="K74" t="str">
        <f>step3_validation[[#This Row],[Employment]]</f>
        <v>Chính thức</v>
      </c>
      <c r="L74" t="str">
        <f>survey_responses[[#This Row],[Tình trạng việc làm chính:]]</f>
        <v>Khu vực chính thức (Có Hợp đồng lao động, đóng BHXH)</v>
      </c>
      <c r="M74">
        <f>step3_validation[[#This Row],[Income_Mil]]</f>
        <v>13.59025283310098</v>
      </c>
      <c r="N74" t="str">
        <f>survey_responses[[#This Row],[Thu nhập bình quân tháng theo Hợp đồng lao động của bạn là bao nhiêu? (Vui lòng điền tổng thu nhập trước khi khấu trừ các loại Bảo hiểm (BHXH, BHYT, BHTN) và Thuế TNCN)]]</f>
        <v>Từ 12 - 18 triệu VNĐ</v>
      </c>
      <c r="O74">
        <f>step3_validation[[#This Row],[Dependents]]</f>
        <v>0</v>
      </c>
      <c r="P74" t="str">
        <f>survey_responses[[#This Row],[Số người phụ thuộc (con nhỏ, cha mẹ già...) đủ điều kiện giảm trừ gia cảnh:]]</f>
        <v>0 người</v>
      </c>
      <c r="Q74">
        <f>step3_validation[[#This Row],[AI_ENF1]]</f>
        <v>6</v>
      </c>
      <c r="R74" t="str">
        <f t="shared" si="27"/>
        <v>Neutral</v>
      </c>
      <c r="S74">
        <f>survey_responses[[#This Row],[Tôi tin rằng với các quy định quản lý thuế hiện nay, hành vi gian lận hoặc trốn thuế sẽ dễ dàng bị phát hiện và xử lý nghiêm. - HUMAN-ENF1]]</f>
        <v>5</v>
      </c>
      <c r="T74" t="str">
        <f t="shared" si="28"/>
        <v>Neutral</v>
      </c>
      <c r="U74" s="32">
        <f t="shared" si="29"/>
        <v>1</v>
      </c>
      <c r="V74">
        <f>step3_validation[[#This Row],[AI_ENF2]]</f>
        <v>7</v>
      </c>
      <c r="W74" t="str">
        <f t="shared" si="30"/>
        <v>Neutral</v>
      </c>
      <c r="X74">
        <f>survey_responses[[#This Row],[Tôi tin rằng Nhà nước, cơ quan thuế có đủ khả năng và công nghệ để phát hiện, xử lý nghiêm các hành vi trốn thuế. - HUMAN-ENF2]]</f>
        <v>5</v>
      </c>
      <c r="Y74" t="str">
        <f t="shared" si="31"/>
        <v>Neutral</v>
      </c>
      <c r="Z74" s="32">
        <f t="shared" si="32"/>
        <v>2</v>
      </c>
      <c r="AA74">
        <f>step3_validation[[#This Row],[AI_FAC1]]</f>
        <v>8</v>
      </c>
      <c r="AB74" t="str">
        <f t="shared" si="33"/>
        <v>Support</v>
      </c>
      <c r="AC74">
        <f>survey_responses[[#This Row],[Các thủ tục khai báo thuế VÀ/HOẶC quy trình làm việc với cơ quan thuế đơn giản, tiện lợi, nhanh chóng hơn so với trước đây. - HUMAN-FAC1]]</f>
        <v>5</v>
      </c>
      <c r="AD74" t="str">
        <f t="shared" si="34"/>
        <v>Neutral</v>
      </c>
      <c r="AE74" s="32">
        <f t="shared" si="35"/>
        <v>3</v>
      </c>
      <c r="AF74">
        <f>step3_validation[[#This Row],[AI_FAC2]]</f>
        <v>9</v>
      </c>
      <c r="AG74" t="str">
        <f t="shared" si="36"/>
        <v>Support</v>
      </c>
      <c r="AH74">
        <f>survey_responses[[#This Row],[So với trước đây, tôi thấy cách tính thuế và các bậc thuế trong phương án mới đơn giản, dễ hiểu và dễ thực hiện hơn. - HUMAN-FAC2]]</f>
        <v>5</v>
      </c>
      <c r="AI74" t="str">
        <f t="shared" si="37"/>
        <v>Neutral</v>
      </c>
      <c r="AJ74" s="32">
        <f t="shared" si="38"/>
        <v>4</v>
      </c>
      <c r="AK74">
        <f>step3_validation[[#This Row],[AI_TRU1]]</f>
        <v>8</v>
      </c>
      <c r="AL74" t="str">
        <f t="shared" si="39"/>
        <v>Support</v>
      </c>
      <c r="AM74">
        <f>survey_responses[[#This Row],[Tôi tin rằng Nhà nước, cơ quan thuế sẽ thực thi chính sách mới một cách khách quan, công tâm và đối xử bình đẳng với mọi người nộp thuế.  - HUMAN-TRU1]]</f>
        <v>5</v>
      </c>
      <c r="AN74" t="str">
        <f t="shared" si="40"/>
        <v>Neutral</v>
      </c>
      <c r="AO74" s="32">
        <f t="shared" si="41"/>
        <v>3</v>
      </c>
      <c r="AP74">
        <f>step3_validation[[#This Row],[AI_TRU2]]</f>
        <v>6</v>
      </c>
      <c r="AQ74" t="str">
        <f t="shared" si="42"/>
        <v>Neutral</v>
      </c>
      <c r="AR74">
        <f>survey_responses[[#This Row],[Tôi thấy mức thuế tôi phải đóng theo phương án mới là công bằng (người thu nhập như tôi đóng mức này là hợp lý). - HUMAN-TRU2]]</f>
        <v>10</v>
      </c>
      <c r="AS74" t="str">
        <f t="shared" si="43"/>
        <v>Support</v>
      </c>
      <c r="AT74" s="32">
        <f t="shared" si="44"/>
        <v>4</v>
      </c>
      <c r="AU74">
        <f>step3_validation[[#This Row],[AI_TRU3]]</f>
        <v>7</v>
      </c>
      <c r="AV74" t="str">
        <f t="shared" si="45"/>
        <v>Neutral</v>
      </c>
      <c r="AW74">
        <f>survey_responses[[#This Row],[Tôi tin tưởng số tiền thuế tôi đóng sẽ được Nhà nước sử dụng hiệu quả để cải thiện dịch vụ công (y tế, đường xá...). - HUMAN-TRU3]]</f>
        <v>5</v>
      </c>
      <c r="AX74" t="str">
        <f t="shared" si="46"/>
        <v>Neutral</v>
      </c>
      <c r="AY74" s="32">
        <f t="shared" si="47"/>
        <v>2</v>
      </c>
      <c r="AZ74">
        <f>step3_validation[[#This Row],[AI_TRU4]]</f>
        <v>6</v>
      </c>
      <c r="BA74" t="str">
        <f t="shared" si="48"/>
        <v>Neutral</v>
      </c>
      <c r="BB74">
        <f>survey_responses[[#This Row],[Tôi thấy Nhà nước đã giải thích rõ ràng, minh bạch về lý do và mục tiêu của việc sửa đổi thuế lần này. - HUMAN-TRU4]]</f>
        <v>5</v>
      </c>
      <c r="BC74" t="str">
        <f t="shared" si="49"/>
        <v>Neutral</v>
      </c>
      <c r="BD74" s="32">
        <f t="shared" si="50"/>
        <v>1</v>
      </c>
      <c r="BE74">
        <f>step3_validation[[#This Row],[AI_OUT1]]</f>
        <v>7</v>
      </c>
      <c r="BF74" t="str">
        <f t="shared" si="51"/>
        <v>Neutral</v>
      </c>
      <c r="BG74">
        <f>survey_responses[[#This Row],[Sau khi xem xét các quyền lợi và nghĩa vụ, bạn có ủng hộ và tuân thủ chính sách mới hiện nay? - HUMAN-OUT1]]</f>
        <v>10</v>
      </c>
      <c r="BH74" t="str">
        <f t="shared" si="52"/>
        <v>Support</v>
      </c>
      <c r="BI74" s="32">
        <f t="shared" si="53"/>
        <v>3</v>
      </c>
    </row>
    <row r="75" spans="1:61" x14ac:dyDescent="0.45">
      <c r="A75" s="30">
        <f>step3_validation[[#This Row],[Persona_ID]]</f>
        <v>74</v>
      </c>
      <c r="B75" s="31">
        <f>step3_validation[[#This Row],[Used_Seed]]</f>
        <v>2064</v>
      </c>
      <c r="C75" t="str">
        <f>step3_validation[[#This Row],[Gender]]</f>
        <v>Nữ</v>
      </c>
      <c r="D75" t="str">
        <f>survey_responses[[#This Row],[Giới tính của bạn:]]</f>
        <v>Nữ</v>
      </c>
      <c r="E75" t="str">
        <f>step3_validation[[#This Row],[Age_Group]]</f>
        <v>30 - 39</v>
      </c>
      <c r="F75" t="str">
        <f>survey_responses[[#This Row],[Độ tuổi của bạn:]]</f>
        <v>30 - 39</v>
      </c>
      <c r="G75" t="str">
        <f>step3_validation[[#This Row],[Region]]</f>
        <v>Thành thị</v>
      </c>
      <c r="H75" t="str">
        <f>survey_responses[[#This Row],[Khu vực bạn đang sinh sống:]]</f>
        <v>Thành thị</v>
      </c>
      <c r="I75" t="str">
        <f>step3_validation[[#This Row],[Education]]</f>
        <v>Đại học</v>
      </c>
      <c r="J75" t="str">
        <f>survey_responses[[#This Row],[Trình độ học vấn cao nhất:]]</f>
        <v>Đại học</v>
      </c>
      <c r="K75" t="str">
        <f>step3_validation[[#This Row],[Employment]]</f>
        <v>Phi chính thức</v>
      </c>
      <c r="L75" t="str">
        <f>survey_responses[[#This Row],[Tình trạng việc làm chính:]]</f>
        <v>Khu vực phi chính thức (Lao động tự do, không có HĐLĐ)</v>
      </c>
      <c r="M75">
        <f>step3_validation[[#This Row],[Income_Mil]]</f>
        <v>20.608193558112948</v>
      </c>
      <c r="N75" t="str">
        <f>survey_responses[[#This Row],[Thu nhập bình quân tháng theo Hợp đồng lao động của bạn là bao nhiêu? (Vui lòng điền tổng thu nhập trước khi khấu trừ các loại Bảo hiểm (BHXH, BHYT, BHTN) và Thuế TNCN)]]</f>
        <v>Từ 18 - 23 triệu VNĐ</v>
      </c>
      <c r="O75">
        <f>step3_validation[[#This Row],[Dependents]]</f>
        <v>1</v>
      </c>
      <c r="P75" t="str">
        <f>survey_responses[[#This Row],[Số người phụ thuộc (con nhỏ, cha mẹ già...) đủ điều kiện giảm trừ gia cảnh:]]</f>
        <v>1 người</v>
      </c>
      <c r="Q75">
        <f>step3_validation[[#This Row],[AI_ENF1]]</f>
        <v>8</v>
      </c>
      <c r="R75" t="str">
        <f t="shared" si="27"/>
        <v>Support</v>
      </c>
      <c r="S75">
        <f>survey_responses[[#This Row],[Tôi tin rằng với các quy định quản lý thuế hiện nay, hành vi gian lận hoặc trốn thuế sẽ dễ dàng bị phát hiện và xử lý nghiêm. - HUMAN-ENF1]]</f>
        <v>5</v>
      </c>
      <c r="T75" t="str">
        <f t="shared" si="28"/>
        <v>Neutral</v>
      </c>
      <c r="U75" s="32">
        <f t="shared" si="29"/>
        <v>3</v>
      </c>
      <c r="V75">
        <f>step3_validation[[#This Row],[AI_ENF2]]</f>
        <v>9</v>
      </c>
      <c r="W75" t="str">
        <f t="shared" si="30"/>
        <v>Support</v>
      </c>
      <c r="X75">
        <f>survey_responses[[#This Row],[Tôi tin rằng Nhà nước, cơ quan thuế có đủ khả năng và công nghệ để phát hiện, xử lý nghiêm các hành vi trốn thuế. - HUMAN-ENF2]]</f>
        <v>10</v>
      </c>
      <c r="Y75" t="str">
        <f t="shared" si="31"/>
        <v>Support</v>
      </c>
      <c r="Z75" s="32">
        <f t="shared" si="32"/>
        <v>1</v>
      </c>
      <c r="AA75">
        <f>step3_validation[[#This Row],[AI_FAC1]]</f>
        <v>7</v>
      </c>
      <c r="AB75" t="str">
        <f t="shared" si="33"/>
        <v>Neutral</v>
      </c>
      <c r="AC75">
        <f>survey_responses[[#This Row],[Các thủ tục khai báo thuế VÀ/HOẶC quy trình làm việc với cơ quan thuế đơn giản, tiện lợi, nhanh chóng hơn so với trước đây. - HUMAN-FAC1]]</f>
        <v>2</v>
      </c>
      <c r="AD75" t="str">
        <f t="shared" si="34"/>
        <v>Oppose</v>
      </c>
      <c r="AE75" s="32">
        <f t="shared" si="35"/>
        <v>5</v>
      </c>
      <c r="AF75">
        <f>step3_validation[[#This Row],[AI_FAC2]]</f>
        <v>8</v>
      </c>
      <c r="AG75" t="str">
        <f t="shared" si="36"/>
        <v>Support</v>
      </c>
      <c r="AH75">
        <f>survey_responses[[#This Row],[So với trước đây, tôi thấy cách tính thuế và các bậc thuế trong phương án mới đơn giản, dễ hiểu và dễ thực hiện hơn. - HUMAN-FAC2]]</f>
        <v>8</v>
      </c>
      <c r="AI75" t="str">
        <f t="shared" si="37"/>
        <v>Support</v>
      </c>
      <c r="AJ75" s="32">
        <f t="shared" si="38"/>
        <v>0</v>
      </c>
      <c r="AK75">
        <f>step3_validation[[#This Row],[AI_TRU1]]</f>
        <v>9</v>
      </c>
      <c r="AL75" t="str">
        <f t="shared" si="39"/>
        <v>Support</v>
      </c>
      <c r="AM75">
        <f>survey_responses[[#This Row],[Tôi tin rằng Nhà nước, cơ quan thuế sẽ thực thi chính sách mới một cách khách quan, công tâm và đối xử bình đẳng với mọi người nộp thuế.  - HUMAN-TRU1]]</f>
        <v>5</v>
      </c>
      <c r="AN75" t="str">
        <f t="shared" si="40"/>
        <v>Neutral</v>
      </c>
      <c r="AO75" s="32">
        <f t="shared" si="41"/>
        <v>4</v>
      </c>
      <c r="AP75">
        <f>step3_validation[[#This Row],[AI_TRU2]]</f>
        <v>7</v>
      </c>
      <c r="AQ75" t="str">
        <f t="shared" si="42"/>
        <v>Neutral</v>
      </c>
      <c r="AR75">
        <f>survey_responses[[#This Row],[Tôi thấy mức thuế tôi phải đóng theo phương án mới là công bằng (người thu nhập như tôi đóng mức này là hợp lý). - HUMAN-TRU2]]</f>
        <v>5</v>
      </c>
      <c r="AS75" t="str">
        <f t="shared" si="43"/>
        <v>Neutral</v>
      </c>
      <c r="AT75" s="32">
        <f t="shared" si="44"/>
        <v>2</v>
      </c>
      <c r="AU75">
        <f>step3_validation[[#This Row],[AI_TRU3]]</f>
        <v>8</v>
      </c>
      <c r="AV75" t="str">
        <f t="shared" si="45"/>
        <v>Support</v>
      </c>
      <c r="AW75">
        <f>survey_responses[[#This Row],[Tôi tin tưởng số tiền thuế tôi đóng sẽ được Nhà nước sử dụng hiệu quả để cải thiện dịch vụ công (y tế, đường xá...). - HUMAN-TRU3]]</f>
        <v>1</v>
      </c>
      <c r="AX75" t="str">
        <f t="shared" si="46"/>
        <v>Oppose</v>
      </c>
      <c r="AY75" s="32">
        <f t="shared" si="47"/>
        <v>7</v>
      </c>
      <c r="AZ75">
        <f>step3_validation[[#This Row],[AI_TRU4]]</f>
        <v>6</v>
      </c>
      <c r="BA75" t="str">
        <f t="shared" si="48"/>
        <v>Neutral</v>
      </c>
      <c r="BB75">
        <f>survey_responses[[#This Row],[Tôi thấy Nhà nước đã giải thích rõ ràng, minh bạch về lý do và mục tiêu của việc sửa đổi thuế lần này. - HUMAN-TRU4]]</f>
        <v>4</v>
      </c>
      <c r="BC75" t="str">
        <f t="shared" si="49"/>
        <v>Oppose</v>
      </c>
      <c r="BD75" s="32">
        <f t="shared" si="50"/>
        <v>2</v>
      </c>
      <c r="BE75">
        <f>step3_validation[[#This Row],[AI_OUT1]]</f>
        <v>8</v>
      </c>
      <c r="BF75" t="str">
        <f t="shared" si="51"/>
        <v>Support</v>
      </c>
      <c r="BG75">
        <f>survey_responses[[#This Row],[Sau khi xem xét các quyền lợi và nghĩa vụ, bạn có ủng hộ và tuân thủ chính sách mới hiện nay? - HUMAN-OUT1]]</f>
        <v>5</v>
      </c>
      <c r="BH75" t="str">
        <f t="shared" si="52"/>
        <v>Neutral</v>
      </c>
      <c r="BI75" s="32">
        <f t="shared" si="53"/>
        <v>3</v>
      </c>
    </row>
    <row r="76" spans="1:61" x14ac:dyDescent="0.45">
      <c r="A76" s="30">
        <f>step3_validation[[#This Row],[Persona_ID]]</f>
        <v>75</v>
      </c>
      <c r="B76" s="31">
        <f>step3_validation[[#This Row],[Used_Seed]]</f>
        <v>2065</v>
      </c>
      <c r="C76" t="str">
        <f>step3_validation[[#This Row],[Gender]]</f>
        <v>Nam</v>
      </c>
      <c r="D76" t="str">
        <f>survey_responses[[#This Row],[Giới tính của bạn:]]</f>
        <v>Nam</v>
      </c>
      <c r="E76" t="str">
        <f>step3_validation[[#This Row],[Age_Group]]</f>
        <v>40 - 49</v>
      </c>
      <c r="F76" t="str">
        <f>survey_responses[[#This Row],[Độ tuổi của bạn:]]</f>
        <v>40 - 49</v>
      </c>
      <c r="G76" t="str">
        <f>step3_validation[[#This Row],[Region]]</f>
        <v>Thành thị</v>
      </c>
      <c r="H76" t="str">
        <f>survey_responses[[#This Row],[Khu vực bạn đang sinh sống:]]</f>
        <v>Thành thị</v>
      </c>
      <c r="I76" t="str">
        <f>step3_validation[[#This Row],[Education]]</f>
        <v>Sau Đại học</v>
      </c>
      <c r="J76" t="str">
        <f>survey_responses[[#This Row],[Trình độ học vấn cao nhất:]]</f>
        <v>Sau Đại học</v>
      </c>
      <c r="K76" t="str">
        <f>step3_validation[[#This Row],[Employment]]</f>
        <v>Chính thức</v>
      </c>
      <c r="L76" t="str">
        <f>survey_responses[[#This Row],[Tình trạng việc làm chính:]]</f>
        <v>Khu vực chính thức (Có Hợp đồng lao động, đóng BHXH)</v>
      </c>
      <c r="M76">
        <f>step3_validation[[#This Row],[Income_Mil]]</f>
        <v>63.766022638741298</v>
      </c>
      <c r="N76" t="str">
        <f>survey_responses[[#This Row],[Thu nhập bình quân tháng theo Hợp đồng lao động của bạn là bao nhiêu? (Vui lòng điền tổng thu nhập trước khi khấu trừ các loại Bảo hiểm (BHXH, BHYT, BHTN) và Thuế TNCN)]]</f>
        <v>Từ 48 - 70 triệu VNĐ</v>
      </c>
      <c r="O76">
        <f>step3_validation[[#This Row],[Dependents]]</f>
        <v>2</v>
      </c>
      <c r="P76" t="str">
        <f>survey_responses[[#This Row],[Số người phụ thuộc (con nhỏ, cha mẹ già...) đủ điều kiện giảm trừ gia cảnh:]]</f>
        <v>2 người</v>
      </c>
      <c r="Q76">
        <f>step3_validation[[#This Row],[AI_ENF1]]</f>
        <v>7</v>
      </c>
      <c r="R76" t="str">
        <f t="shared" si="27"/>
        <v>Neutral</v>
      </c>
      <c r="S76">
        <f>survey_responses[[#This Row],[Tôi tin rằng với các quy định quản lý thuế hiện nay, hành vi gian lận hoặc trốn thuế sẽ dễ dàng bị phát hiện và xử lý nghiêm. - HUMAN-ENF1]]</f>
        <v>8</v>
      </c>
      <c r="T76" t="str">
        <f t="shared" si="28"/>
        <v>Support</v>
      </c>
      <c r="U76" s="32">
        <f t="shared" si="29"/>
        <v>1</v>
      </c>
      <c r="V76">
        <f>step3_validation[[#This Row],[AI_ENF2]]</f>
        <v>8</v>
      </c>
      <c r="W76" t="str">
        <f t="shared" si="30"/>
        <v>Support</v>
      </c>
      <c r="X76">
        <f>survey_responses[[#This Row],[Tôi tin rằng Nhà nước, cơ quan thuế có đủ khả năng và công nghệ để phát hiện, xử lý nghiêm các hành vi trốn thuế. - HUMAN-ENF2]]</f>
        <v>9</v>
      </c>
      <c r="Y76" t="str">
        <f t="shared" si="31"/>
        <v>Support</v>
      </c>
      <c r="Z76" s="32">
        <f t="shared" si="32"/>
        <v>1</v>
      </c>
      <c r="AA76">
        <f>step3_validation[[#This Row],[AI_FAC1]]</f>
        <v>6</v>
      </c>
      <c r="AB76" t="str">
        <f t="shared" si="33"/>
        <v>Neutral</v>
      </c>
      <c r="AC76">
        <f>survey_responses[[#This Row],[Các thủ tục khai báo thuế VÀ/HOẶC quy trình làm việc với cơ quan thuế đơn giản, tiện lợi, nhanh chóng hơn so với trước đây. - HUMAN-FAC1]]</f>
        <v>9</v>
      </c>
      <c r="AD76" t="str">
        <f t="shared" si="34"/>
        <v>Support</v>
      </c>
      <c r="AE76" s="32">
        <f t="shared" si="35"/>
        <v>3</v>
      </c>
      <c r="AF76">
        <f>step3_validation[[#This Row],[AI_FAC2]]</f>
        <v>9</v>
      </c>
      <c r="AG76" t="str">
        <f t="shared" si="36"/>
        <v>Support</v>
      </c>
      <c r="AH76">
        <f>survey_responses[[#This Row],[So với trước đây, tôi thấy cách tính thuế và các bậc thuế trong phương án mới đơn giản, dễ hiểu và dễ thực hiện hơn. - HUMAN-FAC2]]</f>
        <v>9</v>
      </c>
      <c r="AI76" t="str">
        <f t="shared" si="37"/>
        <v>Support</v>
      </c>
      <c r="AJ76" s="32">
        <f t="shared" si="38"/>
        <v>0</v>
      </c>
      <c r="AK76">
        <f>step3_validation[[#This Row],[AI_TRU1]]</f>
        <v>8</v>
      </c>
      <c r="AL76" t="str">
        <f t="shared" si="39"/>
        <v>Support</v>
      </c>
      <c r="AM76">
        <f>survey_responses[[#This Row],[Tôi tin rằng Nhà nước, cơ quan thuế sẽ thực thi chính sách mới một cách khách quan, công tâm và đối xử bình đẳng với mọi người nộp thuế.  - HUMAN-TRU1]]</f>
        <v>3</v>
      </c>
      <c r="AN76" t="str">
        <f t="shared" si="40"/>
        <v>Oppose</v>
      </c>
      <c r="AO76" s="32">
        <f t="shared" si="41"/>
        <v>5</v>
      </c>
      <c r="AP76">
        <f>step3_validation[[#This Row],[AI_TRU2]]</f>
        <v>7</v>
      </c>
      <c r="AQ76" t="str">
        <f t="shared" si="42"/>
        <v>Neutral</v>
      </c>
      <c r="AR76">
        <f>survey_responses[[#This Row],[Tôi thấy mức thuế tôi phải đóng theo phương án mới là công bằng (người thu nhập như tôi đóng mức này là hợp lý). - HUMAN-TRU2]]</f>
        <v>3</v>
      </c>
      <c r="AS76" t="str">
        <f t="shared" si="43"/>
        <v>Oppose</v>
      </c>
      <c r="AT76" s="32">
        <f t="shared" si="44"/>
        <v>4</v>
      </c>
      <c r="AU76">
        <f>step3_validation[[#This Row],[AI_TRU3]]</f>
        <v>8</v>
      </c>
      <c r="AV76" t="str">
        <f t="shared" si="45"/>
        <v>Support</v>
      </c>
      <c r="AW76">
        <f>survey_responses[[#This Row],[Tôi tin tưởng số tiền thuế tôi đóng sẽ được Nhà nước sử dụng hiệu quả để cải thiện dịch vụ công (y tế, đường xá...). - HUMAN-TRU3]]</f>
        <v>2</v>
      </c>
      <c r="AX76" t="str">
        <f t="shared" si="46"/>
        <v>Oppose</v>
      </c>
      <c r="AY76" s="32">
        <f t="shared" si="47"/>
        <v>6</v>
      </c>
      <c r="AZ76">
        <f>step3_validation[[#This Row],[AI_TRU4]]</f>
        <v>7</v>
      </c>
      <c r="BA76" t="str">
        <f t="shared" si="48"/>
        <v>Neutral</v>
      </c>
      <c r="BB76">
        <f>survey_responses[[#This Row],[Tôi thấy Nhà nước đã giải thích rõ ràng, minh bạch về lý do và mục tiêu của việc sửa đổi thuế lần này. - HUMAN-TRU4]]</f>
        <v>2</v>
      </c>
      <c r="BC76" t="str">
        <f t="shared" si="49"/>
        <v>Oppose</v>
      </c>
      <c r="BD76" s="32">
        <f t="shared" si="50"/>
        <v>5</v>
      </c>
      <c r="BE76">
        <f>step3_validation[[#This Row],[AI_OUT1]]</f>
        <v>9</v>
      </c>
      <c r="BF76" t="str">
        <f t="shared" si="51"/>
        <v>Support</v>
      </c>
      <c r="BG76">
        <f>survey_responses[[#This Row],[Sau khi xem xét các quyền lợi và nghĩa vụ, bạn có ủng hộ và tuân thủ chính sách mới hiện nay? - HUMAN-OUT1]]</f>
        <v>6</v>
      </c>
      <c r="BH76" t="str">
        <f t="shared" si="52"/>
        <v>Neutral</v>
      </c>
      <c r="BI76" s="32">
        <f t="shared" si="53"/>
        <v>3</v>
      </c>
    </row>
    <row r="77" spans="1:61" x14ac:dyDescent="0.45">
      <c r="A77" s="30">
        <f>step3_validation[[#This Row],[Persona_ID]]</f>
        <v>76</v>
      </c>
      <c r="B77" s="31">
        <f>step3_validation[[#This Row],[Used_Seed]]</f>
        <v>2066</v>
      </c>
      <c r="C77" t="str">
        <f>step3_validation[[#This Row],[Gender]]</f>
        <v>Nam</v>
      </c>
      <c r="D77" t="str">
        <f>survey_responses[[#This Row],[Giới tính của bạn:]]</f>
        <v>Nam</v>
      </c>
      <c r="E77" t="str">
        <f>step3_validation[[#This Row],[Age_Group]]</f>
        <v>40 - 49</v>
      </c>
      <c r="F77" t="str">
        <f>survey_responses[[#This Row],[Độ tuổi của bạn:]]</f>
        <v>40 - 49</v>
      </c>
      <c r="G77" t="str">
        <f>step3_validation[[#This Row],[Region]]</f>
        <v>Nông thôn</v>
      </c>
      <c r="H77" t="str">
        <f>survey_responses[[#This Row],[Khu vực bạn đang sinh sống:]]</f>
        <v>Nông thôn</v>
      </c>
      <c r="I77" t="str">
        <f>step3_validation[[#This Row],[Education]]</f>
        <v>Trung học phổ thông</v>
      </c>
      <c r="J77" t="str">
        <f>survey_responses[[#This Row],[Trình độ học vấn cao nhất:]]</f>
        <v>Trung học phổ thông</v>
      </c>
      <c r="K77" t="str">
        <f>step3_validation[[#This Row],[Employment]]</f>
        <v>Phi chính thức</v>
      </c>
      <c r="L77" t="str">
        <f>survey_responses[[#This Row],[Tình trạng việc làm chính:]]</f>
        <v>Khu vực phi chính thức (Lao động tự do, không có HĐLĐ)</v>
      </c>
      <c r="M77">
        <f>step3_validation[[#This Row],[Income_Mil]]</f>
        <v>12.049198880927142</v>
      </c>
      <c r="N77" t="str">
        <f>survey_responses[[#This Row],[Thu nhập bình quân tháng theo Hợp đồng lao động của bạn là bao nhiêu? (Vui lòng điền tổng thu nhập trước khi khấu trừ các loại Bảo hiểm (BHXH, BHYT, BHTN) và Thuế TNCN)]]</f>
        <v>Từ 12 - 18 triệu VNĐ</v>
      </c>
      <c r="O77">
        <f>step3_validation[[#This Row],[Dependents]]</f>
        <v>3</v>
      </c>
      <c r="P77" t="str">
        <f>survey_responses[[#This Row],[Số người phụ thuộc (con nhỏ, cha mẹ già...) đủ điều kiện giảm trừ gia cảnh:]]</f>
        <v>3 người</v>
      </c>
      <c r="Q77">
        <f>step3_validation[[#This Row],[AI_ENF1]]</f>
        <v>8</v>
      </c>
      <c r="R77" t="str">
        <f t="shared" si="27"/>
        <v>Support</v>
      </c>
      <c r="S77">
        <f>survey_responses[[#This Row],[Tôi tin rằng với các quy định quản lý thuế hiện nay, hành vi gian lận hoặc trốn thuế sẽ dễ dàng bị phát hiện và xử lý nghiêm. - HUMAN-ENF1]]</f>
        <v>5</v>
      </c>
      <c r="T77" t="str">
        <f t="shared" si="28"/>
        <v>Neutral</v>
      </c>
      <c r="U77" s="32">
        <f t="shared" si="29"/>
        <v>3</v>
      </c>
      <c r="V77">
        <f>step3_validation[[#This Row],[AI_ENF2]]</f>
        <v>7</v>
      </c>
      <c r="W77" t="str">
        <f t="shared" si="30"/>
        <v>Neutral</v>
      </c>
      <c r="X77">
        <f>survey_responses[[#This Row],[Tôi tin rằng Nhà nước, cơ quan thuế có đủ khả năng và công nghệ để phát hiện, xử lý nghiêm các hành vi trốn thuế. - HUMAN-ENF2]]</f>
        <v>5</v>
      </c>
      <c r="Y77" t="str">
        <f t="shared" si="31"/>
        <v>Neutral</v>
      </c>
      <c r="Z77" s="32">
        <f t="shared" si="32"/>
        <v>2</v>
      </c>
      <c r="AA77">
        <f>step3_validation[[#This Row],[AI_FAC1]]</f>
        <v>9</v>
      </c>
      <c r="AB77" t="str">
        <f t="shared" si="33"/>
        <v>Support</v>
      </c>
      <c r="AC77">
        <f>survey_responses[[#This Row],[Các thủ tục khai báo thuế VÀ/HOẶC quy trình làm việc với cơ quan thuế đơn giản, tiện lợi, nhanh chóng hơn so với trước đây. - HUMAN-FAC1]]</f>
        <v>5</v>
      </c>
      <c r="AD77" t="str">
        <f t="shared" si="34"/>
        <v>Neutral</v>
      </c>
      <c r="AE77" s="32">
        <f t="shared" si="35"/>
        <v>4</v>
      </c>
      <c r="AF77">
        <f>step3_validation[[#This Row],[AI_FAC2]]</f>
        <v>8</v>
      </c>
      <c r="AG77" t="str">
        <f t="shared" si="36"/>
        <v>Support</v>
      </c>
      <c r="AH77">
        <f>survey_responses[[#This Row],[So với trước đây, tôi thấy cách tính thuế và các bậc thuế trong phương án mới đơn giản, dễ hiểu và dễ thực hiện hơn. - HUMAN-FAC2]]</f>
        <v>5</v>
      </c>
      <c r="AI77" t="str">
        <f t="shared" si="37"/>
        <v>Neutral</v>
      </c>
      <c r="AJ77" s="32">
        <f t="shared" si="38"/>
        <v>3</v>
      </c>
      <c r="AK77">
        <f>step3_validation[[#This Row],[AI_TRU1]]</f>
        <v>6</v>
      </c>
      <c r="AL77" t="str">
        <f t="shared" si="39"/>
        <v>Neutral</v>
      </c>
      <c r="AM77">
        <f>survey_responses[[#This Row],[Tôi tin rằng Nhà nước, cơ quan thuế sẽ thực thi chính sách mới một cách khách quan, công tâm và đối xử bình đẳng với mọi người nộp thuế.  - HUMAN-TRU1]]</f>
        <v>5</v>
      </c>
      <c r="AN77" t="str">
        <f t="shared" si="40"/>
        <v>Neutral</v>
      </c>
      <c r="AO77" s="32">
        <f t="shared" si="41"/>
        <v>1</v>
      </c>
      <c r="AP77">
        <f>step3_validation[[#This Row],[AI_TRU2]]</f>
        <v>5</v>
      </c>
      <c r="AQ77" t="str">
        <f t="shared" si="42"/>
        <v>Neutral</v>
      </c>
      <c r="AR77">
        <f>survey_responses[[#This Row],[Tôi thấy mức thuế tôi phải đóng theo phương án mới là công bằng (người thu nhập như tôi đóng mức này là hợp lý). - HUMAN-TRU2]]</f>
        <v>5</v>
      </c>
      <c r="AS77" t="str">
        <f t="shared" si="43"/>
        <v>Neutral</v>
      </c>
      <c r="AT77" s="32">
        <f t="shared" si="44"/>
        <v>0</v>
      </c>
      <c r="AU77">
        <f>step3_validation[[#This Row],[AI_TRU3]]</f>
        <v>4</v>
      </c>
      <c r="AV77" t="str">
        <f t="shared" si="45"/>
        <v>Oppose</v>
      </c>
      <c r="AW77">
        <f>survey_responses[[#This Row],[Tôi tin tưởng số tiền thuế tôi đóng sẽ được Nhà nước sử dụng hiệu quả để cải thiện dịch vụ công (y tế, đường xá...). - HUMAN-TRU3]]</f>
        <v>5</v>
      </c>
      <c r="AX77" t="str">
        <f t="shared" si="46"/>
        <v>Neutral</v>
      </c>
      <c r="AY77" s="32">
        <f t="shared" si="47"/>
        <v>1</v>
      </c>
      <c r="AZ77">
        <f>step3_validation[[#This Row],[AI_TRU4]]</f>
        <v>3</v>
      </c>
      <c r="BA77" t="str">
        <f t="shared" si="48"/>
        <v>Oppose</v>
      </c>
      <c r="BB77">
        <f>survey_responses[[#This Row],[Tôi thấy Nhà nước đã giải thích rõ ràng, minh bạch về lý do và mục tiêu của việc sửa đổi thuế lần này. - HUMAN-TRU4]]</f>
        <v>5</v>
      </c>
      <c r="BC77" t="str">
        <f t="shared" si="49"/>
        <v>Neutral</v>
      </c>
      <c r="BD77" s="32">
        <f t="shared" si="50"/>
        <v>2</v>
      </c>
      <c r="BE77">
        <f>step3_validation[[#This Row],[AI_OUT1]]</f>
        <v>5</v>
      </c>
      <c r="BF77" t="str">
        <f t="shared" si="51"/>
        <v>Neutral</v>
      </c>
      <c r="BG77">
        <f>survey_responses[[#This Row],[Sau khi xem xét các quyền lợi và nghĩa vụ, bạn có ủng hộ và tuân thủ chính sách mới hiện nay? - HUMAN-OUT1]]</f>
        <v>5</v>
      </c>
      <c r="BH77" t="str">
        <f t="shared" si="52"/>
        <v>Neutral</v>
      </c>
      <c r="BI77" s="32">
        <f t="shared" si="53"/>
        <v>0</v>
      </c>
    </row>
    <row r="78" spans="1:61" x14ac:dyDescent="0.45">
      <c r="A78" s="30">
        <f>step3_validation[[#This Row],[Persona_ID]]</f>
        <v>77</v>
      </c>
      <c r="B78" s="31">
        <f>step3_validation[[#This Row],[Used_Seed]]</f>
        <v>2067</v>
      </c>
      <c r="C78" t="str">
        <f>step3_validation[[#This Row],[Gender]]</f>
        <v>Nữ</v>
      </c>
      <c r="D78" t="str">
        <f>survey_responses[[#This Row],[Giới tính của bạn:]]</f>
        <v>Nữ</v>
      </c>
      <c r="E78" t="str">
        <f>step3_validation[[#This Row],[Age_Group]]</f>
        <v>50 - 54</v>
      </c>
      <c r="F78" t="str">
        <f>survey_responses[[#This Row],[Độ tuổi của bạn:]]</f>
        <v>50 - 54</v>
      </c>
      <c r="G78" t="str">
        <f>step3_validation[[#This Row],[Region]]</f>
        <v>Thành thị</v>
      </c>
      <c r="H78" t="str">
        <f>survey_responses[[#This Row],[Khu vực bạn đang sinh sống:]]</f>
        <v>Thành thị</v>
      </c>
      <c r="I78" t="str">
        <f>step3_validation[[#This Row],[Education]]</f>
        <v>Đại học</v>
      </c>
      <c r="J78" t="str">
        <f>survey_responses[[#This Row],[Trình độ học vấn cao nhất:]]</f>
        <v>Đại học</v>
      </c>
      <c r="K78" t="str">
        <f>step3_validation[[#This Row],[Employment]]</f>
        <v>Chính thức</v>
      </c>
      <c r="L78" t="str">
        <f>survey_responses[[#This Row],[Tình trạng việc làm chính:]]</f>
        <v>Khu vực chính thức (Có Hợp đồng lao động, đóng BHXH)</v>
      </c>
      <c r="M78">
        <f>step3_validation[[#This Row],[Income_Mil]]</f>
        <v>16.163866161295601</v>
      </c>
      <c r="N78" t="str">
        <f>survey_responses[[#This Row],[Thu nhập bình quân tháng theo Hợp đồng lao động của bạn là bao nhiêu? (Vui lòng điền tổng thu nhập trước khi khấu trừ các loại Bảo hiểm (BHXH, BHYT, BHTN) và Thuế TNCN)]]</f>
        <v>Từ 12 - 18 triệu VNĐ</v>
      </c>
      <c r="O78">
        <f>step3_validation[[#This Row],[Dependents]]</f>
        <v>2</v>
      </c>
      <c r="P78" t="str">
        <f>survey_responses[[#This Row],[Số người phụ thuộc (con nhỏ, cha mẹ già...) đủ điều kiện giảm trừ gia cảnh:]]</f>
        <v>2 người</v>
      </c>
      <c r="Q78">
        <f>step3_validation[[#This Row],[AI_ENF1]]</f>
        <v>6</v>
      </c>
      <c r="R78" t="str">
        <f t="shared" si="27"/>
        <v>Neutral</v>
      </c>
      <c r="S78">
        <f>survey_responses[[#This Row],[Tôi tin rằng với các quy định quản lý thuế hiện nay, hành vi gian lận hoặc trốn thuế sẽ dễ dàng bị phát hiện và xử lý nghiêm. - HUMAN-ENF1]]</f>
        <v>8</v>
      </c>
      <c r="T78" t="str">
        <f t="shared" si="28"/>
        <v>Support</v>
      </c>
      <c r="U78" s="32">
        <f t="shared" si="29"/>
        <v>2</v>
      </c>
      <c r="V78">
        <f>step3_validation[[#This Row],[AI_ENF2]]</f>
        <v>7</v>
      </c>
      <c r="W78" t="str">
        <f t="shared" si="30"/>
        <v>Neutral</v>
      </c>
      <c r="X78">
        <f>survey_responses[[#This Row],[Tôi tin rằng Nhà nước, cơ quan thuế có đủ khả năng và công nghệ để phát hiện, xử lý nghiêm các hành vi trốn thuế. - HUMAN-ENF2]]</f>
        <v>8</v>
      </c>
      <c r="Y78" t="str">
        <f t="shared" si="31"/>
        <v>Support</v>
      </c>
      <c r="Z78" s="32">
        <f t="shared" si="32"/>
        <v>1</v>
      </c>
      <c r="AA78">
        <f>step3_validation[[#This Row],[AI_FAC1]]</f>
        <v>8</v>
      </c>
      <c r="AB78" t="str">
        <f t="shared" si="33"/>
        <v>Support</v>
      </c>
      <c r="AC78">
        <f>survey_responses[[#This Row],[Các thủ tục khai báo thuế VÀ/HOẶC quy trình làm việc với cơ quan thuế đơn giản, tiện lợi, nhanh chóng hơn so với trước đây. - HUMAN-FAC1]]</f>
        <v>8</v>
      </c>
      <c r="AD78" t="str">
        <f t="shared" si="34"/>
        <v>Support</v>
      </c>
      <c r="AE78" s="32">
        <f t="shared" si="35"/>
        <v>0</v>
      </c>
      <c r="AF78">
        <f>step3_validation[[#This Row],[AI_FAC2]]</f>
        <v>7</v>
      </c>
      <c r="AG78" t="str">
        <f t="shared" si="36"/>
        <v>Neutral</v>
      </c>
      <c r="AH78">
        <f>survey_responses[[#This Row],[So với trước đây, tôi thấy cách tính thuế và các bậc thuế trong phương án mới đơn giản, dễ hiểu và dễ thực hiện hơn. - HUMAN-FAC2]]</f>
        <v>8</v>
      </c>
      <c r="AI78" t="str">
        <f t="shared" si="37"/>
        <v>Support</v>
      </c>
      <c r="AJ78" s="32">
        <f t="shared" si="38"/>
        <v>1</v>
      </c>
      <c r="AK78">
        <f>step3_validation[[#This Row],[AI_TRU1]]</f>
        <v>8</v>
      </c>
      <c r="AL78" t="str">
        <f t="shared" si="39"/>
        <v>Support</v>
      </c>
      <c r="AM78">
        <f>survey_responses[[#This Row],[Tôi tin rằng Nhà nước, cơ quan thuế sẽ thực thi chính sách mới một cách khách quan, công tâm và đối xử bình đẳng với mọi người nộp thuế.  - HUMAN-TRU1]]</f>
        <v>9</v>
      </c>
      <c r="AN78" t="str">
        <f t="shared" si="40"/>
        <v>Support</v>
      </c>
      <c r="AO78" s="32">
        <f t="shared" si="41"/>
        <v>1</v>
      </c>
      <c r="AP78">
        <f>step3_validation[[#This Row],[AI_TRU2]]</f>
        <v>6</v>
      </c>
      <c r="AQ78" t="str">
        <f t="shared" si="42"/>
        <v>Neutral</v>
      </c>
      <c r="AR78">
        <f>survey_responses[[#This Row],[Tôi thấy mức thuế tôi phải đóng theo phương án mới là công bằng (người thu nhập như tôi đóng mức này là hợp lý). - HUMAN-TRU2]]</f>
        <v>7</v>
      </c>
      <c r="AS78" t="str">
        <f t="shared" si="43"/>
        <v>Neutral</v>
      </c>
      <c r="AT78" s="32">
        <f t="shared" si="44"/>
        <v>1</v>
      </c>
      <c r="AU78">
        <f>step3_validation[[#This Row],[AI_TRU3]]</f>
        <v>5</v>
      </c>
      <c r="AV78" t="str">
        <f t="shared" si="45"/>
        <v>Neutral</v>
      </c>
      <c r="AW78">
        <f>survey_responses[[#This Row],[Tôi tin tưởng số tiền thuế tôi đóng sẽ được Nhà nước sử dụng hiệu quả để cải thiện dịch vụ công (y tế, đường xá...). - HUMAN-TRU3]]</f>
        <v>9</v>
      </c>
      <c r="AX78" t="str">
        <f t="shared" si="46"/>
        <v>Support</v>
      </c>
      <c r="AY78" s="32">
        <f t="shared" si="47"/>
        <v>4</v>
      </c>
      <c r="AZ78">
        <f>step3_validation[[#This Row],[AI_TRU4]]</f>
        <v>6</v>
      </c>
      <c r="BA78" t="str">
        <f t="shared" si="48"/>
        <v>Neutral</v>
      </c>
      <c r="BB78">
        <f>survey_responses[[#This Row],[Tôi thấy Nhà nước đã giải thích rõ ràng, minh bạch về lý do và mục tiêu của việc sửa đổi thuế lần này. - HUMAN-TRU4]]</f>
        <v>10</v>
      </c>
      <c r="BC78" t="str">
        <f t="shared" si="49"/>
        <v>Support</v>
      </c>
      <c r="BD78" s="32">
        <f t="shared" si="50"/>
        <v>4</v>
      </c>
      <c r="BE78">
        <f>step3_validation[[#This Row],[AI_OUT1]]</f>
        <v>7</v>
      </c>
      <c r="BF78" t="str">
        <f t="shared" si="51"/>
        <v>Neutral</v>
      </c>
      <c r="BG78">
        <f>survey_responses[[#This Row],[Sau khi xem xét các quyền lợi và nghĩa vụ, bạn có ủng hộ và tuân thủ chính sách mới hiện nay? - HUMAN-OUT1]]</f>
        <v>8</v>
      </c>
      <c r="BH78" t="str">
        <f t="shared" si="52"/>
        <v>Support</v>
      </c>
      <c r="BI78" s="32">
        <f t="shared" si="53"/>
        <v>1</v>
      </c>
    </row>
    <row r="79" spans="1:61" x14ac:dyDescent="0.45">
      <c r="A79" s="30">
        <f>step3_validation[[#This Row],[Persona_ID]]</f>
        <v>78</v>
      </c>
      <c r="B79" s="31">
        <f>step3_validation[[#This Row],[Used_Seed]]</f>
        <v>2068</v>
      </c>
      <c r="C79" t="str">
        <f>step3_validation[[#This Row],[Gender]]</f>
        <v>Nữ</v>
      </c>
      <c r="D79" t="str">
        <f>survey_responses[[#This Row],[Giới tính của bạn:]]</f>
        <v>Nữ</v>
      </c>
      <c r="E79" t="str">
        <f>step3_validation[[#This Row],[Age_Group]]</f>
        <v>30 - 39</v>
      </c>
      <c r="F79" t="str">
        <f>survey_responses[[#This Row],[Độ tuổi của bạn:]]</f>
        <v>30 - 39</v>
      </c>
      <c r="G79" t="str">
        <f>step3_validation[[#This Row],[Region]]</f>
        <v>Thành thị</v>
      </c>
      <c r="H79" t="str">
        <f>survey_responses[[#This Row],[Khu vực bạn đang sinh sống:]]</f>
        <v>Thành thị</v>
      </c>
      <c r="I79" t="str">
        <f>step3_validation[[#This Row],[Education]]</f>
        <v>Sau Đại học</v>
      </c>
      <c r="J79" t="str">
        <f>survey_responses[[#This Row],[Trình độ học vấn cao nhất:]]</f>
        <v>Sau Đại học</v>
      </c>
      <c r="K79" t="str">
        <f>step3_validation[[#This Row],[Employment]]</f>
        <v>Chính thức</v>
      </c>
      <c r="L79" t="str">
        <f>survey_responses[[#This Row],[Tình trạng việc làm chính:]]</f>
        <v>Khu vực chính thức (Có Hợp đồng lao động, đóng BHXH)</v>
      </c>
      <c r="M79">
        <f>step3_validation[[#This Row],[Income_Mil]]</f>
        <v>43.928510667121479</v>
      </c>
      <c r="N79" t="str">
        <f>survey_responses[[#This Row],[Thu nhập bình quân tháng theo Hợp đồng lao động của bạn là bao nhiêu? (Vui lòng điền tổng thu nhập trước khi khấu trừ các loại Bảo hiểm (BHXH, BHYT, BHTN) và Thuế TNCN)]]</f>
        <v>Từ 32 - 48 triệu VNĐ</v>
      </c>
      <c r="O79">
        <f>step3_validation[[#This Row],[Dependents]]</f>
        <v>2</v>
      </c>
      <c r="P79" t="str">
        <f>survey_responses[[#This Row],[Số người phụ thuộc (con nhỏ, cha mẹ già...) đủ điều kiện giảm trừ gia cảnh:]]</f>
        <v>2 người</v>
      </c>
      <c r="Q79">
        <f>step3_validation[[#This Row],[AI_ENF1]]</f>
        <v>6</v>
      </c>
      <c r="R79" t="str">
        <f t="shared" si="27"/>
        <v>Neutral</v>
      </c>
      <c r="S79">
        <f>survey_responses[[#This Row],[Tôi tin rằng với các quy định quản lý thuế hiện nay, hành vi gian lận hoặc trốn thuế sẽ dễ dàng bị phát hiện và xử lý nghiêm. - HUMAN-ENF1]]</f>
        <v>8</v>
      </c>
      <c r="T79" t="str">
        <f t="shared" si="28"/>
        <v>Support</v>
      </c>
      <c r="U79" s="32">
        <f t="shared" si="29"/>
        <v>2</v>
      </c>
      <c r="V79">
        <f>step3_validation[[#This Row],[AI_ENF2]]</f>
        <v>7</v>
      </c>
      <c r="W79" t="str">
        <f t="shared" si="30"/>
        <v>Neutral</v>
      </c>
      <c r="X79">
        <f>survey_responses[[#This Row],[Tôi tin rằng Nhà nước, cơ quan thuế có đủ khả năng và công nghệ để phát hiện, xử lý nghiêm các hành vi trốn thuế. - HUMAN-ENF2]]</f>
        <v>7</v>
      </c>
      <c r="Y79" t="str">
        <f t="shared" si="31"/>
        <v>Neutral</v>
      </c>
      <c r="Z79" s="32">
        <f t="shared" si="32"/>
        <v>0</v>
      </c>
      <c r="AA79">
        <f>step3_validation[[#This Row],[AI_FAC1]]</f>
        <v>5</v>
      </c>
      <c r="AB79" t="str">
        <f t="shared" si="33"/>
        <v>Neutral</v>
      </c>
      <c r="AC79">
        <f>survey_responses[[#This Row],[Các thủ tục khai báo thuế VÀ/HOẶC quy trình làm việc với cơ quan thuế đơn giản, tiện lợi, nhanh chóng hơn so với trước đây. - HUMAN-FAC1]]</f>
        <v>9</v>
      </c>
      <c r="AD79" t="str">
        <f t="shared" si="34"/>
        <v>Support</v>
      </c>
      <c r="AE79" s="32">
        <f t="shared" si="35"/>
        <v>4</v>
      </c>
      <c r="AF79">
        <f>step3_validation[[#This Row],[AI_FAC2]]</f>
        <v>6</v>
      </c>
      <c r="AG79" t="str">
        <f t="shared" si="36"/>
        <v>Neutral</v>
      </c>
      <c r="AH79">
        <f>survey_responses[[#This Row],[So với trước đây, tôi thấy cách tính thuế và các bậc thuế trong phương án mới đơn giản, dễ hiểu và dễ thực hiện hơn. - HUMAN-FAC2]]</f>
        <v>8</v>
      </c>
      <c r="AI79" t="str">
        <f t="shared" si="37"/>
        <v>Support</v>
      </c>
      <c r="AJ79" s="32">
        <f t="shared" si="38"/>
        <v>2</v>
      </c>
      <c r="AK79">
        <f>step3_validation[[#This Row],[AI_TRU1]]</f>
        <v>7</v>
      </c>
      <c r="AL79" t="str">
        <f t="shared" si="39"/>
        <v>Neutral</v>
      </c>
      <c r="AM79">
        <f>survey_responses[[#This Row],[Tôi tin rằng Nhà nước, cơ quan thuế sẽ thực thi chính sách mới một cách khách quan, công tâm và đối xử bình đẳng với mọi người nộp thuế.  - HUMAN-TRU1]]</f>
        <v>8</v>
      </c>
      <c r="AN79" t="str">
        <f t="shared" si="40"/>
        <v>Support</v>
      </c>
      <c r="AO79" s="32">
        <f t="shared" si="41"/>
        <v>1</v>
      </c>
      <c r="AP79">
        <f>step3_validation[[#This Row],[AI_TRU2]]</f>
        <v>8</v>
      </c>
      <c r="AQ79" t="str">
        <f t="shared" si="42"/>
        <v>Support</v>
      </c>
      <c r="AR79">
        <f>survey_responses[[#This Row],[Tôi thấy mức thuế tôi phải đóng theo phương án mới là công bằng (người thu nhập như tôi đóng mức này là hợp lý). - HUMAN-TRU2]]</f>
        <v>8</v>
      </c>
      <c r="AS79" t="str">
        <f t="shared" si="43"/>
        <v>Support</v>
      </c>
      <c r="AT79" s="32">
        <f t="shared" si="44"/>
        <v>0</v>
      </c>
      <c r="AU79">
        <f>step3_validation[[#This Row],[AI_TRU3]]</f>
        <v>7</v>
      </c>
      <c r="AV79" t="str">
        <f t="shared" si="45"/>
        <v>Neutral</v>
      </c>
      <c r="AW79">
        <f>survey_responses[[#This Row],[Tôi tin tưởng số tiền thuế tôi đóng sẽ được Nhà nước sử dụng hiệu quả để cải thiện dịch vụ công (y tế, đường xá...). - HUMAN-TRU3]]</f>
        <v>6</v>
      </c>
      <c r="AX79" t="str">
        <f t="shared" si="46"/>
        <v>Neutral</v>
      </c>
      <c r="AY79" s="32">
        <f t="shared" si="47"/>
        <v>1</v>
      </c>
      <c r="AZ79">
        <f>step3_validation[[#This Row],[AI_TRU4]]</f>
        <v>8</v>
      </c>
      <c r="BA79" t="str">
        <f t="shared" si="48"/>
        <v>Support</v>
      </c>
      <c r="BB79">
        <f>survey_responses[[#This Row],[Tôi thấy Nhà nước đã giải thích rõ ràng, minh bạch về lý do và mục tiêu của việc sửa đổi thuế lần này. - HUMAN-TRU4]]</f>
        <v>6</v>
      </c>
      <c r="BC79" t="str">
        <f t="shared" si="49"/>
        <v>Neutral</v>
      </c>
      <c r="BD79" s="32">
        <f t="shared" si="50"/>
        <v>2</v>
      </c>
      <c r="BE79">
        <f>step3_validation[[#This Row],[AI_OUT1]]</f>
        <v>7</v>
      </c>
      <c r="BF79" t="str">
        <f t="shared" si="51"/>
        <v>Neutral</v>
      </c>
      <c r="BG79">
        <f>survey_responses[[#This Row],[Sau khi xem xét các quyền lợi và nghĩa vụ, bạn có ủng hộ và tuân thủ chính sách mới hiện nay? - HUMAN-OUT1]]</f>
        <v>7</v>
      </c>
      <c r="BH79" t="str">
        <f t="shared" si="52"/>
        <v>Neutral</v>
      </c>
      <c r="BI79" s="32">
        <f t="shared" si="53"/>
        <v>0</v>
      </c>
    </row>
    <row r="80" spans="1:61" x14ac:dyDescent="0.45">
      <c r="A80" s="30">
        <f>step3_validation[[#This Row],[Persona_ID]]</f>
        <v>79</v>
      </c>
      <c r="B80" s="31">
        <f>step3_validation[[#This Row],[Used_Seed]]</f>
        <v>2069</v>
      </c>
      <c r="C80" t="str">
        <f>step3_validation[[#This Row],[Gender]]</f>
        <v>Nữ</v>
      </c>
      <c r="D80" t="str">
        <f>survey_responses[[#This Row],[Giới tính của bạn:]]</f>
        <v>Nữ</v>
      </c>
      <c r="E80" t="str">
        <f>step3_validation[[#This Row],[Age_Group]]</f>
        <v>55 - 64</v>
      </c>
      <c r="F80" t="str">
        <f>survey_responses[[#This Row],[Độ tuổi của bạn:]]</f>
        <v>55 - 64</v>
      </c>
      <c r="G80" t="str">
        <f>step3_validation[[#This Row],[Region]]</f>
        <v>Thành thị</v>
      </c>
      <c r="H80" t="str">
        <f>survey_responses[[#This Row],[Khu vực bạn đang sinh sống:]]</f>
        <v>Thành thị</v>
      </c>
      <c r="I80" t="str">
        <f>step3_validation[[#This Row],[Education]]</f>
        <v>Trung học phổ thông</v>
      </c>
      <c r="J80" t="str">
        <f>survey_responses[[#This Row],[Trình độ học vấn cao nhất:]]</f>
        <v>Trung học phổ thông</v>
      </c>
      <c r="K80" t="str">
        <f>step3_validation[[#This Row],[Employment]]</f>
        <v>Phi chính thức</v>
      </c>
      <c r="L80" t="str">
        <f>survey_responses[[#This Row],[Tình trạng việc làm chính:]]</f>
        <v>Khác (Về hưu, nội trợ, sinh viên)</v>
      </c>
      <c r="M80">
        <f>step3_validation[[#This Row],[Income_Mil]]</f>
        <v>13.564374857538178</v>
      </c>
      <c r="N80" t="str">
        <f>survey_responses[[#This Row],[Thu nhập bình quân tháng theo Hợp đồng lao động của bạn là bao nhiêu? (Vui lòng điền tổng thu nhập trước khi khấu trừ các loại Bảo hiểm (BHXH, BHYT, BHTN) và Thuế TNCN)]]</f>
        <v>Từ 12 - 18 triệu VNĐ</v>
      </c>
      <c r="O80">
        <f>step3_validation[[#This Row],[Dependents]]</f>
        <v>0</v>
      </c>
      <c r="P80" t="str">
        <f>survey_responses[[#This Row],[Số người phụ thuộc (con nhỏ, cha mẹ già...) đủ điều kiện giảm trừ gia cảnh:]]</f>
        <v>0 người</v>
      </c>
      <c r="Q80">
        <f>step3_validation[[#This Row],[AI_ENF1]]</f>
        <v>7</v>
      </c>
      <c r="R80" t="str">
        <f t="shared" si="27"/>
        <v>Neutral</v>
      </c>
      <c r="S80">
        <f>survey_responses[[#This Row],[Tôi tin rằng với các quy định quản lý thuế hiện nay, hành vi gian lận hoặc trốn thuế sẽ dễ dàng bị phát hiện và xử lý nghiêm. - HUMAN-ENF1]]</f>
        <v>6</v>
      </c>
      <c r="T80" t="str">
        <f t="shared" si="28"/>
        <v>Neutral</v>
      </c>
      <c r="U80" s="32">
        <f t="shared" si="29"/>
        <v>1</v>
      </c>
      <c r="V80">
        <f>step3_validation[[#This Row],[AI_ENF2]]</f>
        <v>7</v>
      </c>
      <c r="W80" t="str">
        <f t="shared" si="30"/>
        <v>Neutral</v>
      </c>
      <c r="X80">
        <f>survey_responses[[#This Row],[Tôi tin rằng Nhà nước, cơ quan thuế có đủ khả năng và công nghệ để phát hiện, xử lý nghiêm các hành vi trốn thuế. - HUMAN-ENF2]]</f>
        <v>2</v>
      </c>
      <c r="Y80" t="str">
        <f t="shared" si="31"/>
        <v>Oppose</v>
      </c>
      <c r="Z80" s="32">
        <f t="shared" si="32"/>
        <v>5</v>
      </c>
      <c r="AA80">
        <f>step3_validation[[#This Row],[AI_FAC1]]</f>
        <v>6</v>
      </c>
      <c r="AB80" t="str">
        <f t="shared" si="33"/>
        <v>Neutral</v>
      </c>
      <c r="AC80">
        <f>survey_responses[[#This Row],[Các thủ tục khai báo thuế VÀ/HOẶC quy trình làm việc với cơ quan thuế đơn giản, tiện lợi, nhanh chóng hơn so với trước đây. - HUMAN-FAC1]]</f>
        <v>3</v>
      </c>
      <c r="AD80" t="str">
        <f t="shared" si="34"/>
        <v>Oppose</v>
      </c>
      <c r="AE80" s="32">
        <f t="shared" si="35"/>
        <v>3</v>
      </c>
      <c r="AF80">
        <f>step3_validation[[#This Row],[AI_FAC2]]</f>
        <v>6</v>
      </c>
      <c r="AG80" t="str">
        <f t="shared" si="36"/>
        <v>Neutral</v>
      </c>
      <c r="AH80">
        <f>survey_responses[[#This Row],[So với trước đây, tôi thấy cách tính thuế và các bậc thuế trong phương án mới đơn giản, dễ hiểu và dễ thực hiện hơn. - HUMAN-FAC2]]</f>
        <v>2</v>
      </c>
      <c r="AI80" t="str">
        <f t="shared" si="37"/>
        <v>Oppose</v>
      </c>
      <c r="AJ80" s="32">
        <f t="shared" si="38"/>
        <v>4</v>
      </c>
      <c r="AK80">
        <f>step3_validation[[#This Row],[AI_TRU1]]</f>
        <v>7</v>
      </c>
      <c r="AL80" t="str">
        <f t="shared" si="39"/>
        <v>Neutral</v>
      </c>
      <c r="AM80">
        <f>survey_responses[[#This Row],[Tôi tin rằng Nhà nước, cơ quan thuế sẽ thực thi chính sách mới một cách khách quan, công tâm và đối xử bình đẳng với mọi người nộp thuế.  - HUMAN-TRU1]]</f>
        <v>3</v>
      </c>
      <c r="AN80" t="str">
        <f t="shared" si="40"/>
        <v>Oppose</v>
      </c>
      <c r="AO80" s="32">
        <f t="shared" si="41"/>
        <v>4</v>
      </c>
      <c r="AP80">
        <f>step3_validation[[#This Row],[AI_TRU2]]</f>
        <v>8</v>
      </c>
      <c r="AQ80" t="str">
        <f t="shared" si="42"/>
        <v>Support</v>
      </c>
      <c r="AR80">
        <f>survey_responses[[#This Row],[Tôi thấy mức thuế tôi phải đóng theo phương án mới là công bằng (người thu nhập như tôi đóng mức này là hợp lý). - HUMAN-TRU2]]</f>
        <v>7</v>
      </c>
      <c r="AS80" t="str">
        <f t="shared" si="43"/>
        <v>Neutral</v>
      </c>
      <c r="AT80" s="32">
        <f t="shared" si="44"/>
        <v>1</v>
      </c>
      <c r="AU80">
        <f>step3_validation[[#This Row],[AI_TRU3]]</f>
        <v>6</v>
      </c>
      <c r="AV80" t="str">
        <f t="shared" si="45"/>
        <v>Neutral</v>
      </c>
      <c r="AW80">
        <f>survey_responses[[#This Row],[Tôi tin tưởng số tiền thuế tôi đóng sẽ được Nhà nước sử dụng hiệu quả để cải thiện dịch vụ công (y tế, đường xá...). - HUMAN-TRU3]]</f>
        <v>5</v>
      </c>
      <c r="AX80" t="str">
        <f t="shared" si="46"/>
        <v>Neutral</v>
      </c>
      <c r="AY80" s="32">
        <f t="shared" si="47"/>
        <v>1</v>
      </c>
      <c r="AZ80">
        <f>step3_validation[[#This Row],[AI_TRU4]]</f>
        <v>5</v>
      </c>
      <c r="BA80" t="str">
        <f t="shared" si="48"/>
        <v>Neutral</v>
      </c>
      <c r="BB80">
        <f>survey_responses[[#This Row],[Tôi thấy Nhà nước đã giải thích rõ ràng, minh bạch về lý do và mục tiêu của việc sửa đổi thuế lần này. - HUMAN-TRU4]]</f>
        <v>5</v>
      </c>
      <c r="BC80" t="str">
        <f t="shared" si="49"/>
        <v>Neutral</v>
      </c>
      <c r="BD80" s="32">
        <f t="shared" si="50"/>
        <v>0</v>
      </c>
      <c r="BE80">
        <f>step3_validation[[#This Row],[AI_OUT1]]</f>
        <v>6</v>
      </c>
      <c r="BF80" t="str">
        <f t="shared" si="51"/>
        <v>Neutral</v>
      </c>
      <c r="BG80">
        <f>survey_responses[[#This Row],[Sau khi xem xét các quyền lợi và nghĩa vụ, bạn có ủng hộ và tuân thủ chính sách mới hiện nay? - HUMAN-OUT1]]</f>
        <v>7</v>
      </c>
      <c r="BH80" t="str">
        <f t="shared" si="52"/>
        <v>Neutral</v>
      </c>
      <c r="BI80" s="32">
        <f t="shared" si="53"/>
        <v>1</v>
      </c>
    </row>
    <row r="81" spans="1:61" x14ac:dyDescent="0.45">
      <c r="A81" s="30">
        <f>step3_validation[[#This Row],[Persona_ID]]</f>
        <v>80</v>
      </c>
      <c r="B81" s="31">
        <f>step3_validation[[#This Row],[Used_Seed]]</f>
        <v>2070</v>
      </c>
      <c r="C81" t="str">
        <f>step3_validation[[#This Row],[Gender]]</f>
        <v>Nam</v>
      </c>
      <c r="D81" t="str">
        <f>survey_responses[[#This Row],[Giới tính của bạn:]]</f>
        <v>Nam</v>
      </c>
      <c r="E81" t="str">
        <f>step3_validation[[#This Row],[Age_Group]]</f>
        <v>25 - 29</v>
      </c>
      <c r="F81" t="str">
        <f>survey_responses[[#This Row],[Độ tuổi của bạn:]]</f>
        <v>25 - 29</v>
      </c>
      <c r="G81" t="str">
        <f>step3_validation[[#This Row],[Region]]</f>
        <v>Thành thị</v>
      </c>
      <c r="H81" t="str">
        <f>survey_responses[[#This Row],[Khu vực bạn đang sinh sống:]]</f>
        <v>Thành thị</v>
      </c>
      <c r="I81" t="str">
        <f>step3_validation[[#This Row],[Education]]</f>
        <v>Đại học</v>
      </c>
      <c r="J81" t="str">
        <f>survey_responses[[#This Row],[Trình độ học vấn cao nhất:]]</f>
        <v>Đại học</v>
      </c>
      <c r="K81" t="str">
        <f>step3_validation[[#This Row],[Employment]]</f>
        <v>Chính thức</v>
      </c>
      <c r="L81" t="str">
        <f>survey_responses[[#This Row],[Tình trạng việc làm chính:]]</f>
        <v>Khu vực chính thức (Có Hợp đồng lao động, đóng BHXH)</v>
      </c>
      <c r="M81">
        <f>step3_validation[[#This Row],[Income_Mil]]</f>
        <v>13.25907015471039</v>
      </c>
      <c r="N81" t="str">
        <f>survey_responses[[#This Row],[Thu nhập bình quân tháng theo Hợp đồng lao động của bạn là bao nhiêu? (Vui lòng điền tổng thu nhập trước khi khấu trừ các loại Bảo hiểm (BHXH, BHYT, BHTN) và Thuế TNCN)]]</f>
        <v>Từ 12 - 18 triệu VNĐ</v>
      </c>
      <c r="O81">
        <f>step3_validation[[#This Row],[Dependents]]</f>
        <v>0</v>
      </c>
      <c r="P81" t="str">
        <f>survey_responses[[#This Row],[Số người phụ thuộc (con nhỏ, cha mẹ già...) đủ điều kiện giảm trừ gia cảnh:]]</f>
        <v>0 người</v>
      </c>
      <c r="Q81">
        <f>step3_validation[[#This Row],[AI_ENF1]]</f>
        <v>7</v>
      </c>
      <c r="R81" t="str">
        <f t="shared" si="27"/>
        <v>Neutral</v>
      </c>
      <c r="S81">
        <f>survey_responses[[#This Row],[Tôi tin rằng với các quy định quản lý thuế hiện nay, hành vi gian lận hoặc trốn thuế sẽ dễ dàng bị phát hiện và xử lý nghiêm. - HUMAN-ENF1]]</f>
        <v>8</v>
      </c>
      <c r="T81" t="str">
        <f t="shared" si="28"/>
        <v>Support</v>
      </c>
      <c r="U81" s="32">
        <f t="shared" si="29"/>
        <v>1</v>
      </c>
      <c r="V81">
        <f>step3_validation[[#This Row],[AI_ENF2]]</f>
        <v>8</v>
      </c>
      <c r="W81" t="str">
        <f t="shared" si="30"/>
        <v>Support</v>
      </c>
      <c r="X81">
        <f>survey_responses[[#This Row],[Tôi tin rằng Nhà nước, cơ quan thuế có đủ khả năng và công nghệ để phát hiện, xử lý nghiêm các hành vi trốn thuế. - HUMAN-ENF2]]</f>
        <v>8</v>
      </c>
      <c r="Y81" t="str">
        <f t="shared" si="31"/>
        <v>Support</v>
      </c>
      <c r="Z81" s="32">
        <f t="shared" si="32"/>
        <v>0</v>
      </c>
      <c r="AA81">
        <f>step3_validation[[#This Row],[AI_FAC1]]</f>
        <v>6</v>
      </c>
      <c r="AB81" t="str">
        <f t="shared" si="33"/>
        <v>Neutral</v>
      </c>
      <c r="AC81">
        <f>survey_responses[[#This Row],[Các thủ tục khai báo thuế VÀ/HOẶC quy trình làm việc với cơ quan thuế đơn giản, tiện lợi, nhanh chóng hơn so với trước đây. - HUMAN-FAC1]]</f>
        <v>8</v>
      </c>
      <c r="AD81" t="str">
        <f t="shared" si="34"/>
        <v>Support</v>
      </c>
      <c r="AE81" s="32">
        <f t="shared" si="35"/>
        <v>2</v>
      </c>
      <c r="AF81">
        <f>step3_validation[[#This Row],[AI_FAC2]]</f>
        <v>8</v>
      </c>
      <c r="AG81" t="str">
        <f t="shared" si="36"/>
        <v>Support</v>
      </c>
      <c r="AH81">
        <f>survey_responses[[#This Row],[So với trước đây, tôi thấy cách tính thuế và các bậc thuế trong phương án mới đơn giản, dễ hiểu và dễ thực hiện hơn. - HUMAN-FAC2]]</f>
        <v>8</v>
      </c>
      <c r="AI81" t="str">
        <f t="shared" si="37"/>
        <v>Support</v>
      </c>
      <c r="AJ81" s="32">
        <f t="shared" si="38"/>
        <v>0</v>
      </c>
      <c r="AK81">
        <f>step3_validation[[#This Row],[AI_TRU1]]</f>
        <v>5</v>
      </c>
      <c r="AL81" t="str">
        <f t="shared" si="39"/>
        <v>Neutral</v>
      </c>
      <c r="AM81">
        <f>survey_responses[[#This Row],[Tôi tin rằng Nhà nước, cơ quan thuế sẽ thực thi chính sách mới một cách khách quan, công tâm và đối xử bình đẳng với mọi người nộp thuế.  - HUMAN-TRU1]]</f>
        <v>8</v>
      </c>
      <c r="AN81" t="str">
        <f t="shared" si="40"/>
        <v>Support</v>
      </c>
      <c r="AO81" s="32">
        <f t="shared" si="41"/>
        <v>3</v>
      </c>
      <c r="AP81">
        <f>step3_validation[[#This Row],[AI_TRU2]]</f>
        <v>7</v>
      </c>
      <c r="AQ81" t="str">
        <f t="shared" si="42"/>
        <v>Neutral</v>
      </c>
      <c r="AR81">
        <f>survey_responses[[#This Row],[Tôi thấy mức thuế tôi phải đóng theo phương án mới là công bằng (người thu nhập như tôi đóng mức này là hợp lý). - HUMAN-TRU2]]</f>
        <v>8</v>
      </c>
      <c r="AS81" t="str">
        <f t="shared" si="43"/>
        <v>Support</v>
      </c>
      <c r="AT81" s="32">
        <f t="shared" si="44"/>
        <v>1</v>
      </c>
      <c r="AU81">
        <f>step3_validation[[#This Row],[AI_TRU3]]</f>
        <v>6</v>
      </c>
      <c r="AV81" t="str">
        <f t="shared" si="45"/>
        <v>Neutral</v>
      </c>
      <c r="AW81">
        <f>survey_responses[[#This Row],[Tôi tin tưởng số tiền thuế tôi đóng sẽ được Nhà nước sử dụng hiệu quả để cải thiện dịch vụ công (y tế, đường xá...). - HUMAN-TRU3]]</f>
        <v>8</v>
      </c>
      <c r="AX81" t="str">
        <f t="shared" si="46"/>
        <v>Support</v>
      </c>
      <c r="AY81" s="32">
        <f t="shared" si="47"/>
        <v>2</v>
      </c>
      <c r="AZ81">
        <f>step3_validation[[#This Row],[AI_TRU4]]</f>
        <v>7</v>
      </c>
      <c r="BA81" t="str">
        <f t="shared" si="48"/>
        <v>Neutral</v>
      </c>
      <c r="BB81">
        <f>survey_responses[[#This Row],[Tôi thấy Nhà nước đã giải thích rõ ràng, minh bạch về lý do và mục tiêu của việc sửa đổi thuế lần này. - HUMAN-TRU4]]</f>
        <v>8</v>
      </c>
      <c r="BC81" t="str">
        <f t="shared" si="49"/>
        <v>Support</v>
      </c>
      <c r="BD81" s="32">
        <f t="shared" si="50"/>
        <v>1</v>
      </c>
      <c r="BE81">
        <f>step3_validation[[#This Row],[AI_OUT1]]</f>
        <v>5</v>
      </c>
      <c r="BF81" t="str">
        <f t="shared" si="51"/>
        <v>Neutral</v>
      </c>
      <c r="BG81">
        <f>survey_responses[[#This Row],[Sau khi xem xét các quyền lợi và nghĩa vụ, bạn có ủng hộ và tuân thủ chính sách mới hiện nay? - HUMAN-OUT1]]</f>
        <v>8</v>
      </c>
      <c r="BH81" t="str">
        <f t="shared" si="52"/>
        <v>Support</v>
      </c>
      <c r="BI81" s="32">
        <f t="shared" si="53"/>
        <v>3</v>
      </c>
    </row>
    <row r="82" spans="1:61" x14ac:dyDescent="0.45">
      <c r="A82" s="30">
        <f>step3_validation[[#This Row],[Persona_ID]]</f>
        <v>81</v>
      </c>
      <c r="B82" s="31">
        <f>step3_validation[[#This Row],[Used_Seed]]</f>
        <v>2071</v>
      </c>
      <c r="C82" t="str">
        <f>step3_validation[[#This Row],[Gender]]</f>
        <v>Nam</v>
      </c>
      <c r="D82" t="str">
        <f>survey_responses[[#This Row],[Giới tính của bạn:]]</f>
        <v>Nam</v>
      </c>
      <c r="E82" t="str">
        <f>step3_validation[[#This Row],[Age_Group]]</f>
        <v>55 - 64</v>
      </c>
      <c r="F82" t="str">
        <f>survey_responses[[#This Row],[Độ tuổi của bạn:]]</f>
        <v>55 - 64</v>
      </c>
      <c r="G82" t="str">
        <f>step3_validation[[#This Row],[Region]]</f>
        <v>Thành thị</v>
      </c>
      <c r="H82" t="str">
        <f>survey_responses[[#This Row],[Khu vực bạn đang sinh sống:]]</f>
        <v>Thành thị</v>
      </c>
      <c r="I82" t="str">
        <f>step3_validation[[#This Row],[Education]]</f>
        <v>Sau Đại học</v>
      </c>
      <c r="J82" t="str">
        <f>survey_responses[[#This Row],[Trình độ học vấn cao nhất:]]</f>
        <v>Sau Đại học</v>
      </c>
      <c r="K82" t="str">
        <f>step3_validation[[#This Row],[Employment]]</f>
        <v>Phi chính thức</v>
      </c>
      <c r="L82" t="str">
        <f>survey_responses[[#This Row],[Tình trạng việc làm chính:]]</f>
        <v>Khác (Về hưu, nội trợ, sinh viên)</v>
      </c>
      <c r="M82">
        <f>step3_validation[[#This Row],[Income_Mil]]</f>
        <v>12</v>
      </c>
      <c r="N82" t="str">
        <f>survey_responses[[#This Row],[Thu nhập bình quân tháng theo Hợp đồng lao động của bạn là bao nhiêu? (Vui lòng điền tổng thu nhập trước khi khấu trừ các loại Bảo hiểm (BHXH, BHYT, BHTN) và Thuế TNCN)]]</f>
        <v>Dưới 12 triệu VNĐ</v>
      </c>
      <c r="O82">
        <f>step3_validation[[#This Row],[Dependents]]</f>
        <v>0</v>
      </c>
      <c r="P82" t="str">
        <f>survey_responses[[#This Row],[Số người phụ thuộc (con nhỏ, cha mẹ già...) đủ điều kiện giảm trừ gia cảnh:]]</f>
        <v>0 người</v>
      </c>
      <c r="Q82">
        <f>step3_validation[[#This Row],[AI_ENF1]]</f>
        <v>7</v>
      </c>
      <c r="R82" t="str">
        <f t="shared" si="27"/>
        <v>Neutral</v>
      </c>
      <c r="S82">
        <f>survey_responses[[#This Row],[Tôi tin rằng với các quy định quản lý thuế hiện nay, hành vi gian lận hoặc trốn thuế sẽ dễ dàng bị phát hiện và xử lý nghiêm. - HUMAN-ENF1]]</f>
        <v>7</v>
      </c>
      <c r="T82" t="str">
        <f t="shared" si="28"/>
        <v>Neutral</v>
      </c>
      <c r="U82" s="32">
        <f t="shared" si="29"/>
        <v>0</v>
      </c>
      <c r="V82">
        <f>step3_validation[[#This Row],[AI_ENF2]]</f>
        <v>8</v>
      </c>
      <c r="W82" t="str">
        <f t="shared" si="30"/>
        <v>Support</v>
      </c>
      <c r="X82">
        <f>survey_responses[[#This Row],[Tôi tin rằng Nhà nước, cơ quan thuế có đủ khả năng và công nghệ để phát hiện, xử lý nghiêm các hành vi trốn thuế. - HUMAN-ENF2]]</f>
        <v>7</v>
      </c>
      <c r="Y82" t="str">
        <f t="shared" si="31"/>
        <v>Neutral</v>
      </c>
      <c r="Z82" s="32">
        <f t="shared" si="32"/>
        <v>1</v>
      </c>
      <c r="AA82">
        <f>step3_validation[[#This Row],[AI_FAC1]]</f>
        <v>6</v>
      </c>
      <c r="AB82" t="str">
        <f t="shared" si="33"/>
        <v>Neutral</v>
      </c>
      <c r="AC82">
        <f>survey_responses[[#This Row],[Các thủ tục khai báo thuế VÀ/HOẶC quy trình làm việc với cơ quan thuế đơn giản, tiện lợi, nhanh chóng hơn so với trước đây. - HUMAN-FAC1]]</f>
        <v>5</v>
      </c>
      <c r="AD82" t="str">
        <f t="shared" si="34"/>
        <v>Neutral</v>
      </c>
      <c r="AE82" s="32">
        <f t="shared" si="35"/>
        <v>1</v>
      </c>
      <c r="AF82">
        <f>step3_validation[[#This Row],[AI_FAC2]]</f>
        <v>9</v>
      </c>
      <c r="AG82" t="str">
        <f t="shared" si="36"/>
        <v>Support</v>
      </c>
      <c r="AH82">
        <f>survey_responses[[#This Row],[So với trước đây, tôi thấy cách tính thuế và các bậc thuế trong phương án mới đơn giản, dễ hiểu và dễ thực hiện hơn. - HUMAN-FAC2]]</f>
        <v>5</v>
      </c>
      <c r="AI82" t="str">
        <f t="shared" si="37"/>
        <v>Neutral</v>
      </c>
      <c r="AJ82" s="32">
        <f t="shared" si="38"/>
        <v>4</v>
      </c>
      <c r="AK82">
        <f>step3_validation[[#This Row],[AI_TRU1]]</f>
        <v>7</v>
      </c>
      <c r="AL82" t="str">
        <f t="shared" si="39"/>
        <v>Neutral</v>
      </c>
      <c r="AM82">
        <f>survey_responses[[#This Row],[Tôi tin rằng Nhà nước, cơ quan thuế sẽ thực thi chính sách mới một cách khách quan, công tâm và đối xử bình đẳng với mọi người nộp thuế.  - HUMAN-TRU1]]</f>
        <v>6</v>
      </c>
      <c r="AN82" t="str">
        <f t="shared" si="40"/>
        <v>Neutral</v>
      </c>
      <c r="AO82" s="32">
        <f t="shared" si="41"/>
        <v>1</v>
      </c>
      <c r="AP82">
        <f>step3_validation[[#This Row],[AI_TRU2]]</f>
        <v>8</v>
      </c>
      <c r="AQ82" t="str">
        <f t="shared" si="42"/>
        <v>Support</v>
      </c>
      <c r="AR82">
        <f>survey_responses[[#This Row],[Tôi thấy mức thuế tôi phải đóng theo phương án mới là công bằng (người thu nhập như tôi đóng mức này là hợp lý). - HUMAN-TRU2]]</f>
        <v>5</v>
      </c>
      <c r="AS82" t="str">
        <f t="shared" si="43"/>
        <v>Neutral</v>
      </c>
      <c r="AT82" s="32">
        <f t="shared" si="44"/>
        <v>3</v>
      </c>
      <c r="AU82">
        <f>step3_validation[[#This Row],[AI_TRU3]]</f>
        <v>7</v>
      </c>
      <c r="AV82" t="str">
        <f t="shared" si="45"/>
        <v>Neutral</v>
      </c>
      <c r="AW82">
        <f>survey_responses[[#This Row],[Tôi tin tưởng số tiền thuế tôi đóng sẽ được Nhà nước sử dụng hiệu quả để cải thiện dịch vụ công (y tế, đường xá...). - HUMAN-TRU3]]</f>
        <v>8</v>
      </c>
      <c r="AX82" t="str">
        <f t="shared" si="46"/>
        <v>Support</v>
      </c>
      <c r="AY82" s="32">
        <f t="shared" si="47"/>
        <v>1</v>
      </c>
      <c r="AZ82">
        <f>step3_validation[[#This Row],[AI_TRU4]]</f>
        <v>6</v>
      </c>
      <c r="BA82" t="str">
        <f t="shared" si="48"/>
        <v>Neutral</v>
      </c>
      <c r="BB82">
        <f>survey_responses[[#This Row],[Tôi thấy Nhà nước đã giải thích rõ ràng, minh bạch về lý do và mục tiêu của việc sửa đổi thuế lần này. - HUMAN-TRU4]]</f>
        <v>6</v>
      </c>
      <c r="BC82" t="str">
        <f t="shared" si="49"/>
        <v>Neutral</v>
      </c>
      <c r="BD82" s="32">
        <f t="shared" si="50"/>
        <v>0</v>
      </c>
      <c r="BE82">
        <f>step3_validation[[#This Row],[AI_OUT1]]</f>
        <v>7</v>
      </c>
      <c r="BF82" t="str">
        <f t="shared" si="51"/>
        <v>Neutral</v>
      </c>
      <c r="BG82">
        <f>survey_responses[[#This Row],[Sau khi xem xét các quyền lợi và nghĩa vụ, bạn có ủng hộ và tuân thủ chính sách mới hiện nay? - HUMAN-OUT1]]</f>
        <v>8</v>
      </c>
      <c r="BH82" t="str">
        <f t="shared" si="52"/>
        <v>Support</v>
      </c>
      <c r="BI82" s="32">
        <f t="shared" si="53"/>
        <v>1</v>
      </c>
    </row>
    <row r="83" spans="1:61" x14ac:dyDescent="0.45">
      <c r="A83" s="30">
        <f>step3_validation[[#This Row],[Persona_ID]]</f>
        <v>82</v>
      </c>
      <c r="B83" s="31">
        <f>step3_validation[[#This Row],[Used_Seed]]</f>
        <v>2072</v>
      </c>
      <c r="C83" t="str">
        <f>step3_validation[[#This Row],[Gender]]</f>
        <v>Nữ</v>
      </c>
      <c r="D83" t="str">
        <f>survey_responses[[#This Row],[Giới tính của bạn:]]</f>
        <v>Nữ</v>
      </c>
      <c r="E83" t="str">
        <f>step3_validation[[#This Row],[Age_Group]]</f>
        <v>55 - 64</v>
      </c>
      <c r="F83" t="str">
        <f>survey_responses[[#This Row],[Độ tuổi của bạn:]]</f>
        <v>55 - 64</v>
      </c>
      <c r="G83" t="str">
        <f>step3_validation[[#This Row],[Region]]</f>
        <v>Thành thị</v>
      </c>
      <c r="H83" t="str">
        <f>survey_responses[[#This Row],[Khu vực bạn đang sinh sống:]]</f>
        <v>Thành thị</v>
      </c>
      <c r="I83" t="str">
        <f>step3_validation[[#This Row],[Education]]</f>
        <v>Đại học</v>
      </c>
      <c r="J83" t="str">
        <f>survey_responses[[#This Row],[Trình độ học vấn cao nhất:]]</f>
        <v>Đại học</v>
      </c>
      <c r="K83" t="str">
        <f>step3_validation[[#This Row],[Employment]]</f>
        <v>Phi chính thức</v>
      </c>
      <c r="L83" t="str">
        <f>survey_responses[[#This Row],[Tình trạng việc làm chính:]]</f>
        <v>Khác (Về hưu, nội trợ, sinh viên)</v>
      </c>
      <c r="M83">
        <f>step3_validation[[#This Row],[Income_Mil]]</f>
        <v>13.436490089019367</v>
      </c>
      <c r="N83" t="str">
        <f>survey_responses[[#This Row],[Thu nhập bình quân tháng theo Hợp đồng lao động của bạn là bao nhiêu? (Vui lòng điền tổng thu nhập trước khi khấu trừ các loại Bảo hiểm (BHXH, BHYT, BHTN) và Thuế TNCN)]]</f>
        <v>Từ 12 - 18 triệu VNĐ</v>
      </c>
      <c r="O83">
        <f>step3_validation[[#This Row],[Dependents]]</f>
        <v>1</v>
      </c>
      <c r="P83" t="str">
        <f>survey_responses[[#This Row],[Số người phụ thuộc (con nhỏ, cha mẹ già...) đủ điều kiện giảm trừ gia cảnh:]]</f>
        <v>1 người</v>
      </c>
      <c r="Q83">
        <f>step3_validation[[#This Row],[AI_ENF1]]</f>
        <v>7</v>
      </c>
      <c r="R83" t="str">
        <f t="shared" si="27"/>
        <v>Neutral</v>
      </c>
      <c r="S83">
        <f>survey_responses[[#This Row],[Tôi tin rằng với các quy định quản lý thuế hiện nay, hành vi gian lận hoặc trốn thuế sẽ dễ dàng bị phát hiện và xử lý nghiêm. - HUMAN-ENF1]]</f>
        <v>8</v>
      </c>
      <c r="T83" t="str">
        <f t="shared" si="28"/>
        <v>Support</v>
      </c>
      <c r="U83" s="32">
        <f t="shared" si="29"/>
        <v>1</v>
      </c>
      <c r="V83">
        <f>step3_validation[[#This Row],[AI_ENF2]]</f>
        <v>8</v>
      </c>
      <c r="W83" t="str">
        <f t="shared" si="30"/>
        <v>Support</v>
      </c>
      <c r="X83">
        <f>survey_responses[[#This Row],[Tôi tin rằng Nhà nước, cơ quan thuế có đủ khả năng và công nghệ để phát hiện, xử lý nghiêm các hành vi trốn thuế. - HUMAN-ENF2]]</f>
        <v>9</v>
      </c>
      <c r="Y83" t="str">
        <f t="shared" si="31"/>
        <v>Support</v>
      </c>
      <c r="Z83" s="32">
        <f t="shared" si="32"/>
        <v>1</v>
      </c>
      <c r="AA83">
        <f>step3_validation[[#This Row],[AI_FAC1]]</f>
        <v>6</v>
      </c>
      <c r="AB83" t="str">
        <f t="shared" si="33"/>
        <v>Neutral</v>
      </c>
      <c r="AC83">
        <f>survey_responses[[#This Row],[Các thủ tục khai báo thuế VÀ/HOẶC quy trình làm việc với cơ quan thuế đơn giản, tiện lợi, nhanh chóng hơn so với trước đây. - HUMAN-FAC1]]</f>
        <v>5</v>
      </c>
      <c r="AD83" t="str">
        <f t="shared" si="34"/>
        <v>Neutral</v>
      </c>
      <c r="AE83" s="32">
        <f t="shared" si="35"/>
        <v>1</v>
      </c>
      <c r="AF83">
        <f>step3_validation[[#This Row],[AI_FAC2]]</f>
        <v>9</v>
      </c>
      <c r="AG83" t="str">
        <f t="shared" si="36"/>
        <v>Support</v>
      </c>
      <c r="AH83">
        <f>survey_responses[[#This Row],[So với trước đây, tôi thấy cách tính thuế và các bậc thuế trong phương án mới đơn giản, dễ hiểu và dễ thực hiện hơn. - HUMAN-FAC2]]</f>
        <v>5</v>
      </c>
      <c r="AI83" t="str">
        <f t="shared" si="37"/>
        <v>Neutral</v>
      </c>
      <c r="AJ83" s="32">
        <f t="shared" si="38"/>
        <v>4</v>
      </c>
      <c r="AK83">
        <f>step3_validation[[#This Row],[AI_TRU1]]</f>
        <v>8</v>
      </c>
      <c r="AL83" t="str">
        <f t="shared" si="39"/>
        <v>Support</v>
      </c>
      <c r="AM83">
        <f>survey_responses[[#This Row],[Tôi tin rằng Nhà nước, cơ quan thuế sẽ thực thi chính sách mới một cách khách quan, công tâm và đối xử bình đẳng với mọi người nộp thuế.  - HUMAN-TRU1]]</f>
        <v>5</v>
      </c>
      <c r="AN83" t="str">
        <f t="shared" si="40"/>
        <v>Neutral</v>
      </c>
      <c r="AO83" s="32">
        <f t="shared" si="41"/>
        <v>3</v>
      </c>
      <c r="AP83">
        <f>step3_validation[[#This Row],[AI_TRU2]]</f>
        <v>7</v>
      </c>
      <c r="AQ83" t="str">
        <f t="shared" si="42"/>
        <v>Neutral</v>
      </c>
      <c r="AR83">
        <f>survey_responses[[#This Row],[Tôi thấy mức thuế tôi phải đóng theo phương án mới là công bằng (người thu nhập như tôi đóng mức này là hợp lý). - HUMAN-TRU2]]</f>
        <v>5</v>
      </c>
      <c r="AS83" t="str">
        <f t="shared" si="43"/>
        <v>Neutral</v>
      </c>
      <c r="AT83" s="32">
        <f t="shared" si="44"/>
        <v>2</v>
      </c>
      <c r="AU83">
        <f>step3_validation[[#This Row],[AI_TRU3]]</f>
        <v>6</v>
      </c>
      <c r="AV83" t="str">
        <f t="shared" si="45"/>
        <v>Neutral</v>
      </c>
      <c r="AW83">
        <f>survey_responses[[#This Row],[Tôi tin tưởng số tiền thuế tôi đóng sẽ được Nhà nước sử dụng hiệu quả để cải thiện dịch vụ công (y tế, đường xá...). - HUMAN-TRU3]]</f>
        <v>1</v>
      </c>
      <c r="AX83" t="str">
        <f t="shared" si="46"/>
        <v>Oppose</v>
      </c>
      <c r="AY83" s="32">
        <f t="shared" si="47"/>
        <v>5</v>
      </c>
      <c r="AZ83">
        <f>step3_validation[[#This Row],[AI_TRU4]]</f>
        <v>8</v>
      </c>
      <c r="BA83" t="str">
        <f t="shared" si="48"/>
        <v>Support</v>
      </c>
      <c r="BB83">
        <f>survey_responses[[#This Row],[Tôi thấy Nhà nước đã giải thích rõ ràng, minh bạch về lý do và mục tiêu của việc sửa đổi thuế lần này. - HUMAN-TRU4]]</f>
        <v>5</v>
      </c>
      <c r="BC83" t="str">
        <f t="shared" si="49"/>
        <v>Neutral</v>
      </c>
      <c r="BD83" s="32">
        <f t="shared" si="50"/>
        <v>3</v>
      </c>
      <c r="BE83">
        <f>step3_validation[[#This Row],[AI_OUT1]]</f>
        <v>9</v>
      </c>
      <c r="BF83" t="str">
        <f t="shared" si="51"/>
        <v>Support</v>
      </c>
      <c r="BG83">
        <f>survey_responses[[#This Row],[Sau khi xem xét các quyền lợi và nghĩa vụ, bạn có ủng hộ và tuân thủ chính sách mới hiện nay? - HUMAN-OUT1]]</f>
        <v>5</v>
      </c>
      <c r="BH83" t="str">
        <f t="shared" si="52"/>
        <v>Neutral</v>
      </c>
      <c r="BI83" s="32">
        <f t="shared" si="53"/>
        <v>4</v>
      </c>
    </row>
    <row r="84" spans="1:61" x14ac:dyDescent="0.45">
      <c r="A84" s="30">
        <f>step3_validation[[#This Row],[Persona_ID]]</f>
        <v>83</v>
      </c>
      <c r="B84" s="31">
        <f>step3_validation[[#This Row],[Used_Seed]]</f>
        <v>2073</v>
      </c>
      <c r="C84" t="str">
        <f>step3_validation[[#This Row],[Gender]]</f>
        <v>Nữ</v>
      </c>
      <c r="D84" t="str">
        <f>survey_responses[[#This Row],[Giới tính của bạn:]]</f>
        <v>Nữ</v>
      </c>
      <c r="E84" t="str">
        <f>step3_validation[[#This Row],[Age_Group]]</f>
        <v>40 - 49</v>
      </c>
      <c r="F84" t="str">
        <f>survey_responses[[#This Row],[Độ tuổi của bạn:]]</f>
        <v>40 - 49</v>
      </c>
      <c r="G84" t="str">
        <f>step3_validation[[#This Row],[Region]]</f>
        <v>Thành thị</v>
      </c>
      <c r="H84" t="str">
        <f>survey_responses[[#This Row],[Khu vực bạn đang sinh sống:]]</f>
        <v>Thành thị</v>
      </c>
      <c r="I84" t="str">
        <f>step3_validation[[#This Row],[Education]]</f>
        <v>Sau Đại học</v>
      </c>
      <c r="J84" t="str">
        <f>survey_responses[[#This Row],[Trình độ học vấn cao nhất:]]</f>
        <v>Sau Đại học</v>
      </c>
      <c r="K84" t="str">
        <f>step3_validation[[#This Row],[Employment]]</f>
        <v>Chính thức</v>
      </c>
      <c r="L84" t="str">
        <f>survey_responses[[#This Row],[Tình trạng việc làm chính:]]</f>
        <v>Khu vực chính thức (Có Hợp đồng lao động, đóng BHXH)</v>
      </c>
      <c r="M84">
        <f>step3_validation[[#This Row],[Income_Mil]]</f>
        <v>16.910354443510919</v>
      </c>
      <c r="N84" t="str">
        <f>survey_responses[[#This Row],[Thu nhập bình quân tháng theo Hợp đồng lao động của bạn là bao nhiêu? (Vui lòng điền tổng thu nhập trước khi khấu trừ các loại Bảo hiểm (BHXH, BHYT, BHTN) và Thuế TNCN)]]</f>
        <v>Từ 12 - 18 triệu VNĐ</v>
      </c>
      <c r="O84">
        <f>step3_validation[[#This Row],[Dependents]]</f>
        <v>2</v>
      </c>
      <c r="P84" t="str">
        <f>survey_responses[[#This Row],[Số người phụ thuộc (con nhỏ, cha mẹ già...) đủ điều kiện giảm trừ gia cảnh:]]</f>
        <v>2 người</v>
      </c>
      <c r="Q84">
        <f>step3_validation[[#This Row],[AI_ENF1]]</f>
        <v>7</v>
      </c>
      <c r="R84" t="str">
        <f t="shared" si="27"/>
        <v>Neutral</v>
      </c>
      <c r="S84">
        <f>survey_responses[[#This Row],[Tôi tin rằng với các quy định quản lý thuế hiện nay, hành vi gian lận hoặc trốn thuế sẽ dễ dàng bị phát hiện và xử lý nghiêm. - HUMAN-ENF1]]</f>
        <v>10</v>
      </c>
      <c r="T84" t="str">
        <f t="shared" si="28"/>
        <v>Support</v>
      </c>
      <c r="U84" s="32">
        <f t="shared" si="29"/>
        <v>3</v>
      </c>
      <c r="V84">
        <f>step3_validation[[#This Row],[AI_ENF2]]</f>
        <v>6</v>
      </c>
      <c r="W84" t="str">
        <f t="shared" si="30"/>
        <v>Neutral</v>
      </c>
      <c r="X84">
        <f>survey_responses[[#This Row],[Tôi tin rằng Nhà nước, cơ quan thuế có đủ khả năng và công nghệ để phát hiện, xử lý nghiêm các hành vi trốn thuế. - HUMAN-ENF2]]</f>
        <v>8</v>
      </c>
      <c r="Y84" t="str">
        <f t="shared" si="31"/>
        <v>Support</v>
      </c>
      <c r="Z84" s="32">
        <f t="shared" si="32"/>
        <v>2</v>
      </c>
      <c r="AA84">
        <f>step3_validation[[#This Row],[AI_FAC1]]</f>
        <v>9</v>
      </c>
      <c r="AB84" t="str">
        <f t="shared" si="33"/>
        <v>Support</v>
      </c>
      <c r="AC84">
        <f>survey_responses[[#This Row],[Các thủ tục khai báo thuế VÀ/HOẶC quy trình làm việc với cơ quan thuế đơn giản, tiện lợi, nhanh chóng hơn so với trước đây. - HUMAN-FAC1]]</f>
        <v>8</v>
      </c>
      <c r="AD84" t="str">
        <f t="shared" si="34"/>
        <v>Support</v>
      </c>
      <c r="AE84" s="32">
        <f t="shared" si="35"/>
        <v>1</v>
      </c>
      <c r="AF84">
        <f>step3_validation[[#This Row],[AI_FAC2]]</f>
        <v>8</v>
      </c>
      <c r="AG84" t="str">
        <f t="shared" si="36"/>
        <v>Support</v>
      </c>
      <c r="AH84">
        <f>survey_responses[[#This Row],[So với trước đây, tôi thấy cách tính thuế và các bậc thuế trong phương án mới đơn giản, dễ hiểu và dễ thực hiện hơn. - HUMAN-FAC2]]</f>
        <v>7</v>
      </c>
      <c r="AI84" t="str">
        <f t="shared" si="37"/>
        <v>Neutral</v>
      </c>
      <c r="AJ84" s="32">
        <f t="shared" si="38"/>
        <v>1</v>
      </c>
      <c r="AK84">
        <f>step3_validation[[#This Row],[AI_TRU1]]</f>
        <v>7</v>
      </c>
      <c r="AL84" t="str">
        <f t="shared" si="39"/>
        <v>Neutral</v>
      </c>
      <c r="AM84">
        <f>survey_responses[[#This Row],[Tôi tin rằng Nhà nước, cơ quan thuế sẽ thực thi chính sách mới một cách khách quan, công tâm và đối xử bình đẳng với mọi người nộp thuế.  - HUMAN-TRU1]]</f>
        <v>7</v>
      </c>
      <c r="AN84" t="str">
        <f t="shared" si="40"/>
        <v>Neutral</v>
      </c>
      <c r="AO84" s="32">
        <f t="shared" si="41"/>
        <v>0</v>
      </c>
      <c r="AP84">
        <f>step3_validation[[#This Row],[AI_TRU2]]</f>
        <v>8</v>
      </c>
      <c r="AQ84" t="str">
        <f t="shared" si="42"/>
        <v>Support</v>
      </c>
      <c r="AR84">
        <f>survey_responses[[#This Row],[Tôi thấy mức thuế tôi phải đóng theo phương án mới là công bằng (người thu nhập như tôi đóng mức này là hợp lý). - HUMAN-TRU2]]</f>
        <v>6</v>
      </c>
      <c r="AS84" t="str">
        <f t="shared" si="43"/>
        <v>Neutral</v>
      </c>
      <c r="AT84" s="32">
        <f t="shared" si="44"/>
        <v>2</v>
      </c>
      <c r="AU84">
        <f>step3_validation[[#This Row],[AI_TRU3]]</f>
        <v>6</v>
      </c>
      <c r="AV84" t="str">
        <f t="shared" si="45"/>
        <v>Neutral</v>
      </c>
      <c r="AW84">
        <f>survey_responses[[#This Row],[Tôi tin tưởng số tiền thuế tôi đóng sẽ được Nhà nước sử dụng hiệu quả để cải thiện dịch vụ công (y tế, đường xá...). - HUMAN-TRU3]]</f>
        <v>7</v>
      </c>
      <c r="AX84" t="str">
        <f t="shared" si="46"/>
        <v>Neutral</v>
      </c>
      <c r="AY84" s="32">
        <f t="shared" si="47"/>
        <v>1</v>
      </c>
      <c r="AZ84">
        <f>step3_validation[[#This Row],[AI_TRU4]]</f>
        <v>5</v>
      </c>
      <c r="BA84" t="str">
        <f t="shared" si="48"/>
        <v>Neutral</v>
      </c>
      <c r="BB84">
        <f>survey_responses[[#This Row],[Tôi thấy Nhà nước đã giải thích rõ ràng, minh bạch về lý do và mục tiêu của việc sửa đổi thuế lần này. - HUMAN-TRU4]]</f>
        <v>6</v>
      </c>
      <c r="BC84" t="str">
        <f t="shared" si="49"/>
        <v>Neutral</v>
      </c>
      <c r="BD84" s="32">
        <f t="shared" si="50"/>
        <v>1</v>
      </c>
      <c r="BE84">
        <f>step3_validation[[#This Row],[AI_OUT1]]</f>
        <v>8</v>
      </c>
      <c r="BF84" t="str">
        <f t="shared" si="51"/>
        <v>Support</v>
      </c>
      <c r="BG84">
        <f>survey_responses[[#This Row],[Sau khi xem xét các quyền lợi và nghĩa vụ, bạn có ủng hộ và tuân thủ chính sách mới hiện nay? - HUMAN-OUT1]]</f>
        <v>8</v>
      </c>
      <c r="BH84" t="str">
        <f t="shared" si="52"/>
        <v>Support</v>
      </c>
      <c r="BI84" s="32">
        <f t="shared" si="53"/>
        <v>0</v>
      </c>
    </row>
    <row r="85" spans="1:61" x14ac:dyDescent="0.45">
      <c r="A85" s="30">
        <f>step3_validation[[#This Row],[Persona_ID]]</f>
        <v>84</v>
      </c>
      <c r="B85" s="31">
        <f>step3_validation[[#This Row],[Used_Seed]]</f>
        <v>2074</v>
      </c>
      <c r="C85" t="str">
        <f>step3_validation[[#This Row],[Gender]]</f>
        <v>Nữ</v>
      </c>
      <c r="D85" t="str">
        <f>survey_responses[[#This Row],[Giới tính của bạn:]]</f>
        <v>Nữ</v>
      </c>
      <c r="E85" t="str">
        <f>step3_validation[[#This Row],[Age_Group]]</f>
        <v>30 - 39</v>
      </c>
      <c r="F85" t="str">
        <f>survey_responses[[#This Row],[Độ tuổi của bạn:]]</f>
        <v>30 - 39</v>
      </c>
      <c r="G85" t="str">
        <f>step3_validation[[#This Row],[Region]]</f>
        <v>Thành thị</v>
      </c>
      <c r="H85" t="str">
        <f>survey_responses[[#This Row],[Khu vực bạn đang sinh sống:]]</f>
        <v>Thành thị</v>
      </c>
      <c r="I85" t="str">
        <f>step3_validation[[#This Row],[Education]]</f>
        <v>Cao đẳng</v>
      </c>
      <c r="J85" t="str">
        <f>survey_responses[[#This Row],[Trình độ học vấn cao nhất:]]</f>
        <v>Cao đẳng</v>
      </c>
      <c r="K85" t="str">
        <f>step3_validation[[#This Row],[Employment]]</f>
        <v>Chính thức</v>
      </c>
      <c r="L85" t="str">
        <f>survey_responses[[#This Row],[Tình trạng việc làm chính:]]</f>
        <v>Khu vực chính thức (Có Hợp đồng lao động, đóng BHXH)</v>
      </c>
      <c r="M85">
        <f>step3_validation[[#This Row],[Income_Mil]]</f>
        <v>12.849936354493103</v>
      </c>
      <c r="N85" t="str">
        <f>survey_responses[[#This Row],[Thu nhập bình quân tháng theo Hợp đồng lao động của bạn là bao nhiêu? (Vui lòng điền tổng thu nhập trước khi khấu trừ các loại Bảo hiểm (BHXH, BHYT, BHTN) và Thuế TNCN)]]</f>
        <v>Từ 12 - 18 triệu VNĐ</v>
      </c>
      <c r="O85">
        <f>step3_validation[[#This Row],[Dependents]]</f>
        <v>1</v>
      </c>
      <c r="P85" t="str">
        <f>survey_responses[[#This Row],[Số người phụ thuộc (con nhỏ, cha mẹ già...) đủ điều kiện giảm trừ gia cảnh:]]</f>
        <v>1 người</v>
      </c>
      <c r="Q85">
        <f>step3_validation[[#This Row],[AI_ENF1]]</f>
        <v>7</v>
      </c>
      <c r="R85" t="str">
        <f t="shared" si="27"/>
        <v>Neutral</v>
      </c>
      <c r="S85">
        <f>survey_responses[[#This Row],[Tôi tin rằng với các quy định quản lý thuế hiện nay, hành vi gian lận hoặc trốn thuế sẽ dễ dàng bị phát hiện và xử lý nghiêm. - HUMAN-ENF1]]</f>
        <v>6</v>
      </c>
      <c r="T85" t="str">
        <f t="shared" si="28"/>
        <v>Neutral</v>
      </c>
      <c r="U85" s="32">
        <f t="shared" si="29"/>
        <v>1</v>
      </c>
      <c r="V85">
        <f>step3_validation[[#This Row],[AI_ENF2]]</f>
        <v>8</v>
      </c>
      <c r="W85" t="str">
        <f t="shared" si="30"/>
        <v>Support</v>
      </c>
      <c r="X85">
        <f>survey_responses[[#This Row],[Tôi tin rằng Nhà nước, cơ quan thuế có đủ khả năng và công nghệ để phát hiện, xử lý nghiêm các hành vi trốn thuế. - HUMAN-ENF2]]</f>
        <v>7</v>
      </c>
      <c r="Y85" t="str">
        <f t="shared" si="31"/>
        <v>Neutral</v>
      </c>
      <c r="Z85" s="32">
        <f t="shared" si="32"/>
        <v>1</v>
      </c>
      <c r="AA85">
        <f>step3_validation[[#This Row],[AI_FAC1]]</f>
        <v>6</v>
      </c>
      <c r="AB85" t="str">
        <f t="shared" si="33"/>
        <v>Neutral</v>
      </c>
      <c r="AC85">
        <f>survey_responses[[#This Row],[Các thủ tục khai báo thuế VÀ/HOẶC quy trình làm việc với cơ quan thuế đơn giản, tiện lợi, nhanh chóng hơn so với trước đây. - HUMAN-FAC1]]</f>
        <v>5</v>
      </c>
      <c r="AD85" t="str">
        <f t="shared" si="34"/>
        <v>Neutral</v>
      </c>
      <c r="AE85" s="32">
        <f t="shared" si="35"/>
        <v>1</v>
      </c>
      <c r="AF85">
        <f>step3_validation[[#This Row],[AI_FAC2]]</f>
        <v>7</v>
      </c>
      <c r="AG85" t="str">
        <f t="shared" si="36"/>
        <v>Neutral</v>
      </c>
      <c r="AH85">
        <f>survey_responses[[#This Row],[So với trước đây, tôi thấy cách tính thuế và các bậc thuế trong phương án mới đơn giản, dễ hiểu và dễ thực hiện hơn. - HUMAN-FAC2]]</f>
        <v>5</v>
      </c>
      <c r="AI85" t="str">
        <f t="shared" si="37"/>
        <v>Neutral</v>
      </c>
      <c r="AJ85" s="32">
        <f t="shared" si="38"/>
        <v>2</v>
      </c>
      <c r="AK85">
        <f>step3_validation[[#This Row],[AI_TRU1]]</f>
        <v>8</v>
      </c>
      <c r="AL85" t="str">
        <f t="shared" si="39"/>
        <v>Support</v>
      </c>
      <c r="AM85">
        <f>survey_responses[[#This Row],[Tôi tin rằng Nhà nước, cơ quan thuế sẽ thực thi chính sách mới một cách khách quan, công tâm và đối xử bình đẳng với mọi người nộp thuế.  - HUMAN-TRU1]]</f>
        <v>5</v>
      </c>
      <c r="AN85" t="str">
        <f t="shared" si="40"/>
        <v>Neutral</v>
      </c>
      <c r="AO85" s="32">
        <f t="shared" si="41"/>
        <v>3</v>
      </c>
      <c r="AP85">
        <f>step3_validation[[#This Row],[AI_TRU2]]</f>
        <v>9</v>
      </c>
      <c r="AQ85" t="str">
        <f t="shared" si="42"/>
        <v>Support</v>
      </c>
      <c r="AR85">
        <f>survey_responses[[#This Row],[Tôi thấy mức thuế tôi phải đóng theo phương án mới là công bằng (người thu nhập như tôi đóng mức này là hợp lý). - HUMAN-TRU2]]</f>
        <v>5</v>
      </c>
      <c r="AS85" t="str">
        <f t="shared" si="43"/>
        <v>Neutral</v>
      </c>
      <c r="AT85" s="32">
        <f t="shared" si="44"/>
        <v>4</v>
      </c>
      <c r="AU85">
        <f>step3_validation[[#This Row],[AI_TRU3]]</f>
        <v>6</v>
      </c>
      <c r="AV85" t="str">
        <f t="shared" si="45"/>
        <v>Neutral</v>
      </c>
      <c r="AW85">
        <f>survey_responses[[#This Row],[Tôi tin tưởng số tiền thuế tôi đóng sẽ được Nhà nước sử dụng hiệu quả để cải thiện dịch vụ công (y tế, đường xá...). - HUMAN-TRU3]]</f>
        <v>5</v>
      </c>
      <c r="AX85" t="str">
        <f t="shared" si="46"/>
        <v>Neutral</v>
      </c>
      <c r="AY85" s="32">
        <f t="shared" si="47"/>
        <v>1</v>
      </c>
      <c r="AZ85">
        <f>step3_validation[[#This Row],[AI_TRU4]]</f>
        <v>5</v>
      </c>
      <c r="BA85" t="str">
        <f t="shared" si="48"/>
        <v>Neutral</v>
      </c>
      <c r="BB85">
        <f>survey_responses[[#This Row],[Tôi thấy Nhà nước đã giải thích rõ ràng, minh bạch về lý do và mục tiêu của việc sửa đổi thuế lần này. - HUMAN-TRU4]]</f>
        <v>5</v>
      </c>
      <c r="BC85" t="str">
        <f t="shared" si="49"/>
        <v>Neutral</v>
      </c>
      <c r="BD85" s="32">
        <f t="shared" si="50"/>
        <v>0</v>
      </c>
      <c r="BE85">
        <f>step3_validation[[#This Row],[AI_OUT1]]</f>
        <v>7</v>
      </c>
      <c r="BF85" t="str">
        <f t="shared" si="51"/>
        <v>Neutral</v>
      </c>
      <c r="BG85">
        <f>survey_responses[[#This Row],[Sau khi xem xét các quyền lợi và nghĩa vụ, bạn có ủng hộ và tuân thủ chính sách mới hiện nay? - HUMAN-OUT1]]</f>
        <v>5</v>
      </c>
      <c r="BH85" t="str">
        <f t="shared" si="52"/>
        <v>Neutral</v>
      </c>
      <c r="BI85" s="32">
        <f t="shared" si="53"/>
        <v>2</v>
      </c>
    </row>
    <row r="86" spans="1:61" x14ac:dyDescent="0.45">
      <c r="A86" s="30">
        <f>step3_validation[[#This Row],[Persona_ID]]</f>
        <v>85</v>
      </c>
      <c r="B86" s="31">
        <f>step3_validation[[#This Row],[Used_Seed]]</f>
        <v>2075</v>
      </c>
      <c r="C86" t="str">
        <f>step3_validation[[#This Row],[Gender]]</f>
        <v>Nữ</v>
      </c>
      <c r="D86" t="str">
        <f>survey_responses[[#This Row],[Giới tính của bạn:]]</f>
        <v>Nữ</v>
      </c>
      <c r="E86" t="str">
        <f>step3_validation[[#This Row],[Age_Group]]</f>
        <v>40 - 49</v>
      </c>
      <c r="F86" t="str">
        <f>survey_responses[[#This Row],[Độ tuổi của bạn:]]</f>
        <v>40 - 49</v>
      </c>
      <c r="G86" t="str">
        <f>step3_validation[[#This Row],[Region]]</f>
        <v>Thành thị</v>
      </c>
      <c r="H86" t="str">
        <f>survey_responses[[#This Row],[Khu vực bạn đang sinh sống:]]</f>
        <v>Thành thị</v>
      </c>
      <c r="I86" t="str">
        <f>step3_validation[[#This Row],[Education]]</f>
        <v>Đại học</v>
      </c>
      <c r="J86" t="str">
        <f>survey_responses[[#This Row],[Trình độ học vấn cao nhất:]]</f>
        <v>Đại học</v>
      </c>
      <c r="K86" t="str">
        <f>step3_validation[[#This Row],[Employment]]</f>
        <v>Chính thức</v>
      </c>
      <c r="L86" t="str">
        <f>survey_responses[[#This Row],[Tình trạng việc làm chính:]]</f>
        <v>Khu vực chính thức (Có Hợp đồng lao động, đóng BHXH)</v>
      </c>
      <c r="M86">
        <f>step3_validation[[#This Row],[Income_Mil]]</f>
        <v>15.171834045282333</v>
      </c>
      <c r="N86" t="str">
        <f>survey_responses[[#This Row],[Thu nhập bình quân tháng theo Hợp đồng lao động của bạn là bao nhiêu? (Vui lòng điền tổng thu nhập trước khi khấu trừ các loại Bảo hiểm (BHXH, BHYT, BHTN) và Thuế TNCN)]]</f>
        <v>Từ 12 - 18 triệu VNĐ</v>
      </c>
      <c r="O86">
        <f>step3_validation[[#This Row],[Dependents]]</f>
        <v>2</v>
      </c>
      <c r="P86" t="str">
        <f>survey_responses[[#This Row],[Số người phụ thuộc (con nhỏ, cha mẹ già...) đủ điều kiện giảm trừ gia cảnh:]]</f>
        <v>2 người</v>
      </c>
      <c r="Q86">
        <f>step3_validation[[#This Row],[AI_ENF1]]</f>
        <v>6</v>
      </c>
      <c r="R86" t="str">
        <f t="shared" si="27"/>
        <v>Neutral</v>
      </c>
      <c r="S86">
        <f>survey_responses[[#This Row],[Tôi tin rằng với các quy định quản lý thuế hiện nay, hành vi gian lận hoặc trốn thuế sẽ dễ dàng bị phát hiện và xử lý nghiêm. - HUMAN-ENF1]]</f>
        <v>9</v>
      </c>
      <c r="T86" t="str">
        <f t="shared" si="28"/>
        <v>Support</v>
      </c>
      <c r="U86" s="32">
        <f t="shared" si="29"/>
        <v>3</v>
      </c>
      <c r="V86">
        <f>step3_validation[[#This Row],[AI_ENF2]]</f>
        <v>7</v>
      </c>
      <c r="W86" t="str">
        <f t="shared" si="30"/>
        <v>Neutral</v>
      </c>
      <c r="X86">
        <f>survey_responses[[#This Row],[Tôi tin rằng Nhà nước, cơ quan thuế có đủ khả năng và công nghệ để phát hiện, xử lý nghiêm các hành vi trốn thuế. - HUMAN-ENF2]]</f>
        <v>9</v>
      </c>
      <c r="Y86" t="str">
        <f t="shared" si="31"/>
        <v>Support</v>
      </c>
      <c r="Z86" s="32">
        <f t="shared" si="32"/>
        <v>2</v>
      </c>
      <c r="AA86">
        <f>step3_validation[[#This Row],[AI_FAC1]]</f>
        <v>8</v>
      </c>
      <c r="AB86" t="str">
        <f t="shared" si="33"/>
        <v>Support</v>
      </c>
      <c r="AC86">
        <f>survey_responses[[#This Row],[Các thủ tục khai báo thuế VÀ/HOẶC quy trình làm việc với cơ quan thuế đơn giản, tiện lợi, nhanh chóng hơn so với trước đây. - HUMAN-FAC1]]</f>
        <v>8</v>
      </c>
      <c r="AD86" t="str">
        <f t="shared" si="34"/>
        <v>Support</v>
      </c>
      <c r="AE86" s="32">
        <f t="shared" si="35"/>
        <v>0</v>
      </c>
      <c r="AF86">
        <f>step3_validation[[#This Row],[AI_FAC2]]</f>
        <v>9</v>
      </c>
      <c r="AG86" t="str">
        <f t="shared" si="36"/>
        <v>Support</v>
      </c>
      <c r="AH86">
        <f>survey_responses[[#This Row],[So với trước đây, tôi thấy cách tính thuế và các bậc thuế trong phương án mới đơn giản, dễ hiểu và dễ thực hiện hơn. - HUMAN-FAC2]]</f>
        <v>9</v>
      </c>
      <c r="AI86" t="str">
        <f t="shared" si="37"/>
        <v>Support</v>
      </c>
      <c r="AJ86" s="32">
        <f t="shared" si="38"/>
        <v>0</v>
      </c>
      <c r="AK86">
        <f>step3_validation[[#This Row],[AI_TRU1]]</f>
        <v>7</v>
      </c>
      <c r="AL86" t="str">
        <f t="shared" si="39"/>
        <v>Neutral</v>
      </c>
      <c r="AM86">
        <f>survey_responses[[#This Row],[Tôi tin rằng Nhà nước, cơ quan thuế sẽ thực thi chính sách mới một cách khách quan, công tâm và đối xử bình đẳng với mọi người nộp thuế.  - HUMAN-TRU1]]</f>
        <v>9</v>
      </c>
      <c r="AN86" t="str">
        <f t="shared" si="40"/>
        <v>Support</v>
      </c>
      <c r="AO86" s="32">
        <f t="shared" si="41"/>
        <v>2</v>
      </c>
      <c r="AP86">
        <f>step3_validation[[#This Row],[AI_TRU2]]</f>
        <v>6</v>
      </c>
      <c r="AQ86" t="str">
        <f t="shared" si="42"/>
        <v>Neutral</v>
      </c>
      <c r="AR86">
        <f>survey_responses[[#This Row],[Tôi thấy mức thuế tôi phải đóng theo phương án mới là công bằng (người thu nhập như tôi đóng mức này là hợp lý). - HUMAN-TRU2]]</f>
        <v>9</v>
      </c>
      <c r="AS86" t="str">
        <f t="shared" si="43"/>
        <v>Support</v>
      </c>
      <c r="AT86" s="32">
        <f t="shared" si="44"/>
        <v>3</v>
      </c>
      <c r="AU86">
        <f>step3_validation[[#This Row],[AI_TRU3]]</f>
        <v>7</v>
      </c>
      <c r="AV86" t="str">
        <f t="shared" si="45"/>
        <v>Neutral</v>
      </c>
      <c r="AW86">
        <f>survey_responses[[#This Row],[Tôi tin tưởng số tiền thuế tôi đóng sẽ được Nhà nước sử dụng hiệu quả để cải thiện dịch vụ công (y tế, đường xá...). - HUMAN-TRU3]]</f>
        <v>7</v>
      </c>
      <c r="AX86" t="str">
        <f t="shared" si="46"/>
        <v>Neutral</v>
      </c>
      <c r="AY86" s="32">
        <f t="shared" si="47"/>
        <v>0</v>
      </c>
      <c r="AZ86">
        <f>step3_validation[[#This Row],[AI_TRU4]]</f>
        <v>5</v>
      </c>
      <c r="BA86" t="str">
        <f t="shared" si="48"/>
        <v>Neutral</v>
      </c>
      <c r="BB86">
        <f>survey_responses[[#This Row],[Tôi thấy Nhà nước đã giải thích rõ ràng, minh bạch về lý do và mục tiêu của việc sửa đổi thuế lần này. - HUMAN-TRU4]]</f>
        <v>8</v>
      </c>
      <c r="BC86" t="str">
        <f t="shared" si="49"/>
        <v>Support</v>
      </c>
      <c r="BD86" s="32">
        <f t="shared" si="50"/>
        <v>3</v>
      </c>
      <c r="BE86">
        <f>step3_validation[[#This Row],[AI_OUT1]]</f>
        <v>7</v>
      </c>
      <c r="BF86" t="str">
        <f t="shared" si="51"/>
        <v>Neutral</v>
      </c>
      <c r="BG86">
        <f>survey_responses[[#This Row],[Sau khi xem xét các quyền lợi và nghĩa vụ, bạn có ủng hộ và tuân thủ chính sách mới hiện nay? - HUMAN-OUT1]]</f>
        <v>8</v>
      </c>
      <c r="BH86" t="str">
        <f t="shared" si="52"/>
        <v>Support</v>
      </c>
      <c r="BI86" s="32">
        <f t="shared" si="53"/>
        <v>1</v>
      </c>
    </row>
    <row r="87" spans="1:61" x14ac:dyDescent="0.45">
      <c r="A87" s="30">
        <f>step3_validation[[#This Row],[Persona_ID]]</f>
        <v>86</v>
      </c>
      <c r="B87" s="31">
        <f>step3_validation[[#This Row],[Used_Seed]]</f>
        <v>2076</v>
      </c>
      <c r="C87" t="str">
        <f>step3_validation[[#This Row],[Gender]]</f>
        <v>Nam</v>
      </c>
      <c r="D87" t="str">
        <f>survey_responses[[#This Row],[Giới tính của bạn:]]</f>
        <v>Nam</v>
      </c>
      <c r="E87" t="str">
        <f>step3_validation[[#This Row],[Age_Group]]</f>
        <v>30 - 39</v>
      </c>
      <c r="F87" t="str">
        <f>survey_responses[[#This Row],[Độ tuổi của bạn:]]</f>
        <v>30 - 39</v>
      </c>
      <c r="G87" t="str">
        <f>step3_validation[[#This Row],[Region]]</f>
        <v>Nông thôn</v>
      </c>
      <c r="H87" t="str">
        <f>survey_responses[[#This Row],[Khu vực bạn đang sinh sống:]]</f>
        <v>Nông thôn</v>
      </c>
      <c r="I87" t="str">
        <f>step3_validation[[#This Row],[Education]]</f>
        <v>Đại học</v>
      </c>
      <c r="J87" t="str">
        <f>survey_responses[[#This Row],[Trình độ học vấn cao nhất:]]</f>
        <v>Đại học</v>
      </c>
      <c r="K87" t="str">
        <f>step3_validation[[#This Row],[Employment]]</f>
        <v>Chính thức</v>
      </c>
      <c r="L87" t="str">
        <f>survey_responses[[#This Row],[Tình trạng việc làm chính:]]</f>
        <v>Khu vực chính thức (Có Hợp đồng lao động, đóng BHXH)</v>
      </c>
      <c r="M87">
        <f>step3_validation[[#This Row],[Income_Mil]]</f>
        <v>12.678193407051058</v>
      </c>
      <c r="N87" t="str">
        <f>survey_responses[[#This Row],[Thu nhập bình quân tháng theo Hợp đồng lao động của bạn là bao nhiêu? (Vui lòng điền tổng thu nhập trước khi khấu trừ các loại Bảo hiểm (BHXH, BHYT, BHTN) và Thuế TNCN)]]</f>
        <v>Từ 12 - 18 triệu VNĐ</v>
      </c>
      <c r="O87">
        <f>step3_validation[[#This Row],[Dependents]]</f>
        <v>0</v>
      </c>
      <c r="P87" t="str">
        <f>survey_responses[[#This Row],[Số người phụ thuộc (con nhỏ, cha mẹ già...) đủ điều kiện giảm trừ gia cảnh:]]</f>
        <v>0 người</v>
      </c>
      <c r="Q87">
        <f>step3_validation[[#This Row],[AI_ENF1]]</f>
        <v>7</v>
      </c>
      <c r="R87" t="str">
        <f t="shared" si="27"/>
        <v>Neutral</v>
      </c>
      <c r="S87">
        <f>survey_responses[[#This Row],[Tôi tin rằng với các quy định quản lý thuế hiện nay, hành vi gian lận hoặc trốn thuế sẽ dễ dàng bị phát hiện và xử lý nghiêm. - HUMAN-ENF1]]</f>
        <v>5</v>
      </c>
      <c r="T87" t="str">
        <f t="shared" si="28"/>
        <v>Neutral</v>
      </c>
      <c r="U87" s="32">
        <f t="shared" si="29"/>
        <v>2</v>
      </c>
      <c r="V87">
        <f>step3_validation[[#This Row],[AI_ENF2]]</f>
        <v>6</v>
      </c>
      <c r="W87" t="str">
        <f t="shared" si="30"/>
        <v>Neutral</v>
      </c>
      <c r="X87">
        <f>survey_responses[[#This Row],[Tôi tin rằng Nhà nước, cơ quan thuế có đủ khả năng và công nghệ để phát hiện, xử lý nghiêm các hành vi trốn thuế. - HUMAN-ENF2]]</f>
        <v>5</v>
      </c>
      <c r="Y87" t="str">
        <f t="shared" si="31"/>
        <v>Neutral</v>
      </c>
      <c r="Z87" s="32">
        <f t="shared" si="32"/>
        <v>1</v>
      </c>
      <c r="AA87">
        <f>step3_validation[[#This Row],[AI_FAC1]]</f>
        <v>8</v>
      </c>
      <c r="AB87" t="str">
        <f t="shared" si="33"/>
        <v>Support</v>
      </c>
      <c r="AC87">
        <f>survey_responses[[#This Row],[Các thủ tục khai báo thuế VÀ/HOẶC quy trình làm việc với cơ quan thuế đơn giản, tiện lợi, nhanh chóng hơn so với trước đây. - HUMAN-FAC1]]</f>
        <v>10</v>
      </c>
      <c r="AD87" t="str">
        <f t="shared" si="34"/>
        <v>Support</v>
      </c>
      <c r="AE87" s="32">
        <f t="shared" si="35"/>
        <v>2</v>
      </c>
      <c r="AF87">
        <f>step3_validation[[#This Row],[AI_FAC2]]</f>
        <v>7</v>
      </c>
      <c r="AG87" t="str">
        <f t="shared" si="36"/>
        <v>Neutral</v>
      </c>
      <c r="AH87">
        <f>survey_responses[[#This Row],[So với trước đây, tôi thấy cách tính thuế và các bậc thuế trong phương án mới đơn giản, dễ hiểu và dễ thực hiện hơn. - HUMAN-FAC2]]</f>
        <v>4</v>
      </c>
      <c r="AI87" t="str">
        <f t="shared" si="37"/>
        <v>Oppose</v>
      </c>
      <c r="AJ87" s="32">
        <f t="shared" si="38"/>
        <v>3</v>
      </c>
      <c r="AK87">
        <f>step3_validation[[#This Row],[AI_TRU1]]</f>
        <v>6</v>
      </c>
      <c r="AL87" t="str">
        <f t="shared" si="39"/>
        <v>Neutral</v>
      </c>
      <c r="AM87">
        <f>survey_responses[[#This Row],[Tôi tin rằng Nhà nước, cơ quan thuế sẽ thực thi chính sách mới một cách khách quan, công tâm và đối xử bình đẳng với mọi người nộp thuế.  - HUMAN-TRU1]]</f>
        <v>4</v>
      </c>
      <c r="AN87" t="str">
        <f t="shared" si="40"/>
        <v>Oppose</v>
      </c>
      <c r="AO87" s="32">
        <f t="shared" si="41"/>
        <v>2</v>
      </c>
      <c r="AP87">
        <f>step3_validation[[#This Row],[AI_TRU2]]</f>
        <v>5</v>
      </c>
      <c r="AQ87" t="str">
        <f t="shared" si="42"/>
        <v>Neutral</v>
      </c>
      <c r="AR87">
        <f>survey_responses[[#This Row],[Tôi thấy mức thuế tôi phải đóng theo phương án mới là công bằng (người thu nhập như tôi đóng mức này là hợp lý). - HUMAN-TRU2]]</f>
        <v>5</v>
      </c>
      <c r="AS87" t="str">
        <f t="shared" si="43"/>
        <v>Neutral</v>
      </c>
      <c r="AT87" s="32">
        <f t="shared" si="44"/>
        <v>0</v>
      </c>
      <c r="AU87">
        <f>step3_validation[[#This Row],[AI_TRU3]]</f>
        <v>7</v>
      </c>
      <c r="AV87" t="str">
        <f t="shared" si="45"/>
        <v>Neutral</v>
      </c>
      <c r="AW87">
        <f>survey_responses[[#This Row],[Tôi tin tưởng số tiền thuế tôi đóng sẽ được Nhà nước sử dụng hiệu quả để cải thiện dịch vụ công (y tế, đường xá...). - HUMAN-TRU3]]</f>
        <v>5</v>
      </c>
      <c r="AX87" t="str">
        <f t="shared" si="46"/>
        <v>Neutral</v>
      </c>
      <c r="AY87" s="32">
        <f t="shared" si="47"/>
        <v>2</v>
      </c>
      <c r="AZ87">
        <f>step3_validation[[#This Row],[AI_TRU4]]</f>
        <v>5</v>
      </c>
      <c r="BA87" t="str">
        <f t="shared" si="48"/>
        <v>Neutral</v>
      </c>
      <c r="BB87">
        <f>survey_responses[[#This Row],[Tôi thấy Nhà nước đã giải thích rõ ràng, minh bạch về lý do và mục tiêu của việc sửa đổi thuế lần này. - HUMAN-TRU4]]</f>
        <v>8</v>
      </c>
      <c r="BC87" t="str">
        <f t="shared" si="49"/>
        <v>Support</v>
      </c>
      <c r="BD87" s="32">
        <f t="shared" si="50"/>
        <v>3</v>
      </c>
      <c r="BE87">
        <f>step3_validation[[#This Row],[AI_OUT1]]</f>
        <v>6</v>
      </c>
      <c r="BF87" t="str">
        <f t="shared" si="51"/>
        <v>Neutral</v>
      </c>
      <c r="BG87">
        <f>survey_responses[[#This Row],[Sau khi xem xét các quyền lợi và nghĩa vụ, bạn có ủng hộ và tuân thủ chính sách mới hiện nay? - HUMAN-OUT1]]</f>
        <v>8</v>
      </c>
      <c r="BH87" t="str">
        <f t="shared" si="52"/>
        <v>Support</v>
      </c>
      <c r="BI87" s="32">
        <f t="shared" si="53"/>
        <v>2</v>
      </c>
    </row>
    <row r="88" spans="1:61" x14ac:dyDescent="0.45">
      <c r="A88" s="30">
        <f>step3_validation[[#This Row],[Persona_ID]]</f>
        <v>87</v>
      </c>
      <c r="B88" s="31">
        <f>step3_validation[[#This Row],[Used_Seed]]</f>
        <v>2077</v>
      </c>
      <c r="C88" t="str">
        <f>step3_validation[[#This Row],[Gender]]</f>
        <v>Nam</v>
      </c>
      <c r="D88" t="str">
        <f>survey_responses[[#This Row],[Giới tính của bạn:]]</f>
        <v>Nam</v>
      </c>
      <c r="E88" t="str">
        <f>step3_validation[[#This Row],[Age_Group]]</f>
        <v>40 - 49</v>
      </c>
      <c r="F88" t="str">
        <f>survey_responses[[#This Row],[Độ tuổi của bạn:]]</f>
        <v>40 - 49</v>
      </c>
      <c r="G88" t="str">
        <f>step3_validation[[#This Row],[Region]]</f>
        <v>Thành thị</v>
      </c>
      <c r="H88" t="str">
        <f>survey_responses[[#This Row],[Khu vực bạn đang sinh sống:]]</f>
        <v>Thành thị</v>
      </c>
      <c r="I88" t="str">
        <f>step3_validation[[#This Row],[Education]]</f>
        <v>Đại học</v>
      </c>
      <c r="J88" t="str">
        <f>survey_responses[[#This Row],[Trình độ học vấn cao nhất:]]</f>
        <v>Đại học</v>
      </c>
      <c r="K88" t="str">
        <f>step3_validation[[#This Row],[Employment]]</f>
        <v>Chính thức</v>
      </c>
      <c r="L88" t="str">
        <f>survey_responses[[#This Row],[Tình trạng việc làm chính:]]</f>
        <v>Khu vực chính thức (Có Hợp đồng lao động, đóng BHXH)</v>
      </c>
      <c r="M88">
        <f>step3_validation[[#This Row],[Income_Mil]]</f>
        <v>16.885397967793473</v>
      </c>
      <c r="N88" t="str">
        <f>survey_responses[[#This Row],[Thu nhập bình quân tháng theo Hợp đồng lao động của bạn là bao nhiêu? (Vui lòng điền tổng thu nhập trước khi khấu trừ các loại Bảo hiểm (BHXH, BHYT, BHTN) và Thuế TNCN)]]</f>
        <v>Từ 12 - 18 triệu VNĐ</v>
      </c>
      <c r="O88">
        <f>step3_validation[[#This Row],[Dependents]]</f>
        <v>2</v>
      </c>
      <c r="P88" t="str">
        <f>survey_responses[[#This Row],[Số người phụ thuộc (con nhỏ, cha mẹ già...) đủ điều kiện giảm trừ gia cảnh:]]</f>
        <v>2 người</v>
      </c>
      <c r="Q88">
        <f>step3_validation[[#This Row],[AI_ENF1]]</f>
        <v>7</v>
      </c>
      <c r="R88" t="str">
        <f t="shared" si="27"/>
        <v>Neutral</v>
      </c>
      <c r="S88">
        <f>survey_responses[[#This Row],[Tôi tin rằng với các quy định quản lý thuế hiện nay, hành vi gian lận hoặc trốn thuế sẽ dễ dàng bị phát hiện và xử lý nghiêm. - HUMAN-ENF1]]</f>
        <v>10</v>
      </c>
      <c r="T88" t="str">
        <f t="shared" si="28"/>
        <v>Support</v>
      </c>
      <c r="U88" s="32">
        <f t="shared" si="29"/>
        <v>3</v>
      </c>
      <c r="V88">
        <f>step3_validation[[#This Row],[AI_ENF2]]</f>
        <v>8</v>
      </c>
      <c r="W88" t="str">
        <f t="shared" si="30"/>
        <v>Support</v>
      </c>
      <c r="X88">
        <f>survey_responses[[#This Row],[Tôi tin rằng Nhà nước, cơ quan thuế có đủ khả năng và công nghệ để phát hiện, xử lý nghiêm các hành vi trốn thuế. - HUMAN-ENF2]]</f>
        <v>9</v>
      </c>
      <c r="Y88" t="str">
        <f t="shared" si="31"/>
        <v>Support</v>
      </c>
      <c r="Z88" s="32">
        <f t="shared" si="32"/>
        <v>1</v>
      </c>
      <c r="AA88">
        <f>step3_validation[[#This Row],[AI_FAC1]]</f>
        <v>5</v>
      </c>
      <c r="AB88" t="str">
        <f t="shared" si="33"/>
        <v>Neutral</v>
      </c>
      <c r="AC88">
        <f>survey_responses[[#This Row],[Các thủ tục khai báo thuế VÀ/HOẶC quy trình làm việc với cơ quan thuế đơn giản, tiện lợi, nhanh chóng hơn so với trước đây. - HUMAN-FAC1]]</f>
        <v>9</v>
      </c>
      <c r="AD88" t="str">
        <f t="shared" si="34"/>
        <v>Support</v>
      </c>
      <c r="AE88" s="32">
        <f t="shared" si="35"/>
        <v>4</v>
      </c>
      <c r="AF88">
        <f>step3_validation[[#This Row],[AI_FAC2]]</f>
        <v>6</v>
      </c>
      <c r="AG88" t="str">
        <f t="shared" si="36"/>
        <v>Neutral</v>
      </c>
      <c r="AH88">
        <f>survey_responses[[#This Row],[So với trước đây, tôi thấy cách tính thuế và các bậc thuế trong phương án mới đơn giản, dễ hiểu và dễ thực hiện hơn. - HUMAN-FAC2]]</f>
        <v>9</v>
      </c>
      <c r="AI88" t="str">
        <f t="shared" si="37"/>
        <v>Support</v>
      </c>
      <c r="AJ88" s="32">
        <f t="shared" si="38"/>
        <v>3</v>
      </c>
      <c r="AK88">
        <f>step3_validation[[#This Row],[AI_TRU1]]</f>
        <v>7</v>
      </c>
      <c r="AL88" t="str">
        <f t="shared" si="39"/>
        <v>Neutral</v>
      </c>
      <c r="AM88">
        <f>survey_responses[[#This Row],[Tôi tin rằng Nhà nước, cơ quan thuế sẽ thực thi chính sách mới một cách khách quan, công tâm và đối xử bình đẳng với mọi người nộp thuế.  - HUMAN-TRU1]]</f>
        <v>9</v>
      </c>
      <c r="AN88" t="str">
        <f t="shared" si="40"/>
        <v>Support</v>
      </c>
      <c r="AO88" s="32">
        <f t="shared" si="41"/>
        <v>2</v>
      </c>
      <c r="AP88">
        <f>step3_validation[[#This Row],[AI_TRU2]]</f>
        <v>8</v>
      </c>
      <c r="AQ88" t="str">
        <f t="shared" si="42"/>
        <v>Support</v>
      </c>
      <c r="AR88">
        <f>survey_responses[[#This Row],[Tôi thấy mức thuế tôi phải đóng theo phương án mới là công bằng (người thu nhập như tôi đóng mức này là hợp lý). - HUMAN-TRU2]]</f>
        <v>9</v>
      </c>
      <c r="AS88" t="str">
        <f t="shared" si="43"/>
        <v>Support</v>
      </c>
      <c r="AT88" s="32">
        <f t="shared" si="44"/>
        <v>1</v>
      </c>
      <c r="AU88">
        <f>step3_validation[[#This Row],[AI_TRU3]]</f>
        <v>6</v>
      </c>
      <c r="AV88" t="str">
        <f t="shared" si="45"/>
        <v>Neutral</v>
      </c>
      <c r="AW88">
        <f>survey_responses[[#This Row],[Tôi tin tưởng số tiền thuế tôi đóng sẽ được Nhà nước sử dụng hiệu quả để cải thiện dịch vụ công (y tế, đường xá...). - HUMAN-TRU3]]</f>
        <v>10</v>
      </c>
      <c r="AX88" t="str">
        <f t="shared" si="46"/>
        <v>Support</v>
      </c>
      <c r="AY88" s="32">
        <f t="shared" si="47"/>
        <v>4</v>
      </c>
      <c r="AZ88">
        <f>step3_validation[[#This Row],[AI_TRU4]]</f>
        <v>7</v>
      </c>
      <c r="BA88" t="str">
        <f t="shared" si="48"/>
        <v>Neutral</v>
      </c>
      <c r="BB88">
        <f>survey_responses[[#This Row],[Tôi thấy Nhà nước đã giải thích rõ ràng, minh bạch về lý do và mục tiêu của việc sửa đổi thuế lần này. - HUMAN-TRU4]]</f>
        <v>9</v>
      </c>
      <c r="BC88" t="str">
        <f t="shared" si="49"/>
        <v>Support</v>
      </c>
      <c r="BD88" s="32">
        <f t="shared" si="50"/>
        <v>2</v>
      </c>
      <c r="BE88">
        <f>step3_validation[[#This Row],[AI_OUT1]]</f>
        <v>6</v>
      </c>
      <c r="BF88" t="str">
        <f t="shared" si="51"/>
        <v>Neutral</v>
      </c>
      <c r="BG88">
        <f>survey_responses[[#This Row],[Sau khi xem xét các quyền lợi và nghĩa vụ, bạn có ủng hộ và tuân thủ chính sách mới hiện nay? - HUMAN-OUT1]]</f>
        <v>10</v>
      </c>
      <c r="BH88" t="str">
        <f t="shared" si="52"/>
        <v>Support</v>
      </c>
      <c r="BI88" s="32">
        <f t="shared" si="53"/>
        <v>4</v>
      </c>
    </row>
    <row r="89" spans="1:61" x14ac:dyDescent="0.45">
      <c r="A89" s="30">
        <f>step3_validation[[#This Row],[Persona_ID]]</f>
        <v>88</v>
      </c>
      <c r="B89" s="31">
        <f>step3_validation[[#This Row],[Used_Seed]]</f>
        <v>2078</v>
      </c>
      <c r="C89" t="str">
        <f>step3_validation[[#This Row],[Gender]]</f>
        <v>Nữ</v>
      </c>
      <c r="D89" t="str">
        <f>survey_responses[[#This Row],[Giới tính của bạn:]]</f>
        <v>Nữ</v>
      </c>
      <c r="E89" t="str">
        <f>step3_validation[[#This Row],[Age_Group]]</f>
        <v>40 - 49</v>
      </c>
      <c r="F89" t="str">
        <f>survey_responses[[#This Row],[Độ tuổi của bạn:]]</f>
        <v>40 - 49</v>
      </c>
      <c r="G89" t="str">
        <f>step3_validation[[#This Row],[Region]]</f>
        <v>Thành thị</v>
      </c>
      <c r="H89" t="str">
        <f>survey_responses[[#This Row],[Khu vực bạn đang sinh sống:]]</f>
        <v>Thành thị</v>
      </c>
      <c r="I89" t="str">
        <f>step3_validation[[#This Row],[Education]]</f>
        <v>Trung học phổ thông</v>
      </c>
      <c r="J89" t="str">
        <f>survey_responses[[#This Row],[Trình độ học vấn cao nhất:]]</f>
        <v>Trung học phổ thông</v>
      </c>
      <c r="K89" t="str">
        <f>step3_validation[[#This Row],[Employment]]</f>
        <v>Chính thức</v>
      </c>
      <c r="L89" t="str">
        <f>survey_responses[[#This Row],[Tình trạng việc làm chính:]]</f>
        <v>Khu vực chính thức (Có Hợp đồng lao động, đóng BHXH)</v>
      </c>
      <c r="M89">
        <f>step3_validation[[#This Row],[Income_Mil]]</f>
        <v>12</v>
      </c>
      <c r="N89" t="str">
        <f>survey_responses[[#This Row],[Thu nhập bình quân tháng theo Hợp đồng lao động của bạn là bao nhiêu? (Vui lòng điền tổng thu nhập trước khi khấu trừ các loại Bảo hiểm (BHXH, BHYT, BHTN) và Thuế TNCN)]]</f>
        <v>Dưới 12 triệu VNĐ</v>
      </c>
      <c r="O89">
        <f>step3_validation[[#This Row],[Dependents]]</f>
        <v>2</v>
      </c>
      <c r="P89" t="str">
        <f>survey_responses[[#This Row],[Số người phụ thuộc (con nhỏ, cha mẹ già...) đủ điều kiện giảm trừ gia cảnh:]]</f>
        <v>2 người</v>
      </c>
      <c r="Q89">
        <f>step3_validation[[#This Row],[AI_ENF1]]</f>
        <v>7</v>
      </c>
      <c r="R89" t="str">
        <f t="shared" si="27"/>
        <v>Neutral</v>
      </c>
      <c r="S89">
        <f>survey_responses[[#This Row],[Tôi tin rằng với các quy định quản lý thuế hiện nay, hành vi gian lận hoặc trốn thuế sẽ dễ dàng bị phát hiện và xử lý nghiêm. - HUMAN-ENF1]]</f>
        <v>10</v>
      </c>
      <c r="T89" t="str">
        <f t="shared" si="28"/>
        <v>Support</v>
      </c>
      <c r="U89" s="32">
        <f t="shared" si="29"/>
        <v>3</v>
      </c>
      <c r="V89">
        <f>step3_validation[[#This Row],[AI_ENF2]]</f>
        <v>6</v>
      </c>
      <c r="W89" t="str">
        <f t="shared" si="30"/>
        <v>Neutral</v>
      </c>
      <c r="X89">
        <f>survey_responses[[#This Row],[Tôi tin rằng Nhà nước, cơ quan thuế có đủ khả năng và công nghệ để phát hiện, xử lý nghiêm các hành vi trốn thuế. - HUMAN-ENF2]]</f>
        <v>10</v>
      </c>
      <c r="Y89" t="str">
        <f t="shared" si="31"/>
        <v>Support</v>
      </c>
      <c r="Z89" s="32">
        <f t="shared" si="32"/>
        <v>4</v>
      </c>
      <c r="AA89">
        <f>step3_validation[[#This Row],[AI_FAC1]]</f>
        <v>8</v>
      </c>
      <c r="AB89" t="str">
        <f t="shared" si="33"/>
        <v>Support</v>
      </c>
      <c r="AC89">
        <f>survey_responses[[#This Row],[Các thủ tục khai báo thuế VÀ/HOẶC quy trình làm việc với cơ quan thuế đơn giản, tiện lợi, nhanh chóng hơn so với trước đây. - HUMAN-FAC1]]</f>
        <v>10</v>
      </c>
      <c r="AD89" t="str">
        <f t="shared" si="34"/>
        <v>Support</v>
      </c>
      <c r="AE89" s="32">
        <f t="shared" si="35"/>
        <v>2</v>
      </c>
      <c r="AF89">
        <f>step3_validation[[#This Row],[AI_FAC2]]</f>
        <v>9</v>
      </c>
      <c r="AG89" t="str">
        <f t="shared" si="36"/>
        <v>Support</v>
      </c>
      <c r="AH89">
        <f>survey_responses[[#This Row],[So với trước đây, tôi thấy cách tính thuế và các bậc thuế trong phương án mới đơn giản, dễ hiểu và dễ thực hiện hơn. - HUMAN-FAC2]]</f>
        <v>10</v>
      </c>
      <c r="AI89" t="str">
        <f t="shared" si="37"/>
        <v>Support</v>
      </c>
      <c r="AJ89" s="32">
        <f t="shared" si="38"/>
        <v>1</v>
      </c>
      <c r="AK89">
        <f>step3_validation[[#This Row],[AI_TRU1]]</f>
        <v>7</v>
      </c>
      <c r="AL89" t="str">
        <f t="shared" si="39"/>
        <v>Neutral</v>
      </c>
      <c r="AM89">
        <f>survey_responses[[#This Row],[Tôi tin rằng Nhà nước, cơ quan thuế sẽ thực thi chính sách mới một cách khách quan, công tâm và đối xử bình đẳng với mọi người nộp thuế.  - HUMAN-TRU1]]</f>
        <v>10</v>
      </c>
      <c r="AN89" t="str">
        <f t="shared" si="40"/>
        <v>Support</v>
      </c>
      <c r="AO89" s="32">
        <f t="shared" si="41"/>
        <v>3</v>
      </c>
      <c r="AP89">
        <f>step3_validation[[#This Row],[AI_TRU2]]</f>
        <v>8</v>
      </c>
      <c r="AQ89" t="str">
        <f t="shared" si="42"/>
        <v>Support</v>
      </c>
      <c r="AR89">
        <f>survey_responses[[#This Row],[Tôi thấy mức thuế tôi phải đóng theo phương án mới là công bằng (người thu nhập như tôi đóng mức này là hợp lý). - HUMAN-TRU2]]</f>
        <v>10</v>
      </c>
      <c r="AS89" t="str">
        <f t="shared" si="43"/>
        <v>Support</v>
      </c>
      <c r="AT89" s="32">
        <f t="shared" si="44"/>
        <v>2</v>
      </c>
      <c r="AU89">
        <f>step3_validation[[#This Row],[AI_TRU3]]</f>
        <v>6</v>
      </c>
      <c r="AV89" t="str">
        <f t="shared" si="45"/>
        <v>Neutral</v>
      </c>
      <c r="AW89">
        <f>survey_responses[[#This Row],[Tôi tin tưởng số tiền thuế tôi đóng sẽ được Nhà nước sử dụng hiệu quả để cải thiện dịch vụ công (y tế, đường xá...). - HUMAN-TRU3]]</f>
        <v>10</v>
      </c>
      <c r="AX89" t="str">
        <f t="shared" si="46"/>
        <v>Support</v>
      </c>
      <c r="AY89" s="32">
        <f t="shared" si="47"/>
        <v>4</v>
      </c>
      <c r="AZ89">
        <f>step3_validation[[#This Row],[AI_TRU4]]</f>
        <v>7</v>
      </c>
      <c r="BA89" t="str">
        <f t="shared" si="48"/>
        <v>Neutral</v>
      </c>
      <c r="BB89">
        <f>survey_responses[[#This Row],[Tôi thấy Nhà nước đã giải thích rõ ràng, minh bạch về lý do và mục tiêu của việc sửa đổi thuế lần này. - HUMAN-TRU4]]</f>
        <v>10</v>
      </c>
      <c r="BC89" t="str">
        <f t="shared" si="49"/>
        <v>Support</v>
      </c>
      <c r="BD89" s="32">
        <f t="shared" si="50"/>
        <v>3</v>
      </c>
      <c r="BE89">
        <f>step3_validation[[#This Row],[AI_OUT1]]</f>
        <v>9</v>
      </c>
      <c r="BF89" t="str">
        <f t="shared" si="51"/>
        <v>Support</v>
      </c>
      <c r="BG89">
        <f>survey_responses[[#This Row],[Sau khi xem xét các quyền lợi và nghĩa vụ, bạn có ủng hộ và tuân thủ chính sách mới hiện nay? - HUMAN-OUT1]]</f>
        <v>10</v>
      </c>
      <c r="BH89" t="str">
        <f t="shared" si="52"/>
        <v>Support</v>
      </c>
      <c r="BI89" s="32">
        <f t="shared" si="53"/>
        <v>1</v>
      </c>
    </row>
    <row r="90" spans="1:61" x14ac:dyDescent="0.45">
      <c r="A90" s="30">
        <f>step3_validation[[#This Row],[Persona_ID]]</f>
        <v>89</v>
      </c>
      <c r="B90" s="31">
        <f>step3_validation[[#This Row],[Used_Seed]]</f>
        <v>2079</v>
      </c>
      <c r="C90" t="str">
        <f>step3_validation[[#This Row],[Gender]]</f>
        <v>Nữ</v>
      </c>
      <c r="D90" t="str">
        <f>survey_responses[[#This Row],[Giới tính của bạn:]]</f>
        <v>Nữ</v>
      </c>
      <c r="E90" t="str">
        <f>step3_validation[[#This Row],[Age_Group]]</f>
        <v>30 - 39</v>
      </c>
      <c r="F90" t="str">
        <f>survey_responses[[#This Row],[Độ tuổi của bạn:]]</f>
        <v>30 - 39</v>
      </c>
      <c r="G90" t="str">
        <f>step3_validation[[#This Row],[Region]]</f>
        <v>Thành thị</v>
      </c>
      <c r="H90" t="str">
        <f>survey_responses[[#This Row],[Khu vực bạn đang sinh sống:]]</f>
        <v>Thành thị</v>
      </c>
      <c r="I90" t="str">
        <f>step3_validation[[#This Row],[Education]]</f>
        <v>Cao đẳng</v>
      </c>
      <c r="J90" t="str">
        <f>survey_responses[[#This Row],[Trình độ học vấn cao nhất:]]</f>
        <v>Cao đẳng</v>
      </c>
      <c r="K90" t="str">
        <f>step3_validation[[#This Row],[Employment]]</f>
        <v>Chính thức</v>
      </c>
      <c r="L90" t="str">
        <f>survey_responses[[#This Row],[Tình trạng việc làm chính:]]</f>
        <v>Khu vực chính thức (Có Hợp đồng lao động, đóng BHXH)</v>
      </c>
      <c r="M90">
        <f>step3_validation[[#This Row],[Income_Mil]]</f>
        <v>12</v>
      </c>
      <c r="N90" t="str">
        <f>survey_responses[[#This Row],[Thu nhập bình quân tháng theo Hợp đồng lao động của bạn là bao nhiêu? (Vui lòng điền tổng thu nhập trước khi khấu trừ các loại Bảo hiểm (BHXH, BHYT, BHTN) và Thuế TNCN)]]</f>
        <v>Dưới 12 triệu VNĐ</v>
      </c>
      <c r="O90">
        <f>step3_validation[[#This Row],[Dependents]]</f>
        <v>1</v>
      </c>
      <c r="P90" t="str">
        <f>survey_responses[[#This Row],[Số người phụ thuộc (con nhỏ, cha mẹ già...) đủ điều kiện giảm trừ gia cảnh:]]</f>
        <v>1 người</v>
      </c>
      <c r="Q90">
        <f>step3_validation[[#This Row],[AI_ENF1]]</f>
        <v>7</v>
      </c>
      <c r="R90" t="str">
        <f t="shared" si="27"/>
        <v>Neutral</v>
      </c>
      <c r="S90">
        <f>survey_responses[[#This Row],[Tôi tin rằng với các quy định quản lý thuế hiện nay, hành vi gian lận hoặc trốn thuế sẽ dễ dàng bị phát hiện và xử lý nghiêm. - HUMAN-ENF1]]</f>
        <v>10</v>
      </c>
      <c r="T90" t="str">
        <f t="shared" si="28"/>
        <v>Support</v>
      </c>
      <c r="U90" s="32">
        <f t="shared" si="29"/>
        <v>3</v>
      </c>
      <c r="V90">
        <f>step3_validation[[#This Row],[AI_ENF2]]</f>
        <v>8</v>
      </c>
      <c r="W90" t="str">
        <f t="shared" si="30"/>
        <v>Support</v>
      </c>
      <c r="X90">
        <f>survey_responses[[#This Row],[Tôi tin rằng Nhà nước, cơ quan thuế có đủ khả năng và công nghệ để phát hiện, xử lý nghiêm các hành vi trốn thuế. - HUMAN-ENF2]]</f>
        <v>9</v>
      </c>
      <c r="Y90" t="str">
        <f t="shared" si="31"/>
        <v>Support</v>
      </c>
      <c r="Z90" s="32">
        <f t="shared" si="32"/>
        <v>1</v>
      </c>
      <c r="AA90">
        <f>step3_validation[[#This Row],[AI_FAC1]]</f>
        <v>9</v>
      </c>
      <c r="AB90" t="str">
        <f t="shared" si="33"/>
        <v>Support</v>
      </c>
      <c r="AC90">
        <f>survey_responses[[#This Row],[Các thủ tục khai báo thuế VÀ/HOẶC quy trình làm việc với cơ quan thuế đơn giản, tiện lợi, nhanh chóng hơn so với trước đây. - HUMAN-FAC1]]</f>
        <v>9</v>
      </c>
      <c r="AD90" t="str">
        <f t="shared" si="34"/>
        <v>Support</v>
      </c>
      <c r="AE90" s="32">
        <f t="shared" si="35"/>
        <v>0</v>
      </c>
      <c r="AF90">
        <f>step3_validation[[#This Row],[AI_FAC2]]</f>
        <v>8</v>
      </c>
      <c r="AG90" t="str">
        <f t="shared" si="36"/>
        <v>Support</v>
      </c>
      <c r="AH90">
        <f>survey_responses[[#This Row],[So với trước đây, tôi thấy cách tính thuế và các bậc thuế trong phương án mới đơn giản, dễ hiểu và dễ thực hiện hơn. - HUMAN-FAC2]]</f>
        <v>9</v>
      </c>
      <c r="AI90" t="str">
        <f t="shared" si="37"/>
        <v>Support</v>
      </c>
      <c r="AJ90" s="32">
        <f t="shared" si="38"/>
        <v>1</v>
      </c>
      <c r="AK90">
        <f>step3_validation[[#This Row],[AI_TRU1]]</f>
        <v>6</v>
      </c>
      <c r="AL90" t="str">
        <f t="shared" si="39"/>
        <v>Neutral</v>
      </c>
      <c r="AM90">
        <f>survey_responses[[#This Row],[Tôi tin rằng Nhà nước, cơ quan thuế sẽ thực thi chính sách mới một cách khách quan, công tâm và đối xử bình đẳng với mọi người nộp thuế.  - HUMAN-TRU1]]</f>
        <v>10</v>
      </c>
      <c r="AN90" t="str">
        <f t="shared" si="40"/>
        <v>Support</v>
      </c>
      <c r="AO90" s="32">
        <f t="shared" si="41"/>
        <v>4</v>
      </c>
      <c r="AP90">
        <f>step3_validation[[#This Row],[AI_TRU2]]</f>
        <v>7</v>
      </c>
      <c r="AQ90" t="str">
        <f t="shared" si="42"/>
        <v>Neutral</v>
      </c>
      <c r="AR90">
        <f>survey_responses[[#This Row],[Tôi thấy mức thuế tôi phải đóng theo phương án mới là công bằng (người thu nhập như tôi đóng mức này là hợp lý). - HUMAN-TRU2]]</f>
        <v>9</v>
      </c>
      <c r="AS90" t="str">
        <f t="shared" si="43"/>
        <v>Support</v>
      </c>
      <c r="AT90" s="32">
        <f t="shared" si="44"/>
        <v>2</v>
      </c>
      <c r="AU90">
        <f>step3_validation[[#This Row],[AI_TRU3]]</f>
        <v>6</v>
      </c>
      <c r="AV90" t="str">
        <f t="shared" si="45"/>
        <v>Neutral</v>
      </c>
      <c r="AW90">
        <f>survey_responses[[#This Row],[Tôi tin tưởng số tiền thuế tôi đóng sẽ được Nhà nước sử dụng hiệu quả để cải thiện dịch vụ công (y tế, đường xá...). - HUMAN-TRU3]]</f>
        <v>9</v>
      </c>
      <c r="AX90" t="str">
        <f t="shared" si="46"/>
        <v>Support</v>
      </c>
      <c r="AY90" s="32">
        <f t="shared" si="47"/>
        <v>3</v>
      </c>
      <c r="AZ90">
        <f>step3_validation[[#This Row],[AI_TRU4]]</f>
        <v>5</v>
      </c>
      <c r="BA90" t="str">
        <f t="shared" si="48"/>
        <v>Neutral</v>
      </c>
      <c r="BB90">
        <f>survey_responses[[#This Row],[Tôi thấy Nhà nước đã giải thích rõ ràng, minh bạch về lý do và mục tiêu của việc sửa đổi thuế lần này. - HUMAN-TRU4]]</f>
        <v>8</v>
      </c>
      <c r="BC90" t="str">
        <f t="shared" si="49"/>
        <v>Support</v>
      </c>
      <c r="BD90" s="32">
        <f t="shared" si="50"/>
        <v>3</v>
      </c>
      <c r="BE90">
        <f>step3_validation[[#This Row],[AI_OUT1]]</f>
        <v>7</v>
      </c>
      <c r="BF90" t="str">
        <f t="shared" si="51"/>
        <v>Neutral</v>
      </c>
      <c r="BG90">
        <f>survey_responses[[#This Row],[Sau khi xem xét các quyền lợi và nghĩa vụ, bạn có ủng hộ và tuân thủ chính sách mới hiện nay? - HUMAN-OUT1]]</f>
        <v>9</v>
      </c>
      <c r="BH90" t="str">
        <f t="shared" si="52"/>
        <v>Support</v>
      </c>
      <c r="BI90" s="32">
        <f t="shared" si="53"/>
        <v>2</v>
      </c>
    </row>
    <row r="91" spans="1:61" x14ac:dyDescent="0.45">
      <c r="A91" s="30">
        <f>step3_validation[[#This Row],[Persona_ID]]</f>
        <v>90</v>
      </c>
      <c r="B91" s="31">
        <f>step3_validation[[#This Row],[Used_Seed]]</f>
        <v>2080</v>
      </c>
      <c r="C91" t="str">
        <f>step3_validation[[#This Row],[Gender]]</f>
        <v>Nữ</v>
      </c>
      <c r="D91" t="str">
        <f>survey_responses[[#This Row],[Giới tính của bạn:]]</f>
        <v>Nữ</v>
      </c>
      <c r="E91" t="str">
        <f>step3_validation[[#This Row],[Age_Group]]</f>
        <v>30 - 39</v>
      </c>
      <c r="F91" t="str">
        <f>survey_responses[[#This Row],[Độ tuổi của bạn:]]</f>
        <v>30 - 39</v>
      </c>
      <c r="G91" t="str">
        <f>step3_validation[[#This Row],[Region]]</f>
        <v>Nông thôn</v>
      </c>
      <c r="H91" t="str">
        <f>survey_responses[[#This Row],[Khu vực bạn đang sinh sống:]]</f>
        <v>Nông thôn</v>
      </c>
      <c r="I91" t="str">
        <f>step3_validation[[#This Row],[Education]]</f>
        <v>Đại học</v>
      </c>
      <c r="J91" t="str">
        <f>survey_responses[[#This Row],[Trình độ học vấn cao nhất:]]</f>
        <v>Đại học</v>
      </c>
      <c r="K91" t="str">
        <f>step3_validation[[#This Row],[Employment]]</f>
        <v>Chính thức</v>
      </c>
      <c r="L91" t="str">
        <f>survey_responses[[#This Row],[Tình trạng việc làm chính:]]</f>
        <v>Khu vực chính thức (Có Hợp đồng lao động, đóng BHXH)</v>
      </c>
      <c r="M91">
        <f>step3_validation[[#This Row],[Income_Mil]]</f>
        <v>12</v>
      </c>
      <c r="N91" t="str">
        <f>survey_responses[[#This Row],[Thu nhập bình quân tháng theo Hợp đồng lao động của bạn là bao nhiêu? (Vui lòng điền tổng thu nhập trước khi khấu trừ các loại Bảo hiểm (BHXH, BHYT, BHTN) và Thuế TNCN)]]</f>
        <v>Dưới 12 triệu VNĐ</v>
      </c>
      <c r="O91">
        <f>step3_validation[[#This Row],[Dependents]]</f>
        <v>4</v>
      </c>
      <c r="P91" t="str">
        <f>survey_responses[[#This Row],[Số người phụ thuộc (con nhỏ, cha mẹ già...) đủ điều kiện giảm trừ gia cảnh:]]</f>
        <v>4 người trở lên</v>
      </c>
      <c r="Q91">
        <f>step3_validation[[#This Row],[AI_ENF1]]</f>
        <v>8</v>
      </c>
      <c r="R91" t="str">
        <f t="shared" si="27"/>
        <v>Support</v>
      </c>
      <c r="S91">
        <f>survey_responses[[#This Row],[Tôi tin rằng với các quy định quản lý thuế hiện nay, hành vi gian lận hoặc trốn thuế sẽ dễ dàng bị phát hiện và xử lý nghiêm. - HUMAN-ENF1]]</f>
        <v>6</v>
      </c>
      <c r="T91" t="str">
        <f t="shared" si="28"/>
        <v>Neutral</v>
      </c>
      <c r="U91" s="32">
        <f t="shared" si="29"/>
        <v>2</v>
      </c>
      <c r="V91">
        <f>step3_validation[[#This Row],[AI_ENF2]]</f>
        <v>7</v>
      </c>
      <c r="W91" t="str">
        <f t="shared" si="30"/>
        <v>Neutral</v>
      </c>
      <c r="X91">
        <f>survey_responses[[#This Row],[Tôi tin rằng Nhà nước, cơ quan thuế có đủ khả năng và công nghệ để phát hiện, xử lý nghiêm các hành vi trốn thuế. - HUMAN-ENF2]]</f>
        <v>10</v>
      </c>
      <c r="Y91" t="str">
        <f t="shared" si="31"/>
        <v>Support</v>
      </c>
      <c r="Z91" s="32">
        <f t="shared" si="32"/>
        <v>3</v>
      </c>
      <c r="AA91">
        <f>step3_validation[[#This Row],[AI_FAC1]]</f>
        <v>9</v>
      </c>
      <c r="AB91" t="str">
        <f t="shared" si="33"/>
        <v>Support</v>
      </c>
      <c r="AC91">
        <f>survey_responses[[#This Row],[Các thủ tục khai báo thuế VÀ/HOẶC quy trình làm việc với cơ quan thuế đơn giản, tiện lợi, nhanh chóng hơn so với trước đây. - HUMAN-FAC1]]</f>
        <v>8</v>
      </c>
      <c r="AD91" t="str">
        <f t="shared" si="34"/>
        <v>Support</v>
      </c>
      <c r="AE91" s="32">
        <f t="shared" si="35"/>
        <v>1</v>
      </c>
      <c r="AF91">
        <f>step3_validation[[#This Row],[AI_FAC2]]</f>
        <v>7</v>
      </c>
      <c r="AG91" t="str">
        <f t="shared" si="36"/>
        <v>Neutral</v>
      </c>
      <c r="AH91">
        <f>survey_responses[[#This Row],[So với trước đây, tôi thấy cách tính thuế và các bậc thuế trong phương án mới đơn giản, dễ hiểu và dễ thực hiện hơn. - HUMAN-FAC2]]</f>
        <v>9</v>
      </c>
      <c r="AI91" t="str">
        <f t="shared" si="37"/>
        <v>Support</v>
      </c>
      <c r="AJ91" s="32">
        <f t="shared" si="38"/>
        <v>2</v>
      </c>
      <c r="AK91">
        <f>step3_validation[[#This Row],[AI_TRU1]]</f>
        <v>8</v>
      </c>
      <c r="AL91" t="str">
        <f t="shared" si="39"/>
        <v>Support</v>
      </c>
      <c r="AM91">
        <f>survey_responses[[#This Row],[Tôi tin rằng Nhà nước, cơ quan thuế sẽ thực thi chính sách mới một cách khách quan, công tâm và đối xử bình đẳng với mọi người nộp thuế.  - HUMAN-TRU1]]</f>
        <v>9</v>
      </c>
      <c r="AN91" t="str">
        <f t="shared" si="40"/>
        <v>Support</v>
      </c>
      <c r="AO91" s="32">
        <f t="shared" si="41"/>
        <v>1</v>
      </c>
      <c r="AP91">
        <f>step3_validation[[#This Row],[AI_TRU2]]</f>
        <v>6</v>
      </c>
      <c r="AQ91" t="str">
        <f t="shared" si="42"/>
        <v>Neutral</v>
      </c>
      <c r="AR91">
        <f>survey_responses[[#This Row],[Tôi thấy mức thuế tôi phải đóng theo phương án mới là công bằng (người thu nhập như tôi đóng mức này là hợp lý). - HUMAN-TRU2]]</f>
        <v>9</v>
      </c>
      <c r="AS91" t="str">
        <f t="shared" si="43"/>
        <v>Support</v>
      </c>
      <c r="AT91" s="32">
        <f t="shared" si="44"/>
        <v>3</v>
      </c>
      <c r="AU91">
        <f>step3_validation[[#This Row],[AI_TRU3]]</f>
        <v>7</v>
      </c>
      <c r="AV91" t="str">
        <f t="shared" si="45"/>
        <v>Neutral</v>
      </c>
      <c r="AW91">
        <f>survey_responses[[#This Row],[Tôi tin tưởng số tiền thuế tôi đóng sẽ được Nhà nước sử dụng hiệu quả để cải thiện dịch vụ công (y tế, đường xá...). - HUMAN-TRU3]]</f>
        <v>8</v>
      </c>
      <c r="AX91" t="str">
        <f t="shared" si="46"/>
        <v>Support</v>
      </c>
      <c r="AY91" s="32">
        <f t="shared" si="47"/>
        <v>1</v>
      </c>
      <c r="AZ91">
        <f>step3_validation[[#This Row],[AI_TRU4]]</f>
        <v>5</v>
      </c>
      <c r="BA91" t="str">
        <f t="shared" si="48"/>
        <v>Neutral</v>
      </c>
      <c r="BB91">
        <f>survey_responses[[#This Row],[Tôi thấy Nhà nước đã giải thích rõ ràng, minh bạch về lý do và mục tiêu của việc sửa đổi thuế lần này. - HUMAN-TRU4]]</f>
        <v>8</v>
      </c>
      <c r="BC91" t="str">
        <f t="shared" si="49"/>
        <v>Support</v>
      </c>
      <c r="BD91" s="32">
        <f t="shared" si="50"/>
        <v>3</v>
      </c>
      <c r="BE91">
        <f>step3_validation[[#This Row],[AI_OUT1]]</f>
        <v>7</v>
      </c>
      <c r="BF91" t="str">
        <f t="shared" si="51"/>
        <v>Neutral</v>
      </c>
      <c r="BG91">
        <f>survey_responses[[#This Row],[Sau khi xem xét các quyền lợi và nghĩa vụ, bạn có ủng hộ và tuân thủ chính sách mới hiện nay? - HUMAN-OUT1]]</f>
        <v>9</v>
      </c>
      <c r="BH91" t="str">
        <f t="shared" si="52"/>
        <v>Support</v>
      </c>
      <c r="BI91" s="32">
        <f t="shared" si="53"/>
        <v>2</v>
      </c>
    </row>
    <row r="92" spans="1:61" x14ac:dyDescent="0.45">
      <c r="A92" s="30">
        <f>step3_validation[[#This Row],[Persona_ID]]</f>
        <v>91</v>
      </c>
      <c r="B92" s="31">
        <f>step3_validation[[#This Row],[Used_Seed]]</f>
        <v>2081</v>
      </c>
      <c r="C92" t="str">
        <f>step3_validation[[#This Row],[Gender]]</f>
        <v>Nữ</v>
      </c>
      <c r="D92" t="str">
        <f>survey_responses[[#This Row],[Giới tính của bạn:]]</f>
        <v>Nữ</v>
      </c>
      <c r="E92" t="str">
        <f>step3_validation[[#This Row],[Age_Group]]</f>
        <v>30 - 39</v>
      </c>
      <c r="F92" t="str">
        <f>survey_responses[[#This Row],[Độ tuổi của bạn:]]</f>
        <v>30 - 39</v>
      </c>
      <c r="G92" t="str">
        <f>step3_validation[[#This Row],[Region]]</f>
        <v>Thành thị</v>
      </c>
      <c r="H92" t="str">
        <f>survey_responses[[#This Row],[Khu vực bạn đang sinh sống:]]</f>
        <v>Thành thị</v>
      </c>
      <c r="I92" t="str">
        <f>step3_validation[[#This Row],[Education]]</f>
        <v>Đại học</v>
      </c>
      <c r="J92" t="str">
        <f>survey_responses[[#This Row],[Trình độ học vấn cao nhất:]]</f>
        <v>Đại học</v>
      </c>
      <c r="K92" t="str">
        <f>step3_validation[[#This Row],[Employment]]</f>
        <v>Chính thức</v>
      </c>
      <c r="L92" t="str">
        <f>survey_responses[[#This Row],[Tình trạng việc làm chính:]]</f>
        <v>Khu vực chính thức (Có Hợp đồng lao động, đóng BHXH)</v>
      </c>
      <c r="M92">
        <f>step3_validation[[#This Row],[Income_Mil]]</f>
        <v>12</v>
      </c>
      <c r="N92" t="str">
        <f>survey_responses[[#This Row],[Thu nhập bình quân tháng theo Hợp đồng lao động của bạn là bao nhiêu? (Vui lòng điền tổng thu nhập trước khi khấu trừ các loại Bảo hiểm (BHXH, BHYT, BHTN) và Thuế TNCN)]]</f>
        <v>Dưới 12 triệu VNĐ</v>
      </c>
      <c r="O92">
        <f>step3_validation[[#This Row],[Dependents]]</f>
        <v>2</v>
      </c>
      <c r="P92" t="str">
        <f>survey_responses[[#This Row],[Số người phụ thuộc (con nhỏ, cha mẹ già...) đủ điều kiện giảm trừ gia cảnh:]]</f>
        <v>2 người</v>
      </c>
      <c r="Q92">
        <f>step3_validation[[#This Row],[AI_ENF1]]</f>
        <v>7</v>
      </c>
      <c r="R92" t="str">
        <f t="shared" si="27"/>
        <v>Neutral</v>
      </c>
      <c r="S92">
        <f>survey_responses[[#This Row],[Tôi tin rằng với các quy định quản lý thuế hiện nay, hành vi gian lận hoặc trốn thuế sẽ dễ dàng bị phát hiện và xử lý nghiêm. - HUMAN-ENF1]]</f>
        <v>10</v>
      </c>
      <c r="T92" t="str">
        <f t="shared" si="28"/>
        <v>Support</v>
      </c>
      <c r="U92" s="32">
        <f t="shared" si="29"/>
        <v>3</v>
      </c>
      <c r="V92">
        <f>step3_validation[[#This Row],[AI_ENF2]]</f>
        <v>8</v>
      </c>
      <c r="W92" t="str">
        <f t="shared" si="30"/>
        <v>Support</v>
      </c>
      <c r="X92">
        <f>survey_responses[[#This Row],[Tôi tin rằng Nhà nước, cơ quan thuế có đủ khả năng và công nghệ để phát hiện, xử lý nghiêm các hành vi trốn thuế. - HUMAN-ENF2]]</f>
        <v>9</v>
      </c>
      <c r="Y92" t="str">
        <f t="shared" si="31"/>
        <v>Support</v>
      </c>
      <c r="Z92" s="32">
        <f t="shared" si="32"/>
        <v>1</v>
      </c>
      <c r="AA92">
        <f>step3_validation[[#This Row],[AI_FAC1]]</f>
        <v>9</v>
      </c>
      <c r="AB92" t="str">
        <f t="shared" si="33"/>
        <v>Support</v>
      </c>
      <c r="AC92">
        <f>survey_responses[[#This Row],[Các thủ tục khai báo thuế VÀ/HOẶC quy trình làm việc với cơ quan thuế đơn giản, tiện lợi, nhanh chóng hơn so với trước đây. - HUMAN-FAC1]]</f>
        <v>9</v>
      </c>
      <c r="AD92" t="str">
        <f t="shared" si="34"/>
        <v>Support</v>
      </c>
      <c r="AE92" s="32">
        <f t="shared" si="35"/>
        <v>0</v>
      </c>
      <c r="AF92">
        <f>step3_validation[[#This Row],[AI_FAC2]]</f>
        <v>8</v>
      </c>
      <c r="AG92" t="str">
        <f t="shared" si="36"/>
        <v>Support</v>
      </c>
      <c r="AH92">
        <f>survey_responses[[#This Row],[So với trước đây, tôi thấy cách tính thuế và các bậc thuế trong phương án mới đơn giản, dễ hiểu và dễ thực hiện hơn. - HUMAN-FAC2]]</f>
        <v>9</v>
      </c>
      <c r="AI92" t="str">
        <f t="shared" si="37"/>
        <v>Support</v>
      </c>
      <c r="AJ92" s="32">
        <f t="shared" si="38"/>
        <v>1</v>
      </c>
      <c r="AK92">
        <f>step3_validation[[#This Row],[AI_TRU1]]</f>
        <v>7</v>
      </c>
      <c r="AL92" t="str">
        <f t="shared" si="39"/>
        <v>Neutral</v>
      </c>
      <c r="AM92">
        <f>survey_responses[[#This Row],[Tôi tin rằng Nhà nước, cơ quan thuế sẽ thực thi chính sách mới một cách khách quan, công tâm và đối xử bình đẳng với mọi người nộp thuế.  - HUMAN-TRU1]]</f>
        <v>10</v>
      </c>
      <c r="AN92" t="str">
        <f t="shared" si="40"/>
        <v>Support</v>
      </c>
      <c r="AO92" s="32">
        <f t="shared" si="41"/>
        <v>3</v>
      </c>
      <c r="AP92">
        <f>step3_validation[[#This Row],[AI_TRU2]]</f>
        <v>6</v>
      </c>
      <c r="AQ92" t="str">
        <f t="shared" si="42"/>
        <v>Neutral</v>
      </c>
      <c r="AR92">
        <f>survey_responses[[#This Row],[Tôi thấy mức thuế tôi phải đóng theo phương án mới là công bằng (người thu nhập như tôi đóng mức này là hợp lý). - HUMAN-TRU2]]</f>
        <v>9</v>
      </c>
      <c r="AS92" t="str">
        <f t="shared" si="43"/>
        <v>Support</v>
      </c>
      <c r="AT92" s="32">
        <f t="shared" si="44"/>
        <v>3</v>
      </c>
      <c r="AU92">
        <f>step3_validation[[#This Row],[AI_TRU3]]</f>
        <v>7</v>
      </c>
      <c r="AV92" t="str">
        <f t="shared" si="45"/>
        <v>Neutral</v>
      </c>
      <c r="AW92">
        <f>survey_responses[[#This Row],[Tôi tin tưởng số tiền thuế tôi đóng sẽ được Nhà nước sử dụng hiệu quả để cải thiện dịch vụ công (y tế, đường xá...). - HUMAN-TRU3]]</f>
        <v>8</v>
      </c>
      <c r="AX92" t="str">
        <f t="shared" si="46"/>
        <v>Support</v>
      </c>
      <c r="AY92" s="32">
        <f t="shared" si="47"/>
        <v>1</v>
      </c>
      <c r="AZ92">
        <f>step3_validation[[#This Row],[AI_TRU4]]</f>
        <v>5</v>
      </c>
      <c r="BA92" t="str">
        <f t="shared" si="48"/>
        <v>Neutral</v>
      </c>
      <c r="BB92">
        <f>survey_responses[[#This Row],[Tôi thấy Nhà nước đã giải thích rõ ràng, minh bạch về lý do và mục tiêu của việc sửa đổi thuế lần này. - HUMAN-TRU4]]</f>
        <v>8</v>
      </c>
      <c r="BC92" t="str">
        <f t="shared" si="49"/>
        <v>Support</v>
      </c>
      <c r="BD92" s="32">
        <f t="shared" si="50"/>
        <v>3</v>
      </c>
      <c r="BE92">
        <f>step3_validation[[#This Row],[AI_OUT1]]</f>
        <v>6</v>
      </c>
      <c r="BF92" t="str">
        <f t="shared" si="51"/>
        <v>Neutral</v>
      </c>
      <c r="BG92">
        <f>survey_responses[[#This Row],[Sau khi xem xét các quyền lợi và nghĩa vụ, bạn có ủng hộ và tuân thủ chính sách mới hiện nay? - HUMAN-OUT1]]</f>
        <v>10</v>
      </c>
      <c r="BH92" t="str">
        <f t="shared" si="52"/>
        <v>Support</v>
      </c>
      <c r="BI92" s="32">
        <f t="shared" si="53"/>
        <v>4</v>
      </c>
    </row>
    <row r="93" spans="1:61" x14ac:dyDescent="0.45">
      <c r="A93" s="30">
        <f>step3_validation[[#This Row],[Persona_ID]]</f>
        <v>92</v>
      </c>
      <c r="B93" s="31">
        <f>step3_validation[[#This Row],[Used_Seed]]</f>
        <v>2082</v>
      </c>
      <c r="C93" t="str">
        <f>step3_validation[[#This Row],[Gender]]</f>
        <v>Nam</v>
      </c>
      <c r="D93" t="str">
        <f>survey_responses[[#This Row],[Giới tính của bạn:]]</f>
        <v>Nam</v>
      </c>
      <c r="E93" t="str">
        <f>step3_validation[[#This Row],[Age_Group]]</f>
        <v>30 - 39</v>
      </c>
      <c r="F93" t="str">
        <f>survey_responses[[#This Row],[Độ tuổi của bạn:]]</f>
        <v>30 - 39</v>
      </c>
      <c r="G93" t="str">
        <f>step3_validation[[#This Row],[Region]]</f>
        <v>Thành thị</v>
      </c>
      <c r="H93" t="str">
        <f>survey_responses[[#This Row],[Khu vực bạn đang sinh sống:]]</f>
        <v>Thành thị</v>
      </c>
      <c r="I93" t="str">
        <f>step3_validation[[#This Row],[Education]]</f>
        <v>Đại học</v>
      </c>
      <c r="J93" t="str">
        <f>survey_responses[[#This Row],[Trình độ học vấn cao nhất:]]</f>
        <v>Đại học</v>
      </c>
      <c r="K93" t="str">
        <f>step3_validation[[#This Row],[Employment]]</f>
        <v>Chính thức</v>
      </c>
      <c r="L93" t="str">
        <f>survey_responses[[#This Row],[Tình trạng việc làm chính:]]</f>
        <v>Khu vực chính thức (Có Hợp đồng lao động, đóng BHXH)</v>
      </c>
      <c r="M93">
        <f>step3_validation[[#This Row],[Income_Mil]]</f>
        <v>12</v>
      </c>
      <c r="N93" t="str">
        <f>survey_responses[[#This Row],[Thu nhập bình quân tháng theo Hợp đồng lao động của bạn là bao nhiêu? (Vui lòng điền tổng thu nhập trước khi khấu trừ các loại Bảo hiểm (BHXH, BHYT, BHTN) và Thuế TNCN)]]</f>
        <v>Dưới 12 triệu VNĐ</v>
      </c>
      <c r="O93">
        <f>step3_validation[[#This Row],[Dependents]]</f>
        <v>2</v>
      </c>
      <c r="P93" t="str">
        <f>survey_responses[[#This Row],[Số người phụ thuộc (con nhỏ, cha mẹ già...) đủ điều kiện giảm trừ gia cảnh:]]</f>
        <v>2 người</v>
      </c>
      <c r="Q93">
        <f>step3_validation[[#This Row],[AI_ENF1]]</f>
        <v>7</v>
      </c>
      <c r="R93" t="str">
        <f t="shared" si="27"/>
        <v>Neutral</v>
      </c>
      <c r="S93">
        <f>survey_responses[[#This Row],[Tôi tin rằng với các quy định quản lý thuế hiện nay, hành vi gian lận hoặc trốn thuế sẽ dễ dàng bị phát hiện và xử lý nghiêm. - HUMAN-ENF1]]</f>
        <v>10</v>
      </c>
      <c r="T93" t="str">
        <f t="shared" si="28"/>
        <v>Support</v>
      </c>
      <c r="U93" s="32">
        <f t="shared" si="29"/>
        <v>3</v>
      </c>
      <c r="V93">
        <f>step3_validation[[#This Row],[AI_ENF2]]</f>
        <v>8</v>
      </c>
      <c r="W93" t="str">
        <f t="shared" si="30"/>
        <v>Support</v>
      </c>
      <c r="X93">
        <f>survey_responses[[#This Row],[Tôi tin rằng Nhà nước, cơ quan thuế có đủ khả năng và công nghệ để phát hiện, xử lý nghiêm các hành vi trốn thuế. - HUMAN-ENF2]]</f>
        <v>10</v>
      </c>
      <c r="Y93" t="str">
        <f t="shared" si="31"/>
        <v>Support</v>
      </c>
      <c r="Z93" s="32">
        <f t="shared" si="32"/>
        <v>2</v>
      </c>
      <c r="AA93">
        <f>step3_validation[[#This Row],[AI_FAC1]]</f>
        <v>6</v>
      </c>
      <c r="AB93" t="str">
        <f t="shared" si="33"/>
        <v>Neutral</v>
      </c>
      <c r="AC93">
        <f>survey_responses[[#This Row],[Các thủ tục khai báo thuế VÀ/HOẶC quy trình làm việc với cơ quan thuế đơn giản, tiện lợi, nhanh chóng hơn so với trước đây. - HUMAN-FAC1]]</f>
        <v>10</v>
      </c>
      <c r="AD93" t="str">
        <f t="shared" si="34"/>
        <v>Support</v>
      </c>
      <c r="AE93" s="32">
        <f t="shared" si="35"/>
        <v>4</v>
      </c>
      <c r="AF93">
        <f>step3_validation[[#This Row],[AI_FAC2]]</f>
        <v>8</v>
      </c>
      <c r="AG93" t="str">
        <f t="shared" si="36"/>
        <v>Support</v>
      </c>
      <c r="AH93">
        <f>survey_responses[[#This Row],[So với trước đây, tôi thấy cách tính thuế và các bậc thuế trong phương án mới đơn giản, dễ hiểu và dễ thực hiện hơn. - HUMAN-FAC2]]</f>
        <v>10</v>
      </c>
      <c r="AI93" t="str">
        <f t="shared" si="37"/>
        <v>Support</v>
      </c>
      <c r="AJ93" s="32">
        <f t="shared" si="38"/>
        <v>2</v>
      </c>
      <c r="AK93">
        <f>step3_validation[[#This Row],[AI_TRU1]]</f>
        <v>7</v>
      </c>
      <c r="AL93" t="str">
        <f t="shared" si="39"/>
        <v>Neutral</v>
      </c>
      <c r="AM93">
        <f>survey_responses[[#This Row],[Tôi tin rằng Nhà nước, cơ quan thuế sẽ thực thi chính sách mới một cách khách quan, công tâm và đối xử bình đẳng với mọi người nộp thuế.  - HUMAN-TRU1]]</f>
        <v>10</v>
      </c>
      <c r="AN93" t="str">
        <f t="shared" si="40"/>
        <v>Support</v>
      </c>
      <c r="AO93" s="32">
        <f t="shared" si="41"/>
        <v>3</v>
      </c>
      <c r="AP93">
        <f>step3_validation[[#This Row],[AI_TRU2]]</f>
        <v>6</v>
      </c>
      <c r="AQ93" t="str">
        <f t="shared" si="42"/>
        <v>Neutral</v>
      </c>
      <c r="AR93">
        <f>survey_responses[[#This Row],[Tôi thấy mức thuế tôi phải đóng theo phương án mới là công bằng (người thu nhập như tôi đóng mức này là hợp lý). - HUMAN-TRU2]]</f>
        <v>1</v>
      </c>
      <c r="AS93" t="str">
        <f t="shared" si="43"/>
        <v>Oppose</v>
      </c>
      <c r="AT93" s="32">
        <f t="shared" si="44"/>
        <v>5</v>
      </c>
      <c r="AU93">
        <f>step3_validation[[#This Row],[AI_TRU3]]</f>
        <v>5</v>
      </c>
      <c r="AV93" t="str">
        <f t="shared" si="45"/>
        <v>Neutral</v>
      </c>
      <c r="AW93">
        <f>survey_responses[[#This Row],[Tôi tin tưởng số tiền thuế tôi đóng sẽ được Nhà nước sử dụng hiệu quả để cải thiện dịch vụ công (y tế, đường xá...). - HUMAN-TRU3]]</f>
        <v>10</v>
      </c>
      <c r="AX93" t="str">
        <f t="shared" si="46"/>
        <v>Support</v>
      </c>
      <c r="AY93" s="32">
        <f t="shared" si="47"/>
        <v>5</v>
      </c>
      <c r="AZ93">
        <f>step3_validation[[#This Row],[AI_TRU4]]</f>
        <v>7</v>
      </c>
      <c r="BA93" t="str">
        <f t="shared" si="48"/>
        <v>Neutral</v>
      </c>
      <c r="BB93">
        <f>survey_responses[[#This Row],[Tôi thấy Nhà nước đã giải thích rõ ràng, minh bạch về lý do và mục tiêu của việc sửa đổi thuế lần này. - HUMAN-TRU4]]</f>
        <v>10</v>
      </c>
      <c r="BC93" t="str">
        <f t="shared" si="49"/>
        <v>Support</v>
      </c>
      <c r="BD93" s="32">
        <f t="shared" si="50"/>
        <v>3</v>
      </c>
      <c r="BE93">
        <f>step3_validation[[#This Row],[AI_OUT1]]</f>
        <v>6</v>
      </c>
      <c r="BF93" t="str">
        <f t="shared" si="51"/>
        <v>Neutral</v>
      </c>
      <c r="BG93">
        <f>survey_responses[[#This Row],[Sau khi xem xét các quyền lợi và nghĩa vụ, bạn có ủng hộ và tuân thủ chính sách mới hiện nay? - HUMAN-OUT1]]</f>
        <v>10</v>
      </c>
      <c r="BH93" t="str">
        <f t="shared" si="52"/>
        <v>Support</v>
      </c>
      <c r="BI93" s="32">
        <f t="shared" si="53"/>
        <v>4</v>
      </c>
    </row>
    <row r="94" spans="1:61" x14ac:dyDescent="0.45">
      <c r="A94" s="30">
        <f>step3_validation[[#This Row],[Persona_ID]]</f>
        <v>93</v>
      </c>
      <c r="B94" s="31">
        <f>step3_validation[[#This Row],[Used_Seed]]</f>
        <v>2083</v>
      </c>
      <c r="C94" t="str">
        <f>step3_validation[[#This Row],[Gender]]</f>
        <v>Nam</v>
      </c>
      <c r="D94" t="str">
        <f>survey_responses[[#This Row],[Giới tính của bạn:]]</f>
        <v>Nam</v>
      </c>
      <c r="E94" t="str">
        <f>step3_validation[[#This Row],[Age_Group]]</f>
        <v>30 - 39</v>
      </c>
      <c r="F94" t="str">
        <f>survey_responses[[#This Row],[Độ tuổi của bạn:]]</f>
        <v>30 - 39</v>
      </c>
      <c r="G94" t="str">
        <f>step3_validation[[#This Row],[Region]]</f>
        <v>Thành thị</v>
      </c>
      <c r="H94" t="str">
        <f>survey_responses[[#This Row],[Khu vực bạn đang sinh sống:]]</f>
        <v>Thành thị</v>
      </c>
      <c r="I94" t="str">
        <f>step3_validation[[#This Row],[Education]]</f>
        <v>Đại học</v>
      </c>
      <c r="J94" t="str">
        <f>survey_responses[[#This Row],[Trình độ học vấn cao nhất:]]</f>
        <v>Đại học</v>
      </c>
      <c r="K94" t="str">
        <f>step3_validation[[#This Row],[Employment]]</f>
        <v>Chính thức</v>
      </c>
      <c r="L94" t="str">
        <f>survey_responses[[#This Row],[Tình trạng việc làm chính:]]</f>
        <v>Khu vực chính thức (Có Hợp đồng lao động, đóng BHXH)</v>
      </c>
      <c r="M94">
        <f>step3_validation[[#This Row],[Income_Mil]]</f>
        <v>46.571428374809159</v>
      </c>
      <c r="N94" t="str">
        <f>survey_responses[[#This Row],[Thu nhập bình quân tháng theo Hợp đồng lao động của bạn là bao nhiêu? (Vui lòng điền tổng thu nhập trước khi khấu trừ các loại Bảo hiểm (BHXH, BHYT, BHTN) và Thuế TNCN)]]</f>
        <v>Từ 32 - 48 triệu VNĐ</v>
      </c>
      <c r="O94">
        <f>step3_validation[[#This Row],[Dependents]]</f>
        <v>2</v>
      </c>
      <c r="P94" t="str">
        <f>survey_responses[[#This Row],[Số người phụ thuộc (con nhỏ, cha mẹ già...) đủ điều kiện giảm trừ gia cảnh:]]</f>
        <v>2 người</v>
      </c>
      <c r="Q94">
        <f>step3_validation[[#This Row],[AI_ENF1]]</f>
        <v>8</v>
      </c>
      <c r="R94" t="str">
        <f t="shared" si="27"/>
        <v>Support</v>
      </c>
      <c r="S94">
        <f>survey_responses[[#This Row],[Tôi tin rằng với các quy định quản lý thuế hiện nay, hành vi gian lận hoặc trốn thuế sẽ dễ dàng bị phát hiện và xử lý nghiêm. - HUMAN-ENF1]]</f>
        <v>5</v>
      </c>
      <c r="T94" t="str">
        <f t="shared" si="28"/>
        <v>Neutral</v>
      </c>
      <c r="U94" s="32">
        <f t="shared" si="29"/>
        <v>3</v>
      </c>
      <c r="V94">
        <f>step3_validation[[#This Row],[AI_ENF2]]</f>
        <v>9</v>
      </c>
      <c r="W94" t="str">
        <f t="shared" si="30"/>
        <v>Support</v>
      </c>
      <c r="X94">
        <f>survey_responses[[#This Row],[Tôi tin rằng Nhà nước, cơ quan thuế có đủ khả năng và công nghệ để phát hiện, xử lý nghiêm các hành vi trốn thuế. - HUMAN-ENF2]]</f>
        <v>8</v>
      </c>
      <c r="Y94" t="str">
        <f t="shared" si="31"/>
        <v>Support</v>
      </c>
      <c r="Z94" s="32">
        <f t="shared" si="32"/>
        <v>1</v>
      </c>
      <c r="AA94">
        <f>step3_validation[[#This Row],[AI_FAC1]]</f>
        <v>7</v>
      </c>
      <c r="AB94" t="str">
        <f t="shared" si="33"/>
        <v>Neutral</v>
      </c>
      <c r="AC94">
        <f>survey_responses[[#This Row],[Các thủ tục khai báo thuế VÀ/HOẶC quy trình làm việc với cơ quan thuế đơn giản, tiện lợi, nhanh chóng hơn so với trước đây. - HUMAN-FAC1]]</f>
        <v>4</v>
      </c>
      <c r="AD94" t="str">
        <f t="shared" si="34"/>
        <v>Oppose</v>
      </c>
      <c r="AE94" s="32">
        <f t="shared" si="35"/>
        <v>3</v>
      </c>
      <c r="AF94">
        <f>step3_validation[[#This Row],[AI_FAC2]]</f>
        <v>8</v>
      </c>
      <c r="AG94" t="str">
        <f t="shared" si="36"/>
        <v>Support</v>
      </c>
      <c r="AH94">
        <f>survey_responses[[#This Row],[So với trước đây, tôi thấy cách tính thuế và các bậc thuế trong phương án mới đơn giản, dễ hiểu và dễ thực hiện hơn. - HUMAN-FAC2]]</f>
        <v>9</v>
      </c>
      <c r="AI94" t="str">
        <f t="shared" si="37"/>
        <v>Support</v>
      </c>
      <c r="AJ94" s="32">
        <f t="shared" si="38"/>
        <v>1</v>
      </c>
      <c r="AK94">
        <f>step3_validation[[#This Row],[AI_TRU1]]</f>
        <v>7</v>
      </c>
      <c r="AL94" t="str">
        <f t="shared" si="39"/>
        <v>Neutral</v>
      </c>
      <c r="AM94">
        <f>survey_responses[[#This Row],[Tôi tin rằng Nhà nước, cơ quan thuế sẽ thực thi chính sách mới một cách khách quan, công tâm và đối xử bình đẳng với mọi người nộp thuế.  - HUMAN-TRU1]]</f>
        <v>7</v>
      </c>
      <c r="AN94" t="str">
        <f t="shared" si="40"/>
        <v>Neutral</v>
      </c>
      <c r="AO94" s="32">
        <f t="shared" si="41"/>
        <v>0</v>
      </c>
      <c r="AP94">
        <f>step3_validation[[#This Row],[AI_TRU2]]</f>
        <v>6</v>
      </c>
      <c r="AQ94" t="str">
        <f t="shared" si="42"/>
        <v>Neutral</v>
      </c>
      <c r="AR94">
        <f>survey_responses[[#This Row],[Tôi thấy mức thuế tôi phải đóng theo phương án mới là công bằng (người thu nhập như tôi đóng mức này là hợp lý). - HUMAN-TRU2]]</f>
        <v>5</v>
      </c>
      <c r="AS94" t="str">
        <f t="shared" si="43"/>
        <v>Neutral</v>
      </c>
      <c r="AT94" s="32">
        <f t="shared" si="44"/>
        <v>1</v>
      </c>
      <c r="AU94">
        <f>step3_validation[[#This Row],[AI_TRU3]]</f>
        <v>5</v>
      </c>
      <c r="AV94" t="str">
        <f t="shared" si="45"/>
        <v>Neutral</v>
      </c>
      <c r="AW94">
        <f>survey_responses[[#This Row],[Tôi tin tưởng số tiền thuế tôi đóng sẽ được Nhà nước sử dụng hiệu quả để cải thiện dịch vụ công (y tế, đường xá...). - HUMAN-TRU3]]</f>
        <v>7</v>
      </c>
      <c r="AX94" t="str">
        <f t="shared" si="46"/>
        <v>Neutral</v>
      </c>
      <c r="AY94" s="32">
        <f t="shared" si="47"/>
        <v>2</v>
      </c>
      <c r="AZ94">
        <f>step3_validation[[#This Row],[AI_TRU4]]</f>
        <v>6</v>
      </c>
      <c r="BA94" t="str">
        <f t="shared" si="48"/>
        <v>Neutral</v>
      </c>
      <c r="BB94">
        <f>survey_responses[[#This Row],[Tôi thấy Nhà nước đã giải thích rõ ràng, minh bạch về lý do và mục tiêu của việc sửa đổi thuế lần này. - HUMAN-TRU4]]</f>
        <v>8</v>
      </c>
      <c r="BC94" t="str">
        <f t="shared" si="49"/>
        <v>Support</v>
      </c>
      <c r="BD94" s="32">
        <f t="shared" si="50"/>
        <v>2</v>
      </c>
      <c r="BE94">
        <f>step3_validation[[#This Row],[AI_OUT1]]</f>
        <v>7</v>
      </c>
      <c r="BF94" t="str">
        <f t="shared" si="51"/>
        <v>Neutral</v>
      </c>
      <c r="BG94">
        <f>survey_responses[[#This Row],[Sau khi xem xét các quyền lợi và nghĩa vụ, bạn có ủng hộ và tuân thủ chính sách mới hiện nay? - HUMAN-OUT1]]</f>
        <v>10</v>
      </c>
      <c r="BH94" t="str">
        <f t="shared" si="52"/>
        <v>Support</v>
      </c>
      <c r="BI94" s="32">
        <f t="shared" si="53"/>
        <v>3</v>
      </c>
    </row>
    <row r="95" spans="1:61" x14ac:dyDescent="0.45">
      <c r="A95" s="30">
        <f>step3_validation[[#This Row],[Persona_ID]]</f>
        <v>94</v>
      </c>
      <c r="B95" s="31">
        <f>step3_validation[[#This Row],[Used_Seed]]</f>
        <v>2084</v>
      </c>
      <c r="C95" t="str">
        <f>step3_validation[[#This Row],[Gender]]</f>
        <v>Nữ</v>
      </c>
      <c r="D95" t="str">
        <f>survey_responses[[#This Row],[Giới tính của bạn:]]</f>
        <v>Nữ</v>
      </c>
      <c r="E95" t="str">
        <f>step3_validation[[#This Row],[Age_Group]]</f>
        <v>30 - 39</v>
      </c>
      <c r="F95" t="str">
        <f>survey_responses[[#This Row],[Độ tuổi của bạn:]]</f>
        <v>30 - 39</v>
      </c>
      <c r="G95" t="str">
        <f>step3_validation[[#This Row],[Region]]</f>
        <v>Thành thị</v>
      </c>
      <c r="H95" t="str">
        <f>survey_responses[[#This Row],[Khu vực bạn đang sinh sống:]]</f>
        <v>Thành thị</v>
      </c>
      <c r="I95" t="str">
        <f>step3_validation[[#This Row],[Education]]</f>
        <v>Sau Đại học</v>
      </c>
      <c r="J95" t="str">
        <f>survey_responses[[#This Row],[Trình độ học vấn cao nhất:]]</f>
        <v>Sau Đại học</v>
      </c>
      <c r="K95" t="str">
        <f>step3_validation[[#This Row],[Employment]]</f>
        <v>Chính thức</v>
      </c>
      <c r="L95" t="str">
        <f>survey_responses[[#This Row],[Tình trạng việc làm chính:]]</f>
        <v>Khu vực chính thức (Có Hợp đồng lao động, đóng BHXH)</v>
      </c>
      <c r="M95">
        <f>step3_validation[[#This Row],[Income_Mil]]</f>
        <v>12</v>
      </c>
      <c r="N95" t="str">
        <f>survey_responses[[#This Row],[Thu nhập bình quân tháng theo Hợp đồng lao động của bạn là bao nhiêu? (Vui lòng điền tổng thu nhập trước khi khấu trừ các loại Bảo hiểm (BHXH, BHYT, BHTN) và Thuế TNCN)]]</f>
        <v>Dưới 12 triệu VNĐ</v>
      </c>
      <c r="O95">
        <f>step3_validation[[#This Row],[Dependents]]</f>
        <v>0</v>
      </c>
      <c r="P95" t="str">
        <f>survey_responses[[#This Row],[Số người phụ thuộc (con nhỏ, cha mẹ già...) đủ điều kiện giảm trừ gia cảnh:]]</f>
        <v>0 người</v>
      </c>
      <c r="Q95">
        <f>step3_validation[[#This Row],[AI_ENF1]]</f>
        <v>6</v>
      </c>
      <c r="R95" t="str">
        <f t="shared" si="27"/>
        <v>Neutral</v>
      </c>
      <c r="S95">
        <f>survey_responses[[#This Row],[Tôi tin rằng với các quy định quản lý thuế hiện nay, hành vi gian lận hoặc trốn thuế sẽ dễ dàng bị phát hiện và xử lý nghiêm. - HUMAN-ENF1]]</f>
        <v>9</v>
      </c>
      <c r="T95" t="str">
        <f t="shared" si="28"/>
        <v>Support</v>
      </c>
      <c r="U95" s="32">
        <f t="shared" si="29"/>
        <v>3</v>
      </c>
      <c r="V95">
        <f>step3_validation[[#This Row],[AI_ENF2]]</f>
        <v>7</v>
      </c>
      <c r="W95" t="str">
        <f t="shared" si="30"/>
        <v>Neutral</v>
      </c>
      <c r="X95">
        <f>survey_responses[[#This Row],[Tôi tin rằng Nhà nước, cơ quan thuế có đủ khả năng và công nghệ để phát hiện, xử lý nghiêm các hành vi trốn thuế. - HUMAN-ENF2]]</f>
        <v>7</v>
      </c>
      <c r="Y95" t="str">
        <f t="shared" si="31"/>
        <v>Neutral</v>
      </c>
      <c r="Z95" s="32">
        <f t="shared" si="32"/>
        <v>0</v>
      </c>
      <c r="AA95">
        <f>step3_validation[[#This Row],[AI_FAC1]]</f>
        <v>8</v>
      </c>
      <c r="AB95" t="str">
        <f t="shared" si="33"/>
        <v>Support</v>
      </c>
      <c r="AC95">
        <f>survey_responses[[#This Row],[Các thủ tục khai báo thuế VÀ/HOẶC quy trình làm việc với cơ quan thuế đơn giản, tiện lợi, nhanh chóng hơn so với trước đây. - HUMAN-FAC1]]</f>
        <v>5</v>
      </c>
      <c r="AD95" t="str">
        <f t="shared" si="34"/>
        <v>Neutral</v>
      </c>
      <c r="AE95" s="32">
        <f t="shared" si="35"/>
        <v>3</v>
      </c>
      <c r="AF95">
        <f>step3_validation[[#This Row],[AI_FAC2]]</f>
        <v>7</v>
      </c>
      <c r="AG95" t="str">
        <f t="shared" si="36"/>
        <v>Neutral</v>
      </c>
      <c r="AH95">
        <f>survey_responses[[#This Row],[So với trước đây, tôi thấy cách tính thuế và các bậc thuế trong phương án mới đơn giản, dễ hiểu và dễ thực hiện hơn. - HUMAN-FAC2]]</f>
        <v>7</v>
      </c>
      <c r="AI95" t="str">
        <f t="shared" si="37"/>
        <v>Neutral</v>
      </c>
      <c r="AJ95" s="32">
        <f t="shared" si="38"/>
        <v>0</v>
      </c>
      <c r="AK95">
        <f>step3_validation[[#This Row],[AI_TRU1]]</f>
        <v>7</v>
      </c>
      <c r="AL95" t="str">
        <f t="shared" si="39"/>
        <v>Neutral</v>
      </c>
      <c r="AM95">
        <f>survey_responses[[#This Row],[Tôi tin rằng Nhà nước, cơ quan thuế sẽ thực thi chính sách mới một cách khách quan, công tâm và đối xử bình đẳng với mọi người nộp thuế.  - HUMAN-TRU1]]</f>
        <v>5</v>
      </c>
      <c r="AN95" t="str">
        <f t="shared" si="40"/>
        <v>Neutral</v>
      </c>
      <c r="AO95" s="32">
        <f t="shared" si="41"/>
        <v>2</v>
      </c>
      <c r="AP95">
        <f>step3_validation[[#This Row],[AI_TRU2]]</f>
        <v>6</v>
      </c>
      <c r="AQ95" t="str">
        <f t="shared" si="42"/>
        <v>Neutral</v>
      </c>
      <c r="AR95">
        <f>survey_responses[[#This Row],[Tôi thấy mức thuế tôi phải đóng theo phương án mới là công bằng (người thu nhập như tôi đóng mức này là hợp lý). - HUMAN-TRU2]]</f>
        <v>8</v>
      </c>
      <c r="AS95" t="str">
        <f t="shared" si="43"/>
        <v>Support</v>
      </c>
      <c r="AT95" s="32">
        <f t="shared" si="44"/>
        <v>2</v>
      </c>
      <c r="AU95">
        <f>step3_validation[[#This Row],[AI_TRU3]]</f>
        <v>7</v>
      </c>
      <c r="AV95" t="str">
        <f t="shared" si="45"/>
        <v>Neutral</v>
      </c>
      <c r="AW95">
        <f>survey_responses[[#This Row],[Tôi tin tưởng số tiền thuế tôi đóng sẽ được Nhà nước sử dụng hiệu quả để cải thiện dịch vụ công (y tế, đường xá...). - HUMAN-TRU3]]</f>
        <v>5</v>
      </c>
      <c r="AX95" t="str">
        <f t="shared" si="46"/>
        <v>Neutral</v>
      </c>
      <c r="AY95" s="32">
        <f t="shared" si="47"/>
        <v>2</v>
      </c>
      <c r="AZ95">
        <f>step3_validation[[#This Row],[AI_TRU4]]</f>
        <v>5</v>
      </c>
      <c r="BA95" t="str">
        <f t="shared" si="48"/>
        <v>Neutral</v>
      </c>
      <c r="BB95">
        <f>survey_responses[[#This Row],[Tôi thấy Nhà nước đã giải thích rõ ràng, minh bạch về lý do và mục tiêu của việc sửa đổi thuế lần này. - HUMAN-TRU4]]</f>
        <v>5</v>
      </c>
      <c r="BC95" t="str">
        <f t="shared" si="49"/>
        <v>Neutral</v>
      </c>
      <c r="BD95" s="32">
        <f t="shared" si="50"/>
        <v>0</v>
      </c>
      <c r="BE95">
        <f>step3_validation[[#This Row],[AI_OUT1]]</f>
        <v>6</v>
      </c>
      <c r="BF95" t="str">
        <f t="shared" si="51"/>
        <v>Neutral</v>
      </c>
      <c r="BG95">
        <f>survey_responses[[#This Row],[Sau khi xem xét các quyền lợi và nghĩa vụ, bạn có ủng hộ và tuân thủ chính sách mới hiện nay? - HUMAN-OUT1]]</f>
        <v>7</v>
      </c>
      <c r="BH95" t="str">
        <f t="shared" si="52"/>
        <v>Neutral</v>
      </c>
      <c r="BI95" s="32">
        <f t="shared" si="53"/>
        <v>1</v>
      </c>
    </row>
    <row r="96" spans="1:61" x14ac:dyDescent="0.45">
      <c r="A96" s="30">
        <f>step3_validation[[#This Row],[Persona_ID]]</f>
        <v>95</v>
      </c>
      <c r="B96" s="31">
        <f>step3_validation[[#This Row],[Used_Seed]]</f>
        <v>2085</v>
      </c>
      <c r="C96" t="str">
        <f>step3_validation[[#This Row],[Gender]]</f>
        <v>Nữ</v>
      </c>
      <c r="D96" t="str">
        <f>survey_responses[[#This Row],[Giới tính của bạn:]]</f>
        <v>Nữ</v>
      </c>
      <c r="E96" t="str">
        <f>step3_validation[[#This Row],[Age_Group]]</f>
        <v>40 - 49</v>
      </c>
      <c r="F96" t="str">
        <f>survey_responses[[#This Row],[Độ tuổi của bạn:]]</f>
        <v>40 - 49</v>
      </c>
      <c r="G96" t="str">
        <f>step3_validation[[#This Row],[Region]]</f>
        <v>Thành thị</v>
      </c>
      <c r="H96" t="str">
        <f>survey_responses[[#This Row],[Khu vực bạn đang sinh sống:]]</f>
        <v>Thành thị</v>
      </c>
      <c r="I96" t="str">
        <f>step3_validation[[#This Row],[Education]]</f>
        <v>Đại học</v>
      </c>
      <c r="J96" t="str">
        <f>survey_responses[[#This Row],[Trình độ học vấn cao nhất:]]</f>
        <v>Đại học</v>
      </c>
      <c r="K96" t="str">
        <f>step3_validation[[#This Row],[Employment]]</f>
        <v>Chính thức</v>
      </c>
      <c r="L96" t="str">
        <f>survey_responses[[#This Row],[Tình trạng việc làm chính:]]</f>
        <v>Khu vực chính thức (Có Hợp đồng lao động, đóng BHXH)</v>
      </c>
      <c r="M96">
        <f>step3_validation[[#This Row],[Income_Mil]]</f>
        <v>41.081099114666415</v>
      </c>
      <c r="N96" t="str">
        <f>survey_responses[[#This Row],[Thu nhập bình quân tháng theo Hợp đồng lao động của bạn là bao nhiêu? (Vui lòng điền tổng thu nhập trước khi khấu trừ các loại Bảo hiểm (BHXH, BHYT, BHTN) và Thuế TNCN)]]</f>
        <v>Từ 32 - 48 triệu VNĐ</v>
      </c>
      <c r="O96">
        <f>step3_validation[[#This Row],[Dependents]]</f>
        <v>3</v>
      </c>
      <c r="P96" t="str">
        <f>survey_responses[[#This Row],[Số người phụ thuộc (con nhỏ, cha mẹ già...) đủ điều kiện giảm trừ gia cảnh:]]</f>
        <v>3 người</v>
      </c>
      <c r="Q96">
        <f>step3_validation[[#This Row],[AI_ENF1]]</f>
        <v>7</v>
      </c>
      <c r="R96" t="str">
        <f t="shared" si="27"/>
        <v>Neutral</v>
      </c>
      <c r="S96">
        <f>survey_responses[[#This Row],[Tôi tin rằng với các quy định quản lý thuế hiện nay, hành vi gian lận hoặc trốn thuế sẽ dễ dàng bị phát hiện và xử lý nghiêm. - HUMAN-ENF1]]</f>
        <v>4</v>
      </c>
      <c r="T96" t="str">
        <f t="shared" si="28"/>
        <v>Oppose</v>
      </c>
      <c r="U96" s="32">
        <f t="shared" si="29"/>
        <v>3</v>
      </c>
      <c r="V96">
        <f>step3_validation[[#This Row],[AI_ENF2]]</f>
        <v>6</v>
      </c>
      <c r="W96" t="str">
        <f t="shared" si="30"/>
        <v>Neutral</v>
      </c>
      <c r="X96">
        <f>survey_responses[[#This Row],[Tôi tin rằng Nhà nước, cơ quan thuế có đủ khả năng và công nghệ để phát hiện, xử lý nghiêm các hành vi trốn thuế. - HUMAN-ENF2]]</f>
        <v>6</v>
      </c>
      <c r="Y96" t="str">
        <f t="shared" si="31"/>
        <v>Neutral</v>
      </c>
      <c r="Z96" s="32">
        <f t="shared" si="32"/>
        <v>0</v>
      </c>
      <c r="AA96">
        <f>step3_validation[[#This Row],[AI_FAC1]]</f>
        <v>5</v>
      </c>
      <c r="AB96" t="str">
        <f t="shared" si="33"/>
        <v>Neutral</v>
      </c>
      <c r="AC96">
        <f>survey_responses[[#This Row],[Các thủ tục khai báo thuế VÀ/HOẶC quy trình làm việc với cơ quan thuế đơn giản, tiện lợi, nhanh chóng hơn so với trước đây. - HUMAN-FAC1]]</f>
        <v>5</v>
      </c>
      <c r="AD96" t="str">
        <f t="shared" si="34"/>
        <v>Neutral</v>
      </c>
      <c r="AE96" s="32">
        <f t="shared" si="35"/>
        <v>0</v>
      </c>
      <c r="AF96">
        <f>step3_validation[[#This Row],[AI_FAC2]]</f>
        <v>4</v>
      </c>
      <c r="AG96" t="str">
        <f t="shared" si="36"/>
        <v>Oppose</v>
      </c>
      <c r="AH96">
        <f>survey_responses[[#This Row],[So với trước đây, tôi thấy cách tính thuế và các bậc thuế trong phương án mới đơn giản, dễ hiểu và dễ thực hiện hơn. - HUMAN-FAC2]]</f>
        <v>5</v>
      </c>
      <c r="AI96" t="str">
        <f t="shared" si="37"/>
        <v>Neutral</v>
      </c>
      <c r="AJ96" s="32">
        <f t="shared" si="38"/>
        <v>1</v>
      </c>
      <c r="AK96">
        <f>step3_validation[[#This Row],[AI_TRU1]]</f>
        <v>6</v>
      </c>
      <c r="AL96" t="str">
        <f t="shared" si="39"/>
        <v>Neutral</v>
      </c>
      <c r="AM96">
        <f>survey_responses[[#This Row],[Tôi tin rằng Nhà nước, cơ quan thuế sẽ thực thi chính sách mới một cách khách quan, công tâm và đối xử bình đẳng với mọi người nộp thuế.  - HUMAN-TRU1]]</f>
        <v>4</v>
      </c>
      <c r="AN96" t="str">
        <f t="shared" si="40"/>
        <v>Oppose</v>
      </c>
      <c r="AO96" s="32">
        <f t="shared" si="41"/>
        <v>2</v>
      </c>
      <c r="AP96">
        <f>step3_validation[[#This Row],[AI_TRU2]]</f>
        <v>7</v>
      </c>
      <c r="AQ96" t="str">
        <f t="shared" si="42"/>
        <v>Neutral</v>
      </c>
      <c r="AR96">
        <f>survey_responses[[#This Row],[Tôi thấy mức thuế tôi phải đóng theo phương án mới là công bằng (người thu nhập như tôi đóng mức này là hợp lý). - HUMAN-TRU2]]</f>
        <v>4</v>
      </c>
      <c r="AS96" t="str">
        <f t="shared" si="43"/>
        <v>Oppose</v>
      </c>
      <c r="AT96" s="32">
        <f t="shared" si="44"/>
        <v>3</v>
      </c>
      <c r="AU96">
        <f>step3_validation[[#This Row],[AI_TRU3]]</f>
        <v>5</v>
      </c>
      <c r="AV96" t="str">
        <f t="shared" si="45"/>
        <v>Neutral</v>
      </c>
      <c r="AW96">
        <f>survey_responses[[#This Row],[Tôi tin tưởng số tiền thuế tôi đóng sẽ được Nhà nước sử dụng hiệu quả để cải thiện dịch vụ công (y tế, đường xá...). - HUMAN-TRU3]]</f>
        <v>3</v>
      </c>
      <c r="AX96" t="str">
        <f t="shared" si="46"/>
        <v>Oppose</v>
      </c>
      <c r="AY96" s="32">
        <f t="shared" si="47"/>
        <v>2</v>
      </c>
      <c r="AZ96">
        <f>step3_validation[[#This Row],[AI_TRU4]]</f>
        <v>6</v>
      </c>
      <c r="BA96" t="str">
        <f t="shared" si="48"/>
        <v>Neutral</v>
      </c>
      <c r="BB96">
        <f>survey_responses[[#This Row],[Tôi thấy Nhà nước đã giải thích rõ ràng, minh bạch về lý do và mục tiêu của việc sửa đổi thuế lần này. - HUMAN-TRU4]]</f>
        <v>4</v>
      </c>
      <c r="BC96" t="str">
        <f t="shared" si="49"/>
        <v>Oppose</v>
      </c>
      <c r="BD96" s="32">
        <f t="shared" si="50"/>
        <v>2</v>
      </c>
      <c r="BE96">
        <f>step3_validation[[#This Row],[AI_OUT1]]</f>
        <v>5</v>
      </c>
      <c r="BF96" t="str">
        <f t="shared" si="51"/>
        <v>Neutral</v>
      </c>
      <c r="BG96">
        <f>survey_responses[[#This Row],[Sau khi xem xét các quyền lợi và nghĩa vụ, bạn có ủng hộ và tuân thủ chính sách mới hiện nay? - HUMAN-OUT1]]</f>
        <v>3</v>
      </c>
      <c r="BH96" t="str">
        <f t="shared" si="52"/>
        <v>Oppose</v>
      </c>
      <c r="BI96" s="32">
        <f t="shared" si="53"/>
        <v>2</v>
      </c>
    </row>
    <row r="97" spans="1:61" x14ac:dyDescent="0.45">
      <c r="A97" s="30">
        <f>step3_validation[[#This Row],[Persona_ID]]</f>
        <v>96</v>
      </c>
      <c r="B97" s="31">
        <f>step3_validation[[#This Row],[Used_Seed]]</f>
        <v>2086</v>
      </c>
      <c r="C97" t="str">
        <f>step3_validation[[#This Row],[Gender]]</f>
        <v>Nam</v>
      </c>
      <c r="D97" t="str">
        <f>survey_responses[[#This Row],[Giới tính của bạn:]]</f>
        <v>Nam</v>
      </c>
      <c r="E97" t="str">
        <f>step3_validation[[#This Row],[Age_Group]]</f>
        <v>18 - 24</v>
      </c>
      <c r="F97" t="str">
        <f>survey_responses[[#This Row],[Độ tuổi của bạn:]]</f>
        <v>18 - 24</v>
      </c>
      <c r="G97" t="str">
        <f>step3_validation[[#This Row],[Region]]</f>
        <v>Thành thị</v>
      </c>
      <c r="H97" t="str">
        <f>survey_responses[[#This Row],[Khu vực bạn đang sinh sống:]]</f>
        <v>Thành thị</v>
      </c>
      <c r="I97" t="str">
        <f>step3_validation[[#This Row],[Education]]</f>
        <v>Đại học</v>
      </c>
      <c r="J97" t="str">
        <f>survey_responses[[#This Row],[Trình độ học vấn cao nhất:]]</f>
        <v>Đại học</v>
      </c>
      <c r="K97" t="str">
        <f>step3_validation[[#This Row],[Employment]]</f>
        <v>Chính thức</v>
      </c>
      <c r="L97" t="str">
        <f>survey_responses[[#This Row],[Tình trạng việc làm chính:]]</f>
        <v>Khu vực chính thức (Có Hợp đồng lao động, đóng BHXH)</v>
      </c>
      <c r="M97">
        <f>step3_validation[[#This Row],[Income_Mil]]</f>
        <v>12</v>
      </c>
      <c r="N97" t="str">
        <f>survey_responses[[#This Row],[Thu nhập bình quân tháng theo Hợp đồng lao động của bạn là bao nhiêu? (Vui lòng điền tổng thu nhập trước khi khấu trừ các loại Bảo hiểm (BHXH, BHYT, BHTN) và Thuế TNCN)]]</f>
        <v>Dưới 12 triệu VNĐ</v>
      </c>
      <c r="O97">
        <f>step3_validation[[#This Row],[Dependents]]</f>
        <v>0</v>
      </c>
      <c r="P97" t="str">
        <f>survey_responses[[#This Row],[Số người phụ thuộc (con nhỏ, cha mẹ già...) đủ điều kiện giảm trừ gia cảnh:]]</f>
        <v>0 người</v>
      </c>
      <c r="Q97">
        <f>step3_validation[[#This Row],[AI_ENF1]]</f>
        <v>6</v>
      </c>
      <c r="R97" t="str">
        <f t="shared" si="27"/>
        <v>Neutral</v>
      </c>
      <c r="S97">
        <f>survey_responses[[#This Row],[Tôi tin rằng với các quy định quản lý thuế hiện nay, hành vi gian lận hoặc trốn thuế sẽ dễ dàng bị phát hiện và xử lý nghiêm. - HUMAN-ENF1]]</f>
        <v>8</v>
      </c>
      <c r="T97" t="str">
        <f t="shared" si="28"/>
        <v>Support</v>
      </c>
      <c r="U97" s="32">
        <f t="shared" si="29"/>
        <v>2</v>
      </c>
      <c r="V97">
        <f>step3_validation[[#This Row],[AI_ENF2]]</f>
        <v>7</v>
      </c>
      <c r="W97" t="str">
        <f t="shared" si="30"/>
        <v>Neutral</v>
      </c>
      <c r="X97">
        <f>survey_responses[[#This Row],[Tôi tin rằng Nhà nước, cơ quan thuế có đủ khả năng và công nghệ để phát hiện, xử lý nghiêm các hành vi trốn thuế. - HUMAN-ENF2]]</f>
        <v>7</v>
      </c>
      <c r="Y97" t="str">
        <f t="shared" si="31"/>
        <v>Neutral</v>
      </c>
      <c r="Z97" s="32">
        <f t="shared" si="32"/>
        <v>0</v>
      </c>
      <c r="AA97">
        <f>step3_validation[[#This Row],[AI_FAC1]]</f>
        <v>8</v>
      </c>
      <c r="AB97" t="str">
        <f t="shared" si="33"/>
        <v>Support</v>
      </c>
      <c r="AC97">
        <f>survey_responses[[#This Row],[Các thủ tục khai báo thuế VÀ/HOẶC quy trình làm việc với cơ quan thuế đơn giản, tiện lợi, nhanh chóng hơn so với trước đây. - HUMAN-FAC1]]</f>
        <v>5</v>
      </c>
      <c r="AD97" t="str">
        <f t="shared" si="34"/>
        <v>Neutral</v>
      </c>
      <c r="AE97" s="32">
        <f t="shared" si="35"/>
        <v>3</v>
      </c>
      <c r="AF97">
        <f>step3_validation[[#This Row],[AI_FAC2]]</f>
        <v>9</v>
      </c>
      <c r="AG97" t="str">
        <f t="shared" si="36"/>
        <v>Support</v>
      </c>
      <c r="AH97">
        <f>survey_responses[[#This Row],[So với trước đây, tôi thấy cách tính thuế và các bậc thuế trong phương án mới đơn giản, dễ hiểu và dễ thực hiện hơn. - HUMAN-FAC2]]</f>
        <v>7</v>
      </c>
      <c r="AI97" t="str">
        <f t="shared" si="37"/>
        <v>Neutral</v>
      </c>
      <c r="AJ97" s="32">
        <f t="shared" si="38"/>
        <v>2</v>
      </c>
      <c r="AK97">
        <f>step3_validation[[#This Row],[AI_TRU1]]</f>
        <v>7</v>
      </c>
      <c r="AL97" t="str">
        <f t="shared" si="39"/>
        <v>Neutral</v>
      </c>
      <c r="AM97">
        <f>survey_responses[[#This Row],[Tôi tin rằng Nhà nước, cơ quan thuế sẽ thực thi chính sách mới một cách khách quan, công tâm và đối xử bình đẳng với mọi người nộp thuế.  - HUMAN-TRU1]]</f>
        <v>7</v>
      </c>
      <c r="AN97" t="str">
        <f t="shared" si="40"/>
        <v>Neutral</v>
      </c>
      <c r="AO97" s="32">
        <f t="shared" si="41"/>
        <v>0</v>
      </c>
      <c r="AP97">
        <f>step3_validation[[#This Row],[AI_TRU2]]</f>
        <v>8</v>
      </c>
      <c r="AQ97" t="str">
        <f t="shared" si="42"/>
        <v>Support</v>
      </c>
      <c r="AR97">
        <f>survey_responses[[#This Row],[Tôi thấy mức thuế tôi phải đóng theo phương án mới là công bằng (người thu nhập như tôi đóng mức này là hợp lý). - HUMAN-TRU2]]</f>
        <v>5</v>
      </c>
      <c r="AS97" t="str">
        <f t="shared" si="43"/>
        <v>Neutral</v>
      </c>
      <c r="AT97" s="32">
        <f t="shared" si="44"/>
        <v>3</v>
      </c>
      <c r="AU97">
        <f>step3_validation[[#This Row],[AI_TRU3]]</f>
        <v>7</v>
      </c>
      <c r="AV97" t="str">
        <f t="shared" si="45"/>
        <v>Neutral</v>
      </c>
      <c r="AW97">
        <f>survey_responses[[#This Row],[Tôi tin tưởng số tiền thuế tôi đóng sẽ được Nhà nước sử dụng hiệu quả để cải thiện dịch vụ công (y tế, đường xá...). - HUMAN-TRU3]]</f>
        <v>5</v>
      </c>
      <c r="AX97" t="str">
        <f t="shared" si="46"/>
        <v>Neutral</v>
      </c>
      <c r="AY97" s="32">
        <f t="shared" si="47"/>
        <v>2</v>
      </c>
      <c r="AZ97">
        <f>step3_validation[[#This Row],[AI_TRU4]]</f>
        <v>6</v>
      </c>
      <c r="BA97" t="str">
        <f t="shared" si="48"/>
        <v>Neutral</v>
      </c>
      <c r="BB97">
        <f>survey_responses[[#This Row],[Tôi thấy Nhà nước đã giải thích rõ ràng, minh bạch về lý do và mục tiêu của việc sửa đổi thuế lần này. - HUMAN-TRU4]]</f>
        <v>7</v>
      </c>
      <c r="BC97" t="str">
        <f t="shared" si="49"/>
        <v>Neutral</v>
      </c>
      <c r="BD97" s="32">
        <f t="shared" si="50"/>
        <v>1</v>
      </c>
      <c r="BE97">
        <f>step3_validation[[#This Row],[AI_OUT1]]</f>
        <v>8</v>
      </c>
      <c r="BF97" t="str">
        <f t="shared" si="51"/>
        <v>Support</v>
      </c>
      <c r="BG97">
        <f>survey_responses[[#This Row],[Sau khi xem xét các quyền lợi và nghĩa vụ, bạn có ủng hộ và tuân thủ chính sách mới hiện nay? - HUMAN-OUT1]]</f>
        <v>7</v>
      </c>
      <c r="BH97" t="str">
        <f t="shared" si="52"/>
        <v>Neutral</v>
      </c>
      <c r="BI97" s="32">
        <f t="shared" si="53"/>
        <v>1</v>
      </c>
    </row>
    <row r="98" spans="1:61" x14ac:dyDescent="0.45">
      <c r="A98" s="30">
        <f>step3_validation[[#This Row],[Persona_ID]]</f>
        <v>97</v>
      </c>
      <c r="B98" s="31">
        <f>step3_validation[[#This Row],[Used_Seed]]</f>
        <v>2087</v>
      </c>
      <c r="C98" t="str">
        <f>step3_validation[[#This Row],[Gender]]</f>
        <v>Nữ</v>
      </c>
      <c r="D98" t="str">
        <f>survey_responses[[#This Row],[Giới tính của bạn:]]</f>
        <v>Nữ</v>
      </c>
      <c r="E98" t="str">
        <f>step3_validation[[#This Row],[Age_Group]]</f>
        <v>55 - 64</v>
      </c>
      <c r="F98" t="str">
        <f>survey_responses[[#This Row],[Độ tuổi của bạn:]]</f>
        <v>55 - 64</v>
      </c>
      <c r="G98" t="str">
        <f>step3_validation[[#This Row],[Region]]</f>
        <v>Thành thị</v>
      </c>
      <c r="H98" t="str">
        <f>survey_responses[[#This Row],[Khu vực bạn đang sinh sống:]]</f>
        <v>Thành thị</v>
      </c>
      <c r="I98" t="str">
        <f>step3_validation[[#This Row],[Education]]</f>
        <v>Đại học</v>
      </c>
      <c r="J98" t="str">
        <f>survey_responses[[#This Row],[Trình độ học vấn cao nhất:]]</f>
        <v>Đại học</v>
      </c>
      <c r="K98" t="str">
        <f>step3_validation[[#This Row],[Employment]]</f>
        <v>Phi chính thức</v>
      </c>
      <c r="L98" t="str">
        <f>survey_responses[[#This Row],[Tình trạng việc làm chính:]]</f>
        <v>Khu vực phi chính thức (Lao động tự do, không có HĐLĐ)</v>
      </c>
      <c r="M98">
        <f>step3_validation[[#This Row],[Income_Mil]]</f>
        <v>163.82657445953265</v>
      </c>
      <c r="N98" t="str">
        <f>survey_responses[[#This Row],[Thu nhập bình quân tháng theo Hợp đồng lao động của bạn là bao nhiêu? (Vui lòng điền tổng thu nhập trước khi khấu trừ các loại Bảo hiểm (BHXH, BHYT, BHTN) và Thuế TNCN)]]</f>
        <v>Trên 102 triệu VNĐ</v>
      </c>
      <c r="O98">
        <f>step3_validation[[#This Row],[Dependents]]</f>
        <v>4</v>
      </c>
      <c r="P98" t="str">
        <f>survey_responses[[#This Row],[Số người phụ thuộc (con nhỏ, cha mẹ già...) đủ điều kiện giảm trừ gia cảnh:]]</f>
        <v>4 người trở lên</v>
      </c>
      <c r="Q98">
        <f>step3_validation[[#This Row],[AI_ENF1]]</f>
        <v>8</v>
      </c>
      <c r="R98" t="str">
        <f t="shared" si="27"/>
        <v>Support</v>
      </c>
      <c r="S98">
        <f>survey_responses[[#This Row],[Tôi tin rằng với các quy định quản lý thuế hiện nay, hành vi gian lận hoặc trốn thuế sẽ dễ dàng bị phát hiện và xử lý nghiêm. - HUMAN-ENF1]]</f>
        <v>6</v>
      </c>
      <c r="T98" t="str">
        <f t="shared" si="28"/>
        <v>Neutral</v>
      </c>
      <c r="U98" s="32">
        <f t="shared" si="29"/>
        <v>2</v>
      </c>
      <c r="V98">
        <f>step3_validation[[#This Row],[AI_ENF2]]</f>
        <v>9</v>
      </c>
      <c r="W98" t="str">
        <f t="shared" si="30"/>
        <v>Support</v>
      </c>
      <c r="X98">
        <f>survey_responses[[#This Row],[Tôi tin rằng Nhà nước, cơ quan thuế có đủ khả năng và công nghệ để phát hiện, xử lý nghiêm các hành vi trốn thuế. - HUMAN-ENF2]]</f>
        <v>6</v>
      </c>
      <c r="Y98" t="str">
        <f t="shared" si="31"/>
        <v>Neutral</v>
      </c>
      <c r="Z98" s="32">
        <f t="shared" si="32"/>
        <v>3</v>
      </c>
      <c r="AA98">
        <f>step3_validation[[#This Row],[AI_FAC1]]</f>
        <v>7</v>
      </c>
      <c r="AB98" t="str">
        <f t="shared" si="33"/>
        <v>Neutral</v>
      </c>
      <c r="AC98">
        <f>survey_responses[[#This Row],[Các thủ tục khai báo thuế VÀ/HOẶC quy trình làm việc với cơ quan thuế đơn giản, tiện lợi, nhanh chóng hơn so với trước đây. - HUMAN-FAC1]]</f>
        <v>5</v>
      </c>
      <c r="AD98" t="str">
        <f t="shared" si="34"/>
        <v>Neutral</v>
      </c>
      <c r="AE98" s="32">
        <f t="shared" si="35"/>
        <v>2</v>
      </c>
      <c r="AF98">
        <f>step3_validation[[#This Row],[AI_FAC2]]</f>
        <v>8</v>
      </c>
      <c r="AG98" t="str">
        <f t="shared" si="36"/>
        <v>Support</v>
      </c>
      <c r="AH98">
        <f>survey_responses[[#This Row],[So với trước đây, tôi thấy cách tính thuế và các bậc thuế trong phương án mới đơn giản, dễ hiểu và dễ thực hiện hơn. - HUMAN-FAC2]]</f>
        <v>5</v>
      </c>
      <c r="AI98" t="str">
        <f t="shared" si="37"/>
        <v>Neutral</v>
      </c>
      <c r="AJ98" s="32">
        <f t="shared" si="38"/>
        <v>3</v>
      </c>
      <c r="AK98">
        <f>step3_validation[[#This Row],[AI_TRU1]]</f>
        <v>7</v>
      </c>
      <c r="AL98" t="str">
        <f t="shared" si="39"/>
        <v>Neutral</v>
      </c>
      <c r="AM98">
        <f>survey_responses[[#This Row],[Tôi tin rằng Nhà nước, cơ quan thuế sẽ thực thi chính sách mới một cách khách quan, công tâm và đối xử bình đẳng với mọi người nộp thuế.  - HUMAN-TRU1]]</f>
        <v>5</v>
      </c>
      <c r="AN98" t="str">
        <f t="shared" si="40"/>
        <v>Neutral</v>
      </c>
      <c r="AO98" s="32">
        <f t="shared" si="41"/>
        <v>2</v>
      </c>
      <c r="AP98">
        <f>step3_validation[[#This Row],[AI_TRU2]]</f>
        <v>8</v>
      </c>
      <c r="AQ98" t="str">
        <f t="shared" si="42"/>
        <v>Support</v>
      </c>
      <c r="AR98">
        <f>survey_responses[[#This Row],[Tôi thấy mức thuế tôi phải đóng theo phương án mới là công bằng (người thu nhập như tôi đóng mức này là hợp lý). - HUMAN-TRU2]]</f>
        <v>5</v>
      </c>
      <c r="AS98" t="str">
        <f t="shared" si="43"/>
        <v>Neutral</v>
      </c>
      <c r="AT98" s="32">
        <f t="shared" si="44"/>
        <v>3</v>
      </c>
      <c r="AU98">
        <f>step3_validation[[#This Row],[AI_TRU3]]</f>
        <v>7</v>
      </c>
      <c r="AV98" t="str">
        <f t="shared" si="45"/>
        <v>Neutral</v>
      </c>
      <c r="AW98">
        <f>survey_responses[[#This Row],[Tôi tin tưởng số tiền thuế tôi đóng sẽ được Nhà nước sử dụng hiệu quả để cải thiện dịch vụ công (y tế, đường xá...). - HUMAN-TRU3]]</f>
        <v>5</v>
      </c>
      <c r="AX98" t="str">
        <f t="shared" si="46"/>
        <v>Neutral</v>
      </c>
      <c r="AY98" s="32">
        <f t="shared" si="47"/>
        <v>2</v>
      </c>
      <c r="AZ98">
        <f>step3_validation[[#This Row],[AI_TRU4]]</f>
        <v>8</v>
      </c>
      <c r="BA98" t="str">
        <f t="shared" si="48"/>
        <v>Support</v>
      </c>
      <c r="BB98">
        <f>survey_responses[[#This Row],[Tôi thấy Nhà nước đã giải thích rõ ràng, minh bạch về lý do và mục tiêu của việc sửa đổi thuế lần này. - HUMAN-TRU4]]</f>
        <v>5</v>
      </c>
      <c r="BC98" t="str">
        <f t="shared" si="49"/>
        <v>Neutral</v>
      </c>
      <c r="BD98" s="32">
        <f t="shared" si="50"/>
        <v>3</v>
      </c>
      <c r="BE98">
        <f>step3_validation[[#This Row],[AI_OUT1]]</f>
        <v>9</v>
      </c>
      <c r="BF98" t="str">
        <f t="shared" si="51"/>
        <v>Support</v>
      </c>
      <c r="BG98">
        <f>survey_responses[[#This Row],[Sau khi xem xét các quyền lợi và nghĩa vụ, bạn có ủng hộ và tuân thủ chính sách mới hiện nay? - HUMAN-OUT1]]</f>
        <v>5</v>
      </c>
      <c r="BH98" t="str">
        <f t="shared" si="52"/>
        <v>Neutral</v>
      </c>
      <c r="BI98" s="32">
        <f t="shared" si="53"/>
        <v>4</v>
      </c>
    </row>
    <row r="99" spans="1:61" x14ac:dyDescent="0.45">
      <c r="A99" s="30">
        <f>step3_validation[[#This Row],[Persona_ID]]</f>
        <v>98</v>
      </c>
      <c r="B99" s="31">
        <f>step3_validation[[#This Row],[Used_Seed]]</f>
        <v>2088</v>
      </c>
      <c r="C99" t="str">
        <f>step3_validation[[#This Row],[Gender]]</f>
        <v>Nữ</v>
      </c>
      <c r="D99" t="str">
        <f>survey_responses[[#This Row],[Giới tính của bạn:]]</f>
        <v>Nữ</v>
      </c>
      <c r="E99" t="str">
        <f>step3_validation[[#This Row],[Age_Group]]</f>
        <v>30 - 39</v>
      </c>
      <c r="F99" t="str">
        <f>survey_responses[[#This Row],[Độ tuổi của bạn:]]</f>
        <v>30 - 39</v>
      </c>
      <c r="G99" t="str">
        <f>step3_validation[[#This Row],[Region]]</f>
        <v>Nông thôn</v>
      </c>
      <c r="H99" t="str">
        <f>survey_responses[[#This Row],[Khu vực bạn đang sinh sống:]]</f>
        <v>Nông thôn</v>
      </c>
      <c r="I99" t="str">
        <f>step3_validation[[#This Row],[Education]]</f>
        <v>Đại học</v>
      </c>
      <c r="J99" t="str">
        <f>survey_responses[[#This Row],[Trình độ học vấn cao nhất:]]</f>
        <v>Đại học</v>
      </c>
      <c r="K99" t="str">
        <f>step3_validation[[#This Row],[Employment]]</f>
        <v>Chính thức</v>
      </c>
      <c r="L99" t="str">
        <f>survey_responses[[#This Row],[Tình trạng việc làm chính:]]</f>
        <v>Khu vực chính thức (Có Hợp đồng lao động, đóng BHXH)</v>
      </c>
      <c r="M99">
        <f>step3_validation[[#This Row],[Income_Mil]]</f>
        <v>19.176103235392247</v>
      </c>
      <c r="N99" t="str">
        <f>survey_responses[[#This Row],[Thu nhập bình quân tháng theo Hợp đồng lao động của bạn là bao nhiêu? (Vui lòng điền tổng thu nhập trước khi khấu trừ các loại Bảo hiểm (BHXH, BHYT, BHTN) và Thuế TNCN)]]</f>
        <v>Từ 18 - 23 triệu VNĐ</v>
      </c>
      <c r="O99">
        <f>step3_validation[[#This Row],[Dependents]]</f>
        <v>0</v>
      </c>
      <c r="P99" t="str">
        <f>survey_responses[[#This Row],[Số người phụ thuộc (con nhỏ, cha mẹ già...) đủ điều kiện giảm trừ gia cảnh:]]</f>
        <v>0 người</v>
      </c>
      <c r="Q99">
        <f>step3_validation[[#This Row],[AI_ENF1]]</f>
        <v>8</v>
      </c>
      <c r="R99" t="str">
        <f t="shared" si="27"/>
        <v>Support</v>
      </c>
      <c r="S99">
        <f>survey_responses[[#This Row],[Tôi tin rằng với các quy định quản lý thuế hiện nay, hành vi gian lận hoặc trốn thuế sẽ dễ dàng bị phát hiện và xử lý nghiêm. - HUMAN-ENF1]]</f>
        <v>8</v>
      </c>
      <c r="T99" t="str">
        <f t="shared" si="28"/>
        <v>Support</v>
      </c>
      <c r="U99" s="32">
        <f t="shared" si="29"/>
        <v>0</v>
      </c>
      <c r="V99">
        <f>step3_validation[[#This Row],[AI_ENF2]]</f>
        <v>9</v>
      </c>
      <c r="W99" t="str">
        <f t="shared" si="30"/>
        <v>Support</v>
      </c>
      <c r="X99">
        <f>survey_responses[[#This Row],[Tôi tin rằng Nhà nước, cơ quan thuế có đủ khả năng và công nghệ để phát hiện, xử lý nghiêm các hành vi trốn thuế. - HUMAN-ENF2]]</f>
        <v>8</v>
      </c>
      <c r="Y99" t="str">
        <f t="shared" si="31"/>
        <v>Support</v>
      </c>
      <c r="Z99" s="32">
        <f t="shared" si="32"/>
        <v>1</v>
      </c>
      <c r="AA99">
        <f>step3_validation[[#This Row],[AI_FAC1]]</f>
        <v>7</v>
      </c>
      <c r="AB99" t="str">
        <f t="shared" si="33"/>
        <v>Neutral</v>
      </c>
      <c r="AC99">
        <f>survey_responses[[#This Row],[Các thủ tục khai báo thuế VÀ/HOẶC quy trình làm việc với cơ quan thuế đơn giản, tiện lợi, nhanh chóng hơn so với trước đây. - HUMAN-FAC1]]</f>
        <v>5</v>
      </c>
      <c r="AD99" t="str">
        <f t="shared" si="34"/>
        <v>Neutral</v>
      </c>
      <c r="AE99" s="32">
        <f t="shared" si="35"/>
        <v>2</v>
      </c>
      <c r="AF99">
        <f>step3_validation[[#This Row],[AI_FAC2]]</f>
        <v>8</v>
      </c>
      <c r="AG99" t="str">
        <f t="shared" si="36"/>
        <v>Support</v>
      </c>
      <c r="AH99">
        <f>survey_responses[[#This Row],[So với trước đây, tôi thấy cách tính thuế và các bậc thuế trong phương án mới đơn giản, dễ hiểu và dễ thực hiện hơn. - HUMAN-FAC2]]</f>
        <v>8</v>
      </c>
      <c r="AI99" t="str">
        <f t="shared" si="37"/>
        <v>Support</v>
      </c>
      <c r="AJ99" s="32">
        <f t="shared" si="38"/>
        <v>0</v>
      </c>
      <c r="AK99">
        <f>step3_validation[[#This Row],[AI_TRU1]]</f>
        <v>9</v>
      </c>
      <c r="AL99" t="str">
        <f t="shared" si="39"/>
        <v>Support</v>
      </c>
      <c r="AM99">
        <f>survey_responses[[#This Row],[Tôi tin rằng Nhà nước, cơ quan thuế sẽ thực thi chính sách mới một cách khách quan, công tâm và đối xử bình đẳng với mọi người nộp thuế.  - HUMAN-TRU1]]</f>
        <v>6</v>
      </c>
      <c r="AN99" t="str">
        <f t="shared" si="40"/>
        <v>Neutral</v>
      </c>
      <c r="AO99" s="32">
        <f t="shared" si="41"/>
        <v>3</v>
      </c>
      <c r="AP99">
        <f>step3_validation[[#This Row],[AI_TRU2]]</f>
        <v>7</v>
      </c>
      <c r="AQ99" t="str">
        <f t="shared" si="42"/>
        <v>Neutral</v>
      </c>
      <c r="AR99">
        <f>survey_responses[[#This Row],[Tôi thấy mức thuế tôi phải đóng theo phương án mới là công bằng (người thu nhập như tôi đóng mức này là hợp lý). - HUMAN-TRU2]]</f>
        <v>9</v>
      </c>
      <c r="AS99" t="str">
        <f t="shared" si="43"/>
        <v>Support</v>
      </c>
      <c r="AT99" s="32">
        <f t="shared" si="44"/>
        <v>2</v>
      </c>
      <c r="AU99">
        <f>step3_validation[[#This Row],[AI_TRU3]]</f>
        <v>8</v>
      </c>
      <c r="AV99" t="str">
        <f t="shared" si="45"/>
        <v>Support</v>
      </c>
      <c r="AW99">
        <f>survey_responses[[#This Row],[Tôi tin tưởng số tiền thuế tôi đóng sẽ được Nhà nước sử dụng hiệu quả để cải thiện dịch vụ công (y tế, đường xá...). - HUMAN-TRU3]]</f>
        <v>5</v>
      </c>
      <c r="AX99" t="str">
        <f t="shared" si="46"/>
        <v>Neutral</v>
      </c>
      <c r="AY99" s="32">
        <f t="shared" si="47"/>
        <v>3</v>
      </c>
      <c r="AZ99">
        <f>step3_validation[[#This Row],[AI_TRU4]]</f>
        <v>6</v>
      </c>
      <c r="BA99" t="str">
        <f t="shared" si="48"/>
        <v>Neutral</v>
      </c>
      <c r="BB99">
        <f>survey_responses[[#This Row],[Tôi thấy Nhà nước đã giải thích rõ ràng, minh bạch về lý do và mục tiêu của việc sửa đổi thuế lần này. - HUMAN-TRU4]]</f>
        <v>7</v>
      </c>
      <c r="BC99" t="str">
        <f t="shared" si="49"/>
        <v>Neutral</v>
      </c>
      <c r="BD99" s="32">
        <f t="shared" si="50"/>
        <v>1</v>
      </c>
      <c r="BE99">
        <f>step3_validation[[#This Row],[AI_OUT1]]</f>
        <v>7</v>
      </c>
      <c r="BF99" t="str">
        <f t="shared" si="51"/>
        <v>Neutral</v>
      </c>
      <c r="BG99">
        <f>survey_responses[[#This Row],[Sau khi xem xét các quyền lợi và nghĩa vụ, bạn có ủng hộ và tuân thủ chính sách mới hiện nay? - HUMAN-OUT1]]</f>
        <v>8</v>
      </c>
      <c r="BH99" t="str">
        <f t="shared" si="52"/>
        <v>Support</v>
      </c>
      <c r="BI99" s="32">
        <f t="shared" si="53"/>
        <v>1</v>
      </c>
    </row>
    <row r="100" spans="1:61" x14ac:dyDescent="0.45">
      <c r="A100" s="30">
        <f>step3_validation[[#This Row],[Persona_ID]]</f>
        <v>99</v>
      </c>
      <c r="B100" s="31">
        <f>step3_validation[[#This Row],[Used_Seed]]</f>
        <v>2089</v>
      </c>
      <c r="C100" t="str">
        <f>step3_validation[[#This Row],[Gender]]</f>
        <v>Nam</v>
      </c>
      <c r="D100" t="str">
        <f>survey_responses[[#This Row],[Giới tính của bạn:]]</f>
        <v>Nam</v>
      </c>
      <c r="E100" t="str">
        <f>step3_validation[[#This Row],[Age_Group]]</f>
        <v>25 - 29</v>
      </c>
      <c r="F100" t="str">
        <f>survey_responses[[#This Row],[Độ tuổi của bạn:]]</f>
        <v>25 - 29</v>
      </c>
      <c r="G100" t="str">
        <f>step3_validation[[#This Row],[Region]]</f>
        <v>Thành thị</v>
      </c>
      <c r="H100" t="str">
        <f>survey_responses[[#This Row],[Khu vực bạn đang sinh sống:]]</f>
        <v>Thành thị</v>
      </c>
      <c r="I100" t="str">
        <f>step3_validation[[#This Row],[Education]]</f>
        <v>Đại học</v>
      </c>
      <c r="J100" t="str">
        <f>survey_responses[[#This Row],[Trình độ học vấn cao nhất:]]</f>
        <v>Đại học</v>
      </c>
      <c r="K100" t="str">
        <f>step3_validation[[#This Row],[Employment]]</f>
        <v>Chính thức</v>
      </c>
      <c r="L100" t="str">
        <f>survey_responses[[#This Row],[Tình trạng việc làm chính:]]</f>
        <v>Khu vực chính thức (Có Hợp đồng lao động, đóng BHXH)</v>
      </c>
      <c r="M100">
        <f>step3_validation[[#This Row],[Income_Mil]]</f>
        <v>23.814557790619137</v>
      </c>
      <c r="N100" t="str">
        <f>survey_responses[[#This Row],[Thu nhập bình quân tháng theo Hợp đồng lao động của bạn là bao nhiêu? (Vui lòng điền tổng thu nhập trước khi khấu trừ các loại Bảo hiểm (BHXH, BHYT, BHTN) và Thuế TNCN)]]</f>
        <v>Từ 23 - 32 triệu VNĐ</v>
      </c>
      <c r="O100">
        <f>step3_validation[[#This Row],[Dependents]]</f>
        <v>1</v>
      </c>
      <c r="P100" t="str">
        <f>survey_responses[[#This Row],[Số người phụ thuộc (con nhỏ, cha mẹ già...) đủ điều kiện giảm trừ gia cảnh:]]</f>
        <v>1 người</v>
      </c>
      <c r="Q100">
        <f>step3_validation[[#This Row],[AI_ENF1]]</f>
        <v>7</v>
      </c>
      <c r="R100" t="str">
        <f t="shared" si="27"/>
        <v>Neutral</v>
      </c>
      <c r="S100">
        <f>survey_responses[[#This Row],[Tôi tin rằng với các quy định quản lý thuế hiện nay, hành vi gian lận hoặc trốn thuế sẽ dễ dàng bị phát hiện và xử lý nghiêm. - HUMAN-ENF1]]</f>
        <v>6</v>
      </c>
      <c r="T100" t="str">
        <f t="shared" si="28"/>
        <v>Neutral</v>
      </c>
      <c r="U100" s="32">
        <f t="shared" si="29"/>
        <v>1</v>
      </c>
      <c r="V100">
        <f>step3_validation[[#This Row],[AI_ENF2]]</f>
        <v>6</v>
      </c>
      <c r="W100" t="str">
        <f t="shared" si="30"/>
        <v>Neutral</v>
      </c>
      <c r="X100">
        <f>survey_responses[[#This Row],[Tôi tin rằng Nhà nước, cơ quan thuế có đủ khả năng và công nghệ để phát hiện, xử lý nghiêm các hành vi trốn thuế. - HUMAN-ENF2]]</f>
        <v>6</v>
      </c>
      <c r="Y100" t="str">
        <f t="shared" si="31"/>
        <v>Neutral</v>
      </c>
      <c r="Z100" s="32">
        <f t="shared" si="32"/>
        <v>0</v>
      </c>
      <c r="AA100">
        <f>step3_validation[[#This Row],[AI_FAC1]]</f>
        <v>8</v>
      </c>
      <c r="AB100" t="str">
        <f t="shared" si="33"/>
        <v>Support</v>
      </c>
      <c r="AC100">
        <f>survey_responses[[#This Row],[Các thủ tục khai báo thuế VÀ/HOẶC quy trình làm việc với cơ quan thuế đơn giản, tiện lợi, nhanh chóng hơn so với trước đây. - HUMAN-FAC1]]</f>
        <v>3</v>
      </c>
      <c r="AD100" t="str">
        <f t="shared" si="34"/>
        <v>Oppose</v>
      </c>
      <c r="AE100" s="32">
        <f t="shared" si="35"/>
        <v>5</v>
      </c>
      <c r="AF100">
        <f>step3_validation[[#This Row],[AI_FAC2]]</f>
        <v>9</v>
      </c>
      <c r="AG100" t="str">
        <f t="shared" si="36"/>
        <v>Support</v>
      </c>
      <c r="AH100">
        <f>survey_responses[[#This Row],[So với trước đây, tôi thấy cách tính thuế và các bậc thuế trong phương án mới đơn giản, dễ hiểu và dễ thực hiện hơn. - HUMAN-FAC2]]</f>
        <v>6</v>
      </c>
      <c r="AI100" t="str">
        <f t="shared" si="37"/>
        <v>Neutral</v>
      </c>
      <c r="AJ100" s="32">
        <f t="shared" si="38"/>
        <v>3</v>
      </c>
      <c r="AK100">
        <f>step3_validation[[#This Row],[AI_TRU1]]</f>
        <v>7</v>
      </c>
      <c r="AL100" t="str">
        <f t="shared" si="39"/>
        <v>Neutral</v>
      </c>
      <c r="AM100">
        <f>survey_responses[[#This Row],[Tôi tin rằng Nhà nước, cơ quan thuế sẽ thực thi chính sách mới một cách khách quan, công tâm và đối xử bình đẳng với mọi người nộp thuế.  - HUMAN-TRU1]]</f>
        <v>5</v>
      </c>
      <c r="AN100" t="str">
        <f t="shared" si="40"/>
        <v>Neutral</v>
      </c>
      <c r="AO100" s="32">
        <f t="shared" si="41"/>
        <v>2</v>
      </c>
      <c r="AP100">
        <f>step3_validation[[#This Row],[AI_TRU2]]</f>
        <v>8</v>
      </c>
      <c r="AQ100" t="str">
        <f t="shared" si="42"/>
        <v>Support</v>
      </c>
      <c r="AR100">
        <f>survey_responses[[#This Row],[Tôi thấy mức thuế tôi phải đóng theo phương án mới là công bằng (người thu nhập như tôi đóng mức này là hợp lý). - HUMAN-TRU2]]</f>
        <v>6</v>
      </c>
      <c r="AS100" t="str">
        <f t="shared" si="43"/>
        <v>Neutral</v>
      </c>
      <c r="AT100" s="32">
        <f t="shared" si="44"/>
        <v>2</v>
      </c>
      <c r="AU100">
        <f>step3_validation[[#This Row],[AI_TRU3]]</f>
        <v>7</v>
      </c>
      <c r="AV100" t="str">
        <f t="shared" si="45"/>
        <v>Neutral</v>
      </c>
      <c r="AW100">
        <f>survey_responses[[#This Row],[Tôi tin tưởng số tiền thuế tôi đóng sẽ được Nhà nước sử dụng hiệu quả để cải thiện dịch vụ công (y tế, đường xá...). - HUMAN-TRU3]]</f>
        <v>5</v>
      </c>
      <c r="AX100" t="str">
        <f t="shared" si="46"/>
        <v>Neutral</v>
      </c>
      <c r="AY100" s="32">
        <f t="shared" si="47"/>
        <v>2</v>
      </c>
      <c r="AZ100">
        <f>step3_validation[[#This Row],[AI_TRU4]]</f>
        <v>6</v>
      </c>
      <c r="BA100" t="str">
        <f t="shared" si="48"/>
        <v>Neutral</v>
      </c>
      <c r="BB100">
        <f>survey_responses[[#This Row],[Tôi thấy Nhà nước đã giải thích rõ ràng, minh bạch về lý do và mục tiêu của việc sửa đổi thuế lần này. - HUMAN-TRU4]]</f>
        <v>6</v>
      </c>
      <c r="BC100" t="str">
        <f t="shared" si="49"/>
        <v>Neutral</v>
      </c>
      <c r="BD100" s="32">
        <f t="shared" si="50"/>
        <v>0</v>
      </c>
      <c r="BE100">
        <f>step3_validation[[#This Row],[AI_OUT1]]</f>
        <v>8</v>
      </c>
      <c r="BF100" t="str">
        <f t="shared" si="51"/>
        <v>Support</v>
      </c>
      <c r="BG100">
        <f>survey_responses[[#This Row],[Sau khi xem xét các quyền lợi và nghĩa vụ, bạn có ủng hộ và tuân thủ chính sách mới hiện nay? - HUMAN-OUT1]]</f>
        <v>6</v>
      </c>
      <c r="BH100" t="str">
        <f t="shared" si="52"/>
        <v>Neutral</v>
      </c>
      <c r="BI100" s="32">
        <f t="shared" si="53"/>
        <v>2</v>
      </c>
    </row>
    <row r="101" spans="1:61" x14ac:dyDescent="0.45">
      <c r="A101" s="30">
        <f>step3_validation[[#This Row],[Persona_ID]]</f>
        <v>100</v>
      </c>
      <c r="B101" s="31">
        <f>step3_validation[[#This Row],[Used_Seed]]</f>
        <v>2090</v>
      </c>
      <c r="C101" t="str">
        <f>step3_validation[[#This Row],[Gender]]</f>
        <v>Nữ</v>
      </c>
      <c r="D101" t="str">
        <f>survey_responses[[#This Row],[Giới tính của bạn:]]</f>
        <v>Nữ</v>
      </c>
      <c r="E101" t="str">
        <f>step3_validation[[#This Row],[Age_Group]]</f>
        <v>55 - 64</v>
      </c>
      <c r="F101" t="str">
        <f>survey_responses[[#This Row],[Độ tuổi của bạn:]]</f>
        <v>55 - 64</v>
      </c>
      <c r="G101" t="str">
        <f>step3_validation[[#This Row],[Region]]</f>
        <v>Thành thị</v>
      </c>
      <c r="H101" t="str">
        <f>survey_responses[[#This Row],[Khu vực bạn đang sinh sống:]]</f>
        <v>Thành thị</v>
      </c>
      <c r="I101" t="str">
        <f>step3_validation[[#This Row],[Education]]</f>
        <v>Đại học</v>
      </c>
      <c r="J101" t="str">
        <f>survey_responses[[#This Row],[Trình độ học vấn cao nhất:]]</f>
        <v>Đại học</v>
      </c>
      <c r="K101" t="str">
        <f>step3_validation[[#This Row],[Employment]]</f>
        <v>Chính thức</v>
      </c>
      <c r="L101" t="str">
        <f>survey_responses[[#This Row],[Tình trạng việc làm chính:]]</f>
        <v>Khu vực chính thức (Có Hợp đồng lao động, đóng BHXH)</v>
      </c>
      <c r="M101">
        <f>step3_validation[[#This Row],[Income_Mil]]</f>
        <v>14.496198766757509</v>
      </c>
      <c r="N101" t="str">
        <f>survey_responses[[#This Row],[Thu nhập bình quân tháng theo Hợp đồng lao động của bạn là bao nhiêu? (Vui lòng điền tổng thu nhập trước khi khấu trừ các loại Bảo hiểm (BHXH, BHYT, BHTN) và Thuế TNCN)]]</f>
        <v>Từ 12 - 18 triệu VNĐ</v>
      </c>
      <c r="O101">
        <f>step3_validation[[#This Row],[Dependents]]</f>
        <v>1</v>
      </c>
      <c r="P101" t="str">
        <f>survey_responses[[#This Row],[Số người phụ thuộc (con nhỏ, cha mẹ già...) đủ điều kiện giảm trừ gia cảnh:]]</f>
        <v>1 người</v>
      </c>
      <c r="Q101">
        <f>step3_validation[[#This Row],[AI_ENF1]]</f>
        <v>7</v>
      </c>
      <c r="R101" t="str">
        <f t="shared" si="27"/>
        <v>Neutral</v>
      </c>
      <c r="S101">
        <f>survey_responses[[#This Row],[Tôi tin rằng với các quy định quản lý thuế hiện nay, hành vi gian lận hoặc trốn thuế sẽ dễ dàng bị phát hiện và xử lý nghiêm. - HUMAN-ENF1]]</f>
        <v>8</v>
      </c>
      <c r="T101" t="str">
        <f t="shared" si="28"/>
        <v>Support</v>
      </c>
      <c r="U101" s="32">
        <f t="shared" si="29"/>
        <v>1</v>
      </c>
      <c r="V101">
        <f>step3_validation[[#This Row],[AI_ENF2]]</f>
        <v>8</v>
      </c>
      <c r="W101" t="str">
        <f t="shared" si="30"/>
        <v>Support</v>
      </c>
      <c r="X101">
        <f>survey_responses[[#This Row],[Tôi tin rằng Nhà nước, cơ quan thuế có đủ khả năng và công nghệ để phát hiện, xử lý nghiêm các hành vi trốn thuế. - HUMAN-ENF2]]</f>
        <v>8</v>
      </c>
      <c r="Y101" t="str">
        <f t="shared" si="31"/>
        <v>Support</v>
      </c>
      <c r="Z101" s="32">
        <f t="shared" si="32"/>
        <v>0</v>
      </c>
      <c r="AA101">
        <f>step3_validation[[#This Row],[AI_FAC1]]</f>
        <v>9</v>
      </c>
      <c r="AB101" t="str">
        <f t="shared" si="33"/>
        <v>Support</v>
      </c>
      <c r="AC101">
        <f>survey_responses[[#This Row],[Các thủ tục khai báo thuế VÀ/HOẶC quy trình làm việc với cơ quan thuế đơn giản, tiện lợi, nhanh chóng hơn so với trước đây. - HUMAN-FAC1]]</f>
        <v>8</v>
      </c>
      <c r="AD101" t="str">
        <f t="shared" si="34"/>
        <v>Support</v>
      </c>
      <c r="AE101" s="32">
        <f t="shared" si="35"/>
        <v>1</v>
      </c>
      <c r="AF101">
        <f>step3_validation[[#This Row],[AI_FAC2]]</f>
        <v>8</v>
      </c>
      <c r="AG101" t="str">
        <f t="shared" si="36"/>
        <v>Support</v>
      </c>
      <c r="AH101">
        <f>survey_responses[[#This Row],[So với trước đây, tôi thấy cách tính thuế và các bậc thuế trong phương án mới đơn giản, dễ hiểu và dễ thực hiện hơn. - HUMAN-FAC2]]</f>
        <v>10</v>
      </c>
      <c r="AI101" t="str">
        <f t="shared" si="37"/>
        <v>Support</v>
      </c>
      <c r="AJ101" s="32">
        <f t="shared" si="38"/>
        <v>2</v>
      </c>
      <c r="AK101">
        <f>step3_validation[[#This Row],[AI_TRU1]]</f>
        <v>7</v>
      </c>
      <c r="AL101" t="str">
        <f t="shared" si="39"/>
        <v>Neutral</v>
      </c>
      <c r="AM101">
        <f>survey_responses[[#This Row],[Tôi tin rằng Nhà nước, cơ quan thuế sẽ thực thi chính sách mới một cách khách quan, công tâm và đối xử bình đẳng với mọi người nộp thuế.  - HUMAN-TRU1]]</f>
        <v>10</v>
      </c>
      <c r="AN101" t="str">
        <f t="shared" si="40"/>
        <v>Support</v>
      </c>
      <c r="AO101" s="32">
        <f t="shared" si="41"/>
        <v>3</v>
      </c>
      <c r="AP101">
        <f>step3_validation[[#This Row],[AI_TRU2]]</f>
        <v>8</v>
      </c>
      <c r="AQ101" t="str">
        <f t="shared" si="42"/>
        <v>Support</v>
      </c>
      <c r="AR101">
        <f>survey_responses[[#This Row],[Tôi thấy mức thuế tôi phải đóng theo phương án mới là công bằng (người thu nhập như tôi đóng mức này là hợp lý). - HUMAN-TRU2]]</f>
        <v>10</v>
      </c>
      <c r="AS101" t="str">
        <f t="shared" si="43"/>
        <v>Support</v>
      </c>
      <c r="AT101" s="32">
        <f t="shared" si="44"/>
        <v>2</v>
      </c>
      <c r="AU101">
        <f>step3_validation[[#This Row],[AI_TRU3]]</f>
        <v>7</v>
      </c>
      <c r="AV101" t="str">
        <f t="shared" si="45"/>
        <v>Neutral</v>
      </c>
      <c r="AW101">
        <f>survey_responses[[#This Row],[Tôi tin tưởng số tiền thuế tôi đóng sẽ được Nhà nước sử dụng hiệu quả để cải thiện dịch vụ công (y tế, đường xá...). - HUMAN-TRU3]]</f>
        <v>10</v>
      </c>
      <c r="AX101" t="str">
        <f t="shared" si="46"/>
        <v>Support</v>
      </c>
      <c r="AY101" s="32">
        <f t="shared" si="47"/>
        <v>3</v>
      </c>
      <c r="AZ101">
        <f>step3_validation[[#This Row],[AI_TRU4]]</f>
        <v>6</v>
      </c>
      <c r="BA101" t="str">
        <f t="shared" si="48"/>
        <v>Neutral</v>
      </c>
      <c r="BB101">
        <f>survey_responses[[#This Row],[Tôi thấy Nhà nước đã giải thích rõ ràng, minh bạch về lý do và mục tiêu của việc sửa đổi thuế lần này. - HUMAN-TRU4]]</f>
        <v>10</v>
      </c>
      <c r="BC101" t="str">
        <f t="shared" si="49"/>
        <v>Support</v>
      </c>
      <c r="BD101" s="32">
        <f t="shared" si="50"/>
        <v>4</v>
      </c>
      <c r="BE101">
        <f>step3_validation[[#This Row],[AI_OUT1]]</f>
        <v>8</v>
      </c>
      <c r="BF101" t="str">
        <f t="shared" si="51"/>
        <v>Support</v>
      </c>
      <c r="BG101">
        <f>survey_responses[[#This Row],[Sau khi xem xét các quyền lợi và nghĩa vụ, bạn có ủng hộ và tuân thủ chính sách mới hiện nay? - HUMAN-OUT1]]</f>
        <v>10</v>
      </c>
      <c r="BH101" t="str">
        <f t="shared" si="52"/>
        <v>Support</v>
      </c>
      <c r="BI101" s="32">
        <f t="shared" si="53"/>
        <v>2</v>
      </c>
    </row>
    <row r="102" spans="1:61" x14ac:dyDescent="0.45">
      <c r="A102" s="30">
        <f>step3_validation[[#This Row],[Persona_ID]]</f>
        <v>101</v>
      </c>
      <c r="B102" s="31">
        <f>step3_validation[[#This Row],[Used_Seed]]</f>
        <v>2091</v>
      </c>
      <c r="C102" t="str">
        <f>step3_validation[[#This Row],[Gender]]</f>
        <v>Nữ</v>
      </c>
      <c r="D102" t="str">
        <f>survey_responses[[#This Row],[Giới tính của bạn:]]</f>
        <v>Nữ</v>
      </c>
      <c r="E102" t="str">
        <f>step3_validation[[#This Row],[Age_Group]]</f>
        <v>50 - 54</v>
      </c>
      <c r="F102" t="str">
        <f>survey_responses[[#This Row],[Độ tuổi của bạn:]]</f>
        <v>50 - 54</v>
      </c>
      <c r="G102" t="str">
        <f>step3_validation[[#This Row],[Region]]</f>
        <v>Thành thị</v>
      </c>
      <c r="H102" t="str">
        <f>survey_responses[[#This Row],[Khu vực bạn đang sinh sống:]]</f>
        <v>Thành thị</v>
      </c>
      <c r="I102" t="str">
        <f>step3_validation[[#This Row],[Education]]</f>
        <v>Sau Đại học</v>
      </c>
      <c r="J102" t="str">
        <f>survey_responses[[#This Row],[Trình độ học vấn cao nhất:]]</f>
        <v>Sau Đại học</v>
      </c>
      <c r="K102" t="str">
        <f>step3_validation[[#This Row],[Employment]]</f>
        <v>Chính thức</v>
      </c>
      <c r="L102" t="str">
        <f>survey_responses[[#This Row],[Tình trạng việc làm chính:]]</f>
        <v>Khu vực chính thức (Có Hợp đồng lao động, đóng BHXH)</v>
      </c>
      <c r="M102">
        <f>step3_validation[[#This Row],[Income_Mil]]</f>
        <v>75.396638625455793</v>
      </c>
      <c r="N102" t="str">
        <f>survey_responses[[#This Row],[Thu nhập bình quân tháng theo Hợp đồng lao động của bạn là bao nhiêu? (Vui lòng điền tổng thu nhập trước khi khấu trừ các loại Bảo hiểm (BHXH, BHYT, BHTN) và Thuế TNCN)]]</f>
        <v>Từ 70 - 102 triệu VNĐ</v>
      </c>
      <c r="O102">
        <f>step3_validation[[#This Row],[Dependents]]</f>
        <v>4</v>
      </c>
      <c r="P102" t="str">
        <f>survey_responses[[#This Row],[Số người phụ thuộc (con nhỏ, cha mẹ già...) đủ điều kiện giảm trừ gia cảnh:]]</f>
        <v>4 người trở lên</v>
      </c>
      <c r="Q102">
        <f>step3_validation[[#This Row],[AI_ENF1]]</f>
        <v>8</v>
      </c>
      <c r="R102" t="str">
        <f t="shared" si="27"/>
        <v>Support</v>
      </c>
      <c r="S102">
        <f>survey_responses[[#This Row],[Tôi tin rằng với các quy định quản lý thuế hiện nay, hành vi gian lận hoặc trốn thuế sẽ dễ dàng bị phát hiện và xử lý nghiêm. - HUMAN-ENF1]]</f>
        <v>8</v>
      </c>
      <c r="T102" t="str">
        <f t="shared" si="28"/>
        <v>Support</v>
      </c>
      <c r="U102" s="32">
        <f t="shared" si="29"/>
        <v>0</v>
      </c>
      <c r="V102">
        <f>step3_validation[[#This Row],[AI_ENF2]]</f>
        <v>9</v>
      </c>
      <c r="W102" t="str">
        <f t="shared" si="30"/>
        <v>Support</v>
      </c>
      <c r="X102">
        <f>survey_responses[[#This Row],[Tôi tin rằng Nhà nước, cơ quan thuế có đủ khả năng và công nghệ để phát hiện, xử lý nghiêm các hành vi trốn thuế. - HUMAN-ENF2]]</f>
        <v>8</v>
      </c>
      <c r="Y102" t="str">
        <f t="shared" si="31"/>
        <v>Support</v>
      </c>
      <c r="Z102" s="32">
        <f t="shared" si="32"/>
        <v>1</v>
      </c>
      <c r="AA102">
        <f>step3_validation[[#This Row],[AI_FAC1]]</f>
        <v>8</v>
      </c>
      <c r="AB102" t="str">
        <f t="shared" si="33"/>
        <v>Support</v>
      </c>
      <c r="AC102">
        <f>survey_responses[[#This Row],[Các thủ tục khai báo thuế VÀ/HOẶC quy trình làm việc với cơ quan thuế đơn giản, tiện lợi, nhanh chóng hơn so với trước đây. - HUMAN-FAC1]]</f>
        <v>7</v>
      </c>
      <c r="AD102" t="str">
        <f t="shared" si="34"/>
        <v>Neutral</v>
      </c>
      <c r="AE102" s="32">
        <f t="shared" si="35"/>
        <v>1</v>
      </c>
      <c r="AF102">
        <f>step3_validation[[#This Row],[AI_FAC2]]</f>
        <v>9</v>
      </c>
      <c r="AG102" t="str">
        <f t="shared" si="36"/>
        <v>Support</v>
      </c>
      <c r="AH102">
        <f>survey_responses[[#This Row],[So với trước đây, tôi thấy cách tính thuế và các bậc thuế trong phương án mới đơn giản, dễ hiểu và dễ thực hiện hơn. - HUMAN-FAC2]]</f>
        <v>8</v>
      </c>
      <c r="AI102" t="str">
        <f t="shared" si="37"/>
        <v>Support</v>
      </c>
      <c r="AJ102" s="32">
        <f t="shared" si="38"/>
        <v>1</v>
      </c>
      <c r="AK102">
        <f>step3_validation[[#This Row],[AI_TRU1]]</f>
        <v>8</v>
      </c>
      <c r="AL102" t="str">
        <f t="shared" si="39"/>
        <v>Support</v>
      </c>
      <c r="AM102">
        <f>survey_responses[[#This Row],[Tôi tin rằng Nhà nước, cơ quan thuế sẽ thực thi chính sách mới một cách khách quan, công tâm và đối xử bình đẳng với mọi người nộp thuế.  - HUMAN-TRU1]]</f>
        <v>8</v>
      </c>
      <c r="AN102" t="str">
        <f t="shared" si="40"/>
        <v>Support</v>
      </c>
      <c r="AO102" s="32">
        <f t="shared" si="41"/>
        <v>0</v>
      </c>
      <c r="AP102">
        <f>step3_validation[[#This Row],[AI_TRU2]]</f>
        <v>7</v>
      </c>
      <c r="AQ102" t="str">
        <f t="shared" si="42"/>
        <v>Neutral</v>
      </c>
      <c r="AR102">
        <f>survey_responses[[#This Row],[Tôi thấy mức thuế tôi phải đóng theo phương án mới là công bằng (người thu nhập như tôi đóng mức này là hợp lý). - HUMAN-TRU2]]</f>
        <v>7</v>
      </c>
      <c r="AS102" t="str">
        <f t="shared" si="43"/>
        <v>Neutral</v>
      </c>
      <c r="AT102" s="32">
        <f t="shared" si="44"/>
        <v>0</v>
      </c>
      <c r="AU102">
        <f>step3_validation[[#This Row],[AI_TRU3]]</f>
        <v>8</v>
      </c>
      <c r="AV102" t="str">
        <f t="shared" si="45"/>
        <v>Support</v>
      </c>
      <c r="AW102">
        <f>survey_responses[[#This Row],[Tôi tin tưởng số tiền thuế tôi đóng sẽ được Nhà nước sử dụng hiệu quả để cải thiện dịch vụ công (y tế, đường xá...). - HUMAN-TRU3]]</f>
        <v>7</v>
      </c>
      <c r="AX102" t="str">
        <f t="shared" si="46"/>
        <v>Neutral</v>
      </c>
      <c r="AY102" s="32">
        <f t="shared" si="47"/>
        <v>1</v>
      </c>
      <c r="AZ102">
        <f>step3_validation[[#This Row],[AI_TRU4]]</f>
        <v>7</v>
      </c>
      <c r="BA102" t="str">
        <f t="shared" si="48"/>
        <v>Neutral</v>
      </c>
      <c r="BB102">
        <f>survey_responses[[#This Row],[Tôi thấy Nhà nước đã giải thích rõ ràng, minh bạch về lý do và mục tiêu của việc sửa đổi thuế lần này. - HUMAN-TRU4]]</f>
        <v>7</v>
      </c>
      <c r="BC102" t="str">
        <f t="shared" si="49"/>
        <v>Neutral</v>
      </c>
      <c r="BD102" s="32">
        <f t="shared" si="50"/>
        <v>0</v>
      </c>
      <c r="BE102">
        <f>step3_validation[[#This Row],[AI_OUT1]]</f>
        <v>8</v>
      </c>
      <c r="BF102" t="str">
        <f t="shared" si="51"/>
        <v>Support</v>
      </c>
      <c r="BG102">
        <f>survey_responses[[#This Row],[Sau khi xem xét các quyền lợi và nghĩa vụ, bạn có ủng hộ và tuân thủ chính sách mới hiện nay? - HUMAN-OUT1]]</f>
        <v>8</v>
      </c>
      <c r="BH102" t="str">
        <f t="shared" si="52"/>
        <v>Support</v>
      </c>
      <c r="BI102" s="32">
        <f t="shared" si="53"/>
        <v>0</v>
      </c>
    </row>
    <row r="103" spans="1:61" x14ac:dyDescent="0.45">
      <c r="A103" s="30">
        <f>step3_validation[[#This Row],[Persona_ID]]</f>
        <v>102</v>
      </c>
      <c r="B103" s="31">
        <f>step3_validation[[#This Row],[Used_Seed]]</f>
        <v>2092</v>
      </c>
      <c r="C103" t="str">
        <f>step3_validation[[#This Row],[Gender]]</f>
        <v>Nam</v>
      </c>
      <c r="D103" t="str">
        <f>survey_responses[[#This Row],[Giới tính của bạn:]]</f>
        <v>Nam</v>
      </c>
      <c r="E103" t="str">
        <f>step3_validation[[#This Row],[Age_Group]]</f>
        <v>18 - 24</v>
      </c>
      <c r="F103" t="str">
        <f>survey_responses[[#This Row],[Độ tuổi của bạn:]]</f>
        <v>18 - 24</v>
      </c>
      <c r="G103" t="str">
        <f>step3_validation[[#This Row],[Region]]</f>
        <v>Thành thị</v>
      </c>
      <c r="H103" t="str">
        <f>survey_responses[[#This Row],[Khu vực bạn đang sinh sống:]]</f>
        <v>Thành thị</v>
      </c>
      <c r="I103" t="str">
        <f>step3_validation[[#This Row],[Education]]</f>
        <v>Đại học</v>
      </c>
      <c r="J103" t="str">
        <f>survey_responses[[#This Row],[Trình độ học vấn cao nhất:]]</f>
        <v>Đại học</v>
      </c>
      <c r="K103" t="str">
        <f>step3_validation[[#This Row],[Employment]]</f>
        <v>Chính thức</v>
      </c>
      <c r="L103" t="str">
        <f>survey_responses[[#This Row],[Tình trạng việc làm chính:]]</f>
        <v>Khu vực chính thức (Có Hợp đồng lao động, đóng BHXH)</v>
      </c>
      <c r="M103">
        <f>step3_validation[[#This Row],[Income_Mil]]</f>
        <v>15.68299098328216</v>
      </c>
      <c r="N103" t="str">
        <f>survey_responses[[#This Row],[Thu nhập bình quân tháng theo Hợp đồng lao động của bạn là bao nhiêu? (Vui lòng điền tổng thu nhập trước khi khấu trừ các loại Bảo hiểm (BHXH, BHYT, BHTN) và Thuế TNCN)]]</f>
        <v>Từ 12 - 18 triệu VNĐ</v>
      </c>
      <c r="O103">
        <f>step3_validation[[#This Row],[Dependents]]</f>
        <v>0</v>
      </c>
      <c r="P103" t="str">
        <f>survey_responses[[#This Row],[Số người phụ thuộc (con nhỏ, cha mẹ già...) đủ điều kiện giảm trừ gia cảnh:]]</f>
        <v>0 người</v>
      </c>
      <c r="Q103">
        <f>step3_validation[[#This Row],[AI_ENF1]]</f>
        <v>7</v>
      </c>
      <c r="R103" t="str">
        <f t="shared" si="27"/>
        <v>Neutral</v>
      </c>
      <c r="S103">
        <f>survey_responses[[#This Row],[Tôi tin rằng với các quy định quản lý thuế hiện nay, hành vi gian lận hoặc trốn thuế sẽ dễ dàng bị phát hiện và xử lý nghiêm. - HUMAN-ENF1]]</f>
        <v>5</v>
      </c>
      <c r="T103" t="str">
        <f t="shared" si="28"/>
        <v>Neutral</v>
      </c>
      <c r="U103" s="32">
        <f t="shared" si="29"/>
        <v>2</v>
      </c>
      <c r="V103">
        <f>step3_validation[[#This Row],[AI_ENF2]]</f>
        <v>8</v>
      </c>
      <c r="W103" t="str">
        <f t="shared" si="30"/>
        <v>Support</v>
      </c>
      <c r="X103">
        <f>survey_responses[[#This Row],[Tôi tin rằng Nhà nước, cơ quan thuế có đủ khả năng và công nghệ để phát hiện, xử lý nghiêm các hành vi trốn thuế. - HUMAN-ENF2]]</f>
        <v>5</v>
      </c>
      <c r="Y103" t="str">
        <f t="shared" si="31"/>
        <v>Neutral</v>
      </c>
      <c r="Z103" s="32">
        <f t="shared" si="32"/>
        <v>3</v>
      </c>
      <c r="AA103">
        <f>step3_validation[[#This Row],[AI_FAC1]]</f>
        <v>9</v>
      </c>
      <c r="AB103" t="str">
        <f t="shared" si="33"/>
        <v>Support</v>
      </c>
      <c r="AC103">
        <f>survey_responses[[#This Row],[Các thủ tục khai báo thuế VÀ/HOẶC quy trình làm việc với cơ quan thuế đơn giản, tiện lợi, nhanh chóng hơn so với trước đây. - HUMAN-FAC1]]</f>
        <v>5</v>
      </c>
      <c r="AD103" t="str">
        <f t="shared" si="34"/>
        <v>Neutral</v>
      </c>
      <c r="AE103" s="32">
        <f t="shared" si="35"/>
        <v>4</v>
      </c>
      <c r="AF103">
        <f>step3_validation[[#This Row],[AI_FAC2]]</f>
        <v>8</v>
      </c>
      <c r="AG103" t="str">
        <f t="shared" si="36"/>
        <v>Support</v>
      </c>
      <c r="AH103">
        <f>survey_responses[[#This Row],[So với trước đây, tôi thấy cách tính thuế và các bậc thuế trong phương án mới đơn giản, dễ hiểu và dễ thực hiện hơn. - HUMAN-FAC2]]</f>
        <v>5</v>
      </c>
      <c r="AI103" t="str">
        <f t="shared" si="37"/>
        <v>Neutral</v>
      </c>
      <c r="AJ103" s="32">
        <f t="shared" si="38"/>
        <v>3</v>
      </c>
      <c r="AK103">
        <f>step3_validation[[#This Row],[AI_TRU1]]</f>
        <v>7</v>
      </c>
      <c r="AL103" t="str">
        <f t="shared" si="39"/>
        <v>Neutral</v>
      </c>
      <c r="AM103">
        <f>survey_responses[[#This Row],[Tôi tin rằng Nhà nước, cơ quan thuế sẽ thực thi chính sách mới một cách khách quan, công tâm và đối xử bình đẳng với mọi người nộp thuế.  - HUMAN-TRU1]]</f>
        <v>5</v>
      </c>
      <c r="AN103" t="str">
        <f t="shared" si="40"/>
        <v>Neutral</v>
      </c>
      <c r="AO103" s="32">
        <f t="shared" si="41"/>
        <v>2</v>
      </c>
      <c r="AP103">
        <f>step3_validation[[#This Row],[AI_TRU2]]</f>
        <v>8</v>
      </c>
      <c r="AQ103" t="str">
        <f t="shared" si="42"/>
        <v>Support</v>
      </c>
      <c r="AR103">
        <f>survey_responses[[#This Row],[Tôi thấy mức thuế tôi phải đóng theo phương án mới là công bằng (người thu nhập như tôi đóng mức này là hợp lý). - HUMAN-TRU2]]</f>
        <v>5</v>
      </c>
      <c r="AS103" t="str">
        <f t="shared" si="43"/>
        <v>Neutral</v>
      </c>
      <c r="AT103" s="32">
        <f t="shared" si="44"/>
        <v>3</v>
      </c>
      <c r="AU103">
        <f>step3_validation[[#This Row],[AI_TRU3]]</f>
        <v>7</v>
      </c>
      <c r="AV103" t="str">
        <f t="shared" si="45"/>
        <v>Neutral</v>
      </c>
      <c r="AW103">
        <f>survey_responses[[#This Row],[Tôi tin tưởng số tiền thuế tôi đóng sẽ được Nhà nước sử dụng hiệu quả để cải thiện dịch vụ công (y tế, đường xá...). - HUMAN-TRU3]]</f>
        <v>5</v>
      </c>
      <c r="AX103" t="str">
        <f t="shared" si="46"/>
        <v>Neutral</v>
      </c>
      <c r="AY103" s="32">
        <f t="shared" si="47"/>
        <v>2</v>
      </c>
      <c r="AZ103">
        <f>step3_validation[[#This Row],[AI_TRU4]]</f>
        <v>6</v>
      </c>
      <c r="BA103" t="str">
        <f t="shared" si="48"/>
        <v>Neutral</v>
      </c>
      <c r="BB103">
        <f>survey_responses[[#This Row],[Tôi thấy Nhà nước đã giải thích rõ ràng, minh bạch về lý do và mục tiêu của việc sửa đổi thuế lần này. - HUMAN-TRU4]]</f>
        <v>5</v>
      </c>
      <c r="BC103" t="str">
        <f t="shared" si="49"/>
        <v>Neutral</v>
      </c>
      <c r="BD103" s="32">
        <f t="shared" si="50"/>
        <v>1</v>
      </c>
      <c r="BE103">
        <f>step3_validation[[#This Row],[AI_OUT1]]</f>
        <v>8</v>
      </c>
      <c r="BF103" t="str">
        <f t="shared" si="51"/>
        <v>Support</v>
      </c>
      <c r="BG103">
        <f>survey_responses[[#This Row],[Sau khi xem xét các quyền lợi và nghĩa vụ, bạn có ủng hộ và tuân thủ chính sách mới hiện nay? - HUMAN-OUT1]]</f>
        <v>5</v>
      </c>
      <c r="BH103" t="str">
        <f t="shared" si="52"/>
        <v>Neutral</v>
      </c>
      <c r="BI103" s="32">
        <f t="shared" si="53"/>
        <v>3</v>
      </c>
    </row>
    <row r="104" spans="1:61" x14ac:dyDescent="0.45">
      <c r="A104" s="30">
        <f>step3_validation[[#This Row],[Persona_ID]]</f>
        <v>103</v>
      </c>
      <c r="B104" s="31">
        <f>step3_validation[[#This Row],[Used_Seed]]</f>
        <v>2093</v>
      </c>
      <c r="C104" t="str">
        <f>step3_validation[[#This Row],[Gender]]</f>
        <v>Nữ</v>
      </c>
      <c r="D104" t="str">
        <f>survey_responses[[#This Row],[Giới tính của bạn:]]</f>
        <v>Nữ</v>
      </c>
      <c r="E104" t="str">
        <f>step3_validation[[#This Row],[Age_Group]]</f>
        <v>55 - 64</v>
      </c>
      <c r="F104" t="str">
        <f>survey_responses[[#This Row],[Độ tuổi của bạn:]]</f>
        <v>55 - 64</v>
      </c>
      <c r="G104" t="str">
        <f>step3_validation[[#This Row],[Region]]</f>
        <v>Thành thị</v>
      </c>
      <c r="H104" t="str">
        <f>survey_responses[[#This Row],[Khu vực bạn đang sinh sống:]]</f>
        <v>Thành thị</v>
      </c>
      <c r="I104" t="str">
        <f>step3_validation[[#This Row],[Education]]</f>
        <v>Đại học</v>
      </c>
      <c r="J104" t="str">
        <f>survey_responses[[#This Row],[Trình độ học vấn cao nhất:]]</f>
        <v>Đại học</v>
      </c>
      <c r="K104" t="str">
        <f>step3_validation[[#This Row],[Employment]]</f>
        <v>Chính thức</v>
      </c>
      <c r="L104" t="str">
        <f>survey_responses[[#This Row],[Tình trạng việc làm chính:]]</f>
        <v>Khu vực chính thức (Có Hợp đồng lao động, đóng BHXH)</v>
      </c>
      <c r="M104">
        <f>step3_validation[[#This Row],[Income_Mil]]</f>
        <v>46.528268987524349</v>
      </c>
      <c r="N104" t="str">
        <f>survey_responses[[#This Row],[Thu nhập bình quân tháng theo Hợp đồng lao động của bạn là bao nhiêu? (Vui lòng điền tổng thu nhập trước khi khấu trừ các loại Bảo hiểm (BHXH, BHYT, BHTN) và Thuế TNCN)]]</f>
        <v>Từ 32 - 48 triệu VNĐ</v>
      </c>
      <c r="O104">
        <f>step3_validation[[#This Row],[Dependents]]</f>
        <v>2</v>
      </c>
      <c r="P104" t="str">
        <f>survey_responses[[#This Row],[Số người phụ thuộc (con nhỏ, cha mẹ già...) đủ điều kiện giảm trừ gia cảnh:]]</f>
        <v>2 người</v>
      </c>
      <c r="Q104">
        <f>step3_validation[[#This Row],[AI_ENF1]]</f>
        <v>7</v>
      </c>
      <c r="R104" t="str">
        <f t="shared" si="27"/>
        <v>Neutral</v>
      </c>
      <c r="S104">
        <f>survey_responses[[#This Row],[Tôi tin rằng với các quy định quản lý thuế hiện nay, hành vi gian lận hoặc trốn thuế sẽ dễ dàng bị phát hiện và xử lý nghiêm. - HUMAN-ENF1]]</f>
        <v>8</v>
      </c>
      <c r="T104" t="str">
        <f t="shared" si="28"/>
        <v>Support</v>
      </c>
      <c r="U104" s="32">
        <f t="shared" si="29"/>
        <v>1</v>
      </c>
      <c r="V104">
        <f>step3_validation[[#This Row],[AI_ENF2]]</f>
        <v>6</v>
      </c>
      <c r="W104" t="str">
        <f t="shared" si="30"/>
        <v>Neutral</v>
      </c>
      <c r="X104">
        <f>survey_responses[[#This Row],[Tôi tin rằng Nhà nước, cơ quan thuế có đủ khả năng và công nghệ để phát hiện, xử lý nghiêm các hành vi trốn thuế. - HUMAN-ENF2]]</f>
        <v>8</v>
      </c>
      <c r="Y104" t="str">
        <f t="shared" si="31"/>
        <v>Support</v>
      </c>
      <c r="Z104" s="32">
        <f t="shared" si="32"/>
        <v>2</v>
      </c>
      <c r="AA104">
        <f>step3_validation[[#This Row],[AI_FAC1]]</f>
        <v>8</v>
      </c>
      <c r="AB104" t="str">
        <f t="shared" si="33"/>
        <v>Support</v>
      </c>
      <c r="AC104">
        <f>survey_responses[[#This Row],[Các thủ tục khai báo thuế VÀ/HOẶC quy trình làm việc với cơ quan thuế đơn giản, tiện lợi, nhanh chóng hơn so với trước đây. - HUMAN-FAC1]]</f>
        <v>5</v>
      </c>
      <c r="AD104" t="str">
        <f t="shared" si="34"/>
        <v>Neutral</v>
      </c>
      <c r="AE104" s="32">
        <f t="shared" si="35"/>
        <v>3</v>
      </c>
      <c r="AF104">
        <f>step3_validation[[#This Row],[AI_FAC2]]</f>
        <v>7</v>
      </c>
      <c r="AG104" t="str">
        <f t="shared" si="36"/>
        <v>Neutral</v>
      </c>
      <c r="AH104">
        <f>survey_responses[[#This Row],[So với trước đây, tôi thấy cách tính thuế và các bậc thuế trong phương án mới đơn giản, dễ hiểu và dễ thực hiện hơn. - HUMAN-FAC2]]</f>
        <v>8</v>
      </c>
      <c r="AI104" t="str">
        <f t="shared" si="37"/>
        <v>Support</v>
      </c>
      <c r="AJ104" s="32">
        <f t="shared" si="38"/>
        <v>1</v>
      </c>
      <c r="AK104">
        <f>step3_validation[[#This Row],[AI_TRU1]]</f>
        <v>6</v>
      </c>
      <c r="AL104" t="str">
        <f t="shared" si="39"/>
        <v>Neutral</v>
      </c>
      <c r="AM104">
        <f>survey_responses[[#This Row],[Tôi tin rằng Nhà nước, cơ quan thuế sẽ thực thi chính sách mới một cách khách quan, công tâm và đối xử bình đẳng với mọi người nộp thuế.  - HUMAN-TRU1]]</f>
        <v>5</v>
      </c>
      <c r="AN104" t="str">
        <f t="shared" si="40"/>
        <v>Neutral</v>
      </c>
      <c r="AO104" s="32">
        <f t="shared" si="41"/>
        <v>1</v>
      </c>
      <c r="AP104">
        <f>step3_validation[[#This Row],[AI_TRU2]]</f>
        <v>7</v>
      </c>
      <c r="AQ104" t="str">
        <f t="shared" si="42"/>
        <v>Neutral</v>
      </c>
      <c r="AR104">
        <f>survey_responses[[#This Row],[Tôi thấy mức thuế tôi phải đóng theo phương án mới là công bằng (người thu nhập như tôi đóng mức này là hợp lý). - HUMAN-TRU2]]</f>
        <v>5</v>
      </c>
      <c r="AS104" t="str">
        <f t="shared" si="43"/>
        <v>Neutral</v>
      </c>
      <c r="AT104" s="32">
        <f t="shared" si="44"/>
        <v>2</v>
      </c>
      <c r="AU104">
        <f>step3_validation[[#This Row],[AI_TRU3]]</f>
        <v>6</v>
      </c>
      <c r="AV104" t="str">
        <f t="shared" si="45"/>
        <v>Neutral</v>
      </c>
      <c r="AW104">
        <f>survey_responses[[#This Row],[Tôi tin tưởng số tiền thuế tôi đóng sẽ được Nhà nước sử dụng hiệu quả để cải thiện dịch vụ công (y tế, đường xá...). - HUMAN-TRU3]]</f>
        <v>6</v>
      </c>
      <c r="AX104" t="str">
        <f t="shared" si="46"/>
        <v>Neutral</v>
      </c>
      <c r="AY104" s="32">
        <f t="shared" si="47"/>
        <v>0</v>
      </c>
      <c r="AZ104">
        <f>step3_validation[[#This Row],[AI_TRU4]]</f>
        <v>6</v>
      </c>
      <c r="BA104" t="str">
        <f t="shared" si="48"/>
        <v>Neutral</v>
      </c>
      <c r="BB104">
        <f>survey_responses[[#This Row],[Tôi thấy Nhà nước đã giải thích rõ ràng, minh bạch về lý do và mục tiêu của việc sửa đổi thuế lần này. - HUMAN-TRU4]]</f>
        <v>6</v>
      </c>
      <c r="BC104" t="str">
        <f t="shared" si="49"/>
        <v>Neutral</v>
      </c>
      <c r="BD104" s="32">
        <f t="shared" si="50"/>
        <v>0</v>
      </c>
      <c r="BE104">
        <f>step3_validation[[#This Row],[AI_OUT1]]</f>
        <v>6</v>
      </c>
      <c r="BF104" t="str">
        <f t="shared" si="51"/>
        <v>Neutral</v>
      </c>
      <c r="BG104">
        <f>survey_responses[[#This Row],[Sau khi xem xét các quyền lợi và nghĩa vụ, bạn có ủng hộ và tuân thủ chính sách mới hiện nay? - HUMAN-OUT1]]</f>
        <v>5</v>
      </c>
      <c r="BH104" t="str">
        <f t="shared" si="52"/>
        <v>Neutral</v>
      </c>
      <c r="BI104" s="32">
        <f t="shared" si="53"/>
        <v>1</v>
      </c>
    </row>
    <row r="105" spans="1:61" x14ac:dyDescent="0.45">
      <c r="A105" s="30">
        <f>step3_validation[[#This Row],[Persona_ID]]</f>
        <v>104</v>
      </c>
      <c r="B105" s="31">
        <f>step3_validation[[#This Row],[Used_Seed]]</f>
        <v>2094</v>
      </c>
      <c r="C105" t="str">
        <f>step3_validation[[#This Row],[Gender]]</f>
        <v>Nam</v>
      </c>
      <c r="D105" t="str">
        <f>survey_responses[[#This Row],[Giới tính của bạn:]]</f>
        <v>Nam</v>
      </c>
      <c r="E105" t="str">
        <f>step3_validation[[#This Row],[Age_Group]]</f>
        <v>30 - 39</v>
      </c>
      <c r="F105" t="str">
        <f>survey_responses[[#This Row],[Độ tuổi của bạn:]]</f>
        <v>30 - 39</v>
      </c>
      <c r="G105" t="str">
        <f>step3_validation[[#This Row],[Region]]</f>
        <v>Thành thị</v>
      </c>
      <c r="H105" t="str">
        <f>survey_responses[[#This Row],[Khu vực bạn đang sinh sống:]]</f>
        <v>Thành thị</v>
      </c>
      <c r="I105" t="str">
        <f>step3_validation[[#This Row],[Education]]</f>
        <v>Đại học</v>
      </c>
      <c r="J105" t="str">
        <f>survey_responses[[#This Row],[Trình độ học vấn cao nhất:]]</f>
        <v>Đại học</v>
      </c>
      <c r="K105" t="str">
        <f>step3_validation[[#This Row],[Employment]]</f>
        <v>Chính thức</v>
      </c>
      <c r="L105" t="str">
        <f>survey_responses[[#This Row],[Tình trạng việc làm chính:]]</f>
        <v>Khu vực chính thức (Có Hợp đồng lao động, đóng BHXH)</v>
      </c>
      <c r="M105">
        <f>step3_validation[[#This Row],[Income_Mil]]</f>
        <v>18.177356308135195</v>
      </c>
      <c r="N105" t="str">
        <f>survey_responses[[#This Row],[Thu nhập bình quân tháng theo Hợp đồng lao động của bạn là bao nhiêu? (Vui lòng điền tổng thu nhập trước khi khấu trừ các loại Bảo hiểm (BHXH, BHYT, BHTN) và Thuế TNCN)]]</f>
        <v>Từ 18 - 23 triệu VNĐ</v>
      </c>
      <c r="O105">
        <f>step3_validation[[#This Row],[Dependents]]</f>
        <v>0</v>
      </c>
      <c r="P105" t="str">
        <f>survey_responses[[#This Row],[Số người phụ thuộc (con nhỏ, cha mẹ già...) đủ điều kiện giảm trừ gia cảnh:]]</f>
        <v>0 người</v>
      </c>
      <c r="Q105">
        <f>step3_validation[[#This Row],[AI_ENF1]]</f>
        <v>5</v>
      </c>
      <c r="R105" t="str">
        <f t="shared" si="27"/>
        <v>Neutral</v>
      </c>
      <c r="S105">
        <f>survey_responses[[#This Row],[Tôi tin rằng với các quy định quản lý thuế hiện nay, hành vi gian lận hoặc trốn thuế sẽ dễ dàng bị phát hiện và xử lý nghiêm. - HUMAN-ENF1]]</f>
        <v>6</v>
      </c>
      <c r="T105" t="str">
        <f t="shared" si="28"/>
        <v>Neutral</v>
      </c>
      <c r="U105" s="32">
        <f t="shared" si="29"/>
        <v>1</v>
      </c>
      <c r="V105">
        <f>step3_validation[[#This Row],[AI_ENF2]]</f>
        <v>6</v>
      </c>
      <c r="W105" t="str">
        <f t="shared" si="30"/>
        <v>Neutral</v>
      </c>
      <c r="X105">
        <f>survey_responses[[#This Row],[Tôi tin rằng Nhà nước, cơ quan thuế có đủ khả năng và công nghệ để phát hiện, xử lý nghiêm các hành vi trốn thuế. - HUMAN-ENF2]]</f>
        <v>7</v>
      </c>
      <c r="Y105" t="str">
        <f t="shared" si="31"/>
        <v>Neutral</v>
      </c>
      <c r="Z105" s="32">
        <f t="shared" si="32"/>
        <v>1</v>
      </c>
      <c r="AA105">
        <f>step3_validation[[#This Row],[AI_FAC1]]</f>
        <v>7</v>
      </c>
      <c r="AB105" t="str">
        <f t="shared" si="33"/>
        <v>Neutral</v>
      </c>
      <c r="AC105">
        <f>survey_responses[[#This Row],[Các thủ tục khai báo thuế VÀ/HOẶC quy trình làm việc với cơ quan thuế đơn giản, tiện lợi, nhanh chóng hơn so với trước đây. - HUMAN-FAC1]]</f>
        <v>6</v>
      </c>
      <c r="AD105" t="str">
        <f t="shared" si="34"/>
        <v>Neutral</v>
      </c>
      <c r="AE105" s="32">
        <f t="shared" si="35"/>
        <v>1</v>
      </c>
      <c r="AF105">
        <f>step3_validation[[#This Row],[AI_FAC2]]</f>
        <v>8</v>
      </c>
      <c r="AG105" t="str">
        <f t="shared" si="36"/>
        <v>Support</v>
      </c>
      <c r="AH105">
        <f>survey_responses[[#This Row],[So với trước đây, tôi thấy cách tính thuế và các bậc thuế trong phương án mới đơn giản, dễ hiểu và dễ thực hiện hơn. - HUMAN-FAC2]]</f>
        <v>8</v>
      </c>
      <c r="AI105" t="str">
        <f t="shared" si="37"/>
        <v>Support</v>
      </c>
      <c r="AJ105" s="32">
        <f t="shared" si="38"/>
        <v>0</v>
      </c>
      <c r="AK105">
        <f>step3_validation[[#This Row],[AI_TRU1]]</f>
        <v>4</v>
      </c>
      <c r="AL105" t="str">
        <f t="shared" si="39"/>
        <v>Oppose</v>
      </c>
      <c r="AM105">
        <f>survey_responses[[#This Row],[Tôi tin rằng Nhà nước, cơ quan thuế sẽ thực thi chính sách mới một cách khách quan, công tâm và đối xử bình đẳng với mọi người nộp thuế.  - HUMAN-TRU1]]</f>
        <v>6</v>
      </c>
      <c r="AN105" t="str">
        <f t="shared" si="40"/>
        <v>Neutral</v>
      </c>
      <c r="AO105" s="32">
        <f t="shared" si="41"/>
        <v>2</v>
      </c>
      <c r="AP105">
        <f>step3_validation[[#This Row],[AI_TRU2]]</f>
        <v>6</v>
      </c>
      <c r="AQ105" t="str">
        <f t="shared" si="42"/>
        <v>Neutral</v>
      </c>
      <c r="AR105">
        <f>survey_responses[[#This Row],[Tôi thấy mức thuế tôi phải đóng theo phương án mới là công bằng (người thu nhập như tôi đóng mức này là hợp lý). - HUMAN-TRU2]]</f>
        <v>7</v>
      </c>
      <c r="AS105" t="str">
        <f t="shared" si="43"/>
        <v>Neutral</v>
      </c>
      <c r="AT105" s="32">
        <f t="shared" si="44"/>
        <v>1</v>
      </c>
      <c r="AU105">
        <f>step3_validation[[#This Row],[AI_TRU3]]</f>
        <v>5</v>
      </c>
      <c r="AV105" t="str">
        <f t="shared" si="45"/>
        <v>Neutral</v>
      </c>
      <c r="AW105">
        <f>survey_responses[[#This Row],[Tôi tin tưởng số tiền thuế tôi đóng sẽ được Nhà nước sử dụng hiệu quả để cải thiện dịch vụ công (y tế, đường xá...). - HUMAN-TRU3]]</f>
        <v>6</v>
      </c>
      <c r="AX105" t="str">
        <f t="shared" si="46"/>
        <v>Neutral</v>
      </c>
      <c r="AY105" s="32">
        <f t="shared" si="47"/>
        <v>1</v>
      </c>
      <c r="AZ105">
        <f>step3_validation[[#This Row],[AI_TRU4]]</f>
        <v>5</v>
      </c>
      <c r="BA105" t="str">
        <f t="shared" si="48"/>
        <v>Neutral</v>
      </c>
      <c r="BB105">
        <f>survey_responses[[#This Row],[Tôi thấy Nhà nước đã giải thích rõ ràng, minh bạch về lý do và mục tiêu của việc sửa đổi thuế lần này. - HUMAN-TRU4]]</f>
        <v>6</v>
      </c>
      <c r="BC105" t="str">
        <f t="shared" si="49"/>
        <v>Neutral</v>
      </c>
      <c r="BD105" s="32">
        <f t="shared" si="50"/>
        <v>1</v>
      </c>
      <c r="BE105">
        <f>step3_validation[[#This Row],[AI_OUT1]]</f>
        <v>6</v>
      </c>
      <c r="BF105" t="str">
        <f t="shared" si="51"/>
        <v>Neutral</v>
      </c>
      <c r="BG105">
        <f>survey_responses[[#This Row],[Sau khi xem xét các quyền lợi và nghĩa vụ, bạn có ủng hộ và tuân thủ chính sách mới hiện nay? - HUMAN-OUT1]]</f>
        <v>7</v>
      </c>
      <c r="BH105" t="str">
        <f t="shared" si="52"/>
        <v>Neutral</v>
      </c>
      <c r="BI105" s="32">
        <f t="shared" si="53"/>
        <v>1</v>
      </c>
    </row>
    <row r="106" spans="1:61" x14ac:dyDescent="0.45">
      <c r="A106" s="30">
        <f>step3_validation[[#This Row],[Persona_ID]]</f>
        <v>105</v>
      </c>
      <c r="B106" s="31">
        <f>step3_validation[[#This Row],[Used_Seed]]</f>
        <v>2095</v>
      </c>
      <c r="C106" t="str">
        <f>step3_validation[[#This Row],[Gender]]</f>
        <v>Nam</v>
      </c>
      <c r="D106" t="str">
        <f>survey_responses[[#This Row],[Giới tính của bạn:]]</f>
        <v>Nam</v>
      </c>
      <c r="E106" t="str">
        <f>step3_validation[[#This Row],[Age_Group]]</f>
        <v>25 - 29</v>
      </c>
      <c r="F106" t="str">
        <f>survey_responses[[#This Row],[Độ tuổi của bạn:]]</f>
        <v>25 - 29</v>
      </c>
      <c r="G106" t="str">
        <f>step3_validation[[#This Row],[Region]]</f>
        <v>Thành thị</v>
      </c>
      <c r="H106" t="str">
        <f>survey_responses[[#This Row],[Khu vực bạn đang sinh sống:]]</f>
        <v>Thành thị</v>
      </c>
      <c r="I106" t="str">
        <f>step3_validation[[#This Row],[Education]]</f>
        <v>Đại học</v>
      </c>
      <c r="J106" t="str">
        <f>survey_responses[[#This Row],[Trình độ học vấn cao nhất:]]</f>
        <v>Đại học</v>
      </c>
      <c r="K106" t="str">
        <f>step3_validation[[#This Row],[Employment]]</f>
        <v>Chính thức</v>
      </c>
      <c r="L106" t="str">
        <f>survey_responses[[#This Row],[Tình trạng việc làm chính:]]</f>
        <v>Khu vực chính thức (Có Hợp đồng lao động, đóng BHXH)</v>
      </c>
      <c r="M106">
        <f>step3_validation[[#This Row],[Income_Mil]]</f>
        <v>16.488618968984962</v>
      </c>
      <c r="N106" t="str">
        <f>survey_responses[[#This Row],[Thu nhập bình quân tháng theo Hợp đồng lao động của bạn là bao nhiêu? (Vui lòng điền tổng thu nhập trước khi khấu trừ các loại Bảo hiểm (BHXH, BHYT, BHTN) và Thuế TNCN)]]</f>
        <v>Từ 12 - 18 triệu VNĐ</v>
      </c>
      <c r="O106">
        <f>step3_validation[[#This Row],[Dependents]]</f>
        <v>1</v>
      </c>
      <c r="P106" t="str">
        <f>survey_responses[[#This Row],[Số người phụ thuộc (con nhỏ, cha mẹ già...) đủ điều kiện giảm trừ gia cảnh:]]</f>
        <v>1 người</v>
      </c>
      <c r="Q106">
        <f>step3_validation[[#This Row],[AI_ENF1]]</f>
        <v>7</v>
      </c>
      <c r="R106" t="str">
        <f t="shared" si="27"/>
        <v>Neutral</v>
      </c>
      <c r="S106">
        <f>survey_responses[[#This Row],[Tôi tin rằng với các quy định quản lý thuế hiện nay, hành vi gian lận hoặc trốn thuế sẽ dễ dàng bị phát hiện và xử lý nghiêm. - HUMAN-ENF1]]</f>
        <v>9</v>
      </c>
      <c r="T106" t="str">
        <f t="shared" si="28"/>
        <v>Support</v>
      </c>
      <c r="U106" s="32">
        <f t="shared" si="29"/>
        <v>2</v>
      </c>
      <c r="V106">
        <f>step3_validation[[#This Row],[AI_ENF2]]</f>
        <v>8</v>
      </c>
      <c r="W106" t="str">
        <f t="shared" si="30"/>
        <v>Support</v>
      </c>
      <c r="X106">
        <f>survey_responses[[#This Row],[Tôi tin rằng Nhà nước, cơ quan thuế có đủ khả năng và công nghệ để phát hiện, xử lý nghiêm các hành vi trốn thuế. - HUMAN-ENF2]]</f>
        <v>10</v>
      </c>
      <c r="Y106" t="str">
        <f t="shared" si="31"/>
        <v>Support</v>
      </c>
      <c r="Z106" s="32">
        <f t="shared" si="32"/>
        <v>2</v>
      </c>
      <c r="AA106">
        <f>step3_validation[[#This Row],[AI_FAC1]]</f>
        <v>9</v>
      </c>
      <c r="AB106" t="str">
        <f t="shared" si="33"/>
        <v>Support</v>
      </c>
      <c r="AC106">
        <f>survey_responses[[#This Row],[Các thủ tục khai báo thuế VÀ/HOẶC quy trình làm việc với cơ quan thuế đơn giản, tiện lợi, nhanh chóng hơn so với trước đây. - HUMAN-FAC1]]</f>
        <v>8</v>
      </c>
      <c r="AD106" t="str">
        <f t="shared" si="34"/>
        <v>Support</v>
      </c>
      <c r="AE106" s="32">
        <f t="shared" si="35"/>
        <v>1</v>
      </c>
      <c r="AF106">
        <f>step3_validation[[#This Row],[AI_FAC2]]</f>
        <v>7</v>
      </c>
      <c r="AG106" t="str">
        <f t="shared" si="36"/>
        <v>Neutral</v>
      </c>
      <c r="AH106">
        <f>survey_responses[[#This Row],[So với trước đây, tôi thấy cách tính thuế và các bậc thuế trong phương án mới đơn giản, dễ hiểu và dễ thực hiện hơn. - HUMAN-FAC2]]</f>
        <v>8</v>
      </c>
      <c r="AI106" t="str">
        <f t="shared" si="37"/>
        <v>Support</v>
      </c>
      <c r="AJ106" s="32">
        <f t="shared" si="38"/>
        <v>1</v>
      </c>
      <c r="AK106">
        <f>step3_validation[[#This Row],[AI_TRU1]]</f>
        <v>6</v>
      </c>
      <c r="AL106" t="str">
        <f t="shared" si="39"/>
        <v>Neutral</v>
      </c>
      <c r="AM106">
        <f>survey_responses[[#This Row],[Tôi tin rằng Nhà nước, cơ quan thuế sẽ thực thi chính sách mới một cách khách quan, công tâm và đối xử bình đẳng với mọi người nộp thuế.  - HUMAN-TRU1]]</f>
        <v>9</v>
      </c>
      <c r="AN106" t="str">
        <f t="shared" si="40"/>
        <v>Support</v>
      </c>
      <c r="AO106" s="32">
        <f t="shared" si="41"/>
        <v>3</v>
      </c>
      <c r="AP106">
        <f>step3_validation[[#This Row],[AI_TRU2]]</f>
        <v>6</v>
      </c>
      <c r="AQ106" t="str">
        <f t="shared" si="42"/>
        <v>Neutral</v>
      </c>
      <c r="AR106">
        <f>survey_responses[[#This Row],[Tôi thấy mức thuế tôi phải đóng theo phương án mới là công bằng (người thu nhập như tôi đóng mức này là hợp lý). - HUMAN-TRU2]]</f>
        <v>9</v>
      </c>
      <c r="AS106" t="str">
        <f t="shared" si="43"/>
        <v>Support</v>
      </c>
      <c r="AT106" s="32">
        <f t="shared" si="44"/>
        <v>3</v>
      </c>
      <c r="AU106">
        <f>step3_validation[[#This Row],[AI_TRU3]]</f>
        <v>6</v>
      </c>
      <c r="AV106" t="str">
        <f t="shared" si="45"/>
        <v>Neutral</v>
      </c>
      <c r="AW106">
        <f>survey_responses[[#This Row],[Tôi tin tưởng số tiền thuế tôi đóng sẽ được Nhà nước sử dụng hiệu quả để cải thiện dịch vụ công (y tế, đường xá...). - HUMAN-TRU3]]</f>
        <v>8</v>
      </c>
      <c r="AX106" t="str">
        <f t="shared" si="46"/>
        <v>Support</v>
      </c>
      <c r="AY106" s="32">
        <f t="shared" si="47"/>
        <v>2</v>
      </c>
      <c r="AZ106">
        <f>step3_validation[[#This Row],[AI_TRU4]]</f>
        <v>7</v>
      </c>
      <c r="BA106" t="str">
        <f t="shared" si="48"/>
        <v>Neutral</v>
      </c>
      <c r="BB106">
        <f>survey_responses[[#This Row],[Tôi thấy Nhà nước đã giải thích rõ ràng, minh bạch về lý do và mục tiêu của việc sửa đổi thuế lần này. - HUMAN-TRU4]]</f>
        <v>6</v>
      </c>
      <c r="BC106" t="str">
        <f t="shared" si="49"/>
        <v>Neutral</v>
      </c>
      <c r="BD106" s="32">
        <f t="shared" si="50"/>
        <v>1</v>
      </c>
      <c r="BE106">
        <f>step3_validation[[#This Row],[AI_OUT1]]</f>
        <v>8</v>
      </c>
      <c r="BF106" t="str">
        <f t="shared" si="51"/>
        <v>Support</v>
      </c>
      <c r="BG106">
        <f>survey_responses[[#This Row],[Sau khi xem xét các quyền lợi và nghĩa vụ, bạn có ủng hộ và tuân thủ chính sách mới hiện nay? - HUMAN-OUT1]]</f>
        <v>9</v>
      </c>
      <c r="BH106" t="str">
        <f t="shared" si="52"/>
        <v>Support</v>
      </c>
      <c r="BI106" s="32">
        <f t="shared" si="53"/>
        <v>1</v>
      </c>
    </row>
    <row r="107" spans="1:61" x14ac:dyDescent="0.45">
      <c r="A107" s="30">
        <f>step3_validation[[#This Row],[Persona_ID]]</f>
        <v>106</v>
      </c>
      <c r="B107" s="31">
        <f>step3_validation[[#This Row],[Used_Seed]]</f>
        <v>2096</v>
      </c>
      <c r="C107" t="str">
        <f>step3_validation[[#This Row],[Gender]]</f>
        <v>Nữ</v>
      </c>
      <c r="D107" t="str">
        <f>survey_responses[[#This Row],[Giới tính của bạn:]]</f>
        <v>Nữ</v>
      </c>
      <c r="E107" t="str">
        <f>step3_validation[[#This Row],[Age_Group]]</f>
        <v>25 - 29</v>
      </c>
      <c r="F107" t="str">
        <f>survey_responses[[#This Row],[Độ tuổi của bạn:]]</f>
        <v>25 - 29</v>
      </c>
      <c r="G107" t="str">
        <f>step3_validation[[#This Row],[Region]]</f>
        <v>Thành thị</v>
      </c>
      <c r="H107" t="str">
        <f>survey_responses[[#This Row],[Khu vực bạn đang sinh sống:]]</f>
        <v>Thành thị</v>
      </c>
      <c r="I107" t="str">
        <f>step3_validation[[#This Row],[Education]]</f>
        <v>Đại học</v>
      </c>
      <c r="J107" t="str">
        <f>survey_responses[[#This Row],[Trình độ học vấn cao nhất:]]</f>
        <v>Đại học</v>
      </c>
      <c r="K107" t="str">
        <f>step3_validation[[#This Row],[Employment]]</f>
        <v>Chính thức</v>
      </c>
      <c r="L107" t="str">
        <f>survey_responses[[#This Row],[Tình trạng việc làm chính:]]</f>
        <v>Khu vực chính thức (Có Hợp đồng lao động, đóng BHXH)</v>
      </c>
      <c r="M107">
        <f>step3_validation[[#This Row],[Income_Mil]]</f>
        <v>12</v>
      </c>
      <c r="N107" t="str">
        <f>survey_responses[[#This Row],[Thu nhập bình quân tháng theo Hợp đồng lao động của bạn là bao nhiêu? (Vui lòng điền tổng thu nhập trước khi khấu trừ các loại Bảo hiểm (BHXH, BHYT, BHTN) và Thuế TNCN)]]</f>
        <v>Dưới 12 triệu VNĐ</v>
      </c>
      <c r="O107">
        <f>step3_validation[[#This Row],[Dependents]]</f>
        <v>0</v>
      </c>
      <c r="P107" t="str">
        <f>survey_responses[[#This Row],[Số người phụ thuộc (con nhỏ, cha mẹ già...) đủ điều kiện giảm trừ gia cảnh:]]</f>
        <v>0 người</v>
      </c>
      <c r="Q107">
        <f>step3_validation[[#This Row],[AI_ENF1]]</f>
        <v>7</v>
      </c>
      <c r="R107" t="str">
        <f t="shared" si="27"/>
        <v>Neutral</v>
      </c>
      <c r="S107">
        <f>survey_responses[[#This Row],[Tôi tin rằng với các quy định quản lý thuế hiện nay, hành vi gian lận hoặc trốn thuế sẽ dễ dàng bị phát hiện và xử lý nghiêm. - HUMAN-ENF1]]</f>
        <v>10</v>
      </c>
      <c r="T107" t="str">
        <f t="shared" si="28"/>
        <v>Support</v>
      </c>
      <c r="U107" s="32">
        <f t="shared" si="29"/>
        <v>3</v>
      </c>
      <c r="V107">
        <f>step3_validation[[#This Row],[AI_ENF2]]</f>
        <v>8</v>
      </c>
      <c r="W107" t="str">
        <f t="shared" si="30"/>
        <v>Support</v>
      </c>
      <c r="X107">
        <f>survey_responses[[#This Row],[Tôi tin rằng Nhà nước, cơ quan thuế có đủ khả năng và công nghệ để phát hiện, xử lý nghiêm các hành vi trốn thuế. - HUMAN-ENF2]]</f>
        <v>5</v>
      </c>
      <c r="Y107" t="str">
        <f t="shared" si="31"/>
        <v>Neutral</v>
      </c>
      <c r="Z107" s="32">
        <f t="shared" si="32"/>
        <v>3</v>
      </c>
      <c r="AA107">
        <f>step3_validation[[#This Row],[AI_FAC1]]</f>
        <v>6</v>
      </c>
      <c r="AB107" t="str">
        <f t="shared" si="33"/>
        <v>Neutral</v>
      </c>
      <c r="AC107">
        <f>survey_responses[[#This Row],[Các thủ tục khai báo thuế VÀ/HOẶC quy trình làm việc với cơ quan thuế đơn giản, tiện lợi, nhanh chóng hơn so với trước đây. - HUMAN-FAC1]]</f>
        <v>8</v>
      </c>
      <c r="AD107" t="str">
        <f t="shared" si="34"/>
        <v>Support</v>
      </c>
      <c r="AE107" s="32">
        <f t="shared" si="35"/>
        <v>2</v>
      </c>
      <c r="AF107">
        <f>step3_validation[[#This Row],[AI_FAC2]]</f>
        <v>7</v>
      </c>
      <c r="AG107" t="str">
        <f t="shared" si="36"/>
        <v>Neutral</v>
      </c>
      <c r="AH107">
        <f>survey_responses[[#This Row],[So với trước đây, tôi thấy cách tính thuế và các bậc thuế trong phương án mới đơn giản, dễ hiểu và dễ thực hiện hơn. - HUMAN-FAC2]]</f>
        <v>8</v>
      </c>
      <c r="AI107" t="str">
        <f t="shared" si="37"/>
        <v>Support</v>
      </c>
      <c r="AJ107" s="32">
        <f t="shared" si="38"/>
        <v>1</v>
      </c>
      <c r="AK107">
        <f>step3_validation[[#This Row],[AI_TRU1]]</f>
        <v>8</v>
      </c>
      <c r="AL107" t="str">
        <f t="shared" si="39"/>
        <v>Support</v>
      </c>
      <c r="AM107">
        <f>survey_responses[[#This Row],[Tôi tin rằng Nhà nước, cơ quan thuế sẽ thực thi chính sách mới một cách khách quan, công tâm và đối xử bình đẳng với mọi người nộp thuế.  - HUMAN-TRU1]]</f>
        <v>10</v>
      </c>
      <c r="AN107" t="str">
        <f t="shared" si="40"/>
        <v>Support</v>
      </c>
      <c r="AO107" s="32">
        <f t="shared" si="41"/>
        <v>2</v>
      </c>
      <c r="AP107">
        <f>step3_validation[[#This Row],[AI_TRU2]]</f>
        <v>9</v>
      </c>
      <c r="AQ107" t="str">
        <f t="shared" si="42"/>
        <v>Support</v>
      </c>
      <c r="AR107">
        <f>survey_responses[[#This Row],[Tôi thấy mức thuế tôi phải đóng theo phương án mới là công bằng (người thu nhập như tôi đóng mức này là hợp lý). - HUMAN-TRU2]]</f>
        <v>10</v>
      </c>
      <c r="AS107" t="str">
        <f t="shared" si="43"/>
        <v>Support</v>
      </c>
      <c r="AT107" s="32">
        <f t="shared" si="44"/>
        <v>1</v>
      </c>
      <c r="AU107">
        <f>step3_validation[[#This Row],[AI_TRU3]]</f>
        <v>8</v>
      </c>
      <c r="AV107" t="str">
        <f t="shared" si="45"/>
        <v>Support</v>
      </c>
      <c r="AW107">
        <f>survey_responses[[#This Row],[Tôi tin tưởng số tiền thuế tôi đóng sẽ được Nhà nước sử dụng hiệu quả để cải thiện dịch vụ công (y tế, đường xá...). - HUMAN-TRU3]]</f>
        <v>10</v>
      </c>
      <c r="AX107" t="str">
        <f t="shared" si="46"/>
        <v>Support</v>
      </c>
      <c r="AY107" s="32">
        <f t="shared" si="47"/>
        <v>2</v>
      </c>
      <c r="AZ107">
        <f>step3_validation[[#This Row],[AI_TRU4]]</f>
        <v>7</v>
      </c>
      <c r="BA107" t="str">
        <f t="shared" si="48"/>
        <v>Neutral</v>
      </c>
      <c r="BB107">
        <f>survey_responses[[#This Row],[Tôi thấy Nhà nước đã giải thích rõ ràng, minh bạch về lý do và mục tiêu của việc sửa đổi thuế lần này. - HUMAN-TRU4]]</f>
        <v>10</v>
      </c>
      <c r="BC107" t="str">
        <f t="shared" si="49"/>
        <v>Support</v>
      </c>
      <c r="BD107" s="32">
        <f t="shared" si="50"/>
        <v>3</v>
      </c>
      <c r="BE107">
        <f>step3_validation[[#This Row],[AI_OUT1]]</f>
        <v>8</v>
      </c>
      <c r="BF107" t="str">
        <f t="shared" si="51"/>
        <v>Support</v>
      </c>
      <c r="BG107">
        <f>survey_responses[[#This Row],[Sau khi xem xét các quyền lợi và nghĩa vụ, bạn có ủng hộ và tuân thủ chính sách mới hiện nay? - HUMAN-OUT1]]</f>
        <v>10</v>
      </c>
      <c r="BH107" t="str">
        <f t="shared" si="52"/>
        <v>Support</v>
      </c>
      <c r="BI107" s="32">
        <f t="shared" si="53"/>
        <v>2</v>
      </c>
    </row>
    <row r="108" spans="1:61" x14ac:dyDescent="0.45">
      <c r="A108" s="30">
        <f>step3_validation[[#This Row],[Persona_ID]]</f>
        <v>107</v>
      </c>
      <c r="B108" s="31">
        <f>step3_validation[[#This Row],[Used_Seed]]</f>
        <v>2097</v>
      </c>
      <c r="C108" t="str">
        <f>step3_validation[[#This Row],[Gender]]</f>
        <v>Nữ</v>
      </c>
      <c r="D108" t="str">
        <f>survey_responses[[#This Row],[Giới tính của bạn:]]</f>
        <v>Nữ</v>
      </c>
      <c r="E108" t="str">
        <f>step3_validation[[#This Row],[Age_Group]]</f>
        <v>40 - 49</v>
      </c>
      <c r="F108" t="str">
        <f>survey_responses[[#This Row],[Độ tuổi của bạn:]]</f>
        <v>40 - 49</v>
      </c>
      <c r="G108" t="str">
        <f>step3_validation[[#This Row],[Region]]</f>
        <v>Thành thị</v>
      </c>
      <c r="H108" t="str">
        <f>survey_responses[[#This Row],[Khu vực bạn đang sinh sống:]]</f>
        <v>Thành thị</v>
      </c>
      <c r="I108" t="str">
        <f>step3_validation[[#This Row],[Education]]</f>
        <v>Đại học</v>
      </c>
      <c r="J108" t="str">
        <f>survey_responses[[#This Row],[Trình độ học vấn cao nhất:]]</f>
        <v>Đại học</v>
      </c>
      <c r="K108" t="str">
        <f>step3_validation[[#This Row],[Employment]]</f>
        <v>Chính thức</v>
      </c>
      <c r="L108" t="str">
        <f>survey_responses[[#This Row],[Tình trạng việc làm chính:]]</f>
        <v>Khu vực chính thức (Có Hợp đồng lao động, đóng BHXH)</v>
      </c>
      <c r="M108">
        <f>step3_validation[[#This Row],[Income_Mil]]</f>
        <v>23.823548121673934</v>
      </c>
      <c r="N108" t="str">
        <f>survey_responses[[#This Row],[Thu nhập bình quân tháng theo Hợp đồng lao động của bạn là bao nhiêu? (Vui lòng điền tổng thu nhập trước khi khấu trừ các loại Bảo hiểm (BHXH, BHYT, BHTN) và Thuế TNCN)]]</f>
        <v>Từ 23 - 32 triệu VNĐ</v>
      </c>
      <c r="O108">
        <f>step3_validation[[#This Row],[Dependents]]</f>
        <v>1</v>
      </c>
      <c r="P108" t="str">
        <f>survey_responses[[#This Row],[Số người phụ thuộc (con nhỏ, cha mẹ già...) đủ điều kiện giảm trừ gia cảnh:]]</f>
        <v>1 người</v>
      </c>
      <c r="Q108">
        <f>step3_validation[[#This Row],[AI_ENF1]]</f>
        <v>7</v>
      </c>
      <c r="R108" t="str">
        <f t="shared" si="27"/>
        <v>Neutral</v>
      </c>
      <c r="S108">
        <f>survey_responses[[#This Row],[Tôi tin rằng với các quy định quản lý thuế hiện nay, hành vi gian lận hoặc trốn thuế sẽ dễ dàng bị phát hiện và xử lý nghiêm. - HUMAN-ENF1]]</f>
        <v>7</v>
      </c>
      <c r="T108" t="str">
        <f t="shared" si="28"/>
        <v>Neutral</v>
      </c>
      <c r="U108" s="32">
        <f t="shared" si="29"/>
        <v>0</v>
      </c>
      <c r="V108">
        <f>step3_validation[[#This Row],[AI_ENF2]]</f>
        <v>8</v>
      </c>
      <c r="W108" t="str">
        <f t="shared" si="30"/>
        <v>Support</v>
      </c>
      <c r="X108">
        <f>survey_responses[[#This Row],[Tôi tin rằng Nhà nước, cơ quan thuế có đủ khả năng và công nghệ để phát hiện, xử lý nghiêm các hành vi trốn thuế. - HUMAN-ENF2]]</f>
        <v>7</v>
      </c>
      <c r="Y108" t="str">
        <f t="shared" si="31"/>
        <v>Neutral</v>
      </c>
      <c r="Z108" s="32">
        <f t="shared" si="32"/>
        <v>1</v>
      </c>
      <c r="AA108">
        <f>step3_validation[[#This Row],[AI_FAC1]]</f>
        <v>8</v>
      </c>
      <c r="AB108" t="str">
        <f t="shared" si="33"/>
        <v>Support</v>
      </c>
      <c r="AC108">
        <f>survey_responses[[#This Row],[Các thủ tục khai báo thuế VÀ/HOẶC quy trình làm việc với cơ quan thuế đơn giản, tiện lợi, nhanh chóng hơn so với trước đây. - HUMAN-FAC1]]</f>
        <v>7</v>
      </c>
      <c r="AD108" t="str">
        <f t="shared" si="34"/>
        <v>Neutral</v>
      </c>
      <c r="AE108" s="32">
        <f t="shared" si="35"/>
        <v>1</v>
      </c>
      <c r="AF108">
        <f>step3_validation[[#This Row],[AI_FAC2]]</f>
        <v>9</v>
      </c>
      <c r="AG108" t="str">
        <f t="shared" si="36"/>
        <v>Support</v>
      </c>
      <c r="AH108">
        <f>survey_responses[[#This Row],[So với trước đây, tôi thấy cách tính thuế và các bậc thuế trong phương án mới đơn giản, dễ hiểu và dễ thực hiện hơn. - HUMAN-FAC2]]</f>
        <v>7</v>
      </c>
      <c r="AI108" t="str">
        <f t="shared" si="37"/>
        <v>Neutral</v>
      </c>
      <c r="AJ108" s="32">
        <f t="shared" si="38"/>
        <v>2</v>
      </c>
      <c r="AK108">
        <f>step3_validation[[#This Row],[AI_TRU1]]</f>
        <v>7</v>
      </c>
      <c r="AL108" t="str">
        <f t="shared" si="39"/>
        <v>Neutral</v>
      </c>
      <c r="AM108">
        <f>survey_responses[[#This Row],[Tôi tin rằng Nhà nước, cơ quan thuế sẽ thực thi chính sách mới một cách khách quan, công tâm và đối xử bình đẳng với mọi người nộp thuế.  - HUMAN-TRU1]]</f>
        <v>7</v>
      </c>
      <c r="AN108" t="str">
        <f t="shared" si="40"/>
        <v>Neutral</v>
      </c>
      <c r="AO108" s="32">
        <f t="shared" si="41"/>
        <v>0</v>
      </c>
      <c r="AP108">
        <f>step3_validation[[#This Row],[AI_TRU2]]</f>
        <v>6</v>
      </c>
      <c r="AQ108" t="str">
        <f t="shared" si="42"/>
        <v>Neutral</v>
      </c>
      <c r="AR108">
        <f>survey_responses[[#This Row],[Tôi thấy mức thuế tôi phải đóng theo phương án mới là công bằng (người thu nhập như tôi đóng mức này là hợp lý). - HUMAN-TRU2]]</f>
        <v>7</v>
      </c>
      <c r="AS108" t="str">
        <f t="shared" si="43"/>
        <v>Neutral</v>
      </c>
      <c r="AT108" s="32">
        <f t="shared" si="44"/>
        <v>1</v>
      </c>
      <c r="AU108">
        <f>step3_validation[[#This Row],[AI_TRU3]]</f>
        <v>7</v>
      </c>
      <c r="AV108" t="str">
        <f t="shared" si="45"/>
        <v>Neutral</v>
      </c>
      <c r="AW108">
        <f>survey_responses[[#This Row],[Tôi tin tưởng số tiền thuế tôi đóng sẽ được Nhà nước sử dụng hiệu quả để cải thiện dịch vụ công (y tế, đường xá...). - HUMAN-TRU3]]</f>
        <v>7</v>
      </c>
      <c r="AX108" t="str">
        <f t="shared" si="46"/>
        <v>Neutral</v>
      </c>
      <c r="AY108" s="32">
        <f t="shared" si="47"/>
        <v>0</v>
      </c>
      <c r="AZ108">
        <f>step3_validation[[#This Row],[AI_TRU4]]</f>
        <v>6</v>
      </c>
      <c r="BA108" t="str">
        <f t="shared" si="48"/>
        <v>Neutral</v>
      </c>
      <c r="BB108">
        <f>survey_responses[[#This Row],[Tôi thấy Nhà nước đã giải thích rõ ràng, minh bạch về lý do và mục tiêu của việc sửa đổi thuế lần này. - HUMAN-TRU4]]</f>
        <v>7</v>
      </c>
      <c r="BC108" t="str">
        <f t="shared" si="49"/>
        <v>Neutral</v>
      </c>
      <c r="BD108" s="32">
        <f t="shared" si="50"/>
        <v>1</v>
      </c>
      <c r="BE108">
        <f>step3_validation[[#This Row],[AI_OUT1]]</f>
        <v>7</v>
      </c>
      <c r="BF108" t="str">
        <f t="shared" si="51"/>
        <v>Neutral</v>
      </c>
      <c r="BG108">
        <f>survey_responses[[#This Row],[Sau khi xem xét các quyền lợi và nghĩa vụ, bạn có ủng hộ và tuân thủ chính sách mới hiện nay? - HUMAN-OUT1]]</f>
        <v>8</v>
      </c>
      <c r="BH108" t="str">
        <f t="shared" si="52"/>
        <v>Support</v>
      </c>
      <c r="BI108" s="32">
        <f t="shared" si="53"/>
        <v>1</v>
      </c>
    </row>
    <row r="109" spans="1:61" x14ac:dyDescent="0.45">
      <c r="A109" s="30">
        <f>step3_validation[[#This Row],[Persona_ID]]</f>
        <v>108</v>
      </c>
      <c r="B109" s="31">
        <f>step3_validation[[#This Row],[Used_Seed]]</f>
        <v>2098</v>
      </c>
      <c r="C109" t="str">
        <f>step3_validation[[#This Row],[Gender]]</f>
        <v>Nữ</v>
      </c>
      <c r="D109" t="str">
        <f>survey_responses[[#This Row],[Giới tính của bạn:]]</f>
        <v>Nữ</v>
      </c>
      <c r="E109" t="str">
        <f>step3_validation[[#This Row],[Age_Group]]</f>
        <v>40 - 49</v>
      </c>
      <c r="F109" t="str">
        <f>survey_responses[[#This Row],[Độ tuổi của bạn:]]</f>
        <v>40 - 49</v>
      </c>
      <c r="G109" t="str">
        <f>step3_validation[[#This Row],[Region]]</f>
        <v>Thành thị</v>
      </c>
      <c r="H109" t="str">
        <f>survey_responses[[#This Row],[Khu vực bạn đang sinh sống:]]</f>
        <v>Thành thị</v>
      </c>
      <c r="I109" t="str">
        <f>step3_validation[[#This Row],[Education]]</f>
        <v>Đại học</v>
      </c>
      <c r="J109" t="str">
        <f>survey_responses[[#This Row],[Trình độ học vấn cao nhất:]]</f>
        <v>Đại học</v>
      </c>
      <c r="K109" t="str">
        <f>step3_validation[[#This Row],[Employment]]</f>
        <v>Chính thức</v>
      </c>
      <c r="L109" t="str">
        <f>survey_responses[[#This Row],[Tình trạng việc làm chính:]]</f>
        <v>Khu vực chính thức (Có Hợp đồng lao động, đóng BHXH)</v>
      </c>
      <c r="M109">
        <f>step3_validation[[#This Row],[Income_Mil]]</f>
        <v>14.186306823579844</v>
      </c>
      <c r="N109" t="str">
        <f>survey_responses[[#This Row],[Thu nhập bình quân tháng theo Hợp đồng lao động của bạn là bao nhiêu? (Vui lòng điền tổng thu nhập trước khi khấu trừ các loại Bảo hiểm (BHXH, BHYT, BHTN) và Thuế TNCN)]]</f>
        <v>Từ 12 - 18 triệu VNĐ</v>
      </c>
      <c r="O109">
        <f>step3_validation[[#This Row],[Dependents]]</f>
        <v>1</v>
      </c>
      <c r="P109" t="str">
        <f>survey_responses[[#This Row],[Số người phụ thuộc (con nhỏ, cha mẹ già...) đủ điều kiện giảm trừ gia cảnh:]]</f>
        <v>1 người</v>
      </c>
      <c r="Q109">
        <f>step3_validation[[#This Row],[AI_ENF1]]</f>
        <v>8</v>
      </c>
      <c r="R109" t="str">
        <f t="shared" si="27"/>
        <v>Support</v>
      </c>
      <c r="S109">
        <f>survey_responses[[#This Row],[Tôi tin rằng với các quy định quản lý thuế hiện nay, hành vi gian lận hoặc trốn thuế sẽ dễ dàng bị phát hiện và xử lý nghiêm. - HUMAN-ENF1]]</f>
        <v>5</v>
      </c>
      <c r="T109" t="str">
        <f t="shared" si="28"/>
        <v>Neutral</v>
      </c>
      <c r="U109" s="32">
        <f t="shared" si="29"/>
        <v>3</v>
      </c>
      <c r="V109">
        <f>step3_validation[[#This Row],[AI_ENF2]]</f>
        <v>7</v>
      </c>
      <c r="W109" t="str">
        <f t="shared" si="30"/>
        <v>Neutral</v>
      </c>
      <c r="X109">
        <f>survey_responses[[#This Row],[Tôi tin rằng Nhà nước, cơ quan thuế có đủ khả năng và công nghệ để phát hiện, xử lý nghiêm các hành vi trốn thuế. - HUMAN-ENF2]]</f>
        <v>10</v>
      </c>
      <c r="Y109" t="str">
        <f t="shared" si="31"/>
        <v>Support</v>
      </c>
      <c r="Z109" s="32">
        <f t="shared" si="32"/>
        <v>3</v>
      </c>
      <c r="AA109">
        <f>step3_validation[[#This Row],[AI_FAC1]]</f>
        <v>9</v>
      </c>
      <c r="AB109" t="str">
        <f t="shared" si="33"/>
        <v>Support</v>
      </c>
      <c r="AC109">
        <f>survey_responses[[#This Row],[Các thủ tục khai báo thuế VÀ/HOẶC quy trình làm việc với cơ quan thuế đơn giản, tiện lợi, nhanh chóng hơn so với trước đây. - HUMAN-FAC1]]</f>
        <v>5</v>
      </c>
      <c r="AD109" t="str">
        <f t="shared" si="34"/>
        <v>Neutral</v>
      </c>
      <c r="AE109" s="32">
        <f t="shared" si="35"/>
        <v>4</v>
      </c>
      <c r="AF109">
        <f>step3_validation[[#This Row],[AI_FAC2]]</f>
        <v>8</v>
      </c>
      <c r="AG109" t="str">
        <f t="shared" si="36"/>
        <v>Support</v>
      </c>
      <c r="AH109">
        <f>survey_responses[[#This Row],[So với trước đây, tôi thấy cách tính thuế và các bậc thuế trong phương án mới đơn giản, dễ hiểu và dễ thực hiện hơn. - HUMAN-FAC2]]</f>
        <v>5</v>
      </c>
      <c r="AI109" t="str">
        <f t="shared" si="37"/>
        <v>Neutral</v>
      </c>
      <c r="AJ109" s="32">
        <f t="shared" si="38"/>
        <v>3</v>
      </c>
      <c r="AK109">
        <f>step3_validation[[#This Row],[AI_TRU1]]</f>
        <v>9</v>
      </c>
      <c r="AL109" t="str">
        <f t="shared" si="39"/>
        <v>Support</v>
      </c>
      <c r="AM109">
        <f>survey_responses[[#This Row],[Tôi tin rằng Nhà nước, cơ quan thuế sẽ thực thi chính sách mới một cách khách quan, công tâm và đối xử bình đẳng với mọi người nộp thuế.  - HUMAN-TRU1]]</f>
        <v>5</v>
      </c>
      <c r="AN109" t="str">
        <f t="shared" si="40"/>
        <v>Neutral</v>
      </c>
      <c r="AO109" s="32">
        <f t="shared" si="41"/>
        <v>4</v>
      </c>
      <c r="AP109">
        <f>step3_validation[[#This Row],[AI_TRU2]]</f>
        <v>8</v>
      </c>
      <c r="AQ109" t="str">
        <f t="shared" si="42"/>
        <v>Support</v>
      </c>
      <c r="AR109">
        <f>survey_responses[[#This Row],[Tôi thấy mức thuế tôi phải đóng theo phương án mới là công bằng (người thu nhập như tôi đóng mức này là hợp lý). - HUMAN-TRU2]]</f>
        <v>5</v>
      </c>
      <c r="AS109" t="str">
        <f t="shared" si="43"/>
        <v>Neutral</v>
      </c>
      <c r="AT109" s="32">
        <f t="shared" si="44"/>
        <v>3</v>
      </c>
      <c r="AU109">
        <f>step3_validation[[#This Row],[AI_TRU3]]</f>
        <v>9</v>
      </c>
      <c r="AV109" t="str">
        <f t="shared" si="45"/>
        <v>Support</v>
      </c>
      <c r="AW109">
        <f>survey_responses[[#This Row],[Tôi tin tưởng số tiền thuế tôi đóng sẽ được Nhà nước sử dụng hiệu quả để cải thiện dịch vụ công (y tế, đường xá...). - HUMAN-TRU3]]</f>
        <v>8</v>
      </c>
      <c r="AX109" t="str">
        <f t="shared" si="46"/>
        <v>Support</v>
      </c>
      <c r="AY109" s="32">
        <f t="shared" si="47"/>
        <v>1</v>
      </c>
      <c r="AZ109">
        <f>step3_validation[[#This Row],[AI_TRU4]]</f>
        <v>7</v>
      </c>
      <c r="BA109" t="str">
        <f t="shared" si="48"/>
        <v>Neutral</v>
      </c>
      <c r="BB109">
        <f>survey_responses[[#This Row],[Tôi thấy Nhà nước đã giải thích rõ ràng, minh bạch về lý do và mục tiêu của việc sửa đổi thuế lần này. - HUMAN-TRU4]]</f>
        <v>5</v>
      </c>
      <c r="BC109" t="str">
        <f t="shared" si="49"/>
        <v>Neutral</v>
      </c>
      <c r="BD109" s="32">
        <f t="shared" si="50"/>
        <v>2</v>
      </c>
      <c r="BE109">
        <f>step3_validation[[#This Row],[AI_OUT1]]</f>
        <v>6</v>
      </c>
      <c r="BF109" t="str">
        <f t="shared" si="51"/>
        <v>Neutral</v>
      </c>
      <c r="BG109">
        <f>survey_responses[[#This Row],[Sau khi xem xét các quyền lợi và nghĩa vụ, bạn có ủng hộ và tuân thủ chính sách mới hiện nay? - HUMAN-OUT1]]</f>
        <v>6</v>
      </c>
      <c r="BH109" t="str">
        <f t="shared" si="52"/>
        <v>Neutral</v>
      </c>
      <c r="BI109" s="32">
        <f t="shared" si="53"/>
        <v>0</v>
      </c>
    </row>
    <row r="110" spans="1:61" x14ac:dyDescent="0.45">
      <c r="A110" s="30">
        <f>step3_validation[[#This Row],[Persona_ID]]</f>
        <v>109</v>
      </c>
      <c r="B110" s="31">
        <f>step3_validation[[#This Row],[Used_Seed]]</f>
        <v>2099</v>
      </c>
      <c r="C110" t="str">
        <f>step3_validation[[#This Row],[Gender]]</f>
        <v>Nữ</v>
      </c>
      <c r="D110" t="str">
        <f>survey_responses[[#This Row],[Giới tính của bạn:]]</f>
        <v>Nữ</v>
      </c>
      <c r="E110" t="str">
        <f>step3_validation[[#This Row],[Age_Group]]</f>
        <v>40 - 49</v>
      </c>
      <c r="F110" t="str">
        <f>survey_responses[[#This Row],[Độ tuổi của bạn:]]</f>
        <v>40 - 49</v>
      </c>
      <c r="G110" t="str">
        <f>step3_validation[[#This Row],[Region]]</f>
        <v>Thành thị</v>
      </c>
      <c r="H110" t="str">
        <f>survey_responses[[#This Row],[Khu vực bạn đang sinh sống:]]</f>
        <v>Thành thị</v>
      </c>
      <c r="I110" t="str">
        <f>step3_validation[[#This Row],[Education]]</f>
        <v>Đại học</v>
      </c>
      <c r="J110" t="str">
        <f>survey_responses[[#This Row],[Trình độ học vấn cao nhất:]]</f>
        <v>Đại học</v>
      </c>
      <c r="K110" t="str">
        <f>step3_validation[[#This Row],[Employment]]</f>
        <v>Chính thức</v>
      </c>
      <c r="L110" t="str">
        <f>survey_responses[[#This Row],[Tình trạng việc làm chính:]]</f>
        <v>Khu vực chính thức (Có Hợp đồng lao động, đóng BHXH)</v>
      </c>
      <c r="M110">
        <f>step3_validation[[#This Row],[Income_Mil]]</f>
        <v>14.887271696794896</v>
      </c>
      <c r="N110" t="str">
        <f>survey_responses[[#This Row],[Thu nhập bình quân tháng theo Hợp đồng lao động của bạn là bao nhiêu? (Vui lòng điền tổng thu nhập trước khi khấu trừ các loại Bảo hiểm (BHXH, BHYT, BHTN) và Thuế TNCN)]]</f>
        <v>Từ 12 - 18 triệu VNĐ</v>
      </c>
      <c r="O110">
        <f>step3_validation[[#This Row],[Dependents]]</f>
        <v>1</v>
      </c>
      <c r="P110" t="str">
        <f>survey_responses[[#This Row],[Số người phụ thuộc (con nhỏ, cha mẹ già...) đủ điều kiện giảm trừ gia cảnh:]]</f>
        <v>1 người</v>
      </c>
      <c r="Q110">
        <f>step3_validation[[#This Row],[AI_ENF1]]</f>
        <v>6</v>
      </c>
      <c r="R110" t="str">
        <f t="shared" si="27"/>
        <v>Neutral</v>
      </c>
      <c r="S110">
        <f>survey_responses[[#This Row],[Tôi tin rằng với các quy định quản lý thuế hiện nay, hành vi gian lận hoặc trốn thuế sẽ dễ dàng bị phát hiện và xử lý nghiêm. - HUMAN-ENF1]]</f>
        <v>10</v>
      </c>
      <c r="T110" t="str">
        <f t="shared" si="28"/>
        <v>Support</v>
      </c>
      <c r="U110" s="32">
        <f t="shared" si="29"/>
        <v>4</v>
      </c>
      <c r="V110">
        <f>step3_validation[[#This Row],[AI_ENF2]]</f>
        <v>7</v>
      </c>
      <c r="W110" t="str">
        <f t="shared" si="30"/>
        <v>Neutral</v>
      </c>
      <c r="X110">
        <f>survey_responses[[#This Row],[Tôi tin rằng Nhà nước, cơ quan thuế có đủ khả năng và công nghệ để phát hiện, xử lý nghiêm các hành vi trốn thuế. - HUMAN-ENF2]]</f>
        <v>10</v>
      </c>
      <c r="Y110" t="str">
        <f t="shared" si="31"/>
        <v>Support</v>
      </c>
      <c r="Z110" s="32">
        <f t="shared" si="32"/>
        <v>3</v>
      </c>
      <c r="AA110">
        <f>step3_validation[[#This Row],[AI_FAC1]]</f>
        <v>5</v>
      </c>
      <c r="AB110" t="str">
        <f t="shared" si="33"/>
        <v>Neutral</v>
      </c>
      <c r="AC110">
        <f>survey_responses[[#This Row],[Các thủ tục khai báo thuế VÀ/HOẶC quy trình làm việc với cơ quan thuế đơn giản, tiện lợi, nhanh chóng hơn so với trước đây. - HUMAN-FAC1]]</f>
        <v>10</v>
      </c>
      <c r="AD110" t="str">
        <f t="shared" si="34"/>
        <v>Support</v>
      </c>
      <c r="AE110" s="32">
        <f t="shared" si="35"/>
        <v>5</v>
      </c>
      <c r="AF110">
        <f>step3_validation[[#This Row],[AI_FAC2]]</f>
        <v>7</v>
      </c>
      <c r="AG110" t="str">
        <f t="shared" si="36"/>
        <v>Neutral</v>
      </c>
      <c r="AH110">
        <f>survey_responses[[#This Row],[So với trước đây, tôi thấy cách tính thuế và các bậc thuế trong phương án mới đơn giản, dễ hiểu và dễ thực hiện hơn. - HUMAN-FAC2]]</f>
        <v>10</v>
      </c>
      <c r="AI110" t="str">
        <f t="shared" si="37"/>
        <v>Support</v>
      </c>
      <c r="AJ110" s="32">
        <f t="shared" si="38"/>
        <v>3</v>
      </c>
      <c r="AK110">
        <f>step3_validation[[#This Row],[AI_TRU1]]</f>
        <v>5</v>
      </c>
      <c r="AL110" t="str">
        <f t="shared" si="39"/>
        <v>Neutral</v>
      </c>
      <c r="AM110">
        <f>survey_responses[[#This Row],[Tôi tin rằng Nhà nước, cơ quan thuế sẽ thực thi chính sách mới một cách khách quan, công tâm và đối xử bình đẳng với mọi người nộp thuế.  - HUMAN-TRU1]]</f>
        <v>10</v>
      </c>
      <c r="AN110" t="str">
        <f t="shared" si="40"/>
        <v>Support</v>
      </c>
      <c r="AO110" s="32">
        <f t="shared" si="41"/>
        <v>5</v>
      </c>
      <c r="AP110">
        <f>step3_validation[[#This Row],[AI_TRU2]]</f>
        <v>6</v>
      </c>
      <c r="AQ110" t="str">
        <f t="shared" si="42"/>
        <v>Neutral</v>
      </c>
      <c r="AR110">
        <f>survey_responses[[#This Row],[Tôi thấy mức thuế tôi phải đóng theo phương án mới là công bằng (người thu nhập như tôi đóng mức này là hợp lý). - HUMAN-TRU2]]</f>
        <v>10</v>
      </c>
      <c r="AS110" t="str">
        <f t="shared" si="43"/>
        <v>Support</v>
      </c>
      <c r="AT110" s="32">
        <f t="shared" si="44"/>
        <v>4</v>
      </c>
      <c r="AU110">
        <f>step3_validation[[#This Row],[AI_TRU3]]</f>
        <v>5</v>
      </c>
      <c r="AV110" t="str">
        <f t="shared" si="45"/>
        <v>Neutral</v>
      </c>
      <c r="AW110">
        <f>survey_responses[[#This Row],[Tôi tin tưởng số tiền thuế tôi đóng sẽ được Nhà nước sử dụng hiệu quả để cải thiện dịch vụ công (y tế, đường xá...). - HUMAN-TRU3]]</f>
        <v>10</v>
      </c>
      <c r="AX110" t="str">
        <f t="shared" si="46"/>
        <v>Support</v>
      </c>
      <c r="AY110" s="32">
        <f t="shared" si="47"/>
        <v>5</v>
      </c>
      <c r="AZ110">
        <f>step3_validation[[#This Row],[AI_TRU4]]</f>
        <v>6</v>
      </c>
      <c r="BA110" t="str">
        <f t="shared" si="48"/>
        <v>Neutral</v>
      </c>
      <c r="BB110">
        <f>survey_responses[[#This Row],[Tôi thấy Nhà nước đã giải thích rõ ràng, minh bạch về lý do và mục tiêu của việc sửa đổi thuế lần này. - HUMAN-TRU4]]</f>
        <v>10</v>
      </c>
      <c r="BC110" t="str">
        <f t="shared" si="49"/>
        <v>Support</v>
      </c>
      <c r="BD110" s="32">
        <f t="shared" si="50"/>
        <v>4</v>
      </c>
      <c r="BE110">
        <f>step3_validation[[#This Row],[AI_OUT1]]</f>
        <v>5</v>
      </c>
      <c r="BF110" t="str">
        <f t="shared" si="51"/>
        <v>Neutral</v>
      </c>
      <c r="BG110">
        <f>survey_responses[[#This Row],[Sau khi xem xét các quyền lợi và nghĩa vụ, bạn có ủng hộ và tuân thủ chính sách mới hiện nay? - HUMAN-OUT1]]</f>
        <v>10</v>
      </c>
      <c r="BH110" t="str">
        <f t="shared" si="52"/>
        <v>Support</v>
      </c>
      <c r="BI110" s="32">
        <f t="shared" si="53"/>
        <v>5</v>
      </c>
    </row>
    <row r="111" spans="1:61" x14ac:dyDescent="0.45">
      <c r="A111" s="30">
        <f>step3_validation[[#This Row],[Persona_ID]]</f>
        <v>110</v>
      </c>
      <c r="B111" s="31">
        <f>step3_validation[[#This Row],[Used_Seed]]</f>
        <v>2100</v>
      </c>
      <c r="C111" t="str">
        <f>step3_validation[[#This Row],[Gender]]</f>
        <v>Nam</v>
      </c>
      <c r="D111" t="str">
        <f>survey_responses[[#This Row],[Giới tính của bạn:]]</f>
        <v>Nam</v>
      </c>
      <c r="E111" t="str">
        <f>step3_validation[[#This Row],[Age_Group]]</f>
        <v>30 - 39</v>
      </c>
      <c r="F111" t="str">
        <f>survey_responses[[#This Row],[Độ tuổi của bạn:]]</f>
        <v>30 - 39</v>
      </c>
      <c r="G111" t="str">
        <f>step3_validation[[#This Row],[Region]]</f>
        <v>Thành thị</v>
      </c>
      <c r="H111" t="str">
        <f>survey_responses[[#This Row],[Khu vực bạn đang sinh sống:]]</f>
        <v>Thành thị</v>
      </c>
      <c r="I111" t="str">
        <f>step3_validation[[#This Row],[Education]]</f>
        <v>Đại học</v>
      </c>
      <c r="J111" t="str">
        <f>survey_responses[[#This Row],[Trình độ học vấn cao nhất:]]</f>
        <v>Đại học</v>
      </c>
      <c r="K111" t="str">
        <f>step3_validation[[#This Row],[Employment]]</f>
        <v>Chính thức</v>
      </c>
      <c r="L111" t="str">
        <f>survey_responses[[#This Row],[Tình trạng việc làm chính:]]</f>
        <v>Khu vực chính thức (Có Hợp đồng lao động, đóng BHXH)</v>
      </c>
      <c r="M111">
        <f>step3_validation[[#This Row],[Income_Mil]]</f>
        <v>54.279779262352179</v>
      </c>
      <c r="N111" t="str">
        <f>survey_responses[[#This Row],[Thu nhập bình quân tháng theo Hợp đồng lao động của bạn là bao nhiêu? (Vui lòng điền tổng thu nhập trước khi khấu trừ các loại Bảo hiểm (BHXH, BHYT, BHTN) và Thuế TNCN)]]</f>
        <v>Từ 48 - 70 triệu VNĐ</v>
      </c>
      <c r="O111">
        <f>step3_validation[[#This Row],[Dependents]]</f>
        <v>2</v>
      </c>
      <c r="P111" t="str">
        <f>survey_responses[[#This Row],[Số người phụ thuộc (con nhỏ, cha mẹ già...) đủ điều kiện giảm trừ gia cảnh:]]</f>
        <v>2 người</v>
      </c>
      <c r="Q111">
        <f>step3_validation[[#This Row],[AI_ENF1]]</f>
        <v>7</v>
      </c>
      <c r="R111" t="str">
        <f t="shared" si="27"/>
        <v>Neutral</v>
      </c>
      <c r="S111">
        <f>survey_responses[[#This Row],[Tôi tin rằng với các quy định quản lý thuế hiện nay, hành vi gian lận hoặc trốn thuế sẽ dễ dàng bị phát hiện và xử lý nghiêm. - HUMAN-ENF1]]</f>
        <v>7</v>
      </c>
      <c r="T111" t="str">
        <f t="shared" si="28"/>
        <v>Neutral</v>
      </c>
      <c r="U111" s="32">
        <f t="shared" si="29"/>
        <v>0</v>
      </c>
      <c r="V111">
        <f>step3_validation[[#This Row],[AI_ENF2]]</f>
        <v>6</v>
      </c>
      <c r="W111" t="str">
        <f t="shared" si="30"/>
        <v>Neutral</v>
      </c>
      <c r="X111">
        <f>survey_responses[[#This Row],[Tôi tin rằng Nhà nước, cơ quan thuế có đủ khả năng và công nghệ để phát hiện, xử lý nghiêm các hành vi trốn thuế. - HUMAN-ENF2]]</f>
        <v>6</v>
      </c>
      <c r="Y111" t="str">
        <f t="shared" si="31"/>
        <v>Neutral</v>
      </c>
      <c r="Z111" s="32">
        <f t="shared" si="32"/>
        <v>0</v>
      </c>
      <c r="AA111">
        <f>step3_validation[[#This Row],[AI_FAC1]]</f>
        <v>8</v>
      </c>
      <c r="AB111" t="str">
        <f t="shared" si="33"/>
        <v>Support</v>
      </c>
      <c r="AC111">
        <f>survey_responses[[#This Row],[Các thủ tục khai báo thuế VÀ/HOẶC quy trình làm việc với cơ quan thuế đơn giản, tiện lợi, nhanh chóng hơn so với trước đây. - HUMAN-FAC1]]</f>
        <v>8</v>
      </c>
      <c r="AD111" t="str">
        <f t="shared" si="34"/>
        <v>Support</v>
      </c>
      <c r="AE111" s="32">
        <f t="shared" si="35"/>
        <v>0</v>
      </c>
      <c r="AF111">
        <f>step3_validation[[#This Row],[AI_FAC2]]</f>
        <v>9</v>
      </c>
      <c r="AG111" t="str">
        <f t="shared" si="36"/>
        <v>Support</v>
      </c>
      <c r="AH111">
        <f>survey_responses[[#This Row],[So với trước đây, tôi thấy cách tính thuế và các bậc thuế trong phương án mới đơn giản, dễ hiểu và dễ thực hiện hơn. - HUMAN-FAC2]]</f>
        <v>8</v>
      </c>
      <c r="AI111" t="str">
        <f t="shared" si="37"/>
        <v>Support</v>
      </c>
      <c r="AJ111" s="32">
        <f t="shared" si="38"/>
        <v>1</v>
      </c>
      <c r="AK111">
        <f>step3_validation[[#This Row],[AI_TRU1]]</f>
        <v>7</v>
      </c>
      <c r="AL111" t="str">
        <f t="shared" si="39"/>
        <v>Neutral</v>
      </c>
      <c r="AM111">
        <f>survey_responses[[#This Row],[Tôi tin rằng Nhà nước, cơ quan thuế sẽ thực thi chính sách mới một cách khách quan, công tâm và đối xử bình đẳng với mọi người nộp thuế.  - HUMAN-TRU1]]</f>
        <v>7</v>
      </c>
      <c r="AN111" t="str">
        <f t="shared" si="40"/>
        <v>Neutral</v>
      </c>
      <c r="AO111" s="32">
        <f t="shared" si="41"/>
        <v>0</v>
      </c>
      <c r="AP111">
        <f>step3_validation[[#This Row],[AI_TRU2]]</f>
        <v>8</v>
      </c>
      <c r="AQ111" t="str">
        <f t="shared" si="42"/>
        <v>Support</v>
      </c>
      <c r="AR111">
        <f>survey_responses[[#This Row],[Tôi thấy mức thuế tôi phải đóng theo phương án mới là công bằng (người thu nhập như tôi đóng mức này là hợp lý). - HUMAN-TRU2]]</f>
        <v>6</v>
      </c>
      <c r="AS111" t="str">
        <f t="shared" si="43"/>
        <v>Neutral</v>
      </c>
      <c r="AT111" s="32">
        <f t="shared" si="44"/>
        <v>2</v>
      </c>
      <c r="AU111">
        <f>step3_validation[[#This Row],[AI_TRU3]]</f>
        <v>6</v>
      </c>
      <c r="AV111" t="str">
        <f t="shared" si="45"/>
        <v>Neutral</v>
      </c>
      <c r="AW111">
        <f>survey_responses[[#This Row],[Tôi tin tưởng số tiền thuế tôi đóng sẽ được Nhà nước sử dụng hiệu quả để cải thiện dịch vụ công (y tế, đường xá...). - HUMAN-TRU3]]</f>
        <v>5</v>
      </c>
      <c r="AX111" t="str">
        <f t="shared" si="46"/>
        <v>Neutral</v>
      </c>
      <c r="AY111" s="32">
        <f t="shared" si="47"/>
        <v>1</v>
      </c>
      <c r="AZ111">
        <f>step3_validation[[#This Row],[AI_TRU4]]</f>
        <v>5</v>
      </c>
      <c r="BA111" t="str">
        <f t="shared" si="48"/>
        <v>Neutral</v>
      </c>
      <c r="BB111">
        <f>survey_responses[[#This Row],[Tôi thấy Nhà nước đã giải thích rõ ràng, minh bạch về lý do và mục tiêu của việc sửa đổi thuế lần này. - HUMAN-TRU4]]</f>
        <v>5</v>
      </c>
      <c r="BC111" t="str">
        <f t="shared" si="49"/>
        <v>Neutral</v>
      </c>
      <c r="BD111" s="32">
        <f t="shared" si="50"/>
        <v>0</v>
      </c>
      <c r="BE111">
        <f>step3_validation[[#This Row],[AI_OUT1]]</f>
        <v>7</v>
      </c>
      <c r="BF111" t="str">
        <f t="shared" si="51"/>
        <v>Neutral</v>
      </c>
      <c r="BG111">
        <f>survey_responses[[#This Row],[Sau khi xem xét các quyền lợi và nghĩa vụ, bạn có ủng hộ và tuân thủ chính sách mới hiện nay? - HUMAN-OUT1]]</f>
        <v>8</v>
      </c>
      <c r="BH111" t="str">
        <f t="shared" si="52"/>
        <v>Support</v>
      </c>
      <c r="BI111" s="32">
        <f t="shared" si="53"/>
        <v>1</v>
      </c>
    </row>
    <row r="112" spans="1:61" x14ac:dyDescent="0.45">
      <c r="A112" s="30">
        <f>step3_validation[[#This Row],[Persona_ID]]</f>
        <v>111</v>
      </c>
      <c r="B112" s="31">
        <f>step3_validation[[#This Row],[Used_Seed]]</f>
        <v>2101</v>
      </c>
      <c r="C112" t="str">
        <f>step3_validation[[#This Row],[Gender]]</f>
        <v>Nam</v>
      </c>
      <c r="D112" t="str">
        <f>survey_responses[[#This Row],[Giới tính của bạn:]]</f>
        <v>Nam</v>
      </c>
      <c r="E112" t="str">
        <f>step3_validation[[#This Row],[Age_Group]]</f>
        <v>50 - 54</v>
      </c>
      <c r="F112" t="str">
        <f>survey_responses[[#This Row],[Độ tuổi của bạn:]]</f>
        <v>50 - 54</v>
      </c>
      <c r="G112" t="str">
        <f>step3_validation[[#This Row],[Region]]</f>
        <v>Thành thị</v>
      </c>
      <c r="H112" t="str">
        <f>survey_responses[[#This Row],[Khu vực bạn đang sinh sống:]]</f>
        <v>Thành thị</v>
      </c>
      <c r="I112" t="str">
        <f>step3_validation[[#This Row],[Education]]</f>
        <v>Đại học</v>
      </c>
      <c r="J112" t="str">
        <f>survey_responses[[#This Row],[Trình độ học vấn cao nhất:]]</f>
        <v>Đại học</v>
      </c>
      <c r="K112" t="str">
        <f>step3_validation[[#This Row],[Employment]]</f>
        <v>Chính thức</v>
      </c>
      <c r="L112" t="str">
        <f>survey_responses[[#This Row],[Tình trạng việc làm chính:]]</f>
        <v>Khu vực chính thức (Có Hợp đồng lao động, đóng BHXH)</v>
      </c>
      <c r="M112">
        <f>step3_validation[[#This Row],[Income_Mil]]</f>
        <v>23.865364861513175</v>
      </c>
      <c r="N112" t="str">
        <f>survey_responses[[#This Row],[Thu nhập bình quân tháng theo Hợp đồng lao động của bạn là bao nhiêu? (Vui lòng điền tổng thu nhập trước khi khấu trừ các loại Bảo hiểm (BHXH, BHYT, BHTN) và Thuế TNCN)]]</f>
        <v>Từ 23 - 32 triệu VNĐ</v>
      </c>
      <c r="O112">
        <f>step3_validation[[#This Row],[Dependents]]</f>
        <v>1</v>
      </c>
      <c r="P112" t="str">
        <f>survey_responses[[#This Row],[Số người phụ thuộc (con nhỏ, cha mẹ già...) đủ điều kiện giảm trừ gia cảnh:]]</f>
        <v>1 người</v>
      </c>
      <c r="Q112">
        <f>step3_validation[[#This Row],[AI_ENF1]]</f>
        <v>7</v>
      </c>
      <c r="R112" t="str">
        <f t="shared" si="27"/>
        <v>Neutral</v>
      </c>
      <c r="S112">
        <f>survey_responses[[#This Row],[Tôi tin rằng với các quy định quản lý thuế hiện nay, hành vi gian lận hoặc trốn thuế sẽ dễ dàng bị phát hiện và xử lý nghiêm. - HUMAN-ENF1]]</f>
        <v>8</v>
      </c>
      <c r="T112" t="str">
        <f t="shared" si="28"/>
        <v>Support</v>
      </c>
      <c r="U112" s="32">
        <f t="shared" si="29"/>
        <v>1</v>
      </c>
      <c r="V112">
        <f>step3_validation[[#This Row],[AI_ENF2]]</f>
        <v>6</v>
      </c>
      <c r="W112" t="str">
        <f t="shared" si="30"/>
        <v>Neutral</v>
      </c>
      <c r="X112">
        <f>survey_responses[[#This Row],[Tôi tin rằng Nhà nước, cơ quan thuế có đủ khả năng và công nghệ để phát hiện, xử lý nghiêm các hành vi trốn thuế. - HUMAN-ENF2]]</f>
        <v>8</v>
      </c>
      <c r="Y112" t="str">
        <f t="shared" si="31"/>
        <v>Support</v>
      </c>
      <c r="Z112" s="32">
        <f t="shared" si="32"/>
        <v>2</v>
      </c>
      <c r="AA112">
        <f>step3_validation[[#This Row],[AI_FAC1]]</f>
        <v>8</v>
      </c>
      <c r="AB112" t="str">
        <f t="shared" si="33"/>
        <v>Support</v>
      </c>
      <c r="AC112">
        <f>survey_responses[[#This Row],[Các thủ tục khai báo thuế VÀ/HOẶC quy trình làm việc với cơ quan thuế đơn giản, tiện lợi, nhanh chóng hơn so với trước đây. - HUMAN-FAC1]]</f>
        <v>6</v>
      </c>
      <c r="AD112" t="str">
        <f t="shared" si="34"/>
        <v>Neutral</v>
      </c>
      <c r="AE112" s="32">
        <f t="shared" si="35"/>
        <v>2</v>
      </c>
      <c r="AF112">
        <f>step3_validation[[#This Row],[AI_FAC2]]</f>
        <v>9</v>
      </c>
      <c r="AG112" t="str">
        <f t="shared" si="36"/>
        <v>Support</v>
      </c>
      <c r="AH112">
        <f>survey_responses[[#This Row],[So với trước đây, tôi thấy cách tính thuế và các bậc thuế trong phương án mới đơn giản, dễ hiểu và dễ thực hiện hơn. - HUMAN-FAC2]]</f>
        <v>7</v>
      </c>
      <c r="AI112" t="str">
        <f t="shared" si="37"/>
        <v>Neutral</v>
      </c>
      <c r="AJ112" s="32">
        <f t="shared" si="38"/>
        <v>2</v>
      </c>
      <c r="AK112">
        <f>step3_validation[[#This Row],[AI_TRU1]]</f>
        <v>7</v>
      </c>
      <c r="AL112" t="str">
        <f t="shared" si="39"/>
        <v>Neutral</v>
      </c>
      <c r="AM112">
        <f>survey_responses[[#This Row],[Tôi tin rằng Nhà nước, cơ quan thuế sẽ thực thi chính sách mới một cách khách quan, công tâm và đối xử bình đẳng với mọi người nộp thuế.  - HUMAN-TRU1]]</f>
        <v>6</v>
      </c>
      <c r="AN112" t="str">
        <f t="shared" si="40"/>
        <v>Neutral</v>
      </c>
      <c r="AO112" s="32">
        <f t="shared" si="41"/>
        <v>1</v>
      </c>
      <c r="AP112">
        <f>step3_validation[[#This Row],[AI_TRU2]]</f>
        <v>8</v>
      </c>
      <c r="AQ112" t="str">
        <f t="shared" si="42"/>
        <v>Support</v>
      </c>
      <c r="AR112">
        <f>survey_responses[[#This Row],[Tôi thấy mức thuế tôi phải đóng theo phương án mới là công bằng (người thu nhập như tôi đóng mức này là hợp lý). - HUMAN-TRU2]]</f>
        <v>7</v>
      </c>
      <c r="AS112" t="str">
        <f t="shared" si="43"/>
        <v>Neutral</v>
      </c>
      <c r="AT112" s="32">
        <f t="shared" si="44"/>
        <v>1</v>
      </c>
      <c r="AU112">
        <f>step3_validation[[#This Row],[AI_TRU3]]</f>
        <v>6</v>
      </c>
      <c r="AV112" t="str">
        <f t="shared" si="45"/>
        <v>Neutral</v>
      </c>
      <c r="AW112">
        <f>survey_responses[[#This Row],[Tôi tin tưởng số tiền thuế tôi đóng sẽ được Nhà nước sử dụng hiệu quả để cải thiện dịch vụ công (y tế, đường xá...). - HUMAN-TRU3]]</f>
        <v>5</v>
      </c>
      <c r="AX112" t="str">
        <f t="shared" si="46"/>
        <v>Neutral</v>
      </c>
      <c r="AY112" s="32">
        <f t="shared" si="47"/>
        <v>1</v>
      </c>
      <c r="AZ112">
        <f>step3_validation[[#This Row],[AI_TRU4]]</f>
        <v>7</v>
      </c>
      <c r="BA112" t="str">
        <f t="shared" si="48"/>
        <v>Neutral</v>
      </c>
      <c r="BB112">
        <f>survey_responses[[#This Row],[Tôi thấy Nhà nước đã giải thích rõ ràng, minh bạch về lý do và mục tiêu của việc sửa đổi thuế lần này. - HUMAN-TRU4]]</f>
        <v>5</v>
      </c>
      <c r="BC112" t="str">
        <f t="shared" si="49"/>
        <v>Neutral</v>
      </c>
      <c r="BD112" s="32">
        <f t="shared" si="50"/>
        <v>2</v>
      </c>
      <c r="BE112">
        <f>step3_validation[[#This Row],[AI_OUT1]]</f>
        <v>8</v>
      </c>
      <c r="BF112" t="str">
        <f t="shared" si="51"/>
        <v>Support</v>
      </c>
      <c r="BG112">
        <f>survey_responses[[#This Row],[Sau khi xem xét các quyền lợi và nghĩa vụ, bạn có ủng hộ và tuân thủ chính sách mới hiện nay? - HUMAN-OUT1]]</f>
        <v>5</v>
      </c>
      <c r="BH112" t="str">
        <f t="shared" si="52"/>
        <v>Neutral</v>
      </c>
      <c r="BI112" s="32">
        <f t="shared" si="53"/>
        <v>3</v>
      </c>
    </row>
    <row r="113" spans="1:61" x14ac:dyDescent="0.45">
      <c r="A113" s="30">
        <f>step3_validation[[#This Row],[Persona_ID]]</f>
        <v>112</v>
      </c>
      <c r="B113" s="31">
        <f>step3_validation[[#This Row],[Used_Seed]]</f>
        <v>2102</v>
      </c>
      <c r="C113" t="str">
        <f>step3_validation[[#This Row],[Gender]]</f>
        <v>Nữ</v>
      </c>
      <c r="D113" t="str">
        <f>survey_responses[[#This Row],[Giới tính của bạn:]]</f>
        <v>Nữ</v>
      </c>
      <c r="E113" t="str">
        <f>step3_validation[[#This Row],[Age_Group]]</f>
        <v>40 - 49</v>
      </c>
      <c r="F113" t="str">
        <f>survey_responses[[#This Row],[Độ tuổi của bạn:]]</f>
        <v>40 - 49</v>
      </c>
      <c r="G113" t="str">
        <f>step3_validation[[#This Row],[Region]]</f>
        <v>Thành thị</v>
      </c>
      <c r="H113" t="str">
        <f>survey_responses[[#This Row],[Khu vực bạn đang sinh sống:]]</f>
        <v>Thành thị</v>
      </c>
      <c r="I113" t="str">
        <f>step3_validation[[#This Row],[Education]]</f>
        <v>Đại học</v>
      </c>
      <c r="J113" t="str">
        <f>survey_responses[[#This Row],[Trình độ học vấn cao nhất:]]</f>
        <v>Đại học</v>
      </c>
      <c r="K113" t="str">
        <f>step3_validation[[#This Row],[Employment]]</f>
        <v>Chính thức</v>
      </c>
      <c r="L113" t="str">
        <f>survey_responses[[#This Row],[Tình trạng việc làm chính:]]</f>
        <v>Khu vực chính thức (Có Hợp đồng lao động, đóng BHXH)</v>
      </c>
      <c r="M113">
        <f>step3_validation[[#This Row],[Income_Mil]]</f>
        <v>18.581680431978473</v>
      </c>
      <c r="N113" t="str">
        <f>survey_responses[[#This Row],[Thu nhập bình quân tháng theo Hợp đồng lao động của bạn là bao nhiêu? (Vui lòng điền tổng thu nhập trước khi khấu trừ các loại Bảo hiểm (BHXH, BHYT, BHTN) và Thuế TNCN)]]</f>
        <v>Từ 18 - 23 triệu VNĐ</v>
      </c>
      <c r="O113">
        <f>step3_validation[[#This Row],[Dependents]]</f>
        <v>2</v>
      </c>
      <c r="P113" t="str">
        <f>survey_responses[[#This Row],[Số người phụ thuộc (con nhỏ, cha mẹ già...) đủ điều kiện giảm trừ gia cảnh:]]</f>
        <v>2 người</v>
      </c>
      <c r="Q113">
        <f>step3_validation[[#This Row],[AI_ENF1]]</f>
        <v>8</v>
      </c>
      <c r="R113" t="str">
        <f t="shared" si="27"/>
        <v>Support</v>
      </c>
      <c r="S113">
        <f>survey_responses[[#This Row],[Tôi tin rằng với các quy định quản lý thuế hiện nay, hành vi gian lận hoặc trốn thuế sẽ dễ dàng bị phát hiện và xử lý nghiêm. - HUMAN-ENF1]]</f>
        <v>7</v>
      </c>
      <c r="T113" t="str">
        <f t="shared" si="28"/>
        <v>Neutral</v>
      </c>
      <c r="U113" s="32">
        <f t="shared" si="29"/>
        <v>1</v>
      </c>
      <c r="V113">
        <f>step3_validation[[#This Row],[AI_ENF2]]</f>
        <v>7</v>
      </c>
      <c r="W113" t="str">
        <f t="shared" si="30"/>
        <v>Neutral</v>
      </c>
      <c r="X113">
        <f>survey_responses[[#This Row],[Tôi tin rằng Nhà nước, cơ quan thuế có đủ khả năng và công nghệ để phát hiện, xử lý nghiêm các hành vi trốn thuế. - HUMAN-ENF2]]</f>
        <v>8</v>
      </c>
      <c r="Y113" t="str">
        <f t="shared" si="31"/>
        <v>Support</v>
      </c>
      <c r="Z113" s="32">
        <f t="shared" si="32"/>
        <v>1</v>
      </c>
      <c r="AA113">
        <f>step3_validation[[#This Row],[AI_FAC1]]</f>
        <v>9</v>
      </c>
      <c r="AB113" t="str">
        <f t="shared" si="33"/>
        <v>Support</v>
      </c>
      <c r="AC113">
        <f>survey_responses[[#This Row],[Các thủ tục khai báo thuế VÀ/HOẶC quy trình làm việc với cơ quan thuế đơn giản, tiện lợi, nhanh chóng hơn so với trước đây. - HUMAN-FAC1]]</f>
        <v>8</v>
      </c>
      <c r="AD113" t="str">
        <f t="shared" si="34"/>
        <v>Support</v>
      </c>
      <c r="AE113" s="32">
        <f t="shared" si="35"/>
        <v>1</v>
      </c>
      <c r="AF113">
        <f>step3_validation[[#This Row],[AI_FAC2]]</f>
        <v>8</v>
      </c>
      <c r="AG113" t="str">
        <f t="shared" si="36"/>
        <v>Support</v>
      </c>
      <c r="AH113">
        <f>survey_responses[[#This Row],[So với trước đây, tôi thấy cách tính thuế và các bậc thuế trong phương án mới đơn giản, dễ hiểu và dễ thực hiện hơn. - HUMAN-FAC2]]</f>
        <v>8</v>
      </c>
      <c r="AI113" t="str">
        <f t="shared" si="37"/>
        <v>Support</v>
      </c>
      <c r="AJ113" s="32">
        <f t="shared" si="38"/>
        <v>0</v>
      </c>
      <c r="AK113">
        <f>step3_validation[[#This Row],[AI_TRU1]]</f>
        <v>7</v>
      </c>
      <c r="AL113" t="str">
        <f t="shared" si="39"/>
        <v>Neutral</v>
      </c>
      <c r="AM113">
        <f>survey_responses[[#This Row],[Tôi tin rằng Nhà nước, cơ quan thuế sẽ thực thi chính sách mới một cách khách quan, công tâm và đối xử bình đẳng với mọi người nộp thuế.  - HUMAN-TRU1]]</f>
        <v>8</v>
      </c>
      <c r="AN113" t="str">
        <f t="shared" si="40"/>
        <v>Support</v>
      </c>
      <c r="AO113" s="32">
        <f t="shared" si="41"/>
        <v>1</v>
      </c>
      <c r="AP113">
        <f>step3_validation[[#This Row],[AI_TRU2]]</f>
        <v>6</v>
      </c>
      <c r="AQ113" t="str">
        <f t="shared" si="42"/>
        <v>Neutral</v>
      </c>
      <c r="AR113">
        <f>survey_responses[[#This Row],[Tôi thấy mức thuế tôi phải đóng theo phương án mới là công bằng (người thu nhập như tôi đóng mức này là hợp lý). - HUMAN-TRU2]]</f>
        <v>8</v>
      </c>
      <c r="AS113" t="str">
        <f t="shared" si="43"/>
        <v>Support</v>
      </c>
      <c r="AT113" s="32">
        <f t="shared" si="44"/>
        <v>2</v>
      </c>
      <c r="AU113">
        <f>step3_validation[[#This Row],[AI_TRU3]]</f>
        <v>7</v>
      </c>
      <c r="AV113" t="str">
        <f t="shared" si="45"/>
        <v>Neutral</v>
      </c>
      <c r="AW113">
        <f>survey_responses[[#This Row],[Tôi tin tưởng số tiền thuế tôi đóng sẽ được Nhà nước sử dụng hiệu quả để cải thiện dịch vụ công (y tế, đường xá...). - HUMAN-TRU3]]</f>
        <v>8</v>
      </c>
      <c r="AX113" t="str">
        <f t="shared" si="46"/>
        <v>Support</v>
      </c>
      <c r="AY113" s="32">
        <f t="shared" si="47"/>
        <v>1</v>
      </c>
      <c r="AZ113">
        <f>step3_validation[[#This Row],[AI_TRU4]]</f>
        <v>6</v>
      </c>
      <c r="BA113" t="str">
        <f t="shared" si="48"/>
        <v>Neutral</v>
      </c>
      <c r="BB113">
        <f>survey_responses[[#This Row],[Tôi thấy Nhà nước đã giải thích rõ ràng, minh bạch về lý do và mục tiêu của việc sửa đổi thuế lần này. - HUMAN-TRU4]]</f>
        <v>8</v>
      </c>
      <c r="BC113" t="str">
        <f t="shared" si="49"/>
        <v>Support</v>
      </c>
      <c r="BD113" s="32">
        <f t="shared" si="50"/>
        <v>2</v>
      </c>
      <c r="BE113">
        <f>step3_validation[[#This Row],[AI_OUT1]]</f>
        <v>8</v>
      </c>
      <c r="BF113" t="str">
        <f t="shared" si="51"/>
        <v>Support</v>
      </c>
      <c r="BG113">
        <f>survey_responses[[#This Row],[Sau khi xem xét các quyền lợi và nghĩa vụ, bạn có ủng hộ và tuân thủ chính sách mới hiện nay? - HUMAN-OUT1]]</f>
        <v>8</v>
      </c>
      <c r="BH113" t="str">
        <f t="shared" si="52"/>
        <v>Support</v>
      </c>
      <c r="BI113" s="32">
        <f t="shared" si="53"/>
        <v>0</v>
      </c>
    </row>
    <row r="114" spans="1:61" x14ac:dyDescent="0.45">
      <c r="A114" s="30">
        <f>step3_validation[[#This Row],[Persona_ID]]</f>
        <v>113</v>
      </c>
      <c r="B114" s="31">
        <f>step3_validation[[#This Row],[Used_Seed]]</f>
        <v>2103</v>
      </c>
      <c r="C114" t="str">
        <f>step3_validation[[#This Row],[Gender]]</f>
        <v>Nữ</v>
      </c>
      <c r="D114" t="str">
        <f>survey_responses[[#This Row],[Giới tính của bạn:]]</f>
        <v>Nữ</v>
      </c>
      <c r="E114" t="str">
        <f>step3_validation[[#This Row],[Age_Group]]</f>
        <v>30 - 39</v>
      </c>
      <c r="F114" t="str">
        <f>survey_responses[[#This Row],[Độ tuổi của bạn:]]</f>
        <v>30 - 39</v>
      </c>
      <c r="G114" t="str">
        <f>step3_validation[[#This Row],[Region]]</f>
        <v>Thành thị</v>
      </c>
      <c r="H114" t="str">
        <f>survey_responses[[#This Row],[Khu vực bạn đang sinh sống:]]</f>
        <v>Thành thị</v>
      </c>
      <c r="I114" t="str">
        <f>step3_validation[[#This Row],[Education]]</f>
        <v>Đại học</v>
      </c>
      <c r="J114" t="str">
        <f>survey_responses[[#This Row],[Trình độ học vấn cao nhất:]]</f>
        <v>Đại học</v>
      </c>
      <c r="K114" t="str">
        <f>step3_validation[[#This Row],[Employment]]</f>
        <v>Chính thức</v>
      </c>
      <c r="L114" t="str">
        <f>survey_responses[[#This Row],[Tình trạng việc làm chính:]]</f>
        <v>Khu vực chính thức (Có Hợp đồng lao động, đóng BHXH)</v>
      </c>
      <c r="M114">
        <f>step3_validation[[#This Row],[Income_Mil]]</f>
        <v>12</v>
      </c>
      <c r="N114" t="str">
        <f>survey_responses[[#This Row],[Thu nhập bình quân tháng theo Hợp đồng lao động của bạn là bao nhiêu? (Vui lòng điền tổng thu nhập trước khi khấu trừ các loại Bảo hiểm (BHXH, BHYT, BHTN) và Thuế TNCN)]]</f>
        <v>Dưới 12 triệu VNĐ</v>
      </c>
      <c r="O114">
        <f>step3_validation[[#This Row],[Dependents]]</f>
        <v>3</v>
      </c>
      <c r="P114" t="str">
        <f>survey_responses[[#This Row],[Số người phụ thuộc (con nhỏ, cha mẹ già...) đủ điều kiện giảm trừ gia cảnh:]]</f>
        <v>3 người</v>
      </c>
      <c r="Q114">
        <f>step3_validation[[#This Row],[AI_ENF1]]</f>
        <v>7</v>
      </c>
      <c r="R114" t="str">
        <f t="shared" si="27"/>
        <v>Neutral</v>
      </c>
      <c r="S114">
        <f>survey_responses[[#This Row],[Tôi tin rằng với các quy định quản lý thuế hiện nay, hành vi gian lận hoặc trốn thuế sẽ dễ dàng bị phát hiện và xử lý nghiêm. - HUMAN-ENF1]]</f>
        <v>1</v>
      </c>
      <c r="T114" t="str">
        <f t="shared" si="28"/>
        <v>Oppose</v>
      </c>
      <c r="U114" s="32">
        <f t="shared" si="29"/>
        <v>6</v>
      </c>
      <c r="V114">
        <f>step3_validation[[#This Row],[AI_ENF2]]</f>
        <v>8</v>
      </c>
      <c r="W114" t="str">
        <f t="shared" si="30"/>
        <v>Support</v>
      </c>
      <c r="X114">
        <f>survey_responses[[#This Row],[Tôi tin rằng Nhà nước, cơ quan thuế có đủ khả năng và công nghệ để phát hiện, xử lý nghiêm các hành vi trốn thuế. - HUMAN-ENF2]]</f>
        <v>1</v>
      </c>
      <c r="Y114" t="str">
        <f t="shared" si="31"/>
        <v>Oppose</v>
      </c>
      <c r="Z114" s="32">
        <f t="shared" si="32"/>
        <v>7</v>
      </c>
      <c r="AA114">
        <f>step3_validation[[#This Row],[AI_FAC1]]</f>
        <v>9</v>
      </c>
      <c r="AB114" t="str">
        <f t="shared" si="33"/>
        <v>Support</v>
      </c>
      <c r="AC114">
        <f>survey_responses[[#This Row],[Các thủ tục khai báo thuế VÀ/HOẶC quy trình làm việc với cơ quan thuế đơn giản, tiện lợi, nhanh chóng hơn so với trước đây. - HUMAN-FAC1]]</f>
        <v>1</v>
      </c>
      <c r="AD114" t="str">
        <f t="shared" si="34"/>
        <v>Oppose</v>
      </c>
      <c r="AE114" s="32">
        <f t="shared" si="35"/>
        <v>8</v>
      </c>
      <c r="AF114">
        <f>step3_validation[[#This Row],[AI_FAC2]]</f>
        <v>8</v>
      </c>
      <c r="AG114" t="str">
        <f t="shared" si="36"/>
        <v>Support</v>
      </c>
      <c r="AH114">
        <f>survey_responses[[#This Row],[So với trước đây, tôi thấy cách tính thuế và các bậc thuế trong phương án mới đơn giản, dễ hiểu và dễ thực hiện hơn. - HUMAN-FAC2]]</f>
        <v>1</v>
      </c>
      <c r="AI114" t="str">
        <f t="shared" si="37"/>
        <v>Oppose</v>
      </c>
      <c r="AJ114" s="32">
        <f t="shared" si="38"/>
        <v>7</v>
      </c>
      <c r="AK114">
        <f>step3_validation[[#This Row],[AI_TRU1]]</f>
        <v>6</v>
      </c>
      <c r="AL114" t="str">
        <f t="shared" si="39"/>
        <v>Neutral</v>
      </c>
      <c r="AM114">
        <f>survey_responses[[#This Row],[Tôi tin rằng Nhà nước, cơ quan thuế sẽ thực thi chính sách mới một cách khách quan, công tâm và đối xử bình đẳng với mọi người nộp thuế.  - HUMAN-TRU1]]</f>
        <v>1</v>
      </c>
      <c r="AN114" t="str">
        <f t="shared" si="40"/>
        <v>Oppose</v>
      </c>
      <c r="AO114" s="32">
        <f t="shared" si="41"/>
        <v>5</v>
      </c>
      <c r="AP114">
        <f>step3_validation[[#This Row],[AI_TRU2]]</f>
        <v>9</v>
      </c>
      <c r="AQ114" t="str">
        <f t="shared" si="42"/>
        <v>Support</v>
      </c>
      <c r="AR114">
        <f>survey_responses[[#This Row],[Tôi thấy mức thuế tôi phải đóng theo phương án mới là công bằng (người thu nhập như tôi đóng mức này là hợp lý). - HUMAN-TRU2]]</f>
        <v>1</v>
      </c>
      <c r="AS114" t="str">
        <f t="shared" si="43"/>
        <v>Oppose</v>
      </c>
      <c r="AT114" s="32">
        <f t="shared" si="44"/>
        <v>8</v>
      </c>
      <c r="AU114">
        <f>step3_validation[[#This Row],[AI_TRU3]]</f>
        <v>7</v>
      </c>
      <c r="AV114" t="str">
        <f t="shared" si="45"/>
        <v>Neutral</v>
      </c>
      <c r="AW114">
        <f>survey_responses[[#This Row],[Tôi tin tưởng số tiền thuế tôi đóng sẽ được Nhà nước sử dụng hiệu quả để cải thiện dịch vụ công (y tế, đường xá...). - HUMAN-TRU3]]</f>
        <v>1</v>
      </c>
      <c r="AX114" t="str">
        <f t="shared" si="46"/>
        <v>Oppose</v>
      </c>
      <c r="AY114" s="32">
        <f t="shared" si="47"/>
        <v>6</v>
      </c>
      <c r="AZ114">
        <f>step3_validation[[#This Row],[AI_TRU4]]</f>
        <v>5</v>
      </c>
      <c r="BA114" t="str">
        <f t="shared" si="48"/>
        <v>Neutral</v>
      </c>
      <c r="BB114">
        <f>survey_responses[[#This Row],[Tôi thấy Nhà nước đã giải thích rõ ràng, minh bạch về lý do và mục tiêu của việc sửa đổi thuế lần này. - HUMAN-TRU4]]</f>
        <v>1</v>
      </c>
      <c r="BC114" t="str">
        <f t="shared" si="49"/>
        <v>Oppose</v>
      </c>
      <c r="BD114" s="32">
        <f t="shared" si="50"/>
        <v>4</v>
      </c>
      <c r="BE114">
        <f>step3_validation[[#This Row],[AI_OUT1]]</f>
        <v>7</v>
      </c>
      <c r="BF114" t="str">
        <f t="shared" si="51"/>
        <v>Neutral</v>
      </c>
      <c r="BG114">
        <f>survey_responses[[#This Row],[Sau khi xem xét các quyền lợi và nghĩa vụ, bạn có ủng hộ và tuân thủ chính sách mới hiện nay? - HUMAN-OUT1]]</f>
        <v>1</v>
      </c>
      <c r="BH114" t="str">
        <f t="shared" si="52"/>
        <v>Oppose</v>
      </c>
      <c r="BI114" s="32">
        <f t="shared" si="53"/>
        <v>6</v>
      </c>
    </row>
    <row r="115" spans="1:61" x14ac:dyDescent="0.45">
      <c r="A115" s="30">
        <f>step3_validation[[#This Row],[Persona_ID]]</f>
        <v>114</v>
      </c>
      <c r="B115" s="31">
        <f>step3_validation[[#This Row],[Used_Seed]]</f>
        <v>2104</v>
      </c>
      <c r="C115" t="str">
        <f>step3_validation[[#This Row],[Gender]]</f>
        <v>Nữ</v>
      </c>
      <c r="D115" t="str">
        <f>survey_responses[[#This Row],[Giới tính của bạn:]]</f>
        <v>Nữ</v>
      </c>
      <c r="E115" t="str">
        <f>step3_validation[[#This Row],[Age_Group]]</f>
        <v>40 - 49</v>
      </c>
      <c r="F115" t="str">
        <f>survey_responses[[#This Row],[Độ tuổi của bạn:]]</f>
        <v>40 - 49</v>
      </c>
      <c r="G115" t="str">
        <f>step3_validation[[#This Row],[Region]]</f>
        <v>Thành thị</v>
      </c>
      <c r="H115" t="str">
        <f>survey_responses[[#This Row],[Khu vực bạn đang sinh sống:]]</f>
        <v>Thành thị</v>
      </c>
      <c r="I115" t="str">
        <f>step3_validation[[#This Row],[Education]]</f>
        <v>Đại học</v>
      </c>
      <c r="J115" t="str">
        <f>survey_responses[[#This Row],[Trình độ học vấn cao nhất:]]</f>
        <v>Đại học</v>
      </c>
      <c r="K115" t="str">
        <f>step3_validation[[#This Row],[Employment]]</f>
        <v>Chính thức</v>
      </c>
      <c r="L115" t="str">
        <f>survey_responses[[#This Row],[Tình trạng việc làm chính:]]</f>
        <v>Khu vực chính thức (Có Hợp đồng lao động, đóng BHXH)</v>
      </c>
      <c r="M115">
        <f>step3_validation[[#This Row],[Income_Mil]]</f>
        <v>20.635026001096445</v>
      </c>
      <c r="N115" t="str">
        <f>survey_responses[[#This Row],[Thu nhập bình quân tháng theo Hợp đồng lao động của bạn là bao nhiêu? (Vui lòng điền tổng thu nhập trước khi khấu trừ các loại Bảo hiểm (BHXH, BHYT, BHTN) và Thuế TNCN)]]</f>
        <v>Từ 18 - 23 triệu VNĐ</v>
      </c>
      <c r="O115">
        <f>step3_validation[[#This Row],[Dependents]]</f>
        <v>4</v>
      </c>
      <c r="P115" t="str">
        <f>survey_responses[[#This Row],[Số người phụ thuộc (con nhỏ, cha mẹ già...) đủ điều kiện giảm trừ gia cảnh:]]</f>
        <v>4 người trở lên</v>
      </c>
      <c r="Q115">
        <f>step3_validation[[#This Row],[AI_ENF1]]</f>
        <v>7</v>
      </c>
      <c r="R115" t="str">
        <f t="shared" si="27"/>
        <v>Neutral</v>
      </c>
      <c r="S115">
        <f>survey_responses[[#This Row],[Tôi tin rằng với các quy định quản lý thuế hiện nay, hành vi gian lận hoặc trốn thuế sẽ dễ dàng bị phát hiện và xử lý nghiêm. - HUMAN-ENF1]]</f>
        <v>10</v>
      </c>
      <c r="T115" t="str">
        <f t="shared" si="28"/>
        <v>Support</v>
      </c>
      <c r="U115" s="32">
        <f t="shared" si="29"/>
        <v>3</v>
      </c>
      <c r="V115">
        <f>step3_validation[[#This Row],[AI_ENF2]]</f>
        <v>6</v>
      </c>
      <c r="W115" t="str">
        <f t="shared" si="30"/>
        <v>Neutral</v>
      </c>
      <c r="X115">
        <f>survey_responses[[#This Row],[Tôi tin rằng Nhà nước, cơ quan thuế có đủ khả năng và công nghệ để phát hiện, xử lý nghiêm các hành vi trốn thuế. - HUMAN-ENF2]]</f>
        <v>10</v>
      </c>
      <c r="Y115" t="str">
        <f t="shared" si="31"/>
        <v>Support</v>
      </c>
      <c r="Z115" s="32">
        <f t="shared" si="32"/>
        <v>4</v>
      </c>
      <c r="AA115">
        <f>step3_validation[[#This Row],[AI_FAC1]]</f>
        <v>8</v>
      </c>
      <c r="AB115" t="str">
        <f t="shared" si="33"/>
        <v>Support</v>
      </c>
      <c r="AC115">
        <f>survey_responses[[#This Row],[Các thủ tục khai báo thuế VÀ/HOẶC quy trình làm việc với cơ quan thuế đơn giản, tiện lợi, nhanh chóng hơn so với trước đây. - HUMAN-FAC1]]</f>
        <v>10</v>
      </c>
      <c r="AD115" t="str">
        <f t="shared" si="34"/>
        <v>Support</v>
      </c>
      <c r="AE115" s="32">
        <f t="shared" si="35"/>
        <v>2</v>
      </c>
      <c r="AF115">
        <f>step3_validation[[#This Row],[AI_FAC2]]</f>
        <v>9</v>
      </c>
      <c r="AG115" t="str">
        <f t="shared" si="36"/>
        <v>Support</v>
      </c>
      <c r="AH115">
        <f>survey_responses[[#This Row],[So với trước đây, tôi thấy cách tính thuế và các bậc thuế trong phương án mới đơn giản, dễ hiểu và dễ thực hiện hơn. - HUMAN-FAC2]]</f>
        <v>10</v>
      </c>
      <c r="AI115" t="str">
        <f t="shared" si="37"/>
        <v>Support</v>
      </c>
      <c r="AJ115" s="32">
        <f t="shared" si="38"/>
        <v>1</v>
      </c>
      <c r="AK115">
        <f>step3_validation[[#This Row],[AI_TRU1]]</f>
        <v>5</v>
      </c>
      <c r="AL115" t="str">
        <f t="shared" si="39"/>
        <v>Neutral</v>
      </c>
      <c r="AM115">
        <f>survey_responses[[#This Row],[Tôi tin rằng Nhà nước, cơ quan thuế sẽ thực thi chính sách mới một cách khách quan, công tâm và đối xử bình đẳng với mọi người nộp thuế.  - HUMAN-TRU1]]</f>
        <v>10</v>
      </c>
      <c r="AN115" t="str">
        <f t="shared" si="40"/>
        <v>Support</v>
      </c>
      <c r="AO115" s="32">
        <f t="shared" si="41"/>
        <v>5</v>
      </c>
      <c r="AP115">
        <f>step3_validation[[#This Row],[AI_TRU2]]</f>
        <v>7</v>
      </c>
      <c r="AQ115" t="str">
        <f t="shared" si="42"/>
        <v>Neutral</v>
      </c>
      <c r="AR115">
        <f>survey_responses[[#This Row],[Tôi thấy mức thuế tôi phải đóng theo phương án mới là công bằng (người thu nhập như tôi đóng mức này là hợp lý). - HUMAN-TRU2]]</f>
        <v>10</v>
      </c>
      <c r="AS115" t="str">
        <f t="shared" si="43"/>
        <v>Support</v>
      </c>
      <c r="AT115" s="32">
        <f t="shared" si="44"/>
        <v>3</v>
      </c>
      <c r="AU115">
        <f>step3_validation[[#This Row],[AI_TRU3]]</f>
        <v>6</v>
      </c>
      <c r="AV115" t="str">
        <f t="shared" si="45"/>
        <v>Neutral</v>
      </c>
      <c r="AW115">
        <f>survey_responses[[#This Row],[Tôi tin tưởng số tiền thuế tôi đóng sẽ được Nhà nước sử dụng hiệu quả để cải thiện dịch vụ công (y tế, đường xá...). - HUMAN-TRU3]]</f>
        <v>10</v>
      </c>
      <c r="AX115" t="str">
        <f t="shared" si="46"/>
        <v>Support</v>
      </c>
      <c r="AY115" s="32">
        <f t="shared" si="47"/>
        <v>4</v>
      </c>
      <c r="AZ115">
        <f>step3_validation[[#This Row],[AI_TRU4]]</f>
        <v>8</v>
      </c>
      <c r="BA115" t="str">
        <f t="shared" si="48"/>
        <v>Support</v>
      </c>
      <c r="BB115">
        <f>survey_responses[[#This Row],[Tôi thấy Nhà nước đã giải thích rõ ràng, minh bạch về lý do và mục tiêu của việc sửa đổi thuế lần này. - HUMAN-TRU4]]</f>
        <v>10</v>
      </c>
      <c r="BC115" t="str">
        <f t="shared" si="49"/>
        <v>Support</v>
      </c>
      <c r="BD115" s="32">
        <f t="shared" si="50"/>
        <v>2</v>
      </c>
      <c r="BE115">
        <f>step3_validation[[#This Row],[AI_OUT1]]</f>
        <v>7</v>
      </c>
      <c r="BF115" t="str">
        <f t="shared" si="51"/>
        <v>Neutral</v>
      </c>
      <c r="BG115">
        <f>survey_responses[[#This Row],[Sau khi xem xét các quyền lợi và nghĩa vụ, bạn có ủng hộ và tuân thủ chính sách mới hiện nay? - HUMAN-OUT1]]</f>
        <v>10</v>
      </c>
      <c r="BH115" t="str">
        <f t="shared" si="52"/>
        <v>Support</v>
      </c>
      <c r="BI115" s="32">
        <f t="shared" si="53"/>
        <v>3</v>
      </c>
    </row>
    <row r="116" spans="1:61" x14ac:dyDescent="0.45">
      <c r="A116" s="30">
        <f>step3_validation[[#This Row],[Persona_ID]]</f>
        <v>115</v>
      </c>
      <c r="B116" s="31">
        <f>step3_validation[[#This Row],[Used_Seed]]</f>
        <v>2105</v>
      </c>
      <c r="C116" t="str">
        <f>step3_validation[[#This Row],[Gender]]</f>
        <v>Nữ</v>
      </c>
      <c r="D116" t="str">
        <f>survey_responses[[#This Row],[Giới tính của bạn:]]</f>
        <v>Nữ</v>
      </c>
      <c r="E116" t="str">
        <f>step3_validation[[#This Row],[Age_Group]]</f>
        <v>40 - 49</v>
      </c>
      <c r="F116" t="str">
        <f>survey_responses[[#This Row],[Độ tuổi của bạn:]]</f>
        <v>40 - 49</v>
      </c>
      <c r="G116" t="str">
        <f>step3_validation[[#This Row],[Region]]</f>
        <v>Thành thị</v>
      </c>
      <c r="H116" t="str">
        <f>survey_responses[[#This Row],[Khu vực bạn đang sinh sống:]]</f>
        <v>Thành thị</v>
      </c>
      <c r="I116" t="str">
        <f>step3_validation[[#This Row],[Education]]</f>
        <v>Sau Đại học</v>
      </c>
      <c r="J116" t="str">
        <f>survey_responses[[#This Row],[Trình độ học vấn cao nhất:]]</f>
        <v>Sau Đại học</v>
      </c>
      <c r="K116" t="str">
        <f>step3_validation[[#This Row],[Employment]]</f>
        <v>Chính thức</v>
      </c>
      <c r="L116" t="str">
        <f>survey_responses[[#This Row],[Tình trạng việc làm chính:]]</f>
        <v>Khu vực chính thức (Có Hợp đồng lao động, đóng BHXH)</v>
      </c>
      <c r="M116">
        <f>step3_validation[[#This Row],[Income_Mil]]</f>
        <v>16.660673825493227</v>
      </c>
      <c r="N116" t="str">
        <f>survey_responses[[#This Row],[Thu nhập bình quân tháng theo Hợp đồng lao động của bạn là bao nhiêu? (Vui lòng điền tổng thu nhập trước khi khấu trừ các loại Bảo hiểm (BHXH, BHYT, BHTN) và Thuế TNCN)]]</f>
        <v>Từ 12 - 18 triệu VNĐ</v>
      </c>
      <c r="O116">
        <f>step3_validation[[#This Row],[Dependents]]</f>
        <v>4</v>
      </c>
      <c r="P116" t="str">
        <f>survey_responses[[#This Row],[Số người phụ thuộc (con nhỏ, cha mẹ già...) đủ điều kiện giảm trừ gia cảnh:]]</f>
        <v>4 người trở lên</v>
      </c>
      <c r="Q116">
        <f>step3_validation[[#This Row],[AI_ENF1]]</f>
        <v>6</v>
      </c>
      <c r="R116" t="str">
        <f t="shared" si="27"/>
        <v>Neutral</v>
      </c>
      <c r="S116">
        <f>survey_responses[[#This Row],[Tôi tin rằng với các quy định quản lý thuế hiện nay, hành vi gian lận hoặc trốn thuế sẽ dễ dàng bị phát hiện và xử lý nghiêm. - HUMAN-ENF1]]</f>
        <v>1</v>
      </c>
      <c r="T116" t="str">
        <f t="shared" si="28"/>
        <v>Oppose</v>
      </c>
      <c r="U116" s="32">
        <f t="shared" si="29"/>
        <v>5</v>
      </c>
      <c r="V116">
        <f>step3_validation[[#This Row],[AI_ENF2]]</f>
        <v>7</v>
      </c>
      <c r="W116" t="str">
        <f t="shared" si="30"/>
        <v>Neutral</v>
      </c>
      <c r="X116">
        <f>survey_responses[[#This Row],[Tôi tin rằng Nhà nước, cơ quan thuế có đủ khả năng và công nghệ để phát hiện, xử lý nghiêm các hành vi trốn thuế. - HUMAN-ENF2]]</f>
        <v>1</v>
      </c>
      <c r="Y116" t="str">
        <f t="shared" si="31"/>
        <v>Oppose</v>
      </c>
      <c r="Z116" s="32">
        <f t="shared" si="32"/>
        <v>6</v>
      </c>
      <c r="AA116">
        <f>step3_validation[[#This Row],[AI_FAC1]]</f>
        <v>8</v>
      </c>
      <c r="AB116" t="str">
        <f t="shared" si="33"/>
        <v>Support</v>
      </c>
      <c r="AC116">
        <f>survey_responses[[#This Row],[Các thủ tục khai báo thuế VÀ/HOẶC quy trình làm việc với cơ quan thuế đơn giản, tiện lợi, nhanh chóng hơn so với trước đây. - HUMAN-FAC1]]</f>
        <v>1</v>
      </c>
      <c r="AD116" t="str">
        <f t="shared" si="34"/>
        <v>Oppose</v>
      </c>
      <c r="AE116" s="32">
        <f t="shared" si="35"/>
        <v>7</v>
      </c>
      <c r="AF116">
        <f>step3_validation[[#This Row],[AI_FAC2]]</f>
        <v>9</v>
      </c>
      <c r="AG116" t="str">
        <f t="shared" si="36"/>
        <v>Support</v>
      </c>
      <c r="AH116">
        <f>survey_responses[[#This Row],[So với trước đây, tôi thấy cách tính thuế và các bậc thuế trong phương án mới đơn giản, dễ hiểu và dễ thực hiện hơn. - HUMAN-FAC2]]</f>
        <v>1</v>
      </c>
      <c r="AI116" t="str">
        <f t="shared" si="37"/>
        <v>Oppose</v>
      </c>
      <c r="AJ116" s="32">
        <f t="shared" si="38"/>
        <v>8</v>
      </c>
      <c r="AK116">
        <f>step3_validation[[#This Row],[AI_TRU1]]</f>
        <v>7</v>
      </c>
      <c r="AL116" t="str">
        <f t="shared" si="39"/>
        <v>Neutral</v>
      </c>
      <c r="AM116">
        <f>survey_responses[[#This Row],[Tôi tin rằng Nhà nước, cơ quan thuế sẽ thực thi chính sách mới một cách khách quan, công tâm và đối xử bình đẳng với mọi người nộp thuế.  - HUMAN-TRU1]]</f>
        <v>1</v>
      </c>
      <c r="AN116" t="str">
        <f t="shared" si="40"/>
        <v>Oppose</v>
      </c>
      <c r="AO116" s="32">
        <f t="shared" si="41"/>
        <v>6</v>
      </c>
      <c r="AP116">
        <f>step3_validation[[#This Row],[AI_TRU2]]</f>
        <v>6</v>
      </c>
      <c r="AQ116" t="str">
        <f t="shared" si="42"/>
        <v>Neutral</v>
      </c>
      <c r="AR116">
        <f>survey_responses[[#This Row],[Tôi thấy mức thuế tôi phải đóng theo phương án mới là công bằng (người thu nhập như tôi đóng mức này là hợp lý). - HUMAN-TRU2]]</f>
        <v>1</v>
      </c>
      <c r="AS116" t="str">
        <f t="shared" si="43"/>
        <v>Oppose</v>
      </c>
      <c r="AT116" s="32">
        <f t="shared" si="44"/>
        <v>5</v>
      </c>
      <c r="AU116">
        <f>step3_validation[[#This Row],[AI_TRU3]]</f>
        <v>5</v>
      </c>
      <c r="AV116" t="str">
        <f t="shared" si="45"/>
        <v>Neutral</v>
      </c>
      <c r="AW116">
        <f>survey_responses[[#This Row],[Tôi tin tưởng số tiền thuế tôi đóng sẽ được Nhà nước sử dụng hiệu quả để cải thiện dịch vụ công (y tế, đường xá...). - HUMAN-TRU3]]</f>
        <v>1</v>
      </c>
      <c r="AX116" t="str">
        <f t="shared" si="46"/>
        <v>Oppose</v>
      </c>
      <c r="AY116" s="32">
        <f t="shared" si="47"/>
        <v>4</v>
      </c>
      <c r="AZ116">
        <f>step3_validation[[#This Row],[AI_TRU4]]</f>
        <v>6</v>
      </c>
      <c r="BA116" t="str">
        <f t="shared" si="48"/>
        <v>Neutral</v>
      </c>
      <c r="BB116">
        <f>survey_responses[[#This Row],[Tôi thấy Nhà nước đã giải thích rõ ràng, minh bạch về lý do và mục tiêu của việc sửa đổi thuế lần này. - HUMAN-TRU4]]</f>
        <v>1</v>
      </c>
      <c r="BC116" t="str">
        <f t="shared" si="49"/>
        <v>Oppose</v>
      </c>
      <c r="BD116" s="32">
        <f t="shared" si="50"/>
        <v>5</v>
      </c>
      <c r="BE116">
        <f>step3_validation[[#This Row],[AI_OUT1]]</f>
        <v>7</v>
      </c>
      <c r="BF116" t="str">
        <f t="shared" si="51"/>
        <v>Neutral</v>
      </c>
      <c r="BG116">
        <f>survey_responses[[#This Row],[Sau khi xem xét các quyền lợi và nghĩa vụ, bạn có ủng hộ và tuân thủ chính sách mới hiện nay? - HUMAN-OUT1]]</f>
        <v>1</v>
      </c>
      <c r="BH116" t="str">
        <f t="shared" si="52"/>
        <v>Oppose</v>
      </c>
      <c r="BI116" s="32">
        <f t="shared" si="53"/>
        <v>6</v>
      </c>
    </row>
    <row r="117" spans="1:61" x14ac:dyDescent="0.45">
      <c r="A117" s="30">
        <f>step3_validation[[#This Row],[Persona_ID]]</f>
        <v>116</v>
      </c>
      <c r="B117" s="31">
        <f>step3_validation[[#This Row],[Used_Seed]]</f>
        <v>2106</v>
      </c>
      <c r="C117" t="str">
        <f>step3_validation[[#This Row],[Gender]]</f>
        <v>Nữ</v>
      </c>
      <c r="D117" t="str">
        <f>survey_responses[[#This Row],[Giới tính của bạn:]]</f>
        <v>Nữ</v>
      </c>
      <c r="E117" t="str">
        <f>step3_validation[[#This Row],[Age_Group]]</f>
        <v>40 - 49</v>
      </c>
      <c r="F117" t="str">
        <f>survey_responses[[#This Row],[Độ tuổi của bạn:]]</f>
        <v>40 - 49</v>
      </c>
      <c r="G117" t="str">
        <f>step3_validation[[#This Row],[Region]]</f>
        <v>Thành thị</v>
      </c>
      <c r="H117" t="str">
        <f>survey_responses[[#This Row],[Khu vực bạn đang sinh sống:]]</f>
        <v>Thành thị</v>
      </c>
      <c r="I117" t="str">
        <f>step3_validation[[#This Row],[Education]]</f>
        <v>Sau Đại học</v>
      </c>
      <c r="J117" t="str">
        <f>survey_responses[[#This Row],[Trình độ học vấn cao nhất:]]</f>
        <v>Sau Đại học</v>
      </c>
      <c r="K117" t="str">
        <f>step3_validation[[#This Row],[Employment]]</f>
        <v>Chính thức</v>
      </c>
      <c r="L117" t="str">
        <f>survey_responses[[#This Row],[Tình trạng việc làm chính:]]</f>
        <v>Khu vực chính thức (Có Hợp đồng lao động, đóng BHXH)</v>
      </c>
      <c r="M117">
        <f>step3_validation[[#This Row],[Income_Mil]]</f>
        <v>14.311612335351752</v>
      </c>
      <c r="N117" t="str">
        <f>survey_responses[[#This Row],[Thu nhập bình quân tháng theo Hợp đồng lao động của bạn là bao nhiêu? (Vui lòng điền tổng thu nhập trước khi khấu trừ các loại Bảo hiểm (BHXH, BHYT, BHTN) và Thuế TNCN)]]</f>
        <v>Từ 12 - 18 triệu VNĐ</v>
      </c>
      <c r="O117">
        <f>step3_validation[[#This Row],[Dependents]]</f>
        <v>0</v>
      </c>
      <c r="P117" t="str">
        <f>survey_responses[[#This Row],[Số người phụ thuộc (con nhỏ, cha mẹ già...) đủ điều kiện giảm trừ gia cảnh:]]</f>
        <v>0 người</v>
      </c>
      <c r="Q117">
        <f>step3_validation[[#This Row],[AI_ENF1]]</f>
        <v>5</v>
      </c>
      <c r="R117" t="str">
        <f t="shared" si="27"/>
        <v>Neutral</v>
      </c>
      <c r="S117">
        <f>survey_responses[[#This Row],[Tôi tin rằng với các quy định quản lý thuế hiện nay, hành vi gian lận hoặc trốn thuế sẽ dễ dàng bị phát hiện và xử lý nghiêm. - HUMAN-ENF1]]</f>
        <v>9</v>
      </c>
      <c r="T117" t="str">
        <f t="shared" si="28"/>
        <v>Support</v>
      </c>
      <c r="U117" s="32">
        <f t="shared" si="29"/>
        <v>4</v>
      </c>
      <c r="V117">
        <f>step3_validation[[#This Row],[AI_ENF2]]</f>
        <v>6</v>
      </c>
      <c r="W117" t="str">
        <f t="shared" si="30"/>
        <v>Neutral</v>
      </c>
      <c r="X117">
        <f>survey_responses[[#This Row],[Tôi tin rằng Nhà nước, cơ quan thuế có đủ khả năng và công nghệ để phát hiện, xử lý nghiêm các hành vi trốn thuế. - HUMAN-ENF2]]</f>
        <v>9</v>
      </c>
      <c r="Y117" t="str">
        <f t="shared" si="31"/>
        <v>Support</v>
      </c>
      <c r="Z117" s="32">
        <f t="shared" si="32"/>
        <v>3</v>
      </c>
      <c r="AA117">
        <f>step3_validation[[#This Row],[AI_FAC1]]</f>
        <v>8</v>
      </c>
      <c r="AB117" t="str">
        <f t="shared" si="33"/>
        <v>Support</v>
      </c>
      <c r="AC117">
        <f>survey_responses[[#This Row],[Các thủ tục khai báo thuế VÀ/HOẶC quy trình làm việc với cơ quan thuế đơn giản, tiện lợi, nhanh chóng hơn so với trước đây. - HUMAN-FAC1]]</f>
        <v>9</v>
      </c>
      <c r="AD117" t="str">
        <f t="shared" si="34"/>
        <v>Support</v>
      </c>
      <c r="AE117" s="32">
        <f t="shared" si="35"/>
        <v>1</v>
      </c>
      <c r="AF117">
        <f>step3_validation[[#This Row],[AI_FAC2]]</f>
        <v>9</v>
      </c>
      <c r="AG117" t="str">
        <f t="shared" si="36"/>
        <v>Support</v>
      </c>
      <c r="AH117">
        <f>survey_responses[[#This Row],[So với trước đây, tôi thấy cách tính thuế và các bậc thuế trong phương án mới đơn giản, dễ hiểu và dễ thực hiện hơn. - HUMAN-FAC2]]</f>
        <v>9</v>
      </c>
      <c r="AI117" t="str">
        <f t="shared" si="37"/>
        <v>Support</v>
      </c>
      <c r="AJ117" s="32">
        <f t="shared" si="38"/>
        <v>0</v>
      </c>
      <c r="AK117">
        <f>step3_validation[[#This Row],[AI_TRU1]]</f>
        <v>7</v>
      </c>
      <c r="AL117" t="str">
        <f t="shared" si="39"/>
        <v>Neutral</v>
      </c>
      <c r="AM117">
        <f>survey_responses[[#This Row],[Tôi tin rằng Nhà nước, cơ quan thuế sẽ thực thi chính sách mới một cách khách quan, công tâm và đối xử bình đẳng với mọi người nộp thuế.  - HUMAN-TRU1]]</f>
        <v>9</v>
      </c>
      <c r="AN117" t="str">
        <f t="shared" si="40"/>
        <v>Support</v>
      </c>
      <c r="AO117" s="32">
        <f t="shared" si="41"/>
        <v>2</v>
      </c>
      <c r="AP117">
        <f>step3_validation[[#This Row],[AI_TRU2]]</f>
        <v>6</v>
      </c>
      <c r="AQ117" t="str">
        <f t="shared" si="42"/>
        <v>Neutral</v>
      </c>
      <c r="AR117">
        <f>survey_responses[[#This Row],[Tôi thấy mức thuế tôi phải đóng theo phương án mới là công bằng (người thu nhập như tôi đóng mức này là hợp lý). - HUMAN-TRU2]]</f>
        <v>9</v>
      </c>
      <c r="AS117" t="str">
        <f t="shared" si="43"/>
        <v>Support</v>
      </c>
      <c r="AT117" s="32">
        <f t="shared" si="44"/>
        <v>3</v>
      </c>
      <c r="AU117">
        <f>step3_validation[[#This Row],[AI_TRU3]]</f>
        <v>5</v>
      </c>
      <c r="AV117" t="str">
        <f t="shared" si="45"/>
        <v>Neutral</v>
      </c>
      <c r="AW117">
        <f>survey_responses[[#This Row],[Tôi tin tưởng số tiền thuế tôi đóng sẽ được Nhà nước sử dụng hiệu quả để cải thiện dịch vụ công (y tế, đường xá...). - HUMAN-TRU3]]</f>
        <v>9</v>
      </c>
      <c r="AX117" t="str">
        <f t="shared" si="46"/>
        <v>Support</v>
      </c>
      <c r="AY117" s="32">
        <f t="shared" si="47"/>
        <v>4</v>
      </c>
      <c r="AZ117">
        <f>step3_validation[[#This Row],[AI_TRU4]]</f>
        <v>6</v>
      </c>
      <c r="BA117" t="str">
        <f t="shared" si="48"/>
        <v>Neutral</v>
      </c>
      <c r="BB117">
        <f>survey_responses[[#This Row],[Tôi thấy Nhà nước đã giải thích rõ ràng, minh bạch về lý do và mục tiêu của việc sửa đổi thuế lần này. - HUMAN-TRU4]]</f>
        <v>8</v>
      </c>
      <c r="BC117" t="str">
        <f t="shared" si="49"/>
        <v>Support</v>
      </c>
      <c r="BD117" s="32">
        <f t="shared" si="50"/>
        <v>2</v>
      </c>
      <c r="BE117">
        <f>step3_validation[[#This Row],[AI_OUT1]]</f>
        <v>7</v>
      </c>
      <c r="BF117" t="str">
        <f t="shared" si="51"/>
        <v>Neutral</v>
      </c>
      <c r="BG117">
        <f>survey_responses[[#This Row],[Sau khi xem xét các quyền lợi và nghĩa vụ, bạn có ủng hộ và tuân thủ chính sách mới hiện nay? - HUMAN-OUT1]]</f>
        <v>9</v>
      </c>
      <c r="BH117" t="str">
        <f t="shared" si="52"/>
        <v>Support</v>
      </c>
      <c r="BI117" s="32">
        <f t="shared" si="53"/>
        <v>2</v>
      </c>
    </row>
    <row r="118" spans="1:61" x14ac:dyDescent="0.45">
      <c r="A118" s="30">
        <f>step3_validation[[#This Row],[Persona_ID]]</f>
        <v>117</v>
      </c>
      <c r="B118" s="31">
        <f>step3_validation[[#This Row],[Used_Seed]]</f>
        <v>2107</v>
      </c>
      <c r="C118" t="str">
        <f>step3_validation[[#This Row],[Gender]]</f>
        <v>Nữ</v>
      </c>
      <c r="D118" t="str">
        <f>survey_responses[[#This Row],[Giới tính của bạn:]]</f>
        <v>Nữ</v>
      </c>
      <c r="E118" t="str">
        <f>step3_validation[[#This Row],[Age_Group]]</f>
        <v>40 - 49</v>
      </c>
      <c r="F118" t="str">
        <f>survey_responses[[#This Row],[Độ tuổi của bạn:]]</f>
        <v>40 - 49</v>
      </c>
      <c r="G118" t="str">
        <f>step3_validation[[#This Row],[Region]]</f>
        <v>Thành thị</v>
      </c>
      <c r="H118" t="str">
        <f>survey_responses[[#This Row],[Khu vực bạn đang sinh sống:]]</f>
        <v>Thành thị</v>
      </c>
      <c r="I118" t="str">
        <f>step3_validation[[#This Row],[Education]]</f>
        <v>Đại học</v>
      </c>
      <c r="J118" t="str">
        <f>survey_responses[[#This Row],[Trình độ học vấn cao nhất:]]</f>
        <v>Đại học</v>
      </c>
      <c r="K118" t="str">
        <f>step3_validation[[#This Row],[Employment]]</f>
        <v>Chính thức</v>
      </c>
      <c r="L118" t="str">
        <f>survey_responses[[#This Row],[Tình trạng việc làm chính:]]</f>
        <v>Khu vực chính thức (Có Hợp đồng lao động, đóng BHXH)</v>
      </c>
      <c r="M118">
        <f>step3_validation[[#This Row],[Income_Mil]]</f>
        <v>55.422761197604416</v>
      </c>
      <c r="N118" t="str">
        <f>survey_responses[[#This Row],[Thu nhập bình quân tháng theo Hợp đồng lao động của bạn là bao nhiêu? (Vui lòng điền tổng thu nhập trước khi khấu trừ các loại Bảo hiểm (BHXH, BHYT, BHTN) và Thuế TNCN)]]</f>
        <v>Từ 48 - 70 triệu VNĐ</v>
      </c>
      <c r="O118">
        <f>step3_validation[[#This Row],[Dependents]]</f>
        <v>0</v>
      </c>
      <c r="P118" t="str">
        <f>survey_responses[[#This Row],[Số người phụ thuộc (con nhỏ, cha mẹ già...) đủ điều kiện giảm trừ gia cảnh:]]</f>
        <v>0 người</v>
      </c>
      <c r="Q118">
        <f>step3_validation[[#This Row],[AI_ENF1]]</f>
        <v>7</v>
      </c>
      <c r="R118" t="str">
        <f t="shared" si="27"/>
        <v>Neutral</v>
      </c>
      <c r="S118">
        <f>survey_responses[[#This Row],[Tôi tin rằng với các quy định quản lý thuế hiện nay, hành vi gian lận hoặc trốn thuế sẽ dễ dàng bị phát hiện và xử lý nghiêm. - HUMAN-ENF1]]</f>
        <v>8</v>
      </c>
      <c r="T118" t="str">
        <f t="shared" si="28"/>
        <v>Support</v>
      </c>
      <c r="U118" s="32">
        <f t="shared" si="29"/>
        <v>1</v>
      </c>
      <c r="V118">
        <f>step3_validation[[#This Row],[AI_ENF2]]</f>
        <v>8</v>
      </c>
      <c r="W118" t="str">
        <f t="shared" si="30"/>
        <v>Support</v>
      </c>
      <c r="X118">
        <f>survey_responses[[#This Row],[Tôi tin rằng Nhà nước, cơ quan thuế có đủ khả năng và công nghệ để phát hiện, xử lý nghiêm các hành vi trốn thuế. - HUMAN-ENF2]]</f>
        <v>9</v>
      </c>
      <c r="Y118" t="str">
        <f t="shared" si="31"/>
        <v>Support</v>
      </c>
      <c r="Z118" s="32">
        <f t="shared" si="32"/>
        <v>1</v>
      </c>
      <c r="AA118">
        <f>step3_validation[[#This Row],[AI_FAC1]]</f>
        <v>6</v>
      </c>
      <c r="AB118" t="str">
        <f t="shared" si="33"/>
        <v>Neutral</v>
      </c>
      <c r="AC118">
        <f>survey_responses[[#This Row],[Các thủ tục khai báo thuế VÀ/HOẶC quy trình làm việc với cơ quan thuế đơn giản, tiện lợi, nhanh chóng hơn so với trước đây. - HUMAN-FAC1]]</f>
        <v>8</v>
      </c>
      <c r="AD118" t="str">
        <f t="shared" si="34"/>
        <v>Support</v>
      </c>
      <c r="AE118" s="32">
        <f t="shared" si="35"/>
        <v>2</v>
      </c>
      <c r="AF118">
        <f>step3_validation[[#This Row],[AI_FAC2]]</f>
        <v>5</v>
      </c>
      <c r="AG118" t="str">
        <f t="shared" si="36"/>
        <v>Neutral</v>
      </c>
      <c r="AH118">
        <f>survey_responses[[#This Row],[So với trước đây, tôi thấy cách tính thuế và các bậc thuế trong phương án mới đơn giản, dễ hiểu và dễ thực hiện hơn. - HUMAN-FAC2]]</f>
        <v>6</v>
      </c>
      <c r="AI118" t="str">
        <f t="shared" si="37"/>
        <v>Neutral</v>
      </c>
      <c r="AJ118" s="32">
        <f t="shared" si="38"/>
        <v>1</v>
      </c>
      <c r="AK118">
        <f>step3_validation[[#This Row],[AI_TRU1]]</f>
        <v>6</v>
      </c>
      <c r="AL118" t="str">
        <f t="shared" si="39"/>
        <v>Neutral</v>
      </c>
      <c r="AM118">
        <f>survey_responses[[#This Row],[Tôi tin rằng Nhà nước, cơ quan thuế sẽ thực thi chính sách mới một cách khách quan, công tâm và đối xử bình đẳng với mọi người nộp thuế.  - HUMAN-TRU1]]</f>
        <v>8</v>
      </c>
      <c r="AN118" t="str">
        <f t="shared" si="40"/>
        <v>Support</v>
      </c>
      <c r="AO118" s="32">
        <f t="shared" si="41"/>
        <v>2</v>
      </c>
      <c r="AP118">
        <f>step3_validation[[#This Row],[AI_TRU2]]</f>
        <v>7</v>
      </c>
      <c r="AQ118" t="str">
        <f t="shared" si="42"/>
        <v>Neutral</v>
      </c>
      <c r="AR118">
        <f>survey_responses[[#This Row],[Tôi thấy mức thuế tôi phải đóng theo phương án mới là công bằng (người thu nhập như tôi đóng mức này là hợp lý). - HUMAN-TRU2]]</f>
        <v>8</v>
      </c>
      <c r="AS118" t="str">
        <f t="shared" si="43"/>
        <v>Support</v>
      </c>
      <c r="AT118" s="32">
        <f t="shared" si="44"/>
        <v>1</v>
      </c>
      <c r="AU118">
        <f>step3_validation[[#This Row],[AI_TRU3]]</f>
        <v>8</v>
      </c>
      <c r="AV118" t="str">
        <f t="shared" si="45"/>
        <v>Support</v>
      </c>
      <c r="AW118">
        <f>survey_responses[[#This Row],[Tôi tin tưởng số tiền thuế tôi đóng sẽ được Nhà nước sử dụng hiệu quả để cải thiện dịch vụ công (y tế, đường xá...). - HUMAN-TRU3]]</f>
        <v>8</v>
      </c>
      <c r="AX118" t="str">
        <f t="shared" si="46"/>
        <v>Support</v>
      </c>
      <c r="AY118" s="32">
        <f t="shared" si="47"/>
        <v>0</v>
      </c>
      <c r="AZ118">
        <f>step3_validation[[#This Row],[AI_TRU4]]</f>
        <v>6</v>
      </c>
      <c r="BA118" t="str">
        <f t="shared" si="48"/>
        <v>Neutral</v>
      </c>
      <c r="BB118">
        <f>survey_responses[[#This Row],[Tôi thấy Nhà nước đã giải thích rõ ràng, minh bạch về lý do và mục tiêu của việc sửa đổi thuế lần này. - HUMAN-TRU4]]</f>
        <v>8</v>
      </c>
      <c r="BC118" t="str">
        <f t="shared" si="49"/>
        <v>Support</v>
      </c>
      <c r="BD118" s="32">
        <f t="shared" si="50"/>
        <v>2</v>
      </c>
      <c r="BE118">
        <f>step3_validation[[#This Row],[AI_OUT1]]</f>
        <v>7</v>
      </c>
      <c r="BF118" t="str">
        <f t="shared" si="51"/>
        <v>Neutral</v>
      </c>
      <c r="BG118">
        <f>survey_responses[[#This Row],[Sau khi xem xét các quyền lợi và nghĩa vụ, bạn có ủng hộ và tuân thủ chính sách mới hiện nay? - HUMAN-OUT1]]</f>
        <v>6</v>
      </c>
      <c r="BH118" t="str">
        <f t="shared" si="52"/>
        <v>Neutral</v>
      </c>
      <c r="BI118" s="32">
        <f t="shared" si="53"/>
        <v>1</v>
      </c>
    </row>
    <row r="119" spans="1:61" x14ac:dyDescent="0.45">
      <c r="A119" s="30">
        <f>step3_validation[[#This Row],[Persona_ID]]</f>
        <v>118</v>
      </c>
      <c r="B119" s="31">
        <f>step3_validation[[#This Row],[Used_Seed]]</f>
        <v>2108</v>
      </c>
      <c r="C119" t="str">
        <f>step3_validation[[#This Row],[Gender]]</f>
        <v>Nam</v>
      </c>
      <c r="D119" t="str">
        <f>survey_responses[[#This Row],[Giới tính của bạn:]]</f>
        <v>Nam</v>
      </c>
      <c r="E119" t="str">
        <f>step3_validation[[#This Row],[Age_Group]]</f>
        <v>30 - 39</v>
      </c>
      <c r="F119" t="str">
        <f>survey_responses[[#This Row],[Độ tuổi của bạn:]]</f>
        <v>30 - 39</v>
      </c>
      <c r="G119" t="str">
        <f>step3_validation[[#This Row],[Region]]</f>
        <v>Thành thị</v>
      </c>
      <c r="H119" t="str">
        <f>survey_responses[[#This Row],[Khu vực bạn đang sinh sống:]]</f>
        <v>Thành thị</v>
      </c>
      <c r="I119" t="str">
        <f>step3_validation[[#This Row],[Education]]</f>
        <v>Sau Đại học</v>
      </c>
      <c r="J119" t="str">
        <f>survey_responses[[#This Row],[Trình độ học vấn cao nhất:]]</f>
        <v>Sau Đại học</v>
      </c>
      <c r="K119" t="str">
        <f>step3_validation[[#This Row],[Employment]]</f>
        <v>Chính thức</v>
      </c>
      <c r="L119" t="str">
        <f>survey_responses[[#This Row],[Tình trạng việc làm chính:]]</f>
        <v>Khu vực chính thức (Có Hợp đồng lao động, đóng BHXH)</v>
      </c>
      <c r="M119">
        <f>step3_validation[[#This Row],[Income_Mil]]</f>
        <v>38.873279714361246</v>
      </c>
      <c r="N119" t="str">
        <f>survey_responses[[#This Row],[Thu nhập bình quân tháng theo Hợp đồng lao động của bạn là bao nhiêu? (Vui lòng điền tổng thu nhập trước khi khấu trừ các loại Bảo hiểm (BHXH, BHYT, BHTN) và Thuế TNCN)]]</f>
        <v>Từ 32 - 48 triệu VNĐ</v>
      </c>
      <c r="O119">
        <f>step3_validation[[#This Row],[Dependents]]</f>
        <v>1</v>
      </c>
      <c r="P119" t="str">
        <f>survey_responses[[#This Row],[Số người phụ thuộc (con nhỏ, cha mẹ già...) đủ điều kiện giảm trừ gia cảnh:]]</f>
        <v>1 người</v>
      </c>
      <c r="Q119">
        <f>step3_validation[[#This Row],[AI_ENF1]]</f>
        <v>7</v>
      </c>
      <c r="R119" t="str">
        <f t="shared" si="27"/>
        <v>Neutral</v>
      </c>
      <c r="S119">
        <f>survey_responses[[#This Row],[Tôi tin rằng với các quy định quản lý thuế hiện nay, hành vi gian lận hoặc trốn thuế sẽ dễ dàng bị phát hiện và xử lý nghiêm. - HUMAN-ENF1]]</f>
        <v>4</v>
      </c>
      <c r="T119" t="str">
        <f t="shared" si="28"/>
        <v>Oppose</v>
      </c>
      <c r="U119" s="32">
        <f t="shared" si="29"/>
        <v>3</v>
      </c>
      <c r="V119">
        <f>step3_validation[[#This Row],[AI_ENF2]]</f>
        <v>8</v>
      </c>
      <c r="W119" t="str">
        <f t="shared" si="30"/>
        <v>Support</v>
      </c>
      <c r="X119">
        <f>survey_responses[[#This Row],[Tôi tin rằng Nhà nước, cơ quan thuế có đủ khả năng và công nghệ để phát hiện, xử lý nghiêm các hành vi trốn thuế. - HUMAN-ENF2]]</f>
        <v>1</v>
      </c>
      <c r="Y119" t="str">
        <f t="shared" si="31"/>
        <v>Oppose</v>
      </c>
      <c r="Z119" s="32">
        <f t="shared" si="32"/>
        <v>7</v>
      </c>
      <c r="AA119">
        <f>step3_validation[[#This Row],[AI_FAC1]]</f>
        <v>6</v>
      </c>
      <c r="AB119" t="str">
        <f t="shared" si="33"/>
        <v>Neutral</v>
      </c>
      <c r="AC119">
        <f>survey_responses[[#This Row],[Các thủ tục khai báo thuế VÀ/HOẶC quy trình làm việc với cơ quan thuế đơn giản, tiện lợi, nhanh chóng hơn so với trước đây. - HUMAN-FAC1]]</f>
        <v>1</v>
      </c>
      <c r="AD119" t="str">
        <f t="shared" si="34"/>
        <v>Oppose</v>
      </c>
      <c r="AE119" s="32">
        <f t="shared" si="35"/>
        <v>5</v>
      </c>
      <c r="AF119">
        <f>step3_validation[[#This Row],[AI_FAC2]]</f>
        <v>7</v>
      </c>
      <c r="AG119" t="str">
        <f t="shared" si="36"/>
        <v>Neutral</v>
      </c>
      <c r="AH119">
        <f>survey_responses[[#This Row],[So với trước đây, tôi thấy cách tính thuế và các bậc thuế trong phương án mới đơn giản, dễ hiểu và dễ thực hiện hơn. - HUMAN-FAC2]]</f>
        <v>5</v>
      </c>
      <c r="AI119" t="str">
        <f t="shared" si="37"/>
        <v>Neutral</v>
      </c>
      <c r="AJ119" s="32">
        <f t="shared" si="38"/>
        <v>2</v>
      </c>
      <c r="AK119">
        <f>step3_validation[[#This Row],[AI_TRU1]]</f>
        <v>8</v>
      </c>
      <c r="AL119" t="str">
        <f t="shared" si="39"/>
        <v>Support</v>
      </c>
      <c r="AM119">
        <f>survey_responses[[#This Row],[Tôi tin rằng Nhà nước, cơ quan thuế sẽ thực thi chính sách mới một cách khách quan, công tâm và đối xử bình đẳng với mọi người nộp thuế.  - HUMAN-TRU1]]</f>
        <v>1</v>
      </c>
      <c r="AN119" t="str">
        <f t="shared" si="40"/>
        <v>Oppose</v>
      </c>
      <c r="AO119" s="32">
        <f t="shared" si="41"/>
        <v>7</v>
      </c>
      <c r="AP119">
        <f>step3_validation[[#This Row],[AI_TRU2]]</f>
        <v>6</v>
      </c>
      <c r="AQ119" t="str">
        <f t="shared" si="42"/>
        <v>Neutral</v>
      </c>
      <c r="AR119">
        <f>survey_responses[[#This Row],[Tôi thấy mức thuế tôi phải đóng theo phương án mới là công bằng (người thu nhập như tôi đóng mức này là hợp lý). - HUMAN-TRU2]]</f>
        <v>3</v>
      </c>
      <c r="AS119" t="str">
        <f t="shared" si="43"/>
        <v>Oppose</v>
      </c>
      <c r="AT119" s="32">
        <f t="shared" si="44"/>
        <v>3</v>
      </c>
      <c r="AU119">
        <f>step3_validation[[#This Row],[AI_TRU3]]</f>
        <v>7</v>
      </c>
      <c r="AV119" t="str">
        <f t="shared" si="45"/>
        <v>Neutral</v>
      </c>
      <c r="AW119">
        <f>survey_responses[[#This Row],[Tôi tin tưởng số tiền thuế tôi đóng sẽ được Nhà nước sử dụng hiệu quả để cải thiện dịch vụ công (y tế, đường xá...). - HUMAN-TRU3]]</f>
        <v>1</v>
      </c>
      <c r="AX119" t="str">
        <f t="shared" si="46"/>
        <v>Oppose</v>
      </c>
      <c r="AY119" s="32">
        <f t="shared" si="47"/>
        <v>6</v>
      </c>
      <c r="AZ119">
        <f>step3_validation[[#This Row],[AI_TRU4]]</f>
        <v>6</v>
      </c>
      <c r="BA119" t="str">
        <f t="shared" si="48"/>
        <v>Neutral</v>
      </c>
      <c r="BB119">
        <f>survey_responses[[#This Row],[Tôi thấy Nhà nước đã giải thích rõ ràng, minh bạch về lý do và mục tiêu của việc sửa đổi thuế lần này. - HUMAN-TRU4]]</f>
        <v>1</v>
      </c>
      <c r="BC119" t="str">
        <f t="shared" si="49"/>
        <v>Oppose</v>
      </c>
      <c r="BD119" s="32">
        <f t="shared" si="50"/>
        <v>5</v>
      </c>
      <c r="BE119">
        <f>step3_validation[[#This Row],[AI_OUT1]]</f>
        <v>5</v>
      </c>
      <c r="BF119" t="str">
        <f t="shared" si="51"/>
        <v>Neutral</v>
      </c>
      <c r="BG119">
        <f>survey_responses[[#This Row],[Sau khi xem xét các quyền lợi và nghĩa vụ, bạn có ủng hộ và tuân thủ chính sách mới hiện nay? - HUMAN-OUT1]]</f>
        <v>5</v>
      </c>
      <c r="BH119" t="str">
        <f t="shared" si="52"/>
        <v>Neutral</v>
      </c>
      <c r="BI119" s="32">
        <f t="shared" si="53"/>
        <v>0</v>
      </c>
    </row>
    <row r="120" spans="1:61" x14ac:dyDescent="0.45">
      <c r="A120" s="30">
        <f>step3_validation[[#This Row],[Persona_ID]]</f>
        <v>119</v>
      </c>
      <c r="B120" s="31">
        <f>step3_validation[[#This Row],[Used_Seed]]</f>
        <v>2109</v>
      </c>
      <c r="C120" t="str">
        <f>step3_validation[[#This Row],[Gender]]</f>
        <v>Nữ</v>
      </c>
      <c r="D120" t="str">
        <f>survey_responses[[#This Row],[Giới tính của bạn:]]</f>
        <v>Nữ</v>
      </c>
      <c r="E120" t="str">
        <f>step3_validation[[#This Row],[Age_Group]]</f>
        <v>55 - 64</v>
      </c>
      <c r="F120" t="str">
        <f>survey_responses[[#This Row],[Độ tuổi của bạn:]]</f>
        <v>55 - 64</v>
      </c>
      <c r="G120" t="str">
        <f>step3_validation[[#This Row],[Region]]</f>
        <v>Thành thị</v>
      </c>
      <c r="H120" t="str">
        <f>survey_responses[[#This Row],[Khu vực bạn đang sinh sống:]]</f>
        <v>Thành thị</v>
      </c>
      <c r="I120" t="str">
        <f>step3_validation[[#This Row],[Education]]</f>
        <v>Đại học</v>
      </c>
      <c r="J120" t="str">
        <f>survey_responses[[#This Row],[Trình độ học vấn cao nhất:]]</f>
        <v>Đại học</v>
      </c>
      <c r="K120" t="str">
        <f>step3_validation[[#This Row],[Employment]]</f>
        <v>Chính thức</v>
      </c>
      <c r="L120" t="str">
        <f>survey_responses[[#This Row],[Tình trạng việc làm chính:]]</f>
        <v>Khu vực chính thức (Có Hợp đồng lao động, đóng BHXH)</v>
      </c>
      <c r="M120">
        <f>step3_validation[[#This Row],[Income_Mil]]</f>
        <v>52.814063505627445</v>
      </c>
      <c r="N120" t="str">
        <f>survey_responses[[#This Row],[Thu nhập bình quân tháng theo Hợp đồng lao động của bạn là bao nhiêu? (Vui lòng điền tổng thu nhập trước khi khấu trừ các loại Bảo hiểm (BHXH, BHYT, BHTN) và Thuế TNCN)]]</f>
        <v>Từ 48 - 70 triệu VNĐ</v>
      </c>
      <c r="O120">
        <f>step3_validation[[#This Row],[Dependents]]</f>
        <v>4</v>
      </c>
      <c r="P120" t="str">
        <f>survey_responses[[#This Row],[Số người phụ thuộc (con nhỏ, cha mẹ già...) đủ điều kiện giảm trừ gia cảnh:]]</f>
        <v>4 người trở lên</v>
      </c>
      <c r="Q120">
        <f>step3_validation[[#This Row],[AI_ENF1]]</f>
        <v>5</v>
      </c>
      <c r="R120" t="str">
        <f t="shared" si="27"/>
        <v>Neutral</v>
      </c>
      <c r="S120">
        <f>survey_responses[[#This Row],[Tôi tin rằng với các quy định quản lý thuế hiện nay, hành vi gian lận hoặc trốn thuế sẽ dễ dàng bị phát hiện và xử lý nghiêm. - HUMAN-ENF1]]</f>
        <v>8</v>
      </c>
      <c r="T120" t="str">
        <f t="shared" si="28"/>
        <v>Support</v>
      </c>
      <c r="U120" s="32">
        <f t="shared" si="29"/>
        <v>3</v>
      </c>
      <c r="V120">
        <f>step3_validation[[#This Row],[AI_ENF2]]</f>
        <v>6</v>
      </c>
      <c r="W120" t="str">
        <f t="shared" si="30"/>
        <v>Neutral</v>
      </c>
      <c r="X120">
        <f>survey_responses[[#This Row],[Tôi tin rằng Nhà nước, cơ quan thuế có đủ khả năng và công nghệ để phát hiện, xử lý nghiêm các hành vi trốn thuế. - HUMAN-ENF2]]</f>
        <v>8</v>
      </c>
      <c r="Y120" t="str">
        <f t="shared" si="31"/>
        <v>Support</v>
      </c>
      <c r="Z120" s="32">
        <f t="shared" si="32"/>
        <v>2</v>
      </c>
      <c r="AA120">
        <f>step3_validation[[#This Row],[AI_FAC1]]</f>
        <v>8</v>
      </c>
      <c r="AB120" t="str">
        <f t="shared" si="33"/>
        <v>Support</v>
      </c>
      <c r="AC120">
        <f>survey_responses[[#This Row],[Các thủ tục khai báo thuế VÀ/HOẶC quy trình làm việc với cơ quan thuế đơn giản, tiện lợi, nhanh chóng hơn so với trước đây. - HUMAN-FAC1]]</f>
        <v>6</v>
      </c>
      <c r="AD120" t="str">
        <f t="shared" si="34"/>
        <v>Neutral</v>
      </c>
      <c r="AE120" s="32">
        <f t="shared" si="35"/>
        <v>2</v>
      </c>
      <c r="AF120">
        <f>step3_validation[[#This Row],[AI_FAC2]]</f>
        <v>7</v>
      </c>
      <c r="AG120" t="str">
        <f t="shared" si="36"/>
        <v>Neutral</v>
      </c>
      <c r="AH120">
        <f>survey_responses[[#This Row],[So với trước đây, tôi thấy cách tính thuế và các bậc thuế trong phương án mới đơn giản, dễ hiểu và dễ thực hiện hơn. - HUMAN-FAC2]]</f>
        <v>9</v>
      </c>
      <c r="AI120" t="str">
        <f t="shared" si="37"/>
        <v>Support</v>
      </c>
      <c r="AJ120" s="32">
        <f t="shared" si="38"/>
        <v>2</v>
      </c>
      <c r="AK120">
        <f>step3_validation[[#This Row],[AI_TRU1]]</f>
        <v>4</v>
      </c>
      <c r="AL120" t="str">
        <f t="shared" si="39"/>
        <v>Oppose</v>
      </c>
      <c r="AM120">
        <f>survey_responses[[#This Row],[Tôi tin rằng Nhà nước, cơ quan thuế sẽ thực thi chính sách mới một cách khách quan, công tâm và đối xử bình đẳng với mọi người nộp thuế.  - HUMAN-TRU1]]</f>
        <v>8</v>
      </c>
      <c r="AN120" t="str">
        <f t="shared" si="40"/>
        <v>Support</v>
      </c>
      <c r="AO120" s="32">
        <f t="shared" si="41"/>
        <v>4</v>
      </c>
      <c r="AP120">
        <f>step3_validation[[#This Row],[AI_TRU2]]</f>
        <v>6</v>
      </c>
      <c r="AQ120" t="str">
        <f t="shared" si="42"/>
        <v>Neutral</v>
      </c>
      <c r="AR120">
        <f>survey_responses[[#This Row],[Tôi thấy mức thuế tôi phải đóng theo phương án mới là công bằng (người thu nhập như tôi đóng mức này là hợp lý). - HUMAN-TRU2]]</f>
        <v>7</v>
      </c>
      <c r="AS120" t="str">
        <f t="shared" si="43"/>
        <v>Neutral</v>
      </c>
      <c r="AT120" s="32">
        <f t="shared" si="44"/>
        <v>1</v>
      </c>
      <c r="AU120">
        <f>step3_validation[[#This Row],[AI_TRU3]]</f>
        <v>5</v>
      </c>
      <c r="AV120" t="str">
        <f t="shared" si="45"/>
        <v>Neutral</v>
      </c>
      <c r="AW120">
        <f>survey_responses[[#This Row],[Tôi tin tưởng số tiền thuế tôi đóng sẽ được Nhà nước sử dụng hiệu quả để cải thiện dịch vụ công (y tế, đường xá...). - HUMAN-TRU3]]</f>
        <v>7</v>
      </c>
      <c r="AX120" t="str">
        <f t="shared" si="46"/>
        <v>Neutral</v>
      </c>
      <c r="AY120" s="32">
        <f t="shared" si="47"/>
        <v>2</v>
      </c>
      <c r="AZ120">
        <f>step3_validation[[#This Row],[AI_TRU4]]</f>
        <v>3</v>
      </c>
      <c r="BA120" t="str">
        <f t="shared" si="48"/>
        <v>Oppose</v>
      </c>
      <c r="BB120">
        <f>survey_responses[[#This Row],[Tôi thấy Nhà nước đã giải thích rõ ràng, minh bạch về lý do và mục tiêu của việc sửa đổi thuế lần này. - HUMAN-TRU4]]</f>
        <v>7</v>
      </c>
      <c r="BC120" t="str">
        <f t="shared" si="49"/>
        <v>Neutral</v>
      </c>
      <c r="BD120" s="32">
        <f t="shared" si="50"/>
        <v>4</v>
      </c>
      <c r="BE120">
        <f>step3_validation[[#This Row],[AI_OUT1]]</f>
        <v>5</v>
      </c>
      <c r="BF120" t="str">
        <f t="shared" si="51"/>
        <v>Neutral</v>
      </c>
      <c r="BG120">
        <f>survey_responses[[#This Row],[Sau khi xem xét các quyền lợi và nghĩa vụ, bạn có ủng hộ và tuân thủ chính sách mới hiện nay? - HUMAN-OUT1]]</f>
        <v>7</v>
      </c>
      <c r="BH120" t="str">
        <f t="shared" si="52"/>
        <v>Neutral</v>
      </c>
      <c r="BI120" s="32">
        <f t="shared" si="53"/>
        <v>2</v>
      </c>
    </row>
    <row r="121" spans="1:61" x14ac:dyDescent="0.45">
      <c r="A121" s="30">
        <f>step3_validation[[#This Row],[Persona_ID]]</f>
        <v>120</v>
      </c>
      <c r="B121" s="31">
        <f>step3_validation[[#This Row],[Used_Seed]]</f>
        <v>2110</v>
      </c>
      <c r="C121" t="str">
        <f>step3_validation[[#This Row],[Gender]]</f>
        <v>Nữ</v>
      </c>
      <c r="D121" t="str">
        <f>survey_responses[[#This Row],[Giới tính của bạn:]]</f>
        <v>Nữ</v>
      </c>
      <c r="E121" t="str">
        <f>step3_validation[[#This Row],[Age_Group]]</f>
        <v>40 - 49</v>
      </c>
      <c r="F121" t="str">
        <f>survey_responses[[#This Row],[Độ tuổi của bạn:]]</f>
        <v>40 - 49</v>
      </c>
      <c r="G121" t="str">
        <f>step3_validation[[#This Row],[Region]]</f>
        <v>Nông thôn</v>
      </c>
      <c r="H121" t="str">
        <f>survey_responses[[#This Row],[Khu vực bạn đang sinh sống:]]</f>
        <v>Nông thôn</v>
      </c>
      <c r="I121" t="str">
        <f>step3_validation[[#This Row],[Education]]</f>
        <v>Đại học</v>
      </c>
      <c r="J121" t="str">
        <f>survey_responses[[#This Row],[Trình độ học vấn cao nhất:]]</f>
        <v>Đại học</v>
      </c>
      <c r="K121" t="str">
        <f>step3_validation[[#This Row],[Employment]]</f>
        <v>Chính thức</v>
      </c>
      <c r="L121" t="str">
        <f>survey_responses[[#This Row],[Tình trạng việc làm chính:]]</f>
        <v>Khu vực chính thức (Có Hợp đồng lao động, đóng BHXH)</v>
      </c>
      <c r="M121">
        <f>step3_validation[[#This Row],[Income_Mil]]</f>
        <v>26.65643394692502</v>
      </c>
      <c r="N121" t="str">
        <f>survey_responses[[#This Row],[Thu nhập bình quân tháng theo Hợp đồng lao động của bạn là bao nhiêu? (Vui lòng điền tổng thu nhập trước khi khấu trừ các loại Bảo hiểm (BHXH, BHYT, BHTN) và Thuế TNCN)]]</f>
        <v>Từ 23 - 32 triệu VNĐ</v>
      </c>
      <c r="O121">
        <f>step3_validation[[#This Row],[Dependents]]</f>
        <v>3</v>
      </c>
      <c r="P121" t="str">
        <f>survey_responses[[#This Row],[Số người phụ thuộc (con nhỏ, cha mẹ già...) đủ điều kiện giảm trừ gia cảnh:]]</f>
        <v>3 người</v>
      </c>
      <c r="Q121">
        <f>step3_validation[[#This Row],[AI_ENF1]]</f>
        <v>7</v>
      </c>
      <c r="R121" t="str">
        <f t="shared" si="27"/>
        <v>Neutral</v>
      </c>
      <c r="S121">
        <f>survey_responses[[#This Row],[Tôi tin rằng với các quy định quản lý thuế hiện nay, hành vi gian lận hoặc trốn thuế sẽ dễ dàng bị phát hiện và xử lý nghiêm. - HUMAN-ENF1]]</f>
        <v>6</v>
      </c>
      <c r="T121" t="str">
        <f t="shared" si="28"/>
        <v>Neutral</v>
      </c>
      <c r="U121" s="32">
        <f t="shared" si="29"/>
        <v>1</v>
      </c>
      <c r="V121">
        <f>step3_validation[[#This Row],[AI_ENF2]]</f>
        <v>6</v>
      </c>
      <c r="W121" t="str">
        <f t="shared" si="30"/>
        <v>Neutral</v>
      </c>
      <c r="X121">
        <f>survey_responses[[#This Row],[Tôi tin rằng Nhà nước, cơ quan thuế có đủ khả năng và công nghệ để phát hiện, xử lý nghiêm các hành vi trốn thuế. - HUMAN-ENF2]]</f>
        <v>6</v>
      </c>
      <c r="Y121" t="str">
        <f t="shared" si="31"/>
        <v>Neutral</v>
      </c>
      <c r="Z121" s="32">
        <f t="shared" si="32"/>
        <v>0</v>
      </c>
      <c r="AA121">
        <f>step3_validation[[#This Row],[AI_FAC1]]</f>
        <v>8</v>
      </c>
      <c r="AB121" t="str">
        <f t="shared" si="33"/>
        <v>Support</v>
      </c>
      <c r="AC121">
        <f>survey_responses[[#This Row],[Các thủ tục khai báo thuế VÀ/HOẶC quy trình làm việc với cơ quan thuế đơn giản, tiện lợi, nhanh chóng hơn so với trước đây. - HUMAN-FAC1]]</f>
        <v>6</v>
      </c>
      <c r="AD121" t="str">
        <f t="shared" si="34"/>
        <v>Neutral</v>
      </c>
      <c r="AE121" s="32">
        <f t="shared" si="35"/>
        <v>2</v>
      </c>
      <c r="AF121">
        <f>step3_validation[[#This Row],[AI_FAC2]]</f>
        <v>5</v>
      </c>
      <c r="AG121" t="str">
        <f t="shared" si="36"/>
        <v>Neutral</v>
      </c>
      <c r="AH121">
        <f>survey_responses[[#This Row],[So với trước đây, tôi thấy cách tính thuế và các bậc thuế trong phương án mới đơn giản, dễ hiểu và dễ thực hiện hơn. - HUMAN-FAC2]]</f>
        <v>6</v>
      </c>
      <c r="AI121" t="str">
        <f t="shared" si="37"/>
        <v>Neutral</v>
      </c>
      <c r="AJ121" s="32">
        <f t="shared" si="38"/>
        <v>1</v>
      </c>
      <c r="AK121">
        <f>step3_validation[[#This Row],[AI_TRU1]]</f>
        <v>7</v>
      </c>
      <c r="AL121" t="str">
        <f t="shared" si="39"/>
        <v>Neutral</v>
      </c>
      <c r="AM121">
        <f>survey_responses[[#This Row],[Tôi tin rằng Nhà nước, cơ quan thuế sẽ thực thi chính sách mới một cách khách quan, công tâm và đối xử bình đẳng với mọi người nộp thuế.  - HUMAN-TRU1]]</f>
        <v>6</v>
      </c>
      <c r="AN121" t="str">
        <f t="shared" si="40"/>
        <v>Neutral</v>
      </c>
      <c r="AO121" s="32">
        <f t="shared" si="41"/>
        <v>1</v>
      </c>
      <c r="AP121">
        <f>step3_validation[[#This Row],[AI_TRU2]]</f>
        <v>4</v>
      </c>
      <c r="AQ121" t="str">
        <f t="shared" si="42"/>
        <v>Oppose</v>
      </c>
      <c r="AR121">
        <f>survey_responses[[#This Row],[Tôi thấy mức thuế tôi phải đóng theo phương án mới là công bằng (người thu nhập như tôi đóng mức này là hợp lý). - HUMAN-TRU2]]</f>
        <v>6</v>
      </c>
      <c r="AS121" t="str">
        <f t="shared" si="43"/>
        <v>Neutral</v>
      </c>
      <c r="AT121" s="32">
        <f t="shared" si="44"/>
        <v>2</v>
      </c>
      <c r="AU121">
        <f>step3_validation[[#This Row],[AI_TRU3]]</f>
        <v>6</v>
      </c>
      <c r="AV121" t="str">
        <f t="shared" si="45"/>
        <v>Neutral</v>
      </c>
      <c r="AW121">
        <f>survey_responses[[#This Row],[Tôi tin tưởng số tiền thuế tôi đóng sẽ được Nhà nước sử dụng hiệu quả để cải thiện dịch vụ công (y tế, đường xá...). - HUMAN-TRU3]]</f>
        <v>6</v>
      </c>
      <c r="AX121" t="str">
        <f t="shared" si="46"/>
        <v>Neutral</v>
      </c>
      <c r="AY121" s="32">
        <f t="shared" si="47"/>
        <v>0</v>
      </c>
      <c r="AZ121">
        <f>step3_validation[[#This Row],[AI_TRU4]]</f>
        <v>5</v>
      </c>
      <c r="BA121" t="str">
        <f t="shared" si="48"/>
        <v>Neutral</v>
      </c>
      <c r="BB121">
        <f>survey_responses[[#This Row],[Tôi thấy Nhà nước đã giải thích rõ ràng, minh bạch về lý do và mục tiêu của việc sửa đổi thuế lần này. - HUMAN-TRU4]]</f>
        <v>6</v>
      </c>
      <c r="BC121" t="str">
        <f t="shared" si="49"/>
        <v>Neutral</v>
      </c>
      <c r="BD121" s="32">
        <f t="shared" si="50"/>
        <v>1</v>
      </c>
      <c r="BE121">
        <f>step3_validation[[#This Row],[AI_OUT1]]</f>
        <v>6</v>
      </c>
      <c r="BF121" t="str">
        <f t="shared" si="51"/>
        <v>Neutral</v>
      </c>
      <c r="BG121">
        <f>survey_responses[[#This Row],[Sau khi xem xét các quyền lợi và nghĩa vụ, bạn có ủng hộ và tuân thủ chính sách mới hiện nay? - HUMAN-OUT1]]</f>
        <v>6</v>
      </c>
      <c r="BH121" t="str">
        <f t="shared" si="52"/>
        <v>Neutral</v>
      </c>
      <c r="BI121" s="32">
        <f t="shared" si="53"/>
        <v>0</v>
      </c>
    </row>
    <row r="122" spans="1:61" x14ac:dyDescent="0.45">
      <c r="A122" s="30">
        <f>step3_validation[[#This Row],[Persona_ID]]</f>
        <v>121</v>
      </c>
      <c r="B122" s="31">
        <f>step3_validation[[#This Row],[Used_Seed]]</f>
        <v>2111</v>
      </c>
      <c r="C122" t="str">
        <f>step3_validation[[#This Row],[Gender]]</f>
        <v>Nam</v>
      </c>
      <c r="D122" t="str">
        <f>survey_responses[[#This Row],[Giới tính của bạn:]]</f>
        <v>Nam</v>
      </c>
      <c r="E122" t="str">
        <f>step3_validation[[#This Row],[Age_Group]]</f>
        <v>50 - 54</v>
      </c>
      <c r="F122" t="str">
        <f>survey_responses[[#This Row],[Độ tuổi của bạn:]]</f>
        <v>50 - 54</v>
      </c>
      <c r="G122" t="str">
        <f>step3_validation[[#This Row],[Region]]</f>
        <v>Thành thị</v>
      </c>
      <c r="H122" t="str">
        <f>survey_responses[[#This Row],[Khu vực bạn đang sinh sống:]]</f>
        <v>Thành thị</v>
      </c>
      <c r="I122" t="str">
        <f>step3_validation[[#This Row],[Education]]</f>
        <v>Sau Đại học</v>
      </c>
      <c r="J122" t="str">
        <f>survey_responses[[#This Row],[Trình độ học vấn cao nhất:]]</f>
        <v>Sau Đại học</v>
      </c>
      <c r="K122" t="str">
        <f>step3_validation[[#This Row],[Employment]]</f>
        <v>Phi chính thức</v>
      </c>
      <c r="L122" t="str">
        <f>survey_responses[[#This Row],[Tình trạng việc làm chính:]]</f>
        <v>Khu vực phi chính thức (Lao động tự do, không có HĐLĐ)</v>
      </c>
      <c r="M122">
        <f>step3_validation[[#This Row],[Income_Mil]]</f>
        <v>201.27275496241441</v>
      </c>
      <c r="N122" t="str">
        <f>survey_responses[[#This Row],[Thu nhập bình quân tháng theo Hợp đồng lao động của bạn là bao nhiêu? (Vui lòng điền tổng thu nhập trước khi khấu trừ các loại Bảo hiểm (BHXH, BHYT, BHTN) và Thuế TNCN)]]</f>
        <v>Trên 102 triệu VNĐ</v>
      </c>
      <c r="O122">
        <f>step3_validation[[#This Row],[Dependents]]</f>
        <v>4</v>
      </c>
      <c r="P122" t="str">
        <f>survey_responses[[#This Row],[Số người phụ thuộc (con nhỏ, cha mẹ già...) đủ điều kiện giảm trừ gia cảnh:]]</f>
        <v>4 người trở lên</v>
      </c>
      <c r="Q122">
        <f>step3_validation[[#This Row],[AI_ENF1]]</f>
        <v>7</v>
      </c>
      <c r="R122" t="str">
        <f t="shared" si="27"/>
        <v>Neutral</v>
      </c>
      <c r="S122">
        <f>survey_responses[[#This Row],[Tôi tin rằng với các quy định quản lý thuế hiện nay, hành vi gian lận hoặc trốn thuế sẽ dễ dàng bị phát hiện và xử lý nghiêm. - HUMAN-ENF1]]</f>
        <v>1</v>
      </c>
      <c r="T122" t="str">
        <f t="shared" si="28"/>
        <v>Oppose</v>
      </c>
      <c r="U122" s="32">
        <f t="shared" si="29"/>
        <v>6</v>
      </c>
      <c r="V122">
        <f>step3_validation[[#This Row],[AI_ENF2]]</f>
        <v>6</v>
      </c>
      <c r="W122" t="str">
        <f t="shared" si="30"/>
        <v>Neutral</v>
      </c>
      <c r="X122">
        <f>survey_responses[[#This Row],[Tôi tin rằng Nhà nước, cơ quan thuế có đủ khả năng và công nghệ để phát hiện, xử lý nghiêm các hành vi trốn thuế. - HUMAN-ENF2]]</f>
        <v>1</v>
      </c>
      <c r="Y122" t="str">
        <f t="shared" si="31"/>
        <v>Oppose</v>
      </c>
      <c r="Z122" s="32">
        <f t="shared" si="32"/>
        <v>5</v>
      </c>
      <c r="AA122">
        <f>step3_validation[[#This Row],[AI_FAC1]]</f>
        <v>5</v>
      </c>
      <c r="AB122" t="str">
        <f t="shared" si="33"/>
        <v>Neutral</v>
      </c>
      <c r="AC122">
        <f>survey_responses[[#This Row],[Các thủ tục khai báo thuế VÀ/HOẶC quy trình làm việc với cơ quan thuế đơn giản, tiện lợi, nhanh chóng hơn so với trước đây. - HUMAN-FAC1]]</f>
        <v>1</v>
      </c>
      <c r="AD122" t="str">
        <f t="shared" si="34"/>
        <v>Oppose</v>
      </c>
      <c r="AE122" s="32">
        <f t="shared" si="35"/>
        <v>4</v>
      </c>
      <c r="AF122">
        <f>step3_validation[[#This Row],[AI_FAC2]]</f>
        <v>6</v>
      </c>
      <c r="AG122" t="str">
        <f t="shared" si="36"/>
        <v>Neutral</v>
      </c>
      <c r="AH122">
        <f>survey_responses[[#This Row],[So với trước đây, tôi thấy cách tính thuế và các bậc thuế trong phương án mới đơn giản, dễ hiểu và dễ thực hiện hơn. - HUMAN-FAC2]]</f>
        <v>5</v>
      </c>
      <c r="AI122" t="str">
        <f t="shared" si="37"/>
        <v>Neutral</v>
      </c>
      <c r="AJ122" s="32">
        <f t="shared" si="38"/>
        <v>1</v>
      </c>
      <c r="AK122">
        <f>step3_validation[[#This Row],[AI_TRU1]]</f>
        <v>7</v>
      </c>
      <c r="AL122" t="str">
        <f t="shared" si="39"/>
        <v>Neutral</v>
      </c>
      <c r="AM122">
        <f>survey_responses[[#This Row],[Tôi tin rằng Nhà nước, cơ quan thuế sẽ thực thi chính sách mới một cách khách quan, công tâm và đối xử bình đẳng với mọi người nộp thuế.  - HUMAN-TRU1]]</f>
        <v>1</v>
      </c>
      <c r="AN122" t="str">
        <f t="shared" si="40"/>
        <v>Oppose</v>
      </c>
      <c r="AO122" s="32">
        <f t="shared" si="41"/>
        <v>6</v>
      </c>
      <c r="AP122">
        <f>step3_validation[[#This Row],[AI_TRU2]]</f>
        <v>4</v>
      </c>
      <c r="AQ122" t="str">
        <f t="shared" si="42"/>
        <v>Oppose</v>
      </c>
      <c r="AR122">
        <f>survey_responses[[#This Row],[Tôi thấy mức thuế tôi phải đóng theo phương án mới là công bằng (người thu nhập như tôi đóng mức này là hợp lý). - HUMAN-TRU2]]</f>
        <v>1</v>
      </c>
      <c r="AS122" t="str">
        <f t="shared" si="43"/>
        <v>Oppose</v>
      </c>
      <c r="AT122" s="32">
        <f t="shared" si="44"/>
        <v>3</v>
      </c>
      <c r="AU122">
        <f>step3_validation[[#This Row],[AI_TRU3]]</f>
        <v>5</v>
      </c>
      <c r="AV122" t="str">
        <f t="shared" si="45"/>
        <v>Neutral</v>
      </c>
      <c r="AW122">
        <f>survey_responses[[#This Row],[Tôi tin tưởng số tiền thuế tôi đóng sẽ được Nhà nước sử dụng hiệu quả để cải thiện dịch vụ công (y tế, đường xá...). - HUMAN-TRU3]]</f>
        <v>1</v>
      </c>
      <c r="AX122" t="str">
        <f t="shared" si="46"/>
        <v>Oppose</v>
      </c>
      <c r="AY122" s="32">
        <f t="shared" si="47"/>
        <v>4</v>
      </c>
      <c r="AZ122">
        <f>step3_validation[[#This Row],[AI_TRU4]]</f>
        <v>3</v>
      </c>
      <c r="BA122" t="str">
        <f t="shared" si="48"/>
        <v>Oppose</v>
      </c>
      <c r="BB122">
        <f>survey_responses[[#This Row],[Tôi thấy Nhà nước đã giải thích rõ ràng, minh bạch về lý do và mục tiêu của việc sửa đổi thuế lần này. - HUMAN-TRU4]]</f>
        <v>1</v>
      </c>
      <c r="BC122" t="str">
        <f t="shared" si="49"/>
        <v>Oppose</v>
      </c>
      <c r="BD122" s="32">
        <f t="shared" si="50"/>
        <v>2</v>
      </c>
      <c r="BE122">
        <f>step3_validation[[#This Row],[AI_OUT1]]</f>
        <v>6</v>
      </c>
      <c r="BF122" t="str">
        <f t="shared" si="51"/>
        <v>Neutral</v>
      </c>
      <c r="BG122">
        <f>survey_responses[[#This Row],[Sau khi xem xét các quyền lợi và nghĩa vụ, bạn có ủng hộ và tuân thủ chính sách mới hiện nay? - HUMAN-OUT1]]</f>
        <v>5</v>
      </c>
      <c r="BH122" t="str">
        <f t="shared" si="52"/>
        <v>Neutral</v>
      </c>
      <c r="BI122" s="32">
        <f t="shared" si="53"/>
        <v>1</v>
      </c>
    </row>
    <row r="123" spans="1:61" x14ac:dyDescent="0.45">
      <c r="A123" s="30">
        <f>step3_validation[[#This Row],[Persona_ID]]</f>
        <v>122</v>
      </c>
      <c r="B123" s="31">
        <f>step3_validation[[#This Row],[Used_Seed]]</f>
        <v>2112</v>
      </c>
      <c r="C123" t="str">
        <f>step3_validation[[#This Row],[Gender]]</f>
        <v>Nam</v>
      </c>
      <c r="D123" t="str">
        <f>survey_responses[[#This Row],[Giới tính của bạn:]]</f>
        <v>Nam</v>
      </c>
      <c r="E123" t="str">
        <f>step3_validation[[#This Row],[Age_Group]]</f>
        <v>40 - 49</v>
      </c>
      <c r="F123" t="str">
        <f>survey_responses[[#This Row],[Độ tuổi của bạn:]]</f>
        <v>40 - 49</v>
      </c>
      <c r="G123" t="str">
        <f>step3_validation[[#This Row],[Region]]</f>
        <v>Thành thị</v>
      </c>
      <c r="H123" t="str">
        <f>survey_responses[[#This Row],[Khu vực bạn đang sinh sống:]]</f>
        <v>Thành thị</v>
      </c>
      <c r="I123" t="str">
        <f>step3_validation[[#This Row],[Education]]</f>
        <v>Đại học</v>
      </c>
      <c r="J123" t="str">
        <f>survey_responses[[#This Row],[Trình độ học vấn cao nhất:]]</f>
        <v>Đại học</v>
      </c>
      <c r="K123" t="str">
        <f>step3_validation[[#This Row],[Employment]]</f>
        <v>Chính thức</v>
      </c>
      <c r="L123" t="str">
        <f>survey_responses[[#This Row],[Tình trạng việc làm chính:]]</f>
        <v>Khu vực chính thức (Có Hợp đồng lao động, đóng BHXH)</v>
      </c>
      <c r="M123">
        <f>step3_validation[[#This Row],[Income_Mil]]</f>
        <v>114.48265751466442</v>
      </c>
      <c r="N123" t="str">
        <f>survey_responses[[#This Row],[Thu nhập bình quân tháng theo Hợp đồng lao động của bạn là bao nhiêu? (Vui lòng điền tổng thu nhập trước khi khấu trừ các loại Bảo hiểm (BHXH, BHYT, BHTN) và Thuế TNCN)]]</f>
        <v>Trên 102 triệu VNĐ</v>
      </c>
      <c r="O123">
        <f>step3_validation[[#This Row],[Dependents]]</f>
        <v>0</v>
      </c>
      <c r="P123" t="str">
        <f>survey_responses[[#This Row],[Số người phụ thuộc (con nhỏ, cha mẹ già...) đủ điều kiện giảm trừ gia cảnh:]]</f>
        <v>0 người</v>
      </c>
      <c r="Q123">
        <f>step3_validation[[#This Row],[AI_ENF1]]</f>
        <v>8</v>
      </c>
      <c r="R123" t="str">
        <f t="shared" si="27"/>
        <v>Support</v>
      </c>
      <c r="S123">
        <f>survey_responses[[#This Row],[Tôi tin rằng với các quy định quản lý thuế hiện nay, hành vi gian lận hoặc trốn thuế sẽ dễ dàng bị phát hiện và xử lý nghiêm. - HUMAN-ENF1]]</f>
        <v>4</v>
      </c>
      <c r="T123" t="str">
        <f t="shared" si="28"/>
        <v>Oppose</v>
      </c>
      <c r="U123" s="32">
        <f t="shared" si="29"/>
        <v>4</v>
      </c>
      <c r="V123">
        <f>step3_validation[[#This Row],[AI_ENF2]]</f>
        <v>7</v>
      </c>
      <c r="W123" t="str">
        <f t="shared" si="30"/>
        <v>Neutral</v>
      </c>
      <c r="X123">
        <f>survey_responses[[#This Row],[Tôi tin rằng Nhà nước, cơ quan thuế có đủ khả năng và công nghệ để phát hiện, xử lý nghiêm các hành vi trốn thuế. - HUMAN-ENF2]]</f>
        <v>4</v>
      </c>
      <c r="Y123" t="str">
        <f t="shared" si="31"/>
        <v>Oppose</v>
      </c>
      <c r="Z123" s="32">
        <f t="shared" si="32"/>
        <v>3</v>
      </c>
      <c r="AA123">
        <f>step3_validation[[#This Row],[AI_FAC1]]</f>
        <v>6</v>
      </c>
      <c r="AB123" t="str">
        <f t="shared" si="33"/>
        <v>Neutral</v>
      </c>
      <c r="AC123">
        <f>survey_responses[[#This Row],[Các thủ tục khai báo thuế VÀ/HOẶC quy trình làm việc với cơ quan thuế đơn giản, tiện lợi, nhanh chóng hơn so với trước đây. - HUMAN-FAC1]]</f>
        <v>2</v>
      </c>
      <c r="AD123" t="str">
        <f t="shared" si="34"/>
        <v>Oppose</v>
      </c>
      <c r="AE123" s="32">
        <f t="shared" si="35"/>
        <v>4</v>
      </c>
      <c r="AF123">
        <f>step3_validation[[#This Row],[AI_FAC2]]</f>
        <v>7</v>
      </c>
      <c r="AG123" t="str">
        <f t="shared" si="36"/>
        <v>Neutral</v>
      </c>
      <c r="AH123">
        <f>survey_responses[[#This Row],[So với trước đây, tôi thấy cách tính thuế và các bậc thuế trong phương án mới đơn giản, dễ hiểu và dễ thực hiện hơn. - HUMAN-FAC2]]</f>
        <v>5</v>
      </c>
      <c r="AI123" t="str">
        <f t="shared" si="37"/>
        <v>Neutral</v>
      </c>
      <c r="AJ123" s="32">
        <f t="shared" si="38"/>
        <v>2</v>
      </c>
      <c r="AK123">
        <f>step3_validation[[#This Row],[AI_TRU1]]</f>
        <v>8</v>
      </c>
      <c r="AL123" t="str">
        <f t="shared" si="39"/>
        <v>Support</v>
      </c>
      <c r="AM123">
        <f>survey_responses[[#This Row],[Tôi tin rằng Nhà nước, cơ quan thuế sẽ thực thi chính sách mới một cách khách quan, công tâm và đối xử bình đẳng với mọi người nộp thuế.  - HUMAN-TRU1]]</f>
        <v>1</v>
      </c>
      <c r="AN123" t="str">
        <f t="shared" si="40"/>
        <v>Oppose</v>
      </c>
      <c r="AO123" s="32">
        <f t="shared" si="41"/>
        <v>7</v>
      </c>
      <c r="AP123">
        <f>step3_validation[[#This Row],[AI_TRU2]]</f>
        <v>6</v>
      </c>
      <c r="AQ123" t="str">
        <f t="shared" si="42"/>
        <v>Neutral</v>
      </c>
      <c r="AR123">
        <f>survey_responses[[#This Row],[Tôi thấy mức thuế tôi phải đóng theo phương án mới là công bằng (người thu nhập như tôi đóng mức này là hợp lý). - HUMAN-TRU2]]</f>
        <v>1</v>
      </c>
      <c r="AS123" t="str">
        <f t="shared" si="43"/>
        <v>Oppose</v>
      </c>
      <c r="AT123" s="32">
        <f t="shared" si="44"/>
        <v>5</v>
      </c>
      <c r="AU123">
        <f>step3_validation[[#This Row],[AI_TRU3]]</f>
        <v>6</v>
      </c>
      <c r="AV123" t="str">
        <f t="shared" si="45"/>
        <v>Neutral</v>
      </c>
      <c r="AW123">
        <f>survey_responses[[#This Row],[Tôi tin tưởng số tiền thuế tôi đóng sẽ được Nhà nước sử dụng hiệu quả để cải thiện dịch vụ công (y tế, đường xá...). - HUMAN-TRU3]]</f>
        <v>1</v>
      </c>
      <c r="AX123" t="str">
        <f t="shared" si="46"/>
        <v>Oppose</v>
      </c>
      <c r="AY123" s="32">
        <f t="shared" si="47"/>
        <v>5</v>
      </c>
      <c r="AZ123">
        <f>step3_validation[[#This Row],[AI_TRU4]]</f>
        <v>6</v>
      </c>
      <c r="BA123" t="str">
        <f t="shared" si="48"/>
        <v>Neutral</v>
      </c>
      <c r="BB123">
        <f>survey_responses[[#This Row],[Tôi thấy Nhà nước đã giải thích rõ ràng, minh bạch về lý do và mục tiêu của việc sửa đổi thuế lần này. - HUMAN-TRU4]]</f>
        <v>4</v>
      </c>
      <c r="BC123" t="str">
        <f t="shared" si="49"/>
        <v>Oppose</v>
      </c>
      <c r="BD123" s="32">
        <f t="shared" si="50"/>
        <v>2</v>
      </c>
      <c r="BE123">
        <f>step3_validation[[#This Row],[AI_OUT1]]</f>
        <v>7</v>
      </c>
      <c r="BF123" t="str">
        <f t="shared" si="51"/>
        <v>Neutral</v>
      </c>
      <c r="BG123">
        <f>survey_responses[[#This Row],[Sau khi xem xét các quyền lợi và nghĩa vụ, bạn có ủng hộ và tuân thủ chính sách mới hiện nay? - HUMAN-OUT1]]</f>
        <v>4</v>
      </c>
      <c r="BH123" t="str">
        <f t="shared" si="52"/>
        <v>Oppose</v>
      </c>
      <c r="BI123" s="32">
        <f t="shared" si="53"/>
        <v>3</v>
      </c>
    </row>
    <row r="124" spans="1:61" x14ac:dyDescent="0.45">
      <c r="A124" s="30">
        <f>step3_validation[[#This Row],[Persona_ID]]</f>
        <v>123</v>
      </c>
      <c r="B124" s="31">
        <f>step3_validation[[#This Row],[Used_Seed]]</f>
        <v>2113</v>
      </c>
      <c r="C124" t="str">
        <f>step3_validation[[#This Row],[Gender]]</f>
        <v>Nữ</v>
      </c>
      <c r="D124" t="str">
        <f>survey_responses[[#This Row],[Giới tính của bạn:]]</f>
        <v>Nữ</v>
      </c>
      <c r="E124" t="str">
        <f>step3_validation[[#This Row],[Age_Group]]</f>
        <v>18 - 24</v>
      </c>
      <c r="F124" t="str">
        <f>survey_responses[[#This Row],[Độ tuổi của bạn:]]</f>
        <v>18 - 24</v>
      </c>
      <c r="G124" t="str">
        <f>step3_validation[[#This Row],[Region]]</f>
        <v>Thành thị</v>
      </c>
      <c r="H124" t="str">
        <f>survey_responses[[#This Row],[Khu vực bạn đang sinh sống:]]</f>
        <v>Thành thị</v>
      </c>
      <c r="I124" t="str">
        <f>step3_validation[[#This Row],[Education]]</f>
        <v>Đại học</v>
      </c>
      <c r="J124" t="str">
        <f>survey_responses[[#This Row],[Trình độ học vấn cao nhất:]]</f>
        <v>Đại học</v>
      </c>
      <c r="K124" t="str">
        <f>step3_validation[[#This Row],[Employment]]</f>
        <v>Chính thức</v>
      </c>
      <c r="L124" t="str">
        <f>survey_responses[[#This Row],[Tình trạng việc làm chính:]]</f>
        <v>Khu vực chính thức (Có Hợp đồng lao động, đóng BHXH)</v>
      </c>
      <c r="M124">
        <f>step3_validation[[#This Row],[Income_Mil]]</f>
        <v>12</v>
      </c>
      <c r="N124" t="str">
        <f>survey_responses[[#This Row],[Thu nhập bình quân tháng theo Hợp đồng lao động của bạn là bao nhiêu? (Vui lòng điền tổng thu nhập trước khi khấu trừ các loại Bảo hiểm (BHXH, BHYT, BHTN) và Thuế TNCN)]]</f>
        <v>Dưới 12 triệu VNĐ</v>
      </c>
      <c r="O124">
        <f>step3_validation[[#This Row],[Dependents]]</f>
        <v>0</v>
      </c>
      <c r="P124" t="str">
        <f>survey_responses[[#This Row],[Số người phụ thuộc (con nhỏ, cha mẹ già...) đủ điều kiện giảm trừ gia cảnh:]]</f>
        <v>0 người</v>
      </c>
      <c r="Q124">
        <f>step3_validation[[#This Row],[AI_ENF1]]</f>
        <v>7</v>
      </c>
      <c r="R124" t="str">
        <f t="shared" si="27"/>
        <v>Neutral</v>
      </c>
      <c r="S124">
        <f>survey_responses[[#This Row],[Tôi tin rằng với các quy định quản lý thuế hiện nay, hành vi gian lận hoặc trốn thuế sẽ dễ dàng bị phát hiện và xử lý nghiêm. - HUMAN-ENF1]]</f>
        <v>7</v>
      </c>
      <c r="T124" t="str">
        <f t="shared" si="28"/>
        <v>Neutral</v>
      </c>
      <c r="U124" s="32">
        <f t="shared" si="29"/>
        <v>0</v>
      </c>
      <c r="V124">
        <f>step3_validation[[#This Row],[AI_ENF2]]</f>
        <v>6</v>
      </c>
      <c r="W124" t="str">
        <f t="shared" si="30"/>
        <v>Neutral</v>
      </c>
      <c r="X124">
        <f>survey_responses[[#This Row],[Tôi tin rằng Nhà nước, cơ quan thuế có đủ khả năng và công nghệ để phát hiện, xử lý nghiêm các hành vi trốn thuế. - HUMAN-ENF2]]</f>
        <v>7</v>
      </c>
      <c r="Y124" t="str">
        <f t="shared" si="31"/>
        <v>Neutral</v>
      </c>
      <c r="Z124" s="32">
        <f t="shared" si="32"/>
        <v>1</v>
      </c>
      <c r="AA124">
        <f>step3_validation[[#This Row],[AI_FAC1]]</f>
        <v>8</v>
      </c>
      <c r="AB124" t="str">
        <f t="shared" si="33"/>
        <v>Support</v>
      </c>
      <c r="AC124">
        <f>survey_responses[[#This Row],[Các thủ tục khai báo thuế VÀ/HOẶC quy trình làm việc với cơ quan thuế đơn giản, tiện lợi, nhanh chóng hơn so với trước đây. - HUMAN-FAC1]]</f>
        <v>7</v>
      </c>
      <c r="AD124" t="str">
        <f t="shared" si="34"/>
        <v>Neutral</v>
      </c>
      <c r="AE124" s="32">
        <f t="shared" si="35"/>
        <v>1</v>
      </c>
      <c r="AF124">
        <f>step3_validation[[#This Row],[AI_FAC2]]</f>
        <v>9</v>
      </c>
      <c r="AG124" t="str">
        <f t="shared" si="36"/>
        <v>Support</v>
      </c>
      <c r="AH124">
        <f>survey_responses[[#This Row],[So với trước đây, tôi thấy cách tính thuế và các bậc thuế trong phương án mới đơn giản, dễ hiểu và dễ thực hiện hơn. - HUMAN-FAC2]]</f>
        <v>7</v>
      </c>
      <c r="AI124" t="str">
        <f t="shared" si="37"/>
        <v>Neutral</v>
      </c>
      <c r="AJ124" s="32">
        <f t="shared" si="38"/>
        <v>2</v>
      </c>
      <c r="AK124">
        <f>step3_validation[[#This Row],[AI_TRU1]]</f>
        <v>7</v>
      </c>
      <c r="AL124" t="str">
        <f t="shared" si="39"/>
        <v>Neutral</v>
      </c>
      <c r="AM124">
        <f>survey_responses[[#This Row],[Tôi tin rằng Nhà nước, cơ quan thuế sẽ thực thi chính sách mới một cách khách quan, công tâm và đối xử bình đẳng với mọi người nộp thuế.  - HUMAN-TRU1]]</f>
        <v>7</v>
      </c>
      <c r="AN124" t="str">
        <f t="shared" si="40"/>
        <v>Neutral</v>
      </c>
      <c r="AO124" s="32">
        <f t="shared" si="41"/>
        <v>0</v>
      </c>
      <c r="AP124">
        <f>step3_validation[[#This Row],[AI_TRU2]]</f>
        <v>6</v>
      </c>
      <c r="AQ124" t="str">
        <f t="shared" si="42"/>
        <v>Neutral</v>
      </c>
      <c r="AR124">
        <f>survey_responses[[#This Row],[Tôi thấy mức thuế tôi phải đóng theo phương án mới là công bằng (người thu nhập như tôi đóng mức này là hợp lý). - HUMAN-TRU2]]</f>
        <v>7</v>
      </c>
      <c r="AS124" t="str">
        <f t="shared" si="43"/>
        <v>Neutral</v>
      </c>
      <c r="AT124" s="32">
        <f t="shared" si="44"/>
        <v>1</v>
      </c>
      <c r="AU124">
        <f>step3_validation[[#This Row],[AI_TRU3]]</f>
        <v>7</v>
      </c>
      <c r="AV124" t="str">
        <f t="shared" si="45"/>
        <v>Neutral</v>
      </c>
      <c r="AW124">
        <f>survey_responses[[#This Row],[Tôi tin tưởng số tiền thuế tôi đóng sẽ được Nhà nước sử dụng hiệu quả để cải thiện dịch vụ công (y tế, đường xá...). - HUMAN-TRU3]]</f>
        <v>7</v>
      </c>
      <c r="AX124" t="str">
        <f t="shared" si="46"/>
        <v>Neutral</v>
      </c>
      <c r="AY124" s="32">
        <f t="shared" si="47"/>
        <v>0</v>
      </c>
      <c r="AZ124">
        <f>step3_validation[[#This Row],[AI_TRU4]]</f>
        <v>6</v>
      </c>
      <c r="BA124" t="str">
        <f t="shared" si="48"/>
        <v>Neutral</v>
      </c>
      <c r="BB124">
        <f>survey_responses[[#This Row],[Tôi thấy Nhà nước đã giải thích rõ ràng, minh bạch về lý do và mục tiêu của việc sửa đổi thuế lần này. - HUMAN-TRU4]]</f>
        <v>7</v>
      </c>
      <c r="BC124" t="str">
        <f t="shared" si="49"/>
        <v>Neutral</v>
      </c>
      <c r="BD124" s="32">
        <f t="shared" si="50"/>
        <v>1</v>
      </c>
      <c r="BE124">
        <f>step3_validation[[#This Row],[AI_OUT1]]</f>
        <v>7</v>
      </c>
      <c r="BF124" t="str">
        <f t="shared" si="51"/>
        <v>Neutral</v>
      </c>
      <c r="BG124">
        <f>survey_responses[[#This Row],[Sau khi xem xét các quyền lợi và nghĩa vụ, bạn có ủng hộ và tuân thủ chính sách mới hiện nay? - HUMAN-OUT1]]</f>
        <v>8</v>
      </c>
      <c r="BH124" t="str">
        <f t="shared" si="52"/>
        <v>Support</v>
      </c>
      <c r="BI124" s="32">
        <f t="shared" si="53"/>
        <v>1</v>
      </c>
    </row>
    <row r="125" spans="1:61" x14ac:dyDescent="0.45">
      <c r="A125" s="30">
        <f>step3_validation[[#This Row],[Persona_ID]]</f>
        <v>124</v>
      </c>
      <c r="B125" s="31">
        <f>step3_validation[[#This Row],[Used_Seed]]</f>
        <v>2114</v>
      </c>
      <c r="C125" t="str">
        <f>step3_validation[[#This Row],[Gender]]</f>
        <v>Nữ</v>
      </c>
      <c r="D125" t="str">
        <f>survey_responses[[#This Row],[Giới tính của bạn:]]</f>
        <v>Nữ</v>
      </c>
      <c r="E125" t="str">
        <f>step3_validation[[#This Row],[Age_Group]]</f>
        <v>50 - 54</v>
      </c>
      <c r="F125" t="str">
        <f>survey_responses[[#This Row],[Độ tuổi của bạn:]]</f>
        <v>50 - 54</v>
      </c>
      <c r="G125" t="str">
        <f>step3_validation[[#This Row],[Region]]</f>
        <v>Thành thị</v>
      </c>
      <c r="H125" t="str">
        <f>survey_responses[[#This Row],[Khu vực bạn đang sinh sống:]]</f>
        <v>Thành thị</v>
      </c>
      <c r="I125" t="str">
        <f>step3_validation[[#This Row],[Education]]</f>
        <v>Sau Đại học</v>
      </c>
      <c r="J125" t="str">
        <f>survey_responses[[#This Row],[Trình độ học vấn cao nhất:]]</f>
        <v>Sau Đại học</v>
      </c>
      <c r="K125" t="str">
        <f>step3_validation[[#This Row],[Employment]]</f>
        <v>Chính thức</v>
      </c>
      <c r="L125" t="str">
        <f>survey_responses[[#This Row],[Tình trạng việc làm chính:]]</f>
        <v>Khu vực chính thức (Có Hợp đồng lao động, đóng BHXH)</v>
      </c>
      <c r="M125">
        <f>step3_validation[[#This Row],[Income_Mil]]</f>
        <v>43.908955926566975</v>
      </c>
      <c r="N125" t="str">
        <f>survey_responses[[#This Row],[Thu nhập bình quân tháng theo Hợp đồng lao động của bạn là bao nhiêu? (Vui lòng điền tổng thu nhập trước khi khấu trừ các loại Bảo hiểm (BHXH, BHYT, BHTN) và Thuế TNCN)]]</f>
        <v>Từ 32 - 48 triệu VNĐ</v>
      </c>
      <c r="O125">
        <f>step3_validation[[#This Row],[Dependents]]</f>
        <v>1</v>
      </c>
      <c r="P125" t="str">
        <f>survey_responses[[#This Row],[Số người phụ thuộc (con nhỏ, cha mẹ già...) đủ điều kiện giảm trừ gia cảnh:]]</f>
        <v>1 người</v>
      </c>
      <c r="Q125">
        <f>step3_validation[[#This Row],[AI_ENF1]]</f>
        <v>7</v>
      </c>
      <c r="R125" t="str">
        <f t="shared" si="27"/>
        <v>Neutral</v>
      </c>
      <c r="S125">
        <f>survey_responses[[#This Row],[Tôi tin rằng với các quy định quản lý thuế hiện nay, hành vi gian lận hoặc trốn thuế sẽ dễ dàng bị phát hiện và xử lý nghiêm. - HUMAN-ENF1]]</f>
        <v>10</v>
      </c>
      <c r="T125" t="str">
        <f t="shared" si="28"/>
        <v>Support</v>
      </c>
      <c r="U125" s="32">
        <f t="shared" si="29"/>
        <v>3</v>
      </c>
      <c r="V125">
        <f>step3_validation[[#This Row],[AI_ENF2]]</f>
        <v>8</v>
      </c>
      <c r="W125" t="str">
        <f t="shared" si="30"/>
        <v>Support</v>
      </c>
      <c r="X125">
        <f>survey_responses[[#This Row],[Tôi tin rằng Nhà nước, cơ quan thuế có đủ khả năng và công nghệ để phát hiện, xử lý nghiêm các hành vi trốn thuế. - HUMAN-ENF2]]</f>
        <v>9</v>
      </c>
      <c r="Y125" t="str">
        <f t="shared" si="31"/>
        <v>Support</v>
      </c>
      <c r="Z125" s="32">
        <f t="shared" si="32"/>
        <v>1</v>
      </c>
      <c r="AA125">
        <f>step3_validation[[#This Row],[AI_FAC1]]</f>
        <v>9</v>
      </c>
      <c r="AB125" t="str">
        <f t="shared" si="33"/>
        <v>Support</v>
      </c>
      <c r="AC125">
        <f>survey_responses[[#This Row],[Các thủ tục khai báo thuế VÀ/HOẶC quy trình làm việc với cơ quan thuế đơn giản, tiện lợi, nhanh chóng hơn so với trước đây. - HUMAN-FAC1]]</f>
        <v>10</v>
      </c>
      <c r="AD125" t="str">
        <f t="shared" si="34"/>
        <v>Support</v>
      </c>
      <c r="AE125" s="32">
        <f t="shared" si="35"/>
        <v>1</v>
      </c>
      <c r="AF125">
        <f>step3_validation[[#This Row],[AI_FAC2]]</f>
        <v>8</v>
      </c>
      <c r="AG125" t="str">
        <f t="shared" si="36"/>
        <v>Support</v>
      </c>
      <c r="AH125">
        <f>survey_responses[[#This Row],[So với trước đây, tôi thấy cách tính thuế và các bậc thuế trong phương án mới đơn giản, dễ hiểu và dễ thực hiện hơn. - HUMAN-FAC2]]</f>
        <v>10</v>
      </c>
      <c r="AI125" t="str">
        <f t="shared" si="37"/>
        <v>Support</v>
      </c>
      <c r="AJ125" s="32">
        <f t="shared" si="38"/>
        <v>2</v>
      </c>
      <c r="AK125">
        <f>step3_validation[[#This Row],[AI_TRU1]]</f>
        <v>6</v>
      </c>
      <c r="AL125" t="str">
        <f t="shared" si="39"/>
        <v>Neutral</v>
      </c>
      <c r="AM125">
        <f>survey_responses[[#This Row],[Tôi tin rằng Nhà nước, cơ quan thuế sẽ thực thi chính sách mới một cách khách quan, công tâm và đối xử bình đẳng với mọi người nộp thuế.  - HUMAN-TRU1]]</f>
        <v>10</v>
      </c>
      <c r="AN125" t="str">
        <f t="shared" si="40"/>
        <v>Support</v>
      </c>
      <c r="AO125" s="32">
        <f t="shared" si="41"/>
        <v>4</v>
      </c>
      <c r="AP125">
        <f>step3_validation[[#This Row],[AI_TRU2]]</f>
        <v>7</v>
      </c>
      <c r="AQ125" t="str">
        <f t="shared" si="42"/>
        <v>Neutral</v>
      </c>
      <c r="AR125">
        <f>survey_responses[[#This Row],[Tôi thấy mức thuế tôi phải đóng theo phương án mới là công bằng (người thu nhập như tôi đóng mức này là hợp lý). - HUMAN-TRU2]]</f>
        <v>8</v>
      </c>
      <c r="AS125" t="str">
        <f t="shared" si="43"/>
        <v>Support</v>
      </c>
      <c r="AT125" s="32">
        <f t="shared" si="44"/>
        <v>1</v>
      </c>
      <c r="AU125">
        <f>step3_validation[[#This Row],[AI_TRU3]]</f>
        <v>6</v>
      </c>
      <c r="AV125" t="str">
        <f t="shared" si="45"/>
        <v>Neutral</v>
      </c>
      <c r="AW125">
        <f>survey_responses[[#This Row],[Tôi tin tưởng số tiền thuế tôi đóng sẽ được Nhà nước sử dụng hiệu quả để cải thiện dịch vụ công (y tế, đường xá...). - HUMAN-TRU3]]</f>
        <v>9</v>
      </c>
      <c r="AX125" t="str">
        <f t="shared" si="46"/>
        <v>Support</v>
      </c>
      <c r="AY125" s="32">
        <f t="shared" si="47"/>
        <v>3</v>
      </c>
      <c r="AZ125">
        <f>step3_validation[[#This Row],[AI_TRU4]]</f>
        <v>5</v>
      </c>
      <c r="BA125" t="str">
        <f t="shared" si="48"/>
        <v>Neutral</v>
      </c>
      <c r="BB125">
        <f>survey_responses[[#This Row],[Tôi thấy Nhà nước đã giải thích rõ ràng, minh bạch về lý do và mục tiêu của việc sửa đổi thuế lần này. - HUMAN-TRU4]]</f>
        <v>9</v>
      </c>
      <c r="BC125" t="str">
        <f t="shared" si="49"/>
        <v>Support</v>
      </c>
      <c r="BD125" s="32">
        <f t="shared" si="50"/>
        <v>4</v>
      </c>
      <c r="BE125">
        <f>step3_validation[[#This Row],[AI_OUT1]]</f>
        <v>4</v>
      </c>
      <c r="BF125" t="str">
        <f t="shared" si="51"/>
        <v>Oppose</v>
      </c>
      <c r="BG125">
        <f>survey_responses[[#This Row],[Sau khi xem xét các quyền lợi và nghĩa vụ, bạn có ủng hộ và tuân thủ chính sách mới hiện nay? - HUMAN-OUT1]]</f>
        <v>9</v>
      </c>
      <c r="BH125" t="str">
        <f t="shared" si="52"/>
        <v>Support</v>
      </c>
      <c r="BI125" s="32">
        <f t="shared" si="53"/>
        <v>5</v>
      </c>
    </row>
    <row r="126" spans="1:61" x14ac:dyDescent="0.45">
      <c r="A126" s="30">
        <f>step3_validation[[#This Row],[Persona_ID]]</f>
        <v>125</v>
      </c>
      <c r="B126" s="31">
        <f>step3_validation[[#This Row],[Used_Seed]]</f>
        <v>2115</v>
      </c>
      <c r="C126" t="str">
        <f>step3_validation[[#This Row],[Gender]]</f>
        <v>Nữ</v>
      </c>
      <c r="D126" t="str">
        <f>survey_responses[[#This Row],[Giới tính của bạn:]]</f>
        <v>Nữ</v>
      </c>
      <c r="E126" t="str">
        <f>step3_validation[[#This Row],[Age_Group]]</f>
        <v>18 - 24</v>
      </c>
      <c r="F126" t="str">
        <f>survey_responses[[#This Row],[Độ tuổi của bạn:]]</f>
        <v>18 - 24</v>
      </c>
      <c r="G126" t="str">
        <f>step3_validation[[#This Row],[Region]]</f>
        <v>Thành thị</v>
      </c>
      <c r="H126" t="str">
        <f>survey_responses[[#This Row],[Khu vực bạn đang sinh sống:]]</f>
        <v>Thành thị</v>
      </c>
      <c r="I126" t="str">
        <f>step3_validation[[#This Row],[Education]]</f>
        <v>Đại học</v>
      </c>
      <c r="J126" t="str">
        <f>survey_responses[[#This Row],[Trình độ học vấn cao nhất:]]</f>
        <v>Đại học</v>
      </c>
      <c r="K126" t="str">
        <f>step3_validation[[#This Row],[Employment]]</f>
        <v>Chính thức</v>
      </c>
      <c r="L126" t="str">
        <f>survey_responses[[#This Row],[Tình trạng việc làm chính:]]</f>
        <v>Khu vực chính thức (Có Hợp đồng lao động, đóng BHXH)</v>
      </c>
      <c r="M126">
        <f>step3_validation[[#This Row],[Income_Mil]]</f>
        <v>14.281202914237561</v>
      </c>
      <c r="N126" t="str">
        <f>survey_responses[[#This Row],[Thu nhập bình quân tháng theo Hợp đồng lao động của bạn là bao nhiêu? (Vui lòng điền tổng thu nhập trước khi khấu trừ các loại Bảo hiểm (BHXH, BHYT, BHTN) và Thuế TNCN)]]</f>
        <v>Từ 12 - 18 triệu VNĐ</v>
      </c>
      <c r="O126">
        <f>step3_validation[[#This Row],[Dependents]]</f>
        <v>2</v>
      </c>
      <c r="P126" t="str">
        <f>survey_responses[[#This Row],[Số người phụ thuộc (con nhỏ, cha mẹ già...) đủ điều kiện giảm trừ gia cảnh:]]</f>
        <v>2 người</v>
      </c>
      <c r="Q126">
        <f>step3_validation[[#This Row],[AI_ENF1]]</f>
        <v>6</v>
      </c>
      <c r="R126" t="str">
        <f t="shared" si="27"/>
        <v>Neutral</v>
      </c>
      <c r="S126">
        <f>survey_responses[[#This Row],[Tôi tin rằng với các quy định quản lý thuế hiện nay, hành vi gian lận hoặc trốn thuế sẽ dễ dàng bị phát hiện và xử lý nghiêm. - HUMAN-ENF1]]</f>
        <v>10</v>
      </c>
      <c r="T126" t="str">
        <f t="shared" si="28"/>
        <v>Support</v>
      </c>
      <c r="U126" s="32">
        <f t="shared" si="29"/>
        <v>4</v>
      </c>
      <c r="V126">
        <f>step3_validation[[#This Row],[AI_ENF2]]</f>
        <v>7</v>
      </c>
      <c r="W126" t="str">
        <f t="shared" si="30"/>
        <v>Neutral</v>
      </c>
      <c r="X126">
        <f>survey_responses[[#This Row],[Tôi tin rằng Nhà nước, cơ quan thuế có đủ khả năng và công nghệ để phát hiện, xử lý nghiêm các hành vi trốn thuế. - HUMAN-ENF2]]</f>
        <v>10</v>
      </c>
      <c r="Y126" t="str">
        <f t="shared" si="31"/>
        <v>Support</v>
      </c>
      <c r="Z126" s="32">
        <f t="shared" si="32"/>
        <v>3</v>
      </c>
      <c r="AA126">
        <f>step3_validation[[#This Row],[AI_FAC1]]</f>
        <v>5</v>
      </c>
      <c r="AB126" t="str">
        <f t="shared" si="33"/>
        <v>Neutral</v>
      </c>
      <c r="AC126">
        <f>survey_responses[[#This Row],[Các thủ tục khai báo thuế VÀ/HOẶC quy trình làm việc với cơ quan thuế đơn giản, tiện lợi, nhanh chóng hơn so với trước đây. - HUMAN-FAC1]]</f>
        <v>10</v>
      </c>
      <c r="AD126" t="str">
        <f t="shared" si="34"/>
        <v>Support</v>
      </c>
      <c r="AE126" s="32">
        <f t="shared" si="35"/>
        <v>5</v>
      </c>
      <c r="AF126">
        <f>step3_validation[[#This Row],[AI_FAC2]]</f>
        <v>8</v>
      </c>
      <c r="AG126" t="str">
        <f t="shared" si="36"/>
        <v>Support</v>
      </c>
      <c r="AH126">
        <f>survey_responses[[#This Row],[So với trước đây, tôi thấy cách tính thuế và các bậc thuế trong phương án mới đơn giản, dễ hiểu và dễ thực hiện hơn. - HUMAN-FAC2]]</f>
        <v>10</v>
      </c>
      <c r="AI126" t="str">
        <f t="shared" si="37"/>
        <v>Support</v>
      </c>
      <c r="AJ126" s="32">
        <f t="shared" si="38"/>
        <v>2</v>
      </c>
      <c r="AK126">
        <f>step3_validation[[#This Row],[AI_TRU1]]</f>
        <v>9</v>
      </c>
      <c r="AL126" t="str">
        <f t="shared" si="39"/>
        <v>Support</v>
      </c>
      <c r="AM126">
        <f>survey_responses[[#This Row],[Tôi tin rằng Nhà nước, cơ quan thuế sẽ thực thi chính sách mới một cách khách quan, công tâm và đối xử bình đẳng với mọi người nộp thuế.  - HUMAN-TRU1]]</f>
        <v>10</v>
      </c>
      <c r="AN126" t="str">
        <f t="shared" si="40"/>
        <v>Support</v>
      </c>
      <c r="AO126" s="32">
        <f t="shared" si="41"/>
        <v>1</v>
      </c>
      <c r="AP126">
        <f>step3_validation[[#This Row],[AI_TRU2]]</f>
        <v>7</v>
      </c>
      <c r="AQ126" t="str">
        <f t="shared" si="42"/>
        <v>Neutral</v>
      </c>
      <c r="AR126">
        <f>survey_responses[[#This Row],[Tôi thấy mức thuế tôi phải đóng theo phương án mới là công bằng (người thu nhập như tôi đóng mức này là hợp lý). - HUMAN-TRU2]]</f>
        <v>10</v>
      </c>
      <c r="AS126" t="str">
        <f t="shared" si="43"/>
        <v>Support</v>
      </c>
      <c r="AT126" s="32">
        <f t="shared" si="44"/>
        <v>3</v>
      </c>
      <c r="AU126">
        <f>step3_validation[[#This Row],[AI_TRU3]]</f>
        <v>6</v>
      </c>
      <c r="AV126" t="str">
        <f t="shared" si="45"/>
        <v>Neutral</v>
      </c>
      <c r="AW126">
        <f>survey_responses[[#This Row],[Tôi tin tưởng số tiền thuế tôi đóng sẽ được Nhà nước sử dụng hiệu quả để cải thiện dịch vụ công (y tế, đường xá...). - HUMAN-TRU3]]</f>
        <v>10</v>
      </c>
      <c r="AX126" t="str">
        <f t="shared" si="46"/>
        <v>Support</v>
      </c>
      <c r="AY126" s="32">
        <f t="shared" si="47"/>
        <v>4</v>
      </c>
      <c r="AZ126">
        <f>step3_validation[[#This Row],[AI_TRU4]]</f>
        <v>8</v>
      </c>
      <c r="BA126" t="str">
        <f t="shared" si="48"/>
        <v>Support</v>
      </c>
      <c r="BB126">
        <f>survey_responses[[#This Row],[Tôi thấy Nhà nước đã giải thích rõ ràng, minh bạch về lý do và mục tiêu của việc sửa đổi thuế lần này. - HUMAN-TRU4]]</f>
        <v>10</v>
      </c>
      <c r="BC126" t="str">
        <f t="shared" si="49"/>
        <v>Support</v>
      </c>
      <c r="BD126" s="32">
        <f t="shared" si="50"/>
        <v>2</v>
      </c>
      <c r="BE126">
        <f>step3_validation[[#This Row],[AI_OUT1]]</f>
        <v>7</v>
      </c>
      <c r="BF126" t="str">
        <f t="shared" si="51"/>
        <v>Neutral</v>
      </c>
      <c r="BG126">
        <f>survey_responses[[#This Row],[Sau khi xem xét các quyền lợi và nghĩa vụ, bạn có ủng hộ và tuân thủ chính sách mới hiện nay? - HUMAN-OUT1]]</f>
        <v>10</v>
      </c>
      <c r="BH126" t="str">
        <f t="shared" si="52"/>
        <v>Support</v>
      </c>
      <c r="BI126" s="32">
        <f t="shared" si="53"/>
        <v>3</v>
      </c>
    </row>
    <row r="127" spans="1:61" x14ac:dyDescent="0.45">
      <c r="A127" s="30">
        <f>step3_validation[[#This Row],[Persona_ID]]</f>
        <v>126</v>
      </c>
      <c r="B127" s="31">
        <f>step3_validation[[#This Row],[Used_Seed]]</f>
        <v>2116</v>
      </c>
      <c r="C127" t="str">
        <f>step3_validation[[#This Row],[Gender]]</f>
        <v>Nam</v>
      </c>
      <c r="D127" t="str">
        <f>survey_responses[[#This Row],[Giới tính của bạn:]]</f>
        <v>Nam</v>
      </c>
      <c r="E127" t="str">
        <f>step3_validation[[#This Row],[Age_Group]]</f>
        <v>25 - 29</v>
      </c>
      <c r="F127" t="str">
        <f>survey_responses[[#This Row],[Độ tuổi của bạn:]]</f>
        <v>25 - 29</v>
      </c>
      <c r="G127" t="str">
        <f>step3_validation[[#This Row],[Region]]</f>
        <v>Thành thị</v>
      </c>
      <c r="H127" t="str">
        <f>survey_responses[[#This Row],[Khu vực bạn đang sinh sống:]]</f>
        <v>Thành thị</v>
      </c>
      <c r="I127" t="str">
        <f>step3_validation[[#This Row],[Education]]</f>
        <v>Đại học</v>
      </c>
      <c r="J127" t="str">
        <f>survey_responses[[#This Row],[Trình độ học vấn cao nhất:]]</f>
        <v>Đại học</v>
      </c>
      <c r="K127" t="str">
        <f>step3_validation[[#This Row],[Employment]]</f>
        <v>Chính thức</v>
      </c>
      <c r="L127" t="str">
        <f>survey_responses[[#This Row],[Tình trạng việc làm chính:]]</f>
        <v>Khu vực chính thức (Có Hợp đồng lao động, đóng BHXH)</v>
      </c>
      <c r="M127">
        <f>step3_validation[[#This Row],[Income_Mil]]</f>
        <v>29.500889130141879</v>
      </c>
      <c r="N127" t="str">
        <f>survey_responses[[#This Row],[Thu nhập bình quân tháng theo Hợp đồng lao động của bạn là bao nhiêu? (Vui lòng điền tổng thu nhập trước khi khấu trừ các loại Bảo hiểm (BHXH, BHYT, BHTN) và Thuế TNCN)]]</f>
        <v>Từ 23 - 32 triệu VNĐ</v>
      </c>
      <c r="O127">
        <f>step3_validation[[#This Row],[Dependents]]</f>
        <v>0</v>
      </c>
      <c r="P127" t="str">
        <f>survey_responses[[#This Row],[Số người phụ thuộc (con nhỏ, cha mẹ già...) đủ điều kiện giảm trừ gia cảnh:]]</f>
        <v>0 người</v>
      </c>
      <c r="Q127">
        <f>step3_validation[[#This Row],[AI_ENF1]]</f>
        <v>6</v>
      </c>
      <c r="R127" t="str">
        <f t="shared" si="27"/>
        <v>Neutral</v>
      </c>
      <c r="S127">
        <f>survey_responses[[#This Row],[Tôi tin rằng với các quy định quản lý thuế hiện nay, hành vi gian lận hoặc trốn thuế sẽ dễ dàng bị phát hiện và xử lý nghiêm. - HUMAN-ENF1]]</f>
        <v>8</v>
      </c>
      <c r="T127" t="str">
        <f t="shared" si="28"/>
        <v>Support</v>
      </c>
      <c r="U127" s="32">
        <f t="shared" si="29"/>
        <v>2</v>
      </c>
      <c r="V127">
        <f>step3_validation[[#This Row],[AI_ENF2]]</f>
        <v>5</v>
      </c>
      <c r="W127" t="str">
        <f t="shared" si="30"/>
        <v>Neutral</v>
      </c>
      <c r="X127">
        <f>survey_responses[[#This Row],[Tôi tin rằng Nhà nước, cơ quan thuế có đủ khả năng và công nghệ để phát hiện, xử lý nghiêm các hành vi trốn thuế. - HUMAN-ENF2]]</f>
        <v>8</v>
      </c>
      <c r="Y127" t="str">
        <f t="shared" si="31"/>
        <v>Support</v>
      </c>
      <c r="Z127" s="32">
        <f t="shared" si="32"/>
        <v>3</v>
      </c>
      <c r="AA127">
        <f>step3_validation[[#This Row],[AI_FAC1]]</f>
        <v>7</v>
      </c>
      <c r="AB127" t="str">
        <f t="shared" si="33"/>
        <v>Neutral</v>
      </c>
      <c r="AC127">
        <f>survey_responses[[#This Row],[Các thủ tục khai báo thuế VÀ/HOẶC quy trình làm việc với cơ quan thuế đơn giản, tiện lợi, nhanh chóng hơn so với trước đây. - HUMAN-FAC1]]</f>
        <v>5</v>
      </c>
      <c r="AD127" t="str">
        <f t="shared" si="34"/>
        <v>Neutral</v>
      </c>
      <c r="AE127" s="32">
        <f t="shared" si="35"/>
        <v>2</v>
      </c>
      <c r="AF127">
        <f>step3_validation[[#This Row],[AI_FAC2]]</f>
        <v>8</v>
      </c>
      <c r="AG127" t="str">
        <f t="shared" si="36"/>
        <v>Support</v>
      </c>
      <c r="AH127">
        <f>survey_responses[[#This Row],[So với trước đây, tôi thấy cách tính thuế và các bậc thuế trong phương án mới đơn giản, dễ hiểu và dễ thực hiện hơn. - HUMAN-FAC2]]</f>
        <v>8</v>
      </c>
      <c r="AI127" t="str">
        <f t="shared" si="37"/>
        <v>Support</v>
      </c>
      <c r="AJ127" s="32">
        <f t="shared" si="38"/>
        <v>0</v>
      </c>
      <c r="AK127">
        <f>step3_validation[[#This Row],[AI_TRU1]]</f>
        <v>7</v>
      </c>
      <c r="AL127" t="str">
        <f t="shared" si="39"/>
        <v>Neutral</v>
      </c>
      <c r="AM127">
        <f>survey_responses[[#This Row],[Tôi tin rằng Nhà nước, cơ quan thuế sẽ thực thi chính sách mới một cách khách quan, công tâm và đối xử bình đẳng với mọi người nộp thuế.  - HUMAN-TRU1]]</f>
        <v>8</v>
      </c>
      <c r="AN127" t="str">
        <f t="shared" si="40"/>
        <v>Support</v>
      </c>
      <c r="AO127" s="32">
        <f t="shared" si="41"/>
        <v>1</v>
      </c>
      <c r="AP127">
        <f>step3_validation[[#This Row],[AI_TRU2]]</f>
        <v>6</v>
      </c>
      <c r="AQ127" t="str">
        <f t="shared" si="42"/>
        <v>Neutral</v>
      </c>
      <c r="AR127">
        <f>survey_responses[[#This Row],[Tôi thấy mức thuế tôi phải đóng theo phương án mới là công bằng (người thu nhập như tôi đóng mức này là hợp lý). - HUMAN-TRU2]]</f>
        <v>8</v>
      </c>
      <c r="AS127" t="str">
        <f t="shared" si="43"/>
        <v>Support</v>
      </c>
      <c r="AT127" s="32">
        <f t="shared" si="44"/>
        <v>2</v>
      </c>
      <c r="AU127">
        <f>step3_validation[[#This Row],[AI_TRU3]]</f>
        <v>7</v>
      </c>
      <c r="AV127" t="str">
        <f t="shared" si="45"/>
        <v>Neutral</v>
      </c>
      <c r="AW127">
        <f>survey_responses[[#This Row],[Tôi tin tưởng số tiền thuế tôi đóng sẽ được Nhà nước sử dụng hiệu quả để cải thiện dịch vụ công (y tế, đường xá...). - HUMAN-TRU3]]</f>
        <v>7</v>
      </c>
      <c r="AX127" t="str">
        <f t="shared" si="46"/>
        <v>Neutral</v>
      </c>
      <c r="AY127" s="32">
        <f t="shared" si="47"/>
        <v>0</v>
      </c>
      <c r="AZ127">
        <f>step3_validation[[#This Row],[AI_TRU4]]</f>
        <v>5</v>
      </c>
      <c r="BA127" t="str">
        <f t="shared" si="48"/>
        <v>Neutral</v>
      </c>
      <c r="BB127">
        <f>survey_responses[[#This Row],[Tôi thấy Nhà nước đã giải thích rõ ràng, minh bạch về lý do và mục tiêu của việc sửa đổi thuế lần này. - HUMAN-TRU4]]</f>
        <v>7</v>
      </c>
      <c r="BC127" t="str">
        <f t="shared" si="49"/>
        <v>Neutral</v>
      </c>
      <c r="BD127" s="32">
        <f t="shared" si="50"/>
        <v>2</v>
      </c>
      <c r="BE127">
        <f>step3_validation[[#This Row],[AI_OUT1]]</f>
        <v>7</v>
      </c>
      <c r="BF127" t="str">
        <f t="shared" si="51"/>
        <v>Neutral</v>
      </c>
      <c r="BG127">
        <f>survey_responses[[#This Row],[Sau khi xem xét các quyền lợi và nghĩa vụ, bạn có ủng hộ và tuân thủ chính sách mới hiện nay? - HUMAN-OUT1]]</f>
        <v>8</v>
      </c>
      <c r="BH127" t="str">
        <f t="shared" si="52"/>
        <v>Support</v>
      </c>
      <c r="BI127" s="32">
        <f t="shared" si="53"/>
        <v>1</v>
      </c>
    </row>
    <row r="128" spans="1:61" x14ac:dyDescent="0.45">
      <c r="A128" s="30">
        <f>step3_validation[[#This Row],[Persona_ID]]</f>
        <v>127</v>
      </c>
      <c r="B128" s="31">
        <f>step3_validation[[#This Row],[Used_Seed]]</f>
        <v>2117</v>
      </c>
      <c r="C128" t="str">
        <f>step3_validation[[#This Row],[Gender]]</f>
        <v>Nữ</v>
      </c>
      <c r="D128" t="str">
        <f>survey_responses[[#This Row],[Giới tính của bạn:]]</f>
        <v>Nữ</v>
      </c>
      <c r="E128" t="str">
        <f>step3_validation[[#This Row],[Age_Group]]</f>
        <v>40 - 49</v>
      </c>
      <c r="F128" t="str">
        <f>survey_responses[[#This Row],[Độ tuổi của bạn:]]</f>
        <v>40 - 49</v>
      </c>
      <c r="G128" t="str">
        <f>step3_validation[[#This Row],[Region]]</f>
        <v>Thành thị</v>
      </c>
      <c r="H128" t="str">
        <f>survey_responses[[#This Row],[Khu vực bạn đang sinh sống:]]</f>
        <v>Thành thị</v>
      </c>
      <c r="I128" t="str">
        <f>step3_validation[[#This Row],[Education]]</f>
        <v>Đại học</v>
      </c>
      <c r="J128" t="str">
        <f>survey_responses[[#This Row],[Trình độ học vấn cao nhất:]]</f>
        <v>Đại học</v>
      </c>
      <c r="K128" t="str">
        <f>step3_validation[[#This Row],[Employment]]</f>
        <v>Chính thức</v>
      </c>
      <c r="L128" t="str">
        <f>survey_responses[[#This Row],[Tình trạng việc làm chính:]]</f>
        <v>Khu vực chính thức (Có Hợp đồng lao động, đóng BHXH)</v>
      </c>
      <c r="M128">
        <f>step3_validation[[#This Row],[Income_Mil]]</f>
        <v>152.15850504787139</v>
      </c>
      <c r="N128" t="str">
        <f>survey_responses[[#This Row],[Thu nhập bình quân tháng theo Hợp đồng lao động của bạn là bao nhiêu? (Vui lòng điền tổng thu nhập trước khi khấu trừ các loại Bảo hiểm (BHXH, BHYT, BHTN) và Thuế TNCN)]]</f>
        <v>Trên 102 triệu VNĐ</v>
      </c>
      <c r="O128">
        <f>step3_validation[[#This Row],[Dependents]]</f>
        <v>4</v>
      </c>
      <c r="P128" t="str">
        <f>survey_responses[[#This Row],[Số người phụ thuộc (con nhỏ, cha mẹ già...) đủ điều kiện giảm trừ gia cảnh:]]</f>
        <v>4 người trở lên</v>
      </c>
      <c r="Q128">
        <f>step3_validation[[#This Row],[AI_ENF1]]</f>
        <v>6</v>
      </c>
      <c r="R128" t="str">
        <f t="shared" si="27"/>
        <v>Neutral</v>
      </c>
      <c r="S128">
        <f>survey_responses[[#This Row],[Tôi tin rằng với các quy định quản lý thuế hiện nay, hành vi gian lận hoặc trốn thuế sẽ dễ dàng bị phát hiện và xử lý nghiêm. - HUMAN-ENF1]]</f>
        <v>1</v>
      </c>
      <c r="T128" t="str">
        <f t="shared" si="28"/>
        <v>Oppose</v>
      </c>
      <c r="U128" s="32">
        <f t="shared" si="29"/>
        <v>5</v>
      </c>
      <c r="V128">
        <f>step3_validation[[#This Row],[AI_ENF2]]</f>
        <v>5</v>
      </c>
      <c r="W128" t="str">
        <f t="shared" si="30"/>
        <v>Neutral</v>
      </c>
      <c r="X128">
        <f>survey_responses[[#This Row],[Tôi tin rằng Nhà nước, cơ quan thuế có đủ khả năng và công nghệ để phát hiện, xử lý nghiêm các hành vi trốn thuế. - HUMAN-ENF2]]</f>
        <v>1</v>
      </c>
      <c r="Y128" t="str">
        <f t="shared" si="31"/>
        <v>Oppose</v>
      </c>
      <c r="Z128" s="32">
        <f t="shared" si="32"/>
        <v>4</v>
      </c>
      <c r="AA128">
        <f>step3_validation[[#This Row],[AI_FAC1]]</f>
        <v>7</v>
      </c>
      <c r="AB128" t="str">
        <f t="shared" si="33"/>
        <v>Neutral</v>
      </c>
      <c r="AC128">
        <f>survey_responses[[#This Row],[Các thủ tục khai báo thuế VÀ/HOẶC quy trình làm việc với cơ quan thuế đơn giản, tiện lợi, nhanh chóng hơn so với trước đây. - HUMAN-FAC1]]</f>
        <v>1</v>
      </c>
      <c r="AD128" t="str">
        <f t="shared" si="34"/>
        <v>Oppose</v>
      </c>
      <c r="AE128" s="32">
        <f t="shared" si="35"/>
        <v>6</v>
      </c>
      <c r="AF128">
        <f>step3_validation[[#This Row],[AI_FAC2]]</f>
        <v>9</v>
      </c>
      <c r="AG128" t="str">
        <f t="shared" si="36"/>
        <v>Support</v>
      </c>
      <c r="AH128">
        <f>survey_responses[[#This Row],[So với trước đây, tôi thấy cách tính thuế và các bậc thuế trong phương án mới đơn giản, dễ hiểu và dễ thực hiện hơn. - HUMAN-FAC2]]</f>
        <v>5</v>
      </c>
      <c r="AI128" t="str">
        <f t="shared" si="37"/>
        <v>Neutral</v>
      </c>
      <c r="AJ128" s="32">
        <f t="shared" si="38"/>
        <v>4</v>
      </c>
      <c r="AK128">
        <f>step3_validation[[#This Row],[AI_TRU1]]</f>
        <v>8</v>
      </c>
      <c r="AL128" t="str">
        <f t="shared" si="39"/>
        <v>Support</v>
      </c>
      <c r="AM128">
        <f>survey_responses[[#This Row],[Tôi tin rằng Nhà nước, cơ quan thuế sẽ thực thi chính sách mới một cách khách quan, công tâm và đối xử bình đẳng với mọi người nộp thuế.  - HUMAN-TRU1]]</f>
        <v>1</v>
      </c>
      <c r="AN128" t="str">
        <f t="shared" si="40"/>
        <v>Oppose</v>
      </c>
      <c r="AO128" s="32">
        <f t="shared" si="41"/>
        <v>7</v>
      </c>
      <c r="AP128">
        <f>step3_validation[[#This Row],[AI_TRU2]]</f>
        <v>9</v>
      </c>
      <c r="AQ128" t="str">
        <f t="shared" si="42"/>
        <v>Support</v>
      </c>
      <c r="AR128">
        <f>survey_responses[[#This Row],[Tôi thấy mức thuế tôi phải đóng theo phương án mới là công bằng (người thu nhập như tôi đóng mức này là hợp lý). - HUMAN-TRU2]]</f>
        <v>1</v>
      </c>
      <c r="AS128" t="str">
        <f t="shared" si="43"/>
        <v>Oppose</v>
      </c>
      <c r="AT128" s="32">
        <f t="shared" si="44"/>
        <v>8</v>
      </c>
      <c r="AU128">
        <f>step3_validation[[#This Row],[AI_TRU3]]</f>
        <v>7</v>
      </c>
      <c r="AV128" t="str">
        <f t="shared" si="45"/>
        <v>Neutral</v>
      </c>
      <c r="AW128">
        <f>survey_responses[[#This Row],[Tôi tin tưởng số tiền thuế tôi đóng sẽ được Nhà nước sử dụng hiệu quả để cải thiện dịch vụ công (y tế, đường xá...). - HUMAN-TRU3]]</f>
        <v>1</v>
      </c>
      <c r="AX128" t="str">
        <f t="shared" si="46"/>
        <v>Oppose</v>
      </c>
      <c r="AY128" s="32">
        <f t="shared" si="47"/>
        <v>6</v>
      </c>
      <c r="AZ128">
        <f>step3_validation[[#This Row],[AI_TRU4]]</f>
        <v>6</v>
      </c>
      <c r="BA128" t="str">
        <f t="shared" si="48"/>
        <v>Neutral</v>
      </c>
      <c r="BB128">
        <f>survey_responses[[#This Row],[Tôi thấy Nhà nước đã giải thích rõ ràng, minh bạch về lý do và mục tiêu của việc sửa đổi thuế lần này. - HUMAN-TRU4]]</f>
        <v>5</v>
      </c>
      <c r="BC128" t="str">
        <f t="shared" si="49"/>
        <v>Neutral</v>
      </c>
      <c r="BD128" s="32">
        <f t="shared" si="50"/>
        <v>1</v>
      </c>
      <c r="BE128">
        <f>step3_validation[[#This Row],[AI_OUT1]]</f>
        <v>8</v>
      </c>
      <c r="BF128" t="str">
        <f t="shared" si="51"/>
        <v>Support</v>
      </c>
      <c r="BG128">
        <f>survey_responses[[#This Row],[Sau khi xem xét các quyền lợi và nghĩa vụ, bạn có ủng hộ và tuân thủ chính sách mới hiện nay? - HUMAN-OUT1]]</f>
        <v>5</v>
      </c>
      <c r="BH128" t="str">
        <f t="shared" si="52"/>
        <v>Neutral</v>
      </c>
      <c r="BI128" s="32">
        <f t="shared" si="53"/>
        <v>3</v>
      </c>
    </row>
    <row r="129" spans="1:61" x14ac:dyDescent="0.45">
      <c r="A129" s="30">
        <f>step3_validation[[#This Row],[Persona_ID]]</f>
        <v>128</v>
      </c>
      <c r="B129" s="31">
        <f>step3_validation[[#This Row],[Used_Seed]]</f>
        <v>2118</v>
      </c>
      <c r="C129" t="str">
        <f>step3_validation[[#This Row],[Gender]]</f>
        <v>Nam</v>
      </c>
      <c r="D129" t="str">
        <f>survey_responses[[#This Row],[Giới tính của bạn:]]</f>
        <v>Nam</v>
      </c>
      <c r="E129" t="str">
        <f>step3_validation[[#This Row],[Age_Group]]</f>
        <v>50 - 54</v>
      </c>
      <c r="F129" t="str">
        <f>survey_responses[[#This Row],[Độ tuổi của bạn:]]</f>
        <v>50 - 54</v>
      </c>
      <c r="G129" t="str">
        <f>step3_validation[[#This Row],[Region]]</f>
        <v>Thành thị</v>
      </c>
      <c r="H129" t="str">
        <f>survey_responses[[#This Row],[Khu vực bạn đang sinh sống:]]</f>
        <v>Thành thị</v>
      </c>
      <c r="I129" t="str">
        <f>step3_validation[[#This Row],[Education]]</f>
        <v>Đại học</v>
      </c>
      <c r="J129" t="str">
        <f>survey_responses[[#This Row],[Trình độ học vấn cao nhất:]]</f>
        <v>Đại học</v>
      </c>
      <c r="K129" t="str">
        <f>step3_validation[[#This Row],[Employment]]</f>
        <v>Chính thức</v>
      </c>
      <c r="L129" t="str">
        <f>survey_responses[[#This Row],[Tình trạng việc làm chính:]]</f>
        <v>Khu vực chính thức (Có Hợp đồng lao động, đóng BHXH)</v>
      </c>
      <c r="M129">
        <f>step3_validation[[#This Row],[Income_Mil]]</f>
        <v>149.1450310838473</v>
      </c>
      <c r="N129" t="str">
        <f>survey_responses[[#This Row],[Thu nhập bình quân tháng theo Hợp đồng lao động của bạn là bao nhiêu? (Vui lòng điền tổng thu nhập trước khi khấu trừ các loại Bảo hiểm (BHXH, BHYT, BHTN) và Thuế TNCN)]]</f>
        <v>Trên 102 triệu VNĐ</v>
      </c>
      <c r="O129">
        <f>step3_validation[[#This Row],[Dependents]]</f>
        <v>4</v>
      </c>
      <c r="P129" t="str">
        <f>survey_responses[[#This Row],[Số người phụ thuộc (con nhỏ, cha mẹ già...) đủ điều kiện giảm trừ gia cảnh:]]</f>
        <v>4 người trở lên</v>
      </c>
      <c r="Q129">
        <f>step3_validation[[#This Row],[AI_ENF1]]</f>
        <v>6</v>
      </c>
      <c r="R129" t="str">
        <f t="shared" si="27"/>
        <v>Neutral</v>
      </c>
      <c r="S129">
        <f>survey_responses[[#This Row],[Tôi tin rằng với các quy định quản lý thuế hiện nay, hành vi gian lận hoặc trốn thuế sẽ dễ dàng bị phát hiện và xử lý nghiêm. - HUMAN-ENF1]]</f>
        <v>6</v>
      </c>
      <c r="T129" t="str">
        <f t="shared" si="28"/>
        <v>Neutral</v>
      </c>
      <c r="U129" s="32">
        <f t="shared" si="29"/>
        <v>0</v>
      </c>
      <c r="V129">
        <f>step3_validation[[#This Row],[AI_ENF2]]</f>
        <v>7</v>
      </c>
      <c r="W129" t="str">
        <f t="shared" si="30"/>
        <v>Neutral</v>
      </c>
      <c r="X129">
        <f>survey_responses[[#This Row],[Tôi tin rằng Nhà nước, cơ quan thuế có đủ khả năng và công nghệ để phát hiện, xử lý nghiêm các hành vi trốn thuế. - HUMAN-ENF2]]</f>
        <v>6</v>
      </c>
      <c r="Y129" t="str">
        <f t="shared" si="31"/>
        <v>Neutral</v>
      </c>
      <c r="Z129" s="32">
        <f t="shared" si="32"/>
        <v>1</v>
      </c>
      <c r="AA129">
        <f>step3_validation[[#This Row],[AI_FAC1]]</f>
        <v>5</v>
      </c>
      <c r="AB129" t="str">
        <f t="shared" si="33"/>
        <v>Neutral</v>
      </c>
      <c r="AC129">
        <f>survey_responses[[#This Row],[Các thủ tục khai báo thuế VÀ/HOẶC quy trình làm việc với cơ quan thuế đơn giản, tiện lợi, nhanh chóng hơn so với trước đây. - HUMAN-FAC1]]</f>
        <v>6</v>
      </c>
      <c r="AD129" t="str">
        <f t="shared" si="34"/>
        <v>Neutral</v>
      </c>
      <c r="AE129" s="32">
        <f t="shared" si="35"/>
        <v>1</v>
      </c>
      <c r="AF129">
        <f>step3_validation[[#This Row],[AI_FAC2]]</f>
        <v>8</v>
      </c>
      <c r="AG129" t="str">
        <f t="shared" si="36"/>
        <v>Support</v>
      </c>
      <c r="AH129">
        <f>survey_responses[[#This Row],[So với trước đây, tôi thấy cách tính thuế và các bậc thuế trong phương án mới đơn giản, dễ hiểu và dễ thực hiện hơn. - HUMAN-FAC2]]</f>
        <v>8</v>
      </c>
      <c r="AI129" t="str">
        <f t="shared" si="37"/>
        <v>Support</v>
      </c>
      <c r="AJ129" s="32">
        <f t="shared" si="38"/>
        <v>0</v>
      </c>
      <c r="AK129">
        <f>step3_validation[[#This Row],[AI_TRU1]]</f>
        <v>6</v>
      </c>
      <c r="AL129" t="str">
        <f t="shared" si="39"/>
        <v>Neutral</v>
      </c>
      <c r="AM129">
        <f>survey_responses[[#This Row],[Tôi tin rằng Nhà nước, cơ quan thuế sẽ thực thi chính sách mới một cách khách quan, công tâm và đối xử bình đẳng với mọi người nộp thuế.  - HUMAN-TRU1]]</f>
        <v>6</v>
      </c>
      <c r="AN129" t="str">
        <f t="shared" si="40"/>
        <v>Neutral</v>
      </c>
      <c r="AO129" s="32">
        <f t="shared" si="41"/>
        <v>0</v>
      </c>
      <c r="AP129">
        <f>step3_validation[[#This Row],[AI_TRU2]]</f>
        <v>5</v>
      </c>
      <c r="AQ129" t="str">
        <f t="shared" si="42"/>
        <v>Neutral</v>
      </c>
      <c r="AR129">
        <f>survey_responses[[#This Row],[Tôi thấy mức thuế tôi phải đóng theo phương án mới là công bằng (người thu nhập như tôi đóng mức này là hợp lý). - HUMAN-TRU2]]</f>
        <v>3</v>
      </c>
      <c r="AS129" t="str">
        <f t="shared" si="43"/>
        <v>Oppose</v>
      </c>
      <c r="AT129" s="32">
        <f t="shared" si="44"/>
        <v>2</v>
      </c>
      <c r="AU129">
        <f>step3_validation[[#This Row],[AI_TRU3]]</f>
        <v>4</v>
      </c>
      <c r="AV129" t="str">
        <f t="shared" si="45"/>
        <v>Oppose</v>
      </c>
      <c r="AW129">
        <f>survey_responses[[#This Row],[Tôi tin tưởng số tiền thuế tôi đóng sẽ được Nhà nước sử dụng hiệu quả để cải thiện dịch vụ công (y tế, đường xá...). - HUMAN-TRU3]]</f>
        <v>5</v>
      </c>
      <c r="AX129" t="str">
        <f t="shared" si="46"/>
        <v>Neutral</v>
      </c>
      <c r="AY129" s="32">
        <f t="shared" si="47"/>
        <v>1</v>
      </c>
      <c r="AZ129">
        <f>step3_validation[[#This Row],[AI_TRU4]]</f>
        <v>5</v>
      </c>
      <c r="BA129" t="str">
        <f t="shared" si="48"/>
        <v>Neutral</v>
      </c>
      <c r="BB129">
        <f>survey_responses[[#This Row],[Tôi thấy Nhà nước đã giải thích rõ ràng, minh bạch về lý do và mục tiêu của việc sửa đổi thuế lần này. - HUMAN-TRU4]]</f>
        <v>5</v>
      </c>
      <c r="BC129" t="str">
        <f t="shared" si="49"/>
        <v>Neutral</v>
      </c>
      <c r="BD129" s="32">
        <f t="shared" si="50"/>
        <v>0</v>
      </c>
      <c r="BE129">
        <f>step3_validation[[#This Row],[AI_OUT1]]</f>
        <v>7</v>
      </c>
      <c r="BF129" t="str">
        <f t="shared" si="51"/>
        <v>Neutral</v>
      </c>
      <c r="BG129">
        <f>survey_responses[[#This Row],[Sau khi xem xét các quyền lợi và nghĩa vụ, bạn có ủng hộ và tuân thủ chính sách mới hiện nay? - HUMAN-OUT1]]</f>
        <v>4</v>
      </c>
      <c r="BH129" t="str">
        <f t="shared" si="52"/>
        <v>Oppose</v>
      </c>
      <c r="BI129" s="32">
        <f t="shared" si="53"/>
        <v>3</v>
      </c>
    </row>
    <row r="130" spans="1:61" x14ac:dyDescent="0.45">
      <c r="A130" s="30">
        <f>step3_validation[[#This Row],[Persona_ID]]</f>
        <v>129</v>
      </c>
      <c r="B130" s="31">
        <f>step3_validation[[#This Row],[Used_Seed]]</f>
        <v>2119</v>
      </c>
      <c r="C130" t="str">
        <f>step3_validation[[#This Row],[Gender]]</f>
        <v>Nam</v>
      </c>
      <c r="D130" t="str">
        <f>survey_responses[[#This Row],[Giới tính của bạn:]]</f>
        <v>Nam</v>
      </c>
      <c r="E130" t="str">
        <f>step3_validation[[#This Row],[Age_Group]]</f>
        <v>50 - 54</v>
      </c>
      <c r="F130" t="str">
        <f>survey_responses[[#This Row],[Độ tuổi của bạn:]]</f>
        <v>50 - 54</v>
      </c>
      <c r="G130" t="str">
        <f>step3_validation[[#This Row],[Region]]</f>
        <v>Thành thị</v>
      </c>
      <c r="H130" t="str">
        <f>survey_responses[[#This Row],[Khu vực bạn đang sinh sống:]]</f>
        <v>Thành thị</v>
      </c>
      <c r="I130" t="str">
        <f>step3_validation[[#This Row],[Education]]</f>
        <v>Sau Đại học</v>
      </c>
      <c r="J130" t="str">
        <f>survey_responses[[#This Row],[Trình độ học vấn cao nhất:]]</f>
        <v>Sau Đại học</v>
      </c>
      <c r="K130" t="str">
        <f>step3_validation[[#This Row],[Employment]]</f>
        <v>Chính thức</v>
      </c>
      <c r="L130" t="str">
        <f>survey_responses[[#This Row],[Tình trạng việc làm chính:]]</f>
        <v>Khu vực chính thức (Có Hợp đồng lao động, đóng BHXH)</v>
      </c>
      <c r="M130">
        <f>step3_validation[[#This Row],[Income_Mil]]</f>
        <v>118.84447262218022</v>
      </c>
      <c r="N130" t="str">
        <f>survey_responses[[#This Row],[Thu nhập bình quân tháng theo Hợp đồng lao động của bạn là bao nhiêu? (Vui lòng điền tổng thu nhập trước khi khấu trừ các loại Bảo hiểm (BHXH, BHYT, BHTN) và Thuế TNCN)]]</f>
        <v>Trên 102 triệu VNĐ</v>
      </c>
      <c r="O130">
        <f>step3_validation[[#This Row],[Dependents]]</f>
        <v>3</v>
      </c>
      <c r="P130" t="str">
        <f>survey_responses[[#This Row],[Số người phụ thuộc (con nhỏ, cha mẹ già...) đủ điều kiện giảm trừ gia cảnh:]]</f>
        <v>3 người</v>
      </c>
      <c r="Q130">
        <f>step3_validation[[#This Row],[AI_ENF1]]</f>
        <v>6</v>
      </c>
      <c r="R130" t="str">
        <f t="shared" si="27"/>
        <v>Neutral</v>
      </c>
      <c r="S130">
        <f>survey_responses[[#This Row],[Tôi tin rằng với các quy định quản lý thuế hiện nay, hành vi gian lận hoặc trốn thuế sẽ dễ dàng bị phát hiện và xử lý nghiêm. - HUMAN-ENF1]]</f>
        <v>6</v>
      </c>
      <c r="T130" t="str">
        <f t="shared" si="28"/>
        <v>Neutral</v>
      </c>
      <c r="U130" s="32">
        <f t="shared" si="29"/>
        <v>0</v>
      </c>
      <c r="V130">
        <f>step3_validation[[#This Row],[AI_ENF2]]</f>
        <v>7</v>
      </c>
      <c r="W130" t="str">
        <f t="shared" si="30"/>
        <v>Neutral</v>
      </c>
      <c r="X130">
        <f>survey_responses[[#This Row],[Tôi tin rằng Nhà nước, cơ quan thuế có đủ khả năng và công nghệ để phát hiện, xử lý nghiêm các hành vi trốn thuế. - HUMAN-ENF2]]</f>
        <v>6</v>
      </c>
      <c r="Y130" t="str">
        <f t="shared" si="31"/>
        <v>Neutral</v>
      </c>
      <c r="Z130" s="32">
        <f t="shared" si="32"/>
        <v>1</v>
      </c>
      <c r="AA130">
        <f>step3_validation[[#This Row],[AI_FAC1]]</f>
        <v>8</v>
      </c>
      <c r="AB130" t="str">
        <f t="shared" si="33"/>
        <v>Support</v>
      </c>
      <c r="AC130">
        <f>survey_responses[[#This Row],[Các thủ tục khai báo thuế VÀ/HOẶC quy trình làm việc với cơ quan thuế đơn giản, tiện lợi, nhanh chóng hơn so với trước đây. - HUMAN-FAC1]]</f>
        <v>4</v>
      </c>
      <c r="AD130" t="str">
        <f t="shared" si="34"/>
        <v>Oppose</v>
      </c>
      <c r="AE130" s="32">
        <f t="shared" si="35"/>
        <v>4</v>
      </c>
      <c r="AF130">
        <f>step3_validation[[#This Row],[AI_FAC2]]</f>
        <v>9</v>
      </c>
      <c r="AG130" t="str">
        <f t="shared" si="36"/>
        <v>Support</v>
      </c>
      <c r="AH130">
        <f>survey_responses[[#This Row],[So với trước đây, tôi thấy cách tính thuế và các bậc thuế trong phương án mới đơn giản, dễ hiểu và dễ thực hiện hơn. - HUMAN-FAC2]]</f>
        <v>5</v>
      </c>
      <c r="AI130" t="str">
        <f t="shared" si="37"/>
        <v>Neutral</v>
      </c>
      <c r="AJ130" s="32">
        <f t="shared" si="38"/>
        <v>4</v>
      </c>
      <c r="AK130">
        <f>step3_validation[[#This Row],[AI_TRU1]]</f>
        <v>8</v>
      </c>
      <c r="AL130" t="str">
        <f t="shared" si="39"/>
        <v>Support</v>
      </c>
      <c r="AM130">
        <f>survey_responses[[#This Row],[Tôi tin rằng Nhà nước, cơ quan thuế sẽ thực thi chính sách mới một cách khách quan, công tâm và đối xử bình đẳng với mọi người nộp thuế.  - HUMAN-TRU1]]</f>
        <v>5</v>
      </c>
      <c r="AN130" t="str">
        <f t="shared" si="40"/>
        <v>Neutral</v>
      </c>
      <c r="AO130" s="32">
        <f t="shared" si="41"/>
        <v>3</v>
      </c>
      <c r="AP130">
        <f>step3_validation[[#This Row],[AI_TRU2]]</f>
        <v>7</v>
      </c>
      <c r="AQ130" t="str">
        <f t="shared" si="42"/>
        <v>Neutral</v>
      </c>
      <c r="AR130">
        <f>survey_responses[[#This Row],[Tôi thấy mức thuế tôi phải đóng theo phương án mới là công bằng (người thu nhập như tôi đóng mức này là hợp lý). - HUMAN-TRU2]]</f>
        <v>1</v>
      </c>
      <c r="AS130" t="str">
        <f t="shared" si="43"/>
        <v>Oppose</v>
      </c>
      <c r="AT130" s="32">
        <f t="shared" si="44"/>
        <v>6</v>
      </c>
      <c r="AU130">
        <f>step3_validation[[#This Row],[AI_TRU3]]</f>
        <v>8</v>
      </c>
      <c r="AV130" t="str">
        <f t="shared" si="45"/>
        <v>Support</v>
      </c>
      <c r="AW130">
        <f>survey_responses[[#This Row],[Tôi tin tưởng số tiền thuế tôi đóng sẽ được Nhà nước sử dụng hiệu quả để cải thiện dịch vụ công (y tế, đường xá...). - HUMAN-TRU3]]</f>
        <v>5</v>
      </c>
      <c r="AX130" t="str">
        <f t="shared" si="46"/>
        <v>Neutral</v>
      </c>
      <c r="AY130" s="32">
        <f t="shared" si="47"/>
        <v>3</v>
      </c>
      <c r="AZ130">
        <f>step3_validation[[#This Row],[AI_TRU4]]</f>
        <v>5</v>
      </c>
      <c r="BA130" t="str">
        <f t="shared" si="48"/>
        <v>Neutral</v>
      </c>
      <c r="BB130">
        <f>survey_responses[[#This Row],[Tôi thấy Nhà nước đã giải thích rõ ràng, minh bạch về lý do và mục tiêu của việc sửa đổi thuế lần này. - HUMAN-TRU4]]</f>
        <v>4</v>
      </c>
      <c r="BC130" t="str">
        <f t="shared" si="49"/>
        <v>Oppose</v>
      </c>
      <c r="BD130" s="32">
        <f t="shared" si="50"/>
        <v>1</v>
      </c>
      <c r="BE130">
        <f>step3_validation[[#This Row],[AI_OUT1]]</f>
        <v>7</v>
      </c>
      <c r="BF130" t="str">
        <f t="shared" si="51"/>
        <v>Neutral</v>
      </c>
      <c r="BG130">
        <f>survey_responses[[#This Row],[Sau khi xem xét các quyền lợi và nghĩa vụ, bạn có ủng hộ và tuân thủ chính sách mới hiện nay? - HUMAN-OUT1]]</f>
        <v>5</v>
      </c>
      <c r="BH130" t="str">
        <f t="shared" si="52"/>
        <v>Neutral</v>
      </c>
      <c r="BI130" s="32">
        <f t="shared" si="53"/>
        <v>2</v>
      </c>
    </row>
    <row r="131" spans="1:61" x14ac:dyDescent="0.45">
      <c r="A131" s="30">
        <f>step3_validation[[#This Row],[Persona_ID]]</f>
        <v>130</v>
      </c>
      <c r="B131" s="31">
        <f>step3_validation[[#This Row],[Used_Seed]]</f>
        <v>2120</v>
      </c>
      <c r="C131" t="str">
        <f>step3_validation[[#This Row],[Gender]]</f>
        <v>Nữ</v>
      </c>
      <c r="D131" t="str">
        <f>survey_responses[[#This Row],[Giới tính của bạn:]]</f>
        <v>Nữ</v>
      </c>
      <c r="E131" t="str">
        <f>step3_validation[[#This Row],[Age_Group]]</f>
        <v>55 - 64</v>
      </c>
      <c r="F131" t="str">
        <f>survey_responses[[#This Row],[Độ tuổi của bạn:]]</f>
        <v>55 - 64</v>
      </c>
      <c r="G131" t="str">
        <f>step3_validation[[#This Row],[Region]]</f>
        <v>Thành thị</v>
      </c>
      <c r="H131" t="str">
        <f>survey_responses[[#This Row],[Khu vực bạn đang sinh sống:]]</f>
        <v>Thành thị</v>
      </c>
      <c r="I131" t="str">
        <f>step3_validation[[#This Row],[Education]]</f>
        <v>Sau Đại học</v>
      </c>
      <c r="J131" t="str">
        <f>survey_responses[[#This Row],[Trình độ học vấn cao nhất:]]</f>
        <v>Sau Đại học</v>
      </c>
      <c r="K131" t="str">
        <f>step3_validation[[#This Row],[Employment]]</f>
        <v>Chính thức</v>
      </c>
      <c r="L131" t="str">
        <f>survey_responses[[#This Row],[Tình trạng việc làm chính:]]</f>
        <v>Khu vực chính thức (Có Hợp đồng lao động, đóng BHXH)</v>
      </c>
      <c r="M131">
        <f>step3_validation[[#This Row],[Income_Mil]]</f>
        <v>71.647553831807301</v>
      </c>
      <c r="N131" t="str">
        <f>survey_responses[[#This Row],[Thu nhập bình quân tháng theo Hợp đồng lao động của bạn là bao nhiêu? (Vui lòng điền tổng thu nhập trước khi khấu trừ các loại Bảo hiểm (BHXH, BHYT, BHTN) và Thuế TNCN)]]</f>
        <v>Từ 70 - 102 triệu VNĐ</v>
      </c>
      <c r="O131">
        <f>step3_validation[[#This Row],[Dependents]]</f>
        <v>2</v>
      </c>
      <c r="P131" t="str">
        <f>survey_responses[[#This Row],[Số người phụ thuộc (con nhỏ, cha mẹ già...) đủ điều kiện giảm trừ gia cảnh:]]</f>
        <v>2 người</v>
      </c>
      <c r="Q131">
        <f>step3_validation[[#This Row],[AI_ENF1]]</f>
        <v>8</v>
      </c>
      <c r="R131" t="str">
        <f t="shared" ref="R131:R194" si="54">IF(AND(Q131&gt;=1,Q131&lt;5),"Oppose",IF(AND(Q131&gt;=5,Q131&lt;8),"Neutral",IF(AND(Q131&gt;=8,Q131&lt;=10),"Support","")))</f>
        <v>Support</v>
      </c>
      <c r="S131">
        <f>survey_responses[[#This Row],[Tôi tin rằng với các quy định quản lý thuế hiện nay, hành vi gian lận hoặc trốn thuế sẽ dễ dàng bị phát hiện và xử lý nghiêm. - HUMAN-ENF1]]</f>
        <v>5</v>
      </c>
      <c r="T131" t="str">
        <f t="shared" ref="T131:T194" si="55">IF(AND(S131&gt;=1,S131&lt;5),"Oppose",IF(AND(S131&gt;=5,S131&lt;8),"Neutral",IF(AND(S131&gt;=8,S131&lt;=10),"Support","")))</f>
        <v>Neutral</v>
      </c>
      <c r="U131" s="32">
        <f t="shared" ref="U131:U194" si="56">ABS(S131-Q131)</f>
        <v>3</v>
      </c>
      <c r="V131">
        <f>step3_validation[[#This Row],[AI_ENF2]]</f>
        <v>7</v>
      </c>
      <c r="W131" t="str">
        <f t="shared" ref="W131:W194" si="57">IF(AND(V131&gt;=1,V131&lt;5),"Oppose",IF(AND(V131&gt;=5,V131&lt;8),"Neutral",IF(AND(V131&gt;=8,V131&lt;=10),"Support","")))</f>
        <v>Neutral</v>
      </c>
      <c r="X131">
        <f>survey_responses[[#This Row],[Tôi tin rằng Nhà nước, cơ quan thuế có đủ khả năng và công nghệ để phát hiện, xử lý nghiêm các hành vi trốn thuế. - HUMAN-ENF2]]</f>
        <v>5</v>
      </c>
      <c r="Y131" t="str">
        <f t="shared" ref="Y131:Y194" si="58">IF(AND(X131&gt;=1,X131&lt;5),"Oppose",IF(AND(X131&gt;=5,X131&lt;8),"Neutral",IF(AND(X131&gt;=8,X131&lt;=10),"Support","")))</f>
        <v>Neutral</v>
      </c>
      <c r="Z131" s="32">
        <f t="shared" ref="Z131:Z194" si="59">ABS(X131-V131)</f>
        <v>2</v>
      </c>
      <c r="AA131">
        <f>step3_validation[[#This Row],[AI_FAC1]]</f>
        <v>9</v>
      </c>
      <c r="AB131" t="str">
        <f t="shared" ref="AB131:AB194" si="60">IF(AND(AA131&gt;=1,AA131&lt;5),"Oppose",IF(AND(AA131&gt;=5,AA131&lt;8),"Neutral",IF(AND(AA131&gt;=8,AA131&lt;=10),"Support","")))</f>
        <v>Support</v>
      </c>
      <c r="AC131">
        <f>survey_responses[[#This Row],[Các thủ tục khai báo thuế VÀ/HOẶC quy trình làm việc với cơ quan thuế đơn giản, tiện lợi, nhanh chóng hơn so với trước đây. - HUMAN-FAC1]]</f>
        <v>1</v>
      </c>
      <c r="AD131" t="str">
        <f t="shared" ref="AD131:AD194" si="61">IF(AND(AC131&gt;=1,AC131&lt;5),"Oppose",IF(AND(AC131&gt;=5,AC131&lt;8),"Neutral",IF(AND(AC131&gt;=8,AC131&lt;=10),"Support","")))</f>
        <v>Oppose</v>
      </c>
      <c r="AE131" s="32">
        <f t="shared" ref="AE131:AE194" si="62">ABS(AC131-AA131)</f>
        <v>8</v>
      </c>
      <c r="AF131">
        <f>step3_validation[[#This Row],[AI_FAC2]]</f>
        <v>8</v>
      </c>
      <c r="AG131" t="str">
        <f t="shared" ref="AG131:AG194" si="63">IF(AND(AF131&gt;=1,AF131&lt;5),"Oppose",IF(AND(AF131&gt;=5,AF131&lt;8),"Neutral",IF(AND(AF131&gt;=8,AF131&lt;=10),"Support","")))</f>
        <v>Support</v>
      </c>
      <c r="AH131">
        <f>survey_responses[[#This Row],[So với trước đây, tôi thấy cách tính thuế và các bậc thuế trong phương án mới đơn giản, dễ hiểu và dễ thực hiện hơn. - HUMAN-FAC2]]</f>
        <v>4</v>
      </c>
      <c r="AI131" t="str">
        <f t="shared" ref="AI131:AI194" si="64">IF(AND(AH131&gt;=1,AH131&lt;5),"Oppose",IF(AND(AH131&gt;=5,AH131&lt;8),"Neutral",IF(AND(AH131&gt;=8,AH131&lt;=10),"Support","")))</f>
        <v>Oppose</v>
      </c>
      <c r="AJ131" s="32">
        <f t="shared" ref="AJ131:AJ194" si="65">ABS(AH131-AF131)</f>
        <v>4</v>
      </c>
      <c r="AK131">
        <f>step3_validation[[#This Row],[AI_TRU1]]</f>
        <v>7</v>
      </c>
      <c r="AL131" t="str">
        <f t="shared" ref="AL131:AL194" si="66">IF(AND(AK131&gt;=1,AK131&lt;5),"Oppose",IF(AND(AK131&gt;=5,AK131&lt;8),"Neutral",IF(AND(AK131&gt;=8,AK131&lt;=10),"Support","")))</f>
        <v>Neutral</v>
      </c>
      <c r="AM131">
        <f>survey_responses[[#This Row],[Tôi tin rằng Nhà nước, cơ quan thuế sẽ thực thi chính sách mới một cách khách quan, công tâm và đối xử bình đẳng với mọi người nộp thuế.  - HUMAN-TRU1]]</f>
        <v>2</v>
      </c>
      <c r="AN131" t="str">
        <f t="shared" ref="AN131:AN194" si="67">IF(AND(AM131&gt;=1,AM131&lt;5),"Oppose",IF(AND(AM131&gt;=5,AM131&lt;8),"Neutral",IF(AND(AM131&gt;=8,AM131&lt;=10),"Support","")))</f>
        <v>Oppose</v>
      </c>
      <c r="AO131" s="32">
        <f t="shared" ref="AO131:AO194" si="68">ABS(AM131-AK131)</f>
        <v>5</v>
      </c>
      <c r="AP131">
        <f>step3_validation[[#This Row],[AI_TRU2]]</f>
        <v>6</v>
      </c>
      <c r="AQ131" t="str">
        <f t="shared" ref="AQ131:AQ194" si="69">IF(AND(AP131&gt;=1,AP131&lt;5),"Oppose",IF(AND(AP131&gt;=5,AP131&lt;8),"Neutral",IF(AND(AP131&gt;=8,AP131&lt;=10),"Support","")))</f>
        <v>Neutral</v>
      </c>
      <c r="AR131">
        <f>survey_responses[[#This Row],[Tôi thấy mức thuế tôi phải đóng theo phương án mới là công bằng (người thu nhập như tôi đóng mức này là hợp lý). - HUMAN-TRU2]]</f>
        <v>1</v>
      </c>
      <c r="AS131" t="str">
        <f t="shared" ref="AS131:AS194" si="70">IF(AND(AR131&gt;=1,AR131&lt;5),"Oppose",IF(AND(AR131&gt;=5,AR131&lt;8),"Neutral",IF(AND(AR131&gt;=8,AR131&lt;=10),"Support","")))</f>
        <v>Oppose</v>
      </c>
      <c r="AT131" s="32">
        <f t="shared" ref="AT131:AT194" si="71">ABS(AR131-AP131)</f>
        <v>5</v>
      </c>
      <c r="AU131">
        <f>step3_validation[[#This Row],[AI_TRU3]]</f>
        <v>5</v>
      </c>
      <c r="AV131" t="str">
        <f t="shared" ref="AV131:AV194" si="72">IF(AND(AU131&gt;=1,AU131&lt;5),"Oppose",IF(AND(AU131&gt;=5,AU131&lt;8),"Neutral",IF(AND(AU131&gt;=8,AU131&lt;=10),"Support","")))</f>
        <v>Neutral</v>
      </c>
      <c r="AW131">
        <f>survey_responses[[#This Row],[Tôi tin tưởng số tiền thuế tôi đóng sẽ được Nhà nước sử dụng hiệu quả để cải thiện dịch vụ công (y tế, đường xá...). - HUMAN-TRU3]]</f>
        <v>1</v>
      </c>
      <c r="AX131" t="str">
        <f t="shared" ref="AX131:AX194" si="73">IF(AND(AW131&gt;=1,AW131&lt;5),"Oppose",IF(AND(AW131&gt;=5,AW131&lt;8),"Neutral",IF(AND(AW131&gt;=8,AW131&lt;=10),"Support","")))</f>
        <v>Oppose</v>
      </c>
      <c r="AY131" s="32">
        <f t="shared" ref="AY131:AY194" si="74">ABS(AW131-AU131)</f>
        <v>4</v>
      </c>
      <c r="AZ131">
        <f>step3_validation[[#This Row],[AI_TRU4]]</f>
        <v>4</v>
      </c>
      <c r="BA131" t="str">
        <f t="shared" ref="BA131:BA194" si="75">IF(AND(AZ131&gt;=1,AZ131&lt;5),"Oppose",IF(AND(AZ131&gt;=5,AZ131&lt;8),"Neutral",IF(AND(AZ131&gt;=8,AZ131&lt;=10),"Support","")))</f>
        <v>Oppose</v>
      </c>
      <c r="BB131">
        <f>survey_responses[[#This Row],[Tôi thấy Nhà nước đã giải thích rõ ràng, minh bạch về lý do và mục tiêu của việc sửa đổi thuế lần này. - HUMAN-TRU4]]</f>
        <v>1</v>
      </c>
      <c r="BC131" t="str">
        <f t="shared" ref="BC131:BC194" si="76">IF(AND(BB131&gt;=1,BB131&lt;5),"Oppose",IF(AND(BB131&gt;=5,BB131&lt;8),"Neutral",IF(AND(BB131&gt;=8,BB131&lt;=10),"Support","")))</f>
        <v>Oppose</v>
      </c>
      <c r="BD131" s="32">
        <f t="shared" ref="BD131:BD194" si="77">ABS(BB131-AZ131)</f>
        <v>3</v>
      </c>
      <c r="BE131">
        <f>step3_validation[[#This Row],[AI_OUT1]]</f>
        <v>6</v>
      </c>
      <c r="BF131" t="str">
        <f t="shared" ref="BF131:BF194" si="78">IF(AND(BE131&gt;=1,BE131&lt;5),"Oppose",IF(AND(BE131&gt;=5,BE131&lt;8),"Neutral",IF(AND(BE131&gt;=8,BE131&lt;=10),"Support","")))</f>
        <v>Neutral</v>
      </c>
      <c r="BG131">
        <f>survey_responses[[#This Row],[Sau khi xem xét các quyền lợi và nghĩa vụ, bạn có ủng hộ và tuân thủ chính sách mới hiện nay? - HUMAN-OUT1]]</f>
        <v>5</v>
      </c>
      <c r="BH131" t="str">
        <f t="shared" ref="BH131:BH194" si="79">IF(AND(BG131&gt;=1,BG131&lt;5),"Oppose",IF(AND(BG131&gt;=5,BG131&lt;8),"Neutral",IF(AND(BG131&gt;=8,BG131&lt;=10),"Support","")))</f>
        <v>Neutral</v>
      </c>
      <c r="BI131" s="32">
        <f t="shared" ref="BI131:BI194" si="80">ABS(BG131-BE131)</f>
        <v>1</v>
      </c>
    </row>
    <row r="132" spans="1:61" x14ac:dyDescent="0.45">
      <c r="A132" s="30">
        <f>step3_validation[[#This Row],[Persona_ID]]</f>
        <v>131</v>
      </c>
      <c r="B132" s="31">
        <f>step3_validation[[#This Row],[Used_Seed]]</f>
        <v>2121</v>
      </c>
      <c r="C132" t="str">
        <f>step3_validation[[#This Row],[Gender]]</f>
        <v>Nữ</v>
      </c>
      <c r="D132" t="str">
        <f>survey_responses[[#This Row],[Giới tính của bạn:]]</f>
        <v>Nữ</v>
      </c>
      <c r="E132" t="str">
        <f>step3_validation[[#This Row],[Age_Group]]</f>
        <v>30 - 39</v>
      </c>
      <c r="F132" t="str">
        <f>survey_responses[[#This Row],[Độ tuổi của bạn:]]</f>
        <v>30 - 39</v>
      </c>
      <c r="G132" t="str">
        <f>step3_validation[[#This Row],[Region]]</f>
        <v>Thành thị</v>
      </c>
      <c r="H132" t="str">
        <f>survey_responses[[#This Row],[Khu vực bạn đang sinh sống:]]</f>
        <v>Thành thị</v>
      </c>
      <c r="I132" t="str">
        <f>step3_validation[[#This Row],[Education]]</f>
        <v>Sau Đại học</v>
      </c>
      <c r="J132" t="str">
        <f>survey_responses[[#This Row],[Trình độ học vấn cao nhất:]]</f>
        <v>Sau Đại học</v>
      </c>
      <c r="K132" t="str">
        <f>step3_validation[[#This Row],[Employment]]</f>
        <v>Chính thức</v>
      </c>
      <c r="L132" t="str">
        <f>survey_responses[[#This Row],[Tình trạng việc làm chính:]]</f>
        <v>Khu vực chính thức (Có Hợp đồng lao động, đóng BHXH)</v>
      </c>
      <c r="M132">
        <f>step3_validation[[#This Row],[Income_Mil]]</f>
        <v>84.822633815383583</v>
      </c>
      <c r="N132" t="str">
        <f>survey_responses[[#This Row],[Thu nhập bình quân tháng theo Hợp đồng lao động của bạn là bao nhiêu? (Vui lòng điền tổng thu nhập trước khi khấu trừ các loại Bảo hiểm (BHXH, BHYT, BHTN) và Thuế TNCN)]]</f>
        <v>Từ 70 - 102 triệu VNĐ</v>
      </c>
      <c r="O132">
        <f>step3_validation[[#This Row],[Dependents]]</f>
        <v>1</v>
      </c>
      <c r="P132" t="str">
        <f>survey_responses[[#This Row],[Số người phụ thuộc (con nhỏ, cha mẹ già...) đủ điều kiện giảm trừ gia cảnh:]]</f>
        <v>1 người</v>
      </c>
      <c r="Q132">
        <f>step3_validation[[#This Row],[AI_ENF1]]</f>
        <v>7</v>
      </c>
      <c r="R132" t="str">
        <f t="shared" si="54"/>
        <v>Neutral</v>
      </c>
      <c r="S132">
        <f>survey_responses[[#This Row],[Tôi tin rằng với các quy định quản lý thuế hiện nay, hành vi gian lận hoặc trốn thuế sẽ dễ dàng bị phát hiện và xử lý nghiêm. - HUMAN-ENF1]]</f>
        <v>8</v>
      </c>
      <c r="T132" t="str">
        <f t="shared" si="55"/>
        <v>Support</v>
      </c>
      <c r="U132" s="32">
        <f t="shared" si="56"/>
        <v>1</v>
      </c>
      <c r="V132">
        <f>step3_validation[[#This Row],[AI_ENF2]]</f>
        <v>8</v>
      </c>
      <c r="W132" t="str">
        <f t="shared" si="57"/>
        <v>Support</v>
      </c>
      <c r="X132">
        <f>survey_responses[[#This Row],[Tôi tin rằng Nhà nước, cơ quan thuế có đủ khả năng và công nghệ để phát hiện, xử lý nghiêm các hành vi trốn thuế. - HUMAN-ENF2]]</f>
        <v>9</v>
      </c>
      <c r="Y132" t="str">
        <f t="shared" si="58"/>
        <v>Support</v>
      </c>
      <c r="Z132" s="32">
        <f t="shared" si="59"/>
        <v>1</v>
      </c>
      <c r="AA132">
        <f>step3_validation[[#This Row],[AI_FAC1]]</f>
        <v>6</v>
      </c>
      <c r="AB132" t="str">
        <f t="shared" si="60"/>
        <v>Neutral</v>
      </c>
      <c r="AC132">
        <f>survey_responses[[#This Row],[Các thủ tục khai báo thuế VÀ/HOẶC quy trình làm việc với cơ quan thuế đơn giản, tiện lợi, nhanh chóng hơn so với trước đây. - HUMAN-FAC1]]</f>
        <v>5</v>
      </c>
      <c r="AD132" t="str">
        <f t="shared" si="61"/>
        <v>Neutral</v>
      </c>
      <c r="AE132" s="32">
        <f t="shared" si="62"/>
        <v>1</v>
      </c>
      <c r="AF132">
        <f>step3_validation[[#This Row],[AI_FAC2]]</f>
        <v>8</v>
      </c>
      <c r="AG132" t="str">
        <f t="shared" si="63"/>
        <v>Support</v>
      </c>
      <c r="AH132">
        <f>survey_responses[[#This Row],[So với trước đây, tôi thấy cách tính thuế và các bậc thuế trong phương án mới đơn giản, dễ hiểu và dễ thực hiện hơn. - HUMAN-FAC2]]</f>
        <v>5</v>
      </c>
      <c r="AI132" t="str">
        <f t="shared" si="64"/>
        <v>Neutral</v>
      </c>
      <c r="AJ132" s="32">
        <f t="shared" si="65"/>
        <v>3</v>
      </c>
      <c r="AK132">
        <f>step3_validation[[#This Row],[AI_TRU1]]</f>
        <v>7</v>
      </c>
      <c r="AL132" t="str">
        <f t="shared" si="66"/>
        <v>Neutral</v>
      </c>
      <c r="AM132">
        <f>survey_responses[[#This Row],[Tôi tin rằng Nhà nước, cơ quan thuế sẽ thực thi chính sách mới một cách khách quan, công tâm và đối xử bình đẳng với mọi người nộp thuế.  - HUMAN-TRU1]]</f>
        <v>5</v>
      </c>
      <c r="AN132" t="str">
        <f t="shared" si="67"/>
        <v>Neutral</v>
      </c>
      <c r="AO132" s="32">
        <f t="shared" si="68"/>
        <v>2</v>
      </c>
      <c r="AP132">
        <f>step3_validation[[#This Row],[AI_TRU2]]</f>
        <v>6</v>
      </c>
      <c r="AQ132" t="str">
        <f t="shared" si="69"/>
        <v>Neutral</v>
      </c>
      <c r="AR132">
        <f>survey_responses[[#This Row],[Tôi thấy mức thuế tôi phải đóng theo phương án mới là công bằng (người thu nhập như tôi đóng mức này là hợp lý). - HUMAN-TRU2]]</f>
        <v>4</v>
      </c>
      <c r="AS132" t="str">
        <f t="shared" si="70"/>
        <v>Oppose</v>
      </c>
      <c r="AT132" s="32">
        <f t="shared" si="71"/>
        <v>2</v>
      </c>
      <c r="AU132">
        <f>step3_validation[[#This Row],[AI_TRU3]]</f>
        <v>7</v>
      </c>
      <c r="AV132" t="str">
        <f t="shared" si="72"/>
        <v>Neutral</v>
      </c>
      <c r="AW132">
        <f>survey_responses[[#This Row],[Tôi tin tưởng số tiền thuế tôi đóng sẽ được Nhà nước sử dụng hiệu quả để cải thiện dịch vụ công (y tế, đường xá...). - HUMAN-TRU3]]</f>
        <v>5</v>
      </c>
      <c r="AX132" t="str">
        <f t="shared" si="73"/>
        <v>Neutral</v>
      </c>
      <c r="AY132" s="32">
        <f t="shared" si="74"/>
        <v>2</v>
      </c>
      <c r="AZ132">
        <f>step3_validation[[#This Row],[AI_TRU4]]</f>
        <v>5</v>
      </c>
      <c r="BA132" t="str">
        <f t="shared" si="75"/>
        <v>Neutral</v>
      </c>
      <c r="BB132">
        <f>survey_responses[[#This Row],[Tôi thấy Nhà nước đã giải thích rõ ràng, minh bạch về lý do và mục tiêu của việc sửa đổi thuế lần này. - HUMAN-TRU4]]</f>
        <v>5</v>
      </c>
      <c r="BC132" t="str">
        <f t="shared" si="76"/>
        <v>Neutral</v>
      </c>
      <c r="BD132" s="32">
        <f t="shared" si="77"/>
        <v>0</v>
      </c>
      <c r="BE132">
        <f>step3_validation[[#This Row],[AI_OUT1]]</f>
        <v>6</v>
      </c>
      <c r="BF132" t="str">
        <f t="shared" si="78"/>
        <v>Neutral</v>
      </c>
      <c r="BG132">
        <f>survey_responses[[#This Row],[Sau khi xem xét các quyền lợi và nghĩa vụ, bạn có ủng hộ và tuân thủ chính sách mới hiện nay? - HUMAN-OUT1]]</f>
        <v>5</v>
      </c>
      <c r="BH132" t="str">
        <f t="shared" si="79"/>
        <v>Neutral</v>
      </c>
      <c r="BI132" s="32">
        <f t="shared" si="80"/>
        <v>1</v>
      </c>
    </row>
    <row r="133" spans="1:61" x14ac:dyDescent="0.45">
      <c r="A133" s="30">
        <f>step3_validation[[#This Row],[Persona_ID]]</f>
        <v>132</v>
      </c>
      <c r="B133" s="31">
        <f>step3_validation[[#This Row],[Used_Seed]]</f>
        <v>2122</v>
      </c>
      <c r="C133" t="str">
        <f>step3_validation[[#This Row],[Gender]]</f>
        <v>Nam</v>
      </c>
      <c r="D133" t="str">
        <f>survey_responses[[#This Row],[Giới tính của bạn:]]</f>
        <v>Nam</v>
      </c>
      <c r="E133" t="str">
        <f>step3_validation[[#This Row],[Age_Group]]</f>
        <v>18 - 24</v>
      </c>
      <c r="F133" t="str">
        <f>survey_responses[[#This Row],[Độ tuổi của bạn:]]</f>
        <v>18 - 24</v>
      </c>
      <c r="G133" t="str">
        <f>step3_validation[[#This Row],[Region]]</f>
        <v>Thành thị</v>
      </c>
      <c r="H133" t="str">
        <f>survey_responses[[#This Row],[Khu vực bạn đang sinh sống:]]</f>
        <v>Thành thị</v>
      </c>
      <c r="I133" t="str">
        <f>step3_validation[[#This Row],[Education]]</f>
        <v>Đại học</v>
      </c>
      <c r="J133" t="str">
        <f>survey_responses[[#This Row],[Trình độ học vấn cao nhất:]]</f>
        <v>Đại học</v>
      </c>
      <c r="K133" t="str">
        <f>step3_validation[[#This Row],[Employment]]</f>
        <v>Chính thức</v>
      </c>
      <c r="L133" t="str">
        <f>survey_responses[[#This Row],[Tình trạng việc làm chính:]]</f>
        <v>Khu vực chính thức (Có Hợp đồng lao động, đóng BHXH)</v>
      </c>
      <c r="M133">
        <f>step3_validation[[#This Row],[Income_Mil]]</f>
        <v>15.286572647208111</v>
      </c>
      <c r="N133" t="str">
        <f>survey_responses[[#This Row],[Thu nhập bình quân tháng theo Hợp đồng lao động của bạn là bao nhiêu? (Vui lòng điền tổng thu nhập trước khi khấu trừ các loại Bảo hiểm (BHXH, BHYT, BHTN) và Thuế TNCN)]]</f>
        <v>Từ 12 - 18 triệu VNĐ</v>
      </c>
      <c r="O133">
        <f>step3_validation[[#This Row],[Dependents]]</f>
        <v>0</v>
      </c>
      <c r="P133" t="str">
        <f>survey_responses[[#This Row],[Số người phụ thuộc (con nhỏ, cha mẹ già...) đủ điều kiện giảm trừ gia cảnh:]]</f>
        <v>0 người</v>
      </c>
      <c r="Q133">
        <f>step3_validation[[#This Row],[AI_ENF1]]</f>
        <v>7</v>
      </c>
      <c r="R133" t="str">
        <f t="shared" si="54"/>
        <v>Neutral</v>
      </c>
      <c r="S133">
        <f>survey_responses[[#This Row],[Tôi tin rằng với các quy định quản lý thuế hiện nay, hành vi gian lận hoặc trốn thuế sẽ dễ dàng bị phát hiện và xử lý nghiêm. - HUMAN-ENF1]]</f>
        <v>9</v>
      </c>
      <c r="T133" t="str">
        <f t="shared" si="55"/>
        <v>Support</v>
      </c>
      <c r="U133" s="32">
        <f t="shared" si="56"/>
        <v>2</v>
      </c>
      <c r="V133">
        <f>step3_validation[[#This Row],[AI_ENF2]]</f>
        <v>6</v>
      </c>
      <c r="W133" t="str">
        <f t="shared" si="57"/>
        <v>Neutral</v>
      </c>
      <c r="X133">
        <f>survey_responses[[#This Row],[Tôi tin rằng Nhà nước, cơ quan thuế có đủ khả năng và công nghệ để phát hiện, xử lý nghiêm các hành vi trốn thuế. - HUMAN-ENF2]]</f>
        <v>9</v>
      </c>
      <c r="Y133" t="str">
        <f t="shared" si="58"/>
        <v>Support</v>
      </c>
      <c r="Z133" s="32">
        <f t="shared" si="59"/>
        <v>3</v>
      </c>
      <c r="AA133">
        <f>step3_validation[[#This Row],[AI_FAC1]]</f>
        <v>8</v>
      </c>
      <c r="AB133" t="str">
        <f t="shared" si="60"/>
        <v>Support</v>
      </c>
      <c r="AC133">
        <f>survey_responses[[#This Row],[Các thủ tục khai báo thuế VÀ/HOẶC quy trình làm việc với cơ quan thuế đơn giản, tiện lợi, nhanh chóng hơn so với trước đây. - HUMAN-FAC1]]</f>
        <v>9</v>
      </c>
      <c r="AD133" t="str">
        <f t="shared" si="61"/>
        <v>Support</v>
      </c>
      <c r="AE133" s="32">
        <f t="shared" si="62"/>
        <v>1</v>
      </c>
      <c r="AF133">
        <f>step3_validation[[#This Row],[AI_FAC2]]</f>
        <v>9</v>
      </c>
      <c r="AG133" t="str">
        <f t="shared" si="63"/>
        <v>Support</v>
      </c>
      <c r="AH133">
        <f>survey_responses[[#This Row],[So với trước đây, tôi thấy cách tính thuế và các bậc thuế trong phương án mới đơn giản, dễ hiểu và dễ thực hiện hơn. - HUMAN-FAC2]]</f>
        <v>9</v>
      </c>
      <c r="AI133" t="str">
        <f t="shared" si="64"/>
        <v>Support</v>
      </c>
      <c r="AJ133" s="32">
        <f t="shared" si="65"/>
        <v>0</v>
      </c>
      <c r="AK133">
        <f>step3_validation[[#This Row],[AI_TRU1]]</f>
        <v>4</v>
      </c>
      <c r="AL133" t="str">
        <f t="shared" si="66"/>
        <v>Oppose</v>
      </c>
      <c r="AM133">
        <f>survey_responses[[#This Row],[Tôi tin rằng Nhà nước, cơ quan thuế sẽ thực thi chính sách mới một cách khách quan, công tâm và đối xử bình đẳng với mọi người nộp thuế.  - HUMAN-TRU1]]</f>
        <v>7</v>
      </c>
      <c r="AN133" t="str">
        <f t="shared" si="67"/>
        <v>Neutral</v>
      </c>
      <c r="AO133" s="32">
        <f t="shared" si="68"/>
        <v>3</v>
      </c>
      <c r="AP133">
        <f>step3_validation[[#This Row],[AI_TRU2]]</f>
        <v>5</v>
      </c>
      <c r="AQ133" t="str">
        <f t="shared" si="69"/>
        <v>Neutral</v>
      </c>
      <c r="AR133">
        <f>survey_responses[[#This Row],[Tôi thấy mức thuế tôi phải đóng theo phương án mới là công bằng (người thu nhập như tôi đóng mức này là hợp lý). - HUMAN-TRU2]]</f>
        <v>10</v>
      </c>
      <c r="AS133" t="str">
        <f t="shared" si="70"/>
        <v>Support</v>
      </c>
      <c r="AT133" s="32">
        <f t="shared" si="71"/>
        <v>5</v>
      </c>
      <c r="AU133">
        <f>step3_validation[[#This Row],[AI_TRU3]]</f>
        <v>3</v>
      </c>
      <c r="AV133" t="str">
        <f t="shared" si="72"/>
        <v>Oppose</v>
      </c>
      <c r="AW133">
        <f>survey_responses[[#This Row],[Tôi tin tưởng số tiền thuế tôi đóng sẽ được Nhà nước sử dụng hiệu quả để cải thiện dịch vụ công (y tế, đường xá...). - HUMAN-TRU3]]</f>
        <v>5</v>
      </c>
      <c r="AX133" t="str">
        <f t="shared" si="73"/>
        <v>Neutral</v>
      </c>
      <c r="AY133" s="32">
        <f t="shared" si="74"/>
        <v>2</v>
      </c>
      <c r="AZ133">
        <f>step3_validation[[#This Row],[AI_TRU4]]</f>
        <v>5</v>
      </c>
      <c r="BA133" t="str">
        <f t="shared" si="75"/>
        <v>Neutral</v>
      </c>
      <c r="BB133">
        <f>survey_responses[[#This Row],[Tôi thấy Nhà nước đã giải thích rõ ràng, minh bạch về lý do và mục tiêu của việc sửa đổi thuế lần này. - HUMAN-TRU4]]</f>
        <v>5</v>
      </c>
      <c r="BC133" t="str">
        <f t="shared" si="76"/>
        <v>Neutral</v>
      </c>
      <c r="BD133" s="32">
        <f t="shared" si="77"/>
        <v>0</v>
      </c>
      <c r="BE133">
        <f>step3_validation[[#This Row],[AI_OUT1]]</f>
        <v>6</v>
      </c>
      <c r="BF133" t="str">
        <f t="shared" si="78"/>
        <v>Neutral</v>
      </c>
      <c r="BG133">
        <f>survey_responses[[#This Row],[Sau khi xem xét các quyền lợi và nghĩa vụ, bạn có ủng hộ và tuân thủ chính sách mới hiện nay? - HUMAN-OUT1]]</f>
        <v>9</v>
      </c>
      <c r="BH133" t="str">
        <f t="shared" si="79"/>
        <v>Support</v>
      </c>
      <c r="BI133" s="32">
        <f t="shared" si="80"/>
        <v>3</v>
      </c>
    </row>
    <row r="134" spans="1:61" x14ac:dyDescent="0.45">
      <c r="A134" s="30">
        <f>step3_validation[[#This Row],[Persona_ID]]</f>
        <v>133</v>
      </c>
      <c r="B134" s="31">
        <f>step3_validation[[#This Row],[Used_Seed]]</f>
        <v>2123</v>
      </c>
      <c r="C134" t="str">
        <f>step3_validation[[#This Row],[Gender]]</f>
        <v>Nam</v>
      </c>
      <c r="D134" t="str">
        <f>survey_responses[[#This Row],[Giới tính của bạn:]]</f>
        <v>Nam</v>
      </c>
      <c r="E134" t="str">
        <f>step3_validation[[#This Row],[Age_Group]]</f>
        <v>25 - 29</v>
      </c>
      <c r="F134" t="str">
        <f>survey_responses[[#This Row],[Độ tuổi của bạn:]]</f>
        <v>25 - 29</v>
      </c>
      <c r="G134" t="str">
        <f>step3_validation[[#This Row],[Region]]</f>
        <v>Thành thị</v>
      </c>
      <c r="H134" t="str">
        <f>survey_responses[[#This Row],[Khu vực bạn đang sinh sống:]]</f>
        <v>Thành thị</v>
      </c>
      <c r="I134" t="str">
        <f>step3_validation[[#This Row],[Education]]</f>
        <v>Cao đẳng</v>
      </c>
      <c r="J134" t="str">
        <f>survey_responses[[#This Row],[Trình độ học vấn cao nhất:]]</f>
        <v>Cao đẳng</v>
      </c>
      <c r="K134" t="str">
        <f>step3_validation[[#This Row],[Employment]]</f>
        <v>Chính thức</v>
      </c>
      <c r="L134" t="str">
        <f>survey_responses[[#This Row],[Tình trạng việc làm chính:]]</f>
        <v>Khu vực chính thức (Có Hợp đồng lao động, đóng BHXH)</v>
      </c>
      <c r="M134">
        <f>step3_validation[[#This Row],[Income_Mil]]</f>
        <v>35.477346230917526</v>
      </c>
      <c r="N134" t="str">
        <f>survey_responses[[#This Row],[Thu nhập bình quân tháng theo Hợp đồng lao động của bạn là bao nhiêu? (Vui lòng điền tổng thu nhập trước khi khấu trừ các loại Bảo hiểm (BHXH, BHYT, BHTN) và Thuế TNCN)]]</f>
        <v>Từ 32 - 48 triệu VNĐ</v>
      </c>
      <c r="O134">
        <f>step3_validation[[#This Row],[Dependents]]</f>
        <v>0</v>
      </c>
      <c r="P134" t="str">
        <f>survey_responses[[#This Row],[Số người phụ thuộc (con nhỏ, cha mẹ già...) đủ điều kiện giảm trừ gia cảnh:]]</f>
        <v>0 người</v>
      </c>
      <c r="Q134">
        <f>step3_validation[[#This Row],[AI_ENF1]]</f>
        <v>7</v>
      </c>
      <c r="R134" t="str">
        <f t="shared" si="54"/>
        <v>Neutral</v>
      </c>
      <c r="S134">
        <f>survey_responses[[#This Row],[Tôi tin rằng với các quy định quản lý thuế hiện nay, hành vi gian lận hoặc trốn thuế sẽ dễ dàng bị phát hiện và xử lý nghiêm. - HUMAN-ENF1]]</f>
        <v>5</v>
      </c>
      <c r="T134" t="str">
        <f t="shared" si="55"/>
        <v>Neutral</v>
      </c>
      <c r="U134" s="32">
        <f t="shared" si="56"/>
        <v>2</v>
      </c>
      <c r="V134">
        <f>step3_validation[[#This Row],[AI_ENF2]]</f>
        <v>8</v>
      </c>
      <c r="W134" t="str">
        <f t="shared" si="57"/>
        <v>Support</v>
      </c>
      <c r="X134">
        <f>survey_responses[[#This Row],[Tôi tin rằng Nhà nước, cơ quan thuế có đủ khả năng và công nghệ để phát hiện, xử lý nghiêm các hành vi trốn thuế. - HUMAN-ENF2]]</f>
        <v>5</v>
      </c>
      <c r="Y134" t="str">
        <f t="shared" si="58"/>
        <v>Neutral</v>
      </c>
      <c r="Z134" s="32">
        <f t="shared" si="59"/>
        <v>3</v>
      </c>
      <c r="AA134">
        <f>step3_validation[[#This Row],[AI_FAC1]]</f>
        <v>6</v>
      </c>
      <c r="AB134" t="str">
        <f t="shared" si="60"/>
        <v>Neutral</v>
      </c>
      <c r="AC134">
        <f>survey_responses[[#This Row],[Các thủ tục khai báo thuế VÀ/HOẶC quy trình làm việc với cơ quan thuế đơn giản, tiện lợi, nhanh chóng hơn so với trước đây. - HUMAN-FAC1]]</f>
        <v>5</v>
      </c>
      <c r="AD134" t="str">
        <f t="shared" si="61"/>
        <v>Neutral</v>
      </c>
      <c r="AE134" s="32">
        <f t="shared" si="62"/>
        <v>1</v>
      </c>
      <c r="AF134">
        <f>step3_validation[[#This Row],[AI_FAC2]]</f>
        <v>8</v>
      </c>
      <c r="AG134" t="str">
        <f t="shared" si="63"/>
        <v>Support</v>
      </c>
      <c r="AH134">
        <f>survey_responses[[#This Row],[So với trước đây, tôi thấy cách tính thuế và các bậc thuế trong phương án mới đơn giản, dễ hiểu và dễ thực hiện hơn. - HUMAN-FAC2]]</f>
        <v>5</v>
      </c>
      <c r="AI134" t="str">
        <f t="shared" si="64"/>
        <v>Neutral</v>
      </c>
      <c r="AJ134" s="32">
        <f t="shared" si="65"/>
        <v>3</v>
      </c>
      <c r="AK134">
        <f>step3_validation[[#This Row],[AI_TRU1]]</f>
        <v>7</v>
      </c>
      <c r="AL134" t="str">
        <f t="shared" si="66"/>
        <v>Neutral</v>
      </c>
      <c r="AM134">
        <f>survey_responses[[#This Row],[Tôi tin rằng Nhà nước, cơ quan thuế sẽ thực thi chính sách mới một cách khách quan, công tâm và đối xử bình đẳng với mọi người nộp thuế.  - HUMAN-TRU1]]</f>
        <v>5</v>
      </c>
      <c r="AN134" t="str">
        <f t="shared" si="67"/>
        <v>Neutral</v>
      </c>
      <c r="AO134" s="32">
        <f t="shared" si="68"/>
        <v>2</v>
      </c>
      <c r="AP134">
        <f>step3_validation[[#This Row],[AI_TRU2]]</f>
        <v>6</v>
      </c>
      <c r="AQ134" t="str">
        <f t="shared" si="69"/>
        <v>Neutral</v>
      </c>
      <c r="AR134">
        <f>survey_responses[[#This Row],[Tôi thấy mức thuế tôi phải đóng theo phương án mới là công bằng (người thu nhập như tôi đóng mức này là hợp lý). - HUMAN-TRU2]]</f>
        <v>5</v>
      </c>
      <c r="AS134" t="str">
        <f t="shared" si="70"/>
        <v>Neutral</v>
      </c>
      <c r="AT134" s="32">
        <f t="shared" si="71"/>
        <v>1</v>
      </c>
      <c r="AU134">
        <f>step3_validation[[#This Row],[AI_TRU3]]</f>
        <v>5</v>
      </c>
      <c r="AV134" t="str">
        <f t="shared" si="72"/>
        <v>Neutral</v>
      </c>
      <c r="AW134">
        <f>survey_responses[[#This Row],[Tôi tin tưởng số tiền thuế tôi đóng sẽ được Nhà nước sử dụng hiệu quả để cải thiện dịch vụ công (y tế, đường xá...). - HUMAN-TRU3]]</f>
        <v>5</v>
      </c>
      <c r="AX134" t="str">
        <f t="shared" si="73"/>
        <v>Neutral</v>
      </c>
      <c r="AY134" s="32">
        <f t="shared" si="74"/>
        <v>0</v>
      </c>
      <c r="AZ134">
        <f>step3_validation[[#This Row],[AI_TRU4]]</f>
        <v>6</v>
      </c>
      <c r="BA134" t="str">
        <f t="shared" si="75"/>
        <v>Neutral</v>
      </c>
      <c r="BB134">
        <f>survey_responses[[#This Row],[Tôi thấy Nhà nước đã giải thích rõ ràng, minh bạch về lý do và mục tiêu của việc sửa đổi thuế lần này. - HUMAN-TRU4]]</f>
        <v>5</v>
      </c>
      <c r="BC134" t="str">
        <f t="shared" si="76"/>
        <v>Neutral</v>
      </c>
      <c r="BD134" s="32">
        <f t="shared" si="77"/>
        <v>1</v>
      </c>
      <c r="BE134">
        <f>step3_validation[[#This Row],[AI_OUT1]]</f>
        <v>7</v>
      </c>
      <c r="BF134" t="str">
        <f t="shared" si="78"/>
        <v>Neutral</v>
      </c>
      <c r="BG134">
        <f>survey_responses[[#This Row],[Sau khi xem xét các quyền lợi và nghĩa vụ, bạn có ủng hộ và tuân thủ chính sách mới hiện nay? - HUMAN-OUT1]]</f>
        <v>5</v>
      </c>
      <c r="BH134" t="str">
        <f t="shared" si="79"/>
        <v>Neutral</v>
      </c>
      <c r="BI134" s="32">
        <f t="shared" si="80"/>
        <v>2</v>
      </c>
    </row>
    <row r="135" spans="1:61" x14ac:dyDescent="0.45">
      <c r="A135" s="30">
        <f>step3_validation[[#This Row],[Persona_ID]]</f>
        <v>134</v>
      </c>
      <c r="B135" s="31">
        <f>step3_validation[[#This Row],[Used_Seed]]</f>
        <v>2124</v>
      </c>
      <c r="C135" t="str">
        <f>step3_validation[[#This Row],[Gender]]</f>
        <v>Nữ</v>
      </c>
      <c r="D135" t="str">
        <f>survey_responses[[#This Row],[Giới tính của bạn:]]</f>
        <v>Nữ</v>
      </c>
      <c r="E135" t="str">
        <f>step3_validation[[#This Row],[Age_Group]]</f>
        <v>18 - 24</v>
      </c>
      <c r="F135" t="str">
        <f>survey_responses[[#This Row],[Độ tuổi của bạn:]]</f>
        <v>18 - 24</v>
      </c>
      <c r="G135" t="str">
        <f>step3_validation[[#This Row],[Region]]</f>
        <v>Thành thị</v>
      </c>
      <c r="H135" t="str">
        <f>survey_responses[[#This Row],[Khu vực bạn đang sinh sống:]]</f>
        <v>Thành thị</v>
      </c>
      <c r="I135" t="str">
        <f>step3_validation[[#This Row],[Education]]</f>
        <v>Đại học</v>
      </c>
      <c r="J135" t="str">
        <f>survey_responses[[#This Row],[Trình độ học vấn cao nhất:]]</f>
        <v>Đại học</v>
      </c>
      <c r="K135" t="str">
        <f>step3_validation[[#This Row],[Employment]]</f>
        <v>Chính thức</v>
      </c>
      <c r="L135" t="str">
        <f>survey_responses[[#This Row],[Tình trạng việc làm chính:]]</f>
        <v>Khu vực chính thức (Có Hợp đồng lao động, đóng BHXH)</v>
      </c>
      <c r="M135">
        <f>step3_validation[[#This Row],[Income_Mil]]</f>
        <v>19.621506850513263</v>
      </c>
      <c r="N135" t="str">
        <f>survey_responses[[#This Row],[Thu nhập bình quân tháng theo Hợp đồng lao động của bạn là bao nhiêu? (Vui lòng điền tổng thu nhập trước khi khấu trừ các loại Bảo hiểm (BHXH, BHYT, BHTN) và Thuế TNCN)]]</f>
        <v>Từ 18 - 23 triệu VNĐ</v>
      </c>
      <c r="O135">
        <f>step3_validation[[#This Row],[Dependents]]</f>
        <v>0</v>
      </c>
      <c r="P135" t="str">
        <f>survey_responses[[#This Row],[Số người phụ thuộc (con nhỏ, cha mẹ già...) đủ điều kiện giảm trừ gia cảnh:]]</f>
        <v>0 người</v>
      </c>
      <c r="Q135">
        <f>step3_validation[[#This Row],[AI_ENF1]]</f>
        <v>7</v>
      </c>
      <c r="R135" t="str">
        <f t="shared" si="54"/>
        <v>Neutral</v>
      </c>
      <c r="S135">
        <f>survey_responses[[#This Row],[Tôi tin rằng với các quy định quản lý thuế hiện nay, hành vi gian lận hoặc trốn thuế sẽ dễ dàng bị phát hiện và xử lý nghiêm. - HUMAN-ENF1]]</f>
        <v>9</v>
      </c>
      <c r="T135" t="str">
        <f t="shared" si="55"/>
        <v>Support</v>
      </c>
      <c r="U135" s="32">
        <f t="shared" si="56"/>
        <v>2</v>
      </c>
      <c r="V135">
        <f>step3_validation[[#This Row],[AI_ENF2]]</f>
        <v>6</v>
      </c>
      <c r="W135" t="str">
        <f t="shared" si="57"/>
        <v>Neutral</v>
      </c>
      <c r="X135">
        <f>survey_responses[[#This Row],[Tôi tin rằng Nhà nước, cơ quan thuế có đủ khả năng và công nghệ để phát hiện, xử lý nghiêm các hành vi trốn thuế. - HUMAN-ENF2]]</f>
        <v>9</v>
      </c>
      <c r="Y135" t="str">
        <f t="shared" si="58"/>
        <v>Support</v>
      </c>
      <c r="Z135" s="32">
        <f t="shared" si="59"/>
        <v>3</v>
      </c>
      <c r="AA135">
        <f>step3_validation[[#This Row],[AI_FAC1]]</f>
        <v>8</v>
      </c>
      <c r="AB135" t="str">
        <f t="shared" si="60"/>
        <v>Support</v>
      </c>
      <c r="AC135">
        <f>survey_responses[[#This Row],[Các thủ tục khai báo thuế VÀ/HOẶC quy trình làm việc với cơ quan thuế đơn giản, tiện lợi, nhanh chóng hơn so với trước đây. - HUMAN-FAC1]]</f>
        <v>5</v>
      </c>
      <c r="AD135" t="str">
        <f t="shared" si="61"/>
        <v>Neutral</v>
      </c>
      <c r="AE135" s="32">
        <f t="shared" si="62"/>
        <v>3</v>
      </c>
      <c r="AF135">
        <f>step3_validation[[#This Row],[AI_FAC2]]</f>
        <v>9</v>
      </c>
      <c r="AG135" t="str">
        <f t="shared" si="63"/>
        <v>Support</v>
      </c>
      <c r="AH135">
        <f>survey_responses[[#This Row],[So với trước đây, tôi thấy cách tính thuế và các bậc thuế trong phương án mới đơn giản, dễ hiểu và dễ thực hiện hơn. - HUMAN-FAC2]]</f>
        <v>9</v>
      </c>
      <c r="AI135" t="str">
        <f t="shared" si="64"/>
        <v>Support</v>
      </c>
      <c r="AJ135" s="32">
        <f t="shared" si="65"/>
        <v>0</v>
      </c>
      <c r="AK135">
        <f>step3_validation[[#This Row],[AI_TRU1]]</f>
        <v>8</v>
      </c>
      <c r="AL135" t="str">
        <f t="shared" si="66"/>
        <v>Support</v>
      </c>
      <c r="AM135">
        <f>survey_responses[[#This Row],[Tôi tin rằng Nhà nước, cơ quan thuế sẽ thực thi chính sách mới một cách khách quan, công tâm và đối xử bình đẳng với mọi người nộp thuế.  - HUMAN-TRU1]]</f>
        <v>8</v>
      </c>
      <c r="AN135" t="str">
        <f t="shared" si="67"/>
        <v>Support</v>
      </c>
      <c r="AO135" s="32">
        <f t="shared" si="68"/>
        <v>0</v>
      </c>
      <c r="AP135">
        <f>step3_validation[[#This Row],[AI_TRU2]]</f>
        <v>9</v>
      </c>
      <c r="AQ135" t="str">
        <f t="shared" si="69"/>
        <v>Support</v>
      </c>
      <c r="AR135">
        <f>survey_responses[[#This Row],[Tôi thấy mức thuế tôi phải đóng theo phương án mới là công bằng (người thu nhập như tôi đóng mức này là hợp lý). - HUMAN-TRU2]]</f>
        <v>10</v>
      </c>
      <c r="AS135" t="str">
        <f t="shared" si="70"/>
        <v>Support</v>
      </c>
      <c r="AT135" s="32">
        <f t="shared" si="71"/>
        <v>1</v>
      </c>
      <c r="AU135">
        <f>step3_validation[[#This Row],[AI_TRU3]]</f>
        <v>8</v>
      </c>
      <c r="AV135" t="str">
        <f t="shared" si="72"/>
        <v>Support</v>
      </c>
      <c r="AW135">
        <f>survey_responses[[#This Row],[Tôi tin tưởng số tiền thuế tôi đóng sẽ được Nhà nước sử dụng hiệu quả để cải thiện dịch vụ công (y tế, đường xá...). - HUMAN-TRU3]]</f>
        <v>5</v>
      </c>
      <c r="AX135" t="str">
        <f t="shared" si="73"/>
        <v>Neutral</v>
      </c>
      <c r="AY135" s="32">
        <f t="shared" si="74"/>
        <v>3</v>
      </c>
      <c r="AZ135">
        <f>step3_validation[[#This Row],[AI_TRU4]]</f>
        <v>7</v>
      </c>
      <c r="BA135" t="str">
        <f t="shared" si="75"/>
        <v>Neutral</v>
      </c>
      <c r="BB135">
        <f>survey_responses[[#This Row],[Tôi thấy Nhà nước đã giải thích rõ ràng, minh bạch về lý do và mục tiêu của việc sửa đổi thuế lần này. - HUMAN-TRU4]]</f>
        <v>5</v>
      </c>
      <c r="BC135" t="str">
        <f t="shared" si="76"/>
        <v>Neutral</v>
      </c>
      <c r="BD135" s="32">
        <f t="shared" si="77"/>
        <v>2</v>
      </c>
      <c r="BE135">
        <f>step3_validation[[#This Row],[AI_OUT1]]</f>
        <v>8</v>
      </c>
      <c r="BF135" t="str">
        <f t="shared" si="78"/>
        <v>Support</v>
      </c>
      <c r="BG135">
        <f>survey_responses[[#This Row],[Sau khi xem xét các quyền lợi và nghĩa vụ, bạn có ủng hộ và tuân thủ chính sách mới hiện nay? - HUMAN-OUT1]]</f>
        <v>7</v>
      </c>
      <c r="BH135" t="str">
        <f t="shared" si="79"/>
        <v>Neutral</v>
      </c>
      <c r="BI135" s="32">
        <f t="shared" si="80"/>
        <v>1</v>
      </c>
    </row>
    <row r="136" spans="1:61" x14ac:dyDescent="0.45">
      <c r="A136" s="30">
        <f>step3_validation[[#This Row],[Persona_ID]]</f>
        <v>135</v>
      </c>
      <c r="B136" s="31">
        <f>step3_validation[[#This Row],[Used_Seed]]</f>
        <v>2125</v>
      </c>
      <c r="C136" t="str">
        <f>step3_validation[[#This Row],[Gender]]</f>
        <v>Nam</v>
      </c>
      <c r="D136" t="str">
        <f>survey_responses[[#This Row],[Giới tính của bạn:]]</f>
        <v>Nam</v>
      </c>
      <c r="E136" t="str">
        <f>step3_validation[[#This Row],[Age_Group]]</f>
        <v>18 - 24</v>
      </c>
      <c r="F136" t="str">
        <f>survey_responses[[#This Row],[Độ tuổi của bạn:]]</f>
        <v>18 - 24</v>
      </c>
      <c r="G136" t="str">
        <f>step3_validation[[#This Row],[Region]]</f>
        <v>Thành thị</v>
      </c>
      <c r="H136" t="str">
        <f>survey_responses[[#This Row],[Khu vực bạn đang sinh sống:]]</f>
        <v>Thành thị</v>
      </c>
      <c r="I136" t="str">
        <f>step3_validation[[#This Row],[Education]]</f>
        <v>Đại học</v>
      </c>
      <c r="J136" t="str">
        <f>survey_responses[[#This Row],[Trình độ học vấn cao nhất:]]</f>
        <v>Đại học</v>
      </c>
      <c r="K136" t="str">
        <f>step3_validation[[#This Row],[Employment]]</f>
        <v>Chính thức</v>
      </c>
      <c r="L136" t="str">
        <f>survey_responses[[#This Row],[Tình trạng việc làm chính:]]</f>
        <v>Khu vực chính thức (Có Hợp đồng lao động, đóng BHXH)</v>
      </c>
      <c r="M136">
        <f>step3_validation[[#This Row],[Income_Mil]]</f>
        <v>13.971867425319756</v>
      </c>
      <c r="N136" t="str">
        <f>survey_responses[[#This Row],[Thu nhập bình quân tháng theo Hợp đồng lao động của bạn là bao nhiêu? (Vui lòng điền tổng thu nhập trước khi khấu trừ các loại Bảo hiểm (BHXH, BHYT, BHTN) và Thuế TNCN)]]</f>
        <v>Từ 12 - 18 triệu VNĐ</v>
      </c>
      <c r="O136">
        <f>step3_validation[[#This Row],[Dependents]]</f>
        <v>0</v>
      </c>
      <c r="P136" t="str">
        <f>survey_responses[[#This Row],[Số người phụ thuộc (con nhỏ, cha mẹ già...) đủ điều kiện giảm trừ gia cảnh:]]</f>
        <v>0 người</v>
      </c>
      <c r="Q136">
        <f>step3_validation[[#This Row],[AI_ENF1]]</f>
        <v>6</v>
      </c>
      <c r="R136" t="str">
        <f t="shared" si="54"/>
        <v>Neutral</v>
      </c>
      <c r="S136">
        <f>survey_responses[[#This Row],[Tôi tin rằng với các quy định quản lý thuế hiện nay, hành vi gian lận hoặc trốn thuế sẽ dễ dàng bị phát hiện và xử lý nghiêm. - HUMAN-ENF1]]</f>
        <v>5</v>
      </c>
      <c r="T136" t="str">
        <f t="shared" si="55"/>
        <v>Neutral</v>
      </c>
      <c r="U136" s="32">
        <f t="shared" si="56"/>
        <v>1</v>
      </c>
      <c r="V136">
        <f>step3_validation[[#This Row],[AI_ENF2]]</f>
        <v>7</v>
      </c>
      <c r="W136" t="str">
        <f t="shared" si="57"/>
        <v>Neutral</v>
      </c>
      <c r="X136">
        <f>survey_responses[[#This Row],[Tôi tin rằng Nhà nước, cơ quan thuế có đủ khả năng và công nghệ để phát hiện, xử lý nghiêm các hành vi trốn thuế. - HUMAN-ENF2]]</f>
        <v>5</v>
      </c>
      <c r="Y136" t="str">
        <f t="shared" si="58"/>
        <v>Neutral</v>
      </c>
      <c r="Z136" s="32">
        <f t="shared" si="59"/>
        <v>2</v>
      </c>
      <c r="AA136">
        <f>step3_validation[[#This Row],[AI_FAC1]]</f>
        <v>8</v>
      </c>
      <c r="AB136" t="str">
        <f t="shared" si="60"/>
        <v>Support</v>
      </c>
      <c r="AC136">
        <f>survey_responses[[#This Row],[Các thủ tục khai báo thuế VÀ/HOẶC quy trình làm việc với cơ quan thuế đơn giản, tiện lợi, nhanh chóng hơn so với trước đây. - HUMAN-FAC1]]</f>
        <v>5</v>
      </c>
      <c r="AD136" t="str">
        <f t="shared" si="61"/>
        <v>Neutral</v>
      </c>
      <c r="AE136" s="32">
        <f t="shared" si="62"/>
        <v>3</v>
      </c>
      <c r="AF136">
        <f>step3_validation[[#This Row],[AI_FAC2]]</f>
        <v>9</v>
      </c>
      <c r="AG136" t="str">
        <f t="shared" si="63"/>
        <v>Support</v>
      </c>
      <c r="AH136">
        <f>survey_responses[[#This Row],[So với trước đây, tôi thấy cách tính thuế và các bậc thuế trong phương án mới đơn giản, dễ hiểu và dễ thực hiện hơn. - HUMAN-FAC2]]</f>
        <v>6</v>
      </c>
      <c r="AI136" t="str">
        <f t="shared" si="64"/>
        <v>Neutral</v>
      </c>
      <c r="AJ136" s="32">
        <f t="shared" si="65"/>
        <v>3</v>
      </c>
      <c r="AK136">
        <f>step3_validation[[#This Row],[AI_TRU1]]</f>
        <v>7</v>
      </c>
      <c r="AL136" t="str">
        <f t="shared" si="66"/>
        <v>Neutral</v>
      </c>
      <c r="AM136">
        <f>survey_responses[[#This Row],[Tôi tin rằng Nhà nước, cơ quan thuế sẽ thực thi chính sách mới một cách khách quan, công tâm và đối xử bình đẳng với mọi người nộp thuế.  - HUMAN-TRU1]]</f>
        <v>6</v>
      </c>
      <c r="AN136" t="str">
        <f t="shared" si="67"/>
        <v>Neutral</v>
      </c>
      <c r="AO136" s="32">
        <f t="shared" si="68"/>
        <v>1</v>
      </c>
      <c r="AP136">
        <f>step3_validation[[#This Row],[AI_TRU2]]</f>
        <v>6</v>
      </c>
      <c r="AQ136" t="str">
        <f t="shared" si="69"/>
        <v>Neutral</v>
      </c>
      <c r="AR136">
        <f>survey_responses[[#This Row],[Tôi thấy mức thuế tôi phải đóng theo phương án mới là công bằng (người thu nhập như tôi đóng mức này là hợp lý). - HUMAN-TRU2]]</f>
        <v>6</v>
      </c>
      <c r="AS136" t="str">
        <f t="shared" si="70"/>
        <v>Neutral</v>
      </c>
      <c r="AT136" s="32">
        <f t="shared" si="71"/>
        <v>0</v>
      </c>
      <c r="AU136">
        <f>step3_validation[[#This Row],[AI_TRU3]]</f>
        <v>5</v>
      </c>
      <c r="AV136" t="str">
        <f t="shared" si="72"/>
        <v>Neutral</v>
      </c>
      <c r="AW136">
        <f>survey_responses[[#This Row],[Tôi tin tưởng số tiền thuế tôi đóng sẽ được Nhà nước sử dụng hiệu quả để cải thiện dịch vụ công (y tế, đường xá...). - HUMAN-TRU3]]</f>
        <v>6</v>
      </c>
      <c r="AX136" t="str">
        <f t="shared" si="73"/>
        <v>Neutral</v>
      </c>
      <c r="AY136" s="32">
        <f t="shared" si="74"/>
        <v>1</v>
      </c>
      <c r="AZ136">
        <f>step3_validation[[#This Row],[AI_TRU4]]</f>
        <v>7</v>
      </c>
      <c r="BA136" t="str">
        <f t="shared" si="75"/>
        <v>Neutral</v>
      </c>
      <c r="BB136">
        <f>survey_responses[[#This Row],[Tôi thấy Nhà nước đã giải thích rõ ràng, minh bạch về lý do và mục tiêu của việc sửa đổi thuế lần này. - HUMAN-TRU4]]</f>
        <v>6</v>
      </c>
      <c r="BC136" t="str">
        <f t="shared" si="76"/>
        <v>Neutral</v>
      </c>
      <c r="BD136" s="32">
        <f t="shared" si="77"/>
        <v>1</v>
      </c>
      <c r="BE136">
        <f>step3_validation[[#This Row],[AI_OUT1]]</f>
        <v>8</v>
      </c>
      <c r="BF136" t="str">
        <f t="shared" si="78"/>
        <v>Support</v>
      </c>
      <c r="BG136">
        <f>survey_responses[[#This Row],[Sau khi xem xét các quyền lợi và nghĩa vụ, bạn có ủng hộ và tuân thủ chính sách mới hiện nay? - HUMAN-OUT1]]</f>
        <v>6</v>
      </c>
      <c r="BH136" t="str">
        <f t="shared" si="79"/>
        <v>Neutral</v>
      </c>
      <c r="BI136" s="32">
        <f t="shared" si="80"/>
        <v>2</v>
      </c>
    </row>
    <row r="137" spans="1:61" x14ac:dyDescent="0.45">
      <c r="A137" s="30">
        <f>step3_validation[[#This Row],[Persona_ID]]</f>
        <v>136</v>
      </c>
      <c r="B137" s="31">
        <f>step3_validation[[#This Row],[Used_Seed]]</f>
        <v>2126</v>
      </c>
      <c r="C137" t="str">
        <f>step3_validation[[#This Row],[Gender]]</f>
        <v>Nữ</v>
      </c>
      <c r="D137" t="str">
        <f>survey_responses[[#This Row],[Giới tính của bạn:]]</f>
        <v>Nữ</v>
      </c>
      <c r="E137" t="str">
        <f>step3_validation[[#This Row],[Age_Group]]</f>
        <v>55 - 64</v>
      </c>
      <c r="F137" t="str">
        <f>survey_responses[[#This Row],[Độ tuổi của bạn:]]</f>
        <v>55 - 64</v>
      </c>
      <c r="G137" t="str">
        <f>step3_validation[[#This Row],[Region]]</f>
        <v>Thành thị</v>
      </c>
      <c r="H137" t="str">
        <f>survey_responses[[#This Row],[Khu vực bạn đang sinh sống:]]</f>
        <v>Thành thị</v>
      </c>
      <c r="I137" t="str">
        <f>step3_validation[[#This Row],[Education]]</f>
        <v>Đại học</v>
      </c>
      <c r="J137" t="str">
        <f>survey_responses[[#This Row],[Trình độ học vấn cao nhất:]]</f>
        <v>Đại học</v>
      </c>
      <c r="K137" t="str">
        <f>step3_validation[[#This Row],[Employment]]</f>
        <v>Phi chính thức</v>
      </c>
      <c r="L137" t="str">
        <f>survey_responses[[#This Row],[Tình trạng việc làm chính:]]</f>
        <v>Khác (Về hưu, nội trợ, sinh viên)</v>
      </c>
      <c r="M137">
        <f>step3_validation[[#This Row],[Income_Mil]]</f>
        <v>12</v>
      </c>
      <c r="N137" t="str">
        <f>survey_responses[[#This Row],[Thu nhập bình quân tháng theo Hợp đồng lao động của bạn là bao nhiêu? (Vui lòng điền tổng thu nhập trước khi khấu trừ các loại Bảo hiểm (BHXH, BHYT, BHTN) và Thuế TNCN)]]</f>
        <v>Dưới 12 triệu VNĐ</v>
      </c>
      <c r="O137">
        <f>step3_validation[[#This Row],[Dependents]]</f>
        <v>0</v>
      </c>
      <c r="P137" t="str">
        <f>survey_responses[[#This Row],[Số người phụ thuộc (con nhỏ, cha mẹ già...) đủ điều kiện giảm trừ gia cảnh:]]</f>
        <v>0 người</v>
      </c>
      <c r="Q137">
        <f>step3_validation[[#This Row],[AI_ENF1]]</f>
        <v>7</v>
      </c>
      <c r="R137" t="str">
        <f t="shared" si="54"/>
        <v>Neutral</v>
      </c>
      <c r="S137">
        <f>survey_responses[[#This Row],[Tôi tin rằng với các quy định quản lý thuế hiện nay, hành vi gian lận hoặc trốn thuế sẽ dễ dàng bị phát hiện và xử lý nghiêm. - HUMAN-ENF1]]</f>
        <v>8</v>
      </c>
      <c r="T137" t="str">
        <f t="shared" si="55"/>
        <v>Support</v>
      </c>
      <c r="U137" s="32">
        <f t="shared" si="56"/>
        <v>1</v>
      </c>
      <c r="V137">
        <f>step3_validation[[#This Row],[AI_ENF2]]</f>
        <v>6</v>
      </c>
      <c r="W137" t="str">
        <f t="shared" si="57"/>
        <v>Neutral</v>
      </c>
      <c r="X137">
        <f>survey_responses[[#This Row],[Tôi tin rằng Nhà nước, cơ quan thuế có đủ khả năng và công nghệ để phát hiện, xử lý nghiêm các hành vi trốn thuế. - HUMAN-ENF2]]</f>
        <v>8</v>
      </c>
      <c r="Y137" t="str">
        <f t="shared" si="58"/>
        <v>Support</v>
      </c>
      <c r="Z137" s="32">
        <f t="shared" si="59"/>
        <v>2</v>
      </c>
      <c r="AA137">
        <f>step3_validation[[#This Row],[AI_FAC1]]</f>
        <v>5</v>
      </c>
      <c r="AB137" t="str">
        <f t="shared" si="60"/>
        <v>Neutral</v>
      </c>
      <c r="AC137">
        <f>survey_responses[[#This Row],[Các thủ tục khai báo thuế VÀ/HOẶC quy trình làm việc với cơ quan thuế đơn giản, tiện lợi, nhanh chóng hơn so với trước đây. - HUMAN-FAC1]]</f>
        <v>8</v>
      </c>
      <c r="AD137" t="str">
        <f t="shared" si="61"/>
        <v>Support</v>
      </c>
      <c r="AE137" s="32">
        <f t="shared" si="62"/>
        <v>3</v>
      </c>
      <c r="AF137">
        <f>step3_validation[[#This Row],[AI_FAC2]]</f>
        <v>7</v>
      </c>
      <c r="AG137" t="str">
        <f t="shared" si="63"/>
        <v>Neutral</v>
      </c>
      <c r="AH137">
        <f>survey_responses[[#This Row],[So với trước đây, tôi thấy cách tính thuế và các bậc thuế trong phương án mới đơn giản, dễ hiểu và dễ thực hiện hơn. - HUMAN-FAC2]]</f>
        <v>8</v>
      </c>
      <c r="AI137" t="str">
        <f t="shared" si="64"/>
        <v>Support</v>
      </c>
      <c r="AJ137" s="32">
        <f t="shared" si="65"/>
        <v>1</v>
      </c>
      <c r="AK137">
        <f>step3_validation[[#This Row],[AI_TRU1]]</f>
        <v>6</v>
      </c>
      <c r="AL137" t="str">
        <f t="shared" si="66"/>
        <v>Neutral</v>
      </c>
      <c r="AM137">
        <f>survey_responses[[#This Row],[Tôi tin rằng Nhà nước, cơ quan thuế sẽ thực thi chính sách mới một cách khách quan, công tâm và đối xử bình đẳng với mọi người nộp thuế.  - HUMAN-TRU1]]</f>
        <v>10</v>
      </c>
      <c r="AN137" t="str">
        <f t="shared" si="67"/>
        <v>Support</v>
      </c>
      <c r="AO137" s="32">
        <f t="shared" si="68"/>
        <v>4</v>
      </c>
      <c r="AP137">
        <f>step3_validation[[#This Row],[AI_TRU2]]</f>
        <v>4</v>
      </c>
      <c r="AQ137" t="str">
        <f t="shared" si="69"/>
        <v>Oppose</v>
      </c>
      <c r="AR137">
        <f>survey_responses[[#This Row],[Tôi thấy mức thuế tôi phải đóng theo phương án mới là công bằng (người thu nhập như tôi đóng mức này là hợp lý). - HUMAN-TRU2]]</f>
        <v>10</v>
      </c>
      <c r="AS137" t="str">
        <f t="shared" si="70"/>
        <v>Support</v>
      </c>
      <c r="AT137" s="32">
        <f t="shared" si="71"/>
        <v>6</v>
      </c>
      <c r="AU137">
        <f>step3_validation[[#This Row],[AI_TRU3]]</f>
        <v>5</v>
      </c>
      <c r="AV137" t="str">
        <f t="shared" si="72"/>
        <v>Neutral</v>
      </c>
      <c r="AW137">
        <f>survey_responses[[#This Row],[Tôi tin tưởng số tiền thuế tôi đóng sẽ được Nhà nước sử dụng hiệu quả để cải thiện dịch vụ công (y tế, đường xá...). - HUMAN-TRU3]]</f>
        <v>10</v>
      </c>
      <c r="AX137" t="str">
        <f t="shared" si="73"/>
        <v>Support</v>
      </c>
      <c r="AY137" s="32">
        <f t="shared" si="74"/>
        <v>5</v>
      </c>
      <c r="AZ137">
        <f>step3_validation[[#This Row],[AI_TRU4]]</f>
        <v>3</v>
      </c>
      <c r="BA137" t="str">
        <f t="shared" si="75"/>
        <v>Oppose</v>
      </c>
      <c r="BB137">
        <f>survey_responses[[#This Row],[Tôi thấy Nhà nước đã giải thích rõ ràng, minh bạch về lý do và mục tiêu của việc sửa đổi thuế lần này. - HUMAN-TRU4]]</f>
        <v>10</v>
      </c>
      <c r="BC137" t="str">
        <f t="shared" si="76"/>
        <v>Support</v>
      </c>
      <c r="BD137" s="32">
        <f t="shared" si="77"/>
        <v>7</v>
      </c>
      <c r="BE137">
        <f>step3_validation[[#This Row],[AI_OUT1]]</f>
        <v>5</v>
      </c>
      <c r="BF137" t="str">
        <f t="shared" si="78"/>
        <v>Neutral</v>
      </c>
      <c r="BG137">
        <f>survey_responses[[#This Row],[Sau khi xem xét các quyền lợi và nghĩa vụ, bạn có ủng hộ và tuân thủ chính sách mới hiện nay? - HUMAN-OUT1]]</f>
        <v>10</v>
      </c>
      <c r="BH137" t="str">
        <f t="shared" si="79"/>
        <v>Support</v>
      </c>
      <c r="BI137" s="32">
        <f t="shared" si="80"/>
        <v>5</v>
      </c>
    </row>
    <row r="138" spans="1:61" x14ac:dyDescent="0.45">
      <c r="A138" s="30">
        <f>step3_validation[[#This Row],[Persona_ID]]</f>
        <v>137</v>
      </c>
      <c r="B138" s="31">
        <f>step3_validation[[#This Row],[Used_Seed]]</f>
        <v>2127</v>
      </c>
      <c r="C138" t="str">
        <f>step3_validation[[#This Row],[Gender]]</f>
        <v>Nam</v>
      </c>
      <c r="D138" t="str">
        <f>survey_responses[[#This Row],[Giới tính của bạn:]]</f>
        <v>Nam</v>
      </c>
      <c r="E138" t="str">
        <f>step3_validation[[#This Row],[Age_Group]]</f>
        <v>50 - 54</v>
      </c>
      <c r="F138" t="str">
        <f>survey_responses[[#This Row],[Độ tuổi của bạn:]]</f>
        <v>50 - 54</v>
      </c>
      <c r="G138" t="str">
        <f>step3_validation[[#This Row],[Region]]</f>
        <v>Thành thị</v>
      </c>
      <c r="H138" t="str">
        <f>survey_responses[[#This Row],[Khu vực bạn đang sinh sống:]]</f>
        <v>Thành thị</v>
      </c>
      <c r="I138" t="str">
        <f>step3_validation[[#This Row],[Education]]</f>
        <v>Đại học</v>
      </c>
      <c r="J138" t="str">
        <f>survey_responses[[#This Row],[Trình độ học vấn cao nhất:]]</f>
        <v>Đại học</v>
      </c>
      <c r="K138" t="str">
        <f>step3_validation[[#This Row],[Employment]]</f>
        <v>Chính thức</v>
      </c>
      <c r="L138" t="str">
        <f>survey_responses[[#This Row],[Tình trạng việc làm chính:]]</f>
        <v>Khu vực chính thức (Có Hợp đồng lao động, đóng BHXH)</v>
      </c>
      <c r="M138">
        <f>step3_validation[[#This Row],[Income_Mil]]</f>
        <v>247.94099676182358</v>
      </c>
      <c r="N138" t="str">
        <f>survey_responses[[#This Row],[Thu nhập bình quân tháng theo Hợp đồng lao động của bạn là bao nhiêu? (Vui lòng điền tổng thu nhập trước khi khấu trừ các loại Bảo hiểm (BHXH, BHYT, BHTN) và Thuế TNCN)]]</f>
        <v>Trên 102 triệu VNĐ</v>
      </c>
      <c r="O138">
        <f>step3_validation[[#This Row],[Dependents]]</f>
        <v>4</v>
      </c>
      <c r="P138" t="str">
        <f>survey_responses[[#This Row],[Số người phụ thuộc (con nhỏ, cha mẹ già...) đủ điều kiện giảm trừ gia cảnh:]]</f>
        <v>4 người trở lên</v>
      </c>
      <c r="Q138">
        <f>step3_validation[[#This Row],[AI_ENF1]]</f>
        <v>7</v>
      </c>
      <c r="R138" t="str">
        <f t="shared" si="54"/>
        <v>Neutral</v>
      </c>
      <c r="S138">
        <f>survey_responses[[#This Row],[Tôi tin rằng với các quy định quản lý thuế hiện nay, hành vi gian lận hoặc trốn thuế sẽ dễ dàng bị phát hiện và xử lý nghiêm. - HUMAN-ENF1]]</f>
        <v>8</v>
      </c>
      <c r="T138" t="str">
        <f t="shared" si="55"/>
        <v>Support</v>
      </c>
      <c r="U138" s="32">
        <f t="shared" si="56"/>
        <v>1</v>
      </c>
      <c r="V138">
        <f>step3_validation[[#This Row],[AI_ENF2]]</f>
        <v>8</v>
      </c>
      <c r="W138" t="str">
        <f t="shared" si="57"/>
        <v>Support</v>
      </c>
      <c r="X138">
        <f>survey_responses[[#This Row],[Tôi tin rằng Nhà nước, cơ quan thuế có đủ khả năng và công nghệ để phát hiện, xử lý nghiêm các hành vi trốn thuế. - HUMAN-ENF2]]</f>
        <v>8</v>
      </c>
      <c r="Y138" t="str">
        <f t="shared" si="58"/>
        <v>Support</v>
      </c>
      <c r="Z138" s="32">
        <f t="shared" si="59"/>
        <v>0</v>
      </c>
      <c r="AA138">
        <f>step3_validation[[#This Row],[AI_FAC1]]</f>
        <v>9</v>
      </c>
      <c r="AB138" t="str">
        <f t="shared" si="60"/>
        <v>Support</v>
      </c>
      <c r="AC138">
        <f>survey_responses[[#This Row],[Các thủ tục khai báo thuế VÀ/HOẶC quy trình làm việc với cơ quan thuế đơn giản, tiện lợi, nhanh chóng hơn so với trước đây. - HUMAN-FAC1]]</f>
        <v>8</v>
      </c>
      <c r="AD138" t="str">
        <f t="shared" si="61"/>
        <v>Support</v>
      </c>
      <c r="AE138" s="32">
        <f t="shared" si="62"/>
        <v>1</v>
      </c>
      <c r="AF138">
        <f>step3_validation[[#This Row],[AI_FAC2]]</f>
        <v>8</v>
      </c>
      <c r="AG138" t="str">
        <f t="shared" si="63"/>
        <v>Support</v>
      </c>
      <c r="AH138">
        <f>survey_responses[[#This Row],[So với trước đây, tôi thấy cách tính thuế và các bậc thuế trong phương án mới đơn giản, dễ hiểu và dễ thực hiện hơn. - HUMAN-FAC2]]</f>
        <v>8</v>
      </c>
      <c r="AI138" t="str">
        <f t="shared" si="64"/>
        <v>Support</v>
      </c>
      <c r="AJ138" s="32">
        <f t="shared" si="65"/>
        <v>0</v>
      </c>
      <c r="AK138">
        <f>step3_validation[[#This Row],[AI_TRU1]]</f>
        <v>9</v>
      </c>
      <c r="AL138" t="str">
        <f t="shared" si="66"/>
        <v>Support</v>
      </c>
      <c r="AM138">
        <f>survey_responses[[#This Row],[Tôi tin rằng Nhà nước, cơ quan thuế sẽ thực thi chính sách mới một cách khách quan, công tâm và đối xử bình đẳng với mọi người nộp thuế.  - HUMAN-TRU1]]</f>
        <v>8</v>
      </c>
      <c r="AN138" t="str">
        <f t="shared" si="67"/>
        <v>Support</v>
      </c>
      <c r="AO138" s="32">
        <f t="shared" si="68"/>
        <v>1</v>
      </c>
      <c r="AP138">
        <f>step3_validation[[#This Row],[AI_TRU2]]</f>
        <v>8</v>
      </c>
      <c r="AQ138" t="str">
        <f t="shared" si="69"/>
        <v>Support</v>
      </c>
      <c r="AR138">
        <f>survey_responses[[#This Row],[Tôi thấy mức thuế tôi phải đóng theo phương án mới là công bằng (người thu nhập như tôi đóng mức này là hợp lý). - HUMAN-TRU2]]</f>
        <v>8</v>
      </c>
      <c r="AS138" t="str">
        <f t="shared" si="70"/>
        <v>Support</v>
      </c>
      <c r="AT138" s="32">
        <f t="shared" si="71"/>
        <v>0</v>
      </c>
      <c r="AU138">
        <f>step3_validation[[#This Row],[AI_TRU3]]</f>
        <v>9</v>
      </c>
      <c r="AV138" t="str">
        <f t="shared" si="72"/>
        <v>Support</v>
      </c>
      <c r="AW138">
        <f>survey_responses[[#This Row],[Tôi tin tưởng số tiền thuế tôi đóng sẽ được Nhà nước sử dụng hiệu quả để cải thiện dịch vụ công (y tế, đường xá...). - HUMAN-TRU3]]</f>
        <v>5</v>
      </c>
      <c r="AX138" t="str">
        <f t="shared" si="73"/>
        <v>Neutral</v>
      </c>
      <c r="AY138" s="32">
        <f t="shared" si="74"/>
        <v>4</v>
      </c>
      <c r="AZ138">
        <f>step3_validation[[#This Row],[AI_TRU4]]</f>
        <v>7</v>
      </c>
      <c r="BA138" t="str">
        <f t="shared" si="75"/>
        <v>Neutral</v>
      </c>
      <c r="BB138">
        <f>survey_responses[[#This Row],[Tôi thấy Nhà nước đã giải thích rõ ràng, minh bạch về lý do và mục tiêu của việc sửa đổi thuế lần này. - HUMAN-TRU4]]</f>
        <v>7</v>
      </c>
      <c r="BC138" t="str">
        <f t="shared" si="76"/>
        <v>Neutral</v>
      </c>
      <c r="BD138" s="32">
        <f t="shared" si="77"/>
        <v>0</v>
      </c>
      <c r="BE138">
        <f>step3_validation[[#This Row],[AI_OUT1]]</f>
        <v>8</v>
      </c>
      <c r="BF138" t="str">
        <f t="shared" si="78"/>
        <v>Support</v>
      </c>
      <c r="BG138">
        <f>survey_responses[[#This Row],[Sau khi xem xét các quyền lợi và nghĩa vụ, bạn có ủng hộ và tuân thủ chính sách mới hiện nay? - HUMAN-OUT1]]</f>
        <v>8</v>
      </c>
      <c r="BH138" t="str">
        <f t="shared" si="79"/>
        <v>Support</v>
      </c>
      <c r="BI138" s="32">
        <f t="shared" si="80"/>
        <v>0</v>
      </c>
    </row>
    <row r="139" spans="1:61" x14ac:dyDescent="0.45">
      <c r="A139" s="30">
        <f>step3_validation[[#This Row],[Persona_ID]]</f>
        <v>138</v>
      </c>
      <c r="B139" s="31">
        <f>step3_validation[[#This Row],[Used_Seed]]</f>
        <v>2128</v>
      </c>
      <c r="C139" t="str">
        <f>step3_validation[[#This Row],[Gender]]</f>
        <v>Nữ</v>
      </c>
      <c r="D139" t="str">
        <f>survey_responses[[#This Row],[Giới tính của bạn:]]</f>
        <v>Nữ</v>
      </c>
      <c r="E139" t="str">
        <f>step3_validation[[#This Row],[Age_Group]]</f>
        <v>25 - 29</v>
      </c>
      <c r="F139" t="str">
        <f>survey_responses[[#This Row],[Độ tuổi của bạn:]]</f>
        <v>25 - 29</v>
      </c>
      <c r="G139" t="str">
        <f>step3_validation[[#This Row],[Region]]</f>
        <v>Thành thị</v>
      </c>
      <c r="H139" t="str">
        <f>survey_responses[[#This Row],[Khu vực bạn đang sinh sống:]]</f>
        <v>Thành thị</v>
      </c>
      <c r="I139" t="str">
        <f>step3_validation[[#This Row],[Education]]</f>
        <v>Sau Đại học</v>
      </c>
      <c r="J139" t="str">
        <f>survey_responses[[#This Row],[Trình độ học vấn cao nhất:]]</f>
        <v>Sau Đại học</v>
      </c>
      <c r="K139" t="str">
        <f>step3_validation[[#This Row],[Employment]]</f>
        <v>Chính thức</v>
      </c>
      <c r="L139" t="str">
        <f>survey_responses[[#This Row],[Tình trạng việc làm chính:]]</f>
        <v>Khu vực chính thức (Có Hợp đồng lao động, đóng BHXH)</v>
      </c>
      <c r="M139">
        <f>step3_validation[[#This Row],[Income_Mil]]</f>
        <v>15.774999141099268</v>
      </c>
      <c r="N139" t="str">
        <f>survey_responses[[#This Row],[Thu nhập bình quân tháng theo Hợp đồng lao động của bạn là bao nhiêu? (Vui lòng điền tổng thu nhập trước khi khấu trừ các loại Bảo hiểm (BHXH, BHYT, BHTN) và Thuế TNCN)]]</f>
        <v>Từ 12 - 18 triệu VNĐ</v>
      </c>
      <c r="O139">
        <f>step3_validation[[#This Row],[Dependents]]</f>
        <v>0</v>
      </c>
      <c r="P139" t="str">
        <f>survey_responses[[#This Row],[Số người phụ thuộc (con nhỏ, cha mẹ già...) đủ điều kiện giảm trừ gia cảnh:]]</f>
        <v>0 người</v>
      </c>
      <c r="Q139">
        <f>step3_validation[[#This Row],[AI_ENF1]]</f>
        <v>7</v>
      </c>
      <c r="R139" t="str">
        <f t="shared" si="54"/>
        <v>Neutral</v>
      </c>
      <c r="S139">
        <f>survey_responses[[#This Row],[Tôi tin rằng với các quy định quản lý thuế hiện nay, hành vi gian lận hoặc trốn thuế sẽ dễ dàng bị phát hiện và xử lý nghiêm. - HUMAN-ENF1]]</f>
        <v>8</v>
      </c>
      <c r="T139" t="str">
        <f t="shared" si="55"/>
        <v>Support</v>
      </c>
      <c r="U139" s="32">
        <f t="shared" si="56"/>
        <v>1</v>
      </c>
      <c r="V139">
        <f>step3_validation[[#This Row],[AI_ENF2]]</f>
        <v>8</v>
      </c>
      <c r="W139" t="str">
        <f t="shared" si="57"/>
        <v>Support</v>
      </c>
      <c r="X139">
        <f>survey_responses[[#This Row],[Tôi tin rằng Nhà nước, cơ quan thuế có đủ khả năng và công nghệ để phát hiện, xử lý nghiêm các hành vi trốn thuế. - HUMAN-ENF2]]</f>
        <v>9</v>
      </c>
      <c r="Y139" t="str">
        <f t="shared" si="58"/>
        <v>Support</v>
      </c>
      <c r="Z139" s="32">
        <f t="shared" si="59"/>
        <v>1</v>
      </c>
      <c r="AA139">
        <f>step3_validation[[#This Row],[AI_FAC1]]</f>
        <v>9</v>
      </c>
      <c r="AB139" t="str">
        <f t="shared" si="60"/>
        <v>Support</v>
      </c>
      <c r="AC139">
        <f>survey_responses[[#This Row],[Các thủ tục khai báo thuế VÀ/HOẶC quy trình làm việc với cơ quan thuế đơn giản, tiện lợi, nhanh chóng hơn so với trước đây. - HUMAN-FAC1]]</f>
        <v>7</v>
      </c>
      <c r="AD139" t="str">
        <f t="shared" si="61"/>
        <v>Neutral</v>
      </c>
      <c r="AE139" s="32">
        <f t="shared" si="62"/>
        <v>2</v>
      </c>
      <c r="AF139">
        <f>step3_validation[[#This Row],[AI_FAC2]]</f>
        <v>8</v>
      </c>
      <c r="AG139" t="str">
        <f t="shared" si="63"/>
        <v>Support</v>
      </c>
      <c r="AH139">
        <f>survey_responses[[#This Row],[So với trước đây, tôi thấy cách tính thuế và các bậc thuế trong phương án mới đơn giản, dễ hiểu và dễ thực hiện hơn. - HUMAN-FAC2]]</f>
        <v>7</v>
      </c>
      <c r="AI139" t="str">
        <f t="shared" si="64"/>
        <v>Neutral</v>
      </c>
      <c r="AJ139" s="32">
        <f t="shared" si="65"/>
        <v>1</v>
      </c>
      <c r="AK139">
        <f>step3_validation[[#This Row],[AI_TRU1]]</f>
        <v>7</v>
      </c>
      <c r="AL139" t="str">
        <f t="shared" si="66"/>
        <v>Neutral</v>
      </c>
      <c r="AM139">
        <f>survey_responses[[#This Row],[Tôi tin rằng Nhà nước, cơ quan thuế sẽ thực thi chính sách mới một cách khách quan, công tâm và đối xử bình đẳng với mọi người nộp thuế.  - HUMAN-TRU1]]</f>
        <v>6</v>
      </c>
      <c r="AN139" t="str">
        <f t="shared" si="67"/>
        <v>Neutral</v>
      </c>
      <c r="AO139" s="32">
        <f t="shared" si="68"/>
        <v>1</v>
      </c>
      <c r="AP139">
        <f>step3_validation[[#This Row],[AI_TRU2]]</f>
        <v>8</v>
      </c>
      <c r="AQ139" t="str">
        <f t="shared" si="69"/>
        <v>Support</v>
      </c>
      <c r="AR139">
        <f>survey_responses[[#This Row],[Tôi thấy mức thuế tôi phải đóng theo phương án mới là công bằng (người thu nhập như tôi đóng mức này là hợp lý). - HUMAN-TRU2]]</f>
        <v>6</v>
      </c>
      <c r="AS139" t="str">
        <f t="shared" si="70"/>
        <v>Neutral</v>
      </c>
      <c r="AT139" s="32">
        <f t="shared" si="71"/>
        <v>2</v>
      </c>
      <c r="AU139">
        <f>step3_validation[[#This Row],[AI_TRU3]]</f>
        <v>7</v>
      </c>
      <c r="AV139" t="str">
        <f t="shared" si="72"/>
        <v>Neutral</v>
      </c>
      <c r="AW139">
        <f>survey_responses[[#This Row],[Tôi tin tưởng số tiền thuế tôi đóng sẽ được Nhà nước sử dụng hiệu quả để cải thiện dịch vụ công (y tế, đường xá...). - HUMAN-TRU3]]</f>
        <v>2</v>
      </c>
      <c r="AX139" t="str">
        <f t="shared" si="73"/>
        <v>Oppose</v>
      </c>
      <c r="AY139" s="32">
        <f t="shared" si="74"/>
        <v>5</v>
      </c>
      <c r="AZ139">
        <f>step3_validation[[#This Row],[AI_TRU4]]</f>
        <v>6</v>
      </c>
      <c r="BA139" t="str">
        <f t="shared" si="75"/>
        <v>Neutral</v>
      </c>
      <c r="BB139">
        <f>survey_responses[[#This Row],[Tôi thấy Nhà nước đã giải thích rõ ràng, minh bạch về lý do và mục tiêu của việc sửa đổi thuế lần này. - HUMAN-TRU4]]</f>
        <v>5</v>
      </c>
      <c r="BC139" t="str">
        <f t="shared" si="76"/>
        <v>Neutral</v>
      </c>
      <c r="BD139" s="32">
        <f t="shared" si="77"/>
        <v>1</v>
      </c>
      <c r="BE139">
        <f>step3_validation[[#This Row],[AI_OUT1]]</f>
        <v>7</v>
      </c>
      <c r="BF139" t="str">
        <f t="shared" si="78"/>
        <v>Neutral</v>
      </c>
      <c r="BG139">
        <f>survey_responses[[#This Row],[Sau khi xem xét các quyền lợi và nghĩa vụ, bạn có ủng hộ và tuân thủ chính sách mới hiện nay? - HUMAN-OUT1]]</f>
        <v>6</v>
      </c>
      <c r="BH139" t="str">
        <f t="shared" si="79"/>
        <v>Neutral</v>
      </c>
      <c r="BI139" s="32">
        <f t="shared" si="80"/>
        <v>1</v>
      </c>
    </row>
    <row r="140" spans="1:61" x14ac:dyDescent="0.45">
      <c r="A140" s="30">
        <f>step3_validation[[#This Row],[Persona_ID]]</f>
        <v>139</v>
      </c>
      <c r="B140" s="31">
        <f>step3_validation[[#This Row],[Used_Seed]]</f>
        <v>2129</v>
      </c>
      <c r="C140" t="str">
        <f>step3_validation[[#This Row],[Gender]]</f>
        <v>Nữ</v>
      </c>
      <c r="D140" t="str">
        <f>survey_responses[[#This Row],[Giới tính của bạn:]]</f>
        <v>Nữ</v>
      </c>
      <c r="E140" t="str">
        <f>step3_validation[[#This Row],[Age_Group]]</f>
        <v>40 - 49</v>
      </c>
      <c r="F140" t="str">
        <f>survey_responses[[#This Row],[Độ tuổi của bạn:]]</f>
        <v>40 - 49</v>
      </c>
      <c r="G140" t="str">
        <f>step3_validation[[#This Row],[Region]]</f>
        <v>Thành thị</v>
      </c>
      <c r="H140" t="str">
        <f>survey_responses[[#This Row],[Khu vực bạn đang sinh sống:]]</f>
        <v>Thành thị</v>
      </c>
      <c r="I140" t="str">
        <f>step3_validation[[#This Row],[Education]]</f>
        <v>Sau Đại học</v>
      </c>
      <c r="J140" t="str">
        <f>survey_responses[[#This Row],[Trình độ học vấn cao nhất:]]</f>
        <v>Sau Đại học</v>
      </c>
      <c r="K140" t="str">
        <f>step3_validation[[#This Row],[Employment]]</f>
        <v>Chính thức</v>
      </c>
      <c r="L140" t="str">
        <f>survey_responses[[#This Row],[Tình trạng việc làm chính:]]</f>
        <v>Khu vực chính thức (Có Hợp đồng lao động, đóng BHXH)</v>
      </c>
      <c r="M140">
        <f>step3_validation[[#This Row],[Income_Mil]]</f>
        <v>224.80140609221547</v>
      </c>
      <c r="N140" t="str">
        <f>survey_responses[[#This Row],[Thu nhập bình quân tháng theo Hợp đồng lao động của bạn là bao nhiêu? (Vui lòng điền tổng thu nhập trước khi khấu trừ các loại Bảo hiểm (BHXH, BHYT, BHTN) và Thuế TNCN)]]</f>
        <v>Trên 102 triệu VNĐ</v>
      </c>
      <c r="O140">
        <f>step3_validation[[#This Row],[Dependents]]</f>
        <v>2</v>
      </c>
      <c r="P140" t="str">
        <f>survey_responses[[#This Row],[Số người phụ thuộc (con nhỏ, cha mẹ già...) đủ điều kiện giảm trừ gia cảnh:]]</f>
        <v>2 người</v>
      </c>
      <c r="Q140">
        <f>step3_validation[[#This Row],[AI_ENF1]]</f>
        <v>8</v>
      </c>
      <c r="R140" t="str">
        <f t="shared" si="54"/>
        <v>Support</v>
      </c>
      <c r="S140">
        <f>survey_responses[[#This Row],[Tôi tin rằng với các quy định quản lý thuế hiện nay, hành vi gian lận hoặc trốn thuế sẽ dễ dàng bị phát hiện và xử lý nghiêm. - HUMAN-ENF1]]</f>
        <v>5</v>
      </c>
      <c r="T140" t="str">
        <f t="shared" si="55"/>
        <v>Neutral</v>
      </c>
      <c r="U140" s="32">
        <f t="shared" si="56"/>
        <v>3</v>
      </c>
      <c r="V140">
        <f>step3_validation[[#This Row],[AI_ENF2]]</f>
        <v>7</v>
      </c>
      <c r="W140" t="str">
        <f t="shared" si="57"/>
        <v>Neutral</v>
      </c>
      <c r="X140">
        <f>survey_responses[[#This Row],[Tôi tin rằng Nhà nước, cơ quan thuế có đủ khả năng và công nghệ để phát hiện, xử lý nghiêm các hành vi trốn thuế. - HUMAN-ENF2]]</f>
        <v>4</v>
      </c>
      <c r="Y140" t="str">
        <f t="shared" si="58"/>
        <v>Oppose</v>
      </c>
      <c r="Z140" s="32">
        <f t="shared" si="59"/>
        <v>3</v>
      </c>
      <c r="AA140">
        <f>step3_validation[[#This Row],[AI_FAC1]]</f>
        <v>6</v>
      </c>
      <c r="AB140" t="str">
        <f t="shared" si="60"/>
        <v>Neutral</v>
      </c>
      <c r="AC140">
        <f>survey_responses[[#This Row],[Các thủ tục khai báo thuế VÀ/HOẶC quy trình làm việc với cơ quan thuế đơn giản, tiện lợi, nhanh chóng hơn so với trước đây. - HUMAN-FAC1]]</f>
        <v>7</v>
      </c>
      <c r="AD140" t="str">
        <f t="shared" si="61"/>
        <v>Neutral</v>
      </c>
      <c r="AE140" s="32">
        <f t="shared" si="62"/>
        <v>1</v>
      </c>
      <c r="AF140">
        <f>step3_validation[[#This Row],[AI_FAC2]]</f>
        <v>5</v>
      </c>
      <c r="AG140" t="str">
        <f t="shared" si="63"/>
        <v>Neutral</v>
      </c>
      <c r="AH140">
        <f>survey_responses[[#This Row],[So với trước đây, tôi thấy cách tính thuế và các bậc thuế trong phương án mới đơn giản, dễ hiểu và dễ thực hiện hơn. - HUMAN-FAC2]]</f>
        <v>6</v>
      </c>
      <c r="AI140" t="str">
        <f t="shared" si="64"/>
        <v>Neutral</v>
      </c>
      <c r="AJ140" s="32">
        <f t="shared" si="65"/>
        <v>1</v>
      </c>
      <c r="AK140">
        <f>step3_validation[[#This Row],[AI_TRU1]]</f>
        <v>8</v>
      </c>
      <c r="AL140" t="str">
        <f t="shared" si="66"/>
        <v>Support</v>
      </c>
      <c r="AM140">
        <f>survey_responses[[#This Row],[Tôi tin rằng Nhà nước, cơ quan thuế sẽ thực thi chính sách mới một cách khách quan, công tâm và đối xử bình đẳng với mọi người nộp thuế.  - HUMAN-TRU1]]</f>
        <v>3</v>
      </c>
      <c r="AN140" t="str">
        <f t="shared" si="67"/>
        <v>Oppose</v>
      </c>
      <c r="AO140" s="32">
        <f t="shared" si="68"/>
        <v>5</v>
      </c>
      <c r="AP140">
        <f>step3_validation[[#This Row],[AI_TRU2]]</f>
        <v>7</v>
      </c>
      <c r="AQ140" t="str">
        <f t="shared" si="69"/>
        <v>Neutral</v>
      </c>
      <c r="AR140">
        <f>survey_responses[[#This Row],[Tôi thấy mức thuế tôi phải đóng theo phương án mới là công bằng (người thu nhập như tôi đóng mức này là hợp lý). - HUMAN-TRU2]]</f>
        <v>4</v>
      </c>
      <c r="AS140" t="str">
        <f t="shared" si="70"/>
        <v>Oppose</v>
      </c>
      <c r="AT140" s="32">
        <f t="shared" si="71"/>
        <v>3</v>
      </c>
      <c r="AU140">
        <f>step3_validation[[#This Row],[AI_TRU3]]</f>
        <v>6</v>
      </c>
      <c r="AV140" t="str">
        <f t="shared" si="72"/>
        <v>Neutral</v>
      </c>
      <c r="AW140">
        <f>survey_responses[[#This Row],[Tôi tin tưởng số tiền thuế tôi đóng sẽ được Nhà nước sử dụng hiệu quả để cải thiện dịch vụ công (y tế, đường xá...). - HUMAN-TRU3]]</f>
        <v>4</v>
      </c>
      <c r="AX140" t="str">
        <f t="shared" si="73"/>
        <v>Oppose</v>
      </c>
      <c r="AY140" s="32">
        <f t="shared" si="74"/>
        <v>2</v>
      </c>
      <c r="AZ140">
        <f>step3_validation[[#This Row],[AI_TRU4]]</f>
        <v>5</v>
      </c>
      <c r="BA140" t="str">
        <f t="shared" si="75"/>
        <v>Neutral</v>
      </c>
      <c r="BB140">
        <f>survey_responses[[#This Row],[Tôi thấy Nhà nước đã giải thích rõ ràng, minh bạch về lý do và mục tiêu của việc sửa đổi thuế lần này. - HUMAN-TRU4]]</f>
        <v>5</v>
      </c>
      <c r="BC140" t="str">
        <f t="shared" si="76"/>
        <v>Neutral</v>
      </c>
      <c r="BD140" s="32">
        <f t="shared" si="77"/>
        <v>0</v>
      </c>
      <c r="BE140">
        <f>step3_validation[[#This Row],[AI_OUT1]]</f>
        <v>8</v>
      </c>
      <c r="BF140" t="str">
        <f t="shared" si="78"/>
        <v>Support</v>
      </c>
      <c r="BG140">
        <f>survey_responses[[#This Row],[Sau khi xem xét các quyền lợi và nghĩa vụ, bạn có ủng hộ và tuân thủ chính sách mới hiện nay? - HUMAN-OUT1]]</f>
        <v>5</v>
      </c>
      <c r="BH140" t="str">
        <f t="shared" si="79"/>
        <v>Neutral</v>
      </c>
      <c r="BI140" s="32">
        <f t="shared" si="80"/>
        <v>3</v>
      </c>
    </row>
    <row r="141" spans="1:61" x14ac:dyDescent="0.45">
      <c r="A141" s="30">
        <f>step3_validation[[#This Row],[Persona_ID]]</f>
        <v>140</v>
      </c>
      <c r="B141" s="31">
        <f>step3_validation[[#This Row],[Used_Seed]]</f>
        <v>2130</v>
      </c>
      <c r="C141" t="str">
        <f>step3_validation[[#This Row],[Gender]]</f>
        <v>Nữ</v>
      </c>
      <c r="D141" t="str">
        <f>survey_responses[[#This Row],[Giới tính của bạn:]]</f>
        <v>Nữ</v>
      </c>
      <c r="E141" t="str">
        <f>step3_validation[[#This Row],[Age_Group]]</f>
        <v>30 - 39</v>
      </c>
      <c r="F141" t="str">
        <f>survey_responses[[#This Row],[Độ tuổi của bạn:]]</f>
        <v>30 - 39</v>
      </c>
      <c r="G141" t="str">
        <f>step3_validation[[#This Row],[Region]]</f>
        <v>Thành thị</v>
      </c>
      <c r="H141" t="str">
        <f>survey_responses[[#This Row],[Khu vực bạn đang sinh sống:]]</f>
        <v>Thành thị</v>
      </c>
      <c r="I141" t="str">
        <f>step3_validation[[#This Row],[Education]]</f>
        <v>Đại học</v>
      </c>
      <c r="J141" t="str">
        <f>survey_responses[[#This Row],[Trình độ học vấn cao nhất:]]</f>
        <v>Đại học</v>
      </c>
      <c r="K141" t="str">
        <f>step3_validation[[#This Row],[Employment]]</f>
        <v>Chính thức</v>
      </c>
      <c r="L141" t="str">
        <f>survey_responses[[#This Row],[Tình trạng việc làm chính:]]</f>
        <v>Khu vực chính thức (Có Hợp đồng lao động, đóng BHXH)</v>
      </c>
      <c r="M141">
        <f>step3_validation[[#This Row],[Income_Mil]]</f>
        <v>30.440778914880052</v>
      </c>
      <c r="N141" t="str">
        <f>survey_responses[[#This Row],[Thu nhập bình quân tháng theo Hợp đồng lao động của bạn là bao nhiêu? (Vui lòng điền tổng thu nhập trước khi khấu trừ các loại Bảo hiểm (BHXH, BHYT, BHTN) và Thuế TNCN)]]</f>
        <v>Từ 23 - 32 triệu VNĐ</v>
      </c>
      <c r="O141">
        <f>step3_validation[[#This Row],[Dependents]]</f>
        <v>1</v>
      </c>
      <c r="P141" t="str">
        <f>survey_responses[[#This Row],[Số người phụ thuộc (con nhỏ, cha mẹ già...) đủ điều kiện giảm trừ gia cảnh:]]</f>
        <v>1 người</v>
      </c>
      <c r="Q141">
        <f>step3_validation[[#This Row],[AI_ENF1]]</f>
        <v>6</v>
      </c>
      <c r="R141" t="str">
        <f t="shared" si="54"/>
        <v>Neutral</v>
      </c>
      <c r="S141">
        <f>survey_responses[[#This Row],[Tôi tin rằng với các quy định quản lý thuế hiện nay, hành vi gian lận hoặc trốn thuế sẽ dễ dàng bị phát hiện và xử lý nghiêm. - HUMAN-ENF1]]</f>
        <v>10</v>
      </c>
      <c r="T141" t="str">
        <f t="shared" si="55"/>
        <v>Support</v>
      </c>
      <c r="U141" s="32">
        <f t="shared" si="56"/>
        <v>4</v>
      </c>
      <c r="V141">
        <f>step3_validation[[#This Row],[AI_ENF2]]</f>
        <v>7</v>
      </c>
      <c r="W141" t="str">
        <f t="shared" si="57"/>
        <v>Neutral</v>
      </c>
      <c r="X141">
        <f>survey_responses[[#This Row],[Tôi tin rằng Nhà nước, cơ quan thuế có đủ khả năng và công nghệ để phát hiện, xử lý nghiêm các hành vi trốn thuế. - HUMAN-ENF2]]</f>
        <v>9</v>
      </c>
      <c r="Y141" t="str">
        <f t="shared" si="58"/>
        <v>Support</v>
      </c>
      <c r="Z141" s="32">
        <f t="shared" si="59"/>
        <v>2</v>
      </c>
      <c r="AA141">
        <f>step3_validation[[#This Row],[AI_FAC1]]</f>
        <v>8</v>
      </c>
      <c r="AB141" t="str">
        <f t="shared" si="60"/>
        <v>Support</v>
      </c>
      <c r="AC141">
        <f>survey_responses[[#This Row],[Các thủ tục khai báo thuế VÀ/HOẶC quy trình làm việc với cơ quan thuế đơn giản, tiện lợi, nhanh chóng hơn so với trước đây. - HUMAN-FAC1]]</f>
        <v>9</v>
      </c>
      <c r="AD141" t="str">
        <f t="shared" si="61"/>
        <v>Support</v>
      </c>
      <c r="AE141" s="32">
        <f t="shared" si="62"/>
        <v>1</v>
      </c>
      <c r="AF141">
        <f>step3_validation[[#This Row],[AI_FAC2]]</f>
        <v>9</v>
      </c>
      <c r="AG141" t="str">
        <f t="shared" si="63"/>
        <v>Support</v>
      </c>
      <c r="AH141">
        <f>survey_responses[[#This Row],[So với trước đây, tôi thấy cách tính thuế và các bậc thuế trong phương án mới đơn giản, dễ hiểu và dễ thực hiện hơn. - HUMAN-FAC2]]</f>
        <v>9</v>
      </c>
      <c r="AI141" t="str">
        <f t="shared" si="64"/>
        <v>Support</v>
      </c>
      <c r="AJ141" s="32">
        <f t="shared" si="65"/>
        <v>0</v>
      </c>
      <c r="AK141">
        <f>step3_validation[[#This Row],[AI_TRU1]]</f>
        <v>7</v>
      </c>
      <c r="AL141" t="str">
        <f t="shared" si="66"/>
        <v>Neutral</v>
      </c>
      <c r="AM141">
        <f>survey_responses[[#This Row],[Tôi tin rằng Nhà nước, cơ quan thuế sẽ thực thi chính sách mới một cách khách quan, công tâm và đối xử bình đẳng với mọi người nộp thuế.  - HUMAN-TRU1]]</f>
        <v>8</v>
      </c>
      <c r="AN141" t="str">
        <f t="shared" si="67"/>
        <v>Support</v>
      </c>
      <c r="AO141" s="32">
        <f t="shared" si="68"/>
        <v>1</v>
      </c>
      <c r="AP141">
        <f>step3_validation[[#This Row],[AI_TRU2]]</f>
        <v>6</v>
      </c>
      <c r="AQ141" t="str">
        <f t="shared" si="69"/>
        <v>Neutral</v>
      </c>
      <c r="AR141">
        <f>survey_responses[[#This Row],[Tôi thấy mức thuế tôi phải đóng theo phương án mới là công bằng (người thu nhập như tôi đóng mức này là hợp lý). - HUMAN-TRU2]]</f>
        <v>8</v>
      </c>
      <c r="AS141" t="str">
        <f t="shared" si="70"/>
        <v>Support</v>
      </c>
      <c r="AT141" s="32">
        <f t="shared" si="71"/>
        <v>2</v>
      </c>
      <c r="AU141">
        <f>step3_validation[[#This Row],[AI_TRU3]]</f>
        <v>5</v>
      </c>
      <c r="AV141" t="str">
        <f t="shared" si="72"/>
        <v>Neutral</v>
      </c>
      <c r="AW141">
        <f>survey_responses[[#This Row],[Tôi tin tưởng số tiền thuế tôi đóng sẽ được Nhà nước sử dụng hiệu quả để cải thiện dịch vụ công (y tế, đường xá...). - HUMAN-TRU3]]</f>
        <v>8</v>
      </c>
      <c r="AX141" t="str">
        <f t="shared" si="73"/>
        <v>Support</v>
      </c>
      <c r="AY141" s="32">
        <f t="shared" si="74"/>
        <v>3</v>
      </c>
      <c r="AZ141">
        <f>step3_validation[[#This Row],[AI_TRU4]]</f>
        <v>7</v>
      </c>
      <c r="BA141" t="str">
        <f t="shared" si="75"/>
        <v>Neutral</v>
      </c>
      <c r="BB141">
        <f>survey_responses[[#This Row],[Tôi thấy Nhà nước đã giải thích rõ ràng, minh bạch về lý do và mục tiêu của việc sửa đổi thuế lần này. - HUMAN-TRU4]]</f>
        <v>8</v>
      </c>
      <c r="BC141" t="str">
        <f t="shared" si="76"/>
        <v>Support</v>
      </c>
      <c r="BD141" s="32">
        <f t="shared" si="77"/>
        <v>1</v>
      </c>
      <c r="BE141">
        <f>step3_validation[[#This Row],[AI_OUT1]]</f>
        <v>7</v>
      </c>
      <c r="BF141" t="str">
        <f t="shared" si="78"/>
        <v>Neutral</v>
      </c>
      <c r="BG141">
        <f>survey_responses[[#This Row],[Sau khi xem xét các quyền lợi và nghĩa vụ, bạn có ủng hộ và tuân thủ chính sách mới hiện nay? - HUMAN-OUT1]]</f>
        <v>10</v>
      </c>
      <c r="BH141" t="str">
        <f t="shared" si="79"/>
        <v>Support</v>
      </c>
      <c r="BI141" s="32">
        <f t="shared" si="80"/>
        <v>3</v>
      </c>
    </row>
    <row r="142" spans="1:61" x14ac:dyDescent="0.45">
      <c r="A142" s="30">
        <f>step3_validation[[#This Row],[Persona_ID]]</f>
        <v>141</v>
      </c>
      <c r="B142" s="31">
        <f>step3_validation[[#This Row],[Used_Seed]]</f>
        <v>2131</v>
      </c>
      <c r="C142" t="str">
        <f>step3_validation[[#This Row],[Gender]]</f>
        <v>Nam</v>
      </c>
      <c r="D142" t="str">
        <f>survey_responses[[#This Row],[Giới tính của bạn:]]</f>
        <v>Nam</v>
      </c>
      <c r="E142" t="str">
        <f>step3_validation[[#This Row],[Age_Group]]</f>
        <v>30 - 39</v>
      </c>
      <c r="F142" t="str">
        <f>survey_responses[[#This Row],[Độ tuổi của bạn:]]</f>
        <v>30 - 39</v>
      </c>
      <c r="G142" t="str">
        <f>step3_validation[[#This Row],[Region]]</f>
        <v>Thành thị</v>
      </c>
      <c r="H142" t="str">
        <f>survey_responses[[#This Row],[Khu vực bạn đang sinh sống:]]</f>
        <v>Thành thị</v>
      </c>
      <c r="I142" t="str">
        <f>step3_validation[[#This Row],[Education]]</f>
        <v>Đại học</v>
      </c>
      <c r="J142" t="str">
        <f>survey_responses[[#This Row],[Trình độ học vấn cao nhất:]]</f>
        <v>Đại học</v>
      </c>
      <c r="K142" t="str">
        <f>step3_validation[[#This Row],[Employment]]</f>
        <v>Chính thức</v>
      </c>
      <c r="L142" t="str">
        <f>survey_responses[[#This Row],[Tình trạng việc làm chính:]]</f>
        <v>Khu vực chính thức (Có Hợp đồng lao động, đóng BHXH)</v>
      </c>
      <c r="M142">
        <f>step3_validation[[#This Row],[Income_Mil]]</f>
        <v>23.367160816515419</v>
      </c>
      <c r="N142" t="str">
        <f>survey_responses[[#This Row],[Thu nhập bình quân tháng theo Hợp đồng lao động của bạn là bao nhiêu? (Vui lòng điền tổng thu nhập trước khi khấu trừ các loại Bảo hiểm (BHXH, BHYT, BHTN) và Thuế TNCN)]]</f>
        <v>Từ 23 - 32 triệu VNĐ</v>
      </c>
      <c r="O142">
        <f>step3_validation[[#This Row],[Dependents]]</f>
        <v>1</v>
      </c>
      <c r="P142" t="str">
        <f>survey_responses[[#This Row],[Số người phụ thuộc (con nhỏ, cha mẹ già...) đủ điều kiện giảm trừ gia cảnh:]]</f>
        <v>1 người</v>
      </c>
      <c r="Q142">
        <f>step3_validation[[#This Row],[AI_ENF1]]</f>
        <v>7</v>
      </c>
      <c r="R142" t="str">
        <f t="shared" si="54"/>
        <v>Neutral</v>
      </c>
      <c r="S142">
        <f>survey_responses[[#This Row],[Tôi tin rằng với các quy định quản lý thuế hiện nay, hành vi gian lận hoặc trốn thuế sẽ dễ dàng bị phát hiện và xử lý nghiêm. - HUMAN-ENF1]]</f>
        <v>8</v>
      </c>
      <c r="T142" t="str">
        <f t="shared" si="55"/>
        <v>Support</v>
      </c>
      <c r="U142" s="32">
        <f t="shared" si="56"/>
        <v>1</v>
      </c>
      <c r="V142">
        <f>step3_validation[[#This Row],[AI_ENF2]]</f>
        <v>8</v>
      </c>
      <c r="W142" t="str">
        <f t="shared" si="57"/>
        <v>Support</v>
      </c>
      <c r="X142">
        <f>survey_responses[[#This Row],[Tôi tin rằng Nhà nước, cơ quan thuế có đủ khả năng và công nghệ để phát hiện, xử lý nghiêm các hành vi trốn thuế. - HUMAN-ENF2]]</f>
        <v>7</v>
      </c>
      <c r="Y142" t="str">
        <f t="shared" si="58"/>
        <v>Neutral</v>
      </c>
      <c r="Z142" s="32">
        <f t="shared" si="59"/>
        <v>1</v>
      </c>
      <c r="AA142">
        <f>step3_validation[[#This Row],[AI_FAC1]]</f>
        <v>6</v>
      </c>
      <c r="AB142" t="str">
        <f t="shared" si="60"/>
        <v>Neutral</v>
      </c>
      <c r="AC142">
        <f>survey_responses[[#This Row],[Các thủ tục khai báo thuế VÀ/HOẶC quy trình làm việc với cơ quan thuế đơn giản, tiện lợi, nhanh chóng hơn so với trước đây. - HUMAN-FAC1]]</f>
        <v>6</v>
      </c>
      <c r="AD142" t="str">
        <f t="shared" si="61"/>
        <v>Neutral</v>
      </c>
      <c r="AE142" s="32">
        <f t="shared" si="62"/>
        <v>0</v>
      </c>
      <c r="AF142">
        <f>step3_validation[[#This Row],[AI_FAC2]]</f>
        <v>8</v>
      </c>
      <c r="AG142" t="str">
        <f t="shared" si="63"/>
        <v>Support</v>
      </c>
      <c r="AH142">
        <f>survey_responses[[#This Row],[So với trước đây, tôi thấy cách tính thuế và các bậc thuế trong phương án mới đơn giản, dễ hiểu và dễ thực hiện hơn. - HUMAN-FAC2]]</f>
        <v>6</v>
      </c>
      <c r="AI142" t="str">
        <f t="shared" si="64"/>
        <v>Neutral</v>
      </c>
      <c r="AJ142" s="32">
        <f t="shared" si="65"/>
        <v>2</v>
      </c>
      <c r="AK142">
        <f>step3_validation[[#This Row],[AI_TRU1]]</f>
        <v>7</v>
      </c>
      <c r="AL142" t="str">
        <f t="shared" si="66"/>
        <v>Neutral</v>
      </c>
      <c r="AM142">
        <f>survey_responses[[#This Row],[Tôi tin rằng Nhà nước, cơ quan thuế sẽ thực thi chính sách mới một cách khách quan, công tâm và đối xử bình đẳng với mọi người nộp thuế.  - HUMAN-TRU1]]</f>
        <v>5</v>
      </c>
      <c r="AN142" t="str">
        <f t="shared" si="67"/>
        <v>Neutral</v>
      </c>
      <c r="AO142" s="32">
        <f t="shared" si="68"/>
        <v>2</v>
      </c>
      <c r="AP142">
        <f>step3_validation[[#This Row],[AI_TRU2]]</f>
        <v>6</v>
      </c>
      <c r="AQ142" t="str">
        <f t="shared" si="69"/>
        <v>Neutral</v>
      </c>
      <c r="AR142">
        <f>survey_responses[[#This Row],[Tôi thấy mức thuế tôi phải đóng theo phương án mới là công bằng (người thu nhập như tôi đóng mức này là hợp lý). - HUMAN-TRU2]]</f>
        <v>5</v>
      </c>
      <c r="AS142" t="str">
        <f t="shared" si="70"/>
        <v>Neutral</v>
      </c>
      <c r="AT142" s="32">
        <f t="shared" si="71"/>
        <v>1</v>
      </c>
      <c r="AU142">
        <f>step3_validation[[#This Row],[AI_TRU3]]</f>
        <v>7</v>
      </c>
      <c r="AV142" t="str">
        <f t="shared" si="72"/>
        <v>Neutral</v>
      </c>
      <c r="AW142">
        <f>survey_responses[[#This Row],[Tôi tin tưởng số tiền thuế tôi đóng sẽ được Nhà nước sử dụng hiệu quả để cải thiện dịch vụ công (y tế, đường xá...). - HUMAN-TRU3]]</f>
        <v>3</v>
      </c>
      <c r="AX142" t="str">
        <f t="shared" si="73"/>
        <v>Oppose</v>
      </c>
      <c r="AY142" s="32">
        <f t="shared" si="74"/>
        <v>4</v>
      </c>
      <c r="AZ142">
        <f>step3_validation[[#This Row],[AI_TRU4]]</f>
        <v>6</v>
      </c>
      <c r="BA142" t="str">
        <f t="shared" si="75"/>
        <v>Neutral</v>
      </c>
      <c r="BB142">
        <f>survey_responses[[#This Row],[Tôi thấy Nhà nước đã giải thích rõ ràng, minh bạch về lý do và mục tiêu của việc sửa đổi thuế lần này. - HUMAN-TRU4]]</f>
        <v>3</v>
      </c>
      <c r="BC142" t="str">
        <f t="shared" si="76"/>
        <v>Oppose</v>
      </c>
      <c r="BD142" s="32">
        <f t="shared" si="77"/>
        <v>3</v>
      </c>
      <c r="BE142">
        <f>step3_validation[[#This Row],[AI_OUT1]]</f>
        <v>8</v>
      </c>
      <c r="BF142" t="str">
        <f t="shared" si="78"/>
        <v>Support</v>
      </c>
      <c r="BG142">
        <f>survey_responses[[#This Row],[Sau khi xem xét các quyền lợi và nghĩa vụ, bạn có ủng hộ và tuân thủ chính sách mới hiện nay? - HUMAN-OUT1]]</f>
        <v>5</v>
      </c>
      <c r="BH142" t="str">
        <f t="shared" si="79"/>
        <v>Neutral</v>
      </c>
      <c r="BI142" s="32">
        <f t="shared" si="80"/>
        <v>3</v>
      </c>
    </row>
    <row r="143" spans="1:61" x14ac:dyDescent="0.45">
      <c r="A143" s="30">
        <f>step3_validation[[#This Row],[Persona_ID]]</f>
        <v>142</v>
      </c>
      <c r="B143" s="31">
        <f>step3_validation[[#This Row],[Used_Seed]]</f>
        <v>2132</v>
      </c>
      <c r="C143" t="str">
        <f>step3_validation[[#This Row],[Gender]]</f>
        <v>Nam</v>
      </c>
      <c r="D143" t="str">
        <f>survey_responses[[#This Row],[Giới tính của bạn:]]</f>
        <v>Nam</v>
      </c>
      <c r="E143" t="str">
        <f>step3_validation[[#This Row],[Age_Group]]</f>
        <v>40 - 49</v>
      </c>
      <c r="F143" t="str">
        <f>survey_responses[[#This Row],[Độ tuổi của bạn:]]</f>
        <v>40 - 49</v>
      </c>
      <c r="G143" t="str">
        <f>step3_validation[[#This Row],[Region]]</f>
        <v>Thành thị</v>
      </c>
      <c r="H143" t="str">
        <f>survey_responses[[#This Row],[Khu vực bạn đang sinh sống:]]</f>
        <v>Thành thị</v>
      </c>
      <c r="I143" t="str">
        <f>step3_validation[[#This Row],[Education]]</f>
        <v>Sau Đại học</v>
      </c>
      <c r="J143" t="str">
        <f>survey_responses[[#This Row],[Trình độ học vấn cao nhất:]]</f>
        <v>Sau Đại học</v>
      </c>
      <c r="K143" t="str">
        <f>step3_validation[[#This Row],[Employment]]</f>
        <v>Chính thức</v>
      </c>
      <c r="L143" t="str">
        <f>survey_responses[[#This Row],[Tình trạng việc làm chính:]]</f>
        <v>Khu vực chính thức (Có Hợp đồng lao động, đóng BHXH)</v>
      </c>
      <c r="M143">
        <f>step3_validation[[#This Row],[Income_Mil]]</f>
        <v>12</v>
      </c>
      <c r="N143" t="str">
        <f>survey_responses[[#This Row],[Thu nhập bình quân tháng theo Hợp đồng lao động của bạn là bao nhiêu? (Vui lòng điền tổng thu nhập trước khi khấu trừ các loại Bảo hiểm (BHXH, BHYT, BHTN) và Thuế TNCN)]]</f>
        <v>Dưới 12 triệu VNĐ</v>
      </c>
      <c r="O143">
        <f>step3_validation[[#This Row],[Dependents]]</f>
        <v>1</v>
      </c>
      <c r="P143" t="str">
        <f>survey_responses[[#This Row],[Số người phụ thuộc (con nhỏ, cha mẹ già...) đủ điều kiện giảm trừ gia cảnh:]]</f>
        <v>1 người</v>
      </c>
      <c r="Q143">
        <f>step3_validation[[#This Row],[AI_ENF1]]</f>
        <v>7</v>
      </c>
      <c r="R143" t="str">
        <f t="shared" si="54"/>
        <v>Neutral</v>
      </c>
      <c r="S143">
        <f>survey_responses[[#This Row],[Tôi tin rằng với các quy định quản lý thuế hiện nay, hành vi gian lận hoặc trốn thuế sẽ dễ dàng bị phát hiện và xử lý nghiêm. - HUMAN-ENF1]]</f>
        <v>5</v>
      </c>
      <c r="T143" t="str">
        <f t="shared" si="55"/>
        <v>Neutral</v>
      </c>
      <c r="U143" s="32">
        <f t="shared" si="56"/>
        <v>2</v>
      </c>
      <c r="V143">
        <f>step3_validation[[#This Row],[AI_ENF2]]</f>
        <v>8</v>
      </c>
      <c r="W143" t="str">
        <f t="shared" si="57"/>
        <v>Support</v>
      </c>
      <c r="X143">
        <f>survey_responses[[#This Row],[Tôi tin rằng Nhà nước, cơ quan thuế có đủ khả năng và công nghệ để phát hiện, xử lý nghiêm các hành vi trốn thuế. - HUMAN-ENF2]]</f>
        <v>6</v>
      </c>
      <c r="Y143" t="str">
        <f t="shared" si="58"/>
        <v>Neutral</v>
      </c>
      <c r="Z143" s="32">
        <f t="shared" si="59"/>
        <v>2</v>
      </c>
      <c r="AA143">
        <f>step3_validation[[#This Row],[AI_FAC1]]</f>
        <v>9</v>
      </c>
      <c r="AB143" t="str">
        <f t="shared" si="60"/>
        <v>Support</v>
      </c>
      <c r="AC143">
        <f>survey_responses[[#This Row],[Các thủ tục khai báo thuế VÀ/HOẶC quy trình làm việc với cơ quan thuế đơn giản, tiện lợi, nhanh chóng hơn so với trước đây. - HUMAN-FAC1]]</f>
        <v>5</v>
      </c>
      <c r="AD143" t="str">
        <f t="shared" si="61"/>
        <v>Neutral</v>
      </c>
      <c r="AE143" s="32">
        <f t="shared" si="62"/>
        <v>4</v>
      </c>
      <c r="AF143">
        <f>step3_validation[[#This Row],[AI_FAC2]]</f>
        <v>8</v>
      </c>
      <c r="AG143" t="str">
        <f t="shared" si="63"/>
        <v>Support</v>
      </c>
      <c r="AH143">
        <f>survey_responses[[#This Row],[So với trước đây, tôi thấy cách tính thuế và các bậc thuế trong phương án mới đơn giản, dễ hiểu và dễ thực hiện hơn. - HUMAN-FAC2]]</f>
        <v>7</v>
      </c>
      <c r="AI143" t="str">
        <f t="shared" si="64"/>
        <v>Neutral</v>
      </c>
      <c r="AJ143" s="32">
        <f t="shared" si="65"/>
        <v>1</v>
      </c>
      <c r="AK143">
        <f>step3_validation[[#This Row],[AI_TRU1]]</f>
        <v>7</v>
      </c>
      <c r="AL143" t="str">
        <f t="shared" si="66"/>
        <v>Neutral</v>
      </c>
      <c r="AM143">
        <f>survey_responses[[#This Row],[Tôi tin rằng Nhà nước, cơ quan thuế sẽ thực thi chính sách mới một cách khách quan, công tâm và đối xử bình đẳng với mọi người nộp thuế.  - HUMAN-TRU1]]</f>
        <v>6</v>
      </c>
      <c r="AN143" t="str">
        <f t="shared" si="67"/>
        <v>Neutral</v>
      </c>
      <c r="AO143" s="32">
        <f t="shared" si="68"/>
        <v>1</v>
      </c>
      <c r="AP143">
        <f>step3_validation[[#This Row],[AI_TRU2]]</f>
        <v>6</v>
      </c>
      <c r="AQ143" t="str">
        <f t="shared" si="69"/>
        <v>Neutral</v>
      </c>
      <c r="AR143">
        <f>survey_responses[[#This Row],[Tôi thấy mức thuế tôi phải đóng theo phương án mới là công bằng (người thu nhập như tôi đóng mức này là hợp lý). - HUMAN-TRU2]]</f>
        <v>6</v>
      </c>
      <c r="AS143" t="str">
        <f t="shared" si="70"/>
        <v>Neutral</v>
      </c>
      <c r="AT143" s="32">
        <f t="shared" si="71"/>
        <v>0</v>
      </c>
      <c r="AU143">
        <f>step3_validation[[#This Row],[AI_TRU3]]</f>
        <v>5</v>
      </c>
      <c r="AV143" t="str">
        <f t="shared" si="72"/>
        <v>Neutral</v>
      </c>
      <c r="AW143">
        <f>survey_responses[[#This Row],[Tôi tin tưởng số tiền thuế tôi đóng sẽ được Nhà nước sử dụng hiệu quả để cải thiện dịch vụ công (y tế, đường xá...). - HUMAN-TRU3]]</f>
        <v>6</v>
      </c>
      <c r="AX143" t="str">
        <f t="shared" si="73"/>
        <v>Neutral</v>
      </c>
      <c r="AY143" s="32">
        <f t="shared" si="74"/>
        <v>1</v>
      </c>
      <c r="AZ143">
        <f>step3_validation[[#This Row],[AI_TRU4]]</f>
        <v>7</v>
      </c>
      <c r="BA143" t="str">
        <f t="shared" si="75"/>
        <v>Neutral</v>
      </c>
      <c r="BB143">
        <f>survey_responses[[#This Row],[Tôi thấy Nhà nước đã giải thích rõ ràng, minh bạch về lý do và mục tiêu của việc sửa đổi thuế lần này. - HUMAN-TRU4]]</f>
        <v>7</v>
      </c>
      <c r="BC143" t="str">
        <f t="shared" si="76"/>
        <v>Neutral</v>
      </c>
      <c r="BD143" s="32">
        <f t="shared" si="77"/>
        <v>0</v>
      </c>
      <c r="BE143">
        <f>step3_validation[[#This Row],[AI_OUT1]]</f>
        <v>6</v>
      </c>
      <c r="BF143" t="str">
        <f t="shared" si="78"/>
        <v>Neutral</v>
      </c>
      <c r="BG143">
        <f>survey_responses[[#This Row],[Sau khi xem xét các quyền lợi và nghĩa vụ, bạn có ủng hộ và tuân thủ chính sách mới hiện nay? - HUMAN-OUT1]]</f>
        <v>7</v>
      </c>
      <c r="BH143" t="str">
        <f t="shared" si="79"/>
        <v>Neutral</v>
      </c>
      <c r="BI143" s="32">
        <f t="shared" si="80"/>
        <v>1</v>
      </c>
    </row>
    <row r="144" spans="1:61" x14ac:dyDescent="0.45">
      <c r="A144" s="30">
        <f>step3_validation[[#This Row],[Persona_ID]]</f>
        <v>143</v>
      </c>
      <c r="B144" s="31">
        <f>step3_validation[[#This Row],[Used_Seed]]</f>
        <v>2133</v>
      </c>
      <c r="C144" t="str">
        <f>step3_validation[[#This Row],[Gender]]</f>
        <v>Nam</v>
      </c>
      <c r="D144" t="str">
        <f>survey_responses[[#This Row],[Giới tính của bạn:]]</f>
        <v>Nam</v>
      </c>
      <c r="E144" t="str">
        <f>step3_validation[[#This Row],[Age_Group]]</f>
        <v>30 - 39</v>
      </c>
      <c r="F144" t="str">
        <f>survey_responses[[#This Row],[Độ tuổi của bạn:]]</f>
        <v>30 - 39</v>
      </c>
      <c r="G144" t="str">
        <f>step3_validation[[#This Row],[Region]]</f>
        <v>Thành thị</v>
      </c>
      <c r="H144" t="str">
        <f>survey_responses[[#This Row],[Khu vực bạn đang sinh sống:]]</f>
        <v>Thành thị</v>
      </c>
      <c r="I144" t="str">
        <f>step3_validation[[#This Row],[Education]]</f>
        <v>Sau Đại học</v>
      </c>
      <c r="J144" t="str">
        <f>survey_responses[[#This Row],[Trình độ học vấn cao nhất:]]</f>
        <v>Sau Đại học</v>
      </c>
      <c r="K144" t="str">
        <f>step3_validation[[#This Row],[Employment]]</f>
        <v>Chính thức</v>
      </c>
      <c r="L144" t="str">
        <f>survey_responses[[#This Row],[Tình trạng việc làm chính:]]</f>
        <v>Khu vực chính thức (Có Hợp đồng lao động, đóng BHXH)</v>
      </c>
      <c r="M144">
        <f>step3_validation[[#This Row],[Income_Mil]]</f>
        <v>139.02703250999451</v>
      </c>
      <c r="N144" t="str">
        <f>survey_responses[[#This Row],[Thu nhập bình quân tháng theo Hợp đồng lao động của bạn là bao nhiêu? (Vui lòng điền tổng thu nhập trước khi khấu trừ các loại Bảo hiểm (BHXH, BHYT, BHTN) và Thuế TNCN)]]</f>
        <v>Trên 102 triệu VNĐ</v>
      </c>
      <c r="O144">
        <f>step3_validation[[#This Row],[Dependents]]</f>
        <v>0</v>
      </c>
      <c r="P144" t="str">
        <f>survey_responses[[#This Row],[Số người phụ thuộc (con nhỏ, cha mẹ già...) đủ điều kiện giảm trừ gia cảnh:]]</f>
        <v>0 người</v>
      </c>
      <c r="Q144">
        <f>step3_validation[[#This Row],[AI_ENF1]]</f>
        <v>7</v>
      </c>
      <c r="R144" t="str">
        <f t="shared" si="54"/>
        <v>Neutral</v>
      </c>
      <c r="S144">
        <f>survey_responses[[#This Row],[Tôi tin rằng với các quy định quản lý thuế hiện nay, hành vi gian lận hoặc trốn thuế sẽ dễ dàng bị phát hiện và xử lý nghiêm. - HUMAN-ENF1]]</f>
        <v>1</v>
      </c>
      <c r="T144" t="str">
        <f t="shared" si="55"/>
        <v>Oppose</v>
      </c>
      <c r="U144" s="32">
        <f t="shared" si="56"/>
        <v>6</v>
      </c>
      <c r="V144">
        <f>step3_validation[[#This Row],[AI_ENF2]]</f>
        <v>6</v>
      </c>
      <c r="W144" t="str">
        <f t="shared" si="57"/>
        <v>Neutral</v>
      </c>
      <c r="X144">
        <f>survey_responses[[#This Row],[Tôi tin rằng Nhà nước, cơ quan thuế có đủ khả năng và công nghệ để phát hiện, xử lý nghiêm các hành vi trốn thuế. - HUMAN-ENF2]]</f>
        <v>1</v>
      </c>
      <c r="Y144" t="str">
        <f t="shared" si="58"/>
        <v>Oppose</v>
      </c>
      <c r="Z144" s="32">
        <f t="shared" si="59"/>
        <v>5</v>
      </c>
      <c r="AA144">
        <f>step3_validation[[#This Row],[AI_FAC1]]</f>
        <v>8</v>
      </c>
      <c r="AB144" t="str">
        <f t="shared" si="60"/>
        <v>Support</v>
      </c>
      <c r="AC144">
        <f>survey_responses[[#This Row],[Các thủ tục khai báo thuế VÀ/HOẶC quy trình làm việc với cơ quan thuế đơn giản, tiện lợi, nhanh chóng hơn so với trước đây. - HUMAN-FAC1]]</f>
        <v>8</v>
      </c>
      <c r="AD144" t="str">
        <f t="shared" si="61"/>
        <v>Support</v>
      </c>
      <c r="AE144" s="32">
        <f t="shared" si="62"/>
        <v>0</v>
      </c>
      <c r="AF144">
        <f>step3_validation[[#This Row],[AI_FAC2]]</f>
        <v>7</v>
      </c>
      <c r="AG144" t="str">
        <f t="shared" si="63"/>
        <v>Neutral</v>
      </c>
      <c r="AH144">
        <f>survey_responses[[#This Row],[So với trước đây, tôi thấy cách tính thuế và các bậc thuế trong phương án mới đơn giản, dễ hiểu và dễ thực hiện hơn. - HUMAN-FAC2]]</f>
        <v>8</v>
      </c>
      <c r="AI144" t="str">
        <f t="shared" si="64"/>
        <v>Support</v>
      </c>
      <c r="AJ144" s="32">
        <f t="shared" si="65"/>
        <v>1</v>
      </c>
      <c r="AK144">
        <f>step3_validation[[#This Row],[AI_TRU1]]</f>
        <v>5</v>
      </c>
      <c r="AL144" t="str">
        <f t="shared" si="66"/>
        <v>Neutral</v>
      </c>
      <c r="AM144">
        <f>survey_responses[[#This Row],[Tôi tin rằng Nhà nước, cơ quan thuế sẽ thực thi chính sách mới một cách khách quan, công tâm và đối xử bình đẳng với mọi người nộp thuế.  - HUMAN-TRU1]]</f>
        <v>8</v>
      </c>
      <c r="AN144" t="str">
        <f t="shared" si="67"/>
        <v>Support</v>
      </c>
      <c r="AO144" s="32">
        <f t="shared" si="68"/>
        <v>3</v>
      </c>
      <c r="AP144">
        <f>step3_validation[[#This Row],[AI_TRU2]]</f>
        <v>6</v>
      </c>
      <c r="AQ144" t="str">
        <f t="shared" si="69"/>
        <v>Neutral</v>
      </c>
      <c r="AR144">
        <f>survey_responses[[#This Row],[Tôi thấy mức thuế tôi phải đóng theo phương án mới là công bằng (người thu nhập như tôi đóng mức này là hợp lý). - HUMAN-TRU2]]</f>
        <v>8</v>
      </c>
      <c r="AS144" t="str">
        <f t="shared" si="70"/>
        <v>Support</v>
      </c>
      <c r="AT144" s="32">
        <f t="shared" si="71"/>
        <v>2</v>
      </c>
      <c r="AU144">
        <f>step3_validation[[#This Row],[AI_TRU3]]</f>
        <v>4</v>
      </c>
      <c r="AV144" t="str">
        <f t="shared" si="72"/>
        <v>Oppose</v>
      </c>
      <c r="AW144">
        <f>survey_responses[[#This Row],[Tôi tin tưởng số tiền thuế tôi đóng sẽ được Nhà nước sử dụng hiệu quả để cải thiện dịch vụ công (y tế, đường xá...). - HUMAN-TRU3]]</f>
        <v>8</v>
      </c>
      <c r="AX144" t="str">
        <f t="shared" si="73"/>
        <v>Support</v>
      </c>
      <c r="AY144" s="32">
        <f t="shared" si="74"/>
        <v>4</v>
      </c>
      <c r="AZ144">
        <f>step3_validation[[#This Row],[AI_TRU4]]</f>
        <v>5</v>
      </c>
      <c r="BA144" t="str">
        <f t="shared" si="75"/>
        <v>Neutral</v>
      </c>
      <c r="BB144">
        <f>survey_responses[[#This Row],[Tôi thấy Nhà nước đã giải thích rõ ràng, minh bạch về lý do và mục tiêu của việc sửa đổi thuế lần này. - HUMAN-TRU4]]</f>
        <v>8</v>
      </c>
      <c r="BC144" t="str">
        <f t="shared" si="76"/>
        <v>Support</v>
      </c>
      <c r="BD144" s="32">
        <f t="shared" si="77"/>
        <v>3</v>
      </c>
      <c r="BE144">
        <f>step3_validation[[#This Row],[AI_OUT1]]</f>
        <v>6</v>
      </c>
      <c r="BF144" t="str">
        <f t="shared" si="78"/>
        <v>Neutral</v>
      </c>
      <c r="BG144">
        <f>survey_responses[[#This Row],[Sau khi xem xét các quyền lợi và nghĩa vụ, bạn có ủng hộ và tuân thủ chính sách mới hiện nay? - HUMAN-OUT1]]</f>
        <v>8</v>
      </c>
      <c r="BH144" t="str">
        <f t="shared" si="79"/>
        <v>Support</v>
      </c>
      <c r="BI144" s="32">
        <f t="shared" si="80"/>
        <v>2</v>
      </c>
    </row>
    <row r="145" spans="1:61" x14ac:dyDescent="0.45">
      <c r="A145" s="30">
        <f>step3_validation[[#This Row],[Persona_ID]]</f>
        <v>144</v>
      </c>
      <c r="B145" s="31">
        <f>step3_validation[[#This Row],[Used_Seed]]</f>
        <v>2134</v>
      </c>
      <c r="C145" t="str">
        <f>step3_validation[[#This Row],[Gender]]</f>
        <v>Nữ</v>
      </c>
      <c r="D145" t="str">
        <f>survey_responses[[#This Row],[Giới tính của bạn:]]</f>
        <v>Nữ</v>
      </c>
      <c r="E145" t="str">
        <f>step3_validation[[#This Row],[Age_Group]]</f>
        <v>50 - 54</v>
      </c>
      <c r="F145" t="str">
        <f>survey_responses[[#This Row],[Độ tuổi của bạn:]]</f>
        <v>50 - 54</v>
      </c>
      <c r="G145" t="str">
        <f>step3_validation[[#This Row],[Region]]</f>
        <v>Thành thị</v>
      </c>
      <c r="H145" t="str">
        <f>survey_responses[[#This Row],[Khu vực bạn đang sinh sống:]]</f>
        <v>Thành thị</v>
      </c>
      <c r="I145" t="str">
        <f>step3_validation[[#This Row],[Education]]</f>
        <v>Đại học</v>
      </c>
      <c r="J145" t="str">
        <f>survey_responses[[#This Row],[Trình độ học vấn cao nhất:]]</f>
        <v>Đại học</v>
      </c>
      <c r="K145" t="str">
        <f>step3_validation[[#This Row],[Employment]]</f>
        <v>Chính thức</v>
      </c>
      <c r="L145" t="str">
        <f>survey_responses[[#This Row],[Tình trạng việc làm chính:]]</f>
        <v>Khu vực chính thức (Có Hợp đồng lao động, đóng BHXH)</v>
      </c>
      <c r="M145">
        <f>step3_validation[[#This Row],[Income_Mil]]</f>
        <v>62.626696236284886</v>
      </c>
      <c r="N145" t="str">
        <f>survey_responses[[#This Row],[Thu nhập bình quân tháng theo Hợp đồng lao động của bạn là bao nhiêu? (Vui lòng điền tổng thu nhập trước khi khấu trừ các loại Bảo hiểm (BHXH, BHYT, BHTN) và Thuế TNCN)]]</f>
        <v>Từ 48 - 70 triệu VNĐ</v>
      </c>
      <c r="O145">
        <f>step3_validation[[#This Row],[Dependents]]</f>
        <v>2</v>
      </c>
      <c r="P145" t="str">
        <f>survey_responses[[#This Row],[Số người phụ thuộc (con nhỏ, cha mẹ già...) đủ điều kiện giảm trừ gia cảnh:]]</f>
        <v>2 người</v>
      </c>
      <c r="Q145">
        <f>step3_validation[[#This Row],[AI_ENF1]]</f>
        <v>7</v>
      </c>
      <c r="R145" t="str">
        <f t="shared" si="54"/>
        <v>Neutral</v>
      </c>
      <c r="S145">
        <f>survey_responses[[#This Row],[Tôi tin rằng với các quy định quản lý thuế hiện nay, hành vi gian lận hoặc trốn thuế sẽ dễ dàng bị phát hiện và xử lý nghiêm. - HUMAN-ENF1]]</f>
        <v>9</v>
      </c>
      <c r="T145" t="str">
        <f t="shared" si="55"/>
        <v>Support</v>
      </c>
      <c r="U145" s="32">
        <f t="shared" si="56"/>
        <v>2</v>
      </c>
      <c r="V145">
        <f>step3_validation[[#This Row],[AI_ENF2]]</f>
        <v>8</v>
      </c>
      <c r="W145" t="str">
        <f t="shared" si="57"/>
        <v>Support</v>
      </c>
      <c r="X145">
        <f>survey_responses[[#This Row],[Tôi tin rằng Nhà nước, cơ quan thuế có đủ khả năng và công nghệ để phát hiện, xử lý nghiêm các hành vi trốn thuế. - HUMAN-ENF2]]</f>
        <v>9</v>
      </c>
      <c r="Y145" t="str">
        <f t="shared" si="58"/>
        <v>Support</v>
      </c>
      <c r="Z145" s="32">
        <f t="shared" si="59"/>
        <v>1</v>
      </c>
      <c r="AA145">
        <f>step3_validation[[#This Row],[AI_FAC1]]</f>
        <v>9</v>
      </c>
      <c r="AB145" t="str">
        <f t="shared" si="60"/>
        <v>Support</v>
      </c>
      <c r="AC145">
        <f>survey_responses[[#This Row],[Các thủ tục khai báo thuế VÀ/HOẶC quy trình làm việc với cơ quan thuế đơn giản, tiện lợi, nhanh chóng hơn so với trước đây. - HUMAN-FAC1]]</f>
        <v>9</v>
      </c>
      <c r="AD145" t="str">
        <f t="shared" si="61"/>
        <v>Support</v>
      </c>
      <c r="AE145" s="32">
        <f t="shared" si="62"/>
        <v>0</v>
      </c>
      <c r="AF145">
        <f>step3_validation[[#This Row],[AI_FAC2]]</f>
        <v>8</v>
      </c>
      <c r="AG145" t="str">
        <f t="shared" si="63"/>
        <v>Support</v>
      </c>
      <c r="AH145">
        <f>survey_responses[[#This Row],[So với trước đây, tôi thấy cách tính thuế và các bậc thuế trong phương án mới đơn giản, dễ hiểu và dễ thực hiện hơn. - HUMAN-FAC2]]</f>
        <v>9</v>
      </c>
      <c r="AI145" t="str">
        <f t="shared" si="64"/>
        <v>Support</v>
      </c>
      <c r="AJ145" s="32">
        <f t="shared" si="65"/>
        <v>1</v>
      </c>
      <c r="AK145">
        <f>step3_validation[[#This Row],[AI_TRU1]]</f>
        <v>7</v>
      </c>
      <c r="AL145" t="str">
        <f t="shared" si="66"/>
        <v>Neutral</v>
      </c>
      <c r="AM145">
        <f>survey_responses[[#This Row],[Tôi tin rằng Nhà nước, cơ quan thuế sẽ thực thi chính sách mới một cách khách quan, công tâm và đối xử bình đẳng với mọi người nộp thuế.  - HUMAN-TRU1]]</f>
        <v>10</v>
      </c>
      <c r="AN145" t="str">
        <f t="shared" si="67"/>
        <v>Support</v>
      </c>
      <c r="AO145" s="32">
        <f t="shared" si="68"/>
        <v>3</v>
      </c>
      <c r="AP145">
        <f>step3_validation[[#This Row],[AI_TRU2]]</f>
        <v>8</v>
      </c>
      <c r="AQ145" t="str">
        <f t="shared" si="69"/>
        <v>Support</v>
      </c>
      <c r="AR145">
        <f>survey_responses[[#This Row],[Tôi thấy mức thuế tôi phải đóng theo phương án mới là công bằng (người thu nhập như tôi đóng mức này là hợp lý). - HUMAN-TRU2]]</f>
        <v>5</v>
      </c>
      <c r="AS145" t="str">
        <f t="shared" si="70"/>
        <v>Neutral</v>
      </c>
      <c r="AT145" s="32">
        <f t="shared" si="71"/>
        <v>3</v>
      </c>
      <c r="AU145">
        <f>step3_validation[[#This Row],[AI_TRU3]]</f>
        <v>6</v>
      </c>
      <c r="AV145" t="str">
        <f t="shared" si="72"/>
        <v>Neutral</v>
      </c>
      <c r="AW145">
        <f>survey_responses[[#This Row],[Tôi tin tưởng số tiền thuế tôi đóng sẽ được Nhà nước sử dụng hiệu quả để cải thiện dịch vụ công (y tế, đường xá...). - HUMAN-TRU3]]</f>
        <v>9</v>
      </c>
      <c r="AX145" t="str">
        <f t="shared" si="73"/>
        <v>Support</v>
      </c>
      <c r="AY145" s="32">
        <f t="shared" si="74"/>
        <v>3</v>
      </c>
      <c r="AZ145">
        <f>step3_validation[[#This Row],[AI_TRU4]]</f>
        <v>5</v>
      </c>
      <c r="BA145" t="str">
        <f t="shared" si="75"/>
        <v>Neutral</v>
      </c>
      <c r="BB145">
        <f>survey_responses[[#This Row],[Tôi thấy Nhà nước đã giải thích rõ ràng, minh bạch về lý do và mục tiêu của việc sửa đổi thuế lần này. - HUMAN-TRU4]]</f>
        <v>9</v>
      </c>
      <c r="BC145" t="str">
        <f t="shared" si="76"/>
        <v>Support</v>
      </c>
      <c r="BD145" s="32">
        <f t="shared" si="77"/>
        <v>4</v>
      </c>
      <c r="BE145">
        <f>step3_validation[[#This Row],[AI_OUT1]]</f>
        <v>7</v>
      </c>
      <c r="BF145" t="str">
        <f t="shared" si="78"/>
        <v>Neutral</v>
      </c>
      <c r="BG145">
        <f>survey_responses[[#This Row],[Sau khi xem xét các quyền lợi và nghĩa vụ, bạn có ủng hộ và tuân thủ chính sách mới hiện nay? - HUMAN-OUT1]]</f>
        <v>10</v>
      </c>
      <c r="BH145" t="str">
        <f t="shared" si="79"/>
        <v>Support</v>
      </c>
      <c r="BI145" s="32">
        <f t="shared" si="80"/>
        <v>3</v>
      </c>
    </row>
    <row r="146" spans="1:61" x14ac:dyDescent="0.45">
      <c r="A146" s="30">
        <f>step3_validation[[#This Row],[Persona_ID]]</f>
        <v>145</v>
      </c>
      <c r="B146" s="31">
        <f>step3_validation[[#This Row],[Used_Seed]]</f>
        <v>2135</v>
      </c>
      <c r="C146" t="str">
        <f>step3_validation[[#This Row],[Gender]]</f>
        <v>Nữ</v>
      </c>
      <c r="D146" t="str">
        <f>survey_responses[[#This Row],[Giới tính của bạn:]]</f>
        <v>Nữ</v>
      </c>
      <c r="E146" t="str">
        <f>step3_validation[[#This Row],[Age_Group]]</f>
        <v>40 - 49</v>
      </c>
      <c r="F146" t="str">
        <f>survey_responses[[#This Row],[Độ tuổi của bạn:]]</f>
        <v>40 - 49</v>
      </c>
      <c r="G146" t="str">
        <f>step3_validation[[#This Row],[Region]]</f>
        <v>Thành thị</v>
      </c>
      <c r="H146" t="str">
        <f>survey_responses[[#This Row],[Khu vực bạn đang sinh sống:]]</f>
        <v>Thành thị</v>
      </c>
      <c r="I146" t="str">
        <f>step3_validation[[#This Row],[Education]]</f>
        <v>Đại học</v>
      </c>
      <c r="J146" t="str">
        <f>survey_responses[[#This Row],[Trình độ học vấn cao nhất:]]</f>
        <v>Đại học</v>
      </c>
      <c r="K146" t="str">
        <f>step3_validation[[#This Row],[Employment]]</f>
        <v>Chính thức</v>
      </c>
      <c r="L146" t="str">
        <f>survey_responses[[#This Row],[Tình trạng việc làm chính:]]</f>
        <v>Khu vực chính thức (Có Hợp đồng lao động, đóng BHXH)</v>
      </c>
      <c r="M146">
        <f>step3_validation[[#This Row],[Income_Mil]]</f>
        <v>57.646688879409737</v>
      </c>
      <c r="N146" t="str">
        <f>survey_responses[[#This Row],[Thu nhập bình quân tháng theo Hợp đồng lao động của bạn là bao nhiêu? (Vui lòng điền tổng thu nhập trước khi khấu trừ các loại Bảo hiểm (BHXH, BHYT, BHTN) và Thuế TNCN)]]</f>
        <v>Từ 48 - 70 triệu VNĐ</v>
      </c>
      <c r="O146">
        <f>step3_validation[[#This Row],[Dependents]]</f>
        <v>2</v>
      </c>
      <c r="P146" t="str">
        <f>survey_responses[[#This Row],[Số người phụ thuộc (con nhỏ, cha mẹ già...) đủ điều kiện giảm trừ gia cảnh:]]</f>
        <v>2 người</v>
      </c>
      <c r="Q146">
        <f>step3_validation[[#This Row],[AI_ENF1]]</f>
        <v>7</v>
      </c>
      <c r="R146" t="str">
        <f t="shared" si="54"/>
        <v>Neutral</v>
      </c>
      <c r="S146">
        <f>survey_responses[[#This Row],[Tôi tin rằng với các quy định quản lý thuế hiện nay, hành vi gian lận hoặc trốn thuế sẽ dễ dàng bị phát hiện và xử lý nghiêm. - HUMAN-ENF1]]</f>
        <v>10</v>
      </c>
      <c r="T146" t="str">
        <f t="shared" si="55"/>
        <v>Support</v>
      </c>
      <c r="U146" s="32">
        <f t="shared" si="56"/>
        <v>3</v>
      </c>
      <c r="V146">
        <f>step3_validation[[#This Row],[AI_ENF2]]</f>
        <v>6</v>
      </c>
      <c r="W146" t="str">
        <f t="shared" si="57"/>
        <v>Neutral</v>
      </c>
      <c r="X146">
        <f>survey_responses[[#This Row],[Tôi tin rằng Nhà nước, cơ quan thuế có đủ khả năng và công nghệ để phát hiện, xử lý nghiêm các hành vi trốn thuế. - HUMAN-ENF2]]</f>
        <v>10</v>
      </c>
      <c r="Y146" t="str">
        <f t="shared" si="58"/>
        <v>Support</v>
      </c>
      <c r="Z146" s="32">
        <f t="shared" si="59"/>
        <v>4</v>
      </c>
      <c r="AA146">
        <f>step3_validation[[#This Row],[AI_FAC1]]</f>
        <v>8</v>
      </c>
      <c r="AB146" t="str">
        <f t="shared" si="60"/>
        <v>Support</v>
      </c>
      <c r="AC146">
        <f>survey_responses[[#This Row],[Các thủ tục khai báo thuế VÀ/HOẶC quy trình làm việc với cơ quan thuế đơn giản, tiện lợi, nhanh chóng hơn so với trước đây. - HUMAN-FAC1]]</f>
        <v>9</v>
      </c>
      <c r="AD146" t="str">
        <f t="shared" si="61"/>
        <v>Support</v>
      </c>
      <c r="AE146" s="32">
        <f t="shared" si="62"/>
        <v>1</v>
      </c>
      <c r="AF146">
        <f>step3_validation[[#This Row],[AI_FAC2]]</f>
        <v>9</v>
      </c>
      <c r="AG146" t="str">
        <f t="shared" si="63"/>
        <v>Support</v>
      </c>
      <c r="AH146">
        <f>survey_responses[[#This Row],[So với trước đây, tôi thấy cách tính thuế và các bậc thuế trong phương án mới đơn giản, dễ hiểu và dễ thực hiện hơn. - HUMAN-FAC2]]</f>
        <v>6</v>
      </c>
      <c r="AI146" t="str">
        <f t="shared" si="64"/>
        <v>Neutral</v>
      </c>
      <c r="AJ146" s="32">
        <f t="shared" si="65"/>
        <v>3</v>
      </c>
      <c r="AK146">
        <f>step3_validation[[#This Row],[AI_TRU1]]</f>
        <v>8</v>
      </c>
      <c r="AL146" t="str">
        <f t="shared" si="66"/>
        <v>Support</v>
      </c>
      <c r="AM146">
        <f>survey_responses[[#This Row],[Tôi tin rằng Nhà nước, cơ quan thuế sẽ thực thi chính sách mới một cách khách quan, công tâm và đối xử bình đẳng với mọi người nộp thuế.  - HUMAN-TRU1]]</f>
        <v>6</v>
      </c>
      <c r="AN146" t="str">
        <f t="shared" si="67"/>
        <v>Neutral</v>
      </c>
      <c r="AO146" s="32">
        <f t="shared" si="68"/>
        <v>2</v>
      </c>
      <c r="AP146">
        <f>step3_validation[[#This Row],[AI_TRU2]]</f>
        <v>7</v>
      </c>
      <c r="AQ146" t="str">
        <f t="shared" si="69"/>
        <v>Neutral</v>
      </c>
      <c r="AR146">
        <f>survey_responses[[#This Row],[Tôi thấy mức thuế tôi phải đóng theo phương án mới là công bằng (người thu nhập như tôi đóng mức này là hợp lý). - HUMAN-TRU2]]</f>
        <v>3</v>
      </c>
      <c r="AS146" t="str">
        <f t="shared" si="70"/>
        <v>Oppose</v>
      </c>
      <c r="AT146" s="32">
        <f t="shared" si="71"/>
        <v>4</v>
      </c>
      <c r="AU146">
        <f>step3_validation[[#This Row],[AI_TRU3]]</f>
        <v>8</v>
      </c>
      <c r="AV146" t="str">
        <f t="shared" si="72"/>
        <v>Support</v>
      </c>
      <c r="AW146">
        <f>survey_responses[[#This Row],[Tôi tin tưởng số tiền thuế tôi đóng sẽ được Nhà nước sử dụng hiệu quả để cải thiện dịch vụ công (y tế, đường xá...). - HUMAN-TRU3]]</f>
        <v>5</v>
      </c>
      <c r="AX146" t="str">
        <f t="shared" si="73"/>
        <v>Neutral</v>
      </c>
      <c r="AY146" s="32">
        <f t="shared" si="74"/>
        <v>3</v>
      </c>
      <c r="AZ146">
        <f>step3_validation[[#This Row],[AI_TRU4]]</f>
        <v>5</v>
      </c>
      <c r="BA146" t="str">
        <f t="shared" si="75"/>
        <v>Neutral</v>
      </c>
      <c r="BB146">
        <f>survey_responses[[#This Row],[Tôi thấy Nhà nước đã giải thích rõ ràng, minh bạch về lý do và mục tiêu của việc sửa đổi thuế lần này. - HUMAN-TRU4]]</f>
        <v>5</v>
      </c>
      <c r="BC146" t="str">
        <f t="shared" si="76"/>
        <v>Neutral</v>
      </c>
      <c r="BD146" s="32">
        <f t="shared" si="77"/>
        <v>0</v>
      </c>
      <c r="BE146">
        <f>step3_validation[[#This Row],[AI_OUT1]]</f>
        <v>7</v>
      </c>
      <c r="BF146" t="str">
        <f t="shared" si="78"/>
        <v>Neutral</v>
      </c>
      <c r="BG146">
        <f>survey_responses[[#This Row],[Sau khi xem xét các quyền lợi và nghĩa vụ, bạn có ủng hộ và tuân thủ chính sách mới hiện nay? - HUMAN-OUT1]]</f>
        <v>1</v>
      </c>
      <c r="BH146" t="str">
        <f t="shared" si="79"/>
        <v>Oppose</v>
      </c>
      <c r="BI146" s="32">
        <f t="shared" si="80"/>
        <v>6</v>
      </c>
    </row>
    <row r="147" spans="1:61" x14ac:dyDescent="0.45">
      <c r="A147" s="30">
        <f>step3_validation[[#This Row],[Persona_ID]]</f>
        <v>146</v>
      </c>
      <c r="B147" s="31">
        <f>step3_validation[[#This Row],[Used_Seed]]</f>
        <v>2136</v>
      </c>
      <c r="C147" t="str">
        <f>step3_validation[[#This Row],[Gender]]</f>
        <v>Nữ</v>
      </c>
      <c r="D147" t="str">
        <f>survey_responses[[#This Row],[Giới tính của bạn:]]</f>
        <v>Nữ</v>
      </c>
      <c r="E147" t="str">
        <f>step3_validation[[#This Row],[Age_Group]]</f>
        <v>40 - 49</v>
      </c>
      <c r="F147" t="str">
        <f>survey_responses[[#This Row],[Độ tuổi của bạn:]]</f>
        <v>40 - 49</v>
      </c>
      <c r="G147" t="str">
        <f>step3_validation[[#This Row],[Region]]</f>
        <v>Thành thị</v>
      </c>
      <c r="H147" t="str">
        <f>survey_responses[[#This Row],[Khu vực bạn đang sinh sống:]]</f>
        <v>Thành thị</v>
      </c>
      <c r="I147" t="str">
        <f>step3_validation[[#This Row],[Education]]</f>
        <v>Đại học</v>
      </c>
      <c r="J147" t="str">
        <f>survey_responses[[#This Row],[Trình độ học vấn cao nhất:]]</f>
        <v>Đại học</v>
      </c>
      <c r="K147" t="str">
        <f>step3_validation[[#This Row],[Employment]]</f>
        <v>Chính thức</v>
      </c>
      <c r="L147" t="str">
        <f>survey_responses[[#This Row],[Tình trạng việc làm chính:]]</f>
        <v>Khu vực chính thức (Có Hợp đồng lao động, đóng BHXH)</v>
      </c>
      <c r="M147">
        <f>step3_validation[[#This Row],[Income_Mil]]</f>
        <v>85.619123253570223</v>
      </c>
      <c r="N147" t="str">
        <f>survey_responses[[#This Row],[Thu nhập bình quân tháng theo Hợp đồng lao động của bạn là bao nhiêu? (Vui lòng điền tổng thu nhập trước khi khấu trừ các loại Bảo hiểm (BHXH, BHYT, BHTN) và Thuế TNCN)]]</f>
        <v>Từ 70 - 102 triệu VNĐ</v>
      </c>
      <c r="O147">
        <f>step3_validation[[#This Row],[Dependents]]</f>
        <v>3</v>
      </c>
      <c r="P147" t="str">
        <f>survey_responses[[#This Row],[Số người phụ thuộc (con nhỏ, cha mẹ già...) đủ điều kiện giảm trừ gia cảnh:]]</f>
        <v>3 người</v>
      </c>
      <c r="Q147">
        <f>step3_validation[[#This Row],[AI_ENF1]]</f>
        <v>8</v>
      </c>
      <c r="R147" t="str">
        <f t="shared" si="54"/>
        <v>Support</v>
      </c>
      <c r="S147">
        <f>survey_responses[[#This Row],[Tôi tin rằng với các quy định quản lý thuế hiện nay, hành vi gian lận hoặc trốn thuế sẽ dễ dàng bị phát hiện và xử lý nghiêm. - HUMAN-ENF1]]</f>
        <v>8</v>
      </c>
      <c r="T147" t="str">
        <f t="shared" si="55"/>
        <v>Support</v>
      </c>
      <c r="U147" s="32">
        <f t="shared" si="56"/>
        <v>0</v>
      </c>
      <c r="V147">
        <f>step3_validation[[#This Row],[AI_ENF2]]</f>
        <v>9</v>
      </c>
      <c r="W147" t="str">
        <f t="shared" si="57"/>
        <v>Support</v>
      </c>
      <c r="X147">
        <f>survey_responses[[#This Row],[Tôi tin rằng Nhà nước, cơ quan thuế có đủ khả năng và công nghệ để phát hiện, xử lý nghiêm các hành vi trốn thuế. - HUMAN-ENF2]]</f>
        <v>8</v>
      </c>
      <c r="Y147" t="str">
        <f t="shared" si="58"/>
        <v>Support</v>
      </c>
      <c r="Z147" s="32">
        <f t="shared" si="59"/>
        <v>1</v>
      </c>
      <c r="AA147">
        <f>step3_validation[[#This Row],[AI_FAC1]]</f>
        <v>7</v>
      </c>
      <c r="AB147" t="str">
        <f t="shared" si="60"/>
        <v>Neutral</v>
      </c>
      <c r="AC147">
        <f>survey_responses[[#This Row],[Các thủ tục khai báo thuế VÀ/HOẶC quy trình làm việc với cơ quan thuế đơn giản, tiện lợi, nhanh chóng hơn so với trước đây. - HUMAN-FAC1]]</f>
        <v>5</v>
      </c>
      <c r="AD147" t="str">
        <f t="shared" si="61"/>
        <v>Neutral</v>
      </c>
      <c r="AE147" s="32">
        <f t="shared" si="62"/>
        <v>2</v>
      </c>
      <c r="AF147">
        <f>step3_validation[[#This Row],[AI_FAC2]]</f>
        <v>6</v>
      </c>
      <c r="AG147" t="str">
        <f t="shared" si="63"/>
        <v>Neutral</v>
      </c>
      <c r="AH147">
        <f>survey_responses[[#This Row],[So với trước đây, tôi thấy cách tính thuế và các bậc thuế trong phương án mới đơn giản, dễ hiểu và dễ thực hiện hơn. - HUMAN-FAC2]]</f>
        <v>5</v>
      </c>
      <c r="AI147" t="str">
        <f t="shared" si="64"/>
        <v>Neutral</v>
      </c>
      <c r="AJ147" s="32">
        <f t="shared" si="65"/>
        <v>1</v>
      </c>
      <c r="AK147">
        <f>step3_validation[[#This Row],[AI_TRU1]]</f>
        <v>8</v>
      </c>
      <c r="AL147" t="str">
        <f t="shared" si="66"/>
        <v>Support</v>
      </c>
      <c r="AM147">
        <f>survey_responses[[#This Row],[Tôi tin rằng Nhà nước, cơ quan thuế sẽ thực thi chính sách mới một cách khách quan, công tâm và đối xử bình đẳng với mọi người nộp thuế.  - HUMAN-TRU1]]</f>
        <v>5</v>
      </c>
      <c r="AN147" t="str">
        <f t="shared" si="67"/>
        <v>Neutral</v>
      </c>
      <c r="AO147" s="32">
        <f t="shared" si="68"/>
        <v>3</v>
      </c>
      <c r="AP147">
        <f>step3_validation[[#This Row],[AI_TRU2]]</f>
        <v>7</v>
      </c>
      <c r="AQ147" t="str">
        <f t="shared" si="69"/>
        <v>Neutral</v>
      </c>
      <c r="AR147">
        <f>survey_responses[[#This Row],[Tôi thấy mức thuế tôi phải đóng theo phương án mới là công bằng (người thu nhập như tôi đóng mức này là hợp lý). - HUMAN-TRU2]]</f>
        <v>3</v>
      </c>
      <c r="AS147" t="str">
        <f t="shared" si="70"/>
        <v>Oppose</v>
      </c>
      <c r="AT147" s="32">
        <f t="shared" si="71"/>
        <v>4</v>
      </c>
      <c r="AU147">
        <f>step3_validation[[#This Row],[AI_TRU3]]</f>
        <v>6</v>
      </c>
      <c r="AV147" t="str">
        <f t="shared" si="72"/>
        <v>Neutral</v>
      </c>
      <c r="AW147">
        <f>survey_responses[[#This Row],[Tôi tin tưởng số tiền thuế tôi đóng sẽ được Nhà nước sử dụng hiệu quả để cải thiện dịch vụ công (y tế, đường xá...). - HUMAN-TRU3]]</f>
        <v>5</v>
      </c>
      <c r="AX147" t="str">
        <f t="shared" si="73"/>
        <v>Neutral</v>
      </c>
      <c r="AY147" s="32">
        <f t="shared" si="74"/>
        <v>1</v>
      </c>
      <c r="AZ147">
        <f>step3_validation[[#This Row],[AI_TRU4]]</f>
        <v>5</v>
      </c>
      <c r="BA147" t="str">
        <f t="shared" si="75"/>
        <v>Neutral</v>
      </c>
      <c r="BB147">
        <f>survey_responses[[#This Row],[Tôi thấy Nhà nước đã giải thích rõ ràng, minh bạch về lý do và mục tiêu của việc sửa đổi thuế lần này. - HUMAN-TRU4]]</f>
        <v>5</v>
      </c>
      <c r="BC147" t="str">
        <f t="shared" si="76"/>
        <v>Neutral</v>
      </c>
      <c r="BD147" s="32">
        <f t="shared" si="77"/>
        <v>0</v>
      </c>
      <c r="BE147">
        <f>step3_validation[[#This Row],[AI_OUT1]]</f>
        <v>7</v>
      </c>
      <c r="BF147" t="str">
        <f t="shared" si="78"/>
        <v>Neutral</v>
      </c>
      <c r="BG147">
        <f>survey_responses[[#This Row],[Sau khi xem xét các quyền lợi và nghĩa vụ, bạn có ủng hộ và tuân thủ chính sách mới hiện nay? - HUMAN-OUT1]]</f>
        <v>5</v>
      </c>
      <c r="BH147" t="str">
        <f t="shared" si="79"/>
        <v>Neutral</v>
      </c>
      <c r="BI147" s="32">
        <f t="shared" si="80"/>
        <v>2</v>
      </c>
    </row>
    <row r="148" spans="1:61" x14ac:dyDescent="0.45">
      <c r="A148" s="30">
        <f>step3_validation[[#This Row],[Persona_ID]]</f>
        <v>147</v>
      </c>
      <c r="B148" s="31">
        <f>step3_validation[[#This Row],[Used_Seed]]</f>
        <v>2137</v>
      </c>
      <c r="C148" t="str">
        <f>step3_validation[[#This Row],[Gender]]</f>
        <v>Nữ</v>
      </c>
      <c r="D148" t="str">
        <f>survey_responses[[#This Row],[Giới tính của bạn:]]</f>
        <v>Nữ</v>
      </c>
      <c r="E148" t="str">
        <f>step3_validation[[#This Row],[Age_Group]]</f>
        <v>55 - 64</v>
      </c>
      <c r="F148" t="str">
        <f>survey_responses[[#This Row],[Độ tuổi của bạn:]]</f>
        <v>55 - 64</v>
      </c>
      <c r="G148" t="str">
        <f>step3_validation[[#This Row],[Region]]</f>
        <v>Thành thị</v>
      </c>
      <c r="H148" t="str">
        <f>survey_responses[[#This Row],[Khu vực bạn đang sinh sống:]]</f>
        <v>Thành thị</v>
      </c>
      <c r="I148" t="str">
        <f>step3_validation[[#This Row],[Education]]</f>
        <v>Sau Đại học</v>
      </c>
      <c r="J148" t="str">
        <f>survey_responses[[#This Row],[Trình độ học vấn cao nhất:]]</f>
        <v>Sau Đại học</v>
      </c>
      <c r="K148" t="str">
        <f>step3_validation[[#This Row],[Employment]]</f>
        <v>Chính thức</v>
      </c>
      <c r="L148" t="str">
        <f>survey_responses[[#This Row],[Tình trạng việc làm chính:]]</f>
        <v>Khu vực chính thức (Có Hợp đồng lao động, đóng BHXH)</v>
      </c>
      <c r="M148">
        <f>step3_validation[[#This Row],[Income_Mil]]</f>
        <v>157.45553892629545</v>
      </c>
      <c r="N148" t="str">
        <f>survey_responses[[#This Row],[Thu nhập bình quân tháng theo Hợp đồng lao động của bạn là bao nhiêu? (Vui lòng điền tổng thu nhập trước khi khấu trừ các loại Bảo hiểm (BHXH, BHYT, BHTN) và Thuế TNCN)]]</f>
        <v>Trên 102 triệu VNĐ</v>
      </c>
      <c r="O148">
        <f>step3_validation[[#This Row],[Dependents]]</f>
        <v>0</v>
      </c>
      <c r="P148" t="str">
        <f>survey_responses[[#This Row],[Số người phụ thuộc (con nhỏ, cha mẹ già...) đủ điều kiện giảm trừ gia cảnh:]]</f>
        <v>0 người</v>
      </c>
      <c r="Q148">
        <f>step3_validation[[#This Row],[AI_ENF1]]</f>
        <v>8</v>
      </c>
      <c r="R148" t="str">
        <f t="shared" si="54"/>
        <v>Support</v>
      </c>
      <c r="S148">
        <f>survey_responses[[#This Row],[Tôi tin rằng với các quy định quản lý thuế hiện nay, hành vi gian lận hoặc trốn thuế sẽ dễ dàng bị phát hiện và xử lý nghiêm. - HUMAN-ENF1]]</f>
        <v>7</v>
      </c>
      <c r="T148" t="str">
        <f t="shared" si="55"/>
        <v>Neutral</v>
      </c>
      <c r="U148" s="32">
        <f t="shared" si="56"/>
        <v>1</v>
      </c>
      <c r="V148">
        <f>step3_validation[[#This Row],[AI_ENF2]]</f>
        <v>9</v>
      </c>
      <c r="W148" t="str">
        <f t="shared" si="57"/>
        <v>Support</v>
      </c>
      <c r="X148">
        <f>survey_responses[[#This Row],[Tôi tin rằng Nhà nước, cơ quan thuế có đủ khả năng và công nghệ để phát hiện, xử lý nghiêm các hành vi trốn thuế. - HUMAN-ENF2]]</f>
        <v>7</v>
      </c>
      <c r="Y148" t="str">
        <f t="shared" si="58"/>
        <v>Neutral</v>
      </c>
      <c r="Z148" s="32">
        <f t="shared" si="59"/>
        <v>2</v>
      </c>
      <c r="AA148">
        <f>step3_validation[[#This Row],[AI_FAC1]]</f>
        <v>8</v>
      </c>
      <c r="AB148" t="str">
        <f t="shared" si="60"/>
        <v>Support</v>
      </c>
      <c r="AC148">
        <f>survey_responses[[#This Row],[Các thủ tục khai báo thuế VÀ/HOẶC quy trình làm việc với cơ quan thuế đơn giản, tiện lợi, nhanh chóng hơn so với trước đây. - HUMAN-FAC1]]</f>
        <v>1</v>
      </c>
      <c r="AD148" t="str">
        <f t="shared" si="61"/>
        <v>Oppose</v>
      </c>
      <c r="AE148" s="32">
        <f t="shared" si="62"/>
        <v>7</v>
      </c>
      <c r="AF148">
        <f>step3_validation[[#This Row],[AI_FAC2]]</f>
        <v>7</v>
      </c>
      <c r="AG148" t="str">
        <f t="shared" si="63"/>
        <v>Neutral</v>
      </c>
      <c r="AH148">
        <f>survey_responses[[#This Row],[So với trước đây, tôi thấy cách tính thuế và các bậc thuế trong phương án mới đơn giản, dễ hiểu và dễ thực hiện hơn. - HUMAN-FAC2]]</f>
        <v>6</v>
      </c>
      <c r="AI148" t="str">
        <f t="shared" si="64"/>
        <v>Neutral</v>
      </c>
      <c r="AJ148" s="32">
        <f t="shared" si="65"/>
        <v>1</v>
      </c>
      <c r="AK148">
        <f>step3_validation[[#This Row],[AI_TRU1]]</f>
        <v>8</v>
      </c>
      <c r="AL148" t="str">
        <f t="shared" si="66"/>
        <v>Support</v>
      </c>
      <c r="AM148">
        <f>survey_responses[[#This Row],[Tôi tin rằng Nhà nước, cơ quan thuế sẽ thực thi chính sách mới một cách khách quan, công tâm và đối xử bình đẳng với mọi người nộp thuế.  - HUMAN-TRU1]]</f>
        <v>3</v>
      </c>
      <c r="AN148" t="str">
        <f t="shared" si="67"/>
        <v>Oppose</v>
      </c>
      <c r="AO148" s="32">
        <f t="shared" si="68"/>
        <v>5</v>
      </c>
      <c r="AP148">
        <f>step3_validation[[#This Row],[AI_TRU2]]</f>
        <v>7</v>
      </c>
      <c r="AQ148" t="str">
        <f t="shared" si="69"/>
        <v>Neutral</v>
      </c>
      <c r="AR148">
        <f>survey_responses[[#This Row],[Tôi thấy mức thuế tôi phải đóng theo phương án mới là công bằng (người thu nhập như tôi đóng mức này là hợp lý). - HUMAN-TRU2]]</f>
        <v>5</v>
      </c>
      <c r="AS148" t="str">
        <f t="shared" si="70"/>
        <v>Neutral</v>
      </c>
      <c r="AT148" s="32">
        <f t="shared" si="71"/>
        <v>2</v>
      </c>
      <c r="AU148">
        <f>step3_validation[[#This Row],[AI_TRU3]]</f>
        <v>8</v>
      </c>
      <c r="AV148" t="str">
        <f t="shared" si="72"/>
        <v>Support</v>
      </c>
      <c r="AW148">
        <f>survey_responses[[#This Row],[Tôi tin tưởng số tiền thuế tôi đóng sẽ được Nhà nước sử dụng hiệu quả để cải thiện dịch vụ công (y tế, đường xá...). - HUMAN-TRU3]]</f>
        <v>1</v>
      </c>
      <c r="AX148" t="str">
        <f t="shared" si="73"/>
        <v>Oppose</v>
      </c>
      <c r="AY148" s="32">
        <f t="shared" si="74"/>
        <v>7</v>
      </c>
      <c r="AZ148">
        <f>step3_validation[[#This Row],[AI_TRU4]]</f>
        <v>7</v>
      </c>
      <c r="BA148" t="str">
        <f t="shared" si="75"/>
        <v>Neutral</v>
      </c>
      <c r="BB148">
        <f>survey_responses[[#This Row],[Tôi thấy Nhà nước đã giải thích rõ ràng, minh bạch về lý do và mục tiêu của việc sửa đổi thuế lần này. - HUMAN-TRU4]]</f>
        <v>4</v>
      </c>
      <c r="BC148" t="str">
        <f t="shared" si="76"/>
        <v>Oppose</v>
      </c>
      <c r="BD148" s="32">
        <f t="shared" si="77"/>
        <v>3</v>
      </c>
      <c r="BE148">
        <f>step3_validation[[#This Row],[AI_OUT1]]</f>
        <v>8</v>
      </c>
      <c r="BF148" t="str">
        <f t="shared" si="78"/>
        <v>Support</v>
      </c>
      <c r="BG148">
        <f>survey_responses[[#This Row],[Sau khi xem xét các quyền lợi và nghĩa vụ, bạn có ủng hộ và tuân thủ chính sách mới hiện nay? - HUMAN-OUT1]]</f>
        <v>5</v>
      </c>
      <c r="BH148" t="str">
        <f t="shared" si="79"/>
        <v>Neutral</v>
      </c>
      <c r="BI148" s="32">
        <f t="shared" si="80"/>
        <v>3</v>
      </c>
    </row>
    <row r="149" spans="1:61" x14ac:dyDescent="0.45">
      <c r="A149" s="30">
        <f>step3_validation[[#This Row],[Persona_ID]]</f>
        <v>148</v>
      </c>
      <c r="B149" s="31">
        <f>step3_validation[[#This Row],[Used_Seed]]</f>
        <v>2138</v>
      </c>
      <c r="C149" t="str">
        <f>step3_validation[[#This Row],[Gender]]</f>
        <v>Nam</v>
      </c>
      <c r="D149" t="str">
        <f>survey_responses[[#This Row],[Giới tính của bạn:]]</f>
        <v>Nam</v>
      </c>
      <c r="E149" t="str">
        <f>step3_validation[[#This Row],[Age_Group]]</f>
        <v>25 - 29</v>
      </c>
      <c r="F149" t="str">
        <f>survey_responses[[#This Row],[Độ tuổi của bạn:]]</f>
        <v>25 - 29</v>
      </c>
      <c r="G149" t="str">
        <f>step3_validation[[#This Row],[Region]]</f>
        <v>Thành thị</v>
      </c>
      <c r="H149" t="str">
        <f>survey_responses[[#This Row],[Khu vực bạn đang sinh sống:]]</f>
        <v>Thành thị</v>
      </c>
      <c r="I149" t="str">
        <f>step3_validation[[#This Row],[Education]]</f>
        <v>Đại học</v>
      </c>
      <c r="J149" t="str">
        <f>survey_responses[[#This Row],[Trình độ học vấn cao nhất:]]</f>
        <v>Đại học</v>
      </c>
      <c r="K149" t="str">
        <f>step3_validation[[#This Row],[Employment]]</f>
        <v>Chính thức</v>
      </c>
      <c r="L149" t="str">
        <f>survey_responses[[#This Row],[Tình trạng việc làm chính:]]</f>
        <v>Khu vực chính thức (Có Hợp đồng lao động, đóng BHXH)</v>
      </c>
      <c r="M149">
        <f>step3_validation[[#This Row],[Income_Mil]]</f>
        <v>19.480538476970402</v>
      </c>
      <c r="N149" t="str">
        <f>survey_responses[[#This Row],[Thu nhập bình quân tháng theo Hợp đồng lao động của bạn là bao nhiêu? (Vui lòng điền tổng thu nhập trước khi khấu trừ các loại Bảo hiểm (BHXH, BHYT, BHTN) và Thuế TNCN)]]</f>
        <v>Từ 18 - 23 triệu VNĐ</v>
      </c>
      <c r="O149">
        <f>step3_validation[[#This Row],[Dependents]]</f>
        <v>0</v>
      </c>
      <c r="P149" t="str">
        <f>survey_responses[[#This Row],[Số người phụ thuộc (con nhỏ, cha mẹ già...) đủ điều kiện giảm trừ gia cảnh:]]</f>
        <v>0 người</v>
      </c>
      <c r="Q149">
        <f>step3_validation[[#This Row],[AI_ENF1]]</f>
        <v>8</v>
      </c>
      <c r="R149" t="str">
        <f t="shared" si="54"/>
        <v>Support</v>
      </c>
      <c r="S149">
        <f>survey_responses[[#This Row],[Tôi tin rằng với các quy định quản lý thuế hiện nay, hành vi gian lận hoặc trốn thuế sẽ dễ dàng bị phát hiện và xử lý nghiêm. - HUMAN-ENF1]]</f>
        <v>6</v>
      </c>
      <c r="T149" t="str">
        <f t="shared" si="55"/>
        <v>Neutral</v>
      </c>
      <c r="U149" s="32">
        <f t="shared" si="56"/>
        <v>2</v>
      </c>
      <c r="V149">
        <f>step3_validation[[#This Row],[AI_ENF2]]</f>
        <v>7</v>
      </c>
      <c r="W149" t="str">
        <f t="shared" si="57"/>
        <v>Neutral</v>
      </c>
      <c r="X149">
        <f>survey_responses[[#This Row],[Tôi tin rằng Nhà nước, cơ quan thuế có đủ khả năng và công nghệ để phát hiện, xử lý nghiêm các hành vi trốn thuế. - HUMAN-ENF2]]</f>
        <v>6</v>
      </c>
      <c r="Y149" t="str">
        <f t="shared" si="58"/>
        <v>Neutral</v>
      </c>
      <c r="Z149" s="32">
        <f t="shared" si="59"/>
        <v>1</v>
      </c>
      <c r="AA149">
        <f>step3_validation[[#This Row],[AI_FAC1]]</f>
        <v>9</v>
      </c>
      <c r="AB149" t="str">
        <f t="shared" si="60"/>
        <v>Support</v>
      </c>
      <c r="AC149">
        <f>survey_responses[[#This Row],[Các thủ tục khai báo thuế VÀ/HOẶC quy trình làm việc với cơ quan thuế đơn giản, tiện lợi, nhanh chóng hơn so với trước đây. - HUMAN-FAC1]]</f>
        <v>5</v>
      </c>
      <c r="AD149" t="str">
        <f t="shared" si="61"/>
        <v>Neutral</v>
      </c>
      <c r="AE149" s="32">
        <f t="shared" si="62"/>
        <v>4</v>
      </c>
      <c r="AF149">
        <f>step3_validation[[#This Row],[AI_FAC2]]</f>
        <v>8</v>
      </c>
      <c r="AG149" t="str">
        <f t="shared" si="63"/>
        <v>Support</v>
      </c>
      <c r="AH149">
        <f>survey_responses[[#This Row],[So với trước đây, tôi thấy cách tính thuế và các bậc thuế trong phương án mới đơn giản, dễ hiểu và dễ thực hiện hơn. - HUMAN-FAC2]]</f>
        <v>7</v>
      </c>
      <c r="AI149" t="str">
        <f t="shared" si="64"/>
        <v>Neutral</v>
      </c>
      <c r="AJ149" s="32">
        <f t="shared" si="65"/>
        <v>1</v>
      </c>
      <c r="AK149">
        <f>step3_validation[[#This Row],[AI_TRU1]]</f>
        <v>7</v>
      </c>
      <c r="AL149" t="str">
        <f t="shared" si="66"/>
        <v>Neutral</v>
      </c>
      <c r="AM149">
        <f>survey_responses[[#This Row],[Tôi tin rằng Nhà nước, cơ quan thuế sẽ thực thi chính sách mới một cách khách quan, công tâm và đối xử bình đẳng với mọi người nộp thuế.  - HUMAN-TRU1]]</f>
        <v>5</v>
      </c>
      <c r="AN149" t="str">
        <f t="shared" si="67"/>
        <v>Neutral</v>
      </c>
      <c r="AO149" s="32">
        <f t="shared" si="68"/>
        <v>2</v>
      </c>
      <c r="AP149">
        <f>step3_validation[[#This Row],[AI_TRU2]]</f>
        <v>8</v>
      </c>
      <c r="AQ149" t="str">
        <f t="shared" si="69"/>
        <v>Support</v>
      </c>
      <c r="AR149">
        <f>survey_responses[[#This Row],[Tôi thấy mức thuế tôi phải đóng theo phương án mới là công bằng (người thu nhập như tôi đóng mức này là hợp lý). - HUMAN-TRU2]]</f>
        <v>7</v>
      </c>
      <c r="AS149" t="str">
        <f t="shared" si="70"/>
        <v>Neutral</v>
      </c>
      <c r="AT149" s="32">
        <f t="shared" si="71"/>
        <v>1</v>
      </c>
      <c r="AU149">
        <f>step3_validation[[#This Row],[AI_TRU3]]</f>
        <v>7</v>
      </c>
      <c r="AV149" t="str">
        <f t="shared" si="72"/>
        <v>Neutral</v>
      </c>
      <c r="AW149">
        <f>survey_responses[[#This Row],[Tôi tin tưởng số tiền thuế tôi đóng sẽ được Nhà nước sử dụng hiệu quả để cải thiện dịch vụ công (y tế, đường xá...). - HUMAN-TRU3]]</f>
        <v>5</v>
      </c>
      <c r="AX149" t="str">
        <f t="shared" si="73"/>
        <v>Neutral</v>
      </c>
      <c r="AY149" s="32">
        <f t="shared" si="74"/>
        <v>2</v>
      </c>
      <c r="AZ149">
        <f>step3_validation[[#This Row],[AI_TRU4]]</f>
        <v>8</v>
      </c>
      <c r="BA149" t="str">
        <f t="shared" si="75"/>
        <v>Support</v>
      </c>
      <c r="BB149">
        <f>survey_responses[[#This Row],[Tôi thấy Nhà nước đã giải thích rõ ràng, minh bạch về lý do và mục tiêu của việc sửa đổi thuế lần này. - HUMAN-TRU4]]</f>
        <v>6</v>
      </c>
      <c r="BC149" t="str">
        <f t="shared" si="76"/>
        <v>Neutral</v>
      </c>
      <c r="BD149" s="32">
        <f t="shared" si="77"/>
        <v>2</v>
      </c>
      <c r="BE149">
        <f>step3_validation[[#This Row],[AI_OUT1]]</f>
        <v>9</v>
      </c>
      <c r="BF149" t="str">
        <f t="shared" si="78"/>
        <v>Support</v>
      </c>
      <c r="BG149">
        <f>survey_responses[[#This Row],[Sau khi xem xét các quyền lợi và nghĩa vụ, bạn có ủng hộ và tuân thủ chính sách mới hiện nay? - HUMAN-OUT1]]</f>
        <v>7</v>
      </c>
      <c r="BH149" t="str">
        <f t="shared" si="79"/>
        <v>Neutral</v>
      </c>
      <c r="BI149" s="32">
        <f t="shared" si="80"/>
        <v>2</v>
      </c>
    </row>
    <row r="150" spans="1:61" x14ac:dyDescent="0.45">
      <c r="A150" s="30">
        <f>step3_validation[[#This Row],[Persona_ID]]</f>
        <v>149</v>
      </c>
      <c r="B150" s="31">
        <f>step3_validation[[#This Row],[Used_Seed]]</f>
        <v>2139</v>
      </c>
      <c r="C150" t="str">
        <f>step3_validation[[#This Row],[Gender]]</f>
        <v>Nữ</v>
      </c>
      <c r="D150" t="str">
        <f>survey_responses[[#This Row],[Giới tính của bạn:]]</f>
        <v>Nữ</v>
      </c>
      <c r="E150" t="str">
        <f>step3_validation[[#This Row],[Age_Group]]</f>
        <v>40 - 49</v>
      </c>
      <c r="F150" t="str">
        <f>survey_responses[[#This Row],[Độ tuổi của bạn:]]</f>
        <v>40 - 49</v>
      </c>
      <c r="G150" t="str">
        <f>step3_validation[[#This Row],[Region]]</f>
        <v>Thành thị</v>
      </c>
      <c r="H150" t="str">
        <f>survey_responses[[#This Row],[Khu vực bạn đang sinh sống:]]</f>
        <v>Thành thị</v>
      </c>
      <c r="I150" t="str">
        <f>step3_validation[[#This Row],[Education]]</f>
        <v>Đại học</v>
      </c>
      <c r="J150" t="str">
        <f>survey_responses[[#This Row],[Trình độ học vấn cao nhất:]]</f>
        <v>Đại học</v>
      </c>
      <c r="K150" t="str">
        <f>step3_validation[[#This Row],[Employment]]</f>
        <v>Chính thức</v>
      </c>
      <c r="L150" t="str">
        <f>survey_responses[[#This Row],[Tình trạng việc làm chính:]]</f>
        <v>Khu vực chính thức (Có Hợp đồng lao động, đóng BHXH)</v>
      </c>
      <c r="M150">
        <f>step3_validation[[#This Row],[Income_Mil]]</f>
        <v>224.2269893145295</v>
      </c>
      <c r="N150" t="str">
        <f>survey_responses[[#This Row],[Thu nhập bình quân tháng theo Hợp đồng lao động của bạn là bao nhiêu? (Vui lòng điền tổng thu nhập trước khi khấu trừ các loại Bảo hiểm (BHXH, BHYT, BHTN) và Thuế TNCN)]]</f>
        <v>Trên 102 triệu VNĐ</v>
      </c>
      <c r="O150">
        <f>step3_validation[[#This Row],[Dependents]]</f>
        <v>3</v>
      </c>
      <c r="P150" t="str">
        <f>survey_responses[[#This Row],[Số người phụ thuộc (con nhỏ, cha mẹ già...) đủ điều kiện giảm trừ gia cảnh:]]</f>
        <v>3 người</v>
      </c>
      <c r="Q150">
        <f>step3_validation[[#This Row],[AI_ENF1]]</f>
        <v>7</v>
      </c>
      <c r="R150" t="str">
        <f t="shared" si="54"/>
        <v>Neutral</v>
      </c>
      <c r="S150">
        <f>survey_responses[[#This Row],[Tôi tin rằng với các quy định quản lý thuế hiện nay, hành vi gian lận hoặc trốn thuế sẽ dễ dàng bị phát hiện và xử lý nghiêm. - HUMAN-ENF1]]</f>
        <v>10</v>
      </c>
      <c r="T150" t="str">
        <f t="shared" si="55"/>
        <v>Support</v>
      </c>
      <c r="U150" s="32">
        <f t="shared" si="56"/>
        <v>3</v>
      </c>
      <c r="V150">
        <f>step3_validation[[#This Row],[AI_ENF2]]</f>
        <v>8</v>
      </c>
      <c r="W150" t="str">
        <f t="shared" si="57"/>
        <v>Support</v>
      </c>
      <c r="X150">
        <f>survey_responses[[#This Row],[Tôi tin rằng Nhà nước, cơ quan thuế có đủ khả năng và công nghệ để phát hiện, xử lý nghiêm các hành vi trốn thuế. - HUMAN-ENF2]]</f>
        <v>10</v>
      </c>
      <c r="Y150" t="str">
        <f t="shared" si="58"/>
        <v>Support</v>
      </c>
      <c r="Z150" s="32">
        <f t="shared" si="59"/>
        <v>2</v>
      </c>
      <c r="AA150">
        <f>step3_validation[[#This Row],[AI_FAC1]]</f>
        <v>9</v>
      </c>
      <c r="AB150" t="str">
        <f t="shared" si="60"/>
        <v>Support</v>
      </c>
      <c r="AC150">
        <f>survey_responses[[#This Row],[Các thủ tục khai báo thuế VÀ/HOẶC quy trình làm việc với cơ quan thuế đơn giản, tiện lợi, nhanh chóng hơn so với trước đây. - HUMAN-FAC1]]</f>
        <v>7</v>
      </c>
      <c r="AD150" t="str">
        <f t="shared" si="61"/>
        <v>Neutral</v>
      </c>
      <c r="AE150" s="32">
        <f t="shared" si="62"/>
        <v>2</v>
      </c>
      <c r="AF150">
        <f>step3_validation[[#This Row],[AI_FAC2]]</f>
        <v>8</v>
      </c>
      <c r="AG150" t="str">
        <f t="shared" si="63"/>
        <v>Support</v>
      </c>
      <c r="AH150">
        <f>survey_responses[[#This Row],[So với trước đây, tôi thấy cách tính thuế và các bậc thuế trong phương án mới đơn giản, dễ hiểu và dễ thực hiện hơn. - HUMAN-FAC2]]</f>
        <v>8</v>
      </c>
      <c r="AI150" t="str">
        <f t="shared" si="64"/>
        <v>Support</v>
      </c>
      <c r="AJ150" s="32">
        <f t="shared" si="65"/>
        <v>0</v>
      </c>
      <c r="AK150">
        <f>step3_validation[[#This Row],[AI_TRU1]]</f>
        <v>7</v>
      </c>
      <c r="AL150" t="str">
        <f t="shared" si="66"/>
        <v>Neutral</v>
      </c>
      <c r="AM150">
        <f>survey_responses[[#This Row],[Tôi tin rằng Nhà nước, cơ quan thuế sẽ thực thi chính sách mới một cách khách quan, công tâm và đối xử bình đẳng với mọi người nộp thuế.  - HUMAN-TRU1]]</f>
        <v>8</v>
      </c>
      <c r="AN150" t="str">
        <f t="shared" si="67"/>
        <v>Support</v>
      </c>
      <c r="AO150" s="32">
        <f t="shared" si="68"/>
        <v>1</v>
      </c>
      <c r="AP150">
        <f>step3_validation[[#This Row],[AI_TRU2]]</f>
        <v>8</v>
      </c>
      <c r="AQ150" t="str">
        <f t="shared" si="69"/>
        <v>Support</v>
      </c>
      <c r="AR150">
        <f>survey_responses[[#This Row],[Tôi thấy mức thuế tôi phải đóng theo phương án mới là công bằng (người thu nhập như tôi đóng mức này là hợp lý). - HUMAN-TRU2]]</f>
        <v>4</v>
      </c>
      <c r="AS150" t="str">
        <f t="shared" si="70"/>
        <v>Oppose</v>
      </c>
      <c r="AT150" s="32">
        <f t="shared" si="71"/>
        <v>4</v>
      </c>
      <c r="AU150">
        <f>step3_validation[[#This Row],[AI_TRU3]]</f>
        <v>7</v>
      </c>
      <c r="AV150" t="str">
        <f t="shared" si="72"/>
        <v>Neutral</v>
      </c>
      <c r="AW150">
        <f>survey_responses[[#This Row],[Tôi tin tưởng số tiền thuế tôi đóng sẽ được Nhà nước sử dụng hiệu quả để cải thiện dịch vụ công (y tế, đường xá...). - HUMAN-TRU3]]</f>
        <v>1</v>
      </c>
      <c r="AX150" t="str">
        <f t="shared" si="73"/>
        <v>Oppose</v>
      </c>
      <c r="AY150" s="32">
        <f t="shared" si="74"/>
        <v>6</v>
      </c>
      <c r="AZ150">
        <f>step3_validation[[#This Row],[AI_TRU4]]</f>
        <v>6</v>
      </c>
      <c r="BA150" t="str">
        <f t="shared" si="75"/>
        <v>Neutral</v>
      </c>
      <c r="BB150">
        <f>survey_responses[[#This Row],[Tôi thấy Nhà nước đã giải thích rõ ràng, minh bạch về lý do và mục tiêu của việc sửa đổi thuế lần này. - HUMAN-TRU4]]</f>
        <v>3</v>
      </c>
      <c r="BC150" t="str">
        <f t="shared" si="76"/>
        <v>Oppose</v>
      </c>
      <c r="BD150" s="32">
        <f t="shared" si="77"/>
        <v>3</v>
      </c>
      <c r="BE150">
        <f>step3_validation[[#This Row],[AI_OUT1]]</f>
        <v>7</v>
      </c>
      <c r="BF150" t="str">
        <f t="shared" si="78"/>
        <v>Neutral</v>
      </c>
      <c r="BG150">
        <f>survey_responses[[#This Row],[Sau khi xem xét các quyền lợi và nghĩa vụ, bạn có ủng hộ và tuân thủ chính sách mới hiện nay? - HUMAN-OUT1]]</f>
        <v>6</v>
      </c>
      <c r="BH150" t="str">
        <f t="shared" si="79"/>
        <v>Neutral</v>
      </c>
      <c r="BI150" s="32">
        <f t="shared" si="80"/>
        <v>1</v>
      </c>
    </row>
    <row r="151" spans="1:61" x14ac:dyDescent="0.45">
      <c r="A151" s="30">
        <f>step3_validation[[#This Row],[Persona_ID]]</f>
        <v>150</v>
      </c>
      <c r="B151" s="31">
        <f>step3_validation[[#This Row],[Used_Seed]]</f>
        <v>2140</v>
      </c>
      <c r="C151" t="str">
        <f>step3_validation[[#This Row],[Gender]]</f>
        <v>Nữ</v>
      </c>
      <c r="D151" t="str">
        <f>survey_responses[[#This Row],[Giới tính của bạn:]]</f>
        <v>Nữ</v>
      </c>
      <c r="E151" t="str">
        <f>step3_validation[[#This Row],[Age_Group]]</f>
        <v>40 - 49</v>
      </c>
      <c r="F151" t="str">
        <f>survey_responses[[#This Row],[Độ tuổi của bạn:]]</f>
        <v>40 - 49</v>
      </c>
      <c r="G151" t="str">
        <f>step3_validation[[#This Row],[Region]]</f>
        <v>Thành thị</v>
      </c>
      <c r="H151" t="str">
        <f>survey_responses[[#This Row],[Khu vực bạn đang sinh sống:]]</f>
        <v>Thành thị</v>
      </c>
      <c r="I151" t="str">
        <f>step3_validation[[#This Row],[Education]]</f>
        <v>Đại học</v>
      </c>
      <c r="J151" t="str">
        <f>survey_responses[[#This Row],[Trình độ học vấn cao nhất:]]</f>
        <v>Đại học</v>
      </c>
      <c r="K151" t="str">
        <f>step3_validation[[#This Row],[Employment]]</f>
        <v>Chính thức</v>
      </c>
      <c r="L151" t="str">
        <f>survey_responses[[#This Row],[Tình trạng việc làm chính:]]</f>
        <v>Khu vực chính thức (Có Hợp đồng lao động, đóng BHXH)</v>
      </c>
      <c r="M151">
        <f>step3_validation[[#This Row],[Income_Mil]]</f>
        <v>55.317930506592539</v>
      </c>
      <c r="N151" t="str">
        <f>survey_responses[[#This Row],[Thu nhập bình quân tháng theo Hợp đồng lao động của bạn là bao nhiêu? (Vui lòng điền tổng thu nhập trước khi khấu trừ các loại Bảo hiểm (BHXH, BHYT, BHTN) và Thuế TNCN)]]</f>
        <v>Từ 48 - 70 triệu VNĐ</v>
      </c>
      <c r="O151">
        <f>step3_validation[[#This Row],[Dependents]]</f>
        <v>2</v>
      </c>
      <c r="P151" t="str">
        <f>survey_responses[[#This Row],[Số người phụ thuộc (con nhỏ, cha mẹ già...) đủ điều kiện giảm trừ gia cảnh:]]</f>
        <v>2 người</v>
      </c>
      <c r="Q151">
        <f>step3_validation[[#This Row],[AI_ENF1]]</f>
        <v>8</v>
      </c>
      <c r="R151" t="str">
        <f t="shared" si="54"/>
        <v>Support</v>
      </c>
      <c r="S151">
        <f>survey_responses[[#This Row],[Tôi tin rằng với các quy định quản lý thuế hiện nay, hành vi gian lận hoặc trốn thuế sẽ dễ dàng bị phát hiện và xử lý nghiêm. - HUMAN-ENF1]]</f>
        <v>7</v>
      </c>
      <c r="T151" t="str">
        <f t="shared" si="55"/>
        <v>Neutral</v>
      </c>
      <c r="U151" s="32">
        <f t="shared" si="56"/>
        <v>1</v>
      </c>
      <c r="V151">
        <f>step3_validation[[#This Row],[AI_ENF2]]</f>
        <v>9</v>
      </c>
      <c r="W151" t="str">
        <f t="shared" si="57"/>
        <v>Support</v>
      </c>
      <c r="X151">
        <f>survey_responses[[#This Row],[Tôi tin rằng Nhà nước, cơ quan thuế có đủ khả năng và công nghệ để phát hiện, xử lý nghiêm các hành vi trốn thuế. - HUMAN-ENF2]]</f>
        <v>10</v>
      </c>
      <c r="Y151" t="str">
        <f t="shared" si="58"/>
        <v>Support</v>
      </c>
      <c r="Z151" s="32">
        <f t="shared" si="59"/>
        <v>1</v>
      </c>
      <c r="AA151">
        <f>step3_validation[[#This Row],[AI_FAC1]]</f>
        <v>6</v>
      </c>
      <c r="AB151" t="str">
        <f t="shared" si="60"/>
        <v>Neutral</v>
      </c>
      <c r="AC151">
        <f>survey_responses[[#This Row],[Các thủ tục khai báo thuế VÀ/HOẶC quy trình làm việc với cơ quan thuế đơn giản, tiện lợi, nhanh chóng hơn so với trước đây. - HUMAN-FAC1]]</f>
        <v>5</v>
      </c>
      <c r="AD151" t="str">
        <f t="shared" si="61"/>
        <v>Neutral</v>
      </c>
      <c r="AE151" s="32">
        <f t="shared" si="62"/>
        <v>1</v>
      </c>
      <c r="AF151">
        <f>step3_validation[[#This Row],[AI_FAC2]]</f>
        <v>8</v>
      </c>
      <c r="AG151" t="str">
        <f t="shared" si="63"/>
        <v>Support</v>
      </c>
      <c r="AH151">
        <f>survey_responses[[#This Row],[So với trước đây, tôi thấy cách tính thuế và các bậc thuế trong phương án mới đơn giản, dễ hiểu và dễ thực hiện hơn. - HUMAN-FAC2]]</f>
        <v>7</v>
      </c>
      <c r="AI151" t="str">
        <f t="shared" si="64"/>
        <v>Neutral</v>
      </c>
      <c r="AJ151" s="32">
        <f t="shared" si="65"/>
        <v>1</v>
      </c>
      <c r="AK151">
        <f>step3_validation[[#This Row],[AI_TRU1]]</f>
        <v>7</v>
      </c>
      <c r="AL151" t="str">
        <f t="shared" si="66"/>
        <v>Neutral</v>
      </c>
      <c r="AM151">
        <f>survey_responses[[#This Row],[Tôi tin rằng Nhà nước, cơ quan thuế sẽ thực thi chính sách mới một cách khách quan, công tâm và đối xử bình đẳng với mọi người nộp thuế.  - HUMAN-TRU1]]</f>
        <v>7</v>
      </c>
      <c r="AN151" t="str">
        <f t="shared" si="67"/>
        <v>Neutral</v>
      </c>
      <c r="AO151" s="32">
        <f t="shared" si="68"/>
        <v>0</v>
      </c>
      <c r="AP151">
        <f>step3_validation[[#This Row],[AI_TRU2]]</f>
        <v>8</v>
      </c>
      <c r="AQ151" t="str">
        <f t="shared" si="69"/>
        <v>Support</v>
      </c>
      <c r="AR151">
        <f>survey_responses[[#This Row],[Tôi thấy mức thuế tôi phải đóng theo phương án mới là công bằng (người thu nhập như tôi đóng mức này là hợp lý). - HUMAN-TRU2]]</f>
        <v>7</v>
      </c>
      <c r="AS151" t="str">
        <f t="shared" si="70"/>
        <v>Neutral</v>
      </c>
      <c r="AT151" s="32">
        <f t="shared" si="71"/>
        <v>1</v>
      </c>
      <c r="AU151">
        <f>step3_validation[[#This Row],[AI_TRU3]]</f>
        <v>7</v>
      </c>
      <c r="AV151" t="str">
        <f t="shared" si="72"/>
        <v>Neutral</v>
      </c>
      <c r="AW151">
        <f>survey_responses[[#This Row],[Tôi tin tưởng số tiền thuế tôi đóng sẽ được Nhà nước sử dụng hiệu quả để cải thiện dịch vụ công (y tế, đường xá...). - HUMAN-TRU3]]</f>
        <v>7</v>
      </c>
      <c r="AX151" t="str">
        <f t="shared" si="73"/>
        <v>Neutral</v>
      </c>
      <c r="AY151" s="32">
        <f t="shared" si="74"/>
        <v>0</v>
      </c>
      <c r="AZ151">
        <f>step3_validation[[#This Row],[AI_TRU4]]</f>
        <v>6</v>
      </c>
      <c r="BA151" t="str">
        <f t="shared" si="75"/>
        <v>Neutral</v>
      </c>
      <c r="BB151">
        <f>survey_responses[[#This Row],[Tôi thấy Nhà nước đã giải thích rõ ràng, minh bạch về lý do và mục tiêu của việc sửa đổi thuế lần này. - HUMAN-TRU4]]</f>
        <v>7</v>
      </c>
      <c r="BC151" t="str">
        <f t="shared" si="76"/>
        <v>Neutral</v>
      </c>
      <c r="BD151" s="32">
        <f t="shared" si="77"/>
        <v>1</v>
      </c>
      <c r="BE151">
        <f>step3_validation[[#This Row],[AI_OUT1]]</f>
        <v>7</v>
      </c>
      <c r="BF151" t="str">
        <f t="shared" si="78"/>
        <v>Neutral</v>
      </c>
      <c r="BG151">
        <f>survey_responses[[#This Row],[Sau khi xem xét các quyền lợi và nghĩa vụ, bạn có ủng hộ và tuân thủ chính sách mới hiện nay? - HUMAN-OUT1]]</f>
        <v>10</v>
      </c>
      <c r="BH151" t="str">
        <f t="shared" si="79"/>
        <v>Support</v>
      </c>
      <c r="BI151" s="32">
        <f t="shared" si="80"/>
        <v>3</v>
      </c>
    </row>
    <row r="152" spans="1:61" x14ac:dyDescent="0.45">
      <c r="A152" s="30">
        <f>step3_validation[[#This Row],[Persona_ID]]</f>
        <v>151</v>
      </c>
      <c r="B152" s="31">
        <f>step3_validation[[#This Row],[Used_Seed]]</f>
        <v>2141</v>
      </c>
      <c r="C152" t="str">
        <f>step3_validation[[#This Row],[Gender]]</f>
        <v>Nữ</v>
      </c>
      <c r="D152" t="str">
        <f>survey_responses[[#This Row],[Giới tính của bạn:]]</f>
        <v>Nữ</v>
      </c>
      <c r="E152" t="str">
        <f>step3_validation[[#This Row],[Age_Group]]</f>
        <v>30 - 39</v>
      </c>
      <c r="F152" t="str">
        <f>survey_responses[[#This Row],[Độ tuổi của bạn:]]</f>
        <v>30 - 39</v>
      </c>
      <c r="G152" t="str">
        <f>step3_validation[[#This Row],[Region]]</f>
        <v>Thành thị</v>
      </c>
      <c r="H152" t="str">
        <f>survey_responses[[#This Row],[Khu vực bạn đang sinh sống:]]</f>
        <v>Thành thị</v>
      </c>
      <c r="I152" t="str">
        <f>step3_validation[[#This Row],[Education]]</f>
        <v>Đại học</v>
      </c>
      <c r="J152" t="str">
        <f>survey_responses[[#This Row],[Trình độ học vấn cao nhất:]]</f>
        <v>Đại học</v>
      </c>
      <c r="K152" t="str">
        <f>step3_validation[[#This Row],[Employment]]</f>
        <v>Chính thức</v>
      </c>
      <c r="L152" t="str">
        <f>survey_responses[[#This Row],[Tình trạng việc làm chính:]]</f>
        <v>Khu vực chính thức (Có Hợp đồng lao động, đóng BHXH)</v>
      </c>
      <c r="M152">
        <f>step3_validation[[#This Row],[Income_Mil]]</f>
        <v>74.179101185392796</v>
      </c>
      <c r="N152" t="str">
        <f>survey_responses[[#This Row],[Thu nhập bình quân tháng theo Hợp đồng lao động của bạn là bao nhiêu? (Vui lòng điền tổng thu nhập trước khi khấu trừ các loại Bảo hiểm (BHXH, BHYT, BHTN) và Thuế TNCN)]]</f>
        <v>Từ 70 - 102 triệu VNĐ</v>
      </c>
      <c r="O152">
        <f>step3_validation[[#This Row],[Dependents]]</f>
        <v>2</v>
      </c>
      <c r="P152" t="str">
        <f>survey_responses[[#This Row],[Số người phụ thuộc (con nhỏ, cha mẹ già...) đủ điều kiện giảm trừ gia cảnh:]]</f>
        <v>2 người</v>
      </c>
      <c r="Q152">
        <f>step3_validation[[#This Row],[AI_ENF1]]</f>
        <v>8</v>
      </c>
      <c r="R152" t="str">
        <f t="shared" si="54"/>
        <v>Support</v>
      </c>
      <c r="S152">
        <f>survey_responses[[#This Row],[Tôi tin rằng với các quy định quản lý thuế hiện nay, hành vi gian lận hoặc trốn thuế sẽ dễ dàng bị phát hiện và xử lý nghiêm. - HUMAN-ENF1]]</f>
        <v>8</v>
      </c>
      <c r="T152" t="str">
        <f t="shared" si="55"/>
        <v>Support</v>
      </c>
      <c r="U152" s="32">
        <f t="shared" si="56"/>
        <v>0</v>
      </c>
      <c r="V152">
        <f>step3_validation[[#This Row],[AI_ENF2]]</f>
        <v>9</v>
      </c>
      <c r="W152" t="str">
        <f t="shared" si="57"/>
        <v>Support</v>
      </c>
      <c r="X152">
        <f>survey_responses[[#This Row],[Tôi tin rằng Nhà nước, cơ quan thuế có đủ khả năng và công nghệ để phát hiện, xử lý nghiêm các hành vi trốn thuế. - HUMAN-ENF2]]</f>
        <v>8</v>
      </c>
      <c r="Y152" t="str">
        <f t="shared" si="58"/>
        <v>Support</v>
      </c>
      <c r="Z152" s="32">
        <f t="shared" si="59"/>
        <v>1</v>
      </c>
      <c r="AA152">
        <f>step3_validation[[#This Row],[AI_FAC1]]</f>
        <v>7</v>
      </c>
      <c r="AB152" t="str">
        <f t="shared" si="60"/>
        <v>Neutral</v>
      </c>
      <c r="AC152">
        <f>survey_responses[[#This Row],[Các thủ tục khai báo thuế VÀ/HOẶC quy trình làm việc với cơ quan thuế đơn giản, tiện lợi, nhanh chóng hơn so với trước đây. - HUMAN-FAC1]]</f>
        <v>8</v>
      </c>
      <c r="AD152" t="str">
        <f t="shared" si="61"/>
        <v>Support</v>
      </c>
      <c r="AE152" s="32">
        <f t="shared" si="62"/>
        <v>1</v>
      </c>
      <c r="AF152">
        <f>step3_validation[[#This Row],[AI_FAC2]]</f>
        <v>8</v>
      </c>
      <c r="AG152" t="str">
        <f t="shared" si="63"/>
        <v>Support</v>
      </c>
      <c r="AH152">
        <f>survey_responses[[#This Row],[So với trước đây, tôi thấy cách tính thuế và các bậc thuế trong phương án mới đơn giản, dễ hiểu và dễ thực hiện hơn. - HUMAN-FAC2]]</f>
        <v>8</v>
      </c>
      <c r="AI152" t="str">
        <f t="shared" si="64"/>
        <v>Support</v>
      </c>
      <c r="AJ152" s="32">
        <f t="shared" si="65"/>
        <v>0</v>
      </c>
      <c r="AK152">
        <f>step3_validation[[#This Row],[AI_TRU1]]</f>
        <v>7</v>
      </c>
      <c r="AL152" t="str">
        <f t="shared" si="66"/>
        <v>Neutral</v>
      </c>
      <c r="AM152">
        <f>survey_responses[[#This Row],[Tôi tin rằng Nhà nước, cơ quan thuế sẽ thực thi chính sách mới một cách khách quan, công tâm và đối xử bình đẳng với mọi người nộp thuế.  - HUMAN-TRU1]]</f>
        <v>8</v>
      </c>
      <c r="AN152" t="str">
        <f t="shared" si="67"/>
        <v>Support</v>
      </c>
      <c r="AO152" s="32">
        <f t="shared" si="68"/>
        <v>1</v>
      </c>
      <c r="AP152">
        <f>step3_validation[[#This Row],[AI_TRU2]]</f>
        <v>8</v>
      </c>
      <c r="AQ152" t="str">
        <f t="shared" si="69"/>
        <v>Support</v>
      </c>
      <c r="AR152">
        <f>survey_responses[[#This Row],[Tôi thấy mức thuế tôi phải đóng theo phương án mới là công bằng (người thu nhập như tôi đóng mức này là hợp lý). - HUMAN-TRU2]]</f>
        <v>8</v>
      </c>
      <c r="AS152" t="str">
        <f t="shared" si="70"/>
        <v>Support</v>
      </c>
      <c r="AT152" s="32">
        <f t="shared" si="71"/>
        <v>0</v>
      </c>
      <c r="AU152">
        <f>step3_validation[[#This Row],[AI_TRU3]]</f>
        <v>6</v>
      </c>
      <c r="AV152" t="str">
        <f t="shared" si="72"/>
        <v>Neutral</v>
      </c>
      <c r="AW152">
        <f>survey_responses[[#This Row],[Tôi tin tưởng số tiền thuế tôi đóng sẽ được Nhà nước sử dụng hiệu quả để cải thiện dịch vụ công (y tế, đường xá...). - HUMAN-TRU3]]</f>
        <v>8</v>
      </c>
      <c r="AX152" t="str">
        <f t="shared" si="73"/>
        <v>Support</v>
      </c>
      <c r="AY152" s="32">
        <f t="shared" si="74"/>
        <v>2</v>
      </c>
      <c r="AZ152">
        <f>step3_validation[[#This Row],[AI_TRU4]]</f>
        <v>7</v>
      </c>
      <c r="BA152" t="str">
        <f t="shared" si="75"/>
        <v>Neutral</v>
      </c>
      <c r="BB152">
        <f>survey_responses[[#This Row],[Tôi thấy Nhà nước đã giải thích rõ ràng, minh bạch về lý do và mục tiêu của việc sửa đổi thuế lần này. - HUMAN-TRU4]]</f>
        <v>8</v>
      </c>
      <c r="BC152" t="str">
        <f t="shared" si="76"/>
        <v>Support</v>
      </c>
      <c r="BD152" s="32">
        <f t="shared" si="77"/>
        <v>1</v>
      </c>
      <c r="BE152">
        <f>step3_validation[[#This Row],[AI_OUT1]]</f>
        <v>8</v>
      </c>
      <c r="BF152" t="str">
        <f t="shared" si="78"/>
        <v>Support</v>
      </c>
      <c r="BG152">
        <f>survey_responses[[#This Row],[Sau khi xem xét các quyền lợi và nghĩa vụ, bạn có ủng hộ và tuân thủ chính sách mới hiện nay? - HUMAN-OUT1]]</f>
        <v>8</v>
      </c>
      <c r="BH152" t="str">
        <f t="shared" si="79"/>
        <v>Support</v>
      </c>
      <c r="BI152" s="32">
        <f t="shared" si="80"/>
        <v>0</v>
      </c>
    </row>
    <row r="153" spans="1:61" x14ac:dyDescent="0.45">
      <c r="A153" s="30">
        <f>step3_validation[[#This Row],[Persona_ID]]</f>
        <v>152</v>
      </c>
      <c r="B153" s="31">
        <f>step3_validation[[#This Row],[Used_Seed]]</f>
        <v>2142</v>
      </c>
      <c r="C153" t="str">
        <f>step3_validation[[#This Row],[Gender]]</f>
        <v>Nữ</v>
      </c>
      <c r="D153" t="str">
        <f>survey_responses[[#This Row],[Giới tính của bạn:]]</f>
        <v>Nữ</v>
      </c>
      <c r="E153" t="str">
        <f>step3_validation[[#This Row],[Age_Group]]</f>
        <v>40 - 49</v>
      </c>
      <c r="F153" t="str">
        <f>survey_responses[[#This Row],[Độ tuổi của bạn:]]</f>
        <v>40 - 49</v>
      </c>
      <c r="G153" t="str">
        <f>step3_validation[[#This Row],[Region]]</f>
        <v>Thành thị</v>
      </c>
      <c r="H153" t="str">
        <f>survey_responses[[#This Row],[Khu vực bạn đang sinh sống:]]</f>
        <v>Thành thị</v>
      </c>
      <c r="I153" t="str">
        <f>step3_validation[[#This Row],[Education]]</f>
        <v>Sau Đại học</v>
      </c>
      <c r="J153" t="str">
        <f>survey_responses[[#This Row],[Trình độ học vấn cao nhất:]]</f>
        <v>Sau Đại học</v>
      </c>
      <c r="K153" t="str">
        <f>step3_validation[[#This Row],[Employment]]</f>
        <v>Chính thức</v>
      </c>
      <c r="L153" t="str">
        <f>survey_responses[[#This Row],[Tình trạng việc làm chính:]]</f>
        <v>Khu vực chính thức (Có Hợp đồng lao động, đóng BHXH)</v>
      </c>
      <c r="M153">
        <f>step3_validation[[#This Row],[Income_Mil]]</f>
        <v>71.547132639694141</v>
      </c>
      <c r="N153" t="str">
        <f>survey_responses[[#This Row],[Thu nhập bình quân tháng theo Hợp đồng lao động của bạn là bao nhiêu? (Vui lòng điền tổng thu nhập trước khi khấu trừ các loại Bảo hiểm (BHXH, BHYT, BHTN) và Thuế TNCN)]]</f>
        <v>Từ 70 - 102 triệu VNĐ</v>
      </c>
      <c r="O153">
        <f>step3_validation[[#This Row],[Dependents]]</f>
        <v>2</v>
      </c>
      <c r="P153" t="str">
        <f>survey_responses[[#This Row],[Số người phụ thuộc (con nhỏ, cha mẹ già...) đủ điều kiện giảm trừ gia cảnh:]]</f>
        <v>2 người</v>
      </c>
      <c r="Q153">
        <f>step3_validation[[#This Row],[AI_ENF1]]</f>
        <v>8</v>
      </c>
      <c r="R153" t="str">
        <f t="shared" si="54"/>
        <v>Support</v>
      </c>
      <c r="S153">
        <f>survey_responses[[#This Row],[Tôi tin rằng với các quy định quản lý thuế hiện nay, hành vi gian lận hoặc trốn thuế sẽ dễ dàng bị phát hiện và xử lý nghiêm. - HUMAN-ENF1]]</f>
        <v>10</v>
      </c>
      <c r="T153" t="str">
        <f t="shared" si="55"/>
        <v>Support</v>
      </c>
      <c r="U153" s="32">
        <f t="shared" si="56"/>
        <v>2</v>
      </c>
      <c r="V153">
        <f>step3_validation[[#This Row],[AI_ENF2]]</f>
        <v>9</v>
      </c>
      <c r="W153" t="str">
        <f t="shared" si="57"/>
        <v>Support</v>
      </c>
      <c r="X153">
        <f>survey_responses[[#This Row],[Tôi tin rằng Nhà nước, cơ quan thuế có đủ khả năng và công nghệ để phát hiện, xử lý nghiêm các hành vi trốn thuế. - HUMAN-ENF2]]</f>
        <v>10</v>
      </c>
      <c r="Y153" t="str">
        <f t="shared" si="58"/>
        <v>Support</v>
      </c>
      <c r="Z153" s="32">
        <f t="shared" si="59"/>
        <v>1</v>
      </c>
      <c r="AA153">
        <f>step3_validation[[#This Row],[AI_FAC1]]</f>
        <v>7</v>
      </c>
      <c r="AB153" t="str">
        <f t="shared" si="60"/>
        <v>Neutral</v>
      </c>
      <c r="AC153">
        <f>survey_responses[[#This Row],[Các thủ tục khai báo thuế VÀ/HOẶC quy trình làm việc với cơ quan thuế đơn giản, tiện lợi, nhanh chóng hơn so với trước đây. - HUMAN-FAC1]]</f>
        <v>10</v>
      </c>
      <c r="AD153" t="str">
        <f t="shared" si="61"/>
        <v>Support</v>
      </c>
      <c r="AE153" s="32">
        <f t="shared" si="62"/>
        <v>3</v>
      </c>
      <c r="AF153">
        <f>step3_validation[[#This Row],[AI_FAC2]]</f>
        <v>8</v>
      </c>
      <c r="AG153" t="str">
        <f t="shared" si="63"/>
        <v>Support</v>
      </c>
      <c r="AH153">
        <f>survey_responses[[#This Row],[So với trước đây, tôi thấy cách tính thuế và các bậc thuế trong phương án mới đơn giản, dễ hiểu và dễ thực hiện hơn. - HUMAN-FAC2]]</f>
        <v>10</v>
      </c>
      <c r="AI153" t="str">
        <f t="shared" si="64"/>
        <v>Support</v>
      </c>
      <c r="AJ153" s="32">
        <f t="shared" si="65"/>
        <v>2</v>
      </c>
      <c r="AK153">
        <f>step3_validation[[#This Row],[AI_TRU1]]</f>
        <v>7</v>
      </c>
      <c r="AL153" t="str">
        <f t="shared" si="66"/>
        <v>Neutral</v>
      </c>
      <c r="AM153">
        <f>survey_responses[[#This Row],[Tôi tin rằng Nhà nước, cơ quan thuế sẽ thực thi chính sách mới một cách khách quan, công tâm và đối xử bình đẳng với mọi người nộp thuế.  - HUMAN-TRU1]]</f>
        <v>10</v>
      </c>
      <c r="AN153" t="str">
        <f t="shared" si="67"/>
        <v>Support</v>
      </c>
      <c r="AO153" s="32">
        <f t="shared" si="68"/>
        <v>3</v>
      </c>
      <c r="AP153">
        <f>step3_validation[[#This Row],[AI_TRU2]]</f>
        <v>8</v>
      </c>
      <c r="AQ153" t="str">
        <f t="shared" si="69"/>
        <v>Support</v>
      </c>
      <c r="AR153">
        <f>survey_responses[[#This Row],[Tôi thấy mức thuế tôi phải đóng theo phương án mới là công bằng (người thu nhập như tôi đóng mức này là hợp lý). - HUMAN-TRU2]]</f>
        <v>10</v>
      </c>
      <c r="AS153" t="str">
        <f t="shared" si="70"/>
        <v>Support</v>
      </c>
      <c r="AT153" s="32">
        <f t="shared" si="71"/>
        <v>2</v>
      </c>
      <c r="AU153">
        <f>step3_validation[[#This Row],[AI_TRU3]]</f>
        <v>7</v>
      </c>
      <c r="AV153" t="str">
        <f t="shared" si="72"/>
        <v>Neutral</v>
      </c>
      <c r="AW153">
        <f>survey_responses[[#This Row],[Tôi tin tưởng số tiền thuế tôi đóng sẽ được Nhà nước sử dụng hiệu quả để cải thiện dịch vụ công (y tế, đường xá...). - HUMAN-TRU3]]</f>
        <v>10</v>
      </c>
      <c r="AX153" t="str">
        <f t="shared" si="73"/>
        <v>Support</v>
      </c>
      <c r="AY153" s="32">
        <f t="shared" si="74"/>
        <v>3</v>
      </c>
      <c r="AZ153">
        <f>step3_validation[[#This Row],[AI_TRU4]]</f>
        <v>8</v>
      </c>
      <c r="BA153" t="str">
        <f t="shared" si="75"/>
        <v>Support</v>
      </c>
      <c r="BB153">
        <f>survey_responses[[#This Row],[Tôi thấy Nhà nước đã giải thích rõ ràng, minh bạch về lý do và mục tiêu của việc sửa đổi thuế lần này. - HUMAN-TRU4]]</f>
        <v>10</v>
      </c>
      <c r="BC153" t="str">
        <f t="shared" si="76"/>
        <v>Support</v>
      </c>
      <c r="BD153" s="32">
        <f t="shared" si="77"/>
        <v>2</v>
      </c>
      <c r="BE153">
        <f>step3_validation[[#This Row],[AI_OUT1]]</f>
        <v>7</v>
      </c>
      <c r="BF153" t="str">
        <f t="shared" si="78"/>
        <v>Neutral</v>
      </c>
      <c r="BG153">
        <f>survey_responses[[#This Row],[Sau khi xem xét các quyền lợi và nghĩa vụ, bạn có ủng hộ và tuân thủ chính sách mới hiện nay? - HUMAN-OUT1]]</f>
        <v>10</v>
      </c>
      <c r="BH153" t="str">
        <f t="shared" si="79"/>
        <v>Support</v>
      </c>
      <c r="BI153" s="32">
        <f t="shared" si="80"/>
        <v>3</v>
      </c>
    </row>
    <row r="154" spans="1:61" x14ac:dyDescent="0.45">
      <c r="A154" s="30">
        <f>step3_validation[[#This Row],[Persona_ID]]</f>
        <v>153</v>
      </c>
      <c r="B154" s="31">
        <f>step3_validation[[#This Row],[Used_Seed]]</f>
        <v>2143</v>
      </c>
      <c r="C154" t="str">
        <f>step3_validation[[#This Row],[Gender]]</f>
        <v>Nam</v>
      </c>
      <c r="D154" t="str">
        <f>survey_responses[[#This Row],[Giới tính của bạn:]]</f>
        <v>Nam</v>
      </c>
      <c r="E154" t="str">
        <f>step3_validation[[#This Row],[Age_Group]]</f>
        <v>30 - 39</v>
      </c>
      <c r="F154" t="str">
        <f>survey_responses[[#This Row],[Độ tuổi của bạn:]]</f>
        <v>30 - 39</v>
      </c>
      <c r="G154" t="str">
        <f>step3_validation[[#This Row],[Region]]</f>
        <v>Thành thị</v>
      </c>
      <c r="H154" t="str">
        <f>survey_responses[[#This Row],[Khu vực bạn đang sinh sống:]]</f>
        <v>Thành thị</v>
      </c>
      <c r="I154" t="str">
        <f>step3_validation[[#This Row],[Education]]</f>
        <v>Đại học</v>
      </c>
      <c r="J154" t="str">
        <f>survey_responses[[#This Row],[Trình độ học vấn cao nhất:]]</f>
        <v>Đại học</v>
      </c>
      <c r="K154" t="str">
        <f>step3_validation[[#This Row],[Employment]]</f>
        <v>Chính thức</v>
      </c>
      <c r="L154" t="str">
        <f>survey_responses[[#This Row],[Tình trạng việc làm chính:]]</f>
        <v>Khu vực chính thức (Có Hợp đồng lao động, đóng BHXH)</v>
      </c>
      <c r="M154">
        <f>step3_validation[[#This Row],[Income_Mil]]</f>
        <v>12</v>
      </c>
      <c r="N154" t="str">
        <f>survey_responses[[#This Row],[Thu nhập bình quân tháng theo Hợp đồng lao động của bạn là bao nhiêu? (Vui lòng điền tổng thu nhập trước khi khấu trừ các loại Bảo hiểm (BHXH, BHYT, BHTN) và Thuế TNCN)]]</f>
        <v>Dưới 12 triệu VNĐ</v>
      </c>
      <c r="O154">
        <f>step3_validation[[#This Row],[Dependents]]</f>
        <v>1</v>
      </c>
      <c r="P154" t="str">
        <f>survey_responses[[#This Row],[Số người phụ thuộc (con nhỏ, cha mẹ già...) đủ điều kiện giảm trừ gia cảnh:]]</f>
        <v>1 người</v>
      </c>
      <c r="Q154">
        <f>step3_validation[[#This Row],[AI_ENF1]]</f>
        <v>7</v>
      </c>
      <c r="R154" t="str">
        <f t="shared" si="54"/>
        <v>Neutral</v>
      </c>
      <c r="S154">
        <f>survey_responses[[#This Row],[Tôi tin rằng với các quy định quản lý thuế hiện nay, hành vi gian lận hoặc trốn thuế sẽ dễ dàng bị phát hiện và xử lý nghiêm. - HUMAN-ENF1]]</f>
        <v>7</v>
      </c>
      <c r="T154" t="str">
        <f t="shared" si="55"/>
        <v>Neutral</v>
      </c>
      <c r="U154" s="32">
        <f t="shared" si="56"/>
        <v>0</v>
      </c>
      <c r="V154">
        <f>step3_validation[[#This Row],[AI_ENF2]]</f>
        <v>8</v>
      </c>
      <c r="W154" t="str">
        <f t="shared" si="57"/>
        <v>Support</v>
      </c>
      <c r="X154">
        <f>survey_responses[[#This Row],[Tôi tin rằng Nhà nước, cơ quan thuế có đủ khả năng và công nghệ để phát hiện, xử lý nghiêm các hành vi trốn thuế. - HUMAN-ENF2]]</f>
        <v>7</v>
      </c>
      <c r="Y154" t="str">
        <f t="shared" si="58"/>
        <v>Neutral</v>
      </c>
      <c r="Z154" s="32">
        <f t="shared" si="59"/>
        <v>1</v>
      </c>
      <c r="AA154">
        <f>step3_validation[[#This Row],[AI_FAC1]]</f>
        <v>9</v>
      </c>
      <c r="AB154" t="str">
        <f t="shared" si="60"/>
        <v>Support</v>
      </c>
      <c r="AC154">
        <f>survey_responses[[#This Row],[Các thủ tục khai báo thuế VÀ/HOẶC quy trình làm việc với cơ quan thuế đơn giản, tiện lợi, nhanh chóng hơn so với trước đây. - HUMAN-FAC1]]</f>
        <v>5</v>
      </c>
      <c r="AD154" t="str">
        <f t="shared" si="61"/>
        <v>Neutral</v>
      </c>
      <c r="AE154" s="32">
        <f t="shared" si="62"/>
        <v>4</v>
      </c>
      <c r="AF154">
        <f>step3_validation[[#This Row],[AI_FAC2]]</f>
        <v>8</v>
      </c>
      <c r="AG154" t="str">
        <f t="shared" si="63"/>
        <v>Support</v>
      </c>
      <c r="AH154">
        <f>survey_responses[[#This Row],[So với trước đây, tôi thấy cách tính thuế và các bậc thuế trong phương án mới đơn giản, dễ hiểu và dễ thực hiện hơn. - HUMAN-FAC2]]</f>
        <v>7</v>
      </c>
      <c r="AI154" t="str">
        <f t="shared" si="64"/>
        <v>Neutral</v>
      </c>
      <c r="AJ154" s="32">
        <f t="shared" si="65"/>
        <v>1</v>
      </c>
      <c r="AK154">
        <f>step3_validation[[#This Row],[AI_TRU1]]</f>
        <v>6</v>
      </c>
      <c r="AL154" t="str">
        <f t="shared" si="66"/>
        <v>Neutral</v>
      </c>
      <c r="AM154">
        <f>survey_responses[[#This Row],[Tôi tin rằng Nhà nước, cơ quan thuế sẽ thực thi chính sách mới một cách khách quan, công tâm và đối xử bình đẳng với mọi người nộp thuế.  - HUMAN-TRU1]]</f>
        <v>7</v>
      </c>
      <c r="AN154" t="str">
        <f t="shared" si="67"/>
        <v>Neutral</v>
      </c>
      <c r="AO154" s="32">
        <f t="shared" si="68"/>
        <v>1</v>
      </c>
      <c r="AP154">
        <f>step3_validation[[#This Row],[AI_TRU2]]</f>
        <v>7</v>
      </c>
      <c r="AQ154" t="str">
        <f t="shared" si="69"/>
        <v>Neutral</v>
      </c>
      <c r="AR154">
        <f>survey_responses[[#This Row],[Tôi thấy mức thuế tôi phải đóng theo phương án mới là công bằng (người thu nhập như tôi đóng mức này là hợp lý). - HUMAN-TRU2]]</f>
        <v>7</v>
      </c>
      <c r="AS154" t="str">
        <f t="shared" si="70"/>
        <v>Neutral</v>
      </c>
      <c r="AT154" s="32">
        <f t="shared" si="71"/>
        <v>0</v>
      </c>
      <c r="AU154">
        <f>step3_validation[[#This Row],[AI_TRU3]]</f>
        <v>6</v>
      </c>
      <c r="AV154" t="str">
        <f t="shared" si="72"/>
        <v>Neutral</v>
      </c>
      <c r="AW154">
        <f>survey_responses[[#This Row],[Tôi tin tưởng số tiền thuế tôi đóng sẽ được Nhà nước sử dụng hiệu quả để cải thiện dịch vụ công (y tế, đường xá...). - HUMAN-TRU3]]</f>
        <v>7</v>
      </c>
      <c r="AX154" t="str">
        <f t="shared" si="73"/>
        <v>Neutral</v>
      </c>
      <c r="AY154" s="32">
        <f t="shared" si="74"/>
        <v>1</v>
      </c>
      <c r="AZ154">
        <f>step3_validation[[#This Row],[AI_TRU4]]</f>
        <v>5</v>
      </c>
      <c r="BA154" t="str">
        <f t="shared" si="75"/>
        <v>Neutral</v>
      </c>
      <c r="BB154">
        <f>survey_responses[[#This Row],[Tôi thấy Nhà nước đã giải thích rõ ràng, minh bạch về lý do và mục tiêu của việc sửa đổi thuế lần này. - HUMAN-TRU4]]</f>
        <v>7</v>
      </c>
      <c r="BC154" t="str">
        <f t="shared" si="76"/>
        <v>Neutral</v>
      </c>
      <c r="BD154" s="32">
        <f t="shared" si="77"/>
        <v>2</v>
      </c>
      <c r="BE154">
        <f>step3_validation[[#This Row],[AI_OUT1]]</f>
        <v>7</v>
      </c>
      <c r="BF154" t="str">
        <f t="shared" si="78"/>
        <v>Neutral</v>
      </c>
      <c r="BG154">
        <f>survey_responses[[#This Row],[Sau khi xem xét các quyền lợi và nghĩa vụ, bạn có ủng hộ và tuân thủ chính sách mới hiện nay? - HUMAN-OUT1]]</f>
        <v>7</v>
      </c>
      <c r="BH154" t="str">
        <f t="shared" si="79"/>
        <v>Neutral</v>
      </c>
      <c r="BI154" s="32">
        <f t="shared" si="80"/>
        <v>0</v>
      </c>
    </row>
    <row r="155" spans="1:61" x14ac:dyDescent="0.45">
      <c r="A155" s="30">
        <f>step3_validation[[#This Row],[Persona_ID]]</f>
        <v>154</v>
      </c>
      <c r="B155" s="31">
        <f>step3_validation[[#This Row],[Used_Seed]]</f>
        <v>2144</v>
      </c>
      <c r="C155" t="str">
        <f>step3_validation[[#This Row],[Gender]]</f>
        <v>Nữ</v>
      </c>
      <c r="D155" t="str">
        <f>survey_responses[[#This Row],[Giới tính của bạn:]]</f>
        <v>Nữ</v>
      </c>
      <c r="E155" t="str">
        <f>step3_validation[[#This Row],[Age_Group]]</f>
        <v>25 - 29</v>
      </c>
      <c r="F155" t="str">
        <f>survey_responses[[#This Row],[Độ tuổi của bạn:]]</f>
        <v>25 - 29</v>
      </c>
      <c r="G155" t="str">
        <f>step3_validation[[#This Row],[Region]]</f>
        <v>Thành thị</v>
      </c>
      <c r="H155" t="str">
        <f>survey_responses[[#This Row],[Khu vực bạn đang sinh sống:]]</f>
        <v>Thành thị</v>
      </c>
      <c r="I155" t="str">
        <f>step3_validation[[#This Row],[Education]]</f>
        <v>Đại học</v>
      </c>
      <c r="J155" t="str">
        <f>survey_responses[[#This Row],[Trình độ học vấn cao nhất:]]</f>
        <v>Đại học</v>
      </c>
      <c r="K155" t="str">
        <f>step3_validation[[#This Row],[Employment]]</f>
        <v>Chính thức</v>
      </c>
      <c r="L155" t="str">
        <f>survey_responses[[#This Row],[Tình trạng việc làm chính:]]</f>
        <v>Khu vực chính thức (Có Hợp đồng lao động, đóng BHXH)</v>
      </c>
      <c r="M155">
        <f>step3_validation[[#This Row],[Income_Mil]]</f>
        <v>12</v>
      </c>
      <c r="N155" t="str">
        <f>survey_responses[[#This Row],[Thu nhập bình quân tháng theo Hợp đồng lao động của bạn là bao nhiêu? (Vui lòng điền tổng thu nhập trước khi khấu trừ các loại Bảo hiểm (BHXH, BHYT, BHTN) và Thuế TNCN)]]</f>
        <v>Dưới 12 triệu VNĐ</v>
      </c>
      <c r="O155">
        <f>step3_validation[[#This Row],[Dependents]]</f>
        <v>2</v>
      </c>
      <c r="P155" t="str">
        <f>survey_responses[[#This Row],[Số người phụ thuộc (con nhỏ, cha mẹ già...) đủ điều kiện giảm trừ gia cảnh:]]</f>
        <v>2 người</v>
      </c>
      <c r="Q155">
        <f>step3_validation[[#This Row],[AI_ENF1]]</f>
        <v>8</v>
      </c>
      <c r="R155" t="str">
        <f t="shared" si="54"/>
        <v>Support</v>
      </c>
      <c r="S155">
        <f>survey_responses[[#This Row],[Tôi tin rằng với các quy định quản lý thuế hiện nay, hành vi gian lận hoặc trốn thuế sẽ dễ dàng bị phát hiện và xử lý nghiêm. - HUMAN-ENF1]]</f>
        <v>7</v>
      </c>
      <c r="T155" t="str">
        <f t="shared" si="55"/>
        <v>Neutral</v>
      </c>
      <c r="U155" s="32">
        <f t="shared" si="56"/>
        <v>1</v>
      </c>
      <c r="V155">
        <f>step3_validation[[#This Row],[AI_ENF2]]</f>
        <v>7</v>
      </c>
      <c r="W155" t="str">
        <f t="shared" si="57"/>
        <v>Neutral</v>
      </c>
      <c r="X155">
        <f>survey_responses[[#This Row],[Tôi tin rằng Nhà nước, cơ quan thuế có đủ khả năng và công nghệ để phát hiện, xử lý nghiêm các hành vi trốn thuế. - HUMAN-ENF2]]</f>
        <v>8</v>
      </c>
      <c r="Y155" t="str">
        <f t="shared" si="58"/>
        <v>Support</v>
      </c>
      <c r="Z155" s="32">
        <f t="shared" si="59"/>
        <v>1</v>
      </c>
      <c r="AA155">
        <f>step3_validation[[#This Row],[AI_FAC1]]</f>
        <v>8</v>
      </c>
      <c r="AB155" t="str">
        <f t="shared" si="60"/>
        <v>Support</v>
      </c>
      <c r="AC155">
        <f>survey_responses[[#This Row],[Các thủ tục khai báo thuế VÀ/HOẶC quy trình làm việc với cơ quan thuế đơn giản, tiện lợi, nhanh chóng hơn so với trước đây. - HUMAN-FAC1]]</f>
        <v>8</v>
      </c>
      <c r="AD155" t="str">
        <f t="shared" si="61"/>
        <v>Support</v>
      </c>
      <c r="AE155" s="32">
        <f t="shared" si="62"/>
        <v>0</v>
      </c>
      <c r="AF155">
        <f>step3_validation[[#This Row],[AI_FAC2]]</f>
        <v>9</v>
      </c>
      <c r="AG155" t="str">
        <f t="shared" si="63"/>
        <v>Support</v>
      </c>
      <c r="AH155">
        <f>survey_responses[[#This Row],[So với trước đây, tôi thấy cách tính thuế và các bậc thuế trong phương án mới đơn giản, dễ hiểu và dễ thực hiện hơn. - HUMAN-FAC2]]</f>
        <v>8</v>
      </c>
      <c r="AI155" t="str">
        <f t="shared" si="64"/>
        <v>Support</v>
      </c>
      <c r="AJ155" s="32">
        <f t="shared" si="65"/>
        <v>1</v>
      </c>
      <c r="AK155">
        <f>step3_validation[[#This Row],[AI_TRU1]]</f>
        <v>8</v>
      </c>
      <c r="AL155" t="str">
        <f t="shared" si="66"/>
        <v>Support</v>
      </c>
      <c r="AM155">
        <f>survey_responses[[#This Row],[Tôi tin rằng Nhà nước, cơ quan thuế sẽ thực thi chính sách mới một cách khách quan, công tâm và đối xử bình đẳng với mọi người nộp thuế.  - HUMAN-TRU1]]</f>
        <v>6</v>
      </c>
      <c r="AN155" t="str">
        <f t="shared" si="67"/>
        <v>Neutral</v>
      </c>
      <c r="AO155" s="32">
        <f t="shared" si="68"/>
        <v>2</v>
      </c>
      <c r="AP155">
        <f>step3_validation[[#This Row],[AI_TRU2]]</f>
        <v>9</v>
      </c>
      <c r="AQ155" t="str">
        <f t="shared" si="69"/>
        <v>Support</v>
      </c>
      <c r="AR155">
        <f>survey_responses[[#This Row],[Tôi thấy mức thuế tôi phải đóng theo phương án mới là công bằng (người thu nhập như tôi đóng mức này là hợp lý). - HUMAN-TRU2]]</f>
        <v>8</v>
      </c>
      <c r="AS155" t="str">
        <f t="shared" si="70"/>
        <v>Support</v>
      </c>
      <c r="AT155" s="32">
        <f t="shared" si="71"/>
        <v>1</v>
      </c>
      <c r="AU155">
        <f>step3_validation[[#This Row],[AI_TRU3]]</f>
        <v>8</v>
      </c>
      <c r="AV155" t="str">
        <f t="shared" si="72"/>
        <v>Support</v>
      </c>
      <c r="AW155">
        <f>survey_responses[[#This Row],[Tôi tin tưởng số tiền thuế tôi đóng sẽ được Nhà nước sử dụng hiệu quả để cải thiện dịch vụ công (y tế, đường xá...). - HUMAN-TRU3]]</f>
        <v>5</v>
      </c>
      <c r="AX155" t="str">
        <f t="shared" si="73"/>
        <v>Neutral</v>
      </c>
      <c r="AY155" s="32">
        <f t="shared" si="74"/>
        <v>3</v>
      </c>
      <c r="AZ155">
        <f>step3_validation[[#This Row],[AI_TRU4]]</f>
        <v>7</v>
      </c>
      <c r="BA155" t="str">
        <f t="shared" si="75"/>
        <v>Neutral</v>
      </c>
      <c r="BB155">
        <f>survey_responses[[#This Row],[Tôi thấy Nhà nước đã giải thích rõ ràng, minh bạch về lý do và mục tiêu của việc sửa đổi thuế lần này. - HUMAN-TRU4]]</f>
        <v>8</v>
      </c>
      <c r="BC155" t="str">
        <f t="shared" si="76"/>
        <v>Support</v>
      </c>
      <c r="BD155" s="32">
        <f t="shared" si="77"/>
        <v>1</v>
      </c>
      <c r="BE155">
        <f>step3_validation[[#This Row],[AI_OUT1]]</f>
        <v>8</v>
      </c>
      <c r="BF155" t="str">
        <f t="shared" si="78"/>
        <v>Support</v>
      </c>
      <c r="BG155">
        <f>survey_responses[[#This Row],[Sau khi xem xét các quyền lợi và nghĩa vụ, bạn có ủng hộ và tuân thủ chính sách mới hiện nay? - HUMAN-OUT1]]</f>
        <v>8</v>
      </c>
      <c r="BH155" t="str">
        <f t="shared" si="79"/>
        <v>Support</v>
      </c>
      <c r="BI155" s="32">
        <f t="shared" si="80"/>
        <v>0</v>
      </c>
    </row>
    <row r="156" spans="1:61" x14ac:dyDescent="0.45">
      <c r="A156" s="30">
        <f>step3_validation[[#This Row],[Persona_ID]]</f>
        <v>155</v>
      </c>
      <c r="B156" s="31">
        <f>step3_validation[[#This Row],[Used_Seed]]</f>
        <v>2145</v>
      </c>
      <c r="C156" t="str">
        <f>step3_validation[[#This Row],[Gender]]</f>
        <v>Nữ</v>
      </c>
      <c r="D156" t="str">
        <f>survey_responses[[#This Row],[Giới tính của bạn:]]</f>
        <v>Nữ</v>
      </c>
      <c r="E156" t="str">
        <f>step3_validation[[#This Row],[Age_Group]]</f>
        <v>30 - 39</v>
      </c>
      <c r="F156" t="str">
        <f>survey_responses[[#This Row],[Độ tuổi của bạn:]]</f>
        <v>30 - 39</v>
      </c>
      <c r="G156" t="str">
        <f>step3_validation[[#This Row],[Region]]</f>
        <v>Thành thị</v>
      </c>
      <c r="H156" t="str">
        <f>survey_responses[[#This Row],[Khu vực bạn đang sinh sống:]]</f>
        <v>Thành thị</v>
      </c>
      <c r="I156" t="str">
        <f>step3_validation[[#This Row],[Education]]</f>
        <v>Sau Đại học</v>
      </c>
      <c r="J156" t="str">
        <f>survey_responses[[#This Row],[Trình độ học vấn cao nhất:]]</f>
        <v>Sau Đại học</v>
      </c>
      <c r="K156" t="str">
        <f>step3_validation[[#This Row],[Employment]]</f>
        <v>Chính thức</v>
      </c>
      <c r="L156" t="str">
        <f>survey_responses[[#This Row],[Tình trạng việc làm chính:]]</f>
        <v>Khu vực chính thức (Có Hợp đồng lao động, đóng BHXH)</v>
      </c>
      <c r="M156">
        <f>step3_validation[[#This Row],[Income_Mil]]</f>
        <v>65.294086288736366</v>
      </c>
      <c r="N156" t="str">
        <f>survey_responses[[#This Row],[Thu nhập bình quân tháng theo Hợp đồng lao động của bạn là bao nhiêu? (Vui lòng điền tổng thu nhập trước khi khấu trừ các loại Bảo hiểm (BHXH, BHYT, BHTN) và Thuế TNCN)]]</f>
        <v>Từ 48 - 70 triệu VNĐ</v>
      </c>
      <c r="O156">
        <f>step3_validation[[#This Row],[Dependents]]</f>
        <v>1</v>
      </c>
      <c r="P156" t="str">
        <f>survey_responses[[#This Row],[Số người phụ thuộc (con nhỏ, cha mẹ già...) đủ điều kiện giảm trừ gia cảnh:]]</f>
        <v>1 người</v>
      </c>
      <c r="Q156">
        <f>step3_validation[[#This Row],[AI_ENF1]]</f>
        <v>7</v>
      </c>
      <c r="R156" t="str">
        <f t="shared" si="54"/>
        <v>Neutral</v>
      </c>
      <c r="S156">
        <f>survey_responses[[#This Row],[Tôi tin rằng với các quy định quản lý thuế hiện nay, hành vi gian lận hoặc trốn thuế sẽ dễ dàng bị phát hiện và xử lý nghiêm. - HUMAN-ENF1]]</f>
        <v>10</v>
      </c>
      <c r="T156" t="str">
        <f t="shared" si="55"/>
        <v>Support</v>
      </c>
      <c r="U156" s="32">
        <f t="shared" si="56"/>
        <v>3</v>
      </c>
      <c r="V156">
        <f>step3_validation[[#This Row],[AI_ENF2]]</f>
        <v>6</v>
      </c>
      <c r="W156" t="str">
        <f t="shared" si="57"/>
        <v>Neutral</v>
      </c>
      <c r="X156">
        <f>survey_responses[[#This Row],[Tôi tin rằng Nhà nước, cơ quan thuế có đủ khả năng và công nghệ để phát hiện, xử lý nghiêm các hành vi trốn thuế. - HUMAN-ENF2]]</f>
        <v>10</v>
      </c>
      <c r="Y156" t="str">
        <f t="shared" si="58"/>
        <v>Support</v>
      </c>
      <c r="Z156" s="32">
        <f t="shared" si="59"/>
        <v>4</v>
      </c>
      <c r="AA156">
        <f>step3_validation[[#This Row],[AI_FAC1]]</f>
        <v>8</v>
      </c>
      <c r="AB156" t="str">
        <f t="shared" si="60"/>
        <v>Support</v>
      </c>
      <c r="AC156">
        <f>survey_responses[[#This Row],[Các thủ tục khai báo thuế VÀ/HOẶC quy trình làm việc với cơ quan thuế đơn giản, tiện lợi, nhanh chóng hơn so với trước đây. - HUMAN-FAC1]]</f>
        <v>10</v>
      </c>
      <c r="AD156" t="str">
        <f t="shared" si="61"/>
        <v>Support</v>
      </c>
      <c r="AE156" s="32">
        <f t="shared" si="62"/>
        <v>2</v>
      </c>
      <c r="AF156">
        <f>step3_validation[[#This Row],[AI_FAC2]]</f>
        <v>9</v>
      </c>
      <c r="AG156" t="str">
        <f t="shared" si="63"/>
        <v>Support</v>
      </c>
      <c r="AH156">
        <f>survey_responses[[#This Row],[So với trước đây, tôi thấy cách tính thuế và các bậc thuế trong phương án mới đơn giản, dễ hiểu và dễ thực hiện hơn. - HUMAN-FAC2]]</f>
        <v>10</v>
      </c>
      <c r="AI156" t="str">
        <f t="shared" si="64"/>
        <v>Support</v>
      </c>
      <c r="AJ156" s="32">
        <f t="shared" si="65"/>
        <v>1</v>
      </c>
      <c r="AK156">
        <f>step3_validation[[#This Row],[AI_TRU1]]</f>
        <v>7</v>
      </c>
      <c r="AL156" t="str">
        <f t="shared" si="66"/>
        <v>Neutral</v>
      </c>
      <c r="AM156">
        <f>survey_responses[[#This Row],[Tôi tin rằng Nhà nước, cơ quan thuế sẽ thực thi chính sách mới một cách khách quan, công tâm và đối xử bình đẳng với mọi người nộp thuế.  - HUMAN-TRU1]]</f>
        <v>10</v>
      </c>
      <c r="AN156" t="str">
        <f t="shared" si="67"/>
        <v>Support</v>
      </c>
      <c r="AO156" s="32">
        <f t="shared" si="68"/>
        <v>3</v>
      </c>
      <c r="AP156">
        <f>step3_validation[[#This Row],[AI_TRU2]]</f>
        <v>8</v>
      </c>
      <c r="AQ156" t="str">
        <f t="shared" si="69"/>
        <v>Support</v>
      </c>
      <c r="AR156">
        <f>survey_responses[[#This Row],[Tôi thấy mức thuế tôi phải đóng theo phương án mới là công bằng (người thu nhập như tôi đóng mức này là hợp lý). - HUMAN-TRU2]]</f>
        <v>10</v>
      </c>
      <c r="AS156" t="str">
        <f t="shared" si="70"/>
        <v>Support</v>
      </c>
      <c r="AT156" s="32">
        <f t="shared" si="71"/>
        <v>2</v>
      </c>
      <c r="AU156">
        <f>step3_validation[[#This Row],[AI_TRU3]]</f>
        <v>6</v>
      </c>
      <c r="AV156" t="str">
        <f t="shared" si="72"/>
        <v>Neutral</v>
      </c>
      <c r="AW156">
        <f>survey_responses[[#This Row],[Tôi tin tưởng số tiền thuế tôi đóng sẽ được Nhà nước sử dụng hiệu quả để cải thiện dịch vụ công (y tế, đường xá...). - HUMAN-TRU3]]</f>
        <v>10</v>
      </c>
      <c r="AX156" t="str">
        <f t="shared" si="73"/>
        <v>Support</v>
      </c>
      <c r="AY156" s="32">
        <f t="shared" si="74"/>
        <v>4</v>
      </c>
      <c r="AZ156">
        <f>step3_validation[[#This Row],[AI_TRU4]]</f>
        <v>7</v>
      </c>
      <c r="BA156" t="str">
        <f t="shared" si="75"/>
        <v>Neutral</v>
      </c>
      <c r="BB156">
        <f>survey_responses[[#This Row],[Tôi thấy Nhà nước đã giải thích rõ ràng, minh bạch về lý do và mục tiêu của việc sửa đổi thuế lần này. - HUMAN-TRU4]]</f>
        <v>10</v>
      </c>
      <c r="BC156" t="str">
        <f t="shared" si="76"/>
        <v>Support</v>
      </c>
      <c r="BD156" s="32">
        <f t="shared" si="77"/>
        <v>3</v>
      </c>
      <c r="BE156">
        <f>step3_validation[[#This Row],[AI_OUT1]]</f>
        <v>8</v>
      </c>
      <c r="BF156" t="str">
        <f t="shared" si="78"/>
        <v>Support</v>
      </c>
      <c r="BG156">
        <f>survey_responses[[#This Row],[Sau khi xem xét các quyền lợi và nghĩa vụ, bạn có ủng hộ và tuân thủ chính sách mới hiện nay? - HUMAN-OUT1]]</f>
        <v>10</v>
      </c>
      <c r="BH156" t="str">
        <f t="shared" si="79"/>
        <v>Support</v>
      </c>
      <c r="BI156" s="32">
        <f t="shared" si="80"/>
        <v>2</v>
      </c>
    </row>
    <row r="157" spans="1:61" x14ac:dyDescent="0.45">
      <c r="A157" s="30">
        <f>step3_validation[[#This Row],[Persona_ID]]</f>
        <v>156</v>
      </c>
      <c r="B157" s="31">
        <f>step3_validation[[#This Row],[Used_Seed]]</f>
        <v>2146</v>
      </c>
      <c r="C157" t="str">
        <f>step3_validation[[#This Row],[Gender]]</f>
        <v>Nữ</v>
      </c>
      <c r="D157" t="str">
        <f>survey_responses[[#This Row],[Giới tính của bạn:]]</f>
        <v>Nữ</v>
      </c>
      <c r="E157" t="str">
        <f>step3_validation[[#This Row],[Age_Group]]</f>
        <v>30 - 39</v>
      </c>
      <c r="F157" t="str">
        <f>survey_responses[[#This Row],[Độ tuổi của bạn:]]</f>
        <v>30 - 39</v>
      </c>
      <c r="G157" t="str">
        <f>step3_validation[[#This Row],[Region]]</f>
        <v>Thành thị</v>
      </c>
      <c r="H157" t="str">
        <f>survey_responses[[#This Row],[Khu vực bạn đang sinh sống:]]</f>
        <v>Thành thị</v>
      </c>
      <c r="I157" t="str">
        <f>step3_validation[[#This Row],[Education]]</f>
        <v>Sau Đại học</v>
      </c>
      <c r="J157" t="str">
        <f>survey_responses[[#This Row],[Trình độ học vấn cao nhất:]]</f>
        <v>Sau Đại học</v>
      </c>
      <c r="K157" t="str">
        <f>step3_validation[[#This Row],[Employment]]</f>
        <v>Chính thức</v>
      </c>
      <c r="L157" t="str">
        <f>survey_responses[[#This Row],[Tình trạng việc làm chính:]]</f>
        <v>Khu vực chính thức (Có Hợp đồng lao động, đóng BHXH)</v>
      </c>
      <c r="M157">
        <f>step3_validation[[#This Row],[Income_Mil]]</f>
        <v>23.928243437507259</v>
      </c>
      <c r="N157" t="str">
        <f>survey_responses[[#This Row],[Thu nhập bình quân tháng theo Hợp đồng lao động của bạn là bao nhiêu? (Vui lòng điền tổng thu nhập trước khi khấu trừ các loại Bảo hiểm (BHXH, BHYT, BHTN) và Thuế TNCN)]]</f>
        <v>Từ 23 - 32 triệu VNĐ</v>
      </c>
      <c r="O157">
        <f>step3_validation[[#This Row],[Dependents]]</f>
        <v>1</v>
      </c>
      <c r="P157" t="str">
        <f>survey_responses[[#This Row],[Số người phụ thuộc (con nhỏ, cha mẹ già...) đủ điều kiện giảm trừ gia cảnh:]]</f>
        <v>1 người</v>
      </c>
      <c r="Q157">
        <f>step3_validation[[#This Row],[AI_ENF1]]</f>
        <v>8</v>
      </c>
      <c r="R157" t="str">
        <f t="shared" si="54"/>
        <v>Support</v>
      </c>
      <c r="S157">
        <f>survey_responses[[#This Row],[Tôi tin rằng với các quy định quản lý thuế hiện nay, hành vi gian lận hoặc trốn thuế sẽ dễ dàng bị phát hiện và xử lý nghiêm. - HUMAN-ENF1]]</f>
        <v>10</v>
      </c>
      <c r="T157" t="str">
        <f t="shared" si="55"/>
        <v>Support</v>
      </c>
      <c r="U157" s="32">
        <f t="shared" si="56"/>
        <v>2</v>
      </c>
      <c r="V157">
        <f>step3_validation[[#This Row],[AI_ENF2]]</f>
        <v>9</v>
      </c>
      <c r="W157" t="str">
        <f t="shared" si="57"/>
        <v>Support</v>
      </c>
      <c r="X157">
        <f>survey_responses[[#This Row],[Tôi tin rằng Nhà nước, cơ quan thuế có đủ khả năng và công nghệ để phát hiện, xử lý nghiêm các hành vi trốn thuế. - HUMAN-ENF2]]</f>
        <v>10</v>
      </c>
      <c r="Y157" t="str">
        <f t="shared" si="58"/>
        <v>Support</v>
      </c>
      <c r="Z157" s="32">
        <f t="shared" si="59"/>
        <v>1</v>
      </c>
      <c r="AA157">
        <f>step3_validation[[#This Row],[AI_FAC1]]</f>
        <v>8</v>
      </c>
      <c r="AB157" t="str">
        <f t="shared" si="60"/>
        <v>Support</v>
      </c>
      <c r="AC157">
        <f>survey_responses[[#This Row],[Các thủ tục khai báo thuế VÀ/HOẶC quy trình làm việc với cơ quan thuế đơn giản, tiện lợi, nhanh chóng hơn so với trước đây. - HUMAN-FAC1]]</f>
        <v>10</v>
      </c>
      <c r="AD157" t="str">
        <f t="shared" si="61"/>
        <v>Support</v>
      </c>
      <c r="AE157" s="32">
        <f t="shared" si="62"/>
        <v>2</v>
      </c>
      <c r="AF157">
        <f>step3_validation[[#This Row],[AI_FAC2]]</f>
        <v>8</v>
      </c>
      <c r="AG157" t="str">
        <f t="shared" si="63"/>
        <v>Support</v>
      </c>
      <c r="AH157">
        <f>survey_responses[[#This Row],[So với trước đây, tôi thấy cách tính thuế và các bậc thuế trong phương án mới đơn giản, dễ hiểu và dễ thực hiện hơn. - HUMAN-FAC2]]</f>
        <v>10</v>
      </c>
      <c r="AI157" t="str">
        <f t="shared" si="64"/>
        <v>Support</v>
      </c>
      <c r="AJ157" s="32">
        <f t="shared" si="65"/>
        <v>2</v>
      </c>
      <c r="AK157">
        <f>step3_validation[[#This Row],[AI_TRU1]]</f>
        <v>7</v>
      </c>
      <c r="AL157" t="str">
        <f t="shared" si="66"/>
        <v>Neutral</v>
      </c>
      <c r="AM157">
        <f>survey_responses[[#This Row],[Tôi tin rằng Nhà nước, cơ quan thuế sẽ thực thi chính sách mới một cách khách quan, công tâm và đối xử bình đẳng với mọi người nộp thuế.  - HUMAN-TRU1]]</f>
        <v>10</v>
      </c>
      <c r="AN157" t="str">
        <f t="shared" si="67"/>
        <v>Support</v>
      </c>
      <c r="AO157" s="32">
        <f t="shared" si="68"/>
        <v>3</v>
      </c>
      <c r="AP157">
        <f>step3_validation[[#This Row],[AI_TRU2]]</f>
        <v>7</v>
      </c>
      <c r="AQ157" t="str">
        <f t="shared" si="69"/>
        <v>Neutral</v>
      </c>
      <c r="AR157">
        <f>survey_responses[[#This Row],[Tôi thấy mức thuế tôi phải đóng theo phương án mới là công bằng (người thu nhập như tôi đóng mức này là hợp lý). - HUMAN-TRU2]]</f>
        <v>10</v>
      </c>
      <c r="AS157" t="str">
        <f t="shared" si="70"/>
        <v>Support</v>
      </c>
      <c r="AT157" s="32">
        <f t="shared" si="71"/>
        <v>3</v>
      </c>
      <c r="AU157">
        <f>step3_validation[[#This Row],[AI_TRU3]]</f>
        <v>6</v>
      </c>
      <c r="AV157" t="str">
        <f t="shared" si="72"/>
        <v>Neutral</v>
      </c>
      <c r="AW157">
        <f>survey_responses[[#This Row],[Tôi tin tưởng số tiền thuế tôi đóng sẽ được Nhà nước sử dụng hiệu quả để cải thiện dịch vụ công (y tế, đường xá...). - HUMAN-TRU3]]</f>
        <v>10</v>
      </c>
      <c r="AX157" t="str">
        <f t="shared" si="73"/>
        <v>Support</v>
      </c>
      <c r="AY157" s="32">
        <f t="shared" si="74"/>
        <v>4</v>
      </c>
      <c r="AZ157">
        <f>step3_validation[[#This Row],[AI_TRU4]]</f>
        <v>5</v>
      </c>
      <c r="BA157" t="str">
        <f t="shared" si="75"/>
        <v>Neutral</v>
      </c>
      <c r="BB157">
        <f>survey_responses[[#This Row],[Tôi thấy Nhà nước đã giải thích rõ ràng, minh bạch về lý do và mục tiêu của việc sửa đổi thuế lần này. - HUMAN-TRU4]]</f>
        <v>10</v>
      </c>
      <c r="BC157" t="str">
        <f t="shared" si="76"/>
        <v>Support</v>
      </c>
      <c r="BD157" s="32">
        <f t="shared" si="77"/>
        <v>5</v>
      </c>
      <c r="BE157">
        <f>step3_validation[[#This Row],[AI_OUT1]]</f>
        <v>7</v>
      </c>
      <c r="BF157" t="str">
        <f t="shared" si="78"/>
        <v>Neutral</v>
      </c>
      <c r="BG157">
        <f>survey_responses[[#This Row],[Sau khi xem xét các quyền lợi và nghĩa vụ, bạn có ủng hộ và tuân thủ chính sách mới hiện nay? - HUMAN-OUT1]]</f>
        <v>10</v>
      </c>
      <c r="BH157" t="str">
        <f t="shared" si="79"/>
        <v>Support</v>
      </c>
      <c r="BI157" s="32">
        <f t="shared" si="80"/>
        <v>3</v>
      </c>
    </row>
    <row r="158" spans="1:61" x14ac:dyDescent="0.45">
      <c r="A158" s="30">
        <f>step3_validation[[#This Row],[Persona_ID]]</f>
        <v>157</v>
      </c>
      <c r="B158" s="31">
        <f>step3_validation[[#This Row],[Used_Seed]]</f>
        <v>2147</v>
      </c>
      <c r="C158" t="str">
        <f>step3_validation[[#This Row],[Gender]]</f>
        <v>Nam</v>
      </c>
      <c r="D158" t="str">
        <f>survey_responses[[#This Row],[Giới tính của bạn:]]</f>
        <v>Nam</v>
      </c>
      <c r="E158" t="str">
        <f>step3_validation[[#This Row],[Age_Group]]</f>
        <v>30 - 39</v>
      </c>
      <c r="F158" t="str">
        <f>survey_responses[[#This Row],[Độ tuổi của bạn:]]</f>
        <v>30 - 39</v>
      </c>
      <c r="G158" t="str">
        <f>step3_validation[[#This Row],[Region]]</f>
        <v>Thành thị</v>
      </c>
      <c r="H158" t="str">
        <f>survey_responses[[#This Row],[Khu vực bạn đang sinh sống:]]</f>
        <v>Thành thị</v>
      </c>
      <c r="I158" t="str">
        <f>step3_validation[[#This Row],[Education]]</f>
        <v>Đại học</v>
      </c>
      <c r="J158" t="str">
        <f>survey_responses[[#This Row],[Trình độ học vấn cao nhất:]]</f>
        <v>Đại học</v>
      </c>
      <c r="K158" t="str">
        <f>step3_validation[[#This Row],[Employment]]</f>
        <v>Chính thức</v>
      </c>
      <c r="L158" t="str">
        <f>survey_responses[[#This Row],[Tình trạng việc làm chính:]]</f>
        <v>Khu vực chính thức (Có Hợp đồng lao động, đóng BHXH)</v>
      </c>
      <c r="M158">
        <f>step3_validation[[#This Row],[Income_Mil]]</f>
        <v>79.221032608637913</v>
      </c>
      <c r="N158" t="str">
        <f>survey_responses[[#This Row],[Thu nhập bình quân tháng theo Hợp đồng lao động của bạn là bao nhiêu? (Vui lòng điền tổng thu nhập trước khi khấu trừ các loại Bảo hiểm (BHXH, BHYT, BHTN) và Thuế TNCN)]]</f>
        <v>Từ 70 - 102 triệu VNĐ</v>
      </c>
      <c r="O158">
        <f>step3_validation[[#This Row],[Dependents]]</f>
        <v>4</v>
      </c>
      <c r="P158" t="str">
        <f>survey_responses[[#This Row],[Số người phụ thuộc (con nhỏ, cha mẹ già...) đủ điều kiện giảm trừ gia cảnh:]]</f>
        <v>4 người trở lên</v>
      </c>
      <c r="Q158">
        <f>step3_validation[[#This Row],[AI_ENF1]]</f>
        <v>8</v>
      </c>
      <c r="R158" t="str">
        <f t="shared" si="54"/>
        <v>Support</v>
      </c>
      <c r="S158">
        <f>survey_responses[[#This Row],[Tôi tin rằng với các quy định quản lý thuế hiện nay, hành vi gian lận hoặc trốn thuế sẽ dễ dàng bị phát hiện và xử lý nghiêm. - HUMAN-ENF1]]</f>
        <v>10</v>
      </c>
      <c r="T158" t="str">
        <f t="shared" si="55"/>
        <v>Support</v>
      </c>
      <c r="U158" s="32">
        <f t="shared" si="56"/>
        <v>2</v>
      </c>
      <c r="V158">
        <f>step3_validation[[#This Row],[AI_ENF2]]</f>
        <v>9</v>
      </c>
      <c r="W158" t="str">
        <f t="shared" si="57"/>
        <v>Support</v>
      </c>
      <c r="X158">
        <f>survey_responses[[#This Row],[Tôi tin rằng Nhà nước, cơ quan thuế có đủ khả năng và công nghệ để phát hiện, xử lý nghiêm các hành vi trốn thuế. - HUMAN-ENF2]]</f>
        <v>10</v>
      </c>
      <c r="Y158" t="str">
        <f t="shared" si="58"/>
        <v>Support</v>
      </c>
      <c r="Z158" s="32">
        <f t="shared" si="59"/>
        <v>1</v>
      </c>
      <c r="AA158">
        <f>step3_validation[[#This Row],[AI_FAC1]]</f>
        <v>8</v>
      </c>
      <c r="AB158" t="str">
        <f t="shared" si="60"/>
        <v>Support</v>
      </c>
      <c r="AC158">
        <f>survey_responses[[#This Row],[Các thủ tục khai báo thuế VÀ/HOẶC quy trình làm việc với cơ quan thuế đơn giản, tiện lợi, nhanh chóng hơn so với trước đây. - HUMAN-FAC1]]</f>
        <v>1</v>
      </c>
      <c r="AD158" t="str">
        <f t="shared" si="61"/>
        <v>Oppose</v>
      </c>
      <c r="AE158" s="32">
        <f t="shared" si="62"/>
        <v>7</v>
      </c>
      <c r="AF158">
        <f>step3_validation[[#This Row],[AI_FAC2]]</f>
        <v>7</v>
      </c>
      <c r="AG158" t="str">
        <f t="shared" si="63"/>
        <v>Neutral</v>
      </c>
      <c r="AH158">
        <f>survey_responses[[#This Row],[So với trước đây, tôi thấy cách tính thuế và các bậc thuế trong phương án mới đơn giản, dễ hiểu và dễ thực hiện hơn. - HUMAN-FAC2]]</f>
        <v>10</v>
      </c>
      <c r="AI158" t="str">
        <f t="shared" si="64"/>
        <v>Support</v>
      </c>
      <c r="AJ158" s="32">
        <f t="shared" si="65"/>
        <v>3</v>
      </c>
      <c r="AK158">
        <f>step3_validation[[#This Row],[AI_TRU1]]</f>
        <v>8</v>
      </c>
      <c r="AL158" t="str">
        <f t="shared" si="66"/>
        <v>Support</v>
      </c>
      <c r="AM158">
        <f>survey_responses[[#This Row],[Tôi tin rằng Nhà nước, cơ quan thuế sẽ thực thi chính sách mới một cách khách quan, công tâm và đối xử bình đẳng với mọi người nộp thuế.  - HUMAN-TRU1]]</f>
        <v>1</v>
      </c>
      <c r="AN158" t="str">
        <f t="shared" si="67"/>
        <v>Oppose</v>
      </c>
      <c r="AO158" s="32">
        <f t="shared" si="68"/>
        <v>7</v>
      </c>
      <c r="AP158">
        <f>step3_validation[[#This Row],[AI_TRU2]]</f>
        <v>9</v>
      </c>
      <c r="AQ158" t="str">
        <f t="shared" si="69"/>
        <v>Support</v>
      </c>
      <c r="AR158">
        <f>survey_responses[[#This Row],[Tôi thấy mức thuế tôi phải đóng theo phương án mới là công bằng (người thu nhập như tôi đóng mức này là hợp lý). - HUMAN-TRU2]]</f>
        <v>1</v>
      </c>
      <c r="AS158" t="str">
        <f t="shared" si="70"/>
        <v>Oppose</v>
      </c>
      <c r="AT158" s="32">
        <f t="shared" si="71"/>
        <v>8</v>
      </c>
      <c r="AU158">
        <f>step3_validation[[#This Row],[AI_TRU3]]</f>
        <v>8</v>
      </c>
      <c r="AV158" t="str">
        <f t="shared" si="72"/>
        <v>Support</v>
      </c>
      <c r="AW158">
        <f>survey_responses[[#This Row],[Tôi tin tưởng số tiền thuế tôi đóng sẽ được Nhà nước sử dụng hiệu quả để cải thiện dịch vụ công (y tế, đường xá...). - HUMAN-TRU3]]</f>
        <v>1</v>
      </c>
      <c r="AX158" t="str">
        <f t="shared" si="73"/>
        <v>Oppose</v>
      </c>
      <c r="AY158" s="32">
        <f t="shared" si="74"/>
        <v>7</v>
      </c>
      <c r="AZ158">
        <f>step3_validation[[#This Row],[AI_TRU4]]</f>
        <v>9</v>
      </c>
      <c r="BA158" t="str">
        <f t="shared" si="75"/>
        <v>Support</v>
      </c>
      <c r="BB158">
        <f>survey_responses[[#This Row],[Tôi thấy Nhà nước đã giải thích rõ ràng, minh bạch về lý do và mục tiêu của việc sửa đổi thuế lần này. - HUMAN-TRU4]]</f>
        <v>1</v>
      </c>
      <c r="BC158" t="str">
        <f t="shared" si="76"/>
        <v>Oppose</v>
      </c>
      <c r="BD158" s="32">
        <f t="shared" si="77"/>
        <v>8</v>
      </c>
      <c r="BE158">
        <f>step3_validation[[#This Row],[AI_OUT1]]</f>
        <v>8</v>
      </c>
      <c r="BF158" t="str">
        <f t="shared" si="78"/>
        <v>Support</v>
      </c>
      <c r="BG158">
        <f>survey_responses[[#This Row],[Sau khi xem xét các quyền lợi và nghĩa vụ, bạn có ủng hộ và tuân thủ chính sách mới hiện nay? - HUMAN-OUT1]]</f>
        <v>6</v>
      </c>
      <c r="BH158" t="str">
        <f t="shared" si="79"/>
        <v>Neutral</v>
      </c>
      <c r="BI158" s="32">
        <f t="shared" si="80"/>
        <v>2</v>
      </c>
    </row>
    <row r="159" spans="1:61" x14ac:dyDescent="0.45">
      <c r="A159" s="30">
        <f>step3_validation[[#This Row],[Persona_ID]]</f>
        <v>158</v>
      </c>
      <c r="B159" s="31">
        <f>step3_validation[[#This Row],[Used_Seed]]</f>
        <v>2148</v>
      </c>
      <c r="C159" t="str">
        <f>step3_validation[[#This Row],[Gender]]</f>
        <v>Nữ</v>
      </c>
      <c r="D159" t="str">
        <f>survey_responses[[#This Row],[Giới tính của bạn:]]</f>
        <v>Nữ</v>
      </c>
      <c r="E159" t="str">
        <f>step3_validation[[#This Row],[Age_Group]]</f>
        <v>30 - 39</v>
      </c>
      <c r="F159" t="str">
        <f>survey_responses[[#This Row],[Độ tuổi của bạn:]]</f>
        <v>30 - 39</v>
      </c>
      <c r="G159" t="str">
        <f>step3_validation[[#This Row],[Region]]</f>
        <v>Thành thị</v>
      </c>
      <c r="H159" t="str">
        <f>survey_responses[[#This Row],[Khu vực bạn đang sinh sống:]]</f>
        <v>Thành thị</v>
      </c>
      <c r="I159" t="str">
        <f>step3_validation[[#This Row],[Education]]</f>
        <v>Đại học</v>
      </c>
      <c r="J159" t="str">
        <f>survey_responses[[#This Row],[Trình độ học vấn cao nhất:]]</f>
        <v>Đại học</v>
      </c>
      <c r="K159" t="str">
        <f>step3_validation[[#This Row],[Employment]]</f>
        <v>Chính thức</v>
      </c>
      <c r="L159" t="str">
        <f>survey_responses[[#This Row],[Tình trạng việc làm chính:]]</f>
        <v>Khu vực chính thức (Có Hợp đồng lao động, đóng BHXH)</v>
      </c>
      <c r="M159">
        <f>step3_validation[[#This Row],[Income_Mil]]</f>
        <v>80.819067710457034</v>
      </c>
      <c r="N159" t="str">
        <f>survey_responses[[#This Row],[Thu nhập bình quân tháng theo Hợp đồng lao động của bạn là bao nhiêu? (Vui lòng điền tổng thu nhập trước khi khấu trừ các loại Bảo hiểm (BHXH, BHYT, BHTN) và Thuế TNCN)]]</f>
        <v>Từ 70 - 102 triệu VNĐ</v>
      </c>
      <c r="O159">
        <f>step3_validation[[#This Row],[Dependents]]</f>
        <v>2</v>
      </c>
      <c r="P159" t="str">
        <f>survey_responses[[#This Row],[Số người phụ thuộc (con nhỏ, cha mẹ già...) đủ điều kiện giảm trừ gia cảnh:]]</f>
        <v>2 người</v>
      </c>
      <c r="Q159">
        <f>step3_validation[[#This Row],[AI_ENF1]]</f>
        <v>7</v>
      </c>
      <c r="R159" t="str">
        <f t="shared" si="54"/>
        <v>Neutral</v>
      </c>
      <c r="S159">
        <f>survey_responses[[#This Row],[Tôi tin rằng với các quy định quản lý thuế hiện nay, hành vi gian lận hoặc trốn thuế sẽ dễ dàng bị phát hiện và xử lý nghiêm. - HUMAN-ENF1]]</f>
        <v>7</v>
      </c>
      <c r="T159" t="str">
        <f t="shared" si="55"/>
        <v>Neutral</v>
      </c>
      <c r="U159" s="32">
        <f t="shared" si="56"/>
        <v>0</v>
      </c>
      <c r="V159">
        <f>step3_validation[[#This Row],[AI_ENF2]]</f>
        <v>8</v>
      </c>
      <c r="W159" t="str">
        <f t="shared" si="57"/>
        <v>Support</v>
      </c>
      <c r="X159">
        <f>survey_responses[[#This Row],[Tôi tin rằng Nhà nước, cơ quan thuế có đủ khả năng và công nghệ để phát hiện, xử lý nghiêm các hành vi trốn thuế. - HUMAN-ENF2]]</f>
        <v>8</v>
      </c>
      <c r="Y159" t="str">
        <f t="shared" si="58"/>
        <v>Support</v>
      </c>
      <c r="Z159" s="32">
        <f t="shared" si="59"/>
        <v>0</v>
      </c>
      <c r="AA159">
        <f>step3_validation[[#This Row],[AI_FAC1]]</f>
        <v>9</v>
      </c>
      <c r="AB159" t="str">
        <f t="shared" si="60"/>
        <v>Support</v>
      </c>
      <c r="AC159">
        <f>survey_responses[[#This Row],[Các thủ tục khai báo thuế VÀ/HOẶC quy trình làm việc với cơ quan thuế đơn giản, tiện lợi, nhanh chóng hơn so với trước đây. - HUMAN-FAC1]]</f>
        <v>6</v>
      </c>
      <c r="AD159" t="str">
        <f t="shared" si="61"/>
        <v>Neutral</v>
      </c>
      <c r="AE159" s="32">
        <f t="shared" si="62"/>
        <v>3</v>
      </c>
      <c r="AF159">
        <f>step3_validation[[#This Row],[AI_FAC2]]</f>
        <v>8</v>
      </c>
      <c r="AG159" t="str">
        <f t="shared" si="63"/>
        <v>Support</v>
      </c>
      <c r="AH159">
        <f>survey_responses[[#This Row],[So với trước đây, tôi thấy cách tính thuế và các bậc thuế trong phương án mới đơn giản, dễ hiểu và dễ thực hiện hơn. - HUMAN-FAC2]]</f>
        <v>6</v>
      </c>
      <c r="AI159" t="str">
        <f t="shared" si="64"/>
        <v>Neutral</v>
      </c>
      <c r="AJ159" s="32">
        <f t="shared" si="65"/>
        <v>2</v>
      </c>
      <c r="AK159">
        <f>step3_validation[[#This Row],[AI_TRU1]]</f>
        <v>7</v>
      </c>
      <c r="AL159" t="str">
        <f t="shared" si="66"/>
        <v>Neutral</v>
      </c>
      <c r="AM159">
        <f>survey_responses[[#This Row],[Tôi tin rằng Nhà nước, cơ quan thuế sẽ thực thi chính sách mới một cách khách quan, công tâm và đối xử bình đẳng với mọi người nộp thuế.  - HUMAN-TRU1]]</f>
        <v>7</v>
      </c>
      <c r="AN159" t="str">
        <f t="shared" si="67"/>
        <v>Neutral</v>
      </c>
      <c r="AO159" s="32">
        <f t="shared" si="68"/>
        <v>0</v>
      </c>
      <c r="AP159">
        <f>step3_validation[[#This Row],[AI_TRU2]]</f>
        <v>8</v>
      </c>
      <c r="AQ159" t="str">
        <f t="shared" si="69"/>
        <v>Support</v>
      </c>
      <c r="AR159">
        <f>survey_responses[[#This Row],[Tôi thấy mức thuế tôi phải đóng theo phương án mới là công bằng (người thu nhập như tôi đóng mức này là hợp lý). - HUMAN-TRU2]]</f>
        <v>5</v>
      </c>
      <c r="AS159" t="str">
        <f t="shared" si="70"/>
        <v>Neutral</v>
      </c>
      <c r="AT159" s="32">
        <f t="shared" si="71"/>
        <v>3</v>
      </c>
      <c r="AU159">
        <f>step3_validation[[#This Row],[AI_TRU3]]</f>
        <v>7</v>
      </c>
      <c r="AV159" t="str">
        <f t="shared" si="72"/>
        <v>Neutral</v>
      </c>
      <c r="AW159">
        <f>survey_responses[[#This Row],[Tôi tin tưởng số tiền thuế tôi đóng sẽ được Nhà nước sử dụng hiệu quả để cải thiện dịch vụ công (y tế, đường xá...). - HUMAN-TRU3]]</f>
        <v>6</v>
      </c>
      <c r="AX159" t="str">
        <f t="shared" si="73"/>
        <v>Neutral</v>
      </c>
      <c r="AY159" s="32">
        <f t="shared" si="74"/>
        <v>1</v>
      </c>
      <c r="AZ159">
        <f>step3_validation[[#This Row],[AI_TRU4]]</f>
        <v>8</v>
      </c>
      <c r="BA159" t="str">
        <f t="shared" si="75"/>
        <v>Support</v>
      </c>
      <c r="BB159">
        <f>survey_responses[[#This Row],[Tôi thấy Nhà nước đã giải thích rõ ràng, minh bạch về lý do và mục tiêu của việc sửa đổi thuế lần này. - HUMAN-TRU4]]</f>
        <v>7</v>
      </c>
      <c r="BC159" t="str">
        <f t="shared" si="76"/>
        <v>Neutral</v>
      </c>
      <c r="BD159" s="32">
        <f t="shared" si="77"/>
        <v>1</v>
      </c>
      <c r="BE159">
        <f>step3_validation[[#This Row],[AI_OUT1]]</f>
        <v>7</v>
      </c>
      <c r="BF159" t="str">
        <f t="shared" si="78"/>
        <v>Neutral</v>
      </c>
      <c r="BG159">
        <f>survey_responses[[#This Row],[Sau khi xem xét các quyền lợi và nghĩa vụ, bạn có ủng hộ và tuân thủ chính sách mới hiện nay? - HUMAN-OUT1]]</f>
        <v>7</v>
      </c>
      <c r="BH159" t="str">
        <f t="shared" si="79"/>
        <v>Neutral</v>
      </c>
      <c r="BI159" s="32">
        <f t="shared" si="80"/>
        <v>0</v>
      </c>
    </row>
    <row r="160" spans="1:61" x14ac:dyDescent="0.45">
      <c r="A160" s="30">
        <f>step3_validation[[#This Row],[Persona_ID]]</f>
        <v>159</v>
      </c>
      <c r="B160" s="31">
        <f>step3_validation[[#This Row],[Used_Seed]]</f>
        <v>2149</v>
      </c>
      <c r="C160" t="str">
        <f>step3_validation[[#This Row],[Gender]]</f>
        <v>Nam</v>
      </c>
      <c r="D160" t="str">
        <f>survey_responses[[#This Row],[Giới tính của bạn:]]</f>
        <v>Nam</v>
      </c>
      <c r="E160" t="str">
        <f>step3_validation[[#This Row],[Age_Group]]</f>
        <v>40 - 49</v>
      </c>
      <c r="F160" t="str">
        <f>survey_responses[[#This Row],[Độ tuổi của bạn:]]</f>
        <v>40 - 49</v>
      </c>
      <c r="G160" t="str">
        <f>step3_validation[[#This Row],[Region]]</f>
        <v>Thành thị</v>
      </c>
      <c r="H160" t="str">
        <f>survey_responses[[#This Row],[Khu vực bạn đang sinh sống:]]</f>
        <v>Thành thị</v>
      </c>
      <c r="I160" t="str">
        <f>step3_validation[[#This Row],[Education]]</f>
        <v>Đại học</v>
      </c>
      <c r="J160" t="str">
        <f>survey_responses[[#This Row],[Trình độ học vấn cao nhất:]]</f>
        <v>Đại học</v>
      </c>
      <c r="K160" t="str">
        <f>step3_validation[[#This Row],[Employment]]</f>
        <v>Chính thức</v>
      </c>
      <c r="L160" t="str">
        <f>survey_responses[[#This Row],[Tình trạng việc làm chính:]]</f>
        <v>Khu vực chính thức (Có Hợp đồng lao động, đóng BHXH)</v>
      </c>
      <c r="M160">
        <f>step3_validation[[#This Row],[Income_Mil]]</f>
        <v>33.46719409588362</v>
      </c>
      <c r="N160" t="str">
        <f>survey_responses[[#This Row],[Thu nhập bình quân tháng theo Hợp đồng lao động của bạn là bao nhiêu? (Vui lòng điền tổng thu nhập trước khi khấu trừ các loại Bảo hiểm (BHXH, BHYT, BHTN) và Thuế TNCN)]]</f>
        <v>Từ 32 - 48 triệu VNĐ</v>
      </c>
      <c r="O160">
        <f>step3_validation[[#This Row],[Dependents]]</f>
        <v>0</v>
      </c>
      <c r="P160" t="str">
        <f>survey_responses[[#This Row],[Số người phụ thuộc (con nhỏ, cha mẹ già...) đủ điều kiện giảm trừ gia cảnh:]]</f>
        <v>0 người</v>
      </c>
      <c r="Q160">
        <f>step3_validation[[#This Row],[AI_ENF1]]</f>
        <v>7</v>
      </c>
      <c r="R160" t="str">
        <f t="shared" si="54"/>
        <v>Neutral</v>
      </c>
      <c r="S160">
        <f>survey_responses[[#This Row],[Tôi tin rằng với các quy định quản lý thuế hiện nay, hành vi gian lận hoặc trốn thuế sẽ dễ dàng bị phát hiện và xử lý nghiêm. - HUMAN-ENF1]]</f>
        <v>2</v>
      </c>
      <c r="T160" t="str">
        <f t="shared" si="55"/>
        <v>Oppose</v>
      </c>
      <c r="U160" s="32">
        <f t="shared" si="56"/>
        <v>5</v>
      </c>
      <c r="V160">
        <f>step3_validation[[#This Row],[AI_ENF2]]</f>
        <v>6</v>
      </c>
      <c r="W160" t="str">
        <f t="shared" si="57"/>
        <v>Neutral</v>
      </c>
      <c r="X160">
        <f>survey_responses[[#This Row],[Tôi tin rằng Nhà nước, cơ quan thuế có đủ khả năng và công nghệ để phát hiện, xử lý nghiêm các hành vi trốn thuế. - HUMAN-ENF2]]</f>
        <v>7</v>
      </c>
      <c r="Y160" t="str">
        <f t="shared" si="58"/>
        <v>Neutral</v>
      </c>
      <c r="Z160" s="32">
        <f t="shared" si="59"/>
        <v>1</v>
      </c>
      <c r="AA160">
        <f>step3_validation[[#This Row],[AI_FAC1]]</f>
        <v>8</v>
      </c>
      <c r="AB160" t="str">
        <f t="shared" si="60"/>
        <v>Support</v>
      </c>
      <c r="AC160">
        <f>survey_responses[[#This Row],[Các thủ tục khai báo thuế VÀ/HOẶC quy trình làm việc với cơ quan thuế đơn giản, tiện lợi, nhanh chóng hơn so với trước đây. - HUMAN-FAC1]]</f>
        <v>10</v>
      </c>
      <c r="AD160" t="str">
        <f t="shared" si="61"/>
        <v>Support</v>
      </c>
      <c r="AE160" s="32">
        <f t="shared" si="62"/>
        <v>2</v>
      </c>
      <c r="AF160">
        <f>step3_validation[[#This Row],[AI_FAC2]]</f>
        <v>9</v>
      </c>
      <c r="AG160" t="str">
        <f t="shared" si="63"/>
        <v>Support</v>
      </c>
      <c r="AH160">
        <f>survey_responses[[#This Row],[So với trước đây, tôi thấy cách tính thuế và các bậc thuế trong phương án mới đơn giản, dễ hiểu và dễ thực hiện hơn. - HUMAN-FAC2]]</f>
        <v>2</v>
      </c>
      <c r="AI160" t="str">
        <f t="shared" si="64"/>
        <v>Oppose</v>
      </c>
      <c r="AJ160" s="32">
        <f t="shared" si="65"/>
        <v>7</v>
      </c>
      <c r="AK160">
        <f>step3_validation[[#This Row],[AI_TRU1]]</f>
        <v>8</v>
      </c>
      <c r="AL160" t="str">
        <f t="shared" si="66"/>
        <v>Support</v>
      </c>
      <c r="AM160">
        <f>survey_responses[[#This Row],[Tôi tin rằng Nhà nước, cơ quan thuế sẽ thực thi chính sách mới một cách khách quan, công tâm và đối xử bình đẳng với mọi người nộp thuế.  - HUMAN-TRU1]]</f>
        <v>10</v>
      </c>
      <c r="AN160" t="str">
        <f t="shared" si="67"/>
        <v>Support</v>
      </c>
      <c r="AO160" s="32">
        <f t="shared" si="68"/>
        <v>2</v>
      </c>
      <c r="AP160">
        <f>step3_validation[[#This Row],[AI_TRU2]]</f>
        <v>7</v>
      </c>
      <c r="AQ160" t="str">
        <f t="shared" si="69"/>
        <v>Neutral</v>
      </c>
      <c r="AR160">
        <f>survey_responses[[#This Row],[Tôi thấy mức thuế tôi phải đóng theo phương án mới là công bằng (người thu nhập như tôi đóng mức này là hợp lý). - HUMAN-TRU2]]</f>
        <v>5</v>
      </c>
      <c r="AS160" t="str">
        <f t="shared" si="70"/>
        <v>Neutral</v>
      </c>
      <c r="AT160" s="32">
        <f t="shared" si="71"/>
        <v>2</v>
      </c>
      <c r="AU160">
        <f>step3_validation[[#This Row],[AI_TRU3]]</f>
        <v>6</v>
      </c>
      <c r="AV160" t="str">
        <f t="shared" si="72"/>
        <v>Neutral</v>
      </c>
      <c r="AW160">
        <f>survey_responses[[#This Row],[Tôi tin tưởng số tiền thuế tôi đóng sẽ được Nhà nước sử dụng hiệu quả để cải thiện dịch vụ công (y tế, đường xá...). - HUMAN-TRU3]]</f>
        <v>10</v>
      </c>
      <c r="AX160" t="str">
        <f t="shared" si="73"/>
        <v>Support</v>
      </c>
      <c r="AY160" s="32">
        <f t="shared" si="74"/>
        <v>4</v>
      </c>
      <c r="AZ160">
        <f>step3_validation[[#This Row],[AI_TRU4]]</f>
        <v>8</v>
      </c>
      <c r="BA160" t="str">
        <f t="shared" si="75"/>
        <v>Support</v>
      </c>
      <c r="BB160">
        <f>survey_responses[[#This Row],[Tôi thấy Nhà nước đã giải thích rõ ràng, minh bạch về lý do và mục tiêu của việc sửa đổi thuế lần này. - HUMAN-TRU4]]</f>
        <v>3</v>
      </c>
      <c r="BC160" t="str">
        <f t="shared" si="76"/>
        <v>Oppose</v>
      </c>
      <c r="BD160" s="32">
        <f t="shared" si="77"/>
        <v>5</v>
      </c>
      <c r="BE160">
        <f>step3_validation[[#This Row],[AI_OUT1]]</f>
        <v>7</v>
      </c>
      <c r="BF160" t="str">
        <f t="shared" si="78"/>
        <v>Neutral</v>
      </c>
      <c r="BG160">
        <f>survey_responses[[#This Row],[Sau khi xem xét các quyền lợi và nghĩa vụ, bạn có ủng hộ và tuân thủ chính sách mới hiện nay? - HUMAN-OUT1]]</f>
        <v>3</v>
      </c>
      <c r="BH160" t="str">
        <f t="shared" si="79"/>
        <v>Oppose</v>
      </c>
      <c r="BI160" s="32">
        <f t="shared" si="80"/>
        <v>4</v>
      </c>
    </row>
    <row r="161" spans="1:61" x14ac:dyDescent="0.45">
      <c r="A161" s="30">
        <f>step3_validation[[#This Row],[Persona_ID]]</f>
        <v>160</v>
      </c>
      <c r="B161" s="31">
        <f>step3_validation[[#This Row],[Used_Seed]]</f>
        <v>2150</v>
      </c>
      <c r="C161" t="str">
        <f>step3_validation[[#This Row],[Gender]]</f>
        <v>Nữ</v>
      </c>
      <c r="D161" t="str">
        <f>survey_responses[[#This Row],[Giới tính của bạn:]]</f>
        <v>Nữ</v>
      </c>
      <c r="E161" t="str">
        <f>step3_validation[[#This Row],[Age_Group]]</f>
        <v>30 - 39</v>
      </c>
      <c r="F161" t="str">
        <f>survey_responses[[#This Row],[Độ tuổi của bạn:]]</f>
        <v>30 - 39</v>
      </c>
      <c r="G161" t="str">
        <f>step3_validation[[#This Row],[Region]]</f>
        <v>Thành thị</v>
      </c>
      <c r="H161" t="str">
        <f>survey_responses[[#This Row],[Khu vực bạn đang sinh sống:]]</f>
        <v>Thành thị</v>
      </c>
      <c r="I161" t="str">
        <f>step3_validation[[#This Row],[Education]]</f>
        <v>Sau Đại học</v>
      </c>
      <c r="J161" t="str">
        <f>survey_responses[[#This Row],[Trình độ học vấn cao nhất:]]</f>
        <v>Sau Đại học</v>
      </c>
      <c r="K161" t="str">
        <f>step3_validation[[#This Row],[Employment]]</f>
        <v>Chính thức</v>
      </c>
      <c r="L161" t="str">
        <f>survey_responses[[#This Row],[Tình trạng việc làm chính:]]</f>
        <v>Khu vực chính thức (Có Hợp đồng lao động, đóng BHXH)</v>
      </c>
      <c r="M161">
        <f>step3_validation[[#This Row],[Income_Mil]]</f>
        <v>45.11869588041683</v>
      </c>
      <c r="N161" t="str">
        <f>survey_responses[[#This Row],[Thu nhập bình quân tháng theo Hợp đồng lao động của bạn là bao nhiêu? (Vui lòng điền tổng thu nhập trước khi khấu trừ các loại Bảo hiểm (BHXH, BHYT, BHTN) và Thuế TNCN)]]</f>
        <v>Từ 32 - 48 triệu VNĐ</v>
      </c>
      <c r="O161">
        <f>step3_validation[[#This Row],[Dependents]]</f>
        <v>0</v>
      </c>
      <c r="P161" t="str">
        <f>survey_responses[[#This Row],[Số người phụ thuộc (con nhỏ, cha mẹ già...) đủ điều kiện giảm trừ gia cảnh:]]</f>
        <v>0 người</v>
      </c>
      <c r="Q161">
        <f>step3_validation[[#This Row],[AI_ENF1]]</f>
        <v>7</v>
      </c>
      <c r="R161" t="str">
        <f t="shared" si="54"/>
        <v>Neutral</v>
      </c>
      <c r="S161">
        <f>survey_responses[[#This Row],[Tôi tin rằng với các quy định quản lý thuế hiện nay, hành vi gian lận hoặc trốn thuế sẽ dễ dàng bị phát hiện và xử lý nghiêm. - HUMAN-ENF1]]</f>
        <v>9</v>
      </c>
      <c r="T161" t="str">
        <f t="shared" si="55"/>
        <v>Support</v>
      </c>
      <c r="U161" s="32">
        <f t="shared" si="56"/>
        <v>2</v>
      </c>
      <c r="V161">
        <f>step3_validation[[#This Row],[AI_ENF2]]</f>
        <v>8</v>
      </c>
      <c r="W161" t="str">
        <f t="shared" si="57"/>
        <v>Support</v>
      </c>
      <c r="X161">
        <f>survey_responses[[#This Row],[Tôi tin rằng Nhà nước, cơ quan thuế có đủ khả năng và công nghệ để phát hiện, xử lý nghiêm các hành vi trốn thuế. - HUMAN-ENF2]]</f>
        <v>9</v>
      </c>
      <c r="Y161" t="str">
        <f t="shared" si="58"/>
        <v>Support</v>
      </c>
      <c r="Z161" s="32">
        <f t="shared" si="59"/>
        <v>1</v>
      </c>
      <c r="AA161">
        <f>step3_validation[[#This Row],[AI_FAC1]]</f>
        <v>6</v>
      </c>
      <c r="AB161" t="str">
        <f t="shared" si="60"/>
        <v>Neutral</v>
      </c>
      <c r="AC161">
        <f>survey_responses[[#This Row],[Các thủ tục khai báo thuế VÀ/HOẶC quy trình làm việc với cơ quan thuế đơn giản, tiện lợi, nhanh chóng hơn so với trước đây. - HUMAN-FAC1]]</f>
        <v>10</v>
      </c>
      <c r="AD161" t="str">
        <f t="shared" si="61"/>
        <v>Support</v>
      </c>
      <c r="AE161" s="32">
        <f t="shared" si="62"/>
        <v>4</v>
      </c>
      <c r="AF161">
        <f>step3_validation[[#This Row],[AI_FAC2]]</f>
        <v>8</v>
      </c>
      <c r="AG161" t="str">
        <f t="shared" si="63"/>
        <v>Support</v>
      </c>
      <c r="AH161">
        <f>survey_responses[[#This Row],[So với trước đây, tôi thấy cách tính thuế và các bậc thuế trong phương án mới đơn giản, dễ hiểu và dễ thực hiện hơn. - HUMAN-FAC2]]</f>
        <v>2</v>
      </c>
      <c r="AI161" t="str">
        <f t="shared" si="64"/>
        <v>Oppose</v>
      </c>
      <c r="AJ161" s="32">
        <f t="shared" si="65"/>
        <v>6</v>
      </c>
      <c r="AK161">
        <f>step3_validation[[#This Row],[AI_TRU1]]</f>
        <v>7</v>
      </c>
      <c r="AL161" t="str">
        <f t="shared" si="66"/>
        <v>Neutral</v>
      </c>
      <c r="AM161">
        <f>survey_responses[[#This Row],[Tôi tin rằng Nhà nước, cơ quan thuế sẽ thực thi chính sách mới một cách khách quan, công tâm và đối xử bình đẳng với mọi người nộp thuế.  - HUMAN-TRU1]]</f>
        <v>9</v>
      </c>
      <c r="AN161" t="str">
        <f t="shared" si="67"/>
        <v>Support</v>
      </c>
      <c r="AO161" s="32">
        <f t="shared" si="68"/>
        <v>2</v>
      </c>
      <c r="AP161">
        <f>step3_validation[[#This Row],[AI_TRU2]]</f>
        <v>6</v>
      </c>
      <c r="AQ161" t="str">
        <f t="shared" si="69"/>
        <v>Neutral</v>
      </c>
      <c r="AR161">
        <f>survey_responses[[#This Row],[Tôi thấy mức thuế tôi phải đóng theo phương án mới là công bằng (người thu nhập như tôi đóng mức này là hợp lý). - HUMAN-TRU2]]</f>
        <v>9</v>
      </c>
      <c r="AS161" t="str">
        <f t="shared" si="70"/>
        <v>Support</v>
      </c>
      <c r="AT161" s="32">
        <f t="shared" si="71"/>
        <v>3</v>
      </c>
      <c r="AU161">
        <f>step3_validation[[#This Row],[AI_TRU3]]</f>
        <v>7</v>
      </c>
      <c r="AV161" t="str">
        <f t="shared" si="72"/>
        <v>Neutral</v>
      </c>
      <c r="AW161">
        <f>survey_responses[[#This Row],[Tôi tin tưởng số tiền thuế tôi đóng sẽ được Nhà nước sử dụng hiệu quả để cải thiện dịch vụ công (y tế, đường xá...). - HUMAN-TRU3]]</f>
        <v>6</v>
      </c>
      <c r="AX161" t="str">
        <f t="shared" si="73"/>
        <v>Neutral</v>
      </c>
      <c r="AY161" s="32">
        <f t="shared" si="74"/>
        <v>1</v>
      </c>
      <c r="AZ161">
        <f>step3_validation[[#This Row],[AI_TRU4]]</f>
        <v>5</v>
      </c>
      <c r="BA161" t="str">
        <f t="shared" si="75"/>
        <v>Neutral</v>
      </c>
      <c r="BB161">
        <f>survey_responses[[#This Row],[Tôi thấy Nhà nước đã giải thích rõ ràng, minh bạch về lý do và mục tiêu của việc sửa đổi thuế lần này. - HUMAN-TRU4]]</f>
        <v>8</v>
      </c>
      <c r="BC161" t="str">
        <f t="shared" si="76"/>
        <v>Support</v>
      </c>
      <c r="BD161" s="32">
        <f t="shared" si="77"/>
        <v>3</v>
      </c>
      <c r="BE161">
        <f>step3_validation[[#This Row],[AI_OUT1]]</f>
        <v>6</v>
      </c>
      <c r="BF161" t="str">
        <f t="shared" si="78"/>
        <v>Neutral</v>
      </c>
      <c r="BG161">
        <f>survey_responses[[#This Row],[Sau khi xem xét các quyền lợi và nghĩa vụ, bạn có ủng hộ và tuân thủ chính sách mới hiện nay? - HUMAN-OUT1]]</f>
        <v>10</v>
      </c>
      <c r="BH161" t="str">
        <f t="shared" si="79"/>
        <v>Support</v>
      </c>
      <c r="BI161" s="32">
        <f t="shared" si="80"/>
        <v>4</v>
      </c>
    </row>
    <row r="162" spans="1:61" x14ac:dyDescent="0.45">
      <c r="A162" s="30">
        <f>step3_validation[[#This Row],[Persona_ID]]</f>
        <v>161</v>
      </c>
      <c r="B162" s="31">
        <f>step3_validation[[#This Row],[Used_Seed]]</f>
        <v>2151</v>
      </c>
      <c r="C162" t="str">
        <f>step3_validation[[#This Row],[Gender]]</f>
        <v>Nữ</v>
      </c>
      <c r="D162" t="str">
        <f>survey_responses[[#This Row],[Giới tính của bạn:]]</f>
        <v>Nữ</v>
      </c>
      <c r="E162" t="str">
        <f>step3_validation[[#This Row],[Age_Group]]</f>
        <v>30 - 39</v>
      </c>
      <c r="F162" t="str">
        <f>survey_responses[[#This Row],[Độ tuổi của bạn:]]</f>
        <v>30 - 39</v>
      </c>
      <c r="G162" t="str">
        <f>step3_validation[[#This Row],[Region]]</f>
        <v>Thành thị</v>
      </c>
      <c r="H162" t="str">
        <f>survey_responses[[#This Row],[Khu vực bạn đang sinh sống:]]</f>
        <v>Thành thị</v>
      </c>
      <c r="I162" t="str">
        <f>step3_validation[[#This Row],[Education]]</f>
        <v>Đại học</v>
      </c>
      <c r="J162" t="str">
        <f>survey_responses[[#This Row],[Trình độ học vấn cao nhất:]]</f>
        <v>Đại học</v>
      </c>
      <c r="K162" t="str">
        <f>step3_validation[[#This Row],[Employment]]</f>
        <v>Chính thức</v>
      </c>
      <c r="L162" t="str">
        <f>survey_responses[[#This Row],[Tình trạng việc làm chính:]]</f>
        <v>Khu vực chính thức (Có Hợp đồng lao động, đóng BHXH)</v>
      </c>
      <c r="M162">
        <f>step3_validation[[#This Row],[Income_Mil]]</f>
        <v>15.442244316243173</v>
      </c>
      <c r="N162" t="str">
        <f>survey_responses[[#This Row],[Thu nhập bình quân tháng theo Hợp đồng lao động của bạn là bao nhiêu? (Vui lòng điền tổng thu nhập trước khi khấu trừ các loại Bảo hiểm (BHXH, BHYT, BHTN) và Thuế TNCN)]]</f>
        <v>Từ 12 - 18 triệu VNĐ</v>
      </c>
      <c r="O162">
        <f>step3_validation[[#This Row],[Dependents]]</f>
        <v>0</v>
      </c>
      <c r="P162" t="str">
        <f>survey_responses[[#This Row],[Số người phụ thuộc (con nhỏ, cha mẹ già...) đủ điều kiện giảm trừ gia cảnh:]]</f>
        <v>0 người</v>
      </c>
      <c r="Q162">
        <f>step3_validation[[#This Row],[AI_ENF1]]</f>
        <v>7</v>
      </c>
      <c r="R162" t="str">
        <f t="shared" si="54"/>
        <v>Neutral</v>
      </c>
      <c r="S162">
        <f>survey_responses[[#This Row],[Tôi tin rằng với các quy định quản lý thuế hiện nay, hành vi gian lận hoặc trốn thuế sẽ dễ dàng bị phát hiện và xử lý nghiêm. - HUMAN-ENF1]]</f>
        <v>7</v>
      </c>
      <c r="T162" t="str">
        <f t="shared" si="55"/>
        <v>Neutral</v>
      </c>
      <c r="U162" s="32">
        <f t="shared" si="56"/>
        <v>0</v>
      </c>
      <c r="V162">
        <f>step3_validation[[#This Row],[AI_ENF2]]</f>
        <v>6</v>
      </c>
      <c r="W162" t="str">
        <f t="shared" si="57"/>
        <v>Neutral</v>
      </c>
      <c r="X162">
        <f>survey_responses[[#This Row],[Tôi tin rằng Nhà nước, cơ quan thuế có đủ khả năng và công nghệ để phát hiện, xử lý nghiêm các hành vi trốn thuế. - HUMAN-ENF2]]</f>
        <v>5</v>
      </c>
      <c r="Y162" t="str">
        <f t="shared" si="58"/>
        <v>Neutral</v>
      </c>
      <c r="Z162" s="32">
        <f t="shared" si="59"/>
        <v>1</v>
      </c>
      <c r="AA162">
        <f>step3_validation[[#This Row],[AI_FAC1]]</f>
        <v>8</v>
      </c>
      <c r="AB162" t="str">
        <f t="shared" si="60"/>
        <v>Support</v>
      </c>
      <c r="AC162">
        <f>survey_responses[[#This Row],[Các thủ tục khai báo thuế VÀ/HOẶC quy trình làm việc với cơ quan thuế đơn giản, tiện lợi, nhanh chóng hơn so với trước đây. - HUMAN-FAC1]]</f>
        <v>7</v>
      </c>
      <c r="AD162" t="str">
        <f t="shared" si="61"/>
        <v>Neutral</v>
      </c>
      <c r="AE162" s="32">
        <f t="shared" si="62"/>
        <v>1</v>
      </c>
      <c r="AF162">
        <f>step3_validation[[#This Row],[AI_FAC2]]</f>
        <v>7</v>
      </c>
      <c r="AG162" t="str">
        <f t="shared" si="63"/>
        <v>Neutral</v>
      </c>
      <c r="AH162">
        <f>survey_responses[[#This Row],[So với trước đây, tôi thấy cách tính thuế và các bậc thuế trong phương án mới đơn giản, dễ hiểu và dễ thực hiện hơn. - HUMAN-FAC2]]</f>
        <v>5</v>
      </c>
      <c r="AI162" t="str">
        <f t="shared" si="64"/>
        <v>Neutral</v>
      </c>
      <c r="AJ162" s="32">
        <f t="shared" si="65"/>
        <v>2</v>
      </c>
      <c r="AK162">
        <f>step3_validation[[#This Row],[AI_TRU1]]</f>
        <v>5</v>
      </c>
      <c r="AL162" t="str">
        <f t="shared" si="66"/>
        <v>Neutral</v>
      </c>
      <c r="AM162">
        <f>survey_responses[[#This Row],[Tôi tin rằng Nhà nước, cơ quan thuế sẽ thực thi chính sách mới một cách khách quan, công tâm và đối xử bình đẳng với mọi người nộp thuế.  - HUMAN-TRU1]]</f>
        <v>3</v>
      </c>
      <c r="AN162" t="str">
        <f t="shared" si="67"/>
        <v>Oppose</v>
      </c>
      <c r="AO162" s="32">
        <f t="shared" si="68"/>
        <v>2</v>
      </c>
      <c r="AP162">
        <f>step3_validation[[#This Row],[AI_TRU2]]</f>
        <v>6</v>
      </c>
      <c r="AQ162" t="str">
        <f t="shared" si="69"/>
        <v>Neutral</v>
      </c>
      <c r="AR162">
        <f>survey_responses[[#This Row],[Tôi thấy mức thuế tôi phải đóng theo phương án mới là công bằng (người thu nhập như tôi đóng mức này là hợp lý). - HUMAN-TRU2]]</f>
        <v>4</v>
      </c>
      <c r="AS162" t="str">
        <f t="shared" si="70"/>
        <v>Oppose</v>
      </c>
      <c r="AT162" s="32">
        <f t="shared" si="71"/>
        <v>2</v>
      </c>
      <c r="AU162">
        <f>step3_validation[[#This Row],[AI_TRU3]]</f>
        <v>7</v>
      </c>
      <c r="AV162" t="str">
        <f t="shared" si="72"/>
        <v>Neutral</v>
      </c>
      <c r="AW162">
        <f>survey_responses[[#This Row],[Tôi tin tưởng số tiền thuế tôi đóng sẽ được Nhà nước sử dụng hiệu quả để cải thiện dịch vụ công (y tế, đường xá...). - HUMAN-TRU3]]</f>
        <v>1</v>
      </c>
      <c r="AX162" t="str">
        <f t="shared" si="73"/>
        <v>Oppose</v>
      </c>
      <c r="AY162" s="32">
        <f t="shared" si="74"/>
        <v>6</v>
      </c>
      <c r="AZ162">
        <f>step3_validation[[#This Row],[AI_TRU4]]</f>
        <v>5</v>
      </c>
      <c r="BA162" t="str">
        <f t="shared" si="75"/>
        <v>Neutral</v>
      </c>
      <c r="BB162">
        <f>survey_responses[[#This Row],[Tôi thấy Nhà nước đã giải thích rõ ràng, minh bạch về lý do và mục tiêu của việc sửa đổi thuế lần này. - HUMAN-TRU4]]</f>
        <v>5</v>
      </c>
      <c r="BC162" t="str">
        <f t="shared" si="76"/>
        <v>Neutral</v>
      </c>
      <c r="BD162" s="32">
        <f t="shared" si="77"/>
        <v>0</v>
      </c>
      <c r="BE162">
        <f>step3_validation[[#This Row],[AI_OUT1]]</f>
        <v>6</v>
      </c>
      <c r="BF162" t="str">
        <f t="shared" si="78"/>
        <v>Neutral</v>
      </c>
      <c r="BG162">
        <f>survey_responses[[#This Row],[Sau khi xem xét các quyền lợi và nghĩa vụ, bạn có ủng hộ và tuân thủ chính sách mới hiện nay? - HUMAN-OUT1]]</f>
        <v>5</v>
      </c>
      <c r="BH162" t="str">
        <f t="shared" si="79"/>
        <v>Neutral</v>
      </c>
      <c r="BI162" s="32">
        <f t="shared" si="80"/>
        <v>1</v>
      </c>
    </row>
    <row r="163" spans="1:61" x14ac:dyDescent="0.45">
      <c r="A163" s="30">
        <f>step3_validation[[#This Row],[Persona_ID]]</f>
        <v>162</v>
      </c>
      <c r="B163" s="31">
        <f>step3_validation[[#This Row],[Used_Seed]]</f>
        <v>2152</v>
      </c>
      <c r="C163" t="str">
        <f>step3_validation[[#This Row],[Gender]]</f>
        <v>Nữ</v>
      </c>
      <c r="D163" t="str">
        <f>survey_responses[[#This Row],[Giới tính của bạn:]]</f>
        <v>Nữ</v>
      </c>
      <c r="E163" t="str">
        <f>step3_validation[[#This Row],[Age_Group]]</f>
        <v>25 - 29</v>
      </c>
      <c r="F163" t="str">
        <f>survey_responses[[#This Row],[Độ tuổi của bạn:]]</f>
        <v>25 - 29</v>
      </c>
      <c r="G163" t="str">
        <f>step3_validation[[#This Row],[Region]]</f>
        <v>Thành thị</v>
      </c>
      <c r="H163" t="str">
        <f>survey_responses[[#This Row],[Khu vực bạn đang sinh sống:]]</f>
        <v>Thành thị</v>
      </c>
      <c r="I163" t="str">
        <f>step3_validation[[#This Row],[Education]]</f>
        <v>Đại học</v>
      </c>
      <c r="J163" t="str">
        <f>survey_responses[[#This Row],[Trình độ học vấn cao nhất:]]</f>
        <v>Đại học</v>
      </c>
      <c r="K163" t="str">
        <f>step3_validation[[#This Row],[Employment]]</f>
        <v>Chính thức</v>
      </c>
      <c r="L163" t="str">
        <f>survey_responses[[#This Row],[Tình trạng việc làm chính:]]</f>
        <v>Khu vực chính thức (Có Hợp đồng lao động, đóng BHXH)</v>
      </c>
      <c r="M163">
        <f>step3_validation[[#This Row],[Income_Mil]]</f>
        <v>12</v>
      </c>
      <c r="N163" t="str">
        <f>survey_responses[[#This Row],[Thu nhập bình quân tháng theo Hợp đồng lao động của bạn là bao nhiêu? (Vui lòng điền tổng thu nhập trước khi khấu trừ các loại Bảo hiểm (BHXH, BHYT, BHTN) và Thuế TNCN)]]</f>
        <v>Dưới 12 triệu VNĐ</v>
      </c>
      <c r="O163">
        <f>step3_validation[[#This Row],[Dependents]]</f>
        <v>0</v>
      </c>
      <c r="P163" t="str">
        <f>survey_responses[[#This Row],[Số người phụ thuộc (con nhỏ, cha mẹ già...) đủ điều kiện giảm trừ gia cảnh:]]</f>
        <v>0 người</v>
      </c>
      <c r="Q163">
        <f>step3_validation[[#This Row],[AI_ENF1]]</f>
        <v>7</v>
      </c>
      <c r="R163" t="str">
        <f t="shared" si="54"/>
        <v>Neutral</v>
      </c>
      <c r="S163">
        <f>survey_responses[[#This Row],[Tôi tin rằng với các quy định quản lý thuế hiện nay, hành vi gian lận hoặc trốn thuế sẽ dễ dàng bị phát hiện và xử lý nghiêm. - HUMAN-ENF1]]</f>
        <v>3</v>
      </c>
      <c r="T163" t="str">
        <f t="shared" si="55"/>
        <v>Oppose</v>
      </c>
      <c r="U163" s="32">
        <f t="shared" si="56"/>
        <v>4</v>
      </c>
      <c r="V163">
        <f>step3_validation[[#This Row],[AI_ENF2]]</f>
        <v>6</v>
      </c>
      <c r="W163" t="str">
        <f t="shared" si="57"/>
        <v>Neutral</v>
      </c>
      <c r="X163">
        <f>survey_responses[[#This Row],[Tôi tin rằng Nhà nước, cơ quan thuế có đủ khả năng và công nghệ để phát hiện, xử lý nghiêm các hành vi trốn thuế. - HUMAN-ENF2]]</f>
        <v>8</v>
      </c>
      <c r="Y163" t="str">
        <f t="shared" si="58"/>
        <v>Support</v>
      </c>
      <c r="Z163" s="32">
        <f t="shared" si="59"/>
        <v>2</v>
      </c>
      <c r="AA163">
        <f>step3_validation[[#This Row],[AI_FAC1]]</f>
        <v>8</v>
      </c>
      <c r="AB163" t="str">
        <f t="shared" si="60"/>
        <v>Support</v>
      </c>
      <c r="AC163">
        <f>survey_responses[[#This Row],[Các thủ tục khai báo thuế VÀ/HOẶC quy trình làm việc với cơ quan thuế đơn giản, tiện lợi, nhanh chóng hơn so với trước đây. - HUMAN-FAC1]]</f>
        <v>4</v>
      </c>
      <c r="AD163" t="str">
        <f t="shared" si="61"/>
        <v>Oppose</v>
      </c>
      <c r="AE163" s="32">
        <f t="shared" si="62"/>
        <v>4</v>
      </c>
      <c r="AF163">
        <f>step3_validation[[#This Row],[AI_FAC2]]</f>
        <v>7</v>
      </c>
      <c r="AG163" t="str">
        <f t="shared" si="63"/>
        <v>Neutral</v>
      </c>
      <c r="AH163">
        <f>survey_responses[[#This Row],[So với trước đây, tôi thấy cách tính thuế và các bậc thuế trong phương án mới đơn giản, dễ hiểu và dễ thực hiện hơn. - HUMAN-FAC2]]</f>
        <v>5</v>
      </c>
      <c r="AI163" t="str">
        <f t="shared" si="64"/>
        <v>Neutral</v>
      </c>
      <c r="AJ163" s="32">
        <f t="shared" si="65"/>
        <v>2</v>
      </c>
      <c r="AK163">
        <f>step3_validation[[#This Row],[AI_TRU1]]</f>
        <v>8</v>
      </c>
      <c r="AL163" t="str">
        <f t="shared" si="66"/>
        <v>Support</v>
      </c>
      <c r="AM163">
        <f>survey_responses[[#This Row],[Tôi tin rằng Nhà nước, cơ quan thuế sẽ thực thi chính sách mới một cách khách quan, công tâm và đối xử bình đẳng với mọi người nộp thuế.  - HUMAN-TRU1]]</f>
        <v>5</v>
      </c>
      <c r="AN163" t="str">
        <f t="shared" si="67"/>
        <v>Neutral</v>
      </c>
      <c r="AO163" s="32">
        <f t="shared" si="68"/>
        <v>3</v>
      </c>
      <c r="AP163">
        <f>step3_validation[[#This Row],[AI_TRU2]]</f>
        <v>5</v>
      </c>
      <c r="AQ163" t="str">
        <f t="shared" si="69"/>
        <v>Neutral</v>
      </c>
      <c r="AR163">
        <f>survey_responses[[#This Row],[Tôi thấy mức thuế tôi phải đóng theo phương án mới là công bằng (người thu nhập như tôi đóng mức này là hợp lý). - HUMAN-TRU2]]</f>
        <v>5</v>
      </c>
      <c r="AS163" t="str">
        <f t="shared" si="70"/>
        <v>Neutral</v>
      </c>
      <c r="AT163" s="32">
        <f t="shared" si="71"/>
        <v>0</v>
      </c>
      <c r="AU163">
        <f>step3_validation[[#This Row],[AI_TRU3]]</f>
        <v>7</v>
      </c>
      <c r="AV163" t="str">
        <f t="shared" si="72"/>
        <v>Neutral</v>
      </c>
      <c r="AW163">
        <f>survey_responses[[#This Row],[Tôi tin tưởng số tiền thuế tôi đóng sẽ được Nhà nước sử dụng hiệu quả để cải thiện dịch vụ công (y tế, đường xá...). - HUMAN-TRU3]]</f>
        <v>5</v>
      </c>
      <c r="AX163" t="str">
        <f t="shared" si="73"/>
        <v>Neutral</v>
      </c>
      <c r="AY163" s="32">
        <f t="shared" si="74"/>
        <v>2</v>
      </c>
      <c r="AZ163">
        <f>step3_validation[[#This Row],[AI_TRU4]]</f>
        <v>6</v>
      </c>
      <c r="BA163" t="str">
        <f t="shared" si="75"/>
        <v>Neutral</v>
      </c>
      <c r="BB163">
        <f>survey_responses[[#This Row],[Tôi thấy Nhà nước đã giải thích rõ ràng, minh bạch về lý do và mục tiêu của việc sửa đổi thuế lần này. - HUMAN-TRU4]]</f>
        <v>5</v>
      </c>
      <c r="BC163" t="str">
        <f t="shared" si="76"/>
        <v>Neutral</v>
      </c>
      <c r="BD163" s="32">
        <f t="shared" si="77"/>
        <v>1</v>
      </c>
      <c r="BE163">
        <f>step3_validation[[#This Row],[AI_OUT1]]</f>
        <v>8</v>
      </c>
      <c r="BF163" t="str">
        <f t="shared" si="78"/>
        <v>Support</v>
      </c>
      <c r="BG163">
        <f>survey_responses[[#This Row],[Sau khi xem xét các quyền lợi và nghĩa vụ, bạn có ủng hộ và tuân thủ chính sách mới hiện nay? - HUMAN-OUT1]]</f>
        <v>5</v>
      </c>
      <c r="BH163" t="str">
        <f t="shared" si="79"/>
        <v>Neutral</v>
      </c>
      <c r="BI163" s="32">
        <f t="shared" si="80"/>
        <v>3</v>
      </c>
    </row>
    <row r="164" spans="1:61" x14ac:dyDescent="0.45">
      <c r="A164" s="30">
        <f>step3_validation[[#This Row],[Persona_ID]]</f>
        <v>163</v>
      </c>
      <c r="B164" s="31">
        <f>step3_validation[[#This Row],[Used_Seed]]</f>
        <v>2153</v>
      </c>
      <c r="C164" t="str">
        <f>step3_validation[[#This Row],[Gender]]</f>
        <v>Nữ</v>
      </c>
      <c r="D164" t="str">
        <f>survey_responses[[#This Row],[Giới tính của bạn:]]</f>
        <v>Nữ</v>
      </c>
      <c r="E164" t="str">
        <f>step3_validation[[#This Row],[Age_Group]]</f>
        <v>25 - 29</v>
      </c>
      <c r="F164" t="str">
        <f>survey_responses[[#This Row],[Độ tuổi của bạn:]]</f>
        <v>25 - 29</v>
      </c>
      <c r="G164" t="str">
        <f>step3_validation[[#This Row],[Region]]</f>
        <v>Thành thị</v>
      </c>
      <c r="H164" t="str">
        <f>survey_responses[[#This Row],[Khu vực bạn đang sinh sống:]]</f>
        <v>Thành thị</v>
      </c>
      <c r="I164" t="str">
        <f>step3_validation[[#This Row],[Education]]</f>
        <v>Đại học</v>
      </c>
      <c r="J164" t="str">
        <f>survey_responses[[#This Row],[Trình độ học vấn cao nhất:]]</f>
        <v>Đại học</v>
      </c>
      <c r="K164" t="str">
        <f>step3_validation[[#This Row],[Employment]]</f>
        <v>Chính thức</v>
      </c>
      <c r="L164" t="str">
        <f>survey_responses[[#This Row],[Tình trạng việc làm chính:]]</f>
        <v>Khu vực chính thức (Có Hợp đồng lao động, đóng BHXH)</v>
      </c>
      <c r="M164">
        <f>step3_validation[[#This Row],[Income_Mil]]</f>
        <v>15.35907344478729</v>
      </c>
      <c r="N164" t="str">
        <f>survey_responses[[#This Row],[Thu nhập bình quân tháng theo Hợp đồng lao động của bạn là bao nhiêu? (Vui lòng điền tổng thu nhập trước khi khấu trừ các loại Bảo hiểm (BHXH, BHYT, BHTN) và Thuế TNCN)]]</f>
        <v>Từ 12 - 18 triệu VNĐ</v>
      </c>
      <c r="O164">
        <f>step3_validation[[#This Row],[Dependents]]</f>
        <v>0</v>
      </c>
      <c r="P164" t="str">
        <f>survey_responses[[#This Row],[Số người phụ thuộc (con nhỏ, cha mẹ già...) đủ điều kiện giảm trừ gia cảnh:]]</f>
        <v>0 người</v>
      </c>
      <c r="Q164">
        <f>step3_validation[[#This Row],[AI_ENF1]]</f>
        <v>7</v>
      </c>
      <c r="R164" t="str">
        <f t="shared" si="54"/>
        <v>Neutral</v>
      </c>
      <c r="S164">
        <f>survey_responses[[#This Row],[Tôi tin rằng với các quy định quản lý thuế hiện nay, hành vi gian lận hoặc trốn thuế sẽ dễ dàng bị phát hiện và xử lý nghiêm. - HUMAN-ENF1]]</f>
        <v>10</v>
      </c>
      <c r="T164" t="str">
        <f t="shared" si="55"/>
        <v>Support</v>
      </c>
      <c r="U164" s="32">
        <f t="shared" si="56"/>
        <v>3</v>
      </c>
      <c r="V164">
        <f>step3_validation[[#This Row],[AI_ENF2]]</f>
        <v>8</v>
      </c>
      <c r="W164" t="str">
        <f t="shared" si="57"/>
        <v>Support</v>
      </c>
      <c r="X164">
        <f>survey_responses[[#This Row],[Tôi tin rằng Nhà nước, cơ quan thuế có đủ khả năng và công nghệ để phát hiện, xử lý nghiêm các hành vi trốn thuế. - HUMAN-ENF2]]</f>
        <v>10</v>
      </c>
      <c r="Y164" t="str">
        <f t="shared" si="58"/>
        <v>Support</v>
      </c>
      <c r="Z164" s="32">
        <f t="shared" si="59"/>
        <v>2</v>
      </c>
      <c r="AA164">
        <f>step3_validation[[#This Row],[AI_FAC1]]</f>
        <v>8</v>
      </c>
      <c r="AB164" t="str">
        <f t="shared" si="60"/>
        <v>Support</v>
      </c>
      <c r="AC164">
        <f>survey_responses[[#This Row],[Các thủ tục khai báo thuế VÀ/HOẶC quy trình làm việc với cơ quan thuế đơn giản, tiện lợi, nhanh chóng hơn so với trước đây. - HUMAN-FAC1]]</f>
        <v>10</v>
      </c>
      <c r="AD164" t="str">
        <f t="shared" si="61"/>
        <v>Support</v>
      </c>
      <c r="AE164" s="32">
        <f t="shared" si="62"/>
        <v>2</v>
      </c>
      <c r="AF164">
        <f>step3_validation[[#This Row],[AI_FAC2]]</f>
        <v>8</v>
      </c>
      <c r="AG164" t="str">
        <f t="shared" si="63"/>
        <v>Support</v>
      </c>
      <c r="AH164">
        <f>survey_responses[[#This Row],[So với trước đây, tôi thấy cách tính thuế và các bậc thuế trong phương án mới đơn giản, dễ hiểu và dễ thực hiện hơn. - HUMAN-FAC2]]</f>
        <v>10</v>
      </c>
      <c r="AI164" t="str">
        <f t="shared" si="64"/>
        <v>Support</v>
      </c>
      <c r="AJ164" s="32">
        <f t="shared" si="65"/>
        <v>2</v>
      </c>
      <c r="AK164">
        <f>step3_validation[[#This Row],[AI_TRU1]]</f>
        <v>6</v>
      </c>
      <c r="AL164" t="str">
        <f t="shared" si="66"/>
        <v>Neutral</v>
      </c>
      <c r="AM164">
        <f>survey_responses[[#This Row],[Tôi tin rằng Nhà nước, cơ quan thuế sẽ thực thi chính sách mới một cách khách quan, công tâm và đối xử bình đẳng với mọi người nộp thuế.  - HUMAN-TRU1]]</f>
        <v>10</v>
      </c>
      <c r="AN164" t="str">
        <f t="shared" si="67"/>
        <v>Support</v>
      </c>
      <c r="AO164" s="32">
        <f t="shared" si="68"/>
        <v>4</v>
      </c>
      <c r="AP164">
        <f>step3_validation[[#This Row],[AI_TRU2]]</f>
        <v>7</v>
      </c>
      <c r="AQ164" t="str">
        <f t="shared" si="69"/>
        <v>Neutral</v>
      </c>
      <c r="AR164">
        <f>survey_responses[[#This Row],[Tôi thấy mức thuế tôi phải đóng theo phương án mới là công bằng (người thu nhập như tôi đóng mức này là hợp lý). - HUMAN-TRU2]]</f>
        <v>10</v>
      </c>
      <c r="AS164" t="str">
        <f t="shared" si="70"/>
        <v>Support</v>
      </c>
      <c r="AT164" s="32">
        <f t="shared" si="71"/>
        <v>3</v>
      </c>
      <c r="AU164">
        <f>step3_validation[[#This Row],[AI_TRU3]]</f>
        <v>6</v>
      </c>
      <c r="AV164" t="str">
        <f t="shared" si="72"/>
        <v>Neutral</v>
      </c>
      <c r="AW164">
        <f>survey_responses[[#This Row],[Tôi tin tưởng số tiền thuế tôi đóng sẽ được Nhà nước sử dụng hiệu quả để cải thiện dịch vụ công (y tế, đường xá...). - HUMAN-TRU3]]</f>
        <v>10</v>
      </c>
      <c r="AX164" t="str">
        <f t="shared" si="73"/>
        <v>Support</v>
      </c>
      <c r="AY164" s="32">
        <f t="shared" si="74"/>
        <v>4</v>
      </c>
      <c r="AZ164">
        <f>step3_validation[[#This Row],[AI_TRU4]]</f>
        <v>7</v>
      </c>
      <c r="BA164" t="str">
        <f t="shared" si="75"/>
        <v>Neutral</v>
      </c>
      <c r="BB164">
        <f>survey_responses[[#This Row],[Tôi thấy Nhà nước đã giải thích rõ ràng, minh bạch về lý do và mục tiêu của việc sửa đổi thuế lần này. - HUMAN-TRU4]]</f>
        <v>10</v>
      </c>
      <c r="BC164" t="str">
        <f t="shared" si="76"/>
        <v>Support</v>
      </c>
      <c r="BD164" s="32">
        <f t="shared" si="77"/>
        <v>3</v>
      </c>
      <c r="BE164">
        <f>step3_validation[[#This Row],[AI_OUT1]]</f>
        <v>6</v>
      </c>
      <c r="BF164" t="str">
        <f t="shared" si="78"/>
        <v>Neutral</v>
      </c>
      <c r="BG164">
        <f>survey_responses[[#This Row],[Sau khi xem xét các quyền lợi và nghĩa vụ, bạn có ủng hộ và tuân thủ chính sách mới hiện nay? - HUMAN-OUT1]]</f>
        <v>10</v>
      </c>
      <c r="BH164" t="str">
        <f t="shared" si="79"/>
        <v>Support</v>
      </c>
      <c r="BI164" s="32">
        <f t="shared" si="80"/>
        <v>4</v>
      </c>
    </row>
    <row r="165" spans="1:61" x14ac:dyDescent="0.45">
      <c r="A165" s="30">
        <f>step3_validation[[#This Row],[Persona_ID]]</f>
        <v>164</v>
      </c>
      <c r="B165" s="31">
        <f>step3_validation[[#This Row],[Used_Seed]]</f>
        <v>2154</v>
      </c>
      <c r="C165" t="str">
        <f>step3_validation[[#This Row],[Gender]]</f>
        <v>Nữ</v>
      </c>
      <c r="D165" t="str">
        <f>survey_responses[[#This Row],[Giới tính của bạn:]]</f>
        <v>Nữ</v>
      </c>
      <c r="E165" t="str">
        <f>step3_validation[[#This Row],[Age_Group]]</f>
        <v>40 - 49</v>
      </c>
      <c r="F165" t="str">
        <f>survey_responses[[#This Row],[Độ tuổi của bạn:]]</f>
        <v>40 - 49</v>
      </c>
      <c r="G165" t="str">
        <f>step3_validation[[#This Row],[Region]]</f>
        <v>Thành thị</v>
      </c>
      <c r="H165" t="str">
        <f>survey_responses[[#This Row],[Khu vực bạn đang sinh sống:]]</f>
        <v>Thành thị</v>
      </c>
      <c r="I165" t="str">
        <f>step3_validation[[#This Row],[Education]]</f>
        <v>Đại học</v>
      </c>
      <c r="J165" t="str">
        <f>survey_responses[[#This Row],[Trình độ học vấn cao nhất:]]</f>
        <v>Đại học</v>
      </c>
      <c r="K165" t="str">
        <f>step3_validation[[#This Row],[Employment]]</f>
        <v>Chính thức</v>
      </c>
      <c r="L165" t="str">
        <f>survey_responses[[#This Row],[Tình trạng việc làm chính:]]</f>
        <v>Khu vực chính thức (Có Hợp đồng lao động, đóng BHXH)</v>
      </c>
      <c r="M165">
        <f>step3_validation[[#This Row],[Income_Mil]]</f>
        <v>39.464682757354907</v>
      </c>
      <c r="N165" t="str">
        <f>survey_responses[[#This Row],[Thu nhập bình quân tháng theo Hợp đồng lao động của bạn là bao nhiêu? (Vui lòng điền tổng thu nhập trước khi khấu trừ các loại Bảo hiểm (BHXH, BHYT, BHTN) và Thuế TNCN)]]</f>
        <v>Từ 32 - 48 triệu VNĐ</v>
      </c>
      <c r="O165">
        <f>step3_validation[[#This Row],[Dependents]]</f>
        <v>2</v>
      </c>
      <c r="P165" t="str">
        <f>survey_responses[[#This Row],[Số người phụ thuộc (con nhỏ, cha mẹ già...) đủ điều kiện giảm trừ gia cảnh:]]</f>
        <v>2 người</v>
      </c>
      <c r="Q165">
        <f>step3_validation[[#This Row],[AI_ENF1]]</f>
        <v>8</v>
      </c>
      <c r="R165" t="str">
        <f t="shared" si="54"/>
        <v>Support</v>
      </c>
      <c r="S165">
        <f>survey_responses[[#This Row],[Tôi tin rằng với các quy định quản lý thuế hiện nay, hành vi gian lận hoặc trốn thuế sẽ dễ dàng bị phát hiện và xử lý nghiêm. - HUMAN-ENF1]]</f>
        <v>8</v>
      </c>
      <c r="T165" t="str">
        <f t="shared" si="55"/>
        <v>Support</v>
      </c>
      <c r="U165" s="32">
        <f t="shared" si="56"/>
        <v>0</v>
      </c>
      <c r="V165">
        <f>step3_validation[[#This Row],[AI_ENF2]]</f>
        <v>7</v>
      </c>
      <c r="W165" t="str">
        <f t="shared" si="57"/>
        <v>Neutral</v>
      </c>
      <c r="X165">
        <f>survey_responses[[#This Row],[Tôi tin rằng Nhà nước, cơ quan thuế có đủ khả năng và công nghệ để phát hiện, xử lý nghiêm các hành vi trốn thuế. - HUMAN-ENF2]]</f>
        <v>9</v>
      </c>
      <c r="Y165" t="str">
        <f t="shared" si="58"/>
        <v>Support</v>
      </c>
      <c r="Z165" s="32">
        <f t="shared" si="59"/>
        <v>2</v>
      </c>
      <c r="AA165">
        <f>step3_validation[[#This Row],[AI_FAC1]]</f>
        <v>6</v>
      </c>
      <c r="AB165" t="str">
        <f t="shared" si="60"/>
        <v>Neutral</v>
      </c>
      <c r="AC165">
        <f>survey_responses[[#This Row],[Các thủ tục khai báo thuế VÀ/HOẶC quy trình làm việc với cơ quan thuế đơn giản, tiện lợi, nhanh chóng hơn so với trước đây. - HUMAN-FAC1]]</f>
        <v>9</v>
      </c>
      <c r="AD165" t="str">
        <f t="shared" si="61"/>
        <v>Support</v>
      </c>
      <c r="AE165" s="32">
        <f t="shared" si="62"/>
        <v>3</v>
      </c>
      <c r="AF165">
        <f>step3_validation[[#This Row],[AI_FAC2]]</f>
        <v>7</v>
      </c>
      <c r="AG165" t="str">
        <f t="shared" si="63"/>
        <v>Neutral</v>
      </c>
      <c r="AH165">
        <f>survey_responses[[#This Row],[So với trước đây, tôi thấy cách tính thuế và các bậc thuế trong phương án mới đơn giản, dễ hiểu và dễ thực hiện hơn. - HUMAN-FAC2]]</f>
        <v>9</v>
      </c>
      <c r="AI165" t="str">
        <f t="shared" si="64"/>
        <v>Support</v>
      </c>
      <c r="AJ165" s="32">
        <f t="shared" si="65"/>
        <v>2</v>
      </c>
      <c r="AK165">
        <f>step3_validation[[#This Row],[AI_TRU1]]</f>
        <v>8</v>
      </c>
      <c r="AL165" t="str">
        <f t="shared" si="66"/>
        <v>Support</v>
      </c>
      <c r="AM165">
        <f>survey_responses[[#This Row],[Tôi tin rằng Nhà nước, cơ quan thuế sẽ thực thi chính sách mới một cách khách quan, công tâm và đối xử bình đẳng với mọi người nộp thuế.  - HUMAN-TRU1]]</f>
        <v>5</v>
      </c>
      <c r="AN165" t="str">
        <f t="shared" si="67"/>
        <v>Neutral</v>
      </c>
      <c r="AO165" s="32">
        <f t="shared" si="68"/>
        <v>3</v>
      </c>
      <c r="AP165">
        <f>step3_validation[[#This Row],[AI_TRU2]]</f>
        <v>7</v>
      </c>
      <c r="AQ165" t="str">
        <f t="shared" si="69"/>
        <v>Neutral</v>
      </c>
      <c r="AR165">
        <f>survey_responses[[#This Row],[Tôi thấy mức thuế tôi phải đóng theo phương án mới là công bằng (người thu nhập như tôi đóng mức này là hợp lý). - HUMAN-TRU2]]</f>
        <v>7</v>
      </c>
      <c r="AS165" t="str">
        <f t="shared" si="70"/>
        <v>Neutral</v>
      </c>
      <c r="AT165" s="32">
        <f t="shared" si="71"/>
        <v>0</v>
      </c>
      <c r="AU165">
        <f>step3_validation[[#This Row],[AI_TRU3]]</f>
        <v>6</v>
      </c>
      <c r="AV165" t="str">
        <f t="shared" si="72"/>
        <v>Neutral</v>
      </c>
      <c r="AW165">
        <f>survey_responses[[#This Row],[Tôi tin tưởng số tiền thuế tôi đóng sẽ được Nhà nước sử dụng hiệu quả để cải thiện dịch vụ công (y tế, đường xá...). - HUMAN-TRU3]]</f>
        <v>5</v>
      </c>
      <c r="AX165" t="str">
        <f t="shared" si="73"/>
        <v>Neutral</v>
      </c>
      <c r="AY165" s="32">
        <f t="shared" si="74"/>
        <v>1</v>
      </c>
      <c r="AZ165">
        <f>step3_validation[[#This Row],[AI_TRU4]]</f>
        <v>7</v>
      </c>
      <c r="BA165" t="str">
        <f t="shared" si="75"/>
        <v>Neutral</v>
      </c>
      <c r="BB165">
        <f>survey_responses[[#This Row],[Tôi thấy Nhà nước đã giải thích rõ ràng, minh bạch về lý do và mục tiêu của việc sửa đổi thuế lần này. - HUMAN-TRU4]]</f>
        <v>7</v>
      </c>
      <c r="BC165" t="str">
        <f t="shared" si="76"/>
        <v>Neutral</v>
      </c>
      <c r="BD165" s="32">
        <f t="shared" si="77"/>
        <v>0</v>
      </c>
      <c r="BE165">
        <f>step3_validation[[#This Row],[AI_OUT1]]</f>
        <v>8</v>
      </c>
      <c r="BF165" t="str">
        <f t="shared" si="78"/>
        <v>Support</v>
      </c>
      <c r="BG165">
        <f>survey_responses[[#This Row],[Sau khi xem xét các quyền lợi và nghĩa vụ, bạn có ủng hộ và tuân thủ chính sách mới hiện nay? - HUMAN-OUT1]]</f>
        <v>7</v>
      </c>
      <c r="BH165" t="str">
        <f t="shared" si="79"/>
        <v>Neutral</v>
      </c>
      <c r="BI165" s="32">
        <f t="shared" si="80"/>
        <v>1</v>
      </c>
    </row>
    <row r="166" spans="1:61" x14ac:dyDescent="0.45">
      <c r="A166" s="30">
        <f>step3_validation[[#This Row],[Persona_ID]]</f>
        <v>165</v>
      </c>
      <c r="B166" s="31">
        <f>step3_validation[[#This Row],[Used_Seed]]</f>
        <v>2155</v>
      </c>
      <c r="C166" t="str">
        <f>step3_validation[[#This Row],[Gender]]</f>
        <v>Nữ</v>
      </c>
      <c r="D166" t="str">
        <f>survey_responses[[#This Row],[Giới tính của bạn:]]</f>
        <v>Nữ</v>
      </c>
      <c r="E166" t="str">
        <f>step3_validation[[#This Row],[Age_Group]]</f>
        <v>30 - 39</v>
      </c>
      <c r="F166" t="str">
        <f>survey_responses[[#This Row],[Độ tuổi của bạn:]]</f>
        <v>30 - 39</v>
      </c>
      <c r="G166" t="str">
        <f>step3_validation[[#This Row],[Region]]</f>
        <v>Thành thị</v>
      </c>
      <c r="H166" t="str">
        <f>survey_responses[[#This Row],[Khu vực bạn đang sinh sống:]]</f>
        <v>Thành thị</v>
      </c>
      <c r="I166" t="str">
        <f>step3_validation[[#This Row],[Education]]</f>
        <v>Sau Đại học</v>
      </c>
      <c r="J166" t="str">
        <f>survey_responses[[#This Row],[Trình độ học vấn cao nhất:]]</f>
        <v>Sau Đại học</v>
      </c>
      <c r="K166" t="str">
        <f>step3_validation[[#This Row],[Employment]]</f>
        <v>Chính thức</v>
      </c>
      <c r="L166" t="str">
        <f>survey_responses[[#This Row],[Tình trạng việc làm chính:]]</f>
        <v>Khu vực chính thức (Có Hợp đồng lao động, đóng BHXH)</v>
      </c>
      <c r="M166">
        <f>step3_validation[[#This Row],[Income_Mil]]</f>
        <v>34.853131575275249</v>
      </c>
      <c r="N166" t="str">
        <f>survey_responses[[#This Row],[Thu nhập bình quân tháng theo Hợp đồng lao động của bạn là bao nhiêu? (Vui lòng điền tổng thu nhập trước khi khấu trừ các loại Bảo hiểm (BHXH, BHYT, BHTN) và Thuế TNCN)]]</f>
        <v>Từ 32 - 48 triệu VNĐ</v>
      </c>
      <c r="O166">
        <f>step3_validation[[#This Row],[Dependents]]</f>
        <v>0</v>
      </c>
      <c r="P166" t="str">
        <f>survey_responses[[#This Row],[Số người phụ thuộc (con nhỏ, cha mẹ già...) đủ điều kiện giảm trừ gia cảnh:]]</f>
        <v>0 người</v>
      </c>
      <c r="Q166">
        <f>step3_validation[[#This Row],[AI_ENF1]]</f>
        <v>8</v>
      </c>
      <c r="R166" t="str">
        <f t="shared" si="54"/>
        <v>Support</v>
      </c>
      <c r="S166">
        <f>survey_responses[[#This Row],[Tôi tin rằng với các quy định quản lý thuế hiện nay, hành vi gian lận hoặc trốn thuế sẽ dễ dàng bị phát hiện và xử lý nghiêm. - HUMAN-ENF1]]</f>
        <v>5</v>
      </c>
      <c r="T166" t="str">
        <f t="shared" si="55"/>
        <v>Neutral</v>
      </c>
      <c r="U166" s="32">
        <f t="shared" si="56"/>
        <v>3</v>
      </c>
      <c r="V166">
        <f>step3_validation[[#This Row],[AI_ENF2]]</f>
        <v>7</v>
      </c>
      <c r="W166" t="str">
        <f t="shared" si="57"/>
        <v>Neutral</v>
      </c>
      <c r="X166">
        <f>survey_responses[[#This Row],[Tôi tin rằng Nhà nước, cơ quan thuế có đủ khả năng và công nghệ để phát hiện, xử lý nghiêm các hành vi trốn thuế. - HUMAN-ENF2]]</f>
        <v>5</v>
      </c>
      <c r="Y166" t="str">
        <f t="shared" si="58"/>
        <v>Neutral</v>
      </c>
      <c r="Z166" s="32">
        <f t="shared" si="59"/>
        <v>2</v>
      </c>
      <c r="AA166">
        <f>step3_validation[[#This Row],[AI_FAC1]]</f>
        <v>9</v>
      </c>
      <c r="AB166" t="str">
        <f t="shared" si="60"/>
        <v>Support</v>
      </c>
      <c r="AC166">
        <f>survey_responses[[#This Row],[Các thủ tục khai báo thuế VÀ/HOẶC quy trình làm việc với cơ quan thuế đơn giản, tiện lợi, nhanh chóng hơn so với trước đây. - HUMAN-FAC1]]</f>
        <v>6</v>
      </c>
      <c r="AD166" t="str">
        <f t="shared" si="61"/>
        <v>Neutral</v>
      </c>
      <c r="AE166" s="32">
        <f t="shared" si="62"/>
        <v>3</v>
      </c>
      <c r="AF166">
        <f>step3_validation[[#This Row],[AI_FAC2]]</f>
        <v>8</v>
      </c>
      <c r="AG166" t="str">
        <f t="shared" si="63"/>
        <v>Support</v>
      </c>
      <c r="AH166">
        <f>survey_responses[[#This Row],[So với trước đây, tôi thấy cách tính thuế và các bậc thuế trong phương án mới đơn giản, dễ hiểu và dễ thực hiện hơn. - HUMAN-FAC2]]</f>
        <v>6</v>
      </c>
      <c r="AI166" t="str">
        <f t="shared" si="64"/>
        <v>Neutral</v>
      </c>
      <c r="AJ166" s="32">
        <f t="shared" si="65"/>
        <v>2</v>
      </c>
      <c r="AK166">
        <f>step3_validation[[#This Row],[AI_TRU1]]</f>
        <v>8</v>
      </c>
      <c r="AL166" t="str">
        <f t="shared" si="66"/>
        <v>Support</v>
      </c>
      <c r="AM166">
        <f>survey_responses[[#This Row],[Tôi tin rằng Nhà nước, cơ quan thuế sẽ thực thi chính sách mới một cách khách quan, công tâm và đối xử bình đẳng với mọi người nộp thuế.  - HUMAN-TRU1]]</f>
        <v>6</v>
      </c>
      <c r="AN166" t="str">
        <f t="shared" si="67"/>
        <v>Neutral</v>
      </c>
      <c r="AO166" s="32">
        <f t="shared" si="68"/>
        <v>2</v>
      </c>
      <c r="AP166">
        <f>step3_validation[[#This Row],[AI_TRU2]]</f>
        <v>7</v>
      </c>
      <c r="AQ166" t="str">
        <f t="shared" si="69"/>
        <v>Neutral</v>
      </c>
      <c r="AR166">
        <f>survey_responses[[#This Row],[Tôi thấy mức thuế tôi phải đóng theo phương án mới là công bằng (người thu nhập như tôi đóng mức này là hợp lý). - HUMAN-TRU2]]</f>
        <v>6</v>
      </c>
      <c r="AS166" t="str">
        <f t="shared" si="70"/>
        <v>Neutral</v>
      </c>
      <c r="AT166" s="32">
        <f t="shared" si="71"/>
        <v>1</v>
      </c>
      <c r="AU166">
        <f>step3_validation[[#This Row],[AI_TRU3]]</f>
        <v>6</v>
      </c>
      <c r="AV166" t="str">
        <f t="shared" si="72"/>
        <v>Neutral</v>
      </c>
      <c r="AW166">
        <f>survey_responses[[#This Row],[Tôi tin tưởng số tiền thuế tôi đóng sẽ được Nhà nước sử dụng hiệu quả để cải thiện dịch vụ công (y tế, đường xá...). - HUMAN-TRU3]]</f>
        <v>5</v>
      </c>
      <c r="AX166" t="str">
        <f t="shared" si="73"/>
        <v>Neutral</v>
      </c>
      <c r="AY166" s="32">
        <f t="shared" si="74"/>
        <v>1</v>
      </c>
      <c r="AZ166">
        <f>step3_validation[[#This Row],[AI_TRU4]]</f>
        <v>5</v>
      </c>
      <c r="BA166" t="str">
        <f t="shared" si="75"/>
        <v>Neutral</v>
      </c>
      <c r="BB166">
        <f>survey_responses[[#This Row],[Tôi thấy Nhà nước đã giải thích rõ ràng, minh bạch về lý do và mục tiêu của việc sửa đổi thuế lần này. - HUMAN-TRU4]]</f>
        <v>7</v>
      </c>
      <c r="BC166" t="str">
        <f t="shared" si="76"/>
        <v>Neutral</v>
      </c>
      <c r="BD166" s="32">
        <f t="shared" si="77"/>
        <v>2</v>
      </c>
      <c r="BE166">
        <f>step3_validation[[#This Row],[AI_OUT1]]</f>
        <v>7</v>
      </c>
      <c r="BF166" t="str">
        <f t="shared" si="78"/>
        <v>Neutral</v>
      </c>
      <c r="BG166">
        <f>survey_responses[[#This Row],[Sau khi xem xét các quyền lợi và nghĩa vụ, bạn có ủng hộ và tuân thủ chính sách mới hiện nay? - HUMAN-OUT1]]</f>
        <v>8</v>
      </c>
      <c r="BH166" t="str">
        <f t="shared" si="79"/>
        <v>Support</v>
      </c>
      <c r="BI166" s="32">
        <f t="shared" si="80"/>
        <v>1</v>
      </c>
    </row>
    <row r="167" spans="1:61" x14ac:dyDescent="0.45">
      <c r="A167" s="30">
        <f>step3_validation[[#This Row],[Persona_ID]]</f>
        <v>166</v>
      </c>
      <c r="B167" s="31">
        <f>step3_validation[[#This Row],[Used_Seed]]</f>
        <v>2156</v>
      </c>
      <c r="C167" t="str">
        <f>step3_validation[[#This Row],[Gender]]</f>
        <v>Nữ</v>
      </c>
      <c r="D167" t="str">
        <f>survey_responses[[#This Row],[Giới tính của bạn:]]</f>
        <v>Nữ</v>
      </c>
      <c r="E167" t="str">
        <f>step3_validation[[#This Row],[Age_Group]]</f>
        <v>30 - 39</v>
      </c>
      <c r="F167" t="str">
        <f>survey_responses[[#This Row],[Độ tuổi của bạn:]]</f>
        <v>30 - 39</v>
      </c>
      <c r="G167" t="str">
        <f>step3_validation[[#This Row],[Region]]</f>
        <v>Thành thị</v>
      </c>
      <c r="H167" t="str">
        <f>survey_responses[[#This Row],[Khu vực bạn đang sinh sống:]]</f>
        <v>Thành thị</v>
      </c>
      <c r="I167" t="str">
        <f>step3_validation[[#This Row],[Education]]</f>
        <v>Sau Đại học</v>
      </c>
      <c r="J167" t="str">
        <f>survey_responses[[#This Row],[Trình độ học vấn cao nhất:]]</f>
        <v>Sau Đại học</v>
      </c>
      <c r="K167" t="str">
        <f>step3_validation[[#This Row],[Employment]]</f>
        <v>Chính thức</v>
      </c>
      <c r="L167" t="str">
        <f>survey_responses[[#This Row],[Tình trạng việc làm chính:]]</f>
        <v>Khu vực chính thức (Có Hợp đồng lao động, đóng BHXH)</v>
      </c>
      <c r="M167">
        <f>step3_validation[[#This Row],[Income_Mil]]</f>
        <v>43.309098013494726</v>
      </c>
      <c r="N167" t="str">
        <f>survey_responses[[#This Row],[Thu nhập bình quân tháng theo Hợp đồng lao động của bạn là bao nhiêu? (Vui lòng điền tổng thu nhập trước khi khấu trừ các loại Bảo hiểm (BHXH, BHYT, BHTN) và Thuế TNCN)]]</f>
        <v>Từ 32 - 48 triệu VNĐ</v>
      </c>
      <c r="O167">
        <f>step3_validation[[#This Row],[Dependents]]</f>
        <v>1</v>
      </c>
      <c r="P167" t="str">
        <f>survey_responses[[#This Row],[Số người phụ thuộc (con nhỏ, cha mẹ già...) đủ điều kiện giảm trừ gia cảnh:]]</f>
        <v>1 người</v>
      </c>
      <c r="Q167">
        <f>step3_validation[[#This Row],[AI_ENF1]]</f>
        <v>7</v>
      </c>
      <c r="R167" t="str">
        <f t="shared" si="54"/>
        <v>Neutral</v>
      </c>
      <c r="S167">
        <f>survey_responses[[#This Row],[Tôi tin rằng với các quy định quản lý thuế hiện nay, hành vi gian lận hoặc trốn thuế sẽ dễ dàng bị phát hiện và xử lý nghiêm. - HUMAN-ENF1]]</f>
        <v>10</v>
      </c>
      <c r="T167" t="str">
        <f t="shared" si="55"/>
        <v>Support</v>
      </c>
      <c r="U167" s="32">
        <f t="shared" si="56"/>
        <v>3</v>
      </c>
      <c r="V167">
        <f>step3_validation[[#This Row],[AI_ENF2]]</f>
        <v>6</v>
      </c>
      <c r="W167" t="str">
        <f t="shared" si="57"/>
        <v>Neutral</v>
      </c>
      <c r="X167">
        <f>survey_responses[[#This Row],[Tôi tin rằng Nhà nước, cơ quan thuế có đủ khả năng và công nghệ để phát hiện, xử lý nghiêm các hành vi trốn thuế. - HUMAN-ENF2]]</f>
        <v>8</v>
      </c>
      <c r="Y167" t="str">
        <f t="shared" si="58"/>
        <v>Support</v>
      </c>
      <c r="Z167" s="32">
        <f t="shared" si="59"/>
        <v>2</v>
      </c>
      <c r="AA167">
        <f>step3_validation[[#This Row],[AI_FAC1]]</f>
        <v>8</v>
      </c>
      <c r="AB167" t="str">
        <f t="shared" si="60"/>
        <v>Support</v>
      </c>
      <c r="AC167">
        <f>survey_responses[[#This Row],[Các thủ tục khai báo thuế VÀ/HOẶC quy trình làm việc với cơ quan thuế đơn giản, tiện lợi, nhanh chóng hơn so với trước đây. - HUMAN-FAC1]]</f>
        <v>10</v>
      </c>
      <c r="AD167" t="str">
        <f t="shared" si="61"/>
        <v>Support</v>
      </c>
      <c r="AE167" s="32">
        <f t="shared" si="62"/>
        <v>2</v>
      </c>
      <c r="AF167">
        <f>step3_validation[[#This Row],[AI_FAC2]]</f>
        <v>9</v>
      </c>
      <c r="AG167" t="str">
        <f t="shared" si="63"/>
        <v>Support</v>
      </c>
      <c r="AH167">
        <f>survey_responses[[#This Row],[So với trước đây, tôi thấy cách tính thuế và các bậc thuế trong phương án mới đơn giản, dễ hiểu và dễ thực hiện hơn. - HUMAN-FAC2]]</f>
        <v>10</v>
      </c>
      <c r="AI167" t="str">
        <f t="shared" si="64"/>
        <v>Support</v>
      </c>
      <c r="AJ167" s="32">
        <f t="shared" si="65"/>
        <v>1</v>
      </c>
      <c r="AK167">
        <f>step3_validation[[#This Row],[AI_TRU1]]</f>
        <v>7</v>
      </c>
      <c r="AL167" t="str">
        <f t="shared" si="66"/>
        <v>Neutral</v>
      </c>
      <c r="AM167">
        <f>survey_responses[[#This Row],[Tôi tin rằng Nhà nước, cơ quan thuế sẽ thực thi chính sách mới một cách khách quan, công tâm và đối xử bình đẳng với mọi người nộp thuế.  - HUMAN-TRU1]]</f>
        <v>10</v>
      </c>
      <c r="AN167" t="str">
        <f t="shared" si="67"/>
        <v>Support</v>
      </c>
      <c r="AO167" s="32">
        <f t="shared" si="68"/>
        <v>3</v>
      </c>
      <c r="AP167">
        <f>step3_validation[[#This Row],[AI_TRU2]]</f>
        <v>8</v>
      </c>
      <c r="AQ167" t="str">
        <f t="shared" si="69"/>
        <v>Support</v>
      </c>
      <c r="AR167">
        <f>survey_responses[[#This Row],[Tôi thấy mức thuế tôi phải đóng theo phương án mới là công bằng (người thu nhập như tôi đóng mức này là hợp lý). - HUMAN-TRU2]]</f>
        <v>10</v>
      </c>
      <c r="AS167" t="str">
        <f t="shared" si="70"/>
        <v>Support</v>
      </c>
      <c r="AT167" s="32">
        <f t="shared" si="71"/>
        <v>2</v>
      </c>
      <c r="AU167">
        <f>step3_validation[[#This Row],[AI_TRU3]]</f>
        <v>6</v>
      </c>
      <c r="AV167" t="str">
        <f t="shared" si="72"/>
        <v>Neutral</v>
      </c>
      <c r="AW167">
        <f>survey_responses[[#This Row],[Tôi tin tưởng số tiền thuế tôi đóng sẽ được Nhà nước sử dụng hiệu quả để cải thiện dịch vụ công (y tế, đường xá...). - HUMAN-TRU3]]</f>
        <v>10</v>
      </c>
      <c r="AX167" t="str">
        <f t="shared" si="73"/>
        <v>Support</v>
      </c>
      <c r="AY167" s="32">
        <f t="shared" si="74"/>
        <v>4</v>
      </c>
      <c r="AZ167">
        <f>step3_validation[[#This Row],[AI_TRU4]]</f>
        <v>7</v>
      </c>
      <c r="BA167" t="str">
        <f t="shared" si="75"/>
        <v>Neutral</v>
      </c>
      <c r="BB167">
        <f>survey_responses[[#This Row],[Tôi thấy Nhà nước đã giải thích rõ ràng, minh bạch về lý do và mục tiêu của việc sửa đổi thuế lần này. - HUMAN-TRU4]]</f>
        <v>10</v>
      </c>
      <c r="BC167" t="str">
        <f t="shared" si="76"/>
        <v>Support</v>
      </c>
      <c r="BD167" s="32">
        <f t="shared" si="77"/>
        <v>3</v>
      </c>
      <c r="BE167">
        <f>step3_validation[[#This Row],[AI_OUT1]]</f>
        <v>8</v>
      </c>
      <c r="BF167" t="str">
        <f t="shared" si="78"/>
        <v>Support</v>
      </c>
      <c r="BG167">
        <f>survey_responses[[#This Row],[Sau khi xem xét các quyền lợi và nghĩa vụ, bạn có ủng hộ và tuân thủ chính sách mới hiện nay? - HUMAN-OUT1]]</f>
        <v>8</v>
      </c>
      <c r="BH167" t="str">
        <f t="shared" si="79"/>
        <v>Support</v>
      </c>
      <c r="BI167" s="32">
        <f t="shared" si="80"/>
        <v>0</v>
      </c>
    </row>
    <row r="168" spans="1:61" x14ac:dyDescent="0.45">
      <c r="A168" s="30">
        <f>step3_validation[[#This Row],[Persona_ID]]</f>
        <v>167</v>
      </c>
      <c r="B168" s="31">
        <f>step3_validation[[#This Row],[Used_Seed]]</f>
        <v>2157</v>
      </c>
      <c r="C168" t="str">
        <f>step3_validation[[#This Row],[Gender]]</f>
        <v>Nam</v>
      </c>
      <c r="D168" t="str">
        <f>survey_responses[[#This Row],[Giới tính của bạn:]]</f>
        <v>Nam</v>
      </c>
      <c r="E168" t="str">
        <f>step3_validation[[#This Row],[Age_Group]]</f>
        <v>30 - 39</v>
      </c>
      <c r="F168" t="str">
        <f>survey_responses[[#This Row],[Độ tuổi của bạn:]]</f>
        <v>30 - 39</v>
      </c>
      <c r="G168" t="str">
        <f>step3_validation[[#This Row],[Region]]</f>
        <v>Thành thị</v>
      </c>
      <c r="H168" t="str">
        <f>survey_responses[[#This Row],[Khu vực bạn đang sinh sống:]]</f>
        <v>Thành thị</v>
      </c>
      <c r="I168" t="str">
        <f>step3_validation[[#This Row],[Education]]</f>
        <v>Sau Đại học</v>
      </c>
      <c r="J168" t="str">
        <f>survey_responses[[#This Row],[Trình độ học vấn cao nhất:]]</f>
        <v>Sau Đại học</v>
      </c>
      <c r="K168" t="str">
        <f>step3_validation[[#This Row],[Employment]]</f>
        <v>Chính thức</v>
      </c>
      <c r="L168" t="str">
        <f>survey_responses[[#This Row],[Tình trạng việc làm chính:]]</f>
        <v>Khu vực chính thức (Có Hợp đồng lao động, đóng BHXH)</v>
      </c>
      <c r="M168">
        <f>step3_validation[[#This Row],[Income_Mil]]</f>
        <v>87.962921152290036</v>
      </c>
      <c r="N168" t="str">
        <f>survey_responses[[#This Row],[Thu nhập bình quân tháng theo Hợp đồng lao động của bạn là bao nhiêu? (Vui lòng điền tổng thu nhập trước khi khấu trừ các loại Bảo hiểm (BHXH, BHYT, BHTN) và Thuế TNCN)]]</f>
        <v>Từ 70 - 102 triệu VNĐ</v>
      </c>
      <c r="O168">
        <f>step3_validation[[#This Row],[Dependents]]</f>
        <v>0</v>
      </c>
      <c r="P168" t="str">
        <f>survey_responses[[#This Row],[Số người phụ thuộc (con nhỏ, cha mẹ già...) đủ điều kiện giảm trừ gia cảnh:]]</f>
        <v>0 người</v>
      </c>
      <c r="Q168">
        <f>step3_validation[[#This Row],[AI_ENF1]]</f>
        <v>7</v>
      </c>
      <c r="R168" t="str">
        <f t="shared" si="54"/>
        <v>Neutral</v>
      </c>
      <c r="S168">
        <f>survey_responses[[#This Row],[Tôi tin rằng với các quy định quản lý thuế hiện nay, hành vi gian lận hoặc trốn thuế sẽ dễ dàng bị phát hiện và xử lý nghiêm. - HUMAN-ENF1]]</f>
        <v>5</v>
      </c>
      <c r="T168" t="str">
        <f t="shared" si="55"/>
        <v>Neutral</v>
      </c>
      <c r="U168" s="32">
        <f t="shared" si="56"/>
        <v>2</v>
      </c>
      <c r="V168">
        <f>step3_validation[[#This Row],[AI_ENF2]]</f>
        <v>6</v>
      </c>
      <c r="W168" t="str">
        <f t="shared" si="57"/>
        <v>Neutral</v>
      </c>
      <c r="X168">
        <f>survey_responses[[#This Row],[Tôi tin rằng Nhà nước, cơ quan thuế có đủ khả năng và công nghệ để phát hiện, xử lý nghiêm các hành vi trốn thuế. - HUMAN-ENF2]]</f>
        <v>8</v>
      </c>
      <c r="Y168" t="str">
        <f t="shared" si="58"/>
        <v>Support</v>
      </c>
      <c r="Z168" s="32">
        <f t="shared" si="59"/>
        <v>2</v>
      </c>
      <c r="AA168">
        <f>step3_validation[[#This Row],[AI_FAC1]]</f>
        <v>8</v>
      </c>
      <c r="AB168" t="str">
        <f t="shared" si="60"/>
        <v>Support</v>
      </c>
      <c r="AC168">
        <f>survey_responses[[#This Row],[Các thủ tục khai báo thuế VÀ/HOẶC quy trình làm việc với cơ quan thuế đơn giản, tiện lợi, nhanh chóng hơn so với trước đây. - HUMAN-FAC1]]</f>
        <v>5</v>
      </c>
      <c r="AD168" t="str">
        <f t="shared" si="61"/>
        <v>Neutral</v>
      </c>
      <c r="AE168" s="32">
        <f t="shared" si="62"/>
        <v>3</v>
      </c>
      <c r="AF168">
        <f>step3_validation[[#This Row],[AI_FAC2]]</f>
        <v>7</v>
      </c>
      <c r="AG168" t="str">
        <f t="shared" si="63"/>
        <v>Neutral</v>
      </c>
      <c r="AH168">
        <f>survey_responses[[#This Row],[So với trước đây, tôi thấy cách tính thuế và các bậc thuế trong phương án mới đơn giản, dễ hiểu và dễ thực hiện hơn. - HUMAN-FAC2]]</f>
        <v>8</v>
      </c>
      <c r="AI168" t="str">
        <f t="shared" si="64"/>
        <v>Support</v>
      </c>
      <c r="AJ168" s="32">
        <f t="shared" si="65"/>
        <v>1</v>
      </c>
      <c r="AK168">
        <f>step3_validation[[#This Row],[AI_TRU1]]</f>
        <v>6</v>
      </c>
      <c r="AL168" t="str">
        <f t="shared" si="66"/>
        <v>Neutral</v>
      </c>
      <c r="AM168">
        <f>survey_responses[[#This Row],[Tôi tin rằng Nhà nước, cơ quan thuế sẽ thực thi chính sách mới một cách khách quan, công tâm và đối xử bình đẳng với mọi người nộp thuế.  - HUMAN-TRU1]]</f>
        <v>4</v>
      </c>
      <c r="AN168" t="str">
        <f t="shared" si="67"/>
        <v>Oppose</v>
      </c>
      <c r="AO168" s="32">
        <f t="shared" si="68"/>
        <v>2</v>
      </c>
      <c r="AP168">
        <f>step3_validation[[#This Row],[AI_TRU2]]</f>
        <v>5</v>
      </c>
      <c r="AQ168" t="str">
        <f t="shared" si="69"/>
        <v>Neutral</v>
      </c>
      <c r="AR168">
        <f>survey_responses[[#This Row],[Tôi thấy mức thuế tôi phải đóng theo phương án mới là công bằng (người thu nhập như tôi đóng mức này là hợp lý). - HUMAN-TRU2]]</f>
        <v>5</v>
      </c>
      <c r="AS168" t="str">
        <f t="shared" si="70"/>
        <v>Neutral</v>
      </c>
      <c r="AT168" s="32">
        <f t="shared" si="71"/>
        <v>0</v>
      </c>
      <c r="AU168">
        <f>step3_validation[[#This Row],[AI_TRU3]]</f>
        <v>6</v>
      </c>
      <c r="AV168" t="str">
        <f t="shared" si="72"/>
        <v>Neutral</v>
      </c>
      <c r="AW168">
        <f>survey_responses[[#This Row],[Tôi tin tưởng số tiền thuế tôi đóng sẽ được Nhà nước sử dụng hiệu quả để cải thiện dịch vụ công (y tế, đường xá...). - HUMAN-TRU3]]</f>
        <v>1</v>
      </c>
      <c r="AX168" t="str">
        <f t="shared" si="73"/>
        <v>Oppose</v>
      </c>
      <c r="AY168" s="32">
        <f t="shared" si="74"/>
        <v>5</v>
      </c>
      <c r="AZ168">
        <f>step3_validation[[#This Row],[AI_TRU4]]</f>
        <v>5</v>
      </c>
      <c r="BA168" t="str">
        <f t="shared" si="75"/>
        <v>Neutral</v>
      </c>
      <c r="BB168">
        <f>survey_responses[[#This Row],[Tôi thấy Nhà nước đã giải thích rõ ràng, minh bạch về lý do và mục tiêu của việc sửa đổi thuế lần này. - HUMAN-TRU4]]</f>
        <v>5</v>
      </c>
      <c r="BC168" t="str">
        <f t="shared" si="76"/>
        <v>Neutral</v>
      </c>
      <c r="BD168" s="32">
        <f t="shared" si="77"/>
        <v>0</v>
      </c>
      <c r="BE168">
        <f>step3_validation[[#This Row],[AI_OUT1]]</f>
        <v>7</v>
      </c>
      <c r="BF168" t="str">
        <f t="shared" si="78"/>
        <v>Neutral</v>
      </c>
      <c r="BG168">
        <f>survey_responses[[#This Row],[Sau khi xem xét các quyền lợi và nghĩa vụ, bạn có ủng hộ và tuân thủ chính sách mới hiện nay? - HUMAN-OUT1]]</f>
        <v>5</v>
      </c>
      <c r="BH168" t="str">
        <f t="shared" si="79"/>
        <v>Neutral</v>
      </c>
      <c r="BI168" s="32">
        <f t="shared" si="80"/>
        <v>2</v>
      </c>
    </row>
    <row r="169" spans="1:61" x14ac:dyDescent="0.45">
      <c r="A169" s="30">
        <f>step3_validation[[#This Row],[Persona_ID]]</f>
        <v>168</v>
      </c>
      <c r="B169" s="31">
        <f>step3_validation[[#This Row],[Used_Seed]]</f>
        <v>2158</v>
      </c>
      <c r="C169" t="str">
        <f>step3_validation[[#This Row],[Gender]]</f>
        <v>Nữ</v>
      </c>
      <c r="D169" t="str">
        <f>survey_responses[[#This Row],[Giới tính của bạn:]]</f>
        <v>Nữ</v>
      </c>
      <c r="E169" t="str">
        <f>step3_validation[[#This Row],[Age_Group]]</f>
        <v>25 - 29</v>
      </c>
      <c r="F169" t="str">
        <f>survey_responses[[#This Row],[Độ tuổi của bạn:]]</f>
        <v>25 - 29</v>
      </c>
      <c r="G169" t="str">
        <f>step3_validation[[#This Row],[Region]]</f>
        <v>Thành thị</v>
      </c>
      <c r="H169" t="str">
        <f>survey_responses[[#This Row],[Khu vực bạn đang sinh sống:]]</f>
        <v>Thành thị</v>
      </c>
      <c r="I169" t="str">
        <f>step3_validation[[#This Row],[Education]]</f>
        <v>Đại học</v>
      </c>
      <c r="J169" t="str">
        <f>survey_responses[[#This Row],[Trình độ học vấn cao nhất:]]</f>
        <v>Đại học</v>
      </c>
      <c r="K169" t="str">
        <f>step3_validation[[#This Row],[Employment]]</f>
        <v>Chính thức</v>
      </c>
      <c r="L169" t="str">
        <f>survey_responses[[#This Row],[Tình trạng việc làm chính:]]</f>
        <v>Khu vực chính thức (Có Hợp đồng lao động, đóng BHXH)</v>
      </c>
      <c r="M169">
        <f>step3_validation[[#This Row],[Income_Mil]]</f>
        <v>21.442261342216373</v>
      </c>
      <c r="N169" t="str">
        <f>survey_responses[[#This Row],[Thu nhập bình quân tháng theo Hợp đồng lao động của bạn là bao nhiêu? (Vui lòng điền tổng thu nhập trước khi khấu trừ các loại Bảo hiểm (BHXH, BHYT, BHTN) và Thuế TNCN)]]</f>
        <v>Từ 18 - 23 triệu VNĐ</v>
      </c>
      <c r="O169">
        <f>step3_validation[[#This Row],[Dependents]]</f>
        <v>0</v>
      </c>
      <c r="P169" t="str">
        <f>survey_responses[[#This Row],[Số người phụ thuộc (con nhỏ, cha mẹ già...) đủ điều kiện giảm trừ gia cảnh:]]</f>
        <v>0 người</v>
      </c>
      <c r="Q169">
        <f>step3_validation[[#This Row],[AI_ENF1]]</f>
        <v>8</v>
      </c>
      <c r="R169" t="str">
        <f t="shared" si="54"/>
        <v>Support</v>
      </c>
      <c r="S169">
        <f>survey_responses[[#This Row],[Tôi tin rằng với các quy định quản lý thuế hiện nay, hành vi gian lận hoặc trốn thuế sẽ dễ dàng bị phát hiện và xử lý nghiêm. - HUMAN-ENF1]]</f>
        <v>7</v>
      </c>
      <c r="T169" t="str">
        <f t="shared" si="55"/>
        <v>Neutral</v>
      </c>
      <c r="U169" s="32">
        <f t="shared" si="56"/>
        <v>1</v>
      </c>
      <c r="V169">
        <f>step3_validation[[#This Row],[AI_ENF2]]</f>
        <v>7</v>
      </c>
      <c r="W169" t="str">
        <f t="shared" si="57"/>
        <v>Neutral</v>
      </c>
      <c r="X169">
        <f>survey_responses[[#This Row],[Tôi tin rằng Nhà nước, cơ quan thuế có đủ khả năng và công nghệ để phát hiện, xử lý nghiêm các hành vi trốn thuế. - HUMAN-ENF2]]</f>
        <v>7</v>
      </c>
      <c r="Y169" t="str">
        <f t="shared" si="58"/>
        <v>Neutral</v>
      </c>
      <c r="Z169" s="32">
        <f t="shared" si="59"/>
        <v>0</v>
      </c>
      <c r="AA169">
        <f>step3_validation[[#This Row],[AI_FAC1]]</f>
        <v>9</v>
      </c>
      <c r="AB169" t="str">
        <f t="shared" si="60"/>
        <v>Support</v>
      </c>
      <c r="AC169">
        <f>survey_responses[[#This Row],[Các thủ tục khai báo thuế VÀ/HOẶC quy trình làm việc với cơ quan thuế đơn giản, tiện lợi, nhanh chóng hơn so với trước đây. - HUMAN-FAC1]]</f>
        <v>8</v>
      </c>
      <c r="AD169" t="str">
        <f t="shared" si="61"/>
        <v>Support</v>
      </c>
      <c r="AE169" s="32">
        <f t="shared" si="62"/>
        <v>1</v>
      </c>
      <c r="AF169">
        <f>step3_validation[[#This Row],[AI_FAC2]]</f>
        <v>8</v>
      </c>
      <c r="AG169" t="str">
        <f t="shared" si="63"/>
        <v>Support</v>
      </c>
      <c r="AH169">
        <f>survey_responses[[#This Row],[So với trước đây, tôi thấy cách tính thuế và các bậc thuế trong phương án mới đơn giản, dễ hiểu và dễ thực hiện hơn. - HUMAN-FAC2]]</f>
        <v>8</v>
      </c>
      <c r="AI169" t="str">
        <f t="shared" si="64"/>
        <v>Support</v>
      </c>
      <c r="AJ169" s="32">
        <f t="shared" si="65"/>
        <v>0</v>
      </c>
      <c r="AK169">
        <f>step3_validation[[#This Row],[AI_TRU1]]</f>
        <v>7</v>
      </c>
      <c r="AL169" t="str">
        <f t="shared" si="66"/>
        <v>Neutral</v>
      </c>
      <c r="AM169">
        <f>survey_responses[[#This Row],[Tôi tin rằng Nhà nước, cơ quan thuế sẽ thực thi chính sách mới một cách khách quan, công tâm và đối xử bình đẳng với mọi người nộp thuế.  - HUMAN-TRU1]]</f>
        <v>7</v>
      </c>
      <c r="AN169" t="str">
        <f t="shared" si="67"/>
        <v>Neutral</v>
      </c>
      <c r="AO169" s="32">
        <f t="shared" si="68"/>
        <v>0</v>
      </c>
      <c r="AP169">
        <f>step3_validation[[#This Row],[AI_TRU2]]</f>
        <v>8</v>
      </c>
      <c r="AQ169" t="str">
        <f t="shared" si="69"/>
        <v>Support</v>
      </c>
      <c r="AR169">
        <f>survey_responses[[#This Row],[Tôi thấy mức thuế tôi phải đóng theo phương án mới là công bằng (người thu nhập như tôi đóng mức này là hợp lý). - HUMAN-TRU2]]</f>
        <v>8</v>
      </c>
      <c r="AS169" t="str">
        <f t="shared" si="70"/>
        <v>Support</v>
      </c>
      <c r="AT169" s="32">
        <f t="shared" si="71"/>
        <v>0</v>
      </c>
      <c r="AU169">
        <f>step3_validation[[#This Row],[AI_TRU3]]</f>
        <v>7</v>
      </c>
      <c r="AV169" t="str">
        <f t="shared" si="72"/>
        <v>Neutral</v>
      </c>
      <c r="AW169">
        <f>survey_responses[[#This Row],[Tôi tin tưởng số tiền thuế tôi đóng sẽ được Nhà nước sử dụng hiệu quả để cải thiện dịch vụ công (y tế, đường xá...). - HUMAN-TRU3]]</f>
        <v>8</v>
      </c>
      <c r="AX169" t="str">
        <f t="shared" si="73"/>
        <v>Support</v>
      </c>
      <c r="AY169" s="32">
        <f t="shared" si="74"/>
        <v>1</v>
      </c>
      <c r="AZ169">
        <f>step3_validation[[#This Row],[AI_TRU4]]</f>
        <v>5</v>
      </c>
      <c r="BA169" t="str">
        <f t="shared" si="75"/>
        <v>Neutral</v>
      </c>
      <c r="BB169">
        <f>survey_responses[[#This Row],[Tôi thấy Nhà nước đã giải thích rõ ràng, minh bạch về lý do và mục tiêu của việc sửa đổi thuế lần này. - HUMAN-TRU4]]</f>
        <v>8</v>
      </c>
      <c r="BC169" t="str">
        <f t="shared" si="76"/>
        <v>Support</v>
      </c>
      <c r="BD169" s="32">
        <f t="shared" si="77"/>
        <v>3</v>
      </c>
      <c r="BE169">
        <f>step3_validation[[#This Row],[AI_OUT1]]</f>
        <v>6</v>
      </c>
      <c r="BF169" t="str">
        <f t="shared" si="78"/>
        <v>Neutral</v>
      </c>
      <c r="BG169">
        <f>survey_responses[[#This Row],[Sau khi xem xét các quyền lợi và nghĩa vụ, bạn có ủng hộ và tuân thủ chính sách mới hiện nay? - HUMAN-OUT1]]</f>
        <v>9</v>
      </c>
      <c r="BH169" t="str">
        <f t="shared" si="79"/>
        <v>Support</v>
      </c>
      <c r="BI169" s="32">
        <f t="shared" si="80"/>
        <v>3</v>
      </c>
    </row>
    <row r="170" spans="1:61" x14ac:dyDescent="0.45">
      <c r="A170" s="30">
        <f>step3_validation[[#This Row],[Persona_ID]]</f>
        <v>169</v>
      </c>
      <c r="B170" s="31">
        <f>step3_validation[[#This Row],[Used_Seed]]</f>
        <v>2159</v>
      </c>
      <c r="C170" t="str">
        <f>step3_validation[[#This Row],[Gender]]</f>
        <v>Nam</v>
      </c>
      <c r="D170" t="str">
        <f>survey_responses[[#This Row],[Giới tính của bạn:]]</f>
        <v>Nam</v>
      </c>
      <c r="E170" t="str">
        <f>step3_validation[[#This Row],[Age_Group]]</f>
        <v>40 - 49</v>
      </c>
      <c r="F170" t="str">
        <f>survey_responses[[#This Row],[Độ tuổi của bạn:]]</f>
        <v>40 - 49</v>
      </c>
      <c r="G170" t="str">
        <f>step3_validation[[#This Row],[Region]]</f>
        <v>Thành thị</v>
      </c>
      <c r="H170" t="str">
        <f>survey_responses[[#This Row],[Khu vực bạn đang sinh sống:]]</f>
        <v>Thành thị</v>
      </c>
      <c r="I170" t="str">
        <f>step3_validation[[#This Row],[Education]]</f>
        <v>Đại học</v>
      </c>
      <c r="J170" t="str">
        <f>survey_responses[[#This Row],[Trình độ học vấn cao nhất:]]</f>
        <v>Đại học</v>
      </c>
      <c r="K170" t="str">
        <f>step3_validation[[#This Row],[Employment]]</f>
        <v>Chính thức</v>
      </c>
      <c r="L170" t="str">
        <f>survey_responses[[#This Row],[Tình trạng việc làm chính:]]</f>
        <v>Khu vực chính thức (Có Hợp đồng lao động, đóng BHXH)</v>
      </c>
      <c r="M170">
        <f>step3_validation[[#This Row],[Income_Mil]]</f>
        <v>36.33258988407799</v>
      </c>
      <c r="N170" t="str">
        <f>survey_responses[[#This Row],[Thu nhập bình quân tháng theo Hợp đồng lao động của bạn là bao nhiêu? (Vui lòng điền tổng thu nhập trước khi khấu trừ các loại Bảo hiểm (BHXH, BHYT, BHTN) và Thuế TNCN)]]</f>
        <v>Từ 32 - 48 triệu VNĐ</v>
      </c>
      <c r="O170">
        <f>step3_validation[[#This Row],[Dependents]]</f>
        <v>0</v>
      </c>
      <c r="P170" t="str">
        <f>survey_responses[[#This Row],[Số người phụ thuộc (con nhỏ, cha mẹ già...) đủ điều kiện giảm trừ gia cảnh:]]</f>
        <v>0 người</v>
      </c>
      <c r="Q170">
        <f>step3_validation[[#This Row],[AI_ENF1]]</f>
        <v>8</v>
      </c>
      <c r="R170" t="str">
        <f t="shared" si="54"/>
        <v>Support</v>
      </c>
      <c r="S170">
        <f>survey_responses[[#This Row],[Tôi tin rằng với các quy định quản lý thuế hiện nay, hành vi gian lận hoặc trốn thuế sẽ dễ dàng bị phát hiện và xử lý nghiêm. - HUMAN-ENF1]]</f>
        <v>8</v>
      </c>
      <c r="T170" t="str">
        <f t="shared" si="55"/>
        <v>Support</v>
      </c>
      <c r="U170" s="32">
        <f t="shared" si="56"/>
        <v>0</v>
      </c>
      <c r="V170">
        <f>step3_validation[[#This Row],[AI_ENF2]]</f>
        <v>7</v>
      </c>
      <c r="W170" t="str">
        <f t="shared" si="57"/>
        <v>Neutral</v>
      </c>
      <c r="X170">
        <f>survey_responses[[#This Row],[Tôi tin rằng Nhà nước, cơ quan thuế có đủ khả năng và công nghệ để phát hiện, xử lý nghiêm các hành vi trốn thuế. - HUMAN-ENF2]]</f>
        <v>8</v>
      </c>
      <c r="Y170" t="str">
        <f t="shared" si="58"/>
        <v>Support</v>
      </c>
      <c r="Z170" s="32">
        <f t="shared" si="59"/>
        <v>1</v>
      </c>
      <c r="AA170">
        <f>step3_validation[[#This Row],[AI_FAC1]]</f>
        <v>9</v>
      </c>
      <c r="AB170" t="str">
        <f t="shared" si="60"/>
        <v>Support</v>
      </c>
      <c r="AC170">
        <f>survey_responses[[#This Row],[Các thủ tục khai báo thuế VÀ/HOẶC quy trình làm việc với cơ quan thuế đơn giản, tiện lợi, nhanh chóng hơn so với trước đây. - HUMAN-FAC1]]</f>
        <v>7</v>
      </c>
      <c r="AD170" t="str">
        <f t="shared" si="61"/>
        <v>Neutral</v>
      </c>
      <c r="AE170" s="32">
        <f t="shared" si="62"/>
        <v>2</v>
      </c>
      <c r="AF170">
        <f>step3_validation[[#This Row],[AI_FAC2]]</f>
        <v>8</v>
      </c>
      <c r="AG170" t="str">
        <f t="shared" si="63"/>
        <v>Support</v>
      </c>
      <c r="AH170">
        <f>survey_responses[[#This Row],[So với trước đây, tôi thấy cách tính thuế và các bậc thuế trong phương án mới đơn giản, dễ hiểu và dễ thực hiện hơn. - HUMAN-FAC2]]</f>
        <v>8</v>
      </c>
      <c r="AI170" t="str">
        <f t="shared" si="64"/>
        <v>Support</v>
      </c>
      <c r="AJ170" s="32">
        <f t="shared" si="65"/>
        <v>0</v>
      </c>
      <c r="AK170">
        <f>step3_validation[[#This Row],[AI_TRU1]]</f>
        <v>7</v>
      </c>
      <c r="AL170" t="str">
        <f t="shared" si="66"/>
        <v>Neutral</v>
      </c>
      <c r="AM170">
        <f>survey_responses[[#This Row],[Tôi tin rằng Nhà nước, cơ quan thuế sẽ thực thi chính sách mới một cách khách quan, công tâm và đối xử bình đẳng với mọi người nộp thuế.  - HUMAN-TRU1]]</f>
        <v>7</v>
      </c>
      <c r="AN170" t="str">
        <f t="shared" si="67"/>
        <v>Neutral</v>
      </c>
      <c r="AO170" s="32">
        <f t="shared" si="68"/>
        <v>0</v>
      </c>
      <c r="AP170">
        <f>step3_validation[[#This Row],[AI_TRU2]]</f>
        <v>8</v>
      </c>
      <c r="AQ170" t="str">
        <f t="shared" si="69"/>
        <v>Support</v>
      </c>
      <c r="AR170">
        <f>survey_responses[[#This Row],[Tôi thấy mức thuế tôi phải đóng theo phương án mới là công bằng (người thu nhập như tôi đóng mức này là hợp lý). - HUMAN-TRU2]]</f>
        <v>7</v>
      </c>
      <c r="AS170" t="str">
        <f t="shared" si="70"/>
        <v>Neutral</v>
      </c>
      <c r="AT170" s="32">
        <f t="shared" si="71"/>
        <v>1</v>
      </c>
      <c r="AU170">
        <f>step3_validation[[#This Row],[AI_TRU3]]</f>
        <v>6</v>
      </c>
      <c r="AV170" t="str">
        <f t="shared" si="72"/>
        <v>Neutral</v>
      </c>
      <c r="AW170">
        <f>survey_responses[[#This Row],[Tôi tin tưởng số tiền thuế tôi đóng sẽ được Nhà nước sử dụng hiệu quả để cải thiện dịch vụ công (y tế, đường xá...). - HUMAN-TRU3]]</f>
        <v>7</v>
      </c>
      <c r="AX170" t="str">
        <f t="shared" si="73"/>
        <v>Neutral</v>
      </c>
      <c r="AY170" s="32">
        <f t="shared" si="74"/>
        <v>1</v>
      </c>
      <c r="AZ170">
        <f>step3_validation[[#This Row],[AI_TRU4]]</f>
        <v>7</v>
      </c>
      <c r="BA170" t="str">
        <f t="shared" si="75"/>
        <v>Neutral</v>
      </c>
      <c r="BB170">
        <f>survey_responses[[#This Row],[Tôi thấy Nhà nước đã giải thích rõ ràng, minh bạch về lý do và mục tiêu của việc sửa đổi thuế lần này. - HUMAN-TRU4]]</f>
        <v>8</v>
      </c>
      <c r="BC170" t="str">
        <f t="shared" si="76"/>
        <v>Support</v>
      </c>
      <c r="BD170" s="32">
        <f t="shared" si="77"/>
        <v>1</v>
      </c>
      <c r="BE170">
        <f>step3_validation[[#This Row],[AI_OUT1]]</f>
        <v>6</v>
      </c>
      <c r="BF170" t="str">
        <f t="shared" si="78"/>
        <v>Neutral</v>
      </c>
      <c r="BG170">
        <f>survey_responses[[#This Row],[Sau khi xem xét các quyền lợi và nghĩa vụ, bạn có ủng hộ và tuân thủ chính sách mới hiện nay? - HUMAN-OUT1]]</f>
        <v>8</v>
      </c>
      <c r="BH170" t="str">
        <f t="shared" si="79"/>
        <v>Support</v>
      </c>
      <c r="BI170" s="32">
        <f t="shared" si="80"/>
        <v>2</v>
      </c>
    </row>
    <row r="171" spans="1:61" x14ac:dyDescent="0.45">
      <c r="A171" s="30">
        <f>step3_validation[[#This Row],[Persona_ID]]</f>
        <v>170</v>
      </c>
      <c r="B171" s="31">
        <f>step3_validation[[#This Row],[Used_Seed]]</f>
        <v>2160</v>
      </c>
      <c r="C171" t="str">
        <f>step3_validation[[#This Row],[Gender]]</f>
        <v>Nam</v>
      </c>
      <c r="D171" t="str">
        <f>survey_responses[[#This Row],[Giới tính của bạn:]]</f>
        <v>Nam</v>
      </c>
      <c r="E171" t="str">
        <f>step3_validation[[#This Row],[Age_Group]]</f>
        <v>25 - 29</v>
      </c>
      <c r="F171" t="str">
        <f>survey_responses[[#This Row],[Độ tuổi của bạn:]]</f>
        <v>25 - 29</v>
      </c>
      <c r="G171" t="str">
        <f>step3_validation[[#This Row],[Region]]</f>
        <v>Thành thị</v>
      </c>
      <c r="H171" t="str">
        <f>survey_responses[[#This Row],[Khu vực bạn đang sinh sống:]]</f>
        <v>Thành thị</v>
      </c>
      <c r="I171" t="str">
        <f>step3_validation[[#This Row],[Education]]</f>
        <v>Đại học</v>
      </c>
      <c r="J171" t="str">
        <f>survey_responses[[#This Row],[Trình độ học vấn cao nhất:]]</f>
        <v>Đại học</v>
      </c>
      <c r="K171" t="str">
        <f>step3_validation[[#This Row],[Employment]]</f>
        <v>Phi chính thức</v>
      </c>
      <c r="L171" t="str">
        <f>survey_responses[[#This Row],[Tình trạng việc làm chính:]]</f>
        <v>Khu vực phi chính thức (Lao động tự do, không có HĐLĐ)</v>
      </c>
      <c r="M171">
        <f>step3_validation[[#This Row],[Income_Mil]]</f>
        <v>14.7876944821538</v>
      </c>
      <c r="N171" t="str">
        <f>survey_responses[[#This Row],[Thu nhập bình quân tháng theo Hợp đồng lao động của bạn là bao nhiêu? (Vui lòng điền tổng thu nhập trước khi khấu trừ các loại Bảo hiểm (BHXH, BHYT, BHTN) và Thuế TNCN)]]</f>
        <v>Từ 12 - 18 triệu VNĐ</v>
      </c>
      <c r="O171">
        <f>step3_validation[[#This Row],[Dependents]]</f>
        <v>0</v>
      </c>
      <c r="P171" t="str">
        <f>survey_responses[[#This Row],[Số người phụ thuộc (con nhỏ, cha mẹ già...) đủ điều kiện giảm trừ gia cảnh:]]</f>
        <v>0 người</v>
      </c>
      <c r="Q171">
        <f>step3_validation[[#This Row],[AI_ENF1]]</f>
        <v>7</v>
      </c>
      <c r="R171" t="str">
        <f t="shared" si="54"/>
        <v>Neutral</v>
      </c>
      <c r="S171">
        <f>survey_responses[[#This Row],[Tôi tin rằng với các quy định quản lý thuế hiện nay, hành vi gian lận hoặc trốn thuế sẽ dễ dàng bị phát hiện và xử lý nghiêm. - HUMAN-ENF1]]</f>
        <v>5</v>
      </c>
      <c r="T171" t="str">
        <f t="shared" si="55"/>
        <v>Neutral</v>
      </c>
      <c r="U171" s="32">
        <f t="shared" si="56"/>
        <v>2</v>
      </c>
      <c r="V171">
        <f>step3_validation[[#This Row],[AI_ENF2]]</f>
        <v>6</v>
      </c>
      <c r="W171" t="str">
        <f t="shared" si="57"/>
        <v>Neutral</v>
      </c>
      <c r="X171">
        <f>survey_responses[[#This Row],[Tôi tin rằng Nhà nước, cơ quan thuế có đủ khả năng và công nghệ để phát hiện, xử lý nghiêm các hành vi trốn thuế. - HUMAN-ENF2]]</f>
        <v>8</v>
      </c>
      <c r="Y171" t="str">
        <f t="shared" si="58"/>
        <v>Support</v>
      </c>
      <c r="Z171" s="32">
        <f t="shared" si="59"/>
        <v>2</v>
      </c>
      <c r="AA171">
        <f>step3_validation[[#This Row],[AI_FAC1]]</f>
        <v>5</v>
      </c>
      <c r="AB171" t="str">
        <f t="shared" si="60"/>
        <v>Neutral</v>
      </c>
      <c r="AC171">
        <f>survey_responses[[#This Row],[Các thủ tục khai báo thuế VÀ/HOẶC quy trình làm việc với cơ quan thuế đơn giản, tiện lợi, nhanh chóng hơn so với trước đây. - HUMAN-FAC1]]</f>
        <v>7</v>
      </c>
      <c r="AD171" t="str">
        <f t="shared" si="61"/>
        <v>Neutral</v>
      </c>
      <c r="AE171" s="32">
        <f t="shared" si="62"/>
        <v>2</v>
      </c>
      <c r="AF171">
        <f>step3_validation[[#This Row],[AI_FAC2]]</f>
        <v>8</v>
      </c>
      <c r="AG171" t="str">
        <f t="shared" si="63"/>
        <v>Support</v>
      </c>
      <c r="AH171">
        <f>survey_responses[[#This Row],[So với trước đây, tôi thấy cách tính thuế và các bậc thuế trong phương án mới đơn giản, dễ hiểu và dễ thực hiện hơn. - HUMAN-FAC2]]</f>
        <v>8</v>
      </c>
      <c r="AI171" t="str">
        <f t="shared" si="64"/>
        <v>Support</v>
      </c>
      <c r="AJ171" s="32">
        <f t="shared" si="65"/>
        <v>0</v>
      </c>
      <c r="AK171">
        <f>step3_validation[[#This Row],[AI_TRU1]]</f>
        <v>6</v>
      </c>
      <c r="AL171" t="str">
        <f t="shared" si="66"/>
        <v>Neutral</v>
      </c>
      <c r="AM171">
        <f>survey_responses[[#This Row],[Tôi tin rằng Nhà nước, cơ quan thuế sẽ thực thi chính sách mới một cách khách quan, công tâm và đối xử bình đẳng với mọi người nộp thuế.  - HUMAN-TRU1]]</f>
        <v>1</v>
      </c>
      <c r="AN171" t="str">
        <f t="shared" si="67"/>
        <v>Oppose</v>
      </c>
      <c r="AO171" s="32">
        <f t="shared" si="68"/>
        <v>5</v>
      </c>
      <c r="AP171">
        <f>step3_validation[[#This Row],[AI_TRU2]]</f>
        <v>8</v>
      </c>
      <c r="AQ171" t="str">
        <f t="shared" si="69"/>
        <v>Support</v>
      </c>
      <c r="AR171">
        <f>survey_responses[[#This Row],[Tôi thấy mức thuế tôi phải đóng theo phương án mới là công bằng (người thu nhập như tôi đóng mức này là hợp lý). - HUMAN-TRU2]]</f>
        <v>2</v>
      </c>
      <c r="AS171" t="str">
        <f t="shared" si="70"/>
        <v>Oppose</v>
      </c>
      <c r="AT171" s="32">
        <f t="shared" si="71"/>
        <v>6</v>
      </c>
      <c r="AU171">
        <f>step3_validation[[#This Row],[AI_TRU3]]</f>
        <v>7</v>
      </c>
      <c r="AV171" t="str">
        <f t="shared" si="72"/>
        <v>Neutral</v>
      </c>
      <c r="AW171">
        <f>survey_responses[[#This Row],[Tôi tin tưởng số tiền thuế tôi đóng sẽ được Nhà nước sử dụng hiệu quả để cải thiện dịch vụ công (y tế, đường xá...). - HUMAN-TRU3]]</f>
        <v>3</v>
      </c>
      <c r="AX171" t="str">
        <f t="shared" si="73"/>
        <v>Oppose</v>
      </c>
      <c r="AY171" s="32">
        <f t="shared" si="74"/>
        <v>4</v>
      </c>
      <c r="AZ171">
        <f>step3_validation[[#This Row],[AI_TRU4]]</f>
        <v>5</v>
      </c>
      <c r="BA171" t="str">
        <f t="shared" si="75"/>
        <v>Neutral</v>
      </c>
      <c r="BB171">
        <f>survey_responses[[#This Row],[Tôi thấy Nhà nước đã giải thích rõ ràng, minh bạch về lý do và mục tiêu của việc sửa đổi thuế lần này. - HUMAN-TRU4]]</f>
        <v>3</v>
      </c>
      <c r="BC171" t="str">
        <f t="shared" si="76"/>
        <v>Oppose</v>
      </c>
      <c r="BD171" s="32">
        <f t="shared" si="77"/>
        <v>2</v>
      </c>
      <c r="BE171">
        <f>step3_validation[[#This Row],[AI_OUT1]]</f>
        <v>8</v>
      </c>
      <c r="BF171" t="str">
        <f t="shared" si="78"/>
        <v>Support</v>
      </c>
      <c r="BG171">
        <f>survey_responses[[#This Row],[Sau khi xem xét các quyền lợi và nghĩa vụ, bạn có ủng hộ và tuân thủ chính sách mới hiện nay? - HUMAN-OUT1]]</f>
        <v>7</v>
      </c>
      <c r="BH171" t="str">
        <f t="shared" si="79"/>
        <v>Neutral</v>
      </c>
      <c r="BI171" s="32">
        <f t="shared" si="80"/>
        <v>1</v>
      </c>
    </row>
    <row r="172" spans="1:61" x14ac:dyDescent="0.45">
      <c r="A172" s="30">
        <f>step3_validation[[#This Row],[Persona_ID]]</f>
        <v>171</v>
      </c>
      <c r="B172" s="31">
        <f>step3_validation[[#This Row],[Used_Seed]]</f>
        <v>2161</v>
      </c>
      <c r="C172" t="str">
        <f>step3_validation[[#This Row],[Gender]]</f>
        <v>Nam</v>
      </c>
      <c r="D172" t="str">
        <f>survey_responses[[#This Row],[Giới tính của bạn:]]</f>
        <v>Nam</v>
      </c>
      <c r="E172" t="str">
        <f>step3_validation[[#This Row],[Age_Group]]</f>
        <v>18 - 24</v>
      </c>
      <c r="F172" t="str">
        <f>survey_responses[[#This Row],[Độ tuổi của bạn:]]</f>
        <v>18 - 24</v>
      </c>
      <c r="G172" t="str">
        <f>step3_validation[[#This Row],[Region]]</f>
        <v>Thành thị</v>
      </c>
      <c r="H172" t="str">
        <f>survey_responses[[#This Row],[Khu vực bạn đang sinh sống:]]</f>
        <v>Thành thị</v>
      </c>
      <c r="I172" t="str">
        <f>step3_validation[[#This Row],[Education]]</f>
        <v>Đại học</v>
      </c>
      <c r="J172" t="str">
        <f>survey_responses[[#This Row],[Trình độ học vấn cao nhất:]]</f>
        <v>Đại học</v>
      </c>
      <c r="K172" t="str">
        <f>step3_validation[[#This Row],[Employment]]</f>
        <v>Chính thức</v>
      </c>
      <c r="L172" t="str">
        <f>survey_responses[[#This Row],[Tình trạng việc làm chính:]]</f>
        <v>Khu vực chính thức (Có Hợp đồng lao động, đóng BHXH)</v>
      </c>
      <c r="M172">
        <f>step3_validation[[#This Row],[Income_Mil]]</f>
        <v>12</v>
      </c>
      <c r="N172" t="str">
        <f>survey_responses[[#This Row],[Thu nhập bình quân tháng theo Hợp đồng lao động của bạn là bao nhiêu? (Vui lòng điền tổng thu nhập trước khi khấu trừ các loại Bảo hiểm (BHXH, BHYT, BHTN) và Thuế TNCN)]]</f>
        <v>Dưới 12 triệu VNĐ</v>
      </c>
      <c r="O172">
        <f>step3_validation[[#This Row],[Dependents]]</f>
        <v>0</v>
      </c>
      <c r="P172" t="str">
        <f>survey_responses[[#This Row],[Số người phụ thuộc (con nhỏ, cha mẹ già...) đủ điều kiện giảm trừ gia cảnh:]]</f>
        <v>0 người</v>
      </c>
      <c r="Q172">
        <f>step3_validation[[#This Row],[AI_ENF1]]</f>
        <v>8</v>
      </c>
      <c r="R172" t="str">
        <f t="shared" si="54"/>
        <v>Support</v>
      </c>
      <c r="S172">
        <f>survey_responses[[#This Row],[Tôi tin rằng với các quy định quản lý thuế hiện nay, hành vi gian lận hoặc trốn thuế sẽ dễ dàng bị phát hiện và xử lý nghiêm. - HUMAN-ENF1]]</f>
        <v>6</v>
      </c>
      <c r="T172" t="str">
        <f t="shared" si="55"/>
        <v>Neutral</v>
      </c>
      <c r="U172" s="32">
        <f t="shared" si="56"/>
        <v>2</v>
      </c>
      <c r="V172">
        <f>step3_validation[[#This Row],[AI_ENF2]]</f>
        <v>7</v>
      </c>
      <c r="W172" t="str">
        <f t="shared" si="57"/>
        <v>Neutral</v>
      </c>
      <c r="X172">
        <f>survey_responses[[#This Row],[Tôi tin rằng Nhà nước, cơ quan thuế có đủ khả năng và công nghệ để phát hiện, xử lý nghiêm các hành vi trốn thuế. - HUMAN-ENF2]]</f>
        <v>7</v>
      </c>
      <c r="Y172" t="str">
        <f t="shared" si="58"/>
        <v>Neutral</v>
      </c>
      <c r="Z172" s="32">
        <f t="shared" si="59"/>
        <v>0</v>
      </c>
      <c r="AA172">
        <f>step3_validation[[#This Row],[AI_FAC1]]</f>
        <v>6</v>
      </c>
      <c r="AB172" t="str">
        <f t="shared" si="60"/>
        <v>Neutral</v>
      </c>
      <c r="AC172">
        <f>survey_responses[[#This Row],[Các thủ tục khai báo thuế VÀ/HOẶC quy trình làm việc với cơ quan thuế đơn giản, tiện lợi, nhanh chóng hơn so với trước đây. - HUMAN-FAC1]]</f>
        <v>5</v>
      </c>
      <c r="AD172" t="str">
        <f t="shared" si="61"/>
        <v>Neutral</v>
      </c>
      <c r="AE172" s="32">
        <f t="shared" si="62"/>
        <v>1</v>
      </c>
      <c r="AF172">
        <f>step3_validation[[#This Row],[AI_FAC2]]</f>
        <v>7</v>
      </c>
      <c r="AG172" t="str">
        <f t="shared" si="63"/>
        <v>Neutral</v>
      </c>
      <c r="AH172">
        <f>survey_responses[[#This Row],[So với trước đây, tôi thấy cách tính thuế và các bậc thuế trong phương án mới đơn giản, dễ hiểu và dễ thực hiện hơn. - HUMAN-FAC2]]</f>
        <v>7</v>
      </c>
      <c r="AI172" t="str">
        <f t="shared" si="64"/>
        <v>Neutral</v>
      </c>
      <c r="AJ172" s="32">
        <f t="shared" si="65"/>
        <v>0</v>
      </c>
      <c r="AK172">
        <f>step3_validation[[#This Row],[AI_TRU1]]</f>
        <v>8</v>
      </c>
      <c r="AL172" t="str">
        <f t="shared" si="66"/>
        <v>Support</v>
      </c>
      <c r="AM172">
        <f>survey_responses[[#This Row],[Tôi tin rằng Nhà nước, cơ quan thuế sẽ thực thi chính sách mới một cách khách quan, công tâm và đối xử bình đẳng với mọi người nộp thuế.  - HUMAN-TRU1]]</f>
        <v>7</v>
      </c>
      <c r="AN172" t="str">
        <f t="shared" si="67"/>
        <v>Neutral</v>
      </c>
      <c r="AO172" s="32">
        <f t="shared" si="68"/>
        <v>1</v>
      </c>
      <c r="AP172">
        <f>step3_validation[[#This Row],[AI_TRU2]]</f>
        <v>6</v>
      </c>
      <c r="AQ172" t="str">
        <f t="shared" si="69"/>
        <v>Neutral</v>
      </c>
      <c r="AR172">
        <f>survey_responses[[#This Row],[Tôi thấy mức thuế tôi phải đóng theo phương án mới là công bằng (người thu nhập như tôi đóng mức này là hợp lý). - HUMAN-TRU2]]</f>
        <v>7</v>
      </c>
      <c r="AS172" t="str">
        <f t="shared" si="70"/>
        <v>Neutral</v>
      </c>
      <c r="AT172" s="32">
        <f t="shared" si="71"/>
        <v>1</v>
      </c>
      <c r="AU172">
        <f>step3_validation[[#This Row],[AI_TRU3]]</f>
        <v>7</v>
      </c>
      <c r="AV172" t="str">
        <f t="shared" si="72"/>
        <v>Neutral</v>
      </c>
      <c r="AW172">
        <f>survey_responses[[#This Row],[Tôi tin tưởng số tiền thuế tôi đóng sẽ được Nhà nước sử dụng hiệu quả để cải thiện dịch vụ công (y tế, đường xá...). - HUMAN-TRU3]]</f>
        <v>5</v>
      </c>
      <c r="AX172" t="str">
        <f t="shared" si="73"/>
        <v>Neutral</v>
      </c>
      <c r="AY172" s="32">
        <f t="shared" si="74"/>
        <v>2</v>
      </c>
      <c r="AZ172">
        <f>step3_validation[[#This Row],[AI_TRU4]]</f>
        <v>5</v>
      </c>
      <c r="BA172" t="str">
        <f t="shared" si="75"/>
        <v>Neutral</v>
      </c>
      <c r="BB172">
        <f>survey_responses[[#This Row],[Tôi thấy Nhà nước đã giải thích rõ ràng, minh bạch về lý do và mục tiêu của việc sửa đổi thuế lần này. - HUMAN-TRU4]]</f>
        <v>7</v>
      </c>
      <c r="BC172" t="str">
        <f t="shared" si="76"/>
        <v>Neutral</v>
      </c>
      <c r="BD172" s="32">
        <f t="shared" si="77"/>
        <v>2</v>
      </c>
      <c r="BE172">
        <f>step3_validation[[#This Row],[AI_OUT1]]</f>
        <v>7</v>
      </c>
      <c r="BF172" t="str">
        <f t="shared" si="78"/>
        <v>Neutral</v>
      </c>
      <c r="BG172">
        <f>survey_responses[[#This Row],[Sau khi xem xét các quyền lợi và nghĩa vụ, bạn có ủng hộ và tuân thủ chính sách mới hiện nay? - HUMAN-OUT1]]</f>
        <v>7</v>
      </c>
      <c r="BH172" t="str">
        <f t="shared" si="79"/>
        <v>Neutral</v>
      </c>
      <c r="BI172" s="32">
        <f t="shared" si="80"/>
        <v>0</v>
      </c>
    </row>
    <row r="173" spans="1:61" x14ac:dyDescent="0.45">
      <c r="A173" s="30">
        <f>step3_validation[[#This Row],[Persona_ID]]</f>
        <v>172</v>
      </c>
      <c r="B173" s="31">
        <f>step3_validation[[#This Row],[Used_Seed]]</f>
        <v>2162</v>
      </c>
      <c r="C173" t="str">
        <f>step3_validation[[#This Row],[Gender]]</f>
        <v>Nam</v>
      </c>
      <c r="D173" t="str">
        <f>survey_responses[[#This Row],[Giới tính của bạn:]]</f>
        <v>Nam</v>
      </c>
      <c r="E173" t="str">
        <f>step3_validation[[#This Row],[Age_Group]]</f>
        <v>50 - 54</v>
      </c>
      <c r="F173" t="str">
        <f>survey_responses[[#This Row],[Độ tuổi của bạn:]]</f>
        <v>50 - 54</v>
      </c>
      <c r="G173" t="str">
        <f>step3_validation[[#This Row],[Region]]</f>
        <v>Thành thị</v>
      </c>
      <c r="H173" t="str">
        <f>survey_responses[[#This Row],[Khu vực bạn đang sinh sống:]]</f>
        <v>Thành thị</v>
      </c>
      <c r="I173" t="str">
        <f>step3_validation[[#This Row],[Education]]</f>
        <v>Sau Đại học</v>
      </c>
      <c r="J173" t="str">
        <f>survey_responses[[#This Row],[Trình độ học vấn cao nhất:]]</f>
        <v>Sau Đại học</v>
      </c>
      <c r="K173" t="str">
        <f>step3_validation[[#This Row],[Employment]]</f>
        <v>Chính thức</v>
      </c>
      <c r="L173" t="str">
        <f>survey_responses[[#This Row],[Tình trạng việc làm chính:]]</f>
        <v>Khu vực chính thức (Có Hợp đồng lao động, đóng BHXH)</v>
      </c>
      <c r="M173">
        <f>step3_validation[[#This Row],[Income_Mil]]</f>
        <v>158.49332291542495</v>
      </c>
      <c r="N173" t="str">
        <f>survey_responses[[#This Row],[Thu nhập bình quân tháng theo Hợp đồng lao động của bạn là bao nhiêu? (Vui lòng điền tổng thu nhập trước khi khấu trừ các loại Bảo hiểm (BHXH, BHYT, BHTN) và Thuế TNCN)]]</f>
        <v>Trên 102 triệu VNĐ</v>
      </c>
      <c r="O173">
        <f>step3_validation[[#This Row],[Dependents]]</f>
        <v>4</v>
      </c>
      <c r="P173" t="str">
        <f>survey_responses[[#This Row],[Số người phụ thuộc (con nhỏ, cha mẹ già...) đủ điều kiện giảm trừ gia cảnh:]]</f>
        <v>4 người trở lên</v>
      </c>
      <c r="Q173">
        <f>step3_validation[[#This Row],[AI_ENF1]]</f>
        <v>6</v>
      </c>
      <c r="R173" t="str">
        <f t="shared" si="54"/>
        <v>Neutral</v>
      </c>
      <c r="S173">
        <f>survey_responses[[#This Row],[Tôi tin rằng với các quy định quản lý thuế hiện nay, hành vi gian lận hoặc trốn thuế sẽ dễ dàng bị phát hiện và xử lý nghiêm. - HUMAN-ENF1]]</f>
        <v>8</v>
      </c>
      <c r="T173" t="str">
        <f t="shared" si="55"/>
        <v>Support</v>
      </c>
      <c r="U173" s="32">
        <f t="shared" si="56"/>
        <v>2</v>
      </c>
      <c r="V173">
        <f>step3_validation[[#This Row],[AI_ENF2]]</f>
        <v>7</v>
      </c>
      <c r="W173" t="str">
        <f t="shared" si="57"/>
        <v>Neutral</v>
      </c>
      <c r="X173">
        <f>survey_responses[[#This Row],[Tôi tin rằng Nhà nước, cơ quan thuế có đủ khả năng và công nghệ để phát hiện, xử lý nghiêm các hành vi trốn thuế. - HUMAN-ENF2]]</f>
        <v>8</v>
      </c>
      <c r="Y173" t="str">
        <f t="shared" si="58"/>
        <v>Support</v>
      </c>
      <c r="Z173" s="32">
        <f t="shared" si="59"/>
        <v>1</v>
      </c>
      <c r="AA173">
        <f>step3_validation[[#This Row],[AI_FAC1]]</f>
        <v>8</v>
      </c>
      <c r="AB173" t="str">
        <f t="shared" si="60"/>
        <v>Support</v>
      </c>
      <c r="AC173">
        <f>survey_responses[[#This Row],[Các thủ tục khai báo thuế VÀ/HOẶC quy trình làm việc với cơ quan thuế đơn giản, tiện lợi, nhanh chóng hơn so với trước đây. - HUMAN-FAC1]]</f>
        <v>8</v>
      </c>
      <c r="AD173" t="str">
        <f t="shared" si="61"/>
        <v>Support</v>
      </c>
      <c r="AE173" s="32">
        <f t="shared" si="62"/>
        <v>0</v>
      </c>
      <c r="AF173">
        <f>step3_validation[[#This Row],[AI_FAC2]]</f>
        <v>7</v>
      </c>
      <c r="AG173" t="str">
        <f t="shared" si="63"/>
        <v>Neutral</v>
      </c>
      <c r="AH173">
        <f>survey_responses[[#This Row],[So với trước đây, tôi thấy cách tính thuế và các bậc thuế trong phương án mới đơn giản, dễ hiểu và dễ thực hiện hơn. - HUMAN-FAC2]]</f>
        <v>9</v>
      </c>
      <c r="AI173" t="str">
        <f t="shared" si="64"/>
        <v>Support</v>
      </c>
      <c r="AJ173" s="32">
        <f t="shared" si="65"/>
        <v>2</v>
      </c>
      <c r="AK173">
        <f>step3_validation[[#This Row],[AI_TRU1]]</f>
        <v>8</v>
      </c>
      <c r="AL173" t="str">
        <f t="shared" si="66"/>
        <v>Support</v>
      </c>
      <c r="AM173">
        <f>survey_responses[[#This Row],[Tôi tin rằng Nhà nước, cơ quan thuế sẽ thực thi chính sách mới một cách khách quan, công tâm và đối xử bình đẳng với mọi người nộp thuế.  - HUMAN-TRU1]]</f>
        <v>9</v>
      </c>
      <c r="AN173" t="str">
        <f t="shared" si="67"/>
        <v>Support</v>
      </c>
      <c r="AO173" s="32">
        <f t="shared" si="68"/>
        <v>1</v>
      </c>
      <c r="AP173">
        <f>step3_validation[[#This Row],[AI_TRU2]]</f>
        <v>7</v>
      </c>
      <c r="AQ173" t="str">
        <f t="shared" si="69"/>
        <v>Neutral</v>
      </c>
      <c r="AR173">
        <f>survey_responses[[#This Row],[Tôi thấy mức thuế tôi phải đóng theo phương án mới là công bằng (người thu nhập như tôi đóng mức này là hợp lý). - HUMAN-TRU2]]</f>
        <v>5</v>
      </c>
      <c r="AS173" t="str">
        <f t="shared" si="70"/>
        <v>Neutral</v>
      </c>
      <c r="AT173" s="32">
        <f t="shared" si="71"/>
        <v>2</v>
      </c>
      <c r="AU173">
        <f>step3_validation[[#This Row],[AI_TRU3]]</f>
        <v>8</v>
      </c>
      <c r="AV173" t="str">
        <f t="shared" si="72"/>
        <v>Support</v>
      </c>
      <c r="AW173">
        <f>survey_responses[[#This Row],[Tôi tin tưởng số tiền thuế tôi đóng sẽ được Nhà nước sử dụng hiệu quả để cải thiện dịch vụ công (y tế, đường xá...). - HUMAN-TRU3]]</f>
        <v>5</v>
      </c>
      <c r="AX173" t="str">
        <f t="shared" si="73"/>
        <v>Neutral</v>
      </c>
      <c r="AY173" s="32">
        <f t="shared" si="74"/>
        <v>3</v>
      </c>
      <c r="AZ173">
        <f>step3_validation[[#This Row],[AI_TRU4]]</f>
        <v>7</v>
      </c>
      <c r="BA173" t="str">
        <f t="shared" si="75"/>
        <v>Neutral</v>
      </c>
      <c r="BB173">
        <f>survey_responses[[#This Row],[Tôi thấy Nhà nước đã giải thích rõ ràng, minh bạch về lý do và mục tiêu của việc sửa đổi thuế lần này. - HUMAN-TRU4]]</f>
        <v>8</v>
      </c>
      <c r="BC173" t="str">
        <f t="shared" si="76"/>
        <v>Support</v>
      </c>
      <c r="BD173" s="32">
        <f t="shared" si="77"/>
        <v>1</v>
      </c>
      <c r="BE173">
        <f>step3_validation[[#This Row],[AI_OUT1]]</f>
        <v>8</v>
      </c>
      <c r="BF173" t="str">
        <f t="shared" si="78"/>
        <v>Support</v>
      </c>
      <c r="BG173">
        <f>survey_responses[[#This Row],[Sau khi xem xét các quyền lợi và nghĩa vụ, bạn có ủng hộ và tuân thủ chính sách mới hiện nay? - HUMAN-OUT1]]</f>
        <v>6</v>
      </c>
      <c r="BH173" t="str">
        <f t="shared" si="79"/>
        <v>Neutral</v>
      </c>
      <c r="BI173" s="32">
        <f t="shared" si="80"/>
        <v>2</v>
      </c>
    </row>
    <row r="174" spans="1:61" x14ac:dyDescent="0.45">
      <c r="A174" s="30">
        <f>step3_validation[[#This Row],[Persona_ID]]</f>
        <v>173</v>
      </c>
      <c r="B174" s="31">
        <f>step3_validation[[#This Row],[Used_Seed]]</f>
        <v>2163</v>
      </c>
      <c r="C174" t="str">
        <f>step3_validation[[#This Row],[Gender]]</f>
        <v>Nữ</v>
      </c>
      <c r="D174" t="str">
        <f>survey_responses[[#This Row],[Giới tính của bạn:]]</f>
        <v>Nữ</v>
      </c>
      <c r="E174" t="str">
        <f>step3_validation[[#This Row],[Age_Group]]</f>
        <v>40 - 49</v>
      </c>
      <c r="F174" t="str">
        <f>survey_responses[[#This Row],[Độ tuổi của bạn:]]</f>
        <v>40 - 49</v>
      </c>
      <c r="G174" t="str">
        <f>step3_validation[[#This Row],[Region]]</f>
        <v>Thành thị</v>
      </c>
      <c r="H174" t="str">
        <f>survey_responses[[#This Row],[Khu vực bạn đang sinh sống:]]</f>
        <v>Thành thị</v>
      </c>
      <c r="I174" t="str">
        <f>step3_validation[[#This Row],[Education]]</f>
        <v>Đại học</v>
      </c>
      <c r="J174" t="str">
        <f>survey_responses[[#This Row],[Trình độ học vấn cao nhất:]]</f>
        <v>Đại học</v>
      </c>
      <c r="K174" t="str">
        <f>step3_validation[[#This Row],[Employment]]</f>
        <v>Chính thức</v>
      </c>
      <c r="L174" t="str">
        <f>survey_responses[[#This Row],[Tình trạng việc làm chính:]]</f>
        <v>Khu vực chính thức (Có Hợp đồng lao động, đóng BHXH)</v>
      </c>
      <c r="M174">
        <f>step3_validation[[#This Row],[Income_Mil]]</f>
        <v>94.736136471286372</v>
      </c>
      <c r="N174" t="str">
        <f>survey_responses[[#This Row],[Thu nhập bình quân tháng theo Hợp đồng lao động của bạn là bao nhiêu? (Vui lòng điền tổng thu nhập trước khi khấu trừ các loại Bảo hiểm (BHXH, BHYT, BHTN) và Thuế TNCN)]]</f>
        <v>Từ 70 - 102 triệu VNĐ</v>
      </c>
      <c r="O174">
        <f>step3_validation[[#This Row],[Dependents]]</f>
        <v>3</v>
      </c>
      <c r="P174" t="str">
        <f>survey_responses[[#This Row],[Số người phụ thuộc (con nhỏ, cha mẹ già...) đủ điều kiện giảm trừ gia cảnh:]]</f>
        <v>3 người</v>
      </c>
      <c r="Q174">
        <f>step3_validation[[#This Row],[AI_ENF1]]</f>
        <v>7</v>
      </c>
      <c r="R174" t="str">
        <f t="shared" si="54"/>
        <v>Neutral</v>
      </c>
      <c r="S174">
        <f>survey_responses[[#This Row],[Tôi tin rằng với các quy định quản lý thuế hiện nay, hành vi gian lận hoặc trốn thuế sẽ dễ dàng bị phát hiện và xử lý nghiêm. - HUMAN-ENF1]]</f>
        <v>5</v>
      </c>
      <c r="T174" t="str">
        <f t="shared" si="55"/>
        <v>Neutral</v>
      </c>
      <c r="U174" s="32">
        <f t="shared" si="56"/>
        <v>2</v>
      </c>
      <c r="V174">
        <f>step3_validation[[#This Row],[AI_ENF2]]</f>
        <v>8</v>
      </c>
      <c r="W174" t="str">
        <f t="shared" si="57"/>
        <v>Support</v>
      </c>
      <c r="X174">
        <f>survey_responses[[#This Row],[Tôi tin rằng Nhà nước, cơ quan thuế có đủ khả năng và công nghệ để phát hiện, xử lý nghiêm các hành vi trốn thuế. - HUMAN-ENF2]]</f>
        <v>5</v>
      </c>
      <c r="Y174" t="str">
        <f t="shared" si="58"/>
        <v>Neutral</v>
      </c>
      <c r="Z174" s="32">
        <f t="shared" si="59"/>
        <v>3</v>
      </c>
      <c r="AA174">
        <f>step3_validation[[#This Row],[AI_FAC1]]</f>
        <v>6</v>
      </c>
      <c r="AB174" t="str">
        <f t="shared" si="60"/>
        <v>Neutral</v>
      </c>
      <c r="AC174">
        <f>survey_responses[[#This Row],[Các thủ tục khai báo thuế VÀ/HOẶC quy trình làm việc với cơ quan thuế đơn giản, tiện lợi, nhanh chóng hơn so với trước đây. - HUMAN-FAC1]]</f>
        <v>4</v>
      </c>
      <c r="AD174" t="str">
        <f t="shared" si="61"/>
        <v>Oppose</v>
      </c>
      <c r="AE174" s="32">
        <f t="shared" si="62"/>
        <v>2</v>
      </c>
      <c r="AF174">
        <f>step3_validation[[#This Row],[AI_FAC2]]</f>
        <v>9</v>
      </c>
      <c r="AG174" t="str">
        <f t="shared" si="63"/>
        <v>Support</v>
      </c>
      <c r="AH174">
        <f>survey_responses[[#This Row],[So với trước đây, tôi thấy cách tính thuế và các bậc thuế trong phương án mới đơn giản, dễ hiểu và dễ thực hiện hơn. - HUMAN-FAC2]]</f>
        <v>6</v>
      </c>
      <c r="AI174" t="str">
        <f t="shared" si="64"/>
        <v>Neutral</v>
      </c>
      <c r="AJ174" s="32">
        <f t="shared" si="65"/>
        <v>3</v>
      </c>
      <c r="AK174">
        <f>step3_validation[[#This Row],[AI_TRU1]]</f>
        <v>8</v>
      </c>
      <c r="AL174" t="str">
        <f t="shared" si="66"/>
        <v>Support</v>
      </c>
      <c r="AM174">
        <f>survey_responses[[#This Row],[Tôi tin rằng Nhà nước, cơ quan thuế sẽ thực thi chính sách mới một cách khách quan, công tâm và đối xử bình đẳng với mọi người nộp thuế.  - HUMAN-TRU1]]</f>
        <v>5</v>
      </c>
      <c r="AN174" t="str">
        <f t="shared" si="67"/>
        <v>Neutral</v>
      </c>
      <c r="AO174" s="32">
        <f t="shared" si="68"/>
        <v>3</v>
      </c>
      <c r="AP174">
        <f>step3_validation[[#This Row],[AI_TRU2]]</f>
        <v>7</v>
      </c>
      <c r="AQ174" t="str">
        <f t="shared" si="69"/>
        <v>Neutral</v>
      </c>
      <c r="AR174">
        <f>survey_responses[[#This Row],[Tôi thấy mức thuế tôi phải đóng theo phương án mới là công bằng (người thu nhập như tôi đóng mức này là hợp lý). - HUMAN-TRU2]]</f>
        <v>4</v>
      </c>
      <c r="AS174" t="str">
        <f t="shared" si="70"/>
        <v>Oppose</v>
      </c>
      <c r="AT174" s="32">
        <f t="shared" si="71"/>
        <v>3</v>
      </c>
      <c r="AU174">
        <f>step3_validation[[#This Row],[AI_TRU3]]</f>
        <v>8</v>
      </c>
      <c r="AV174" t="str">
        <f t="shared" si="72"/>
        <v>Support</v>
      </c>
      <c r="AW174">
        <f>survey_responses[[#This Row],[Tôi tin tưởng số tiền thuế tôi đóng sẽ được Nhà nước sử dụng hiệu quả để cải thiện dịch vụ công (y tế, đường xá...). - HUMAN-TRU3]]</f>
        <v>4</v>
      </c>
      <c r="AX174" t="str">
        <f t="shared" si="73"/>
        <v>Oppose</v>
      </c>
      <c r="AY174" s="32">
        <f t="shared" si="74"/>
        <v>4</v>
      </c>
      <c r="AZ174">
        <f>step3_validation[[#This Row],[AI_TRU4]]</f>
        <v>6</v>
      </c>
      <c r="BA174" t="str">
        <f t="shared" si="75"/>
        <v>Neutral</v>
      </c>
      <c r="BB174">
        <f>survey_responses[[#This Row],[Tôi thấy Nhà nước đã giải thích rõ ràng, minh bạch về lý do và mục tiêu của việc sửa đổi thuế lần này. - HUMAN-TRU4]]</f>
        <v>5</v>
      </c>
      <c r="BC174" t="str">
        <f t="shared" si="76"/>
        <v>Neutral</v>
      </c>
      <c r="BD174" s="32">
        <f t="shared" si="77"/>
        <v>1</v>
      </c>
      <c r="BE174">
        <f>step3_validation[[#This Row],[AI_OUT1]]</f>
        <v>7</v>
      </c>
      <c r="BF174" t="str">
        <f t="shared" si="78"/>
        <v>Neutral</v>
      </c>
      <c r="BG174">
        <f>survey_responses[[#This Row],[Sau khi xem xét các quyền lợi và nghĩa vụ, bạn có ủng hộ và tuân thủ chính sách mới hiện nay? - HUMAN-OUT1]]</f>
        <v>5</v>
      </c>
      <c r="BH174" t="str">
        <f t="shared" si="79"/>
        <v>Neutral</v>
      </c>
      <c r="BI174" s="32">
        <f t="shared" si="80"/>
        <v>2</v>
      </c>
    </row>
    <row r="175" spans="1:61" x14ac:dyDescent="0.45">
      <c r="A175" s="30">
        <f>step3_validation[[#This Row],[Persona_ID]]</f>
        <v>174</v>
      </c>
      <c r="B175" s="31">
        <f>step3_validation[[#This Row],[Used_Seed]]</f>
        <v>2164</v>
      </c>
      <c r="C175" t="str">
        <f>step3_validation[[#This Row],[Gender]]</f>
        <v>Nữ</v>
      </c>
      <c r="D175" t="str">
        <f>survey_responses[[#This Row],[Giới tính của bạn:]]</f>
        <v>Nữ</v>
      </c>
      <c r="E175" t="str">
        <f>step3_validation[[#This Row],[Age_Group]]</f>
        <v>25 - 29</v>
      </c>
      <c r="F175" t="str">
        <f>survey_responses[[#This Row],[Độ tuổi của bạn:]]</f>
        <v>25 - 29</v>
      </c>
      <c r="G175" t="str">
        <f>step3_validation[[#This Row],[Region]]</f>
        <v>Thành thị</v>
      </c>
      <c r="H175" t="str">
        <f>survey_responses[[#This Row],[Khu vực bạn đang sinh sống:]]</f>
        <v>Thành thị</v>
      </c>
      <c r="I175" t="str">
        <f>step3_validation[[#This Row],[Education]]</f>
        <v>Đại học</v>
      </c>
      <c r="J175" t="str">
        <f>survey_responses[[#This Row],[Trình độ học vấn cao nhất:]]</f>
        <v>Đại học</v>
      </c>
      <c r="K175" t="str">
        <f>step3_validation[[#This Row],[Employment]]</f>
        <v>Chính thức</v>
      </c>
      <c r="L175" t="str">
        <f>survey_responses[[#This Row],[Tình trạng việc làm chính:]]</f>
        <v>Khu vực chính thức (Có Hợp đồng lao động, đóng BHXH)</v>
      </c>
      <c r="M175">
        <f>step3_validation[[#This Row],[Income_Mil]]</f>
        <v>37.205813411436509</v>
      </c>
      <c r="N175" t="str">
        <f>survey_responses[[#This Row],[Thu nhập bình quân tháng theo Hợp đồng lao động của bạn là bao nhiêu? (Vui lòng điền tổng thu nhập trước khi khấu trừ các loại Bảo hiểm (BHXH, BHYT, BHTN) và Thuế TNCN)]]</f>
        <v>Từ 32 - 48 triệu VNĐ</v>
      </c>
      <c r="O175">
        <f>step3_validation[[#This Row],[Dependents]]</f>
        <v>1</v>
      </c>
      <c r="P175" t="str">
        <f>survey_responses[[#This Row],[Số người phụ thuộc (con nhỏ, cha mẹ già...) đủ điều kiện giảm trừ gia cảnh:]]</f>
        <v>1 người</v>
      </c>
      <c r="Q175">
        <f>step3_validation[[#This Row],[AI_ENF1]]</f>
        <v>6</v>
      </c>
      <c r="R175" t="str">
        <f t="shared" si="54"/>
        <v>Neutral</v>
      </c>
      <c r="S175">
        <f>survey_responses[[#This Row],[Tôi tin rằng với các quy định quản lý thuế hiện nay, hành vi gian lận hoặc trốn thuế sẽ dễ dàng bị phát hiện và xử lý nghiêm. - HUMAN-ENF1]]</f>
        <v>6</v>
      </c>
      <c r="T175" t="str">
        <f t="shared" si="55"/>
        <v>Neutral</v>
      </c>
      <c r="U175" s="32">
        <f t="shared" si="56"/>
        <v>0</v>
      </c>
      <c r="V175">
        <f>step3_validation[[#This Row],[AI_ENF2]]</f>
        <v>7</v>
      </c>
      <c r="W175" t="str">
        <f t="shared" si="57"/>
        <v>Neutral</v>
      </c>
      <c r="X175">
        <f>survey_responses[[#This Row],[Tôi tin rằng Nhà nước, cơ quan thuế có đủ khả năng và công nghệ để phát hiện, xử lý nghiêm các hành vi trốn thuế. - HUMAN-ENF2]]</f>
        <v>6</v>
      </c>
      <c r="Y175" t="str">
        <f t="shared" si="58"/>
        <v>Neutral</v>
      </c>
      <c r="Z175" s="32">
        <f t="shared" si="59"/>
        <v>1</v>
      </c>
      <c r="AA175">
        <f>step3_validation[[#This Row],[AI_FAC1]]</f>
        <v>8</v>
      </c>
      <c r="AB175" t="str">
        <f t="shared" si="60"/>
        <v>Support</v>
      </c>
      <c r="AC175">
        <f>survey_responses[[#This Row],[Các thủ tục khai báo thuế VÀ/HOẶC quy trình làm việc với cơ quan thuế đơn giản, tiện lợi, nhanh chóng hơn so với trước đây. - HUMAN-FAC1]]</f>
        <v>6</v>
      </c>
      <c r="AD175" t="str">
        <f t="shared" si="61"/>
        <v>Neutral</v>
      </c>
      <c r="AE175" s="32">
        <f t="shared" si="62"/>
        <v>2</v>
      </c>
      <c r="AF175">
        <f>step3_validation[[#This Row],[AI_FAC2]]</f>
        <v>7</v>
      </c>
      <c r="AG175" t="str">
        <f t="shared" si="63"/>
        <v>Neutral</v>
      </c>
      <c r="AH175">
        <f>survey_responses[[#This Row],[So với trước đây, tôi thấy cách tính thuế và các bậc thuế trong phương án mới đơn giản, dễ hiểu và dễ thực hiện hơn. - HUMAN-FAC2]]</f>
        <v>6</v>
      </c>
      <c r="AI175" t="str">
        <f t="shared" si="64"/>
        <v>Neutral</v>
      </c>
      <c r="AJ175" s="32">
        <f t="shared" si="65"/>
        <v>1</v>
      </c>
      <c r="AK175">
        <f>step3_validation[[#This Row],[AI_TRU1]]</f>
        <v>8</v>
      </c>
      <c r="AL175" t="str">
        <f t="shared" si="66"/>
        <v>Support</v>
      </c>
      <c r="AM175">
        <f>survey_responses[[#This Row],[Tôi tin rằng Nhà nước, cơ quan thuế sẽ thực thi chính sách mới một cách khách quan, công tâm và đối xử bình đẳng với mọi người nộp thuế.  - HUMAN-TRU1]]</f>
        <v>7</v>
      </c>
      <c r="AN175" t="str">
        <f t="shared" si="67"/>
        <v>Neutral</v>
      </c>
      <c r="AO175" s="32">
        <f t="shared" si="68"/>
        <v>1</v>
      </c>
      <c r="AP175">
        <f>step3_validation[[#This Row],[AI_TRU2]]</f>
        <v>7</v>
      </c>
      <c r="AQ175" t="str">
        <f t="shared" si="69"/>
        <v>Neutral</v>
      </c>
      <c r="AR175">
        <f>survey_responses[[#This Row],[Tôi thấy mức thuế tôi phải đóng theo phương án mới là công bằng (người thu nhập như tôi đóng mức này là hợp lý). - HUMAN-TRU2]]</f>
        <v>7</v>
      </c>
      <c r="AS175" t="str">
        <f t="shared" si="70"/>
        <v>Neutral</v>
      </c>
      <c r="AT175" s="32">
        <f t="shared" si="71"/>
        <v>0</v>
      </c>
      <c r="AU175">
        <f>step3_validation[[#This Row],[AI_TRU3]]</f>
        <v>8</v>
      </c>
      <c r="AV175" t="str">
        <f t="shared" si="72"/>
        <v>Support</v>
      </c>
      <c r="AW175">
        <f>survey_responses[[#This Row],[Tôi tin tưởng số tiền thuế tôi đóng sẽ được Nhà nước sử dụng hiệu quả để cải thiện dịch vụ công (y tế, đường xá...). - HUMAN-TRU3]]</f>
        <v>5</v>
      </c>
      <c r="AX175" t="str">
        <f t="shared" si="73"/>
        <v>Neutral</v>
      </c>
      <c r="AY175" s="32">
        <f t="shared" si="74"/>
        <v>3</v>
      </c>
      <c r="AZ175">
        <f>step3_validation[[#This Row],[AI_TRU4]]</f>
        <v>7</v>
      </c>
      <c r="BA175" t="str">
        <f t="shared" si="75"/>
        <v>Neutral</v>
      </c>
      <c r="BB175">
        <f>survey_responses[[#This Row],[Tôi thấy Nhà nước đã giải thích rõ ràng, minh bạch về lý do và mục tiêu của việc sửa đổi thuế lần này. - HUMAN-TRU4]]</f>
        <v>7</v>
      </c>
      <c r="BC175" t="str">
        <f t="shared" si="76"/>
        <v>Neutral</v>
      </c>
      <c r="BD175" s="32">
        <f t="shared" si="77"/>
        <v>0</v>
      </c>
      <c r="BE175">
        <f>step3_validation[[#This Row],[AI_OUT1]]</f>
        <v>8</v>
      </c>
      <c r="BF175" t="str">
        <f t="shared" si="78"/>
        <v>Support</v>
      </c>
      <c r="BG175">
        <f>survey_responses[[#This Row],[Sau khi xem xét các quyền lợi và nghĩa vụ, bạn có ủng hộ và tuân thủ chính sách mới hiện nay? - HUMAN-OUT1]]</f>
        <v>6</v>
      </c>
      <c r="BH175" t="str">
        <f t="shared" si="79"/>
        <v>Neutral</v>
      </c>
      <c r="BI175" s="32">
        <f t="shared" si="80"/>
        <v>2</v>
      </c>
    </row>
    <row r="176" spans="1:61" x14ac:dyDescent="0.45">
      <c r="A176" s="30">
        <f>step3_validation[[#This Row],[Persona_ID]]</f>
        <v>175</v>
      </c>
      <c r="B176" s="31">
        <f>step3_validation[[#This Row],[Used_Seed]]</f>
        <v>2165</v>
      </c>
      <c r="C176" t="str">
        <f>step3_validation[[#This Row],[Gender]]</f>
        <v>Nữ</v>
      </c>
      <c r="D176" t="str">
        <f>survey_responses[[#This Row],[Giới tính của bạn:]]</f>
        <v>Nữ</v>
      </c>
      <c r="E176" t="str">
        <f>step3_validation[[#This Row],[Age_Group]]</f>
        <v>50 - 54</v>
      </c>
      <c r="F176" t="str">
        <f>survey_responses[[#This Row],[Độ tuổi của bạn:]]</f>
        <v>50 - 54</v>
      </c>
      <c r="G176" t="str">
        <f>step3_validation[[#This Row],[Region]]</f>
        <v>Thành thị</v>
      </c>
      <c r="H176" t="str">
        <f>survey_responses[[#This Row],[Khu vực bạn đang sinh sống:]]</f>
        <v>Thành thị</v>
      </c>
      <c r="I176" t="str">
        <f>step3_validation[[#This Row],[Education]]</f>
        <v>Sau Đại học</v>
      </c>
      <c r="J176" t="str">
        <f>survey_responses[[#This Row],[Trình độ học vấn cao nhất:]]</f>
        <v>Sau Đại học</v>
      </c>
      <c r="K176" t="str">
        <f>step3_validation[[#This Row],[Employment]]</f>
        <v>Chính thức</v>
      </c>
      <c r="L176" t="str">
        <f>survey_responses[[#This Row],[Tình trạng việc làm chính:]]</f>
        <v>Khu vực chính thức (Có Hợp đồng lao động, đóng BHXH)</v>
      </c>
      <c r="M176">
        <f>step3_validation[[#This Row],[Income_Mil]]</f>
        <v>222.43464984005288</v>
      </c>
      <c r="N176" t="str">
        <f>survey_responses[[#This Row],[Thu nhập bình quân tháng theo Hợp đồng lao động của bạn là bao nhiêu? (Vui lòng điền tổng thu nhập trước khi khấu trừ các loại Bảo hiểm (BHXH, BHYT, BHTN) và Thuế TNCN)]]</f>
        <v>Trên 102 triệu VNĐ</v>
      </c>
      <c r="O176">
        <f>step3_validation[[#This Row],[Dependents]]</f>
        <v>3</v>
      </c>
      <c r="P176" t="str">
        <f>survey_responses[[#This Row],[Số người phụ thuộc (con nhỏ, cha mẹ già...) đủ điều kiện giảm trừ gia cảnh:]]</f>
        <v>3 người</v>
      </c>
      <c r="Q176">
        <f>step3_validation[[#This Row],[AI_ENF1]]</f>
        <v>6</v>
      </c>
      <c r="R176" t="str">
        <f t="shared" si="54"/>
        <v>Neutral</v>
      </c>
      <c r="S176">
        <f>survey_responses[[#This Row],[Tôi tin rằng với các quy định quản lý thuế hiện nay, hành vi gian lận hoặc trốn thuế sẽ dễ dàng bị phát hiện và xử lý nghiêm. - HUMAN-ENF1]]</f>
        <v>4</v>
      </c>
      <c r="T176" t="str">
        <f t="shared" si="55"/>
        <v>Oppose</v>
      </c>
      <c r="U176" s="32">
        <f t="shared" si="56"/>
        <v>2</v>
      </c>
      <c r="V176">
        <f>step3_validation[[#This Row],[AI_ENF2]]</f>
        <v>7</v>
      </c>
      <c r="W176" t="str">
        <f t="shared" si="57"/>
        <v>Neutral</v>
      </c>
      <c r="X176">
        <f>survey_responses[[#This Row],[Tôi tin rằng Nhà nước, cơ quan thuế có đủ khả năng và công nghệ để phát hiện, xử lý nghiêm các hành vi trốn thuế. - HUMAN-ENF2]]</f>
        <v>5</v>
      </c>
      <c r="Y176" t="str">
        <f t="shared" si="58"/>
        <v>Neutral</v>
      </c>
      <c r="Z176" s="32">
        <f t="shared" si="59"/>
        <v>2</v>
      </c>
      <c r="AA176">
        <f>step3_validation[[#This Row],[AI_FAC1]]</f>
        <v>8</v>
      </c>
      <c r="AB176" t="str">
        <f t="shared" si="60"/>
        <v>Support</v>
      </c>
      <c r="AC176">
        <f>survey_responses[[#This Row],[Các thủ tục khai báo thuế VÀ/HOẶC quy trình làm việc với cơ quan thuế đơn giản, tiện lợi, nhanh chóng hơn so với trước đây. - HUMAN-FAC1]]</f>
        <v>4</v>
      </c>
      <c r="AD176" t="str">
        <f t="shared" si="61"/>
        <v>Oppose</v>
      </c>
      <c r="AE176" s="32">
        <f t="shared" si="62"/>
        <v>4</v>
      </c>
      <c r="AF176">
        <f>step3_validation[[#This Row],[AI_FAC2]]</f>
        <v>9</v>
      </c>
      <c r="AG176" t="str">
        <f t="shared" si="63"/>
        <v>Support</v>
      </c>
      <c r="AH176">
        <f>survey_responses[[#This Row],[So với trước đây, tôi thấy cách tính thuế và các bậc thuế trong phương án mới đơn giản, dễ hiểu và dễ thực hiện hơn. - HUMAN-FAC2]]</f>
        <v>6</v>
      </c>
      <c r="AI176" t="str">
        <f t="shared" si="64"/>
        <v>Neutral</v>
      </c>
      <c r="AJ176" s="32">
        <f t="shared" si="65"/>
        <v>3</v>
      </c>
      <c r="AK176">
        <f>step3_validation[[#This Row],[AI_TRU1]]</f>
        <v>7</v>
      </c>
      <c r="AL176" t="str">
        <f t="shared" si="66"/>
        <v>Neutral</v>
      </c>
      <c r="AM176">
        <f>survey_responses[[#This Row],[Tôi tin rằng Nhà nước, cơ quan thuế sẽ thực thi chính sách mới một cách khách quan, công tâm và đối xử bình đẳng với mọi người nộp thuế.  - HUMAN-TRU1]]</f>
        <v>4</v>
      </c>
      <c r="AN176" t="str">
        <f t="shared" si="67"/>
        <v>Oppose</v>
      </c>
      <c r="AO176" s="32">
        <f t="shared" si="68"/>
        <v>3</v>
      </c>
      <c r="AP176">
        <f>step3_validation[[#This Row],[AI_TRU2]]</f>
        <v>8</v>
      </c>
      <c r="AQ176" t="str">
        <f t="shared" si="69"/>
        <v>Support</v>
      </c>
      <c r="AR176">
        <f>survey_responses[[#This Row],[Tôi thấy mức thuế tôi phải đóng theo phương án mới là công bằng (người thu nhập như tôi đóng mức này là hợp lý). - HUMAN-TRU2]]</f>
        <v>4</v>
      </c>
      <c r="AS176" t="str">
        <f t="shared" si="70"/>
        <v>Oppose</v>
      </c>
      <c r="AT176" s="32">
        <f t="shared" si="71"/>
        <v>4</v>
      </c>
      <c r="AU176">
        <f>step3_validation[[#This Row],[AI_TRU3]]</f>
        <v>7</v>
      </c>
      <c r="AV176" t="str">
        <f t="shared" si="72"/>
        <v>Neutral</v>
      </c>
      <c r="AW176">
        <f>survey_responses[[#This Row],[Tôi tin tưởng số tiền thuế tôi đóng sẽ được Nhà nước sử dụng hiệu quả để cải thiện dịch vụ công (y tế, đường xá...). - HUMAN-TRU3]]</f>
        <v>4</v>
      </c>
      <c r="AX176" t="str">
        <f t="shared" si="73"/>
        <v>Oppose</v>
      </c>
      <c r="AY176" s="32">
        <f t="shared" si="74"/>
        <v>3</v>
      </c>
      <c r="AZ176">
        <f>step3_validation[[#This Row],[AI_TRU4]]</f>
        <v>6</v>
      </c>
      <c r="BA176" t="str">
        <f t="shared" si="75"/>
        <v>Neutral</v>
      </c>
      <c r="BB176">
        <f>survey_responses[[#This Row],[Tôi thấy Nhà nước đã giải thích rõ ràng, minh bạch về lý do và mục tiêu của việc sửa đổi thuế lần này. - HUMAN-TRU4]]</f>
        <v>5</v>
      </c>
      <c r="BC176" t="str">
        <f t="shared" si="76"/>
        <v>Neutral</v>
      </c>
      <c r="BD176" s="32">
        <f t="shared" si="77"/>
        <v>1</v>
      </c>
      <c r="BE176">
        <f>step3_validation[[#This Row],[AI_OUT1]]</f>
        <v>7</v>
      </c>
      <c r="BF176" t="str">
        <f t="shared" si="78"/>
        <v>Neutral</v>
      </c>
      <c r="BG176">
        <f>survey_responses[[#This Row],[Sau khi xem xét các quyền lợi và nghĩa vụ, bạn có ủng hộ và tuân thủ chính sách mới hiện nay? - HUMAN-OUT1]]</f>
        <v>4</v>
      </c>
      <c r="BH176" t="str">
        <f t="shared" si="79"/>
        <v>Oppose</v>
      </c>
      <c r="BI176" s="32">
        <f t="shared" si="80"/>
        <v>3</v>
      </c>
    </row>
    <row r="177" spans="1:61" x14ac:dyDescent="0.45">
      <c r="A177" s="30">
        <f>step3_validation[[#This Row],[Persona_ID]]</f>
        <v>176</v>
      </c>
      <c r="B177" s="31">
        <f>step3_validation[[#This Row],[Used_Seed]]</f>
        <v>2166</v>
      </c>
      <c r="C177" t="str">
        <f>step3_validation[[#This Row],[Gender]]</f>
        <v>Nữ</v>
      </c>
      <c r="D177" t="str">
        <f>survey_responses[[#This Row],[Giới tính của bạn:]]</f>
        <v>Nữ</v>
      </c>
      <c r="E177" t="str">
        <f>step3_validation[[#This Row],[Age_Group]]</f>
        <v>55 - 64</v>
      </c>
      <c r="F177" t="str">
        <f>survey_responses[[#This Row],[Độ tuổi của bạn:]]</f>
        <v>55 - 64</v>
      </c>
      <c r="G177" t="str">
        <f>step3_validation[[#This Row],[Region]]</f>
        <v>Nông thôn</v>
      </c>
      <c r="H177" t="str">
        <f>survey_responses[[#This Row],[Khu vực bạn đang sinh sống:]]</f>
        <v>Nông thôn</v>
      </c>
      <c r="I177" t="str">
        <f>step3_validation[[#This Row],[Education]]</f>
        <v>Sau Đại học</v>
      </c>
      <c r="J177" t="str">
        <f>survey_responses[[#This Row],[Trình độ học vấn cao nhất:]]</f>
        <v>Sau Đại học</v>
      </c>
      <c r="K177" t="str">
        <f>step3_validation[[#This Row],[Employment]]</f>
        <v>Chính thức</v>
      </c>
      <c r="L177" t="str">
        <f>survey_responses[[#This Row],[Tình trạng việc làm chính:]]</f>
        <v>Khu vực chính thức (Có Hợp đồng lao động, đóng BHXH)</v>
      </c>
      <c r="M177">
        <f>step3_validation[[#This Row],[Income_Mil]]</f>
        <v>147.16493116898454</v>
      </c>
      <c r="N177" t="str">
        <f>survey_responses[[#This Row],[Thu nhập bình quân tháng theo Hợp đồng lao động của bạn là bao nhiêu? (Vui lòng điền tổng thu nhập trước khi khấu trừ các loại Bảo hiểm (BHXH, BHYT, BHTN) và Thuế TNCN)]]</f>
        <v>Trên 102 triệu VNĐ</v>
      </c>
      <c r="O177">
        <f>step3_validation[[#This Row],[Dependents]]</f>
        <v>0</v>
      </c>
      <c r="P177" t="str">
        <f>survey_responses[[#This Row],[Số người phụ thuộc (con nhỏ, cha mẹ già...) đủ điều kiện giảm trừ gia cảnh:]]</f>
        <v>0 người</v>
      </c>
      <c r="Q177">
        <f>step3_validation[[#This Row],[AI_ENF1]]</f>
        <v>8</v>
      </c>
      <c r="R177" t="str">
        <f t="shared" si="54"/>
        <v>Support</v>
      </c>
      <c r="S177">
        <f>survey_responses[[#This Row],[Tôi tin rằng với các quy định quản lý thuế hiện nay, hành vi gian lận hoặc trốn thuế sẽ dễ dàng bị phát hiện và xử lý nghiêm. - HUMAN-ENF1]]</f>
        <v>2</v>
      </c>
      <c r="T177" t="str">
        <f t="shared" si="55"/>
        <v>Oppose</v>
      </c>
      <c r="U177" s="32">
        <f t="shared" si="56"/>
        <v>6</v>
      </c>
      <c r="V177">
        <f>step3_validation[[#This Row],[AI_ENF2]]</f>
        <v>7</v>
      </c>
      <c r="W177" t="str">
        <f t="shared" si="57"/>
        <v>Neutral</v>
      </c>
      <c r="X177">
        <f>survey_responses[[#This Row],[Tôi tin rằng Nhà nước, cơ quan thuế có đủ khả năng và công nghệ để phát hiện, xử lý nghiêm các hành vi trốn thuế. - HUMAN-ENF2]]</f>
        <v>4</v>
      </c>
      <c r="Y177" t="str">
        <f t="shared" si="58"/>
        <v>Oppose</v>
      </c>
      <c r="Z177" s="32">
        <f t="shared" si="59"/>
        <v>3</v>
      </c>
      <c r="AA177">
        <f>step3_validation[[#This Row],[AI_FAC1]]</f>
        <v>9</v>
      </c>
      <c r="AB177" t="str">
        <f t="shared" si="60"/>
        <v>Support</v>
      </c>
      <c r="AC177">
        <f>survey_responses[[#This Row],[Các thủ tục khai báo thuế VÀ/HOẶC quy trình làm việc với cơ quan thuế đơn giản, tiện lợi, nhanh chóng hơn so với trước đây. - HUMAN-FAC1]]</f>
        <v>3</v>
      </c>
      <c r="AD177" t="str">
        <f t="shared" si="61"/>
        <v>Oppose</v>
      </c>
      <c r="AE177" s="32">
        <f t="shared" si="62"/>
        <v>6</v>
      </c>
      <c r="AF177">
        <f>step3_validation[[#This Row],[AI_FAC2]]</f>
        <v>8</v>
      </c>
      <c r="AG177" t="str">
        <f t="shared" si="63"/>
        <v>Support</v>
      </c>
      <c r="AH177">
        <f>survey_responses[[#This Row],[So với trước đây, tôi thấy cách tính thuế và các bậc thuế trong phương án mới đơn giản, dễ hiểu và dễ thực hiện hơn. - HUMAN-FAC2]]</f>
        <v>5</v>
      </c>
      <c r="AI177" t="str">
        <f t="shared" si="64"/>
        <v>Neutral</v>
      </c>
      <c r="AJ177" s="32">
        <f t="shared" si="65"/>
        <v>3</v>
      </c>
      <c r="AK177">
        <f>step3_validation[[#This Row],[AI_TRU1]]</f>
        <v>7</v>
      </c>
      <c r="AL177" t="str">
        <f t="shared" si="66"/>
        <v>Neutral</v>
      </c>
      <c r="AM177">
        <f>survey_responses[[#This Row],[Tôi tin rằng Nhà nước, cơ quan thuế sẽ thực thi chính sách mới một cách khách quan, công tâm và đối xử bình đẳng với mọi người nộp thuế.  - HUMAN-TRU1]]</f>
        <v>4</v>
      </c>
      <c r="AN177" t="str">
        <f t="shared" si="67"/>
        <v>Oppose</v>
      </c>
      <c r="AO177" s="32">
        <f t="shared" si="68"/>
        <v>3</v>
      </c>
      <c r="AP177">
        <f>step3_validation[[#This Row],[AI_TRU2]]</f>
        <v>8</v>
      </c>
      <c r="AQ177" t="str">
        <f t="shared" si="69"/>
        <v>Support</v>
      </c>
      <c r="AR177">
        <f>survey_responses[[#This Row],[Tôi thấy mức thuế tôi phải đóng theo phương án mới là công bằng (người thu nhập như tôi đóng mức này là hợp lý). - HUMAN-TRU2]]</f>
        <v>1</v>
      </c>
      <c r="AS177" t="str">
        <f t="shared" si="70"/>
        <v>Oppose</v>
      </c>
      <c r="AT177" s="32">
        <f t="shared" si="71"/>
        <v>7</v>
      </c>
      <c r="AU177">
        <f>step3_validation[[#This Row],[AI_TRU3]]</f>
        <v>7</v>
      </c>
      <c r="AV177" t="str">
        <f t="shared" si="72"/>
        <v>Neutral</v>
      </c>
      <c r="AW177">
        <f>survey_responses[[#This Row],[Tôi tin tưởng số tiền thuế tôi đóng sẽ được Nhà nước sử dụng hiệu quả để cải thiện dịch vụ công (y tế, đường xá...). - HUMAN-TRU3]]</f>
        <v>1</v>
      </c>
      <c r="AX177" t="str">
        <f t="shared" si="73"/>
        <v>Oppose</v>
      </c>
      <c r="AY177" s="32">
        <f t="shared" si="74"/>
        <v>6</v>
      </c>
      <c r="AZ177">
        <f>step3_validation[[#This Row],[AI_TRU4]]</f>
        <v>8</v>
      </c>
      <c r="BA177" t="str">
        <f t="shared" si="75"/>
        <v>Support</v>
      </c>
      <c r="BB177">
        <f>survey_responses[[#This Row],[Tôi thấy Nhà nước đã giải thích rõ ràng, minh bạch về lý do và mục tiêu của việc sửa đổi thuế lần này. - HUMAN-TRU4]]</f>
        <v>4</v>
      </c>
      <c r="BC177" t="str">
        <f t="shared" si="76"/>
        <v>Oppose</v>
      </c>
      <c r="BD177" s="32">
        <f t="shared" si="77"/>
        <v>4</v>
      </c>
      <c r="BE177">
        <f>step3_validation[[#This Row],[AI_OUT1]]</f>
        <v>9</v>
      </c>
      <c r="BF177" t="str">
        <f t="shared" si="78"/>
        <v>Support</v>
      </c>
      <c r="BG177">
        <f>survey_responses[[#This Row],[Sau khi xem xét các quyền lợi và nghĩa vụ, bạn có ủng hộ và tuân thủ chính sách mới hiện nay? - HUMAN-OUT1]]</f>
        <v>4</v>
      </c>
      <c r="BH177" t="str">
        <f t="shared" si="79"/>
        <v>Oppose</v>
      </c>
      <c r="BI177" s="32">
        <f t="shared" si="80"/>
        <v>5</v>
      </c>
    </row>
    <row r="178" spans="1:61" x14ac:dyDescent="0.45">
      <c r="A178" s="30">
        <f>step3_validation[[#This Row],[Persona_ID]]</f>
        <v>177</v>
      </c>
      <c r="B178" s="31">
        <f>step3_validation[[#This Row],[Used_Seed]]</f>
        <v>2167</v>
      </c>
      <c r="C178" t="str">
        <f>step3_validation[[#This Row],[Gender]]</f>
        <v>Nữ</v>
      </c>
      <c r="D178" t="str">
        <f>survey_responses[[#This Row],[Giới tính của bạn:]]</f>
        <v>Nữ</v>
      </c>
      <c r="E178" t="str">
        <f>step3_validation[[#This Row],[Age_Group]]</f>
        <v>50 - 54</v>
      </c>
      <c r="F178" t="str">
        <f>survey_responses[[#This Row],[Độ tuổi của bạn:]]</f>
        <v>50 - 54</v>
      </c>
      <c r="G178" t="str">
        <f>step3_validation[[#This Row],[Region]]</f>
        <v>Thành thị</v>
      </c>
      <c r="H178" t="str">
        <f>survey_responses[[#This Row],[Khu vực bạn đang sinh sống:]]</f>
        <v>Thành thị</v>
      </c>
      <c r="I178" t="str">
        <f>step3_validation[[#This Row],[Education]]</f>
        <v>Sau Đại học</v>
      </c>
      <c r="J178" t="str">
        <f>survey_responses[[#This Row],[Trình độ học vấn cao nhất:]]</f>
        <v>Sau Đại học</v>
      </c>
      <c r="K178" t="str">
        <f>step3_validation[[#This Row],[Employment]]</f>
        <v>Chính thức</v>
      </c>
      <c r="L178" t="str">
        <f>survey_responses[[#This Row],[Tình trạng việc làm chính:]]</f>
        <v>Khu vực chính thức (Có Hợp đồng lao động, đóng BHXH)</v>
      </c>
      <c r="M178">
        <f>step3_validation[[#This Row],[Income_Mil]]</f>
        <v>96.316411587907751</v>
      </c>
      <c r="N178" t="str">
        <f>survey_responses[[#This Row],[Thu nhập bình quân tháng theo Hợp đồng lao động của bạn là bao nhiêu? (Vui lòng điền tổng thu nhập trước khi khấu trừ các loại Bảo hiểm (BHXH, BHYT, BHTN) và Thuế TNCN)]]</f>
        <v>Từ 70 - 102 triệu VNĐ</v>
      </c>
      <c r="O178">
        <f>step3_validation[[#This Row],[Dependents]]</f>
        <v>2</v>
      </c>
      <c r="P178" t="str">
        <f>survey_responses[[#This Row],[Số người phụ thuộc (con nhỏ, cha mẹ già...) đủ điều kiện giảm trừ gia cảnh:]]</f>
        <v>2 người</v>
      </c>
      <c r="Q178">
        <f>step3_validation[[#This Row],[AI_ENF1]]</f>
        <v>7</v>
      </c>
      <c r="R178" t="str">
        <f t="shared" si="54"/>
        <v>Neutral</v>
      </c>
      <c r="S178">
        <f>survey_responses[[#This Row],[Tôi tin rằng với các quy định quản lý thuế hiện nay, hành vi gian lận hoặc trốn thuế sẽ dễ dàng bị phát hiện và xử lý nghiêm. - HUMAN-ENF1]]</f>
        <v>4</v>
      </c>
      <c r="T178" t="str">
        <f t="shared" si="55"/>
        <v>Oppose</v>
      </c>
      <c r="U178" s="32">
        <f t="shared" si="56"/>
        <v>3</v>
      </c>
      <c r="V178">
        <f>step3_validation[[#This Row],[AI_ENF2]]</f>
        <v>8</v>
      </c>
      <c r="W178" t="str">
        <f t="shared" si="57"/>
        <v>Support</v>
      </c>
      <c r="X178">
        <f>survey_responses[[#This Row],[Tôi tin rằng Nhà nước, cơ quan thuế có đủ khả năng và công nghệ để phát hiện, xử lý nghiêm các hành vi trốn thuế. - HUMAN-ENF2]]</f>
        <v>4</v>
      </c>
      <c r="Y178" t="str">
        <f t="shared" si="58"/>
        <v>Oppose</v>
      </c>
      <c r="Z178" s="32">
        <f t="shared" si="59"/>
        <v>4</v>
      </c>
      <c r="AA178">
        <f>step3_validation[[#This Row],[AI_FAC1]]</f>
        <v>9</v>
      </c>
      <c r="AB178" t="str">
        <f t="shared" si="60"/>
        <v>Support</v>
      </c>
      <c r="AC178">
        <f>survey_responses[[#This Row],[Các thủ tục khai báo thuế VÀ/HOẶC quy trình làm việc với cơ quan thuế đơn giản, tiện lợi, nhanh chóng hơn so với trước đây. - HUMAN-FAC1]]</f>
        <v>3</v>
      </c>
      <c r="AD178" t="str">
        <f t="shared" si="61"/>
        <v>Oppose</v>
      </c>
      <c r="AE178" s="32">
        <f t="shared" si="62"/>
        <v>6</v>
      </c>
      <c r="AF178">
        <f>step3_validation[[#This Row],[AI_FAC2]]</f>
        <v>7</v>
      </c>
      <c r="AG178" t="str">
        <f t="shared" si="63"/>
        <v>Neutral</v>
      </c>
      <c r="AH178">
        <f>survey_responses[[#This Row],[So với trước đây, tôi thấy cách tính thuế và các bậc thuế trong phương án mới đơn giản, dễ hiểu và dễ thực hiện hơn. - HUMAN-FAC2]]</f>
        <v>5</v>
      </c>
      <c r="AI178" t="str">
        <f t="shared" si="64"/>
        <v>Neutral</v>
      </c>
      <c r="AJ178" s="32">
        <f t="shared" si="65"/>
        <v>2</v>
      </c>
      <c r="AK178">
        <f>step3_validation[[#This Row],[AI_TRU1]]</f>
        <v>9</v>
      </c>
      <c r="AL178" t="str">
        <f t="shared" si="66"/>
        <v>Support</v>
      </c>
      <c r="AM178">
        <f>survey_responses[[#This Row],[Tôi tin rằng Nhà nước, cơ quan thuế sẽ thực thi chính sách mới một cách khách quan, công tâm và đối xử bình đẳng với mọi người nộp thuế.  - HUMAN-TRU1]]</f>
        <v>3</v>
      </c>
      <c r="AN178" t="str">
        <f t="shared" si="67"/>
        <v>Oppose</v>
      </c>
      <c r="AO178" s="32">
        <f t="shared" si="68"/>
        <v>6</v>
      </c>
      <c r="AP178">
        <f>step3_validation[[#This Row],[AI_TRU2]]</f>
        <v>6</v>
      </c>
      <c r="AQ178" t="str">
        <f t="shared" si="69"/>
        <v>Neutral</v>
      </c>
      <c r="AR178">
        <f>survey_responses[[#This Row],[Tôi thấy mức thuế tôi phải đóng theo phương án mới là công bằng (người thu nhập như tôi đóng mức này là hợp lý). - HUMAN-TRU2]]</f>
        <v>2</v>
      </c>
      <c r="AS178" t="str">
        <f t="shared" si="70"/>
        <v>Oppose</v>
      </c>
      <c r="AT178" s="32">
        <f t="shared" si="71"/>
        <v>4</v>
      </c>
      <c r="AU178">
        <f>step3_validation[[#This Row],[AI_TRU3]]</f>
        <v>8</v>
      </c>
      <c r="AV178" t="str">
        <f t="shared" si="72"/>
        <v>Support</v>
      </c>
      <c r="AW178">
        <f>survey_responses[[#This Row],[Tôi tin tưởng số tiền thuế tôi đóng sẽ được Nhà nước sử dụng hiệu quả để cải thiện dịch vụ công (y tế, đường xá...). - HUMAN-TRU3]]</f>
        <v>1</v>
      </c>
      <c r="AX178" t="str">
        <f t="shared" si="73"/>
        <v>Oppose</v>
      </c>
      <c r="AY178" s="32">
        <f t="shared" si="74"/>
        <v>7</v>
      </c>
      <c r="AZ178">
        <f>step3_validation[[#This Row],[AI_TRU4]]</f>
        <v>7</v>
      </c>
      <c r="BA178" t="str">
        <f t="shared" si="75"/>
        <v>Neutral</v>
      </c>
      <c r="BB178">
        <f>survey_responses[[#This Row],[Tôi thấy Nhà nước đã giải thích rõ ràng, minh bạch về lý do và mục tiêu của việc sửa đổi thuế lần này. - HUMAN-TRU4]]</f>
        <v>1</v>
      </c>
      <c r="BC178" t="str">
        <f t="shared" si="76"/>
        <v>Oppose</v>
      </c>
      <c r="BD178" s="32">
        <f t="shared" si="77"/>
        <v>6</v>
      </c>
      <c r="BE178">
        <f>step3_validation[[#This Row],[AI_OUT1]]</f>
        <v>9</v>
      </c>
      <c r="BF178" t="str">
        <f t="shared" si="78"/>
        <v>Support</v>
      </c>
      <c r="BG178">
        <f>survey_responses[[#This Row],[Sau khi xem xét các quyền lợi và nghĩa vụ, bạn có ủng hộ và tuân thủ chính sách mới hiện nay? - HUMAN-OUT1]]</f>
        <v>1</v>
      </c>
      <c r="BH178" t="str">
        <f t="shared" si="79"/>
        <v>Oppose</v>
      </c>
      <c r="BI178" s="32">
        <f t="shared" si="80"/>
        <v>8</v>
      </c>
    </row>
    <row r="179" spans="1:61" x14ac:dyDescent="0.45">
      <c r="A179" s="30">
        <f>step3_validation[[#This Row],[Persona_ID]]</f>
        <v>178</v>
      </c>
      <c r="B179" s="31">
        <f>step3_validation[[#This Row],[Used_Seed]]</f>
        <v>2168</v>
      </c>
      <c r="C179" t="str">
        <f>step3_validation[[#This Row],[Gender]]</f>
        <v>Nữ</v>
      </c>
      <c r="D179" t="str">
        <f>survey_responses[[#This Row],[Giới tính của bạn:]]</f>
        <v>Nữ</v>
      </c>
      <c r="E179" t="str">
        <f>step3_validation[[#This Row],[Age_Group]]</f>
        <v>55 - 64</v>
      </c>
      <c r="F179" t="str">
        <f>survey_responses[[#This Row],[Độ tuổi của bạn:]]</f>
        <v>55 - 64</v>
      </c>
      <c r="G179" t="str">
        <f>step3_validation[[#This Row],[Region]]</f>
        <v>Thành thị</v>
      </c>
      <c r="H179" t="str">
        <f>survey_responses[[#This Row],[Khu vực bạn đang sinh sống:]]</f>
        <v>Thành thị</v>
      </c>
      <c r="I179" t="str">
        <f>step3_validation[[#This Row],[Education]]</f>
        <v>Đại học</v>
      </c>
      <c r="J179" t="str">
        <f>survey_responses[[#This Row],[Trình độ học vấn cao nhất:]]</f>
        <v>Đại học</v>
      </c>
      <c r="K179" t="str">
        <f>step3_validation[[#This Row],[Employment]]</f>
        <v>Chính thức</v>
      </c>
      <c r="L179" t="str">
        <f>survey_responses[[#This Row],[Tình trạng việc làm chính:]]</f>
        <v>Khu vực chính thức (Có Hợp đồng lao động, đóng BHXH)</v>
      </c>
      <c r="M179">
        <f>step3_validation[[#This Row],[Income_Mil]]</f>
        <v>39.72833427515674</v>
      </c>
      <c r="N179" t="str">
        <f>survey_responses[[#This Row],[Thu nhập bình quân tháng theo Hợp đồng lao động của bạn là bao nhiêu? (Vui lòng điền tổng thu nhập trước khi khấu trừ các loại Bảo hiểm (BHXH, BHYT, BHTN) và Thuế TNCN)]]</f>
        <v>Từ 32 - 48 triệu VNĐ</v>
      </c>
      <c r="O179">
        <f>step3_validation[[#This Row],[Dependents]]</f>
        <v>4</v>
      </c>
      <c r="P179" t="str">
        <f>survey_responses[[#This Row],[Số người phụ thuộc (con nhỏ, cha mẹ già...) đủ điều kiện giảm trừ gia cảnh:]]</f>
        <v>4 người trở lên</v>
      </c>
      <c r="Q179">
        <f>step3_validation[[#This Row],[AI_ENF1]]</f>
        <v>7</v>
      </c>
      <c r="R179" t="str">
        <f t="shared" si="54"/>
        <v>Neutral</v>
      </c>
      <c r="S179">
        <f>survey_responses[[#This Row],[Tôi tin rằng với các quy định quản lý thuế hiện nay, hành vi gian lận hoặc trốn thuế sẽ dễ dàng bị phát hiện và xử lý nghiêm. - HUMAN-ENF1]]</f>
        <v>6</v>
      </c>
      <c r="T179" t="str">
        <f t="shared" si="55"/>
        <v>Neutral</v>
      </c>
      <c r="U179" s="32">
        <f t="shared" si="56"/>
        <v>1</v>
      </c>
      <c r="V179">
        <f>step3_validation[[#This Row],[AI_ENF2]]</f>
        <v>6</v>
      </c>
      <c r="W179" t="str">
        <f t="shared" si="57"/>
        <v>Neutral</v>
      </c>
      <c r="X179">
        <f>survey_responses[[#This Row],[Tôi tin rằng Nhà nước, cơ quan thuế có đủ khả năng và công nghệ để phát hiện, xử lý nghiêm các hành vi trốn thuế. - HUMAN-ENF2]]</f>
        <v>7</v>
      </c>
      <c r="Y179" t="str">
        <f t="shared" si="58"/>
        <v>Neutral</v>
      </c>
      <c r="Z179" s="32">
        <f t="shared" si="59"/>
        <v>1</v>
      </c>
      <c r="AA179">
        <f>step3_validation[[#This Row],[AI_FAC1]]</f>
        <v>8</v>
      </c>
      <c r="AB179" t="str">
        <f t="shared" si="60"/>
        <v>Support</v>
      </c>
      <c r="AC179">
        <f>survey_responses[[#This Row],[Các thủ tục khai báo thuế VÀ/HOẶC quy trình làm việc với cơ quan thuế đơn giản, tiện lợi, nhanh chóng hơn so với trước đây. - HUMAN-FAC1]]</f>
        <v>6</v>
      </c>
      <c r="AD179" t="str">
        <f t="shared" si="61"/>
        <v>Neutral</v>
      </c>
      <c r="AE179" s="32">
        <f t="shared" si="62"/>
        <v>2</v>
      </c>
      <c r="AF179">
        <f>step3_validation[[#This Row],[AI_FAC2]]</f>
        <v>5</v>
      </c>
      <c r="AG179" t="str">
        <f t="shared" si="63"/>
        <v>Neutral</v>
      </c>
      <c r="AH179">
        <f>survey_responses[[#This Row],[So với trước đây, tôi thấy cách tính thuế và các bậc thuế trong phương án mới đơn giản, dễ hiểu và dễ thực hiện hơn. - HUMAN-FAC2]]</f>
        <v>6</v>
      </c>
      <c r="AI179" t="str">
        <f t="shared" si="64"/>
        <v>Neutral</v>
      </c>
      <c r="AJ179" s="32">
        <f t="shared" si="65"/>
        <v>1</v>
      </c>
      <c r="AK179">
        <f>step3_validation[[#This Row],[AI_TRU1]]</f>
        <v>7</v>
      </c>
      <c r="AL179" t="str">
        <f t="shared" si="66"/>
        <v>Neutral</v>
      </c>
      <c r="AM179">
        <f>survey_responses[[#This Row],[Tôi tin rằng Nhà nước, cơ quan thuế sẽ thực thi chính sách mới một cách khách quan, công tâm và đối xử bình đẳng với mọi người nộp thuế.  - HUMAN-TRU1]]</f>
        <v>6</v>
      </c>
      <c r="AN179" t="str">
        <f t="shared" si="67"/>
        <v>Neutral</v>
      </c>
      <c r="AO179" s="32">
        <f t="shared" si="68"/>
        <v>1</v>
      </c>
      <c r="AP179">
        <f>step3_validation[[#This Row],[AI_TRU2]]</f>
        <v>4</v>
      </c>
      <c r="AQ179" t="str">
        <f t="shared" si="69"/>
        <v>Oppose</v>
      </c>
      <c r="AR179">
        <f>survey_responses[[#This Row],[Tôi thấy mức thuế tôi phải đóng theo phương án mới là công bằng (người thu nhập như tôi đóng mức này là hợp lý). - HUMAN-TRU2]]</f>
        <v>7</v>
      </c>
      <c r="AS179" t="str">
        <f t="shared" si="70"/>
        <v>Neutral</v>
      </c>
      <c r="AT179" s="32">
        <f t="shared" si="71"/>
        <v>3</v>
      </c>
      <c r="AU179">
        <f>step3_validation[[#This Row],[AI_TRU3]]</f>
        <v>6</v>
      </c>
      <c r="AV179" t="str">
        <f t="shared" si="72"/>
        <v>Neutral</v>
      </c>
      <c r="AW179">
        <f>survey_responses[[#This Row],[Tôi tin tưởng số tiền thuế tôi đóng sẽ được Nhà nước sử dụng hiệu quả để cải thiện dịch vụ công (y tế, đường xá...). - HUMAN-TRU3]]</f>
        <v>5</v>
      </c>
      <c r="AX179" t="str">
        <f t="shared" si="73"/>
        <v>Neutral</v>
      </c>
      <c r="AY179" s="32">
        <f t="shared" si="74"/>
        <v>1</v>
      </c>
      <c r="AZ179">
        <f>step3_validation[[#This Row],[AI_TRU4]]</f>
        <v>5</v>
      </c>
      <c r="BA179" t="str">
        <f t="shared" si="75"/>
        <v>Neutral</v>
      </c>
      <c r="BB179">
        <f>survey_responses[[#This Row],[Tôi thấy Nhà nước đã giải thích rõ ràng, minh bạch về lý do và mục tiêu của việc sửa đổi thuế lần này. - HUMAN-TRU4]]</f>
        <v>6</v>
      </c>
      <c r="BC179" t="str">
        <f t="shared" si="76"/>
        <v>Neutral</v>
      </c>
      <c r="BD179" s="32">
        <f t="shared" si="77"/>
        <v>1</v>
      </c>
      <c r="BE179">
        <f>step3_validation[[#This Row],[AI_OUT1]]</f>
        <v>7</v>
      </c>
      <c r="BF179" t="str">
        <f t="shared" si="78"/>
        <v>Neutral</v>
      </c>
      <c r="BG179">
        <f>survey_responses[[#This Row],[Sau khi xem xét các quyền lợi và nghĩa vụ, bạn có ủng hộ và tuân thủ chính sách mới hiện nay? - HUMAN-OUT1]]</f>
        <v>7</v>
      </c>
      <c r="BH179" t="str">
        <f t="shared" si="79"/>
        <v>Neutral</v>
      </c>
      <c r="BI179" s="32">
        <f t="shared" si="80"/>
        <v>0</v>
      </c>
    </row>
    <row r="180" spans="1:61" x14ac:dyDescent="0.45">
      <c r="A180" s="30">
        <f>step3_validation[[#This Row],[Persona_ID]]</f>
        <v>179</v>
      </c>
      <c r="B180" s="31">
        <f>step3_validation[[#This Row],[Used_Seed]]</f>
        <v>2169</v>
      </c>
      <c r="C180" t="str">
        <f>step3_validation[[#This Row],[Gender]]</f>
        <v>Nữ</v>
      </c>
      <c r="D180" t="str">
        <f>survey_responses[[#This Row],[Giới tính của bạn:]]</f>
        <v>Nữ</v>
      </c>
      <c r="E180" t="str">
        <f>step3_validation[[#This Row],[Age_Group]]</f>
        <v>30 - 39</v>
      </c>
      <c r="F180" t="str">
        <f>survey_responses[[#This Row],[Độ tuổi của bạn:]]</f>
        <v>30 - 39</v>
      </c>
      <c r="G180" t="str">
        <f>step3_validation[[#This Row],[Region]]</f>
        <v>Thành thị</v>
      </c>
      <c r="H180" t="str">
        <f>survey_responses[[#This Row],[Khu vực bạn đang sinh sống:]]</f>
        <v>Thành thị</v>
      </c>
      <c r="I180" t="str">
        <f>step3_validation[[#This Row],[Education]]</f>
        <v>Sau Đại học</v>
      </c>
      <c r="J180" t="str">
        <f>survey_responses[[#This Row],[Trình độ học vấn cao nhất:]]</f>
        <v>Sau Đại học</v>
      </c>
      <c r="K180" t="str">
        <f>step3_validation[[#This Row],[Employment]]</f>
        <v>Chính thức</v>
      </c>
      <c r="L180" t="str">
        <f>survey_responses[[#This Row],[Tình trạng việc làm chính:]]</f>
        <v>Khu vực chính thức (Có Hợp đồng lao động, đóng BHXH)</v>
      </c>
      <c r="M180">
        <f>step3_validation[[#This Row],[Income_Mil]]</f>
        <v>29.587478458911249</v>
      </c>
      <c r="N180" t="str">
        <f>survey_responses[[#This Row],[Thu nhập bình quân tháng theo Hợp đồng lao động của bạn là bao nhiêu? (Vui lòng điền tổng thu nhập trước khi khấu trừ các loại Bảo hiểm (BHXH, BHYT, BHTN) và Thuế TNCN)]]</f>
        <v>Từ 23 - 32 triệu VNĐ</v>
      </c>
      <c r="O180">
        <f>step3_validation[[#This Row],[Dependents]]</f>
        <v>1</v>
      </c>
      <c r="P180" t="str">
        <f>survey_responses[[#This Row],[Số người phụ thuộc (con nhỏ, cha mẹ già...) đủ điều kiện giảm trừ gia cảnh:]]</f>
        <v>1 người</v>
      </c>
      <c r="Q180">
        <f>step3_validation[[#This Row],[AI_ENF1]]</f>
        <v>6</v>
      </c>
      <c r="R180" t="str">
        <f t="shared" si="54"/>
        <v>Neutral</v>
      </c>
      <c r="S180">
        <f>survey_responses[[#This Row],[Tôi tin rằng với các quy định quản lý thuế hiện nay, hành vi gian lận hoặc trốn thuế sẽ dễ dàng bị phát hiện và xử lý nghiêm. - HUMAN-ENF1]]</f>
        <v>7</v>
      </c>
      <c r="T180" t="str">
        <f t="shared" si="55"/>
        <v>Neutral</v>
      </c>
      <c r="U180" s="32">
        <f t="shared" si="56"/>
        <v>1</v>
      </c>
      <c r="V180">
        <f>step3_validation[[#This Row],[AI_ENF2]]</f>
        <v>7</v>
      </c>
      <c r="W180" t="str">
        <f t="shared" si="57"/>
        <v>Neutral</v>
      </c>
      <c r="X180">
        <f>survey_responses[[#This Row],[Tôi tin rằng Nhà nước, cơ quan thuế có đủ khả năng và công nghệ để phát hiện, xử lý nghiêm các hành vi trốn thuế. - HUMAN-ENF2]]</f>
        <v>7</v>
      </c>
      <c r="Y180" t="str">
        <f t="shared" si="58"/>
        <v>Neutral</v>
      </c>
      <c r="Z180" s="32">
        <f t="shared" si="59"/>
        <v>0</v>
      </c>
      <c r="AA180">
        <f>step3_validation[[#This Row],[AI_FAC1]]</f>
        <v>8</v>
      </c>
      <c r="AB180" t="str">
        <f t="shared" si="60"/>
        <v>Support</v>
      </c>
      <c r="AC180">
        <f>survey_responses[[#This Row],[Các thủ tục khai báo thuế VÀ/HOẶC quy trình làm việc với cơ quan thuế đơn giản, tiện lợi, nhanh chóng hơn so với trước đây. - HUMAN-FAC1]]</f>
        <v>7</v>
      </c>
      <c r="AD180" t="str">
        <f t="shared" si="61"/>
        <v>Neutral</v>
      </c>
      <c r="AE180" s="32">
        <f t="shared" si="62"/>
        <v>1</v>
      </c>
      <c r="AF180">
        <f>step3_validation[[#This Row],[AI_FAC2]]</f>
        <v>7</v>
      </c>
      <c r="AG180" t="str">
        <f t="shared" si="63"/>
        <v>Neutral</v>
      </c>
      <c r="AH180">
        <f>survey_responses[[#This Row],[So với trước đây, tôi thấy cách tính thuế và các bậc thuế trong phương án mới đơn giản, dễ hiểu và dễ thực hiện hơn. - HUMAN-FAC2]]</f>
        <v>8</v>
      </c>
      <c r="AI180" t="str">
        <f t="shared" si="64"/>
        <v>Support</v>
      </c>
      <c r="AJ180" s="32">
        <f t="shared" si="65"/>
        <v>1</v>
      </c>
      <c r="AK180">
        <f>step3_validation[[#This Row],[AI_TRU1]]</f>
        <v>6</v>
      </c>
      <c r="AL180" t="str">
        <f t="shared" si="66"/>
        <v>Neutral</v>
      </c>
      <c r="AM180">
        <f>survey_responses[[#This Row],[Tôi tin rằng Nhà nước, cơ quan thuế sẽ thực thi chính sách mới một cách khách quan, công tâm và đối xử bình đẳng với mọi người nộp thuế.  - HUMAN-TRU1]]</f>
        <v>7</v>
      </c>
      <c r="AN180" t="str">
        <f t="shared" si="67"/>
        <v>Neutral</v>
      </c>
      <c r="AO180" s="32">
        <f t="shared" si="68"/>
        <v>1</v>
      </c>
      <c r="AP180">
        <f>step3_validation[[#This Row],[AI_TRU2]]</f>
        <v>7</v>
      </c>
      <c r="AQ180" t="str">
        <f t="shared" si="69"/>
        <v>Neutral</v>
      </c>
      <c r="AR180">
        <f>survey_responses[[#This Row],[Tôi thấy mức thuế tôi phải đóng theo phương án mới là công bằng (người thu nhập như tôi đóng mức này là hợp lý). - HUMAN-TRU2]]</f>
        <v>8</v>
      </c>
      <c r="AS180" t="str">
        <f t="shared" si="70"/>
        <v>Support</v>
      </c>
      <c r="AT180" s="32">
        <f t="shared" si="71"/>
        <v>1</v>
      </c>
      <c r="AU180">
        <f>step3_validation[[#This Row],[AI_TRU3]]</f>
        <v>6</v>
      </c>
      <c r="AV180" t="str">
        <f t="shared" si="72"/>
        <v>Neutral</v>
      </c>
      <c r="AW180">
        <f>survey_responses[[#This Row],[Tôi tin tưởng số tiền thuế tôi đóng sẽ được Nhà nước sử dụng hiệu quả để cải thiện dịch vụ công (y tế, đường xá...). - HUMAN-TRU3]]</f>
        <v>7</v>
      </c>
      <c r="AX180" t="str">
        <f t="shared" si="73"/>
        <v>Neutral</v>
      </c>
      <c r="AY180" s="32">
        <f t="shared" si="74"/>
        <v>1</v>
      </c>
      <c r="AZ180">
        <f>step3_validation[[#This Row],[AI_TRU4]]</f>
        <v>6</v>
      </c>
      <c r="BA180" t="str">
        <f t="shared" si="75"/>
        <v>Neutral</v>
      </c>
      <c r="BB180">
        <f>survey_responses[[#This Row],[Tôi thấy Nhà nước đã giải thích rõ ràng, minh bạch về lý do và mục tiêu của việc sửa đổi thuế lần này. - HUMAN-TRU4]]</f>
        <v>7</v>
      </c>
      <c r="BC180" t="str">
        <f t="shared" si="76"/>
        <v>Neutral</v>
      </c>
      <c r="BD180" s="32">
        <f t="shared" si="77"/>
        <v>1</v>
      </c>
      <c r="BE180">
        <f>step3_validation[[#This Row],[AI_OUT1]]</f>
        <v>7</v>
      </c>
      <c r="BF180" t="str">
        <f t="shared" si="78"/>
        <v>Neutral</v>
      </c>
      <c r="BG180">
        <f>survey_responses[[#This Row],[Sau khi xem xét các quyền lợi và nghĩa vụ, bạn có ủng hộ và tuân thủ chính sách mới hiện nay? - HUMAN-OUT1]]</f>
        <v>8</v>
      </c>
      <c r="BH180" t="str">
        <f t="shared" si="79"/>
        <v>Support</v>
      </c>
      <c r="BI180" s="32">
        <f t="shared" si="80"/>
        <v>1</v>
      </c>
    </row>
    <row r="181" spans="1:61" x14ac:dyDescent="0.45">
      <c r="A181" s="30">
        <f>step3_validation[[#This Row],[Persona_ID]]</f>
        <v>180</v>
      </c>
      <c r="B181" s="31">
        <f>step3_validation[[#This Row],[Used_Seed]]</f>
        <v>2170</v>
      </c>
      <c r="C181" t="str">
        <f>step3_validation[[#This Row],[Gender]]</f>
        <v>Nữ</v>
      </c>
      <c r="D181" t="str">
        <f>survey_responses[[#This Row],[Giới tính của bạn:]]</f>
        <v>Nữ</v>
      </c>
      <c r="E181" t="str">
        <f>step3_validation[[#This Row],[Age_Group]]</f>
        <v>40 - 49</v>
      </c>
      <c r="F181" t="str">
        <f>survey_responses[[#This Row],[Độ tuổi của bạn:]]</f>
        <v>40 - 49</v>
      </c>
      <c r="G181" t="str">
        <f>step3_validation[[#This Row],[Region]]</f>
        <v>Thành thị</v>
      </c>
      <c r="H181" t="str">
        <f>survey_responses[[#This Row],[Khu vực bạn đang sinh sống:]]</f>
        <v>Thành thị</v>
      </c>
      <c r="I181" t="str">
        <f>step3_validation[[#This Row],[Education]]</f>
        <v>Đại học</v>
      </c>
      <c r="J181" t="str">
        <f>survey_responses[[#This Row],[Trình độ học vấn cao nhất:]]</f>
        <v>Đại học</v>
      </c>
      <c r="K181" t="str">
        <f>step3_validation[[#This Row],[Employment]]</f>
        <v>Chính thức</v>
      </c>
      <c r="L181" t="str">
        <f>survey_responses[[#This Row],[Tình trạng việc làm chính:]]</f>
        <v>Khu vực chính thức (Có Hợp đồng lao động, đóng BHXH)</v>
      </c>
      <c r="M181">
        <f>step3_validation[[#This Row],[Income_Mil]]</f>
        <v>57.142928137015538</v>
      </c>
      <c r="N181" t="str">
        <f>survey_responses[[#This Row],[Thu nhập bình quân tháng theo Hợp đồng lao động của bạn là bao nhiêu? (Vui lòng điền tổng thu nhập trước khi khấu trừ các loại Bảo hiểm (BHXH, BHYT, BHTN) và Thuế TNCN)]]</f>
        <v>Từ 48 - 70 triệu VNĐ</v>
      </c>
      <c r="O181">
        <f>step3_validation[[#This Row],[Dependents]]</f>
        <v>1</v>
      </c>
      <c r="P181" t="str">
        <f>survey_responses[[#This Row],[Số người phụ thuộc (con nhỏ, cha mẹ già...) đủ điều kiện giảm trừ gia cảnh:]]</f>
        <v>1 người</v>
      </c>
      <c r="Q181">
        <f>step3_validation[[#This Row],[AI_ENF1]]</f>
        <v>8</v>
      </c>
      <c r="R181" t="str">
        <f t="shared" si="54"/>
        <v>Support</v>
      </c>
      <c r="S181">
        <f>survey_responses[[#This Row],[Tôi tin rằng với các quy định quản lý thuế hiện nay, hành vi gian lận hoặc trốn thuế sẽ dễ dàng bị phát hiện và xử lý nghiêm. - HUMAN-ENF1]]</f>
        <v>5</v>
      </c>
      <c r="T181" t="str">
        <f t="shared" si="55"/>
        <v>Neutral</v>
      </c>
      <c r="U181" s="32">
        <f t="shared" si="56"/>
        <v>3</v>
      </c>
      <c r="V181">
        <f>step3_validation[[#This Row],[AI_ENF2]]</f>
        <v>7</v>
      </c>
      <c r="W181" t="str">
        <f t="shared" si="57"/>
        <v>Neutral</v>
      </c>
      <c r="X181">
        <f>survey_responses[[#This Row],[Tôi tin rằng Nhà nước, cơ quan thuế có đủ khả năng và công nghệ để phát hiện, xử lý nghiêm các hành vi trốn thuế. - HUMAN-ENF2]]</f>
        <v>5</v>
      </c>
      <c r="Y181" t="str">
        <f t="shared" si="58"/>
        <v>Neutral</v>
      </c>
      <c r="Z181" s="32">
        <f t="shared" si="59"/>
        <v>2</v>
      </c>
      <c r="AA181">
        <f>step3_validation[[#This Row],[AI_FAC1]]</f>
        <v>9</v>
      </c>
      <c r="AB181" t="str">
        <f t="shared" si="60"/>
        <v>Support</v>
      </c>
      <c r="AC181">
        <f>survey_responses[[#This Row],[Các thủ tục khai báo thuế VÀ/HOẶC quy trình làm việc với cơ quan thuế đơn giản, tiện lợi, nhanh chóng hơn so với trước đây. - HUMAN-FAC1]]</f>
        <v>5</v>
      </c>
      <c r="AD181" t="str">
        <f t="shared" si="61"/>
        <v>Neutral</v>
      </c>
      <c r="AE181" s="32">
        <f t="shared" si="62"/>
        <v>4</v>
      </c>
      <c r="AF181">
        <f>step3_validation[[#This Row],[AI_FAC2]]</f>
        <v>8</v>
      </c>
      <c r="AG181" t="str">
        <f t="shared" si="63"/>
        <v>Support</v>
      </c>
      <c r="AH181">
        <f>survey_responses[[#This Row],[So với trước đây, tôi thấy cách tính thuế và các bậc thuế trong phương án mới đơn giản, dễ hiểu và dễ thực hiện hơn. - HUMAN-FAC2]]</f>
        <v>7</v>
      </c>
      <c r="AI181" t="str">
        <f t="shared" si="64"/>
        <v>Neutral</v>
      </c>
      <c r="AJ181" s="32">
        <f t="shared" si="65"/>
        <v>1</v>
      </c>
      <c r="AK181">
        <f>step3_validation[[#This Row],[AI_TRU1]]</f>
        <v>7</v>
      </c>
      <c r="AL181" t="str">
        <f t="shared" si="66"/>
        <v>Neutral</v>
      </c>
      <c r="AM181">
        <f>survey_responses[[#This Row],[Tôi tin rằng Nhà nước, cơ quan thuế sẽ thực thi chính sách mới một cách khách quan, công tâm và đối xử bình đẳng với mọi người nộp thuế.  - HUMAN-TRU1]]</f>
        <v>5</v>
      </c>
      <c r="AN181" t="str">
        <f t="shared" si="67"/>
        <v>Neutral</v>
      </c>
      <c r="AO181" s="32">
        <f t="shared" si="68"/>
        <v>2</v>
      </c>
      <c r="AP181">
        <f>step3_validation[[#This Row],[AI_TRU2]]</f>
        <v>6</v>
      </c>
      <c r="AQ181" t="str">
        <f t="shared" si="69"/>
        <v>Neutral</v>
      </c>
      <c r="AR181">
        <f>survey_responses[[#This Row],[Tôi thấy mức thuế tôi phải đóng theo phương án mới là công bằng (người thu nhập như tôi đóng mức này là hợp lý). - HUMAN-TRU2]]</f>
        <v>6</v>
      </c>
      <c r="AS181" t="str">
        <f t="shared" si="70"/>
        <v>Neutral</v>
      </c>
      <c r="AT181" s="32">
        <f t="shared" si="71"/>
        <v>0</v>
      </c>
      <c r="AU181">
        <f>step3_validation[[#This Row],[AI_TRU3]]</f>
        <v>5</v>
      </c>
      <c r="AV181" t="str">
        <f t="shared" si="72"/>
        <v>Neutral</v>
      </c>
      <c r="AW181">
        <f>survey_responses[[#This Row],[Tôi tin tưởng số tiền thuế tôi đóng sẽ được Nhà nước sử dụng hiệu quả để cải thiện dịch vụ công (y tế, đường xá...). - HUMAN-TRU3]]</f>
        <v>5</v>
      </c>
      <c r="AX181" t="str">
        <f t="shared" si="73"/>
        <v>Neutral</v>
      </c>
      <c r="AY181" s="32">
        <f t="shared" si="74"/>
        <v>0</v>
      </c>
      <c r="AZ181">
        <f>step3_validation[[#This Row],[AI_TRU4]]</f>
        <v>7</v>
      </c>
      <c r="BA181" t="str">
        <f t="shared" si="75"/>
        <v>Neutral</v>
      </c>
      <c r="BB181">
        <f>survey_responses[[#This Row],[Tôi thấy Nhà nước đã giải thích rõ ràng, minh bạch về lý do và mục tiêu của việc sửa đổi thuế lần này. - HUMAN-TRU4]]</f>
        <v>7</v>
      </c>
      <c r="BC181" t="str">
        <f t="shared" si="76"/>
        <v>Neutral</v>
      </c>
      <c r="BD181" s="32">
        <f t="shared" si="77"/>
        <v>0</v>
      </c>
      <c r="BE181">
        <f>step3_validation[[#This Row],[AI_OUT1]]</f>
        <v>6</v>
      </c>
      <c r="BF181" t="str">
        <f t="shared" si="78"/>
        <v>Neutral</v>
      </c>
      <c r="BG181">
        <f>survey_responses[[#This Row],[Sau khi xem xét các quyền lợi và nghĩa vụ, bạn có ủng hộ và tuân thủ chính sách mới hiện nay? - HUMAN-OUT1]]</f>
        <v>7</v>
      </c>
      <c r="BH181" t="str">
        <f t="shared" si="79"/>
        <v>Neutral</v>
      </c>
      <c r="BI181" s="32">
        <f t="shared" si="80"/>
        <v>1</v>
      </c>
    </row>
    <row r="182" spans="1:61" x14ac:dyDescent="0.45">
      <c r="A182" s="30">
        <f>step3_validation[[#This Row],[Persona_ID]]</f>
        <v>181</v>
      </c>
      <c r="B182" s="31">
        <f>step3_validation[[#This Row],[Used_Seed]]</f>
        <v>2171</v>
      </c>
      <c r="C182" t="str">
        <f>step3_validation[[#This Row],[Gender]]</f>
        <v>Nữ</v>
      </c>
      <c r="D182" t="str">
        <f>survey_responses[[#This Row],[Giới tính của bạn:]]</f>
        <v>Nữ</v>
      </c>
      <c r="E182" t="str">
        <f>step3_validation[[#This Row],[Age_Group]]</f>
        <v>30 - 39</v>
      </c>
      <c r="F182" t="str">
        <f>survey_responses[[#This Row],[Độ tuổi của bạn:]]</f>
        <v>30 - 39</v>
      </c>
      <c r="G182" t="str">
        <f>step3_validation[[#This Row],[Region]]</f>
        <v>Thành thị</v>
      </c>
      <c r="H182" t="str">
        <f>survey_responses[[#This Row],[Khu vực bạn đang sinh sống:]]</f>
        <v>Thành thị</v>
      </c>
      <c r="I182" t="str">
        <f>step3_validation[[#This Row],[Education]]</f>
        <v>Sau Đại học</v>
      </c>
      <c r="J182" t="str">
        <f>survey_responses[[#This Row],[Trình độ học vấn cao nhất:]]</f>
        <v>Sau Đại học</v>
      </c>
      <c r="K182" t="str">
        <f>step3_validation[[#This Row],[Employment]]</f>
        <v>Chính thức</v>
      </c>
      <c r="L182" t="str">
        <f>survey_responses[[#This Row],[Tình trạng việc làm chính:]]</f>
        <v>Khu vực chính thức (Có Hợp đồng lao động, đóng BHXH)</v>
      </c>
      <c r="M182">
        <f>step3_validation[[#This Row],[Income_Mil]]</f>
        <v>59.561958120153506</v>
      </c>
      <c r="N182" t="str">
        <f>survey_responses[[#This Row],[Thu nhập bình quân tháng theo Hợp đồng lao động của bạn là bao nhiêu? (Vui lòng điền tổng thu nhập trước khi khấu trừ các loại Bảo hiểm (BHXH, BHYT, BHTN) và Thuế TNCN)]]</f>
        <v>Từ 48 - 70 triệu VNĐ</v>
      </c>
      <c r="O182">
        <f>step3_validation[[#This Row],[Dependents]]</f>
        <v>2</v>
      </c>
      <c r="P182" t="str">
        <f>survey_responses[[#This Row],[Số người phụ thuộc (con nhỏ, cha mẹ già...) đủ điều kiện giảm trừ gia cảnh:]]</f>
        <v>2 người</v>
      </c>
      <c r="Q182">
        <f>step3_validation[[#This Row],[AI_ENF1]]</f>
        <v>8</v>
      </c>
      <c r="R182" t="str">
        <f t="shared" si="54"/>
        <v>Support</v>
      </c>
      <c r="S182">
        <f>survey_responses[[#This Row],[Tôi tin rằng với các quy định quản lý thuế hiện nay, hành vi gian lận hoặc trốn thuế sẽ dễ dàng bị phát hiện và xử lý nghiêm. - HUMAN-ENF1]]</f>
        <v>6</v>
      </c>
      <c r="T182" t="str">
        <f t="shared" si="55"/>
        <v>Neutral</v>
      </c>
      <c r="U182" s="32">
        <f t="shared" si="56"/>
        <v>2</v>
      </c>
      <c r="V182">
        <f>step3_validation[[#This Row],[AI_ENF2]]</f>
        <v>9</v>
      </c>
      <c r="W182" t="str">
        <f t="shared" si="57"/>
        <v>Support</v>
      </c>
      <c r="X182">
        <f>survey_responses[[#This Row],[Tôi tin rằng Nhà nước, cơ quan thuế có đủ khả năng và công nghệ để phát hiện, xử lý nghiêm các hành vi trốn thuế. - HUMAN-ENF2]]</f>
        <v>7</v>
      </c>
      <c r="Y182" t="str">
        <f t="shared" si="58"/>
        <v>Neutral</v>
      </c>
      <c r="Z182" s="32">
        <f t="shared" si="59"/>
        <v>2</v>
      </c>
      <c r="AA182">
        <f>step3_validation[[#This Row],[AI_FAC1]]</f>
        <v>7</v>
      </c>
      <c r="AB182" t="str">
        <f t="shared" si="60"/>
        <v>Neutral</v>
      </c>
      <c r="AC182">
        <f>survey_responses[[#This Row],[Các thủ tục khai báo thuế VÀ/HOẶC quy trình làm việc với cơ quan thuế đơn giản, tiện lợi, nhanh chóng hơn so với trước đây. - HUMAN-FAC1]]</f>
        <v>7</v>
      </c>
      <c r="AD182" t="str">
        <f t="shared" si="61"/>
        <v>Neutral</v>
      </c>
      <c r="AE182" s="32">
        <f t="shared" si="62"/>
        <v>0</v>
      </c>
      <c r="AF182">
        <f>step3_validation[[#This Row],[AI_FAC2]]</f>
        <v>6</v>
      </c>
      <c r="AG182" t="str">
        <f t="shared" si="63"/>
        <v>Neutral</v>
      </c>
      <c r="AH182">
        <f>survey_responses[[#This Row],[So với trước đây, tôi thấy cách tính thuế và các bậc thuế trong phương án mới đơn giản, dễ hiểu và dễ thực hiện hơn. - HUMAN-FAC2]]</f>
        <v>8</v>
      </c>
      <c r="AI182" t="str">
        <f t="shared" si="64"/>
        <v>Support</v>
      </c>
      <c r="AJ182" s="32">
        <f t="shared" si="65"/>
        <v>2</v>
      </c>
      <c r="AK182">
        <f>step3_validation[[#This Row],[AI_TRU1]]</f>
        <v>8</v>
      </c>
      <c r="AL182" t="str">
        <f t="shared" si="66"/>
        <v>Support</v>
      </c>
      <c r="AM182">
        <f>survey_responses[[#This Row],[Tôi tin rằng Nhà nước, cơ quan thuế sẽ thực thi chính sách mới một cách khách quan, công tâm và đối xử bình đẳng với mọi người nộp thuế.  - HUMAN-TRU1]]</f>
        <v>8</v>
      </c>
      <c r="AN182" t="str">
        <f t="shared" si="67"/>
        <v>Support</v>
      </c>
      <c r="AO182" s="32">
        <f t="shared" si="68"/>
        <v>0</v>
      </c>
      <c r="AP182">
        <f>step3_validation[[#This Row],[AI_TRU2]]</f>
        <v>7</v>
      </c>
      <c r="AQ182" t="str">
        <f t="shared" si="69"/>
        <v>Neutral</v>
      </c>
      <c r="AR182">
        <f>survey_responses[[#This Row],[Tôi thấy mức thuế tôi phải đóng theo phương án mới là công bằng (người thu nhập như tôi đóng mức này là hợp lý). - HUMAN-TRU2]]</f>
        <v>7</v>
      </c>
      <c r="AS182" t="str">
        <f t="shared" si="70"/>
        <v>Neutral</v>
      </c>
      <c r="AT182" s="32">
        <f t="shared" si="71"/>
        <v>0</v>
      </c>
      <c r="AU182">
        <f>step3_validation[[#This Row],[AI_TRU3]]</f>
        <v>8</v>
      </c>
      <c r="AV182" t="str">
        <f t="shared" si="72"/>
        <v>Support</v>
      </c>
      <c r="AW182">
        <f>survey_responses[[#This Row],[Tôi tin tưởng số tiền thuế tôi đóng sẽ được Nhà nước sử dụng hiệu quả để cải thiện dịch vụ công (y tế, đường xá...). - HUMAN-TRU3]]</f>
        <v>5</v>
      </c>
      <c r="AX182" t="str">
        <f t="shared" si="73"/>
        <v>Neutral</v>
      </c>
      <c r="AY182" s="32">
        <f t="shared" si="74"/>
        <v>3</v>
      </c>
      <c r="AZ182">
        <f>step3_validation[[#This Row],[AI_TRU4]]</f>
        <v>7</v>
      </c>
      <c r="BA182" t="str">
        <f t="shared" si="75"/>
        <v>Neutral</v>
      </c>
      <c r="BB182">
        <f>survey_responses[[#This Row],[Tôi thấy Nhà nước đã giải thích rõ ràng, minh bạch về lý do và mục tiêu của việc sửa đổi thuế lần này. - HUMAN-TRU4]]</f>
        <v>7</v>
      </c>
      <c r="BC182" t="str">
        <f t="shared" si="76"/>
        <v>Neutral</v>
      </c>
      <c r="BD182" s="32">
        <f t="shared" si="77"/>
        <v>0</v>
      </c>
      <c r="BE182">
        <f>step3_validation[[#This Row],[AI_OUT1]]</f>
        <v>8</v>
      </c>
      <c r="BF182" t="str">
        <f t="shared" si="78"/>
        <v>Support</v>
      </c>
      <c r="BG182">
        <f>survey_responses[[#This Row],[Sau khi xem xét các quyền lợi và nghĩa vụ, bạn có ủng hộ và tuân thủ chính sách mới hiện nay? - HUMAN-OUT1]]</f>
        <v>7</v>
      </c>
      <c r="BH182" t="str">
        <f t="shared" si="79"/>
        <v>Neutral</v>
      </c>
      <c r="BI182" s="32">
        <f t="shared" si="80"/>
        <v>1</v>
      </c>
    </row>
    <row r="183" spans="1:61" x14ac:dyDescent="0.45">
      <c r="A183" s="30">
        <f>step3_validation[[#This Row],[Persona_ID]]</f>
        <v>182</v>
      </c>
      <c r="B183" s="31">
        <f>step3_validation[[#This Row],[Used_Seed]]</f>
        <v>2172</v>
      </c>
      <c r="C183" t="str">
        <f>step3_validation[[#This Row],[Gender]]</f>
        <v>Nữ</v>
      </c>
      <c r="D183" t="str">
        <f>survey_responses[[#This Row],[Giới tính của bạn:]]</f>
        <v>Nữ</v>
      </c>
      <c r="E183" t="str">
        <f>step3_validation[[#This Row],[Age_Group]]</f>
        <v>25 - 29</v>
      </c>
      <c r="F183" t="str">
        <f>survey_responses[[#This Row],[Độ tuổi của bạn:]]</f>
        <v>25 - 29</v>
      </c>
      <c r="G183" t="str">
        <f>step3_validation[[#This Row],[Region]]</f>
        <v>Thành thị</v>
      </c>
      <c r="H183" t="str">
        <f>survey_responses[[#This Row],[Khu vực bạn đang sinh sống:]]</f>
        <v>Thành thị</v>
      </c>
      <c r="I183" t="str">
        <f>step3_validation[[#This Row],[Education]]</f>
        <v>Đại học</v>
      </c>
      <c r="J183" t="str">
        <f>survey_responses[[#This Row],[Trình độ học vấn cao nhất:]]</f>
        <v>Đại học</v>
      </c>
      <c r="K183" t="str">
        <f>step3_validation[[#This Row],[Employment]]</f>
        <v>Chính thức</v>
      </c>
      <c r="L183" t="str">
        <f>survey_responses[[#This Row],[Tình trạng việc làm chính:]]</f>
        <v>Khu vực chính thức (Có Hợp đồng lao động, đóng BHXH)</v>
      </c>
      <c r="M183">
        <f>step3_validation[[#This Row],[Income_Mil]]</f>
        <v>26.225603420690188</v>
      </c>
      <c r="N183" t="str">
        <f>survey_responses[[#This Row],[Thu nhập bình quân tháng theo Hợp đồng lao động của bạn là bao nhiêu? (Vui lòng điền tổng thu nhập trước khi khấu trừ các loại Bảo hiểm (BHXH, BHYT, BHTN) và Thuế TNCN)]]</f>
        <v>Từ 23 - 32 triệu VNĐ</v>
      </c>
      <c r="O183">
        <f>step3_validation[[#This Row],[Dependents]]</f>
        <v>0</v>
      </c>
      <c r="P183" t="str">
        <f>survey_responses[[#This Row],[Số người phụ thuộc (con nhỏ, cha mẹ già...) đủ điều kiện giảm trừ gia cảnh:]]</f>
        <v>0 người</v>
      </c>
      <c r="Q183">
        <f>step3_validation[[#This Row],[AI_ENF1]]</f>
        <v>5</v>
      </c>
      <c r="R183" t="str">
        <f t="shared" si="54"/>
        <v>Neutral</v>
      </c>
      <c r="S183">
        <f>survey_responses[[#This Row],[Tôi tin rằng với các quy định quản lý thuế hiện nay, hành vi gian lận hoặc trốn thuế sẽ dễ dàng bị phát hiện và xử lý nghiêm. - HUMAN-ENF1]]</f>
        <v>8</v>
      </c>
      <c r="T183" t="str">
        <f t="shared" si="55"/>
        <v>Support</v>
      </c>
      <c r="U183" s="32">
        <f t="shared" si="56"/>
        <v>3</v>
      </c>
      <c r="V183">
        <f>step3_validation[[#This Row],[AI_ENF2]]</f>
        <v>6</v>
      </c>
      <c r="W183" t="str">
        <f t="shared" si="57"/>
        <v>Neutral</v>
      </c>
      <c r="X183">
        <f>survey_responses[[#This Row],[Tôi tin rằng Nhà nước, cơ quan thuế có đủ khả năng và công nghệ để phát hiện, xử lý nghiêm các hành vi trốn thuế. - HUMAN-ENF2]]</f>
        <v>8</v>
      </c>
      <c r="Y183" t="str">
        <f t="shared" si="58"/>
        <v>Support</v>
      </c>
      <c r="Z183" s="32">
        <f t="shared" si="59"/>
        <v>2</v>
      </c>
      <c r="AA183">
        <f>step3_validation[[#This Row],[AI_FAC1]]</f>
        <v>7</v>
      </c>
      <c r="AB183" t="str">
        <f t="shared" si="60"/>
        <v>Neutral</v>
      </c>
      <c r="AC183">
        <f>survey_responses[[#This Row],[Các thủ tục khai báo thuế VÀ/HOẶC quy trình làm việc với cơ quan thuế đơn giản, tiện lợi, nhanh chóng hơn so với trước đây. - HUMAN-FAC1]]</f>
        <v>5</v>
      </c>
      <c r="AD183" t="str">
        <f t="shared" si="61"/>
        <v>Neutral</v>
      </c>
      <c r="AE183" s="32">
        <f t="shared" si="62"/>
        <v>2</v>
      </c>
      <c r="AF183">
        <f>step3_validation[[#This Row],[AI_FAC2]]</f>
        <v>8</v>
      </c>
      <c r="AG183" t="str">
        <f t="shared" si="63"/>
        <v>Support</v>
      </c>
      <c r="AH183">
        <f>survey_responses[[#This Row],[So với trước đây, tôi thấy cách tính thuế và các bậc thuế trong phương án mới đơn giản, dễ hiểu và dễ thực hiện hơn. - HUMAN-FAC2]]</f>
        <v>8</v>
      </c>
      <c r="AI183" t="str">
        <f t="shared" si="64"/>
        <v>Support</v>
      </c>
      <c r="AJ183" s="32">
        <f t="shared" si="65"/>
        <v>0</v>
      </c>
      <c r="AK183">
        <f>step3_validation[[#This Row],[AI_TRU1]]</f>
        <v>7</v>
      </c>
      <c r="AL183" t="str">
        <f t="shared" si="66"/>
        <v>Neutral</v>
      </c>
      <c r="AM183">
        <f>survey_responses[[#This Row],[Tôi tin rằng Nhà nước, cơ quan thuế sẽ thực thi chính sách mới một cách khách quan, công tâm và đối xử bình đẳng với mọi người nộp thuế.  - HUMAN-TRU1]]</f>
        <v>6</v>
      </c>
      <c r="AN183" t="str">
        <f t="shared" si="67"/>
        <v>Neutral</v>
      </c>
      <c r="AO183" s="32">
        <f t="shared" si="68"/>
        <v>1</v>
      </c>
      <c r="AP183">
        <f>step3_validation[[#This Row],[AI_TRU2]]</f>
        <v>6</v>
      </c>
      <c r="AQ183" t="str">
        <f t="shared" si="69"/>
        <v>Neutral</v>
      </c>
      <c r="AR183">
        <f>survey_responses[[#This Row],[Tôi thấy mức thuế tôi phải đóng theo phương án mới là công bằng (người thu nhập như tôi đóng mức này là hợp lý). - HUMAN-TRU2]]</f>
        <v>8</v>
      </c>
      <c r="AS183" t="str">
        <f t="shared" si="70"/>
        <v>Support</v>
      </c>
      <c r="AT183" s="32">
        <f t="shared" si="71"/>
        <v>2</v>
      </c>
      <c r="AU183">
        <f>step3_validation[[#This Row],[AI_TRU3]]</f>
        <v>4</v>
      </c>
      <c r="AV183" t="str">
        <f t="shared" si="72"/>
        <v>Oppose</v>
      </c>
      <c r="AW183">
        <f>survey_responses[[#This Row],[Tôi tin tưởng số tiền thuế tôi đóng sẽ được Nhà nước sử dụng hiệu quả để cải thiện dịch vụ công (y tế, đường xá...). - HUMAN-TRU3]]</f>
        <v>6</v>
      </c>
      <c r="AX183" t="str">
        <f t="shared" si="73"/>
        <v>Neutral</v>
      </c>
      <c r="AY183" s="32">
        <f t="shared" si="74"/>
        <v>2</v>
      </c>
      <c r="AZ183">
        <f>step3_validation[[#This Row],[AI_TRU4]]</f>
        <v>6</v>
      </c>
      <c r="BA183" t="str">
        <f t="shared" si="75"/>
        <v>Neutral</v>
      </c>
      <c r="BB183">
        <f>survey_responses[[#This Row],[Tôi thấy Nhà nước đã giải thích rõ ràng, minh bạch về lý do và mục tiêu của việc sửa đổi thuế lần này. - HUMAN-TRU4]]</f>
        <v>7</v>
      </c>
      <c r="BC183" t="str">
        <f t="shared" si="76"/>
        <v>Neutral</v>
      </c>
      <c r="BD183" s="32">
        <f t="shared" si="77"/>
        <v>1</v>
      </c>
      <c r="BE183">
        <f>step3_validation[[#This Row],[AI_OUT1]]</f>
        <v>5</v>
      </c>
      <c r="BF183" t="str">
        <f t="shared" si="78"/>
        <v>Neutral</v>
      </c>
      <c r="BG183">
        <f>survey_responses[[#This Row],[Sau khi xem xét các quyền lợi và nghĩa vụ, bạn có ủng hộ và tuân thủ chính sách mới hiện nay? - HUMAN-OUT1]]</f>
        <v>7</v>
      </c>
      <c r="BH183" t="str">
        <f t="shared" si="79"/>
        <v>Neutral</v>
      </c>
      <c r="BI183" s="32">
        <f t="shared" si="80"/>
        <v>2</v>
      </c>
    </row>
    <row r="184" spans="1:61" x14ac:dyDescent="0.45">
      <c r="A184" s="30">
        <f>step3_validation[[#This Row],[Persona_ID]]</f>
        <v>183</v>
      </c>
      <c r="B184" s="31">
        <f>step3_validation[[#This Row],[Used_Seed]]</f>
        <v>2173</v>
      </c>
      <c r="C184" t="str">
        <f>step3_validation[[#This Row],[Gender]]</f>
        <v>Nam</v>
      </c>
      <c r="D184" t="str">
        <f>survey_responses[[#This Row],[Giới tính của bạn:]]</f>
        <v>Nam</v>
      </c>
      <c r="E184" t="str">
        <f>step3_validation[[#This Row],[Age_Group]]</f>
        <v>55 - 64</v>
      </c>
      <c r="F184" t="str">
        <f>survey_responses[[#This Row],[Độ tuổi của bạn:]]</f>
        <v>55 - 64</v>
      </c>
      <c r="G184" t="str">
        <f>step3_validation[[#This Row],[Region]]</f>
        <v>Thành thị</v>
      </c>
      <c r="H184" t="str">
        <f>survey_responses[[#This Row],[Khu vực bạn đang sinh sống:]]</f>
        <v>Thành thị</v>
      </c>
      <c r="I184" t="str">
        <f>step3_validation[[#This Row],[Education]]</f>
        <v>Sau Đại học</v>
      </c>
      <c r="J184" t="str">
        <f>survey_responses[[#This Row],[Trình độ học vấn cao nhất:]]</f>
        <v>Sau Đại học</v>
      </c>
      <c r="K184" t="str">
        <f>step3_validation[[#This Row],[Employment]]</f>
        <v>Chính thức</v>
      </c>
      <c r="L184" t="str">
        <f>survey_responses[[#This Row],[Tình trạng việc làm chính:]]</f>
        <v>Khu vực chính thức (Có Hợp đồng lao động, đóng BHXH)</v>
      </c>
      <c r="M184">
        <f>step3_validation[[#This Row],[Income_Mil]]</f>
        <v>204.3397578818587</v>
      </c>
      <c r="N184" t="str">
        <f>survey_responses[[#This Row],[Thu nhập bình quân tháng theo Hợp đồng lao động của bạn là bao nhiêu? (Vui lòng điền tổng thu nhập trước khi khấu trừ các loại Bảo hiểm (BHXH, BHYT, BHTN) và Thuế TNCN)]]</f>
        <v>Trên 102 triệu VNĐ</v>
      </c>
      <c r="O184">
        <f>step3_validation[[#This Row],[Dependents]]</f>
        <v>3</v>
      </c>
      <c r="P184" t="str">
        <f>survey_responses[[#This Row],[Số người phụ thuộc (con nhỏ, cha mẹ già...) đủ điều kiện giảm trừ gia cảnh:]]</f>
        <v>3 người</v>
      </c>
      <c r="Q184">
        <f>step3_validation[[#This Row],[AI_ENF1]]</f>
        <v>7</v>
      </c>
      <c r="R184" t="str">
        <f t="shared" si="54"/>
        <v>Neutral</v>
      </c>
      <c r="S184">
        <f>survey_responses[[#This Row],[Tôi tin rằng với các quy định quản lý thuế hiện nay, hành vi gian lận hoặc trốn thuế sẽ dễ dàng bị phát hiện và xử lý nghiêm. - HUMAN-ENF1]]</f>
        <v>2</v>
      </c>
      <c r="T184" t="str">
        <f t="shared" si="55"/>
        <v>Oppose</v>
      </c>
      <c r="U184" s="32">
        <f t="shared" si="56"/>
        <v>5</v>
      </c>
      <c r="V184">
        <f>step3_validation[[#This Row],[AI_ENF2]]</f>
        <v>8</v>
      </c>
      <c r="W184" t="str">
        <f t="shared" si="57"/>
        <v>Support</v>
      </c>
      <c r="X184">
        <f>survey_responses[[#This Row],[Tôi tin rằng Nhà nước, cơ quan thuế có đủ khả năng và công nghệ để phát hiện, xử lý nghiêm các hành vi trốn thuế. - HUMAN-ENF2]]</f>
        <v>5</v>
      </c>
      <c r="Y184" t="str">
        <f t="shared" si="58"/>
        <v>Neutral</v>
      </c>
      <c r="Z184" s="32">
        <f t="shared" si="59"/>
        <v>3</v>
      </c>
      <c r="AA184">
        <f>step3_validation[[#This Row],[AI_FAC1]]</f>
        <v>6</v>
      </c>
      <c r="AB184" t="str">
        <f t="shared" si="60"/>
        <v>Neutral</v>
      </c>
      <c r="AC184">
        <f>survey_responses[[#This Row],[Các thủ tục khai báo thuế VÀ/HOẶC quy trình làm việc với cơ quan thuế đơn giản, tiện lợi, nhanh chóng hơn so với trước đây. - HUMAN-FAC1]]</f>
        <v>3</v>
      </c>
      <c r="AD184" t="str">
        <f t="shared" si="61"/>
        <v>Oppose</v>
      </c>
      <c r="AE184" s="32">
        <f t="shared" si="62"/>
        <v>3</v>
      </c>
      <c r="AF184">
        <f>step3_validation[[#This Row],[AI_FAC2]]</f>
        <v>7</v>
      </c>
      <c r="AG184" t="str">
        <f t="shared" si="63"/>
        <v>Neutral</v>
      </c>
      <c r="AH184">
        <f>survey_responses[[#This Row],[So với trước đây, tôi thấy cách tính thuế và các bậc thuế trong phương án mới đơn giản, dễ hiểu và dễ thực hiện hơn. - HUMAN-FAC2]]</f>
        <v>5</v>
      </c>
      <c r="AI184" t="str">
        <f t="shared" si="64"/>
        <v>Neutral</v>
      </c>
      <c r="AJ184" s="32">
        <f t="shared" si="65"/>
        <v>2</v>
      </c>
      <c r="AK184">
        <f>step3_validation[[#This Row],[AI_TRU1]]</f>
        <v>6</v>
      </c>
      <c r="AL184" t="str">
        <f t="shared" si="66"/>
        <v>Neutral</v>
      </c>
      <c r="AM184">
        <f>survey_responses[[#This Row],[Tôi tin rằng Nhà nước, cơ quan thuế sẽ thực thi chính sách mới một cách khách quan, công tâm và đối xử bình đẳng với mọi người nộp thuế.  - HUMAN-TRU1]]</f>
        <v>3</v>
      </c>
      <c r="AN184" t="str">
        <f t="shared" si="67"/>
        <v>Oppose</v>
      </c>
      <c r="AO184" s="32">
        <f t="shared" si="68"/>
        <v>3</v>
      </c>
      <c r="AP184">
        <f>step3_validation[[#This Row],[AI_TRU2]]</f>
        <v>8</v>
      </c>
      <c r="AQ184" t="str">
        <f t="shared" si="69"/>
        <v>Support</v>
      </c>
      <c r="AR184">
        <f>survey_responses[[#This Row],[Tôi thấy mức thuế tôi phải đóng theo phương án mới là công bằng (người thu nhập như tôi đóng mức này là hợp lý). - HUMAN-TRU2]]</f>
        <v>2</v>
      </c>
      <c r="AS184" t="str">
        <f t="shared" si="70"/>
        <v>Oppose</v>
      </c>
      <c r="AT184" s="32">
        <f t="shared" si="71"/>
        <v>6</v>
      </c>
      <c r="AU184">
        <f>step3_validation[[#This Row],[AI_TRU3]]</f>
        <v>6</v>
      </c>
      <c r="AV184" t="str">
        <f t="shared" si="72"/>
        <v>Neutral</v>
      </c>
      <c r="AW184">
        <f>survey_responses[[#This Row],[Tôi tin tưởng số tiền thuế tôi đóng sẽ được Nhà nước sử dụng hiệu quả để cải thiện dịch vụ công (y tế, đường xá...). - HUMAN-TRU3]]</f>
        <v>1</v>
      </c>
      <c r="AX184" t="str">
        <f t="shared" si="73"/>
        <v>Oppose</v>
      </c>
      <c r="AY184" s="32">
        <f t="shared" si="74"/>
        <v>5</v>
      </c>
      <c r="AZ184">
        <f>step3_validation[[#This Row],[AI_TRU4]]</f>
        <v>5</v>
      </c>
      <c r="BA184" t="str">
        <f t="shared" si="75"/>
        <v>Neutral</v>
      </c>
      <c r="BB184">
        <f>survey_responses[[#This Row],[Tôi thấy Nhà nước đã giải thích rõ ràng, minh bạch về lý do và mục tiêu của việc sửa đổi thuế lần này. - HUMAN-TRU4]]</f>
        <v>5</v>
      </c>
      <c r="BC184" t="str">
        <f t="shared" si="76"/>
        <v>Neutral</v>
      </c>
      <c r="BD184" s="32">
        <f t="shared" si="77"/>
        <v>0</v>
      </c>
      <c r="BE184">
        <f>step3_validation[[#This Row],[AI_OUT1]]</f>
        <v>6</v>
      </c>
      <c r="BF184" t="str">
        <f t="shared" si="78"/>
        <v>Neutral</v>
      </c>
      <c r="BG184">
        <f>survey_responses[[#This Row],[Sau khi xem xét các quyền lợi và nghĩa vụ, bạn có ủng hộ và tuân thủ chính sách mới hiện nay? - HUMAN-OUT1]]</f>
        <v>5</v>
      </c>
      <c r="BH184" t="str">
        <f t="shared" si="79"/>
        <v>Neutral</v>
      </c>
      <c r="BI184" s="32">
        <f t="shared" si="80"/>
        <v>1</v>
      </c>
    </row>
    <row r="185" spans="1:61" x14ac:dyDescent="0.45">
      <c r="A185" s="30">
        <f>step3_validation[[#This Row],[Persona_ID]]</f>
        <v>184</v>
      </c>
      <c r="B185" s="31">
        <f>step3_validation[[#This Row],[Used_Seed]]</f>
        <v>2174</v>
      </c>
      <c r="C185" t="str">
        <f>step3_validation[[#This Row],[Gender]]</f>
        <v>Nam</v>
      </c>
      <c r="D185" t="str">
        <f>survey_responses[[#This Row],[Giới tính của bạn:]]</f>
        <v>Nam</v>
      </c>
      <c r="E185" t="str">
        <f>step3_validation[[#This Row],[Age_Group]]</f>
        <v>18 - 24</v>
      </c>
      <c r="F185" t="str">
        <f>survey_responses[[#This Row],[Độ tuổi của bạn:]]</f>
        <v>18 - 24</v>
      </c>
      <c r="G185" t="str">
        <f>step3_validation[[#This Row],[Region]]</f>
        <v>Thành thị</v>
      </c>
      <c r="H185" t="str">
        <f>survey_responses[[#This Row],[Khu vực bạn đang sinh sống:]]</f>
        <v>Thành thị</v>
      </c>
      <c r="I185" t="str">
        <f>step3_validation[[#This Row],[Education]]</f>
        <v>Đại học</v>
      </c>
      <c r="J185" t="str">
        <f>survey_responses[[#This Row],[Trình độ học vấn cao nhất:]]</f>
        <v>Đại học</v>
      </c>
      <c r="K185" t="str">
        <f>step3_validation[[#This Row],[Employment]]</f>
        <v>Chính thức</v>
      </c>
      <c r="L185" t="str">
        <f>survey_responses[[#This Row],[Tình trạng việc làm chính:]]</f>
        <v>Khu vực chính thức (Có Hợp đồng lao động, đóng BHXH)</v>
      </c>
      <c r="M185">
        <f>step3_validation[[#This Row],[Income_Mil]]</f>
        <v>16.660570317314338</v>
      </c>
      <c r="N185" t="str">
        <f>survey_responses[[#This Row],[Thu nhập bình quân tháng theo Hợp đồng lao động của bạn là bao nhiêu? (Vui lòng điền tổng thu nhập trước khi khấu trừ các loại Bảo hiểm (BHXH, BHYT, BHTN) và Thuế TNCN)]]</f>
        <v>Từ 12 - 18 triệu VNĐ</v>
      </c>
      <c r="O185">
        <f>step3_validation[[#This Row],[Dependents]]</f>
        <v>0</v>
      </c>
      <c r="P185" t="str">
        <f>survey_responses[[#This Row],[Số người phụ thuộc (con nhỏ, cha mẹ già...) đủ điều kiện giảm trừ gia cảnh:]]</f>
        <v>0 người</v>
      </c>
      <c r="Q185">
        <f>step3_validation[[#This Row],[AI_ENF1]]</f>
        <v>8</v>
      </c>
      <c r="R185" t="str">
        <f t="shared" si="54"/>
        <v>Support</v>
      </c>
      <c r="S185">
        <f>survey_responses[[#This Row],[Tôi tin rằng với các quy định quản lý thuế hiện nay, hành vi gian lận hoặc trốn thuế sẽ dễ dàng bị phát hiện và xử lý nghiêm. - HUMAN-ENF1]]</f>
        <v>6</v>
      </c>
      <c r="T185" t="str">
        <f t="shared" si="55"/>
        <v>Neutral</v>
      </c>
      <c r="U185" s="32">
        <f t="shared" si="56"/>
        <v>2</v>
      </c>
      <c r="V185">
        <f>step3_validation[[#This Row],[AI_ENF2]]</f>
        <v>9</v>
      </c>
      <c r="W185" t="str">
        <f t="shared" si="57"/>
        <v>Support</v>
      </c>
      <c r="X185">
        <f>survey_responses[[#This Row],[Tôi tin rằng Nhà nước, cơ quan thuế có đủ khả năng và công nghệ để phát hiện, xử lý nghiêm các hành vi trốn thuế. - HUMAN-ENF2]]</f>
        <v>6</v>
      </c>
      <c r="Y185" t="str">
        <f t="shared" si="58"/>
        <v>Neutral</v>
      </c>
      <c r="Z185" s="32">
        <f t="shared" si="59"/>
        <v>3</v>
      </c>
      <c r="AA185">
        <f>step3_validation[[#This Row],[AI_FAC1]]</f>
        <v>8</v>
      </c>
      <c r="AB185" t="str">
        <f t="shared" si="60"/>
        <v>Support</v>
      </c>
      <c r="AC185">
        <f>survey_responses[[#This Row],[Các thủ tục khai báo thuế VÀ/HOẶC quy trình làm việc với cơ quan thuế đơn giản, tiện lợi, nhanh chóng hơn so với trước đây. - HUMAN-FAC1]]</f>
        <v>5</v>
      </c>
      <c r="AD185" t="str">
        <f t="shared" si="61"/>
        <v>Neutral</v>
      </c>
      <c r="AE185" s="32">
        <f t="shared" si="62"/>
        <v>3</v>
      </c>
      <c r="AF185">
        <f>step3_validation[[#This Row],[AI_FAC2]]</f>
        <v>9</v>
      </c>
      <c r="AG185" t="str">
        <f t="shared" si="63"/>
        <v>Support</v>
      </c>
      <c r="AH185">
        <f>survey_responses[[#This Row],[So với trước đây, tôi thấy cách tính thuế và các bậc thuế trong phương án mới đơn giản, dễ hiểu và dễ thực hiện hơn. - HUMAN-FAC2]]</f>
        <v>9</v>
      </c>
      <c r="AI185" t="str">
        <f t="shared" si="64"/>
        <v>Support</v>
      </c>
      <c r="AJ185" s="32">
        <f t="shared" si="65"/>
        <v>0</v>
      </c>
      <c r="AK185">
        <f>step3_validation[[#This Row],[AI_TRU1]]</f>
        <v>8</v>
      </c>
      <c r="AL185" t="str">
        <f t="shared" si="66"/>
        <v>Support</v>
      </c>
      <c r="AM185">
        <f>survey_responses[[#This Row],[Tôi tin rằng Nhà nước, cơ quan thuế sẽ thực thi chính sách mới một cách khách quan, công tâm và đối xử bình đẳng với mọi người nộp thuế.  - HUMAN-TRU1]]</f>
        <v>7</v>
      </c>
      <c r="AN185" t="str">
        <f t="shared" si="67"/>
        <v>Neutral</v>
      </c>
      <c r="AO185" s="32">
        <f t="shared" si="68"/>
        <v>1</v>
      </c>
      <c r="AP185">
        <f>step3_validation[[#This Row],[AI_TRU2]]</f>
        <v>7</v>
      </c>
      <c r="AQ185" t="str">
        <f t="shared" si="69"/>
        <v>Neutral</v>
      </c>
      <c r="AR185">
        <f>survey_responses[[#This Row],[Tôi thấy mức thuế tôi phải đóng theo phương án mới là công bằng (người thu nhập như tôi đóng mức này là hợp lý). - HUMAN-TRU2]]</f>
        <v>8</v>
      </c>
      <c r="AS185" t="str">
        <f t="shared" si="70"/>
        <v>Support</v>
      </c>
      <c r="AT185" s="32">
        <f t="shared" si="71"/>
        <v>1</v>
      </c>
      <c r="AU185">
        <f>step3_validation[[#This Row],[AI_TRU3]]</f>
        <v>6</v>
      </c>
      <c r="AV185" t="str">
        <f t="shared" si="72"/>
        <v>Neutral</v>
      </c>
      <c r="AW185">
        <f>survey_responses[[#This Row],[Tôi tin tưởng số tiền thuế tôi đóng sẽ được Nhà nước sử dụng hiệu quả để cải thiện dịch vụ công (y tế, đường xá...). - HUMAN-TRU3]]</f>
        <v>5</v>
      </c>
      <c r="AX185" t="str">
        <f t="shared" si="73"/>
        <v>Neutral</v>
      </c>
      <c r="AY185" s="32">
        <f t="shared" si="74"/>
        <v>1</v>
      </c>
      <c r="AZ185">
        <f>step3_validation[[#This Row],[AI_TRU4]]</f>
        <v>7</v>
      </c>
      <c r="BA185" t="str">
        <f t="shared" si="75"/>
        <v>Neutral</v>
      </c>
      <c r="BB185">
        <f>survey_responses[[#This Row],[Tôi thấy Nhà nước đã giải thích rõ ràng, minh bạch về lý do và mục tiêu của việc sửa đổi thuế lần này. - HUMAN-TRU4]]</f>
        <v>7</v>
      </c>
      <c r="BC185" t="str">
        <f t="shared" si="76"/>
        <v>Neutral</v>
      </c>
      <c r="BD185" s="32">
        <f t="shared" si="77"/>
        <v>0</v>
      </c>
      <c r="BE185">
        <f>step3_validation[[#This Row],[AI_OUT1]]</f>
        <v>7</v>
      </c>
      <c r="BF185" t="str">
        <f t="shared" si="78"/>
        <v>Neutral</v>
      </c>
      <c r="BG185">
        <f>survey_responses[[#This Row],[Sau khi xem xét các quyền lợi và nghĩa vụ, bạn có ủng hộ và tuân thủ chính sách mới hiện nay? - HUMAN-OUT1]]</f>
        <v>7</v>
      </c>
      <c r="BH185" t="str">
        <f t="shared" si="79"/>
        <v>Neutral</v>
      </c>
      <c r="BI185" s="32">
        <f t="shared" si="80"/>
        <v>0</v>
      </c>
    </row>
    <row r="186" spans="1:61" x14ac:dyDescent="0.45">
      <c r="A186" s="30">
        <f>step3_validation[[#This Row],[Persona_ID]]</f>
        <v>185</v>
      </c>
      <c r="B186" s="31">
        <f>step3_validation[[#This Row],[Used_Seed]]</f>
        <v>2175</v>
      </c>
      <c r="C186" t="str">
        <f>step3_validation[[#This Row],[Gender]]</f>
        <v>Nữ</v>
      </c>
      <c r="D186" t="str">
        <f>survey_responses[[#This Row],[Giới tính của bạn:]]</f>
        <v>Nữ</v>
      </c>
      <c r="E186" t="str">
        <f>step3_validation[[#This Row],[Age_Group]]</f>
        <v>40 - 49</v>
      </c>
      <c r="F186" t="str">
        <f>survey_responses[[#This Row],[Độ tuổi của bạn:]]</f>
        <v>40 - 49</v>
      </c>
      <c r="G186" t="str">
        <f>step3_validation[[#This Row],[Region]]</f>
        <v>Nông thôn</v>
      </c>
      <c r="H186" t="str">
        <f>survey_responses[[#This Row],[Khu vực bạn đang sinh sống:]]</f>
        <v>Nông thôn</v>
      </c>
      <c r="I186" t="str">
        <f>step3_validation[[#This Row],[Education]]</f>
        <v>Đại học</v>
      </c>
      <c r="J186" t="str">
        <f>survey_responses[[#This Row],[Trình độ học vấn cao nhất:]]</f>
        <v>Đại học</v>
      </c>
      <c r="K186" t="str">
        <f>step3_validation[[#This Row],[Employment]]</f>
        <v>Phi chính thức</v>
      </c>
      <c r="L186" t="str">
        <f>survey_responses[[#This Row],[Tình trạng việc làm chính:]]</f>
        <v>Khu vực phi chính thức (Lao động tự do, không có HĐLĐ)</v>
      </c>
      <c r="M186">
        <f>step3_validation[[#This Row],[Income_Mil]]</f>
        <v>36.919691843798184</v>
      </c>
      <c r="N186" t="str">
        <f>survey_responses[[#This Row],[Thu nhập bình quân tháng theo Hợp đồng lao động của bạn là bao nhiêu? (Vui lòng điền tổng thu nhập trước khi khấu trừ các loại Bảo hiểm (BHXH, BHYT, BHTN) và Thuế TNCN)]]</f>
        <v>Từ 32 - 48 triệu VNĐ</v>
      </c>
      <c r="O186">
        <f>step3_validation[[#This Row],[Dependents]]</f>
        <v>3</v>
      </c>
      <c r="P186" t="str">
        <f>survey_responses[[#This Row],[Số người phụ thuộc (con nhỏ, cha mẹ già...) đủ điều kiện giảm trừ gia cảnh:]]</f>
        <v>3 người</v>
      </c>
      <c r="Q186">
        <f>step3_validation[[#This Row],[AI_ENF1]]</f>
        <v>7</v>
      </c>
      <c r="R186" t="str">
        <f t="shared" si="54"/>
        <v>Neutral</v>
      </c>
      <c r="S186">
        <f>survey_responses[[#This Row],[Tôi tin rằng với các quy định quản lý thuế hiện nay, hành vi gian lận hoặc trốn thuế sẽ dễ dàng bị phát hiện và xử lý nghiêm. - HUMAN-ENF1]]</f>
        <v>7</v>
      </c>
      <c r="T186" t="str">
        <f t="shared" si="55"/>
        <v>Neutral</v>
      </c>
      <c r="U186" s="32">
        <f t="shared" si="56"/>
        <v>0</v>
      </c>
      <c r="V186">
        <f>step3_validation[[#This Row],[AI_ENF2]]</f>
        <v>8</v>
      </c>
      <c r="W186" t="str">
        <f t="shared" si="57"/>
        <v>Support</v>
      </c>
      <c r="X186">
        <f>survey_responses[[#This Row],[Tôi tin rằng Nhà nước, cơ quan thuế có đủ khả năng và công nghệ để phát hiện, xử lý nghiêm các hành vi trốn thuế. - HUMAN-ENF2]]</f>
        <v>7</v>
      </c>
      <c r="Y186" t="str">
        <f t="shared" si="58"/>
        <v>Neutral</v>
      </c>
      <c r="Z186" s="32">
        <f t="shared" si="59"/>
        <v>1</v>
      </c>
      <c r="AA186">
        <f>step3_validation[[#This Row],[AI_FAC1]]</f>
        <v>6</v>
      </c>
      <c r="AB186" t="str">
        <f t="shared" si="60"/>
        <v>Neutral</v>
      </c>
      <c r="AC186">
        <f>survey_responses[[#This Row],[Các thủ tục khai báo thuế VÀ/HOẶC quy trình làm việc với cơ quan thuế đơn giản, tiện lợi, nhanh chóng hơn so với trước đây. - HUMAN-FAC1]]</f>
        <v>6</v>
      </c>
      <c r="AD186" t="str">
        <f t="shared" si="61"/>
        <v>Neutral</v>
      </c>
      <c r="AE186" s="32">
        <f t="shared" si="62"/>
        <v>0</v>
      </c>
      <c r="AF186">
        <f>step3_validation[[#This Row],[AI_FAC2]]</f>
        <v>7</v>
      </c>
      <c r="AG186" t="str">
        <f t="shared" si="63"/>
        <v>Neutral</v>
      </c>
      <c r="AH186">
        <f>survey_responses[[#This Row],[So với trước đây, tôi thấy cách tính thuế và các bậc thuế trong phương án mới đơn giản, dễ hiểu và dễ thực hiện hơn. - HUMAN-FAC2]]</f>
        <v>8</v>
      </c>
      <c r="AI186" t="str">
        <f t="shared" si="64"/>
        <v>Support</v>
      </c>
      <c r="AJ186" s="32">
        <f t="shared" si="65"/>
        <v>1</v>
      </c>
      <c r="AK186">
        <f>step3_validation[[#This Row],[AI_TRU1]]</f>
        <v>6</v>
      </c>
      <c r="AL186" t="str">
        <f t="shared" si="66"/>
        <v>Neutral</v>
      </c>
      <c r="AM186">
        <f>survey_responses[[#This Row],[Tôi tin rằng Nhà nước, cơ quan thuế sẽ thực thi chính sách mới một cách khách quan, công tâm và đối xử bình đẳng với mọi người nộp thuế.  - HUMAN-TRU1]]</f>
        <v>5</v>
      </c>
      <c r="AN186" t="str">
        <f t="shared" si="67"/>
        <v>Neutral</v>
      </c>
      <c r="AO186" s="32">
        <f t="shared" si="68"/>
        <v>1</v>
      </c>
      <c r="AP186">
        <f>step3_validation[[#This Row],[AI_TRU2]]</f>
        <v>5</v>
      </c>
      <c r="AQ186" t="str">
        <f t="shared" si="69"/>
        <v>Neutral</v>
      </c>
      <c r="AR186">
        <f>survey_responses[[#This Row],[Tôi thấy mức thuế tôi phải đóng theo phương án mới là công bằng (người thu nhập như tôi đóng mức này là hợp lý). - HUMAN-TRU2]]</f>
        <v>5</v>
      </c>
      <c r="AS186" t="str">
        <f t="shared" si="70"/>
        <v>Neutral</v>
      </c>
      <c r="AT186" s="32">
        <f t="shared" si="71"/>
        <v>0</v>
      </c>
      <c r="AU186">
        <f>step3_validation[[#This Row],[AI_TRU3]]</f>
        <v>4</v>
      </c>
      <c r="AV186" t="str">
        <f t="shared" si="72"/>
        <v>Oppose</v>
      </c>
      <c r="AW186">
        <f>survey_responses[[#This Row],[Tôi tin tưởng số tiền thuế tôi đóng sẽ được Nhà nước sử dụng hiệu quả để cải thiện dịch vụ công (y tế, đường xá...). - HUMAN-TRU3]]</f>
        <v>5</v>
      </c>
      <c r="AX186" t="str">
        <f t="shared" si="73"/>
        <v>Neutral</v>
      </c>
      <c r="AY186" s="32">
        <f t="shared" si="74"/>
        <v>1</v>
      </c>
      <c r="AZ186">
        <f>step3_validation[[#This Row],[AI_TRU4]]</f>
        <v>5</v>
      </c>
      <c r="BA186" t="str">
        <f t="shared" si="75"/>
        <v>Neutral</v>
      </c>
      <c r="BB186">
        <f>survey_responses[[#This Row],[Tôi thấy Nhà nước đã giải thích rõ ràng, minh bạch về lý do và mục tiêu của việc sửa đổi thuế lần này. - HUMAN-TRU4]]</f>
        <v>6</v>
      </c>
      <c r="BC186" t="str">
        <f t="shared" si="76"/>
        <v>Neutral</v>
      </c>
      <c r="BD186" s="32">
        <f t="shared" si="77"/>
        <v>1</v>
      </c>
      <c r="BE186">
        <f>step3_validation[[#This Row],[AI_OUT1]]</f>
        <v>6</v>
      </c>
      <c r="BF186" t="str">
        <f t="shared" si="78"/>
        <v>Neutral</v>
      </c>
      <c r="BG186">
        <f>survey_responses[[#This Row],[Sau khi xem xét các quyền lợi và nghĩa vụ, bạn có ủng hộ và tuân thủ chính sách mới hiện nay? - HUMAN-OUT1]]</f>
        <v>5</v>
      </c>
      <c r="BH186" t="str">
        <f t="shared" si="79"/>
        <v>Neutral</v>
      </c>
      <c r="BI186" s="32">
        <f t="shared" si="80"/>
        <v>1</v>
      </c>
    </row>
    <row r="187" spans="1:61" x14ac:dyDescent="0.45">
      <c r="A187" s="30">
        <f>step3_validation[[#This Row],[Persona_ID]]</f>
        <v>186</v>
      </c>
      <c r="B187" s="31">
        <f>step3_validation[[#This Row],[Used_Seed]]</f>
        <v>2176</v>
      </c>
      <c r="C187" t="str">
        <f>step3_validation[[#This Row],[Gender]]</f>
        <v>Nữ</v>
      </c>
      <c r="D187" t="str">
        <f>survey_responses[[#This Row],[Giới tính của bạn:]]</f>
        <v>Nữ</v>
      </c>
      <c r="E187" t="str">
        <f>step3_validation[[#This Row],[Age_Group]]</f>
        <v>55 - 64</v>
      </c>
      <c r="F187" t="str">
        <f>survey_responses[[#This Row],[Độ tuổi của bạn:]]</f>
        <v>55 - 64</v>
      </c>
      <c r="G187" t="str">
        <f>step3_validation[[#This Row],[Region]]</f>
        <v>Thành thị</v>
      </c>
      <c r="H187" t="str">
        <f>survey_responses[[#This Row],[Khu vực bạn đang sinh sống:]]</f>
        <v>Thành thị</v>
      </c>
      <c r="I187" t="str">
        <f>step3_validation[[#This Row],[Education]]</f>
        <v>Đại học</v>
      </c>
      <c r="J187" t="str">
        <f>survey_responses[[#This Row],[Trình độ học vấn cao nhất:]]</f>
        <v>Đại học</v>
      </c>
      <c r="K187" t="str">
        <f>step3_validation[[#This Row],[Employment]]</f>
        <v>Phi chính thức</v>
      </c>
      <c r="L187" t="str">
        <f>survey_responses[[#This Row],[Tình trạng việc làm chính:]]</f>
        <v>Khác (Về hưu, nội trợ, sinh viên)</v>
      </c>
      <c r="M187">
        <f>step3_validation[[#This Row],[Income_Mil]]</f>
        <v>14.112681507246347</v>
      </c>
      <c r="N187" t="str">
        <f>survey_responses[[#This Row],[Thu nhập bình quân tháng theo Hợp đồng lao động của bạn là bao nhiêu? (Vui lòng điền tổng thu nhập trước khi khấu trừ các loại Bảo hiểm (BHXH, BHYT, BHTN) và Thuế TNCN)]]</f>
        <v>Từ 12 - 18 triệu VNĐ</v>
      </c>
      <c r="O187">
        <f>step3_validation[[#This Row],[Dependents]]</f>
        <v>0</v>
      </c>
      <c r="P187" t="str">
        <f>survey_responses[[#This Row],[Số người phụ thuộc (con nhỏ, cha mẹ già...) đủ điều kiện giảm trừ gia cảnh:]]</f>
        <v>0 người</v>
      </c>
      <c r="Q187">
        <f>step3_validation[[#This Row],[AI_ENF1]]</f>
        <v>7</v>
      </c>
      <c r="R187" t="str">
        <f t="shared" si="54"/>
        <v>Neutral</v>
      </c>
      <c r="S187">
        <f>survey_responses[[#This Row],[Tôi tin rằng với các quy định quản lý thuế hiện nay, hành vi gian lận hoặc trốn thuế sẽ dễ dàng bị phát hiện và xử lý nghiêm. - HUMAN-ENF1]]</f>
        <v>7</v>
      </c>
      <c r="T187" t="str">
        <f t="shared" si="55"/>
        <v>Neutral</v>
      </c>
      <c r="U187" s="32">
        <f t="shared" si="56"/>
        <v>0</v>
      </c>
      <c r="V187">
        <f>step3_validation[[#This Row],[AI_ENF2]]</f>
        <v>6</v>
      </c>
      <c r="W187" t="str">
        <f t="shared" si="57"/>
        <v>Neutral</v>
      </c>
      <c r="X187">
        <f>survey_responses[[#This Row],[Tôi tin rằng Nhà nước, cơ quan thuế có đủ khả năng và công nghệ để phát hiện, xử lý nghiêm các hành vi trốn thuế. - HUMAN-ENF2]]</f>
        <v>7</v>
      </c>
      <c r="Y187" t="str">
        <f t="shared" si="58"/>
        <v>Neutral</v>
      </c>
      <c r="Z187" s="32">
        <f t="shared" si="59"/>
        <v>1</v>
      </c>
      <c r="AA187">
        <f>step3_validation[[#This Row],[AI_FAC1]]</f>
        <v>8</v>
      </c>
      <c r="AB187" t="str">
        <f t="shared" si="60"/>
        <v>Support</v>
      </c>
      <c r="AC187">
        <f>survey_responses[[#This Row],[Các thủ tục khai báo thuế VÀ/HOẶC quy trình làm việc với cơ quan thuế đơn giản, tiện lợi, nhanh chóng hơn so với trước đây. - HUMAN-FAC1]]</f>
        <v>5</v>
      </c>
      <c r="AD187" t="str">
        <f t="shared" si="61"/>
        <v>Neutral</v>
      </c>
      <c r="AE187" s="32">
        <f t="shared" si="62"/>
        <v>3</v>
      </c>
      <c r="AF187">
        <f>step3_validation[[#This Row],[AI_FAC2]]</f>
        <v>7</v>
      </c>
      <c r="AG187" t="str">
        <f t="shared" si="63"/>
        <v>Neutral</v>
      </c>
      <c r="AH187">
        <f>survey_responses[[#This Row],[So với trước đây, tôi thấy cách tính thuế và các bậc thuế trong phương án mới đơn giản, dễ hiểu và dễ thực hiện hơn. - HUMAN-FAC2]]</f>
        <v>7</v>
      </c>
      <c r="AI187" t="str">
        <f t="shared" si="64"/>
        <v>Neutral</v>
      </c>
      <c r="AJ187" s="32">
        <f t="shared" si="65"/>
        <v>0</v>
      </c>
      <c r="AK187">
        <f>step3_validation[[#This Row],[AI_TRU1]]</f>
        <v>8</v>
      </c>
      <c r="AL187" t="str">
        <f t="shared" si="66"/>
        <v>Support</v>
      </c>
      <c r="AM187">
        <f>survey_responses[[#This Row],[Tôi tin rằng Nhà nước, cơ quan thuế sẽ thực thi chính sách mới một cách khách quan, công tâm và đối xử bình đẳng với mọi người nộp thuế.  - HUMAN-TRU1]]</f>
        <v>5</v>
      </c>
      <c r="AN187" t="str">
        <f t="shared" si="67"/>
        <v>Neutral</v>
      </c>
      <c r="AO187" s="32">
        <f t="shared" si="68"/>
        <v>3</v>
      </c>
      <c r="AP187">
        <f>step3_validation[[#This Row],[AI_TRU2]]</f>
        <v>6</v>
      </c>
      <c r="AQ187" t="str">
        <f t="shared" si="69"/>
        <v>Neutral</v>
      </c>
      <c r="AR187">
        <f>survey_responses[[#This Row],[Tôi thấy mức thuế tôi phải đóng theo phương án mới là công bằng (người thu nhập như tôi đóng mức này là hợp lý). - HUMAN-TRU2]]</f>
        <v>5</v>
      </c>
      <c r="AS187" t="str">
        <f t="shared" si="70"/>
        <v>Neutral</v>
      </c>
      <c r="AT187" s="32">
        <f t="shared" si="71"/>
        <v>1</v>
      </c>
      <c r="AU187">
        <f>step3_validation[[#This Row],[AI_TRU3]]</f>
        <v>7</v>
      </c>
      <c r="AV187" t="str">
        <f t="shared" si="72"/>
        <v>Neutral</v>
      </c>
      <c r="AW187">
        <f>survey_responses[[#This Row],[Tôi tin tưởng số tiền thuế tôi đóng sẽ được Nhà nước sử dụng hiệu quả để cải thiện dịch vụ công (y tế, đường xá...). - HUMAN-TRU3]]</f>
        <v>5</v>
      </c>
      <c r="AX187" t="str">
        <f t="shared" si="73"/>
        <v>Neutral</v>
      </c>
      <c r="AY187" s="32">
        <f t="shared" si="74"/>
        <v>2</v>
      </c>
      <c r="AZ187">
        <f>step3_validation[[#This Row],[AI_TRU4]]</f>
        <v>5</v>
      </c>
      <c r="BA187" t="str">
        <f t="shared" si="75"/>
        <v>Neutral</v>
      </c>
      <c r="BB187">
        <f>survey_responses[[#This Row],[Tôi thấy Nhà nước đã giải thích rõ ràng, minh bạch về lý do và mục tiêu của việc sửa đổi thuế lần này. - HUMAN-TRU4]]</f>
        <v>5</v>
      </c>
      <c r="BC187" t="str">
        <f t="shared" si="76"/>
        <v>Neutral</v>
      </c>
      <c r="BD187" s="32">
        <f t="shared" si="77"/>
        <v>0</v>
      </c>
      <c r="BE187">
        <f>step3_validation[[#This Row],[AI_OUT1]]</f>
        <v>6</v>
      </c>
      <c r="BF187" t="str">
        <f t="shared" si="78"/>
        <v>Neutral</v>
      </c>
      <c r="BG187">
        <f>survey_responses[[#This Row],[Sau khi xem xét các quyền lợi và nghĩa vụ, bạn có ủng hộ và tuân thủ chính sách mới hiện nay? - HUMAN-OUT1]]</f>
        <v>6</v>
      </c>
      <c r="BH187" t="str">
        <f t="shared" si="79"/>
        <v>Neutral</v>
      </c>
      <c r="BI187" s="32">
        <f t="shared" si="80"/>
        <v>0</v>
      </c>
    </row>
    <row r="188" spans="1:61" x14ac:dyDescent="0.45">
      <c r="A188" s="30">
        <f>step3_validation[[#This Row],[Persona_ID]]</f>
        <v>187</v>
      </c>
      <c r="B188" s="31">
        <f>step3_validation[[#This Row],[Used_Seed]]</f>
        <v>2177</v>
      </c>
      <c r="C188" t="str">
        <f>step3_validation[[#This Row],[Gender]]</f>
        <v>Nam</v>
      </c>
      <c r="D188" t="str">
        <f>survey_responses[[#This Row],[Giới tính của bạn:]]</f>
        <v>Nam</v>
      </c>
      <c r="E188" t="str">
        <f>step3_validation[[#This Row],[Age_Group]]</f>
        <v>40 - 49</v>
      </c>
      <c r="F188" t="str">
        <f>survey_responses[[#This Row],[Độ tuổi của bạn:]]</f>
        <v>40 - 49</v>
      </c>
      <c r="G188" t="str">
        <f>step3_validation[[#This Row],[Region]]</f>
        <v>Thành thị</v>
      </c>
      <c r="H188" t="str">
        <f>survey_responses[[#This Row],[Khu vực bạn đang sinh sống:]]</f>
        <v>Thành thị</v>
      </c>
      <c r="I188" t="str">
        <f>step3_validation[[#This Row],[Education]]</f>
        <v>Sau Đại học</v>
      </c>
      <c r="J188" t="str">
        <f>survey_responses[[#This Row],[Trình độ học vấn cao nhất:]]</f>
        <v>Sau Đại học</v>
      </c>
      <c r="K188" t="str">
        <f>step3_validation[[#This Row],[Employment]]</f>
        <v>Chính thức</v>
      </c>
      <c r="L188" t="str">
        <f>survey_responses[[#This Row],[Tình trạng việc làm chính:]]</f>
        <v>Khu vực chính thức (Có Hợp đồng lao động, đóng BHXH)</v>
      </c>
      <c r="M188">
        <f>step3_validation[[#This Row],[Income_Mil]]</f>
        <v>34.639962907137786</v>
      </c>
      <c r="N188" t="str">
        <f>survey_responses[[#This Row],[Thu nhập bình quân tháng theo Hợp đồng lao động của bạn là bao nhiêu? (Vui lòng điền tổng thu nhập trước khi khấu trừ các loại Bảo hiểm (BHXH, BHYT, BHTN) và Thuế TNCN)]]</f>
        <v>Từ 32 - 48 triệu VNĐ</v>
      </c>
      <c r="O188">
        <f>step3_validation[[#This Row],[Dependents]]</f>
        <v>2</v>
      </c>
      <c r="P188" t="str">
        <f>survey_responses[[#This Row],[Số người phụ thuộc (con nhỏ, cha mẹ già...) đủ điều kiện giảm trừ gia cảnh:]]</f>
        <v>2 người</v>
      </c>
      <c r="Q188">
        <f>step3_validation[[#This Row],[AI_ENF1]]</f>
        <v>7</v>
      </c>
      <c r="R188" t="str">
        <f t="shared" si="54"/>
        <v>Neutral</v>
      </c>
      <c r="S188">
        <f>survey_responses[[#This Row],[Tôi tin rằng với các quy định quản lý thuế hiện nay, hành vi gian lận hoặc trốn thuế sẽ dễ dàng bị phát hiện và xử lý nghiêm. - HUMAN-ENF1]]</f>
        <v>6</v>
      </c>
      <c r="T188" t="str">
        <f t="shared" si="55"/>
        <v>Neutral</v>
      </c>
      <c r="U188" s="32">
        <f t="shared" si="56"/>
        <v>1</v>
      </c>
      <c r="V188">
        <f>step3_validation[[#This Row],[AI_ENF2]]</f>
        <v>6</v>
      </c>
      <c r="W188" t="str">
        <f t="shared" si="57"/>
        <v>Neutral</v>
      </c>
      <c r="X188">
        <f>survey_responses[[#This Row],[Tôi tin rằng Nhà nước, cơ quan thuế có đủ khả năng và công nghệ để phát hiện, xử lý nghiêm các hành vi trốn thuế. - HUMAN-ENF2]]</f>
        <v>7</v>
      </c>
      <c r="Y188" t="str">
        <f t="shared" si="58"/>
        <v>Neutral</v>
      </c>
      <c r="Z188" s="32">
        <f t="shared" si="59"/>
        <v>1</v>
      </c>
      <c r="AA188">
        <f>step3_validation[[#This Row],[AI_FAC1]]</f>
        <v>8</v>
      </c>
      <c r="AB188" t="str">
        <f t="shared" si="60"/>
        <v>Support</v>
      </c>
      <c r="AC188">
        <f>survey_responses[[#This Row],[Các thủ tục khai báo thuế VÀ/HOẶC quy trình làm việc với cơ quan thuế đơn giản, tiện lợi, nhanh chóng hơn so với trước đây. - HUMAN-FAC1]]</f>
        <v>6</v>
      </c>
      <c r="AD188" t="str">
        <f t="shared" si="61"/>
        <v>Neutral</v>
      </c>
      <c r="AE188" s="32">
        <f t="shared" si="62"/>
        <v>2</v>
      </c>
      <c r="AF188">
        <f>step3_validation[[#This Row],[AI_FAC2]]</f>
        <v>9</v>
      </c>
      <c r="AG188" t="str">
        <f t="shared" si="63"/>
        <v>Support</v>
      </c>
      <c r="AH188">
        <f>survey_responses[[#This Row],[So với trước đây, tôi thấy cách tính thuế và các bậc thuế trong phương án mới đơn giản, dễ hiểu và dễ thực hiện hơn. - HUMAN-FAC2]]</f>
        <v>7</v>
      </c>
      <c r="AI188" t="str">
        <f t="shared" si="64"/>
        <v>Neutral</v>
      </c>
      <c r="AJ188" s="32">
        <f t="shared" si="65"/>
        <v>2</v>
      </c>
      <c r="AK188">
        <f>step3_validation[[#This Row],[AI_TRU1]]</f>
        <v>7</v>
      </c>
      <c r="AL188" t="str">
        <f t="shared" si="66"/>
        <v>Neutral</v>
      </c>
      <c r="AM188">
        <f>survey_responses[[#This Row],[Tôi tin rằng Nhà nước, cơ quan thuế sẽ thực thi chính sách mới một cách khách quan, công tâm và đối xử bình đẳng với mọi người nộp thuế.  - HUMAN-TRU1]]</f>
        <v>6</v>
      </c>
      <c r="AN188" t="str">
        <f t="shared" si="67"/>
        <v>Neutral</v>
      </c>
      <c r="AO188" s="32">
        <f t="shared" si="68"/>
        <v>1</v>
      </c>
      <c r="AP188">
        <f>step3_validation[[#This Row],[AI_TRU2]]</f>
        <v>8</v>
      </c>
      <c r="AQ188" t="str">
        <f t="shared" si="69"/>
        <v>Support</v>
      </c>
      <c r="AR188">
        <f>survey_responses[[#This Row],[Tôi thấy mức thuế tôi phải đóng theo phương án mới là công bằng (người thu nhập như tôi đóng mức này là hợp lý). - HUMAN-TRU2]]</f>
        <v>6</v>
      </c>
      <c r="AS188" t="str">
        <f t="shared" si="70"/>
        <v>Neutral</v>
      </c>
      <c r="AT188" s="32">
        <f t="shared" si="71"/>
        <v>2</v>
      </c>
      <c r="AU188">
        <f>step3_validation[[#This Row],[AI_TRU3]]</f>
        <v>7</v>
      </c>
      <c r="AV188" t="str">
        <f t="shared" si="72"/>
        <v>Neutral</v>
      </c>
      <c r="AW188">
        <f>survey_responses[[#This Row],[Tôi tin tưởng số tiền thuế tôi đóng sẽ được Nhà nước sử dụng hiệu quả để cải thiện dịch vụ công (y tế, đường xá...). - HUMAN-TRU3]]</f>
        <v>5</v>
      </c>
      <c r="AX188" t="str">
        <f t="shared" si="73"/>
        <v>Neutral</v>
      </c>
      <c r="AY188" s="32">
        <f t="shared" si="74"/>
        <v>2</v>
      </c>
      <c r="AZ188">
        <f>step3_validation[[#This Row],[AI_TRU4]]</f>
        <v>6</v>
      </c>
      <c r="BA188" t="str">
        <f t="shared" si="75"/>
        <v>Neutral</v>
      </c>
      <c r="BB188">
        <f>survey_responses[[#This Row],[Tôi thấy Nhà nước đã giải thích rõ ràng, minh bạch về lý do và mục tiêu của việc sửa đổi thuế lần này. - HUMAN-TRU4]]</f>
        <v>5</v>
      </c>
      <c r="BC188" t="str">
        <f t="shared" si="76"/>
        <v>Neutral</v>
      </c>
      <c r="BD188" s="32">
        <f t="shared" si="77"/>
        <v>1</v>
      </c>
      <c r="BE188">
        <f>step3_validation[[#This Row],[AI_OUT1]]</f>
        <v>8</v>
      </c>
      <c r="BF188" t="str">
        <f t="shared" si="78"/>
        <v>Support</v>
      </c>
      <c r="BG188">
        <f>survey_responses[[#This Row],[Sau khi xem xét các quyền lợi và nghĩa vụ, bạn có ủng hộ và tuân thủ chính sách mới hiện nay? - HUMAN-OUT1]]</f>
        <v>6</v>
      </c>
      <c r="BH188" t="str">
        <f t="shared" si="79"/>
        <v>Neutral</v>
      </c>
      <c r="BI188" s="32">
        <f t="shared" si="80"/>
        <v>2</v>
      </c>
    </row>
    <row r="189" spans="1:61" x14ac:dyDescent="0.45">
      <c r="A189" s="30">
        <f>step3_validation[[#This Row],[Persona_ID]]</f>
        <v>188</v>
      </c>
      <c r="B189" s="31">
        <f>step3_validation[[#This Row],[Used_Seed]]</f>
        <v>2178</v>
      </c>
      <c r="C189" t="str">
        <f>step3_validation[[#This Row],[Gender]]</f>
        <v>Nam</v>
      </c>
      <c r="D189" t="str">
        <f>survey_responses[[#This Row],[Giới tính của bạn:]]</f>
        <v>Nam</v>
      </c>
      <c r="E189" t="str">
        <f>step3_validation[[#This Row],[Age_Group]]</f>
        <v>25 - 29</v>
      </c>
      <c r="F189" t="str">
        <f>survey_responses[[#This Row],[Độ tuổi của bạn:]]</f>
        <v>25 - 29</v>
      </c>
      <c r="G189" t="str">
        <f>step3_validation[[#This Row],[Region]]</f>
        <v>Thành thị</v>
      </c>
      <c r="H189" t="str">
        <f>survey_responses[[#This Row],[Khu vực bạn đang sinh sống:]]</f>
        <v>Thành thị</v>
      </c>
      <c r="I189" t="str">
        <f>step3_validation[[#This Row],[Education]]</f>
        <v>Đại học</v>
      </c>
      <c r="J189" t="str">
        <f>survey_responses[[#This Row],[Trình độ học vấn cao nhất:]]</f>
        <v>Đại học</v>
      </c>
      <c r="K189" t="str">
        <f>step3_validation[[#This Row],[Employment]]</f>
        <v>Chính thức</v>
      </c>
      <c r="L189" t="str">
        <f>survey_responses[[#This Row],[Tình trạng việc làm chính:]]</f>
        <v>Khu vực chính thức (Có Hợp đồng lao động, đóng BHXH)</v>
      </c>
      <c r="M189">
        <f>step3_validation[[#This Row],[Income_Mil]]</f>
        <v>24.967673096019993</v>
      </c>
      <c r="N189" t="str">
        <f>survey_responses[[#This Row],[Thu nhập bình quân tháng theo Hợp đồng lao động của bạn là bao nhiêu? (Vui lòng điền tổng thu nhập trước khi khấu trừ các loại Bảo hiểm (BHXH, BHYT, BHTN) và Thuế TNCN)]]</f>
        <v>Từ 23 - 32 triệu VNĐ</v>
      </c>
      <c r="O189">
        <f>step3_validation[[#This Row],[Dependents]]</f>
        <v>1</v>
      </c>
      <c r="P189" t="str">
        <f>survey_responses[[#This Row],[Số người phụ thuộc (con nhỏ, cha mẹ già...) đủ điều kiện giảm trừ gia cảnh:]]</f>
        <v>1 người</v>
      </c>
      <c r="Q189">
        <f>step3_validation[[#This Row],[AI_ENF1]]</f>
        <v>7</v>
      </c>
      <c r="R189" t="str">
        <f t="shared" si="54"/>
        <v>Neutral</v>
      </c>
      <c r="S189">
        <f>survey_responses[[#This Row],[Tôi tin rằng với các quy định quản lý thuế hiện nay, hành vi gian lận hoặc trốn thuế sẽ dễ dàng bị phát hiện và xử lý nghiêm. - HUMAN-ENF1]]</f>
        <v>5</v>
      </c>
      <c r="T189" t="str">
        <f t="shared" si="55"/>
        <v>Neutral</v>
      </c>
      <c r="U189" s="32">
        <f t="shared" si="56"/>
        <v>2</v>
      </c>
      <c r="V189">
        <f>step3_validation[[#This Row],[AI_ENF2]]</f>
        <v>6</v>
      </c>
      <c r="W189" t="str">
        <f t="shared" si="57"/>
        <v>Neutral</v>
      </c>
      <c r="X189">
        <f>survey_responses[[#This Row],[Tôi tin rằng Nhà nước, cơ quan thuế có đủ khả năng và công nghệ để phát hiện, xử lý nghiêm các hành vi trốn thuế. - HUMAN-ENF2]]</f>
        <v>5</v>
      </c>
      <c r="Y189" t="str">
        <f t="shared" si="58"/>
        <v>Neutral</v>
      </c>
      <c r="Z189" s="32">
        <f t="shared" si="59"/>
        <v>1</v>
      </c>
      <c r="AA189">
        <f>step3_validation[[#This Row],[AI_FAC1]]</f>
        <v>8</v>
      </c>
      <c r="AB189" t="str">
        <f t="shared" si="60"/>
        <v>Support</v>
      </c>
      <c r="AC189">
        <f>survey_responses[[#This Row],[Các thủ tục khai báo thuế VÀ/HOẶC quy trình làm việc với cơ quan thuế đơn giản, tiện lợi, nhanh chóng hơn so với trước đây. - HUMAN-FAC1]]</f>
        <v>4</v>
      </c>
      <c r="AD189" t="str">
        <f t="shared" si="61"/>
        <v>Oppose</v>
      </c>
      <c r="AE189" s="32">
        <f t="shared" si="62"/>
        <v>4</v>
      </c>
      <c r="AF189">
        <f>step3_validation[[#This Row],[AI_FAC2]]</f>
        <v>9</v>
      </c>
      <c r="AG189" t="str">
        <f t="shared" si="63"/>
        <v>Support</v>
      </c>
      <c r="AH189">
        <f>survey_responses[[#This Row],[So với trước đây, tôi thấy cách tính thuế và các bậc thuế trong phương án mới đơn giản, dễ hiểu và dễ thực hiện hơn. - HUMAN-FAC2]]</f>
        <v>6</v>
      </c>
      <c r="AI189" t="str">
        <f t="shared" si="64"/>
        <v>Neutral</v>
      </c>
      <c r="AJ189" s="32">
        <f t="shared" si="65"/>
        <v>3</v>
      </c>
      <c r="AK189">
        <f>step3_validation[[#This Row],[AI_TRU1]]</f>
        <v>8</v>
      </c>
      <c r="AL189" t="str">
        <f t="shared" si="66"/>
        <v>Support</v>
      </c>
      <c r="AM189">
        <f>survey_responses[[#This Row],[Tôi tin rằng Nhà nước, cơ quan thuế sẽ thực thi chính sách mới một cách khách quan, công tâm và đối xử bình đẳng với mọi người nộp thuế.  - HUMAN-TRU1]]</f>
        <v>5</v>
      </c>
      <c r="AN189" t="str">
        <f t="shared" si="67"/>
        <v>Neutral</v>
      </c>
      <c r="AO189" s="32">
        <f t="shared" si="68"/>
        <v>3</v>
      </c>
      <c r="AP189">
        <f>step3_validation[[#This Row],[AI_TRU2]]</f>
        <v>7</v>
      </c>
      <c r="AQ189" t="str">
        <f t="shared" si="69"/>
        <v>Neutral</v>
      </c>
      <c r="AR189">
        <f>survey_responses[[#This Row],[Tôi thấy mức thuế tôi phải đóng theo phương án mới là công bằng (người thu nhập như tôi đóng mức này là hợp lý). - HUMAN-TRU2]]</f>
        <v>5</v>
      </c>
      <c r="AS189" t="str">
        <f t="shared" si="70"/>
        <v>Neutral</v>
      </c>
      <c r="AT189" s="32">
        <f t="shared" si="71"/>
        <v>2</v>
      </c>
      <c r="AU189">
        <f>step3_validation[[#This Row],[AI_TRU3]]</f>
        <v>6</v>
      </c>
      <c r="AV189" t="str">
        <f t="shared" si="72"/>
        <v>Neutral</v>
      </c>
      <c r="AW189">
        <f>survey_responses[[#This Row],[Tôi tin tưởng số tiền thuế tôi đóng sẽ được Nhà nước sử dụng hiệu quả để cải thiện dịch vụ công (y tế, đường xá...). - HUMAN-TRU3]]</f>
        <v>5</v>
      </c>
      <c r="AX189" t="str">
        <f t="shared" si="73"/>
        <v>Neutral</v>
      </c>
      <c r="AY189" s="32">
        <f t="shared" si="74"/>
        <v>1</v>
      </c>
      <c r="AZ189">
        <f>step3_validation[[#This Row],[AI_TRU4]]</f>
        <v>5</v>
      </c>
      <c r="BA189" t="str">
        <f t="shared" si="75"/>
        <v>Neutral</v>
      </c>
      <c r="BB189">
        <f>survey_responses[[#This Row],[Tôi thấy Nhà nước đã giải thích rõ ràng, minh bạch về lý do và mục tiêu của việc sửa đổi thuế lần này. - HUMAN-TRU4]]</f>
        <v>5</v>
      </c>
      <c r="BC189" t="str">
        <f t="shared" si="76"/>
        <v>Neutral</v>
      </c>
      <c r="BD189" s="32">
        <f t="shared" si="77"/>
        <v>0</v>
      </c>
      <c r="BE189">
        <f>step3_validation[[#This Row],[AI_OUT1]]</f>
        <v>7</v>
      </c>
      <c r="BF189" t="str">
        <f t="shared" si="78"/>
        <v>Neutral</v>
      </c>
      <c r="BG189">
        <f>survey_responses[[#This Row],[Sau khi xem xét các quyền lợi và nghĩa vụ, bạn có ủng hộ và tuân thủ chính sách mới hiện nay? - HUMAN-OUT1]]</f>
        <v>5</v>
      </c>
      <c r="BH189" t="str">
        <f t="shared" si="79"/>
        <v>Neutral</v>
      </c>
      <c r="BI189" s="32">
        <f t="shared" si="80"/>
        <v>2</v>
      </c>
    </row>
    <row r="190" spans="1:61" x14ac:dyDescent="0.45">
      <c r="A190" s="30">
        <f>step3_validation[[#This Row],[Persona_ID]]</f>
        <v>189</v>
      </c>
      <c r="B190" s="31">
        <f>step3_validation[[#This Row],[Used_Seed]]</f>
        <v>2179</v>
      </c>
      <c r="C190" t="str">
        <f>step3_validation[[#This Row],[Gender]]</f>
        <v>Nam</v>
      </c>
      <c r="D190" t="str">
        <f>survey_responses[[#This Row],[Giới tính của bạn:]]</f>
        <v>Nam</v>
      </c>
      <c r="E190" t="str">
        <f>step3_validation[[#This Row],[Age_Group]]</f>
        <v>40 - 49</v>
      </c>
      <c r="F190" t="str">
        <f>survey_responses[[#This Row],[Độ tuổi của bạn:]]</f>
        <v>40 - 49</v>
      </c>
      <c r="G190" t="str">
        <f>step3_validation[[#This Row],[Region]]</f>
        <v>Thành thị</v>
      </c>
      <c r="H190" t="str">
        <f>survey_responses[[#This Row],[Khu vực bạn đang sinh sống:]]</f>
        <v>Thành thị</v>
      </c>
      <c r="I190" t="str">
        <f>step3_validation[[#This Row],[Education]]</f>
        <v>Đại học</v>
      </c>
      <c r="J190" t="str">
        <f>survey_responses[[#This Row],[Trình độ học vấn cao nhất:]]</f>
        <v>Đại học</v>
      </c>
      <c r="K190" t="str">
        <f>step3_validation[[#This Row],[Employment]]</f>
        <v>Chính thức</v>
      </c>
      <c r="L190" t="str">
        <f>survey_responses[[#This Row],[Tình trạng việc làm chính:]]</f>
        <v>Khu vực chính thức (Có Hợp đồng lao động, đóng BHXH)</v>
      </c>
      <c r="M190">
        <f>step3_validation[[#This Row],[Income_Mil]]</f>
        <v>49.025570258721416</v>
      </c>
      <c r="N190" t="str">
        <f>survey_responses[[#This Row],[Thu nhập bình quân tháng theo Hợp đồng lao động của bạn là bao nhiêu? (Vui lòng điền tổng thu nhập trước khi khấu trừ các loại Bảo hiểm (BHXH, BHYT, BHTN) và Thuế TNCN)]]</f>
        <v>Từ 48 - 70 triệu VNĐ</v>
      </c>
      <c r="O190">
        <f>step3_validation[[#This Row],[Dependents]]</f>
        <v>2</v>
      </c>
      <c r="P190" t="str">
        <f>survey_responses[[#This Row],[Số người phụ thuộc (con nhỏ, cha mẹ già...) đủ điều kiện giảm trừ gia cảnh:]]</f>
        <v>2 người</v>
      </c>
      <c r="Q190">
        <f>step3_validation[[#This Row],[AI_ENF1]]</f>
        <v>6</v>
      </c>
      <c r="R190" t="str">
        <f t="shared" si="54"/>
        <v>Neutral</v>
      </c>
      <c r="S190">
        <f>survey_responses[[#This Row],[Tôi tin rằng với các quy định quản lý thuế hiện nay, hành vi gian lận hoặc trốn thuế sẽ dễ dàng bị phát hiện và xử lý nghiêm. - HUMAN-ENF1]]</f>
        <v>8</v>
      </c>
      <c r="T190" t="str">
        <f t="shared" si="55"/>
        <v>Support</v>
      </c>
      <c r="U190" s="32">
        <f t="shared" si="56"/>
        <v>2</v>
      </c>
      <c r="V190">
        <f>step3_validation[[#This Row],[AI_ENF2]]</f>
        <v>7</v>
      </c>
      <c r="W190" t="str">
        <f t="shared" si="57"/>
        <v>Neutral</v>
      </c>
      <c r="X190">
        <f>survey_responses[[#This Row],[Tôi tin rằng Nhà nước, cơ quan thuế có đủ khả năng và công nghệ để phát hiện, xử lý nghiêm các hành vi trốn thuế. - HUMAN-ENF2]]</f>
        <v>8</v>
      </c>
      <c r="Y190" t="str">
        <f t="shared" si="58"/>
        <v>Support</v>
      </c>
      <c r="Z190" s="32">
        <f t="shared" si="59"/>
        <v>1</v>
      </c>
      <c r="AA190">
        <f>step3_validation[[#This Row],[AI_FAC1]]</f>
        <v>5</v>
      </c>
      <c r="AB190" t="str">
        <f t="shared" si="60"/>
        <v>Neutral</v>
      </c>
      <c r="AC190">
        <f>survey_responses[[#This Row],[Các thủ tục khai báo thuế VÀ/HOẶC quy trình làm việc với cơ quan thuế đơn giản, tiện lợi, nhanh chóng hơn so với trước đây. - HUMAN-FAC1]]</f>
        <v>5</v>
      </c>
      <c r="AD190" t="str">
        <f t="shared" si="61"/>
        <v>Neutral</v>
      </c>
      <c r="AE190" s="32">
        <f t="shared" si="62"/>
        <v>0</v>
      </c>
      <c r="AF190">
        <f>step3_validation[[#This Row],[AI_FAC2]]</f>
        <v>6</v>
      </c>
      <c r="AG190" t="str">
        <f t="shared" si="63"/>
        <v>Neutral</v>
      </c>
      <c r="AH190">
        <f>survey_responses[[#This Row],[So với trước đây, tôi thấy cách tính thuế và các bậc thuế trong phương án mới đơn giản, dễ hiểu và dễ thực hiện hơn. - HUMAN-FAC2]]</f>
        <v>7</v>
      </c>
      <c r="AI190" t="str">
        <f t="shared" si="64"/>
        <v>Neutral</v>
      </c>
      <c r="AJ190" s="32">
        <f t="shared" si="65"/>
        <v>1</v>
      </c>
      <c r="AK190">
        <f>step3_validation[[#This Row],[AI_TRU1]]</f>
        <v>7</v>
      </c>
      <c r="AL190" t="str">
        <f t="shared" si="66"/>
        <v>Neutral</v>
      </c>
      <c r="AM190">
        <f>survey_responses[[#This Row],[Tôi tin rằng Nhà nước, cơ quan thuế sẽ thực thi chính sách mới một cách khách quan, công tâm và đối xử bình đẳng với mọi người nộp thuế.  - HUMAN-TRU1]]</f>
        <v>6</v>
      </c>
      <c r="AN190" t="str">
        <f t="shared" si="67"/>
        <v>Neutral</v>
      </c>
      <c r="AO190" s="32">
        <f t="shared" si="68"/>
        <v>1</v>
      </c>
      <c r="AP190">
        <f>step3_validation[[#This Row],[AI_TRU2]]</f>
        <v>6</v>
      </c>
      <c r="AQ190" t="str">
        <f t="shared" si="69"/>
        <v>Neutral</v>
      </c>
      <c r="AR190">
        <f>survey_responses[[#This Row],[Tôi thấy mức thuế tôi phải đóng theo phương án mới là công bằng (người thu nhập như tôi đóng mức này là hợp lý). - HUMAN-TRU2]]</f>
        <v>8</v>
      </c>
      <c r="AS190" t="str">
        <f t="shared" si="70"/>
        <v>Support</v>
      </c>
      <c r="AT190" s="32">
        <f t="shared" si="71"/>
        <v>2</v>
      </c>
      <c r="AU190">
        <f>step3_validation[[#This Row],[AI_TRU3]]</f>
        <v>6</v>
      </c>
      <c r="AV190" t="str">
        <f t="shared" si="72"/>
        <v>Neutral</v>
      </c>
      <c r="AW190">
        <f>survey_responses[[#This Row],[Tôi tin tưởng số tiền thuế tôi đóng sẽ được Nhà nước sử dụng hiệu quả để cải thiện dịch vụ công (y tế, đường xá...). - HUMAN-TRU3]]</f>
        <v>5</v>
      </c>
      <c r="AX190" t="str">
        <f t="shared" si="73"/>
        <v>Neutral</v>
      </c>
      <c r="AY190" s="32">
        <f t="shared" si="74"/>
        <v>1</v>
      </c>
      <c r="AZ190">
        <f>step3_validation[[#This Row],[AI_TRU4]]</f>
        <v>5</v>
      </c>
      <c r="BA190" t="str">
        <f t="shared" si="75"/>
        <v>Neutral</v>
      </c>
      <c r="BB190">
        <f>survey_responses[[#This Row],[Tôi thấy Nhà nước đã giải thích rõ ràng, minh bạch về lý do và mục tiêu của việc sửa đổi thuế lần này. - HUMAN-TRU4]]</f>
        <v>7</v>
      </c>
      <c r="BC190" t="str">
        <f t="shared" si="76"/>
        <v>Neutral</v>
      </c>
      <c r="BD190" s="32">
        <f t="shared" si="77"/>
        <v>2</v>
      </c>
      <c r="BE190">
        <f>step3_validation[[#This Row],[AI_OUT1]]</f>
        <v>4</v>
      </c>
      <c r="BF190" t="str">
        <f t="shared" si="78"/>
        <v>Oppose</v>
      </c>
      <c r="BG190">
        <f>survey_responses[[#This Row],[Sau khi xem xét các quyền lợi và nghĩa vụ, bạn có ủng hộ và tuân thủ chính sách mới hiện nay? - HUMAN-OUT1]]</f>
        <v>8</v>
      </c>
      <c r="BH190" t="str">
        <f t="shared" si="79"/>
        <v>Support</v>
      </c>
      <c r="BI190" s="32">
        <f t="shared" si="80"/>
        <v>4</v>
      </c>
    </row>
    <row r="191" spans="1:61" x14ac:dyDescent="0.45">
      <c r="A191" s="30">
        <f>step3_validation[[#This Row],[Persona_ID]]</f>
        <v>190</v>
      </c>
      <c r="B191" s="31">
        <f>step3_validation[[#This Row],[Used_Seed]]</f>
        <v>2180</v>
      </c>
      <c r="C191" t="str">
        <f>step3_validation[[#This Row],[Gender]]</f>
        <v>Nam</v>
      </c>
      <c r="D191" t="str">
        <f>survey_responses[[#This Row],[Giới tính của bạn:]]</f>
        <v>Nam</v>
      </c>
      <c r="E191" t="str">
        <f>step3_validation[[#This Row],[Age_Group]]</f>
        <v>25 - 29</v>
      </c>
      <c r="F191" t="str">
        <f>survey_responses[[#This Row],[Độ tuổi của bạn:]]</f>
        <v>25 - 29</v>
      </c>
      <c r="G191" t="str">
        <f>step3_validation[[#This Row],[Region]]</f>
        <v>Thành thị</v>
      </c>
      <c r="H191" t="str">
        <f>survey_responses[[#This Row],[Khu vực bạn đang sinh sống:]]</f>
        <v>Thành thị</v>
      </c>
      <c r="I191" t="str">
        <f>step3_validation[[#This Row],[Education]]</f>
        <v>Sau Đại học</v>
      </c>
      <c r="J191" t="str">
        <f>survey_responses[[#This Row],[Trình độ học vấn cao nhất:]]</f>
        <v>Sau Đại học</v>
      </c>
      <c r="K191" t="str">
        <f>step3_validation[[#This Row],[Employment]]</f>
        <v>Chính thức</v>
      </c>
      <c r="L191" t="str">
        <f>survey_responses[[#This Row],[Tình trạng việc làm chính:]]</f>
        <v>Khu vực chính thức (Có Hợp đồng lao động, đóng BHXH)</v>
      </c>
      <c r="M191">
        <f>step3_validation[[#This Row],[Income_Mil]]</f>
        <v>24.80897648417444</v>
      </c>
      <c r="N191" t="str">
        <f>survey_responses[[#This Row],[Thu nhập bình quân tháng theo Hợp đồng lao động của bạn là bao nhiêu? (Vui lòng điền tổng thu nhập trước khi khấu trừ các loại Bảo hiểm (BHXH, BHYT, BHTN) và Thuế TNCN)]]</f>
        <v>Từ 23 - 32 triệu VNĐ</v>
      </c>
      <c r="O191">
        <f>step3_validation[[#This Row],[Dependents]]</f>
        <v>0</v>
      </c>
      <c r="P191" t="str">
        <f>survey_responses[[#This Row],[Số người phụ thuộc (con nhỏ, cha mẹ già...) đủ điều kiện giảm trừ gia cảnh:]]</f>
        <v>0 người</v>
      </c>
      <c r="Q191">
        <f>step3_validation[[#This Row],[AI_ENF1]]</f>
        <v>7</v>
      </c>
      <c r="R191" t="str">
        <f t="shared" si="54"/>
        <v>Neutral</v>
      </c>
      <c r="S191">
        <f>survey_responses[[#This Row],[Tôi tin rằng với các quy định quản lý thuế hiện nay, hành vi gian lận hoặc trốn thuế sẽ dễ dàng bị phát hiện và xử lý nghiêm. - HUMAN-ENF1]]</f>
        <v>7</v>
      </c>
      <c r="T191" t="str">
        <f t="shared" si="55"/>
        <v>Neutral</v>
      </c>
      <c r="U191" s="32">
        <f t="shared" si="56"/>
        <v>0</v>
      </c>
      <c r="V191">
        <f>step3_validation[[#This Row],[AI_ENF2]]</f>
        <v>8</v>
      </c>
      <c r="W191" t="str">
        <f t="shared" si="57"/>
        <v>Support</v>
      </c>
      <c r="X191">
        <f>survey_responses[[#This Row],[Tôi tin rằng Nhà nước, cơ quan thuế có đủ khả năng và công nghệ để phát hiện, xử lý nghiêm các hành vi trốn thuế. - HUMAN-ENF2]]</f>
        <v>7</v>
      </c>
      <c r="Y191" t="str">
        <f t="shared" si="58"/>
        <v>Neutral</v>
      </c>
      <c r="Z191" s="32">
        <f t="shared" si="59"/>
        <v>1</v>
      </c>
      <c r="AA191">
        <f>step3_validation[[#This Row],[AI_FAC1]]</f>
        <v>9</v>
      </c>
      <c r="AB191" t="str">
        <f t="shared" si="60"/>
        <v>Support</v>
      </c>
      <c r="AC191">
        <f>survey_responses[[#This Row],[Các thủ tục khai báo thuế VÀ/HOẶC quy trình làm việc với cơ quan thuế đơn giản, tiện lợi, nhanh chóng hơn so với trước đây. - HUMAN-FAC1]]</f>
        <v>7</v>
      </c>
      <c r="AD191" t="str">
        <f t="shared" si="61"/>
        <v>Neutral</v>
      </c>
      <c r="AE191" s="32">
        <f t="shared" si="62"/>
        <v>2</v>
      </c>
      <c r="AF191">
        <f>step3_validation[[#This Row],[AI_FAC2]]</f>
        <v>8</v>
      </c>
      <c r="AG191" t="str">
        <f t="shared" si="63"/>
        <v>Support</v>
      </c>
      <c r="AH191">
        <f>survey_responses[[#This Row],[So với trước đây, tôi thấy cách tính thuế và các bậc thuế trong phương án mới đơn giản, dễ hiểu và dễ thực hiện hơn. - HUMAN-FAC2]]</f>
        <v>8</v>
      </c>
      <c r="AI191" t="str">
        <f t="shared" si="64"/>
        <v>Support</v>
      </c>
      <c r="AJ191" s="32">
        <f t="shared" si="65"/>
        <v>0</v>
      </c>
      <c r="AK191">
        <f>step3_validation[[#This Row],[AI_TRU1]]</f>
        <v>7</v>
      </c>
      <c r="AL191" t="str">
        <f t="shared" si="66"/>
        <v>Neutral</v>
      </c>
      <c r="AM191">
        <f>survey_responses[[#This Row],[Tôi tin rằng Nhà nước, cơ quan thuế sẽ thực thi chính sách mới một cách khách quan, công tâm và đối xử bình đẳng với mọi người nộp thuế.  - HUMAN-TRU1]]</f>
        <v>3</v>
      </c>
      <c r="AN191" t="str">
        <f t="shared" si="67"/>
        <v>Oppose</v>
      </c>
      <c r="AO191" s="32">
        <f t="shared" si="68"/>
        <v>4</v>
      </c>
      <c r="AP191">
        <f>step3_validation[[#This Row],[AI_TRU2]]</f>
        <v>7</v>
      </c>
      <c r="AQ191" t="str">
        <f t="shared" si="69"/>
        <v>Neutral</v>
      </c>
      <c r="AR191">
        <f>survey_responses[[#This Row],[Tôi thấy mức thuế tôi phải đóng theo phương án mới là công bằng (người thu nhập như tôi đóng mức này là hợp lý). - HUMAN-TRU2]]</f>
        <v>3</v>
      </c>
      <c r="AS191" t="str">
        <f t="shared" si="70"/>
        <v>Oppose</v>
      </c>
      <c r="AT191" s="32">
        <f t="shared" si="71"/>
        <v>4</v>
      </c>
      <c r="AU191">
        <f>step3_validation[[#This Row],[AI_TRU3]]</f>
        <v>6</v>
      </c>
      <c r="AV191" t="str">
        <f t="shared" si="72"/>
        <v>Neutral</v>
      </c>
      <c r="AW191">
        <f>survey_responses[[#This Row],[Tôi tin tưởng số tiền thuế tôi đóng sẽ được Nhà nước sử dụng hiệu quả để cải thiện dịch vụ công (y tế, đường xá...). - HUMAN-TRU3]]</f>
        <v>2</v>
      </c>
      <c r="AX191" t="str">
        <f t="shared" si="73"/>
        <v>Oppose</v>
      </c>
      <c r="AY191" s="32">
        <f t="shared" si="74"/>
        <v>4</v>
      </c>
      <c r="AZ191">
        <f>step3_validation[[#This Row],[AI_TRU4]]</f>
        <v>5</v>
      </c>
      <c r="BA191" t="str">
        <f t="shared" si="75"/>
        <v>Neutral</v>
      </c>
      <c r="BB191">
        <f>survey_responses[[#This Row],[Tôi thấy Nhà nước đã giải thích rõ ràng, minh bạch về lý do và mục tiêu của việc sửa đổi thuế lần này. - HUMAN-TRU4]]</f>
        <v>3</v>
      </c>
      <c r="BC191" t="str">
        <f t="shared" si="76"/>
        <v>Oppose</v>
      </c>
      <c r="BD191" s="32">
        <f t="shared" si="77"/>
        <v>2</v>
      </c>
      <c r="BE191">
        <f>step3_validation[[#This Row],[AI_OUT1]]</f>
        <v>6</v>
      </c>
      <c r="BF191" t="str">
        <f t="shared" si="78"/>
        <v>Neutral</v>
      </c>
      <c r="BG191">
        <f>survey_responses[[#This Row],[Sau khi xem xét các quyền lợi và nghĩa vụ, bạn có ủng hộ và tuân thủ chính sách mới hiện nay? - HUMAN-OUT1]]</f>
        <v>8</v>
      </c>
      <c r="BH191" t="str">
        <f t="shared" si="79"/>
        <v>Support</v>
      </c>
      <c r="BI191" s="32">
        <f t="shared" si="80"/>
        <v>2</v>
      </c>
    </row>
    <row r="192" spans="1:61" x14ac:dyDescent="0.45">
      <c r="A192" s="30">
        <f>step3_validation[[#This Row],[Persona_ID]]</f>
        <v>191</v>
      </c>
      <c r="B192" s="31">
        <f>step3_validation[[#This Row],[Used_Seed]]</f>
        <v>2181</v>
      </c>
      <c r="C192" t="str">
        <f>step3_validation[[#This Row],[Gender]]</f>
        <v>Nam</v>
      </c>
      <c r="D192" t="str">
        <f>survey_responses[[#This Row],[Giới tính của bạn:]]</f>
        <v>Nam</v>
      </c>
      <c r="E192" t="str">
        <f>step3_validation[[#This Row],[Age_Group]]</f>
        <v>30 - 39</v>
      </c>
      <c r="F192" t="str">
        <f>survey_responses[[#This Row],[Độ tuổi của bạn:]]</f>
        <v>30 - 39</v>
      </c>
      <c r="G192" t="str">
        <f>step3_validation[[#This Row],[Region]]</f>
        <v>Thành thị</v>
      </c>
      <c r="H192" t="str">
        <f>survey_responses[[#This Row],[Khu vực bạn đang sinh sống:]]</f>
        <v>Thành thị</v>
      </c>
      <c r="I192" t="str">
        <f>step3_validation[[#This Row],[Education]]</f>
        <v>Sau Đại học</v>
      </c>
      <c r="J192" t="str">
        <f>survey_responses[[#This Row],[Trình độ học vấn cao nhất:]]</f>
        <v>Sau Đại học</v>
      </c>
      <c r="K192" t="str">
        <f>step3_validation[[#This Row],[Employment]]</f>
        <v>Chính thức</v>
      </c>
      <c r="L192" t="str">
        <f>survey_responses[[#This Row],[Tình trạng việc làm chính:]]</f>
        <v>Khu vực chính thức (Có Hợp đồng lao động, đóng BHXH)</v>
      </c>
      <c r="M192">
        <f>step3_validation[[#This Row],[Income_Mil]]</f>
        <v>56.008106866924827</v>
      </c>
      <c r="N192" t="str">
        <f>survey_responses[[#This Row],[Thu nhập bình quân tháng theo Hợp đồng lao động của bạn là bao nhiêu? (Vui lòng điền tổng thu nhập trước khi khấu trừ các loại Bảo hiểm (BHXH, BHYT, BHTN) và Thuế TNCN)]]</f>
        <v>Từ 48 - 70 triệu VNĐ</v>
      </c>
      <c r="O192">
        <f>step3_validation[[#This Row],[Dependents]]</f>
        <v>3</v>
      </c>
      <c r="P192" t="str">
        <f>survey_responses[[#This Row],[Số người phụ thuộc (con nhỏ, cha mẹ già...) đủ điều kiện giảm trừ gia cảnh:]]</f>
        <v>3 người</v>
      </c>
      <c r="Q192">
        <f>step3_validation[[#This Row],[AI_ENF1]]</f>
        <v>8</v>
      </c>
      <c r="R192" t="str">
        <f t="shared" si="54"/>
        <v>Support</v>
      </c>
      <c r="S192">
        <f>survey_responses[[#This Row],[Tôi tin rằng với các quy định quản lý thuế hiện nay, hành vi gian lận hoặc trốn thuế sẽ dễ dàng bị phát hiện và xử lý nghiêm. - HUMAN-ENF1]]</f>
        <v>7</v>
      </c>
      <c r="T192" t="str">
        <f t="shared" si="55"/>
        <v>Neutral</v>
      </c>
      <c r="U192" s="32">
        <f t="shared" si="56"/>
        <v>1</v>
      </c>
      <c r="V192">
        <f>step3_validation[[#This Row],[AI_ENF2]]</f>
        <v>7</v>
      </c>
      <c r="W192" t="str">
        <f t="shared" si="57"/>
        <v>Neutral</v>
      </c>
      <c r="X192">
        <f>survey_responses[[#This Row],[Tôi tin rằng Nhà nước, cơ quan thuế có đủ khả năng và công nghệ để phát hiện, xử lý nghiêm các hành vi trốn thuế. - HUMAN-ENF2]]</f>
        <v>7</v>
      </c>
      <c r="Y192" t="str">
        <f t="shared" si="58"/>
        <v>Neutral</v>
      </c>
      <c r="Z192" s="32">
        <f t="shared" si="59"/>
        <v>0</v>
      </c>
      <c r="AA192">
        <f>step3_validation[[#This Row],[AI_FAC1]]</f>
        <v>9</v>
      </c>
      <c r="AB192" t="str">
        <f t="shared" si="60"/>
        <v>Support</v>
      </c>
      <c r="AC192">
        <f>survey_responses[[#This Row],[Các thủ tục khai báo thuế VÀ/HOẶC quy trình làm việc với cơ quan thuế đơn giản, tiện lợi, nhanh chóng hơn so với trước đây. - HUMAN-FAC1]]</f>
        <v>6</v>
      </c>
      <c r="AD192" t="str">
        <f t="shared" si="61"/>
        <v>Neutral</v>
      </c>
      <c r="AE192" s="32">
        <f t="shared" si="62"/>
        <v>3</v>
      </c>
      <c r="AF192">
        <f>step3_validation[[#This Row],[AI_FAC2]]</f>
        <v>8</v>
      </c>
      <c r="AG192" t="str">
        <f t="shared" si="63"/>
        <v>Support</v>
      </c>
      <c r="AH192">
        <f>survey_responses[[#This Row],[So với trước đây, tôi thấy cách tính thuế và các bậc thuế trong phương án mới đơn giản, dễ hiểu và dễ thực hiện hơn. - HUMAN-FAC2]]</f>
        <v>8</v>
      </c>
      <c r="AI192" t="str">
        <f t="shared" si="64"/>
        <v>Support</v>
      </c>
      <c r="AJ192" s="32">
        <f t="shared" si="65"/>
        <v>0</v>
      </c>
      <c r="AK192">
        <f>step3_validation[[#This Row],[AI_TRU1]]</f>
        <v>7</v>
      </c>
      <c r="AL192" t="str">
        <f t="shared" si="66"/>
        <v>Neutral</v>
      </c>
      <c r="AM192">
        <f>survey_responses[[#This Row],[Tôi tin rằng Nhà nước, cơ quan thuế sẽ thực thi chính sách mới một cách khách quan, công tâm và đối xử bình đẳng với mọi người nộp thuế.  - HUMAN-TRU1]]</f>
        <v>7</v>
      </c>
      <c r="AN192" t="str">
        <f t="shared" si="67"/>
        <v>Neutral</v>
      </c>
      <c r="AO192" s="32">
        <f t="shared" si="68"/>
        <v>0</v>
      </c>
      <c r="AP192">
        <f>step3_validation[[#This Row],[AI_TRU2]]</f>
        <v>8</v>
      </c>
      <c r="AQ192" t="str">
        <f t="shared" si="69"/>
        <v>Support</v>
      </c>
      <c r="AR192">
        <f>survey_responses[[#This Row],[Tôi thấy mức thuế tôi phải đóng theo phương án mới là công bằng (người thu nhập như tôi đóng mức này là hợp lý). - HUMAN-TRU2]]</f>
        <v>8</v>
      </c>
      <c r="AS192" t="str">
        <f t="shared" si="70"/>
        <v>Support</v>
      </c>
      <c r="AT192" s="32">
        <f t="shared" si="71"/>
        <v>0</v>
      </c>
      <c r="AU192">
        <f>step3_validation[[#This Row],[AI_TRU3]]</f>
        <v>7</v>
      </c>
      <c r="AV192" t="str">
        <f t="shared" si="72"/>
        <v>Neutral</v>
      </c>
      <c r="AW192">
        <f>survey_responses[[#This Row],[Tôi tin tưởng số tiền thuế tôi đóng sẽ được Nhà nước sử dụng hiệu quả để cải thiện dịch vụ công (y tế, đường xá...). - HUMAN-TRU3]]</f>
        <v>7</v>
      </c>
      <c r="AX192" t="str">
        <f t="shared" si="73"/>
        <v>Neutral</v>
      </c>
      <c r="AY192" s="32">
        <f t="shared" si="74"/>
        <v>0</v>
      </c>
      <c r="AZ192">
        <f>step3_validation[[#This Row],[AI_TRU4]]</f>
        <v>6</v>
      </c>
      <c r="BA192" t="str">
        <f t="shared" si="75"/>
        <v>Neutral</v>
      </c>
      <c r="BB192">
        <f>survey_responses[[#This Row],[Tôi thấy Nhà nước đã giải thích rõ ràng, minh bạch về lý do và mục tiêu của việc sửa đổi thuế lần này. - HUMAN-TRU4]]</f>
        <v>7</v>
      </c>
      <c r="BC192" t="str">
        <f t="shared" si="76"/>
        <v>Neutral</v>
      </c>
      <c r="BD192" s="32">
        <f t="shared" si="77"/>
        <v>1</v>
      </c>
      <c r="BE192">
        <f>step3_validation[[#This Row],[AI_OUT1]]</f>
        <v>8</v>
      </c>
      <c r="BF192" t="str">
        <f t="shared" si="78"/>
        <v>Support</v>
      </c>
      <c r="BG192">
        <f>survey_responses[[#This Row],[Sau khi xem xét các quyền lợi và nghĩa vụ, bạn có ủng hộ và tuân thủ chính sách mới hiện nay? - HUMAN-OUT1]]</f>
        <v>7</v>
      </c>
      <c r="BH192" t="str">
        <f t="shared" si="79"/>
        <v>Neutral</v>
      </c>
      <c r="BI192" s="32">
        <f t="shared" si="80"/>
        <v>1</v>
      </c>
    </row>
    <row r="193" spans="1:61" x14ac:dyDescent="0.45">
      <c r="A193" s="30">
        <f>step3_validation[[#This Row],[Persona_ID]]</f>
        <v>192</v>
      </c>
      <c r="B193" s="31">
        <f>step3_validation[[#This Row],[Used_Seed]]</f>
        <v>2182</v>
      </c>
      <c r="C193" t="str">
        <f>step3_validation[[#This Row],[Gender]]</f>
        <v>Nữ</v>
      </c>
      <c r="D193" t="str">
        <f>survey_responses[[#This Row],[Giới tính của bạn:]]</f>
        <v>Nữ</v>
      </c>
      <c r="E193" t="str">
        <f>step3_validation[[#This Row],[Age_Group]]</f>
        <v>18 - 24</v>
      </c>
      <c r="F193" t="str">
        <f>survey_responses[[#This Row],[Độ tuổi của bạn:]]</f>
        <v>18 - 24</v>
      </c>
      <c r="G193" t="str">
        <f>step3_validation[[#This Row],[Region]]</f>
        <v>Thành thị</v>
      </c>
      <c r="H193" t="str">
        <f>survey_responses[[#This Row],[Khu vực bạn đang sinh sống:]]</f>
        <v>Thành thị</v>
      </c>
      <c r="I193" t="str">
        <f>step3_validation[[#This Row],[Education]]</f>
        <v>Đại học</v>
      </c>
      <c r="J193" t="str">
        <f>survey_responses[[#This Row],[Trình độ học vấn cao nhất:]]</f>
        <v>Đại học</v>
      </c>
      <c r="K193" t="str">
        <f>step3_validation[[#This Row],[Employment]]</f>
        <v>Chính thức</v>
      </c>
      <c r="L193" t="str">
        <f>survey_responses[[#This Row],[Tình trạng việc làm chính:]]</f>
        <v>Khu vực chính thức (Có Hợp đồng lao động, đóng BHXH)</v>
      </c>
      <c r="M193">
        <f>step3_validation[[#This Row],[Income_Mil]]</f>
        <v>21.006095014974331</v>
      </c>
      <c r="N193" t="str">
        <f>survey_responses[[#This Row],[Thu nhập bình quân tháng theo Hợp đồng lao động của bạn là bao nhiêu? (Vui lòng điền tổng thu nhập trước khi khấu trừ các loại Bảo hiểm (BHXH, BHYT, BHTN) và Thuế TNCN)]]</f>
        <v>Từ 18 - 23 triệu VNĐ</v>
      </c>
      <c r="O193">
        <f>step3_validation[[#This Row],[Dependents]]</f>
        <v>0</v>
      </c>
      <c r="P193" t="str">
        <f>survey_responses[[#This Row],[Số người phụ thuộc (con nhỏ, cha mẹ già...) đủ điều kiện giảm trừ gia cảnh:]]</f>
        <v>0 người</v>
      </c>
      <c r="Q193">
        <f>step3_validation[[#This Row],[AI_ENF1]]</f>
        <v>8</v>
      </c>
      <c r="R193" t="str">
        <f t="shared" si="54"/>
        <v>Support</v>
      </c>
      <c r="S193">
        <f>survey_responses[[#This Row],[Tôi tin rằng với các quy định quản lý thuế hiện nay, hành vi gian lận hoặc trốn thuế sẽ dễ dàng bị phát hiện và xử lý nghiêm. - HUMAN-ENF1]]</f>
        <v>8</v>
      </c>
      <c r="T193" t="str">
        <f t="shared" si="55"/>
        <v>Support</v>
      </c>
      <c r="U193" s="32">
        <f t="shared" si="56"/>
        <v>0</v>
      </c>
      <c r="V193">
        <f>step3_validation[[#This Row],[AI_ENF2]]</f>
        <v>7</v>
      </c>
      <c r="W193" t="str">
        <f t="shared" si="57"/>
        <v>Neutral</v>
      </c>
      <c r="X193">
        <f>survey_responses[[#This Row],[Tôi tin rằng Nhà nước, cơ quan thuế có đủ khả năng và công nghệ để phát hiện, xử lý nghiêm các hành vi trốn thuế. - HUMAN-ENF2]]</f>
        <v>8</v>
      </c>
      <c r="Y193" t="str">
        <f t="shared" si="58"/>
        <v>Support</v>
      </c>
      <c r="Z193" s="32">
        <f t="shared" si="59"/>
        <v>1</v>
      </c>
      <c r="AA193">
        <f>step3_validation[[#This Row],[AI_FAC1]]</f>
        <v>9</v>
      </c>
      <c r="AB193" t="str">
        <f t="shared" si="60"/>
        <v>Support</v>
      </c>
      <c r="AC193">
        <f>survey_responses[[#This Row],[Các thủ tục khai báo thuế VÀ/HOẶC quy trình làm việc với cơ quan thuế đơn giản, tiện lợi, nhanh chóng hơn so với trước đây. - HUMAN-FAC1]]</f>
        <v>9</v>
      </c>
      <c r="AD193" t="str">
        <f t="shared" si="61"/>
        <v>Support</v>
      </c>
      <c r="AE193" s="32">
        <f t="shared" si="62"/>
        <v>0</v>
      </c>
      <c r="AF193">
        <f>step3_validation[[#This Row],[AI_FAC2]]</f>
        <v>8</v>
      </c>
      <c r="AG193" t="str">
        <f t="shared" si="63"/>
        <v>Support</v>
      </c>
      <c r="AH193">
        <f>survey_responses[[#This Row],[So với trước đây, tôi thấy cách tính thuế và các bậc thuế trong phương án mới đơn giản, dễ hiểu và dễ thực hiện hơn. - HUMAN-FAC2]]</f>
        <v>9</v>
      </c>
      <c r="AI193" t="str">
        <f t="shared" si="64"/>
        <v>Support</v>
      </c>
      <c r="AJ193" s="32">
        <f t="shared" si="65"/>
        <v>1</v>
      </c>
      <c r="AK193">
        <f>step3_validation[[#This Row],[AI_TRU1]]</f>
        <v>7</v>
      </c>
      <c r="AL193" t="str">
        <f t="shared" si="66"/>
        <v>Neutral</v>
      </c>
      <c r="AM193">
        <f>survey_responses[[#This Row],[Tôi tin rằng Nhà nước, cơ quan thuế sẽ thực thi chính sách mới một cách khách quan, công tâm và đối xử bình đẳng với mọi người nộp thuế.  - HUMAN-TRU1]]</f>
        <v>9</v>
      </c>
      <c r="AN193" t="str">
        <f t="shared" si="67"/>
        <v>Support</v>
      </c>
      <c r="AO193" s="32">
        <f t="shared" si="68"/>
        <v>2</v>
      </c>
      <c r="AP193">
        <f>step3_validation[[#This Row],[AI_TRU2]]</f>
        <v>5</v>
      </c>
      <c r="AQ193" t="str">
        <f t="shared" si="69"/>
        <v>Neutral</v>
      </c>
      <c r="AR193">
        <f>survey_responses[[#This Row],[Tôi thấy mức thuế tôi phải đóng theo phương án mới là công bằng (người thu nhập như tôi đóng mức này là hợp lý). - HUMAN-TRU2]]</f>
        <v>9</v>
      </c>
      <c r="AS193" t="str">
        <f t="shared" si="70"/>
        <v>Support</v>
      </c>
      <c r="AT193" s="32">
        <f t="shared" si="71"/>
        <v>4</v>
      </c>
      <c r="AU193">
        <f>step3_validation[[#This Row],[AI_TRU3]]</f>
        <v>6</v>
      </c>
      <c r="AV193" t="str">
        <f t="shared" si="72"/>
        <v>Neutral</v>
      </c>
      <c r="AW193">
        <f>survey_responses[[#This Row],[Tôi tin tưởng số tiền thuế tôi đóng sẽ được Nhà nước sử dụng hiệu quả để cải thiện dịch vụ công (y tế, đường xá...). - HUMAN-TRU3]]</f>
        <v>8</v>
      </c>
      <c r="AX193" t="str">
        <f t="shared" si="73"/>
        <v>Support</v>
      </c>
      <c r="AY193" s="32">
        <f t="shared" si="74"/>
        <v>2</v>
      </c>
      <c r="AZ193">
        <f>step3_validation[[#This Row],[AI_TRU4]]</f>
        <v>4</v>
      </c>
      <c r="BA193" t="str">
        <f t="shared" si="75"/>
        <v>Oppose</v>
      </c>
      <c r="BB193">
        <f>survey_responses[[#This Row],[Tôi thấy Nhà nước đã giải thích rõ ràng, minh bạch về lý do và mục tiêu của việc sửa đổi thuế lần này. - HUMAN-TRU4]]</f>
        <v>8</v>
      </c>
      <c r="BC193" t="str">
        <f t="shared" si="76"/>
        <v>Support</v>
      </c>
      <c r="BD193" s="32">
        <f t="shared" si="77"/>
        <v>4</v>
      </c>
      <c r="BE193">
        <f>step3_validation[[#This Row],[AI_OUT1]]</f>
        <v>7</v>
      </c>
      <c r="BF193" t="str">
        <f t="shared" si="78"/>
        <v>Neutral</v>
      </c>
      <c r="BG193">
        <f>survey_responses[[#This Row],[Sau khi xem xét các quyền lợi và nghĩa vụ, bạn có ủng hộ và tuân thủ chính sách mới hiện nay? - HUMAN-OUT1]]</f>
        <v>9</v>
      </c>
      <c r="BH193" t="str">
        <f t="shared" si="79"/>
        <v>Support</v>
      </c>
      <c r="BI193" s="32">
        <f t="shared" si="80"/>
        <v>2</v>
      </c>
    </row>
    <row r="194" spans="1:61" x14ac:dyDescent="0.45">
      <c r="A194" s="30">
        <f>step3_validation[[#This Row],[Persona_ID]]</f>
        <v>193</v>
      </c>
      <c r="B194" s="31">
        <f>step3_validation[[#This Row],[Used_Seed]]</f>
        <v>2183</v>
      </c>
      <c r="C194" t="str">
        <f>step3_validation[[#This Row],[Gender]]</f>
        <v>Nữ</v>
      </c>
      <c r="D194" t="str">
        <f>survey_responses[[#This Row],[Giới tính của bạn:]]</f>
        <v>Nữ</v>
      </c>
      <c r="E194" t="str">
        <f>step3_validation[[#This Row],[Age_Group]]</f>
        <v>40 - 49</v>
      </c>
      <c r="F194" t="str">
        <f>survey_responses[[#This Row],[Độ tuổi của bạn:]]</f>
        <v>40 - 49</v>
      </c>
      <c r="G194" t="str">
        <f>step3_validation[[#This Row],[Region]]</f>
        <v>Thành thị</v>
      </c>
      <c r="H194" t="str">
        <f>survey_responses[[#This Row],[Khu vực bạn đang sinh sống:]]</f>
        <v>Thành thị</v>
      </c>
      <c r="I194" t="str">
        <f>step3_validation[[#This Row],[Education]]</f>
        <v>Đại học</v>
      </c>
      <c r="J194" t="str">
        <f>survey_responses[[#This Row],[Trình độ học vấn cao nhất:]]</f>
        <v>Đại học</v>
      </c>
      <c r="K194" t="str">
        <f>step3_validation[[#This Row],[Employment]]</f>
        <v>Chính thức</v>
      </c>
      <c r="L194" t="str">
        <f>survey_responses[[#This Row],[Tình trạng việc làm chính:]]</f>
        <v>Khu vực chính thức (Có Hợp đồng lao động, đóng BHXH)</v>
      </c>
      <c r="M194">
        <f>step3_validation[[#This Row],[Income_Mil]]</f>
        <v>24.223476505769941</v>
      </c>
      <c r="N194" t="str">
        <f>survey_responses[[#This Row],[Thu nhập bình quân tháng theo Hợp đồng lao động của bạn là bao nhiêu? (Vui lòng điền tổng thu nhập trước khi khấu trừ các loại Bảo hiểm (BHXH, BHYT, BHTN) và Thuế TNCN)]]</f>
        <v>Từ 23 - 32 triệu VNĐ</v>
      </c>
      <c r="O194">
        <f>step3_validation[[#This Row],[Dependents]]</f>
        <v>2</v>
      </c>
      <c r="P194" t="str">
        <f>survey_responses[[#This Row],[Số người phụ thuộc (con nhỏ, cha mẹ già...) đủ điều kiện giảm trừ gia cảnh:]]</f>
        <v>2 người</v>
      </c>
      <c r="Q194">
        <f>step3_validation[[#This Row],[AI_ENF1]]</f>
        <v>8</v>
      </c>
      <c r="R194" t="str">
        <f t="shared" si="54"/>
        <v>Support</v>
      </c>
      <c r="S194">
        <f>survey_responses[[#This Row],[Tôi tin rằng với các quy định quản lý thuế hiện nay, hành vi gian lận hoặc trốn thuế sẽ dễ dàng bị phát hiện và xử lý nghiêm. - HUMAN-ENF1]]</f>
        <v>1</v>
      </c>
      <c r="T194" t="str">
        <f t="shared" si="55"/>
        <v>Oppose</v>
      </c>
      <c r="U194" s="32">
        <f t="shared" si="56"/>
        <v>7</v>
      </c>
      <c r="V194">
        <f>step3_validation[[#This Row],[AI_ENF2]]</f>
        <v>9</v>
      </c>
      <c r="W194" t="str">
        <f t="shared" si="57"/>
        <v>Support</v>
      </c>
      <c r="X194">
        <f>survey_responses[[#This Row],[Tôi tin rằng Nhà nước, cơ quan thuế có đủ khả năng và công nghệ để phát hiện, xử lý nghiêm các hành vi trốn thuế. - HUMAN-ENF2]]</f>
        <v>1</v>
      </c>
      <c r="Y194" t="str">
        <f t="shared" si="58"/>
        <v>Oppose</v>
      </c>
      <c r="Z194" s="32">
        <f t="shared" si="59"/>
        <v>8</v>
      </c>
      <c r="AA194">
        <f>step3_validation[[#This Row],[AI_FAC1]]</f>
        <v>8</v>
      </c>
      <c r="AB194" t="str">
        <f t="shared" si="60"/>
        <v>Support</v>
      </c>
      <c r="AC194">
        <f>survey_responses[[#This Row],[Các thủ tục khai báo thuế VÀ/HOẶC quy trình làm việc với cơ quan thuế đơn giản, tiện lợi, nhanh chóng hơn so với trước đây. - HUMAN-FAC1]]</f>
        <v>7</v>
      </c>
      <c r="AD194" t="str">
        <f t="shared" si="61"/>
        <v>Neutral</v>
      </c>
      <c r="AE194" s="32">
        <f t="shared" si="62"/>
        <v>1</v>
      </c>
      <c r="AF194">
        <f>step3_validation[[#This Row],[AI_FAC2]]</f>
        <v>9</v>
      </c>
      <c r="AG194" t="str">
        <f t="shared" si="63"/>
        <v>Support</v>
      </c>
      <c r="AH194">
        <f>survey_responses[[#This Row],[So với trước đây, tôi thấy cách tính thuế và các bậc thuế trong phương án mới đơn giản, dễ hiểu và dễ thực hiện hơn. - HUMAN-FAC2]]</f>
        <v>5</v>
      </c>
      <c r="AI194" t="str">
        <f t="shared" si="64"/>
        <v>Neutral</v>
      </c>
      <c r="AJ194" s="32">
        <f t="shared" si="65"/>
        <v>4</v>
      </c>
      <c r="AK194">
        <f>step3_validation[[#This Row],[AI_TRU1]]</f>
        <v>8</v>
      </c>
      <c r="AL194" t="str">
        <f t="shared" si="66"/>
        <v>Support</v>
      </c>
      <c r="AM194">
        <f>survey_responses[[#This Row],[Tôi tin rằng Nhà nước, cơ quan thuế sẽ thực thi chính sách mới một cách khách quan, công tâm và đối xử bình đẳng với mọi người nộp thuế.  - HUMAN-TRU1]]</f>
        <v>5</v>
      </c>
      <c r="AN194" t="str">
        <f t="shared" si="67"/>
        <v>Neutral</v>
      </c>
      <c r="AO194" s="32">
        <f t="shared" si="68"/>
        <v>3</v>
      </c>
      <c r="AP194">
        <f>step3_validation[[#This Row],[AI_TRU2]]</f>
        <v>7</v>
      </c>
      <c r="AQ194" t="str">
        <f t="shared" si="69"/>
        <v>Neutral</v>
      </c>
      <c r="AR194">
        <f>survey_responses[[#This Row],[Tôi thấy mức thuế tôi phải đóng theo phương án mới là công bằng (người thu nhập như tôi đóng mức này là hợp lý). - HUMAN-TRU2]]</f>
        <v>7</v>
      </c>
      <c r="AS194" t="str">
        <f t="shared" si="70"/>
        <v>Neutral</v>
      </c>
      <c r="AT194" s="32">
        <f t="shared" si="71"/>
        <v>0</v>
      </c>
      <c r="AU194">
        <f>step3_validation[[#This Row],[AI_TRU3]]</f>
        <v>8</v>
      </c>
      <c r="AV194" t="str">
        <f t="shared" si="72"/>
        <v>Support</v>
      </c>
      <c r="AW194">
        <f>survey_responses[[#This Row],[Tôi tin tưởng số tiền thuế tôi đóng sẽ được Nhà nước sử dụng hiệu quả để cải thiện dịch vụ công (y tế, đường xá...). - HUMAN-TRU3]]</f>
        <v>2</v>
      </c>
      <c r="AX194" t="str">
        <f t="shared" si="73"/>
        <v>Oppose</v>
      </c>
      <c r="AY194" s="32">
        <f t="shared" si="74"/>
        <v>6</v>
      </c>
      <c r="AZ194">
        <f>step3_validation[[#This Row],[AI_TRU4]]</f>
        <v>7</v>
      </c>
      <c r="BA194" t="str">
        <f t="shared" si="75"/>
        <v>Neutral</v>
      </c>
      <c r="BB194">
        <f>survey_responses[[#This Row],[Tôi thấy Nhà nước đã giải thích rõ ràng, minh bạch về lý do và mục tiêu của việc sửa đổi thuế lần này. - HUMAN-TRU4]]</f>
        <v>5</v>
      </c>
      <c r="BC194" t="str">
        <f t="shared" si="76"/>
        <v>Neutral</v>
      </c>
      <c r="BD194" s="32">
        <f t="shared" si="77"/>
        <v>2</v>
      </c>
      <c r="BE194">
        <f>step3_validation[[#This Row],[AI_OUT1]]</f>
        <v>6</v>
      </c>
      <c r="BF194" t="str">
        <f t="shared" si="78"/>
        <v>Neutral</v>
      </c>
      <c r="BG194">
        <f>survey_responses[[#This Row],[Sau khi xem xét các quyền lợi và nghĩa vụ, bạn có ủng hộ và tuân thủ chính sách mới hiện nay? - HUMAN-OUT1]]</f>
        <v>5</v>
      </c>
      <c r="BH194" t="str">
        <f t="shared" si="79"/>
        <v>Neutral</v>
      </c>
      <c r="BI194" s="32">
        <f t="shared" si="80"/>
        <v>1</v>
      </c>
    </row>
    <row r="195" spans="1:61" x14ac:dyDescent="0.45">
      <c r="A195" s="30">
        <f>step3_validation[[#This Row],[Persona_ID]]</f>
        <v>194</v>
      </c>
      <c r="B195" s="31">
        <f>step3_validation[[#This Row],[Used_Seed]]</f>
        <v>2184</v>
      </c>
      <c r="C195" t="str">
        <f>step3_validation[[#This Row],[Gender]]</f>
        <v>Nữ</v>
      </c>
      <c r="D195" t="str">
        <f>survey_responses[[#This Row],[Giới tính của bạn:]]</f>
        <v>Nữ</v>
      </c>
      <c r="E195" t="str">
        <f>step3_validation[[#This Row],[Age_Group]]</f>
        <v>30 - 39</v>
      </c>
      <c r="F195" t="str">
        <f>survey_responses[[#This Row],[Độ tuổi của bạn:]]</f>
        <v>30 - 39</v>
      </c>
      <c r="G195" t="str">
        <f>step3_validation[[#This Row],[Region]]</f>
        <v>Thành thị</v>
      </c>
      <c r="H195" t="str">
        <f>survey_responses[[#This Row],[Khu vực bạn đang sinh sống:]]</f>
        <v>Thành thị</v>
      </c>
      <c r="I195" t="str">
        <f>step3_validation[[#This Row],[Education]]</f>
        <v>Đại học</v>
      </c>
      <c r="J195" t="str">
        <f>survey_responses[[#This Row],[Trình độ học vấn cao nhất:]]</f>
        <v>Đại học</v>
      </c>
      <c r="K195" t="str">
        <f>step3_validation[[#This Row],[Employment]]</f>
        <v>Chính thức</v>
      </c>
      <c r="L195" t="str">
        <f>survey_responses[[#This Row],[Tình trạng việc làm chính:]]</f>
        <v>Khu vực chính thức (Có Hợp đồng lao động, đóng BHXH)</v>
      </c>
      <c r="M195">
        <f>step3_validation[[#This Row],[Income_Mil]]</f>
        <v>19.31967304171242</v>
      </c>
      <c r="N195" t="str">
        <f>survey_responses[[#This Row],[Thu nhập bình quân tháng theo Hợp đồng lao động của bạn là bao nhiêu? (Vui lòng điền tổng thu nhập trước khi khấu trừ các loại Bảo hiểm (BHXH, BHYT, BHTN) và Thuế TNCN)]]</f>
        <v>Từ 18 - 23 triệu VNĐ</v>
      </c>
      <c r="O195">
        <f>step3_validation[[#This Row],[Dependents]]</f>
        <v>1</v>
      </c>
      <c r="P195" t="str">
        <f>survey_responses[[#This Row],[Số người phụ thuộc (con nhỏ, cha mẹ già...) đủ điều kiện giảm trừ gia cảnh:]]</f>
        <v>1 người</v>
      </c>
      <c r="Q195">
        <f>step3_validation[[#This Row],[AI_ENF1]]</f>
        <v>6</v>
      </c>
      <c r="R195" t="str">
        <f t="shared" ref="R195:R258" si="81">IF(AND(Q195&gt;=1,Q195&lt;5),"Oppose",IF(AND(Q195&gt;=5,Q195&lt;8),"Neutral",IF(AND(Q195&gt;=8,Q195&lt;=10),"Support","")))</f>
        <v>Neutral</v>
      </c>
      <c r="S195">
        <f>survey_responses[[#This Row],[Tôi tin rằng với các quy định quản lý thuế hiện nay, hành vi gian lận hoặc trốn thuế sẽ dễ dàng bị phát hiện và xử lý nghiêm. - HUMAN-ENF1]]</f>
        <v>10</v>
      </c>
      <c r="T195" t="str">
        <f t="shared" ref="T195:T258" si="82">IF(AND(S195&gt;=1,S195&lt;5),"Oppose",IF(AND(S195&gt;=5,S195&lt;8),"Neutral",IF(AND(S195&gt;=8,S195&lt;=10),"Support","")))</f>
        <v>Support</v>
      </c>
      <c r="U195" s="32">
        <f t="shared" ref="U195:U258" si="83">ABS(S195-Q195)</f>
        <v>4</v>
      </c>
      <c r="V195">
        <f>step3_validation[[#This Row],[AI_ENF2]]</f>
        <v>5</v>
      </c>
      <c r="W195" t="str">
        <f t="shared" ref="W195:W258" si="84">IF(AND(V195&gt;=1,V195&lt;5),"Oppose",IF(AND(V195&gt;=5,V195&lt;8),"Neutral",IF(AND(V195&gt;=8,V195&lt;=10),"Support","")))</f>
        <v>Neutral</v>
      </c>
      <c r="X195">
        <f>survey_responses[[#This Row],[Tôi tin rằng Nhà nước, cơ quan thuế có đủ khả năng và công nghệ để phát hiện, xử lý nghiêm các hành vi trốn thuế. - HUMAN-ENF2]]</f>
        <v>10</v>
      </c>
      <c r="Y195" t="str">
        <f t="shared" ref="Y195:Y258" si="85">IF(AND(X195&gt;=1,X195&lt;5),"Oppose",IF(AND(X195&gt;=5,X195&lt;8),"Neutral",IF(AND(X195&gt;=8,X195&lt;=10),"Support","")))</f>
        <v>Support</v>
      </c>
      <c r="Z195" s="32">
        <f t="shared" ref="Z195:Z258" si="86">ABS(X195-V195)</f>
        <v>5</v>
      </c>
      <c r="AA195">
        <f>step3_validation[[#This Row],[AI_FAC1]]</f>
        <v>7</v>
      </c>
      <c r="AB195" t="str">
        <f t="shared" ref="AB195:AB258" si="87">IF(AND(AA195&gt;=1,AA195&lt;5),"Oppose",IF(AND(AA195&gt;=5,AA195&lt;8),"Neutral",IF(AND(AA195&gt;=8,AA195&lt;=10),"Support","")))</f>
        <v>Neutral</v>
      </c>
      <c r="AC195">
        <f>survey_responses[[#This Row],[Các thủ tục khai báo thuế VÀ/HOẶC quy trình làm việc với cơ quan thuế đơn giản, tiện lợi, nhanh chóng hơn so với trước đây. - HUMAN-FAC1]]</f>
        <v>6</v>
      </c>
      <c r="AD195" t="str">
        <f t="shared" ref="AD195:AD258" si="88">IF(AND(AC195&gt;=1,AC195&lt;5),"Oppose",IF(AND(AC195&gt;=5,AC195&lt;8),"Neutral",IF(AND(AC195&gt;=8,AC195&lt;=10),"Support","")))</f>
        <v>Neutral</v>
      </c>
      <c r="AE195" s="32">
        <f t="shared" ref="AE195:AE258" si="89">ABS(AC195-AA195)</f>
        <v>1</v>
      </c>
      <c r="AF195">
        <f>step3_validation[[#This Row],[AI_FAC2]]</f>
        <v>8</v>
      </c>
      <c r="AG195" t="str">
        <f t="shared" ref="AG195:AG258" si="90">IF(AND(AF195&gt;=1,AF195&lt;5),"Oppose",IF(AND(AF195&gt;=5,AF195&lt;8),"Neutral",IF(AND(AF195&gt;=8,AF195&lt;=10),"Support","")))</f>
        <v>Support</v>
      </c>
      <c r="AH195">
        <f>survey_responses[[#This Row],[So với trước đây, tôi thấy cách tính thuế và các bậc thuế trong phương án mới đơn giản, dễ hiểu và dễ thực hiện hơn. - HUMAN-FAC2]]</f>
        <v>4</v>
      </c>
      <c r="AI195" t="str">
        <f t="shared" ref="AI195:AI258" si="91">IF(AND(AH195&gt;=1,AH195&lt;5),"Oppose",IF(AND(AH195&gt;=5,AH195&lt;8),"Neutral",IF(AND(AH195&gt;=8,AH195&lt;=10),"Support","")))</f>
        <v>Oppose</v>
      </c>
      <c r="AJ195" s="32">
        <f t="shared" ref="AJ195:AJ258" si="92">ABS(AH195-AF195)</f>
        <v>4</v>
      </c>
      <c r="AK195">
        <f>step3_validation[[#This Row],[AI_TRU1]]</f>
        <v>4</v>
      </c>
      <c r="AL195" t="str">
        <f t="shared" ref="AL195:AL258" si="93">IF(AND(AK195&gt;=1,AK195&lt;5),"Oppose",IF(AND(AK195&gt;=5,AK195&lt;8),"Neutral",IF(AND(AK195&gt;=8,AK195&lt;=10),"Support","")))</f>
        <v>Oppose</v>
      </c>
      <c r="AM195">
        <f>survey_responses[[#This Row],[Tôi tin rằng Nhà nước, cơ quan thuế sẽ thực thi chính sách mới một cách khách quan, công tâm và đối xử bình đẳng với mọi người nộp thuế.  - HUMAN-TRU1]]</f>
        <v>8</v>
      </c>
      <c r="AN195" t="str">
        <f t="shared" ref="AN195:AN258" si="94">IF(AND(AM195&gt;=1,AM195&lt;5),"Oppose",IF(AND(AM195&gt;=5,AM195&lt;8),"Neutral",IF(AND(AM195&gt;=8,AM195&lt;=10),"Support","")))</f>
        <v>Support</v>
      </c>
      <c r="AO195" s="32">
        <f t="shared" ref="AO195:AO258" si="95">ABS(AM195-AK195)</f>
        <v>4</v>
      </c>
      <c r="AP195">
        <f>step3_validation[[#This Row],[AI_TRU2]]</f>
        <v>5</v>
      </c>
      <c r="AQ195" t="str">
        <f t="shared" ref="AQ195:AQ258" si="96">IF(AND(AP195&gt;=1,AP195&lt;5),"Oppose",IF(AND(AP195&gt;=5,AP195&lt;8),"Neutral",IF(AND(AP195&gt;=8,AP195&lt;=10),"Support","")))</f>
        <v>Neutral</v>
      </c>
      <c r="AR195">
        <f>survey_responses[[#This Row],[Tôi thấy mức thuế tôi phải đóng theo phương án mới là công bằng (người thu nhập như tôi đóng mức này là hợp lý). - HUMAN-TRU2]]</f>
        <v>3</v>
      </c>
      <c r="AS195" t="str">
        <f t="shared" ref="AS195:AS258" si="97">IF(AND(AR195&gt;=1,AR195&lt;5),"Oppose",IF(AND(AR195&gt;=5,AR195&lt;8),"Neutral",IF(AND(AR195&gt;=8,AR195&lt;=10),"Support","")))</f>
        <v>Oppose</v>
      </c>
      <c r="AT195" s="32">
        <f t="shared" ref="AT195:AT258" si="98">ABS(AR195-AP195)</f>
        <v>2</v>
      </c>
      <c r="AU195">
        <f>step3_validation[[#This Row],[AI_TRU3]]</f>
        <v>4</v>
      </c>
      <c r="AV195" t="str">
        <f t="shared" ref="AV195:AV258" si="99">IF(AND(AU195&gt;=1,AU195&lt;5),"Oppose",IF(AND(AU195&gt;=5,AU195&lt;8),"Neutral",IF(AND(AU195&gt;=8,AU195&lt;=10),"Support","")))</f>
        <v>Oppose</v>
      </c>
      <c r="AW195">
        <f>survey_responses[[#This Row],[Tôi tin tưởng số tiền thuế tôi đóng sẽ được Nhà nước sử dụng hiệu quả để cải thiện dịch vụ công (y tế, đường xá...). - HUMAN-TRU3]]</f>
        <v>10</v>
      </c>
      <c r="AX195" t="str">
        <f t="shared" ref="AX195:AX258" si="100">IF(AND(AW195&gt;=1,AW195&lt;5),"Oppose",IF(AND(AW195&gt;=5,AW195&lt;8),"Neutral",IF(AND(AW195&gt;=8,AW195&lt;=10),"Support","")))</f>
        <v>Support</v>
      </c>
      <c r="AY195" s="32">
        <f t="shared" ref="AY195:AY258" si="101">ABS(AW195-AU195)</f>
        <v>6</v>
      </c>
      <c r="AZ195">
        <f>step3_validation[[#This Row],[AI_TRU4]]</f>
        <v>6</v>
      </c>
      <c r="BA195" t="str">
        <f t="shared" ref="BA195:BA258" si="102">IF(AND(AZ195&gt;=1,AZ195&lt;5),"Oppose",IF(AND(AZ195&gt;=5,AZ195&lt;8),"Neutral",IF(AND(AZ195&gt;=8,AZ195&lt;=10),"Support","")))</f>
        <v>Neutral</v>
      </c>
      <c r="BB195">
        <f>survey_responses[[#This Row],[Tôi thấy Nhà nước đã giải thích rõ ràng, minh bạch về lý do và mục tiêu của việc sửa đổi thuế lần này. - HUMAN-TRU4]]</f>
        <v>10</v>
      </c>
      <c r="BC195" t="str">
        <f t="shared" ref="BC195:BC258" si="103">IF(AND(BB195&gt;=1,BB195&lt;5),"Oppose",IF(AND(BB195&gt;=5,BB195&lt;8),"Neutral",IF(AND(BB195&gt;=8,BB195&lt;=10),"Support","")))</f>
        <v>Support</v>
      </c>
      <c r="BD195" s="32">
        <f t="shared" ref="BD195:BD258" si="104">ABS(BB195-AZ195)</f>
        <v>4</v>
      </c>
      <c r="BE195">
        <f>step3_validation[[#This Row],[AI_OUT1]]</f>
        <v>5</v>
      </c>
      <c r="BF195" t="str">
        <f t="shared" ref="BF195:BF258" si="105">IF(AND(BE195&gt;=1,BE195&lt;5),"Oppose",IF(AND(BE195&gt;=5,BE195&lt;8),"Neutral",IF(AND(BE195&gt;=8,BE195&lt;=10),"Support","")))</f>
        <v>Neutral</v>
      </c>
      <c r="BG195">
        <f>survey_responses[[#This Row],[Sau khi xem xét các quyền lợi và nghĩa vụ, bạn có ủng hộ và tuân thủ chính sách mới hiện nay? - HUMAN-OUT1]]</f>
        <v>10</v>
      </c>
      <c r="BH195" t="str">
        <f t="shared" ref="BH195:BH258" si="106">IF(AND(BG195&gt;=1,BG195&lt;5),"Oppose",IF(AND(BG195&gt;=5,BG195&lt;8),"Neutral",IF(AND(BG195&gt;=8,BG195&lt;=10),"Support","")))</f>
        <v>Support</v>
      </c>
      <c r="BI195" s="32">
        <f t="shared" ref="BI195:BI258" si="107">ABS(BG195-BE195)</f>
        <v>5</v>
      </c>
    </row>
    <row r="196" spans="1:61" x14ac:dyDescent="0.45">
      <c r="A196" s="30">
        <f>step3_validation[[#This Row],[Persona_ID]]</f>
        <v>195</v>
      </c>
      <c r="B196" s="31">
        <f>step3_validation[[#This Row],[Used_Seed]]</f>
        <v>2185</v>
      </c>
      <c r="C196" t="str">
        <f>step3_validation[[#This Row],[Gender]]</f>
        <v>Nữ</v>
      </c>
      <c r="D196" t="str">
        <f>survey_responses[[#This Row],[Giới tính của bạn:]]</f>
        <v>Nữ</v>
      </c>
      <c r="E196" t="str">
        <f>step3_validation[[#This Row],[Age_Group]]</f>
        <v>25 - 29</v>
      </c>
      <c r="F196" t="str">
        <f>survey_responses[[#This Row],[Độ tuổi của bạn:]]</f>
        <v>25 - 29</v>
      </c>
      <c r="G196" t="str">
        <f>step3_validation[[#This Row],[Region]]</f>
        <v>Thành thị</v>
      </c>
      <c r="H196" t="str">
        <f>survey_responses[[#This Row],[Khu vực bạn đang sinh sống:]]</f>
        <v>Thành thị</v>
      </c>
      <c r="I196" t="str">
        <f>step3_validation[[#This Row],[Education]]</f>
        <v>Đại học</v>
      </c>
      <c r="J196" t="str">
        <f>survey_responses[[#This Row],[Trình độ học vấn cao nhất:]]</f>
        <v>Đại học</v>
      </c>
      <c r="K196" t="str">
        <f>step3_validation[[#This Row],[Employment]]</f>
        <v>Chính thức</v>
      </c>
      <c r="L196" t="str">
        <f>survey_responses[[#This Row],[Tình trạng việc làm chính:]]</f>
        <v>Khu vực chính thức (Có Hợp đồng lao động, đóng BHXH)</v>
      </c>
      <c r="M196">
        <f>step3_validation[[#This Row],[Income_Mil]]</f>
        <v>15.915735914964234</v>
      </c>
      <c r="N196" t="str">
        <f>survey_responses[[#This Row],[Thu nhập bình quân tháng theo Hợp đồng lao động của bạn là bao nhiêu? (Vui lòng điền tổng thu nhập trước khi khấu trừ các loại Bảo hiểm (BHXH, BHYT, BHTN) và Thuế TNCN)]]</f>
        <v>Từ 12 - 18 triệu VNĐ</v>
      </c>
      <c r="O196">
        <f>step3_validation[[#This Row],[Dependents]]</f>
        <v>1</v>
      </c>
      <c r="P196" t="str">
        <f>survey_responses[[#This Row],[Số người phụ thuộc (con nhỏ, cha mẹ già...) đủ điều kiện giảm trừ gia cảnh:]]</f>
        <v>1 người</v>
      </c>
      <c r="Q196">
        <f>step3_validation[[#This Row],[AI_ENF1]]</f>
        <v>5</v>
      </c>
      <c r="R196" t="str">
        <f t="shared" si="81"/>
        <v>Neutral</v>
      </c>
      <c r="S196">
        <f>survey_responses[[#This Row],[Tôi tin rằng với các quy định quản lý thuế hiện nay, hành vi gian lận hoặc trốn thuế sẽ dễ dàng bị phát hiện và xử lý nghiêm. - HUMAN-ENF1]]</f>
        <v>9</v>
      </c>
      <c r="T196" t="str">
        <f t="shared" si="82"/>
        <v>Support</v>
      </c>
      <c r="U196" s="32">
        <f t="shared" si="83"/>
        <v>4</v>
      </c>
      <c r="V196">
        <f>step3_validation[[#This Row],[AI_ENF2]]</f>
        <v>6</v>
      </c>
      <c r="W196" t="str">
        <f t="shared" si="84"/>
        <v>Neutral</v>
      </c>
      <c r="X196">
        <f>survey_responses[[#This Row],[Tôi tin rằng Nhà nước, cơ quan thuế có đủ khả năng và công nghệ để phát hiện, xử lý nghiêm các hành vi trốn thuế. - HUMAN-ENF2]]</f>
        <v>9</v>
      </c>
      <c r="Y196" t="str">
        <f t="shared" si="85"/>
        <v>Support</v>
      </c>
      <c r="Z196" s="32">
        <f t="shared" si="86"/>
        <v>3</v>
      </c>
      <c r="AA196">
        <f>step3_validation[[#This Row],[AI_FAC1]]</f>
        <v>8</v>
      </c>
      <c r="AB196" t="str">
        <f t="shared" si="87"/>
        <v>Support</v>
      </c>
      <c r="AC196">
        <f>survey_responses[[#This Row],[Các thủ tục khai báo thuế VÀ/HOẶC quy trình làm việc với cơ quan thuế đơn giản, tiện lợi, nhanh chóng hơn so với trước đây. - HUMAN-FAC1]]</f>
        <v>5</v>
      </c>
      <c r="AD196" t="str">
        <f t="shared" si="88"/>
        <v>Neutral</v>
      </c>
      <c r="AE196" s="32">
        <f t="shared" si="89"/>
        <v>3</v>
      </c>
      <c r="AF196">
        <f>step3_validation[[#This Row],[AI_FAC2]]</f>
        <v>7</v>
      </c>
      <c r="AG196" t="str">
        <f t="shared" si="90"/>
        <v>Neutral</v>
      </c>
      <c r="AH196">
        <f>survey_responses[[#This Row],[So với trước đây, tôi thấy cách tính thuế và các bậc thuế trong phương án mới đơn giản, dễ hiểu và dễ thực hiện hơn. - HUMAN-FAC2]]</f>
        <v>5</v>
      </c>
      <c r="AI196" t="str">
        <f t="shared" si="91"/>
        <v>Neutral</v>
      </c>
      <c r="AJ196" s="32">
        <f t="shared" si="92"/>
        <v>2</v>
      </c>
      <c r="AK196">
        <f>step3_validation[[#This Row],[AI_TRU1]]</f>
        <v>8</v>
      </c>
      <c r="AL196" t="str">
        <f t="shared" si="93"/>
        <v>Support</v>
      </c>
      <c r="AM196">
        <f>survey_responses[[#This Row],[Tôi tin rằng Nhà nước, cơ quan thuế sẽ thực thi chính sách mới một cách khách quan, công tâm và đối xử bình đẳng với mọi người nộp thuế.  - HUMAN-TRU1]]</f>
        <v>7</v>
      </c>
      <c r="AN196" t="str">
        <f t="shared" si="94"/>
        <v>Neutral</v>
      </c>
      <c r="AO196" s="32">
        <f t="shared" si="95"/>
        <v>1</v>
      </c>
      <c r="AP196">
        <f>step3_validation[[#This Row],[AI_TRU2]]</f>
        <v>6</v>
      </c>
      <c r="AQ196" t="str">
        <f t="shared" si="96"/>
        <v>Neutral</v>
      </c>
      <c r="AR196">
        <f>survey_responses[[#This Row],[Tôi thấy mức thuế tôi phải đóng theo phương án mới là công bằng (người thu nhập như tôi đóng mức này là hợp lý). - HUMAN-TRU2]]</f>
        <v>7</v>
      </c>
      <c r="AS196" t="str">
        <f t="shared" si="97"/>
        <v>Neutral</v>
      </c>
      <c r="AT196" s="32">
        <f t="shared" si="98"/>
        <v>1</v>
      </c>
      <c r="AU196">
        <f>step3_validation[[#This Row],[AI_TRU3]]</f>
        <v>7</v>
      </c>
      <c r="AV196" t="str">
        <f t="shared" si="99"/>
        <v>Neutral</v>
      </c>
      <c r="AW196">
        <f>survey_responses[[#This Row],[Tôi tin tưởng số tiền thuế tôi đóng sẽ được Nhà nước sử dụng hiệu quả để cải thiện dịch vụ công (y tế, đường xá...). - HUMAN-TRU3]]</f>
        <v>8</v>
      </c>
      <c r="AX196" t="str">
        <f t="shared" si="100"/>
        <v>Support</v>
      </c>
      <c r="AY196" s="32">
        <f t="shared" si="101"/>
        <v>1</v>
      </c>
      <c r="AZ196">
        <f>step3_validation[[#This Row],[AI_TRU4]]</f>
        <v>5</v>
      </c>
      <c r="BA196" t="str">
        <f t="shared" si="102"/>
        <v>Neutral</v>
      </c>
      <c r="BB196">
        <f>survey_responses[[#This Row],[Tôi thấy Nhà nước đã giải thích rõ ràng, minh bạch về lý do và mục tiêu của việc sửa đổi thuế lần này. - HUMAN-TRU4]]</f>
        <v>8</v>
      </c>
      <c r="BC196" t="str">
        <f t="shared" si="103"/>
        <v>Support</v>
      </c>
      <c r="BD196" s="32">
        <f t="shared" si="104"/>
        <v>3</v>
      </c>
      <c r="BE196">
        <f>step3_validation[[#This Row],[AI_OUT1]]</f>
        <v>7</v>
      </c>
      <c r="BF196" t="str">
        <f t="shared" si="105"/>
        <v>Neutral</v>
      </c>
      <c r="BG196">
        <f>survey_responses[[#This Row],[Sau khi xem xét các quyền lợi và nghĩa vụ, bạn có ủng hộ và tuân thủ chính sách mới hiện nay? - HUMAN-OUT1]]</f>
        <v>8</v>
      </c>
      <c r="BH196" t="str">
        <f t="shared" si="106"/>
        <v>Support</v>
      </c>
      <c r="BI196" s="32">
        <f t="shared" si="107"/>
        <v>1</v>
      </c>
    </row>
    <row r="197" spans="1:61" x14ac:dyDescent="0.45">
      <c r="A197" s="30">
        <f>step3_validation[[#This Row],[Persona_ID]]</f>
        <v>196</v>
      </c>
      <c r="B197" s="31">
        <f>step3_validation[[#This Row],[Used_Seed]]</f>
        <v>2186</v>
      </c>
      <c r="C197" t="str">
        <f>step3_validation[[#This Row],[Gender]]</f>
        <v>Nam</v>
      </c>
      <c r="D197" t="str">
        <f>survey_responses[[#This Row],[Giới tính của bạn:]]</f>
        <v>Nam</v>
      </c>
      <c r="E197" t="str">
        <f>step3_validation[[#This Row],[Age_Group]]</f>
        <v>40 - 49</v>
      </c>
      <c r="F197" t="str">
        <f>survey_responses[[#This Row],[Độ tuổi của bạn:]]</f>
        <v>40 - 49</v>
      </c>
      <c r="G197" t="str">
        <f>step3_validation[[#This Row],[Region]]</f>
        <v>Thành thị</v>
      </c>
      <c r="H197" t="str">
        <f>survey_responses[[#This Row],[Khu vực bạn đang sinh sống:]]</f>
        <v>Thành thị</v>
      </c>
      <c r="I197" t="str">
        <f>step3_validation[[#This Row],[Education]]</f>
        <v>Đại học</v>
      </c>
      <c r="J197" t="str">
        <f>survey_responses[[#This Row],[Trình độ học vấn cao nhất:]]</f>
        <v>Đại học</v>
      </c>
      <c r="K197" t="str">
        <f>step3_validation[[#This Row],[Employment]]</f>
        <v>Chính thức</v>
      </c>
      <c r="L197" t="str">
        <f>survey_responses[[#This Row],[Tình trạng việc làm chính:]]</f>
        <v>Khu vực chính thức (Có Hợp đồng lao động, đóng BHXH)</v>
      </c>
      <c r="M197">
        <f>step3_validation[[#This Row],[Income_Mil]]</f>
        <v>13.836921905190801</v>
      </c>
      <c r="N197" t="str">
        <f>survey_responses[[#This Row],[Thu nhập bình quân tháng theo Hợp đồng lao động của bạn là bao nhiêu? (Vui lòng điền tổng thu nhập trước khi khấu trừ các loại Bảo hiểm (BHXH, BHYT, BHTN) và Thuế TNCN)]]</f>
        <v>Từ 12 - 18 triệu VNĐ</v>
      </c>
      <c r="O197">
        <f>step3_validation[[#This Row],[Dependents]]</f>
        <v>2</v>
      </c>
      <c r="P197" t="str">
        <f>survey_responses[[#This Row],[Số người phụ thuộc (con nhỏ, cha mẹ già...) đủ điều kiện giảm trừ gia cảnh:]]</f>
        <v>2 người</v>
      </c>
      <c r="Q197">
        <f>step3_validation[[#This Row],[AI_ENF1]]</f>
        <v>6</v>
      </c>
      <c r="R197" t="str">
        <f t="shared" si="81"/>
        <v>Neutral</v>
      </c>
      <c r="S197">
        <f>survey_responses[[#This Row],[Tôi tin rằng với các quy định quản lý thuế hiện nay, hành vi gian lận hoặc trốn thuế sẽ dễ dàng bị phát hiện và xử lý nghiêm. - HUMAN-ENF1]]</f>
        <v>9</v>
      </c>
      <c r="T197" t="str">
        <f t="shared" si="82"/>
        <v>Support</v>
      </c>
      <c r="U197" s="32">
        <f t="shared" si="83"/>
        <v>3</v>
      </c>
      <c r="V197">
        <f>step3_validation[[#This Row],[AI_ENF2]]</f>
        <v>8</v>
      </c>
      <c r="W197" t="str">
        <f t="shared" si="84"/>
        <v>Support</v>
      </c>
      <c r="X197">
        <f>survey_responses[[#This Row],[Tôi tin rằng Nhà nước, cơ quan thuế có đủ khả năng và công nghệ để phát hiện, xử lý nghiêm các hành vi trốn thuế. - HUMAN-ENF2]]</f>
        <v>9</v>
      </c>
      <c r="Y197" t="str">
        <f t="shared" si="85"/>
        <v>Support</v>
      </c>
      <c r="Z197" s="32">
        <f t="shared" si="86"/>
        <v>1</v>
      </c>
      <c r="AA197">
        <f>step3_validation[[#This Row],[AI_FAC1]]</f>
        <v>9</v>
      </c>
      <c r="AB197" t="str">
        <f t="shared" si="87"/>
        <v>Support</v>
      </c>
      <c r="AC197">
        <f>survey_responses[[#This Row],[Các thủ tục khai báo thuế VÀ/HOẶC quy trình làm việc với cơ quan thuế đơn giản, tiện lợi, nhanh chóng hơn so với trước đây. - HUMAN-FAC1]]</f>
        <v>9</v>
      </c>
      <c r="AD197" t="str">
        <f t="shared" si="88"/>
        <v>Support</v>
      </c>
      <c r="AE197" s="32">
        <f t="shared" si="89"/>
        <v>0</v>
      </c>
      <c r="AF197">
        <f>step3_validation[[#This Row],[AI_FAC2]]</f>
        <v>8</v>
      </c>
      <c r="AG197" t="str">
        <f t="shared" si="90"/>
        <v>Support</v>
      </c>
      <c r="AH197">
        <f>survey_responses[[#This Row],[So với trước đây, tôi thấy cách tính thuế và các bậc thuế trong phương án mới đơn giản, dễ hiểu và dễ thực hiện hơn. - HUMAN-FAC2]]</f>
        <v>9</v>
      </c>
      <c r="AI197" t="str">
        <f t="shared" si="91"/>
        <v>Support</v>
      </c>
      <c r="AJ197" s="32">
        <f t="shared" si="92"/>
        <v>1</v>
      </c>
      <c r="AK197">
        <f>step3_validation[[#This Row],[AI_TRU1]]</f>
        <v>7</v>
      </c>
      <c r="AL197" t="str">
        <f t="shared" si="93"/>
        <v>Neutral</v>
      </c>
      <c r="AM197">
        <f>survey_responses[[#This Row],[Tôi tin rằng Nhà nước, cơ quan thuế sẽ thực thi chính sách mới một cách khách quan, công tâm và đối xử bình đẳng với mọi người nộp thuế.  - HUMAN-TRU1]]</f>
        <v>9</v>
      </c>
      <c r="AN197" t="str">
        <f t="shared" si="94"/>
        <v>Support</v>
      </c>
      <c r="AO197" s="32">
        <f t="shared" si="95"/>
        <v>2</v>
      </c>
      <c r="AP197">
        <f>step3_validation[[#This Row],[AI_TRU2]]</f>
        <v>6</v>
      </c>
      <c r="AQ197" t="str">
        <f t="shared" si="96"/>
        <v>Neutral</v>
      </c>
      <c r="AR197">
        <f>survey_responses[[#This Row],[Tôi thấy mức thuế tôi phải đóng theo phương án mới là công bằng (người thu nhập như tôi đóng mức này là hợp lý). - HUMAN-TRU2]]</f>
        <v>9</v>
      </c>
      <c r="AS197" t="str">
        <f t="shared" si="97"/>
        <v>Support</v>
      </c>
      <c r="AT197" s="32">
        <f t="shared" si="98"/>
        <v>3</v>
      </c>
      <c r="AU197">
        <f>step3_validation[[#This Row],[AI_TRU3]]</f>
        <v>7</v>
      </c>
      <c r="AV197" t="str">
        <f t="shared" si="99"/>
        <v>Neutral</v>
      </c>
      <c r="AW197">
        <f>survey_responses[[#This Row],[Tôi tin tưởng số tiền thuế tôi đóng sẽ được Nhà nước sử dụng hiệu quả để cải thiện dịch vụ công (y tế, đường xá...). - HUMAN-TRU3]]</f>
        <v>9</v>
      </c>
      <c r="AX197" t="str">
        <f t="shared" si="100"/>
        <v>Support</v>
      </c>
      <c r="AY197" s="32">
        <f t="shared" si="101"/>
        <v>2</v>
      </c>
      <c r="AZ197">
        <f>step3_validation[[#This Row],[AI_TRU4]]</f>
        <v>6</v>
      </c>
      <c r="BA197" t="str">
        <f t="shared" si="102"/>
        <v>Neutral</v>
      </c>
      <c r="BB197">
        <f>survey_responses[[#This Row],[Tôi thấy Nhà nước đã giải thích rõ ràng, minh bạch về lý do và mục tiêu của việc sửa đổi thuế lần này. - HUMAN-TRU4]]</f>
        <v>9</v>
      </c>
      <c r="BC197" t="str">
        <f t="shared" si="103"/>
        <v>Support</v>
      </c>
      <c r="BD197" s="32">
        <f t="shared" si="104"/>
        <v>3</v>
      </c>
      <c r="BE197">
        <f>step3_validation[[#This Row],[AI_OUT1]]</f>
        <v>7</v>
      </c>
      <c r="BF197" t="str">
        <f t="shared" si="105"/>
        <v>Neutral</v>
      </c>
      <c r="BG197">
        <f>survey_responses[[#This Row],[Sau khi xem xét các quyền lợi và nghĩa vụ, bạn có ủng hộ và tuân thủ chính sách mới hiện nay? - HUMAN-OUT1]]</f>
        <v>9</v>
      </c>
      <c r="BH197" t="str">
        <f t="shared" si="106"/>
        <v>Support</v>
      </c>
      <c r="BI197" s="32">
        <f t="shared" si="107"/>
        <v>2</v>
      </c>
    </row>
    <row r="198" spans="1:61" x14ac:dyDescent="0.45">
      <c r="A198" s="30">
        <f>step3_validation[[#This Row],[Persona_ID]]</f>
        <v>197</v>
      </c>
      <c r="B198" s="31">
        <f>step3_validation[[#This Row],[Used_Seed]]</f>
        <v>2187</v>
      </c>
      <c r="C198" t="str">
        <f>step3_validation[[#This Row],[Gender]]</f>
        <v>Nữ</v>
      </c>
      <c r="D198" t="str">
        <f>survey_responses[[#This Row],[Giới tính của bạn:]]</f>
        <v>Nữ</v>
      </c>
      <c r="E198" t="str">
        <f>step3_validation[[#This Row],[Age_Group]]</f>
        <v>40 - 49</v>
      </c>
      <c r="F198" t="str">
        <f>survey_responses[[#This Row],[Độ tuổi của bạn:]]</f>
        <v>40 - 49</v>
      </c>
      <c r="G198" t="str">
        <f>step3_validation[[#This Row],[Region]]</f>
        <v>Thành thị</v>
      </c>
      <c r="H198" t="str">
        <f>survey_responses[[#This Row],[Khu vực bạn đang sinh sống:]]</f>
        <v>Thành thị</v>
      </c>
      <c r="I198" t="str">
        <f>step3_validation[[#This Row],[Education]]</f>
        <v>Sau Đại học</v>
      </c>
      <c r="J198" t="str">
        <f>survey_responses[[#This Row],[Trình độ học vấn cao nhất:]]</f>
        <v>Sau Đại học</v>
      </c>
      <c r="K198" t="str">
        <f>step3_validation[[#This Row],[Employment]]</f>
        <v>Chính thức</v>
      </c>
      <c r="L198" t="str">
        <f>survey_responses[[#This Row],[Tình trạng việc làm chính:]]</f>
        <v>Khu vực chính thức (Có Hợp đồng lao động, đóng BHXH)</v>
      </c>
      <c r="M198">
        <f>step3_validation[[#This Row],[Income_Mil]]</f>
        <v>12.669669982638217</v>
      </c>
      <c r="N198" t="str">
        <f>survey_responses[[#This Row],[Thu nhập bình quân tháng theo Hợp đồng lao động của bạn là bao nhiêu? (Vui lòng điền tổng thu nhập trước khi khấu trừ các loại Bảo hiểm (BHXH, BHYT, BHTN) và Thuế TNCN)]]</f>
        <v>Từ 12 - 18 triệu VNĐ</v>
      </c>
      <c r="O198">
        <f>step3_validation[[#This Row],[Dependents]]</f>
        <v>3</v>
      </c>
      <c r="P198" t="str">
        <f>survey_responses[[#This Row],[Số người phụ thuộc (con nhỏ, cha mẹ già...) đủ điều kiện giảm trừ gia cảnh:]]</f>
        <v>3 người</v>
      </c>
      <c r="Q198">
        <f>step3_validation[[#This Row],[AI_ENF1]]</f>
        <v>7</v>
      </c>
      <c r="R198" t="str">
        <f t="shared" si="81"/>
        <v>Neutral</v>
      </c>
      <c r="S198">
        <f>survey_responses[[#This Row],[Tôi tin rằng với các quy định quản lý thuế hiện nay, hành vi gian lận hoặc trốn thuế sẽ dễ dàng bị phát hiện và xử lý nghiêm. - HUMAN-ENF1]]</f>
        <v>9</v>
      </c>
      <c r="T198" t="str">
        <f t="shared" si="82"/>
        <v>Support</v>
      </c>
      <c r="U198" s="32">
        <f t="shared" si="83"/>
        <v>2</v>
      </c>
      <c r="V198">
        <f>step3_validation[[#This Row],[AI_ENF2]]</f>
        <v>6</v>
      </c>
      <c r="W198" t="str">
        <f t="shared" si="84"/>
        <v>Neutral</v>
      </c>
      <c r="X198">
        <f>survey_responses[[#This Row],[Tôi tin rằng Nhà nước, cơ quan thuế có đủ khả năng và công nghệ để phát hiện, xử lý nghiêm các hành vi trốn thuế. - HUMAN-ENF2]]</f>
        <v>10</v>
      </c>
      <c r="Y198" t="str">
        <f t="shared" si="85"/>
        <v>Support</v>
      </c>
      <c r="Z198" s="32">
        <f t="shared" si="86"/>
        <v>4</v>
      </c>
      <c r="AA198">
        <f>step3_validation[[#This Row],[AI_FAC1]]</f>
        <v>8</v>
      </c>
      <c r="AB198" t="str">
        <f t="shared" si="87"/>
        <v>Support</v>
      </c>
      <c r="AC198">
        <f>survey_responses[[#This Row],[Các thủ tục khai báo thuế VÀ/HOẶC quy trình làm việc với cơ quan thuế đơn giản, tiện lợi, nhanh chóng hơn so với trước đây. - HUMAN-FAC1]]</f>
        <v>10</v>
      </c>
      <c r="AD198" t="str">
        <f t="shared" si="88"/>
        <v>Support</v>
      </c>
      <c r="AE198" s="32">
        <f t="shared" si="89"/>
        <v>2</v>
      </c>
      <c r="AF198">
        <f>step3_validation[[#This Row],[AI_FAC2]]</f>
        <v>9</v>
      </c>
      <c r="AG198" t="str">
        <f t="shared" si="90"/>
        <v>Support</v>
      </c>
      <c r="AH198">
        <f>survey_responses[[#This Row],[So với trước đây, tôi thấy cách tính thuế và các bậc thuế trong phương án mới đơn giản, dễ hiểu và dễ thực hiện hơn. - HUMAN-FAC2]]</f>
        <v>9</v>
      </c>
      <c r="AI198" t="str">
        <f t="shared" si="91"/>
        <v>Support</v>
      </c>
      <c r="AJ198" s="32">
        <f t="shared" si="92"/>
        <v>0</v>
      </c>
      <c r="AK198">
        <f>step3_validation[[#This Row],[AI_TRU1]]</f>
        <v>8</v>
      </c>
      <c r="AL198" t="str">
        <f t="shared" si="93"/>
        <v>Support</v>
      </c>
      <c r="AM198">
        <f>survey_responses[[#This Row],[Tôi tin rằng Nhà nước, cơ quan thuế sẽ thực thi chính sách mới một cách khách quan, công tâm và đối xử bình đẳng với mọi người nộp thuế.  - HUMAN-TRU1]]</f>
        <v>10</v>
      </c>
      <c r="AN198" t="str">
        <f t="shared" si="94"/>
        <v>Support</v>
      </c>
      <c r="AO198" s="32">
        <f t="shared" si="95"/>
        <v>2</v>
      </c>
      <c r="AP198">
        <f>step3_validation[[#This Row],[AI_TRU2]]</f>
        <v>7</v>
      </c>
      <c r="AQ198" t="str">
        <f t="shared" si="96"/>
        <v>Neutral</v>
      </c>
      <c r="AR198">
        <f>survey_responses[[#This Row],[Tôi thấy mức thuế tôi phải đóng theo phương án mới là công bằng (người thu nhập như tôi đóng mức này là hợp lý). - HUMAN-TRU2]]</f>
        <v>10</v>
      </c>
      <c r="AS198" t="str">
        <f t="shared" si="97"/>
        <v>Support</v>
      </c>
      <c r="AT198" s="32">
        <f t="shared" si="98"/>
        <v>3</v>
      </c>
      <c r="AU198">
        <f>step3_validation[[#This Row],[AI_TRU3]]</f>
        <v>6</v>
      </c>
      <c r="AV198" t="str">
        <f t="shared" si="99"/>
        <v>Neutral</v>
      </c>
      <c r="AW198">
        <f>survey_responses[[#This Row],[Tôi tin tưởng số tiền thuế tôi đóng sẽ được Nhà nước sử dụng hiệu quả để cải thiện dịch vụ công (y tế, đường xá...). - HUMAN-TRU3]]</f>
        <v>10</v>
      </c>
      <c r="AX198" t="str">
        <f t="shared" si="100"/>
        <v>Support</v>
      </c>
      <c r="AY198" s="32">
        <f t="shared" si="101"/>
        <v>4</v>
      </c>
      <c r="AZ198">
        <f>step3_validation[[#This Row],[AI_TRU4]]</f>
        <v>5</v>
      </c>
      <c r="BA198" t="str">
        <f t="shared" si="102"/>
        <v>Neutral</v>
      </c>
      <c r="BB198">
        <f>survey_responses[[#This Row],[Tôi thấy Nhà nước đã giải thích rõ ràng, minh bạch về lý do và mục tiêu của việc sửa đổi thuế lần này. - HUMAN-TRU4]]</f>
        <v>9</v>
      </c>
      <c r="BC198" t="str">
        <f t="shared" si="103"/>
        <v>Support</v>
      </c>
      <c r="BD198" s="32">
        <f t="shared" si="104"/>
        <v>4</v>
      </c>
      <c r="BE198">
        <f>step3_validation[[#This Row],[AI_OUT1]]</f>
        <v>7</v>
      </c>
      <c r="BF198" t="str">
        <f t="shared" si="105"/>
        <v>Neutral</v>
      </c>
      <c r="BG198">
        <f>survey_responses[[#This Row],[Sau khi xem xét các quyền lợi và nghĩa vụ, bạn có ủng hộ và tuân thủ chính sách mới hiện nay? - HUMAN-OUT1]]</f>
        <v>10</v>
      </c>
      <c r="BH198" t="str">
        <f t="shared" si="106"/>
        <v>Support</v>
      </c>
      <c r="BI198" s="32">
        <f t="shared" si="107"/>
        <v>3</v>
      </c>
    </row>
    <row r="199" spans="1:61" x14ac:dyDescent="0.45">
      <c r="A199" s="30">
        <f>step3_validation[[#This Row],[Persona_ID]]</f>
        <v>198</v>
      </c>
      <c r="B199" s="31">
        <f>step3_validation[[#This Row],[Used_Seed]]</f>
        <v>2188</v>
      </c>
      <c r="C199" t="str">
        <f>step3_validation[[#This Row],[Gender]]</f>
        <v>Nữ</v>
      </c>
      <c r="D199" t="str">
        <f>survey_responses[[#This Row],[Giới tính của bạn:]]</f>
        <v>Nữ</v>
      </c>
      <c r="E199" t="str">
        <f>step3_validation[[#This Row],[Age_Group]]</f>
        <v>40 - 49</v>
      </c>
      <c r="F199" t="str">
        <f>survey_responses[[#This Row],[Độ tuổi của bạn:]]</f>
        <v>40 - 49</v>
      </c>
      <c r="G199" t="str">
        <f>step3_validation[[#This Row],[Region]]</f>
        <v>Thành thị</v>
      </c>
      <c r="H199" t="str">
        <f>survey_responses[[#This Row],[Khu vực bạn đang sinh sống:]]</f>
        <v>Thành thị</v>
      </c>
      <c r="I199" t="str">
        <f>step3_validation[[#This Row],[Education]]</f>
        <v>Sau Đại học</v>
      </c>
      <c r="J199" t="str">
        <f>survey_responses[[#This Row],[Trình độ học vấn cao nhất:]]</f>
        <v>Sau Đại học</v>
      </c>
      <c r="K199" t="str">
        <f>step3_validation[[#This Row],[Employment]]</f>
        <v>Chính thức</v>
      </c>
      <c r="L199" t="str">
        <f>survey_responses[[#This Row],[Tình trạng việc làm chính:]]</f>
        <v>Khu vực chính thức (Có Hợp đồng lao động, đóng BHXH)</v>
      </c>
      <c r="M199">
        <f>step3_validation[[#This Row],[Income_Mil]]</f>
        <v>12.688219564202335</v>
      </c>
      <c r="N199" t="str">
        <f>survey_responses[[#This Row],[Thu nhập bình quân tháng theo Hợp đồng lao động của bạn là bao nhiêu? (Vui lòng điền tổng thu nhập trước khi khấu trừ các loại Bảo hiểm (BHXH, BHYT, BHTN) và Thuế TNCN)]]</f>
        <v>Từ 12 - 18 triệu VNĐ</v>
      </c>
      <c r="O199">
        <f>step3_validation[[#This Row],[Dependents]]</f>
        <v>2</v>
      </c>
      <c r="P199" t="str">
        <f>survey_responses[[#This Row],[Số người phụ thuộc (con nhỏ, cha mẹ già...) đủ điều kiện giảm trừ gia cảnh:]]</f>
        <v>2 người</v>
      </c>
      <c r="Q199">
        <f>step3_validation[[#This Row],[AI_ENF1]]</f>
        <v>7</v>
      </c>
      <c r="R199" t="str">
        <f t="shared" si="81"/>
        <v>Neutral</v>
      </c>
      <c r="S199">
        <f>survey_responses[[#This Row],[Tôi tin rằng với các quy định quản lý thuế hiện nay, hành vi gian lận hoặc trốn thuế sẽ dễ dàng bị phát hiện và xử lý nghiêm. - HUMAN-ENF1]]</f>
        <v>5</v>
      </c>
      <c r="T199" t="str">
        <f t="shared" si="82"/>
        <v>Neutral</v>
      </c>
      <c r="U199" s="32">
        <f t="shared" si="83"/>
        <v>2</v>
      </c>
      <c r="V199">
        <f>step3_validation[[#This Row],[AI_ENF2]]</f>
        <v>8</v>
      </c>
      <c r="W199" t="str">
        <f t="shared" si="84"/>
        <v>Support</v>
      </c>
      <c r="X199">
        <f>survey_responses[[#This Row],[Tôi tin rằng Nhà nước, cơ quan thuế có đủ khả năng và công nghệ để phát hiện, xử lý nghiêm các hành vi trốn thuế. - HUMAN-ENF2]]</f>
        <v>5</v>
      </c>
      <c r="Y199" t="str">
        <f t="shared" si="85"/>
        <v>Neutral</v>
      </c>
      <c r="Z199" s="32">
        <f t="shared" si="86"/>
        <v>3</v>
      </c>
      <c r="AA199">
        <f>step3_validation[[#This Row],[AI_FAC1]]</f>
        <v>6</v>
      </c>
      <c r="AB199" t="str">
        <f t="shared" si="87"/>
        <v>Neutral</v>
      </c>
      <c r="AC199">
        <f>survey_responses[[#This Row],[Các thủ tục khai báo thuế VÀ/HOẶC quy trình làm việc với cơ quan thuế đơn giản, tiện lợi, nhanh chóng hơn so với trước đây. - HUMAN-FAC1]]</f>
        <v>5</v>
      </c>
      <c r="AD199" t="str">
        <f t="shared" si="88"/>
        <v>Neutral</v>
      </c>
      <c r="AE199" s="32">
        <f t="shared" si="89"/>
        <v>1</v>
      </c>
      <c r="AF199">
        <f>step3_validation[[#This Row],[AI_FAC2]]</f>
        <v>8</v>
      </c>
      <c r="AG199" t="str">
        <f t="shared" si="90"/>
        <v>Support</v>
      </c>
      <c r="AH199">
        <f>survey_responses[[#This Row],[So với trước đây, tôi thấy cách tính thuế và các bậc thuế trong phương án mới đơn giản, dễ hiểu và dễ thực hiện hơn. - HUMAN-FAC2]]</f>
        <v>5</v>
      </c>
      <c r="AI199" t="str">
        <f t="shared" si="91"/>
        <v>Neutral</v>
      </c>
      <c r="AJ199" s="32">
        <f t="shared" si="92"/>
        <v>3</v>
      </c>
      <c r="AK199">
        <f>step3_validation[[#This Row],[AI_TRU1]]</f>
        <v>7</v>
      </c>
      <c r="AL199" t="str">
        <f t="shared" si="93"/>
        <v>Neutral</v>
      </c>
      <c r="AM199">
        <f>survey_responses[[#This Row],[Tôi tin rằng Nhà nước, cơ quan thuế sẽ thực thi chính sách mới một cách khách quan, công tâm và đối xử bình đẳng với mọi người nộp thuế.  - HUMAN-TRU1]]</f>
        <v>5</v>
      </c>
      <c r="AN199" t="str">
        <f t="shared" si="94"/>
        <v>Neutral</v>
      </c>
      <c r="AO199" s="32">
        <f t="shared" si="95"/>
        <v>2</v>
      </c>
      <c r="AP199">
        <f>step3_validation[[#This Row],[AI_TRU2]]</f>
        <v>6</v>
      </c>
      <c r="AQ199" t="str">
        <f t="shared" si="96"/>
        <v>Neutral</v>
      </c>
      <c r="AR199">
        <f>survey_responses[[#This Row],[Tôi thấy mức thuế tôi phải đóng theo phương án mới là công bằng (người thu nhập như tôi đóng mức này là hợp lý). - HUMAN-TRU2]]</f>
        <v>5</v>
      </c>
      <c r="AS199" t="str">
        <f t="shared" si="97"/>
        <v>Neutral</v>
      </c>
      <c r="AT199" s="32">
        <f t="shared" si="98"/>
        <v>1</v>
      </c>
      <c r="AU199">
        <f>step3_validation[[#This Row],[AI_TRU3]]</f>
        <v>7</v>
      </c>
      <c r="AV199" t="str">
        <f t="shared" si="99"/>
        <v>Neutral</v>
      </c>
      <c r="AW199">
        <f>survey_responses[[#This Row],[Tôi tin tưởng số tiền thuế tôi đóng sẽ được Nhà nước sử dụng hiệu quả để cải thiện dịch vụ công (y tế, đường xá...). - HUMAN-TRU3]]</f>
        <v>5</v>
      </c>
      <c r="AX199" t="str">
        <f t="shared" si="100"/>
        <v>Neutral</v>
      </c>
      <c r="AY199" s="32">
        <f t="shared" si="101"/>
        <v>2</v>
      </c>
      <c r="AZ199">
        <f>step3_validation[[#This Row],[AI_TRU4]]</f>
        <v>6</v>
      </c>
      <c r="BA199" t="str">
        <f t="shared" si="102"/>
        <v>Neutral</v>
      </c>
      <c r="BB199">
        <f>survey_responses[[#This Row],[Tôi thấy Nhà nước đã giải thích rõ ràng, minh bạch về lý do và mục tiêu của việc sửa đổi thuế lần này. - HUMAN-TRU4]]</f>
        <v>4</v>
      </c>
      <c r="BC199" t="str">
        <f t="shared" si="103"/>
        <v>Oppose</v>
      </c>
      <c r="BD199" s="32">
        <f t="shared" si="104"/>
        <v>2</v>
      </c>
      <c r="BE199">
        <f>step3_validation[[#This Row],[AI_OUT1]]</f>
        <v>7</v>
      </c>
      <c r="BF199" t="str">
        <f t="shared" si="105"/>
        <v>Neutral</v>
      </c>
      <c r="BG199">
        <f>survey_responses[[#This Row],[Sau khi xem xét các quyền lợi và nghĩa vụ, bạn có ủng hộ và tuân thủ chính sách mới hiện nay? - HUMAN-OUT1]]</f>
        <v>5</v>
      </c>
      <c r="BH199" t="str">
        <f t="shared" si="106"/>
        <v>Neutral</v>
      </c>
      <c r="BI199" s="32">
        <f t="shared" si="107"/>
        <v>2</v>
      </c>
    </row>
    <row r="200" spans="1:61" x14ac:dyDescent="0.45">
      <c r="A200" s="30">
        <f>step3_validation[[#This Row],[Persona_ID]]</f>
        <v>199</v>
      </c>
      <c r="B200" s="31">
        <f>step3_validation[[#This Row],[Used_Seed]]</f>
        <v>2189</v>
      </c>
      <c r="C200" t="str">
        <f>step3_validation[[#This Row],[Gender]]</f>
        <v>Nữ</v>
      </c>
      <c r="D200" t="str">
        <f>survey_responses[[#This Row],[Giới tính của bạn:]]</f>
        <v>Nữ</v>
      </c>
      <c r="E200" t="str">
        <f>step3_validation[[#This Row],[Age_Group]]</f>
        <v>55 - 64</v>
      </c>
      <c r="F200" t="str">
        <f>survey_responses[[#This Row],[Độ tuổi của bạn:]]</f>
        <v>55 - 64</v>
      </c>
      <c r="G200" t="str">
        <f>step3_validation[[#This Row],[Region]]</f>
        <v>Thành thị</v>
      </c>
      <c r="H200" t="str">
        <f>survey_responses[[#This Row],[Khu vực bạn đang sinh sống:]]</f>
        <v>Thành thị</v>
      </c>
      <c r="I200" t="str">
        <f>step3_validation[[#This Row],[Education]]</f>
        <v>Sau Đại học</v>
      </c>
      <c r="J200" t="str">
        <f>survey_responses[[#This Row],[Trình độ học vấn cao nhất:]]</f>
        <v>Sau Đại học</v>
      </c>
      <c r="K200" t="str">
        <f>step3_validation[[#This Row],[Employment]]</f>
        <v>Phi chính thức</v>
      </c>
      <c r="L200" t="str">
        <f>survey_responses[[#This Row],[Tình trạng việc làm chính:]]</f>
        <v>Khác (Về hưu, nội trợ, sinh viên)</v>
      </c>
      <c r="M200">
        <f>step3_validation[[#This Row],[Income_Mil]]</f>
        <v>12</v>
      </c>
      <c r="N200" t="str">
        <f>survey_responses[[#This Row],[Thu nhập bình quân tháng theo Hợp đồng lao động của bạn là bao nhiêu? (Vui lòng điền tổng thu nhập trước khi khấu trừ các loại Bảo hiểm (BHXH, BHYT, BHTN) và Thuế TNCN)]]</f>
        <v>Dưới 12 triệu VNĐ</v>
      </c>
      <c r="O200">
        <f>step3_validation[[#This Row],[Dependents]]</f>
        <v>1</v>
      </c>
      <c r="P200" t="str">
        <f>survey_responses[[#This Row],[Số người phụ thuộc (con nhỏ, cha mẹ già...) đủ điều kiện giảm trừ gia cảnh:]]</f>
        <v>1 người</v>
      </c>
      <c r="Q200">
        <f>step3_validation[[#This Row],[AI_ENF1]]</f>
        <v>7</v>
      </c>
      <c r="R200" t="str">
        <f t="shared" si="81"/>
        <v>Neutral</v>
      </c>
      <c r="S200">
        <f>survey_responses[[#This Row],[Tôi tin rằng với các quy định quản lý thuế hiện nay, hành vi gian lận hoặc trốn thuế sẽ dễ dàng bị phát hiện và xử lý nghiêm. - HUMAN-ENF1]]</f>
        <v>9</v>
      </c>
      <c r="T200" t="str">
        <f t="shared" si="82"/>
        <v>Support</v>
      </c>
      <c r="U200" s="32">
        <f t="shared" si="83"/>
        <v>2</v>
      </c>
      <c r="V200">
        <f>step3_validation[[#This Row],[AI_ENF2]]</f>
        <v>6</v>
      </c>
      <c r="W200" t="str">
        <f t="shared" si="84"/>
        <v>Neutral</v>
      </c>
      <c r="X200">
        <f>survey_responses[[#This Row],[Tôi tin rằng Nhà nước, cơ quan thuế có đủ khả năng và công nghệ để phát hiện, xử lý nghiêm các hành vi trốn thuế. - HUMAN-ENF2]]</f>
        <v>8</v>
      </c>
      <c r="Y200" t="str">
        <f t="shared" si="85"/>
        <v>Support</v>
      </c>
      <c r="Z200" s="32">
        <f t="shared" si="86"/>
        <v>2</v>
      </c>
      <c r="AA200">
        <f>step3_validation[[#This Row],[AI_FAC1]]</f>
        <v>5</v>
      </c>
      <c r="AB200" t="str">
        <f t="shared" si="87"/>
        <v>Neutral</v>
      </c>
      <c r="AC200">
        <f>survey_responses[[#This Row],[Các thủ tục khai báo thuế VÀ/HOẶC quy trình làm việc với cơ quan thuế đơn giản, tiện lợi, nhanh chóng hơn so với trước đây. - HUMAN-FAC1]]</f>
        <v>9</v>
      </c>
      <c r="AD200" t="str">
        <f t="shared" si="88"/>
        <v>Support</v>
      </c>
      <c r="AE200" s="32">
        <f t="shared" si="89"/>
        <v>4</v>
      </c>
      <c r="AF200">
        <f>step3_validation[[#This Row],[AI_FAC2]]</f>
        <v>8</v>
      </c>
      <c r="AG200" t="str">
        <f t="shared" si="90"/>
        <v>Support</v>
      </c>
      <c r="AH200">
        <f>survey_responses[[#This Row],[So với trước đây, tôi thấy cách tính thuế và các bậc thuế trong phương án mới đơn giản, dễ hiểu và dễ thực hiện hơn. - HUMAN-FAC2]]</f>
        <v>9</v>
      </c>
      <c r="AI200" t="str">
        <f t="shared" si="91"/>
        <v>Support</v>
      </c>
      <c r="AJ200" s="32">
        <f t="shared" si="92"/>
        <v>1</v>
      </c>
      <c r="AK200">
        <f>step3_validation[[#This Row],[AI_TRU1]]</f>
        <v>6</v>
      </c>
      <c r="AL200" t="str">
        <f t="shared" si="93"/>
        <v>Neutral</v>
      </c>
      <c r="AM200">
        <f>survey_responses[[#This Row],[Tôi tin rằng Nhà nước, cơ quan thuế sẽ thực thi chính sách mới một cách khách quan, công tâm và đối xử bình đẳng với mọi người nộp thuế.  - HUMAN-TRU1]]</f>
        <v>8</v>
      </c>
      <c r="AN200" t="str">
        <f t="shared" si="94"/>
        <v>Support</v>
      </c>
      <c r="AO200" s="32">
        <f t="shared" si="95"/>
        <v>2</v>
      </c>
      <c r="AP200">
        <f>step3_validation[[#This Row],[AI_TRU2]]</f>
        <v>7</v>
      </c>
      <c r="AQ200" t="str">
        <f t="shared" si="96"/>
        <v>Neutral</v>
      </c>
      <c r="AR200">
        <f>survey_responses[[#This Row],[Tôi thấy mức thuế tôi phải đóng theo phương án mới là công bằng (người thu nhập như tôi đóng mức này là hợp lý). - HUMAN-TRU2]]</f>
        <v>9</v>
      </c>
      <c r="AS200" t="str">
        <f t="shared" si="97"/>
        <v>Support</v>
      </c>
      <c r="AT200" s="32">
        <f t="shared" si="98"/>
        <v>2</v>
      </c>
      <c r="AU200">
        <f>step3_validation[[#This Row],[AI_TRU3]]</f>
        <v>5</v>
      </c>
      <c r="AV200" t="str">
        <f t="shared" si="99"/>
        <v>Neutral</v>
      </c>
      <c r="AW200">
        <f>survey_responses[[#This Row],[Tôi tin tưởng số tiền thuế tôi đóng sẽ được Nhà nước sử dụng hiệu quả để cải thiện dịch vụ công (y tế, đường xá...). - HUMAN-TRU3]]</f>
        <v>10</v>
      </c>
      <c r="AX200" t="str">
        <f t="shared" si="100"/>
        <v>Support</v>
      </c>
      <c r="AY200" s="32">
        <f t="shared" si="101"/>
        <v>5</v>
      </c>
      <c r="AZ200">
        <f>step3_validation[[#This Row],[AI_TRU4]]</f>
        <v>6</v>
      </c>
      <c r="BA200" t="str">
        <f t="shared" si="102"/>
        <v>Neutral</v>
      </c>
      <c r="BB200">
        <f>survey_responses[[#This Row],[Tôi thấy Nhà nước đã giải thích rõ ràng, minh bạch về lý do và mục tiêu của việc sửa đổi thuế lần này. - HUMAN-TRU4]]</f>
        <v>9</v>
      </c>
      <c r="BC200" t="str">
        <f t="shared" si="103"/>
        <v>Support</v>
      </c>
      <c r="BD200" s="32">
        <f t="shared" si="104"/>
        <v>3</v>
      </c>
      <c r="BE200">
        <f>step3_validation[[#This Row],[AI_OUT1]]</f>
        <v>7</v>
      </c>
      <c r="BF200" t="str">
        <f t="shared" si="105"/>
        <v>Neutral</v>
      </c>
      <c r="BG200">
        <f>survey_responses[[#This Row],[Sau khi xem xét các quyền lợi và nghĩa vụ, bạn có ủng hộ và tuân thủ chính sách mới hiện nay? - HUMAN-OUT1]]</f>
        <v>10</v>
      </c>
      <c r="BH200" t="str">
        <f t="shared" si="106"/>
        <v>Support</v>
      </c>
      <c r="BI200" s="32">
        <f t="shared" si="107"/>
        <v>3</v>
      </c>
    </row>
    <row r="201" spans="1:61" x14ac:dyDescent="0.45">
      <c r="A201" s="30">
        <f>step3_validation[[#This Row],[Persona_ID]]</f>
        <v>200</v>
      </c>
      <c r="B201" s="31">
        <f>step3_validation[[#This Row],[Used_Seed]]</f>
        <v>2190</v>
      </c>
      <c r="C201" t="str">
        <f>step3_validation[[#This Row],[Gender]]</f>
        <v>Nam</v>
      </c>
      <c r="D201" t="str">
        <f>survey_responses[[#This Row],[Giới tính của bạn:]]</f>
        <v>Nam</v>
      </c>
      <c r="E201" t="str">
        <f>step3_validation[[#This Row],[Age_Group]]</f>
        <v>50 - 54</v>
      </c>
      <c r="F201" t="str">
        <f>survey_responses[[#This Row],[Độ tuổi của bạn:]]</f>
        <v>50 - 54</v>
      </c>
      <c r="G201" t="str">
        <f>step3_validation[[#This Row],[Region]]</f>
        <v>Thành thị</v>
      </c>
      <c r="H201" t="str">
        <f>survey_responses[[#This Row],[Khu vực bạn đang sinh sống:]]</f>
        <v>Thành thị</v>
      </c>
      <c r="I201" t="str">
        <f>step3_validation[[#This Row],[Education]]</f>
        <v>Đại học</v>
      </c>
      <c r="J201" t="str">
        <f>survey_responses[[#This Row],[Trình độ học vấn cao nhất:]]</f>
        <v>Đại học</v>
      </c>
      <c r="K201" t="str">
        <f>step3_validation[[#This Row],[Employment]]</f>
        <v>Chính thức</v>
      </c>
      <c r="L201" t="str">
        <f>survey_responses[[#This Row],[Tình trạng việc làm chính:]]</f>
        <v>Khu vực chính thức (Có Hợp đồng lao động, đóng BHXH)</v>
      </c>
      <c r="M201">
        <f>step3_validation[[#This Row],[Income_Mil]]</f>
        <v>87.703893705269323</v>
      </c>
      <c r="N201" t="str">
        <f>survey_responses[[#This Row],[Thu nhập bình quân tháng theo Hợp đồng lao động của bạn là bao nhiêu? (Vui lòng điền tổng thu nhập trước khi khấu trừ các loại Bảo hiểm (BHXH, BHYT, BHTN) và Thuế TNCN)]]</f>
        <v>Từ 70 - 102 triệu VNĐ</v>
      </c>
      <c r="O201">
        <f>step3_validation[[#This Row],[Dependents]]</f>
        <v>3</v>
      </c>
      <c r="P201" t="str">
        <f>survey_responses[[#This Row],[Số người phụ thuộc (con nhỏ, cha mẹ già...) đủ điều kiện giảm trừ gia cảnh:]]</f>
        <v>3 người</v>
      </c>
      <c r="Q201">
        <f>step3_validation[[#This Row],[AI_ENF1]]</f>
        <v>8</v>
      </c>
      <c r="R201" t="str">
        <f t="shared" si="81"/>
        <v>Support</v>
      </c>
      <c r="S201">
        <f>survey_responses[[#This Row],[Tôi tin rằng với các quy định quản lý thuế hiện nay, hành vi gian lận hoặc trốn thuế sẽ dễ dàng bị phát hiện và xử lý nghiêm. - HUMAN-ENF1]]</f>
        <v>4</v>
      </c>
      <c r="T201" t="str">
        <f t="shared" si="82"/>
        <v>Oppose</v>
      </c>
      <c r="U201" s="32">
        <f t="shared" si="83"/>
        <v>4</v>
      </c>
      <c r="V201">
        <f>step3_validation[[#This Row],[AI_ENF2]]</f>
        <v>9</v>
      </c>
      <c r="W201" t="str">
        <f t="shared" si="84"/>
        <v>Support</v>
      </c>
      <c r="X201">
        <f>survey_responses[[#This Row],[Tôi tin rằng Nhà nước, cơ quan thuế có đủ khả năng và công nghệ để phát hiện, xử lý nghiêm các hành vi trốn thuế. - HUMAN-ENF2]]</f>
        <v>4</v>
      </c>
      <c r="Y201" t="str">
        <f t="shared" si="85"/>
        <v>Oppose</v>
      </c>
      <c r="Z201" s="32">
        <f t="shared" si="86"/>
        <v>5</v>
      </c>
      <c r="AA201">
        <f>step3_validation[[#This Row],[AI_FAC1]]</f>
        <v>8</v>
      </c>
      <c r="AB201" t="str">
        <f t="shared" si="87"/>
        <v>Support</v>
      </c>
      <c r="AC201">
        <f>survey_responses[[#This Row],[Các thủ tục khai báo thuế VÀ/HOẶC quy trình làm việc với cơ quan thuế đơn giản, tiện lợi, nhanh chóng hơn so với trước đây. - HUMAN-FAC1]]</f>
        <v>3</v>
      </c>
      <c r="AD201" t="str">
        <f t="shared" si="88"/>
        <v>Oppose</v>
      </c>
      <c r="AE201" s="32">
        <f t="shared" si="89"/>
        <v>5</v>
      </c>
      <c r="AF201">
        <f>step3_validation[[#This Row],[AI_FAC2]]</f>
        <v>7</v>
      </c>
      <c r="AG201" t="str">
        <f t="shared" si="90"/>
        <v>Neutral</v>
      </c>
      <c r="AH201">
        <f>survey_responses[[#This Row],[So với trước đây, tôi thấy cách tính thuế và các bậc thuế trong phương án mới đơn giản, dễ hiểu và dễ thực hiện hơn. - HUMAN-FAC2]]</f>
        <v>5</v>
      </c>
      <c r="AI201" t="str">
        <f t="shared" si="91"/>
        <v>Neutral</v>
      </c>
      <c r="AJ201" s="32">
        <f t="shared" si="92"/>
        <v>2</v>
      </c>
      <c r="AK201">
        <f>step3_validation[[#This Row],[AI_TRU1]]</f>
        <v>8</v>
      </c>
      <c r="AL201" t="str">
        <f t="shared" si="93"/>
        <v>Support</v>
      </c>
      <c r="AM201">
        <f>survey_responses[[#This Row],[Tôi tin rằng Nhà nước, cơ quan thuế sẽ thực thi chính sách mới một cách khách quan, công tâm và đối xử bình đẳng với mọi người nộp thuế.  - HUMAN-TRU1]]</f>
        <v>4</v>
      </c>
      <c r="AN201" t="str">
        <f t="shared" si="94"/>
        <v>Oppose</v>
      </c>
      <c r="AO201" s="32">
        <f t="shared" si="95"/>
        <v>4</v>
      </c>
      <c r="AP201">
        <f>step3_validation[[#This Row],[AI_TRU2]]</f>
        <v>6</v>
      </c>
      <c r="AQ201" t="str">
        <f t="shared" si="96"/>
        <v>Neutral</v>
      </c>
      <c r="AR201">
        <f>survey_responses[[#This Row],[Tôi thấy mức thuế tôi phải đóng theo phương án mới là công bằng (người thu nhập như tôi đóng mức này là hợp lý). - HUMAN-TRU2]]</f>
        <v>5</v>
      </c>
      <c r="AS201" t="str">
        <f t="shared" si="97"/>
        <v>Neutral</v>
      </c>
      <c r="AT201" s="32">
        <f t="shared" si="98"/>
        <v>1</v>
      </c>
      <c r="AU201">
        <f>step3_validation[[#This Row],[AI_TRU3]]</f>
        <v>5</v>
      </c>
      <c r="AV201" t="str">
        <f t="shared" si="99"/>
        <v>Neutral</v>
      </c>
      <c r="AW201">
        <f>survey_responses[[#This Row],[Tôi tin tưởng số tiền thuế tôi đóng sẽ được Nhà nước sử dụng hiệu quả để cải thiện dịch vụ công (y tế, đường xá...). - HUMAN-TRU3]]</f>
        <v>1</v>
      </c>
      <c r="AX201" t="str">
        <f t="shared" si="100"/>
        <v>Oppose</v>
      </c>
      <c r="AY201" s="32">
        <f t="shared" si="101"/>
        <v>4</v>
      </c>
      <c r="AZ201">
        <f>step3_validation[[#This Row],[AI_TRU4]]</f>
        <v>6</v>
      </c>
      <c r="BA201" t="str">
        <f t="shared" si="102"/>
        <v>Neutral</v>
      </c>
      <c r="BB201">
        <f>survey_responses[[#This Row],[Tôi thấy Nhà nước đã giải thích rõ ràng, minh bạch về lý do và mục tiêu của việc sửa đổi thuế lần này. - HUMAN-TRU4]]</f>
        <v>5</v>
      </c>
      <c r="BC201" t="str">
        <f t="shared" si="103"/>
        <v>Neutral</v>
      </c>
      <c r="BD201" s="32">
        <f t="shared" si="104"/>
        <v>1</v>
      </c>
      <c r="BE201">
        <f>step3_validation[[#This Row],[AI_OUT1]]</f>
        <v>7</v>
      </c>
      <c r="BF201" t="str">
        <f t="shared" si="105"/>
        <v>Neutral</v>
      </c>
      <c r="BG201">
        <f>survey_responses[[#This Row],[Sau khi xem xét các quyền lợi và nghĩa vụ, bạn có ủng hộ và tuân thủ chính sách mới hiện nay? - HUMAN-OUT1]]</f>
        <v>5</v>
      </c>
      <c r="BH201" t="str">
        <f t="shared" si="106"/>
        <v>Neutral</v>
      </c>
      <c r="BI201" s="32">
        <f t="shared" si="107"/>
        <v>2</v>
      </c>
    </row>
    <row r="202" spans="1:61" x14ac:dyDescent="0.45">
      <c r="A202" s="30">
        <f>step3_validation[[#This Row],[Persona_ID]]</f>
        <v>201</v>
      </c>
      <c r="B202" s="31">
        <f>step3_validation[[#This Row],[Used_Seed]]</f>
        <v>2191</v>
      </c>
      <c r="C202" t="str">
        <f>step3_validation[[#This Row],[Gender]]</f>
        <v>Nữ</v>
      </c>
      <c r="D202" t="str">
        <f>survey_responses[[#This Row],[Giới tính của bạn:]]</f>
        <v>Nữ</v>
      </c>
      <c r="E202" t="str">
        <f>step3_validation[[#This Row],[Age_Group]]</f>
        <v>55 - 64</v>
      </c>
      <c r="F202" t="str">
        <f>survey_responses[[#This Row],[Độ tuổi của bạn:]]</f>
        <v>55 - 64</v>
      </c>
      <c r="G202" t="str">
        <f>step3_validation[[#This Row],[Region]]</f>
        <v>Thành thị</v>
      </c>
      <c r="H202" t="str">
        <f>survey_responses[[#This Row],[Khu vực bạn đang sinh sống:]]</f>
        <v>Thành thị</v>
      </c>
      <c r="I202" t="str">
        <f>step3_validation[[#This Row],[Education]]</f>
        <v>Sau Đại học</v>
      </c>
      <c r="J202" t="str">
        <f>survey_responses[[#This Row],[Trình độ học vấn cao nhất:]]</f>
        <v>Sau Đại học</v>
      </c>
      <c r="K202" t="str">
        <f>step3_validation[[#This Row],[Employment]]</f>
        <v>Chính thức</v>
      </c>
      <c r="L202" t="str">
        <f>survey_responses[[#This Row],[Tình trạng việc làm chính:]]</f>
        <v>Khu vực chính thức (Có Hợp đồng lao động, đóng BHXH)</v>
      </c>
      <c r="M202">
        <f>step3_validation[[#This Row],[Income_Mil]]</f>
        <v>53.584938230999832</v>
      </c>
      <c r="N202" t="str">
        <f>survey_responses[[#This Row],[Thu nhập bình quân tháng theo Hợp đồng lao động của bạn là bao nhiêu? (Vui lòng điền tổng thu nhập trước khi khấu trừ các loại Bảo hiểm (BHXH, BHYT, BHTN) và Thuế TNCN)]]</f>
        <v>Từ 48 - 70 triệu VNĐ</v>
      </c>
      <c r="O202">
        <f>step3_validation[[#This Row],[Dependents]]</f>
        <v>1</v>
      </c>
      <c r="P202" t="str">
        <f>survey_responses[[#This Row],[Số người phụ thuộc (con nhỏ, cha mẹ già...) đủ điều kiện giảm trừ gia cảnh:]]</f>
        <v>1 người</v>
      </c>
      <c r="Q202">
        <f>step3_validation[[#This Row],[AI_ENF1]]</f>
        <v>8</v>
      </c>
      <c r="R202" t="str">
        <f t="shared" si="81"/>
        <v>Support</v>
      </c>
      <c r="S202">
        <f>survey_responses[[#This Row],[Tôi tin rằng với các quy định quản lý thuế hiện nay, hành vi gian lận hoặc trốn thuế sẽ dễ dàng bị phát hiện và xử lý nghiêm. - HUMAN-ENF1]]</f>
        <v>5</v>
      </c>
      <c r="T202" t="str">
        <f t="shared" si="82"/>
        <v>Neutral</v>
      </c>
      <c r="U202" s="32">
        <f t="shared" si="83"/>
        <v>3</v>
      </c>
      <c r="V202">
        <f>step3_validation[[#This Row],[AI_ENF2]]</f>
        <v>7</v>
      </c>
      <c r="W202" t="str">
        <f t="shared" si="84"/>
        <v>Neutral</v>
      </c>
      <c r="X202">
        <f>survey_responses[[#This Row],[Tôi tin rằng Nhà nước, cơ quan thuế có đủ khả năng và công nghệ để phát hiện, xử lý nghiêm các hành vi trốn thuế. - HUMAN-ENF2]]</f>
        <v>5</v>
      </c>
      <c r="Y202" t="str">
        <f t="shared" si="85"/>
        <v>Neutral</v>
      </c>
      <c r="Z202" s="32">
        <f t="shared" si="86"/>
        <v>2</v>
      </c>
      <c r="AA202">
        <f>step3_validation[[#This Row],[AI_FAC1]]</f>
        <v>9</v>
      </c>
      <c r="AB202" t="str">
        <f t="shared" si="87"/>
        <v>Support</v>
      </c>
      <c r="AC202">
        <f>survey_responses[[#This Row],[Các thủ tục khai báo thuế VÀ/HOẶC quy trình làm việc với cơ quan thuế đơn giản, tiện lợi, nhanh chóng hơn so với trước đây. - HUMAN-FAC1]]</f>
        <v>1</v>
      </c>
      <c r="AD202" t="str">
        <f t="shared" si="88"/>
        <v>Oppose</v>
      </c>
      <c r="AE202" s="32">
        <f t="shared" si="89"/>
        <v>8</v>
      </c>
      <c r="AF202">
        <f>step3_validation[[#This Row],[AI_FAC2]]</f>
        <v>8</v>
      </c>
      <c r="AG202" t="str">
        <f t="shared" si="90"/>
        <v>Support</v>
      </c>
      <c r="AH202">
        <f>survey_responses[[#This Row],[So với trước đây, tôi thấy cách tính thuế và các bậc thuế trong phương án mới đơn giản, dễ hiểu và dễ thực hiện hơn. - HUMAN-FAC2]]</f>
        <v>5</v>
      </c>
      <c r="AI202" t="str">
        <f t="shared" si="91"/>
        <v>Neutral</v>
      </c>
      <c r="AJ202" s="32">
        <f t="shared" si="92"/>
        <v>3</v>
      </c>
      <c r="AK202">
        <f>step3_validation[[#This Row],[AI_TRU1]]</f>
        <v>7</v>
      </c>
      <c r="AL202" t="str">
        <f t="shared" si="93"/>
        <v>Neutral</v>
      </c>
      <c r="AM202">
        <f>survey_responses[[#This Row],[Tôi tin rằng Nhà nước, cơ quan thuế sẽ thực thi chính sách mới một cách khách quan, công tâm và đối xử bình đẳng với mọi người nộp thuế.  - HUMAN-TRU1]]</f>
        <v>4</v>
      </c>
      <c r="AN202" t="str">
        <f t="shared" si="94"/>
        <v>Oppose</v>
      </c>
      <c r="AO202" s="32">
        <f t="shared" si="95"/>
        <v>3</v>
      </c>
      <c r="AP202">
        <f>step3_validation[[#This Row],[AI_TRU2]]</f>
        <v>8</v>
      </c>
      <c r="AQ202" t="str">
        <f t="shared" si="96"/>
        <v>Support</v>
      </c>
      <c r="AR202">
        <f>survey_responses[[#This Row],[Tôi thấy mức thuế tôi phải đóng theo phương án mới là công bằng (người thu nhập như tôi đóng mức này là hợp lý). - HUMAN-TRU2]]</f>
        <v>2</v>
      </c>
      <c r="AS202" t="str">
        <f t="shared" si="97"/>
        <v>Oppose</v>
      </c>
      <c r="AT202" s="32">
        <f t="shared" si="98"/>
        <v>6</v>
      </c>
      <c r="AU202">
        <f>step3_validation[[#This Row],[AI_TRU3]]</f>
        <v>7</v>
      </c>
      <c r="AV202" t="str">
        <f t="shared" si="99"/>
        <v>Neutral</v>
      </c>
      <c r="AW202">
        <f>survey_responses[[#This Row],[Tôi tin tưởng số tiền thuế tôi đóng sẽ được Nhà nước sử dụng hiệu quả để cải thiện dịch vụ công (y tế, đường xá...). - HUMAN-TRU3]]</f>
        <v>2</v>
      </c>
      <c r="AX202" t="str">
        <f t="shared" si="100"/>
        <v>Oppose</v>
      </c>
      <c r="AY202" s="32">
        <f t="shared" si="101"/>
        <v>5</v>
      </c>
      <c r="AZ202">
        <f>step3_validation[[#This Row],[AI_TRU4]]</f>
        <v>6</v>
      </c>
      <c r="BA202" t="str">
        <f t="shared" si="102"/>
        <v>Neutral</v>
      </c>
      <c r="BB202">
        <f>survey_responses[[#This Row],[Tôi thấy Nhà nước đã giải thích rõ ràng, minh bạch về lý do và mục tiêu của việc sửa đổi thuế lần này. - HUMAN-TRU4]]</f>
        <v>5</v>
      </c>
      <c r="BC202" t="str">
        <f t="shared" si="103"/>
        <v>Neutral</v>
      </c>
      <c r="BD202" s="32">
        <f t="shared" si="104"/>
        <v>1</v>
      </c>
      <c r="BE202">
        <f>step3_validation[[#This Row],[AI_OUT1]]</f>
        <v>7</v>
      </c>
      <c r="BF202" t="str">
        <f t="shared" si="105"/>
        <v>Neutral</v>
      </c>
      <c r="BG202">
        <f>survey_responses[[#This Row],[Sau khi xem xét các quyền lợi và nghĩa vụ, bạn có ủng hộ và tuân thủ chính sách mới hiện nay? - HUMAN-OUT1]]</f>
        <v>4</v>
      </c>
      <c r="BH202" t="str">
        <f t="shared" si="106"/>
        <v>Oppose</v>
      </c>
      <c r="BI202" s="32">
        <f t="shared" si="107"/>
        <v>3</v>
      </c>
    </row>
    <row r="203" spans="1:61" x14ac:dyDescent="0.45">
      <c r="A203" s="30">
        <f>step3_validation[[#This Row],[Persona_ID]]</f>
        <v>202</v>
      </c>
      <c r="B203" s="31">
        <f>step3_validation[[#This Row],[Used_Seed]]</f>
        <v>2192</v>
      </c>
      <c r="C203" t="str">
        <f>step3_validation[[#This Row],[Gender]]</f>
        <v>Nữ</v>
      </c>
      <c r="D203" t="str">
        <f>survey_responses[[#This Row],[Giới tính của bạn:]]</f>
        <v>Nữ</v>
      </c>
      <c r="E203" t="str">
        <f>step3_validation[[#This Row],[Age_Group]]</f>
        <v>40 - 49</v>
      </c>
      <c r="F203" t="str">
        <f>survey_responses[[#This Row],[Độ tuổi của bạn:]]</f>
        <v>40 - 49</v>
      </c>
      <c r="G203" t="str">
        <f>step3_validation[[#This Row],[Region]]</f>
        <v>Thành thị</v>
      </c>
      <c r="H203" t="str">
        <f>survey_responses[[#This Row],[Khu vực bạn đang sinh sống:]]</f>
        <v>Thành thị</v>
      </c>
      <c r="I203" t="str">
        <f>step3_validation[[#This Row],[Education]]</f>
        <v>Đại học</v>
      </c>
      <c r="J203" t="str">
        <f>survey_responses[[#This Row],[Trình độ học vấn cao nhất:]]</f>
        <v>Đại học</v>
      </c>
      <c r="K203" t="str">
        <f>step3_validation[[#This Row],[Employment]]</f>
        <v>Chính thức</v>
      </c>
      <c r="L203" t="str">
        <f>survey_responses[[#This Row],[Tình trạng việc làm chính:]]</f>
        <v>Khu vực chính thức (Có Hợp đồng lao động, đóng BHXH)</v>
      </c>
      <c r="M203">
        <f>step3_validation[[#This Row],[Income_Mil]]</f>
        <v>77.321595157775064</v>
      </c>
      <c r="N203" t="str">
        <f>survey_responses[[#This Row],[Thu nhập bình quân tháng theo Hợp đồng lao động của bạn là bao nhiêu? (Vui lòng điền tổng thu nhập trước khi khấu trừ các loại Bảo hiểm (BHXH, BHYT, BHTN) và Thuế TNCN)]]</f>
        <v>Từ 70 - 102 triệu VNĐ</v>
      </c>
      <c r="O203">
        <f>step3_validation[[#This Row],[Dependents]]</f>
        <v>4</v>
      </c>
      <c r="P203" t="str">
        <f>survey_responses[[#This Row],[Số người phụ thuộc (con nhỏ, cha mẹ già...) đủ điều kiện giảm trừ gia cảnh:]]</f>
        <v>4 người trở lên</v>
      </c>
      <c r="Q203">
        <f>step3_validation[[#This Row],[AI_ENF1]]</f>
        <v>7</v>
      </c>
      <c r="R203" t="str">
        <f t="shared" si="81"/>
        <v>Neutral</v>
      </c>
      <c r="S203">
        <f>survey_responses[[#This Row],[Tôi tin rằng với các quy định quản lý thuế hiện nay, hành vi gian lận hoặc trốn thuế sẽ dễ dàng bị phát hiện và xử lý nghiêm. - HUMAN-ENF1]]</f>
        <v>6</v>
      </c>
      <c r="T203" t="str">
        <f t="shared" si="82"/>
        <v>Neutral</v>
      </c>
      <c r="U203" s="32">
        <f t="shared" si="83"/>
        <v>1</v>
      </c>
      <c r="V203">
        <f>step3_validation[[#This Row],[AI_ENF2]]</f>
        <v>6</v>
      </c>
      <c r="W203" t="str">
        <f t="shared" si="84"/>
        <v>Neutral</v>
      </c>
      <c r="X203">
        <f>survey_responses[[#This Row],[Tôi tin rằng Nhà nước, cơ quan thuế có đủ khả năng và công nghệ để phát hiện, xử lý nghiêm các hành vi trốn thuế. - HUMAN-ENF2]]</f>
        <v>8</v>
      </c>
      <c r="Y203" t="str">
        <f t="shared" si="85"/>
        <v>Support</v>
      </c>
      <c r="Z203" s="32">
        <f t="shared" si="86"/>
        <v>2</v>
      </c>
      <c r="AA203">
        <f>step3_validation[[#This Row],[AI_FAC1]]</f>
        <v>5</v>
      </c>
      <c r="AB203" t="str">
        <f t="shared" si="87"/>
        <v>Neutral</v>
      </c>
      <c r="AC203">
        <f>survey_responses[[#This Row],[Các thủ tục khai báo thuế VÀ/HOẶC quy trình làm việc với cơ quan thuế đơn giản, tiện lợi, nhanh chóng hơn so với trước đây. - HUMAN-FAC1]]</f>
        <v>8</v>
      </c>
      <c r="AD203" t="str">
        <f t="shared" si="88"/>
        <v>Support</v>
      </c>
      <c r="AE203" s="32">
        <f t="shared" si="89"/>
        <v>3</v>
      </c>
      <c r="AF203">
        <f>step3_validation[[#This Row],[AI_FAC2]]</f>
        <v>7</v>
      </c>
      <c r="AG203" t="str">
        <f t="shared" si="90"/>
        <v>Neutral</v>
      </c>
      <c r="AH203">
        <f>survey_responses[[#This Row],[So với trước đây, tôi thấy cách tính thuế và các bậc thuế trong phương án mới đơn giản, dễ hiểu và dễ thực hiện hơn. - HUMAN-FAC2]]</f>
        <v>9</v>
      </c>
      <c r="AI203" t="str">
        <f t="shared" si="91"/>
        <v>Support</v>
      </c>
      <c r="AJ203" s="32">
        <f t="shared" si="92"/>
        <v>2</v>
      </c>
      <c r="AK203">
        <f>step3_validation[[#This Row],[AI_TRU1]]</f>
        <v>8</v>
      </c>
      <c r="AL203" t="str">
        <f t="shared" si="93"/>
        <v>Support</v>
      </c>
      <c r="AM203">
        <f>survey_responses[[#This Row],[Tôi tin rằng Nhà nước, cơ quan thuế sẽ thực thi chính sách mới một cách khách quan, công tâm và đối xử bình đẳng với mọi người nộp thuế.  - HUMAN-TRU1]]</f>
        <v>7</v>
      </c>
      <c r="AN203" t="str">
        <f t="shared" si="94"/>
        <v>Neutral</v>
      </c>
      <c r="AO203" s="32">
        <f t="shared" si="95"/>
        <v>1</v>
      </c>
      <c r="AP203">
        <f>step3_validation[[#This Row],[AI_TRU2]]</f>
        <v>6</v>
      </c>
      <c r="AQ203" t="str">
        <f t="shared" si="96"/>
        <v>Neutral</v>
      </c>
      <c r="AR203">
        <f>survey_responses[[#This Row],[Tôi thấy mức thuế tôi phải đóng theo phương án mới là công bằng (người thu nhập như tôi đóng mức này là hợp lý). - HUMAN-TRU2]]</f>
        <v>7</v>
      </c>
      <c r="AS203" t="str">
        <f t="shared" si="97"/>
        <v>Neutral</v>
      </c>
      <c r="AT203" s="32">
        <f t="shared" si="98"/>
        <v>1</v>
      </c>
      <c r="AU203">
        <f>step3_validation[[#This Row],[AI_TRU3]]</f>
        <v>5</v>
      </c>
      <c r="AV203" t="str">
        <f t="shared" si="99"/>
        <v>Neutral</v>
      </c>
      <c r="AW203">
        <f>survey_responses[[#This Row],[Tôi tin tưởng số tiền thuế tôi đóng sẽ được Nhà nước sử dụng hiệu quả để cải thiện dịch vụ công (y tế, đường xá...). - HUMAN-TRU3]]</f>
        <v>7</v>
      </c>
      <c r="AX203" t="str">
        <f t="shared" si="100"/>
        <v>Neutral</v>
      </c>
      <c r="AY203" s="32">
        <f t="shared" si="101"/>
        <v>2</v>
      </c>
      <c r="AZ203">
        <f>step3_validation[[#This Row],[AI_TRU4]]</f>
        <v>6</v>
      </c>
      <c r="BA203" t="str">
        <f t="shared" si="102"/>
        <v>Neutral</v>
      </c>
      <c r="BB203">
        <f>survey_responses[[#This Row],[Tôi thấy Nhà nước đã giải thích rõ ràng, minh bạch về lý do và mục tiêu của việc sửa đổi thuế lần này. - HUMAN-TRU4]]</f>
        <v>8</v>
      </c>
      <c r="BC203" t="str">
        <f t="shared" si="103"/>
        <v>Support</v>
      </c>
      <c r="BD203" s="32">
        <f t="shared" si="104"/>
        <v>2</v>
      </c>
      <c r="BE203">
        <f>step3_validation[[#This Row],[AI_OUT1]]</f>
        <v>7</v>
      </c>
      <c r="BF203" t="str">
        <f t="shared" si="105"/>
        <v>Neutral</v>
      </c>
      <c r="BG203">
        <f>survey_responses[[#This Row],[Sau khi xem xét các quyền lợi và nghĩa vụ, bạn có ủng hộ và tuân thủ chính sách mới hiện nay? - HUMAN-OUT1]]</f>
        <v>8</v>
      </c>
      <c r="BH203" t="str">
        <f t="shared" si="106"/>
        <v>Support</v>
      </c>
      <c r="BI203" s="32">
        <f t="shared" si="107"/>
        <v>1</v>
      </c>
    </row>
    <row r="204" spans="1:61" x14ac:dyDescent="0.45">
      <c r="A204" s="30">
        <f>step3_validation[[#This Row],[Persona_ID]]</f>
        <v>203</v>
      </c>
      <c r="B204" s="31">
        <f>step3_validation[[#This Row],[Used_Seed]]</f>
        <v>2193</v>
      </c>
      <c r="C204" t="str">
        <f>step3_validation[[#This Row],[Gender]]</f>
        <v>Nữ</v>
      </c>
      <c r="D204" t="str">
        <f>survey_responses[[#This Row],[Giới tính của bạn:]]</f>
        <v>Nữ</v>
      </c>
      <c r="E204" t="str">
        <f>step3_validation[[#This Row],[Age_Group]]</f>
        <v>50 - 54</v>
      </c>
      <c r="F204" t="str">
        <f>survey_responses[[#This Row],[Độ tuổi của bạn:]]</f>
        <v>50 - 54</v>
      </c>
      <c r="G204" t="str">
        <f>step3_validation[[#This Row],[Region]]</f>
        <v>Thành thị</v>
      </c>
      <c r="H204" t="str">
        <f>survey_responses[[#This Row],[Khu vực bạn đang sinh sống:]]</f>
        <v>Thành thị</v>
      </c>
      <c r="I204" t="str">
        <f>step3_validation[[#This Row],[Education]]</f>
        <v>Sau Đại học</v>
      </c>
      <c r="J204" t="str">
        <f>survey_responses[[#This Row],[Trình độ học vấn cao nhất:]]</f>
        <v>Sau Đại học</v>
      </c>
      <c r="K204" t="str">
        <f>step3_validation[[#This Row],[Employment]]</f>
        <v>Chính thức</v>
      </c>
      <c r="L204" t="str">
        <f>survey_responses[[#This Row],[Tình trạng việc làm chính:]]</f>
        <v>Khu vực chính thức (Có Hợp đồng lao động, đóng BHXH)</v>
      </c>
      <c r="M204">
        <f>step3_validation[[#This Row],[Income_Mil]]</f>
        <v>196.62014524304763</v>
      </c>
      <c r="N204" t="str">
        <f>survey_responses[[#This Row],[Thu nhập bình quân tháng theo Hợp đồng lao động của bạn là bao nhiêu? (Vui lòng điền tổng thu nhập trước khi khấu trừ các loại Bảo hiểm (BHXH, BHYT, BHTN) và Thuế TNCN)]]</f>
        <v>Trên 102 triệu VNĐ</v>
      </c>
      <c r="O204">
        <f>step3_validation[[#This Row],[Dependents]]</f>
        <v>3</v>
      </c>
      <c r="P204" t="str">
        <f>survey_responses[[#This Row],[Số người phụ thuộc (con nhỏ, cha mẹ già...) đủ điều kiện giảm trừ gia cảnh:]]</f>
        <v>3 người</v>
      </c>
      <c r="Q204">
        <f>step3_validation[[#This Row],[AI_ENF1]]</f>
        <v>7</v>
      </c>
      <c r="R204" t="str">
        <f t="shared" si="81"/>
        <v>Neutral</v>
      </c>
      <c r="S204">
        <f>survey_responses[[#This Row],[Tôi tin rằng với các quy định quản lý thuế hiện nay, hành vi gian lận hoặc trốn thuế sẽ dễ dàng bị phát hiện và xử lý nghiêm. - HUMAN-ENF1]]</f>
        <v>5</v>
      </c>
      <c r="T204" t="str">
        <f t="shared" si="82"/>
        <v>Neutral</v>
      </c>
      <c r="U204" s="32">
        <f t="shared" si="83"/>
        <v>2</v>
      </c>
      <c r="V204">
        <f>step3_validation[[#This Row],[AI_ENF2]]</f>
        <v>8</v>
      </c>
      <c r="W204" t="str">
        <f t="shared" si="84"/>
        <v>Support</v>
      </c>
      <c r="X204">
        <f>survey_responses[[#This Row],[Tôi tin rằng Nhà nước, cơ quan thuế có đủ khả năng và công nghệ để phát hiện, xử lý nghiêm các hành vi trốn thuế. - HUMAN-ENF2]]</f>
        <v>5</v>
      </c>
      <c r="Y204" t="str">
        <f t="shared" si="85"/>
        <v>Neutral</v>
      </c>
      <c r="Z204" s="32">
        <f t="shared" si="86"/>
        <v>3</v>
      </c>
      <c r="AA204">
        <f>step3_validation[[#This Row],[AI_FAC1]]</f>
        <v>6</v>
      </c>
      <c r="AB204" t="str">
        <f t="shared" si="87"/>
        <v>Neutral</v>
      </c>
      <c r="AC204">
        <f>survey_responses[[#This Row],[Các thủ tục khai báo thuế VÀ/HOẶC quy trình làm việc với cơ quan thuế đơn giản, tiện lợi, nhanh chóng hơn so với trước đây. - HUMAN-FAC1]]</f>
        <v>5</v>
      </c>
      <c r="AD204" t="str">
        <f t="shared" si="88"/>
        <v>Neutral</v>
      </c>
      <c r="AE204" s="32">
        <f t="shared" si="89"/>
        <v>1</v>
      </c>
      <c r="AF204">
        <f>step3_validation[[#This Row],[AI_FAC2]]</f>
        <v>8</v>
      </c>
      <c r="AG204" t="str">
        <f t="shared" si="90"/>
        <v>Support</v>
      </c>
      <c r="AH204">
        <f>survey_responses[[#This Row],[So với trước đây, tôi thấy cách tính thuế và các bậc thuế trong phương án mới đơn giản, dễ hiểu và dễ thực hiện hơn. - HUMAN-FAC2]]</f>
        <v>5</v>
      </c>
      <c r="AI204" t="str">
        <f t="shared" si="91"/>
        <v>Neutral</v>
      </c>
      <c r="AJ204" s="32">
        <f t="shared" si="92"/>
        <v>3</v>
      </c>
      <c r="AK204">
        <f>step3_validation[[#This Row],[AI_TRU1]]</f>
        <v>6</v>
      </c>
      <c r="AL204" t="str">
        <f t="shared" si="93"/>
        <v>Neutral</v>
      </c>
      <c r="AM204">
        <f>survey_responses[[#This Row],[Tôi tin rằng Nhà nước, cơ quan thuế sẽ thực thi chính sách mới một cách khách quan, công tâm và đối xử bình đẳng với mọi người nộp thuế.  - HUMAN-TRU1]]</f>
        <v>5</v>
      </c>
      <c r="AN204" t="str">
        <f t="shared" si="94"/>
        <v>Neutral</v>
      </c>
      <c r="AO204" s="32">
        <f t="shared" si="95"/>
        <v>1</v>
      </c>
      <c r="AP204">
        <f>step3_validation[[#This Row],[AI_TRU2]]</f>
        <v>7</v>
      </c>
      <c r="AQ204" t="str">
        <f t="shared" si="96"/>
        <v>Neutral</v>
      </c>
      <c r="AR204">
        <f>survey_responses[[#This Row],[Tôi thấy mức thuế tôi phải đóng theo phương án mới là công bằng (người thu nhập như tôi đóng mức này là hợp lý). - HUMAN-TRU2]]</f>
        <v>5</v>
      </c>
      <c r="AS204" t="str">
        <f t="shared" si="97"/>
        <v>Neutral</v>
      </c>
      <c r="AT204" s="32">
        <f t="shared" si="98"/>
        <v>2</v>
      </c>
      <c r="AU204">
        <f>step3_validation[[#This Row],[AI_TRU3]]</f>
        <v>6</v>
      </c>
      <c r="AV204" t="str">
        <f t="shared" si="99"/>
        <v>Neutral</v>
      </c>
      <c r="AW204">
        <f>survey_responses[[#This Row],[Tôi tin tưởng số tiền thuế tôi đóng sẽ được Nhà nước sử dụng hiệu quả để cải thiện dịch vụ công (y tế, đường xá...). - HUMAN-TRU3]]</f>
        <v>5</v>
      </c>
      <c r="AX204" t="str">
        <f t="shared" si="100"/>
        <v>Neutral</v>
      </c>
      <c r="AY204" s="32">
        <f t="shared" si="101"/>
        <v>1</v>
      </c>
      <c r="AZ204">
        <f>step3_validation[[#This Row],[AI_TRU4]]</f>
        <v>7</v>
      </c>
      <c r="BA204" t="str">
        <f t="shared" si="102"/>
        <v>Neutral</v>
      </c>
      <c r="BB204">
        <f>survey_responses[[#This Row],[Tôi thấy Nhà nước đã giải thích rõ ràng, minh bạch về lý do và mục tiêu của việc sửa đổi thuế lần này. - HUMAN-TRU4]]</f>
        <v>5</v>
      </c>
      <c r="BC204" t="str">
        <f t="shared" si="103"/>
        <v>Neutral</v>
      </c>
      <c r="BD204" s="32">
        <f t="shared" si="104"/>
        <v>2</v>
      </c>
      <c r="BE204">
        <f>step3_validation[[#This Row],[AI_OUT1]]</f>
        <v>8</v>
      </c>
      <c r="BF204" t="str">
        <f t="shared" si="105"/>
        <v>Support</v>
      </c>
      <c r="BG204">
        <f>survey_responses[[#This Row],[Sau khi xem xét các quyền lợi và nghĩa vụ, bạn có ủng hộ và tuân thủ chính sách mới hiện nay? - HUMAN-OUT1]]</f>
        <v>5</v>
      </c>
      <c r="BH204" t="str">
        <f t="shared" si="106"/>
        <v>Neutral</v>
      </c>
      <c r="BI204" s="32">
        <f t="shared" si="107"/>
        <v>3</v>
      </c>
    </row>
    <row r="205" spans="1:61" x14ac:dyDescent="0.45">
      <c r="A205" s="30">
        <f>step3_validation[[#This Row],[Persona_ID]]</f>
        <v>204</v>
      </c>
      <c r="B205" s="31">
        <f>step3_validation[[#This Row],[Used_Seed]]</f>
        <v>2194</v>
      </c>
      <c r="C205" t="str">
        <f>step3_validation[[#This Row],[Gender]]</f>
        <v>Nữ</v>
      </c>
      <c r="D205" t="str">
        <f>survey_responses[[#This Row],[Giới tính của bạn:]]</f>
        <v>Nữ</v>
      </c>
      <c r="E205" t="str">
        <f>step3_validation[[#This Row],[Age_Group]]</f>
        <v>30 - 39</v>
      </c>
      <c r="F205" t="str">
        <f>survey_responses[[#This Row],[Độ tuổi của bạn:]]</f>
        <v>30 - 39</v>
      </c>
      <c r="G205" t="str">
        <f>step3_validation[[#This Row],[Region]]</f>
        <v>Thành thị</v>
      </c>
      <c r="H205" t="str">
        <f>survey_responses[[#This Row],[Khu vực bạn đang sinh sống:]]</f>
        <v>Thành thị</v>
      </c>
      <c r="I205" t="str">
        <f>step3_validation[[#This Row],[Education]]</f>
        <v>Đại học</v>
      </c>
      <c r="J205" t="str">
        <f>survey_responses[[#This Row],[Trình độ học vấn cao nhất:]]</f>
        <v>Đại học</v>
      </c>
      <c r="K205" t="str">
        <f>step3_validation[[#This Row],[Employment]]</f>
        <v>Chính thức</v>
      </c>
      <c r="L205" t="str">
        <f>survey_responses[[#This Row],[Tình trạng việc làm chính:]]</f>
        <v>Khu vực chính thức (Có Hợp đồng lao động, đóng BHXH)</v>
      </c>
      <c r="M205">
        <f>step3_validation[[#This Row],[Income_Mil]]</f>
        <v>39.051620371938974</v>
      </c>
      <c r="N205" t="str">
        <f>survey_responses[[#This Row],[Thu nhập bình quân tháng theo Hợp đồng lao động của bạn là bao nhiêu? (Vui lòng điền tổng thu nhập trước khi khấu trừ các loại Bảo hiểm (BHXH, BHYT, BHTN) và Thuế TNCN)]]</f>
        <v>Từ 32 - 48 triệu VNĐ</v>
      </c>
      <c r="O205">
        <f>step3_validation[[#This Row],[Dependents]]</f>
        <v>1</v>
      </c>
      <c r="P205" t="str">
        <f>survey_responses[[#This Row],[Số người phụ thuộc (con nhỏ, cha mẹ già...) đủ điều kiện giảm trừ gia cảnh:]]</f>
        <v>1 người</v>
      </c>
      <c r="Q205">
        <f>step3_validation[[#This Row],[AI_ENF1]]</f>
        <v>8</v>
      </c>
      <c r="R205" t="str">
        <f t="shared" si="81"/>
        <v>Support</v>
      </c>
      <c r="S205">
        <f>survey_responses[[#This Row],[Tôi tin rằng với các quy định quản lý thuế hiện nay, hành vi gian lận hoặc trốn thuế sẽ dễ dàng bị phát hiện và xử lý nghiêm. - HUMAN-ENF1]]</f>
        <v>7</v>
      </c>
      <c r="T205" t="str">
        <f t="shared" si="82"/>
        <v>Neutral</v>
      </c>
      <c r="U205" s="32">
        <f t="shared" si="83"/>
        <v>1</v>
      </c>
      <c r="V205">
        <f>step3_validation[[#This Row],[AI_ENF2]]</f>
        <v>7</v>
      </c>
      <c r="W205" t="str">
        <f t="shared" si="84"/>
        <v>Neutral</v>
      </c>
      <c r="X205">
        <f>survey_responses[[#This Row],[Tôi tin rằng Nhà nước, cơ quan thuế có đủ khả năng và công nghệ để phát hiện, xử lý nghiêm các hành vi trốn thuế. - HUMAN-ENF2]]</f>
        <v>7</v>
      </c>
      <c r="Y205" t="str">
        <f t="shared" si="85"/>
        <v>Neutral</v>
      </c>
      <c r="Z205" s="32">
        <f t="shared" si="86"/>
        <v>0</v>
      </c>
      <c r="AA205">
        <f>step3_validation[[#This Row],[AI_FAC1]]</f>
        <v>9</v>
      </c>
      <c r="AB205" t="str">
        <f t="shared" si="87"/>
        <v>Support</v>
      </c>
      <c r="AC205">
        <f>survey_responses[[#This Row],[Các thủ tục khai báo thuế VÀ/HOẶC quy trình làm việc với cơ quan thuế đơn giản, tiện lợi, nhanh chóng hơn so với trước đây. - HUMAN-FAC1]]</f>
        <v>7</v>
      </c>
      <c r="AD205" t="str">
        <f t="shared" si="88"/>
        <v>Neutral</v>
      </c>
      <c r="AE205" s="32">
        <f t="shared" si="89"/>
        <v>2</v>
      </c>
      <c r="AF205">
        <f>step3_validation[[#This Row],[AI_FAC2]]</f>
        <v>8</v>
      </c>
      <c r="AG205" t="str">
        <f t="shared" si="90"/>
        <v>Support</v>
      </c>
      <c r="AH205">
        <f>survey_responses[[#This Row],[So với trước đây, tôi thấy cách tính thuế và các bậc thuế trong phương án mới đơn giản, dễ hiểu và dễ thực hiện hơn. - HUMAN-FAC2]]</f>
        <v>8</v>
      </c>
      <c r="AI205" t="str">
        <f t="shared" si="91"/>
        <v>Support</v>
      </c>
      <c r="AJ205" s="32">
        <f t="shared" si="92"/>
        <v>0</v>
      </c>
      <c r="AK205">
        <f>step3_validation[[#This Row],[AI_TRU1]]</f>
        <v>7</v>
      </c>
      <c r="AL205" t="str">
        <f t="shared" si="93"/>
        <v>Neutral</v>
      </c>
      <c r="AM205">
        <f>survey_responses[[#This Row],[Tôi tin rằng Nhà nước, cơ quan thuế sẽ thực thi chính sách mới một cách khách quan, công tâm và đối xử bình đẳng với mọi người nộp thuế.  - HUMAN-TRU1]]</f>
        <v>7</v>
      </c>
      <c r="AN205" t="str">
        <f t="shared" si="94"/>
        <v>Neutral</v>
      </c>
      <c r="AO205" s="32">
        <f t="shared" si="95"/>
        <v>0</v>
      </c>
      <c r="AP205">
        <f>step3_validation[[#This Row],[AI_TRU2]]</f>
        <v>6</v>
      </c>
      <c r="AQ205" t="str">
        <f t="shared" si="96"/>
        <v>Neutral</v>
      </c>
      <c r="AR205">
        <f>survey_responses[[#This Row],[Tôi thấy mức thuế tôi phải đóng theo phương án mới là công bằng (người thu nhập như tôi đóng mức này là hợp lý). - HUMAN-TRU2]]</f>
        <v>7</v>
      </c>
      <c r="AS205" t="str">
        <f t="shared" si="97"/>
        <v>Neutral</v>
      </c>
      <c r="AT205" s="32">
        <f t="shared" si="98"/>
        <v>1</v>
      </c>
      <c r="AU205">
        <f>step3_validation[[#This Row],[AI_TRU3]]</f>
        <v>7</v>
      </c>
      <c r="AV205" t="str">
        <f t="shared" si="99"/>
        <v>Neutral</v>
      </c>
      <c r="AW205">
        <f>survey_responses[[#This Row],[Tôi tin tưởng số tiền thuế tôi đóng sẽ được Nhà nước sử dụng hiệu quả để cải thiện dịch vụ công (y tế, đường xá...). - HUMAN-TRU3]]</f>
        <v>7</v>
      </c>
      <c r="AX205" t="str">
        <f t="shared" si="100"/>
        <v>Neutral</v>
      </c>
      <c r="AY205" s="32">
        <f t="shared" si="101"/>
        <v>0</v>
      </c>
      <c r="AZ205">
        <f>step3_validation[[#This Row],[AI_TRU4]]</f>
        <v>5</v>
      </c>
      <c r="BA205" t="str">
        <f t="shared" si="102"/>
        <v>Neutral</v>
      </c>
      <c r="BB205">
        <f>survey_responses[[#This Row],[Tôi thấy Nhà nước đã giải thích rõ ràng, minh bạch về lý do và mục tiêu của việc sửa đổi thuế lần này. - HUMAN-TRU4]]</f>
        <v>7</v>
      </c>
      <c r="BC205" t="str">
        <f t="shared" si="103"/>
        <v>Neutral</v>
      </c>
      <c r="BD205" s="32">
        <f t="shared" si="104"/>
        <v>2</v>
      </c>
      <c r="BE205">
        <f>step3_validation[[#This Row],[AI_OUT1]]</f>
        <v>8</v>
      </c>
      <c r="BF205" t="str">
        <f t="shared" si="105"/>
        <v>Support</v>
      </c>
      <c r="BG205">
        <f>survey_responses[[#This Row],[Sau khi xem xét các quyền lợi và nghĩa vụ, bạn có ủng hộ và tuân thủ chính sách mới hiện nay? - HUMAN-OUT1]]</f>
        <v>7</v>
      </c>
      <c r="BH205" t="str">
        <f t="shared" si="106"/>
        <v>Neutral</v>
      </c>
      <c r="BI205" s="32">
        <f t="shared" si="107"/>
        <v>1</v>
      </c>
    </row>
    <row r="206" spans="1:61" x14ac:dyDescent="0.45">
      <c r="A206" s="30">
        <f>step3_validation[[#This Row],[Persona_ID]]</f>
        <v>205</v>
      </c>
      <c r="B206" s="31">
        <f>step3_validation[[#This Row],[Used_Seed]]</f>
        <v>2195</v>
      </c>
      <c r="C206" t="str">
        <f>step3_validation[[#This Row],[Gender]]</f>
        <v>Nữ</v>
      </c>
      <c r="D206" t="str">
        <f>survey_responses[[#This Row],[Giới tính của bạn:]]</f>
        <v>Nữ</v>
      </c>
      <c r="E206" t="str">
        <f>step3_validation[[#This Row],[Age_Group]]</f>
        <v>30 - 39</v>
      </c>
      <c r="F206" t="str">
        <f>survey_responses[[#This Row],[Độ tuổi của bạn:]]</f>
        <v>30 - 39</v>
      </c>
      <c r="G206" t="str">
        <f>step3_validation[[#This Row],[Region]]</f>
        <v>Thành thị</v>
      </c>
      <c r="H206" t="str">
        <f>survey_responses[[#This Row],[Khu vực bạn đang sinh sống:]]</f>
        <v>Thành thị</v>
      </c>
      <c r="I206" t="str">
        <f>step3_validation[[#This Row],[Education]]</f>
        <v>Sau Đại học</v>
      </c>
      <c r="J206" t="str">
        <f>survey_responses[[#This Row],[Trình độ học vấn cao nhất:]]</f>
        <v>Sau Đại học</v>
      </c>
      <c r="K206" t="str">
        <f>step3_validation[[#This Row],[Employment]]</f>
        <v>Chính thức</v>
      </c>
      <c r="L206" t="str">
        <f>survey_responses[[#This Row],[Tình trạng việc làm chính:]]</f>
        <v>Khu vực chính thức (Có Hợp đồng lao động, đóng BHXH)</v>
      </c>
      <c r="M206">
        <f>step3_validation[[#This Row],[Income_Mil]]</f>
        <v>28.020819496571374</v>
      </c>
      <c r="N206" t="str">
        <f>survey_responses[[#This Row],[Thu nhập bình quân tháng theo Hợp đồng lao động của bạn là bao nhiêu? (Vui lòng điền tổng thu nhập trước khi khấu trừ các loại Bảo hiểm (BHXH, BHYT, BHTN) và Thuế TNCN)]]</f>
        <v>Từ 23 - 32 triệu VNĐ</v>
      </c>
      <c r="O206">
        <f>step3_validation[[#This Row],[Dependents]]</f>
        <v>0</v>
      </c>
      <c r="P206" t="str">
        <f>survey_responses[[#This Row],[Số người phụ thuộc (con nhỏ, cha mẹ già...) đủ điều kiện giảm trừ gia cảnh:]]</f>
        <v>0 người</v>
      </c>
      <c r="Q206">
        <f>step3_validation[[#This Row],[AI_ENF1]]</f>
        <v>8</v>
      </c>
      <c r="R206" t="str">
        <f t="shared" si="81"/>
        <v>Support</v>
      </c>
      <c r="S206">
        <f>survey_responses[[#This Row],[Tôi tin rằng với các quy định quản lý thuế hiện nay, hành vi gian lận hoặc trốn thuế sẽ dễ dàng bị phát hiện và xử lý nghiêm. - HUMAN-ENF1]]</f>
        <v>3</v>
      </c>
      <c r="T206" t="str">
        <f t="shared" si="82"/>
        <v>Oppose</v>
      </c>
      <c r="U206" s="32">
        <f t="shared" si="83"/>
        <v>5</v>
      </c>
      <c r="V206">
        <f>step3_validation[[#This Row],[AI_ENF2]]</f>
        <v>9</v>
      </c>
      <c r="W206" t="str">
        <f t="shared" si="84"/>
        <v>Support</v>
      </c>
      <c r="X206">
        <f>survey_responses[[#This Row],[Tôi tin rằng Nhà nước, cơ quan thuế có đủ khả năng và công nghệ để phát hiện, xử lý nghiêm các hành vi trốn thuế. - HUMAN-ENF2]]</f>
        <v>1</v>
      </c>
      <c r="Y206" t="str">
        <f t="shared" si="85"/>
        <v>Oppose</v>
      </c>
      <c r="Z206" s="32">
        <f t="shared" si="86"/>
        <v>8</v>
      </c>
      <c r="AA206">
        <f>step3_validation[[#This Row],[AI_FAC1]]</f>
        <v>8</v>
      </c>
      <c r="AB206" t="str">
        <f t="shared" si="87"/>
        <v>Support</v>
      </c>
      <c r="AC206">
        <f>survey_responses[[#This Row],[Các thủ tục khai báo thuế VÀ/HOẶC quy trình làm việc với cơ quan thuế đơn giản, tiện lợi, nhanh chóng hơn so với trước đây. - HUMAN-FAC1]]</f>
        <v>1</v>
      </c>
      <c r="AD206" t="str">
        <f t="shared" si="88"/>
        <v>Oppose</v>
      </c>
      <c r="AE206" s="32">
        <f t="shared" si="89"/>
        <v>7</v>
      </c>
      <c r="AF206">
        <f>step3_validation[[#This Row],[AI_FAC2]]</f>
        <v>7</v>
      </c>
      <c r="AG206" t="str">
        <f t="shared" si="90"/>
        <v>Neutral</v>
      </c>
      <c r="AH206">
        <f>survey_responses[[#This Row],[So với trước đây, tôi thấy cách tính thuế và các bậc thuế trong phương án mới đơn giản, dễ hiểu và dễ thực hiện hơn. - HUMAN-FAC2]]</f>
        <v>5</v>
      </c>
      <c r="AI206" t="str">
        <f t="shared" si="91"/>
        <v>Neutral</v>
      </c>
      <c r="AJ206" s="32">
        <f t="shared" si="92"/>
        <v>2</v>
      </c>
      <c r="AK206">
        <f>step3_validation[[#This Row],[AI_TRU1]]</f>
        <v>8</v>
      </c>
      <c r="AL206" t="str">
        <f t="shared" si="93"/>
        <v>Support</v>
      </c>
      <c r="AM206">
        <f>survey_responses[[#This Row],[Tôi tin rằng Nhà nước, cơ quan thuế sẽ thực thi chính sách mới một cách khách quan, công tâm và đối xử bình đẳng với mọi người nộp thuế.  - HUMAN-TRU1]]</f>
        <v>1</v>
      </c>
      <c r="AN206" t="str">
        <f t="shared" si="94"/>
        <v>Oppose</v>
      </c>
      <c r="AO206" s="32">
        <f t="shared" si="95"/>
        <v>7</v>
      </c>
      <c r="AP206">
        <f>step3_validation[[#This Row],[AI_TRU2]]</f>
        <v>6</v>
      </c>
      <c r="AQ206" t="str">
        <f t="shared" si="96"/>
        <v>Neutral</v>
      </c>
      <c r="AR206">
        <f>survey_responses[[#This Row],[Tôi thấy mức thuế tôi phải đóng theo phương án mới là công bằng (người thu nhập như tôi đóng mức này là hợp lý). - HUMAN-TRU2]]</f>
        <v>1</v>
      </c>
      <c r="AS206" t="str">
        <f t="shared" si="97"/>
        <v>Oppose</v>
      </c>
      <c r="AT206" s="32">
        <f t="shared" si="98"/>
        <v>5</v>
      </c>
      <c r="AU206">
        <f>step3_validation[[#This Row],[AI_TRU3]]</f>
        <v>7</v>
      </c>
      <c r="AV206" t="str">
        <f t="shared" si="99"/>
        <v>Neutral</v>
      </c>
      <c r="AW206">
        <f>survey_responses[[#This Row],[Tôi tin tưởng số tiền thuế tôi đóng sẽ được Nhà nước sử dụng hiệu quả để cải thiện dịch vụ công (y tế, đường xá...). - HUMAN-TRU3]]</f>
        <v>1</v>
      </c>
      <c r="AX206" t="str">
        <f t="shared" si="100"/>
        <v>Oppose</v>
      </c>
      <c r="AY206" s="32">
        <f t="shared" si="101"/>
        <v>6</v>
      </c>
      <c r="AZ206">
        <f>step3_validation[[#This Row],[AI_TRU4]]</f>
        <v>5</v>
      </c>
      <c r="BA206" t="str">
        <f t="shared" si="102"/>
        <v>Neutral</v>
      </c>
      <c r="BB206">
        <f>survey_responses[[#This Row],[Tôi thấy Nhà nước đã giải thích rõ ràng, minh bạch về lý do và mục tiêu của việc sửa đổi thuế lần này. - HUMAN-TRU4]]</f>
        <v>4</v>
      </c>
      <c r="BC206" t="str">
        <f t="shared" si="103"/>
        <v>Oppose</v>
      </c>
      <c r="BD206" s="32">
        <f t="shared" si="104"/>
        <v>1</v>
      </c>
      <c r="BE206">
        <f>step3_validation[[#This Row],[AI_OUT1]]</f>
        <v>7</v>
      </c>
      <c r="BF206" t="str">
        <f t="shared" si="105"/>
        <v>Neutral</v>
      </c>
      <c r="BG206">
        <f>survey_responses[[#This Row],[Sau khi xem xét các quyền lợi và nghĩa vụ, bạn có ủng hộ và tuân thủ chính sách mới hiện nay? - HUMAN-OUT1]]</f>
        <v>5</v>
      </c>
      <c r="BH206" t="str">
        <f t="shared" si="106"/>
        <v>Neutral</v>
      </c>
      <c r="BI206" s="32">
        <f t="shared" si="107"/>
        <v>2</v>
      </c>
    </row>
    <row r="207" spans="1:61" x14ac:dyDescent="0.45">
      <c r="A207" s="30">
        <f>step3_validation[[#This Row],[Persona_ID]]</f>
        <v>206</v>
      </c>
      <c r="B207" s="31">
        <f>step3_validation[[#This Row],[Used_Seed]]</f>
        <v>2196</v>
      </c>
      <c r="C207" t="str">
        <f>step3_validation[[#This Row],[Gender]]</f>
        <v>Nữ</v>
      </c>
      <c r="D207" t="str">
        <f>survey_responses[[#This Row],[Giới tính của bạn:]]</f>
        <v>Nữ</v>
      </c>
      <c r="E207" t="str">
        <f>step3_validation[[#This Row],[Age_Group]]</f>
        <v>40 - 49</v>
      </c>
      <c r="F207" t="str">
        <f>survey_responses[[#This Row],[Độ tuổi của bạn:]]</f>
        <v>40 - 49</v>
      </c>
      <c r="G207" t="str">
        <f>step3_validation[[#This Row],[Region]]</f>
        <v>Thành thị</v>
      </c>
      <c r="H207" t="str">
        <f>survey_responses[[#This Row],[Khu vực bạn đang sinh sống:]]</f>
        <v>Thành thị</v>
      </c>
      <c r="I207" t="str">
        <f>step3_validation[[#This Row],[Education]]</f>
        <v>Đại học</v>
      </c>
      <c r="J207" t="str">
        <f>survey_responses[[#This Row],[Trình độ học vấn cao nhất:]]</f>
        <v>Đại học</v>
      </c>
      <c r="K207" t="str">
        <f>step3_validation[[#This Row],[Employment]]</f>
        <v>Chính thức</v>
      </c>
      <c r="L207" t="str">
        <f>survey_responses[[#This Row],[Tình trạng việc làm chính:]]</f>
        <v>Khu vực chính thức (Có Hợp đồng lao động, đóng BHXH)</v>
      </c>
      <c r="M207">
        <f>step3_validation[[#This Row],[Income_Mil]]</f>
        <v>67.334763590608418</v>
      </c>
      <c r="N207" t="str">
        <f>survey_responses[[#This Row],[Thu nhập bình quân tháng theo Hợp đồng lao động của bạn là bao nhiêu? (Vui lòng điền tổng thu nhập trước khi khấu trừ các loại Bảo hiểm (BHXH, BHYT, BHTN) và Thuế TNCN)]]</f>
        <v>Từ 48 - 70 triệu VNĐ</v>
      </c>
      <c r="O207">
        <f>step3_validation[[#This Row],[Dependents]]</f>
        <v>1</v>
      </c>
      <c r="P207" t="str">
        <f>survey_responses[[#This Row],[Số người phụ thuộc (con nhỏ, cha mẹ già...) đủ điều kiện giảm trừ gia cảnh:]]</f>
        <v>1 người</v>
      </c>
      <c r="Q207">
        <f>step3_validation[[#This Row],[AI_ENF1]]</f>
        <v>7</v>
      </c>
      <c r="R207" t="str">
        <f t="shared" si="81"/>
        <v>Neutral</v>
      </c>
      <c r="S207">
        <f>survey_responses[[#This Row],[Tôi tin rằng với các quy định quản lý thuế hiện nay, hành vi gian lận hoặc trốn thuế sẽ dễ dàng bị phát hiện và xử lý nghiêm. - HUMAN-ENF1]]</f>
        <v>8</v>
      </c>
      <c r="T207" t="str">
        <f t="shared" si="82"/>
        <v>Support</v>
      </c>
      <c r="U207" s="32">
        <f t="shared" si="83"/>
        <v>1</v>
      </c>
      <c r="V207">
        <f>step3_validation[[#This Row],[AI_ENF2]]</f>
        <v>6</v>
      </c>
      <c r="W207" t="str">
        <f t="shared" si="84"/>
        <v>Neutral</v>
      </c>
      <c r="X207">
        <f>survey_responses[[#This Row],[Tôi tin rằng Nhà nước, cơ quan thuế có đủ khả năng và công nghệ để phát hiện, xử lý nghiêm các hành vi trốn thuế. - HUMAN-ENF2]]</f>
        <v>8</v>
      </c>
      <c r="Y207" t="str">
        <f t="shared" si="85"/>
        <v>Support</v>
      </c>
      <c r="Z207" s="32">
        <f t="shared" si="86"/>
        <v>2</v>
      </c>
      <c r="AA207">
        <f>step3_validation[[#This Row],[AI_FAC1]]</f>
        <v>9</v>
      </c>
      <c r="AB207" t="str">
        <f t="shared" si="87"/>
        <v>Support</v>
      </c>
      <c r="AC207">
        <f>survey_responses[[#This Row],[Các thủ tục khai báo thuế VÀ/HOẶC quy trình làm việc với cơ quan thuế đơn giản, tiện lợi, nhanh chóng hơn so với trước đây. - HUMAN-FAC1]]</f>
        <v>5</v>
      </c>
      <c r="AD207" t="str">
        <f t="shared" si="88"/>
        <v>Neutral</v>
      </c>
      <c r="AE207" s="32">
        <f t="shared" si="89"/>
        <v>4</v>
      </c>
      <c r="AF207">
        <f>step3_validation[[#This Row],[AI_FAC2]]</f>
        <v>8</v>
      </c>
      <c r="AG207" t="str">
        <f t="shared" si="90"/>
        <v>Support</v>
      </c>
      <c r="AH207">
        <f>survey_responses[[#This Row],[So với trước đây, tôi thấy cách tính thuế và các bậc thuế trong phương án mới đơn giản, dễ hiểu và dễ thực hiện hơn. - HUMAN-FAC2]]</f>
        <v>7</v>
      </c>
      <c r="AI207" t="str">
        <f t="shared" si="91"/>
        <v>Neutral</v>
      </c>
      <c r="AJ207" s="32">
        <f t="shared" si="92"/>
        <v>1</v>
      </c>
      <c r="AK207">
        <f>step3_validation[[#This Row],[AI_TRU1]]</f>
        <v>6</v>
      </c>
      <c r="AL207" t="str">
        <f t="shared" si="93"/>
        <v>Neutral</v>
      </c>
      <c r="AM207">
        <f>survey_responses[[#This Row],[Tôi tin rằng Nhà nước, cơ quan thuế sẽ thực thi chính sách mới một cách khách quan, công tâm và đối xử bình đẳng với mọi người nộp thuế.  - HUMAN-TRU1]]</f>
        <v>7</v>
      </c>
      <c r="AN207" t="str">
        <f t="shared" si="94"/>
        <v>Neutral</v>
      </c>
      <c r="AO207" s="32">
        <f t="shared" si="95"/>
        <v>1</v>
      </c>
      <c r="AP207">
        <f>step3_validation[[#This Row],[AI_TRU2]]</f>
        <v>6</v>
      </c>
      <c r="AQ207" t="str">
        <f t="shared" si="96"/>
        <v>Neutral</v>
      </c>
      <c r="AR207">
        <f>survey_responses[[#This Row],[Tôi thấy mức thuế tôi phải đóng theo phương án mới là công bằng (người thu nhập như tôi đóng mức này là hợp lý). - HUMAN-TRU2]]</f>
        <v>6</v>
      </c>
      <c r="AS207" t="str">
        <f t="shared" si="97"/>
        <v>Neutral</v>
      </c>
      <c r="AT207" s="32">
        <f t="shared" si="98"/>
        <v>0</v>
      </c>
      <c r="AU207">
        <f>step3_validation[[#This Row],[AI_TRU3]]</f>
        <v>6</v>
      </c>
      <c r="AV207" t="str">
        <f t="shared" si="99"/>
        <v>Neutral</v>
      </c>
      <c r="AW207">
        <f>survey_responses[[#This Row],[Tôi tin tưởng số tiền thuế tôi đóng sẽ được Nhà nước sử dụng hiệu quả để cải thiện dịch vụ công (y tế, đường xá...). - HUMAN-TRU3]]</f>
        <v>6</v>
      </c>
      <c r="AX207" t="str">
        <f t="shared" si="100"/>
        <v>Neutral</v>
      </c>
      <c r="AY207" s="32">
        <f t="shared" si="101"/>
        <v>0</v>
      </c>
      <c r="AZ207">
        <f>step3_validation[[#This Row],[AI_TRU4]]</f>
        <v>6</v>
      </c>
      <c r="BA207" t="str">
        <f t="shared" si="102"/>
        <v>Neutral</v>
      </c>
      <c r="BB207">
        <f>survey_responses[[#This Row],[Tôi thấy Nhà nước đã giải thích rõ ràng, minh bạch về lý do và mục tiêu của việc sửa đổi thuế lần này. - HUMAN-TRU4]]</f>
        <v>7</v>
      </c>
      <c r="BC207" t="str">
        <f t="shared" si="103"/>
        <v>Neutral</v>
      </c>
      <c r="BD207" s="32">
        <f t="shared" si="104"/>
        <v>1</v>
      </c>
      <c r="BE207">
        <f>step3_validation[[#This Row],[AI_OUT1]]</f>
        <v>6</v>
      </c>
      <c r="BF207" t="str">
        <f t="shared" si="105"/>
        <v>Neutral</v>
      </c>
      <c r="BG207">
        <f>survey_responses[[#This Row],[Sau khi xem xét các quyền lợi và nghĩa vụ, bạn có ủng hộ và tuân thủ chính sách mới hiện nay? - HUMAN-OUT1]]</f>
        <v>7</v>
      </c>
      <c r="BH207" t="str">
        <f t="shared" si="106"/>
        <v>Neutral</v>
      </c>
      <c r="BI207" s="32">
        <f t="shared" si="107"/>
        <v>1</v>
      </c>
    </row>
    <row r="208" spans="1:61" x14ac:dyDescent="0.45">
      <c r="A208" s="30">
        <f>step3_validation[[#This Row],[Persona_ID]]</f>
        <v>207</v>
      </c>
      <c r="B208" s="31">
        <f>step3_validation[[#This Row],[Used_Seed]]</f>
        <v>2197</v>
      </c>
      <c r="C208" t="str">
        <f>step3_validation[[#This Row],[Gender]]</f>
        <v>Nam</v>
      </c>
      <c r="D208" t="str">
        <f>survey_responses[[#This Row],[Giới tính của bạn:]]</f>
        <v>Nam</v>
      </c>
      <c r="E208" t="str">
        <f>step3_validation[[#This Row],[Age_Group]]</f>
        <v>30 - 39</v>
      </c>
      <c r="F208" t="str">
        <f>survey_responses[[#This Row],[Độ tuổi của bạn:]]</f>
        <v>30 - 39</v>
      </c>
      <c r="G208" t="str">
        <f>step3_validation[[#This Row],[Region]]</f>
        <v>Thành thị</v>
      </c>
      <c r="H208" t="str">
        <f>survey_responses[[#This Row],[Khu vực bạn đang sinh sống:]]</f>
        <v>Thành thị</v>
      </c>
      <c r="I208" t="str">
        <f>step3_validation[[#This Row],[Education]]</f>
        <v>Đại học</v>
      </c>
      <c r="J208" t="str">
        <f>survey_responses[[#This Row],[Trình độ học vấn cao nhất:]]</f>
        <v>Đại học</v>
      </c>
      <c r="K208" t="str">
        <f>step3_validation[[#This Row],[Employment]]</f>
        <v>Chính thức</v>
      </c>
      <c r="L208" t="str">
        <f>survey_responses[[#This Row],[Tình trạng việc làm chính:]]</f>
        <v>Khu vực chính thức (Có Hợp đồng lao động, đóng BHXH)</v>
      </c>
      <c r="M208">
        <f>step3_validation[[#This Row],[Income_Mil]]</f>
        <v>60.262001971001808</v>
      </c>
      <c r="N208" t="str">
        <f>survey_responses[[#This Row],[Thu nhập bình quân tháng theo Hợp đồng lao động của bạn là bao nhiêu? (Vui lòng điền tổng thu nhập trước khi khấu trừ các loại Bảo hiểm (BHXH, BHYT, BHTN) và Thuế TNCN)]]</f>
        <v>Từ 48 - 70 triệu VNĐ</v>
      </c>
      <c r="O208">
        <f>step3_validation[[#This Row],[Dependents]]</f>
        <v>2</v>
      </c>
      <c r="P208" t="str">
        <f>survey_responses[[#This Row],[Số người phụ thuộc (con nhỏ, cha mẹ già...) đủ điều kiện giảm trừ gia cảnh:]]</f>
        <v>2 người</v>
      </c>
      <c r="Q208">
        <f>step3_validation[[#This Row],[AI_ENF1]]</f>
        <v>8</v>
      </c>
      <c r="R208" t="str">
        <f t="shared" si="81"/>
        <v>Support</v>
      </c>
      <c r="S208">
        <f>survey_responses[[#This Row],[Tôi tin rằng với các quy định quản lý thuế hiện nay, hành vi gian lận hoặc trốn thuế sẽ dễ dàng bị phát hiện và xử lý nghiêm. - HUMAN-ENF1]]</f>
        <v>4</v>
      </c>
      <c r="T208" t="str">
        <f t="shared" si="82"/>
        <v>Oppose</v>
      </c>
      <c r="U208" s="32">
        <f t="shared" si="83"/>
        <v>4</v>
      </c>
      <c r="V208">
        <f>step3_validation[[#This Row],[AI_ENF2]]</f>
        <v>7</v>
      </c>
      <c r="W208" t="str">
        <f t="shared" si="84"/>
        <v>Neutral</v>
      </c>
      <c r="X208">
        <f>survey_responses[[#This Row],[Tôi tin rằng Nhà nước, cơ quan thuế có đủ khả năng và công nghệ để phát hiện, xử lý nghiêm các hành vi trốn thuế. - HUMAN-ENF2]]</f>
        <v>3</v>
      </c>
      <c r="Y208" t="str">
        <f t="shared" si="85"/>
        <v>Oppose</v>
      </c>
      <c r="Z208" s="32">
        <f t="shared" si="86"/>
        <v>4</v>
      </c>
      <c r="AA208">
        <f>step3_validation[[#This Row],[AI_FAC1]]</f>
        <v>9</v>
      </c>
      <c r="AB208" t="str">
        <f t="shared" si="87"/>
        <v>Support</v>
      </c>
      <c r="AC208">
        <f>survey_responses[[#This Row],[Các thủ tục khai báo thuế VÀ/HOẶC quy trình làm việc với cơ quan thuế đơn giản, tiện lợi, nhanh chóng hơn so với trước đây. - HUMAN-FAC1]]</f>
        <v>1</v>
      </c>
      <c r="AD208" t="str">
        <f t="shared" si="88"/>
        <v>Oppose</v>
      </c>
      <c r="AE208" s="32">
        <f t="shared" si="89"/>
        <v>8</v>
      </c>
      <c r="AF208">
        <f>step3_validation[[#This Row],[AI_FAC2]]</f>
        <v>8</v>
      </c>
      <c r="AG208" t="str">
        <f t="shared" si="90"/>
        <v>Support</v>
      </c>
      <c r="AH208">
        <f>survey_responses[[#This Row],[So với trước đây, tôi thấy cách tính thuế và các bậc thuế trong phương án mới đơn giản, dễ hiểu và dễ thực hiện hơn. - HUMAN-FAC2]]</f>
        <v>2</v>
      </c>
      <c r="AI208" t="str">
        <f t="shared" si="91"/>
        <v>Oppose</v>
      </c>
      <c r="AJ208" s="32">
        <f t="shared" si="92"/>
        <v>6</v>
      </c>
      <c r="AK208">
        <f>step3_validation[[#This Row],[AI_TRU1]]</f>
        <v>7</v>
      </c>
      <c r="AL208" t="str">
        <f t="shared" si="93"/>
        <v>Neutral</v>
      </c>
      <c r="AM208">
        <f>survey_responses[[#This Row],[Tôi tin rằng Nhà nước, cơ quan thuế sẽ thực thi chính sách mới một cách khách quan, công tâm và đối xử bình đẳng với mọi người nộp thuế.  - HUMAN-TRU1]]</f>
        <v>1</v>
      </c>
      <c r="AN208" t="str">
        <f t="shared" si="94"/>
        <v>Oppose</v>
      </c>
      <c r="AO208" s="32">
        <f t="shared" si="95"/>
        <v>6</v>
      </c>
      <c r="AP208">
        <f>step3_validation[[#This Row],[AI_TRU2]]</f>
        <v>8</v>
      </c>
      <c r="AQ208" t="str">
        <f t="shared" si="96"/>
        <v>Support</v>
      </c>
      <c r="AR208">
        <f>survey_responses[[#This Row],[Tôi thấy mức thuế tôi phải đóng theo phương án mới là công bằng (người thu nhập như tôi đóng mức này là hợp lý). - HUMAN-TRU2]]</f>
        <v>1</v>
      </c>
      <c r="AS208" t="str">
        <f t="shared" si="97"/>
        <v>Oppose</v>
      </c>
      <c r="AT208" s="32">
        <f t="shared" si="98"/>
        <v>7</v>
      </c>
      <c r="AU208">
        <f>step3_validation[[#This Row],[AI_TRU3]]</f>
        <v>7</v>
      </c>
      <c r="AV208" t="str">
        <f t="shared" si="99"/>
        <v>Neutral</v>
      </c>
      <c r="AW208">
        <f>survey_responses[[#This Row],[Tôi tin tưởng số tiền thuế tôi đóng sẽ được Nhà nước sử dụng hiệu quả để cải thiện dịch vụ công (y tế, đường xá...). - HUMAN-TRU3]]</f>
        <v>1</v>
      </c>
      <c r="AX208" t="str">
        <f t="shared" si="100"/>
        <v>Oppose</v>
      </c>
      <c r="AY208" s="32">
        <f t="shared" si="101"/>
        <v>6</v>
      </c>
      <c r="AZ208">
        <f>step3_validation[[#This Row],[AI_TRU4]]</f>
        <v>6</v>
      </c>
      <c r="BA208" t="str">
        <f t="shared" si="102"/>
        <v>Neutral</v>
      </c>
      <c r="BB208">
        <f>survey_responses[[#This Row],[Tôi thấy Nhà nước đã giải thích rõ ràng, minh bạch về lý do và mục tiêu của việc sửa đổi thuế lần này. - HUMAN-TRU4]]</f>
        <v>4</v>
      </c>
      <c r="BC208" t="str">
        <f t="shared" si="103"/>
        <v>Oppose</v>
      </c>
      <c r="BD208" s="32">
        <f t="shared" si="104"/>
        <v>2</v>
      </c>
      <c r="BE208">
        <f>step3_validation[[#This Row],[AI_OUT1]]</f>
        <v>7</v>
      </c>
      <c r="BF208" t="str">
        <f t="shared" si="105"/>
        <v>Neutral</v>
      </c>
      <c r="BG208">
        <f>survey_responses[[#This Row],[Sau khi xem xét các quyền lợi và nghĩa vụ, bạn có ủng hộ và tuân thủ chính sách mới hiện nay? - HUMAN-OUT1]]</f>
        <v>2</v>
      </c>
      <c r="BH208" t="str">
        <f t="shared" si="106"/>
        <v>Oppose</v>
      </c>
      <c r="BI208" s="32">
        <f t="shared" si="107"/>
        <v>5</v>
      </c>
    </row>
    <row r="209" spans="1:61" x14ac:dyDescent="0.45">
      <c r="A209" s="30">
        <f>step3_validation[[#This Row],[Persona_ID]]</f>
        <v>208</v>
      </c>
      <c r="B209" s="31">
        <f>step3_validation[[#This Row],[Used_Seed]]</f>
        <v>2198</v>
      </c>
      <c r="C209" t="str">
        <f>step3_validation[[#This Row],[Gender]]</f>
        <v>Nữ</v>
      </c>
      <c r="D209" t="str">
        <f>survey_responses[[#This Row],[Giới tính của bạn:]]</f>
        <v>Nữ</v>
      </c>
      <c r="E209" t="str">
        <f>step3_validation[[#This Row],[Age_Group]]</f>
        <v>30 - 39</v>
      </c>
      <c r="F209" t="str">
        <f>survey_responses[[#This Row],[Độ tuổi của bạn:]]</f>
        <v>30 - 39</v>
      </c>
      <c r="G209" t="str">
        <f>step3_validation[[#This Row],[Region]]</f>
        <v>Thành thị</v>
      </c>
      <c r="H209" t="str">
        <f>survey_responses[[#This Row],[Khu vực bạn đang sinh sống:]]</f>
        <v>Thành thị</v>
      </c>
      <c r="I209" t="str">
        <f>step3_validation[[#This Row],[Education]]</f>
        <v>Sau Đại học</v>
      </c>
      <c r="J209" t="str">
        <f>survey_responses[[#This Row],[Trình độ học vấn cao nhất:]]</f>
        <v>Sau Đại học</v>
      </c>
      <c r="K209" t="str">
        <f>step3_validation[[#This Row],[Employment]]</f>
        <v>Chính thức</v>
      </c>
      <c r="L209" t="str">
        <f>survey_responses[[#This Row],[Tình trạng việc làm chính:]]</f>
        <v>Khu vực chính thức (Có Hợp đồng lao động, đóng BHXH)</v>
      </c>
      <c r="M209">
        <f>step3_validation[[#This Row],[Income_Mil]]</f>
        <v>46.752900936072265</v>
      </c>
      <c r="N209" t="str">
        <f>survey_responses[[#This Row],[Thu nhập bình quân tháng theo Hợp đồng lao động của bạn là bao nhiêu? (Vui lòng điền tổng thu nhập trước khi khấu trừ các loại Bảo hiểm (BHXH, BHYT, BHTN) và Thuế TNCN)]]</f>
        <v>Từ 32 - 48 triệu VNĐ</v>
      </c>
      <c r="O209">
        <f>step3_validation[[#This Row],[Dependents]]</f>
        <v>1</v>
      </c>
      <c r="P209" t="str">
        <f>survey_responses[[#This Row],[Số người phụ thuộc (con nhỏ, cha mẹ già...) đủ điều kiện giảm trừ gia cảnh:]]</f>
        <v>1 người</v>
      </c>
      <c r="Q209">
        <f>step3_validation[[#This Row],[AI_ENF1]]</f>
        <v>7</v>
      </c>
      <c r="R209" t="str">
        <f t="shared" si="81"/>
        <v>Neutral</v>
      </c>
      <c r="S209">
        <f>survey_responses[[#This Row],[Tôi tin rằng với các quy định quản lý thuế hiện nay, hành vi gian lận hoặc trốn thuế sẽ dễ dàng bị phát hiện và xử lý nghiêm. - HUMAN-ENF1]]</f>
        <v>7</v>
      </c>
      <c r="T209" t="str">
        <f t="shared" si="82"/>
        <v>Neutral</v>
      </c>
      <c r="U209" s="32">
        <f t="shared" si="83"/>
        <v>0</v>
      </c>
      <c r="V209">
        <f>step3_validation[[#This Row],[AI_ENF2]]</f>
        <v>8</v>
      </c>
      <c r="W209" t="str">
        <f t="shared" si="84"/>
        <v>Support</v>
      </c>
      <c r="X209">
        <f>survey_responses[[#This Row],[Tôi tin rằng Nhà nước, cơ quan thuế có đủ khả năng và công nghệ để phát hiện, xử lý nghiêm các hành vi trốn thuế. - HUMAN-ENF2]]</f>
        <v>8</v>
      </c>
      <c r="Y209" t="str">
        <f t="shared" si="85"/>
        <v>Support</v>
      </c>
      <c r="Z209" s="32">
        <f t="shared" si="86"/>
        <v>0</v>
      </c>
      <c r="AA209">
        <f>step3_validation[[#This Row],[AI_FAC1]]</f>
        <v>6</v>
      </c>
      <c r="AB209" t="str">
        <f t="shared" si="87"/>
        <v>Neutral</v>
      </c>
      <c r="AC209">
        <f>survey_responses[[#This Row],[Các thủ tục khai báo thuế VÀ/HOẶC quy trình làm việc với cơ quan thuế đơn giản, tiện lợi, nhanh chóng hơn so với trước đây. - HUMAN-FAC1]]</f>
        <v>6</v>
      </c>
      <c r="AD209" t="str">
        <f t="shared" si="88"/>
        <v>Neutral</v>
      </c>
      <c r="AE209" s="32">
        <f t="shared" si="89"/>
        <v>0</v>
      </c>
      <c r="AF209">
        <f>step3_validation[[#This Row],[AI_FAC2]]</f>
        <v>5</v>
      </c>
      <c r="AG209" t="str">
        <f t="shared" si="90"/>
        <v>Neutral</v>
      </c>
      <c r="AH209">
        <f>survey_responses[[#This Row],[So với trước đây, tôi thấy cách tính thuế và các bậc thuế trong phương án mới đơn giản, dễ hiểu và dễ thực hiện hơn. - HUMAN-FAC2]]</f>
        <v>7</v>
      </c>
      <c r="AI209" t="str">
        <f t="shared" si="91"/>
        <v>Neutral</v>
      </c>
      <c r="AJ209" s="32">
        <f t="shared" si="92"/>
        <v>2</v>
      </c>
      <c r="AK209">
        <f>step3_validation[[#This Row],[AI_TRU1]]</f>
        <v>7</v>
      </c>
      <c r="AL209" t="str">
        <f t="shared" si="93"/>
        <v>Neutral</v>
      </c>
      <c r="AM209">
        <f>survey_responses[[#This Row],[Tôi tin rằng Nhà nước, cơ quan thuế sẽ thực thi chính sách mới một cách khách quan, công tâm và đối xử bình đẳng với mọi người nộp thuế.  - HUMAN-TRU1]]</f>
        <v>6</v>
      </c>
      <c r="AN209" t="str">
        <f t="shared" si="94"/>
        <v>Neutral</v>
      </c>
      <c r="AO209" s="32">
        <f t="shared" si="95"/>
        <v>1</v>
      </c>
      <c r="AP209">
        <f>step3_validation[[#This Row],[AI_TRU2]]</f>
        <v>8</v>
      </c>
      <c r="AQ209" t="str">
        <f t="shared" si="96"/>
        <v>Support</v>
      </c>
      <c r="AR209">
        <f>survey_responses[[#This Row],[Tôi thấy mức thuế tôi phải đóng theo phương án mới là công bằng (người thu nhập như tôi đóng mức này là hợp lý). - HUMAN-TRU2]]</f>
        <v>7</v>
      </c>
      <c r="AS209" t="str">
        <f t="shared" si="97"/>
        <v>Neutral</v>
      </c>
      <c r="AT209" s="32">
        <f t="shared" si="98"/>
        <v>1</v>
      </c>
      <c r="AU209">
        <f>step3_validation[[#This Row],[AI_TRU3]]</f>
        <v>6</v>
      </c>
      <c r="AV209" t="str">
        <f t="shared" si="99"/>
        <v>Neutral</v>
      </c>
      <c r="AW209">
        <f>survey_responses[[#This Row],[Tôi tin tưởng số tiền thuế tôi đóng sẽ được Nhà nước sử dụng hiệu quả để cải thiện dịch vụ công (y tế, đường xá...). - HUMAN-TRU3]]</f>
        <v>6</v>
      </c>
      <c r="AX209" t="str">
        <f t="shared" si="100"/>
        <v>Neutral</v>
      </c>
      <c r="AY209" s="32">
        <f t="shared" si="101"/>
        <v>0</v>
      </c>
      <c r="AZ209">
        <f>step3_validation[[#This Row],[AI_TRU4]]</f>
        <v>7</v>
      </c>
      <c r="BA209" t="str">
        <f t="shared" si="102"/>
        <v>Neutral</v>
      </c>
      <c r="BB209">
        <f>survey_responses[[#This Row],[Tôi thấy Nhà nước đã giải thích rõ ràng, minh bạch về lý do và mục tiêu của việc sửa đổi thuế lần này. - HUMAN-TRU4]]</f>
        <v>6</v>
      </c>
      <c r="BC209" t="str">
        <f t="shared" si="103"/>
        <v>Neutral</v>
      </c>
      <c r="BD209" s="32">
        <f t="shared" si="104"/>
        <v>1</v>
      </c>
      <c r="BE209">
        <f>step3_validation[[#This Row],[AI_OUT1]]</f>
        <v>6</v>
      </c>
      <c r="BF209" t="str">
        <f t="shared" si="105"/>
        <v>Neutral</v>
      </c>
      <c r="BG209">
        <f>survey_responses[[#This Row],[Sau khi xem xét các quyền lợi và nghĩa vụ, bạn có ủng hộ và tuân thủ chính sách mới hiện nay? - HUMAN-OUT1]]</f>
        <v>6</v>
      </c>
      <c r="BH209" t="str">
        <f t="shared" si="106"/>
        <v>Neutral</v>
      </c>
      <c r="BI209" s="32">
        <f t="shared" si="107"/>
        <v>0</v>
      </c>
    </row>
    <row r="210" spans="1:61" x14ac:dyDescent="0.45">
      <c r="A210" s="30">
        <f>step3_validation[[#This Row],[Persona_ID]]</f>
        <v>209</v>
      </c>
      <c r="B210" s="31">
        <f>step3_validation[[#This Row],[Used_Seed]]</f>
        <v>2199</v>
      </c>
      <c r="C210" t="str">
        <f>step3_validation[[#This Row],[Gender]]</f>
        <v>Nữ</v>
      </c>
      <c r="D210" t="str">
        <f>survey_responses[[#This Row],[Giới tính của bạn:]]</f>
        <v>Nữ</v>
      </c>
      <c r="E210" t="str">
        <f>step3_validation[[#This Row],[Age_Group]]</f>
        <v>30 - 39</v>
      </c>
      <c r="F210" t="str">
        <f>survey_responses[[#This Row],[Độ tuổi của bạn:]]</f>
        <v>30 - 39</v>
      </c>
      <c r="G210" t="str">
        <f>step3_validation[[#This Row],[Region]]</f>
        <v>Thành thị</v>
      </c>
      <c r="H210" t="str">
        <f>survey_responses[[#This Row],[Khu vực bạn đang sinh sống:]]</f>
        <v>Thành thị</v>
      </c>
      <c r="I210" t="str">
        <f>step3_validation[[#This Row],[Education]]</f>
        <v>Đại học</v>
      </c>
      <c r="J210" t="str">
        <f>survey_responses[[#This Row],[Trình độ học vấn cao nhất:]]</f>
        <v>Đại học</v>
      </c>
      <c r="K210" t="str">
        <f>step3_validation[[#This Row],[Employment]]</f>
        <v>Chính thức</v>
      </c>
      <c r="L210" t="str">
        <f>survey_responses[[#This Row],[Tình trạng việc làm chính:]]</f>
        <v>Khu vực chính thức (Có Hợp đồng lao động, đóng BHXH)</v>
      </c>
      <c r="M210">
        <f>step3_validation[[#This Row],[Income_Mil]]</f>
        <v>43.547367865424363</v>
      </c>
      <c r="N210" t="str">
        <f>survey_responses[[#This Row],[Thu nhập bình quân tháng theo Hợp đồng lao động của bạn là bao nhiêu? (Vui lòng điền tổng thu nhập trước khi khấu trừ các loại Bảo hiểm (BHXH, BHYT, BHTN) và Thuế TNCN)]]</f>
        <v>Từ 32 - 48 triệu VNĐ</v>
      </c>
      <c r="O210">
        <f>step3_validation[[#This Row],[Dependents]]</f>
        <v>0</v>
      </c>
      <c r="P210" t="str">
        <f>survey_responses[[#This Row],[Số người phụ thuộc (con nhỏ, cha mẹ già...) đủ điều kiện giảm trừ gia cảnh:]]</f>
        <v>0 người</v>
      </c>
      <c r="Q210">
        <f>step3_validation[[#This Row],[AI_ENF1]]</f>
        <v>7</v>
      </c>
      <c r="R210" t="str">
        <f t="shared" si="81"/>
        <v>Neutral</v>
      </c>
      <c r="S210">
        <f>survey_responses[[#This Row],[Tôi tin rằng với các quy định quản lý thuế hiện nay, hành vi gian lận hoặc trốn thuế sẽ dễ dàng bị phát hiện và xử lý nghiêm. - HUMAN-ENF1]]</f>
        <v>6</v>
      </c>
      <c r="T210" t="str">
        <f t="shared" si="82"/>
        <v>Neutral</v>
      </c>
      <c r="U210" s="32">
        <f t="shared" si="83"/>
        <v>1</v>
      </c>
      <c r="V210">
        <f>step3_validation[[#This Row],[AI_ENF2]]</f>
        <v>6</v>
      </c>
      <c r="W210" t="str">
        <f t="shared" si="84"/>
        <v>Neutral</v>
      </c>
      <c r="X210">
        <f>survey_responses[[#This Row],[Tôi tin rằng Nhà nước, cơ quan thuế có đủ khả năng và công nghệ để phát hiện, xử lý nghiêm các hành vi trốn thuế. - HUMAN-ENF2]]</f>
        <v>6</v>
      </c>
      <c r="Y210" t="str">
        <f t="shared" si="85"/>
        <v>Neutral</v>
      </c>
      <c r="Z210" s="32">
        <f t="shared" si="86"/>
        <v>0</v>
      </c>
      <c r="AA210">
        <f>step3_validation[[#This Row],[AI_FAC1]]</f>
        <v>8</v>
      </c>
      <c r="AB210" t="str">
        <f t="shared" si="87"/>
        <v>Support</v>
      </c>
      <c r="AC210">
        <f>survey_responses[[#This Row],[Các thủ tục khai báo thuế VÀ/HOẶC quy trình làm việc với cơ quan thuế đơn giản, tiện lợi, nhanh chóng hơn so với trước đây. - HUMAN-FAC1]]</f>
        <v>6</v>
      </c>
      <c r="AD210" t="str">
        <f t="shared" si="88"/>
        <v>Neutral</v>
      </c>
      <c r="AE210" s="32">
        <f t="shared" si="89"/>
        <v>2</v>
      </c>
      <c r="AF210">
        <f>step3_validation[[#This Row],[AI_FAC2]]</f>
        <v>7</v>
      </c>
      <c r="AG210" t="str">
        <f t="shared" si="90"/>
        <v>Neutral</v>
      </c>
      <c r="AH210">
        <f>survey_responses[[#This Row],[So với trước đây, tôi thấy cách tính thuế và các bậc thuế trong phương án mới đơn giản, dễ hiểu và dễ thực hiện hơn. - HUMAN-FAC2]]</f>
        <v>6</v>
      </c>
      <c r="AI210" t="str">
        <f t="shared" si="91"/>
        <v>Neutral</v>
      </c>
      <c r="AJ210" s="32">
        <f t="shared" si="92"/>
        <v>1</v>
      </c>
      <c r="AK210">
        <f>step3_validation[[#This Row],[AI_TRU1]]</f>
        <v>6</v>
      </c>
      <c r="AL210" t="str">
        <f t="shared" si="93"/>
        <v>Neutral</v>
      </c>
      <c r="AM210">
        <f>survey_responses[[#This Row],[Tôi tin rằng Nhà nước, cơ quan thuế sẽ thực thi chính sách mới một cách khách quan, công tâm và đối xử bình đẳng với mọi người nộp thuế.  - HUMAN-TRU1]]</f>
        <v>6</v>
      </c>
      <c r="AN210" t="str">
        <f t="shared" si="94"/>
        <v>Neutral</v>
      </c>
      <c r="AO210" s="32">
        <f t="shared" si="95"/>
        <v>0</v>
      </c>
      <c r="AP210">
        <f>step3_validation[[#This Row],[AI_TRU2]]</f>
        <v>7</v>
      </c>
      <c r="AQ210" t="str">
        <f t="shared" si="96"/>
        <v>Neutral</v>
      </c>
      <c r="AR210">
        <f>survey_responses[[#This Row],[Tôi thấy mức thuế tôi phải đóng theo phương án mới là công bằng (người thu nhập như tôi đóng mức này là hợp lý). - HUMAN-TRU2]]</f>
        <v>5</v>
      </c>
      <c r="AS210" t="str">
        <f t="shared" si="97"/>
        <v>Neutral</v>
      </c>
      <c r="AT210" s="32">
        <f t="shared" si="98"/>
        <v>2</v>
      </c>
      <c r="AU210">
        <f>step3_validation[[#This Row],[AI_TRU3]]</f>
        <v>6</v>
      </c>
      <c r="AV210" t="str">
        <f t="shared" si="99"/>
        <v>Neutral</v>
      </c>
      <c r="AW210">
        <f>survey_responses[[#This Row],[Tôi tin tưởng số tiền thuế tôi đóng sẽ được Nhà nước sử dụng hiệu quả để cải thiện dịch vụ công (y tế, đường xá...). - HUMAN-TRU3]]</f>
        <v>6</v>
      </c>
      <c r="AX210" t="str">
        <f t="shared" si="100"/>
        <v>Neutral</v>
      </c>
      <c r="AY210" s="32">
        <f t="shared" si="101"/>
        <v>0</v>
      </c>
      <c r="AZ210">
        <f>step3_validation[[#This Row],[AI_TRU4]]</f>
        <v>5</v>
      </c>
      <c r="BA210" t="str">
        <f t="shared" si="102"/>
        <v>Neutral</v>
      </c>
      <c r="BB210">
        <f>survey_responses[[#This Row],[Tôi thấy Nhà nước đã giải thích rõ ràng, minh bạch về lý do và mục tiêu của việc sửa đổi thuế lần này. - HUMAN-TRU4]]</f>
        <v>6</v>
      </c>
      <c r="BC210" t="str">
        <f t="shared" si="103"/>
        <v>Neutral</v>
      </c>
      <c r="BD210" s="32">
        <f t="shared" si="104"/>
        <v>1</v>
      </c>
      <c r="BE210">
        <f>step3_validation[[#This Row],[AI_OUT1]]</f>
        <v>4</v>
      </c>
      <c r="BF210" t="str">
        <f t="shared" si="105"/>
        <v>Oppose</v>
      </c>
      <c r="BG210">
        <f>survey_responses[[#This Row],[Sau khi xem xét các quyền lợi và nghĩa vụ, bạn có ủng hộ và tuân thủ chính sách mới hiện nay? - HUMAN-OUT1]]</f>
        <v>6</v>
      </c>
      <c r="BH210" t="str">
        <f t="shared" si="106"/>
        <v>Neutral</v>
      </c>
      <c r="BI210" s="32">
        <f t="shared" si="107"/>
        <v>2</v>
      </c>
    </row>
    <row r="211" spans="1:61" x14ac:dyDescent="0.45">
      <c r="A211" s="30">
        <f>step3_validation[[#This Row],[Persona_ID]]</f>
        <v>210</v>
      </c>
      <c r="B211" s="31">
        <f>step3_validation[[#This Row],[Used_Seed]]</f>
        <v>2200</v>
      </c>
      <c r="C211" t="str">
        <f>step3_validation[[#This Row],[Gender]]</f>
        <v>Nam</v>
      </c>
      <c r="D211" t="str">
        <f>survey_responses[[#This Row],[Giới tính của bạn:]]</f>
        <v>Nam</v>
      </c>
      <c r="E211" t="str">
        <f>step3_validation[[#This Row],[Age_Group]]</f>
        <v>30 - 39</v>
      </c>
      <c r="F211" t="str">
        <f>survey_responses[[#This Row],[Độ tuổi của bạn:]]</f>
        <v>30 - 39</v>
      </c>
      <c r="G211" t="str">
        <f>step3_validation[[#This Row],[Region]]</f>
        <v>Thành thị</v>
      </c>
      <c r="H211" t="str">
        <f>survey_responses[[#This Row],[Khu vực bạn đang sinh sống:]]</f>
        <v>Thành thị</v>
      </c>
      <c r="I211" t="str">
        <f>step3_validation[[#This Row],[Education]]</f>
        <v>Đại học</v>
      </c>
      <c r="J211" t="str">
        <f>survey_responses[[#This Row],[Trình độ học vấn cao nhất:]]</f>
        <v>Đại học</v>
      </c>
      <c r="K211" t="str">
        <f>step3_validation[[#This Row],[Employment]]</f>
        <v>Chính thức</v>
      </c>
      <c r="L211" t="str">
        <f>survey_responses[[#This Row],[Tình trạng việc làm chính:]]</f>
        <v>Khu vực chính thức (Có Hợp đồng lao động, đóng BHXH)</v>
      </c>
      <c r="M211">
        <f>step3_validation[[#This Row],[Income_Mil]]</f>
        <v>28.560004683260935</v>
      </c>
      <c r="N211" t="str">
        <f>survey_responses[[#This Row],[Thu nhập bình quân tháng theo Hợp đồng lao động của bạn là bao nhiêu? (Vui lòng điền tổng thu nhập trước khi khấu trừ các loại Bảo hiểm (BHXH, BHYT, BHTN) và Thuế TNCN)]]</f>
        <v>Từ 23 - 32 triệu VNĐ</v>
      </c>
      <c r="O211">
        <f>step3_validation[[#This Row],[Dependents]]</f>
        <v>0</v>
      </c>
      <c r="P211" t="str">
        <f>survey_responses[[#This Row],[Số người phụ thuộc (con nhỏ, cha mẹ già...) đủ điều kiện giảm trừ gia cảnh:]]</f>
        <v>0 người</v>
      </c>
      <c r="Q211">
        <f>step3_validation[[#This Row],[AI_ENF1]]</f>
        <v>9</v>
      </c>
      <c r="R211" t="str">
        <f t="shared" si="81"/>
        <v>Support</v>
      </c>
      <c r="S211">
        <f>survey_responses[[#This Row],[Tôi tin rằng với các quy định quản lý thuế hiện nay, hành vi gian lận hoặc trốn thuế sẽ dễ dàng bị phát hiện và xử lý nghiêm. - HUMAN-ENF1]]</f>
        <v>7</v>
      </c>
      <c r="T211" t="str">
        <f t="shared" si="82"/>
        <v>Neutral</v>
      </c>
      <c r="U211" s="32">
        <f t="shared" si="83"/>
        <v>2</v>
      </c>
      <c r="V211">
        <f>step3_validation[[#This Row],[AI_ENF2]]</f>
        <v>8</v>
      </c>
      <c r="W211" t="str">
        <f t="shared" si="84"/>
        <v>Support</v>
      </c>
      <c r="X211">
        <f>survey_responses[[#This Row],[Tôi tin rằng Nhà nước, cơ quan thuế có đủ khả năng và công nghệ để phát hiện, xử lý nghiêm các hành vi trốn thuế. - HUMAN-ENF2]]</f>
        <v>7</v>
      </c>
      <c r="Y211" t="str">
        <f t="shared" si="85"/>
        <v>Neutral</v>
      </c>
      <c r="Z211" s="32">
        <f t="shared" si="86"/>
        <v>1</v>
      </c>
      <c r="AA211">
        <f>step3_validation[[#This Row],[AI_FAC1]]</f>
        <v>7</v>
      </c>
      <c r="AB211" t="str">
        <f t="shared" si="87"/>
        <v>Neutral</v>
      </c>
      <c r="AC211">
        <f>survey_responses[[#This Row],[Các thủ tục khai báo thuế VÀ/HOẶC quy trình làm việc với cơ quan thuế đơn giản, tiện lợi, nhanh chóng hơn so với trước đây. - HUMAN-FAC1]]</f>
        <v>8</v>
      </c>
      <c r="AD211" t="str">
        <f t="shared" si="88"/>
        <v>Support</v>
      </c>
      <c r="AE211" s="32">
        <f t="shared" si="89"/>
        <v>1</v>
      </c>
      <c r="AF211">
        <f>step3_validation[[#This Row],[AI_FAC2]]</f>
        <v>8</v>
      </c>
      <c r="AG211" t="str">
        <f t="shared" si="90"/>
        <v>Support</v>
      </c>
      <c r="AH211">
        <f>survey_responses[[#This Row],[So với trước đây, tôi thấy cách tính thuế và các bậc thuế trong phương án mới đơn giản, dễ hiểu và dễ thực hiện hơn. - HUMAN-FAC2]]</f>
        <v>8</v>
      </c>
      <c r="AI211" t="str">
        <f t="shared" si="91"/>
        <v>Support</v>
      </c>
      <c r="AJ211" s="32">
        <f t="shared" si="92"/>
        <v>0</v>
      </c>
      <c r="AK211">
        <f>step3_validation[[#This Row],[AI_TRU1]]</f>
        <v>7</v>
      </c>
      <c r="AL211" t="str">
        <f t="shared" si="93"/>
        <v>Neutral</v>
      </c>
      <c r="AM211">
        <f>survey_responses[[#This Row],[Tôi tin rằng Nhà nước, cơ quan thuế sẽ thực thi chính sách mới một cách khách quan, công tâm và đối xử bình đẳng với mọi người nộp thuế.  - HUMAN-TRU1]]</f>
        <v>8</v>
      </c>
      <c r="AN211" t="str">
        <f t="shared" si="94"/>
        <v>Support</v>
      </c>
      <c r="AO211" s="32">
        <f t="shared" si="95"/>
        <v>1</v>
      </c>
      <c r="AP211">
        <f>step3_validation[[#This Row],[AI_TRU2]]</f>
        <v>8</v>
      </c>
      <c r="AQ211" t="str">
        <f t="shared" si="96"/>
        <v>Support</v>
      </c>
      <c r="AR211">
        <f>survey_responses[[#This Row],[Tôi thấy mức thuế tôi phải đóng theo phương án mới là công bằng (người thu nhập như tôi đóng mức này là hợp lý). - HUMAN-TRU2]]</f>
        <v>9</v>
      </c>
      <c r="AS211" t="str">
        <f t="shared" si="97"/>
        <v>Support</v>
      </c>
      <c r="AT211" s="32">
        <f t="shared" si="98"/>
        <v>1</v>
      </c>
      <c r="AU211">
        <f>step3_validation[[#This Row],[AI_TRU3]]</f>
        <v>7</v>
      </c>
      <c r="AV211" t="str">
        <f t="shared" si="99"/>
        <v>Neutral</v>
      </c>
      <c r="AW211">
        <f>survey_responses[[#This Row],[Tôi tin tưởng số tiền thuế tôi đóng sẽ được Nhà nước sử dụng hiệu quả để cải thiện dịch vụ công (y tế, đường xá...). - HUMAN-TRU3]]</f>
        <v>8</v>
      </c>
      <c r="AX211" t="str">
        <f t="shared" si="100"/>
        <v>Support</v>
      </c>
      <c r="AY211" s="32">
        <f t="shared" si="101"/>
        <v>1</v>
      </c>
      <c r="AZ211">
        <f>step3_validation[[#This Row],[AI_TRU4]]</f>
        <v>8</v>
      </c>
      <c r="BA211" t="str">
        <f t="shared" si="102"/>
        <v>Support</v>
      </c>
      <c r="BB211">
        <f>survey_responses[[#This Row],[Tôi thấy Nhà nước đã giải thích rõ ràng, minh bạch về lý do và mục tiêu của việc sửa đổi thuế lần này. - HUMAN-TRU4]]</f>
        <v>8</v>
      </c>
      <c r="BC211" t="str">
        <f t="shared" si="103"/>
        <v>Support</v>
      </c>
      <c r="BD211" s="32">
        <f t="shared" si="104"/>
        <v>0</v>
      </c>
      <c r="BE211">
        <f>step3_validation[[#This Row],[AI_OUT1]]</f>
        <v>9</v>
      </c>
      <c r="BF211" t="str">
        <f t="shared" si="105"/>
        <v>Support</v>
      </c>
      <c r="BG211">
        <f>survey_responses[[#This Row],[Sau khi xem xét các quyền lợi và nghĩa vụ, bạn có ủng hộ và tuân thủ chính sách mới hiện nay? - HUMAN-OUT1]]</f>
        <v>8</v>
      </c>
      <c r="BH211" t="str">
        <f t="shared" si="106"/>
        <v>Support</v>
      </c>
      <c r="BI211" s="32">
        <f t="shared" si="107"/>
        <v>1</v>
      </c>
    </row>
    <row r="212" spans="1:61" x14ac:dyDescent="0.45">
      <c r="A212" s="30">
        <f>step3_validation[[#This Row],[Persona_ID]]</f>
        <v>211</v>
      </c>
      <c r="B212" s="31">
        <f>step3_validation[[#This Row],[Used_Seed]]</f>
        <v>2201</v>
      </c>
      <c r="C212" t="str">
        <f>step3_validation[[#This Row],[Gender]]</f>
        <v>Nữ</v>
      </c>
      <c r="D212" t="str">
        <f>survey_responses[[#This Row],[Giới tính của bạn:]]</f>
        <v>Nữ</v>
      </c>
      <c r="E212" t="str">
        <f>step3_validation[[#This Row],[Age_Group]]</f>
        <v>30 - 39</v>
      </c>
      <c r="F212" t="str">
        <f>survey_responses[[#This Row],[Độ tuổi của bạn:]]</f>
        <v>30 - 39</v>
      </c>
      <c r="G212" t="str">
        <f>step3_validation[[#This Row],[Region]]</f>
        <v>Thành thị</v>
      </c>
      <c r="H212" t="str">
        <f>survey_responses[[#This Row],[Khu vực bạn đang sinh sống:]]</f>
        <v>Thành thị</v>
      </c>
      <c r="I212" t="str">
        <f>step3_validation[[#This Row],[Education]]</f>
        <v>Đại học</v>
      </c>
      <c r="J212" t="str">
        <f>survey_responses[[#This Row],[Trình độ học vấn cao nhất:]]</f>
        <v>Đại học</v>
      </c>
      <c r="K212" t="str">
        <f>step3_validation[[#This Row],[Employment]]</f>
        <v>Chính thức</v>
      </c>
      <c r="L212" t="str">
        <f>survey_responses[[#This Row],[Tình trạng việc làm chính:]]</f>
        <v>Khu vực chính thức (Có Hợp đồng lao động, đóng BHXH)</v>
      </c>
      <c r="M212">
        <f>step3_validation[[#This Row],[Income_Mil]]</f>
        <v>63.416603098597655</v>
      </c>
      <c r="N212" t="str">
        <f>survey_responses[[#This Row],[Thu nhập bình quân tháng theo Hợp đồng lao động của bạn là bao nhiêu? (Vui lòng điền tổng thu nhập trước khi khấu trừ các loại Bảo hiểm (BHXH, BHYT, BHTN) và Thuế TNCN)]]</f>
        <v>Từ 48 - 70 triệu VNĐ</v>
      </c>
      <c r="O212">
        <f>step3_validation[[#This Row],[Dependents]]</f>
        <v>1</v>
      </c>
      <c r="P212" t="str">
        <f>survey_responses[[#This Row],[Số người phụ thuộc (con nhỏ, cha mẹ già...) đủ điều kiện giảm trừ gia cảnh:]]</f>
        <v>1 người</v>
      </c>
      <c r="Q212">
        <f>step3_validation[[#This Row],[AI_ENF1]]</f>
        <v>5</v>
      </c>
      <c r="R212" t="str">
        <f t="shared" si="81"/>
        <v>Neutral</v>
      </c>
      <c r="S212">
        <f>survey_responses[[#This Row],[Tôi tin rằng với các quy định quản lý thuế hiện nay, hành vi gian lận hoặc trốn thuế sẽ dễ dàng bị phát hiện và xử lý nghiêm. - HUMAN-ENF1]]</f>
        <v>7</v>
      </c>
      <c r="T212" t="str">
        <f t="shared" si="82"/>
        <v>Neutral</v>
      </c>
      <c r="U212" s="32">
        <f t="shared" si="83"/>
        <v>2</v>
      </c>
      <c r="V212">
        <f>step3_validation[[#This Row],[AI_ENF2]]</f>
        <v>6</v>
      </c>
      <c r="W212" t="str">
        <f t="shared" si="84"/>
        <v>Neutral</v>
      </c>
      <c r="X212">
        <f>survey_responses[[#This Row],[Tôi tin rằng Nhà nước, cơ quan thuế có đủ khả năng và công nghệ để phát hiện, xử lý nghiêm các hành vi trốn thuế. - HUMAN-ENF2]]</f>
        <v>7</v>
      </c>
      <c r="Y212" t="str">
        <f t="shared" si="85"/>
        <v>Neutral</v>
      </c>
      <c r="Z212" s="32">
        <f t="shared" si="86"/>
        <v>1</v>
      </c>
      <c r="AA212">
        <f>step3_validation[[#This Row],[AI_FAC1]]</f>
        <v>8</v>
      </c>
      <c r="AB212" t="str">
        <f t="shared" si="87"/>
        <v>Support</v>
      </c>
      <c r="AC212">
        <f>survey_responses[[#This Row],[Các thủ tục khai báo thuế VÀ/HOẶC quy trình làm việc với cơ quan thuế đơn giản, tiện lợi, nhanh chóng hơn so với trước đây. - HUMAN-FAC1]]</f>
        <v>7</v>
      </c>
      <c r="AD212" t="str">
        <f t="shared" si="88"/>
        <v>Neutral</v>
      </c>
      <c r="AE212" s="32">
        <f t="shared" si="89"/>
        <v>1</v>
      </c>
      <c r="AF212">
        <f>step3_validation[[#This Row],[AI_FAC2]]</f>
        <v>9</v>
      </c>
      <c r="AG212" t="str">
        <f t="shared" si="90"/>
        <v>Support</v>
      </c>
      <c r="AH212">
        <f>survey_responses[[#This Row],[So với trước đây, tôi thấy cách tính thuế và các bậc thuế trong phương án mới đơn giản, dễ hiểu và dễ thực hiện hơn. - HUMAN-FAC2]]</f>
        <v>7</v>
      </c>
      <c r="AI212" t="str">
        <f t="shared" si="91"/>
        <v>Neutral</v>
      </c>
      <c r="AJ212" s="32">
        <f t="shared" si="92"/>
        <v>2</v>
      </c>
      <c r="AK212">
        <f>step3_validation[[#This Row],[AI_TRU1]]</f>
        <v>7</v>
      </c>
      <c r="AL212" t="str">
        <f t="shared" si="93"/>
        <v>Neutral</v>
      </c>
      <c r="AM212">
        <f>survey_responses[[#This Row],[Tôi tin rằng Nhà nước, cơ quan thuế sẽ thực thi chính sách mới một cách khách quan, công tâm và đối xử bình đẳng với mọi người nộp thuế.  - HUMAN-TRU1]]</f>
        <v>7</v>
      </c>
      <c r="AN212" t="str">
        <f t="shared" si="94"/>
        <v>Neutral</v>
      </c>
      <c r="AO212" s="32">
        <f t="shared" si="95"/>
        <v>0</v>
      </c>
      <c r="AP212">
        <f>step3_validation[[#This Row],[AI_TRU2]]</f>
        <v>8</v>
      </c>
      <c r="AQ212" t="str">
        <f t="shared" si="96"/>
        <v>Support</v>
      </c>
      <c r="AR212">
        <f>survey_responses[[#This Row],[Tôi thấy mức thuế tôi phải đóng theo phương án mới là công bằng (người thu nhập như tôi đóng mức này là hợp lý). - HUMAN-TRU2]]</f>
        <v>7</v>
      </c>
      <c r="AS212" t="str">
        <f t="shared" si="97"/>
        <v>Neutral</v>
      </c>
      <c r="AT212" s="32">
        <f t="shared" si="98"/>
        <v>1</v>
      </c>
      <c r="AU212">
        <f>step3_validation[[#This Row],[AI_TRU3]]</f>
        <v>7</v>
      </c>
      <c r="AV212" t="str">
        <f t="shared" si="99"/>
        <v>Neutral</v>
      </c>
      <c r="AW212">
        <f>survey_responses[[#This Row],[Tôi tin tưởng số tiền thuế tôi đóng sẽ được Nhà nước sử dụng hiệu quả để cải thiện dịch vụ công (y tế, đường xá...). - HUMAN-TRU3]]</f>
        <v>7</v>
      </c>
      <c r="AX212" t="str">
        <f t="shared" si="100"/>
        <v>Neutral</v>
      </c>
      <c r="AY212" s="32">
        <f t="shared" si="101"/>
        <v>0</v>
      </c>
      <c r="AZ212">
        <f>step3_validation[[#This Row],[AI_TRU4]]</f>
        <v>6</v>
      </c>
      <c r="BA212" t="str">
        <f t="shared" si="102"/>
        <v>Neutral</v>
      </c>
      <c r="BB212">
        <f>survey_responses[[#This Row],[Tôi thấy Nhà nước đã giải thích rõ ràng, minh bạch về lý do và mục tiêu của việc sửa đổi thuế lần này. - HUMAN-TRU4]]</f>
        <v>7</v>
      </c>
      <c r="BC212" t="str">
        <f t="shared" si="103"/>
        <v>Neutral</v>
      </c>
      <c r="BD212" s="32">
        <f t="shared" si="104"/>
        <v>1</v>
      </c>
      <c r="BE212">
        <f>step3_validation[[#This Row],[AI_OUT1]]</f>
        <v>7</v>
      </c>
      <c r="BF212" t="str">
        <f t="shared" si="105"/>
        <v>Neutral</v>
      </c>
      <c r="BG212">
        <f>survey_responses[[#This Row],[Sau khi xem xét các quyền lợi và nghĩa vụ, bạn có ủng hộ và tuân thủ chính sách mới hiện nay? - HUMAN-OUT1]]</f>
        <v>7</v>
      </c>
      <c r="BH212" t="str">
        <f t="shared" si="106"/>
        <v>Neutral</v>
      </c>
      <c r="BI212" s="32">
        <f t="shared" si="107"/>
        <v>0</v>
      </c>
    </row>
    <row r="213" spans="1:61" x14ac:dyDescent="0.45">
      <c r="A213" s="30">
        <f>step3_validation[[#This Row],[Persona_ID]]</f>
        <v>212</v>
      </c>
      <c r="B213" s="31">
        <f>step3_validation[[#This Row],[Used_Seed]]</f>
        <v>2202</v>
      </c>
      <c r="C213" t="str">
        <f>step3_validation[[#This Row],[Gender]]</f>
        <v>Nữ</v>
      </c>
      <c r="D213" t="str">
        <f>survey_responses[[#This Row],[Giới tính của bạn:]]</f>
        <v>Nữ</v>
      </c>
      <c r="E213" t="str">
        <f>step3_validation[[#This Row],[Age_Group]]</f>
        <v>30 - 39</v>
      </c>
      <c r="F213" t="str">
        <f>survey_responses[[#This Row],[Độ tuổi của bạn:]]</f>
        <v>30 - 39</v>
      </c>
      <c r="G213" t="str">
        <f>step3_validation[[#This Row],[Region]]</f>
        <v>Thành thị</v>
      </c>
      <c r="H213" t="str">
        <f>survey_responses[[#This Row],[Khu vực bạn đang sinh sống:]]</f>
        <v>Thành thị</v>
      </c>
      <c r="I213" t="str">
        <f>step3_validation[[#This Row],[Education]]</f>
        <v>Đại học</v>
      </c>
      <c r="J213" t="str">
        <f>survey_responses[[#This Row],[Trình độ học vấn cao nhất:]]</f>
        <v>Đại học</v>
      </c>
      <c r="K213" t="str">
        <f>step3_validation[[#This Row],[Employment]]</f>
        <v>Chính thức</v>
      </c>
      <c r="L213" t="str">
        <f>survey_responses[[#This Row],[Tình trạng việc làm chính:]]</f>
        <v>Khu vực chính thức (Có Hợp đồng lao động, đóng BHXH)</v>
      </c>
      <c r="M213">
        <f>step3_validation[[#This Row],[Income_Mil]]</f>
        <v>62.857520934509097</v>
      </c>
      <c r="N213" t="str">
        <f>survey_responses[[#This Row],[Thu nhập bình quân tháng theo Hợp đồng lao động của bạn là bao nhiêu? (Vui lòng điền tổng thu nhập trước khi khấu trừ các loại Bảo hiểm (BHXH, BHYT, BHTN) và Thuế TNCN)]]</f>
        <v>Từ 48 - 70 triệu VNĐ</v>
      </c>
      <c r="O213">
        <f>step3_validation[[#This Row],[Dependents]]</f>
        <v>0</v>
      </c>
      <c r="P213" t="str">
        <f>survey_responses[[#This Row],[Số người phụ thuộc (con nhỏ, cha mẹ già...) đủ điều kiện giảm trừ gia cảnh:]]</f>
        <v>0 người</v>
      </c>
      <c r="Q213">
        <f>step3_validation[[#This Row],[AI_ENF1]]</f>
        <v>8</v>
      </c>
      <c r="R213" t="str">
        <f t="shared" si="81"/>
        <v>Support</v>
      </c>
      <c r="S213">
        <f>survey_responses[[#This Row],[Tôi tin rằng với các quy định quản lý thuế hiện nay, hành vi gian lận hoặc trốn thuế sẽ dễ dàng bị phát hiện và xử lý nghiêm. - HUMAN-ENF1]]</f>
        <v>5</v>
      </c>
      <c r="T213" t="str">
        <f t="shared" si="82"/>
        <v>Neutral</v>
      </c>
      <c r="U213" s="32">
        <f t="shared" si="83"/>
        <v>3</v>
      </c>
      <c r="V213">
        <f>step3_validation[[#This Row],[AI_ENF2]]</f>
        <v>7</v>
      </c>
      <c r="W213" t="str">
        <f t="shared" si="84"/>
        <v>Neutral</v>
      </c>
      <c r="X213">
        <f>survey_responses[[#This Row],[Tôi tin rằng Nhà nước, cơ quan thuế có đủ khả năng và công nghệ để phát hiện, xử lý nghiêm các hành vi trốn thuế. - HUMAN-ENF2]]</f>
        <v>5</v>
      </c>
      <c r="Y213" t="str">
        <f t="shared" si="85"/>
        <v>Neutral</v>
      </c>
      <c r="Z213" s="32">
        <f t="shared" si="86"/>
        <v>2</v>
      </c>
      <c r="AA213">
        <f>step3_validation[[#This Row],[AI_FAC1]]</f>
        <v>9</v>
      </c>
      <c r="AB213" t="str">
        <f t="shared" si="87"/>
        <v>Support</v>
      </c>
      <c r="AC213">
        <f>survey_responses[[#This Row],[Các thủ tục khai báo thuế VÀ/HOẶC quy trình làm việc với cơ quan thuế đơn giản, tiện lợi, nhanh chóng hơn so với trước đây. - HUMAN-FAC1]]</f>
        <v>1</v>
      </c>
      <c r="AD213" t="str">
        <f t="shared" si="88"/>
        <v>Oppose</v>
      </c>
      <c r="AE213" s="32">
        <f t="shared" si="89"/>
        <v>8</v>
      </c>
      <c r="AF213">
        <f>step3_validation[[#This Row],[AI_FAC2]]</f>
        <v>8</v>
      </c>
      <c r="AG213" t="str">
        <f t="shared" si="90"/>
        <v>Support</v>
      </c>
      <c r="AH213">
        <f>survey_responses[[#This Row],[So với trước đây, tôi thấy cách tính thuế và các bậc thuế trong phương án mới đơn giản, dễ hiểu và dễ thực hiện hơn. - HUMAN-FAC2]]</f>
        <v>5</v>
      </c>
      <c r="AI213" t="str">
        <f t="shared" si="91"/>
        <v>Neutral</v>
      </c>
      <c r="AJ213" s="32">
        <f t="shared" si="92"/>
        <v>3</v>
      </c>
      <c r="AK213">
        <f>step3_validation[[#This Row],[AI_TRU1]]</f>
        <v>7</v>
      </c>
      <c r="AL213" t="str">
        <f t="shared" si="93"/>
        <v>Neutral</v>
      </c>
      <c r="AM213">
        <f>survey_responses[[#This Row],[Tôi tin rằng Nhà nước, cơ quan thuế sẽ thực thi chính sách mới một cách khách quan, công tâm và đối xử bình đẳng với mọi người nộp thuế.  - HUMAN-TRU1]]</f>
        <v>5</v>
      </c>
      <c r="AN213" t="str">
        <f t="shared" si="94"/>
        <v>Neutral</v>
      </c>
      <c r="AO213" s="32">
        <f t="shared" si="95"/>
        <v>2</v>
      </c>
      <c r="AP213">
        <f>step3_validation[[#This Row],[AI_TRU2]]</f>
        <v>8</v>
      </c>
      <c r="AQ213" t="str">
        <f t="shared" si="96"/>
        <v>Support</v>
      </c>
      <c r="AR213">
        <f>survey_responses[[#This Row],[Tôi thấy mức thuế tôi phải đóng theo phương án mới là công bằng (người thu nhập như tôi đóng mức này là hợp lý). - HUMAN-TRU2]]</f>
        <v>5</v>
      </c>
      <c r="AS213" t="str">
        <f t="shared" si="97"/>
        <v>Neutral</v>
      </c>
      <c r="AT213" s="32">
        <f t="shared" si="98"/>
        <v>3</v>
      </c>
      <c r="AU213">
        <f>step3_validation[[#This Row],[AI_TRU3]]</f>
        <v>7</v>
      </c>
      <c r="AV213" t="str">
        <f t="shared" si="99"/>
        <v>Neutral</v>
      </c>
      <c r="AW213">
        <f>survey_responses[[#This Row],[Tôi tin tưởng số tiền thuế tôi đóng sẽ được Nhà nước sử dụng hiệu quả để cải thiện dịch vụ công (y tế, đường xá...). - HUMAN-TRU3]]</f>
        <v>4</v>
      </c>
      <c r="AX213" t="str">
        <f t="shared" si="100"/>
        <v>Oppose</v>
      </c>
      <c r="AY213" s="32">
        <f t="shared" si="101"/>
        <v>3</v>
      </c>
      <c r="AZ213">
        <f>step3_validation[[#This Row],[AI_TRU4]]</f>
        <v>6</v>
      </c>
      <c r="BA213" t="str">
        <f t="shared" si="102"/>
        <v>Neutral</v>
      </c>
      <c r="BB213">
        <f>survey_responses[[#This Row],[Tôi thấy Nhà nước đã giải thích rõ ràng, minh bạch về lý do và mục tiêu của việc sửa đổi thuế lần này. - HUMAN-TRU4]]</f>
        <v>5</v>
      </c>
      <c r="BC213" t="str">
        <f t="shared" si="103"/>
        <v>Neutral</v>
      </c>
      <c r="BD213" s="32">
        <f t="shared" si="104"/>
        <v>1</v>
      </c>
      <c r="BE213">
        <f>step3_validation[[#This Row],[AI_OUT1]]</f>
        <v>8</v>
      </c>
      <c r="BF213" t="str">
        <f t="shared" si="105"/>
        <v>Support</v>
      </c>
      <c r="BG213">
        <f>survey_responses[[#This Row],[Sau khi xem xét các quyền lợi và nghĩa vụ, bạn có ủng hộ và tuân thủ chính sách mới hiện nay? - HUMAN-OUT1]]</f>
        <v>5</v>
      </c>
      <c r="BH213" t="str">
        <f t="shared" si="106"/>
        <v>Neutral</v>
      </c>
      <c r="BI213" s="32">
        <f t="shared" si="107"/>
        <v>3</v>
      </c>
    </row>
    <row r="214" spans="1:61" x14ac:dyDescent="0.45">
      <c r="A214" s="30">
        <f>step3_validation[[#This Row],[Persona_ID]]</f>
        <v>213</v>
      </c>
      <c r="B214" s="31">
        <f>step3_validation[[#This Row],[Used_Seed]]</f>
        <v>2203</v>
      </c>
      <c r="C214" t="str">
        <f>step3_validation[[#This Row],[Gender]]</f>
        <v>Nữ</v>
      </c>
      <c r="D214" t="str">
        <f>survey_responses[[#This Row],[Giới tính của bạn:]]</f>
        <v>Nữ</v>
      </c>
      <c r="E214" t="str">
        <f>step3_validation[[#This Row],[Age_Group]]</f>
        <v>30 - 39</v>
      </c>
      <c r="F214" t="str">
        <f>survey_responses[[#This Row],[Độ tuổi của bạn:]]</f>
        <v>30 - 39</v>
      </c>
      <c r="G214" t="str">
        <f>step3_validation[[#This Row],[Region]]</f>
        <v>Thành thị</v>
      </c>
      <c r="H214" t="str">
        <f>survey_responses[[#This Row],[Khu vực bạn đang sinh sống:]]</f>
        <v>Thành thị</v>
      </c>
      <c r="I214" t="str">
        <f>step3_validation[[#This Row],[Education]]</f>
        <v>Đại học</v>
      </c>
      <c r="J214" t="str">
        <f>survey_responses[[#This Row],[Trình độ học vấn cao nhất:]]</f>
        <v>Đại học</v>
      </c>
      <c r="K214" t="str">
        <f>step3_validation[[#This Row],[Employment]]</f>
        <v>Chính thức</v>
      </c>
      <c r="L214" t="str">
        <f>survey_responses[[#This Row],[Tình trạng việc làm chính:]]</f>
        <v>Khu vực chính thức (Có Hợp đồng lao động, đóng BHXH)</v>
      </c>
      <c r="M214">
        <f>step3_validation[[#This Row],[Income_Mil]]</f>
        <v>54.46559089304855</v>
      </c>
      <c r="N214" t="str">
        <f>survey_responses[[#This Row],[Thu nhập bình quân tháng theo Hợp đồng lao động của bạn là bao nhiêu? (Vui lòng điền tổng thu nhập trước khi khấu trừ các loại Bảo hiểm (BHXH, BHYT, BHTN) và Thuế TNCN)]]</f>
        <v>Từ 48 - 70 triệu VNĐ</v>
      </c>
      <c r="O214">
        <f>step3_validation[[#This Row],[Dependents]]</f>
        <v>4</v>
      </c>
      <c r="P214" t="str">
        <f>survey_responses[[#This Row],[Số người phụ thuộc (con nhỏ, cha mẹ già...) đủ điều kiện giảm trừ gia cảnh:]]</f>
        <v>4 người trở lên</v>
      </c>
      <c r="Q214">
        <f>step3_validation[[#This Row],[AI_ENF1]]</f>
        <v>6</v>
      </c>
      <c r="R214" t="str">
        <f t="shared" si="81"/>
        <v>Neutral</v>
      </c>
      <c r="S214">
        <f>survey_responses[[#This Row],[Tôi tin rằng với các quy định quản lý thuế hiện nay, hành vi gian lận hoặc trốn thuế sẽ dễ dàng bị phát hiện và xử lý nghiêm. - HUMAN-ENF1]]</f>
        <v>7</v>
      </c>
      <c r="T214" t="str">
        <f t="shared" si="82"/>
        <v>Neutral</v>
      </c>
      <c r="U214" s="32">
        <f t="shared" si="83"/>
        <v>1</v>
      </c>
      <c r="V214">
        <f>step3_validation[[#This Row],[AI_ENF2]]</f>
        <v>7</v>
      </c>
      <c r="W214" t="str">
        <f t="shared" si="84"/>
        <v>Neutral</v>
      </c>
      <c r="X214">
        <f>survey_responses[[#This Row],[Tôi tin rằng Nhà nước, cơ quan thuế có đủ khả năng và công nghệ để phát hiện, xử lý nghiêm các hành vi trốn thuế. - HUMAN-ENF2]]</f>
        <v>8</v>
      </c>
      <c r="Y214" t="str">
        <f t="shared" si="85"/>
        <v>Support</v>
      </c>
      <c r="Z214" s="32">
        <f t="shared" si="86"/>
        <v>1</v>
      </c>
      <c r="AA214">
        <f>step3_validation[[#This Row],[AI_FAC1]]</f>
        <v>8</v>
      </c>
      <c r="AB214" t="str">
        <f t="shared" si="87"/>
        <v>Support</v>
      </c>
      <c r="AC214">
        <f>survey_responses[[#This Row],[Các thủ tục khai báo thuế VÀ/HOẶC quy trình làm việc với cơ quan thuế đơn giản, tiện lợi, nhanh chóng hơn so với trước đây. - HUMAN-FAC1]]</f>
        <v>8</v>
      </c>
      <c r="AD214" t="str">
        <f t="shared" si="88"/>
        <v>Support</v>
      </c>
      <c r="AE214" s="32">
        <f t="shared" si="89"/>
        <v>0</v>
      </c>
      <c r="AF214">
        <f>step3_validation[[#This Row],[AI_FAC2]]</f>
        <v>9</v>
      </c>
      <c r="AG214" t="str">
        <f t="shared" si="90"/>
        <v>Support</v>
      </c>
      <c r="AH214">
        <f>survey_responses[[#This Row],[So với trước đây, tôi thấy cách tính thuế và các bậc thuế trong phương án mới đơn giản, dễ hiểu và dễ thực hiện hơn. - HUMAN-FAC2]]</f>
        <v>8</v>
      </c>
      <c r="AI214" t="str">
        <f t="shared" si="91"/>
        <v>Support</v>
      </c>
      <c r="AJ214" s="32">
        <f t="shared" si="92"/>
        <v>1</v>
      </c>
      <c r="AK214">
        <f>step3_validation[[#This Row],[AI_TRU1]]</f>
        <v>8</v>
      </c>
      <c r="AL214" t="str">
        <f t="shared" si="93"/>
        <v>Support</v>
      </c>
      <c r="AM214">
        <f>survey_responses[[#This Row],[Tôi tin rằng Nhà nước, cơ quan thuế sẽ thực thi chính sách mới một cách khách quan, công tâm và đối xử bình đẳng với mọi người nộp thuế.  - HUMAN-TRU1]]</f>
        <v>8</v>
      </c>
      <c r="AN214" t="str">
        <f t="shared" si="94"/>
        <v>Support</v>
      </c>
      <c r="AO214" s="32">
        <f t="shared" si="95"/>
        <v>0</v>
      </c>
      <c r="AP214">
        <f>step3_validation[[#This Row],[AI_TRU2]]</f>
        <v>7</v>
      </c>
      <c r="AQ214" t="str">
        <f t="shared" si="96"/>
        <v>Neutral</v>
      </c>
      <c r="AR214">
        <f>survey_responses[[#This Row],[Tôi thấy mức thuế tôi phải đóng theo phương án mới là công bằng (người thu nhập như tôi đóng mức này là hợp lý). - HUMAN-TRU2]]</f>
        <v>8</v>
      </c>
      <c r="AS214" t="str">
        <f t="shared" si="97"/>
        <v>Support</v>
      </c>
      <c r="AT214" s="32">
        <f t="shared" si="98"/>
        <v>1</v>
      </c>
      <c r="AU214">
        <f>step3_validation[[#This Row],[AI_TRU3]]</f>
        <v>8</v>
      </c>
      <c r="AV214" t="str">
        <f t="shared" si="99"/>
        <v>Support</v>
      </c>
      <c r="AW214">
        <f>survey_responses[[#This Row],[Tôi tin tưởng số tiền thuế tôi đóng sẽ được Nhà nước sử dụng hiệu quả để cải thiện dịch vụ công (y tế, đường xá...). - HUMAN-TRU3]]</f>
        <v>8</v>
      </c>
      <c r="AX214" t="str">
        <f t="shared" si="100"/>
        <v>Support</v>
      </c>
      <c r="AY214" s="32">
        <f t="shared" si="101"/>
        <v>0</v>
      </c>
      <c r="AZ214">
        <f>step3_validation[[#This Row],[AI_TRU4]]</f>
        <v>5</v>
      </c>
      <c r="BA214" t="str">
        <f t="shared" si="102"/>
        <v>Neutral</v>
      </c>
      <c r="BB214">
        <f>survey_responses[[#This Row],[Tôi thấy Nhà nước đã giải thích rõ ràng, minh bạch về lý do và mục tiêu của việc sửa đổi thuế lần này. - HUMAN-TRU4]]</f>
        <v>8</v>
      </c>
      <c r="BC214" t="str">
        <f t="shared" si="103"/>
        <v>Support</v>
      </c>
      <c r="BD214" s="32">
        <f t="shared" si="104"/>
        <v>3</v>
      </c>
      <c r="BE214">
        <f>step3_validation[[#This Row],[AI_OUT1]]</f>
        <v>7</v>
      </c>
      <c r="BF214" t="str">
        <f t="shared" si="105"/>
        <v>Neutral</v>
      </c>
      <c r="BG214">
        <f>survey_responses[[#This Row],[Sau khi xem xét các quyền lợi và nghĩa vụ, bạn có ủng hộ và tuân thủ chính sách mới hiện nay? - HUMAN-OUT1]]</f>
        <v>8</v>
      </c>
      <c r="BH214" t="str">
        <f t="shared" si="106"/>
        <v>Support</v>
      </c>
      <c r="BI214" s="32">
        <f t="shared" si="107"/>
        <v>1</v>
      </c>
    </row>
    <row r="215" spans="1:61" x14ac:dyDescent="0.45">
      <c r="A215" s="30">
        <f>step3_validation[[#This Row],[Persona_ID]]</f>
        <v>214</v>
      </c>
      <c r="B215" s="31">
        <f>step3_validation[[#This Row],[Used_Seed]]</f>
        <v>2204</v>
      </c>
      <c r="C215" t="str">
        <f>step3_validation[[#This Row],[Gender]]</f>
        <v>Nữ</v>
      </c>
      <c r="D215" t="str">
        <f>survey_responses[[#This Row],[Giới tính của bạn:]]</f>
        <v>Nữ</v>
      </c>
      <c r="E215" t="str">
        <f>step3_validation[[#This Row],[Age_Group]]</f>
        <v>30 - 39</v>
      </c>
      <c r="F215" t="str">
        <f>survey_responses[[#This Row],[Độ tuổi của bạn:]]</f>
        <v>30 - 39</v>
      </c>
      <c r="G215" t="str">
        <f>step3_validation[[#This Row],[Region]]</f>
        <v>Thành thị</v>
      </c>
      <c r="H215" t="str">
        <f>survey_responses[[#This Row],[Khu vực bạn đang sinh sống:]]</f>
        <v>Thành thị</v>
      </c>
      <c r="I215" t="str">
        <f>step3_validation[[#This Row],[Education]]</f>
        <v>Sau Đại học</v>
      </c>
      <c r="J215" t="str">
        <f>survey_responses[[#This Row],[Trình độ học vấn cao nhất:]]</f>
        <v>Sau Đại học</v>
      </c>
      <c r="K215" t="str">
        <f>step3_validation[[#This Row],[Employment]]</f>
        <v>Chính thức</v>
      </c>
      <c r="L215" t="str">
        <f>survey_responses[[#This Row],[Tình trạng việc làm chính:]]</f>
        <v>Khu vực chính thức (Có Hợp đồng lao động, đóng BHXH)</v>
      </c>
      <c r="M215">
        <f>step3_validation[[#This Row],[Income_Mil]]</f>
        <v>64.809338630682674</v>
      </c>
      <c r="N215" t="str">
        <f>survey_responses[[#This Row],[Thu nhập bình quân tháng theo Hợp đồng lao động của bạn là bao nhiêu? (Vui lòng điền tổng thu nhập trước khi khấu trừ các loại Bảo hiểm (BHXH, BHYT, BHTN) và Thuế TNCN)]]</f>
        <v>Từ 48 - 70 triệu VNĐ</v>
      </c>
      <c r="O215">
        <f>step3_validation[[#This Row],[Dependents]]</f>
        <v>4</v>
      </c>
      <c r="P215" t="str">
        <f>survey_responses[[#This Row],[Số người phụ thuộc (con nhỏ, cha mẹ già...) đủ điều kiện giảm trừ gia cảnh:]]</f>
        <v>4 người trở lên</v>
      </c>
      <c r="Q215">
        <f>step3_validation[[#This Row],[AI_ENF1]]</f>
        <v>7</v>
      </c>
      <c r="R215" t="str">
        <f t="shared" si="81"/>
        <v>Neutral</v>
      </c>
      <c r="S215">
        <f>survey_responses[[#This Row],[Tôi tin rằng với các quy định quản lý thuế hiện nay, hành vi gian lận hoặc trốn thuế sẽ dễ dàng bị phát hiện và xử lý nghiêm. - HUMAN-ENF1]]</f>
        <v>9</v>
      </c>
      <c r="T215" t="str">
        <f t="shared" si="82"/>
        <v>Support</v>
      </c>
      <c r="U215" s="32">
        <f t="shared" si="83"/>
        <v>2</v>
      </c>
      <c r="V215">
        <f>step3_validation[[#This Row],[AI_ENF2]]</f>
        <v>8</v>
      </c>
      <c r="W215" t="str">
        <f t="shared" si="84"/>
        <v>Support</v>
      </c>
      <c r="X215">
        <f>survey_responses[[#This Row],[Tôi tin rằng Nhà nước, cơ quan thuế có đủ khả năng và công nghệ để phát hiện, xử lý nghiêm các hành vi trốn thuế. - HUMAN-ENF2]]</f>
        <v>9</v>
      </c>
      <c r="Y215" t="str">
        <f t="shared" si="85"/>
        <v>Support</v>
      </c>
      <c r="Z215" s="32">
        <f t="shared" si="86"/>
        <v>1</v>
      </c>
      <c r="AA215">
        <f>step3_validation[[#This Row],[AI_FAC1]]</f>
        <v>6</v>
      </c>
      <c r="AB215" t="str">
        <f t="shared" si="87"/>
        <v>Neutral</v>
      </c>
      <c r="AC215">
        <f>survey_responses[[#This Row],[Các thủ tục khai báo thuế VÀ/HOẶC quy trình làm việc với cơ quan thuế đơn giản, tiện lợi, nhanh chóng hơn so với trước đây. - HUMAN-FAC1]]</f>
        <v>9</v>
      </c>
      <c r="AD215" t="str">
        <f t="shared" si="88"/>
        <v>Support</v>
      </c>
      <c r="AE215" s="32">
        <f t="shared" si="89"/>
        <v>3</v>
      </c>
      <c r="AF215">
        <f>step3_validation[[#This Row],[AI_FAC2]]</f>
        <v>5</v>
      </c>
      <c r="AG215" t="str">
        <f t="shared" si="90"/>
        <v>Neutral</v>
      </c>
      <c r="AH215">
        <f>survey_responses[[#This Row],[So với trước đây, tôi thấy cách tính thuế và các bậc thuế trong phương án mới đơn giản, dễ hiểu và dễ thực hiện hơn. - HUMAN-FAC2]]</f>
        <v>9</v>
      </c>
      <c r="AI215" t="str">
        <f t="shared" si="91"/>
        <v>Support</v>
      </c>
      <c r="AJ215" s="32">
        <f t="shared" si="92"/>
        <v>4</v>
      </c>
      <c r="AK215">
        <f>step3_validation[[#This Row],[AI_TRU1]]</f>
        <v>4</v>
      </c>
      <c r="AL215" t="str">
        <f t="shared" si="93"/>
        <v>Oppose</v>
      </c>
      <c r="AM215">
        <f>survey_responses[[#This Row],[Tôi tin rằng Nhà nước, cơ quan thuế sẽ thực thi chính sách mới một cách khách quan, công tâm và đối xử bình đẳng với mọi người nộp thuế.  - HUMAN-TRU1]]</f>
        <v>9</v>
      </c>
      <c r="AN215" t="str">
        <f t="shared" si="94"/>
        <v>Support</v>
      </c>
      <c r="AO215" s="32">
        <f t="shared" si="95"/>
        <v>5</v>
      </c>
      <c r="AP215">
        <f>step3_validation[[#This Row],[AI_TRU2]]</f>
        <v>7</v>
      </c>
      <c r="AQ215" t="str">
        <f t="shared" si="96"/>
        <v>Neutral</v>
      </c>
      <c r="AR215">
        <f>survey_responses[[#This Row],[Tôi thấy mức thuế tôi phải đóng theo phương án mới là công bằng (người thu nhập như tôi đóng mức này là hợp lý). - HUMAN-TRU2]]</f>
        <v>9</v>
      </c>
      <c r="AS215" t="str">
        <f t="shared" si="97"/>
        <v>Support</v>
      </c>
      <c r="AT215" s="32">
        <f t="shared" si="98"/>
        <v>2</v>
      </c>
      <c r="AU215">
        <f>step3_validation[[#This Row],[AI_TRU3]]</f>
        <v>6</v>
      </c>
      <c r="AV215" t="str">
        <f t="shared" si="99"/>
        <v>Neutral</v>
      </c>
      <c r="AW215">
        <f>survey_responses[[#This Row],[Tôi tin tưởng số tiền thuế tôi đóng sẽ được Nhà nước sử dụng hiệu quả để cải thiện dịch vụ công (y tế, đường xá...). - HUMAN-TRU3]]</f>
        <v>9</v>
      </c>
      <c r="AX215" t="str">
        <f t="shared" si="100"/>
        <v>Support</v>
      </c>
      <c r="AY215" s="32">
        <f t="shared" si="101"/>
        <v>3</v>
      </c>
      <c r="AZ215">
        <f>step3_validation[[#This Row],[AI_TRU4]]</f>
        <v>5</v>
      </c>
      <c r="BA215" t="str">
        <f t="shared" si="102"/>
        <v>Neutral</v>
      </c>
      <c r="BB215">
        <f>survey_responses[[#This Row],[Tôi thấy Nhà nước đã giải thích rõ ràng, minh bạch về lý do và mục tiêu của việc sửa đổi thuế lần này. - HUMAN-TRU4]]</f>
        <v>9</v>
      </c>
      <c r="BC215" t="str">
        <f t="shared" si="103"/>
        <v>Support</v>
      </c>
      <c r="BD215" s="32">
        <f t="shared" si="104"/>
        <v>4</v>
      </c>
      <c r="BE215">
        <f>step3_validation[[#This Row],[AI_OUT1]]</f>
        <v>4</v>
      </c>
      <c r="BF215" t="str">
        <f t="shared" si="105"/>
        <v>Oppose</v>
      </c>
      <c r="BG215">
        <f>survey_responses[[#This Row],[Sau khi xem xét các quyền lợi và nghĩa vụ, bạn có ủng hộ và tuân thủ chính sách mới hiện nay? - HUMAN-OUT1]]</f>
        <v>9</v>
      </c>
      <c r="BH215" t="str">
        <f t="shared" si="106"/>
        <v>Support</v>
      </c>
      <c r="BI215" s="32">
        <f t="shared" si="107"/>
        <v>5</v>
      </c>
    </row>
    <row r="216" spans="1:61" x14ac:dyDescent="0.45">
      <c r="A216" s="30">
        <f>step3_validation[[#This Row],[Persona_ID]]</f>
        <v>215</v>
      </c>
      <c r="B216" s="31">
        <f>step3_validation[[#This Row],[Used_Seed]]</f>
        <v>2205</v>
      </c>
      <c r="C216" t="str">
        <f>step3_validation[[#This Row],[Gender]]</f>
        <v>Nữ</v>
      </c>
      <c r="D216" t="str">
        <f>survey_responses[[#This Row],[Giới tính của bạn:]]</f>
        <v>Nữ</v>
      </c>
      <c r="E216" t="str">
        <f>step3_validation[[#This Row],[Age_Group]]</f>
        <v>30 - 39</v>
      </c>
      <c r="F216" t="str">
        <f>survey_responses[[#This Row],[Độ tuổi của bạn:]]</f>
        <v>30 - 39</v>
      </c>
      <c r="G216" t="str">
        <f>step3_validation[[#This Row],[Region]]</f>
        <v>Thành thị</v>
      </c>
      <c r="H216" t="str">
        <f>survey_responses[[#This Row],[Khu vực bạn đang sinh sống:]]</f>
        <v>Thành thị</v>
      </c>
      <c r="I216" t="str">
        <f>step3_validation[[#This Row],[Education]]</f>
        <v>Sau Đại học</v>
      </c>
      <c r="J216" t="str">
        <f>survey_responses[[#This Row],[Trình độ học vấn cao nhất:]]</f>
        <v>Sau Đại học</v>
      </c>
      <c r="K216" t="str">
        <f>step3_validation[[#This Row],[Employment]]</f>
        <v>Chính thức</v>
      </c>
      <c r="L216" t="str">
        <f>survey_responses[[#This Row],[Tình trạng việc làm chính:]]</f>
        <v>Khu vực chính thức (Có Hợp đồng lao động, đóng BHXH)</v>
      </c>
      <c r="M216">
        <f>step3_validation[[#This Row],[Income_Mil]]</f>
        <v>19.821571689948538</v>
      </c>
      <c r="N216" t="str">
        <f>survey_responses[[#This Row],[Thu nhập bình quân tháng theo Hợp đồng lao động của bạn là bao nhiêu? (Vui lòng điền tổng thu nhập trước khi khấu trừ các loại Bảo hiểm (BHXH, BHYT, BHTN) và Thuế TNCN)]]</f>
        <v>Từ 18 - 23 triệu VNĐ</v>
      </c>
      <c r="O216">
        <f>step3_validation[[#This Row],[Dependents]]</f>
        <v>2</v>
      </c>
      <c r="P216" t="str">
        <f>survey_responses[[#This Row],[Số người phụ thuộc (con nhỏ, cha mẹ già...) đủ điều kiện giảm trừ gia cảnh:]]</f>
        <v>2 người</v>
      </c>
      <c r="Q216">
        <f>step3_validation[[#This Row],[AI_ENF1]]</f>
        <v>5</v>
      </c>
      <c r="R216" t="str">
        <f t="shared" si="81"/>
        <v>Neutral</v>
      </c>
      <c r="S216">
        <f>survey_responses[[#This Row],[Tôi tin rằng với các quy định quản lý thuế hiện nay, hành vi gian lận hoặc trốn thuế sẽ dễ dàng bị phát hiện và xử lý nghiêm. - HUMAN-ENF1]]</f>
        <v>5</v>
      </c>
      <c r="T216" t="str">
        <f t="shared" si="82"/>
        <v>Neutral</v>
      </c>
      <c r="U216" s="32">
        <f t="shared" si="83"/>
        <v>0</v>
      </c>
      <c r="V216">
        <f>step3_validation[[#This Row],[AI_ENF2]]</f>
        <v>6</v>
      </c>
      <c r="W216" t="str">
        <f t="shared" si="84"/>
        <v>Neutral</v>
      </c>
      <c r="X216">
        <f>survey_responses[[#This Row],[Tôi tin rằng Nhà nước, cơ quan thuế có đủ khả năng và công nghệ để phát hiện, xử lý nghiêm các hành vi trốn thuế. - HUMAN-ENF2]]</f>
        <v>5</v>
      </c>
      <c r="Y216" t="str">
        <f t="shared" si="85"/>
        <v>Neutral</v>
      </c>
      <c r="Z216" s="32">
        <f t="shared" si="86"/>
        <v>1</v>
      </c>
      <c r="AA216">
        <f>step3_validation[[#This Row],[AI_FAC1]]</f>
        <v>7</v>
      </c>
      <c r="AB216" t="str">
        <f t="shared" si="87"/>
        <v>Neutral</v>
      </c>
      <c r="AC216">
        <f>survey_responses[[#This Row],[Các thủ tục khai báo thuế VÀ/HOẶC quy trình làm việc với cơ quan thuế đơn giản, tiện lợi, nhanh chóng hơn so với trước đây. - HUMAN-FAC1]]</f>
        <v>5</v>
      </c>
      <c r="AD216" t="str">
        <f t="shared" si="88"/>
        <v>Neutral</v>
      </c>
      <c r="AE216" s="32">
        <f t="shared" si="89"/>
        <v>2</v>
      </c>
      <c r="AF216">
        <f>step3_validation[[#This Row],[AI_FAC2]]</f>
        <v>6</v>
      </c>
      <c r="AG216" t="str">
        <f t="shared" si="90"/>
        <v>Neutral</v>
      </c>
      <c r="AH216">
        <f>survey_responses[[#This Row],[So với trước đây, tôi thấy cách tính thuế và các bậc thuế trong phương án mới đơn giản, dễ hiểu và dễ thực hiện hơn. - HUMAN-FAC2]]</f>
        <v>5</v>
      </c>
      <c r="AI216" t="str">
        <f t="shared" si="91"/>
        <v>Neutral</v>
      </c>
      <c r="AJ216" s="32">
        <f t="shared" si="92"/>
        <v>1</v>
      </c>
      <c r="AK216">
        <f>step3_validation[[#This Row],[AI_TRU1]]</f>
        <v>7</v>
      </c>
      <c r="AL216" t="str">
        <f t="shared" si="93"/>
        <v>Neutral</v>
      </c>
      <c r="AM216">
        <f>survey_responses[[#This Row],[Tôi tin rằng Nhà nước, cơ quan thuế sẽ thực thi chính sách mới một cách khách quan, công tâm và đối xử bình đẳng với mọi người nộp thuế.  - HUMAN-TRU1]]</f>
        <v>5</v>
      </c>
      <c r="AN216" t="str">
        <f t="shared" si="94"/>
        <v>Neutral</v>
      </c>
      <c r="AO216" s="32">
        <f t="shared" si="95"/>
        <v>2</v>
      </c>
      <c r="AP216">
        <f>step3_validation[[#This Row],[AI_TRU2]]</f>
        <v>6</v>
      </c>
      <c r="AQ216" t="str">
        <f t="shared" si="96"/>
        <v>Neutral</v>
      </c>
      <c r="AR216">
        <f>survey_responses[[#This Row],[Tôi thấy mức thuế tôi phải đóng theo phương án mới là công bằng (người thu nhập như tôi đóng mức này là hợp lý). - HUMAN-TRU2]]</f>
        <v>5</v>
      </c>
      <c r="AS216" t="str">
        <f t="shared" si="97"/>
        <v>Neutral</v>
      </c>
      <c r="AT216" s="32">
        <f t="shared" si="98"/>
        <v>1</v>
      </c>
      <c r="AU216">
        <f>step3_validation[[#This Row],[AI_TRU3]]</f>
        <v>5</v>
      </c>
      <c r="AV216" t="str">
        <f t="shared" si="99"/>
        <v>Neutral</v>
      </c>
      <c r="AW216">
        <f>survey_responses[[#This Row],[Tôi tin tưởng số tiền thuế tôi đóng sẽ được Nhà nước sử dụng hiệu quả để cải thiện dịch vụ công (y tế, đường xá...). - HUMAN-TRU3]]</f>
        <v>5</v>
      </c>
      <c r="AX216" t="str">
        <f t="shared" si="100"/>
        <v>Neutral</v>
      </c>
      <c r="AY216" s="32">
        <f t="shared" si="101"/>
        <v>0</v>
      </c>
      <c r="AZ216">
        <f>step3_validation[[#This Row],[AI_TRU4]]</f>
        <v>6</v>
      </c>
      <c r="BA216" t="str">
        <f t="shared" si="102"/>
        <v>Neutral</v>
      </c>
      <c r="BB216">
        <f>survey_responses[[#This Row],[Tôi thấy Nhà nước đã giải thích rõ ràng, minh bạch về lý do và mục tiêu của việc sửa đổi thuế lần này. - HUMAN-TRU4]]</f>
        <v>5</v>
      </c>
      <c r="BC216" t="str">
        <f t="shared" si="103"/>
        <v>Neutral</v>
      </c>
      <c r="BD216" s="32">
        <f t="shared" si="104"/>
        <v>1</v>
      </c>
      <c r="BE216">
        <f>step3_validation[[#This Row],[AI_OUT1]]</f>
        <v>7</v>
      </c>
      <c r="BF216" t="str">
        <f t="shared" si="105"/>
        <v>Neutral</v>
      </c>
      <c r="BG216">
        <f>survey_responses[[#This Row],[Sau khi xem xét các quyền lợi và nghĩa vụ, bạn có ủng hộ và tuân thủ chính sách mới hiện nay? - HUMAN-OUT1]]</f>
        <v>5</v>
      </c>
      <c r="BH216" t="str">
        <f t="shared" si="106"/>
        <v>Neutral</v>
      </c>
      <c r="BI216" s="32">
        <f t="shared" si="107"/>
        <v>2</v>
      </c>
    </row>
    <row r="217" spans="1:61" x14ac:dyDescent="0.45">
      <c r="A217" s="30">
        <f>step3_validation[[#This Row],[Persona_ID]]</f>
        <v>216</v>
      </c>
      <c r="B217" s="31">
        <f>step3_validation[[#This Row],[Used_Seed]]</f>
        <v>2206</v>
      </c>
      <c r="C217" t="str">
        <f>step3_validation[[#This Row],[Gender]]</f>
        <v>Nữ</v>
      </c>
      <c r="D217" t="str">
        <f>survey_responses[[#This Row],[Giới tính của bạn:]]</f>
        <v>Nữ</v>
      </c>
      <c r="E217" t="str">
        <f>step3_validation[[#This Row],[Age_Group]]</f>
        <v>30 - 39</v>
      </c>
      <c r="F217" t="str">
        <f>survey_responses[[#This Row],[Độ tuổi của bạn:]]</f>
        <v>30 - 39</v>
      </c>
      <c r="G217" t="str">
        <f>step3_validation[[#This Row],[Region]]</f>
        <v>Thành thị</v>
      </c>
      <c r="H217" t="str">
        <f>survey_responses[[#This Row],[Khu vực bạn đang sinh sống:]]</f>
        <v>Thành thị</v>
      </c>
      <c r="I217" t="str">
        <f>step3_validation[[#This Row],[Education]]</f>
        <v>Sau Đại học</v>
      </c>
      <c r="J217" t="str">
        <f>survey_responses[[#This Row],[Trình độ học vấn cao nhất:]]</f>
        <v>Sau Đại học</v>
      </c>
      <c r="K217" t="str">
        <f>step3_validation[[#This Row],[Employment]]</f>
        <v>Chính thức</v>
      </c>
      <c r="L217" t="str">
        <f>survey_responses[[#This Row],[Tình trạng việc làm chính:]]</f>
        <v>Khu vực chính thức (Có Hợp đồng lao động, đóng BHXH)</v>
      </c>
      <c r="M217">
        <f>step3_validation[[#This Row],[Income_Mil]]</f>
        <v>41.401414327447036</v>
      </c>
      <c r="N217" t="str">
        <f>survey_responses[[#This Row],[Thu nhập bình quân tháng theo Hợp đồng lao động của bạn là bao nhiêu? (Vui lòng điền tổng thu nhập trước khi khấu trừ các loại Bảo hiểm (BHXH, BHYT, BHTN) và Thuế TNCN)]]</f>
        <v>Từ 32 - 48 triệu VNĐ</v>
      </c>
      <c r="O217">
        <f>step3_validation[[#This Row],[Dependents]]</f>
        <v>1</v>
      </c>
      <c r="P217" t="str">
        <f>survey_responses[[#This Row],[Số người phụ thuộc (con nhỏ, cha mẹ già...) đủ điều kiện giảm trừ gia cảnh:]]</f>
        <v>1 người</v>
      </c>
      <c r="Q217">
        <f>step3_validation[[#This Row],[AI_ENF1]]</f>
        <v>7</v>
      </c>
      <c r="R217" t="str">
        <f t="shared" si="81"/>
        <v>Neutral</v>
      </c>
      <c r="S217">
        <f>survey_responses[[#This Row],[Tôi tin rằng với các quy định quản lý thuế hiện nay, hành vi gian lận hoặc trốn thuế sẽ dễ dàng bị phát hiện và xử lý nghiêm. - HUMAN-ENF1]]</f>
        <v>6</v>
      </c>
      <c r="T217" t="str">
        <f t="shared" si="82"/>
        <v>Neutral</v>
      </c>
      <c r="U217" s="32">
        <f t="shared" si="83"/>
        <v>1</v>
      </c>
      <c r="V217">
        <f>step3_validation[[#This Row],[AI_ENF2]]</f>
        <v>6</v>
      </c>
      <c r="W217" t="str">
        <f t="shared" si="84"/>
        <v>Neutral</v>
      </c>
      <c r="X217">
        <f>survey_responses[[#This Row],[Tôi tin rằng Nhà nước, cơ quan thuế có đủ khả năng và công nghệ để phát hiện, xử lý nghiêm các hành vi trốn thuế. - HUMAN-ENF2]]</f>
        <v>7</v>
      </c>
      <c r="Y217" t="str">
        <f t="shared" si="85"/>
        <v>Neutral</v>
      </c>
      <c r="Z217" s="32">
        <f t="shared" si="86"/>
        <v>1</v>
      </c>
      <c r="AA217">
        <f>step3_validation[[#This Row],[AI_FAC1]]</f>
        <v>8</v>
      </c>
      <c r="AB217" t="str">
        <f t="shared" si="87"/>
        <v>Support</v>
      </c>
      <c r="AC217">
        <f>survey_responses[[#This Row],[Các thủ tục khai báo thuế VÀ/HOẶC quy trình làm việc với cơ quan thuế đơn giản, tiện lợi, nhanh chóng hơn so với trước đây. - HUMAN-FAC1]]</f>
        <v>7</v>
      </c>
      <c r="AD217" t="str">
        <f t="shared" si="88"/>
        <v>Neutral</v>
      </c>
      <c r="AE217" s="32">
        <f t="shared" si="89"/>
        <v>1</v>
      </c>
      <c r="AF217">
        <f>step3_validation[[#This Row],[AI_FAC2]]</f>
        <v>7</v>
      </c>
      <c r="AG217" t="str">
        <f t="shared" si="90"/>
        <v>Neutral</v>
      </c>
      <c r="AH217">
        <f>survey_responses[[#This Row],[So với trước đây, tôi thấy cách tính thuế và các bậc thuế trong phương án mới đơn giản, dễ hiểu và dễ thực hiện hơn. - HUMAN-FAC2]]</f>
        <v>7</v>
      </c>
      <c r="AI217" t="str">
        <f t="shared" si="91"/>
        <v>Neutral</v>
      </c>
      <c r="AJ217" s="32">
        <f t="shared" si="92"/>
        <v>0</v>
      </c>
      <c r="AK217">
        <f>step3_validation[[#This Row],[AI_TRU1]]</f>
        <v>8</v>
      </c>
      <c r="AL217" t="str">
        <f t="shared" si="93"/>
        <v>Support</v>
      </c>
      <c r="AM217">
        <f>survey_responses[[#This Row],[Tôi tin rằng Nhà nước, cơ quan thuế sẽ thực thi chính sách mới một cách khách quan, công tâm và đối xử bình đẳng với mọi người nộp thuế.  - HUMAN-TRU1]]</f>
        <v>6</v>
      </c>
      <c r="AN217" t="str">
        <f t="shared" si="94"/>
        <v>Neutral</v>
      </c>
      <c r="AO217" s="32">
        <f t="shared" si="95"/>
        <v>2</v>
      </c>
      <c r="AP217">
        <f>step3_validation[[#This Row],[AI_TRU2]]</f>
        <v>7</v>
      </c>
      <c r="AQ217" t="str">
        <f t="shared" si="96"/>
        <v>Neutral</v>
      </c>
      <c r="AR217">
        <f>survey_responses[[#This Row],[Tôi thấy mức thuế tôi phải đóng theo phương án mới là công bằng (người thu nhập như tôi đóng mức này là hợp lý). - HUMAN-TRU2]]</f>
        <v>7</v>
      </c>
      <c r="AS217" t="str">
        <f t="shared" si="97"/>
        <v>Neutral</v>
      </c>
      <c r="AT217" s="32">
        <f t="shared" si="98"/>
        <v>0</v>
      </c>
      <c r="AU217">
        <f>step3_validation[[#This Row],[AI_TRU3]]</f>
        <v>8</v>
      </c>
      <c r="AV217" t="str">
        <f t="shared" si="99"/>
        <v>Support</v>
      </c>
      <c r="AW217">
        <f>survey_responses[[#This Row],[Tôi tin tưởng số tiền thuế tôi đóng sẽ được Nhà nước sử dụng hiệu quả để cải thiện dịch vụ công (y tế, đường xá...). - HUMAN-TRU3]]</f>
        <v>7</v>
      </c>
      <c r="AX217" t="str">
        <f t="shared" si="100"/>
        <v>Neutral</v>
      </c>
      <c r="AY217" s="32">
        <f t="shared" si="101"/>
        <v>1</v>
      </c>
      <c r="AZ217">
        <f>step3_validation[[#This Row],[AI_TRU4]]</f>
        <v>6</v>
      </c>
      <c r="BA217" t="str">
        <f t="shared" si="102"/>
        <v>Neutral</v>
      </c>
      <c r="BB217">
        <f>survey_responses[[#This Row],[Tôi thấy Nhà nước đã giải thích rõ ràng, minh bạch về lý do và mục tiêu của việc sửa đổi thuế lần này. - HUMAN-TRU4]]</f>
        <v>7</v>
      </c>
      <c r="BC217" t="str">
        <f t="shared" si="103"/>
        <v>Neutral</v>
      </c>
      <c r="BD217" s="32">
        <f t="shared" si="104"/>
        <v>1</v>
      </c>
      <c r="BE217">
        <f>step3_validation[[#This Row],[AI_OUT1]]</f>
        <v>7</v>
      </c>
      <c r="BF217" t="str">
        <f t="shared" si="105"/>
        <v>Neutral</v>
      </c>
      <c r="BG217">
        <f>survey_responses[[#This Row],[Sau khi xem xét các quyền lợi và nghĩa vụ, bạn có ủng hộ và tuân thủ chính sách mới hiện nay? - HUMAN-OUT1]]</f>
        <v>7</v>
      </c>
      <c r="BH217" t="str">
        <f t="shared" si="106"/>
        <v>Neutral</v>
      </c>
      <c r="BI217" s="32">
        <f t="shared" si="107"/>
        <v>0</v>
      </c>
    </row>
    <row r="218" spans="1:61" x14ac:dyDescent="0.45">
      <c r="A218" s="30">
        <f>step3_validation[[#This Row],[Persona_ID]]</f>
        <v>217</v>
      </c>
      <c r="B218" s="31">
        <f>step3_validation[[#This Row],[Used_Seed]]</f>
        <v>2207</v>
      </c>
      <c r="C218" t="str">
        <f>step3_validation[[#This Row],[Gender]]</f>
        <v>Nam</v>
      </c>
      <c r="D218" t="str">
        <f>survey_responses[[#This Row],[Giới tính của bạn:]]</f>
        <v>Nam</v>
      </c>
      <c r="E218" t="str">
        <f>step3_validation[[#This Row],[Age_Group]]</f>
        <v>30 - 39</v>
      </c>
      <c r="F218" t="str">
        <f>survey_responses[[#This Row],[Độ tuổi của bạn:]]</f>
        <v>30 - 39</v>
      </c>
      <c r="G218" t="str">
        <f>step3_validation[[#This Row],[Region]]</f>
        <v>Thành thị</v>
      </c>
      <c r="H218" t="str">
        <f>survey_responses[[#This Row],[Khu vực bạn đang sinh sống:]]</f>
        <v>Thành thị</v>
      </c>
      <c r="I218" t="str">
        <f>step3_validation[[#This Row],[Education]]</f>
        <v>Đại học</v>
      </c>
      <c r="J218" t="str">
        <f>survey_responses[[#This Row],[Trình độ học vấn cao nhất:]]</f>
        <v>Đại học</v>
      </c>
      <c r="K218" t="str">
        <f>step3_validation[[#This Row],[Employment]]</f>
        <v>Chính thức</v>
      </c>
      <c r="L218" t="str">
        <f>survey_responses[[#This Row],[Tình trạng việc làm chính:]]</f>
        <v>Khu vực chính thức (Có Hợp đồng lao động, đóng BHXH)</v>
      </c>
      <c r="M218">
        <f>step3_validation[[#This Row],[Income_Mil]]</f>
        <v>41.834261296939601</v>
      </c>
      <c r="N218" t="str">
        <f>survey_responses[[#This Row],[Thu nhập bình quân tháng theo Hợp đồng lao động của bạn là bao nhiêu? (Vui lòng điền tổng thu nhập trước khi khấu trừ các loại Bảo hiểm (BHXH, BHYT, BHTN) và Thuế TNCN)]]</f>
        <v>Từ 32 - 48 triệu VNĐ</v>
      </c>
      <c r="O218">
        <f>step3_validation[[#This Row],[Dependents]]</f>
        <v>0</v>
      </c>
      <c r="P218" t="str">
        <f>survey_responses[[#This Row],[Số người phụ thuộc (con nhỏ, cha mẹ già...) đủ điều kiện giảm trừ gia cảnh:]]</f>
        <v>0 người</v>
      </c>
      <c r="Q218">
        <f>step3_validation[[#This Row],[AI_ENF1]]</f>
        <v>6</v>
      </c>
      <c r="R218" t="str">
        <f t="shared" si="81"/>
        <v>Neutral</v>
      </c>
      <c r="S218">
        <f>survey_responses[[#This Row],[Tôi tin rằng với các quy định quản lý thuế hiện nay, hành vi gian lận hoặc trốn thuế sẽ dễ dàng bị phát hiện và xử lý nghiêm. - HUMAN-ENF1]]</f>
        <v>5</v>
      </c>
      <c r="T218" t="str">
        <f t="shared" si="82"/>
        <v>Neutral</v>
      </c>
      <c r="U218" s="32">
        <f t="shared" si="83"/>
        <v>1</v>
      </c>
      <c r="V218">
        <f>step3_validation[[#This Row],[AI_ENF2]]</f>
        <v>7</v>
      </c>
      <c r="W218" t="str">
        <f t="shared" si="84"/>
        <v>Neutral</v>
      </c>
      <c r="X218">
        <f>survey_responses[[#This Row],[Tôi tin rằng Nhà nước, cơ quan thuế có đủ khả năng và công nghệ để phát hiện, xử lý nghiêm các hành vi trốn thuế. - HUMAN-ENF2]]</f>
        <v>5</v>
      </c>
      <c r="Y218" t="str">
        <f t="shared" si="85"/>
        <v>Neutral</v>
      </c>
      <c r="Z218" s="32">
        <f t="shared" si="86"/>
        <v>2</v>
      </c>
      <c r="AA218">
        <f>step3_validation[[#This Row],[AI_FAC1]]</f>
        <v>8</v>
      </c>
      <c r="AB218" t="str">
        <f t="shared" si="87"/>
        <v>Support</v>
      </c>
      <c r="AC218">
        <f>survey_responses[[#This Row],[Các thủ tục khai báo thuế VÀ/HOẶC quy trình làm việc với cơ quan thuế đơn giản, tiện lợi, nhanh chóng hơn so với trước đây. - HUMAN-FAC1]]</f>
        <v>5</v>
      </c>
      <c r="AD218" t="str">
        <f t="shared" si="88"/>
        <v>Neutral</v>
      </c>
      <c r="AE218" s="32">
        <f t="shared" si="89"/>
        <v>3</v>
      </c>
      <c r="AF218">
        <f>step3_validation[[#This Row],[AI_FAC2]]</f>
        <v>6</v>
      </c>
      <c r="AG218" t="str">
        <f t="shared" si="90"/>
        <v>Neutral</v>
      </c>
      <c r="AH218">
        <f>survey_responses[[#This Row],[So với trước đây, tôi thấy cách tính thuế và các bậc thuế trong phương án mới đơn giản, dễ hiểu và dễ thực hiện hơn. - HUMAN-FAC2]]</f>
        <v>6</v>
      </c>
      <c r="AI218" t="str">
        <f t="shared" si="91"/>
        <v>Neutral</v>
      </c>
      <c r="AJ218" s="32">
        <f t="shared" si="92"/>
        <v>0</v>
      </c>
      <c r="AK218">
        <f>step3_validation[[#This Row],[AI_TRU1]]</f>
        <v>7</v>
      </c>
      <c r="AL218" t="str">
        <f t="shared" si="93"/>
        <v>Neutral</v>
      </c>
      <c r="AM218">
        <f>survey_responses[[#This Row],[Tôi tin rằng Nhà nước, cơ quan thuế sẽ thực thi chính sách mới một cách khách quan, công tâm và đối xử bình đẳng với mọi người nộp thuế.  - HUMAN-TRU1]]</f>
        <v>5</v>
      </c>
      <c r="AN218" t="str">
        <f t="shared" si="94"/>
        <v>Neutral</v>
      </c>
      <c r="AO218" s="32">
        <f t="shared" si="95"/>
        <v>2</v>
      </c>
      <c r="AP218">
        <f>step3_validation[[#This Row],[AI_TRU2]]</f>
        <v>6</v>
      </c>
      <c r="AQ218" t="str">
        <f t="shared" si="96"/>
        <v>Neutral</v>
      </c>
      <c r="AR218">
        <f>survey_responses[[#This Row],[Tôi thấy mức thuế tôi phải đóng theo phương án mới là công bằng (người thu nhập như tôi đóng mức này là hợp lý). - HUMAN-TRU2]]</f>
        <v>5</v>
      </c>
      <c r="AS218" t="str">
        <f t="shared" si="97"/>
        <v>Neutral</v>
      </c>
      <c r="AT218" s="32">
        <f t="shared" si="98"/>
        <v>1</v>
      </c>
      <c r="AU218">
        <f>step3_validation[[#This Row],[AI_TRU3]]</f>
        <v>7</v>
      </c>
      <c r="AV218" t="str">
        <f t="shared" si="99"/>
        <v>Neutral</v>
      </c>
      <c r="AW218">
        <f>survey_responses[[#This Row],[Tôi tin tưởng số tiền thuế tôi đóng sẽ được Nhà nước sử dụng hiệu quả để cải thiện dịch vụ công (y tế, đường xá...). - HUMAN-TRU3]]</f>
        <v>5</v>
      </c>
      <c r="AX218" t="str">
        <f t="shared" si="100"/>
        <v>Neutral</v>
      </c>
      <c r="AY218" s="32">
        <f t="shared" si="101"/>
        <v>2</v>
      </c>
      <c r="AZ218">
        <f>step3_validation[[#This Row],[AI_TRU4]]</f>
        <v>5</v>
      </c>
      <c r="BA218" t="str">
        <f t="shared" si="102"/>
        <v>Neutral</v>
      </c>
      <c r="BB218">
        <f>survey_responses[[#This Row],[Tôi thấy Nhà nước đã giải thích rõ ràng, minh bạch về lý do và mục tiêu của việc sửa đổi thuế lần này. - HUMAN-TRU4]]</f>
        <v>5</v>
      </c>
      <c r="BC218" t="str">
        <f t="shared" si="103"/>
        <v>Neutral</v>
      </c>
      <c r="BD218" s="32">
        <f t="shared" si="104"/>
        <v>0</v>
      </c>
      <c r="BE218">
        <f>step3_validation[[#This Row],[AI_OUT1]]</f>
        <v>6</v>
      </c>
      <c r="BF218" t="str">
        <f t="shared" si="105"/>
        <v>Neutral</v>
      </c>
      <c r="BG218">
        <f>survey_responses[[#This Row],[Sau khi xem xét các quyền lợi và nghĩa vụ, bạn có ủng hộ và tuân thủ chính sách mới hiện nay? - HUMAN-OUT1]]</f>
        <v>5</v>
      </c>
      <c r="BH218" t="str">
        <f t="shared" si="106"/>
        <v>Neutral</v>
      </c>
      <c r="BI218" s="32">
        <f t="shared" si="107"/>
        <v>1</v>
      </c>
    </row>
    <row r="219" spans="1:61" x14ac:dyDescent="0.45">
      <c r="A219" s="30">
        <f>step3_validation[[#This Row],[Persona_ID]]</f>
        <v>218</v>
      </c>
      <c r="B219" s="31">
        <f>step3_validation[[#This Row],[Used_Seed]]</f>
        <v>2208</v>
      </c>
      <c r="C219" t="str">
        <f>step3_validation[[#This Row],[Gender]]</f>
        <v>Nữ</v>
      </c>
      <c r="D219" t="str">
        <f>survey_responses[[#This Row],[Giới tính của bạn:]]</f>
        <v>Nữ</v>
      </c>
      <c r="E219" t="str">
        <f>step3_validation[[#This Row],[Age_Group]]</f>
        <v>30 - 39</v>
      </c>
      <c r="F219" t="str">
        <f>survey_responses[[#This Row],[Độ tuổi của bạn:]]</f>
        <v>30 - 39</v>
      </c>
      <c r="G219" t="str">
        <f>step3_validation[[#This Row],[Region]]</f>
        <v>Thành thị</v>
      </c>
      <c r="H219" t="str">
        <f>survey_responses[[#This Row],[Khu vực bạn đang sinh sống:]]</f>
        <v>Thành thị</v>
      </c>
      <c r="I219" t="str">
        <f>step3_validation[[#This Row],[Education]]</f>
        <v>Đại học</v>
      </c>
      <c r="J219" t="str">
        <f>survey_responses[[#This Row],[Trình độ học vấn cao nhất:]]</f>
        <v>Đại học</v>
      </c>
      <c r="K219" t="str">
        <f>step3_validation[[#This Row],[Employment]]</f>
        <v>Chính thức</v>
      </c>
      <c r="L219" t="str">
        <f>survey_responses[[#This Row],[Tình trạng việc làm chính:]]</f>
        <v>Khu vực chính thức (Có Hợp đồng lao động, đóng BHXH)</v>
      </c>
      <c r="M219">
        <f>step3_validation[[#This Row],[Income_Mil]]</f>
        <v>65.255038986454082</v>
      </c>
      <c r="N219" t="str">
        <f>survey_responses[[#This Row],[Thu nhập bình quân tháng theo Hợp đồng lao động của bạn là bao nhiêu? (Vui lòng điền tổng thu nhập trước khi khấu trừ các loại Bảo hiểm (BHXH, BHYT, BHTN) và Thuế TNCN)]]</f>
        <v>Từ 48 - 70 triệu VNĐ</v>
      </c>
      <c r="O219">
        <f>step3_validation[[#This Row],[Dependents]]</f>
        <v>3</v>
      </c>
      <c r="P219" t="str">
        <f>survey_responses[[#This Row],[Số người phụ thuộc (con nhỏ, cha mẹ già...) đủ điều kiện giảm trừ gia cảnh:]]</f>
        <v>3 người</v>
      </c>
      <c r="Q219">
        <f>step3_validation[[#This Row],[AI_ENF1]]</f>
        <v>7</v>
      </c>
      <c r="R219" t="str">
        <f t="shared" si="81"/>
        <v>Neutral</v>
      </c>
      <c r="S219">
        <f>survey_responses[[#This Row],[Tôi tin rằng với các quy định quản lý thuế hiện nay, hành vi gian lận hoặc trốn thuế sẽ dễ dàng bị phát hiện và xử lý nghiêm. - HUMAN-ENF1]]</f>
        <v>6</v>
      </c>
      <c r="T219" t="str">
        <f t="shared" si="82"/>
        <v>Neutral</v>
      </c>
      <c r="U219" s="32">
        <f t="shared" si="83"/>
        <v>1</v>
      </c>
      <c r="V219">
        <f>step3_validation[[#This Row],[AI_ENF2]]</f>
        <v>8</v>
      </c>
      <c r="W219" t="str">
        <f t="shared" si="84"/>
        <v>Support</v>
      </c>
      <c r="X219">
        <f>survey_responses[[#This Row],[Tôi tin rằng Nhà nước, cơ quan thuế có đủ khả năng và công nghệ để phát hiện, xử lý nghiêm các hành vi trốn thuế. - HUMAN-ENF2]]</f>
        <v>7</v>
      </c>
      <c r="Y219" t="str">
        <f t="shared" si="85"/>
        <v>Neutral</v>
      </c>
      <c r="Z219" s="32">
        <f t="shared" si="86"/>
        <v>1</v>
      </c>
      <c r="AA219">
        <f>step3_validation[[#This Row],[AI_FAC1]]</f>
        <v>6</v>
      </c>
      <c r="AB219" t="str">
        <f t="shared" si="87"/>
        <v>Neutral</v>
      </c>
      <c r="AC219">
        <f>survey_responses[[#This Row],[Các thủ tục khai báo thuế VÀ/HOẶC quy trình làm việc với cơ quan thuế đơn giản, tiện lợi, nhanh chóng hơn so với trước đây. - HUMAN-FAC1]]</f>
        <v>7</v>
      </c>
      <c r="AD219" t="str">
        <f t="shared" si="88"/>
        <v>Neutral</v>
      </c>
      <c r="AE219" s="32">
        <f t="shared" si="89"/>
        <v>1</v>
      </c>
      <c r="AF219">
        <f>step3_validation[[#This Row],[AI_FAC2]]</f>
        <v>5</v>
      </c>
      <c r="AG219" t="str">
        <f t="shared" si="90"/>
        <v>Neutral</v>
      </c>
      <c r="AH219">
        <f>survey_responses[[#This Row],[So với trước đây, tôi thấy cách tính thuế và các bậc thuế trong phương án mới đơn giản, dễ hiểu và dễ thực hiện hơn. - HUMAN-FAC2]]</f>
        <v>7</v>
      </c>
      <c r="AI219" t="str">
        <f t="shared" si="91"/>
        <v>Neutral</v>
      </c>
      <c r="AJ219" s="32">
        <f t="shared" si="92"/>
        <v>2</v>
      </c>
      <c r="AK219">
        <f>step3_validation[[#This Row],[AI_TRU1]]</f>
        <v>7</v>
      </c>
      <c r="AL219" t="str">
        <f t="shared" si="93"/>
        <v>Neutral</v>
      </c>
      <c r="AM219">
        <f>survey_responses[[#This Row],[Tôi tin rằng Nhà nước, cơ quan thuế sẽ thực thi chính sách mới một cách khách quan, công tâm và đối xử bình đẳng với mọi người nộp thuế.  - HUMAN-TRU1]]</f>
        <v>7</v>
      </c>
      <c r="AN219" t="str">
        <f t="shared" si="94"/>
        <v>Neutral</v>
      </c>
      <c r="AO219" s="32">
        <f t="shared" si="95"/>
        <v>0</v>
      </c>
      <c r="AP219">
        <f>step3_validation[[#This Row],[AI_TRU2]]</f>
        <v>6</v>
      </c>
      <c r="AQ219" t="str">
        <f t="shared" si="96"/>
        <v>Neutral</v>
      </c>
      <c r="AR219">
        <f>survey_responses[[#This Row],[Tôi thấy mức thuế tôi phải đóng theo phương án mới là công bằng (người thu nhập như tôi đóng mức này là hợp lý). - HUMAN-TRU2]]</f>
        <v>7</v>
      </c>
      <c r="AS219" t="str">
        <f t="shared" si="97"/>
        <v>Neutral</v>
      </c>
      <c r="AT219" s="32">
        <f t="shared" si="98"/>
        <v>1</v>
      </c>
      <c r="AU219">
        <f>step3_validation[[#This Row],[AI_TRU3]]</f>
        <v>7</v>
      </c>
      <c r="AV219" t="str">
        <f t="shared" si="99"/>
        <v>Neutral</v>
      </c>
      <c r="AW219">
        <f>survey_responses[[#This Row],[Tôi tin tưởng số tiền thuế tôi đóng sẽ được Nhà nước sử dụng hiệu quả để cải thiện dịch vụ công (y tế, đường xá...). - HUMAN-TRU3]]</f>
        <v>7</v>
      </c>
      <c r="AX219" t="str">
        <f t="shared" si="100"/>
        <v>Neutral</v>
      </c>
      <c r="AY219" s="32">
        <f t="shared" si="101"/>
        <v>0</v>
      </c>
      <c r="AZ219">
        <f>step3_validation[[#This Row],[AI_TRU4]]</f>
        <v>6</v>
      </c>
      <c r="BA219" t="str">
        <f t="shared" si="102"/>
        <v>Neutral</v>
      </c>
      <c r="BB219">
        <f>survey_responses[[#This Row],[Tôi thấy Nhà nước đã giải thích rõ ràng, minh bạch về lý do và mục tiêu của việc sửa đổi thuế lần này. - HUMAN-TRU4]]</f>
        <v>7</v>
      </c>
      <c r="BC219" t="str">
        <f t="shared" si="103"/>
        <v>Neutral</v>
      </c>
      <c r="BD219" s="32">
        <f t="shared" si="104"/>
        <v>1</v>
      </c>
      <c r="BE219">
        <f>step3_validation[[#This Row],[AI_OUT1]]</f>
        <v>7</v>
      </c>
      <c r="BF219" t="str">
        <f t="shared" si="105"/>
        <v>Neutral</v>
      </c>
      <c r="BG219">
        <f>survey_responses[[#This Row],[Sau khi xem xét các quyền lợi và nghĩa vụ, bạn có ủng hộ và tuân thủ chính sách mới hiện nay? - HUMAN-OUT1]]</f>
        <v>7</v>
      </c>
      <c r="BH219" t="str">
        <f t="shared" si="106"/>
        <v>Neutral</v>
      </c>
      <c r="BI219" s="32">
        <f t="shared" si="107"/>
        <v>0</v>
      </c>
    </row>
    <row r="220" spans="1:61" x14ac:dyDescent="0.45">
      <c r="A220" s="30">
        <f>step3_validation[[#This Row],[Persona_ID]]</f>
        <v>219</v>
      </c>
      <c r="B220" s="31">
        <f>step3_validation[[#This Row],[Used_Seed]]</f>
        <v>2209</v>
      </c>
      <c r="C220" t="str">
        <f>step3_validation[[#This Row],[Gender]]</f>
        <v>Nam</v>
      </c>
      <c r="D220" t="str">
        <f>survey_responses[[#This Row],[Giới tính của bạn:]]</f>
        <v>Nam</v>
      </c>
      <c r="E220" t="str">
        <f>step3_validation[[#This Row],[Age_Group]]</f>
        <v>55 - 64</v>
      </c>
      <c r="F220" t="str">
        <f>survey_responses[[#This Row],[Độ tuổi của bạn:]]</f>
        <v>55 - 64</v>
      </c>
      <c r="G220" t="str">
        <f>step3_validation[[#This Row],[Region]]</f>
        <v>Thành thị</v>
      </c>
      <c r="H220" t="str">
        <f>survey_responses[[#This Row],[Khu vực bạn đang sinh sống:]]</f>
        <v>Thành thị</v>
      </c>
      <c r="I220" t="str">
        <f>step3_validation[[#This Row],[Education]]</f>
        <v>Sau Đại học</v>
      </c>
      <c r="J220" t="str">
        <f>survey_responses[[#This Row],[Trình độ học vấn cao nhất:]]</f>
        <v>Sau Đại học</v>
      </c>
      <c r="K220" t="str">
        <f>step3_validation[[#This Row],[Employment]]</f>
        <v>Chính thức</v>
      </c>
      <c r="L220" t="str">
        <f>survey_responses[[#This Row],[Tình trạng việc làm chính:]]</f>
        <v>Khu vực chính thức (Có Hợp đồng lao động, đóng BHXH)</v>
      </c>
      <c r="M220">
        <f>step3_validation[[#This Row],[Income_Mil]]</f>
        <v>149.08467482785926</v>
      </c>
      <c r="N220" t="str">
        <f>survey_responses[[#This Row],[Thu nhập bình quân tháng theo Hợp đồng lao động của bạn là bao nhiêu? (Vui lòng điền tổng thu nhập trước khi khấu trừ các loại Bảo hiểm (BHXH, BHYT, BHTN) và Thuế TNCN)]]</f>
        <v>Trên 102 triệu VNĐ</v>
      </c>
      <c r="O220">
        <f>step3_validation[[#This Row],[Dependents]]</f>
        <v>2</v>
      </c>
      <c r="P220" t="str">
        <f>survey_responses[[#This Row],[Số người phụ thuộc (con nhỏ, cha mẹ già...) đủ điều kiện giảm trừ gia cảnh:]]</f>
        <v>2 người</v>
      </c>
      <c r="Q220">
        <f>step3_validation[[#This Row],[AI_ENF1]]</f>
        <v>7</v>
      </c>
      <c r="R220" t="str">
        <f t="shared" si="81"/>
        <v>Neutral</v>
      </c>
      <c r="S220">
        <f>survey_responses[[#This Row],[Tôi tin rằng với các quy định quản lý thuế hiện nay, hành vi gian lận hoặc trốn thuế sẽ dễ dàng bị phát hiện và xử lý nghiêm. - HUMAN-ENF1]]</f>
        <v>7</v>
      </c>
      <c r="T220" t="str">
        <f t="shared" si="82"/>
        <v>Neutral</v>
      </c>
      <c r="U220" s="32">
        <f t="shared" si="83"/>
        <v>0</v>
      </c>
      <c r="V220">
        <f>step3_validation[[#This Row],[AI_ENF2]]</f>
        <v>6</v>
      </c>
      <c r="W220" t="str">
        <f t="shared" si="84"/>
        <v>Neutral</v>
      </c>
      <c r="X220">
        <f>survey_responses[[#This Row],[Tôi tin rằng Nhà nước, cơ quan thuế có đủ khả năng và công nghệ để phát hiện, xử lý nghiêm các hành vi trốn thuế. - HUMAN-ENF2]]</f>
        <v>8</v>
      </c>
      <c r="Y220" t="str">
        <f t="shared" si="85"/>
        <v>Support</v>
      </c>
      <c r="Z220" s="32">
        <f t="shared" si="86"/>
        <v>2</v>
      </c>
      <c r="AA220">
        <f>step3_validation[[#This Row],[AI_FAC1]]</f>
        <v>4</v>
      </c>
      <c r="AB220" t="str">
        <f t="shared" si="87"/>
        <v>Oppose</v>
      </c>
      <c r="AC220">
        <f>survey_responses[[#This Row],[Các thủ tục khai báo thuế VÀ/HOẶC quy trình làm việc với cơ quan thuế đơn giản, tiện lợi, nhanh chóng hơn so với trước đây. - HUMAN-FAC1]]</f>
        <v>8</v>
      </c>
      <c r="AD220" t="str">
        <f t="shared" si="88"/>
        <v>Support</v>
      </c>
      <c r="AE220" s="32">
        <f t="shared" si="89"/>
        <v>4</v>
      </c>
      <c r="AF220">
        <f>step3_validation[[#This Row],[AI_FAC2]]</f>
        <v>8</v>
      </c>
      <c r="AG220" t="str">
        <f t="shared" si="90"/>
        <v>Support</v>
      </c>
      <c r="AH220">
        <f>survey_responses[[#This Row],[So với trước đây, tôi thấy cách tính thuế và các bậc thuế trong phương án mới đơn giản, dễ hiểu và dễ thực hiện hơn. - HUMAN-FAC2]]</f>
        <v>8</v>
      </c>
      <c r="AI220" t="str">
        <f t="shared" si="91"/>
        <v>Support</v>
      </c>
      <c r="AJ220" s="32">
        <f t="shared" si="92"/>
        <v>0</v>
      </c>
      <c r="AK220">
        <f>step3_validation[[#This Row],[AI_TRU1]]</f>
        <v>6</v>
      </c>
      <c r="AL220" t="str">
        <f t="shared" si="93"/>
        <v>Neutral</v>
      </c>
      <c r="AM220">
        <f>survey_responses[[#This Row],[Tôi tin rằng Nhà nước, cơ quan thuế sẽ thực thi chính sách mới một cách khách quan, công tâm và đối xử bình đẳng với mọi người nộp thuế.  - HUMAN-TRU1]]</f>
        <v>8</v>
      </c>
      <c r="AN220" t="str">
        <f t="shared" si="94"/>
        <v>Support</v>
      </c>
      <c r="AO220" s="32">
        <f t="shared" si="95"/>
        <v>2</v>
      </c>
      <c r="AP220">
        <f>step3_validation[[#This Row],[AI_TRU2]]</f>
        <v>5</v>
      </c>
      <c r="AQ220" t="str">
        <f t="shared" si="96"/>
        <v>Neutral</v>
      </c>
      <c r="AR220">
        <f>survey_responses[[#This Row],[Tôi thấy mức thuế tôi phải đóng theo phương án mới là công bằng (người thu nhập như tôi đóng mức này là hợp lý). - HUMAN-TRU2]]</f>
        <v>5</v>
      </c>
      <c r="AS220" t="str">
        <f t="shared" si="97"/>
        <v>Neutral</v>
      </c>
      <c r="AT220" s="32">
        <f t="shared" si="98"/>
        <v>0</v>
      </c>
      <c r="AU220">
        <f>step3_validation[[#This Row],[AI_TRU3]]</f>
        <v>6</v>
      </c>
      <c r="AV220" t="str">
        <f t="shared" si="99"/>
        <v>Neutral</v>
      </c>
      <c r="AW220">
        <f>survey_responses[[#This Row],[Tôi tin tưởng số tiền thuế tôi đóng sẽ được Nhà nước sử dụng hiệu quả để cải thiện dịch vụ công (y tế, đường xá...). - HUMAN-TRU3]]</f>
        <v>5</v>
      </c>
      <c r="AX220" t="str">
        <f t="shared" si="100"/>
        <v>Neutral</v>
      </c>
      <c r="AY220" s="32">
        <f t="shared" si="101"/>
        <v>1</v>
      </c>
      <c r="AZ220">
        <f>step3_validation[[#This Row],[AI_TRU4]]</f>
        <v>5</v>
      </c>
      <c r="BA220" t="str">
        <f t="shared" si="102"/>
        <v>Neutral</v>
      </c>
      <c r="BB220">
        <f>survey_responses[[#This Row],[Tôi thấy Nhà nước đã giải thích rõ ràng, minh bạch về lý do và mục tiêu của việc sửa đổi thuế lần này. - HUMAN-TRU4]]</f>
        <v>7</v>
      </c>
      <c r="BC220" t="str">
        <f t="shared" si="103"/>
        <v>Neutral</v>
      </c>
      <c r="BD220" s="32">
        <f t="shared" si="104"/>
        <v>2</v>
      </c>
      <c r="BE220">
        <f>step3_validation[[#This Row],[AI_OUT1]]</f>
        <v>7</v>
      </c>
      <c r="BF220" t="str">
        <f t="shared" si="105"/>
        <v>Neutral</v>
      </c>
      <c r="BG220">
        <f>survey_responses[[#This Row],[Sau khi xem xét các quyền lợi và nghĩa vụ, bạn có ủng hộ và tuân thủ chính sách mới hiện nay? - HUMAN-OUT1]]</f>
        <v>6</v>
      </c>
      <c r="BH220" t="str">
        <f t="shared" si="106"/>
        <v>Neutral</v>
      </c>
      <c r="BI220" s="32">
        <f t="shared" si="107"/>
        <v>1</v>
      </c>
    </row>
    <row r="221" spans="1:61" x14ac:dyDescent="0.45">
      <c r="A221" s="30">
        <f>step3_validation[[#This Row],[Persona_ID]]</f>
        <v>220</v>
      </c>
      <c r="B221" s="31">
        <f>step3_validation[[#This Row],[Used_Seed]]</f>
        <v>2210</v>
      </c>
      <c r="C221" t="str">
        <f>step3_validation[[#This Row],[Gender]]</f>
        <v>Nữ</v>
      </c>
      <c r="D221" t="str">
        <f>survey_responses[[#This Row],[Giới tính của bạn:]]</f>
        <v>Nữ</v>
      </c>
      <c r="E221" t="str">
        <f>step3_validation[[#This Row],[Age_Group]]</f>
        <v>50 - 54</v>
      </c>
      <c r="F221" t="str">
        <f>survey_responses[[#This Row],[Độ tuổi của bạn:]]</f>
        <v>50 - 54</v>
      </c>
      <c r="G221" t="str">
        <f>step3_validation[[#This Row],[Region]]</f>
        <v>Thành thị</v>
      </c>
      <c r="H221" t="str">
        <f>survey_responses[[#This Row],[Khu vực bạn đang sinh sống:]]</f>
        <v>Thành thị</v>
      </c>
      <c r="I221" t="str">
        <f>step3_validation[[#This Row],[Education]]</f>
        <v>Sau Đại học</v>
      </c>
      <c r="J221" t="str">
        <f>survey_responses[[#This Row],[Trình độ học vấn cao nhất:]]</f>
        <v>Sau Đại học</v>
      </c>
      <c r="K221" t="str">
        <f>step3_validation[[#This Row],[Employment]]</f>
        <v>Chính thức</v>
      </c>
      <c r="L221" t="str">
        <f>survey_responses[[#This Row],[Tình trạng việc làm chính:]]</f>
        <v>Khu vực chính thức (Có Hợp đồng lao động, đóng BHXH)</v>
      </c>
      <c r="M221">
        <f>step3_validation[[#This Row],[Income_Mil]]</f>
        <v>215.45995146555558</v>
      </c>
      <c r="N221" t="str">
        <f>survey_responses[[#This Row],[Thu nhập bình quân tháng theo Hợp đồng lao động của bạn là bao nhiêu? (Vui lòng điền tổng thu nhập trước khi khấu trừ các loại Bảo hiểm (BHXH, BHYT, BHTN) và Thuế TNCN)]]</f>
        <v>Trên 102 triệu VNĐ</v>
      </c>
      <c r="O221">
        <f>step3_validation[[#This Row],[Dependents]]</f>
        <v>1</v>
      </c>
      <c r="P221" t="str">
        <f>survey_responses[[#This Row],[Số người phụ thuộc (con nhỏ, cha mẹ già...) đủ điều kiện giảm trừ gia cảnh:]]</f>
        <v>1 người</v>
      </c>
      <c r="Q221">
        <f>step3_validation[[#This Row],[AI_ENF1]]</f>
        <v>6</v>
      </c>
      <c r="R221" t="str">
        <f t="shared" si="81"/>
        <v>Neutral</v>
      </c>
      <c r="S221">
        <f>survey_responses[[#This Row],[Tôi tin rằng với các quy định quản lý thuế hiện nay, hành vi gian lận hoặc trốn thuế sẽ dễ dàng bị phát hiện và xử lý nghiêm. - HUMAN-ENF1]]</f>
        <v>10</v>
      </c>
      <c r="T221" t="str">
        <f t="shared" si="82"/>
        <v>Support</v>
      </c>
      <c r="U221" s="32">
        <f t="shared" si="83"/>
        <v>4</v>
      </c>
      <c r="V221">
        <f>step3_validation[[#This Row],[AI_ENF2]]</f>
        <v>7</v>
      </c>
      <c r="W221" t="str">
        <f t="shared" si="84"/>
        <v>Neutral</v>
      </c>
      <c r="X221">
        <f>survey_responses[[#This Row],[Tôi tin rằng Nhà nước, cơ quan thuế có đủ khả năng và công nghệ để phát hiện, xử lý nghiêm các hành vi trốn thuế. - HUMAN-ENF2]]</f>
        <v>10</v>
      </c>
      <c r="Y221" t="str">
        <f t="shared" si="85"/>
        <v>Support</v>
      </c>
      <c r="Z221" s="32">
        <f t="shared" si="86"/>
        <v>3</v>
      </c>
      <c r="AA221">
        <f>step3_validation[[#This Row],[AI_FAC1]]</f>
        <v>8</v>
      </c>
      <c r="AB221" t="str">
        <f t="shared" si="87"/>
        <v>Support</v>
      </c>
      <c r="AC221">
        <f>survey_responses[[#This Row],[Các thủ tục khai báo thuế VÀ/HOẶC quy trình làm việc với cơ quan thuế đơn giản, tiện lợi, nhanh chóng hơn so với trước đây. - HUMAN-FAC1]]</f>
        <v>6</v>
      </c>
      <c r="AD221" t="str">
        <f t="shared" si="88"/>
        <v>Neutral</v>
      </c>
      <c r="AE221" s="32">
        <f t="shared" si="89"/>
        <v>2</v>
      </c>
      <c r="AF221">
        <f>step3_validation[[#This Row],[AI_FAC2]]</f>
        <v>9</v>
      </c>
      <c r="AG221" t="str">
        <f t="shared" si="90"/>
        <v>Support</v>
      </c>
      <c r="AH221">
        <f>survey_responses[[#This Row],[So với trước đây, tôi thấy cách tính thuế và các bậc thuế trong phương án mới đơn giản, dễ hiểu và dễ thực hiện hơn. - HUMAN-FAC2]]</f>
        <v>9</v>
      </c>
      <c r="AI221" t="str">
        <f t="shared" si="91"/>
        <v>Support</v>
      </c>
      <c r="AJ221" s="32">
        <f t="shared" si="92"/>
        <v>0</v>
      </c>
      <c r="AK221">
        <f>step3_validation[[#This Row],[AI_TRU1]]</f>
        <v>8</v>
      </c>
      <c r="AL221" t="str">
        <f t="shared" si="93"/>
        <v>Support</v>
      </c>
      <c r="AM221">
        <f>survey_responses[[#This Row],[Tôi tin rằng Nhà nước, cơ quan thuế sẽ thực thi chính sách mới một cách khách quan, công tâm và đối xử bình đẳng với mọi người nộp thuế.  - HUMAN-TRU1]]</f>
        <v>9</v>
      </c>
      <c r="AN221" t="str">
        <f t="shared" si="94"/>
        <v>Support</v>
      </c>
      <c r="AO221" s="32">
        <f t="shared" si="95"/>
        <v>1</v>
      </c>
      <c r="AP221">
        <f>step3_validation[[#This Row],[AI_TRU2]]</f>
        <v>7</v>
      </c>
      <c r="AQ221" t="str">
        <f t="shared" si="96"/>
        <v>Neutral</v>
      </c>
      <c r="AR221">
        <f>survey_responses[[#This Row],[Tôi thấy mức thuế tôi phải đóng theo phương án mới là công bằng (người thu nhập như tôi đóng mức này là hợp lý). - HUMAN-TRU2]]</f>
        <v>9</v>
      </c>
      <c r="AS221" t="str">
        <f t="shared" si="97"/>
        <v>Support</v>
      </c>
      <c r="AT221" s="32">
        <f t="shared" si="98"/>
        <v>2</v>
      </c>
      <c r="AU221">
        <f>step3_validation[[#This Row],[AI_TRU3]]</f>
        <v>6</v>
      </c>
      <c r="AV221" t="str">
        <f t="shared" si="99"/>
        <v>Neutral</v>
      </c>
      <c r="AW221">
        <f>survey_responses[[#This Row],[Tôi tin tưởng số tiền thuế tôi đóng sẽ được Nhà nước sử dụng hiệu quả để cải thiện dịch vụ công (y tế, đường xá...). - HUMAN-TRU3]]</f>
        <v>9</v>
      </c>
      <c r="AX221" t="str">
        <f t="shared" si="100"/>
        <v>Support</v>
      </c>
      <c r="AY221" s="32">
        <f t="shared" si="101"/>
        <v>3</v>
      </c>
      <c r="AZ221">
        <f>step3_validation[[#This Row],[AI_TRU4]]</f>
        <v>5</v>
      </c>
      <c r="BA221" t="str">
        <f t="shared" si="102"/>
        <v>Neutral</v>
      </c>
      <c r="BB221">
        <f>survey_responses[[#This Row],[Tôi thấy Nhà nước đã giải thích rõ ràng, minh bạch về lý do và mục tiêu của việc sửa đổi thuế lần này. - HUMAN-TRU4]]</f>
        <v>8</v>
      </c>
      <c r="BC221" t="str">
        <f t="shared" si="103"/>
        <v>Support</v>
      </c>
      <c r="BD221" s="32">
        <f t="shared" si="104"/>
        <v>3</v>
      </c>
      <c r="BE221">
        <f>step3_validation[[#This Row],[AI_OUT1]]</f>
        <v>7</v>
      </c>
      <c r="BF221" t="str">
        <f t="shared" si="105"/>
        <v>Neutral</v>
      </c>
      <c r="BG221">
        <f>survey_responses[[#This Row],[Sau khi xem xét các quyền lợi và nghĩa vụ, bạn có ủng hộ và tuân thủ chính sách mới hiện nay? - HUMAN-OUT1]]</f>
        <v>8</v>
      </c>
      <c r="BH221" t="str">
        <f t="shared" si="106"/>
        <v>Support</v>
      </c>
      <c r="BI221" s="32">
        <f t="shared" si="107"/>
        <v>1</v>
      </c>
    </row>
    <row r="222" spans="1:61" x14ac:dyDescent="0.45">
      <c r="A222" s="30">
        <f>step3_validation[[#This Row],[Persona_ID]]</f>
        <v>221</v>
      </c>
      <c r="B222" s="31">
        <f>step3_validation[[#This Row],[Used_Seed]]</f>
        <v>2211</v>
      </c>
      <c r="C222" t="str">
        <f>step3_validation[[#This Row],[Gender]]</f>
        <v>Nữ</v>
      </c>
      <c r="D222" t="str">
        <f>survey_responses[[#This Row],[Giới tính của bạn:]]</f>
        <v>Nữ</v>
      </c>
      <c r="E222" t="str">
        <f>step3_validation[[#This Row],[Age_Group]]</f>
        <v>40 - 49</v>
      </c>
      <c r="F222" t="str">
        <f>survey_responses[[#This Row],[Độ tuổi của bạn:]]</f>
        <v>40 - 49</v>
      </c>
      <c r="G222" t="str">
        <f>step3_validation[[#This Row],[Region]]</f>
        <v>Thành thị</v>
      </c>
      <c r="H222" t="str">
        <f>survey_responses[[#This Row],[Khu vực bạn đang sinh sống:]]</f>
        <v>Thành thị</v>
      </c>
      <c r="I222" t="str">
        <f>step3_validation[[#This Row],[Education]]</f>
        <v>Đại học</v>
      </c>
      <c r="J222" t="str">
        <f>survey_responses[[#This Row],[Trình độ học vấn cao nhất:]]</f>
        <v>Đại học</v>
      </c>
      <c r="K222" t="str">
        <f>step3_validation[[#This Row],[Employment]]</f>
        <v>Chính thức</v>
      </c>
      <c r="L222" t="str">
        <f>survey_responses[[#This Row],[Tình trạng việc làm chính:]]</f>
        <v>Khu vực chính thức (Có Hợp đồng lao động, đóng BHXH)</v>
      </c>
      <c r="M222">
        <f>step3_validation[[#This Row],[Income_Mil]]</f>
        <v>64.305378599568215</v>
      </c>
      <c r="N222" t="str">
        <f>survey_responses[[#This Row],[Thu nhập bình quân tháng theo Hợp đồng lao động của bạn là bao nhiêu? (Vui lòng điền tổng thu nhập trước khi khấu trừ các loại Bảo hiểm (BHXH, BHYT, BHTN) và Thuế TNCN)]]</f>
        <v>Từ 48 - 70 triệu VNĐ</v>
      </c>
      <c r="O222">
        <f>step3_validation[[#This Row],[Dependents]]</f>
        <v>1</v>
      </c>
      <c r="P222" t="str">
        <f>survey_responses[[#This Row],[Số người phụ thuộc (con nhỏ, cha mẹ già...) đủ điều kiện giảm trừ gia cảnh:]]</f>
        <v>1 người</v>
      </c>
      <c r="Q222">
        <f>step3_validation[[#This Row],[AI_ENF1]]</f>
        <v>8</v>
      </c>
      <c r="R222" t="str">
        <f t="shared" si="81"/>
        <v>Support</v>
      </c>
      <c r="S222">
        <f>survey_responses[[#This Row],[Tôi tin rằng với các quy định quản lý thuế hiện nay, hành vi gian lận hoặc trốn thuế sẽ dễ dàng bị phát hiện và xử lý nghiêm. - HUMAN-ENF1]]</f>
        <v>4</v>
      </c>
      <c r="T222" t="str">
        <f t="shared" si="82"/>
        <v>Oppose</v>
      </c>
      <c r="U222" s="32">
        <f t="shared" si="83"/>
        <v>4</v>
      </c>
      <c r="V222">
        <f>step3_validation[[#This Row],[AI_ENF2]]</f>
        <v>7</v>
      </c>
      <c r="W222" t="str">
        <f t="shared" si="84"/>
        <v>Neutral</v>
      </c>
      <c r="X222">
        <f>survey_responses[[#This Row],[Tôi tin rằng Nhà nước, cơ quan thuế có đủ khả năng và công nghệ để phát hiện, xử lý nghiêm các hành vi trốn thuế. - HUMAN-ENF2]]</f>
        <v>4</v>
      </c>
      <c r="Y222" t="str">
        <f t="shared" si="85"/>
        <v>Oppose</v>
      </c>
      <c r="Z222" s="32">
        <f t="shared" si="86"/>
        <v>3</v>
      </c>
      <c r="AA222">
        <f>step3_validation[[#This Row],[AI_FAC1]]</f>
        <v>9</v>
      </c>
      <c r="AB222" t="str">
        <f t="shared" si="87"/>
        <v>Support</v>
      </c>
      <c r="AC222">
        <f>survey_responses[[#This Row],[Các thủ tục khai báo thuế VÀ/HOẶC quy trình làm việc với cơ quan thuế đơn giản, tiện lợi, nhanh chóng hơn so với trước đây. - HUMAN-FAC1]]</f>
        <v>4</v>
      </c>
      <c r="AD222" t="str">
        <f t="shared" si="88"/>
        <v>Oppose</v>
      </c>
      <c r="AE222" s="32">
        <f t="shared" si="89"/>
        <v>5</v>
      </c>
      <c r="AF222">
        <f>step3_validation[[#This Row],[AI_FAC2]]</f>
        <v>8</v>
      </c>
      <c r="AG222" t="str">
        <f t="shared" si="90"/>
        <v>Support</v>
      </c>
      <c r="AH222">
        <f>survey_responses[[#This Row],[So với trước đây, tôi thấy cách tính thuế và các bậc thuế trong phương án mới đơn giản, dễ hiểu và dễ thực hiện hơn. - HUMAN-FAC2]]</f>
        <v>6</v>
      </c>
      <c r="AI222" t="str">
        <f t="shared" si="91"/>
        <v>Neutral</v>
      </c>
      <c r="AJ222" s="32">
        <f t="shared" si="92"/>
        <v>2</v>
      </c>
      <c r="AK222">
        <f>step3_validation[[#This Row],[AI_TRU1]]</f>
        <v>9</v>
      </c>
      <c r="AL222" t="str">
        <f t="shared" si="93"/>
        <v>Support</v>
      </c>
      <c r="AM222">
        <f>survey_responses[[#This Row],[Tôi tin rằng Nhà nước, cơ quan thuế sẽ thực thi chính sách mới một cách khách quan, công tâm và đối xử bình đẳng với mọi người nộp thuế.  - HUMAN-TRU1]]</f>
        <v>5</v>
      </c>
      <c r="AN222" t="str">
        <f t="shared" si="94"/>
        <v>Neutral</v>
      </c>
      <c r="AO222" s="32">
        <f t="shared" si="95"/>
        <v>4</v>
      </c>
      <c r="AP222">
        <f>step3_validation[[#This Row],[AI_TRU2]]</f>
        <v>8</v>
      </c>
      <c r="AQ222" t="str">
        <f t="shared" si="96"/>
        <v>Support</v>
      </c>
      <c r="AR222">
        <f>survey_responses[[#This Row],[Tôi thấy mức thuế tôi phải đóng theo phương án mới là công bằng (người thu nhập như tôi đóng mức này là hợp lý). - HUMAN-TRU2]]</f>
        <v>6</v>
      </c>
      <c r="AS222" t="str">
        <f t="shared" si="97"/>
        <v>Neutral</v>
      </c>
      <c r="AT222" s="32">
        <f t="shared" si="98"/>
        <v>2</v>
      </c>
      <c r="AU222">
        <f>step3_validation[[#This Row],[AI_TRU3]]</f>
        <v>9</v>
      </c>
      <c r="AV222" t="str">
        <f t="shared" si="99"/>
        <v>Support</v>
      </c>
      <c r="AW222">
        <f>survey_responses[[#This Row],[Tôi tin tưởng số tiền thuế tôi đóng sẽ được Nhà nước sử dụng hiệu quả để cải thiện dịch vụ công (y tế, đường xá...). - HUMAN-TRU3]]</f>
        <v>5</v>
      </c>
      <c r="AX222" t="str">
        <f t="shared" si="100"/>
        <v>Neutral</v>
      </c>
      <c r="AY222" s="32">
        <f t="shared" si="101"/>
        <v>4</v>
      </c>
      <c r="AZ222">
        <f>step3_validation[[#This Row],[AI_TRU4]]</f>
        <v>7</v>
      </c>
      <c r="BA222" t="str">
        <f t="shared" si="102"/>
        <v>Neutral</v>
      </c>
      <c r="BB222">
        <f>survey_responses[[#This Row],[Tôi thấy Nhà nước đã giải thích rõ ràng, minh bạch về lý do và mục tiêu của việc sửa đổi thuế lần này. - HUMAN-TRU4]]</f>
        <v>6</v>
      </c>
      <c r="BC222" t="str">
        <f t="shared" si="103"/>
        <v>Neutral</v>
      </c>
      <c r="BD222" s="32">
        <f t="shared" si="104"/>
        <v>1</v>
      </c>
      <c r="BE222">
        <f>step3_validation[[#This Row],[AI_OUT1]]</f>
        <v>8</v>
      </c>
      <c r="BF222" t="str">
        <f t="shared" si="105"/>
        <v>Support</v>
      </c>
      <c r="BG222">
        <f>survey_responses[[#This Row],[Sau khi xem xét các quyền lợi và nghĩa vụ, bạn có ủng hộ và tuân thủ chính sách mới hiện nay? - HUMAN-OUT1]]</f>
        <v>5</v>
      </c>
      <c r="BH222" t="str">
        <f t="shared" si="106"/>
        <v>Neutral</v>
      </c>
      <c r="BI222" s="32">
        <f t="shared" si="107"/>
        <v>3</v>
      </c>
    </row>
    <row r="223" spans="1:61" x14ac:dyDescent="0.45">
      <c r="A223" s="30">
        <f>step3_validation[[#This Row],[Persona_ID]]</f>
        <v>222</v>
      </c>
      <c r="B223" s="31">
        <f>step3_validation[[#This Row],[Used_Seed]]</f>
        <v>2212</v>
      </c>
      <c r="C223" t="str">
        <f>step3_validation[[#This Row],[Gender]]</f>
        <v>Nữ</v>
      </c>
      <c r="D223" t="str">
        <f>survey_responses[[#This Row],[Giới tính của bạn:]]</f>
        <v>Nữ</v>
      </c>
      <c r="E223" t="str">
        <f>step3_validation[[#This Row],[Age_Group]]</f>
        <v>50 - 54</v>
      </c>
      <c r="F223" t="str">
        <f>survey_responses[[#This Row],[Độ tuổi của bạn:]]</f>
        <v>50 - 54</v>
      </c>
      <c r="G223" t="str">
        <f>step3_validation[[#This Row],[Region]]</f>
        <v>Thành thị</v>
      </c>
      <c r="H223" t="str">
        <f>survey_responses[[#This Row],[Khu vực bạn đang sinh sống:]]</f>
        <v>Thành thị</v>
      </c>
      <c r="I223" t="str">
        <f>step3_validation[[#This Row],[Education]]</f>
        <v>Đại học</v>
      </c>
      <c r="J223" t="str">
        <f>survey_responses[[#This Row],[Trình độ học vấn cao nhất:]]</f>
        <v>Đại học</v>
      </c>
      <c r="K223" t="str">
        <f>step3_validation[[#This Row],[Employment]]</f>
        <v>Chính thức</v>
      </c>
      <c r="L223" t="str">
        <f>survey_responses[[#This Row],[Tình trạng việc làm chính:]]</f>
        <v>Khu vực chính thức (Có Hợp đồng lao động, đóng BHXH)</v>
      </c>
      <c r="M223">
        <f>step3_validation[[#This Row],[Income_Mil]]</f>
        <v>64.997736802972142</v>
      </c>
      <c r="N223" t="str">
        <f>survey_responses[[#This Row],[Thu nhập bình quân tháng theo Hợp đồng lao động của bạn là bao nhiêu? (Vui lòng điền tổng thu nhập trước khi khấu trừ các loại Bảo hiểm (BHXH, BHYT, BHTN) và Thuế TNCN)]]</f>
        <v>Từ 48 - 70 triệu VNĐ</v>
      </c>
      <c r="O223">
        <f>step3_validation[[#This Row],[Dependents]]</f>
        <v>2</v>
      </c>
      <c r="P223" t="str">
        <f>survey_responses[[#This Row],[Số người phụ thuộc (con nhỏ, cha mẹ già...) đủ điều kiện giảm trừ gia cảnh:]]</f>
        <v>2 người</v>
      </c>
      <c r="Q223">
        <f>step3_validation[[#This Row],[AI_ENF1]]</f>
        <v>7</v>
      </c>
      <c r="R223" t="str">
        <f t="shared" si="81"/>
        <v>Neutral</v>
      </c>
      <c r="S223">
        <f>survey_responses[[#This Row],[Tôi tin rằng với các quy định quản lý thuế hiện nay, hành vi gian lận hoặc trốn thuế sẽ dễ dàng bị phát hiện và xử lý nghiêm. - HUMAN-ENF1]]</f>
        <v>4</v>
      </c>
      <c r="T223" t="str">
        <f t="shared" si="82"/>
        <v>Oppose</v>
      </c>
      <c r="U223" s="32">
        <f t="shared" si="83"/>
        <v>3</v>
      </c>
      <c r="V223">
        <f>step3_validation[[#This Row],[AI_ENF2]]</f>
        <v>8</v>
      </c>
      <c r="W223" t="str">
        <f t="shared" si="84"/>
        <v>Support</v>
      </c>
      <c r="X223">
        <f>survey_responses[[#This Row],[Tôi tin rằng Nhà nước, cơ quan thuế có đủ khả năng và công nghệ để phát hiện, xử lý nghiêm các hành vi trốn thuế. - HUMAN-ENF2]]</f>
        <v>5</v>
      </c>
      <c r="Y223" t="str">
        <f t="shared" si="85"/>
        <v>Neutral</v>
      </c>
      <c r="Z223" s="32">
        <f t="shared" si="86"/>
        <v>3</v>
      </c>
      <c r="AA223">
        <f>step3_validation[[#This Row],[AI_FAC1]]</f>
        <v>9</v>
      </c>
      <c r="AB223" t="str">
        <f t="shared" si="87"/>
        <v>Support</v>
      </c>
      <c r="AC223">
        <f>survey_responses[[#This Row],[Các thủ tục khai báo thuế VÀ/HOẶC quy trình làm việc với cơ quan thuế đơn giản, tiện lợi, nhanh chóng hơn so với trước đây. - HUMAN-FAC1]]</f>
        <v>4</v>
      </c>
      <c r="AD223" t="str">
        <f t="shared" si="88"/>
        <v>Oppose</v>
      </c>
      <c r="AE223" s="32">
        <f t="shared" si="89"/>
        <v>5</v>
      </c>
      <c r="AF223">
        <f>step3_validation[[#This Row],[AI_FAC2]]</f>
        <v>8</v>
      </c>
      <c r="AG223" t="str">
        <f t="shared" si="90"/>
        <v>Support</v>
      </c>
      <c r="AH223">
        <f>survey_responses[[#This Row],[So với trước đây, tôi thấy cách tính thuế và các bậc thuế trong phương án mới đơn giản, dễ hiểu và dễ thực hiện hơn. - HUMAN-FAC2]]</f>
        <v>5</v>
      </c>
      <c r="AI223" t="str">
        <f t="shared" si="91"/>
        <v>Neutral</v>
      </c>
      <c r="AJ223" s="32">
        <f t="shared" si="92"/>
        <v>3</v>
      </c>
      <c r="AK223">
        <f>step3_validation[[#This Row],[AI_TRU1]]</f>
        <v>7</v>
      </c>
      <c r="AL223" t="str">
        <f t="shared" si="93"/>
        <v>Neutral</v>
      </c>
      <c r="AM223">
        <f>survey_responses[[#This Row],[Tôi tin rằng Nhà nước, cơ quan thuế sẽ thực thi chính sách mới một cách khách quan, công tâm và đối xử bình đẳng với mọi người nộp thuế.  - HUMAN-TRU1]]</f>
        <v>5</v>
      </c>
      <c r="AN223" t="str">
        <f t="shared" si="94"/>
        <v>Neutral</v>
      </c>
      <c r="AO223" s="32">
        <f t="shared" si="95"/>
        <v>2</v>
      </c>
      <c r="AP223">
        <f>step3_validation[[#This Row],[AI_TRU2]]</f>
        <v>6</v>
      </c>
      <c r="AQ223" t="str">
        <f t="shared" si="96"/>
        <v>Neutral</v>
      </c>
      <c r="AR223">
        <f>survey_responses[[#This Row],[Tôi thấy mức thuế tôi phải đóng theo phương án mới là công bằng (người thu nhập như tôi đóng mức này là hợp lý). - HUMAN-TRU2]]</f>
        <v>5</v>
      </c>
      <c r="AS223" t="str">
        <f t="shared" si="97"/>
        <v>Neutral</v>
      </c>
      <c r="AT223" s="32">
        <f t="shared" si="98"/>
        <v>1</v>
      </c>
      <c r="AU223">
        <f>step3_validation[[#This Row],[AI_TRU3]]</f>
        <v>5</v>
      </c>
      <c r="AV223" t="str">
        <f t="shared" si="99"/>
        <v>Neutral</v>
      </c>
      <c r="AW223">
        <f>survey_responses[[#This Row],[Tôi tin tưởng số tiền thuế tôi đóng sẽ được Nhà nước sử dụng hiệu quả để cải thiện dịch vụ công (y tế, đường xá...). - HUMAN-TRU3]]</f>
        <v>5</v>
      </c>
      <c r="AX223" t="str">
        <f t="shared" si="100"/>
        <v>Neutral</v>
      </c>
      <c r="AY223" s="32">
        <f t="shared" si="101"/>
        <v>0</v>
      </c>
      <c r="AZ223">
        <f>step3_validation[[#This Row],[AI_TRU4]]</f>
        <v>6</v>
      </c>
      <c r="BA223" t="str">
        <f t="shared" si="102"/>
        <v>Neutral</v>
      </c>
      <c r="BB223">
        <f>survey_responses[[#This Row],[Tôi thấy Nhà nước đã giải thích rõ ràng, minh bạch về lý do và mục tiêu của việc sửa đổi thuế lần này. - HUMAN-TRU4]]</f>
        <v>5</v>
      </c>
      <c r="BC223" t="str">
        <f t="shared" si="103"/>
        <v>Neutral</v>
      </c>
      <c r="BD223" s="32">
        <f t="shared" si="104"/>
        <v>1</v>
      </c>
      <c r="BE223">
        <f>step3_validation[[#This Row],[AI_OUT1]]</f>
        <v>7</v>
      </c>
      <c r="BF223" t="str">
        <f t="shared" si="105"/>
        <v>Neutral</v>
      </c>
      <c r="BG223">
        <f>survey_responses[[#This Row],[Sau khi xem xét các quyền lợi và nghĩa vụ, bạn có ủng hộ và tuân thủ chính sách mới hiện nay? - HUMAN-OUT1]]</f>
        <v>5</v>
      </c>
      <c r="BH223" t="str">
        <f t="shared" si="106"/>
        <v>Neutral</v>
      </c>
      <c r="BI223" s="32">
        <f t="shared" si="107"/>
        <v>2</v>
      </c>
    </row>
    <row r="224" spans="1:61" x14ac:dyDescent="0.45">
      <c r="A224" s="30">
        <f>step3_validation[[#This Row],[Persona_ID]]</f>
        <v>223</v>
      </c>
      <c r="B224" s="31">
        <f>step3_validation[[#This Row],[Used_Seed]]</f>
        <v>2213</v>
      </c>
      <c r="C224" t="str">
        <f>step3_validation[[#This Row],[Gender]]</f>
        <v>Nam</v>
      </c>
      <c r="D224" t="str">
        <f>survey_responses[[#This Row],[Giới tính của bạn:]]</f>
        <v>Nam</v>
      </c>
      <c r="E224" t="str">
        <f>step3_validation[[#This Row],[Age_Group]]</f>
        <v>30 - 39</v>
      </c>
      <c r="F224" t="str">
        <f>survey_responses[[#This Row],[Độ tuổi của bạn:]]</f>
        <v>30 - 39</v>
      </c>
      <c r="G224" t="str">
        <f>step3_validation[[#This Row],[Region]]</f>
        <v>Thành thị</v>
      </c>
      <c r="H224" t="str">
        <f>survey_responses[[#This Row],[Khu vực bạn đang sinh sống:]]</f>
        <v>Thành thị</v>
      </c>
      <c r="I224" t="str">
        <f>step3_validation[[#This Row],[Education]]</f>
        <v>Đại học</v>
      </c>
      <c r="J224" t="str">
        <f>survey_responses[[#This Row],[Trình độ học vấn cao nhất:]]</f>
        <v>Đại học</v>
      </c>
      <c r="K224" t="str">
        <f>step3_validation[[#This Row],[Employment]]</f>
        <v>Chính thức</v>
      </c>
      <c r="L224" t="str">
        <f>survey_responses[[#This Row],[Tình trạng việc làm chính:]]</f>
        <v>Khu vực chính thức (Có Hợp đồng lao động, đóng BHXH)</v>
      </c>
      <c r="M224">
        <f>step3_validation[[#This Row],[Income_Mil]]</f>
        <v>65.920209687056527</v>
      </c>
      <c r="N224" t="str">
        <f>survey_responses[[#This Row],[Thu nhập bình quân tháng theo Hợp đồng lao động của bạn là bao nhiêu? (Vui lòng điền tổng thu nhập trước khi khấu trừ các loại Bảo hiểm (BHXH, BHYT, BHTN) và Thuế TNCN)]]</f>
        <v>Từ 48 - 70 triệu VNĐ</v>
      </c>
      <c r="O224">
        <f>step3_validation[[#This Row],[Dependents]]</f>
        <v>2</v>
      </c>
      <c r="P224" t="str">
        <f>survey_responses[[#This Row],[Số người phụ thuộc (con nhỏ, cha mẹ già...) đủ điều kiện giảm trừ gia cảnh:]]</f>
        <v>2 người</v>
      </c>
      <c r="Q224">
        <f>step3_validation[[#This Row],[AI_ENF1]]</f>
        <v>6</v>
      </c>
      <c r="R224" t="str">
        <f t="shared" si="81"/>
        <v>Neutral</v>
      </c>
      <c r="S224">
        <f>survey_responses[[#This Row],[Tôi tin rằng với các quy định quản lý thuế hiện nay, hành vi gian lận hoặc trốn thuế sẽ dễ dàng bị phát hiện và xử lý nghiêm. - HUMAN-ENF1]]</f>
        <v>6</v>
      </c>
      <c r="T224" t="str">
        <f t="shared" si="82"/>
        <v>Neutral</v>
      </c>
      <c r="U224" s="32">
        <f t="shared" si="83"/>
        <v>0</v>
      </c>
      <c r="V224">
        <f>step3_validation[[#This Row],[AI_ENF2]]</f>
        <v>7</v>
      </c>
      <c r="W224" t="str">
        <f t="shared" si="84"/>
        <v>Neutral</v>
      </c>
      <c r="X224">
        <f>survey_responses[[#This Row],[Tôi tin rằng Nhà nước, cơ quan thuế có đủ khả năng và công nghệ để phát hiện, xử lý nghiêm các hành vi trốn thuế. - HUMAN-ENF2]]</f>
        <v>6</v>
      </c>
      <c r="Y224" t="str">
        <f t="shared" si="85"/>
        <v>Neutral</v>
      </c>
      <c r="Z224" s="32">
        <f t="shared" si="86"/>
        <v>1</v>
      </c>
      <c r="AA224">
        <f>step3_validation[[#This Row],[AI_FAC1]]</f>
        <v>8</v>
      </c>
      <c r="AB224" t="str">
        <f t="shared" si="87"/>
        <v>Support</v>
      </c>
      <c r="AC224">
        <f>survey_responses[[#This Row],[Các thủ tục khai báo thuế VÀ/HOẶC quy trình làm việc với cơ quan thuế đơn giản, tiện lợi, nhanh chóng hơn so với trước đây. - HUMAN-FAC1]]</f>
        <v>7</v>
      </c>
      <c r="AD224" t="str">
        <f t="shared" si="88"/>
        <v>Neutral</v>
      </c>
      <c r="AE224" s="32">
        <f t="shared" si="89"/>
        <v>1</v>
      </c>
      <c r="AF224">
        <f>step3_validation[[#This Row],[AI_FAC2]]</f>
        <v>7</v>
      </c>
      <c r="AG224" t="str">
        <f t="shared" si="90"/>
        <v>Neutral</v>
      </c>
      <c r="AH224">
        <f>survey_responses[[#This Row],[So với trước đây, tôi thấy cách tính thuế và các bậc thuế trong phương án mới đơn giản, dễ hiểu và dễ thực hiện hơn. - HUMAN-FAC2]]</f>
        <v>7</v>
      </c>
      <c r="AI224" t="str">
        <f t="shared" si="91"/>
        <v>Neutral</v>
      </c>
      <c r="AJ224" s="32">
        <f t="shared" si="92"/>
        <v>0</v>
      </c>
      <c r="AK224">
        <f>step3_validation[[#This Row],[AI_TRU1]]</f>
        <v>8</v>
      </c>
      <c r="AL224" t="str">
        <f t="shared" si="93"/>
        <v>Support</v>
      </c>
      <c r="AM224">
        <f>survey_responses[[#This Row],[Tôi tin rằng Nhà nước, cơ quan thuế sẽ thực thi chính sách mới một cách khách quan, công tâm và đối xử bình đẳng với mọi người nộp thuế.  - HUMAN-TRU1]]</f>
        <v>6</v>
      </c>
      <c r="AN224" t="str">
        <f t="shared" si="94"/>
        <v>Neutral</v>
      </c>
      <c r="AO224" s="32">
        <f t="shared" si="95"/>
        <v>2</v>
      </c>
      <c r="AP224">
        <f>step3_validation[[#This Row],[AI_TRU2]]</f>
        <v>7</v>
      </c>
      <c r="AQ224" t="str">
        <f t="shared" si="96"/>
        <v>Neutral</v>
      </c>
      <c r="AR224">
        <f>survey_responses[[#This Row],[Tôi thấy mức thuế tôi phải đóng theo phương án mới là công bằng (người thu nhập như tôi đóng mức này là hợp lý). - HUMAN-TRU2]]</f>
        <v>6</v>
      </c>
      <c r="AS224" t="str">
        <f t="shared" si="97"/>
        <v>Neutral</v>
      </c>
      <c r="AT224" s="32">
        <f t="shared" si="98"/>
        <v>1</v>
      </c>
      <c r="AU224">
        <f>step3_validation[[#This Row],[AI_TRU3]]</f>
        <v>6</v>
      </c>
      <c r="AV224" t="str">
        <f t="shared" si="99"/>
        <v>Neutral</v>
      </c>
      <c r="AW224">
        <f>survey_responses[[#This Row],[Tôi tin tưởng số tiền thuế tôi đóng sẽ được Nhà nước sử dụng hiệu quả để cải thiện dịch vụ công (y tế, đường xá...). - HUMAN-TRU3]]</f>
        <v>8</v>
      </c>
      <c r="AX224" t="str">
        <f t="shared" si="100"/>
        <v>Support</v>
      </c>
      <c r="AY224" s="32">
        <f t="shared" si="101"/>
        <v>2</v>
      </c>
      <c r="AZ224">
        <f>step3_validation[[#This Row],[AI_TRU4]]</f>
        <v>5</v>
      </c>
      <c r="BA224" t="str">
        <f t="shared" si="102"/>
        <v>Neutral</v>
      </c>
      <c r="BB224">
        <f>survey_responses[[#This Row],[Tôi thấy Nhà nước đã giải thích rõ ràng, minh bạch về lý do và mục tiêu của việc sửa đổi thuế lần này. - HUMAN-TRU4]]</f>
        <v>8</v>
      </c>
      <c r="BC224" t="str">
        <f t="shared" si="103"/>
        <v>Support</v>
      </c>
      <c r="BD224" s="32">
        <f t="shared" si="104"/>
        <v>3</v>
      </c>
      <c r="BE224">
        <f>step3_validation[[#This Row],[AI_OUT1]]</f>
        <v>7</v>
      </c>
      <c r="BF224" t="str">
        <f t="shared" si="105"/>
        <v>Neutral</v>
      </c>
      <c r="BG224">
        <f>survey_responses[[#This Row],[Sau khi xem xét các quyền lợi và nghĩa vụ, bạn có ủng hộ và tuân thủ chính sách mới hiện nay? - HUMAN-OUT1]]</f>
        <v>7</v>
      </c>
      <c r="BH224" t="str">
        <f t="shared" si="106"/>
        <v>Neutral</v>
      </c>
      <c r="BI224" s="32">
        <f t="shared" si="107"/>
        <v>0</v>
      </c>
    </row>
    <row r="225" spans="1:61" x14ac:dyDescent="0.45">
      <c r="A225" s="30">
        <f>step3_validation[[#This Row],[Persona_ID]]</f>
        <v>224</v>
      </c>
      <c r="B225" s="31">
        <f>step3_validation[[#This Row],[Used_Seed]]</f>
        <v>2214</v>
      </c>
      <c r="C225" t="str">
        <f>step3_validation[[#This Row],[Gender]]</f>
        <v>Nữ</v>
      </c>
      <c r="D225" t="str">
        <f>survey_responses[[#This Row],[Giới tính của bạn:]]</f>
        <v>Nữ</v>
      </c>
      <c r="E225" t="str">
        <f>step3_validation[[#This Row],[Age_Group]]</f>
        <v>30 - 39</v>
      </c>
      <c r="F225" t="str">
        <f>survey_responses[[#This Row],[Độ tuổi của bạn:]]</f>
        <v>30 - 39</v>
      </c>
      <c r="G225" t="str">
        <f>step3_validation[[#This Row],[Region]]</f>
        <v>Thành thị</v>
      </c>
      <c r="H225" t="str">
        <f>survey_responses[[#This Row],[Khu vực bạn đang sinh sống:]]</f>
        <v>Thành thị</v>
      </c>
      <c r="I225" t="str">
        <f>step3_validation[[#This Row],[Education]]</f>
        <v>Sau Đại học</v>
      </c>
      <c r="J225" t="str">
        <f>survey_responses[[#This Row],[Trình độ học vấn cao nhất:]]</f>
        <v>Sau Đại học</v>
      </c>
      <c r="K225" t="str">
        <f>step3_validation[[#This Row],[Employment]]</f>
        <v>Chính thức</v>
      </c>
      <c r="L225" t="str">
        <f>survey_responses[[#This Row],[Tình trạng việc làm chính:]]</f>
        <v>Khu vực chính thức (Có Hợp đồng lao động, đóng BHXH)</v>
      </c>
      <c r="M225">
        <f>step3_validation[[#This Row],[Income_Mil]]</f>
        <v>54.0873404483496</v>
      </c>
      <c r="N225" t="str">
        <f>survey_responses[[#This Row],[Thu nhập bình quân tháng theo Hợp đồng lao động của bạn là bao nhiêu? (Vui lòng điền tổng thu nhập trước khi khấu trừ các loại Bảo hiểm (BHXH, BHYT, BHTN) và Thuế TNCN)]]</f>
        <v>Từ 48 - 70 triệu VNĐ</v>
      </c>
      <c r="O225">
        <f>step3_validation[[#This Row],[Dependents]]</f>
        <v>0</v>
      </c>
      <c r="P225" t="str">
        <f>survey_responses[[#This Row],[Số người phụ thuộc (con nhỏ, cha mẹ già...) đủ điều kiện giảm trừ gia cảnh:]]</f>
        <v>0 người</v>
      </c>
      <c r="Q225">
        <f>step3_validation[[#This Row],[AI_ENF1]]</f>
        <v>7</v>
      </c>
      <c r="R225" t="str">
        <f t="shared" si="81"/>
        <v>Neutral</v>
      </c>
      <c r="S225">
        <f>survey_responses[[#This Row],[Tôi tin rằng với các quy định quản lý thuế hiện nay, hành vi gian lận hoặc trốn thuế sẽ dễ dàng bị phát hiện và xử lý nghiêm. - HUMAN-ENF1]]</f>
        <v>7</v>
      </c>
      <c r="T225" t="str">
        <f t="shared" si="82"/>
        <v>Neutral</v>
      </c>
      <c r="U225" s="32">
        <f t="shared" si="83"/>
        <v>0</v>
      </c>
      <c r="V225">
        <f>step3_validation[[#This Row],[AI_ENF2]]</f>
        <v>8</v>
      </c>
      <c r="W225" t="str">
        <f t="shared" si="84"/>
        <v>Support</v>
      </c>
      <c r="X225">
        <f>survey_responses[[#This Row],[Tôi tin rằng Nhà nước, cơ quan thuế có đủ khả năng và công nghệ để phát hiện, xử lý nghiêm các hành vi trốn thuế. - HUMAN-ENF2]]</f>
        <v>7</v>
      </c>
      <c r="Y225" t="str">
        <f t="shared" si="85"/>
        <v>Neutral</v>
      </c>
      <c r="Z225" s="32">
        <f t="shared" si="86"/>
        <v>1</v>
      </c>
      <c r="AA225">
        <f>step3_validation[[#This Row],[AI_FAC1]]</f>
        <v>9</v>
      </c>
      <c r="AB225" t="str">
        <f t="shared" si="87"/>
        <v>Support</v>
      </c>
      <c r="AC225">
        <f>survey_responses[[#This Row],[Các thủ tục khai báo thuế VÀ/HOẶC quy trình làm việc với cơ quan thuế đơn giản, tiện lợi, nhanh chóng hơn so với trước đây. - HUMAN-FAC1]]</f>
        <v>7</v>
      </c>
      <c r="AD225" t="str">
        <f t="shared" si="88"/>
        <v>Neutral</v>
      </c>
      <c r="AE225" s="32">
        <f t="shared" si="89"/>
        <v>2</v>
      </c>
      <c r="AF225">
        <f>step3_validation[[#This Row],[AI_FAC2]]</f>
        <v>8</v>
      </c>
      <c r="AG225" t="str">
        <f t="shared" si="90"/>
        <v>Support</v>
      </c>
      <c r="AH225">
        <f>survey_responses[[#This Row],[So với trước đây, tôi thấy cách tính thuế và các bậc thuế trong phương án mới đơn giản, dễ hiểu và dễ thực hiện hơn. - HUMAN-FAC2]]</f>
        <v>7</v>
      </c>
      <c r="AI225" t="str">
        <f t="shared" si="91"/>
        <v>Neutral</v>
      </c>
      <c r="AJ225" s="32">
        <f t="shared" si="92"/>
        <v>1</v>
      </c>
      <c r="AK225">
        <f>step3_validation[[#This Row],[AI_TRU1]]</f>
        <v>9</v>
      </c>
      <c r="AL225" t="str">
        <f t="shared" si="93"/>
        <v>Support</v>
      </c>
      <c r="AM225">
        <f>survey_responses[[#This Row],[Tôi tin rằng Nhà nước, cơ quan thuế sẽ thực thi chính sách mới một cách khách quan, công tâm và đối xử bình đẳng với mọi người nộp thuế.  - HUMAN-TRU1]]</f>
        <v>7</v>
      </c>
      <c r="AN225" t="str">
        <f t="shared" si="94"/>
        <v>Neutral</v>
      </c>
      <c r="AO225" s="32">
        <f t="shared" si="95"/>
        <v>2</v>
      </c>
      <c r="AP225">
        <f>step3_validation[[#This Row],[AI_TRU2]]</f>
        <v>7</v>
      </c>
      <c r="AQ225" t="str">
        <f t="shared" si="96"/>
        <v>Neutral</v>
      </c>
      <c r="AR225">
        <f>survey_responses[[#This Row],[Tôi thấy mức thuế tôi phải đóng theo phương án mới là công bằng (người thu nhập như tôi đóng mức này là hợp lý). - HUMAN-TRU2]]</f>
        <v>7</v>
      </c>
      <c r="AS225" t="str">
        <f t="shared" si="97"/>
        <v>Neutral</v>
      </c>
      <c r="AT225" s="32">
        <f t="shared" si="98"/>
        <v>0</v>
      </c>
      <c r="AU225">
        <f>step3_validation[[#This Row],[AI_TRU3]]</f>
        <v>8</v>
      </c>
      <c r="AV225" t="str">
        <f t="shared" si="99"/>
        <v>Support</v>
      </c>
      <c r="AW225">
        <f>survey_responses[[#This Row],[Tôi tin tưởng số tiền thuế tôi đóng sẽ được Nhà nước sử dụng hiệu quả để cải thiện dịch vụ công (y tế, đường xá...). - HUMAN-TRU3]]</f>
        <v>7</v>
      </c>
      <c r="AX225" t="str">
        <f t="shared" si="100"/>
        <v>Neutral</v>
      </c>
      <c r="AY225" s="32">
        <f t="shared" si="101"/>
        <v>1</v>
      </c>
      <c r="AZ225">
        <f>step3_validation[[#This Row],[AI_TRU4]]</f>
        <v>7</v>
      </c>
      <c r="BA225" t="str">
        <f t="shared" si="102"/>
        <v>Neutral</v>
      </c>
      <c r="BB225">
        <f>survey_responses[[#This Row],[Tôi thấy Nhà nước đã giải thích rõ ràng, minh bạch về lý do và mục tiêu của việc sửa đổi thuế lần này. - HUMAN-TRU4]]</f>
        <v>7</v>
      </c>
      <c r="BC225" t="str">
        <f t="shared" si="103"/>
        <v>Neutral</v>
      </c>
      <c r="BD225" s="32">
        <f t="shared" si="104"/>
        <v>0</v>
      </c>
      <c r="BE225">
        <f>step3_validation[[#This Row],[AI_OUT1]]</f>
        <v>9</v>
      </c>
      <c r="BF225" t="str">
        <f t="shared" si="105"/>
        <v>Support</v>
      </c>
      <c r="BG225">
        <f>survey_responses[[#This Row],[Sau khi xem xét các quyền lợi và nghĩa vụ, bạn có ủng hộ và tuân thủ chính sách mới hiện nay? - HUMAN-OUT1]]</f>
        <v>7</v>
      </c>
      <c r="BH225" t="str">
        <f t="shared" si="106"/>
        <v>Neutral</v>
      </c>
      <c r="BI225" s="32">
        <f t="shared" si="107"/>
        <v>2</v>
      </c>
    </row>
    <row r="226" spans="1:61" x14ac:dyDescent="0.45">
      <c r="A226" s="30">
        <f>step3_validation[[#This Row],[Persona_ID]]</f>
        <v>225</v>
      </c>
      <c r="B226" s="31">
        <f>step3_validation[[#This Row],[Used_Seed]]</f>
        <v>2215</v>
      </c>
      <c r="C226" t="str">
        <f>step3_validation[[#This Row],[Gender]]</f>
        <v>Nữ</v>
      </c>
      <c r="D226" t="str">
        <f>survey_responses[[#This Row],[Giới tính của bạn:]]</f>
        <v>Nữ</v>
      </c>
      <c r="E226" t="str">
        <f>step3_validation[[#This Row],[Age_Group]]</f>
        <v>30 - 39</v>
      </c>
      <c r="F226" t="str">
        <f>survey_responses[[#This Row],[Độ tuổi của bạn:]]</f>
        <v>30 - 39</v>
      </c>
      <c r="G226" t="str">
        <f>step3_validation[[#This Row],[Region]]</f>
        <v>Thành thị</v>
      </c>
      <c r="H226" t="str">
        <f>survey_responses[[#This Row],[Khu vực bạn đang sinh sống:]]</f>
        <v>Thành thị</v>
      </c>
      <c r="I226" t="str">
        <f>step3_validation[[#This Row],[Education]]</f>
        <v>Đại học</v>
      </c>
      <c r="J226" t="str">
        <f>survey_responses[[#This Row],[Trình độ học vấn cao nhất:]]</f>
        <v>Đại học</v>
      </c>
      <c r="K226" t="str">
        <f>step3_validation[[#This Row],[Employment]]</f>
        <v>Chính thức</v>
      </c>
      <c r="L226" t="str">
        <f>survey_responses[[#This Row],[Tình trạng việc làm chính:]]</f>
        <v>Khu vực chính thức (Có Hợp đồng lao động, đóng BHXH)</v>
      </c>
      <c r="M226">
        <f>step3_validation[[#This Row],[Income_Mil]]</f>
        <v>43.414690117838731</v>
      </c>
      <c r="N226" t="str">
        <f>survey_responses[[#This Row],[Thu nhập bình quân tháng theo Hợp đồng lao động của bạn là bao nhiêu? (Vui lòng điền tổng thu nhập trước khi khấu trừ các loại Bảo hiểm (BHXH, BHYT, BHTN) và Thuế TNCN)]]</f>
        <v>Từ 32 - 48 triệu VNĐ</v>
      </c>
      <c r="O226">
        <f>step3_validation[[#This Row],[Dependents]]</f>
        <v>1</v>
      </c>
      <c r="P226" t="str">
        <f>survey_responses[[#This Row],[Số người phụ thuộc (con nhỏ, cha mẹ già...) đủ điều kiện giảm trừ gia cảnh:]]</f>
        <v>1 người</v>
      </c>
      <c r="Q226">
        <f>step3_validation[[#This Row],[AI_ENF1]]</f>
        <v>6</v>
      </c>
      <c r="R226" t="str">
        <f t="shared" si="81"/>
        <v>Neutral</v>
      </c>
      <c r="S226">
        <f>survey_responses[[#This Row],[Tôi tin rằng với các quy định quản lý thuế hiện nay, hành vi gian lận hoặc trốn thuế sẽ dễ dàng bị phát hiện và xử lý nghiêm. - HUMAN-ENF1]]</f>
        <v>6</v>
      </c>
      <c r="T226" t="str">
        <f t="shared" si="82"/>
        <v>Neutral</v>
      </c>
      <c r="U226" s="32">
        <f t="shared" si="83"/>
        <v>0</v>
      </c>
      <c r="V226">
        <f>step3_validation[[#This Row],[AI_ENF2]]</f>
        <v>6</v>
      </c>
      <c r="W226" t="str">
        <f t="shared" si="84"/>
        <v>Neutral</v>
      </c>
      <c r="X226">
        <f>survey_responses[[#This Row],[Tôi tin rằng Nhà nước, cơ quan thuế có đủ khả năng và công nghệ để phát hiện, xử lý nghiêm các hành vi trốn thuế. - HUMAN-ENF2]]</f>
        <v>6</v>
      </c>
      <c r="Y226" t="str">
        <f t="shared" si="85"/>
        <v>Neutral</v>
      </c>
      <c r="Z226" s="32">
        <f t="shared" si="86"/>
        <v>0</v>
      </c>
      <c r="AA226">
        <f>step3_validation[[#This Row],[AI_FAC1]]</f>
        <v>7</v>
      </c>
      <c r="AB226" t="str">
        <f t="shared" si="87"/>
        <v>Neutral</v>
      </c>
      <c r="AC226">
        <f>survey_responses[[#This Row],[Các thủ tục khai báo thuế VÀ/HOẶC quy trình làm việc với cơ quan thuế đơn giản, tiện lợi, nhanh chóng hơn so với trước đây. - HUMAN-FAC1]]</f>
        <v>7</v>
      </c>
      <c r="AD226" t="str">
        <f t="shared" si="88"/>
        <v>Neutral</v>
      </c>
      <c r="AE226" s="32">
        <f t="shared" si="89"/>
        <v>0</v>
      </c>
      <c r="AF226">
        <f>step3_validation[[#This Row],[AI_FAC2]]</f>
        <v>6</v>
      </c>
      <c r="AG226" t="str">
        <f t="shared" si="90"/>
        <v>Neutral</v>
      </c>
      <c r="AH226">
        <f>survey_responses[[#This Row],[So với trước đây, tôi thấy cách tính thuế và các bậc thuế trong phương án mới đơn giản, dễ hiểu và dễ thực hiện hơn. - HUMAN-FAC2]]</f>
        <v>7</v>
      </c>
      <c r="AI226" t="str">
        <f t="shared" si="91"/>
        <v>Neutral</v>
      </c>
      <c r="AJ226" s="32">
        <f t="shared" si="92"/>
        <v>1</v>
      </c>
      <c r="AK226">
        <f>step3_validation[[#This Row],[AI_TRU1]]</f>
        <v>7</v>
      </c>
      <c r="AL226" t="str">
        <f t="shared" si="93"/>
        <v>Neutral</v>
      </c>
      <c r="AM226">
        <f>survey_responses[[#This Row],[Tôi tin rằng Nhà nước, cơ quan thuế sẽ thực thi chính sách mới một cách khách quan, công tâm và đối xử bình đẳng với mọi người nộp thuế.  - HUMAN-TRU1]]</f>
        <v>5</v>
      </c>
      <c r="AN226" t="str">
        <f t="shared" si="94"/>
        <v>Neutral</v>
      </c>
      <c r="AO226" s="32">
        <f t="shared" si="95"/>
        <v>2</v>
      </c>
      <c r="AP226">
        <f>step3_validation[[#This Row],[AI_TRU2]]</f>
        <v>4</v>
      </c>
      <c r="AQ226" t="str">
        <f t="shared" si="96"/>
        <v>Oppose</v>
      </c>
      <c r="AR226">
        <f>survey_responses[[#This Row],[Tôi thấy mức thuế tôi phải đóng theo phương án mới là công bằng (người thu nhập như tôi đóng mức này là hợp lý). - HUMAN-TRU2]]</f>
        <v>6</v>
      </c>
      <c r="AS226" t="str">
        <f t="shared" si="97"/>
        <v>Neutral</v>
      </c>
      <c r="AT226" s="32">
        <f t="shared" si="98"/>
        <v>2</v>
      </c>
      <c r="AU226">
        <f>step3_validation[[#This Row],[AI_TRU3]]</f>
        <v>6</v>
      </c>
      <c r="AV226" t="str">
        <f t="shared" si="99"/>
        <v>Neutral</v>
      </c>
      <c r="AW226">
        <f>survey_responses[[#This Row],[Tôi tin tưởng số tiền thuế tôi đóng sẽ được Nhà nước sử dụng hiệu quả để cải thiện dịch vụ công (y tế, đường xá...). - HUMAN-TRU3]]</f>
        <v>6</v>
      </c>
      <c r="AX226" t="str">
        <f t="shared" si="100"/>
        <v>Neutral</v>
      </c>
      <c r="AY226" s="32">
        <f t="shared" si="101"/>
        <v>0</v>
      </c>
      <c r="AZ226">
        <f>step3_validation[[#This Row],[AI_TRU4]]</f>
        <v>7</v>
      </c>
      <c r="BA226" t="str">
        <f t="shared" si="102"/>
        <v>Neutral</v>
      </c>
      <c r="BB226">
        <f>survey_responses[[#This Row],[Tôi thấy Nhà nước đã giải thích rõ ràng, minh bạch về lý do và mục tiêu của việc sửa đổi thuế lần này. - HUMAN-TRU4]]</f>
        <v>6</v>
      </c>
      <c r="BC226" t="str">
        <f t="shared" si="103"/>
        <v>Neutral</v>
      </c>
      <c r="BD226" s="32">
        <f t="shared" si="104"/>
        <v>1</v>
      </c>
      <c r="BE226">
        <f>step3_validation[[#This Row],[AI_OUT1]]</f>
        <v>5</v>
      </c>
      <c r="BF226" t="str">
        <f t="shared" si="105"/>
        <v>Neutral</v>
      </c>
      <c r="BG226">
        <f>survey_responses[[#This Row],[Sau khi xem xét các quyền lợi và nghĩa vụ, bạn có ủng hộ và tuân thủ chính sách mới hiện nay? - HUMAN-OUT1]]</f>
        <v>7</v>
      </c>
      <c r="BH226" t="str">
        <f t="shared" si="106"/>
        <v>Neutral</v>
      </c>
      <c r="BI226" s="32">
        <f t="shared" si="107"/>
        <v>2</v>
      </c>
    </row>
    <row r="227" spans="1:61" x14ac:dyDescent="0.45">
      <c r="A227" s="30">
        <f>step3_validation[[#This Row],[Persona_ID]]</f>
        <v>226</v>
      </c>
      <c r="B227" s="31">
        <f>step3_validation[[#This Row],[Used_Seed]]</f>
        <v>2216</v>
      </c>
      <c r="C227" t="str">
        <f>step3_validation[[#This Row],[Gender]]</f>
        <v>Nữ</v>
      </c>
      <c r="D227" t="str">
        <f>survey_responses[[#This Row],[Giới tính của bạn:]]</f>
        <v>Nữ</v>
      </c>
      <c r="E227" t="str">
        <f>step3_validation[[#This Row],[Age_Group]]</f>
        <v>55 - 64</v>
      </c>
      <c r="F227" t="str">
        <f>survey_responses[[#This Row],[Độ tuổi của bạn:]]</f>
        <v>55 - 64</v>
      </c>
      <c r="G227" t="str">
        <f>step3_validation[[#This Row],[Region]]</f>
        <v>Thành thị</v>
      </c>
      <c r="H227" t="str">
        <f>survey_responses[[#This Row],[Khu vực bạn đang sinh sống:]]</f>
        <v>Thành thị</v>
      </c>
      <c r="I227" t="str">
        <f>step3_validation[[#This Row],[Education]]</f>
        <v>Sau Đại học</v>
      </c>
      <c r="J227" t="str">
        <f>survey_responses[[#This Row],[Trình độ học vấn cao nhất:]]</f>
        <v>Sau Đại học</v>
      </c>
      <c r="K227" t="str">
        <f>step3_validation[[#This Row],[Employment]]</f>
        <v>Chính thức</v>
      </c>
      <c r="L227" t="str">
        <f>survey_responses[[#This Row],[Tình trạng việc làm chính:]]</f>
        <v>Khu vực chính thức (Có Hợp đồng lao động, đóng BHXH)</v>
      </c>
      <c r="M227">
        <f>step3_validation[[#This Row],[Income_Mil]]</f>
        <v>84.074035270115829</v>
      </c>
      <c r="N227" t="str">
        <f>survey_responses[[#This Row],[Thu nhập bình quân tháng theo Hợp đồng lao động của bạn là bao nhiêu? (Vui lòng điền tổng thu nhập trước khi khấu trừ các loại Bảo hiểm (BHXH, BHYT, BHTN) và Thuế TNCN)]]</f>
        <v>Từ 70 - 102 triệu VNĐ</v>
      </c>
      <c r="O227">
        <f>step3_validation[[#This Row],[Dependents]]</f>
        <v>2</v>
      </c>
      <c r="P227" t="str">
        <f>survey_responses[[#This Row],[Số người phụ thuộc (con nhỏ, cha mẹ già...) đủ điều kiện giảm trừ gia cảnh:]]</f>
        <v>2 người</v>
      </c>
      <c r="Q227">
        <f>step3_validation[[#This Row],[AI_ENF1]]</f>
        <v>5</v>
      </c>
      <c r="R227" t="str">
        <f t="shared" si="81"/>
        <v>Neutral</v>
      </c>
      <c r="S227">
        <f>survey_responses[[#This Row],[Tôi tin rằng với các quy định quản lý thuế hiện nay, hành vi gian lận hoặc trốn thuế sẽ dễ dàng bị phát hiện và xử lý nghiêm. - HUMAN-ENF1]]</f>
        <v>7</v>
      </c>
      <c r="T227" t="str">
        <f t="shared" si="82"/>
        <v>Neutral</v>
      </c>
      <c r="U227" s="32">
        <f t="shared" si="83"/>
        <v>2</v>
      </c>
      <c r="V227">
        <f>step3_validation[[#This Row],[AI_ENF2]]</f>
        <v>6</v>
      </c>
      <c r="W227" t="str">
        <f t="shared" si="84"/>
        <v>Neutral</v>
      </c>
      <c r="X227">
        <f>survey_responses[[#This Row],[Tôi tin rằng Nhà nước, cơ quan thuế có đủ khả năng và công nghệ để phát hiện, xử lý nghiêm các hành vi trốn thuế. - HUMAN-ENF2]]</f>
        <v>7</v>
      </c>
      <c r="Y227" t="str">
        <f t="shared" si="85"/>
        <v>Neutral</v>
      </c>
      <c r="Z227" s="32">
        <f t="shared" si="86"/>
        <v>1</v>
      </c>
      <c r="AA227">
        <f>step3_validation[[#This Row],[AI_FAC1]]</f>
        <v>7</v>
      </c>
      <c r="AB227" t="str">
        <f t="shared" si="87"/>
        <v>Neutral</v>
      </c>
      <c r="AC227">
        <f>survey_responses[[#This Row],[Các thủ tục khai báo thuế VÀ/HOẶC quy trình làm việc với cơ quan thuế đơn giản, tiện lợi, nhanh chóng hơn so với trước đây. - HUMAN-FAC1]]</f>
        <v>6</v>
      </c>
      <c r="AD227" t="str">
        <f t="shared" si="88"/>
        <v>Neutral</v>
      </c>
      <c r="AE227" s="32">
        <f t="shared" si="89"/>
        <v>1</v>
      </c>
      <c r="AF227">
        <f>step3_validation[[#This Row],[AI_FAC2]]</f>
        <v>8</v>
      </c>
      <c r="AG227" t="str">
        <f t="shared" si="90"/>
        <v>Support</v>
      </c>
      <c r="AH227">
        <f>survey_responses[[#This Row],[So với trước đây, tôi thấy cách tính thuế và các bậc thuế trong phương án mới đơn giản, dễ hiểu và dễ thực hiện hơn. - HUMAN-FAC2]]</f>
        <v>7</v>
      </c>
      <c r="AI227" t="str">
        <f t="shared" si="91"/>
        <v>Neutral</v>
      </c>
      <c r="AJ227" s="32">
        <f t="shared" si="92"/>
        <v>1</v>
      </c>
      <c r="AK227">
        <f>step3_validation[[#This Row],[AI_TRU1]]</f>
        <v>7</v>
      </c>
      <c r="AL227" t="str">
        <f t="shared" si="93"/>
        <v>Neutral</v>
      </c>
      <c r="AM227">
        <f>survey_responses[[#This Row],[Tôi tin rằng Nhà nước, cơ quan thuế sẽ thực thi chính sách mới một cách khách quan, công tâm và đối xử bình đẳng với mọi người nộp thuế.  - HUMAN-TRU1]]</f>
        <v>7</v>
      </c>
      <c r="AN227" t="str">
        <f t="shared" si="94"/>
        <v>Neutral</v>
      </c>
      <c r="AO227" s="32">
        <f t="shared" si="95"/>
        <v>0</v>
      </c>
      <c r="AP227">
        <f>step3_validation[[#This Row],[AI_TRU2]]</f>
        <v>8</v>
      </c>
      <c r="AQ227" t="str">
        <f t="shared" si="96"/>
        <v>Support</v>
      </c>
      <c r="AR227">
        <f>survey_responses[[#This Row],[Tôi thấy mức thuế tôi phải đóng theo phương án mới là công bằng (người thu nhập như tôi đóng mức này là hợp lý). - HUMAN-TRU2]]</f>
        <v>7</v>
      </c>
      <c r="AS227" t="str">
        <f t="shared" si="97"/>
        <v>Neutral</v>
      </c>
      <c r="AT227" s="32">
        <f t="shared" si="98"/>
        <v>1</v>
      </c>
      <c r="AU227">
        <f>step3_validation[[#This Row],[AI_TRU3]]</f>
        <v>6</v>
      </c>
      <c r="AV227" t="str">
        <f t="shared" si="99"/>
        <v>Neutral</v>
      </c>
      <c r="AW227">
        <f>survey_responses[[#This Row],[Tôi tin tưởng số tiền thuế tôi đóng sẽ được Nhà nước sử dụng hiệu quả để cải thiện dịch vụ công (y tế, đường xá...). - HUMAN-TRU3]]</f>
        <v>7</v>
      </c>
      <c r="AX227" t="str">
        <f t="shared" si="100"/>
        <v>Neutral</v>
      </c>
      <c r="AY227" s="32">
        <f t="shared" si="101"/>
        <v>1</v>
      </c>
      <c r="AZ227">
        <f>step3_validation[[#This Row],[AI_TRU4]]</f>
        <v>5</v>
      </c>
      <c r="BA227" t="str">
        <f t="shared" si="102"/>
        <v>Neutral</v>
      </c>
      <c r="BB227">
        <f>survey_responses[[#This Row],[Tôi thấy Nhà nước đã giải thích rõ ràng, minh bạch về lý do và mục tiêu của việc sửa đổi thuế lần này. - HUMAN-TRU4]]</f>
        <v>7</v>
      </c>
      <c r="BC227" t="str">
        <f t="shared" si="103"/>
        <v>Neutral</v>
      </c>
      <c r="BD227" s="32">
        <f t="shared" si="104"/>
        <v>2</v>
      </c>
      <c r="BE227">
        <f>step3_validation[[#This Row],[AI_OUT1]]</f>
        <v>7</v>
      </c>
      <c r="BF227" t="str">
        <f t="shared" si="105"/>
        <v>Neutral</v>
      </c>
      <c r="BG227">
        <f>survey_responses[[#This Row],[Sau khi xem xét các quyền lợi và nghĩa vụ, bạn có ủng hộ và tuân thủ chính sách mới hiện nay? - HUMAN-OUT1]]</f>
        <v>7</v>
      </c>
      <c r="BH227" t="str">
        <f t="shared" si="106"/>
        <v>Neutral</v>
      </c>
      <c r="BI227" s="32">
        <f t="shared" si="107"/>
        <v>0</v>
      </c>
    </row>
    <row r="228" spans="1:61" x14ac:dyDescent="0.45">
      <c r="A228" s="30">
        <f>step3_validation[[#This Row],[Persona_ID]]</f>
        <v>227</v>
      </c>
      <c r="B228" s="31">
        <f>step3_validation[[#This Row],[Used_Seed]]</f>
        <v>2217</v>
      </c>
      <c r="C228" t="str">
        <f>step3_validation[[#This Row],[Gender]]</f>
        <v>Nữ</v>
      </c>
      <c r="D228" t="str">
        <f>survey_responses[[#This Row],[Giới tính của bạn:]]</f>
        <v>Nữ</v>
      </c>
      <c r="E228" t="str">
        <f>step3_validation[[#This Row],[Age_Group]]</f>
        <v>25 - 29</v>
      </c>
      <c r="F228" t="str">
        <f>survey_responses[[#This Row],[Độ tuổi của bạn:]]</f>
        <v>25 - 29</v>
      </c>
      <c r="G228" t="str">
        <f>step3_validation[[#This Row],[Region]]</f>
        <v>Thành thị</v>
      </c>
      <c r="H228" t="str">
        <f>survey_responses[[#This Row],[Khu vực bạn đang sinh sống:]]</f>
        <v>Thành thị</v>
      </c>
      <c r="I228" t="str">
        <f>step3_validation[[#This Row],[Education]]</f>
        <v>Đại học</v>
      </c>
      <c r="J228" t="str">
        <f>survey_responses[[#This Row],[Trình độ học vấn cao nhất:]]</f>
        <v>Đại học</v>
      </c>
      <c r="K228" t="str">
        <f>step3_validation[[#This Row],[Employment]]</f>
        <v>Chính thức</v>
      </c>
      <c r="L228" t="str">
        <f>survey_responses[[#This Row],[Tình trạng việc làm chính:]]</f>
        <v>Khu vực chính thức (Có Hợp đồng lao động, đóng BHXH)</v>
      </c>
      <c r="M228">
        <f>step3_validation[[#This Row],[Income_Mil]]</f>
        <v>26.554586124237517</v>
      </c>
      <c r="N228" t="str">
        <f>survey_responses[[#This Row],[Thu nhập bình quân tháng theo Hợp đồng lao động của bạn là bao nhiêu? (Vui lòng điền tổng thu nhập trước khi khấu trừ các loại Bảo hiểm (BHXH, BHYT, BHTN) và Thuế TNCN)]]</f>
        <v>Từ 23 - 32 triệu VNĐ</v>
      </c>
      <c r="O228">
        <f>step3_validation[[#This Row],[Dependents]]</f>
        <v>0</v>
      </c>
      <c r="P228" t="str">
        <f>survey_responses[[#This Row],[Số người phụ thuộc (con nhỏ, cha mẹ già...) đủ điều kiện giảm trừ gia cảnh:]]</f>
        <v>0 người</v>
      </c>
      <c r="Q228">
        <f>step3_validation[[#This Row],[AI_ENF1]]</f>
        <v>7</v>
      </c>
      <c r="R228" t="str">
        <f t="shared" si="81"/>
        <v>Neutral</v>
      </c>
      <c r="S228">
        <f>survey_responses[[#This Row],[Tôi tin rằng với các quy định quản lý thuế hiện nay, hành vi gian lận hoặc trốn thuế sẽ dễ dàng bị phát hiện và xử lý nghiêm. - HUMAN-ENF1]]</f>
        <v>6</v>
      </c>
      <c r="T228" t="str">
        <f t="shared" si="82"/>
        <v>Neutral</v>
      </c>
      <c r="U228" s="32">
        <f t="shared" si="83"/>
        <v>1</v>
      </c>
      <c r="V228">
        <f>step3_validation[[#This Row],[AI_ENF2]]</f>
        <v>6</v>
      </c>
      <c r="W228" t="str">
        <f t="shared" si="84"/>
        <v>Neutral</v>
      </c>
      <c r="X228">
        <f>survey_responses[[#This Row],[Tôi tin rằng Nhà nước, cơ quan thuế có đủ khả năng và công nghệ để phát hiện, xử lý nghiêm các hành vi trốn thuế. - HUMAN-ENF2]]</f>
        <v>6</v>
      </c>
      <c r="Y228" t="str">
        <f t="shared" si="85"/>
        <v>Neutral</v>
      </c>
      <c r="Z228" s="32">
        <f t="shared" si="86"/>
        <v>0</v>
      </c>
      <c r="AA228">
        <f>step3_validation[[#This Row],[AI_FAC1]]</f>
        <v>6</v>
      </c>
      <c r="AB228" t="str">
        <f t="shared" si="87"/>
        <v>Neutral</v>
      </c>
      <c r="AC228">
        <f>survey_responses[[#This Row],[Các thủ tục khai báo thuế VÀ/HOẶC quy trình làm việc với cơ quan thuế đơn giản, tiện lợi, nhanh chóng hơn so với trước đây. - HUMAN-FAC1]]</f>
        <v>6</v>
      </c>
      <c r="AD228" t="str">
        <f t="shared" si="88"/>
        <v>Neutral</v>
      </c>
      <c r="AE228" s="32">
        <f t="shared" si="89"/>
        <v>0</v>
      </c>
      <c r="AF228">
        <f>step3_validation[[#This Row],[AI_FAC2]]</f>
        <v>8</v>
      </c>
      <c r="AG228" t="str">
        <f t="shared" si="90"/>
        <v>Support</v>
      </c>
      <c r="AH228">
        <f>survey_responses[[#This Row],[So với trước đây, tôi thấy cách tính thuế và các bậc thuế trong phương án mới đơn giản, dễ hiểu và dễ thực hiện hơn. - HUMAN-FAC2]]</f>
        <v>6</v>
      </c>
      <c r="AI228" t="str">
        <f t="shared" si="91"/>
        <v>Neutral</v>
      </c>
      <c r="AJ228" s="32">
        <f t="shared" si="92"/>
        <v>2</v>
      </c>
      <c r="AK228">
        <f>step3_validation[[#This Row],[AI_TRU1]]</f>
        <v>5</v>
      </c>
      <c r="AL228" t="str">
        <f t="shared" si="93"/>
        <v>Neutral</v>
      </c>
      <c r="AM228">
        <f>survey_responses[[#This Row],[Tôi tin rằng Nhà nước, cơ quan thuế sẽ thực thi chính sách mới một cách khách quan, công tâm và đối xử bình đẳng với mọi người nộp thuế.  - HUMAN-TRU1]]</f>
        <v>6</v>
      </c>
      <c r="AN228" t="str">
        <f t="shared" si="94"/>
        <v>Neutral</v>
      </c>
      <c r="AO228" s="32">
        <f t="shared" si="95"/>
        <v>1</v>
      </c>
      <c r="AP228">
        <f>step3_validation[[#This Row],[AI_TRU2]]</f>
        <v>7</v>
      </c>
      <c r="AQ228" t="str">
        <f t="shared" si="96"/>
        <v>Neutral</v>
      </c>
      <c r="AR228">
        <f>survey_responses[[#This Row],[Tôi thấy mức thuế tôi phải đóng theo phương án mới là công bằng (người thu nhập như tôi đóng mức này là hợp lý). - HUMAN-TRU2]]</f>
        <v>6</v>
      </c>
      <c r="AS228" t="str">
        <f t="shared" si="97"/>
        <v>Neutral</v>
      </c>
      <c r="AT228" s="32">
        <f t="shared" si="98"/>
        <v>1</v>
      </c>
      <c r="AU228">
        <f>step3_validation[[#This Row],[AI_TRU3]]</f>
        <v>5</v>
      </c>
      <c r="AV228" t="str">
        <f t="shared" si="99"/>
        <v>Neutral</v>
      </c>
      <c r="AW228">
        <f>survey_responses[[#This Row],[Tôi tin tưởng số tiền thuế tôi đóng sẽ được Nhà nước sử dụng hiệu quả để cải thiện dịch vụ công (y tế, đường xá...). - HUMAN-TRU3]]</f>
        <v>6</v>
      </c>
      <c r="AX228" t="str">
        <f t="shared" si="100"/>
        <v>Neutral</v>
      </c>
      <c r="AY228" s="32">
        <f t="shared" si="101"/>
        <v>1</v>
      </c>
      <c r="AZ228">
        <f>step3_validation[[#This Row],[AI_TRU4]]</f>
        <v>5</v>
      </c>
      <c r="BA228" t="str">
        <f t="shared" si="102"/>
        <v>Neutral</v>
      </c>
      <c r="BB228">
        <f>survey_responses[[#This Row],[Tôi thấy Nhà nước đã giải thích rõ ràng, minh bạch về lý do và mục tiêu của việc sửa đổi thuế lần này. - HUMAN-TRU4]]</f>
        <v>6</v>
      </c>
      <c r="BC228" t="str">
        <f t="shared" si="103"/>
        <v>Neutral</v>
      </c>
      <c r="BD228" s="32">
        <f t="shared" si="104"/>
        <v>1</v>
      </c>
      <c r="BE228">
        <f>step3_validation[[#This Row],[AI_OUT1]]</f>
        <v>6</v>
      </c>
      <c r="BF228" t="str">
        <f t="shared" si="105"/>
        <v>Neutral</v>
      </c>
      <c r="BG228">
        <f>survey_responses[[#This Row],[Sau khi xem xét các quyền lợi và nghĩa vụ, bạn có ủng hộ và tuân thủ chính sách mới hiện nay? - HUMAN-OUT1]]</f>
        <v>6</v>
      </c>
      <c r="BH228" t="str">
        <f t="shared" si="106"/>
        <v>Neutral</v>
      </c>
      <c r="BI228" s="32">
        <f t="shared" si="107"/>
        <v>0</v>
      </c>
    </row>
    <row r="229" spans="1:61" x14ac:dyDescent="0.45">
      <c r="A229" s="30">
        <f>step3_validation[[#This Row],[Persona_ID]]</f>
        <v>228</v>
      </c>
      <c r="B229" s="31">
        <f>step3_validation[[#This Row],[Used_Seed]]</f>
        <v>2218</v>
      </c>
      <c r="C229" t="str">
        <f>step3_validation[[#This Row],[Gender]]</f>
        <v>Nữ</v>
      </c>
      <c r="D229" t="str">
        <f>survey_responses[[#This Row],[Giới tính của bạn:]]</f>
        <v>Nữ</v>
      </c>
      <c r="E229" t="str">
        <f>step3_validation[[#This Row],[Age_Group]]</f>
        <v>25 - 29</v>
      </c>
      <c r="F229" t="str">
        <f>survey_responses[[#This Row],[Độ tuổi của bạn:]]</f>
        <v>25 - 29</v>
      </c>
      <c r="G229" t="str">
        <f>step3_validation[[#This Row],[Region]]</f>
        <v>Thành thị</v>
      </c>
      <c r="H229" t="str">
        <f>survey_responses[[#This Row],[Khu vực bạn đang sinh sống:]]</f>
        <v>Thành thị</v>
      </c>
      <c r="I229" t="str">
        <f>step3_validation[[#This Row],[Education]]</f>
        <v>Đại học</v>
      </c>
      <c r="J229" t="str">
        <f>survey_responses[[#This Row],[Trình độ học vấn cao nhất:]]</f>
        <v>Đại học</v>
      </c>
      <c r="K229" t="str">
        <f>step3_validation[[#This Row],[Employment]]</f>
        <v>Chính thức</v>
      </c>
      <c r="L229" t="str">
        <f>survey_responses[[#This Row],[Tình trạng việc làm chính:]]</f>
        <v>Khu vực chính thức (Có Hợp đồng lao động, đóng BHXH)</v>
      </c>
      <c r="M229">
        <f>step3_validation[[#This Row],[Income_Mil]]</f>
        <v>18.971675083764307</v>
      </c>
      <c r="N229" t="str">
        <f>survey_responses[[#This Row],[Thu nhập bình quân tháng theo Hợp đồng lao động của bạn là bao nhiêu? (Vui lòng điền tổng thu nhập trước khi khấu trừ các loại Bảo hiểm (BHXH, BHYT, BHTN) và Thuế TNCN)]]</f>
        <v>Từ 18 - 23 triệu VNĐ</v>
      </c>
      <c r="O229">
        <f>step3_validation[[#This Row],[Dependents]]</f>
        <v>2</v>
      </c>
      <c r="P229" t="str">
        <f>survey_responses[[#This Row],[Số người phụ thuộc (con nhỏ, cha mẹ già...) đủ điều kiện giảm trừ gia cảnh:]]</f>
        <v>2 người</v>
      </c>
      <c r="Q229">
        <f>step3_validation[[#This Row],[AI_ENF1]]</f>
        <v>7</v>
      </c>
      <c r="R229" t="str">
        <f t="shared" si="81"/>
        <v>Neutral</v>
      </c>
      <c r="S229">
        <f>survey_responses[[#This Row],[Tôi tin rằng với các quy định quản lý thuế hiện nay, hành vi gian lận hoặc trốn thuế sẽ dễ dàng bị phát hiện và xử lý nghiêm. - HUMAN-ENF1]]</f>
        <v>8</v>
      </c>
      <c r="T229" t="str">
        <f t="shared" si="82"/>
        <v>Support</v>
      </c>
      <c r="U229" s="32">
        <f t="shared" si="83"/>
        <v>1</v>
      </c>
      <c r="V229">
        <f>step3_validation[[#This Row],[AI_ENF2]]</f>
        <v>8</v>
      </c>
      <c r="W229" t="str">
        <f t="shared" si="84"/>
        <v>Support</v>
      </c>
      <c r="X229">
        <f>survey_responses[[#This Row],[Tôi tin rằng Nhà nước, cơ quan thuế có đủ khả năng và công nghệ để phát hiện, xử lý nghiêm các hành vi trốn thuế. - HUMAN-ENF2]]</f>
        <v>9</v>
      </c>
      <c r="Y229" t="str">
        <f t="shared" si="85"/>
        <v>Support</v>
      </c>
      <c r="Z229" s="32">
        <f t="shared" si="86"/>
        <v>1</v>
      </c>
      <c r="AA229">
        <f>step3_validation[[#This Row],[AI_FAC1]]</f>
        <v>6</v>
      </c>
      <c r="AB229" t="str">
        <f t="shared" si="87"/>
        <v>Neutral</v>
      </c>
      <c r="AC229">
        <f>survey_responses[[#This Row],[Các thủ tục khai báo thuế VÀ/HOẶC quy trình làm việc với cơ quan thuế đơn giản, tiện lợi, nhanh chóng hơn so với trước đây. - HUMAN-FAC1]]</f>
        <v>7</v>
      </c>
      <c r="AD229" t="str">
        <f t="shared" si="88"/>
        <v>Neutral</v>
      </c>
      <c r="AE229" s="32">
        <f t="shared" si="89"/>
        <v>1</v>
      </c>
      <c r="AF229">
        <f>step3_validation[[#This Row],[AI_FAC2]]</f>
        <v>8</v>
      </c>
      <c r="AG229" t="str">
        <f t="shared" si="90"/>
        <v>Support</v>
      </c>
      <c r="AH229">
        <f>survey_responses[[#This Row],[So với trước đây, tôi thấy cách tính thuế và các bậc thuế trong phương án mới đơn giản, dễ hiểu và dễ thực hiện hơn. - HUMAN-FAC2]]</f>
        <v>8</v>
      </c>
      <c r="AI229" t="str">
        <f t="shared" si="91"/>
        <v>Support</v>
      </c>
      <c r="AJ229" s="32">
        <f t="shared" si="92"/>
        <v>0</v>
      </c>
      <c r="AK229">
        <f>step3_validation[[#This Row],[AI_TRU1]]</f>
        <v>6</v>
      </c>
      <c r="AL229" t="str">
        <f t="shared" si="93"/>
        <v>Neutral</v>
      </c>
      <c r="AM229">
        <f>survey_responses[[#This Row],[Tôi tin rằng Nhà nước, cơ quan thuế sẽ thực thi chính sách mới một cách khách quan, công tâm và đối xử bình đẳng với mọi người nộp thuế.  - HUMAN-TRU1]]</f>
        <v>9</v>
      </c>
      <c r="AN229" t="str">
        <f t="shared" si="94"/>
        <v>Support</v>
      </c>
      <c r="AO229" s="32">
        <f t="shared" si="95"/>
        <v>3</v>
      </c>
      <c r="AP229">
        <f>step3_validation[[#This Row],[AI_TRU2]]</f>
        <v>7</v>
      </c>
      <c r="AQ229" t="str">
        <f t="shared" si="96"/>
        <v>Neutral</v>
      </c>
      <c r="AR229">
        <f>survey_responses[[#This Row],[Tôi thấy mức thuế tôi phải đóng theo phương án mới là công bằng (người thu nhập như tôi đóng mức này là hợp lý). - HUMAN-TRU2]]</f>
        <v>8</v>
      </c>
      <c r="AS229" t="str">
        <f t="shared" si="97"/>
        <v>Support</v>
      </c>
      <c r="AT229" s="32">
        <f t="shared" si="98"/>
        <v>1</v>
      </c>
      <c r="AU229">
        <f>step3_validation[[#This Row],[AI_TRU3]]</f>
        <v>6</v>
      </c>
      <c r="AV229" t="str">
        <f t="shared" si="99"/>
        <v>Neutral</v>
      </c>
      <c r="AW229">
        <f>survey_responses[[#This Row],[Tôi tin tưởng số tiền thuế tôi đóng sẽ được Nhà nước sử dụng hiệu quả để cải thiện dịch vụ công (y tế, đường xá...). - HUMAN-TRU3]]</f>
        <v>8</v>
      </c>
      <c r="AX229" t="str">
        <f t="shared" si="100"/>
        <v>Support</v>
      </c>
      <c r="AY229" s="32">
        <f t="shared" si="101"/>
        <v>2</v>
      </c>
      <c r="AZ229">
        <f>step3_validation[[#This Row],[AI_TRU4]]</f>
        <v>7</v>
      </c>
      <c r="BA229" t="str">
        <f t="shared" si="102"/>
        <v>Neutral</v>
      </c>
      <c r="BB229">
        <f>survey_responses[[#This Row],[Tôi thấy Nhà nước đã giải thích rõ ràng, minh bạch về lý do và mục tiêu của việc sửa đổi thuế lần này. - HUMAN-TRU4]]</f>
        <v>8</v>
      </c>
      <c r="BC229" t="str">
        <f t="shared" si="103"/>
        <v>Support</v>
      </c>
      <c r="BD229" s="32">
        <f t="shared" si="104"/>
        <v>1</v>
      </c>
      <c r="BE229">
        <f>step3_validation[[#This Row],[AI_OUT1]]</f>
        <v>6</v>
      </c>
      <c r="BF229" t="str">
        <f t="shared" si="105"/>
        <v>Neutral</v>
      </c>
      <c r="BG229">
        <f>survey_responses[[#This Row],[Sau khi xem xét các quyền lợi và nghĩa vụ, bạn có ủng hộ và tuân thủ chính sách mới hiện nay? - HUMAN-OUT1]]</f>
        <v>8</v>
      </c>
      <c r="BH229" t="str">
        <f t="shared" si="106"/>
        <v>Support</v>
      </c>
      <c r="BI229" s="32">
        <f t="shared" si="107"/>
        <v>2</v>
      </c>
    </row>
    <row r="230" spans="1:61" x14ac:dyDescent="0.45">
      <c r="A230" s="30">
        <f>step3_validation[[#This Row],[Persona_ID]]</f>
        <v>229</v>
      </c>
      <c r="B230" s="31">
        <f>step3_validation[[#This Row],[Used_Seed]]</f>
        <v>2219</v>
      </c>
      <c r="C230" t="str">
        <f>step3_validation[[#This Row],[Gender]]</f>
        <v>Nữ</v>
      </c>
      <c r="D230" t="str">
        <f>survey_responses[[#This Row],[Giới tính của bạn:]]</f>
        <v>Nữ</v>
      </c>
      <c r="E230" t="str">
        <f>step3_validation[[#This Row],[Age_Group]]</f>
        <v>30 - 39</v>
      </c>
      <c r="F230" t="str">
        <f>survey_responses[[#This Row],[Độ tuổi của bạn:]]</f>
        <v>30 - 39</v>
      </c>
      <c r="G230" t="str">
        <f>step3_validation[[#This Row],[Region]]</f>
        <v>Thành thị</v>
      </c>
      <c r="H230" t="str">
        <f>survey_responses[[#This Row],[Khu vực bạn đang sinh sống:]]</f>
        <v>Thành thị</v>
      </c>
      <c r="I230" t="str">
        <f>step3_validation[[#This Row],[Education]]</f>
        <v>Đại học</v>
      </c>
      <c r="J230" t="str">
        <f>survey_responses[[#This Row],[Trình độ học vấn cao nhất:]]</f>
        <v>Đại học</v>
      </c>
      <c r="K230" t="str">
        <f>step3_validation[[#This Row],[Employment]]</f>
        <v>Chính thức</v>
      </c>
      <c r="L230" t="str">
        <f>survey_responses[[#This Row],[Tình trạng việc làm chính:]]</f>
        <v>Khu vực chính thức (Có Hợp đồng lao động, đóng BHXH)</v>
      </c>
      <c r="M230">
        <f>step3_validation[[#This Row],[Income_Mil]]</f>
        <v>62.619751996049857</v>
      </c>
      <c r="N230" t="str">
        <f>survey_responses[[#This Row],[Thu nhập bình quân tháng theo Hợp đồng lao động của bạn là bao nhiêu? (Vui lòng điền tổng thu nhập trước khi khấu trừ các loại Bảo hiểm (BHXH, BHYT, BHTN) và Thuế TNCN)]]</f>
        <v>Từ 48 - 70 triệu VNĐ</v>
      </c>
      <c r="O230">
        <f>step3_validation[[#This Row],[Dependents]]</f>
        <v>2</v>
      </c>
      <c r="P230" t="str">
        <f>survey_responses[[#This Row],[Số người phụ thuộc (con nhỏ, cha mẹ già...) đủ điều kiện giảm trừ gia cảnh:]]</f>
        <v>2 người</v>
      </c>
      <c r="Q230">
        <f>step3_validation[[#This Row],[AI_ENF1]]</f>
        <v>8</v>
      </c>
      <c r="R230" t="str">
        <f t="shared" si="81"/>
        <v>Support</v>
      </c>
      <c r="S230">
        <f>survey_responses[[#This Row],[Tôi tin rằng với các quy định quản lý thuế hiện nay, hành vi gian lận hoặc trốn thuế sẽ dễ dàng bị phát hiện và xử lý nghiêm. - HUMAN-ENF1]]</f>
        <v>6</v>
      </c>
      <c r="T230" t="str">
        <f t="shared" si="82"/>
        <v>Neutral</v>
      </c>
      <c r="U230" s="32">
        <f t="shared" si="83"/>
        <v>2</v>
      </c>
      <c r="V230">
        <f>step3_validation[[#This Row],[AI_ENF2]]</f>
        <v>7</v>
      </c>
      <c r="W230" t="str">
        <f t="shared" si="84"/>
        <v>Neutral</v>
      </c>
      <c r="X230">
        <f>survey_responses[[#This Row],[Tôi tin rằng Nhà nước, cơ quan thuế có đủ khả năng và công nghệ để phát hiện, xử lý nghiêm các hành vi trốn thuế. - HUMAN-ENF2]]</f>
        <v>6</v>
      </c>
      <c r="Y230" t="str">
        <f t="shared" si="85"/>
        <v>Neutral</v>
      </c>
      <c r="Z230" s="32">
        <f t="shared" si="86"/>
        <v>1</v>
      </c>
      <c r="AA230">
        <f>step3_validation[[#This Row],[AI_FAC1]]</f>
        <v>9</v>
      </c>
      <c r="AB230" t="str">
        <f t="shared" si="87"/>
        <v>Support</v>
      </c>
      <c r="AC230">
        <f>survey_responses[[#This Row],[Các thủ tục khai báo thuế VÀ/HOẶC quy trình làm việc với cơ quan thuế đơn giản, tiện lợi, nhanh chóng hơn so với trước đây. - HUMAN-FAC1]]</f>
        <v>6</v>
      </c>
      <c r="AD230" t="str">
        <f t="shared" si="88"/>
        <v>Neutral</v>
      </c>
      <c r="AE230" s="32">
        <f t="shared" si="89"/>
        <v>3</v>
      </c>
      <c r="AF230">
        <f>step3_validation[[#This Row],[AI_FAC2]]</f>
        <v>8</v>
      </c>
      <c r="AG230" t="str">
        <f t="shared" si="90"/>
        <v>Support</v>
      </c>
      <c r="AH230">
        <f>survey_responses[[#This Row],[So với trước đây, tôi thấy cách tính thuế và các bậc thuế trong phương án mới đơn giản, dễ hiểu và dễ thực hiện hơn. - HUMAN-FAC2]]</f>
        <v>6</v>
      </c>
      <c r="AI230" t="str">
        <f t="shared" si="91"/>
        <v>Neutral</v>
      </c>
      <c r="AJ230" s="32">
        <f t="shared" si="92"/>
        <v>2</v>
      </c>
      <c r="AK230">
        <f>step3_validation[[#This Row],[AI_TRU1]]</f>
        <v>7</v>
      </c>
      <c r="AL230" t="str">
        <f t="shared" si="93"/>
        <v>Neutral</v>
      </c>
      <c r="AM230">
        <f>survey_responses[[#This Row],[Tôi tin rằng Nhà nước, cơ quan thuế sẽ thực thi chính sách mới một cách khách quan, công tâm và đối xử bình đẳng với mọi người nộp thuế.  - HUMAN-TRU1]]</f>
        <v>6</v>
      </c>
      <c r="AN230" t="str">
        <f t="shared" si="94"/>
        <v>Neutral</v>
      </c>
      <c r="AO230" s="32">
        <f t="shared" si="95"/>
        <v>1</v>
      </c>
      <c r="AP230">
        <f>step3_validation[[#This Row],[AI_TRU2]]</f>
        <v>8</v>
      </c>
      <c r="AQ230" t="str">
        <f t="shared" si="96"/>
        <v>Support</v>
      </c>
      <c r="AR230">
        <f>survey_responses[[#This Row],[Tôi thấy mức thuế tôi phải đóng theo phương án mới là công bằng (người thu nhập như tôi đóng mức này là hợp lý). - HUMAN-TRU2]]</f>
        <v>7</v>
      </c>
      <c r="AS230" t="str">
        <f t="shared" si="97"/>
        <v>Neutral</v>
      </c>
      <c r="AT230" s="32">
        <f t="shared" si="98"/>
        <v>1</v>
      </c>
      <c r="AU230">
        <f>step3_validation[[#This Row],[AI_TRU3]]</f>
        <v>7</v>
      </c>
      <c r="AV230" t="str">
        <f t="shared" si="99"/>
        <v>Neutral</v>
      </c>
      <c r="AW230">
        <f>survey_responses[[#This Row],[Tôi tin tưởng số tiền thuế tôi đóng sẽ được Nhà nước sử dụng hiệu quả để cải thiện dịch vụ công (y tế, đường xá...). - HUMAN-TRU3]]</f>
        <v>6</v>
      </c>
      <c r="AX230" t="str">
        <f t="shared" si="100"/>
        <v>Neutral</v>
      </c>
      <c r="AY230" s="32">
        <f t="shared" si="101"/>
        <v>1</v>
      </c>
      <c r="AZ230">
        <f>step3_validation[[#This Row],[AI_TRU4]]</f>
        <v>6</v>
      </c>
      <c r="BA230" t="str">
        <f t="shared" si="102"/>
        <v>Neutral</v>
      </c>
      <c r="BB230">
        <f>survey_responses[[#This Row],[Tôi thấy Nhà nước đã giải thích rõ ràng, minh bạch về lý do và mục tiêu của việc sửa đổi thuế lần này. - HUMAN-TRU4]]</f>
        <v>6</v>
      </c>
      <c r="BC230" t="str">
        <f t="shared" si="103"/>
        <v>Neutral</v>
      </c>
      <c r="BD230" s="32">
        <f t="shared" si="104"/>
        <v>0</v>
      </c>
      <c r="BE230">
        <f>step3_validation[[#This Row],[AI_OUT1]]</f>
        <v>7</v>
      </c>
      <c r="BF230" t="str">
        <f t="shared" si="105"/>
        <v>Neutral</v>
      </c>
      <c r="BG230">
        <f>survey_responses[[#This Row],[Sau khi xem xét các quyền lợi và nghĩa vụ, bạn có ủng hộ và tuân thủ chính sách mới hiện nay? - HUMAN-OUT1]]</f>
        <v>7</v>
      </c>
      <c r="BH230" t="str">
        <f t="shared" si="106"/>
        <v>Neutral</v>
      </c>
      <c r="BI230" s="32">
        <f t="shared" si="107"/>
        <v>0</v>
      </c>
    </row>
    <row r="231" spans="1:61" x14ac:dyDescent="0.45">
      <c r="A231" s="30">
        <f>step3_validation[[#This Row],[Persona_ID]]</f>
        <v>230</v>
      </c>
      <c r="B231" s="31">
        <f>step3_validation[[#This Row],[Used_Seed]]</f>
        <v>2220</v>
      </c>
      <c r="C231" t="str">
        <f>step3_validation[[#This Row],[Gender]]</f>
        <v>Nữ</v>
      </c>
      <c r="D231" t="str">
        <f>survey_responses[[#This Row],[Giới tính của bạn:]]</f>
        <v>Nữ</v>
      </c>
      <c r="E231" t="str">
        <f>step3_validation[[#This Row],[Age_Group]]</f>
        <v>40 - 49</v>
      </c>
      <c r="F231" t="str">
        <f>survey_responses[[#This Row],[Độ tuổi của bạn:]]</f>
        <v>40 - 49</v>
      </c>
      <c r="G231" t="str">
        <f>step3_validation[[#This Row],[Region]]</f>
        <v>Thành thị</v>
      </c>
      <c r="H231" t="str">
        <f>survey_responses[[#This Row],[Khu vực bạn đang sinh sống:]]</f>
        <v>Thành thị</v>
      </c>
      <c r="I231" t="str">
        <f>step3_validation[[#This Row],[Education]]</f>
        <v>Sau Đại học</v>
      </c>
      <c r="J231" t="str">
        <f>survey_responses[[#This Row],[Trình độ học vấn cao nhất:]]</f>
        <v>Sau Đại học</v>
      </c>
      <c r="K231" t="str">
        <f>step3_validation[[#This Row],[Employment]]</f>
        <v>Chính thức</v>
      </c>
      <c r="L231" t="str">
        <f>survey_responses[[#This Row],[Tình trạng việc làm chính:]]</f>
        <v>Khu vực chính thức (Có Hợp đồng lao động, đóng BHXH)</v>
      </c>
      <c r="M231">
        <f>step3_validation[[#This Row],[Income_Mil]]</f>
        <v>95.054824638140062</v>
      </c>
      <c r="N231" t="str">
        <f>survey_responses[[#This Row],[Thu nhập bình quân tháng theo Hợp đồng lao động của bạn là bao nhiêu? (Vui lòng điền tổng thu nhập trước khi khấu trừ các loại Bảo hiểm (BHXH, BHYT, BHTN) và Thuế TNCN)]]</f>
        <v>Từ 70 - 102 triệu VNĐ</v>
      </c>
      <c r="O231">
        <f>step3_validation[[#This Row],[Dependents]]</f>
        <v>4</v>
      </c>
      <c r="P231" t="str">
        <f>survey_responses[[#This Row],[Số người phụ thuộc (con nhỏ, cha mẹ già...) đủ điều kiện giảm trừ gia cảnh:]]</f>
        <v>4 người trở lên</v>
      </c>
      <c r="Q231">
        <f>step3_validation[[#This Row],[AI_ENF1]]</f>
        <v>7</v>
      </c>
      <c r="R231" t="str">
        <f t="shared" si="81"/>
        <v>Neutral</v>
      </c>
      <c r="S231">
        <f>survey_responses[[#This Row],[Tôi tin rằng với các quy định quản lý thuế hiện nay, hành vi gian lận hoặc trốn thuế sẽ dễ dàng bị phát hiện và xử lý nghiêm. - HUMAN-ENF1]]</f>
        <v>4</v>
      </c>
      <c r="T231" t="str">
        <f t="shared" si="82"/>
        <v>Oppose</v>
      </c>
      <c r="U231" s="32">
        <f t="shared" si="83"/>
        <v>3</v>
      </c>
      <c r="V231">
        <f>step3_validation[[#This Row],[AI_ENF2]]</f>
        <v>8</v>
      </c>
      <c r="W231" t="str">
        <f t="shared" si="84"/>
        <v>Support</v>
      </c>
      <c r="X231">
        <f>survey_responses[[#This Row],[Tôi tin rằng Nhà nước, cơ quan thuế có đủ khả năng và công nghệ để phát hiện, xử lý nghiêm các hành vi trốn thuế. - HUMAN-ENF2]]</f>
        <v>5</v>
      </c>
      <c r="Y231" t="str">
        <f t="shared" si="85"/>
        <v>Neutral</v>
      </c>
      <c r="Z231" s="32">
        <f t="shared" si="86"/>
        <v>3</v>
      </c>
      <c r="AA231">
        <f>step3_validation[[#This Row],[AI_FAC1]]</f>
        <v>6</v>
      </c>
      <c r="AB231" t="str">
        <f t="shared" si="87"/>
        <v>Neutral</v>
      </c>
      <c r="AC231">
        <f>survey_responses[[#This Row],[Các thủ tục khai báo thuế VÀ/HOẶC quy trình làm việc với cơ quan thuế đơn giản, tiện lợi, nhanh chóng hơn so với trước đây. - HUMAN-FAC1]]</f>
        <v>1</v>
      </c>
      <c r="AD231" t="str">
        <f t="shared" si="88"/>
        <v>Oppose</v>
      </c>
      <c r="AE231" s="32">
        <f t="shared" si="89"/>
        <v>5</v>
      </c>
      <c r="AF231">
        <f>step3_validation[[#This Row],[AI_FAC2]]</f>
        <v>7</v>
      </c>
      <c r="AG231" t="str">
        <f t="shared" si="90"/>
        <v>Neutral</v>
      </c>
      <c r="AH231">
        <f>survey_responses[[#This Row],[So với trước đây, tôi thấy cách tính thuế và các bậc thuế trong phương án mới đơn giản, dễ hiểu và dễ thực hiện hơn. - HUMAN-FAC2]]</f>
        <v>6</v>
      </c>
      <c r="AI231" t="str">
        <f t="shared" si="91"/>
        <v>Neutral</v>
      </c>
      <c r="AJ231" s="32">
        <f t="shared" si="92"/>
        <v>1</v>
      </c>
      <c r="AK231">
        <f>step3_validation[[#This Row],[AI_TRU1]]</f>
        <v>8</v>
      </c>
      <c r="AL231" t="str">
        <f t="shared" si="93"/>
        <v>Support</v>
      </c>
      <c r="AM231">
        <f>survey_responses[[#This Row],[Tôi tin rằng Nhà nước, cơ quan thuế sẽ thực thi chính sách mới một cách khách quan, công tâm và đối xử bình đẳng với mọi người nộp thuế.  - HUMAN-TRU1]]</f>
        <v>4</v>
      </c>
      <c r="AN231" t="str">
        <f t="shared" si="94"/>
        <v>Oppose</v>
      </c>
      <c r="AO231" s="32">
        <f t="shared" si="95"/>
        <v>4</v>
      </c>
      <c r="AP231">
        <f>step3_validation[[#This Row],[AI_TRU2]]</f>
        <v>7</v>
      </c>
      <c r="AQ231" t="str">
        <f t="shared" si="96"/>
        <v>Neutral</v>
      </c>
      <c r="AR231">
        <f>survey_responses[[#This Row],[Tôi thấy mức thuế tôi phải đóng theo phương án mới là công bằng (người thu nhập như tôi đóng mức này là hợp lý). - HUMAN-TRU2]]</f>
        <v>4</v>
      </c>
      <c r="AS231" t="str">
        <f t="shared" si="97"/>
        <v>Oppose</v>
      </c>
      <c r="AT231" s="32">
        <f t="shared" si="98"/>
        <v>3</v>
      </c>
      <c r="AU231">
        <f>step3_validation[[#This Row],[AI_TRU3]]</f>
        <v>6</v>
      </c>
      <c r="AV231" t="str">
        <f t="shared" si="99"/>
        <v>Neutral</v>
      </c>
      <c r="AW231">
        <f>survey_responses[[#This Row],[Tôi tin tưởng số tiền thuế tôi đóng sẽ được Nhà nước sử dụng hiệu quả để cải thiện dịch vụ công (y tế, đường xá...). - HUMAN-TRU3]]</f>
        <v>5</v>
      </c>
      <c r="AX231" t="str">
        <f t="shared" si="100"/>
        <v>Neutral</v>
      </c>
      <c r="AY231" s="32">
        <f t="shared" si="101"/>
        <v>1</v>
      </c>
      <c r="AZ231">
        <f>step3_validation[[#This Row],[AI_TRU4]]</f>
        <v>7</v>
      </c>
      <c r="BA231" t="str">
        <f t="shared" si="102"/>
        <v>Neutral</v>
      </c>
      <c r="BB231">
        <f>survey_responses[[#This Row],[Tôi thấy Nhà nước đã giải thích rõ ràng, minh bạch về lý do và mục tiêu của việc sửa đổi thuế lần này. - HUMAN-TRU4]]</f>
        <v>5</v>
      </c>
      <c r="BC231" t="str">
        <f t="shared" si="103"/>
        <v>Neutral</v>
      </c>
      <c r="BD231" s="32">
        <f t="shared" si="104"/>
        <v>2</v>
      </c>
      <c r="BE231">
        <f>step3_validation[[#This Row],[AI_OUT1]]</f>
        <v>7</v>
      </c>
      <c r="BF231" t="str">
        <f t="shared" si="105"/>
        <v>Neutral</v>
      </c>
      <c r="BG231">
        <f>survey_responses[[#This Row],[Sau khi xem xét các quyền lợi và nghĩa vụ, bạn có ủng hộ và tuân thủ chính sách mới hiện nay? - HUMAN-OUT1]]</f>
        <v>5</v>
      </c>
      <c r="BH231" t="str">
        <f t="shared" si="106"/>
        <v>Neutral</v>
      </c>
      <c r="BI231" s="32">
        <f t="shared" si="107"/>
        <v>2</v>
      </c>
    </row>
    <row r="232" spans="1:61" x14ac:dyDescent="0.45">
      <c r="A232" s="30">
        <f>step3_validation[[#This Row],[Persona_ID]]</f>
        <v>231</v>
      </c>
      <c r="B232" s="31">
        <f>step3_validation[[#This Row],[Used_Seed]]</f>
        <v>2221</v>
      </c>
      <c r="C232" t="str">
        <f>step3_validation[[#This Row],[Gender]]</f>
        <v>Nam</v>
      </c>
      <c r="D232" t="str">
        <f>survey_responses[[#This Row],[Giới tính của bạn:]]</f>
        <v>Nam</v>
      </c>
      <c r="E232" t="str">
        <f>step3_validation[[#This Row],[Age_Group]]</f>
        <v>55 - 64</v>
      </c>
      <c r="F232" t="str">
        <f>survey_responses[[#This Row],[Độ tuổi của bạn:]]</f>
        <v>55 - 64</v>
      </c>
      <c r="G232" t="str">
        <f>step3_validation[[#This Row],[Region]]</f>
        <v>Thành thị</v>
      </c>
      <c r="H232" t="str">
        <f>survey_responses[[#This Row],[Khu vực bạn đang sinh sống:]]</f>
        <v>Thành thị</v>
      </c>
      <c r="I232" t="str">
        <f>step3_validation[[#This Row],[Education]]</f>
        <v>Sau Đại học</v>
      </c>
      <c r="J232" t="str">
        <f>survey_responses[[#This Row],[Trình độ học vấn cao nhất:]]</f>
        <v>Sau Đại học</v>
      </c>
      <c r="K232" t="str">
        <f>step3_validation[[#This Row],[Employment]]</f>
        <v>Chính thức</v>
      </c>
      <c r="L232" t="str">
        <f>survey_responses[[#This Row],[Tình trạng việc làm chính:]]</f>
        <v>Khu vực chính thức (Có Hợp đồng lao động, đóng BHXH)</v>
      </c>
      <c r="M232">
        <f>step3_validation[[#This Row],[Income_Mil]]</f>
        <v>186.43692716427915</v>
      </c>
      <c r="N232" t="str">
        <f>survey_responses[[#This Row],[Thu nhập bình quân tháng theo Hợp đồng lao động của bạn là bao nhiêu? (Vui lòng điền tổng thu nhập trước khi khấu trừ các loại Bảo hiểm (BHXH, BHYT, BHTN) và Thuế TNCN)]]</f>
        <v>Trên 102 triệu VNĐ</v>
      </c>
      <c r="O232">
        <f>step3_validation[[#This Row],[Dependents]]</f>
        <v>4</v>
      </c>
      <c r="P232" t="str">
        <f>survey_responses[[#This Row],[Số người phụ thuộc (con nhỏ, cha mẹ già...) đủ điều kiện giảm trừ gia cảnh:]]</f>
        <v>4 người trở lên</v>
      </c>
      <c r="Q232">
        <f>step3_validation[[#This Row],[AI_ENF1]]</f>
        <v>7</v>
      </c>
      <c r="R232" t="str">
        <f t="shared" si="81"/>
        <v>Neutral</v>
      </c>
      <c r="S232">
        <f>survey_responses[[#This Row],[Tôi tin rằng với các quy định quản lý thuế hiện nay, hành vi gian lận hoặc trốn thuế sẽ dễ dàng bị phát hiện và xử lý nghiêm. - HUMAN-ENF1]]</f>
        <v>8</v>
      </c>
      <c r="T232" t="str">
        <f t="shared" si="82"/>
        <v>Support</v>
      </c>
      <c r="U232" s="32">
        <f t="shared" si="83"/>
        <v>1</v>
      </c>
      <c r="V232">
        <f>step3_validation[[#This Row],[AI_ENF2]]</f>
        <v>6</v>
      </c>
      <c r="W232" t="str">
        <f t="shared" si="84"/>
        <v>Neutral</v>
      </c>
      <c r="X232">
        <f>survey_responses[[#This Row],[Tôi tin rằng Nhà nước, cơ quan thuế có đủ khả năng và công nghệ để phát hiện, xử lý nghiêm các hành vi trốn thuế. - HUMAN-ENF2]]</f>
        <v>8</v>
      </c>
      <c r="Y232" t="str">
        <f t="shared" si="85"/>
        <v>Support</v>
      </c>
      <c r="Z232" s="32">
        <f t="shared" si="86"/>
        <v>2</v>
      </c>
      <c r="AA232">
        <f>step3_validation[[#This Row],[AI_FAC1]]</f>
        <v>8</v>
      </c>
      <c r="AB232" t="str">
        <f t="shared" si="87"/>
        <v>Support</v>
      </c>
      <c r="AC232">
        <f>survey_responses[[#This Row],[Các thủ tục khai báo thuế VÀ/HOẶC quy trình làm việc với cơ quan thuế đơn giản, tiện lợi, nhanh chóng hơn so với trước đây. - HUMAN-FAC1]]</f>
        <v>8</v>
      </c>
      <c r="AD232" t="str">
        <f t="shared" si="88"/>
        <v>Support</v>
      </c>
      <c r="AE232" s="32">
        <f t="shared" si="89"/>
        <v>0</v>
      </c>
      <c r="AF232">
        <f>step3_validation[[#This Row],[AI_FAC2]]</f>
        <v>9</v>
      </c>
      <c r="AG232" t="str">
        <f t="shared" si="90"/>
        <v>Support</v>
      </c>
      <c r="AH232">
        <f>survey_responses[[#This Row],[So với trước đây, tôi thấy cách tính thuế và các bậc thuế trong phương án mới đơn giản, dễ hiểu và dễ thực hiện hơn. - HUMAN-FAC2]]</f>
        <v>8</v>
      </c>
      <c r="AI232" t="str">
        <f t="shared" si="91"/>
        <v>Support</v>
      </c>
      <c r="AJ232" s="32">
        <f t="shared" si="92"/>
        <v>1</v>
      </c>
      <c r="AK232">
        <f>step3_validation[[#This Row],[AI_TRU1]]</f>
        <v>8</v>
      </c>
      <c r="AL232" t="str">
        <f t="shared" si="93"/>
        <v>Support</v>
      </c>
      <c r="AM232">
        <f>survey_responses[[#This Row],[Tôi tin rằng Nhà nước, cơ quan thuế sẽ thực thi chính sách mới một cách khách quan, công tâm và đối xử bình đẳng với mọi người nộp thuế.  - HUMAN-TRU1]]</f>
        <v>7</v>
      </c>
      <c r="AN232" t="str">
        <f t="shared" si="94"/>
        <v>Neutral</v>
      </c>
      <c r="AO232" s="32">
        <f t="shared" si="95"/>
        <v>1</v>
      </c>
      <c r="AP232">
        <f>step3_validation[[#This Row],[AI_TRU2]]</f>
        <v>7</v>
      </c>
      <c r="AQ232" t="str">
        <f t="shared" si="96"/>
        <v>Neutral</v>
      </c>
      <c r="AR232">
        <f>survey_responses[[#This Row],[Tôi thấy mức thuế tôi phải đóng theo phương án mới là công bằng (người thu nhập như tôi đóng mức này là hợp lý). - HUMAN-TRU2]]</f>
        <v>7</v>
      </c>
      <c r="AS232" t="str">
        <f t="shared" si="97"/>
        <v>Neutral</v>
      </c>
      <c r="AT232" s="32">
        <f t="shared" si="98"/>
        <v>0</v>
      </c>
      <c r="AU232">
        <f>step3_validation[[#This Row],[AI_TRU3]]</f>
        <v>7</v>
      </c>
      <c r="AV232" t="str">
        <f t="shared" si="99"/>
        <v>Neutral</v>
      </c>
      <c r="AW232">
        <f>survey_responses[[#This Row],[Tôi tin tưởng số tiền thuế tôi đóng sẽ được Nhà nước sử dụng hiệu quả để cải thiện dịch vụ công (y tế, đường xá...). - HUMAN-TRU3]]</f>
        <v>8</v>
      </c>
      <c r="AX232" t="str">
        <f t="shared" si="100"/>
        <v>Support</v>
      </c>
      <c r="AY232" s="32">
        <f t="shared" si="101"/>
        <v>1</v>
      </c>
      <c r="AZ232">
        <f>step3_validation[[#This Row],[AI_TRU4]]</f>
        <v>8</v>
      </c>
      <c r="BA232" t="str">
        <f t="shared" si="102"/>
        <v>Support</v>
      </c>
      <c r="BB232">
        <f>survey_responses[[#This Row],[Tôi thấy Nhà nước đã giải thích rõ ràng, minh bạch về lý do và mục tiêu của việc sửa đổi thuế lần này. - HUMAN-TRU4]]</f>
        <v>7</v>
      </c>
      <c r="BC232" t="str">
        <f t="shared" si="103"/>
        <v>Neutral</v>
      </c>
      <c r="BD232" s="32">
        <f t="shared" si="104"/>
        <v>1</v>
      </c>
      <c r="BE232">
        <f>step3_validation[[#This Row],[AI_OUT1]]</f>
        <v>8</v>
      </c>
      <c r="BF232" t="str">
        <f t="shared" si="105"/>
        <v>Support</v>
      </c>
      <c r="BG232">
        <f>survey_responses[[#This Row],[Sau khi xem xét các quyền lợi và nghĩa vụ, bạn có ủng hộ và tuân thủ chính sách mới hiện nay? - HUMAN-OUT1]]</f>
        <v>8</v>
      </c>
      <c r="BH232" t="str">
        <f t="shared" si="106"/>
        <v>Support</v>
      </c>
      <c r="BI232" s="32">
        <f t="shared" si="107"/>
        <v>0</v>
      </c>
    </row>
    <row r="233" spans="1:61" x14ac:dyDescent="0.45">
      <c r="A233" s="30">
        <f>step3_validation[[#This Row],[Persona_ID]]</f>
        <v>232</v>
      </c>
      <c r="B233" s="31">
        <f>step3_validation[[#This Row],[Used_Seed]]</f>
        <v>2222</v>
      </c>
      <c r="C233" t="str">
        <f>step3_validation[[#This Row],[Gender]]</f>
        <v>Nam</v>
      </c>
      <c r="D233" t="str">
        <f>survey_responses[[#This Row],[Giới tính của bạn:]]</f>
        <v>Nam</v>
      </c>
      <c r="E233" t="str">
        <f>step3_validation[[#This Row],[Age_Group]]</f>
        <v>30 - 39</v>
      </c>
      <c r="F233" t="str">
        <f>survey_responses[[#This Row],[Độ tuổi của bạn:]]</f>
        <v>30 - 39</v>
      </c>
      <c r="G233" t="str">
        <f>step3_validation[[#This Row],[Region]]</f>
        <v>Thành thị</v>
      </c>
      <c r="H233" t="str">
        <f>survey_responses[[#This Row],[Khu vực bạn đang sinh sống:]]</f>
        <v>Thành thị</v>
      </c>
      <c r="I233" t="str">
        <f>step3_validation[[#This Row],[Education]]</f>
        <v>Đại học</v>
      </c>
      <c r="J233" t="str">
        <f>survey_responses[[#This Row],[Trình độ học vấn cao nhất:]]</f>
        <v>Đại học</v>
      </c>
      <c r="K233" t="str">
        <f>step3_validation[[#This Row],[Employment]]</f>
        <v>Chính thức</v>
      </c>
      <c r="L233" t="str">
        <f>survey_responses[[#This Row],[Tình trạng việc làm chính:]]</f>
        <v>Khu vực chính thức (Có Hợp đồng lao động, đóng BHXH)</v>
      </c>
      <c r="M233">
        <f>step3_validation[[#This Row],[Income_Mil]]</f>
        <v>54.677067865377872</v>
      </c>
      <c r="N233" t="str">
        <f>survey_responses[[#This Row],[Thu nhập bình quân tháng theo Hợp đồng lao động của bạn là bao nhiêu? (Vui lòng điền tổng thu nhập trước khi khấu trừ các loại Bảo hiểm (BHXH, BHYT, BHTN) và Thuế TNCN)]]</f>
        <v>Từ 48 - 70 triệu VNĐ</v>
      </c>
      <c r="O233">
        <f>step3_validation[[#This Row],[Dependents]]</f>
        <v>2</v>
      </c>
      <c r="P233" t="str">
        <f>survey_responses[[#This Row],[Số người phụ thuộc (con nhỏ, cha mẹ già...) đủ điều kiện giảm trừ gia cảnh:]]</f>
        <v>2 người</v>
      </c>
      <c r="Q233">
        <f>step3_validation[[#This Row],[AI_ENF1]]</f>
        <v>8</v>
      </c>
      <c r="R233" t="str">
        <f t="shared" si="81"/>
        <v>Support</v>
      </c>
      <c r="S233">
        <f>survey_responses[[#This Row],[Tôi tin rằng với các quy định quản lý thuế hiện nay, hành vi gian lận hoặc trốn thuế sẽ dễ dàng bị phát hiện và xử lý nghiêm. - HUMAN-ENF1]]</f>
        <v>6</v>
      </c>
      <c r="T233" t="str">
        <f t="shared" si="82"/>
        <v>Neutral</v>
      </c>
      <c r="U233" s="32">
        <f t="shared" si="83"/>
        <v>2</v>
      </c>
      <c r="V233">
        <f>step3_validation[[#This Row],[AI_ENF2]]</f>
        <v>7</v>
      </c>
      <c r="W233" t="str">
        <f t="shared" si="84"/>
        <v>Neutral</v>
      </c>
      <c r="X233">
        <f>survey_responses[[#This Row],[Tôi tin rằng Nhà nước, cơ quan thuế có đủ khả năng và công nghệ để phát hiện, xử lý nghiêm các hành vi trốn thuế. - HUMAN-ENF2]]</f>
        <v>6</v>
      </c>
      <c r="Y233" t="str">
        <f t="shared" si="85"/>
        <v>Neutral</v>
      </c>
      <c r="Z233" s="32">
        <f t="shared" si="86"/>
        <v>1</v>
      </c>
      <c r="AA233">
        <f>step3_validation[[#This Row],[AI_FAC1]]</f>
        <v>9</v>
      </c>
      <c r="AB233" t="str">
        <f t="shared" si="87"/>
        <v>Support</v>
      </c>
      <c r="AC233">
        <f>survey_responses[[#This Row],[Các thủ tục khai báo thuế VÀ/HOẶC quy trình làm việc với cơ quan thuế đơn giản, tiện lợi, nhanh chóng hơn so với trước đây. - HUMAN-FAC1]]</f>
        <v>6</v>
      </c>
      <c r="AD233" t="str">
        <f t="shared" si="88"/>
        <v>Neutral</v>
      </c>
      <c r="AE233" s="32">
        <f t="shared" si="89"/>
        <v>3</v>
      </c>
      <c r="AF233">
        <f>step3_validation[[#This Row],[AI_FAC2]]</f>
        <v>8</v>
      </c>
      <c r="AG233" t="str">
        <f t="shared" si="90"/>
        <v>Support</v>
      </c>
      <c r="AH233">
        <f>survey_responses[[#This Row],[So với trước đây, tôi thấy cách tính thuế và các bậc thuế trong phương án mới đơn giản, dễ hiểu và dễ thực hiện hơn. - HUMAN-FAC2]]</f>
        <v>6</v>
      </c>
      <c r="AI233" t="str">
        <f t="shared" si="91"/>
        <v>Neutral</v>
      </c>
      <c r="AJ233" s="32">
        <f t="shared" si="92"/>
        <v>2</v>
      </c>
      <c r="AK233">
        <f>step3_validation[[#This Row],[AI_TRU1]]</f>
        <v>7</v>
      </c>
      <c r="AL233" t="str">
        <f t="shared" si="93"/>
        <v>Neutral</v>
      </c>
      <c r="AM233">
        <f>survey_responses[[#This Row],[Tôi tin rằng Nhà nước, cơ quan thuế sẽ thực thi chính sách mới một cách khách quan, công tâm và đối xử bình đẳng với mọi người nộp thuế.  - HUMAN-TRU1]]</f>
        <v>6</v>
      </c>
      <c r="AN233" t="str">
        <f t="shared" si="94"/>
        <v>Neutral</v>
      </c>
      <c r="AO233" s="32">
        <f t="shared" si="95"/>
        <v>1</v>
      </c>
      <c r="AP233">
        <f>step3_validation[[#This Row],[AI_TRU2]]</f>
        <v>6</v>
      </c>
      <c r="AQ233" t="str">
        <f t="shared" si="96"/>
        <v>Neutral</v>
      </c>
      <c r="AR233">
        <f>survey_responses[[#This Row],[Tôi thấy mức thuế tôi phải đóng theo phương án mới là công bằng (người thu nhập như tôi đóng mức này là hợp lý). - HUMAN-TRU2]]</f>
        <v>6</v>
      </c>
      <c r="AS233" t="str">
        <f t="shared" si="97"/>
        <v>Neutral</v>
      </c>
      <c r="AT233" s="32">
        <f t="shared" si="98"/>
        <v>0</v>
      </c>
      <c r="AU233">
        <f>step3_validation[[#This Row],[AI_TRU3]]</f>
        <v>6</v>
      </c>
      <c r="AV233" t="str">
        <f t="shared" si="99"/>
        <v>Neutral</v>
      </c>
      <c r="AW233">
        <f>survey_responses[[#This Row],[Tôi tin tưởng số tiền thuế tôi đóng sẽ được Nhà nước sử dụng hiệu quả để cải thiện dịch vụ công (y tế, đường xá...). - HUMAN-TRU3]]</f>
        <v>6</v>
      </c>
      <c r="AX233" t="str">
        <f t="shared" si="100"/>
        <v>Neutral</v>
      </c>
      <c r="AY233" s="32">
        <f t="shared" si="101"/>
        <v>0</v>
      </c>
      <c r="AZ233">
        <f>step3_validation[[#This Row],[AI_TRU4]]</f>
        <v>5</v>
      </c>
      <c r="BA233" t="str">
        <f t="shared" si="102"/>
        <v>Neutral</v>
      </c>
      <c r="BB233">
        <f>survey_responses[[#This Row],[Tôi thấy Nhà nước đã giải thích rõ ràng, minh bạch về lý do và mục tiêu của việc sửa đổi thuế lần này. - HUMAN-TRU4]]</f>
        <v>6</v>
      </c>
      <c r="BC233" t="str">
        <f t="shared" si="103"/>
        <v>Neutral</v>
      </c>
      <c r="BD233" s="32">
        <f t="shared" si="104"/>
        <v>1</v>
      </c>
      <c r="BE233">
        <f>step3_validation[[#This Row],[AI_OUT1]]</f>
        <v>8</v>
      </c>
      <c r="BF233" t="str">
        <f t="shared" si="105"/>
        <v>Support</v>
      </c>
      <c r="BG233">
        <f>survey_responses[[#This Row],[Sau khi xem xét các quyền lợi và nghĩa vụ, bạn có ủng hộ và tuân thủ chính sách mới hiện nay? - HUMAN-OUT1]]</f>
        <v>6</v>
      </c>
      <c r="BH233" t="str">
        <f t="shared" si="106"/>
        <v>Neutral</v>
      </c>
      <c r="BI233" s="32">
        <f t="shared" si="107"/>
        <v>2</v>
      </c>
    </row>
    <row r="234" spans="1:61" x14ac:dyDescent="0.45">
      <c r="A234" s="30">
        <f>step3_validation[[#This Row],[Persona_ID]]</f>
        <v>233</v>
      </c>
      <c r="B234" s="31">
        <f>step3_validation[[#This Row],[Used_Seed]]</f>
        <v>2223</v>
      </c>
      <c r="C234" t="str">
        <f>step3_validation[[#This Row],[Gender]]</f>
        <v>Nữ</v>
      </c>
      <c r="D234" t="str">
        <f>survey_responses[[#This Row],[Giới tính của bạn:]]</f>
        <v>Nữ</v>
      </c>
      <c r="E234" t="str">
        <f>step3_validation[[#This Row],[Age_Group]]</f>
        <v>40 - 49</v>
      </c>
      <c r="F234" t="str">
        <f>survey_responses[[#This Row],[Độ tuổi của bạn:]]</f>
        <v>40 - 49</v>
      </c>
      <c r="G234" t="str">
        <f>step3_validation[[#This Row],[Region]]</f>
        <v>Thành thị</v>
      </c>
      <c r="H234" t="str">
        <f>survey_responses[[#This Row],[Khu vực bạn đang sinh sống:]]</f>
        <v>Thành thị</v>
      </c>
      <c r="I234" t="str">
        <f>step3_validation[[#This Row],[Education]]</f>
        <v>Đại học</v>
      </c>
      <c r="J234" t="str">
        <f>survey_responses[[#This Row],[Trình độ học vấn cao nhất:]]</f>
        <v>Đại học</v>
      </c>
      <c r="K234" t="str">
        <f>step3_validation[[#This Row],[Employment]]</f>
        <v>Chính thức</v>
      </c>
      <c r="L234" t="str">
        <f>survey_responses[[#This Row],[Tình trạng việc làm chính:]]</f>
        <v>Khu vực chính thức (Có Hợp đồng lao động, đóng BHXH)</v>
      </c>
      <c r="M234">
        <f>step3_validation[[#This Row],[Income_Mil]]</f>
        <v>13.101521068160853</v>
      </c>
      <c r="N234" t="str">
        <f>survey_responses[[#This Row],[Thu nhập bình quân tháng theo Hợp đồng lao động của bạn là bao nhiêu? (Vui lòng điền tổng thu nhập trước khi khấu trừ các loại Bảo hiểm (BHXH, BHYT, BHTN) và Thuế TNCN)]]</f>
        <v>Từ 12 - 18 triệu VNĐ</v>
      </c>
      <c r="O234">
        <f>step3_validation[[#This Row],[Dependents]]</f>
        <v>1</v>
      </c>
      <c r="P234" t="str">
        <f>survey_responses[[#This Row],[Số người phụ thuộc (con nhỏ, cha mẹ già...) đủ điều kiện giảm trừ gia cảnh:]]</f>
        <v>1 người</v>
      </c>
      <c r="Q234">
        <f>step3_validation[[#This Row],[AI_ENF1]]</f>
        <v>7</v>
      </c>
      <c r="R234" t="str">
        <f t="shared" si="81"/>
        <v>Neutral</v>
      </c>
      <c r="S234">
        <f>survey_responses[[#This Row],[Tôi tin rằng với các quy định quản lý thuế hiện nay, hành vi gian lận hoặc trốn thuế sẽ dễ dàng bị phát hiện và xử lý nghiêm. - HUMAN-ENF1]]</f>
        <v>8</v>
      </c>
      <c r="T234" t="str">
        <f t="shared" si="82"/>
        <v>Support</v>
      </c>
      <c r="U234" s="32">
        <f t="shared" si="83"/>
        <v>1</v>
      </c>
      <c r="V234">
        <f>step3_validation[[#This Row],[AI_ENF2]]</f>
        <v>6</v>
      </c>
      <c r="W234" t="str">
        <f t="shared" si="84"/>
        <v>Neutral</v>
      </c>
      <c r="X234">
        <f>survey_responses[[#This Row],[Tôi tin rằng Nhà nước, cơ quan thuế có đủ khả năng và công nghệ để phát hiện, xử lý nghiêm các hành vi trốn thuế. - HUMAN-ENF2]]</f>
        <v>8</v>
      </c>
      <c r="Y234" t="str">
        <f t="shared" si="85"/>
        <v>Support</v>
      </c>
      <c r="Z234" s="32">
        <f t="shared" si="86"/>
        <v>2</v>
      </c>
      <c r="AA234">
        <f>step3_validation[[#This Row],[AI_FAC1]]</f>
        <v>8</v>
      </c>
      <c r="AB234" t="str">
        <f t="shared" si="87"/>
        <v>Support</v>
      </c>
      <c r="AC234">
        <f>survey_responses[[#This Row],[Các thủ tục khai báo thuế VÀ/HOẶC quy trình làm việc với cơ quan thuế đơn giản, tiện lợi, nhanh chóng hơn so với trước đây. - HUMAN-FAC1]]</f>
        <v>8</v>
      </c>
      <c r="AD234" t="str">
        <f t="shared" si="88"/>
        <v>Support</v>
      </c>
      <c r="AE234" s="32">
        <f t="shared" si="89"/>
        <v>0</v>
      </c>
      <c r="AF234">
        <f>step3_validation[[#This Row],[AI_FAC2]]</f>
        <v>7</v>
      </c>
      <c r="AG234" t="str">
        <f t="shared" si="90"/>
        <v>Neutral</v>
      </c>
      <c r="AH234">
        <f>survey_responses[[#This Row],[So với trước đây, tôi thấy cách tính thuế và các bậc thuế trong phương án mới đơn giản, dễ hiểu và dễ thực hiện hơn. - HUMAN-FAC2]]</f>
        <v>8</v>
      </c>
      <c r="AI234" t="str">
        <f t="shared" si="91"/>
        <v>Support</v>
      </c>
      <c r="AJ234" s="32">
        <f t="shared" si="92"/>
        <v>1</v>
      </c>
      <c r="AK234">
        <f>step3_validation[[#This Row],[AI_TRU1]]</f>
        <v>8</v>
      </c>
      <c r="AL234" t="str">
        <f t="shared" si="93"/>
        <v>Support</v>
      </c>
      <c r="AM234">
        <f>survey_responses[[#This Row],[Tôi tin rằng Nhà nước, cơ quan thuế sẽ thực thi chính sách mới một cách khách quan, công tâm và đối xử bình đẳng với mọi người nộp thuế.  - HUMAN-TRU1]]</f>
        <v>9</v>
      </c>
      <c r="AN234" t="str">
        <f t="shared" si="94"/>
        <v>Support</v>
      </c>
      <c r="AO234" s="32">
        <f t="shared" si="95"/>
        <v>1</v>
      </c>
      <c r="AP234">
        <f>step3_validation[[#This Row],[AI_TRU2]]</f>
        <v>9</v>
      </c>
      <c r="AQ234" t="str">
        <f t="shared" si="96"/>
        <v>Support</v>
      </c>
      <c r="AR234">
        <f>survey_responses[[#This Row],[Tôi thấy mức thuế tôi phải đóng theo phương án mới là công bằng (người thu nhập như tôi đóng mức này là hợp lý). - HUMAN-TRU2]]</f>
        <v>8</v>
      </c>
      <c r="AS234" t="str">
        <f t="shared" si="97"/>
        <v>Support</v>
      </c>
      <c r="AT234" s="32">
        <f t="shared" si="98"/>
        <v>1</v>
      </c>
      <c r="AU234">
        <f>step3_validation[[#This Row],[AI_TRU3]]</f>
        <v>7</v>
      </c>
      <c r="AV234" t="str">
        <f t="shared" si="99"/>
        <v>Neutral</v>
      </c>
      <c r="AW234">
        <f>survey_responses[[#This Row],[Tôi tin tưởng số tiền thuế tôi đóng sẽ được Nhà nước sử dụng hiệu quả để cải thiện dịch vụ công (y tế, đường xá...). - HUMAN-TRU3]]</f>
        <v>8</v>
      </c>
      <c r="AX234" t="str">
        <f t="shared" si="100"/>
        <v>Support</v>
      </c>
      <c r="AY234" s="32">
        <f t="shared" si="101"/>
        <v>1</v>
      </c>
      <c r="AZ234">
        <f>step3_validation[[#This Row],[AI_TRU4]]</f>
        <v>6</v>
      </c>
      <c r="BA234" t="str">
        <f t="shared" si="102"/>
        <v>Neutral</v>
      </c>
      <c r="BB234">
        <f>survey_responses[[#This Row],[Tôi thấy Nhà nước đã giải thích rõ ràng, minh bạch về lý do và mục tiêu của việc sửa đổi thuế lần này. - HUMAN-TRU4]]</f>
        <v>8</v>
      </c>
      <c r="BC234" t="str">
        <f t="shared" si="103"/>
        <v>Support</v>
      </c>
      <c r="BD234" s="32">
        <f t="shared" si="104"/>
        <v>2</v>
      </c>
      <c r="BE234">
        <f>step3_validation[[#This Row],[AI_OUT1]]</f>
        <v>7</v>
      </c>
      <c r="BF234" t="str">
        <f t="shared" si="105"/>
        <v>Neutral</v>
      </c>
      <c r="BG234">
        <f>survey_responses[[#This Row],[Sau khi xem xét các quyền lợi và nghĩa vụ, bạn có ủng hộ và tuân thủ chính sách mới hiện nay? - HUMAN-OUT1]]</f>
        <v>10</v>
      </c>
      <c r="BH234" t="str">
        <f t="shared" si="106"/>
        <v>Support</v>
      </c>
      <c r="BI234" s="32">
        <f t="shared" si="107"/>
        <v>3</v>
      </c>
    </row>
    <row r="235" spans="1:61" x14ac:dyDescent="0.45">
      <c r="A235" s="30">
        <f>step3_validation[[#This Row],[Persona_ID]]</f>
        <v>234</v>
      </c>
      <c r="B235" s="31">
        <f>step3_validation[[#This Row],[Used_Seed]]</f>
        <v>2224</v>
      </c>
      <c r="C235" t="str">
        <f>step3_validation[[#This Row],[Gender]]</f>
        <v>Nữ</v>
      </c>
      <c r="D235" t="str">
        <f>survey_responses[[#This Row],[Giới tính của bạn:]]</f>
        <v>Nữ</v>
      </c>
      <c r="E235" t="str">
        <f>step3_validation[[#This Row],[Age_Group]]</f>
        <v>50 - 54</v>
      </c>
      <c r="F235" t="str">
        <f>survey_responses[[#This Row],[Độ tuổi của bạn:]]</f>
        <v>50 - 54</v>
      </c>
      <c r="G235" t="str">
        <f>step3_validation[[#This Row],[Region]]</f>
        <v>Thành thị</v>
      </c>
      <c r="H235" t="str">
        <f>survey_responses[[#This Row],[Khu vực bạn đang sinh sống:]]</f>
        <v>Thành thị</v>
      </c>
      <c r="I235" t="str">
        <f>step3_validation[[#This Row],[Education]]</f>
        <v>Sau Đại học</v>
      </c>
      <c r="J235" t="str">
        <f>survey_responses[[#This Row],[Trình độ học vấn cao nhất:]]</f>
        <v>Sau Đại học</v>
      </c>
      <c r="K235" t="str">
        <f>step3_validation[[#This Row],[Employment]]</f>
        <v>Chính thức</v>
      </c>
      <c r="L235" t="str">
        <f>survey_responses[[#This Row],[Tình trạng việc làm chính:]]</f>
        <v>Khu vực chính thức (Có Hợp đồng lao động, đóng BHXH)</v>
      </c>
      <c r="M235">
        <f>step3_validation[[#This Row],[Income_Mil]]</f>
        <v>91.549762628109718</v>
      </c>
      <c r="N235" t="str">
        <f>survey_responses[[#This Row],[Thu nhập bình quân tháng theo Hợp đồng lao động của bạn là bao nhiêu? (Vui lòng điền tổng thu nhập trước khi khấu trừ các loại Bảo hiểm (BHXH, BHYT, BHTN) và Thuế TNCN)]]</f>
        <v>Từ 70 - 102 triệu VNĐ</v>
      </c>
      <c r="O235">
        <f>step3_validation[[#This Row],[Dependents]]</f>
        <v>3</v>
      </c>
      <c r="P235" t="str">
        <f>survey_responses[[#This Row],[Số người phụ thuộc (con nhỏ, cha mẹ già...) đủ điều kiện giảm trừ gia cảnh:]]</f>
        <v>3 người</v>
      </c>
      <c r="Q235">
        <f>step3_validation[[#This Row],[AI_ENF1]]</f>
        <v>6</v>
      </c>
      <c r="R235" t="str">
        <f t="shared" si="81"/>
        <v>Neutral</v>
      </c>
      <c r="S235">
        <f>survey_responses[[#This Row],[Tôi tin rằng với các quy định quản lý thuế hiện nay, hành vi gian lận hoặc trốn thuế sẽ dễ dàng bị phát hiện và xử lý nghiêm. - HUMAN-ENF1]]</f>
        <v>4</v>
      </c>
      <c r="T235" t="str">
        <f t="shared" si="82"/>
        <v>Oppose</v>
      </c>
      <c r="U235" s="32">
        <f t="shared" si="83"/>
        <v>2</v>
      </c>
      <c r="V235">
        <f>step3_validation[[#This Row],[AI_ENF2]]</f>
        <v>7</v>
      </c>
      <c r="W235" t="str">
        <f t="shared" si="84"/>
        <v>Neutral</v>
      </c>
      <c r="X235">
        <f>survey_responses[[#This Row],[Tôi tin rằng Nhà nước, cơ quan thuế có đủ khả năng và công nghệ để phát hiện, xử lý nghiêm các hành vi trốn thuế. - HUMAN-ENF2]]</f>
        <v>4</v>
      </c>
      <c r="Y235" t="str">
        <f t="shared" si="85"/>
        <v>Oppose</v>
      </c>
      <c r="Z235" s="32">
        <f t="shared" si="86"/>
        <v>3</v>
      </c>
      <c r="AA235">
        <f>step3_validation[[#This Row],[AI_FAC1]]</f>
        <v>8</v>
      </c>
      <c r="AB235" t="str">
        <f t="shared" si="87"/>
        <v>Support</v>
      </c>
      <c r="AC235">
        <f>survey_responses[[#This Row],[Các thủ tục khai báo thuế VÀ/HOẶC quy trình làm việc với cơ quan thuế đơn giản, tiện lợi, nhanh chóng hơn so với trước đây. - HUMAN-FAC1]]</f>
        <v>4</v>
      </c>
      <c r="AD235" t="str">
        <f t="shared" si="88"/>
        <v>Oppose</v>
      </c>
      <c r="AE235" s="32">
        <f t="shared" si="89"/>
        <v>4</v>
      </c>
      <c r="AF235">
        <f>step3_validation[[#This Row],[AI_FAC2]]</f>
        <v>7</v>
      </c>
      <c r="AG235" t="str">
        <f t="shared" si="90"/>
        <v>Neutral</v>
      </c>
      <c r="AH235">
        <f>survey_responses[[#This Row],[So với trước đây, tôi thấy cách tính thuế và các bậc thuế trong phương án mới đơn giản, dễ hiểu và dễ thực hiện hơn. - HUMAN-FAC2]]</f>
        <v>4</v>
      </c>
      <c r="AI235" t="str">
        <f t="shared" si="91"/>
        <v>Oppose</v>
      </c>
      <c r="AJ235" s="32">
        <f t="shared" si="92"/>
        <v>3</v>
      </c>
      <c r="AK235">
        <f>step3_validation[[#This Row],[AI_TRU1]]</f>
        <v>8</v>
      </c>
      <c r="AL235" t="str">
        <f t="shared" si="93"/>
        <v>Support</v>
      </c>
      <c r="AM235">
        <f>survey_responses[[#This Row],[Tôi tin rằng Nhà nước, cơ quan thuế sẽ thực thi chính sách mới một cách khách quan, công tâm và đối xử bình đẳng với mọi người nộp thuế.  - HUMAN-TRU1]]</f>
        <v>1</v>
      </c>
      <c r="AN235" t="str">
        <f t="shared" si="94"/>
        <v>Oppose</v>
      </c>
      <c r="AO235" s="32">
        <f t="shared" si="95"/>
        <v>7</v>
      </c>
      <c r="AP235">
        <f>step3_validation[[#This Row],[AI_TRU2]]</f>
        <v>9</v>
      </c>
      <c r="AQ235" t="str">
        <f t="shared" si="96"/>
        <v>Support</v>
      </c>
      <c r="AR235">
        <f>survey_responses[[#This Row],[Tôi thấy mức thuế tôi phải đóng theo phương án mới là công bằng (người thu nhập như tôi đóng mức này là hợp lý). - HUMAN-TRU2]]</f>
        <v>3</v>
      </c>
      <c r="AS235" t="str">
        <f t="shared" si="97"/>
        <v>Oppose</v>
      </c>
      <c r="AT235" s="32">
        <f t="shared" si="98"/>
        <v>6</v>
      </c>
      <c r="AU235">
        <f>step3_validation[[#This Row],[AI_TRU3]]</f>
        <v>7</v>
      </c>
      <c r="AV235" t="str">
        <f t="shared" si="99"/>
        <v>Neutral</v>
      </c>
      <c r="AW235">
        <f>survey_responses[[#This Row],[Tôi tin tưởng số tiền thuế tôi đóng sẽ được Nhà nước sử dụng hiệu quả để cải thiện dịch vụ công (y tế, đường xá...). - HUMAN-TRU3]]</f>
        <v>1</v>
      </c>
      <c r="AX235" t="str">
        <f t="shared" si="100"/>
        <v>Oppose</v>
      </c>
      <c r="AY235" s="32">
        <f t="shared" si="101"/>
        <v>6</v>
      </c>
      <c r="AZ235">
        <f>step3_validation[[#This Row],[AI_TRU4]]</f>
        <v>8</v>
      </c>
      <c r="BA235" t="str">
        <f t="shared" si="102"/>
        <v>Support</v>
      </c>
      <c r="BB235">
        <f>survey_responses[[#This Row],[Tôi thấy Nhà nước đã giải thích rõ ràng, minh bạch về lý do và mục tiêu của việc sửa đổi thuế lần này. - HUMAN-TRU4]]</f>
        <v>1</v>
      </c>
      <c r="BC235" t="str">
        <f t="shared" si="103"/>
        <v>Oppose</v>
      </c>
      <c r="BD235" s="32">
        <f t="shared" si="104"/>
        <v>7</v>
      </c>
      <c r="BE235">
        <f>step3_validation[[#This Row],[AI_OUT1]]</f>
        <v>9</v>
      </c>
      <c r="BF235" t="str">
        <f t="shared" si="105"/>
        <v>Support</v>
      </c>
      <c r="BG235">
        <f>survey_responses[[#This Row],[Sau khi xem xét các quyền lợi và nghĩa vụ, bạn có ủng hộ và tuân thủ chính sách mới hiện nay? - HUMAN-OUT1]]</f>
        <v>1</v>
      </c>
      <c r="BH235" t="str">
        <f t="shared" si="106"/>
        <v>Oppose</v>
      </c>
      <c r="BI235" s="32">
        <f t="shared" si="107"/>
        <v>8</v>
      </c>
    </row>
    <row r="236" spans="1:61" x14ac:dyDescent="0.45">
      <c r="A236" s="30">
        <f>step3_validation[[#This Row],[Persona_ID]]</f>
        <v>235</v>
      </c>
      <c r="B236" s="31">
        <f>step3_validation[[#This Row],[Used_Seed]]</f>
        <v>2225</v>
      </c>
      <c r="C236" t="str">
        <f>step3_validation[[#This Row],[Gender]]</f>
        <v>Nữ</v>
      </c>
      <c r="D236" t="str">
        <f>survey_responses[[#This Row],[Giới tính của bạn:]]</f>
        <v>Nữ</v>
      </c>
      <c r="E236" t="str">
        <f>step3_validation[[#This Row],[Age_Group]]</f>
        <v>30 - 39</v>
      </c>
      <c r="F236" t="str">
        <f>survey_responses[[#This Row],[Độ tuổi của bạn:]]</f>
        <v>30 - 39</v>
      </c>
      <c r="G236" t="str">
        <f>step3_validation[[#This Row],[Region]]</f>
        <v>Thành thị</v>
      </c>
      <c r="H236" t="str">
        <f>survey_responses[[#This Row],[Khu vực bạn đang sinh sống:]]</f>
        <v>Thành thị</v>
      </c>
      <c r="I236" t="str">
        <f>step3_validation[[#This Row],[Education]]</f>
        <v>Đại học</v>
      </c>
      <c r="J236" t="str">
        <f>survey_responses[[#This Row],[Trình độ học vấn cao nhất:]]</f>
        <v>Đại học</v>
      </c>
      <c r="K236" t="str">
        <f>step3_validation[[#This Row],[Employment]]</f>
        <v>Chính thức</v>
      </c>
      <c r="L236" t="str">
        <f>survey_responses[[#This Row],[Tình trạng việc làm chính:]]</f>
        <v>Khu vực chính thức (Có Hợp đồng lao động, đóng BHXH)</v>
      </c>
      <c r="M236">
        <f>step3_validation[[#This Row],[Income_Mil]]</f>
        <v>35.712238417609569</v>
      </c>
      <c r="N236" t="str">
        <f>survey_responses[[#This Row],[Thu nhập bình quân tháng theo Hợp đồng lao động của bạn là bao nhiêu? (Vui lòng điền tổng thu nhập trước khi khấu trừ các loại Bảo hiểm (BHXH, BHYT, BHTN) và Thuế TNCN)]]</f>
        <v>Từ 32 - 48 triệu VNĐ</v>
      </c>
      <c r="O236">
        <f>step3_validation[[#This Row],[Dependents]]</f>
        <v>0</v>
      </c>
      <c r="P236" t="str">
        <f>survey_responses[[#This Row],[Số người phụ thuộc (con nhỏ, cha mẹ già...) đủ điều kiện giảm trừ gia cảnh:]]</f>
        <v>0 người</v>
      </c>
      <c r="Q236">
        <f>step3_validation[[#This Row],[AI_ENF1]]</f>
        <v>8</v>
      </c>
      <c r="R236" t="str">
        <f t="shared" si="81"/>
        <v>Support</v>
      </c>
      <c r="S236">
        <f>survey_responses[[#This Row],[Tôi tin rằng với các quy định quản lý thuế hiện nay, hành vi gian lận hoặc trốn thuế sẽ dễ dàng bị phát hiện và xử lý nghiêm. - HUMAN-ENF1]]</f>
        <v>6</v>
      </c>
      <c r="T236" t="str">
        <f t="shared" si="82"/>
        <v>Neutral</v>
      </c>
      <c r="U236" s="32">
        <f t="shared" si="83"/>
        <v>2</v>
      </c>
      <c r="V236">
        <f>step3_validation[[#This Row],[AI_ENF2]]</f>
        <v>7</v>
      </c>
      <c r="W236" t="str">
        <f t="shared" si="84"/>
        <v>Neutral</v>
      </c>
      <c r="X236">
        <f>survey_responses[[#This Row],[Tôi tin rằng Nhà nước, cơ quan thuế có đủ khả năng và công nghệ để phát hiện, xử lý nghiêm các hành vi trốn thuế. - HUMAN-ENF2]]</f>
        <v>6</v>
      </c>
      <c r="Y236" t="str">
        <f t="shared" si="85"/>
        <v>Neutral</v>
      </c>
      <c r="Z236" s="32">
        <f t="shared" si="86"/>
        <v>1</v>
      </c>
      <c r="AA236">
        <f>step3_validation[[#This Row],[AI_FAC1]]</f>
        <v>9</v>
      </c>
      <c r="AB236" t="str">
        <f t="shared" si="87"/>
        <v>Support</v>
      </c>
      <c r="AC236">
        <f>survey_responses[[#This Row],[Các thủ tục khai báo thuế VÀ/HOẶC quy trình làm việc với cơ quan thuế đơn giản, tiện lợi, nhanh chóng hơn so với trước đây. - HUMAN-FAC1]]</f>
        <v>1</v>
      </c>
      <c r="AD236" t="str">
        <f t="shared" si="88"/>
        <v>Oppose</v>
      </c>
      <c r="AE236" s="32">
        <f t="shared" si="89"/>
        <v>8</v>
      </c>
      <c r="AF236">
        <f>step3_validation[[#This Row],[AI_FAC2]]</f>
        <v>8</v>
      </c>
      <c r="AG236" t="str">
        <f t="shared" si="90"/>
        <v>Support</v>
      </c>
      <c r="AH236">
        <f>survey_responses[[#This Row],[So với trước đây, tôi thấy cách tính thuế và các bậc thuế trong phương án mới đơn giản, dễ hiểu và dễ thực hiện hơn. - HUMAN-FAC2]]</f>
        <v>6</v>
      </c>
      <c r="AI236" t="str">
        <f t="shared" si="91"/>
        <v>Neutral</v>
      </c>
      <c r="AJ236" s="32">
        <f t="shared" si="92"/>
        <v>2</v>
      </c>
      <c r="AK236">
        <f>step3_validation[[#This Row],[AI_TRU1]]</f>
        <v>6</v>
      </c>
      <c r="AL236" t="str">
        <f t="shared" si="93"/>
        <v>Neutral</v>
      </c>
      <c r="AM236">
        <f>survey_responses[[#This Row],[Tôi tin rằng Nhà nước, cơ quan thuế sẽ thực thi chính sách mới một cách khách quan, công tâm và đối xử bình đẳng với mọi người nộp thuế.  - HUMAN-TRU1]]</f>
        <v>5</v>
      </c>
      <c r="AN236" t="str">
        <f t="shared" si="94"/>
        <v>Neutral</v>
      </c>
      <c r="AO236" s="32">
        <f t="shared" si="95"/>
        <v>1</v>
      </c>
      <c r="AP236">
        <f>step3_validation[[#This Row],[AI_TRU2]]</f>
        <v>7</v>
      </c>
      <c r="AQ236" t="str">
        <f t="shared" si="96"/>
        <v>Neutral</v>
      </c>
      <c r="AR236">
        <f>survey_responses[[#This Row],[Tôi thấy mức thuế tôi phải đóng theo phương án mới là công bằng (người thu nhập như tôi đóng mức này là hợp lý). - HUMAN-TRU2]]</f>
        <v>6</v>
      </c>
      <c r="AS236" t="str">
        <f t="shared" si="97"/>
        <v>Neutral</v>
      </c>
      <c r="AT236" s="32">
        <f t="shared" si="98"/>
        <v>1</v>
      </c>
      <c r="AU236">
        <f>step3_validation[[#This Row],[AI_TRU3]]</f>
        <v>5</v>
      </c>
      <c r="AV236" t="str">
        <f t="shared" si="99"/>
        <v>Neutral</v>
      </c>
      <c r="AW236">
        <f>survey_responses[[#This Row],[Tôi tin tưởng số tiền thuế tôi đóng sẽ được Nhà nước sử dụng hiệu quả để cải thiện dịch vụ công (y tế, đường xá...). - HUMAN-TRU3]]</f>
        <v>5</v>
      </c>
      <c r="AX236" t="str">
        <f t="shared" si="100"/>
        <v>Neutral</v>
      </c>
      <c r="AY236" s="32">
        <f t="shared" si="101"/>
        <v>0</v>
      </c>
      <c r="AZ236">
        <f>step3_validation[[#This Row],[AI_TRU4]]</f>
        <v>6</v>
      </c>
      <c r="BA236" t="str">
        <f t="shared" si="102"/>
        <v>Neutral</v>
      </c>
      <c r="BB236">
        <f>survey_responses[[#This Row],[Tôi thấy Nhà nước đã giải thích rõ ràng, minh bạch về lý do và mục tiêu của việc sửa đổi thuế lần này. - HUMAN-TRU4]]</f>
        <v>6</v>
      </c>
      <c r="BC236" t="str">
        <f t="shared" si="103"/>
        <v>Neutral</v>
      </c>
      <c r="BD236" s="32">
        <f t="shared" si="104"/>
        <v>0</v>
      </c>
      <c r="BE236">
        <f>step3_validation[[#This Row],[AI_OUT1]]</f>
        <v>7</v>
      </c>
      <c r="BF236" t="str">
        <f t="shared" si="105"/>
        <v>Neutral</v>
      </c>
      <c r="BG236">
        <f>survey_responses[[#This Row],[Sau khi xem xét các quyền lợi và nghĩa vụ, bạn có ủng hộ và tuân thủ chính sách mới hiện nay? - HUMAN-OUT1]]</f>
        <v>6</v>
      </c>
      <c r="BH236" t="str">
        <f t="shared" si="106"/>
        <v>Neutral</v>
      </c>
      <c r="BI236" s="32">
        <f t="shared" si="107"/>
        <v>1</v>
      </c>
    </row>
    <row r="237" spans="1:61" x14ac:dyDescent="0.45">
      <c r="A237" s="30">
        <f>step3_validation[[#This Row],[Persona_ID]]</f>
        <v>236</v>
      </c>
      <c r="B237" s="31">
        <f>step3_validation[[#This Row],[Used_Seed]]</f>
        <v>2226</v>
      </c>
      <c r="C237" t="str">
        <f>step3_validation[[#This Row],[Gender]]</f>
        <v>Nữ</v>
      </c>
      <c r="D237" t="str">
        <f>survey_responses[[#This Row],[Giới tính của bạn:]]</f>
        <v>Nữ</v>
      </c>
      <c r="E237" t="str">
        <f>step3_validation[[#This Row],[Age_Group]]</f>
        <v>30 - 39</v>
      </c>
      <c r="F237" t="str">
        <f>survey_responses[[#This Row],[Độ tuổi của bạn:]]</f>
        <v>30 - 39</v>
      </c>
      <c r="G237" t="str">
        <f>step3_validation[[#This Row],[Region]]</f>
        <v>Thành thị</v>
      </c>
      <c r="H237" t="str">
        <f>survey_responses[[#This Row],[Khu vực bạn đang sinh sống:]]</f>
        <v>Thành thị</v>
      </c>
      <c r="I237" t="str">
        <f>step3_validation[[#This Row],[Education]]</f>
        <v>Sau Đại học</v>
      </c>
      <c r="J237" t="str">
        <f>survey_responses[[#This Row],[Trình độ học vấn cao nhất:]]</f>
        <v>Sau Đại học</v>
      </c>
      <c r="K237" t="str">
        <f>step3_validation[[#This Row],[Employment]]</f>
        <v>Chính thức</v>
      </c>
      <c r="L237" t="str">
        <f>survey_responses[[#This Row],[Tình trạng việc làm chính:]]</f>
        <v>Khu vực chính thức (Có Hợp đồng lao động, đóng BHXH)</v>
      </c>
      <c r="M237">
        <f>step3_validation[[#This Row],[Income_Mil]]</f>
        <v>58.668880008919636</v>
      </c>
      <c r="N237" t="str">
        <f>survey_responses[[#This Row],[Thu nhập bình quân tháng theo Hợp đồng lao động của bạn là bao nhiêu? (Vui lòng điền tổng thu nhập trước khi khấu trừ các loại Bảo hiểm (BHXH, BHYT, BHTN) và Thuế TNCN)]]</f>
        <v>Từ 48 - 70 triệu VNĐ</v>
      </c>
      <c r="O237">
        <f>step3_validation[[#This Row],[Dependents]]</f>
        <v>3</v>
      </c>
      <c r="P237" t="str">
        <f>survey_responses[[#This Row],[Số người phụ thuộc (con nhỏ, cha mẹ già...) đủ điều kiện giảm trừ gia cảnh:]]</f>
        <v>3 người</v>
      </c>
      <c r="Q237">
        <f>step3_validation[[#This Row],[AI_ENF1]]</f>
        <v>8</v>
      </c>
      <c r="R237" t="str">
        <f t="shared" si="81"/>
        <v>Support</v>
      </c>
      <c r="S237">
        <f>survey_responses[[#This Row],[Tôi tin rằng với các quy định quản lý thuế hiện nay, hành vi gian lận hoặc trốn thuế sẽ dễ dàng bị phát hiện và xử lý nghiêm. - HUMAN-ENF1]]</f>
        <v>7</v>
      </c>
      <c r="T237" t="str">
        <f t="shared" si="82"/>
        <v>Neutral</v>
      </c>
      <c r="U237" s="32">
        <f t="shared" si="83"/>
        <v>1</v>
      </c>
      <c r="V237">
        <f>step3_validation[[#This Row],[AI_ENF2]]</f>
        <v>7</v>
      </c>
      <c r="W237" t="str">
        <f t="shared" si="84"/>
        <v>Neutral</v>
      </c>
      <c r="X237">
        <f>survey_responses[[#This Row],[Tôi tin rằng Nhà nước, cơ quan thuế có đủ khả năng và công nghệ để phát hiện, xử lý nghiêm các hành vi trốn thuế. - HUMAN-ENF2]]</f>
        <v>7</v>
      </c>
      <c r="Y237" t="str">
        <f t="shared" si="85"/>
        <v>Neutral</v>
      </c>
      <c r="Z237" s="32">
        <f t="shared" si="86"/>
        <v>0</v>
      </c>
      <c r="AA237">
        <f>step3_validation[[#This Row],[AI_FAC1]]</f>
        <v>9</v>
      </c>
      <c r="AB237" t="str">
        <f t="shared" si="87"/>
        <v>Support</v>
      </c>
      <c r="AC237">
        <f>survey_responses[[#This Row],[Các thủ tục khai báo thuế VÀ/HOẶC quy trình làm việc với cơ quan thuế đơn giản, tiện lợi, nhanh chóng hơn so với trước đây. - HUMAN-FAC1]]</f>
        <v>7</v>
      </c>
      <c r="AD237" t="str">
        <f t="shared" si="88"/>
        <v>Neutral</v>
      </c>
      <c r="AE237" s="32">
        <f t="shared" si="89"/>
        <v>2</v>
      </c>
      <c r="AF237">
        <f>step3_validation[[#This Row],[AI_FAC2]]</f>
        <v>8</v>
      </c>
      <c r="AG237" t="str">
        <f t="shared" si="90"/>
        <v>Support</v>
      </c>
      <c r="AH237">
        <f>survey_responses[[#This Row],[So với trước đây, tôi thấy cách tính thuế và các bậc thuế trong phương án mới đơn giản, dễ hiểu và dễ thực hiện hơn. - HUMAN-FAC2]]</f>
        <v>7</v>
      </c>
      <c r="AI237" t="str">
        <f t="shared" si="91"/>
        <v>Neutral</v>
      </c>
      <c r="AJ237" s="32">
        <f t="shared" si="92"/>
        <v>1</v>
      </c>
      <c r="AK237">
        <f>step3_validation[[#This Row],[AI_TRU1]]</f>
        <v>6</v>
      </c>
      <c r="AL237" t="str">
        <f t="shared" si="93"/>
        <v>Neutral</v>
      </c>
      <c r="AM237">
        <f>survey_responses[[#This Row],[Tôi tin rằng Nhà nước, cơ quan thuế sẽ thực thi chính sách mới một cách khách quan, công tâm và đối xử bình đẳng với mọi người nộp thuế.  - HUMAN-TRU1]]</f>
        <v>7</v>
      </c>
      <c r="AN237" t="str">
        <f t="shared" si="94"/>
        <v>Neutral</v>
      </c>
      <c r="AO237" s="32">
        <f t="shared" si="95"/>
        <v>1</v>
      </c>
      <c r="AP237">
        <f>step3_validation[[#This Row],[AI_TRU2]]</f>
        <v>7</v>
      </c>
      <c r="AQ237" t="str">
        <f t="shared" si="96"/>
        <v>Neutral</v>
      </c>
      <c r="AR237">
        <f>survey_responses[[#This Row],[Tôi thấy mức thuế tôi phải đóng theo phương án mới là công bằng (người thu nhập như tôi đóng mức này là hợp lý). - HUMAN-TRU2]]</f>
        <v>7</v>
      </c>
      <c r="AS237" t="str">
        <f t="shared" si="97"/>
        <v>Neutral</v>
      </c>
      <c r="AT237" s="32">
        <f t="shared" si="98"/>
        <v>0</v>
      </c>
      <c r="AU237">
        <f>step3_validation[[#This Row],[AI_TRU3]]</f>
        <v>5</v>
      </c>
      <c r="AV237" t="str">
        <f t="shared" si="99"/>
        <v>Neutral</v>
      </c>
      <c r="AW237">
        <f>survey_responses[[#This Row],[Tôi tin tưởng số tiền thuế tôi đóng sẽ được Nhà nước sử dụng hiệu quả để cải thiện dịch vụ công (y tế, đường xá...). - HUMAN-TRU3]]</f>
        <v>7</v>
      </c>
      <c r="AX237" t="str">
        <f t="shared" si="100"/>
        <v>Neutral</v>
      </c>
      <c r="AY237" s="32">
        <f t="shared" si="101"/>
        <v>2</v>
      </c>
      <c r="AZ237">
        <f>step3_validation[[#This Row],[AI_TRU4]]</f>
        <v>6</v>
      </c>
      <c r="BA237" t="str">
        <f t="shared" si="102"/>
        <v>Neutral</v>
      </c>
      <c r="BB237">
        <f>survey_responses[[#This Row],[Tôi thấy Nhà nước đã giải thích rõ ràng, minh bạch về lý do và mục tiêu của việc sửa đổi thuế lần này. - HUMAN-TRU4]]</f>
        <v>7</v>
      </c>
      <c r="BC237" t="str">
        <f t="shared" si="103"/>
        <v>Neutral</v>
      </c>
      <c r="BD237" s="32">
        <f t="shared" si="104"/>
        <v>1</v>
      </c>
      <c r="BE237">
        <f>step3_validation[[#This Row],[AI_OUT1]]</f>
        <v>7</v>
      </c>
      <c r="BF237" t="str">
        <f t="shared" si="105"/>
        <v>Neutral</v>
      </c>
      <c r="BG237">
        <f>survey_responses[[#This Row],[Sau khi xem xét các quyền lợi và nghĩa vụ, bạn có ủng hộ và tuân thủ chính sách mới hiện nay? - HUMAN-OUT1]]</f>
        <v>7</v>
      </c>
      <c r="BH237" t="str">
        <f t="shared" si="106"/>
        <v>Neutral</v>
      </c>
      <c r="BI237" s="32">
        <f t="shared" si="107"/>
        <v>0</v>
      </c>
    </row>
    <row r="238" spans="1:61" x14ac:dyDescent="0.45">
      <c r="A238" s="30">
        <f>step3_validation[[#This Row],[Persona_ID]]</f>
        <v>237</v>
      </c>
      <c r="B238" s="31">
        <f>step3_validation[[#This Row],[Used_Seed]]</f>
        <v>2227</v>
      </c>
      <c r="C238" t="str">
        <f>step3_validation[[#This Row],[Gender]]</f>
        <v>Nam</v>
      </c>
      <c r="D238" t="str">
        <f>survey_responses[[#This Row],[Giới tính của bạn:]]</f>
        <v>Nam</v>
      </c>
      <c r="E238" t="str">
        <f>step3_validation[[#This Row],[Age_Group]]</f>
        <v>30 - 39</v>
      </c>
      <c r="F238" t="str">
        <f>survey_responses[[#This Row],[Độ tuổi của bạn:]]</f>
        <v>30 - 39</v>
      </c>
      <c r="G238" t="str">
        <f>step3_validation[[#This Row],[Region]]</f>
        <v>Thành thị</v>
      </c>
      <c r="H238" t="str">
        <f>survey_responses[[#This Row],[Khu vực bạn đang sinh sống:]]</f>
        <v>Thành thị</v>
      </c>
      <c r="I238" t="str">
        <f>step3_validation[[#This Row],[Education]]</f>
        <v>Sau Đại học</v>
      </c>
      <c r="J238" t="str">
        <f>survey_responses[[#This Row],[Trình độ học vấn cao nhất:]]</f>
        <v>Sau Đại học</v>
      </c>
      <c r="K238" t="str">
        <f>step3_validation[[#This Row],[Employment]]</f>
        <v>Phi chính thức</v>
      </c>
      <c r="L238" t="str">
        <f>survey_responses[[#This Row],[Tình trạng việc làm chính:]]</f>
        <v>Khu vực phi chính thức (Lao động tự do, không có HĐLĐ)</v>
      </c>
      <c r="M238">
        <f>step3_validation[[#This Row],[Income_Mil]]</f>
        <v>15.776987206239891</v>
      </c>
      <c r="N238" t="str">
        <f>survey_responses[[#This Row],[Thu nhập bình quân tháng theo Hợp đồng lao động của bạn là bao nhiêu? (Vui lòng điền tổng thu nhập trước khi khấu trừ các loại Bảo hiểm (BHXH, BHYT, BHTN) và Thuế TNCN)]]</f>
        <v>Từ 12 - 18 triệu VNĐ</v>
      </c>
      <c r="O238">
        <f>step3_validation[[#This Row],[Dependents]]</f>
        <v>3</v>
      </c>
      <c r="P238" t="str">
        <f>survey_responses[[#This Row],[Số người phụ thuộc (con nhỏ, cha mẹ già...) đủ điều kiện giảm trừ gia cảnh:]]</f>
        <v>3 người</v>
      </c>
      <c r="Q238">
        <f>step3_validation[[#This Row],[AI_ENF1]]</f>
        <v>7</v>
      </c>
      <c r="R238" t="str">
        <f t="shared" si="81"/>
        <v>Neutral</v>
      </c>
      <c r="S238">
        <f>survey_responses[[#This Row],[Tôi tin rằng với các quy định quản lý thuế hiện nay, hành vi gian lận hoặc trốn thuế sẽ dễ dàng bị phát hiện và xử lý nghiêm. - HUMAN-ENF1]]</f>
        <v>10</v>
      </c>
      <c r="T238" t="str">
        <f t="shared" si="82"/>
        <v>Support</v>
      </c>
      <c r="U238" s="32">
        <f t="shared" si="83"/>
        <v>3</v>
      </c>
      <c r="V238">
        <f>step3_validation[[#This Row],[AI_ENF2]]</f>
        <v>6</v>
      </c>
      <c r="W238" t="str">
        <f t="shared" si="84"/>
        <v>Neutral</v>
      </c>
      <c r="X238">
        <f>survey_responses[[#This Row],[Tôi tin rằng Nhà nước, cơ quan thuế có đủ khả năng và công nghệ để phát hiện, xử lý nghiêm các hành vi trốn thuế. - HUMAN-ENF2]]</f>
        <v>10</v>
      </c>
      <c r="Y238" t="str">
        <f t="shared" si="85"/>
        <v>Support</v>
      </c>
      <c r="Z238" s="32">
        <f t="shared" si="86"/>
        <v>4</v>
      </c>
      <c r="AA238">
        <f>step3_validation[[#This Row],[AI_FAC1]]</f>
        <v>8</v>
      </c>
      <c r="AB238" t="str">
        <f t="shared" si="87"/>
        <v>Support</v>
      </c>
      <c r="AC238">
        <f>survey_responses[[#This Row],[Các thủ tục khai báo thuế VÀ/HOẶC quy trình làm việc với cơ quan thuế đơn giản, tiện lợi, nhanh chóng hơn so với trước đây. - HUMAN-FAC1]]</f>
        <v>4</v>
      </c>
      <c r="AD238" t="str">
        <f t="shared" si="88"/>
        <v>Oppose</v>
      </c>
      <c r="AE238" s="32">
        <f t="shared" si="89"/>
        <v>4</v>
      </c>
      <c r="AF238">
        <f>step3_validation[[#This Row],[AI_FAC2]]</f>
        <v>7</v>
      </c>
      <c r="AG238" t="str">
        <f t="shared" si="90"/>
        <v>Neutral</v>
      </c>
      <c r="AH238">
        <f>survey_responses[[#This Row],[So với trước đây, tôi thấy cách tính thuế và các bậc thuế trong phương án mới đơn giản, dễ hiểu và dễ thực hiện hơn. - HUMAN-FAC2]]</f>
        <v>6</v>
      </c>
      <c r="AI238" t="str">
        <f t="shared" si="91"/>
        <v>Neutral</v>
      </c>
      <c r="AJ238" s="32">
        <f t="shared" si="92"/>
        <v>1</v>
      </c>
      <c r="AK238">
        <f>step3_validation[[#This Row],[AI_TRU1]]</f>
        <v>6</v>
      </c>
      <c r="AL238" t="str">
        <f t="shared" si="93"/>
        <v>Neutral</v>
      </c>
      <c r="AM238">
        <f>survey_responses[[#This Row],[Tôi tin rằng Nhà nước, cơ quan thuế sẽ thực thi chính sách mới một cách khách quan, công tâm và đối xử bình đẳng với mọi người nộp thuế.  - HUMAN-TRU1]]</f>
        <v>3</v>
      </c>
      <c r="AN238" t="str">
        <f t="shared" si="94"/>
        <v>Oppose</v>
      </c>
      <c r="AO238" s="32">
        <f t="shared" si="95"/>
        <v>3</v>
      </c>
      <c r="AP238">
        <f>step3_validation[[#This Row],[AI_TRU2]]</f>
        <v>7</v>
      </c>
      <c r="AQ238" t="str">
        <f t="shared" si="96"/>
        <v>Neutral</v>
      </c>
      <c r="AR238">
        <f>survey_responses[[#This Row],[Tôi thấy mức thuế tôi phải đóng theo phương án mới là công bằng (người thu nhập như tôi đóng mức này là hợp lý). - HUMAN-TRU2]]</f>
        <v>1</v>
      </c>
      <c r="AS238" t="str">
        <f t="shared" si="97"/>
        <v>Oppose</v>
      </c>
      <c r="AT238" s="32">
        <f t="shared" si="98"/>
        <v>6</v>
      </c>
      <c r="AU238">
        <f>step3_validation[[#This Row],[AI_TRU3]]</f>
        <v>6</v>
      </c>
      <c r="AV238" t="str">
        <f t="shared" si="99"/>
        <v>Neutral</v>
      </c>
      <c r="AW238">
        <f>survey_responses[[#This Row],[Tôi tin tưởng số tiền thuế tôi đóng sẽ được Nhà nước sử dụng hiệu quả để cải thiện dịch vụ công (y tế, đường xá...). - HUMAN-TRU3]]</f>
        <v>1</v>
      </c>
      <c r="AX238" t="str">
        <f t="shared" si="100"/>
        <v>Oppose</v>
      </c>
      <c r="AY238" s="32">
        <f t="shared" si="101"/>
        <v>5</v>
      </c>
      <c r="AZ238">
        <f>step3_validation[[#This Row],[AI_TRU4]]</f>
        <v>5</v>
      </c>
      <c r="BA238" t="str">
        <f t="shared" si="102"/>
        <v>Neutral</v>
      </c>
      <c r="BB238">
        <f>survey_responses[[#This Row],[Tôi thấy Nhà nước đã giải thích rõ ràng, minh bạch về lý do và mục tiêu của việc sửa đổi thuế lần này. - HUMAN-TRU4]]</f>
        <v>3</v>
      </c>
      <c r="BC238" t="str">
        <f t="shared" si="103"/>
        <v>Oppose</v>
      </c>
      <c r="BD238" s="32">
        <f t="shared" si="104"/>
        <v>2</v>
      </c>
      <c r="BE238">
        <f>step3_validation[[#This Row],[AI_OUT1]]</f>
        <v>8</v>
      </c>
      <c r="BF238" t="str">
        <f t="shared" si="105"/>
        <v>Support</v>
      </c>
      <c r="BG238">
        <f>survey_responses[[#This Row],[Sau khi xem xét các quyền lợi và nghĩa vụ, bạn có ủng hộ và tuân thủ chính sách mới hiện nay? - HUMAN-OUT1]]</f>
        <v>1</v>
      </c>
      <c r="BH238" t="str">
        <f t="shared" si="106"/>
        <v>Oppose</v>
      </c>
      <c r="BI238" s="32">
        <f t="shared" si="107"/>
        <v>7</v>
      </c>
    </row>
    <row r="239" spans="1:61" x14ac:dyDescent="0.45">
      <c r="A239" s="30">
        <f>step3_validation[[#This Row],[Persona_ID]]</f>
        <v>238</v>
      </c>
      <c r="B239" s="31">
        <f>step3_validation[[#This Row],[Used_Seed]]</f>
        <v>2228</v>
      </c>
      <c r="C239" t="str">
        <f>step3_validation[[#This Row],[Gender]]</f>
        <v>Nữ</v>
      </c>
      <c r="D239" t="str">
        <f>survey_responses[[#This Row],[Giới tính của bạn:]]</f>
        <v>Nữ</v>
      </c>
      <c r="E239" t="str">
        <f>step3_validation[[#This Row],[Age_Group]]</f>
        <v>30 - 39</v>
      </c>
      <c r="F239" t="str">
        <f>survey_responses[[#This Row],[Độ tuổi của bạn:]]</f>
        <v>30 - 39</v>
      </c>
      <c r="G239" t="str">
        <f>step3_validation[[#This Row],[Region]]</f>
        <v>Thành thị</v>
      </c>
      <c r="H239" t="str">
        <f>survey_responses[[#This Row],[Khu vực bạn đang sinh sống:]]</f>
        <v>Thành thị</v>
      </c>
      <c r="I239" t="str">
        <f>step3_validation[[#This Row],[Education]]</f>
        <v>Sau Đại học</v>
      </c>
      <c r="J239" t="str">
        <f>survey_responses[[#This Row],[Trình độ học vấn cao nhất:]]</f>
        <v>Sau Đại học</v>
      </c>
      <c r="K239" t="str">
        <f>step3_validation[[#This Row],[Employment]]</f>
        <v>Chính thức</v>
      </c>
      <c r="L239" t="str">
        <f>survey_responses[[#This Row],[Tình trạng việc làm chính:]]</f>
        <v>Khu vực chính thức (Có Hợp đồng lao động, đóng BHXH)</v>
      </c>
      <c r="M239">
        <f>step3_validation[[#This Row],[Income_Mil]]</f>
        <v>28.665414840729056</v>
      </c>
      <c r="N239" t="str">
        <f>survey_responses[[#This Row],[Thu nhập bình quân tháng theo Hợp đồng lao động của bạn là bao nhiêu? (Vui lòng điền tổng thu nhập trước khi khấu trừ các loại Bảo hiểm (BHXH, BHYT, BHTN) và Thuế TNCN)]]</f>
        <v>Từ 23 - 32 triệu VNĐ</v>
      </c>
      <c r="O239">
        <f>step3_validation[[#This Row],[Dependents]]</f>
        <v>1</v>
      </c>
      <c r="P239" t="str">
        <f>survey_responses[[#This Row],[Số người phụ thuộc (con nhỏ, cha mẹ già...) đủ điều kiện giảm trừ gia cảnh:]]</f>
        <v>1 người</v>
      </c>
      <c r="Q239">
        <f>step3_validation[[#This Row],[AI_ENF1]]</f>
        <v>7</v>
      </c>
      <c r="R239" t="str">
        <f t="shared" si="81"/>
        <v>Neutral</v>
      </c>
      <c r="S239">
        <f>survey_responses[[#This Row],[Tôi tin rằng với các quy định quản lý thuế hiện nay, hành vi gian lận hoặc trốn thuế sẽ dễ dàng bị phát hiện và xử lý nghiêm. - HUMAN-ENF1]]</f>
        <v>8</v>
      </c>
      <c r="T239" t="str">
        <f t="shared" si="82"/>
        <v>Support</v>
      </c>
      <c r="U239" s="32">
        <f t="shared" si="83"/>
        <v>1</v>
      </c>
      <c r="V239">
        <f>step3_validation[[#This Row],[AI_ENF2]]</f>
        <v>8</v>
      </c>
      <c r="W239" t="str">
        <f t="shared" si="84"/>
        <v>Support</v>
      </c>
      <c r="X239">
        <f>survey_responses[[#This Row],[Tôi tin rằng Nhà nước, cơ quan thuế có đủ khả năng và công nghệ để phát hiện, xử lý nghiêm các hành vi trốn thuế. - HUMAN-ENF2]]</f>
        <v>10</v>
      </c>
      <c r="Y239" t="str">
        <f t="shared" si="85"/>
        <v>Support</v>
      </c>
      <c r="Z239" s="32">
        <f t="shared" si="86"/>
        <v>2</v>
      </c>
      <c r="AA239">
        <f>step3_validation[[#This Row],[AI_FAC1]]</f>
        <v>9</v>
      </c>
      <c r="AB239" t="str">
        <f t="shared" si="87"/>
        <v>Support</v>
      </c>
      <c r="AC239">
        <f>survey_responses[[#This Row],[Các thủ tục khai báo thuế VÀ/HOẶC quy trình làm việc với cơ quan thuế đơn giản, tiện lợi, nhanh chóng hơn so với trước đây. - HUMAN-FAC1]]</f>
        <v>8</v>
      </c>
      <c r="AD239" t="str">
        <f t="shared" si="88"/>
        <v>Support</v>
      </c>
      <c r="AE239" s="32">
        <f t="shared" si="89"/>
        <v>1</v>
      </c>
      <c r="AF239">
        <f>step3_validation[[#This Row],[AI_FAC2]]</f>
        <v>8</v>
      </c>
      <c r="AG239" t="str">
        <f t="shared" si="90"/>
        <v>Support</v>
      </c>
      <c r="AH239">
        <f>survey_responses[[#This Row],[So với trước đây, tôi thấy cách tính thuế và các bậc thuế trong phương án mới đơn giản, dễ hiểu và dễ thực hiện hơn. - HUMAN-FAC2]]</f>
        <v>10</v>
      </c>
      <c r="AI239" t="str">
        <f t="shared" si="91"/>
        <v>Support</v>
      </c>
      <c r="AJ239" s="32">
        <f t="shared" si="92"/>
        <v>2</v>
      </c>
      <c r="AK239">
        <f>step3_validation[[#This Row],[AI_TRU1]]</f>
        <v>7</v>
      </c>
      <c r="AL239" t="str">
        <f t="shared" si="93"/>
        <v>Neutral</v>
      </c>
      <c r="AM239">
        <f>survey_responses[[#This Row],[Tôi tin rằng Nhà nước, cơ quan thuế sẽ thực thi chính sách mới một cách khách quan, công tâm và đối xử bình đẳng với mọi người nộp thuế.  - HUMAN-TRU1]]</f>
        <v>9</v>
      </c>
      <c r="AN239" t="str">
        <f t="shared" si="94"/>
        <v>Support</v>
      </c>
      <c r="AO239" s="32">
        <f t="shared" si="95"/>
        <v>2</v>
      </c>
      <c r="AP239">
        <f>step3_validation[[#This Row],[AI_TRU2]]</f>
        <v>8</v>
      </c>
      <c r="AQ239" t="str">
        <f t="shared" si="96"/>
        <v>Support</v>
      </c>
      <c r="AR239">
        <f>survey_responses[[#This Row],[Tôi thấy mức thuế tôi phải đóng theo phương án mới là công bằng (người thu nhập như tôi đóng mức này là hợp lý). - HUMAN-TRU2]]</f>
        <v>8</v>
      </c>
      <c r="AS239" t="str">
        <f t="shared" si="97"/>
        <v>Support</v>
      </c>
      <c r="AT239" s="32">
        <f t="shared" si="98"/>
        <v>0</v>
      </c>
      <c r="AU239">
        <f>step3_validation[[#This Row],[AI_TRU3]]</f>
        <v>7</v>
      </c>
      <c r="AV239" t="str">
        <f t="shared" si="99"/>
        <v>Neutral</v>
      </c>
      <c r="AW239">
        <f>survey_responses[[#This Row],[Tôi tin tưởng số tiền thuế tôi đóng sẽ được Nhà nước sử dụng hiệu quả để cải thiện dịch vụ công (y tế, đường xá...). - HUMAN-TRU3]]</f>
        <v>7</v>
      </c>
      <c r="AX239" t="str">
        <f t="shared" si="100"/>
        <v>Neutral</v>
      </c>
      <c r="AY239" s="32">
        <f t="shared" si="101"/>
        <v>0</v>
      </c>
      <c r="AZ239">
        <f>step3_validation[[#This Row],[AI_TRU4]]</f>
        <v>6</v>
      </c>
      <c r="BA239" t="str">
        <f t="shared" si="102"/>
        <v>Neutral</v>
      </c>
      <c r="BB239">
        <f>survey_responses[[#This Row],[Tôi thấy Nhà nước đã giải thích rõ ràng, minh bạch về lý do và mục tiêu của việc sửa đổi thuế lần này. - HUMAN-TRU4]]</f>
        <v>9</v>
      </c>
      <c r="BC239" t="str">
        <f t="shared" si="103"/>
        <v>Support</v>
      </c>
      <c r="BD239" s="32">
        <f t="shared" si="104"/>
        <v>3</v>
      </c>
      <c r="BE239">
        <f>step3_validation[[#This Row],[AI_OUT1]]</f>
        <v>5</v>
      </c>
      <c r="BF239" t="str">
        <f t="shared" si="105"/>
        <v>Neutral</v>
      </c>
      <c r="BG239">
        <f>survey_responses[[#This Row],[Sau khi xem xét các quyền lợi và nghĩa vụ, bạn có ủng hộ và tuân thủ chính sách mới hiện nay? - HUMAN-OUT1]]</f>
        <v>9</v>
      </c>
      <c r="BH239" t="str">
        <f t="shared" si="106"/>
        <v>Support</v>
      </c>
      <c r="BI239" s="32">
        <f t="shared" si="107"/>
        <v>4</v>
      </c>
    </row>
    <row r="240" spans="1:61" x14ac:dyDescent="0.45">
      <c r="A240" s="30">
        <f>step3_validation[[#This Row],[Persona_ID]]</f>
        <v>239</v>
      </c>
      <c r="B240" s="31">
        <f>step3_validation[[#This Row],[Used_Seed]]</f>
        <v>2229</v>
      </c>
      <c r="C240" t="str">
        <f>step3_validation[[#This Row],[Gender]]</f>
        <v>Nam</v>
      </c>
      <c r="D240" t="str">
        <f>survey_responses[[#This Row],[Giới tính của bạn:]]</f>
        <v>Nam</v>
      </c>
      <c r="E240" t="str">
        <f>step3_validation[[#This Row],[Age_Group]]</f>
        <v>55 - 64</v>
      </c>
      <c r="F240" t="str">
        <f>survey_responses[[#This Row],[Độ tuổi của bạn:]]</f>
        <v>55 - 64</v>
      </c>
      <c r="G240" t="str">
        <f>step3_validation[[#This Row],[Region]]</f>
        <v>Thành thị</v>
      </c>
      <c r="H240" t="str">
        <f>survey_responses[[#This Row],[Khu vực bạn đang sinh sống:]]</f>
        <v>Thành thị</v>
      </c>
      <c r="I240" t="str">
        <f>step3_validation[[#This Row],[Education]]</f>
        <v>Sau Đại học</v>
      </c>
      <c r="J240" t="str">
        <f>survey_responses[[#This Row],[Trình độ học vấn cao nhất:]]</f>
        <v>Sau Đại học</v>
      </c>
      <c r="K240" t="str">
        <f>step3_validation[[#This Row],[Employment]]</f>
        <v>Chính thức</v>
      </c>
      <c r="L240" t="str">
        <f>survey_responses[[#This Row],[Tình trạng việc làm chính:]]</f>
        <v>Khu vực chính thức (Có Hợp đồng lao động, đóng BHXH)</v>
      </c>
      <c r="M240">
        <f>step3_validation[[#This Row],[Income_Mil]]</f>
        <v>70.63326556537244</v>
      </c>
      <c r="N240" t="str">
        <f>survey_responses[[#This Row],[Thu nhập bình quân tháng theo Hợp đồng lao động của bạn là bao nhiêu? (Vui lòng điền tổng thu nhập trước khi khấu trừ các loại Bảo hiểm (BHXH, BHYT, BHTN) và Thuế TNCN)]]</f>
        <v>Từ 70 - 102 triệu VNĐ</v>
      </c>
      <c r="O240">
        <f>step3_validation[[#This Row],[Dependents]]</f>
        <v>4</v>
      </c>
      <c r="P240" t="str">
        <f>survey_responses[[#This Row],[Số người phụ thuộc (con nhỏ, cha mẹ già...) đủ điều kiện giảm trừ gia cảnh:]]</f>
        <v>4 người trở lên</v>
      </c>
      <c r="Q240">
        <f>step3_validation[[#This Row],[AI_ENF1]]</f>
        <v>7</v>
      </c>
      <c r="R240" t="str">
        <f t="shared" si="81"/>
        <v>Neutral</v>
      </c>
      <c r="S240">
        <f>survey_responses[[#This Row],[Tôi tin rằng với các quy định quản lý thuế hiện nay, hành vi gian lận hoặc trốn thuế sẽ dễ dàng bị phát hiện và xử lý nghiêm. - HUMAN-ENF1]]</f>
        <v>6</v>
      </c>
      <c r="T240" t="str">
        <f t="shared" si="82"/>
        <v>Neutral</v>
      </c>
      <c r="U240" s="32">
        <f t="shared" si="83"/>
        <v>1</v>
      </c>
      <c r="V240">
        <f>step3_validation[[#This Row],[AI_ENF2]]</f>
        <v>8</v>
      </c>
      <c r="W240" t="str">
        <f t="shared" si="84"/>
        <v>Support</v>
      </c>
      <c r="X240">
        <f>survey_responses[[#This Row],[Tôi tin rằng Nhà nước, cơ quan thuế có đủ khả năng và công nghệ để phát hiện, xử lý nghiêm các hành vi trốn thuế. - HUMAN-ENF2]]</f>
        <v>6</v>
      </c>
      <c r="Y240" t="str">
        <f t="shared" si="85"/>
        <v>Neutral</v>
      </c>
      <c r="Z240" s="32">
        <f t="shared" si="86"/>
        <v>2</v>
      </c>
      <c r="AA240">
        <f>step3_validation[[#This Row],[AI_FAC1]]</f>
        <v>6</v>
      </c>
      <c r="AB240" t="str">
        <f t="shared" si="87"/>
        <v>Neutral</v>
      </c>
      <c r="AC240">
        <f>survey_responses[[#This Row],[Các thủ tục khai báo thuế VÀ/HOẶC quy trình làm việc với cơ quan thuế đơn giản, tiện lợi, nhanh chóng hơn so với trước đây. - HUMAN-FAC1]]</f>
        <v>6</v>
      </c>
      <c r="AD240" t="str">
        <f t="shared" si="88"/>
        <v>Neutral</v>
      </c>
      <c r="AE240" s="32">
        <f t="shared" si="89"/>
        <v>0</v>
      </c>
      <c r="AF240">
        <f>step3_validation[[#This Row],[AI_FAC2]]</f>
        <v>9</v>
      </c>
      <c r="AG240" t="str">
        <f t="shared" si="90"/>
        <v>Support</v>
      </c>
      <c r="AH240">
        <f>survey_responses[[#This Row],[So với trước đây, tôi thấy cách tính thuế và các bậc thuế trong phương án mới đơn giản, dễ hiểu và dễ thực hiện hơn. - HUMAN-FAC2]]</f>
        <v>6</v>
      </c>
      <c r="AI240" t="str">
        <f t="shared" si="91"/>
        <v>Neutral</v>
      </c>
      <c r="AJ240" s="32">
        <f t="shared" si="92"/>
        <v>3</v>
      </c>
      <c r="AK240">
        <f>step3_validation[[#This Row],[AI_TRU1]]</f>
        <v>7</v>
      </c>
      <c r="AL240" t="str">
        <f t="shared" si="93"/>
        <v>Neutral</v>
      </c>
      <c r="AM240">
        <f>survey_responses[[#This Row],[Tôi tin rằng Nhà nước, cơ quan thuế sẽ thực thi chính sách mới một cách khách quan, công tâm và đối xử bình đẳng với mọi người nộp thuế.  - HUMAN-TRU1]]</f>
        <v>6</v>
      </c>
      <c r="AN240" t="str">
        <f t="shared" si="94"/>
        <v>Neutral</v>
      </c>
      <c r="AO240" s="32">
        <f t="shared" si="95"/>
        <v>1</v>
      </c>
      <c r="AP240">
        <f>step3_validation[[#This Row],[AI_TRU2]]</f>
        <v>8</v>
      </c>
      <c r="AQ240" t="str">
        <f t="shared" si="96"/>
        <v>Support</v>
      </c>
      <c r="AR240">
        <f>survey_responses[[#This Row],[Tôi thấy mức thuế tôi phải đóng theo phương án mới là công bằng (người thu nhập như tôi đóng mức này là hợp lý). - HUMAN-TRU2]]</f>
        <v>6</v>
      </c>
      <c r="AS240" t="str">
        <f t="shared" si="97"/>
        <v>Neutral</v>
      </c>
      <c r="AT240" s="32">
        <f t="shared" si="98"/>
        <v>2</v>
      </c>
      <c r="AU240">
        <f>step3_validation[[#This Row],[AI_TRU3]]</f>
        <v>7</v>
      </c>
      <c r="AV240" t="str">
        <f t="shared" si="99"/>
        <v>Neutral</v>
      </c>
      <c r="AW240">
        <f>survey_responses[[#This Row],[Tôi tin tưởng số tiền thuế tôi đóng sẽ được Nhà nước sử dụng hiệu quả để cải thiện dịch vụ công (y tế, đường xá...). - HUMAN-TRU3]]</f>
        <v>6</v>
      </c>
      <c r="AX240" t="str">
        <f t="shared" si="100"/>
        <v>Neutral</v>
      </c>
      <c r="AY240" s="32">
        <f t="shared" si="101"/>
        <v>1</v>
      </c>
      <c r="AZ240">
        <f>step3_validation[[#This Row],[AI_TRU4]]</f>
        <v>6</v>
      </c>
      <c r="BA240" t="str">
        <f t="shared" si="102"/>
        <v>Neutral</v>
      </c>
      <c r="BB240">
        <f>survey_responses[[#This Row],[Tôi thấy Nhà nước đã giải thích rõ ràng, minh bạch về lý do và mục tiêu của việc sửa đổi thuế lần này. - HUMAN-TRU4]]</f>
        <v>7</v>
      </c>
      <c r="BC240" t="str">
        <f t="shared" si="103"/>
        <v>Neutral</v>
      </c>
      <c r="BD240" s="32">
        <f t="shared" si="104"/>
        <v>1</v>
      </c>
      <c r="BE240">
        <f>step3_validation[[#This Row],[AI_OUT1]]</f>
        <v>8</v>
      </c>
      <c r="BF240" t="str">
        <f t="shared" si="105"/>
        <v>Support</v>
      </c>
      <c r="BG240">
        <f>survey_responses[[#This Row],[Sau khi xem xét các quyền lợi và nghĩa vụ, bạn có ủng hộ và tuân thủ chính sách mới hiện nay? - HUMAN-OUT1]]</f>
        <v>6</v>
      </c>
      <c r="BH240" t="str">
        <f t="shared" si="106"/>
        <v>Neutral</v>
      </c>
      <c r="BI240" s="32">
        <f t="shared" si="107"/>
        <v>2</v>
      </c>
    </row>
    <row r="241" spans="1:61" x14ac:dyDescent="0.45">
      <c r="A241" s="30">
        <f>step3_validation[[#This Row],[Persona_ID]]</f>
        <v>240</v>
      </c>
      <c r="B241" s="31">
        <f>step3_validation[[#This Row],[Used_Seed]]</f>
        <v>2230</v>
      </c>
      <c r="C241" t="str">
        <f>step3_validation[[#This Row],[Gender]]</f>
        <v>Nữ</v>
      </c>
      <c r="D241" t="str">
        <f>survey_responses[[#This Row],[Giới tính của bạn:]]</f>
        <v>Nữ</v>
      </c>
      <c r="E241" t="str">
        <f>step3_validation[[#This Row],[Age_Group]]</f>
        <v>30 - 39</v>
      </c>
      <c r="F241" t="str">
        <f>survey_responses[[#This Row],[Độ tuổi của bạn:]]</f>
        <v>30 - 39</v>
      </c>
      <c r="G241" t="str">
        <f>step3_validation[[#This Row],[Region]]</f>
        <v>Thành thị</v>
      </c>
      <c r="H241" t="str">
        <f>survey_responses[[#This Row],[Khu vực bạn đang sinh sống:]]</f>
        <v>Thành thị</v>
      </c>
      <c r="I241" t="str">
        <f>step3_validation[[#This Row],[Education]]</f>
        <v>Đại học</v>
      </c>
      <c r="J241" t="str">
        <f>survey_responses[[#This Row],[Trình độ học vấn cao nhất:]]</f>
        <v>Đại học</v>
      </c>
      <c r="K241" t="str">
        <f>step3_validation[[#This Row],[Employment]]</f>
        <v>Chính thức</v>
      </c>
      <c r="L241" t="str">
        <f>survey_responses[[#This Row],[Tình trạng việc làm chính:]]</f>
        <v>Khu vực chính thức (Có Hợp đồng lao động, đóng BHXH)</v>
      </c>
      <c r="M241">
        <f>step3_validation[[#This Row],[Income_Mil]]</f>
        <v>68.011487226736349</v>
      </c>
      <c r="N241" t="str">
        <f>survey_responses[[#This Row],[Thu nhập bình quân tháng theo Hợp đồng lao động của bạn là bao nhiêu? (Vui lòng điền tổng thu nhập trước khi khấu trừ các loại Bảo hiểm (BHXH, BHYT, BHTN) và Thuế TNCN)]]</f>
        <v>Từ 48 - 70 triệu VNĐ</v>
      </c>
      <c r="O241">
        <f>step3_validation[[#This Row],[Dependents]]</f>
        <v>3</v>
      </c>
      <c r="P241" t="str">
        <f>survey_responses[[#This Row],[Số người phụ thuộc (con nhỏ, cha mẹ già...) đủ điều kiện giảm trừ gia cảnh:]]</f>
        <v>3 người</v>
      </c>
      <c r="Q241">
        <f>step3_validation[[#This Row],[AI_ENF1]]</f>
        <v>8</v>
      </c>
      <c r="R241" t="str">
        <f t="shared" si="81"/>
        <v>Support</v>
      </c>
      <c r="S241">
        <f>survey_responses[[#This Row],[Tôi tin rằng với các quy định quản lý thuế hiện nay, hành vi gian lận hoặc trốn thuế sẽ dễ dàng bị phát hiện và xử lý nghiêm. - HUMAN-ENF1]]</f>
        <v>8</v>
      </c>
      <c r="T241" t="str">
        <f t="shared" si="82"/>
        <v>Support</v>
      </c>
      <c r="U241" s="32">
        <f t="shared" si="83"/>
        <v>0</v>
      </c>
      <c r="V241">
        <f>step3_validation[[#This Row],[AI_ENF2]]</f>
        <v>8</v>
      </c>
      <c r="W241" t="str">
        <f t="shared" si="84"/>
        <v>Support</v>
      </c>
      <c r="X241">
        <f>survey_responses[[#This Row],[Tôi tin rằng Nhà nước, cơ quan thuế có đủ khả năng và công nghệ để phát hiện, xử lý nghiêm các hành vi trốn thuế. - HUMAN-ENF2]]</f>
        <v>8</v>
      </c>
      <c r="Y241" t="str">
        <f t="shared" si="85"/>
        <v>Support</v>
      </c>
      <c r="Z241" s="32">
        <f t="shared" si="86"/>
        <v>0</v>
      </c>
      <c r="AA241">
        <f>step3_validation[[#This Row],[AI_FAC1]]</f>
        <v>7</v>
      </c>
      <c r="AB241" t="str">
        <f t="shared" si="87"/>
        <v>Neutral</v>
      </c>
      <c r="AC241">
        <f>survey_responses[[#This Row],[Các thủ tục khai báo thuế VÀ/HOẶC quy trình làm việc với cơ quan thuế đơn giản, tiện lợi, nhanh chóng hơn so với trước đây. - HUMAN-FAC1]]</f>
        <v>8</v>
      </c>
      <c r="AD241" t="str">
        <f t="shared" si="88"/>
        <v>Support</v>
      </c>
      <c r="AE241" s="32">
        <f t="shared" si="89"/>
        <v>1</v>
      </c>
      <c r="AF241">
        <f>step3_validation[[#This Row],[AI_FAC2]]</f>
        <v>8</v>
      </c>
      <c r="AG241" t="str">
        <f t="shared" si="90"/>
        <v>Support</v>
      </c>
      <c r="AH241">
        <f>survey_responses[[#This Row],[So với trước đây, tôi thấy cách tính thuế và các bậc thuế trong phương án mới đơn giản, dễ hiểu và dễ thực hiện hơn. - HUMAN-FAC2]]</f>
        <v>8</v>
      </c>
      <c r="AI241" t="str">
        <f t="shared" si="91"/>
        <v>Support</v>
      </c>
      <c r="AJ241" s="32">
        <f t="shared" si="92"/>
        <v>0</v>
      </c>
      <c r="AK241">
        <f>step3_validation[[#This Row],[AI_TRU1]]</f>
        <v>9</v>
      </c>
      <c r="AL241" t="str">
        <f t="shared" si="93"/>
        <v>Support</v>
      </c>
      <c r="AM241">
        <f>survey_responses[[#This Row],[Tôi tin rằng Nhà nước, cơ quan thuế sẽ thực thi chính sách mới một cách khách quan, công tâm và đối xử bình đẳng với mọi người nộp thuế.  - HUMAN-TRU1]]</f>
        <v>8</v>
      </c>
      <c r="AN241" t="str">
        <f t="shared" si="94"/>
        <v>Support</v>
      </c>
      <c r="AO241" s="32">
        <f t="shared" si="95"/>
        <v>1</v>
      </c>
      <c r="AP241">
        <f>step3_validation[[#This Row],[AI_TRU2]]</f>
        <v>8</v>
      </c>
      <c r="AQ241" t="str">
        <f t="shared" si="96"/>
        <v>Support</v>
      </c>
      <c r="AR241">
        <f>survey_responses[[#This Row],[Tôi thấy mức thuế tôi phải đóng theo phương án mới là công bằng (người thu nhập như tôi đóng mức này là hợp lý). - HUMAN-TRU2]]</f>
        <v>8</v>
      </c>
      <c r="AS241" t="str">
        <f t="shared" si="97"/>
        <v>Support</v>
      </c>
      <c r="AT241" s="32">
        <f t="shared" si="98"/>
        <v>0</v>
      </c>
      <c r="AU241">
        <f>step3_validation[[#This Row],[AI_TRU3]]</f>
        <v>7</v>
      </c>
      <c r="AV241" t="str">
        <f t="shared" si="99"/>
        <v>Neutral</v>
      </c>
      <c r="AW241">
        <f>survey_responses[[#This Row],[Tôi tin tưởng số tiền thuế tôi đóng sẽ được Nhà nước sử dụng hiệu quả để cải thiện dịch vụ công (y tế, đường xá...). - HUMAN-TRU3]]</f>
        <v>8</v>
      </c>
      <c r="AX241" t="str">
        <f t="shared" si="100"/>
        <v>Support</v>
      </c>
      <c r="AY241" s="32">
        <f t="shared" si="101"/>
        <v>1</v>
      </c>
      <c r="AZ241">
        <f>step3_validation[[#This Row],[AI_TRU4]]</f>
        <v>6</v>
      </c>
      <c r="BA241" t="str">
        <f t="shared" si="102"/>
        <v>Neutral</v>
      </c>
      <c r="BB241">
        <f>survey_responses[[#This Row],[Tôi thấy Nhà nước đã giải thích rõ ràng, minh bạch về lý do và mục tiêu của việc sửa đổi thuế lần này. - HUMAN-TRU4]]</f>
        <v>8</v>
      </c>
      <c r="BC241" t="str">
        <f t="shared" si="103"/>
        <v>Support</v>
      </c>
      <c r="BD241" s="32">
        <f t="shared" si="104"/>
        <v>2</v>
      </c>
      <c r="BE241">
        <f>step3_validation[[#This Row],[AI_OUT1]]</f>
        <v>9</v>
      </c>
      <c r="BF241" t="str">
        <f t="shared" si="105"/>
        <v>Support</v>
      </c>
      <c r="BG241">
        <f>survey_responses[[#This Row],[Sau khi xem xét các quyền lợi và nghĩa vụ, bạn có ủng hộ và tuân thủ chính sách mới hiện nay? - HUMAN-OUT1]]</f>
        <v>8</v>
      </c>
      <c r="BH241" t="str">
        <f t="shared" si="106"/>
        <v>Support</v>
      </c>
      <c r="BI241" s="32">
        <f t="shared" si="107"/>
        <v>1</v>
      </c>
    </row>
    <row r="242" spans="1:61" x14ac:dyDescent="0.45">
      <c r="A242" s="30">
        <f>step3_validation[[#This Row],[Persona_ID]]</f>
        <v>241</v>
      </c>
      <c r="B242" s="31">
        <f>step3_validation[[#This Row],[Used_Seed]]</f>
        <v>2231</v>
      </c>
      <c r="C242" t="str">
        <f>step3_validation[[#This Row],[Gender]]</f>
        <v>Nữ</v>
      </c>
      <c r="D242" t="str">
        <f>survey_responses[[#This Row],[Giới tính của bạn:]]</f>
        <v>Nữ</v>
      </c>
      <c r="E242" t="str">
        <f>step3_validation[[#This Row],[Age_Group]]</f>
        <v>30 - 39</v>
      </c>
      <c r="F242" t="str">
        <f>survey_responses[[#This Row],[Độ tuổi của bạn:]]</f>
        <v>30 - 39</v>
      </c>
      <c r="G242" t="str">
        <f>step3_validation[[#This Row],[Region]]</f>
        <v>Thành thị</v>
      </c>
      <c r="H242" t="str">
        <f>survey_responses[[#This Row],[Khu vực bạn đang sinh sống:]]</f>
        <v>Thành thị</v>
      </c>
      <c r="I242" t="str">
        <f>step3_validation[[#This Row],[Education]]</f>
        <v>Sau Đại học</v>
      </c>
      <c r="J242" t="str">
        <f>survey_responses[[#This Row],[Trình độ học vấn cao nhất:]]</f>
        <v>Sau Đại học</v>
      </c>
      <c r="K242" t="str">
        <f>step3_validation[[#This Row],[Employment]]</f>
        <v>Chính thức</v>
      </c>
      <c r="L242" t="str">
        <f>survey_responses[[#This Row],[Tình trạng việc làm chính:]]</f>
        <v>Khu vực chính thức (Có Hợp đồng lao động, đóng BHXH)</v>
      </c>
      <c r="M242">
        <f>step3_validation[[#This Row],[Income_Mil]]</f>
        <v>66.754555655497384</v>
      </c>
      <c r="N242" t="str">
        <f>survey_responses[[#This Row],[Thu nhập bình quân tháng theo Hợp đồng lao động của bạn là bao nhiêu? (Vui lòng điền tổng thu nhập trước khi khấu trừ các loại Bảo hiểm (BHXH, BHYT, BHTN) và Thuế TNCN)]]</f>
        <v>Từ 48 - 70 triệu VNĐ</v>
      </c>
      <c r="O242">
        <f>step3_validation[[#This Row],[Dependents]]</f>
        <v>1</v>
      </c>
      <c r="P242" t="str">
        <f>survey_responses[[#This Row],[Số người phụ thuộc (con nhỏ, cha mẹ già...) đủ điều kiện giảm trừ gia cảnh:]]</f>
        <v>1 người</v>
      </c>
      <c r="Q242">
        <f>step3_validation[[#This Row],[AI_ENF1]]</f>
        <v>7</v>
      </c>
      <c r="R242" t="str">
        <f t="shared" si="81"/>
        <v>Neutral</v>
      </c>
      <c r="S242">
        <f>survey_responses[[#This Row],[Tôi tin rằng với các quy định quản lý thuế hiện nay, hành vi gian lận hoặc trốn thuế sẽ dễ dàng bị phát hiện và xử lý nghiêm. - HUMAN-ENF1]]</f>
        <v>7</v>
      </c>
      <c r="T242" t="str">
        <f t="shared" si="82"/>
        <v>Neutral</v>
      </c>
      <c r="U242" s="32">
        <f t="shared" si="83"/>
        <v>0</v>
      </c>
      <c r="V242">
        <f>step3_validation[[#This Row],[AI_ENF2]]</f>
        <v>6</v>
      </c>
      <c r="W242" t="str">
        <f t="shared" si="84"/>
        <v>Neutral</v>
      </c>
      <c r="X242">
        <f>survey_responses[[#This Row],[Tôi tin rằng Nhà nước, cơ quan thuế có đủ khả năng và công nghệ để phát hiện, xử lý nghiêm các hành vi trốn thuế. - HUMAN-ENF2]]</f>
        <v>6</v>
      </c>
      <c r="Y242" t="str">
        <f t="shared" si="85"/>
        <v>Neutral</v>
      </c>
      <c r="Z242" s="32">
        <f t="shared" si="86"/>
        <v>0</v>
      </c>
      <c r="AA242">
        <f>step3_validation[[#This Row],[AI_FAC1]]</f>
        <v>8</v>
      </c>
      <c r="AB242" t="str">
        <f t="shared" si="87"/>
        <v>Support</v>
      </c>
      <c r="AC242">
        <f>survey_responses[[#This Row],[Các thủ tục khai báo thuế VÀ/HOẶC quy trình làm việc với cơ quan thuế đơn giản, tiện lợi, nhanh chóng hơn so với trước đây. - HUMAN-FAC1]]</f>
        <v>7</v>
      </c>
      <c r="AD242" t="str">
        <f t="shared" si="88"/>
        <v>Neutral</v>
      </c>
      <c r="AE242" s="32">
        <f t="shared" si="89"/>
        <v>1</v>
      </c>
      <c r="AF242">
        <f>step3_validation[[#This Row],[AI_FAC2]]</f>
        <v>9</v>
      </c>
      <c r="AG242" t="str">
        <f t="shared" si="90"/>
        <v>Support</v>
      </c>
      <c r="AH242">
        <f>survey_responses[[#This Row],[So với trước đây, tôi thấy cách tính thuế và các bậc thuế trong phương án mới đơn giản, dễ hiểu và dễ thực hiện hơn. - HUMAN-FAC2]]</f>
        <v>7</v>
      </c>
      <c r="AI242" t="str">
        <f t="shared" si="91"/>
        <v>Neutral</v>
      </c>
      <c r="AJ242" s="32">
        <f t="shared" si="92"/>
        <v>2</v>
      </c>
      <c r="AK242">
        <f>step3_validation[[#This Row],[AI_TRU1]]</f>
        <v>7</v>
      </c>
      <c r="AL242" t="str">
        <f t="shared" si="93"/>
        <v>Neutral</v>
      </c>
      <c r="AM242">
        <f>survey_responses[[#This Row],[Tôi tin rằng Nhà nước, cơ quan thuế sẽ thực thi chính sách mới một cách khách quan, công tâm và đối xử bình đẳng với mọi người nộp thuế.  - HUMAN-TRU1]]</f>
        <v>8</v>
      </c>
      <c r="AN242" t="str">
        <f t="shared" si="94"/>
        <v>Support</v>
      </c>
      <c r="AO242" s="32">
        <f t="shared" si="95"/>
        <v>1</v>
      </c>
      <c r="AP242">
        <f>step3_validation[[#This Row],[AI_TRU2]]</f>
        <v>6</v>
      </c>
      <c r="AQ242" t="str">
        <f t="shared" si="96"/>
        <v>Neutral</v>
      </c>
      <c r="AR242">
        <f>survey_responses[[#This Row],[Tôi thấy mức thuế tôi phải đóng theo phương án mới là công bằng (người thu nhập như tôi đóng mức này là hợp lý). - HUMAN-TRU2]]</f>
        <v>8</v>
      </c>
      <c r="AS242" t="str">
        <f t="shared" si="97"/>
        <v>Support</v>
      </c>
      <c r="AT242" s="32">
        <f t="shared" si="98"/>
        <v>2</v>
      </c>
      <c r="AU242">
        <f>step3_validation[[#This Row],[AI_TRU3]]</f>
        <v>5</v>
      </c>
      <c r="AV242" t="str">
        <f t="shared" si="99"/>
        <v>Neutral</v>
      </c>
      <c r="AW242">
        <f>survey_responses[[#This Row],[Tôi tin tưởng số tiền thuế tôi đóng sẽ được Nhà nước sử dụng hiệu quả để cải thiện dịch vụ công (y tế, đường xá...). - HUMAN-TRU3]]</f>
        <v>8</v>
      </c>
      <c r="AX242" t="str">
        <f t="shared" si="100"/>
        <v>Support</v>
      </c>
      <c r="AY242" s="32">
        <f t="shared" si="101"/>
        <v>3</v>
      </c>
      <c r="AZ242">
        <f>step3_validation[[#This Row],[AI_TRU4]]</f>
        <v>6</v>
      </c>
      <c r="BA242" t="str">
        <f t="shared" si="102"/>
        <v>Neutral</v>
      </c>
      <c r="BB242">
        <f>survey_responses[[#This Row],[Tôi thấy Nhà nước đã giải thích rõ ràng, minh bạch về lý do và mục tiêu của việc sửa đổi thuế lần này. - HUMAN-TRU4]]</f>
        <v>8</v>
      </c>
      <c r="BC242" t="str">
        <f t="shared" si="103"/>
        <v>Support</v>
      </c>
      <c r="BD242" s="32">
        <f t="shared" si="104"/>
        <v>2</v>
      </c>
      <c r="BE242">
        <f>step3_validation[[#This Row],[AI_OUT1]]</f>
        <v>7</v>
      </c>
      <c r="BF242" t="str">
        <f t="shared" si="105"/>
        <v>Neutral</v>
      </c>
      <c r="BG242">
        <f>survey_responses[[#This Row],[Sau khi xem xét các quyền lợi và nghĩa vụ, bạn có ủng hộ và tuân thủ chính sách mới hiện nay? - HUMAN-OUT1]]</f>
        <v>8</v>
      </c>
      <c r="BH242" t="str">
        <f t="shared" si="106"/>
        <v>Support</v>
      </c>
      <c r="BI242" s="32">
        <f t="shared" si="107"/>
        <v>1</v>
      </c>
    </row>
    <row r="243" spans="1:61" x14ac:dyDescent="0.45">
      <c r="A243" s="30">
        <f>step3_validation[[#This Row],[Persona_ID]]</f>
        <v>242</v>
      </c>
      <c r="B243" s="31">
        <f>step3_validation[[#This Row],[Used_Seed]]</f>
        <v>2232</v>
      </c>
      <c r="C243" t="str">
        <f>step3_validation[[#This Row],[Gender]]</f>
        <v>Nam</v>
      </c>
      <c r="D243" t="str">
        <f>survey_responses[[#This Row],[Giới tính của bạn:]]</f>
        <v>Nam</v>
      </c>
      <c r="E243" t="str">
        <f>step3_validation[[#This Row],[Age_Group]]</f>
        <v>30 - 39</v>
      </c>
      <c r="F243" t="str">
        <f>survey_responses[[#This Row],[Độ tuổi của bạn:]]</f>
        <v>30 - 39</v>
      </c>
      <c r="G243" t="str">
        <f>step3_validation[[#This Row],[Region]]</f>
        <v>Thành thị</v>
      </c>
      <c r="H243" t="str">
        <f>survey_responses[[#This Row],[Khu vực bạn đang sinh sống:]]</f>
        <v>Thành thị</v>
      </c>
      <c r="I243" t="str">
        <f>step3_validation[[#This Row],[Education]]</f>
        <v>Đại học</v>
      </c>
      <c r="J243" t="str">
        <f>survey_responses[[#This Row],[Trình độ học vấn cao nhất:]]</f>
        <v>Đại học</v>
      </c>
      <c r="K243" t="str">
        <f>step3_validation[[#This Row],[Employment]]</f>
        <v>Chính thức</v>
      </c>
      <c r="L243" t="str">
        <f>survey_responses[[#This Row],[Tình trạng việc làm chính:]]</f>
        <v>Khu vực chính thức (Có Hợp đồng lao động, đóng BHXH)</v>
      </c>
      <c r="M243">
        <f>step3_validation[[#This Row],[Income_Mil]]</f>
        <v>48.582354279252861</v>
      </c>
      <c r="N243" t="str">
        <f>survey_responses[[#This Row],[Thu nhập bình quân tháng theo Hợp đồng lao động của bạn là bao nhiêu? (Vui lòng điền tổng thu nhập trước khi khấu trừ các loại Bảo hiểm (BHXH, BHYT, BHTN) và Thuế TNCN)]]</f>
        <v>Từ 48 - 70 triệu VNĐ</v>
      </c>
      <c r="O243">
        <f>step3_validation[[#This Row],[Dependents]]</f>
        <v>2</v>
      </c>
      <c r="P243" t="str">
        <f>survey_responses[[#This Row],[Số người phụ thuộc (con nhỏ, cha mẹ già...) đủ điều kiện giảm trừ gia cảnh:]]</f>
        <v>2 người</v>
      </c>
      <c r="Q243">
        <f>step3_validation[[#This Row],[AI_ENF1]]</f>
        <v>8</v>
      </c>
      <c r="R243" t="str">
        <f t="shared" si="81"/>
        <v>Support</v>
      </c>
      <c r="S243">
        <f>survey_responses[[#This Row],[Tôi tin rằng với các quy định quản lý thuế hiện nay, hành vi gian lận hoặc trốn thuế sẽ dễ dàng bị phát hiện và xử lý nghiêm. - HUMAN-ENF1]]</f>
        <v>6</v>
      </c>
      <c r="T243" t="str">
        <f t="shared" si="82"/>
        <v>Neutral</v>
      </c>
      <c r="U243" s="32">
        <f t="shared" si="83"/>
        <v>2</v>
      </c>
      <c r="V243">
        <f>step3_validation[[#This Row],[AI_ENF2]]</f>
        <v>7</v>
      </c>
      <c r="W243" t="str">
        <f t="shared" si="84"/>
        <v>Neutral</v>
      </c>
      <c r="X243">
        <f>survey_responses[[#This Row],[Tôi tin rằng Nhà nước, cơ quan thuế có đủ khả năng và công nghệ để phát hiện, xử lý nghiêm các hành vi trốn thuế. - HUMAN-ENF2]]</f>
        <v>5</v>
      </c>
      <c r="Y243" t="str">
        <f t="shared" si="85"/>
        <v>Neutral</v>
      </c>
      <c r="Z243" s="32">
        <f t="shared" si="86"/>
        <v>2</v>
      </c>
      <c r="AA243">
        <f>step3_validation[[#This Row],[AI_FAC1]]</f>
        <v>9</v>
      </c>
      <c r="AB243" t="str">
        <f t="shared" si="87"/>
        <v>Support</v>
      </c>
      <c r="AC243">
        <f>survey_responses[[#This Row],[Các thủ tục khai báo thuế VÀ/HOẶC quy trình làm việc với cơ quan thuế đơn giản, tiện lợi, nhanh chóng hơn so với trước đây. - HUMAN-FAC1]]</f>
        <v>5</v>
      </c>
      <c r="AD243" t="str">
        <f t="shared" si="88"/>
        <v>Neutral</v>
      </c>
      <c r="AE243" s="32">
        <f t="shared" si="89"/>
        <v>4</v>
      </c>
      <c r="AF243">
        <f>step3_validation[[#This Row],[AI_FAC2]]</f>
        <v>8</v>
      </c>
      <c r="AG243" t="str">
        <f t="shared" si="90"/>
        <v>Support</v>
      </c>
      <c r="AH243">
        <f>survey_responses[[#This Row],[So với trước đây, tôi thấy cách tính thuế và các bậc thuế trong phương án mới đơn giản, dễ hiểu và dễ thực hiện hơn. - HUMAN-FAC2]]</f>
        <v>7</v>
      </c>
      <c r="AI243" t="str">
        <f t="shared" si="91"/>
        <v>Neutral</v>
      </c>
      <c r="AJ243" s="32">
        <f t="shared" si="92"/>
        <v>1</v>
      </c>
      <c r="AK243">
        <f>step3_validation[[#This Row],[AI_TRU1]]</f>
        <v>9</v>
      </c>
      <c r="AL243" t="str">
        <f t="shared" si="93"/>
        <v>Support</v>
      </c>
      <c r="AM243">
        <f>survey_responses[[#This Row],[Tôi tin rằng Nhà nước, cơ quan thuế sẽ thực thi chính sách mới một cách khách quan, công tâm và đối xử bình đẳng với mọi người nộp thuế.  - HUMAN-TRU1]]</f>
        <v>7</v>
      </c>
      <c r="AN243" t="str">
        <f t="shared" si="94"/>
        <v>Neutral</v>
      </c>
      <c r="AO243" s="32">
        <f t="shared" si="95"/>
        <v>2</v>
      </c>
      <c r="AP243">
        <f>step3_validation[[#This Row],[AI_TRU2]]</f>
        <v>6</v>
      </c>
      <c r="AQ243" t="str">
        <f t="shared" si="96"/>
        <v>Neutral</v>
      </c>
      <c r="AR243">
        <f>survey_responses[[#This Row],[Tôi thấy mức thuế tôi phải đóng theo phương án mới là công bằng (người thu nhập như tôi đóng mức này là hợp lý). - HUMAN-TRU2]]</f>
        <v>7</v>
      </c>
      <c r="AS243" t="str">
        <f t="shared" si="97"/>
        <v>Neutral</v>
      </c>
      <c r="AT243" s="32">
        <f t="shared" si="98"/>
        <v>1</v>
      </c>
      <c r="AU243">
        <f>step3_validation[[#This Row],[AI_TRU3]]</f>
        <v>7</v>
      </c>
      <c r="AV243" t="str">
        <f t="shared" si="99"/>
        <v>Neutral</v>
      </c>
      <c r="AW243">
        <f>survey_responses[[#This Row],[Tôi tin tưởng số tiền thuế tôi đóng sẽ được Nhà nước sử dụng hiệu quả để cải thiện dịch vụ công (y tế, đường xá...). - HUMAN-TRU3]]</f>
        <v>7</v>
      </c>
      <c r="AX243" t="str">
        <f t="shared" si="100"/>
        <v>Neutral</v>
      </c>
      <c r="AY243" s="32">
        <f t="shared" si="101"/>
        <v>0</v>
      </c>
      <c r="AZ243">
        <f>step3_validation[[#This Row],[AI_TRU4]]</f>
        <v>5</v>
      </c>
      <c r="BA243" t="str">
        <f t="shared" si="102"/>
        <v>Neutral</v>
      </c>
      <c r="BB243">
        <f>survey_responses[[#This Row],[Tôi thấy Nhà nước đã giải thích rõ ràng, minh bạch về lý do và mục tiêu của việc sửa đổi thuế lần này. - HUMAN-TRU4]]</f>
        <v>8</v>
      </c>
      <c r="BC243" t="str">
        <f t="shared" si="103"/>
        <v>Support</v>
      </c>
      <c r="BD243" s="32">
        <f t="shared" si="104"/>
        <v>3</v>
      </c>
      <c r="BE243">
        <f>step3_validation[[#This Row],[AI_OUT1]]</f>
        <v>7</v>
      </c>
      <c r="BF243" t="str">
        <f t="shared" si="105"/>
        <v>Neutral</v>
      </c>
      <c r="BG243">
        <f>survey_responses[[#This Row],[Sau khi xem xét các quyền lợi và nghĩa vụ, bạn có ủng hộ và tuân thủ chính sách mới hiện nay? - HUMAN-OUT1]]</f>
        <v>8</v>
      </c>
      <c r="BH243" t="str">
        <f t="shared" si="106"/>
        <v>Support</v>
      </c>
      <c r="BI243" s="32">
        <f t="shared" si="107"/>
        <v>1</v>
      </c>
    </row>
    <row r="244" spans="1:61" x14ac:dyDescent="0.45">
      <c r="A244" s="30">
        <f>step3_validation[[#This Row],[Persona_ID]]</f>
        <v>243</v>
      </c>
      <c r="B244" s="31">
        <f>step3_validation[[#This Row],[Used_Seed]]</f>
        <v>2233</v>
      </c>
      <c r="C244" t="str">
        <f>step3_validation[[#This Row],[Gender]]</f>
        <v>Nam</v>
      </c>
      <c r="D244" t="str">
        <f>survey_responses[[#This Row],[Giới tính của bạn:]]</f>
        <v>Nam</v>
      </c>
      <c r="E244" t="str">
        <f>step3_validation[[#This Row],[Age_Group]]</f>
        <v>50 - 54</v>
      </c>
      <c r="F244" t="str">
        <f>survey_responses[[#This Row],[Độ tuổi của bạn:]]</f>
        <v>50 - 54</v>
      </c>
      <c r="G244" t="str">
        <f>step3_validation[[#This Row],[Region]]</f>
        <v>Thành thị</v>
      </c>
      <c r="H244" t="str">
        <f>survey_responses[[#This Row],[Khu vực bạn đang sinh sống:]]</f>
        <v>Thành thị</v>
      </c>
      <c r="I244" t="str">
        <f>step3_validation[[#This Row],[Education]]</f>
        <v>Đại học</v>
      </c>
      <c r="J244" t="str">
        <f>survey_responses[[#This Row],[Trình độ học vấn cao nhất:]]</f>
        <v>Đại học</v>
      </c>
      <c r="K244" t="str">
        <f>step3_validation[[#This Row],[Employment]]</f>
        <v>Chính thức</v>
      </c>
      <c r="L244" t="str">
        <f>survey_responses[[#This Row],[Tình trạng việc làm chính:]]</f>
        <v>Khu vực chính thức (Có Hợp đồng lao động, đóng BHXH)</v>
      </c>
      <c r="M244">
        <f>step3_validation[[#This Row],[Income_Mil]]</f>
        <v>79.535115011982171</v>
      </c>
      <c r="N244" t="str">
        <f>survey_responses[[#This Row],[Thu nhập bình quân tháng theo Hợp đồng lao động của bạn là bao nhiêu? (Vui lòng điền tổng thu nhập trước khi khấu trừ các loại Bảo hiểm (BHXH, BHYT, BHTN) và Thuế TNCN)]]</f>
        <v>Từ 70 - 102 triệu VNĐ</v>
      </c>
      <c r="O244">
        <f>step3_validation[[#This Row],[Dependents]]</f>
        <v>2</v>
      </c>
      <c r="P244" t="str">
        <f>survey_responses[[#This Row],[Số người phụ thuộc (con nhỏ, cha mẹ già...) đủ điều kiện giảm trừ gia cảnh:]]</f>
        <v>2 người</v>
      </c>
      <c r="Q244">
        <f>step3_validation[[#This Row],[AI_ENF1]]</f>
        <v>8</v>
      </c>
      <c r="R244" t="str">
        <f t="shared" si="81"/>
        <v>Support</v>
      </c>
      <c r="S244">
        <f>survey_responses[[#This Row],[Tôi tin rằng với các quy định quản lý thuế hiện nay, hành vi gian lận hoặc trốn thuế sẽ dễ dàng bị phát hiện và xử lý nghiêm. - HUMAN-ENF1]]</f>
        <v>6</v>
      </c>
      <c r="T244" t="str">
        <f t="shared" si="82"/>
        <v>Neutral</v>
      </c>
      <c r="U244" s="32">
        <f t="shared" si="83"/>
        <v>2</v>
      </c>
      <c r="V244">
        <f>step3_validation[[#This Row],[AI_ENF2]]</f>
        <v>7</v>
      </c>
      <c r="W244" t="str">
        <f t="shared" si="84"/>
        <v>Neutral</v>
      </c>
      <c r="X244">
        <f>survey_responses[[#This Row],[Tôi tin rằng Nhà nước, cơ quan thuế có đủ khả năng và công nghệ để phát hiện, xử lý nghiêm các hành vi trốn thuế. - HUMAN-ENF2]]</f>
        <v>6</v>
      </c>
      <c r="Y244" t="str">
        <f t="shared" si="85"/>
        <v>Neutral</v>
      </c>
      <c r="Z244" s="32">
        <f t="shared" si="86"/>
        <v>1</v>
      </c>
      <c r="AA244">
        <f>step3_validation[[#This Row],[AI_FAC1]]</f>
        <v>9</v>
      </c>
      <c r="AB244" t="str">
        <f t="shared" si="87"/>
        <v>Support</v>
      </c>
      <c r="AC244">
        <f>survey_responses[[#This Row],[Các thủ tục khai báo thuế VÀ/HOẶC quy trình làm việc với cơ quan thuế đơn giản, tiện lợi, nhanh chóng hơn so với trước đây. - HUMAN-FAC1]]</f>
        <v>6</v>
      </c>
      <c r="AD244" t="str">
        <f t="shared" si="88"/>
        <v>Neutral</v>
      </c>
      <c r="AE244" s="32">
        <f t="shared" si="89"/>
        <v>3</v>
      </c>
      <c r="AF244">
        <f>step3_validation[[#This Row],[AI_FAC2]]</f>
        <v>8</v>
      </c>
      <c r="AG244" t="str">
        <f t="shared" si="90"/>
        <v>Support</v>
      </c>
      <c r="AH244">
        <f>survey_responses[[#This Row],[So với trước đây, tôi thấy cách tính thuế và các bậc thuế trong phương án mới đơn giản, dễ hiểu và dễ thực hiện hơn. - HUMAN-FAC2]]</f>
        <v>6</v>
      </c>
      <c r="AI244" t="str">
        <f t="shared" si="91"/>
        <v>Neutral</v>
      </c>
      <c r="AJ244" s="32">
        <f t="shared" si="92"/>
        <v>2</v>
      </c>
      <c r="AK244">
        <f>step3_validation[[#This Row],[AI_TRU1]]</f>
        <v>7</v>
      </c>
      <c r="AL244" t="str">
        <f t="shared" si="93"/>
        <v>Neutral</v>
      </c>
      <c r="AM244">
        <f>survey_responses[[#This Row],[Tôi tin rằng Nhà nước, cơ quan thuế sẽ thực thi chính sách mới một cách khách quan, công tâm và đối xử bình đẳng với mọi người nộp thuế.  - HUMAN-TRU1]]</f>
        <v>6</v>
      </c>
      <c r="AN244" t="str">
        <f t="shared" si="94"/>
        <v>Neutral</v>
      </c>
      <c r="AO244" s="32">
        <f t="shared" si="95"/>
        <v>1</v>
      </c>
      <c r="AP244">
        <f>step3_validation[[#This Row],[AI_TRU2]]</f>
        <v>6</v>
      </c>
      <c r="AQ244" t="str">
        <f t="shared" si="96"/>
        <v>Neutral</v>
      </c>
      <c r="AR244">
        <f>survey_responses[[#This Row],[Tôi thấy mức thuế tôi phải đóng theo phương án mới là công bằng (người thu nhập như tôi đóng mức này là hợp lý). - HUMAN-TRU2]]</f>
        <v>6</v>
      </c>
      <c r="AS244" t="str">
        <f t="shared" si="97"/>
        <v>Neutral</v>
      </c>
      <c r="AT244" s="32">
        <f t="shared" si="98"/>
        <v>0</v>
      </c>
      <c r="AU244">
        <f>step3_validation[[#This Row],[AI_TRU3]]</f>
        <v>5</v>
      </c>
      <c r="AV244" t="str">
        <f t="shared" si="99"/>
        <v>Neutral</v>
      </c>
      <c r="AW244">
        <f>survey_responses[[#This Row],[Tôi tin tưởng số tiền thuế tôi đóng sẽ được Nhà nước sử dụng hiệu quả để cải thiện dịch vụ công (y tế, đường xá...). - HUMAN-TRU3]]</f>
        <v>6</v>
      </c>
      <c r="AX244" t="str">
        <f t="shared" si="100"/>
        <v>Neutral</v>
      </c>
      <c r="AY244" s="32">
        <f t="shared" si="101"/>
        <v>1</v>
      </c>
      <c r="AZ244">
        <f>step3_validation[[#This Row],[AI_TRU4]]</f>
        <v>6</v>
      </c>
      <c r="BA244" t="str">
        <f t="shared" si="102"/>
        <v>Neutral</v>
      </c>
      <c r="BB244">
        <f>survey_responses[[#This Row],[Tôi thấy Nhà nước đã giải thích rõ ràng, minh bạch về lý do và mục tiêu của việc sửa đổi thuế lần này. - HUMAN-TRU4]]</f>
        <v>6</v>
      </c>
      <c r="BC244" t="str">
        <f t="shared" si="103"/>
        <v>Neutral</v>
      </c>
      <c r="BD244" s="32">
        <f t="shared" si="104"/>
        <v>0</v>
      </c>
      <c r="BE244">
        <f>step3_validation[[#This Row],[AI_OUT1]]</f>
        <v>7</v>
      </c>
      <c r="BF244" t="str">
        <f t="shared" si="105"/>
        <v>Neutral</v>
      </c>
      <c r="BG244">
        <f>survey_responses[[#This Row],[Sau khi xem xét các quyền lợi và nghĩa vụ, bạn có ủng hộ và tuân thủ chính sách mới hiện nay? - HUMAN-OUT1]]</f>
        <v>6</v>
      </c>
      <c r="BH244" t="str">
        <f t="shared" si="106"/>
        <v>Neutral</v>
      </c>
      <c r="BI244" s="32">
        <f t="shared" si="107"/>
        <v>1</v>
      </c>
    </row>
    <row r="245" spans="1:61" x14ac:dyDescent="0.45">
      <c r="A245" s="30">
        <f>step3_validation[[#This Row],[Persona_ID]]</f>
        <v>244</v>
      </c>
      <c r="B245" s="31">
        <f>step3_validation[[#This Row],[Used_Seed]]</f>
        <v>2234</v>
      </c>
      <c r="C245" t="str">
        <f>step3_validation[[#This Row],[Gender]]</f>
        <v>Nữ</v>
      </c>
      <c r="D245" t="str">
        <f>survey_responses[[#This Row],[Giới tính của bạn:]]</f>
        <v>Nữ</v>
      </c>
      <c r="E245" t="str">
        <f>step3_validation[[#This Row],[Age_Group]]</f>
        <v>40 - 49</v>
      </c>
      <c r="F245" t="str">
        <f>survey_responses[[#This Row],[Độ tuổi của bạn:]]</f>
        <v>40 - 49</v>
      </c>
      <c r="G245" t="str">
        <f>step3_validation[[#This Row],[Region]]</f>
        <v>Thành thị</v>
      </c>
      <c r="H245" t="str">
        <f>survey_responses[[#This Row],[Khu vực bạn đang sinh sống:]]</f>
        <v>Thành thị</v>
      </c>
      <c r="I245" t="str">
        <f>step3_validation[[#This Row],[Education]]</f>
        <v>Sau Đại học</v>
      </c>
      <c r="J245" t="str">
        <f>survey_responses[[#This Row],[Trình độ học vấn cao nhất:]]</f>
        <v>Sau Đại học</v>
      </c>
      <c r="K245" t="str">
        <f>step3_validation[[#This Row],[Employment]]</f>
        <v>Chính thức</v>
      </c>
      <c r="L245" t="str">
        <f>survey_responses[[#This Row],[Tình trạng việc làm chính:]]</f>
        <v>Khu vực chính thức (Có Hợp đồng lao động, đóng BHXH)</v>
      </c>
      <c r="M245">
        <f>step3_validation[[#This Row],[Income_Mil]]</f>
        <v>55.622846529421899</v>
      </c>
      <c r="N245" t="str">
        <f>survey_responses[[#This Row],[Thu nhập bình quân tháng theo Hợp đồng lao động của bạn là bao nhiêu? (Vui lòng điền tổng thu nhập trước khi khấu trừ các loại Bảo hiểm (BHXH, BHYT, BHTN) và Thuế TNCN)]]</f>
        <v>Từ 48 - 70 triệu VNĐ</v>
      </c>
      <c r="O245">
        <f>step3_validation[[#This Row],[Dependents]]</f>
        <v>3</v>
      </c>
      <c r="P245" t="str">
        <f>survey_responses[[#This Row],[Số người phụ thuộc (con nhỏ, cha mẹ già...) đủ điều kiện giảm trừ gia cảnh:]]</f>
        <v>3 người</v>
      </c>
      <c r="Q245">
        <f>step3_validation[[#This Row],[AI_ENF1]]</f>
        <v>7</v>
      </c>
      <c r="R245" t="str">
        <f t="shared" si="81"/>
        <v>Neutral</v>
      </c>
      <c r="S245">
        <f>survey_responses[[#This Row],[Tôi tin rằng với các quy định quản lý thuế hiện nay, hành vi gian lận hoặc trốn thuế sẽ dễ dàng bị phát hiện và xử lý nghiêm. - HUMAN-ENF1]]</f>
        <v>7</v>
      </c>
      <c r="T245" t="str">
        <f t="shared" si="82"/>
        <v>Neutral</v>
      </c>
      <c r="U245" s="32">
        <f t="shared" si="83"/>
        <v>0</v>
      </c>
      <c r="V245">
        <f>step3_validation[[#This Row],[AI_ENF2]]</f>
        <v>8</v>
      </c>
      <c r="W245" t="str">
        <f t="shared" si="84"/>
        <v>Support</v>
      </c>
      <c r="X245">
        <f>survey_responses[[#This Row],[Tôi tin rằng Nhà nước, cơ quan thuế có đủ khả năng và công nghệ để phát hiện, xử lý nghiêm các hành vi trốn thuế. - HUMAN-ENF2]]</f>
        <v>6</v>
      </c>
      <c r="Y245" t="str">
        <f t="shared" si="85"/>
        <v>Neutral</v>
      </c>
      <c r="Z245" s="32">
        <f t="shared" si="86"/>
        <v>2</v>
      </c>
      <c r="AA245">
        <f>step3_validation[[#This Row],[AI_FAC1]]</f>
        <v>9</v>
      </c>
      <c r="AB245" t="str">
        <f t="shared" si="87"/>
        <v>Support</v>
      </c>
      <c r="AC245">
        <f>survey_responses[[#This Row],[Các thủ tục khai báo thuế VÀ/HOẶC quy trình làm việc với cơ quan thuế đơn giản, tiện lợi, nhanh chóng hơn so với trước đây. - HUMAN-FAC1]]</f>
        <v>6</v>
      </c>
      <c r="AD245" t="str">
        <f t="shared" si="88"/>
        <v>Neutral</v>
      </c>
      <c r="AE245" s="32">
        <f t="shared" si="89"/>
        <v>3</v>
      </c>
      <c r="AF245">
        <f>step3_validation[[#This Row],[AI_FAC2]]</f>
        <v>8</v>
      </c>
      <c r="AG245" t="str">
        <f t="shared" si="90"/>
        <v>Support</v>
      </c>
      <c r="AH245">
        <f>survey_responses[[#This Row],[So với trước đây, tôi thấy cách tính thuế và các bậc thuế trong phương án mới đơn giản, dễ hiểu và dễ thực hiện hơn. - HUMAN-FAC2]]</f>
        <v>8</v>
      </c>
      <c r="AI245" t="str">
        <f t="shared" si="91"/>
        <v>Support</v>
      </c>
      <c r="AJ245" s="32">
        <f t="shared" si="92"/>
        <v>0</v>
      </c>
      <c r="AK245">
        <f>step3_validation[[#This Row],[AI_TRU1]]</f>
        <v>7</v>
      </c>
      <c r="AL245" t="str">
        <f t="shared" si="93"/>
        <v>Neutral</v>
      </c>
      <c r="AM245">
        <f>survey_responses[[#This Row],[Tôi tin rằng Nhà nước, cơ quan thuế sẽ thực thi chính sách mới một cách khách quan, công tâm và đối xử bình đẳng với mọi người nộp thuế.  - HUMAN-TRU1]]</f>
        <v>6</v>
      </c>
      <c r="AN245" t="str">
        <f t="shared" si="94"/>
        <v>Neutral</v>
      </c>
      <c r="AO245" s="32">
        <f t="shared" si="95"/>
        <v>1</v>
      </c>
      <c r="AP245">
        <f>step3_validation[[#This Row],[AI_TRU2]]</f>
        <v>8</v>
      </c>
      <c r="AQ245" t="str">
        <f t="shared" si="96"/>
        <v>Support</v>
      </c>
      <c r="AR245">
        <f>survey_responses[[#This Row],[Tôi thấy mức thuế tôi phải đóng theo phương án mới là công bằng (người thu nhập như tôi đóng mức này là hợp lý). - HUMAN-TRU2]]</f>
        <v>6</v>
      </c>
      <c r="AS245" t="str">
        <f t="shared" si="97"/>
        <v>Neutral</v>
      </c>
      <c r="AT245" s="32">
        <f t="shared" si="98"/>
        <v>2</v>
      </c>
      <c r="AU245">
        <f>step3_validation[[#This Row],[AI_TRU3]]</f>
        <v>7</v>
      </c>
      <c r="AV245" t="str">
        <f t="shared" si="99"/>
        <v>Neutral</v>
      </c>
      <c r="AW245">
        <f>survey_responses[[#This Row],[Tôi tin tưởng số tiền thuế tôi đóng sẽ được Nhà nước sử dụng hiệu quả để cải thiện dịch vụ công (y tế, đường xá...). - HUMAN-TRU3]]</f>
        <v>6</v>
      </c>
      <c r="AX245" t="str">
        <f t="shared" si="100"/>
        <v>Neutral</v>
      </c>
      <c r="AY245" s="32">
        <f t="shared" si="101"/>
        <v>1</v>
      </c>
      <c r="AZ245">
        <f>step3_validation[[#This Row],[AI_TRU4]]</f>
        <v>6</v>
      </c>
      <c r="BA245" t="str">
        <f t="shared" si="102"/>
        <v>Neutral</v>
      </c>
      <c r="BB245">
        <f>survey_responses[[#This Row],[Tôi thấy Nhà nước đã giải thích rõ ràng, minh bạch về lý do và mục tiêu của việc sửa đổi thuế lần này. - HUMAN-TRU4]]</f>
        <v>6</v>
      </c>
      <c r="BC245" t="str">
        <f t="shared" si="103"/>
        <v>Neutral</v>
      </c>
      <c r="BD245" s="32">
        <f t="shared" si="104"/>
        <v>0</v>
      </c>
      <c r="BE245">
        <f>step3_validation[[#This Row],[AI_OUT1]]</f>
        <v>7</v>
      </c>
      <c r="BF245" t="str">
        <f t="shared" si="105"/>
        <v>Neutral</v>
      </c>
      <c r="BG245">
        <f>survey_responses[[#This Row],[Sau khi xem xét các quyền lợi và nghĩa vụ, bạn có ủng hộ và tuân thủ chính sách mới hiện nay? - HUMAN-OUT1]]</f>
        <v>6</v>
      </c>
      <c r="BH245" t="str">
        <f t="shared" si="106"/>
        <v>Neutral</v>
      </c>
      <c r="BI245" s="32">
        <f t="shared" si="107"/>
        <v>1</v>
      </c>
    </row>
    <row r="246" spans="1:61" x14ac:dyDescent="0.45">
      <c r="A246" s="30">
        <f>step3_validation[[#This Row],[Persona_ID]]</f>
        <v>245</v>
      </c>
      <c r="B246" s="31">
        <f>step3_validation[[#This Row],[Used_Seed]]</f>
        <v>2235</v>
      </c>
      <c r="C246" t="str">
        <f>step3_validation[[#This Row],[Gender]]</f>
        <v>Nam</v>
      </c>
      <c r="D246" t="str">
        <f>survey_responses[[#This Row],[Giới tính của bạn:]]</f>
        <v>Nam</v>
      </c>
      <c r="E246" t="str">
        <f>step3_validation[[#This Row],[Age_Group]]</f>
        <v>40 - 49</v>
      </c>
      <c r="F246" t="str">
        <f>survey_responses[[#This Row],[Độ tuổi của bạn:]]</f>
        <v>40 - 49</v>
      </c>
      <c r="G246" t="str">
        <f>step3_validation[[#This Row],[Region]]</f>
        <v>Thành thị</v>
      </c>
      <c r="H246" t="str">
        <f>survey_responses[[#This Row],[Khu vực bạn đang sinh sống:]]</f>
        <v>Thành thị</v>
      </c>
      <c r="I246" t="str">
        <f>step3_validation[[#This Row],[Education]]</f>
        <v>Sau Đại học</v>
      </c>
      <c r="J246" t="str">
        <f>survey_responses[[#This Row],[Trình độ học vấn cao nhất:]]</f>
        <v>Sau Đại học</v>
      </c>
      <c r="K246" t="str">
        <f>step3_validation[[#This Row],[Employment]]</f>
        <v>Chính thức</v>
      </c>
      <c r="L246" t="str">
        <f>survey_responses[[#This Row],[Tình trạng việc làm chính:]]</f>
        <v>Khu vực chính thức (Có Hợp đồng lao động, đóng BHXH)</v>
      </c>
      <c r="M246">
        <f>step3_validation[[#This Row],[Income_Mil]]</f>
        <v>166.35065651465328</v>
      </c>
      <c r="N246" t="str">
        <f>survey_responses[[#This Row],[Thu nhập bình quân tháng theo Hợp đồng lao động của bạn là bao nhiêu? (Vui lòng điền tổng thu nhập trước khi khấu trừ các loại Bảo hiểm (BHXH, BHYT, BHTN) và Thuế TNCN)]]</f>
        <v>Trên 102 triệu VNĐ</v>
      </c>
      <c r="O246">
        <f>step3_validation[[#This Row],[Dependents]]</f>
        <v>0</v>
      </c>
      <c r="P246" t="str">
        <f>survey_responses[[#This Row],[Số người phụ thuộc (con nhỏ, cha mẹ già...) đủ điều kiện giảm trừ gia cảnh:]]</f>
        <v>0 người</v>
      </c>
      <c r="Q246">
        <f>step3_validation[[#This Row],[AI_ENF1]]</f>
        <v>7</v>
      </c>
      <c r="R246" t="str">
        <f t="shared" si="81"/>
        <v>Neutral</v>
      </c>
      <c r="S246">
        <f>survey_responses[[#This Row],[Tôi tin rằng với các quy định quản lý thuế hiện nay, hành vi gian lận hoặc trốn thuế sẽ dễ dàng bị phát hiện và xử lý nghiêm. - HUMAN-ENF1]]</f>
        <v>4</v>
      </c>
      <c r="T246" t="str">
        <f t="shared" si="82"/>
        <v>Oppose</v>
      </c>
      <c r="U246" s="32">
        <f t="shared" si="83"/>
        <v>3</v>
      </c>
      <c r="V246">
        <f>step3_validation[[#This Row],[AI_ENF2]]</f>
        <v>8</v>
      </c>
      <c r="W246" t="str">
        <f t="shared" si="84"/>
        <v>Support</v>
      </c>
      <c r="X246">
        <f>survey_responses[[#This Row],[Tôi tin rằng Nhà nước, cơ quan thuế có đủ khả năng và công nghệ để phát hiện, xử lý nghiêm các hành vi trốn thuế. - HUMAN-ENF2]]</f>
        <v>4</v>
      </c>
      <c r="Y246" t="str">
        <f t="shared" si="85"/>
        <v>Oppose</v>
      </c>
      <c r="Z246" s="32">
        <f t="shared" si="86"/>
        <v>4</v>
      </c>
      <c r="AA246">
        <f>step3_validation[[#This Row],[AI_FAC1]]</f>
        <v>6</v>
      </c>
      <c r="AB246" t="str">
        <f t="shared" si="87"/>
        <v>Neutral</v>
      </c>
      <c r="AC246">
        <f>survey_responses[[#This Row],[Các thủ tục khai báo thuế VÀ/HOẶC quy trình làm việc với cơ quan thuế đơn giản, tiện lợi, nhanh chóng hơn so với trước đây. - HUMAN-FAC1]]</f>
        <v>1</v>
      </c>
      <c r="AD246" t="str">
        <f t="shared" si="88"/>
        <v>Oppose</v>
      </c>
      <c r="AE246" s="32">
        <f t="shared" si="89"/>
        <v>5</v>
      </c>
      <c r="AF246">
        <f>step3_validation[[#This Row],[AI_FAC2]]</f>
        <v>8</v>
      </c>
      <c r="AG246" t="str">
        <f t="shared" si="90"/>
        <v>Support</v>
      </c>
      <c r="AH246">
        <f>survey_responses[[#This Row],[So với trước đây, tôi thấy cách tính thuế và các bậc thuế trong phương án mới đơn giản, dễ hiểu và dễ thực hiện hơn. - HUMAN-FAC2]]</f>
        <v>4</v>
      </c>
      <c r="AI246" t="str">
        <f t="shared" si="91"/>
        <v>Oppose</v>
      </c>
      <c r="AJ246" s="32">
        <f t="shared" si="92"/>
        <v>4</v>
      </c>
      <c r="AK246">
        <f>step3_validation[[#This Row],[AI_TRU1]]</f>
        <v>7</v>
      </c>
      <c r="AL246" t="str">
        <f t="shared" si="93"/>
        <v>Neutral</v>
      </c>
      <c r="AM246">
        <f>survey_responses[[#This Row],[Tôi tin rằng Nhà nước, cơ quan thuế sẽ thực thi chính sách mới một cách khách quan, công tâm và đối xử bình đẳng với mọi người nộp thuế.  - HUMAN-TRU1]]</f>
        <v>4</v>
      </c>
      <c r="AN246" t="str">
        <f t="shared" si="94"/>
        <v>Oppose</v>
      </c>
      <c r="AO246" s="32">
        <f t="shared" si="95"/>
        <v>3</v>
      </c>
      <c r="AP246">
        <f>step3_validation[[#This Row],[AI_TRU2]]</f>
        <v>6</v>
      </c>
      <c r="AQ246" t="str">
        <f t="shared" si="96"/>
        <v>Neutral</v>
      </c>
      <c r="AR246">
        <f>survey_responses[[#This Row],[Tôi thấy mức thuế tôi phải đóng theo phương án mới là công bằng (người thu nhập như tôi đóng mức này là hợp lý). - HUMAN-TRU2]]</f>
        <v>4</v>
      </c>
      <c r="AS246" t="str">
        <f t="shared" si="97"/>
        <v>Oppose</v>
      </c>
      <c r="AT246" s="32">
        <f t="shared" si="98"/>
        <v>2</v>
      </c>
      <c r="AU246">
        <f>step3_validation[[#This Row],[AI_TRU3]]</f>
        <v>7</v>
      </c>
      <c r="AV246" t="str">
        <f t="shared" si="99"/>
        <v>Neutral</v>
      </c>
      <c r="AW246">
        <f>survey_responses[[#This Row],[Tôi tin tưởng số tiền thuế tôi đóng sẽ được Nhà nước sử dụng hiệu quả để cải thiện dịch vụ công (y tế, đường xá...). - HUMAN-TRU3]]</f>
        <v>5</v>
      </c>
      <c r="AX246" t="str">
        <f t="shared" si="100"/>
        <v>Neutral</v>
      </c>
      <c r="AY246" s="32">
        <f t="shared" si="101"/>
        <v>2</v>
      </c>
      <c r="AZ246">
        <f>step3_validation[[#This Row],[AI_TRU4]]</f>
        <v>6</v>
      </c>
      <c r="BA246" t="str">
        <f t="shared" si="102"/>
        <v>Neutral</v>
      </c>
      <c r="BB246">
        <f>survey_responses[[#This Row],[Tôi thấy Nhà nước đã giải thích rõ ràng, minh bạch về lý do và mục tiêu của việc sửa đổi thuế lần này. - HUMAN-TRU4]]</f>
        <v>5</v>
      </c>
      <c r="BC246" t="str">
        <f t="shared" si="103"/>
        <v>Neutral</v>
      </c>
      <c r="BD246" s="32">
        <f t="shared" si="104"/>
        <v>1</v>
      </c>
      <c r="BE246">
        <f>step3_validation[[#This Row],[AI_OUT1]]</f>
        <v>7</v>
      </c>
      <c r="BF246" t="str">
        <f t="shared" si="105"/>
        <v>Neutral</v>
      </c>
      <c r="BG246">
        <f>survey_responses[[#This Row],[Sau khi xem xét các quyền lợi và nghĩa vụ, bạn có ủng hộ và tuân thủ chính sách mới hiện nay? - HUMAN-OUT1]]</f>
        <v>5</v>
      </c>
      <c r="BH246" t="str">
        <f t="shared" si="106"/>
        <v>Neutral</v>
      </c>
      <c r="BI246" s="32">
        <f t="shared" si="107"/>
        <v>2</v>
      </c>
    </row>
    <row r="247" spans="1:61" x14ac:dyDescent="0.45">
      <c r="A247" s="30">
        <f>step3_validation[[#This Row],[Persona_ID]]</f>
        <v>246</v>
      </c>
      <c r="B247" s="31">
        <f>step3_validation[[#This Row],[Used_Seed]]</f>
        <v>2236</v>
      </c>
      <c r="C247" t="str">
        <f>step3_validation[[#This Row],[Gender]]</f>
        <v>Nam</v>
      </c>
      <c r="D247" t="str">
        <f>survey_responses[[#This Row],[Giới tính của bạn:]]</f>
        <v>Nam</v>
      </c>
      <c r="E247" t="str">
        <f>step3_validation[[#This Row],[Age_Group]]</f>
        <v>30 - 39</v>
      </c>
      <c r="F247" t="str">
        <f>survey_responses[[#This Row],[Độ tuổi của bạn:]]</f>
        <v>30 - 39</v>
      </c>
      <c r="G247" t="str">
        <f>step3_validation[[#This Row],[Region]]</f>
        <v>Thành thị</v>
      </c>
      <c r="H247" t="str">
        <f>survey_responses[[#This Row],[Khu vực bạn đang sinh sống:]]</f>
        <v>Thành thị</v>
      </c>
      <c r="I247" t="str">
        <f>step3_validation[[#This Row],[Education]]</f>
        <v>Đại học</v>
      </c>
      <c r="J247" t="str">
        <f>survey_responses[[#This Row],[Trình độ học vấn cao nhất:]]</f>
        <v>Đại học</v>
      </c>
      <c r="K247" t="str">
        <f>step3_validation[[#This Row],[Employment]]</f>
        <v>Chính thức</v>
      </c>
      <c r="L247" t="str">
        <f>survey_responses[[#This Row],[Tình trạng việc làm chính:]]</f>
        <v>Khu vực chính thức (Có Hợp đồng lao động, đóng BHXH)</v>
      </c>
      <c r="M247">
        <f>step3_validation[[#This Row],[Income_Mil]]</f>
        <v>26.151790808185822</v>
      </c>
      <c r="N247" t="str">
        <f>survey_responses[[#This Row],[Thu nhập bình quân tháng theo Hợp đồng lao động của bạn là bao nhiêu? (Vui lòng điền tổng thu nhập trước khi khấu trừ các loại Bảo hiểm (BHXH, BHYT, BHTN) và Thuế TNCN)]]</f>
        <v>Từ 23 - 32 triệu VNĐ</v>
      </c>
      <c r="O247">
        <f>step3_validation[[#This Row],[Dependents]]</f>
        <v>0</v>
      </c>
      <c r="P247" t="str">
        <f>survey_responses[[#This Row],[Số người phụ thuộc (con nhỏ, cha mẹ già...) đủ điều kiện giảm trừ gia cảnh:]]</f>
        <v>0 người</v>
      </c>
      <c r="Q247">
        <f>step3_validation[[#This Row],[AI_ENF1]]</f>
        <v>4</v>
      </c>
      <c r="R247" t="str">
        <f t="shared" si="81"/>
        <v>Oppose</v>
      </c>
      <c r="S247">
        <f>survey_responses[[#This Row],[Tôi tin rằng với các quy định quản lý thuế hiện nay, hành vi gian lận hoặc trốn thuế sẽ dễ dàng bị phát hiện và xử lý nghiêm. - HUMAN-ENF1]]</f>
        <v>6</v>
      </c>
      <c r="T247" t="str">
        <f t="shared" si="82"/>
        <v>Neutral</v>
      </c>
      <c r="U247" s="32">
        <f t="shared" si="83"/>
        <v>2</v>
      </c>
      <c r="V247">
        <f>step3_validation[[#This Row],[AI_ENF2]]</f>
        <v>5</v>
      </c>
      <c r="W247" t="str">
        <f t="shared" si="84"/>
        <v>Neutral</v>
      </c>
      <c r="X247">
        <f>survey_responses[[#This Row],[Tôi tin rằng Nhà nước, cơ quan thuế có đủ khả năng và công nghệ để phát hiện, xử lý nghiêm các hành vi trốn thuế. - HUMAN-ENF2]]</f>
        <v>7</v>
      </c>
      <c r="Y247" t="str">
        <f t="shared" si="85"/>
        <v>Neutral</v>
      </c>
      <c r="Z247" s="32">
        <f t="shared" si="86"/>
        <v>2</v>
      </c>
      <c r="AA247">
        <f>step3_validation[[#This Row],[AI_FAC1]]</f>
        <v>7</v>
      </c>
      <c r="AB247" t="str">
        <f t="shared" si="87"/>
        <v>Neutral</v>
      </c>
      <c r="AC247">
        <f>survey_responses[[#This Row],[Các thủ tục khai báo thuế VÀ/HOẶC quy trình làm việc với cơ quan thuế đơn giản, tiện lợi, nhanh chóng hơn so với trước đây. - HUMAN-FAC1]]</f>
        <v>7</v>
      </c>
      <c r="AD247" t="str">
        <f t="shared" si="88"/>
        <v>Neutral</v>
      </c>
      <c r="AE247" s="32">
        <f t="shared" si="89"/>
        <v>0</v>
      </c>
      <c r="AF247">
        <f>step3_validation[[#This Row],[AI_FAC2]]</f>
        <v>8</v>
      </c>
      <c r="AG247" t="str">
        <f t="shared" si="90"/>
        <v>Support</v>
      </c>
      <c r="AH247">
        <f>survey_responses[[#This Row],[So với trước đây, tôi thấy cách tính thuế và các bậc thuế trong phương án mới đơn giản, dễ hiểu và dễ thực hiện hơn. - HUMAN-FAC2]]</f>
        <v>7</v>
      </c>
      <c r="AI247" t="str">
        <f t="shared" si="91"/>
        <v>Neutral</v>
      </c>
      <c r="AJ247" s="32">
        <f t="shared" si="92"/>
        <v>1</v>
      </c>
      <c r="AK247">
        <f>step3_validation[[#This Row],[AI_TRU1]]</f>
        <v>5</v>
      </c>
      <c r="AL247" t="str">
        <f t="shared" si="93"/>
        <v>Neutral</v>
      </c>
      <c r="AM247">
        <f>survey_responses[[#This Row],[Tôi tin rằng Nhà nước, cơ quan thuế sẽ thực thi chính sách mới một cách khách quan, công tâm và đối xử bình đẳng với mọi người nộp thuế.  - HUMAN-TRU1]]</f>
        <v>7</v>
      </c>
      <c r="AN247" t="str">
        <f t="shared" si="94"/>
        <v>Neutral</v>
      </c>
      <c r="AO247" s="32">
        <f t="shared" si="95"/>
        <v>2</v>
      </c>
      <c r="AP247">
        <f>step3_validation[[#This Row],[AI_TRU2]]</f>
        <v>6</v>
      </c>
      <c r="AQ247" t="str">
        <f t="shared" si="96"/>
        <v>Neutral</v>
      </c>
      <c r="AR247">
        <f>survey_responses[[#This Row],[Tôi thấy mức thuế tôi phải đóng theo phương án mới là công bằng (người thu nhập như tôi đóng mức này là hợp lý). - HUMAN-TRU2]]</f>
        <v>7</v>
      </c>
      <c r="AS247" t="str">
        <f t="shared" si="97"/>
        <v>Neutral</v>
      </c>
      <c r="AT247" s="32">
        <f t="shared" si="98"/>
        <v>1</v>
      </c>
      <c r="AU247">
        <f>step3_validation[[#This Row],[AI_TRU3]]</f>
        <v>4</v>
      </c>
      <c r="AV247" t="str">
        <f t="shared" si="99"/>
        <v>Oppose</v>
      </c>
      <c r="AW247">
        <f>survey_responses[[#This Row],[Tôi tin tưởng số tiền thuế tôi đóng sẽ được Nhà nước sử dụng hiệu quả để cải thiện dịch vụ công (y tế, đường xá...). - HUMAN-TRU3]]</f>
        <v>7</v>
      </c>
      <c r="AX247" t="str">
        <f t="shared" si="100"/>
        <v>Neutral</v>
      </c>
      <c r="AY247" s="32">
        <f t="shared" si="101"/>
        <v>3</v>
      </c>
      <c r="AZ247">
        <f>step3_validation[[#This Row],[AI_TRU4]]</f>
        <v>5</v>
      </c>
      <c r="BA247" t="str">
        <f t="shared" si="102"/>
        <v>Neutral</v>
      </c>
      <c r="BB247">
        <f>survey_responses[[#This Row],[Tôi thấy Nhà nước đã giải thích rõ ràng, minh bạch về lý do và mục tiêu của việc sửa đổi thuế lần này. - HUMAN-TRU4]]</f>
        <v>7</v>
      </c>
      <c r="BC247" t="str">
        <f t="shared" si="103"/>
        <v>Neutral</v>
      </c>
      <c r="BD247" s="32">
        <f t="shared" si="104"/>
        <v>2</v>
      </c>
      <c r="BE247">
        <f>step3_validation[[#This Row],[AI_OUT1]]</f>
        <v>3</v>
      </c>
      <c r="BF247" t="str">
        <f t="shared" si="105"/>
        <v>Oppose</v>
      </c>
      <c r="BG247">
        <f>survey_responses[[#This Row],[Sau khi xem xét các quyền lợi và nghĩa vụ, bạn có ủng hộ và tuân thủ chính sách mới hiện nay? - HUMAN-OUT1]]</f>
        <v>7</v>
      </c>
      <c r="BH247" t="str">
        <f t="shared" si="106"/>
        <v>Neutral</v>
      </c>
      <c r="BI247" s="32">
        <f t="shared" si="107"/>
        <v>4</v>
      </c>
    </row>
    <row r="248" spans="1:61" x14ac:dyDescent="0.45">
      <c r="A248" s="30">
        <f>step3_validation[[#This Row],[Persona_ID]]</f>
        <v>247</v>
      </c>
      <c r="B248" s="31">
        <f>step3_validation[[#This Row],[Used_Seed]]</f>
        <v>2237</v>
      </c>
      <c r="C248" t="str">
        <f>step3_validation[[#This Row],[Gender]]</f>
        <v>Nữ</v>
      </c>
      <c r="D248" t="str">
        <f>survey_responses[[#This Row],[Giới tính của bạn:]]</f>
        <v>Nữ</v>
      </c>
      <c r="E248" t="str">
        <f>step3_validation[[#This Row],[Age_Group]]</f>
        <v>50 - 54</v>
      </c>
      <c r="F248" t="str">
        <f>survey_responses[[#This Row],[Độ tuổi của bạn:]]</f>
        <v>50 - 54</v>
      </c>
      <c r="G248" t="str">
        <f>step3_validation[[#This Row],[Region]]</f>
        <v>Thành thị</v>
      </c>
      <c r="H248" t="str">
        <f>survey_responses[[#This Row],[Khu vực bạn đang sinh sống:]]</f>
        <v>Thành thị</v>
      </c>
      <c r="I248" t="str">
        <f>step3_validation[[#This Row],[Education]]</f>
        <v>Sau Đại học</v>
      </c>
      <c r="J248" t="str">
        <f>survey_responses[[#This Row],[Trình độ học vấn cao nhất:]]</f>
        <v>Sau Đại học</v>
      </c>
      <c r="K248" t="str">
        <f>step3_validation[[#This Row],[Employment]]</f>
        <v>Chính thức</v>
      </c>
      <c r="L248" t="str">
        <f>survey_responses[[#This Row],[Tình trạng việc làm chính:]]</f>
        <v>Khu vực chính thức (Có Hợp đồng lao động, đóng BHXH)</v>
      </c>
      <c r="M248">
        <f>step3_validation[[#This Row],[Income_Mil]]</f>
        <v>64.505820703954043</v>
      </c>
      <c r="N248" t="str">
        <f>survey_responses[[#This Row],[Thu nhập bình quân tháng theo Hợp đồng lao động của bạn là bao nhiêu? (Vui lòng điền tổng thu nhập trước khi khấu trừ các loại Bảo hiểm (BHXH, BHYT, BHTN) và Thuế TNCN)]]</f>
        <v>Từ 48 - 70 triệu VNĐ</v>
      </c>
      <c r="O248">
        <f>step3_validation[[#This Row],[Dependents]]</f>
        <v>4</v>
      </c>
      <c r="P248" t="str">
        <f>survey_responses[[#This Row],[Số người phụ thuộc (con nhỏ, cha mẹ già...) đủ điều kiện giảm trừ gia cảnh:]]</f>
        <v>4 người trở lên</v>
      </c>
      <c r="Q248">
        <f>step3_validation[[#This Row],[AI_ENF1]]</f>
        <v>7</v>
      </c>
      <c r="R248" t="str">
        <f t="shared" si="81"/>
        <v>Neutral</v>
      </c>
      <c r="S248">
        <f>survey_responses[[#This Row],[Tôi tin rằng với các quy định quản lý thuế hiện nay, hành vi gian lận hoặc trốn thuế sẽ dễ dàng bị phát hiện và xử lý nghiêm. - HUMAN-ENF1]]</f>
        <v>8</v>
      </c>
      <c r="T248" t="str">
        <f t="shared" si="82"/>
        <v>Support</v>
      </c>
      <c r="U248" s="32">
        <f t="shared" si="83"/>
        <v>1</v>
      </c>
      <c r="V248">
        <f>step3_validation[[#This Row],[AI_ENF2]]</f>
        <v>6</v>
      </c>
      <c r="W248" t="str">
        <f t="shared" si="84"/>
        <v>Neutral</v>
      </c>
      <c r="X248">
        <f>survey_responses[[#This Row],[Tôi tin rằng Nhà nước, cơ quan thuế có đủ khả năng và công nghệ để phát hiện, xử lý nghiêm các hành vi trốn thuế. - HUMAN-ENF2]]</f>
        <v>8</v>
      </c>
      <c r="Y248" t="str">
        <f t="shared" si="85"/>
        <v>Support</v>
      </c>
      <c r="Z248" s="32">
        <f t="shared" si="86"/>
        <v>2</v>
      </c>
      <c r="AA248">
        <f>step3_validation[[#This Row],[AI_FAC1]]</f>
        <v>8</v>
      </c>
      <c r="AB248" t="str">
        <f t="shared" si="87"/>
        <v>Support</v>
      </c>
      <c r="AC248">
        <f>survey_responses[[#This Row],[Các thủ tục khai báo thuế VÀ/HOẶC quy trình làm việc với cơ quan thuế đơn giản, tiện lợi, nhanh chóng hơn so với trước đây. - HUMAN-FAC1]]</f>
        <v>8</v>
      </c>
      <c r="AD248" t="str">
        <f t="shared" si="88"/>
        <v>Support</v>
      </c>
      <c r="AE248" s="32">
        <f t="shared" si="89"/>
        <v>0</v>
      </c>
      <c r="AF248">
        <f>step3_validation[[#This Row],[AI_FAC2]]</f>
        <v>7</v>
      </c>
      <c r="AG248" t="str">
        <f t="shared" si="90"/>
        <v>Neutral</v>
      </c>
      <c r="AH248">
        <f>survey_responses[[#This Row],[So với trước đây, tôi thấy cách tính thuế và các bậc thuế trong phương án mới đơn giản, dễ hiểu và dễ thực hiện hơn. - HUMAN-FAC2]]</f>
        <v>8</v>
      </c>
      <c r="AI248" t="str">
        <f t="shared" si="91"/>
        <v>Support</v>
      </c>
      <c r="AJ248" s="32">
        <f t="shared" si="92"/>
        <v>1</v>
      </c>
      <c r="AK248">
        <f>step3_validation[[#This Row],[AI_TRU1]]</f>
        <v>6</v>
      </c>
      <c r="AL248" t="str">
        <f t="shared" si="93"/>
        <v>Neutral</v>
      </c>
      <c r="AM248">
        <f>survey_responses[[#This Row],[Tôi tin rằng Nhà nước, cơ quan thuế sẽ thực thi chính sách mới một cách khách quan, công tâm và đối xử bình đẳng với mọi người nộp thuế.  - HUMAN-TRU1]]</f>
        <v>8</v>
      </c>
      <c r="AN248" t="str">
        <f t="shared" si="94"/>
        <v>Support</v>
      </c>
      <c r="AO248" s="32">
        <f t="shared" si="95"/>
        <v>2</v>
      </c>
      <c r="AP248">
        <f>step3_validation[[#This Row],[AI_TRU2]]</f>
        <v>7</v>
      </c>
      <c r="AQ248" t="str">
        <f t="shared" si="96"/>
        <v>Neutral</v>
      </c>
      <c r="AR248">
        <f>survey_responses[[#This Row],[Tôi thấy mức thuế tôi phải đóng theo phương án mới là công bằng (người thu nhập như tôi đóng mức này là hợp lý). - HUMAN-TRU2]]</f>
        <v>8</v>
      </c>
      <c r="AS248" t="str">
        <f t="shared" si="97"/>
        <v>Support</v>
      </c>
      <c r="AT248" s="32">
        <f t="shared" si="98"/>
        <v>1</v>
      </c>
      <c r="AU248">
        <f>step3_validation[[#This Row],[AI_TRU3]]</f>
        <v>6</v>
      </c>
      <c r="AV248" t="str">
        <f t="shared" si="99"/>
        <v>Neutral</v>
      </c>
      <c r="AW248">
        <f>survey_responses[[#This Row],[Tôi tin tưởng số tiền thuế tôi đóng sẽ được Nhà nước sử dụng hiệu quả để cải thiện dịch vụ công (y tế, đường xá...). - HUMAN-TRU3]]</f>
        <v>8</v>
      </c>
      <c r="AX248" t="str">
        <f t="shared" si="100"/>
        <v>Support</v>
      </c>
      <c r="AY248" s="32">
        <f t="shared" si="101"/>
        <v>2</v>
      </c>
      <c r="AZ248">
        <f>step3_validation[[#This Row],[AI_TRU4]]</f>
        <v>5</v>
      </c>
      <c r="BA248" t="str">
        <f t="shared" si="102"/>
        <v>Neutral</v>
      </c>
      <c r="BB248">
        <f>survey_responses[[#This Row],[Tôi thấy Nhà nước đã giải thích rõ ràng, minh bạch về lý do và mục tiêu của việc sửa đổi thuế lần này. - HUMAN-TRU4]]</f>
        <v>8</v>
      </c>
      <c r="BC248" t="str">
        <f t="shared" si="103"/>
        <v>Support</v>
      </c>
      <c r="BD248" s="32">
        <f t="shared" si="104"/>
        <v>3</v>
      </c>
      <c r="BE248">
        <f>step3_validation[[#This Row],[AI_OUT1]]</f>
        <v>6</v>
      </c>
      <c r="BF248" t="str">
        <f t="shared" si="105"/>
        <v>Neutral</v>
      </c>
      <c r="BG248">
        <f>survey_responses[[#This Row],[Sau khi xem xét các quyền lợi và nghĩa vụ, bạn có ủng hộ và tuân thủ chính sách mới hiện nay? - HUMAN-OUT1]]</f>
        <v>8</v>
      </c>
      <c r="BH248" t="str">
        <f t="shared" si="106"/>
        <v>Support</v>
      </c>
      <c r="BI248" s="32">
        <f t="shared" si="107"/>
        <v>2</v>
      </c>
    </row>
    <row r="249" spans="1:61" x14ac:dyDescent="0.45">
      <c r="A249" s="30">
        <f>step3_validation[[#This Row],[Persona_ID]]</f>
        <v>248</v>
      </c>
      <c r="B249" s="31">
        <f>step3_validation[[#This Row],[Used_Seed]]</f>
        <v>2238</v>
      </c>
      <c r="C249" t="str">
        <f>step3_validation[[#This Row],[Gender]]</f>
        <v>Nữ</v>
      </c>
      <c r="D249" t="str">
        <f>survey_responses[[#This Row],[Giới tính của bạn:]]</f>
        <v>Nữ</v>
      </c>
      <c r="E249" t="str">
        <f>step3_validation[[#This Row],[Age_Group]]</f>
        <v>40 - 49</v>
      </c>
      <c r="F249" t="str">
        <f>survey_responses[[#This Row],[Độ tuổi của bạn:]]</f>
        <v>40 - 49</v>
      </c>
      <c r="G249" t="str">
        <f>step3_validation[[#This Row],[Region]]</f>
        <v>Thành thị</v>
      </c>
      <c r="H249" t="str">
        <f>survey_responses[[#This Row],[Khu vực bạn đang sinh sống:]]</f>
        <v>Thành thị</v>
      </c>
      <c r="I249" t="str">
        <f>step3_validation[[#This Row],[Education]]</f>
        <v>Đại học</v>
      </c>
      <c r="J249" t="str">
        <f>survey_responses[[#This Row],[Trình độ học vấn cao nhất:]]</f>
        <v>Đại học</v>
      </c>
      <c r="K249" t="str">
        <f>step3_validation[[#This Row],[Employment]]</f>
        <v>Chính thức</v>
      </c>
      <c r="L249" t="str">
        <f>survey_responses[[#This Row],[Tình trạng việc làm chính:]]</f>
        <v>Khu vực chính thức (Có Hợp đồng lao động, đóng BHXH)</v>
      </c>
      <c r="M249">
        <f>step3_validation[[#This Row],[Income_Mil]]</f>
        <v>38.111758052996414</v>
      </c>
      <c r="N249" t="str">
        <f>survey_responses[[#This Row],[Thu nhập bình quân tháng theo Hợp đồng lao động của bạn là bao nhiêu? (Vui lòng điền tổng thu nhập trước khi khấu trừ các loại Bảo hiểm (BHXH, BHYT, BHTN) và Thuế TNCN)]]</f>
        <v>Từ 32 - 48 triệu VNĐ</v>
      </c>
      <c r="O249">
        <f>step3_validation[[#This Row],[Dependents]]</f>
        <v>1</v>
      </c>
      <c r="P249" t="str">
        <f>survey_responses[[#This Row],[Số người phụ thuộc (con nhỏ, cha mẹ già...) đủ điều kiện giảm trừ gia cảnh:]]</f>
        <v>1 người</v>
      </c>
      <c r="Q249">
        <f>step3_validation[[#This Row],[AI_ENF1]]</f>
        <v>8</v>
      </c>
      <c r="R249" t="str">
        <f t="shared" si="81"/>
        <v>Support</v>
      </c>
      <c r="S249">
        <f>survey_responses[[#This Row],[Tôi tin rằng với các quy định quản lý thuế hiện nay, hành vi gian lận hoặc trốn thuế sẽ dễ dàng bị phát hiện và xử lý nghiêm. - HUMAN-ENF1]]</f>
        <v>7</v>
      </c>
      <c r="T249" t="str">
        <f t="shared" si="82"/>
        <v>Neutral</v>
      </c>
      <c r="U249" s="32">
        <f t="shared" si="83"/>
        <v>1</v>
      </c>
      <c r="V249">
        <f>step3_validation[[#This Row],[AI_ENF2]]</f>
        <v>7</v>
      </c>
      <c r="W249" t="str">
        <f t="shared" si="84"/>
        <v>Neutral</v>
      </c>
      <c r="X249">
        <f>survey_responses[[#This Row],[Tôi tin rằng Nhà nước, cơ quan thuế có đủ khả năng và công nghệ để phát hiện, xử lý nghiêm các hành vi trốn thuế. - HUMAN-ENF2]]</f>
        <v>7</v>
      </c>
      <c r="Y249" t="str">
        <f t="shared" si="85"/>
        <v>Neutral</v>
      </c>
      <c r="Z249" s="32">
        <f t="shared" si="86"/>
        <v>0</v>
      </c>
      <c r="AA249">
        <f>step3_validation[[#This Row],[AI_FAC1]]</f>
        <v>6</v>
      </c>
      <c r="AB249" t="str">
        <f t="shared" si="87"/>
        <v>Neutral</v>
      </c>
      <c r="AC249">
        <f>survey_responses[[#This Row],[Các thủ tục khai báo thuế VÀ/HOẶC quy trình làm việc với cơ quan thuế đơn giản, tiện lợi, nhanh chóng hơn so với trước đây. - HUMAN-FAC1]]</f>
        <v>7</v>
      </c>
      <c r="AD249" t="str">
        <f t="shared" si="88"/>
        <v>Neutral</v>
      </c>
      <c r="AE249" s="32">
        <f t="shared" si="89"/>
        <v>1</v>
      </c>
      <c r="AF249">
        <f>step3_validation[[#This Row],[AI_FAC2]]</f>
        <v>7</v>
      </c>
      <c r="AG249" t="str">
        <f t="shared" si="90"/>
        <v>Neutral</v>
      </c>
      <c r="AH249">
        <f>survey_responses[[#This Row],[So với trước đây, tôi thấy cách tính thuế và các bậc thuế trong phương án mới đơn giản, dễ hiểu và dễ thực hiện hơn. - HUMAN-FAC2]]</f>
        <v>7</v>
      </c>
      <c r="AI249" t="str">
        <f t="shared" si="91"/>
        <v>Neutral</v>
      </c>
      <c r="AJ249" s="32">
        <f t="shared" si="92"/>
        <v>0</v>
      </c>
      <c r="AK249">
        <f>step3_validation[[#This Row],[AI_TRU1]]</f>
        <v>6</v>
      </c>
      <c r="AL249" t="str">
        <f t="shared" si="93"/>
        <v>Neutral</v>
      </c>
      <c r="AM249">
        <f>survey_responses[[#This Row],[Tôi tin rằng Nhà nước, cơ quan thuế sẽ thực thi chính sách mới một cách khách quan, công tâm và đối xử bình đẳng với mọi người nộp thuế.  - HUMAN-TRU1]]</f>
        <v>7</v>
      </c>
      <c r="AN249" t="str">
        <f t="shared" si="94"/>
        <v>Neutral</v>
      </c>
      <c r="AO249" s="32">
        <f t="shared" si="95"/>
        <v>1</v>
      </c>
      <c r="AP249">
        <f>step3_validation[[#This Row],[AI_TRU2]]</f>
        <v>5</v>
      </c>
      <c r="AQ249" t="str">
        <f t="shared" si="96"/>
        <v>Neutral</v>
      </c>
      <c r="AR249">
        <f>survey_responses[[#This Row],[Tôi thấy mức thuế tôi phải đóng theo phương án mới là công bằng (người thu nhập như tôi đóng mức này là hợp lý). - HUMAN-TRU2]]</f>
        <v>7</v>
      </c>
      <c r="AS249" t="str">
        <f t="shared" si="97"/>
        <v>Neutral</v>
      </c>
      <c r="AT249" s="32">
        <f t="shared" si="98"/>
        <v>2</v>
      </c>
      <c r="AU249">
        <f>step3_validation[[#This Row],[AI_TRU3]]</f>
        <v>7</v>
      </c>
      <c r="AV249" t="str">
        <f t="shared" si="99"/>
        <v>Neutral</v>
      </c>
      <c r="AW249">
        <f>survey_responses[[#This Row],[Tôi tin tưởng số tiền thuế tôi đóng sẽ được Nhà nước sử dụng hiệu quả để cải thiện dịch vụ công (y tế, đường xá...). - HUMAN-TRU3]]</f>
        <v>7</v>
      </c>
      <c r="AX249" t="str">
        <f t="shared" si="100"/>
        <v>Neutral</v>
      </c>
      <c r="AY249" s="32">
        <f t="shared" si="101"/>
        <v>0</v>
      </c>
      <c r="AZ249">
        <f>step3_validation[[#This Row],[AI_TRU4]]</f>
        <v>6</v>
      </c>
      <c r="BA249" t="str">
        <f t="shared" si="102"/>
        <v>Neutral</v>
      </c>
      <c r="BB249">
        <f>survey_responses[[#This Row],[Tôi thấy Nhà nước đã giải thích rõ ràng, minh bạch về lý do và mục tiêu của việc sửa đổi thuế lần này. - HUMAN-TRU4]]</f>
        <v>7</v>
      </c>
      <c r="BC249" t="str">
        <f t="shared" si="103"/>
        <v>Neutral</v>
      </c>
      <c r="BD249" s="32">
        <f t="shared" si="104"/>
        <v>1</v>
      </c>
      <c r="BE249">
        <f>step3_validation[[#This Row],[AI_OUT1]]</f>
        <v>7</v>
      </c>
      <c r="BF249" t="str">
        <f t="shared" si="105"/>
        <v>Neutral</v>
      </c>
      <c r="BG249">
        <f>survey_responses[[#This Row],[Sau khi xem xét các quyền lợi và nghĩa vụ, bạn có ủng hộ và tuân thủ chính sách mới hiện nay? - HUMAN-OUT1]]</f>
        <v>7</v>
      </c>
      <c r="BH249" t="str">
        <f t="shared" si="106"/>
        <v>Neutral</v>
      </c>
      <c r="BI249" s="32">
        <f t="shared" si="107"/>
        <v>0</v>
      </c>
    </row>
    <row r="250" spans="1:61" x14ac:dyDescent="0.45">
      <c r="A250" s="30">
        <f>step3_validation[[#This Row],[Persona_ID]]</f>
        <v>249</v>
      </c>
      <c r="B250" s="31">
        <f>step3_validation[[#This Row],[Used_Seed]]</f>
        <v>2239</v>
      </c>
      <c r="C250" t="str">
        <f>step3_validation[[#This Row],[Gender]]</f>
        <v>Nam</v>
      </c>
      <c r="D250" t="str">
        <f>survey_responses[[#This Row],[Giới tính của bạn:]]</f>
        <v>Nam</v>
      </c>
      <c r="E250" t="str">
        <f>step3_validation[[#This Row],[Age_Group]]</f>
        <v>55 - 64</v>
      </c>
      <c r="F250" t="str">
        <f>survey_responses[[#This Row],[Độ tuổi của bạn:]]</f>
        <v>55 - 64</v>
      </c>
      <c r="G250" t="str">
        <f>step3_validation[[#This Row],[Region]]</f>
        <v>Thành thị</v>
      </c>
      <c r="H250" t="str">
        <f>survey_responses[[#This Row],[Khu vực bạn đang sinh sống:]]</f>
        <v>Thành thị</v>
      </c>
      <c r="I250" t="str">
        <f>step3_validation[[#This Row],[Education]]</f>
        <v>Sau Đại học</v>
      </c>
      <c r="J250" t="str">
        <f>survey_responses[[#This Row],[Trình độ học vấn cao nhất:]]</f>
        <v>Sau Đại học</v>
      </c>
      <c r="K250" t="str">
        <f>step3_validation[[#This Row],[Employment]]</f>
        <v>Chính thức</v>
      </c>
      <c r="L250" t="str">
        <f>survey_responses[[#This Row],[Tình trạng việc làm chính:]]</f>
        <v>Khu vực chính thức (Có Hợp đồng lao động, đóng BHXH)</v>
      </c>
      <c r="M250">
        <f>step3_validation[[#This Row],[Income_Mil]]</f>
        <v>91.208481489169714</v>
      </c>
      <c r="N250" t="str">
        <f>survey_responses[[#This Row],[Thu nhập bình quân tháng theo Hợp đồng lao động của bạn là bao nhiêu? (Vui lòng điền tổng thu nhập trước khi khấu trừ các loại Bảo hiểm (BHXH, BHYT, BHTN) và Thuế TNCN)]]</f>
        <v>Từ 70 - 102 triệu VNĐ</v>
      </c>
      <c r="O250">
        <f>step3_validation[[#This Row],[Dependents]]</f>
        <v>3</v>
      </c>
      <c r="P250" t="str">
        <f>survey_responses[[#This Row],[Số người phụ thuộc (con nhỏ, cha mẹ già...) đủ điều kiện giảm trừ gia cảnh:]]</f>
        <v>3 người</v>
      </c>
      <c r="Q250">
        <f>step3_validation[[#This Row],[AI_ENF1]]</f>
        <v>7</v>
      </c>
      <c r="R250" t="str">
        <f t="shared" si="81"/>
        <v>Neutral</v>
      </c>
      <c r="S250">
        <f>survey_responses[[#This Row],[Tôi tin rằng với các quy định quản lý thuế hiện nay, hành vi gian lận hoặc trốn thuế sẽ dễ dàng bị phát hiện và xử lý nghiêm. - HUMAN-ENF1]]</f>
        <v>9</v>
      </c>
      <c r="T250" t="str">
        <f t="shared" si="82"/>
        <v>Support</v>
      </c>
      <c r="U250" s="32">
        <f t="shared" si="83"/>
        <v>2</v>
      </c>
      <c r="V250">
        <f>step3_validation[[#This Row],[AI_ENF2]]</f>
        <v>7</v>
      </c>
      <c r="W250" t="str">
        <f t="shared" si="84"/>
        <v>Neutral</v>
      </c>
      <c r="X250">
        <f>survey_responses[[#This Row],[Tôi tin rằng Nhà nước, cơ quan thuế có đủ khả năng và công nghệ để phát hiện, xử lý nghiêm các hành vi trốn thuế. - HUMAN-ENF2]]</f>
        <v>9</v>
      </c>
      <c r="Y250" t="str">
        <f t="shared" si="85"/>
        <v>Support</v>
      </c>
      <c r="Z250" s="32">
        <f t="shared" si="86"/>
        <v>2</v>
      </c>
      <c r="AA250">
        <f>step3_validation[[#This Row],[AI_FAC1]]</f>
        <v>8</v>
      </c>
      <c r="AB250" t="str">
        <f t="shared" si="87"/>
        <v>Support</v>
      </c>
      <c r="AC250">
        <f>survey_responses[[#This Row],[Các thủ tục khai báo thuế VÀ/HOẶC quy trình làm việc với cơ quan thuế đơn giản, tiện lợi, nhanh chóng hơn so với trước đây. - HUMAN-FAC1]]</f>
        <v>9</v>
      </c>
      <c r="AD250" t="str">
        <f t="shared" si="88"/>
        <v>Support</v>
      </c>
      <c r="AE250" s="32">
        <f t="shared" si="89"/>
        <v>1</v>
      </c>
      <c r="AF250">
        <f>step3_validation[[#This Row],[AI_FAC2]]</f>
        <v>6</v>
      </c>
      <c r="AG250" t="str">
        <f t="shared" si="90"/>
        <v>Neutral</v>
      </c>
      <c r="AH250">
        <f>survey_responses[[#This Row],[So với trước đây, tôi thấy cách tính thuế và các bậc thuế trong phương án mới đơn giản, dễ hiểu và dễ thực hiện hơn. - HUMAN-FAC2]]</f>
        <v>9</v>
      </c>
      <c r="AI250" t="str">
        <f t="shared" si="91"/>
        <v>Support</v>
      </c>
      <c r="AJ250" s="32">
        <f t="shared" si="92"/>
        <v>3</v>
      </c>
      <c r="AK250">
        <f>step3_validation[[#This Row],[AI_TRU1]]</f>
        <v>8</v>
      </c>
      <c r="AL250" t="str">
        <f t="shared" si="93"/>
        <v>Support</v>
      </c>
      <c r="AM250">
        <f>survey_responses[[#This Row],[Tôi tin rằng Nhà nước, cơ quan thuế sẽ thực thi chính sách mới một cách khách quan, công tâm và đối xử bình đẳng với mọi người nộp thuế.  - HUMAN-TRU1]]</f>
        <v>9</v>
      </c>
      <c r="AN250" t="str">
        <f t="shared" si="94"/>
        <v>Support</v>
      </c>
      <c r="AO250" s="32">
        <f t="shared" si="95"/>
        <v>1</v>
      </c>
      <c r="AP250">
        <f>step3_validation[[#This Row],[AI_TRU2]]</f>
        <v>7</v>
      </c>
      <c r="AQ250" t="str">
        <f t="shared" si="96"/>
        <v>Neutral</v>
      </c>
      <c r="AR250">
        <f>survey_responses[[#This Row],[Tôi thấy mức thuế tôi phải đóng theo phương án mới là công bằng (người thu nhập như tôi đóng mức này là hợp lý). - HUMAN-TRU2]]</f>
        <v>9</v>
      </c>
      <c r="AS250" t="str">
        <f t="shared" si="97"/>
        <v>Support</v>
      </c>
      <c r="AT250" s="32">
        <f t="shared" si="98"/>
        <v>2</v>
      </c>
      <c r="AU250">
        <f>step3_validation[[#This Row],[AI_TRU3]]</f>
        <v>6</v>
      </c>
      <c r="AV250" t="str">
        <f t="shared" si="99"/>
        <v>Neutral</v>
      </c>
      <c r="AW250">
        <f>survey_responses[[#This Row],[Tôi tin tưởng số tiền thuế tôi đóng sẽ được Nhà nước sử dụng hiệu quả để cải thiện dịch vụ công (y tế, đường xá...). - HUMAN-TRU3]]</f>
        <v>9</v>
      </c>
      <c r="AX250" t="str">
        <f t="shared" si="100"/>
        <v>Support</v>
      </c>
      <c r="AY250" s="32">
        <f t="shared" si="101"/>
        <v>3</v>
      </c>
      <c r="AZ250">
        <f>step3_validation[[#This Row],[AI_TRU4]]</f>
        <v>5</v>
      </c>
      <c r="BA250" t="str">
        <f t="shared" si="102"/>
        <v>Neutral</v>
      </c>
      <c r="BB250">
        <f>survey_responses[[#This Row],[Tôi thấy Nhà nước đã giải thích rõ ràng, minh bạch về lý do và mục tiêu của việc sửa đổi thuế lần này. - HUMAN-TRU4]]</f>
        <v>9</v>
      </c>
      <c r="BC250" t="str">
        <f t="shared" si="103"/>
        <v>Support</v>
      </c>
      <c r="BD250" s="32">
        <f t="shared" si="104"/>
        <v>4</v>
      </c>
      <c r="BE250">
        <f>step3_validation[[#This Row],[AI_OUT1]]</f>
        <v>7</v>
      </c>
      <c r="BF250" t="str">
        <f t="shared" si="105"/>
        <v>Neutral</v>
      </c>
      <c r="BG250">
        <f>survey_responses[[#This Row],[Sau khi xem xét các quyền lợi và nghĩa vụ, bạn có ủng hộ và tuân thủ chính sách mới hiện nay? - HUMAN-OUT1]]</f>
        <v>9</v>
      </c>
      <c r="BH250" t="str">
        <f t="shared" si="106"/>
        <v>Support</v>
      </c>
      <c r="BI250" s="32">
        <f t="shared" si="107"/>
        <v>2</v>
      </c>
    </row>
    <row r="251" spans="1:61" x14ac:dyDescent="0.45">
      <c r="A251" s="30">
        <f>step3_validation[[#This Row],[Persona_ID]]</f>
        <v>250</v>
      </c>
      <c r="B251" s="31">
        <f>step3_validation[[#This Row],[Used_Seed]]</f>
        <v>2240</v>
      </c>
      <c r="C251" t="str">
        <f>step3_validation[[#This Row],[Gender]]</f>
        <v>Nữ</v>
      </c>
      <c r="D251" t="str">
        <f>survey_responses[[#This Row],[Giới tính của bạn:]]</f>
        <v>Nữ</v>
      </c>
      <c r="E251" t="str">
        <f>step3_validation[[#This Row],[Age_Group]]</f>
        <v>30 - 39</v>
      </c>
      <c r="F251" t="str">
        <f>survey_responses[[#This Row],[Độ tuổi của bạn:]]</f>
        <v>30 - 39</v>
      </c>
      <c r="G251" t="str">
        <f>step3_validation[[#This Row],[Region]]</f>
        <v>Thành thị</v>
      </c>
      <c r="H251" t="str">
        <f>survey_responses[[#This Row],[Khu vực bạn đang sinh sống:]]</f>
        <v>Thành thị</v>
      </c>
      <c r="I251" t="str">
        <f>step3_validation[[#This Row],[Education]]</f>
        <v>Đại học</v>
      </c>
      <c r="J251" t="str">
        <f>survey_responses[[#This Row],[Trình độ học vấn cao nhất:]]</f>
        <v>Đại học</v>
      </c>
      <c r="K251" t="str">
        <f>step3_validation[[#This Row],[Employment]]</f>
        <v>Chính thức</v>
      </c>
      <c r="L251" t="str">
        <f>survey_responses[[#This Row],[Tình trạng việc làm chính:]]</f>
        <v>Khu vực chính thức (Có Hợp đồng lao động, đóng BHXH)</v>
      </c>
      <c r="M251">
        <f>step3_validation[[#This Row],[Income_Mil]]</f>
        <v>64.573837101658071</v>
      </c>
      <c r="N251" t="str">
        <f>survey_responses[[#This Row],[Thu nhập bình quân tháng theo Hợp đồng lao động của bạn là bao nhiêu? (Vui lòng điền tổng thu nhập trước khi khấu trừ các loại Bảo hiểm (BHXH, BHYT, BHTN) và Thuế TNCN)]]</f>
        <v>Từ 48 - 70 triệu VNĐ</v>
      </c>
      <c r="O251">
        <f>step3_validation[[#This Row],[Dependents]]</f>
        <v>3</v>
      </c>
      <c r="P251" t="str">
        <f>survey_responses[[#This Row],[Số người phụ thuộc (con nhỏ, cha mẹ già...) đủ điều kiện giảm trừ gia cảnh:]]</f>
        <v>3 người</v>
      </c>
      <c r="Q251">
        <f>step3_validation[[#This Row],[AI_ENF1]]</f>
        <v>8</v>
      </c>
      <c r="R251" t="str">
        <f t="shared" si="81"/>
        <v>Support</v>
      </c>
      <c r="S251">
        <f>survey_responses[[#This Row],[Tôi tin rằng với các quy định quản lý thuế hiện nay, hành vi gian lận hoặc trốn thuế sẽ dễ dàng bị phát hiện và xử lý nghiêm. - HUMAN-ENF1]]</f>
        <v>7</v>
      </c>
      <c r="T251" t="str">
        <f t="shared" si="82"/>
        <v>Neutral</v>
      </c>
      <c r="U251" s="32">
        <f t="shared" si="83"/>
        <v>1</v>
      </c>
      <c r="V251">
        <f>step3_validation[[#This Row],[AI_ENF2]]</f>
        <v>7</v>
      </c>
      <c r="W251" t="str">
        <f t="shared" si="84"/>
        <v>Neutral</v>
      </c>
      <c r="X251">
        <f>survey_responses[[#This Row],[Tôi tin rằng Nhà nước, cơ quan thuế có đủ khả năng và công nghệ để phát hiện, xử lý nghiêm các hành vi trốn thuế. - HUMAN-ENF2]]</f>
        <v>6</v>
      </c>
      <c r="Y251" t="str">
        <f t="shared" si="85"/>
        <v>Neutral</v>
      </c>
      <c r="Z251" s="32">
        <f t="shared" si="86"/>
        <v>1</v>
      </c>
      <c r="AA251">
        <f>step3_validation[[#This Row],[AI_FAC1]]</f>
        <v>9</v>
      </c>
      <c r="AB251" t="str">
        <f t="shared" si="87"/>
        <v>Support</v>
      </c>
      <c r="AC251">
        <f>survey_responses[[#This Row],[Các thủ tục khai báo thuế VÀ/HOẶC quy trình làm việc với cơ quan thuế đơn giản, tiện lợi, nhanh chóng hơn so với trước đây. - HUMAN-FAC1]]</f>
        <v>5</v>
      </c>
      <c r="AD251" t="str">
        <f t="shared" si="88"/>
        <v>Neutral</v>
      </c>
      <c r="AE251" s="32">
        <f t="shared" si="89"/>
        <v>4</v>
      </c>
      <c r="AF251">
        <f>step3_validation[[#This Row],[AI_FAC2]]</f>
        <v>8</v>
      </c>
      <c r="AG251" t="str">
        <f t="shared" si="90"/>
        <v>Support</v>
      </c>
      <c r="AH251">
        <f>survey_responses[[#This Row],[So với trước đây, tôi thấy cách tính thuế và các bậc thuế trong phương án mới đơn giản, dễ hiểu và dễ thực hiện hơn. - HUMAN-FAC2]]</f>
        <v>6</v>
      </c>
      <c r="AI251" t="str">
        <f t="shared" si="91"/>
        <v>Neutral</v>
      </c>
      <c r="AJ251" s="32">
        <f t="shared" si="92"/>
        <v>2</v>
      </c>
      <c r="AK251">
        <f>step3_validation[[#This Row],[AI_TRU1]]</f>
        <v>7</v>
      </c>
      <c r="AL251" t="str">
        <f t="shared" si="93"/>
        <v>Neutral</v>
      </c>
      <c r="AM251">
        <f>survey_responses[[#This Row],[Tôi tin rằng Nhà nước, cơ quan thuế sẽ thực thi chính sách mới một cách khách quan, công tâm và đối xử bình đẳng với mọi người nộp thuế.  - HUMAN-TRU1]]</f>
        <v>6</v>
      </c>
      <c r="AN251" t="str">
        <f t="shared" si="94"/>
        <v>Neutral</v>
      </c>
      <c r="AO251" s="32">
        <f t="shared" si="95"/>
        <v>1</v>
      </c>
      <c r="AP251">
        <f>step3_validation[[#This Row],[AI_TRU2]]</f>
        <v>6</v>
      </c>
      <c r="AQ251" t="str">
        <f t="shared" si="96"/>
        <v>Neutral</v>
      </c>
      <c r="AR251">
        <f>survey_responses[[#This Row],[Tôi thấy mức thuế tôi phải đóng theo phương án mới là công bằng (người thu nhập như tôi đóng mức này là hợp lý). - HUMAN-TRU2]]</f>
        <v>6</v>
      </c>
      <c r="AS251" t="str">
        <f t="shared" si="97"/>
        <v>Neutral</v>
      </c>
      <c r="AT251" s="32">
        <f t="shared" si="98"/>
        <v>0</v>
      </c>
      <c r="AU251">
        <f>step3_validation[[#This Row],[AI_TRU3]]</f>
        <v>7</v>
      </c>
      <c r="AV251" t="str">
        <f t="shared" si="99"/>
        <v>Neutral</v>
      </c>
      <c r="AW251">
        <f>survey_responses[[#This Row],[Tôi tin tưởng số tiền thuế tôi đóng sẽ được Nhà nước sử dụng hiệu quả để cải thiện dịch vụ công (y tế, đường xá...). - HUMAN-TRU3]]</f>
        <v>6</v>
      </c>
      <c r="AX251" t="str">
        <f t="shared" si="100"/>
        <v>Neutral</v>
      </c>
      <c r="AY251" s="32">
        <f t="shared" si="101"/>
        <v>1</v>
      </c>
      <c r="AZ251">
        <f>step3_validation[[#This Row],[AI_TRU4]]</f>
        <v>5</v>
      </c>
      <c r="BA251" t="str">
        <f t="shared" si="102"/>
        <v>Neutral</v>
      </c>
      <c r="BB251">
        <f>survey_responses[[#This Row],[Tôi thấy Nhà nước đã giải thích rõ ràng, minh bạch về lý do và mục tiêu của việc sửa đổi thuế lần này. - HUMAN-TRU4]]</f>
        <v>6</v>
      </c>
      <c r="BC251" t="str">
        <f t="shared" si="103"/>
        <v>Neutral</v>
      </c>
      <c r="BD251" s="32">
        <f t="shared" si="104"/>
        <v>1</v>
      </c>
      <c r="BE251">
        <f>step3_validation[[#This Row],[AI_OUT1]]</f>
        <v>8</v>
      </c>
      <c r="BF251" t="str">
        <f t="shared" si="105"/>
        <v>Support</v>
      </c>
      <c r="BG251">
        <f>survey_responses[[#This Row],[Sau khi xem xét các quyền lợi và nghĩa vụ, bạn có ủng hộ và tuân thủ chính sách mới hiện nay? - HUMAN-OUT1]]</f>
        <v>7</v>
      </c>
      <c r="BH251" t="str">
        <f t="shared" si="106"/>
        <v>Neutral</v>
      </c>
      <c r="BI251" s="32">
        <f t="shared" si="107"/>
        <v>1</v>
      </c>
    </row>
    <row r="252" spans="1:61" x14ac:dyDescent="0.45">
      <c r="A252" s="30">
        <f>step3_validation[[#This Row],[Persona_ID]]</f>
        <v>251</v>
      </c>
      <c r="B252" s="31">
        <f>step3_validation[[#This Row],[Used_Seed]]</f>
        <v>2241</v>
      </c>
      <c r="C252" t="str">
        <f>step3_validation[[#This Row],[Gender]]</f>
        <v>Nữ</v>
      </c>
      <c r="D252" t="str">
        <f>survey_responses[[#This Row],[Giới tính của bạn:]]</f>
        <v>Nữ</v>
      </c>
      <c r="E252" t="str">
        <f>step3_validation[[#This Row],[Age_Group]]</f>
        <v>30 - 39</v>
      </c>
      <c r="F252" t="str">
        <f>survey_responses[[#This Row],[Độ tuổi của bạn:]]</f>
        <v>30 - 39</v>
      </c>
      <c r="G252" t="str">
        <f>step3_validation[[#This Row],[Region]]</f>
        <v>Thành thị</v>
      </c>
      <c r="H252" t="str">
        <f>survey_responses[[#This Row],[Khu vực bạn đang sinh sống:]]</f>
        <v>Thành thị</v>
      </c>
      <c r="I252" t="str">
        <f>step3_validation[[#This Row],[Education]]</f>
        <v>Đại học</v>
      </c>
      <c r="J252" t="str">
        <f>survey_responses[[#This Row],[Trình độ học vấn cao nhất:]]</f>
        <v>Đại học</v>
      </c>
      <c r="K252" t="str">
        <f>step3_validation[[#This Row],[Employment]]</f>
        <v>Chính thức</v>
      </c>
      <c r="L252" t="str">
        <f>survey_responses[[#This Row],[Tình trạng việc làm chính:]]</f>
        <v>Khu vực chính thức (Có Hợp đồng lao động, đóng BHXH)</v>
      </c>
      <c r="M252">
        <f>step3_validation[[#This Row],[Income_Mil]]</f>
        <v>46.732707487689403</v>
      </c>
      <c r="N252" t="str">
        <f>survey_responses[[#This Row],[Thu nhập bình quân tháng theo Hợp đồng lao động của bạn là bao nhiêu? (Vui lòng điền tổng thu nhập trước khi khấu trừ các loại Bảo hiểm (BHXH, BHYT, BHTN) và Thuế TNCN)]]</f>
        <v>Từ 32 - 48 triệu VNĐ</v>
      </c>
      <c r="O252">
        <f>step3_validation[[#This Row],[Dependents]]</f>
        <v>4</v>
      </c>
      <c r="P252" t="str">
        <f>survey_responses[[#This Row],[Số người phụ thuộc (con nhỏ, cha mẹ già...) đủ điều kiện giảm trừ gia cảnh:]]</f>
        <v>4 người trở lên</v>
      </c>
      <c r="Q252">
        <f>step3_validation[[#This Row],[AI_ENF1]]</f>
        <v>7</v>
      </c>
      <c r="R252" t="str">
        <f t="shared" si="81"/>
        <v>Neutral</v>
      </c>
      <c r="S252">
        <f>survey_responses[[#This Row],[Tôi tin rằng với các quy định quản lý thuế hiện nay, hành vi gian lận hoặc trốn thuế sẽ dễ dàng bị phát hiện và xử lý nghiêm. - HUMAN-ENF1]]</f>
        <v>8</v>
      </c>
      <c r="T252" t="str">
        <f t="shared" si="82"/>
        <v>Support</v>
      </c>
      <c r="U252" s="32">
        <f t="shared" si="83"/>
        <v>1</v>
      </c>
      <c r="V252">
        <f>step3_validation[[#This Row],[AI_ENF2]]</f>
        <v>6</v>
      </c>
      <c r="W252" t="str">
        <f t="shared" si="84"/>
        <v>Neutral</v>
      </c>
      <c r="X252">
        <f>survey_responses[[#This Row],[Tôi tin rằng Nhà nước, cơ quan thuế có đủ khả năng và công nghệ để phát hiện, xử lý nghiêm các hành vi trốn thuế. - HUMAN-ENF2]]</f>
        <v>8</v>
      </c>
      <c r="Y252" t="str">
        <f t="shared" si="85"/>
        <v>Support</v>
      </c>
      <c r="Z252" s="32">
        <f t="shared" si="86"/>
        <v>2</v>
      </c>
      <c r="AA252">
        <f>step3_validation[[#This Row],[AI_FAC1]]</f>
        <v>8</v>
      </c>
      <c r="AB252" t="str">
        <f t="shared" si="87"/>
        <v>Support</v>
      </c>
      <c r="AC252">
        <f>survey_responses[[#This Row],[Các thủ tục khai báo thuế VÀ/HOẶC quy trình làm việc với cơ quan thuế đơn giản, tiện lợi, nhanh chóng hơn so với trước đây. - HUMAN-FAC1]]</f>
        <v>8</v>
      </c>
      <c r="AD252" t="str">
        <f t="shared" si="88"/>
        <v>Support</v>
      </c>
      <c r="AE252" s="32">
        <f t="shared" si="89"/>
        <v>0</v>
      </c>
      <c r="AF252">
        <f>step3_validation[[#This Row],[AI_FAC2]]</f>
        <v>7</v>
      </c>
      <c r="AG252" t="str">
        <f t="shared" si="90"/>
        <v>Neutral</v>
      </c>
      <c r="AH252">
        <f>survey_responses[[#This Row],[So với trước đây, tôi thấy cách tính thuế và các bậc thuế trong phương án mới đơn giản, dễ hiểu và dễ thực hiện hơn. - HUMAN-FAC2]]</f>
        <v>9</v>
      </c>
      <c r="AI252" t="str">
        <f t="shared" si="91"/>
        <v>Support</v>
      </c>
      <c r="AJ252" s="32">
        <f t="shared" si="92"/>
        <v>2</v>
      </c>
      <c r="AK252">
        <f>step3_validation[[#This Row],[AI_TRU1]]</f>
        <v>7</v>
      </c>
      <c r="AL252" t="str">
        <f t="shared" si="93"/>
        <v>Neutral</v>
      </c>
      <c r="AM252">
        <f>survey_responses[[#This Row],[Tôi tin rằng Nhà nước, cơ quan thuế sẽ thực thi chính sách mới một cách khách quan, công tâm và đối xử bình đẳng với mọi người nộp thuế.  - HUMAN-TRU1]]</f>
        <v>8</v>
      </c>
      <c r="AN252" t="str">
        <f t="shared" si="94"/>
        <v>Support</v>
      </c>
      <c r="AO252" s="32">
        <f t="shared" si="95"/>
        <v>1</v>
      </c>
      <c r="AP252">
        <f>step3_validation[[#This Row],[AI_TRU2]]</f>
        <v>5</v>
      </c>
      <c r="AQ252" t="str">
        <f t="shared" si="96"/>
        <v>Neutral</v>
      </c>
      <c r="AR252">
        <f>survey_responses[[#This Row],[Tôi thấy mức thuế tôi phải đóng theo phương án mới là công bằng (người thu nhập như tôi đóng mức này là hợp lý). - HUMAN-TRU2]]</f>
        <v>10</v>
      </c>
      <c r="AS252" t="str">
        <f t="shared" si="97"/>
        <v>Support</v>
      </c>
      <c r="AT252" s="32">
        <f t="shared" si="98"/>
        <v>5</v>
      </c>
      <c r="AU252">
        <f>step3_validation[[#This Row],[AI_TRU3]]</f>
        <v>6</v>
      </c>
      <c r="AV252" t="str">
        <f t="shared" si="99"/>
        <v>Neutral</v>
      </c>
      <c r="AW252">
        <f>survey_responses[[#This Row],[Tôi tin tưởng số tiền thuế tôi đóng sẽ được Nhà nước sử dụng hiệu quả để cải thiện dịch vụ công (y tế, đường xá...). - HUMAN-TRU3]]</f>
        <v>7</v>
      </c>
      <c r="AX252" t="str">
        <f t="shared" si="100"/>
        <v>Neutral</v>
      </c>
      <c r="AY252" s="32">
        <f t="shared" si="101"/>
        <v>1</v>
      </c>
      <c r="AZ252">
        <f>step3_validation[[#This Row],[AI_TRU4]]</f>
        <v>5</v>
      </c>
      <c r="BA252" t="str">
        <f t="shared" si="102"/>
        <v>Neutral</v>
      </c>
      <c r="BB252">
        <f>survey_responses[[#This Row],[Tôi thấy Nhà nước đã giải thích rõ ràng, minh bạch về lý do và mục tiêu của việc sửa đổi thuế lần này. - HUMAN-TRU4]]</f>
        <v>7</v>
      </c>
      <c r="BC252" t="str">
        <f t="shared" si="103"/>
        <v>Neutral</v>
      </c>
      <c r="BD252" s="32">
        <f t="shared" si="104"/>
        <v>2</v>
      </c>
      <c r="BE252">
        <f>step3_validation[[#This Row],[AI_OUT1]]</f>
        <v>6</v>
      </c>
      <c r="BF252" t="str">
        <f t="shared" si="105"/>
        <v>Neutral</v>
      </c>
      <c r="BG252">
        <f>survey_responses[[#This Row],[Sau khi xem xét các quyền lợi và nghĩa vụ, bạn có ủng hộ và tuân thủ chính sách mới hiện nay? - HUMAN-OUT1]]</f>
        <v>10</v>
      </c>
      <c r="BH252" t="str">
        <f t="shared" si="106"/>
        <v>Support</v>
      </c>
      <c r="BI252" s="32">
        <f t="shared" si="107"/>
        <v>4</v>
      </c>
    </row>
    <row r="253" spans="1:61" x14ac:dyDescent="0.45">
      <c r="A253" s="30">
        <f>step3_validation[[#This Row],[Persona_ID]]</f>
        <v>252</v>
      </c>
      <c r="B253" s="31">
        <f>step3_validation[[#This Row],[Used_Seed]]</f>
        <v>2242</v>
      </c>
      <c r="C253" t="str">
        <f>step3_validation[[#This Row],[Gender]]</f>
        <v>Nữ</v>
      </c>
      <c r="D253" t="str">
        <f>survey_responses[[#This Row],[Giới tính của bạn:]]</f>
        <v>Nữ</v>
      </c>
      <c r="E253" t="str">
        <f>step3_validation[[#This Row],[Age_Group]]</f>
        <v>50 - 54</v>
      </c>
      <c r="F253" t="str">
        <f>survey_responses[[#This Row],[Độ tuổi của bạn:]]</f>
        <v>50 - 54</v>
      </c>
      <c r="G253" t="str">
        <f>step3_validation[[#This Row],[Region]]</f>
        <v>Thành thị</v>
      </c>
      <c r="H253" t="str">
        <f>survey_responses[[#This Row],[Khu vực bạn đang sinh sống:]]</f>
        <v>Thành thị</v>
      </c>
      <c r="I253" t="str">
        <f>step3_validation[[#This Row],[Education]]</f>
        <v>Đại học</v>
      </c>
      <c r="J253" t="str">
        <f>survey_responses[[#This Row],[Trình độ học vấn cao nhất:]]</f>
        <v>Đại học</v>
      </c>
      <c r="K253" t="str">
        <f>step3_validation[[#This Row],[Employment]]</f>
        <v>Chính thức</v>
      </c>
      <c r="L253" t="str">
        <f>survey_responses[[#This Row],[Tình trạng việc làm chính:]]</f>
        <v>Khu vực chính thức (Có Hợp đồng lao động, đóng BHXH)</v>
      </c>
      <c r="M253">
        <f>step3_validation[[#This Row],[Income_Mil]]</f>
        <v>65.532943390828976</v>
      </c>
      <c r="N253" t="str">
        <f>survey_responses[[#This Row],[Thu nhập bình quân tháng theo Hợp đồng lao động của bạn là bao nhiêu? (Vui lòng điền tổng thu nhập trước khi khấu trừ các loại Bảo hiểm (BHXH, BHYT, BHTN) và Thuế TNCN)]]</f>
        <v>Từ 48 - 70 triệu VNĐ</v>
      </c>
      <c r="O253">
        <f>step3_validation[[#This Row],[Dependents]]</f>
        <v>3</v>
      </c>
      <c r="P253" t="str">
        <f>survey_responses[[#This Row],[Số người phụ thuộc (con nhỏ, cha mẹ già...) đủ điều kiện giảm trừ gia cảnh:]]</f>
        <v>3 người</v>
      </c>
      <c r="Q253">
        <f>step3_validation[[#This Row],[AI_ENF1]]</f>
        <v>7</v>
      </c>
      <c r="R253" t="str">
        <f t="shared" si="81"/>
        <v>Neutral</v>
      </c>
      <c r="S253">
        <f>survey_responses[[#This Row],[Tôi tin rằng với các quy định quản lý thuế hiện nay, hành vi gian lận hoặc trốn thuế sẽ dễ dàng bị phát hiện và xử lý nghiêm. - HUMAN-ENF1]]</f>
        <v>6</v>
      </c>
      <c r="T253" t="str">
        <f t="shared" si="82"/>
        <v>Neutral</v>
      </c>
      <c r="U253" s="32">
        <f t="shared" si="83"/>
        <v>1</v>
      </c>
      <c r="V253">
        <f>step3_validation[[#This Row],[AI_ENF2]]</f>
        <v>8</v>
      </c>
      <c r="W253" t="str">
        <f t="shared" si="84"/>
        <v>Support</v>
      </c>
      <c r="X253">
        <f>survey_responses[[#This Row],[Tôi tin rằng Nhà nước, cơ quan thuế có đủ khả năng và công nghệ để phát hiện, xử lý nghiêm các hành vi trốn thuế. - HUMAN-ENF2]]</f>
        <v>6</v>
      </c>
      <c r="Y253" t="str">
        <f t="shared" si="85"/>
        <v>Neutral</v>
      </c>
      <c r="Z253" s="32">
        <f t="shared" si="86"/>
        <v>2</v>
      </c>
      <c r="AA253">
        <f>step3_validation[[#This Row],[AI_FAC1]]</f>
        <v>7</v>
      </c>
      <c r="AB253" t="str">
        <f t="shared" si="87"/>
        <v>Neutral</v>
      </c>
      <c r="AC253">
        <f>survey_responses[[#This Row],[Các thủ tục khai báo thuế VÀ/HOẶC quy trình làm việc với cơ quan thuế đơn giản, tiện lợi, nhanh chóng hơn so với trước đây. - HUMAN-FAC1]]</f>
        <v>1</v>
      </c>
      <c r="AD253" t="str">
        <f t="shared" si="88"/>
        <v>Oppose</v>
      </c>
      <c r="AE253" s="32">
        <f t="shared" si="89"/>
        <v>6</v>
      </c>
      <c r="AF253">
        <f>step3_validation[[#This Row],[AI_FAC2]]</f>
        <v>6</v>
      </c>
      <c r="AG253" t="str">
        <f t="shared" si="90"/>
        <v>Neutral</v>
      </c>
      <c r="AH253">
        <f>survey_responses[[#This Row],[So với trước đây, tôi thấy cách tính thuế và các bậc thuế trong phương án mới đơn giản, dễ hiểu và dễ thực hiện hơn. - HUMAN-FAC2]]</f>
        <v>6</v>
      </c>
      <c r="AI253" t="str">
        <f t="shared" si="91"/>
        <v>Neutral</v>
      </c>
      <c r="AJ253" s="32">
        <f t="shared" si="92"/>
        <v>0</v>
      </c>
      <c r="AK253">
        <f>step3_validation[[#This Row],[AI_TRU1]]</f>
        <v>5</v>
      </c>
      <c r="AL253" t="str">
        <f t="shared" si="93"/>
        <v>Neutral</v>
      </c>
      <c r="AM253">
        <f>survey_responses[[#This Row],[Tôi tin rằng Nhà nước, cơ quan thuế sẽ thực thi chính sách mới một cách khách quan, công tâm và đối xử bình đẳng với mọi người nộp thuế.  - HUMAN-TRU1]]</f>
        <v>5</v>
      </c>
      <c r="AN253" t="str">
        <f t="shared" si="94"/>
        <v>Neutral</v>
      </c>
      <c r="AO253" s="32">
        <f t="shared" si="95"/>
        <v>0</v>
      </c>
      <c r="AP253">
        <f>step3_validation[[#This Row],[AI_TRU2]]</f>
        <v>8</v>
      </c>
      <c r="AQ253" t="str">
        <f t="shared" si="96"/>
        <v>Support</v>
      </c>
      <c r="AR253">
        <f>survey_responses[[#This Row],[Tôi thấy mức thuế tôi phải đóng theo phương án mới là công bằng (người thu nhập như tôi đóng mức này là hợp lý). - HUMAN-TRU2]]</f>
        <v>6</v>
      </c>
      <c r="AS253" t="str">
        <f t="shared" si="97"/>
        <v>Neutral</v>
      </c>
      <c r="AT253" s="32">
        <f t="shared" si="98"/>
        <v>2</v>
      </c>
      <c r="AU253">
        <f>step3_validation[[#This Row],[AI_TRU3]]</f>
        <v>6</v>
      </c>
      <c r="AV253" t="str">
        <f t="shared" si="99"/>
        <v>Neutral</v>
      </c>
      <c r="AW253">
        <f>survey_responses[[#This Row],[Tôi tin tưởng số tiền thuế tôi đóng sẽ được Nhà nước sử dụng hiệu quả để cải thiện dịch vụ công (y tế, đường xá...). - HUMAN-TRU3]]</f>
        <v>6</v>
      </c>
      <c r="AX253" t="str">
        <f t="shared" si="100"/>
        <v>Neutral</v>
      </c>
      <c r="AY253" s="32">
        <f t="shared" si="101"/>
        <v>0</v>
      </c>
      <c r="AZ253">
        <f>step3_validation[[#This Row],[AI_TRU4]]</f>
        <v>5</v>
      </c>
      <c r="BA253" t="str">
        <f t="shared" si="102"/>
        <v>Neutral</v>
      </c>
      <c r="BB253">
        <f>survey_responses[[#This Row],[Tôi thấy Nhà nước đã giải thích rõ ràng, minh bạch về lý do và mục tiêu của việc sửa đổi thuế lần này. - HUMAN-TRU4]]</f>
        <v>6</v>
      </c>
      <c r="BC253" t="str">
        <f t="shared" si="103"/>
        <v>Neutral</v>
      </c>
      <c r="BD253" s="32">
        <f t="shared" si="104"/>
        <v>1</v>
      </c>
      <c r="BE253">
        <f>step3_validation[[#This Row],[AI_OUT1]]</f>
        <v>6</v>
      </c>
      <c r="BF253" t="str">
        <f t="shared" si="105"/>
        <v>Neutral</v>
      </c>
      <c r="BG253">
        <f>survey_responses[[#This Row],[Sau khi xem xét các quyền lợi và nghĩa vụ, bạn có ủng hộ và tuân thủ chính sách mới hiện nay? - HUMAN-OUT1]]</f>
        <v>6</v>
      </c>
      <c r="BH253" t="str">
        <f t="shared" si="106"/>
        <v>Neutral</v>
      </c>
      <c r="BI253" s="32">
        <f t="shared" si="107"/>
        <v>0</v>
      </c>
    </row>
    <row r="254" spans="1:61" x14ac:dyDescent="0.45">
      <c r="A254" s="30">
        <f>step3_validation[[#This Row],[Persona_ID]]</f>
        <v>253</v>
      </c>
      <c r="B254" s="31">
        <f>step3_validation[[#This Row],[Used_Seed]]</f>
        <v>2243</v>
      </c>
      <c r="C254" t="str">
        <f>step3_validation[[#This Row],[Gender]]</f>
        <v>Nam</v>
      </c>
      <c r="D254" t="str">
        <f>survey_responses[[#This Row],[Giới tính của bạn:]]</f>
        <v>Nam</v>
      </c>
      <c r="E254" t="str">
        <f>step3_validation[[#This Row],[Age_Group]]</f>
        <v>40 - 49</v>
      </c>
      <c r="F254" t="str">
        <f>survey_responses[[#This Row],[Độ tuổi của bạn:]]</f>
        <v>40 - 49</v>
      </c>
      <c r="G254" t="str">
        <f>step3_validation[[#This Row],[Region]]</f>
        <v>Thành thị</v>
      </c>
      <c r="H254" t="str">
        <f>survey_responses[[#This Row],[Khu vực bạn đang sinh sống:]]</f>
        <v>Thành thị</v>
      </c>
      <c r="I254" t="str">
        <f>step3_validation[[#This Row],[Education]]</f>
        <v>Sau Đại học</v>
      </c>
      <c r="J254" t="str">
        <f>survey_responses[[#This Row],[Trình độ học vấn cao nhất:]]</f>
        <v>Sau Đại học</v>
      </c>
      <c r="K254" t="str">
        <f>step3_validation[[#This Row],[Employment]]</f>
        <v>Chính thức</v>
      </c>
      <c r="L254" t="str">
        <f>survey_responses[[#This Row],[Tình trạng việc làm chính:]]</f>
        <v>Khu vực chính thức (Có Hợp đồng lao động, đóng BHXH)</v>
      </c>
      <c r="M254">
        <f>step3_validation[[#This Row],[Income_Mil]]</f>
        <v>82.14951735135385</v>
      </c>
      <c r="N254" t="str">
        <f>survey_responses[[#This Row],[Thu nhập bình quân tháng theo Hợp đồng lao động của bạn là bao nhiêu? (Vui lòng điền tổng thu nhập trước khi khấu trừ các loại Bảo hiểm (BHXH, BHYT, BHTN) và Thuế TNCN)]]</f>
        <v>Từ 70 - 102 triệu VNĐ</v>
      </c>
      <c r="O254">
        <f>step3_validation[[#This Row],[Dependents]]</f>
        <v>4</v>
      </c>
      <c r="P254" t="str">
        <f>survey_responses[[#This Row],[Số người phụ thuộc (con nhỏ, cha mẹ già...) đủ điều kiện giảm trừ gia cảnh:]]</f>
        <v>4 người trở lên</v>
      </c>
      <c r="Q254">
        <f>step3_validation[[#This Row],[AI_ENF1]]</f>
        <v>6</v>
      </c>
      <c r="R254" t="str">
        <f t="shared" si="81"/>
        <v>Neutral</v>
      </c>
      <c r="S254">
        <f>survey_responses[[#This Row],[Tôi tin rằng với các quy định quản lý thuế hiện nay, hành vi gian lận hoặc trốn thuế sẽ dễ dàng bị phát hiện và xử lý nghiêm. - HUMAN-ENF1]]</f>
        <v>8</v>
      </c>
      <c r="T254" t="str">
        <f t="shared" si="82"/>
        <v>Support</v>
      </c>
      <c r="U254" s="32">
        <f t="shared" si="83"/>
        <v>2</v>
      </c>
      <c r="V254">
        <f>step3_validation[[#This Row],[AI_ENF2]]</f>
        <v>7</v>
      </c>
      <c r="W254" t="str">
        <f t="shared" si="84"/>
        <v>Neutral</v>
      </c>
      <c r="X254">
        <f>survey_responses[[#This Row],[Tôi tin rằng Nhà nước, cơ quan thuế có đủ khả năng và công nghệ để phát hiện, xử lý nghiêm các hành vi trốn thuế. - HUMAN-ENF2]]</f>
        <v>8</v>
      </c>
      <c r="Y254" t="str">
        <f t="shared" si="85"/>
        <v>Support</v>
      </c>
      <c r="Z254" s="32">
        <f t="shared" si="86"/>
        <v>1</v>
      </c>
      <c r="AA254">
        <f>step3_validation[[#This Row],[AI_FAC1]]</f>
        <v>8</v>
      </c>
      <c r="AB254" t="str">
        <f t="shared" si="87"/>
        <v>Support</v>
      </c>
      <c r="AC254">
        <f>survey_responses[[#This Row],[Các thủ tục khai báo thuế VÀ/HOẶC quy trình làm việc với cơ quan thuế đơn giản, tiện lợi, nhanh chóng hơn so với trước đây. - HUMAN-FAC1]]</f>
        <v>3</v>
      </c>
      <c r="AD254" t="str">
        <f t="shared" si="88"/>
        <v>Oppose</v>
      </c>
      <c r="AE254" s="32">
        <f t="shared" si="89"/>
        <v>5</v>
      </c>
      <c r="AF254">
        <f>step3_validation[[#This Row],[AI_FAC2]]</f>
        <v>7</v>
      </c>
      <c r="AG254" t="str">
        <f t="shared" si="90"/>
        <v>Neutral</v>
      </c>
      <c r="AH254">
        <f>survey_responses[[#This Row],[So với trước đây, tôi thấy cách tính thuế và các bậc thuế trong phương án mới đơn giản, dễ hiểu và dễ thực hiện hơn. - HUMAN-FAC2]]</f>
        <v>9</v>
      </c>
      <c r="AI254" t="str">
        <f t="shared" si="91"/>
        <v>Support</v>
      </c>
      <c r="AJ254" s="32">
        <f t="shared" si="92"/>
        <v>2</v>
      </c>
      <c r="AK254">
        <f>step3_validation[[#This Row],[AI_TRU1]]</f>
        <v>5</v>
      </c>
      <c r="AL254" t="str">
        <f t="shared" si="93"/>
        <v>Neutral</v>
      </c>
      <c r="AM254">
        <f>survey_responses[[#This Row],[Tôi tin rằng Nhà nước, cơ quan thuế sẽ thực thi chính sách mới một cách khách quan, công tâm và đối xử bình đẳng với mọi người nộp thuế.  - HUMAN-TRU1]]</f>
        <v>8</v>
      </c>
      <c r="AN254" t="str">
        <f t="shared" si="94"/>
        <v>Support</v>
      </c>
      <c r="AO254" s="32">
        <f t="shared" si="95"/>
        <v>3</v>
      </c>
      <c r="AP254">
        <f>step3_validation[[#This Row],[AI_TRU2]]</f>
        <v>6</v>
      </c>
      <c r="AQ254" t="str">
        <f t="shared" si="96"/>
        <v>Neutral</v>
      </c>
      <c r="AR254">
        <f>survey_responses[[#This Row],[Tôi thấy mức thuế tôi phải đóng theo phương án mới là công bằng (người thu nhập như tôi đóng mức này là hợp lý). - HUMAN-TRU2]]</f>
        <v>8</v>
      </c>
      <c r="AS254" t="str">
        <f t="shared" si="97"/>
        <v>Support</v>
      </c>
      <c r="AT254" s="32">
        <f t="shared" si="98"/>
        <v>2</v>
      </c>
      <c r="AU254">
        <f>step3_validation[[#This Row],[AI_TRU3]]</f>
        <v>5</v>
      </c>
      <c r="AV254" t="str">
        <f t="shared" si="99"/>
        <v>Neutral</v>
      </c>
      <c r="AW254">
        <f>survey_responses[[#This Row],[Tôi tin tưởng số tiền thuế tôi đóng sẽ được Nhà nước sử dụng hiệu quả để cải thiện dịch vụ công (y tế, đường xá...). - HUMAN-TRU3]]</f>
        <v>8</v>
      </c>
      <c r="AX254" t="str">
        <f t="shared" si="100"/>
        <v>Support</v>
      </c>
      <c r="AY254" s="32">
        <f t="shared" si="101"/>
        <v>3</v>
      </c>
      <c r="AZ254">
        <f>step3_validation[[#This Row],[AI_TRU4]]</f>
        <v>4</v>
      </c>
      <c r="BA254" t="str">
        <f t="shared" si="102"/>
        <v>Oppose</v>
      </c>
      <c r="BB254">
        <f>survey_responses[[#This Row],[Tôi thấy Nhà nước đã giải thích rõ ràng, minh bạch về lý do và mục tiêu của việc sửa đổi thuế lần này. - HUMAN-TRU4]]</f>
        <v>8</v>
      </c>
      <c r="BC254" t="str">
        <f t="shared" si="103"/>
        <v>Support</v>
      </c>
      <c r="BD254" s="32">
        <f t="shared" si="104"/>
        <v>4</v>
      </c>
      <c r="BE254">
        <f>step3_validation[[#This Row],[AI_OUT1]]</f>
        <v>6</v>
      </c>
      <c r="BF254" t="str">
        <f t="shared" si="105"/>
        <v>Neutral</v>
      </c>
      <c r="BG254">
        <f>survey_responses[[#This Row],[Sau khi xem xét các quyền lợi và nghĩa vụ, bạn có ủng hộ và tuân thủ chính sách mới hiện nay? - HUMAN-OUT1]]</f>
        <v>8</v>
      </c>
      <c r="BH254" t="str">
        <f t="shared" si="106"/>
        <v>Support</v>
      </c>
      <c r="BI254" s="32">
        <f t="shared" si="107"/>
        <v>2</v>
      </c>
    </row>
    <row r="255" spans="1:61" x14ac:dyDescent="0.45">
      <c r="A255" s="30">
        <f>step3_validation[[#This Row],[Persona_ID]]</f>
        <v>254</v>
      </c>
      <c r="B255" s="31">
        <f>step3_validation[[#This Row],[Used_Seed]]</f>
        <v>2244</v>
      </c>
      <c r="C255" t="str">
        <f>step3_validation[[#This Row],[Gender]]</f>
        <v>Nam</v>
      </c>
      <c r="D255" t="str">
        <f>survey_responses[[#This Row],[Giới tính của bạn:]]</f>
        <v>Nam</v>
      </c>
      <c r="E255" t="str">
        <f>step3_validation[[#This Row],[Age_Group]]</f>
        <v>40 - 49</v>
      </c>
      <c r="F255" t="str">
        <f>survey_responses[[#This Row],[Độ tuổi của bạn:]]</f>
        <v>40 - 49</v>
      </c>
      <c r="G255" t="str">
        <f>step3_validation[[#This Row],[Region]]</f>
        <v>Thành thị</v>
      </c>
      <c r="H255" t="str">
        <f>survey_responses[[#This Row],[Khu vực bạn đang sinh sống:]]</f>
        <v>Thành thị</v>
      </c>
      <c r="I255" t="str">
        <f>step3_validation[[#This Row],[Education]]</f>
        <v>Sau Đại học</v>
      </c>
      <c r="J255" t="str">
        <f>survey_responses[[#This Row],[Trình độ học vấn cao nhất:]]</f>
        <v>Sau Đại học</v>
      </c>
      <c r="K255" t="str">
        <f>step3_validation[[#This Row],[Employment]]</f>
        <v>Chính thức</v>
      </c>
      <c r="L255" t="str">
        <f>survey_responses[[#This Row],[Tình trạng việc làm chính:]]</f>
        <v>Khu vực chính thức (Có Hợp đồng lao động, đóng BHXH)</v>
      </c>
      <c r="M255">
        <f>step3_validation[[#This Row],[Income_Mil]]</f>
        <v>86.850437301740783</v>
      </c>
      <c r="N255" t="str">
        <f>survey_responses[[#This Row],[Thu nhập bình quân tháng theo Hợp đồng lao động của bạn là bao nhiêu? (Vui lòng điền tổng thu nhập trước khi khấu trừ các loại Bảo hiểm (BHXH, BHYT, BHTN) và Thuế TNCN)]]</f>
        <v>Từ 70 - 102 triệu VNĐ</v>
      </c>
      <c r="O255">
        <f>step3_validation[[#This Row],[Dependents]]</f>
        <v>1</v>
      </c>
      <c r="P255" t="str">
        <f>survey_responses[[#This Row],[Số người phụ thuộc (con nhỏ, cha mẹ già...) đủ điều kiện giảm trừ gia cảnh:]]</f>
        <v>1 người</v>
      </c>
      <c r="Q255">
        <f>step3_validation[[#This Row],[AI_ENF1]]</f>
        <v>7</v>
      </c>
      <c r="R255" t="str">
        <f t="shared" si="81"/>
        <v>Neutral</v>
      </c>
      <c r="S255">
        <f>survey_responses[[#This Row],[Tôi tin rằng với các quy định quản lý thuế hiện nay, hành vi gian lận hoặc trốn thuế sẽ dễ dàng bị phát hiện và xử lý nghiêm. - HUMAN-ENF1]]</f>
        <v>4</v>
      </c>
      <c r="T255" t="str">
        <f t="shared" si="82"/>
        <v>Oppose</v>
      </c>
      <c r="U255" s="32">
        <f t="shared" si="83"/>
        <v>3</v>
      </c>
      <c r="V255">
        <f>step3_validation[[#This Row],[AI_ENF2]]</f>
        <v>8</v>
      </c>
      <c r="W255" t="str">
        <f t="shared" si="84"/>
        <v>Support</v>
      </c>
      <c r="X255">
        <f>survey_responses[[#This Row],[Tôi tin rằng Nhà nước, cơ quan thuế có đủ khả năng và công nghệ để phát hiện, xử lý nghiêm các hành vi trốn thuế. - HUMAN-ENF2]]</f>
        <v>3</v>
      </c>
      <c r="Y255" t="str">
        <f t="shared" si="85"/>
        <v>Oppose</v>
      </c>
      <c r="Z255" s="32">
        <f t="shared" si="86"/>
        <v>5</v>
      </c>
      <c r="AA255">
        <f>step3_validation[[#This Row],[AI_FAC1]]</f>
        <v>9</v>
      </c>
      <c r="AB255" t="str">
        <f t="shared" si="87"/>
        <v>Support</v>
      </c>
      <c r="AC255">
        <f>survey_responses[[#This Row],[Các thủ tục khai báo thuế VÀ/HOẶC quy trình làm việc với cơ quan thuế đơn giản, tiện lợi, nhanh chóng hơn so với trước đây. - HUMAN-FAC1]]</f>
        <v>1</v>
      </c>
      <c r="AD255" t="str">
        <f t="shared" si="88"/>
        <v>Oppose</v>
      </c>
      <c r="AE255" s="32">
        <f t="shared" si="89"/>
        <v>8</v>
      </c>
      <c r="AF255">
        <f>step3_validation[[#This Row],[AI_FAC2]]</f>
        <v>8</v>
      </c>
      <c r="AG255" t="str">
        <f t="shared" si="90"/>
        <v>Support</v>
      </c>
      <c r="AH255">
        <f>survey_responses[[#This Row],[So với trước đây, tôi thấy cách tính thuế và các bậc thuế trong phương án mới đơn giản, dễ hiểu và dễ thực hiện hơn. - HUMAN-FAC2]]</f>
        <v>7</v>
      </c>
      <c r="AI255" t="str">
        <f t="shared" si="91"/>
        <v>Neutral</v>
      </c>
      <c r="AJ255" s="32">
        <f t="shared" si="92"/>
        <v>1</v>
      </c>
      <c r="AK255">
        <f>step3_validation[[#This Row],[AI_TRU1]]</f>
        <v>9</v>
      </c>
      <c r="AL255" t="str">
        <f t="shared" si="93"/>
        <v>Support</v>
      </c>
      <c r="AM255">
        <f>survey_responses[[#This Row],[Tôi tin rằng Nhà nước, cơ quan thuế sẽ thực thi chính sách mới một cách khách quan, công tâm và đối xử bình đẳng với mọi người nộp thuế.  - HUMAN-TRU1]]</f>
        <v>3</v>
      </c>
      <c r="AN255" t="str">
        <f t="shared" si="94"/>
        <v>Oppose</v>
      </c>
      <c r="AO255" s="32">
        <f t="shared" si="95"/>
        <v>6</v>
      </c>
      <c r="AP255">
        <f>step3_validation[[#This Row],[AI_TRU2]]</f>
        <v>6</v>
      </c>
      <c r="AQ255" t="str">
        <f t="shared" si="96"/>
        <v>Neutral</v>
      </c>
      <c r="AR255">
        <f>survey_responses[[#This Row],[Tôi thấy mức thuế tôi phải đóng theo phương án mới là công bằng (người thu nhập như tôi đóng mức này là hợp lý). - HUMAN-TRU2]]</f>
        <v>6</v>
      </c>
      <c r="AS255" t="str">
        <f t="shared" si="97"/>
        <v>Neutral</v>
      </c>
      <c r="AT255" s="32">
        <f t="shared" si="98"/>
        <v>0</v>
      </c>
      <c r="AU255">
        <f>step3_validation[[#This Row],[AI_TRU3]]</f>
        <v>7</v>
      </c>
      <c r="AV255" t="str">
        <f t="shared" si="99"/>
        <v>Neutral</v>
      </c>
      <c r="AW255">
        <f>survey_responses[[#This Row],[Tôi tin tưởng số tiền thuế tôi đóng sẽ được Nhà nước sử dụng hiệu quả để cải thiện dịch vụ công (y tế, đường xá...). - HUMAN-TRU3]]</f>
        <v>5</v>
      </c>
      <c r="AX255" t="str">
        <f t="shared" si="100"/>
        <v>Neutral</v>
      </c>
      <c r="AY255" s="32">
        <f t="shared" si="101"/>
        <v>2</v>
      </c>
      <c r="AZ255">
        <f>step3_validation[[#This Row],[AI_TRU4]]</f>
        <v>5</v>
      </c>
      <c r="BA255" t="str">
        <f t="shared" si="102"/>
        <v>Neutral</v>
      </c>
      <c r="BB255">
        <f>survey_responses[[#This Row],[Tôi thấy Nhà nước đã giải thích rõ ràng, minh bạch về lý do và mục tiêu của việc sửa đổi thuế lần này. - HUMAN-TRU4]]</f>
        <v>6</v>
      </c>
      <c r="BC255" t="str">
        <f t="shared" si="103"/>
        <v>Neutral</v>
      </c>
      <c r="BD255" s="32">
        <f t="shared" si="104"/>
        <v>1</v>
      </c>
      <c r="BE255">
        <f>step3_validation[[#This Row],[AI_OUT1]]</f>
        <v>8</v>
      </c>
      <c r="BF255" t="str">
        <f t="shared" si="105"/>
        <v>Support</v>
      </c>
      <c r="BG255">
        <f>survey_responses[[#This Row],[Sau khi xem xét các quyền lợi và nghĩa vụ, bạn có ủng hộ và tuân thủ chính sách mới hiện nay? - HUMAN-OUT1]]</f>
        <v>6</v>
      </c>
      <c r="BH255" t="str">
        <f t="shared" si="106"/>
        <v>Neutral</v>
      </c>
      <c r="BI255" s="32">
        <f t="shared" si="107"/>
        <v>2</v>
      </c>
    </row>
    <row r="256" spans="1:61" x14ac:dyDescent="0.45">
      <c r="A256" s="30">
        <f>step3_validation[[#This Row],[Persona_ID]]</f>
        <v>255</v>
      </c>
      <c r="B256" s="31">
        <f>step3_validation[[#This Row],[Used_Seed]]</f>
        <v>2245</v>
      </c>
      <c r="C256" t="str">
        <f>step3_validation[[#This Row],[Gender]]</f>
        <v>Nữ</v>
      </c>
      <c r="D256" t="str">
        <f>survey_responses[[#This Row],[Giới tính của bạn:]]</f>
        <v>Nữ</v>
      </c>
      <c r="E256" t="str">
        <f>step3_validation[[#This Row],[Age_Group]]</f>
        <v>30 - 39</v>
      </c>
      <c r="F256" t="str">
        <f>survey_responses[[#This Row],[Độ tuổi của bạn:]]</f>
        <v>30 - 39</v>
      </c>
      <c r="G256" t="str">
        <f>step3_validation[[#This Row],[Region]]</f>
        <v>Thành thị</v>
      </c>
      <c r="H256" t="str">
        <f>survey_responses[[#This Row],[Khu vực bạn đang sinh sống:]]</f>
        <v>Thành thị</v>
      </c>
      <c r="I256" t="str">
        <f>step3_validation[[#This Row],[Education]]</f>
        <v>Sau Đại học</v>
      </c>
      <c r="J256" t="str">
        <f>survey_responses[[#This Row],[Trình độ học vấn cao nhất:]]</f>
        <v>Sau Đại học</v>
      </c>
      <c r="K256" t="str">
        <f>step3_validation[[#This Row],[Employment]]</f>
        <v>Chính thức</v>
      </c>
      <c r="L256" t="str">
        <f>survey_responses[[#This Row],[Tình trạng việc làm chính:]]</f>
        <v>Khu vực chính thức (Có Hợp đồng lao động, đóng BHXH)</v>
      </c>
      <c r="M256">
        <f>step3_validation[[#This Row],[Income_Mil]]</f>
        <v>61.469377991722489</v>
      </c>
      <c r="N256" t="str">
        <f>survey_responses[[#This Row],[Thu nhập bình quân tháng theo Hợp đồng lao động của bạn là bao nhiêu? (Vui lòng điền tổng thu nhập trước khi khấu trừ các loại Bảo hiểm (BHXH, BHYT, BHTN) và Thuế TNCN)]]</f>
        <v>Từ 48 - 70 triệu VNĐ</v>
      </c>
      <c r="O256">
        <f>step3_validation[[#This Row],[Dependents]]</f>
        <v>1</v>
      </c>
      <c r="P256" t="str">
        <f>survey_responses[[#This Row],[Số người phụ thuộc (con nhỏ, cha mẹ già...) đủ điều kiện giảm trừ gia cảnh:]]</f>
        <v>1 người</v>
      </c>
      <c r="Q256">
        <f>step3_validation[[#This Row],[AI_ENF1]]</f>
        <v>7</v>
      </c>
      <c r="R256" t="str">
        <f t="shared" si="81"/>
        <v>Neutral</v>
      </c>
      <c r="S256">
        <f>survey_responses[[#This Row],[Tôi tin rằng với các quy định quản lý thuế hiện nay, hành vi gian lận hoặc trốn thuế sẽ dễ dàng bị phát hiện và xử lý nghiêm. - HUMAN-ENF1]]</f>
        <v>6</v>
      </c>
      <c r="T256" t="str">
        <f t="shared" si="82"/>
        <v>Neutral</v>
      </c>
      <c r="U256" s="32">
        <f t="shared" si="83"/>
        <v>1</v>
      </c>
      <c r="V256">
        <f>step3_validation[[#This Row],[AI_ENF2]]</f>
        <v>6</v>
      </c>
      <c r="W256" t="str">
        <f t="shared" si="84"/>
        <v>Neutral</v>
      </c>
      <c r="X256">
        <f>survey_responses[[#This Row],[Tôi tin rằng Nhà nước, cơ quan thuế có đủ khả năng và công nghệ để phát hiện, xử lý nghiêm các hành vi trốn thuế. - HUMAN-ENF2]]</f>
        <v>6</v>
      </c>
      <c r="Y256" t="str">
        <f t="shared" si="85"/>
        <v>Neutral</v>
      </c>
      <c r="Z256" s="32">
        <f t="shared" si="86"/>
        <v>0</v>
      </c>
      <c r="AA256">
        <f>step3_validation[[#This Row],[AI_FAC1]]</f>
        <v>8</v>
      </c>
      <c r="AB256" t="str">
        <f t="shared" si="87"/>
        <v>Support</v>
      </c>
      <c r="AC256">
        <f>survey_responses[[#This Row],[Các thủ tục khai báo thuế VÀ/HOẶC quy trình làm việc với cơ quan thuế đơn giản, tiện lợi, nhanh chóng hơn so với trước đây. - HUMAN-FAC1]]</f>
        <v>1</v>
      </c>
      <c r="AD256" t="str">
        <f t="shared" si="88"/>
        <v>Oppose</v>
      </c>
      <c r="AE256" s="32">
        <f t="shared" si="89"/>
        <v>7</v>
      </c>
      <c r="AF256">
        <f>step3_validation[[#This Row],[AI_FAC2]]</f>
        <v>9</v>
      </c>
      <c r="AG256" t="str">
        <f t="shared" si="90"/>
        <v>Support</v>
      </c>
      <c r="AH256">
        <f>survey_responses[[#This Row],[So với trước đây, tôi thấy cách tính thuế và các bậc thuế trong phương án mới đơn giản, dễ hiểu và dễ thực hiện hơn. - HUMAN-FAC2]]</f>
        <v>7</v>
      </c>
      <c r="AI256" t="str">
        <f t="shared" si="91"/>
        <v>Neutral</v>
      </c>
      <c r="AJ256" s="32">
        <f t="shared" si="92"/>
        <v>2</v>
      </c>
      <c r="AK256">
        <f>step3_validation[[#This Row],[AI_TRU1]]</f>
        <v>7</v>
      </c>
      <c r="AL256" t="str">
        <f t="shared" si="93"/>
        <v>Neutral</v>
      </c>
      <c r="AM256">
        <f>survey_responses[[#This Row],[Tôi tin rằng Nhà nước, cơ quan thuế sẽ thực thi chính sách mới một cách khách quan, công tâm và đối xử bình đẳng với mọi người nộp thuế.  - HUMAN-TRU1]]</f>
        <v>5</v>
      </c>
      <c r="AN256" t="str">
        <f t="shared" si="94"/>
        <v>Neutral</v>
      </c>
      <c r="AO256" s="32">
        <f t="shared" si="95"/>
        <v>2</v>
      </c>
      <c r="AP256">
        <f>step3_validation[[#This Row],[AI_TRU2]]</f>
        <v>8</v>
      </c>
      <c r="AQ256" t="str">
        <f t="shared" si="96"/>
        <v>Support</v>
      </c>
      <c r="AR256">
        <f>survey_responses[[#This Row],[Tôi thấy mức thuế tôi phải đóng theo phương án mới là công bằng (người thu nhập như tôi đóng mức này là hợp lý). - HUMAN-TRU2]]</f>
        <v>6</v>
      </c>
      <c r="AS256" t="str">
        <f t="shared" si="97"/>
        <v>Neutral</v>
      </c>
      <c r="AT256" s="32">
        <f t="shared" si="98"/>
        <v>2</v>
      </c>
      <c r="AU256">
        <f>step3_validation[[#This Row],[AI_TRU3]]</f>
        <v>7</v>
      </c>
      <c r="AV256" t="str">
        <f t="shared" si="99"/>
        <v>Neutral</v>
      </c>
      <c r="AW256">
        <f>survey_responses[[#This Row],[Tôi tin tưởng số tiền thuế tôi đóng sẽ được Nhà nước sử dụng hiệu quả để cải thiện dịch vụ công (y tế, đường xá...). - HUMAN-TRU3]]</f>
        <v>6</v>
      </c>
      <c r="AX256" t="str">
        <f t="shared" si="100"/>
        <v>Neutral</v>
      </c>
      <c r="AY256" s="32">
        <f t="shared" si="101"/>
        <v>1</v>
      </c>
      <c r="AZ256">
        <f>step3_validation[[#This Row],[AI_TRU4]]</f>
        <v>5</v>
      </c>
      <c r="BA256" t="str">
        <f t="shared" si="102"/>
        <v>Neutral</v>
      </c>
      <c r="BB256">
        <f>survey_responses[[#This Row],[Tôi thấy Nhà nước đã giải thích rõ ràng, minh bạch về lý do và mục tiêu của việc sửa đổi thuế lần này. - HUMAN-TRU4]]</f>
        <v>6</v>
      </c>
      <c r="BC256" t="str">
        <f t="shared" si="103"/>
        <v>Neutral</v>
      </c>
      <c r="BD256" s="32">
        <f t="shared" si="104"/>
        <v>1</v>
      </c>
      <c r="BE256">
        <f>step3_validation[[#This Row],[AI_OUT1]]</f>
        <v>7</v>
      </c>
      <c r="BF256" t="str">
        <f t="shared" si="105"/>
        <v>Neutral</v>
      </c>
      <c r="BG256">
        <f>survey_responses[[#This Row],[Sau khi xem xét các quyền lợi và nghĩa vụ, bạn có ủng hộ và tuân thủ chính sách mới hiện nay? - HUMAN-OUT1]]</f>
        <v>6</v>
      </c>
      <c r="BH256" t="str">
        <f t="shared" si="106"/>
        <v>Neutral</v>
      </c>
      <c r="BI256" s="32">
        <f t="shared" si="107"/>
        <v>1</v>
      </c>
    </row>
    <row r="257" spans="1:61" x14ac:dyDescent="0.45">
      <c r="A257" s="30">
        <f>step3_validation[[#This Row],[Persona_ID]]</f>
        <v>256</v>
      </c>
      <c r="B257" s="31">
        <f>step3_validation[[#This Row],[Used_Seed]]</f>
        <v>2246</v>
      </c>
      <c r="C257" t="str">
        <f>step3_validation[[#This Row],[Gender]]</f>
        <v>Nữ</v>
      </c>
      <c r="D257" t="str">
        <f>survey_responses[[#This Row],[Giới tính của bạn:]]</f>
        <v>Nữ</v>
      </c>
      <c r="E257" t="str">
        <f>step3_validation[[#This Row],[Age_Group]]</f>
        <v>50 - 54</v>
      </c>
      <c r="F257" t="str">
        <f>survey_responses[[#This Row],[Độ tuổi của bạn:]]</f>
        <v>50 - 54</v>
      </c>
      <c r="G257" t="str">
        <f>step3_validation[[#This Row],[Region]]</f>
        <v>Thành thị</v>
      </c>
      <c r="H257" t="str">
        <f>survey_responses[[#This Row],[Khu vực bạn đang sinh sống:]]</f>
        <v>Thành thị</v>
      </c>
      <c r="I257" t="str">
        <f>step3_validation[[#This Row],[Education]]</f>
        <v>Đại học</v>
      </c>
      <c r="J257" t="str">
        <f>survey_responses[[#This Row],[Trình độ học vấn cao nhất:]]</f>
        <v>Đại học</v>
      </c>
      <c r="K257" t="str">
        <f>step3_validation[[#This Row],[Employment]]</f>
        <v>Chính thức</v>
      </c>
      <c r="L257" t="str">
        <f>survey_responses[[#This Row],[Tình trạng việc làm chính:]]</f>
        <v>Khu vực chính thức (Có Hợp đồng lao động, đóng BHXH)</v>
      </c>
      <c r="M257">
        <f>step3_validation[[#This Row],[Income_Mil]]</f>
        <v>155.46569674021657</v>
      </c>
      <c r="N257" t="str">
        <f>survey_responses[[#This Row],[Thu nhập bình quân tháng theo Hợp đồng lao động của bạn là bao nhiêu? (Vui lòng điền tổng thu nhập trước khi khấu trừ các loại Bảo hiểm (BHXH, BHYT, BHTN) và Thuế TNCN)]]</f>
        <v>Trên 102 triệu VNĐ</v>
      </c>
      <c r="O257">
        <f>step3_validation[[#This Row],[Dependents]]</f>
        <v>4</v>
      </c>
      <c r="P257" t="str">
        <f>survey_responses[[#This Row],[Số người phụ thuộc (con nhỏ, cha mẹ già...) đủ điều kiện giảm trừ gia cảnh:]]</f>
        <v>4 người trở lên</v>
      </c>
      <c r="Q257">
        <f>step3_validation[[#This Row],[AI_ENF1]]</f>
        <v>7</v>
      </c>
      <c r="R257" t="str">
        <f t="shared" si="81"/>
        <v>Neutral</v>
      </c>
      <c r="S257">
        <f>survey_responses[[#This Row],[Tôi tin rằng với các quy định quản lý thuế hiện nay, hành vi gian lận hoặc trốn thuế sẽ dễ dàng bị phát hiện và xử lý nghiêm. - HUMAN-ENF1]]</f>
        <v>8</v>
      </c>
      <c r="T257" t="str">
        <f t="shared" si="82"/>
        <v>Support</v>
      </c>
      <c r="U257" s="32">
        <f t="shared" si="83"/>
        <v>1</v>
      </c>
      <c r="V257">
        <f>step3_validation[[#This Row],[AI_ENF2]]</f>
        <v>8</v>
      </c>
      <c r="W257" t="str">
        <f t="shared" si="84"/>
        <v>Support</v>
      </c>
      <c r="X257">
        <f>survey_responses[[#This Row],[Tôi tin rằng Nhà nước, cơ quan thuế có đủ khả năng và công nghệ để phát hiện, xử lý nghiêm các hành vi trốn thuế. - HUMAN-ENF2]]</f>
        <v>8</v>
      </c>
      <c r="Y257" t="str">
        <f t="shared" si="85"/>
        <v>Support</v>
      </c>
      <c r="Z257" s="32">
        <f t="shared" si="86"/>
        <v>0</v>
      </c>
      <c r="AA257">
        <f>step3_validation[[#This Row],[AI_FAC1]]</f>
        <v>7</v>
      </c>
      <c r="AB257" t="str">
        <f t="shared" si="87"/>
        <v>Neutral</v>
      </c>
      <c r="AC257">
        <f>survey_responses[[#This Row],[Các thủ tục khai báo thuế VÀ/HOẶC quy trình làm việc với cơ quan thuế đơn giản, tiện lợi, nhanh chóng hơn so với trước đây. - HUMAN-FAC1]]</f>
        <v>5</v>
      </c>
      <c r="AD257" t="str">
        <f t="shared" si="88"/>
        <v>Neutral</v>
      </c>
      <c r="AE257" s="32">
        <f t="shared" si="89"/>
        <v>2</v>
      </c>
      <c r="AF257">
        <f>step3_validation[[#This Row],[AI_FAC2]]</f>
        <v>8</v>
      </c>
      <c r="AG257" t="str">
        <f t="shared" si="90"/>
        <v>Support</v>
      </c>
      <c r="AH257">
        <f>survey_responses[[#This Row],[So với trước đây, tôi thấy cách tính thuế và các bậc thuế trong phương án mới đơn giản, dễ hiểu và dễ thực hiện hơn. - HUMAN-FAC2]]</f>
        <v>8</v>
      </c>
      <c r="AI257" t="str">
        <f t="shared" si="91"/>
        <v>Support</v>
      </c>
      <c r="AJ257" s="32">
        <f t="shared" si="92"/>
        <v>0</v>
      </c>
      <c r="AK257">
        <f>step3_validation[[#This Row],[AI_TRU1]]</f>
        <v>8</v>
      </c>
      <c r="AL257" t="str">
        <f t="shared" si="93"/>
        <v>Support</v>
      </c>
      <c r="AM257">
        <f>survey_responses[[#This Row],[Tôi tin rằng Nhà nước, cơ quan thuế sẽ thực thi chính sách mới một cách khách quan, công tâm và đối xử bình đẳng với mọi người nộp thuế.  - HUMAN-TRU1]]</f>
        <v>8</v>
      </c>
      <c r="AN257" t="str">
        <f t="shared" si="94"/>
        <v>Support</v>
      </c>
      <c r="AO257" s="32">
        <f t="shared" si="95"/>
        <v>0</v>
      </c>
      <c r="AP257">
        <f>step3_validation[[#This Row],[AI_TRU2]]</f>
        <v>8</v>
      </c>
      <c r="AQ257" t="str">
        <f t="shared" si="96"/>
        <v>Support</v>
      </c>
      <c r="AR257">
        <f>survey_responses[[#This Row],[Tôi thấy mức thuế tôi phải đóng theo phương án mới là công bằng (người thu nhập như tôi đóng mức này là hợp lý). - HUMAN-TRU2]]</f>
        <v>7</v>
      </c>
      <c r="AS257" t="str">
        <f t="shared" si="97"/>
        <v>Neutral</v>
      </c>
      <c r="AT257" s="32">
        <f t="shared" si="98"/>
        <v>1</v>
      </c>
      <c r="AU257">
        <f>step3_validation[[#This Row],[AI_TRU3]]</f>
        <v>7</v>
      </c>
      <c r="AV257" t="str">
        <f t="shared" si="99"/>
        <v>Neutral</v>
      </c>
      <c r="AW257">
        <f>survey_responses[[#This Row],[Tôi tin tưởng số tiền thuế tôi đóng sẽ được Nhà nước sử dụng hiệu quả để cải thiện dịch vụ công (y tế, đường xá...). - HUMAN-TRU3]]</f>
        <v>7</v>
      </c>
      <c r="AX257" t="str">
        <f t="shared" si="100"/>
        <v>Neutral</v>
      </c>
      <c r="AY257" s="32">
        <f t="shared" si="101"/>
        <v>0</v>
      </c>
      <c r="AZ257">
        <f>step3_validation[[#This Row],[AI_TRU4]]</f>
        <v>8</v>
      </c>
      <c r="BA257" t="str">
        <f t="shared" si="102"/>
        <v>Support</v>
      </c>
      <c r="BB257">
        <f>survey_responses[[#This Row],[Tôi thấy Nhà nước đã giải thích rõ ràng, minh bạch về lý do và mục tiêu của việc sửa đổi thuế lần này. - HUMAN-TRU4]]</f>
        <v>7</v>
      </c>
      <c r="BC257" t="str">
        <f t="shared" si="103"/>
        <v>Neutral</v>
      </c>
      <c r="BD257" s="32">
        <f t="shared" si="104"/>
        <v>1</v>
      </c>
      <c r="BE257">
        <f>step3_validation[[#This Row],[AI_OUT1]]</f>
        <v>7</v>
      </c>
      <c r="BF257" t="str">
        <f t="shared" si="105"/>
        <v>Neutral</v>
      </c>
      <c r="BG257">
        <f>survey_responses[[#This Row],[Sau khi xem xét các quyền lợi và nghĩa vụ, bạn có ủng hộ và tuân thủ chính sách mới hiện nay? - HUMAN-OUT1]]</f>
        <v>7</v>
      </c>
      <c r="BH257" t="str">
        <f t="shared" si="106"/>
        <v>Neutral</v>
      </c>
      <c r="BI257" s="32">
        <f t="shared" si="107"/>
        <v>0</v>
      </c>
    </row>
    <row r="258" spans="1:61" x14ac:dyDescent="0.45">
      <c r="A258" s="30">
        <f>step3_validation[[#This Row],[Persona_ID]]</f>
        <v>257</v>
      </c>
      <c r="B258" s="31">
        <f>step3_validation[[#This Row],[Used_Seed]]</f>
        <v>2247</v>
      </c>
      <c r="C258" t="str">
        <f>step3_validation[[#This Row],[Gender]]</f>
        <v>Nữ</v>
      </c>
      <c r="D258" t="str">
        <f>survey_responses[[#This Row],[Giới tính của bạn:]]</f>
        <v>Nữ</v>
      </c>
      <c r="E258" t="str">
        <f>step3_validation[[#This Row],[Age_Group]]</f>
        <v>25 - 29</v>
      </c>
      <c r="F258" t="str">
        <f>survey_responses[[#This Row],[Độ tuổi của bạn:]]</f>
        <v>25 - 29</v>
      </c>
      <c r="G258" t="str">
        <f>step3_validation[[#This Row],[Region]]</f>
        <v>Thành thị</v>
      </c>
      <c r="H258" t="str">
        <f>survey_responses[[#This Row],[Khu vực bạn đang sinh sống:]]</f>
        <v>Thành thị</v>
      </c>
      <c r="I258" t="str">
        <f>step3_validation[[#This Row],[Education]]</f>
        <v>Đại học</v>
      </c>
      <c r="J258" t="str">
        <f>survey_responses[[#This Row],[Trình độ học vấn cao nhất:]]</f>
        <v>Đại học</v>
      </c>
      <c r="K258" t="str">
        <f>step3_validation[[#This Row],[Employment]]</f>
        <v>Chính thức</v>
      </c>
      <c r="L258" t="str">
        <f>survey_responses[[#This Row],[Tình trạng việc làm chính:]]</f>
        <v>Khu vực chính thức (Có Hợp đồng lao động, đóng BHXH)</v>
      </c>
      <c r="M258">
        <f>step3_validation[[#This Row],[Income_Mil]]</f>
        <v>32.842725037886026</v>
      </c>
      <c r="N258" t="str">
        <f>survey_responses[[#This Row],[Thu nhập bình quân tháng theo Hợp đồng lao động của bạn là bao nhiêu? (Vui lòng điền tổng thu nhập trước khi khấu trừ các loại Bảo hiểm (BHXH, BHYT, BHTN) và Thuế TNCN)]]</f>
        <v>Từ 32 - 48 triệu VNĐ</v>
      </c>
      <c r="O258">
        <f>step3_validation[[#This Row],[Dependents]]</f>
        <v>1</v>
      </c>
      <c r="P258" t="str">
        <f>survey_responses[[#This Row],[Số người phụ thuộc (con nhỏ, cha mẹ già...) đủ điều kiện giảm trừ gia cảnh:]]</f>
        <v>1 người</v>
      </c>
      <c r="Q258">
        <f>step3_validation[[#This Row],[AI_ENF1]]</f>
        <v>7</v>
      </c>
      <c r="R258" t="str">
        <f t="shared" si="81"/>
        <v>Neutral</v>
      </c>
      <c r="S258">
        <f>survey_responses[[#This Row],[Tôi tin rằng với các quy định quản lý thuế hiện nay, hành vi gian lận hoặc trốn thuế sẽ dễ dàng bị phát hiện và xử lý nghiêm. - HUMAN-ENF1]]</f>
        <v>7</v>
      </c>
      <c r="T258" t="str">
        <f t="shared" si="82"/>
        <v>Neutral</v>
      </c>
      <c r="U258" s="32">
        <f t="shared" si="83"/>
        <v>0</v>
      </c>
      <c r="V258">
        <f>step3_validation[[#This Row],[AI_ENF2]]</f>
        <v>6</v>
      </c>
      <c r="W258" t="str">
        <f t="shared" si="84"/>
        <v>Neutral</v>
      </c>
      <c r="X258">
        <f>survey_responses[[#This Row],[Tôi tin rằng Nhà nước, cơ quan thuế có đủ khả năng và công nghệ để phát hiện, xử lý nghiêm các hành vi trốn thuế. - HUMAN-ENF2]]</f>
        <v>8</v>
      </c>
      <c r="Y258" t="str">
        <f t="shared" si="85"/>
        <v>Support</v>
      </c>
      <c r="Z258" s="32">
        <f t="shared" si="86"/>
        <v>2</v>
      </c>
      <c r="AA258">
        <f>step3_validation[[#This Row],[AI_FAC1]]</f>
        <v>5</v>
      </c>
      <c r="AB258" t="str">
        <f t="shared" si="87"/>
        <v>Neutral</v>
      </c>
      <c r="AC258">
        <f>survey_responses[[#This Row],[Các thủ tục khai báo thuế VÀ/HOẶC quy trình làm việc với cơ quan thuế đơn giản, tiện lợi, nhanh chóng hơn so với trước đây. - HUMAN-FAC1]]</f>
        <v>4</v>
      </c>
      <c r="AD258" t="str">
        <f t="shared" si="88"/>
        <v>Oppose</v>
      </c>
      <c r="AE258" s="32">
        <f t="shared" si="89"/>
        <v>1</v>
      </c>
      <c r="AF258">
        <f>step3_validation[[#This Row],[AI_FAC2]]</f>
        <v>4</v>
      </c>
      <c r="AG258" t="str">
        <f t="shared" si="90"/>
        <v>Oppose</v>
      </c>
      <c r="AH258">
        <f>survey_responses[[#This Row],[So với trước đây, tôi thấy cách tính thuế và các bậc thuế trong phương án mới đơn giản, dễ hiểu và dễ thực hiện hơn. - HUMAN-FAC2]]</f>
        <v>8</v>
      </c>
      <c r="AI258" t="str">
        <f t="shared" si="91"/>
        <v>Support</v>
      </c>
      <c r="AJ258" s="32">
        <f t="shared" si="92"/>
        <v>4</v>
      </c>
      <c r="AK258">
        <f>step3_validation[[#This Row],[AI_TRU1]]</f>
        <v>8</v>
      </c>
      <c r="AL258" t="str">
        <f t="shared" si="93"/>
        <v>Support</v>
      </c>
      <c r="AM258">
        <f>survey_responses[[#This Row],[Tôi tin rằng Nhà nước, cơ quan thuế sẽ thực thi chính sách mới một cách khách quan, công tâm và đối xử bình đẳng với mọi người nộp thuế.  - HUMAN-TRU1]]</f>
        <v>5</v>
      </c>
      <c r="AN258" t="str">
        <f t="shared" si="94"/>
        <v>Neutral</v>
      </c>
      <c r="AO258" s="32">
        <f t="shared" si="95"/>
        <v>3</v>
      </c>
      <c r="AP258">
        <f>step3_validation[[#This Row],[AI_TRU2]]</f>
        <v>7</v>
      </c>
      <c r="AQ258" t="str">
        <f t="shared" si="96"/>
        <v>Neutral</v>
      </c>
      <c r="AR258">
        <f>survey_responses[[#This Row],[Tôi thấy mức thuế tôi phải đóng theo phương án mới là công bằng (người thu nhập như tôi đóng mức này là hợp lý). - HUMAN-TRU2]]</f>
        <v>7</v>
      </c>
      <c r="AS258" t="str">
        <f t="shared" si="97"/>
        <v>Neutral</v>
      </c>
      <c r="AT258" s="32">
        <f t="shared" si="98"/>
        <v>0</v>
      </c>
      <c r="AU258">
        <f>step3_validation[[#This Row],[AI_TRU3]]</f>
        <v>8</v>
      </c>
      <c r="AV258" t="str">
        <f t="shared" si="99"/>
        <v>Support</v>
      </c>
      <c r="AW258">
        <f>survey_responses[[#This Row],[Tôi tin tưởng số tiền thuế tôi đóng sẽ được Nhà nước sử dụng hiệu quả để cải thiện dịch vụ công (y tế, đường xá...). - HUMAN-TRU3]]</f>
        <v>5</v>
      </c>
      <c r="AX258" t="str">
        <f t="shared" si="100"/>
        <v>Neutral</v>
      </c>
      <c r="AY258" s="32">
        <f t="shared" si="101"/>
        <v>3</v>
      </c>
      <c r="AZ258">
        <f>step3_validation[[#This Row],[AI_TRU4]]</f>
        <v>6</v>
      </c>
      <c r="BA258" t="str">
        <f t="shared" si="102"/>
        <v>Neutral</v>
      </c>
      <c r="BB258">
        <f>survey_responses[[#This Row],[Tôi thấy Nhà nước đã giải thích rõ ràng, minh bạch về lý do và mục tiêu của việc sửa đổi thuế lần này. - HUMAN-TRU4]]</f>
        <v>6</v>
      </c>
      <c r="BC258" t="str">
        <f t="shared" si="103"/>
        <v>Neutral</v>
      </c>
      <c r="BD258" s="32">
        <f t="shared" si="104"/>
        <v>0</v>
      </c>
      <c r="BE258">
        <f>step3_validation[[#This Row],[AI_OUT1]]</f>
        <v>7</v>
      </c>
      <c r="BF258" t="str">
        <f t="shared" si="105"/>
        <v>Neutral</v>
      </c>
      <c r="BG258">
        <f>survey_responses[[#This Row],[Sau khi xem xét các quyền lợi và nghĩa vụ, bạn có ủng hộ và tuân thủ chính sách mới hiện nay? - HUMAN-OUT1]]</f>
        <v>6</v>
      </c>
      <c r="BH258" t="str">
        <f t="shared" si="106"/>
        <v>Neutral</v>
      </c>
      <c r="BI258" s="32">
        <f t="shared" si="107"/>
        <v>1</v>
      </c>
    </row>
    <row r="259" spans="1:61" x14ac:dyDescent="0.45">
      <c r="A259" s="30">
        <f>step3_validation[[#This Row],[Persona_ID]]</f>
        <v>258</v>
      </c>
      <c r="B259" s="31">
        <f>step3_validation[[#This Row],[Used_Seed]]</f>
        <v>2248</v>
      </c>
      <c r="C259" t="str">
        <f>step3_validation[[#This Row],[Gender]]</f>
        <v>Nam</v>
      </c>
      <c r="D259" t="str">
        <f>survey_responses[[#This Row],[Giới tính của bạn:]]</f>
        <v>Nam</v>
      </c>
      <c r="E259" t="str">
        <f>step3_validation[[#This Row],[Age_Group]]</f>
        <v>40 - 49</v>
      </c>
      <c r="F259" t="str">
        <f>survey_responses[[#This Row],[Độ tuổi của bạn:]]</f>
        <v>40 - 49</v>
      </c>
      <c r="G259" t="str">
        <f>step3_validation[[#This Row],[Region]]</f>
        <v>Thành thị</v>
      </c>
      <c r="H259" t="str">
        <f>survey_responses[[#This Row],[Khu vực bạn đang sinh sống:]]</f>
        <v>Thành thị</v>
      </c>
      <c r="I259" t="str">
        <f>step3_validation[[#This Row],[Education]]</f>
        <v>Đại học</v>
      </c>
      <c r="J259" t="str">
        <f>survey_responses[[#This Row],[Trình độ học vấn cao nhất:]]</f>
        <v>Đại học</v>
      </c>
      <c r="K259" t="str">
        <f>step3_validation[[#This Row],[Employment]]</f>
        <v>Chính thức</v>
      </c>
      <c r="L259" t="str">
        <f>survey_responses[[#This Row],[Tình trạng việc làm chính:]]</f>
        <v>Khu vực chính thức (Có Hợp đồng lao động, đóng BHXH)</v>
      </c>
      <c r="M259">
        <f>step3_validation[[#This Row],[Income_Mil]]</f>
        <v>68.345061331934133</v>
      </c>
      <c r="N259" t="str">
        <f>survey_responses[[#This Row],[Thu nhập bình quân tháng theo Hợp đồng lao động của bạn là bao nhiêu? (Vui lòng điền tổng thu nhập trước khi khấu trừ các loại Bảo hiểm (BHXH, BHYT, BHTN) và Thuế TNCN)]]</f>
        <v>Từ 48 - 70 triệu VNĐ</v>
      </c>
      <c r="O259">
        <f>step3_validation[[#This Row],[Dependents]]</f>
        <v>2</v>
      </c>
      <c r="P259" t="str">
        <f>survey_responses[[#This Row],[Số người phụ thuộc (con nhỏ, cha mẹ già...) đủ điều kiện giảm trừ gia cảnh:]]</f>
        <v>2 người</v>
      </c>
      <c r="Q259">
        <f>step3_validation[[#This Row],[AI_ENF1]]</f>
        <v>7</v>
      </c>
      <c r="R259" t="str">
        <f t="shared" ref="R259:R322" si="108">IF(AND(Q259&gt;=1,Q259&lt;5),"Oppose",IF(AND(Q259&gt;=5,Q259&lt;8),"Neutral",IF(AND(Q259&gt;=8,Q259&lt;=10),"Support","")))</f>
        <v>Neutral</v>
      </c>
      <c r="S259">
        <f>survey_responses[[#This Row],[Tôi tin rằng với các quy định quản lý thuế hiện nay, hành vi gian lận hoặc trốn thuế sẽ dễ dàng bị phát hiện và xử lý nghiêm. - HUMAN-ENF1]]</f>
        <v>6</v>
      </c>
      <c r="T259" t="str">
        <f t="shared" ref="T259:T322" si="109">IF(AND(S259&gt;=1,S259&lt;5),"Oppose",IF(AND(S259&gt;=5,S259&lt;8),"Neutral",IF(AND(S259&gt;=8,S259&lt;=10),"Support","")))</f>
        <v>Neutral</v>
      </c>
      <c r="U259" s="32">
        <f t="shared" ref="U259:U322" si="110">ABS(S259-Q259)</f>
        <v>1</v>
      </c>
      <c r="V259">
        <f>step3_validation[[#This Row],[AI_ENF2]]</f>
        <v>8</v>
      </c>
      <c r="W259" t="str">
        <f t="shared" ref="W259:W322" si="111">IF(AND(V259&gt;=1,V259&lt;5),"Oppose",IF(AND(V259&gt;=5,V259&lt;8),"Neutral",IF(AND(V259&gt;=8,V259&lt;=10),"Support","")))</f>
        <v>Support</v>
      </c>
      <c r="X259">
        <f>survey_responses[[#This Row],[Tôi tin rằng Nhà nước, cơ quan thuế có đủ khả năng và công nghệ để phát hiện, xử lý nghiêm các hành vi trốn thuế. - HUMAN-ENF2]]</f>
        <v>7</v>
      </c>
      <c r="Y259" t="str">
        <f t="shared" ref="Y259:Y322" si="112">IF(AND(X259&gt;=1,X259&lt;5),"Oppose",IF(AND(X259&gt;=5,X259&lt;8),"Neutral",IF(AND(X259&gt;=8,X259&lt;=10),"Support","")))</f>
        <v>Neutral</v>
      </c>
      <c r="Z259" s="32">
        <f t="shared" ref="Z259:Z322" si="113">ABS(X259-V259)</f>
        <v>1</v>
      </c>
      <c r="AA259">
        <f>step3_validation[[#This Row],[AI_FAC1]]</f>
        <v>6</v>
      </c>
      <c r="AB259" t="str">
        <f t="shared" ref="AB259:AB322" si="114">IF(AND(AA259&gt;=1,AA259&lt;5),"Oppose",IF(AND(AA259&gt;=5,AA259&lt;8),"Neutral",IF(AND(AA259&gt;=8,AA259&lt;=10),"Support","")))</f>
        <v>Neutral</v>
      </c>
      <c r="AC259">
        <f>survey_responses[[#This Row],[Các thủ tục khai báo thuế VÀ/HOẶC quy trình làm việc với cơ quan thuế đơn giản, tiện lợi, nhanh chóng hơn so với trước đây. - HUMAN-FAC1]]</f>
        <v>2</v>
      </c>
      <c r="AD259" t="str">
        <f t="shared" ref="AD259:AD322" si="115">IF(AND(AC259&gt;=1,AC259&lt;5),"Oppose",IF(AND(AC259&gt;=5,AC259&lt;8),"Neutral",IF(AND(AC259&gt;=8,AC259&lt;=10),"Support","")))</f>
        <v>Oppose</v>
      </c>
      <c r="AE259" s="32">
        <f t="shared" ref="AE259:AE322" si="116">ABS(AC259-AA259)</f>
        <v>4</v>
      </c>
      <c r="AF259">
        <f>step3_validation[[#This Row],[AI_FAC2]]</f>
        <v>8</v>
      </c>
      <c r="AG259" t="str">
        <f t="shared" ref="AG259:AG322" si="117">IF(AND(AF259&gt;=1,AF259&lt;5),"Oppose",IF(AND(AF259&gt;=5,AF259&lt;8),"Neutral",IF(AND(AF259&gt;=8,AF259&lt;=10),"Support","")))</f>
        <v>Support</v>
      </c>
      <c r="AH259">
        <f>survey_responses[[#This Row],[So với trước đây, tôi thấy cách tính thuế và các bậc thuế trong phương án mới đơn giản, dễ hiểu và dễ thực hiện hơn. - HUMAN-FAC2]]</f>
        <v>7</v>
      </c>
      <c r="AI259" t="str">
        <f t="shared" ref="AI259:AI322" si="118">IF(AND(AH259&gt;=1,AH259&lt;5),"Oppose",IF(AND(AH259&gt;=5,AH259&lt;8),"Neutral",IF(AND(AH259&gt;=8,AH259&lt;=10),"Support","")))</f>
        <v>Neutral</v>
      </c>
      <c r="AJ259" s="32">
        <f t="shared" ref="AJ259:AJ322" si="119">ABS(AH259-AF259)</f>
        <v>1</v>
      </c>
      <c r="AK259">
        <f>step3_validation[[#This Row],[AI_TRU1]]</f>
        <v>6</v>
      </c>
      <c r="AL259" t="str">
        <f t="shared" ref="AL259:AL322" si="120">IF(AND(AK259&gt;=1,AK259&lt;5),"Oppose",IF(AND(AK259&gt;=5,AK259&lt;8),"Neutral",IF(AND(AK259&gt;=8,AK259&lt;=10),"Support","")))</f>
        <v>Neutral</v>
      </c>
      <c r="AM259">
        <f>survey_responses[[#This Row],[Tôi tin rằng Nhà nước, cơ quan thuế sẽ thực thi chính sách mới một cách khách quan, công tâm và đối xử bình đẳng với mọi người nộp thuế.  - HUMAN-TRU1]]</f>
        <v>5</v>
      </c>
      <c r="AN259" t="str">
        <f t="shared" ref="AN259:AN322" si="121">IF(AND(AM259&gt;=1,AM259&lt;5),"Oppose",IF(AND(AM259&gt;=5,AM259&lt;8),"Neutral",IF(AND(AM259&gt;=8,AM259&lt;=10),"Support","")))</f>
        <v>Neutral</v>
      </c>
      <c r="AO259" s="32">
        <f t="shared" ref="AO259:AO322" si="122">ABS(AM259-AK259)</f>
        <v>1</v>
      </c>
      <c r="AP259">
        <f>step3_validation[[#This Row],[AI_TRU2]]</f>
        <v>7</v>
      </c>
      <c r="AQ259" t="str">
        <f t="shared" ref="AQ259:AQ322" si="123">IF(AND(AP259&gt;=1,AP259&lt;5),"Oppose",IF(AND(AP259&gt;=5,AP259&lt;8),"Neutral",IF(AND(AP259&gt;=8,AP259&lt;=10),"Support","")))</f>
        <v>Neutral</v>
      </c>
      <c r="AR259">
        <f>survey_responses[[#This Row],[Tôi thấy mức thuế tôi phải đóng theo phương án mới là công bằng (người thu nhập như tôi đóng mức này là hợp lý). - HUMAN-TRU2]]</f>
        <v>5</v>
      </c>
      <c r="AS259" t="str">
        <f t="shared" ref="AS259:AS322" si="124">IF(AND(AR259&gt;=1,AR259&lt;5),"Oppose",IF(AND(AR259&gt;=5,AR259&lt;8),"Neutral",IF(AND(AR259&gt;=8,AR259&lt;=10),"Support","")))</f>
        <v>Neutral</v>
      </c>
      <c r="AT259" s="32">
        <f t="shared" ref="AT259:AT322" si="125">ABS(AR259-AP259)</f>
        <v>2</v>
      </c>
      <c r="AU259">
        <f>step3_validation[[#This Row],[AI_TRU3]]</f>
        <v>5</v>
      </c>
      <c r="AV259" t="str">
        <f t="shared" ref="AV259:AV322" si="126">IF(AND(AU259&gt;=1,AU259&lt;5),"Oppose",IF(AND(AU259&gt;=5,AU259&lt;8),"Neutral",IF(AND(AU259&gt;=8,AU259&lt;=10),"Support","")))</f>
        <v>Neutral</v>
      </c>
      <c r="AW259">
        <f>survey_responses[[#This Row],[Tôi tin tưởng số tiền thuế tôi đóng sẽ được Nhà nước sử dụng hiệu quả để cải thiện dịch vụ công (y tế, đường xá...). - HUMAN-TRU3]]</f>
        <v>5</v>
      </c>
      <c r="AX259" t="str">
        <f t="shared" ref="AX259:AX322" si="127">IF(AND(AW259&gt;=1,AW259&lt;5),"Oppose",IF(AND(AW259&gt;=5,AW259&lt;8),"Neutral",IF(AND(AW259&gt;=8,AW259&lt;=10),"Support","")))</f>
        <v>Neutral</v>
      </c>
      <c r="AY259" s="32">
        <f t="shared" ref="AY259:AY322" si="128">ABS(AW259-AU259)</f>
        <v>0</v>
      </c>
      <c r="AZ259">
        <f>step3_validation[[#This Row],[AI_TRU4]]</f>
        <v>6</v>
      </c>
      <c r="BA259" t="str">
        <f t="shared" ref="BA259:BA322" si="129">IF(AND(AZ259&gt;=1,AZ259&lt;5),"Oppose",IF(AND(AZ259&gt;=5,AZ259&lt;8),"Neutral",IF(AND(AZ259&gt;=8,AZ259&lt;=10),"Support","")))</f>
        <v>Neutral</v>
      </c>
      <c r="BB259">
        <f>survey_responses[[#This Row],[Tôi thấy Nhà nước đã giải thích rõ ràng, minh bạch về lý do và mục tiêu của việc sửa đổi thuế lần này. - HUMAN-TRU4]]</f>
        <v>6</v>
      </c>
      <c r="BC259" t="str">
        <f t="shared" ref="BC259:BC322" si="130">IF(AND(BB259&gt;=1,BB259&lt;5),"Oppose",IF(AND(BB259&gt;=5,BB259&lt;8),"Neutral",IF(AND(BB259&gt;=8,BB259&lt;=10),"Support","")))</f>
        <v>Neutral</v>
      </c>
      <c r="BD259" s="32">
        <f t="shared" ref="BD259:BD322" si="131">ABS(BB259-AZ259)</f>
        <v>0</v>
      </c>
      <c r="BE259">
        <f>step3_validation[[#This Row],[AI_OUT1]]</f>
        <v>7</v>
      </c>
      <c r="BF259" t="str">
        <f t="shared" ref="BF259:BF322" si="132">IF(AND(BE259&gt;=1,BE259&lt;5),"Oppose",IF(AND(BE259&gt;=5,BE259&lt;8),"Neutral",IF(AND(BE259&gt;=8,BE259&lt;=10),"Support","")))</f>
        <v>Neutral</v>
      </c>
      <c r="BG259">
        <f>survey_responses[[#This Row],[Sau khi xem xét các quyền lợi và nghĩa vụ, bạn có ủng hộ và tuân thủ chính sách mới hiện nay? - HUMAN-OUT1]]</f>
        <v>5</v>
      </c>
      <c r="BH259" t="str">
        <f t="shared" ref="BH259:BH322" si="133">IF(AND(BG259&gt;=1,BG259&lt;5),"Oppose",IF(AND(BG259&gt;=5,BG259&lt;8),"Neutral",IF(AND(BG259&gt;=8,BG259&lt;=10),"Support","")))</f>
        <v>Neutral</v>
      </c>
      <c r="BI259" s="32">
        <f t="shared" ref="BI259:BI322" si="134">ABS(BG259-BE259)</f>
        <v>2</v>
      </c>
    </row>
    <row r="260" spans="1:61" x14ac:dyDescent="0.45">
      <c r="A260" s="30">
        <f>step3_validation[[#This Row],[Persona_ID]]</f>
        <v>259</v>
      </c>
      <c r="B260" s="31">
        <f>step3_validation[[#This Row],[Used_Seed]]</f>
        <v>2249</v>
      </c>
      <c r="C260" t="str">
        <f>step3_validation[[#This Row],[Gender]]</f>
        <v>Nam</v>
      </c>
      <c r="D260" t="str">
        <f>survey_responses[[#This Row],[Giới tính của bạn:]]</f>
        <v>Nam</v>
      </c>
      <c r="E260" t="str">
        <f>step3_validation[[#This Row],[Age_Group]]</f>
        <v>50 - 54</v>
      </c>
      <c r="F260" t="str">
        <f>survey_responses[[#This Row],[Độ tuổi của bạn:]]</f>
        <v>50 - 54</v>
      </c>
      <c r="G260" t="str">
        <f>step3_validation[[#This Row],[Region]]</f>
        <v>Thành thị</v>
      </c>
      <c r="H260" t="str">
        <f>survey_responses[[#This Row],[Khu vực bạn đang sinh sống:]]</f>
        <v>Thành thị</v>
      </c>
      <c r="I260" t="str">
        <f>step3_validation[[#This Row],[Education]]</f>
        <v>Sau Đại học</v>
      </c>
      <c r="J260" t="str">
        <f>survey_responses[[#This Row],[Trình độ học vấn cao nhất:]]</f>
        <v>Sau Đại học</v>
      </c>
      <c r="K260" t="str">
        <f>step3_validation[[#This Row],[Employment]]</f>
        <v>Chính thức</v>
      </c>
      <c r="L260" t="str">
        <f>survey_responses[[#This Row],[Tình trạng việc làm chính:]]</f>
        <v>Khu vực chính thức (Có Hợp đồng lao động, đóng BHXH)</v>
      </c>
      <c r="M260">
        <f>step3_validation[[#This Row],[Income_Mil]]</f>
        <v>191.86155060733867</v>
      </c>
      <c r="N260" t="str">
        <f>survey_responses[[#This Row],[Thu nhập bình quân tháng theo Hợp đồng lao động của bạn là bao nhiêu? (Vui lòng điền tổng thu nhập trước khi khấu trừ các loại Bảo hiểm (BHXH, BHYT, BHTN) và Thuế TNCN)]]</f>
        <v>Trên 102 triệu VNĐ</v>
      </c>
      <c r="O260">
        <f>step3_validation[[#This Row],[Dependents]]</f>
        <v>4</v>
      </c>
      <c r="P260" t="str">
        <f>survey_responses[[#This Row],[Số người phụ thuộc (con nhỏ, cha mẹ già...) đủ điều kiện giảm trừ gia cảnh:]]</f>
        <v>4 người trở lên</v>
      </c>
      <c r="Q260">
        <f>step3_validation[[#This Row],[AI_ENF1]]</f>
        <v>7</v>
      </c>
      <c r="R260" t="str">
        <f t="shared" si="108"/>
        <v>Neutral</v>
      </c>
      <c r="S260">
        <f>survey_responses[[#This Row],[Tôi tin rằng với các quy định quản lý thuế hiện nay, hành vi gian lận hoặc trốn thuế sẽ dễ dàng bị phát hiện và xử lý nghiêm. - HUMAN-ENF1]]</f>
        <v>2</v>
      </c>
      <c r="T260" t="str">
        <f t="shared" si="109"/>
        <v>Oppose</v>
      </c>
      <c r="U260" s="32">
        <f t="shared" si="110"/>
        <v>5</v>
      </c>
      <c r="V260">
        <f>step3_validation[[#This Row],[AI_ENF2]]</f>
        <v>8</v>
      </c>
      <c r="W260" t="str">
        <f t="shared" si="111"/>
        <v>Support</v>
      </c>
      <c r="X260">
        <f>survey_responses[[#This Row],[Tôi tin rằng Nhà nước, cơ quan thuế có đủ khả năng và công nghệ để phát hiện, xử lý nghiêm các hành vi trốn thuế. - HUMAN-ENF2]]</f>
        <v>1</v>
      </c>
      <c r="Y260" t="str">
        <f t="shared" si="112"/>
        <v>Oppose</v>
      </c>
      <c r="Z260" s="32">
        <f t="shared" si="113"/>
        <v>7</v>
      </c>
      <c r="AA260">
        <f>step3_validation[[#This Row],[AI_FAC1]]</f>
        <v>6</v>
      </c>
      <c r="AB260" t="str">
        <f t="shared" si="114"/>
        <v>Neutral</v>
      </c>
      <c r="AC260">
        <f>survey_responses[[#This Row],[Các thủ tục khai báo thuế VÀ/HOẶC quy trình làm việc với cơ quan thuế đơn giản, tiện lợi, nhanh chóng hơn so với trước đây. - HUMAN-FAC1]]</f>
        <v>1</v>
      </c>
      <c r="AD260" t="str">
        <f t="shared" si="115"/>
        <v>Oppose</v>
      </c>
      <c r="AE260" s="32">
        <f t="shared" si="116"/>
        <v>5</v>
      </c>
      <c r="AF260">
        <f>step3_validation[[#This Row],[AI_FAC2]]</f>
        <v>7</v>
      </c>
      <c r="AG260" t="str">
        <f t="shared" si="117"/>
        <v>Neutral</v>
      </c>
      <c r="AH260">
        <f>survey_responses[[#This Row],[So với trước đây, tôi thấy cách tính thuế và các bậc thuế trong phương án mới đơn giản, dễ hiểu và dễ thực hiện hơn. - HUMAN-FAC2]]</f>
        <v>6</v>
      </c>
      <c r="AI260" t="str">
        <f t="shared" si="118"/>
        <v>Neutral</v>
      </c>
      <c r="AJ260" s="32">
        <f t="shared" si="119"/>
        <v>1</v>
      </c>
      <c r="AK260">
        <f>step3_validation[[#This Row],[AI_TRU1]]</f>
        <v>6</v>
      </c>
      <c r="AL260" t="str">
        <f t="shared" si="120"/>
        <v>Neutral</v>
      </c>
      <c r="AM260">
        <f>survey_responses[[#This Row],[Tôi tin rằng Nhà nước, cơ quan thuế sẽ thực thi chính sách mới một cách khách quan, công tâm và đối xử bình đẳng với mọi người nộp thuế.  - HUMAN-TRU1]]</f>
        <v>2</v>
      </c>
      <c r="AN260" t="str">
        <f t="shared" si="121"/>
        <v>Oppose</v>
      </c>
      <c r="AO260" s="32">
        <f t="shared" si="122"/>
        <v>4</v>
      </c>
      <c r="AP260">
        <f>step3_validation[[#This Row],[AI_TRU2]]</f>
        <v>8</v>
      </c>
      <c r="AQ260" t="str">
        <f t="shared" si="123"/>
        <v>Support</v>
      </c>
      <c r="AR260">
        <f>survey_responses[[#This Row],[Tôi thấy mức thuế tôi phải đóng theo phương án mới là công bằng (người thu nhập như tôi đóng mức này là hợp lý). - HUMAN-TRU2]]</f>
        <v>3</v>
      </c>
      <c r="AS260" t="str">
        <f t="shared" si="124"/>
        <v>Oppose</v>
      </c>
      <c r="AT260" s="32">
        <f t="shared" si="125"/>
        <v>5</v>
      </c>
      <c r="AU260">
        <f>step3_validation[[#This Row],[AI_TRU3]]</f>
        <v>7</v>
      </c>
      <c r="AV260" t="str">
        <f t="shared" si="126"/>
        <v>Neutral</v>
      </c>
      <c r="AW260">
        <f>survey_responses[[#This Row],[Tôi tin tưởng số tiền thuế tôi đóng sẽ được Nhà nước sử dụng hiệu quả để cải thiện dịch vụ công (y tế, đường xá...). - HUMAN-TRU3]]</f>
        <v>1</v>
      </c>
      <c r="AX260" t="str">
        <f t="shared" si="127"/>
        <v>Oppose</v>
      </c>
      <c r="AY260" s="32">
        <f t="shared" si="128"/>
        <v>6</v>
      </c>
      <c r="AZ260">
        <f>step3_validation[[#This Row],[AI_TRU4]]</f>
        <v>8</v>
      </c>
      <c r="BA260" t="str">
        <f t="shared" si="129"/>
        <v>Support</v>
      </c>
      <c r="BB260">
        <f>survey_responses[[#This Row],[Tôi thấy Nhà nước đã giải thích rõ ràng, minh bạch về lý do và mục tiêu của việc sửa đổi thuế lần này. - HUMAN-TRU4]]</f>
        <v>5</v>
      </c>
      <c r="BC260" t="str">
        <f t="shared" si="130"/>
        <v>Neutral</v>
      </c>
      <c r="BD260" s="32">
        <f t="shared" si="131"/>
        <v>3</v>
      </c>
      <c r="BE260">
        <f>step3_validation[[#This Row],[AI_OUT1]]</f>
        <v>7</v>
      </c>
      <c r="BF260" t="str">
        <f t="shared" si="132"/>
        <v>Neutral</v>
      </c>
      <c r="BG260">
        <f>survey_responses[[#This Row],[Sau khi xem xét các quyền lợi và nghĩa vụ, bạn có ủng hộ và tuân thủ chính sách mới hiện nay? - HUMAN-OUT1]]</f>
        <v>4</v>
      </c>
      <c r="BH260" t="str">
        <f t="shared" si="133"/>
        <v>Oppose</v>
      </c>
      <c r="BI260" s="32">
        <f t="shared" si="134"/>
        <v>3</v>
      </c>
    </row>
    <row r="261" spans="1:61" x14ac:dyDescent="0.45">
      <c r="A261" s="30">
        <f>step3_validation[[#This Row],[Persona_ID]]</f>
        <v>260</v>
      </c>
      <c r="B261" s="31">
        <f>step3_validation[[#This Row],[Used_Seed]]</f>
        <v>2250</v>
      </c>
      <c r="C261" t="str">
        <f>step3_validation[[#This Row],[Gender]]</f>
        <v>Nữ</v>
      </c>
      <c r="D261" t="str">
        <f>survey_responses[[#This Row],[Giới tính của bạn:]]</f>
        <v>Nữ</v>
      </c>
      <c r="E261" t="str">
        <f>step3_validation[[#This Row],[Age_Group]]</f>
        <v>30 - 39</v>
      </c>
      <c r="F261" t="str">
        <f>survey_responses[[#This Row],[Độ tuổi của bạn:]]</f>
        <v>30 - 39</v>
      </c>
      <c r="G261" t="str">
        <f>step3_validation[[#This Row],[Region]]</f>
        <v>Nông thôn</v>
      </c>
      <c r="H261" t="str">
        <f>survey_responses[[#This Row],[Khu vực bạn đang sinh sống:]]</f>
        <v>Nông thôn</v>
      </c>
      <c r="I261" t="str">
        <f>step3_validation[[#This Row],[Education]]</f>
        <v>Đại học</v>
      </c>
      <c r="J261" t="str">
        <f>survey_responses[[#This Row],[Trình độ học vấn cao nhất:]]</f>
        <v>Đại học</v>
      </c>
      <c r="K261" t="str">
        <f>step3_validation[[#This Row],[Employment]]</f>
        <v>Chính thức</v>
      </c>
      <c r="L261" t="str">
        <f>survey_responses[[#This Row],[Tình trạng việc làm chính:]]</f>
        <v>Khu vực chính thức (Có Hợp đồng lao động, đóng BHXH)</v>
      </c>
      <c r="M261">
        <f>step3_validation[[#This Row],[Income_Mil]]</f>
        <v>37.838960492696707</v>
      </c>
      <c r="N261" t="str">
        <f>survey_responses[[#This Row],[Thu nhập bình quân tháng theo Hợp đồng lao động của bạn là bao nhiêu? (Vui lòng điền tổng thu nhập trước khi khấu trừ các loại Bảo hiểm (BHXH, BHYT, BHTN) và Thuế TNCN)]]</f>
        <v>Từ 32 - 48 triệu VNĐ</v>
      </c>
      <c r="O261">
        <f>step3_validation[[#This Row],[Dependents]]</f>
        <v>2</v>
      </c>
      <c r="P261" t="str">
        <f>survey_responses[[#This Row],[Số người phụ thuộc (con nhỏ, cha mẹ già...) đủ điều kiện giảm trừ gia cảnh:]]</f>
        <v>2 người</v>
      </c>
      <c r="Q261">
        <f>step3_validation[[#This Row],[AI_ENF1]]</f>
        <v>7</v>
      </c>
      <c r="R261" t="str">
        <f t="shared" si="108"/>
        <v>Neutral</v>
      </c>
      <c r="S261">
        <f>survey_responses[[#This Row],[Tôi tin rằng với các quy định quản lý thuế hiện nay, hành vi gian lận hoặc trốn thuế sẽ dễ dàng bị phát hiện và xử lý nghiêm. - HUMAN-ENF1]]</f>
        <v>6</v>
      </c>
      <c r="T261" t="str">
        <f t="shared" si="109"/>
        <v>Neutral</v>
      </c>
      <c r="U261" s="32">
        <f t="shared" si="110"/>
        <v>1</v>
      </c>
      <c r="V261">
        <f>step3_validation[[#This Row],[AI_ENF2]]</f>
        <v>8</v>
      </c>
      <c r="W261" t="str">
        <f t="shared" si="111"/>
        <v>Support</v>
      </c>
      <c r="X261">
        <f>survey_responses[[#This Row],[Tôi tin rằng Nhà nước, cơ quan thuế có đủ khả năng và công nghệ để phát hiện, xử lý nghiêm các hành vi trốn thuế. - HUMAN-ENF2]]</f>
        <v>6</v>
      </c>
      <c r="Y261" t="str">
        <f t="shared" si="112"/>
        <v>Neutral</v>
      </c>
      <c r="Z261" s="32">
        <f t="shared" si="113"/>
        <v>2</v>
      </c>
      <c r="AA261">
        <f>step3_validation[[#This Row],[AI_FAC1]]</f>
        <v>6</v>
      </c>
      <c r="AB261" t="str">
        <f t="shared" si="114"/>
        <v>Neutral</v>
      </c>
      <c r="AC261">
        <f>survey_responses[[#This Row],[Các thủ tục khai báo thuế VÀ/HOẶC quy trình làm việc với cơ quan thuế đơn giản, tiện lợi, nhanh chóng hơn so với trước đây. - HUMAN-FAC1]]</f>
        <v>7</v>
      </c>
      <c r="AD261" t="str">
        <f t="shared" si="115"/>
        <v>Neutral</v>
      </c>
      <c r="AE261" s="32">
        <f t="shared" si="116"/>
        <v>1</v>
      </c>
      <c r="AF261">
        <f>step3_validation[[#This Row],[AI_FAC2]]</f>
        <v>9</v>
      </c>
      <c r="AG261" t="str">
        <f t="shared" si="117"/>
        <v>Support</v>
      </c>
      <c r="AH261">
        <f>survey_responses[[#This Row],[So với trước đây, tôi thấy cách tính thuế và các bậc thuế trong phương án mới đơn giản, dễ hiểu và dễ thực hiện hơn. - HUMAN-FAC2]]</f>
        <v>6</v>
      </c>
      <c r="AI261" t="str">
        <f t="shared" si="118"/>
        <v>Neutral</v>
      </c>
      <c r="AJ261" s="32">
        <f t="shared" si="119"/>
        <v>3</v>
      </c>
      <c r="AK261">
        <f>step3_validation[[#This Row],[AI_TRU1]]</f>
        <v>8</v>
      </c>
      <c r="AL261" t="str">
        <f t="shared" si="120"/>
        <v>Support</v>
      </c>
      <c r="AM261">
        <f>survey_responses[[#This Row],[Tôi tin rằng Nhà nước, cơ quan thuế sẽ thực thi chính sách mới một cách khách quan, công tâm và đối xử bình đẳng với mọi người nộp thuế.  - HUMAN-TRU1]]</f>
        <v>5</v>
      </c>
      <c r="AN261" t="str">
        <f t="shared" si="121"/>
        <v>Neutral</v>
      </c>
      <c r="AO261" s="32">
        <f t="shared" si="122"/>
        <v>3</v>
      </c>
      <c r="AP261">
        <f>step3_validation[[#This Row],[AI_TRU2]]</f>
        <v>7</v>
      </c>
      <c r="AQ261" t="str">
        <f t="shared" si="123"/>
        <v>Neutral</v>
      </c>
      <c r="AR261">
        <f>survey_responses[[#This Row],[Tôi thấy mức thuế tôi phải đóng theo phương án mới là công bằng (người thu nhập như tôi đóng mức này là hợp lý). - HUMAN-TRU2]]</f>
        <v>6</v>
      </c>
      <c r="AS261" t="str">
        <f t="shared" si="124"/>
        <v>Neutral</v>
      </c>
      <c r="AT261" s="32">
        <f t="shared" si="125"/>
        <v>1</v>
      </c>
      <c r="AU261">
        <f>step3_validation[[#This Row],[AI_TRU3]]</f>
        <v>8</v>
      </c>
      <c r="AV261" t="str">
        <f t="shared" si="126"/>
        <v>Support</v>
      </c>
      <c r="AW261">
        <f>survey_responses[[#This Row],[Tôi tin tưởng số tiền thuế tôi đóng sẽ được Nhà nước sử dụng hiệu quả để cải thiện dịch vụ công (y tế, đường xá...). - HUMAN-TRU3]]</f>
        <v>5</v>
      </c>
      <c r="AX261" t="str">
        <f t="shared" si="127"/>
        <v>Neutral</v>
      </c>
      <c r="AY261" s="32">
        <f t="shared" si="128"/>
        <v>3</v>
      </c>
      <c r="AZ261">
        <f>step3_validation[[#This Row],[AI_TRU4]]</f>
        <v>5</v>
      </c>
      <c r="BA261" t="str">
        <f t="shared" si="129"/>
        <v>Neutral</v>
      </c>
      <c r="BB261">
        <f>survey_responses[[#This Row],[Tôi thấy Nhà nước đã giải thích rõ ràng, minh bạch về lý do và mục tiêu của việc sửa đổi thuế lần này. - HUMAN-TRU4]]</f>
        <v>6</v>
      </c>
      <c r="BC261" t="str">
        <f t="shared" si="130"/>
        <v>Neutral</v>
      </c>
      <c r="BD261" s="32">
        <f t="shared" si="131"/>
        <v>1</v>
      </c>
      <c r="BE261">
        <f>step3_validation[[#This Row],[AI_OUT1]]</f>
        <v>7</v>
      </c>
      <c r="BF261" t="str">
        <f t="shared" si="132"/>
        <v>Neutral</v>
      </c>
      <c r="BG261">
        <f>survey_responses[[#This Row],[Sau khi xem xét các quyền lợi và nghĩa vụ, bạn có ủng hộ và tuân thủ chính sách mới hiện nay? - HUMAN-OUT1]]</f>
        <v>6</v>
      </c>
      <c r="BH261" t="str">
        <f t="shared" si="133"/>
        <v>Neutral</v>
      </c>
      <c r="BI261" s="32">
        <f t="shared" si="134"/>
        <v>1</v>
      </c>
    </row>
    <row r="262" spans="1:61" x14ac:dyDescent="0.45">
      <c r="A262" s="30">
        <f>step3_validation[[#This Row],[Persona_ID]]</f>
        <v>261</v>
      </c>
      <c r="B262" s="31">
        <f>step3_validation[[#This Row],[Used_Seed]]</f>
        <v>2251</v>
      </c>
      <c r="C262" t="str">
        <f>step3_validation[[#This Row],[Gender]]</f>
        <v>Nam</v>
      </c>
      <c r="D262" t="str">
        <f>survey_responses[[#This Row],[Giới tính của bạn:]]</f>
        <v>Nam</v>
      </c>
      <c r="E262" t="str">
        <f>step3_validation[[#This Row],[Age_Group]]</f>
        <v>30 - 39</v>
      </c>
      <c r="F262" t="str">
        <f>survey_responses[[#This Row],[Độ tuổi của bạn:]]</f>
        <v>30 - 39</v>
      </c>
      <c r="G262" t="str">
        <f>step3_validation[[#This Row],[Region]]</f>
        <v>Thành thị</v>
      </c>
      <c r="H262" t="str">
        <f>survey_responses[[#This Row],[Khu vực bạn đang sinh sống:]]</f>
        <v>Thành thị</v>
      </c>
      <c r="I262" t="str">
        <f>step3_validation[[#This Row],[Education]]</f>
        <v>Đại học</v>
      </c>
      <c r="J262" t="str">
        <f>survey_responses[[#This Row],[Trình độ học vấn cao nhất:]]</f>
        <v>Đại học</v>
      </c>
      <c r="K262" t="str">
        <f>step3_validation[[#This Row],[Employment]]</f>
        <v>Chính thức</v>
      </c>
      <c r="L262" t="str">
        <f>survey_responses[[#This Row],[Tình trạng việc làm chính:]]</f>
        <v>Khu vực chính thức (Có Hợp đồng lao động, đóng BHXH)</v>
      </c>
      <c r="M262">
        <f>step3_validation[[#This Row],[Income_Mil]]</f>
        <v>44.657972186580224</v>
      </c>
      <c r="N262" t="str">
        <f>survey_responses[[#This Row],[Thu nhập bình quân tháng theo Hợp đồng lao động của bạn là bao nhiêu? (Vui lòng điền tổng thu nhập trước khi khấu trừ các loại Bảo hiểm (BHXH, BHYT, BHTN) và Thuế TNCN)]]</f>
        <v>Từ 32 - 48 triệu VNĐ</v>
      </c>
      <c r="O262">
        <f>step3_validation[[#This Row],[Dependents]]</f>
        <v>1</v>
      </c>
      <c r="P262" t="str">
        <f>survey_responses[[#This Row],[Số người phụ thuộc (con nhỏ, cha mẹ già...) đủ điều kiện giảm trừ gia cảnh:]]</f>
        <v>1 người</v>
      </c>
      <c r="Q262">
        <f>step3_validation[[#This Row],[AI_ENF1]]</f>
        <v>8</v>
      </c>
      <c r="R262" t="str">
        <f t="shared" si="108"/>
        <v>Support</v>
      </c>
      <c r="S262">
        <f>survey_responses[[#This Row],[Tôi tin rằng với các quy định quản lý thuế hiện nay, hành vi gian lận hoặc trốn thuế sẽ dễ dàng bị phát hiện và xử lý nghiêm. - HUMAN-ENF1]]</f>
        <v>6</v>
      </c>
      <c r="T262" t="str">
        <f t="shared" si="109"/>
        <v>Neutral</v>
      </c>
      <c r="U262" s="32">
        <f t="shared" si="110"/>
        <v>2</v>
      </c>
      <c r="V262">
        <f>step3_validation[[#This Row],[AI_ENF2]]</f>
        <v>7</v>
      </c>
      <c r="W262" t="str">
        <f t="shared" si="111"/>
        <v>Neutral</v>
      </c>
      <c r="X262">
        <f>survey_responses[[#This Row],[Tôi tin rằng Nhà nước, cơ quan thuế có đủ khả năng và công nghệ để phát hiện, xử lý nghiêm các hành vi trốn thuế. - HUMAN-ENF2]]</f>
        <v>7</v>
      </c>
      <c r="Y262" t="str">
        <f t="shared" si="112"/>
        <v>Neutral</v>
      </c>
      <c r="Z262" s="32">
        <f t="shared" si="113"/>
        <v>0</v>
      </c>
      <c r="AA262">
        <f>step3_validation[[#This Row],[AI_FAC1]]</f>
        <v>6</v>
      </c>
      <c r="AB262" t="str">
        <f t="shared" si="114"/>
        <v>Neutral</v>
      </c>
      <c r="AC262">
        <f>survey_responses[[#This Row],[Các thủ tục khai báo thuế VÀ/HOẶC quy trình làm việc với cơ quan thuế đơn giản, tiện lợi, nhanh chóng hơn so với trước đây. - HUMAN-FAC1]]</f>
        <v>1</v>
      </c>
      <c r="AD262" t="str">
        <f t="shared" si="115"/>
        <v>Oppose</v>
      </c>
      <c r="AE262" s="32">
        <f t="shared" si="116"/>
        <v>5</v>
      </c>
      <c r="AF262">
        <f>step3_validation[[#This Row],[AI_FAC2]]</f>
        <v>8</v>
      </c>
      <c r="AG262" t="str">
        <f t="shared" si="117"/>
        <v>Support</v>
      </c>
      <c r="AH262">
        <f>survey_responses[[#This Row],[So với trước đây, tôi thấy cách tính thuế và các bậc thuế trong phương án mới đơn giản, dễ hiểu và dễ thực hiện hơn. - HUMAN-FAC2]]</f>
        <v>9</v>
      </c>
      <c r="AI262" t="str">
        <f t="shared" si="118"/>
        <v>Support</v>
      </c>
      <c r="AJ262" s="32">
        <f t="shared" si="119"/>
        <v>1</v>
      </c>
      <c r="AK262">
        <f>step3_validation[[#This Row],[AI_TRU1]]</f>
        <v>7</v>
      </c>
      <c r="AL262" t="str">
        <f t="shared" si="120"/>
        <v>Neutral</v>
      </c>
      <c r="AM262">
        <f>survey_responses[[#This Row],[Tôi tin rằng Nhà nước, cơ quan thuế sẽ thực thi chính sách mới một cách khách quan, công tâm và đối xử bình đẳng với mọi người nộp thuế.  - HUMAN-TRU1]]</f>
        <v>5</v>
      </c>
      <c r="AN262" t="str">
        <f t="shared" si="121"/>
        <v>Neutral</v>
      </c>
      <c r="AO262" s="32">
        <f t="shared" si="122"/>
        <v>2</v>
      </c>
      <c r="AP262">
        <f>step3_validation[[#This Row],[AI_TRU2]]</f>
        <v>6</v>
      </c>
      <c r="AQ262" t="str">
        <f t="shared" si="123"/>
        <v>Neutral</v>
      </c>
      <c r="AR262">
        <f>survey_responses[[#This Row],[Tôi thấy mức thuế tôi phải đóng theo phương án mới là công bằng (người thu nhập như tôi đóng mức này là hợp lý). - HUMAN-TRU2]]</f>
        <v>4</v>
      </c>
      <c r="AS262" t="str">
        <f t="shared" si="124"/>
        <v>Oppose</v>
      </c>
      <c r="AT262" s="32">
        <f t="shared" si="125"/>
        <v>2</v>
      </c>
      <c r="AU262">
        <f>step3_validation[[#This Row],[AI_TRU3]]</f>
        <v>5</v>
      </c>
      <c r="AV262" t="str">
        <f t="shared" si="126"/>
        <v>Neutral</v>
      </c>
      <c r="AW262">
        <f>survey_responses[[#This Row],[Tôi tin tưởng số tiền thuế tôi đóng sẽ được Nhà nước sử dụng hiệu quả để cải thiện dịch vụ công (y tế, đường xá...). - HUMAN-TRU3]]</f>
        <v>4</v>
      </c>
      <c r="AX262" t="str">
        <f t="shared" si="127"/>
        <v>Oppose</v>
      </c>
      <c r="AY262" s="32">
        <f t="shared" si="128"/>
        <v>1</v>
      </c>
      <c r="AZ262">
        <f>step3_validation[[#This Row],[AI_TRU4]]</f>
        <v>6</v>
      </c>
      <c r="BA262" t="str">
        <f t="shared" si="129"/>
        <v>Neutral</v>
      </c>
      <c r="BB262">
        <f>survey_responses[[#This Row],[Tôi thấy Nhà nước đã giải thích rõ ràng, minh bạch về lý do và mục tiêu của việc sửa đổi thuế lần này. - HUMAN-TRU4]]</f>
        <v>5</v>
      </c>
      <c r="BC262" t="str">
        <f t="shared" si="130"/>
        <v>Neutral</v>
      </c>
      <c r="BD262" s="32">
        <f t="shared" si="131"/>
        <v>1</v>
      </c>
      <c r="BE262">
        <f>step3_validation[[#This Row],[AI_OUT1]]</f>
        <v>6</v>
      </c>
      <c r="BF262" t="str">
        <f t="shared" si="132"/>
        <v>Neutral</v>
      </c>
      <c r="BG262">
        <f>survey_responses[[#This Row],[Sau khi xem xét các quyền lợi và nghĩa vụ, bạn có ủng hộ và tuân thủ chính sách mới hiện nay? - HUMAN-OUT1]]</f>
        <v>5</v>
      </c>
      <c r="BH262" t="str">
        <f t="shared" si="133"/>
        <v>Neutral</v>
      </c>
      <c r="BI262" s="32">
        <f t="shared" si="134"/>
        <v>1</v>
      </c>
    </row>
    <row r="263" spans="1:61" x14ac:dyDescent="0.45">
      <c r="A263" s="30">
        <f>step3_validation[[#This Row],[Persona_ID]]</f>
        <v>262</v>
      </c>
      <c r="B263" s="31">
        <f>step3_validation[[#This Row],[Used_Seed]]</f>
        <v>2252</v>
      </c>
      <c r="C263" t="str">
        <f>step3_validation[[#This Row],[Gender]]</f>
        <v>Nam</v>
      </c>
      <c r="D263" t="str">
        <f>survey_responses[[#This Row],[Giới tính của bạn:]]</f>
        <v>Nam</v>
      </c>
      <c r="E263" t="str">
        <f>step3_validation[[#This Row],[Age_Group]]</f>
        <v>30 - 39</v>
      </c>
      <c r="F263" t="str">
        <f>survey_responses[[#This Row],[Độ tuổi của bạn:]]</f>
        <v>30 - 39</v>
      </c>
      <c r="G263" t="str">
        <f>step3_validation[[#This Row],[Region]]</f>
        <v>Thành thị</v>
      </c>
      <c r="H263" t="str">
        <f>survey_responses[[#This Row],[Khu vực bạn đang sinh sống:]]</f>
        <v>Thành thị</v>
      </c>
      <c r="I263" t="str">
        <f>step3_validation[[#This Row],[Education]]</f>
        <v>Đại học</v>
      </c>
      <c r="J263" t="str">
        <f>survey_responses[[#This Row],[Trình độ học vấn cao nhất:]]</f>
        <v>Đại học</v>
      </c>
      <c r="K263" t="str">
        <f>step3_validation[[#This Row],[Employment]]</f>
        <v>Chính thức</v>
      </c>
      <c r="L263" t="str">
        <f>survey_responses[[#This Row],[Tình trạng việc làm chính:]]</f>
        <v>Khu vực chính thức (Có Hợp đồng lao động, đóng BHXH)</v>
      </c>
      <c r="M263">
        <f>step3_validation[[#This Row],[Income_Mil]]</f>
        <v>52.492717578087984</v>
      </c>
      <c r="N263" t="str">
        <f>survey_responses[[#This Row],[Thu nhập bình quân tháng theo Hợp đồng lao động của bạn là bao nhiêu? (Vui lòng điền tổng thu nhập trước khi khấu trừ các loại Bảo hiểm (BHXH, BHYT, BHTN) và Thuế TNCN)]]</f>
        <v>Từ 48 - 70 triệu VNĐ</v>
      </c>
      <c r="O263">
        <f>step3_validation[[#This Row],[Dependents]]</f>
        <v>4</v>
      </c>
      <c r="P263" t="str">
        <f>survey_responses[[#This Row],[Số người phụ thuộc (con nhỏ, cha mẹ già...) đủ điều kiện giảm trừ gia cảnh:]]</f>
        <v>4 người trở lên</v>
      </c>
      <c r="Q263">
        <f>step3_validation[[#This Row],[AI_ENF1]]</f>
        <v>7</v>
      </c>
      <c r="R263" t="str">
        <f t="shared" si="108"/>
        <v>Neutral</v>
      </c>
      <c r="S263">
        <f>survey_responses[[#This Row],[Tôi tin rằng với các quy định quản lý thuế hiện nay, hành vi gian lận hoặc trốn thuế sẽ dễ dàng bị phát hiện và xử lý nghiêm. - HUMAN-ENF1]]</f>
        <v>9</v>
      </c>
      <c r="T263" t="str">
        <f t="shared" si="109"/>
        <v>Support</v>
      </c>
      <c r="U263" s="32">
        <f t="shared" si="110"/>
        <v>2</v>
      </c>
      <c r="V263">
        <f>step3_validation[[#This Row],[AI_ENF2]]</f>
        <v>8</v>
      </c>
      <c r="W263" t="str">
        <f t="shared" si="111"/>
        <v>Support</v>
      </c>
      <c r="X263">
        <f>survey_responses[[#This Row],[Tôi tin rằng Nhà nước, cơ quan thuế có đủ khả năng và công nghệ để phát hiện, xử lý nghiêm các hành vi trốn thuế. - HUMAN-ENF2]]</f>
        <v>9</v>
      </c>
      <c r="Y263" t="str">
        <f t="shared" si="112"/>
        <v>Support</v>
      </c>
      <c r="Z263" s="32">
        <f t="shared" si="113"/>
        <v>1</v>
      </c>
      <c r="AA263">
        <f>step3_validation[[#This Row],[AI_FAC1]]</f>
        <v>9</v>
      </c>
      <c r="AB263" t="str">
        <f t="shared" si="114"/>
        <v>Support</v>
      </c>
      <c r="AC263">
        <f>survey_responses[[#This Row],[Các thủ tục khai báo thuế VÀ/HOẶC quy trình làm việc với cơ quan thuế đơn giản, tiện lợi, nhanh chóng hơn so với trước đây. - HUMAN-FAC1]]</f>
        <v>8</v>
      </c>
      <c r="AD263" t="str">
        <f t="shared" si="115"/>
        <v>Support</v>
      </c>
      <c r="AE263" s="32">
        <f t="shared" si="116"/>
        <v>1</v>
      </c>
      <c r="AF263">
        <f>step3_validation[[#This Row],[AI_FAC2]]</f>
        <v>8</v>
      </c>
      <c r="AG263" t="str">
        <f t="shared" si="117"/>
        <v>Support</v>
      </c>
      <c r="AH263">
        <f>survey_responses[[#This Row],[So với trước đây, tôi thấy cách tính thuế và các bậc thuế trong phương án mới đơn giản, dễ hiểu và dễ thực hiện hơn. - HUMAN-FAC2]]</f>
        <v>9</v>
      </c>
      <c r="AI263" t="str">
        <f t="shared" si="118"/>
        <v>Support</v>
      </c>
      <c r="AJ263" s="32">
        <f t="shared" si="119"/>
        <v>1</v>
      </c>
      <c r="AK263">
        <f>step3_validation[[#This Row],[AI_TRU1]]</f>
        <v>9</v>
      </c>
      <c r="AL263" t="str">
        <f t="shared" si="120"/>
        <v>Support</v>
      </c>
      <c r="AM263">
        <f>survey_responses[[#This Row],[Tôi tin rằng Nhà nước, cơ quan thuế sẽ thực thi chính sách mới một cách khách quan, công tâm và đối xử bình đẳng với mọi người nộp thuế.  - HUMAN-TRU1]]</f>
        <v>8</v>
      </c>
      <c r="AN263" t="str">
        <f t="shared" si="121"/>
        <v>Support</v>
      </c>
      <c r="AO263" s="32">
        <f t="shared" si="122"/>
        <v>1</v>
      </c>
      <c r="AP263">
        <f>step3_validation[[#This Row],[AI_TRU2]]</f>
        <v>8</v>
      </c>
      <c r="AQ263" t="str">
        <f t="shared" si="123"/>
        <v>Support</v>
      </c>
      <c r="AR263">
        <f>survey_responses[[#This Row],[Tôi thấy mức thuế tôi phải đóng theo phương án mới là công bằng (người thu nhập như tôi đóng mức này là hợp lý). - HUMAN-TRU2]]</f>
        <v>9</v>
      </c>
      <c r="AS263" t="str">
        <f t="shared" si="124"/>
        <v>Support</v>
      </c>
      <c r="AT263" s="32">
        <f t="shared" si="125"/>
        <v>1</v>
      </c>
      <c r="AU263">
        <f>step3_validation[[#This Row],[AI_TRU3]]</f>
        <v>7</v>
      </c>
      <c r="AV263" t="str">
        <f t="shared" si="126"/>
        <v>Neutral</v>
      </c>
      <c r="AW263">
        <f>survey_responses[[#This Row],[Tôi tin tưởng số tiền thuế tôi đóng sẽ được Nhà nước sử dụng hiệu quả để cải thiện dịch vụ công (y tế, đường xá...). - HUMAN-TRU3]]</f>
        <v>9</v>
      </c>
      <c r="AX263" t="str">
        <f t="shared" si="127"/>
        <v>Support</v>
      </c>
      <c r="AY263" s="32">
        <f t="shared" si="128"/>
        <v>2</v>
      </c>
      <c r="AZ263">
        <f>step3_validation[[#This Row],[AI_TRU4]]</f>
        <v>6</v>
      </c>
      <c r="BA263" t="str">
        <f t="shared" si="129"/>
        <v>Neutral</v>
      </c>
      <c r="BB263">
        <f>survey_responses[[#This Row],[Tôi thấy Nhà nước đã giải thích rõ ràng, minh bạch về lý do và mục tiêu của việc sửa đổi thuế lần này. - HUMAN-TRU4]]</f>
        <v>8</v>
      </c>
      <c r="BC263" t="str">
        <f t="shared" si="130"/>
        <v>Support</v>
      </c>
      <c r="BD263" s="32">
        <f t="shared" si="131"/>
        <v>2</v>
      </c>
      <c r="BE263">
        <f>step3_validation[[#This Row],[AI_OUT1]]</f>
        <v>8</v>
      </c>
      <c r="BF263" t="str">
        <f t="shared" si="132"/>
        <v>Support</v>
      </c>
      <c r="BG263">
        <f>survey_responses[[#This Row],[Sau khi xem xét các quyền lợi và nghĩa vụ, bạn có ủng hộ và tuân thủ chính sách mới hiện nay? - HUMAN-OUT1]]</f>
        <v>8</v>
      </c>
      <c r="BH263" t="str">
        <f t="shared" si="133"/>
        <v>Support</v>
      </c>
      <c r="BI263" s="32">
        <f t="shared" si="134"/>
        <v>0</v>
      </c>
    </row>
    <row r="264" spans="1:61" x14ac:dyDescent="0.45">
      <c r="A264" s="30">
        <f>step3_validation[[#This Row],[Persona_ID]]</f>
        <v>263</v>
      </c>
      <c r="B264" s="31">
        <f>step3_validation[[#This Row],[Used_Seed]]</f>
        <v>2253</v>
      </c>
      <c r="C264" t="str">
        <f>step3_validation[[#This Row],[Gender]]</f>
        <v>Nam</v>
      </c>
      <c r="D264" t="str">
        <f>survey_responses[[#This Row],[Giới tính của bạn:]]</f>
        <v>Nam</v>
      </c>
      <c r="E264" t="str">
        <f>step3_validation[[#This Row],[Age_Group]]</f>
        <v>30 - 39</v>
      </c>
      <c r="F264" t="str">
        <f>survey_responses[[#This Row],[Độ tuổi của bạn:]]</f>
        <v>30 - 39</v>
      </c>
      <c r="G264" t="str">
        <f>step3_validation[[#This Row],[Region]]</f>
        <v>Thành thị</v>
      </c>
      <c r="H264" t="str">
        <f>survey_responses[[#This Row],[Khu vực bạn đang sinh sống:]]</f>
        <v>Thành thị</v>
      </c>
      <c r="I264" t="str">
        <f>step3_validation[[#This Row],[Education]]</f>
        <v>Sau Đại học</v>
      </c>
      <c r="J264" t="str">
        <f>survey_responses[[#This Row],[Trình độ học vấn cao nhất:]]</f>
        <v>Sau Đại học</v>
      </c>
      <c r="K264" t="str">
        <f>step3_validation[[#This Row],[Employment]]</f>
        <v>Chính thức</v>
      </c>
      <c r="L264" t="str">
        <f>survey_responses[[#This Row],[Tình trạng việc làm chính:]]</f>
        <v>Khu vực chính thức (Có Hợp đồng lao động, đóng BHXH)</v>
      </c>
      <c r="M264">
        <f>step3_validation[[#This Row],[Income_Mil]]</f>
        <v>74.082301305339371</v>
      </c>
      <c r="N264" t="str">
        <f>survey_responses[[#This Row],[Thu nhập bình quân tháng theo Hợp đồng lao động của bạn là bao nhiêu? (Vui lòng điền tổng thu nhập trước khi khấu trừ các loại Bảo hiểm (BHXH, BHYT, BHTN) và Thuế TNCN)]]</f>
        <v>Từ 70 - 102 triệu VNĐ</v>
      </c>
      <c r="O264">
        <f>step3_validation[[#This Row],[Dependents]]</f>
        <v>3</v>
      </c>
      <c r="P264" t="str">
        <f>survey_responses[[#This Row],[Số người phụ thuộc (con nhỏ, cha mẹ già...) đủ điều kiện giảm trừ gia cảnh:]]</f>
        <v>3 người</v>
      </c>
      <c r="Q264">
        <f>step3_validation[[#This Row],[AI_ENF1]]</f>
        <v>8</v>
      </c>
      <c r="R264" t="str">
        <f t="shared" si="108"/>
        <v>Support</v>
      </c>
      <c r="S264">
        <f>survey_responses[[#This Row],[Tôi tin rằng với các quy định quản lý thuế hiện nay, hành vi gian lận hoặc trốn thuế sẽ dễ dàng bị phát hiện và xử lý nghiêm. - HUMAN-ENF1]]</f>
        <v>8</v>
      </c>
      <c r="T264" t="str">
        <f t="shared" si="109"/>
        <v>Support</v>
      </c>
      <c r="U264" s="32">
        <f t="shared" si="110"/>
        <v>0</v>
      </c>
      <c r="V264">
        <f>step3_validation[[#This Row],[AI_ENF2]]</f>
        <v>7</v>
      </c>
      <c r="W264" t="str">
        <f t="shared" si="111"/>
        <v>Neutral</v>
      </c>
      <c r="X264">
        <f>survey_responses[[#This Row],[Tôi tin rằng Nhà nước, cơ quan thuế có đủ khả năng và công nghệ để phát hiện, xử lý nghiêm các hành vi trốn thuế. - HUMAN-ENF2]]</f>
        <v>8</v>
      </c>
      <c r="Y264" t="str">
        <f t="shared" si="112"/>
        <v>Support</v>
      </c>
      <c r="Z264" s="32">
        <f t="shared" si="113"/>
        <v>1</v>
      </c>
      <c r="AA264">
        <f>step3_validation[[#This Row],[AI_FAC1]]</f>
        <v>6</v>
      </c>
      <c r="AB264" t="str">
        <f t="shared" si="114"/>
        <v>Neutral</v>
      </c>
      <c r="AC264">
        <f>survey_responses[[#This Row],[Các thủ tục khai báo thuế VÀ/HOẶC quy trình làm việc với cơ quan thuế đơn giản, tiện lợi, nhanh chóng hơn so với trước đây. - HUMAN-FAC1]]</f>
        <v>5</v>
      </c>
      <c r="AD264" t="str">
        <f t="shared" si="115"/>
        <v>Neutral</v>
      </c>
      <c r="AE264" s="32">
        <f t="shared" si="116"/>
        <v>1</v>
      </c>
      <c r="AF264">
        <f>step3_validation[[#This Row],[AI_FAC2]]</f>
        <v>8</v>
      </c>
      <c r="AG264" t="str">
        <f t="shared" si="117"/>
        <v>Support</v>
      </c>
      <c r="AH264">
        <f>survey_responses[[#This Row],[So với trước đây, tôi thấy cách tính thuế và các bậc thuế trong phương án mới đơn giản, dễ hiểu và dễ thực hiện hơn. - HUMAN-FAC2]]</f>
        <v>7</v>
      </c>
      <c r="AI264" t="str">
        <f t="shared" si="118"/>
        <v>Neutral</v>
      </c>
      <c r="AJ264" s="32">
        <f t="shared" si="119"/>
        <v>1</v>
      </c>
      <c r="AK264">
        <f>step3_validation[[#This Row],[AI_TRU1]]</f>
        <v>7</v>
      </c>
      <c r="AL264" t="str">
        <f t="shared" si="120"/>
        <v>Neutral</v>
      </c>
      <c r="AM264">
        <f>survey_responses[[#This Row],[Tôi tin rằng Nhà nước, cơ quan thuế sẽ thực thi chính sách mới một cách khách quan, công tâm và đối xử bình đẳng với mọi người nộp thuế.  - HUMAN-TRU1]]</f>
        <v>7</v>
      </c>
      <c r="AN264" t="str">
        <f t="shared" si="121"/>
        <v>Neutral</v>
      </c>
      <c r="AO264" s="32">
        <f t="shared" si="122"/>
        <v>0</v>
      </c>
      <c r="AP264">
        <f>step3_validation[[#This Row],[AI_TRU2]]</f>
        <v>6</v>
      </c>
      <c r="AQ264" t="str">
        <f t="shared" si="123"/>
        <v>Neutral</v>
      </c>
      <c r="AR264">
        <f>survey_responses[[#This Row],[Tôi thấy mức thuế tôi phải đóng theo phương án mới là công bằng (người thu nhập như tôi đóng mức này là hợp lý). - HUMAN-TRU2]]</f>
        <v>5</v>
      </c>
      <c r="AS264" t="str">
        <f t="shared" si="124"/>
        <v>Neutral</v>
      </c>
      <c r="AT264" s="32">
        <f t="shared" si="125"/>
        <v>1</v>
      </c>
      <c r="AU264">
        <f>step3_validation[[#This Row],[AI_TRU3]]</f>
        <v>7</v>
      </c>
      <c r="AV264" t="str">
        <f t="shared" si="126"/>
        <v>Neutral</v>
      </c>
      <c r="AW264">
        <f>survey_responses[[#This Row],[Tôi tin tưởng số tiền thuế tôi đóng sẽ được Nhà nước sử dụng hiệu quả để cải thiện dịch vụ công (y tế, đường xá...). - HUMAN-TRU3]]</f>
        <v>5</v>
      </c>
      <c r="AX264" t="str">
        <f t="shared" si="127"/>
        <v>Neutral</v>
      </c>
      <c r="AY264" s="32">
        <f t="shared" si="128"/>
        <v>2</v>
      </c>
      <c r="AZ264">
        <f>step3_validation[[#This Row],[AI_TRU4]]</f>
        <v>6</v>
      </c>
      <c r="BA264" t="str">
        <f t="shared" si="129"/>
        <v>Neutral</v>
      </c>
      <c r="BB264">
        <f>survey_responses[[#This Row],[Tôi thấy Nhà nước đã giải thích rõ ràng, minh bạch về lý do và mục tiêu của việc sửa đổi thuế lần này. - HUMAN-TRU4]]</f>
        <v>6</v>
      </c>
      <c r="BC264" t="str">
        <f t="shared" si="130"/>
        <v>Neutral</v>
      </c>
      <c r="BD264" s="32">
        <f t="shared" si="131"/>
        <v>0</v>
      </c>
      <c r="BE264">
        <f>step3_validation[[#This Row],[AI_OUT1]]</f>
        <v>7</v>
      </c>
      <c r="BF264" t="str">
        <f t="shared" si="132"/>
        <v>Neutral</v>
      </c>
      <c r="BG264">
        <f>survey_responses[[#This Row],[Sau khi xem xét các quyền lợi và nghĩa vụ, bạn có ủng hộ và tuân thủ chính sách mới hiện nay? - HUMAN-OUT1]]</f>
        <v>6</v>
      </c>
      <c r="BH264" t="str">
        <f t="shared" si="133"/>
        <v>Neutral</v>
      </c>
      <c r="BI264" s="32">
        <f t="shared" si="134"/>
        <v>1</v>
      </c>
    </row>
    <row r="265" spans="1:61" x14ac:dyDescent="0.45">
      <c r="A265" s="30">
        <f>step3_validation[[#This Row],[Persona_ID]]</f>
        <v>264</v>
      </c>
      <c r="B265" s="31">
        <f>step3_validation[[#This Row],[Used_Seed]]</f>
        <v>2254</v>
      </c>
      <c r="C265" t="str">
        <f>step3_validation[[#This Row],[Gender]]</f>
        <v>Nam</v>
      </c>
      <c r="D265" t="str">
        <f>survey_responses[[#This Row],[Giới tính của bạn:]]</f>
        <v>Nam</v>
      </c>
      <c r="E265" t="str">
        <f>step3_validation[[#This Row],[Age_Group]]</f>
        <v>40 - 49</v>
      </c>
      <c r="F265" t="str">
        <f>survey_responses[[#This Row],[Độ tuổi của bạn:]]</f>
        <v>40 - 49</v>
      </c>
      <c r="G265" t="str">
        <f>step3_validation[[#This Row],[Region]]</f>
        <v>Thành thị</v>
      </c>
      <c r="H265" t="str">
        <f>survey_responses[[#This Row],[Khu vực bạn đang sinh sống:]]</f>
        <v>Thành thị</v>
      </c>
      <c r="I265" t="str">
        <f>step3_validation[[#This Row],[Education]]</f>
        <v>Sau Đại học</v>
      </c>
      <c r="J265" t="str">
        <f>survey_responses[[#This Row],[Trình độ học vấn cao nhất:]]</f>
        <v>Sau Đại học</v>
      </c>
      <c r="K265" t="str">
        <f>step3_validation[[#This Row],[Employment]]</f>
        <v>Chính thức</v>
      </c>
      <c r="L265" t="str">
        <f>survey_responses[[#This Row],[Tình trạng việc làm chính:]]</f>
        <v>Khu vực chính thức (Có Hợp đồng lao động, đóng BHXH)</v>
      </c>
      <c r="M265">
        <f>step3_validation[[#This Row],[Income_Mil]]</f>
        <v>139.51218293264679</v>
      </c>
      <c r="N265" t="str">
        <f>survey_responses[[#This Row],[Thu nhập bình quân tháng theo Hợp đồng lao động của bạn là bao nhiêu? (Vui lòng điền tổng thu nhập trước khi khấu trừ các loại Bảo hiểm (BHXH, BHYT, BHTN) và Thuế TNCN)]]</f>
        <v>Trên 102 triệu VNĐ</v>
      </c>
      <c r="O265">
        <f>step3_validation[[#This Row],[Dependents]]</f>
        <v>3</v>
      </c>
      <c r="P265" t="str">
        <f>survey_responses[[#This Row],[Số người phụ thuộc (con nhỏ, cha mẹ già...) đủ điều kiện giảm trừ gia cảnh:]]</f>
        <v>3 người</v>
      </c>
      <c r="Q265">
        <f>step3_validation[[#This Row],[AI_ENF1]]</f>
        <v>6</v>
      </c>
      <c r="R265" t="str">
        <f t="shared" si="108"/>
        <v>Neutral</v>
      </c>
      <c r="S265">
        <f>survey_responses[[#This Row],[Tôi tin rằng với các quy định quản lý thuế hiện nay, hành vi gian lận hoặc trốn thuế sẽ dễ dàng bị phát hiện và xử lý nghiêm. - HUMAN-ENF1]]</f>
        <v>7</v>
      </c>
      <c r="T265" t="str">
        <f t="shared" si="109"/>
        <v>Neutral</v>
      </c>
      <c r="U265" s="32">
        <f t="shared" si="110"/>
        <v>1</v>
      </c>
      <c r="V265">
        <f>step3_validation[[#This Row],[AI_ENF2]]</f>
        <v>7</v>
      </c>
      <c r="W265" t="str">
        <f t="shared" si="111"/>
        <v>Neutral</v>
      </c>
      <c r="X265">
        <f>survey_responses[[#This Row],[Tôi tin rằng Nhà nước, cơ quan thuế có đủ khả năng và công nghệ để phát hiện, xử lý nghiêm các hành vi trốn thuế. - HUMAN-ENF2]]</f>
        <v>7</v>
      </c>
      <c r="Y265" t="str">
        <f t="shared" si="112"/>
        <v>Neutral</v>
      </c>
      <c r="Z265" s="32">
        <f t="shared" si="113"/>
        <v>0</v>
      </c>
      <c r="AA265">
        <f>step3_validation[[#This Row],[AI_FAC1]]</f>
        <v>8</v>
      </c>
      <c r="AB265" t="str">
        <f t="shared" si="114"/>
        <v>Support</v>
      </c>
      <c r="AC265">
        <f>survey_responses[[#This Row],[Các thủ tục khai báo thuế VÀ/HOẶC quy trình làm việc với cơ quan thuế đơn giản, tiện lợi, nhanh chóng hơn so với trước đây. - HUMAN-FAC1]]</f>
        <v>7</v>
      </c>
      <c r="AD265" t="str">
        <f t="shared" si="115"/>
        <v>Neutral</v>
      </c>
      <c r="AE265" s="32">
        <f t="shared" si="116"/>
        <v>1</v>
      </c>
      <c r="AF265">
        <f>step3_validation[[#This Row],[AI_FAC2]]</f>
        <v>9</v>
      </c>
      <c r="AG265" t="str">
        <f t="shared" si="117"/>
        <v>Support</v>
      </c>
      <c r="AH265">
        <f>survey_responses[[#This Row],[So với trước đây, tôi thấy cách tính thuế và các bậc thuế trong phương án mới đơn giản, dễ hiểu và dễ thực hiện hơn. - HUMAN-FAC2]]</f>
        <v>8</v>
      </c>
      <c r="AI265" t="str">
        <f t="shared" si="118"/>
        <v>Support</v>
      </c>
      <c r="AJ265" s="32">
        <f t="shared" si="119"/>
        <v>1</v>
      </c>
      <c r="AK265">
        <f>step3_validation[[#This Row],[AI_TRU1]]</f>
        <v>7</v>
      </c>
      <c r="AL265" t="str">
        <f t="shared" si="120"/>
        <v>Neutral</v>
      </c>
      <c r="AM265">
        <f>survey_responses[[#This Row],[Tôi tin rằng Nhà nước, cơ quan thuế sẽ thực thi chính sách mới một cách khách quan, công tâm và đối xử bình đẳng với mọi người nộp thuế.  - HUMAN-TRU1]]</f>
        <v>7</v>
      </c>
      <c r="AN265" t="str">
        <f t="shared" si="121"/>
        <v>Neutral</v>
      </c>
      <c r="AO265" s="32">
        <f t="shared" si="122"/>
        <v>0</v>
      </c>
      <c r="AP265">
        <f>step3_validation[[#This Row],[AI_TRU2]]</f>
        <v>6</v>
      </c>
      <c r="AQ265" t="str">
        <f t="shared" si="123"/>
        <v>Neutral</v>
      </c>
      <c r="AR265">
        <f>survey_responses[[#This Row],[Tôi thấy mức thuế tôi phải đóng theo phương án mới là công bằng (người thu nhập như tôi đóng mức này là hợp lý). - HUMAN-TRU2]]</f>
        <v>7</v>
      </c>
      <c r="AS265" t="str">
        <f t="shared" si="124"/>
        <v>Neutral</v>
      </c>
      <c r="AT265" s="32">
        <f t="shared" si="125"/>
        <v>1</v>
      </c>
      <c r="AU265">
        <f>step3_validation[[#This Row],[AI_TRU3]]</f>
        <v>6</v>
      </c>
      <c r="AV265" t="str">
        <f t="shared" si="126"/>
        <v>Neutral</v>
      </c>
      <c r="AW265">
        <f>survey_responses[[#This Row],[Tôi tin tưởng số tiền thuế tôi đóng sẽ được Nhà nước sử dụng hiệu quả để cải thiện dịch vụ công (y tế, đường xá...). - HUMAN-TRU3]]</f>
        <v>7</v>
      </c>
      <c r="AX265" t="str">
        <f t="shared" si="127"/>
        <v>Neutral</v>
      </c>
      <c r="AY265" s="32">
        <f t="shared" si="128"/>
        <v>1</v>
      </c>
      <c r="AZ265">
        <f>step3_validation[[#This Row],[AI_TRU4]]</f>
        <v>7</v>
      </c>
      <c r="BA265" t="str">
        <f t="shared" si="129"/>
        <v>Neutral</v>
      </c>
      <c r="BB265">
        <f>survey_responses[[#This Row],[Tôi thấy Nhà nước đã giải thích rõ ràng, minh bạch về lý do và mục tiêu của việc sửa đổi thuế lần này. - HUMAN-TRU4]]</f>
        <v>7</v>
      </c>
      <c r="BC265" t="str">
        <f t="shared" si="130"/>
        <v>Neutral</v>
      </c>
      <c r="BD265" s="32">
        <f t="shared" si="131"/>
        <v>0</v>
      </c>
      <c r="BE265">
        <f>step3_validation[[#This Row],[AI_OUT1]]</f>
        <v>8</v>
      </c>
      <c r="BF265" t="str">
        <f t="shared" si="132"/>
        <v>Support</v>
      </c>
      <c r="BG265">
        <f>survey_responses[[#This Row],[Sau khi xem xét các quyền lợi và nghĩa vụ, bạn có ủng hộ và tuân thủ chính sách mới hiện nay? - HUMAN-OUT1]]</f>
        <v>7</v>
      </c>
      <c r="BH265" t="str">
        <f t="shared" si="133"/>
        <v>Neutral</v>
      </c>
      <c r="BI265" s="32">
        <f t="shared" si="134"/>
        <v>1</v>
      </c>
    </row>
    <row r="266" spans="1:61" x14ac:dyDescent="0.45">
      <c r="A266" s="30">
        <f>step3_validation[[#This Row],[Persona_ID]]</f>
        <v>265</v>
      </c>
      <c r="B266" s="31">
        <f>step3_validation[[#This Row],[Used_Seed]]</f>
        <v>2255</v>
      </c>
      <c r="C266" t="str">
        <f>step3_validation[[#This Row],[Gender]]</f>
        <v>Nữ</v>
      </c>
      <c r="D266" t="str">
        <f>survey_responses[[#This Row],[Giới tính của bạn:]]</f>
        <v>Nữ</v>
      </c>
      <c r="E266" t="str">
        <f>step3_validation[[#This Row],[Age_Group]]</f>
        <v>30 - 39</v>
      </c>
      <c r="F266" t="str">
        <f>survey_responses[[#This Row],[Độ tuổi của bạn:]]</f>
        <v>30 - 39</v>
      </c>
      <c r="G266" t="str">
        <f>step3_validation[[#This Row],[Region]]</f>
        <v>Thành thị</v>
      </c>
      <c r="H266" t="str">
        <f>survey_responses[[#This Row],[Khu vực bạn đang sinh sống:]]</f>
        <v>Thành thị</v>
      </c>
      <c r="I266" t="str">
        <f>step3_validation[[#This Row],[Education]]</f>
        <v>Đại học</v>
      </c>
      <c r="J266" t="str">
        <f>survey_responses[[#This Row],[Trình độ học vấn cao nhất:]]</f>
        <v>Đại học</v>
      </c>
      <c r="K266" t="str">
        <f>step3_validation[[#This Row],[Employment]]</f>
        <v>Chính thức</v>
      </c>
      <c r="L266" t="str">
        <f>survey_responses[[#This Row],[Tình trạng việc làm chính:]]</f>
        <v>Khu vực chính thức (Có Hợp đồng lao động, đóng BHXH)</v>
      </c>
      <c r="M266">
        <f>step3_validation[[#This Row],[Income_Mil]]</f>
        <v>23.4628029662031</v>
      </c>
      <c r="N266" t="str">
        <f>survey_responses[[#This Row],[Thu nhập bình quân tháng theo Hợp đồng lao động của bạn là bao nhiêu? (Vui lòng điền tổng thu nhập trước khi khấu trừ các loại Bảo hiểm (BHXH, BHYT, BHTN) và Thuế TNCN)]]</f>
        <v>Từ 23 - 32 triệu VNĐ</v>
      </c>
      <c r="O266">
        <f>step3_validation[[#This Row],[Dependents]]</f>
        <v>0</v>
      </c>
      <c r="P266" t="str">
        <f>survey_responses[[#This Row],[Số người phụ thuộc (con nhỏ, cha mẹ già...) đủ điều kiện giảm trừ gia cảnh:]]</f>
        <v>0 người</v>
      </c>
      <c r="Q266">
        <f>step3_validation[[#This Row],[AI_ENF1]]</f>
        <v>7</v>
      </c>
      <c r="R266" t="str">
        <f t="shared" si="108"/>
        <v>Neutral</v>
      </c>
      <c r="S266">
        <f>survey_responses[[#This Row],[Tôi tin rằng với các quy định quản lý thuế hiện nay, hành vi gian lận hoặc trốn thuế sẽ dễ dàng bị phát hiện và xử lý nghiêm. - HUMAN-ENF1]]</f>
        <v>6</v>
      </c>
      <c r="T266" t="str">
        <f t="shared" si="109"/>
        <v>Neutral</v>
      </c>
      <c r="U266" s="32">
        <f t="shared" si="110"/>
        <v>1</v>
      </c>
      <c r="V266">
        <f>step3_validation[[#This Row],[AI_ENF2]]</f>
        <v>8</v>
      </c>
      <c r="W266" t="str">
        <f t="shared" si="111"/>
        <v>Support</v>
      </c>
      <c r="X266">
        <f>survey_responses[[#This Row],[Tôi tin rằng Nhà nước, cơ quan thuế có đủ khả năng và công nghệ để phát hiện, xử lý nghiêm các hành vi trốn thuế. - HUMAN-ENF2]]</f>
        <v>5</v>
      </c>
      <c r="Y266" t="str">
        <f t="shared" si="112"/>
        <v>Neutral</v>
      </c>
      <c r="Z266" s="32">
        <f t="shared" si="113"/>
        <v>3</v>
      </c>
      <c r="AA266">
        <f>step3_validation[[#This Row],[AI_FAC1]]</f>
        <v>6</v>
      </c>
      <c r="AB266" t="str">
        <f t="shared" si="114"/>
        <v>Neutral</v>
      </c>
      <c r="AC266">
        <f>survey_responses[[#This Row],[Các thủ tục khai báo thuế VÀ/HOẶC quy trình làm việc với cơ quan thuế đơn giản, tiện lợi, nhanh chóng hơn so với trước đây. - HUMAN-FAC1]]</f>
        <v>5</v>
      </c>
      <c r="AD266" t="str">
        <f t="shared" si="115"/>
        <v>Neutral</v>
      </c>
      <c r="AE266" s="32">
        <f t="shared" si="116"/>
        <v>1</v>
      </c>
      <c r="AF266">
        <f>step3_validation[[#This Row],[AI_FAC2]]</f>
        <v>8</v>
      </c>
      <c r="AG266" t="str">
        <f t="shared" si="117"/>
        <v>Support</v>
      </c>
      <c r="AH266">
        <f>survey_responses[[#This Row],[So với trước đây, tôi thấy cách tính thuế và các bậc thuế trong phương án mới đơn giản, dễ hiểu và dễ thực hiện hơn. - HUMAN-FAC2]]</f>
        <v>7</v>
      </c>
      <c r="AI266" t="str">
        <f t="shared" si="118"/>
        <v>Neutral</v>
      </c>
      <c r="AJ266" s="32">
        <f t="shared" si="119"/>
        <v>1</v>
      </c>
      <c r="AK266">
        <f>step3_validation[[#This Row],[AI_TRU1]]</f>
        <v>7</v>
      </c>
      <c r="AL266" t="str">
        <f t="shared" si="120"/>
        <v>Neutral</v>
      </c>
      <c r="AM266">
        <f>survey_responses[[#This Row],[Tôi tin rằng Nhà nước, cơ quan thuế sẽ thực thi chính sách mới một cách khách quan, công tâm và đối xử bình đẳng với mọi người nộp thuế.  - HUMAN-TRU1]]</f>
        <v>6</v>
      </c>
      <c r="AN266" t="str">
        <f t="shared" si="121"/>
        <v>Neutral</v>
      </c>
      <c r="AO266" s="32">
        <f t="shared" si="122"/>
        <v>1</v>
      </c>
      <c r="AP266">
        <f>step3_validation[[#This Row],[AI_TRU2]]</f>
        <v>9</v>
      </c>
      <c r="AQ266" t="str">
        <f t="shared" si="123"/>
        <v>Support</v>
      </c>
      <c r="AR266">
        <f>survey_responses[[#This Row],[Tôi thấy mức thuế tôi phải đóng theo phương án mới là công bằng (người thu nhập như tôi đóng mức này là hợp lý). - HUMAN-TRU2]]</f>
        <v>7</v>
      </c>
      <c r="AS266" t="str">
        <f t="shared" si="124"/>
        <v>Neutral</v>
      </c>
      <c r="AT266" s="32">
        <f t="shared" si="125"/>
        <v>2</v>
      </c>
      <c r="AU266">
        <f>step3_validation[[#This Row],[AI_TRU3]]</f>
        <v>6</v>
      </c>
      <c r="AV266" t="str">
        <f t="shared" si="126"/>
        <v>Neutral</v>
      </c>
      <c r="AW266">
        <f>survey_responses[[#This Row],[Tôi tin tưởng số tiền thuế tôi đóng sẽ được Nhà nước sử dụng hiệu quả để cải thiện dịch vụ công (y tế, đường xá...). - HUMAN-TRU3]]</f>
        <v>5</v>
      </c>
      <c r="AX266" t="str">
        <f t="shared" si="127"/>
        <v>Neutral</v>
      </c>
      <c r="AY266" s="32">
        <f t="shared" si="128"/>
        <v>1</v>
      </c>
      <c r="AZ266">
        <f>step3_validation[[#This Row],[AI_TRU4]]</f>
        <v>7</v>
      </c>
      <c r="BA266" t="str">
        <f t="shared" si="129"/>
        <v>Neutral</v>
      </c>
      <c r="BB266">
        <f>survey_responses[[#This Row],[Tôi thấy Nhà nước đã giải thích rõ ràng, minh bạch về lý do và mục tiêu của việc sửa đổi thuế lần này. - HUMAN-TRU4]]</f>
        <v>6</v>
      </c>
      <c r="BC266" t="str">
        <f t="shared" si="130"/>
        <v>Neutral</v>
      </c>
      <c r="BD266" s="32">
        <f t="shared" si="131"/>
        <v>1</v>
      </c>
      <c r="BE266">
        <f>step3_validation[[#This Row],[AI_OUT1]]</f>
        <v>8</v>
      </c>
      <c r="BF266" t="str">
        <f t="shared" si="132"/>
        <v>Support</v>
      </c>
      <c r="BG266">
        <f>survey_responses[[#This Row],[Sau khi xem xét các quyền lợi và nghĩa vụ, bạn có ủng hộ và tuân thủ chính sách mới hiện nay? - HUMAN-OUT1]]</f>
        <v>6</v>
      </c>
      <c r="BH266" t="str">
        <f t="shared" si="133"/>
        <v>Neutral</v>
      </c>
      <c r="BI266" s="32">
        <f t="shared" si="134"/>
        <v>2</v>
      </c>
    </row>
    <row r="267" spans="1:61" x14ac:dyDescent="0.45">
      <c r="A267" s="30">
        <f>step3_validation[[#This Row],[Persona_ID]]</f>
        <v>266</v>
      </c>
      <c r="B267" s="31">
        <f>step3_validation[[#This Row],[Used_Seed]]</f>
        <v>2256</v>
      </c>
      <c r="C267" t="str">
        <f>step3_validation[[#This Row],[Gender]]</f>
        <v>Nữ</v>
      </c>
      <c r="D267" t="str">
        <f>survey_responses[[#This Row],[Giới tính của bạn:]]</f>
        <v>Nữ</v>
      </c>
      <c r="E267" t="str">
        <f>step3_validation[[#This Row],[Age_Group]]</f>
        <v>50 - 54</v>
      </c>
      <c r="F267" t="str">
        <f>survey_responses[[#This Row],[Độ tuổi của bạn:]]</f>
        <v>50 - 54</v>
      </c>
      <c r="G267" t="str">
        <f>step3_validation[[#This Row],[Region]]</f>
        <v>Thành thị</v>
      </c>
      <c r="H267" t="str">
        <f>survey_responses[[#This Row],[Khu vực bạn đang sinh sống:]]</f>
        <v>Thành thị</v>
      </c>
      <c r="I267" t="str">
        <f>step3_validation[[#This Row],[Education]]</f>
        <v>Đại học</v>
      </c>
      <c r="J267" t="str">
        <f>survey_responses[[#This Row],[Trình độ học vấn cao nhất:]]</f>
        <v>Đại học</v>
      </c>
      <c r="K267" t="str">
        <f>step3_validation[[#This Row],[Employment]]</f>
        <v>Chính thức</v>
      </c>
      <c r="L267" t="str">
        <f>survey_responses[[#This Row],[Tình trạng việc làm chính:]]</f>
        <v>Khu vực chính thức (Có Hợp đồng lao động, đóng BHXH)</v>
      </c>
      <c r="M267">
        <f>step3_validation[[#This Row],[Income_Mil]]</f>
        <v>62.259642572768584</v>
      </c>
      <c r="N267" t="str">
        <f>survey_responses[[#This Row],[Thu nhập bình quân tháng theo Hợp đồng lao động của bạn là bao nhiêu? (Vui lòng điền tổng thu nhập trước khi khấu trừ các loại Bảo hiểm (BHXH, BHYT, BHTN) và Thuế TNCN)]]</f>
        <v>Từ 48 - 70 triệu VNĐ</v>
      </c>
      <c r="O267">
        <f>step3_validation[[#This Row],[Dependents]]</f>
        <v>3</v>
      </c>
      <c r="P267" t="str">
        <f>survey_responses[[#This Row],[Số người phụ thuộc (con nhỏ, cha mẹ già...) đủ điều kiện giảm trừ gia cảnh:]]</f>
        <v>3 người</v>
      </c>
      <c r="Q267">
        <f>step3_validation[[#This Row],[AI_ENF1]]</f>
        <v>7</v>
      </c>
      <c r="R267" t="str">
        <f t="shared" si="108"/>
        <v>Neutral</v>
      </c>
      <c r="S267">
        <f>survey_responses[[#This Row],[Tôi tin rằng với các quy định quản lý thuế hiện nay, hành vi gian lận hoặc trốn thuế sẽ dễ dàng bị phát hiện và xử lý nghiêm. - HUMAN-ENF1]]</f>
        <v>7</v>
      </c>
      <c r="T267" t="str">
        <f t="shared" si="109"/>
        <v>Neutral</v>
      </c>
      <c r="U267" s="32">
        <f t="shared" si="110"/>
        <v>0</v>
      </c>
      <c r="V267">
        <f>step3_validation[[#This Row],[AI_ENF2]]</f>
        <v>6</v>
      </c>
      <c r="W267" t="str">
        <f t="shared" si="111"/>
        <v>Neutral</v>
      </c>
      <c r="X267">
        <f>survey_responses[[#This Row],[Tôi tin rằng Nhà nước, cơ quan thuế có đủ khả năng và công nghệ để phát hiện, xử lý nghiêm các hành vi trốn thuế. - HUMAN-ENF2]]</f>
        <v>6</v>
      </c>
      <c r="Y267" t="str">
        <f t="shared" si="112"/>
        <v>Neutral</v>
      </c>
      <c r="Z267" s="32">
        <f t="shared" si="113"/>
        <v>0</v>
      </c>
      <c r="AA267">
        <f>step3_validation[[#This Row],[AI_FAC1]]</f>
        <v>5</v>
      </c>
      <c r="AB267" t="str">
        <f t="shared" si="114"/>
        <v>Neutral</v>
      </c>
      <c r="AC267">
        <f>survey_responses[[#This Row],[Các thủ tục khai báo thuế VÀ/HOẶC quy trình làm việc với cơ quan thuế đơn giản, tiện lợi, nhanh chóng hơn so với trước đây. - HUMAN-FAC1]]</f>
        <v>6</v>
      </c>
      <c r="AD267" t="str">
        <f t="shared" si="115"/>
        <v>Neutral</v>
      </c>
      <c r="AE267" s="32">
        <f t="shared" si="116"/>
        <v>1</v>
      </c>
      <c r="AF267">
        <f>step3_validation[[#This Row],[AI_FAC2]]</f>
        <v>4</v>
      </c>
      <c r="AG267" t="str">
        <f t="shared" si="117"/>
        <v>Oppose</v>
      </c>
      <c r="AH267">
        <f>survey_responses[[#This Row],[So với trước đây, tôi thấy cách tính thuế và các bậc thuế trong phương án mới đơn giản, dễ hiểu và dễ thực hiện hơn. - HUMAN-FAC2]]</f>
        <v>6</v>
      </c>
      <c r="AI267" t="str">
        <f t="shared" si="118"/>
        <v>Neutral</v>
      </c>
      <c r="AJ267" s="32">
        <f t="shared" si="119"/>
        <v>2</v>
      </c>
      <c r="AK267">
        <f>step3_validation[[#This Row],[AI_TRU1]]</f>
        <v>7</v>
      </c>
      <c r="AL267" t="str">
        <f t="shared" si="120"/>
        <v>Neutral</v>
      </c>
      <c r="AM267">
        <f>survey_responses[[#This Row],[Tôi tin rằng Nhà nước, cơ quan thuế sẽ thực thi chính sách mới một cách khách quan, công tâm và đối xử bình đẳng với mọi người nộp thuế.  - HUMAN-TRU1]]</f>
        <v>7</v>
      </c>
      <c r="AN267" t="str">
        <f t="shared" si="121"/>
        <v>Neutral</v>
      </c>
      <c r="AO267" s="32">
        <f t="shared" si="122"/>
        <v>0</v>
      </c>
      <c r="AP267">
        <f>step3_validation[[#This Row],[AI_TRU2]]</f>
        <v>8</v>
      </c>
      <c r="AQ267" t="str">
        <f t="shared" si="123"/>
        <v>Support</v>
      </c>
      <c r="AR267">
        <f>survey_responses[[#This Row],[Tôi thấy mức thuế tôi phải đóng theo phương án mới là công bằng (người thu nhập như tôi đóng mức này là hợp lý). - HUMAN-TRU2]]</f>
        <v>7</v>
      </c>
      <c r="AS267" t="str">
        <f t="shared" si="124"/>
        <v>Neutral</v>
      </c>
      <c r="AT267" s="32">
        <f t="shared" si="125"/>
        <v>1</v>
      </c>
      <c r="AU267">
        <f>step3_validation[[#This Row],[AI_TRU3]]</f>
        <v>6</v>
      </c>
      <c r="AV267" t="str">
        <f t="shared" si="126"/>
        <v>Neutral</v>
      </c>
      <c r="AW267">
        <f>survey_responses[[#This Row],[Tôi tin tưởng số tiền thuế tôi đóng sẽ được Nhà nước sử dụng hiệu quả để cải thiện dịch vụ công (y tế, đường xá...). - HUMAN-TRU3]]</f>
        <v>7</v>
      </c>
      <c r="AX267" t="str">
        <f t="shared" si="127"/>
        <v>Neutral</v>
      </c>
      <c r="AY267" s="32">
        <f t="shared" si="128"/>
        <v>1</v>
      </c>
      <c r="AZ267">
        <f>step3_validation[[#This Row],[AI_TRU4]]</f>
        <v>5</v>
      </c>
      <c r="BA267" t="str">
        <f t="shared" si="129"/>
        <v>Neutral</v>
      </c>
      <c r="BB267">
        <f>survey_responses[[#This Row],[Tôi thấy Nhà nước đã giải thích rõ ràng, minh bạch về lý do và mục tiêu của việc sửa đổi thuế lần này. - HUMAN-TRU4]]</f>
        <v>7</v>
      </c>
      <c r="BC267" t="str">
        <f t="shared" si="130"/>
        <v>Neutral</v>
      </c>
      <c r="BD267" s="32">
        <f t="shared" si="131"/>
        <v>2</v>
      </c>
      <c r="BE267">
        <f>step3_validation[[#This Row],[AI_OUT1]]</f>
        <v>6</v>
      </c>
      <c r="BF267" t="str">
        <f t="shared" si="132"/>
        <v>Neutral</v>
      </c>
      <c r="BG267">
        <f>survey_responses[[#This Row],[Sau khi xem xét các quyền lợi và nghĩa vụ, bạn có ủng hộ và tuân thủ chính sách mới hiện nay? - HUMAN-OUT1]]</f>
        <v>7</v>
      </c>
      <c r="BH267" t="str">
        <f t="shared" si="133"/>
        <v>Neutral</v>
      </c>
      <c r="BI267" s="32">
        <f t="shared" si="134"/>
        <v>1</v>
      </c>
    </row>
    <row r="268" spans="1:61" x14ac:dyDescent="0.45">
      <c r="A268" s="30">
        <f>step3_validation[[#This Row],[Persona_ID]]</f>
        <v>267</v>
      </c>
      <c r="B268" s="31">
        <f>step3_validation[[#This Row],[Used_Seed]]</f>
        <v>2257</v>
      </c>
      <c r="C268" t="str">
        <f>step3_validation[[#This Row],[Gender]]</f>
        <v>Nam</v>
      </c>
      <c r="D268" t="str">
        <f>survey_responses[[#This Row],[Giới tính của bạn:]]</f>
        <v>Nam</v>
      </c>
      <c r="E268" t="str">
        <f>step3_validation[[#This Row],[Age_Group]]</f>
        <v>40 - 49</v>
      </c>
      <c r="F268" t="str">
        <f>survey_responses[[#This Row],[Độ tuổi của bạn:]]</f>
        <v>40 - 49</v>
      </c>
      <c r="G268" t="str">
        <f>step3_validation[[#This Row],[Region]]</f>
        <v>Thành thị</v>
      </c>
      <c r="H268" t="str">
        <f>survey_responses[[#This Row],[Khu vực bạn đang sinh sống:]]</f>
        <v>Thành thị</v>
      </c>
      <c r="I268" t="str">
        <f>step3_validation[[#This Row],[Education]]</f>
        <v>Sau Đại học</v>
      </c>
      <c r="J268" t="str">
        <f>survey_responses[[#This Row],[Trình độ học vấn cao nhất:]]</f>
        <v>Sau Đại học</v>
      </c>
      <c r="K268" t="str">
        <f>step3_validation[[#This Row],[Employment]]</f>
        <v>Chính thức</v>
      </c>
      <c r="L268" t="str">
        <f>survey_responses[[#This Row],[Tình trạng việc làm chính:]]</f>
        <v>Khu vực chính thức (Có Hợp đồng lao động, đóng BHXH)</v>
      </c>
      <c r="M268">
        <f>step3_validation[[#This Row],[Income_Mil]]</f>
        <v>60.808420867312741</v>
      </c>
      <c r="N268" t="str">
        <f>survey_responses[[#This Row],[Thu nhập bình quân tháng theo Hợp đồng lao động của bạn là bao nhiêu? (Vui lòng điền tổng thu nhập trước khi khấu trừ các loại Bảo hiểm (BHXH, BHYT, BHTN) và Thuế TNCN)]]</f>
        <v>Từ 48 - 70 triệu VNĐ</v>
      </c>
      <c r="O268">
        <f>step3_validation[[#This Row],[Dependents]]</f>
        <v>2</v>
      </c>
      <c r="P268" t="str">
        <f>survey_responses[[#This Row],[Số người phụ thuộc (con nhỏ, cha mẹ già...) đủ điều kiện giảm trừ gia cảnh:]]</f>
        <v>2 người</v>
      </c>
      <c r="Q268">
        <f>step3_validation[[#This Row],[AI_ENF1]]</f>
        <v>7</v>
      </c>
      <c r="R268" t="str">
        <f t="shared" si="108"/>
        <v>Neutral</v>
      </c>
      <c r="S268">
        <f>survey_responses[[#This Row],[Tôi tin rằng với các quy định quản lý thuế hiện nay, hành vi gian lận hoặc trốn thuế sẽ dễ dàng bị phát hiện và xử lý nghiêm. - HUMAN-ENF1]]</f>
        <v>6</v>
      </c>
      <c r="T268" t="str">
        <f t="shared" si="109"/>
        <v>Neutral</v>
      </c>
      <c r="U268" s="32">
        <f t="shared" si="110"/>
        <v>1</v>
      </c>
      <c r="V268">
        <f>step3_validation[[#This Row],[AI_ENF2]]</f>
        <v>8</v>
      </c>
      <c r="W268" t="str">
        <f t="shared" si="111"/>
        <v>Support</v>
      </c>
      <c r="X268">
        <f>survey_responses[[#This Row],[Tôi tin rằng Nhà nước, cơ quan thuế có đủ khả năng và công nghệ để phát hiện, xử lý nghiêm các hành vi trốn thuế. - HUMAN-ENF2]]</f>
        <v>7</v>
      </c>
      <c r="Y268" t="str">
        <f t="shared" si="112"/>
        <v>Neutral</v>
      </c>
      <c r="Z268" s="32">
        <f t="shared" si="113"/>
        <v>1</v>
      </c>
      <c r="AA268">
        <f>step3_validation[[#This Row],[AI_FAC1]]</f>
        <v>6</v>
      </c>
      <c r="AB268" t="str">
        <f t="shared" si="114"/>
        <v>Neutral</v>
      </c>
      <c r="AC268">
        <f>survey_responses[[#This Row],[Các thủ tục khai báo thuế VÀ/HOẶC quy trình làm việc với cơ quan thuế đơn giản, tiện lợi, nhanh chóng hơn so với trước đây. - HUMAN-FAC1]]</f>
        <v>7</v>
      </c>
      <c r="AD268" t="str">
        <f t="shared" si="115"/>
        <v>Neutral</v>
      </c>
      <c r="AE268" s="32">
        <f t="shared" si="116"/>
        <v>1</v>
      </c>
      <c r="AF268">
        <f>step3_validation[[#This Row],[AI_FAC2]]</f>
        <v>9</v>
      </c>
      <c r="AG268" t="str">
        <f t="shared" si="117"/>
        <v>Support</v>
      </c>
      <c r="AH268">
        <f>survey_responses[[#This Row],[So với trước đây, tôi thấy cách tính thuế và các bậc thuế trong phương án mới đơn giản, dễ hiểu và dễ thực hiện hơn. - HUMAN-FAC2]]</f>
        <v>6</v>
      </c>
      <c r="AI268" t="str">
        <f t="shared" si="118"/>
        <v>Neutral</v>
      </c>
      <c r="AJ268" s="32">
        <f t="shared" si="119"/>
        <v>3</v>
      </c>
      <c r="AK268">
        <f>step3_validation[[#This Row],[AI_TRU1]]</f>
        <v>7</v>
      </c>
      <c r="AL268" t="str">
        <f t="shared" si="120"/>
        <v>Neutral</v>
      </c>
      <c r="AM268">
        <f>survey_responses[[#This Row],[Tôi tin rằng Nhà nước, cơ quan thuế sẽ thực thi chính sách mới một cách khách quan, công tâm và đối xử bình đẳng với mọi người nộp thuế.  - HUMAN-TRU1]]</f>
        <v>6</v>
      </c>
      <c r="AN268" t="str">
        <f t="shared" si="121"/>
        <v>Neutral</v>
      </c>
      <c r="AO268" s="32">
        <f t="shared" si="122"/>
        <v>1</v>
      </c>
      <c r="AP268">
        <f>step3_validation[[#This Row],[AI_TRU2]]</f>
        <v>8</v>
      </c>
      <c r="AQ268" t="str">
        <f t="shared" si="123"/>
        <v>Support</v>
      </c>
      <c r="AR268">
        <f>survey_responses[[#This Row],[Tôi thấy mức thuế tôi phải đóng theo phương án mới là công bằng (người thu nhập như tôi đóng mức này là hợp lý). - HUMAN-TRU2]]</f>
        <v>6</v>
      </c>
      <c r="AS268" t="str">
        <f t="shared" si="124"/>
        <v>Neutral</v>
      </c>
      <c r="AT268" s="32">
        <f t="shared" si="125"/>
        <v>2</v>
      </c>
      <c r="AU268">
        <f>step3_validation[[#This Row],[AI_TRU3]]</f>
        <v>9</v>
      </c>
      <c r="AV268" t="str">
        <f t="shared" si="126"/>
        <v>Support</v>
      </c>
      <c r="AW268">
        <f>survey_responses[[#This Row],[Tôi tin tưởng số tiền thuế tôi đóng sẽ được Nhà nước sử dụng hiệu quả để cải thiện dịch vụ công (y tế, đường xá...). - HUMAN-TRU3]]</f>
        <v>6</v>
      </c>
      <c r="AX268" t="str">
        <f t="shared" si="127"/>
        <v>Neutral</v>
      </c>
      <c r="AY268" s="32">
        <f t="shared" si="128"/>
        <v>3</v>
      </c>
      <c r="AZ268">
        <f>step3_validation[[#This Row],[AI_TRU4]]</f>
        <v>6</v>
      </c>
      <c r="BA268" t="str">
        <f t="shared" si="129"/>
        <v>Neutral</v>
      </c>
      <c r="BB268">
        <f>survey_responses[[#This Row],[Tôi thấy Nhà nước đã giải thích rõ ràng, minh bạch về lý do và mục tiêu của việc sửa đổi thuế lần này. - HUMAN-TRU4]]</f>
        <v>7</v>
      </c>
      <c r="BC268" t="str">
        <f t="shared" si="130"/>
        <v>Neutral</v>
      </c>
      <c r="BD268" s="32">
        <f t="shared" si="131"/>
        <v>1</v>
      </c>
      <c r="BE268">
        <f>step3_validation[[#This Row],[AI_OUT1]]</f>
        <v>8</v>
      </c>
      <c r="BF268" t="str">
        <f t="shared" si="132"/>
        <v>Support</v>
      </c>
      <c r="BG268">
        <f>survey_responses[[#This Row],[Sau khi xem xét các quyền lợi và nghĩa vụ, bạn có ủng hộ và tuân thủ chính sách mới hiện nay? - HUMAN-OUT1]]</f>
        <v>7</v>
      </c>
      <c r="BH268" t="str">
        <f t="shared" si="133"/>
        <v>Neutral</v>
      </c>
      <c r="BI268" s="32">
        <f t="shared" si="134"/>
        <v>1</v>
      </c>
    </row>
    <row r="269" spans="1:61" x14ac:dyDescent="0.45">
      <c r="A269" s="30">
        <f>step3_validation[[#This Row],[Persona_ID]]</f>
        <v>268</v>
      </c>
      <c r="B269" s="31">
        <f>step3_validation[[#This Row],[Used_Seed]]</f>
        <v>2258</v>
      </c>
      <c r="C269" t="str">
        <f>step3_validation[[#This Row],[Gender]]</f>
        <v>Nữ</v>
      </c>
      <c r="D269" t="str">
        <f>survey_responses[[#This Row],[Giới tính của bạn:]]</f>
        <v>Nữ</v>
      </c>
      <c r="E269" t="str">
        <f>step3_validation[[#This Row],[Age_Group]]</f>
        <v>25 - 29</v>
      </c>
      <c r="F269" t="str">
        <f>survey_responses[[#This Row],[Độ tuổi của bạn:]]</f>
        <v>25 - 29</v>
      </c>
      <c r="G269" t="str">
        <f>step3_validation[[#This Row],[Region]]</f>
        <v>Thành thị</v>
      </c>
      <c r="H269" t="str">
        <f>survey_responses[[#This Row],[Khu vực bạn đang sinh sống:]]</f>
        <v>Thành thị</v>
      </c>
      <c r="I269" t="str">
        <f>step3_validation[[#This Row],[Education]]</f>
        <v>Đại học</v>
      </c>
      <c r="J269" t="str">
        <f>survey_responses[[#This Row],[Trình độ học vấn cao nhất:]]</f>
        <v>Đại học</v>
      </c>
      <c r="K269" t="str">
        <f>step3_validation[[#This Row],[Employment]]</f>
        <v>Chính thức</v>
      </c>
      <c r="L269" t="str">
        <f>survey_responses[[#This Row],[Tình trạng việc làm chính:]]</f>
        <v>Khu vực chính thức (Có Hợp đồng lao động, đóng BHXH)</v>
      </c>
      <c r="M269">
        <f>step3_validation[[#This Row],[Income_Mil]]</f>
        <v>24.038339925455372</v>
      </c>
      <c r="N269" t="str">
        <f>survey_responses[[#This Row],[Thu nhập bình quân tháng theo Hợp đồng lao động của bạn là bao nhiêu? (Vui lòng điền tổng thu nhập trước khi khấu trừ các loại Bảo hiểm (BHXH, BHYT, BHTN) và Thuế TNCN)]]</f>
        <v>Từ 23 - 32 triệu VNĐ</v>
      </c>
      <c r="O269">
        <f>step3_validation[[#This Row],[Dependents]]</f>
        <v>2</v>
      </c>
      <c r="P269" t="str">
        <f>survey_responses[[#This Row],[Số người phụ thuộc (con nhỏ, cha mẹ già...) đủ điều kiện giảm trừ gia cảnh:]]</f>
        <v>2 người</v>
      </c>
      <c r="Q269">
        <f>step3_validation[[#This Row],[AI_ENF1]]</f>
        <v>8</v>
      </c>
      <c r="R269" t="str">
        <f t="shared" si="108"/>
        <v>Support</v>
      </c>
      <c r="S269">
        <f>survey_responses[[#This Row],[Tôi tin rằng với các quy định quản lý thuế hiện nay, hành vi gian lận hoặc trốn thuế sẽ dễ dàng bị phát hiện và xử lý nghiêm. - HUMAN-ENF1]]</f>
        <v>7</v>
      </c>
      <c r="T269" t="str">
        <f t="shared" si="109"/>
        <v>Neutral</v>
      </c>
      <c r="U269" s="32">
        <f t="shared" si="110"/>
        <v>1</v>
      </c>
      <c r="V269">
        <f>step3_validation[[#This Row],[AI_ENF2]]</f>
        <v>7</v>
      </c>
      <c r="W269" t="str">
        <f t="shared" si="111"/>
        <v>Neutral</v>
      </c>
      <c r="X269">
        <f>survey_responses[[#This Row],[Tôi tin rằng Nhà nước, cơ quan thuế có đủ khả năng và công nghệ để phát hiện, xử lý nghiêm các hành vi trốn thuế. - HUMAN-ENF2]]</f>
        <v>7</v>
      </c>
      <c r="Y269" t="str">
        <f t="shared" si="112"/>
        <v>Neutral</v>
      </c>
      <c r="Z269" s="32">
        <f t="shared" si="113"/>
        <v>0</v>
      </c>
      <c r="AA269">
        <f>step3_validation[[#This Row],[AI_FAC1]]</f>
        <v>9</v>
      </c>
      <c r="AB269" t="str">
        <f t="shared" si="114"/>
        <v>Support</v>
      </c>
      <c r="AC269">
        <f>survey_responses[[#This Row],[Các thủ tục khai báo thuế VÀ/HOẶC quy trình làm việc với cơ quan thuế đơn giản, tiện lợi, nhanh chóng hơn so với trước đây. - HUMAN-FAC1]]</f>
        <v>2</v>
      </c>
      <c r="AD269" t="str">
        <f t="shared" si="115"/>
        <v>Oppose</v>
      </c>
      <c r="AE269" s="32">
        <f t="shared" si="116"/>
        <v>7</v>
      </c>
      <c r="AF269">
        <f>step3_validation[[#This Row],[AI_FAC2]]</f>
        <v>8</v>
      </c>
      <c r="AG269" t="str">
        <f t="shared" si="117"/>
        <v>Support</v>
      </c>
      <c r="AH269">
        <f>survey_responses[[#This Row],[So với trước đây, tôi thấy cách tính thuế và các bậc thuế trong phương án mới đơn giản, dễ hiểu và dễ thực hiện hơn. - HUMAN-FAC2]]</f>
        <v>7</v>
      </c>
      <c r="AI269" t="str">
        <f t="shared" si="118"/>
        <v>Neutral</v>
      </c>
      <c r="AJ269" s="32">
        <f t="shared" si="119"/>
        <v>1</v>
      </c>
      <c r="AK269">
        <f>step3_validation[[#This Row],[AI_TRU1]]</f>
        <v>7</v>
      </c>
      <c r="AL269" t="str">
        <f t="shared" si="120"/>
        <v>Neutral</v>
      </c>
      <c r="AM269">
        <f>survey_responses[[#This Row],[Tôi tin rằng Nhà nước, cơ quan thuế sẽ thực thi chính sách mới một cách khách quan, công tâm và đối xử bình đẳng với mọi người nộp thuế.  - HUMAN-TRU1]]</f>
        <v>7</v>
      </c>
      <c r="AN269" t="str">
        <f t="shared" si="121"/>
        <v>Neutral</v>
      </c>
      <c r="AO269" s="32">
        <f t="shared" si="122"/>
        <v>0</v>
      </c>
      <c r="AP269">
        <f>step3_validation[[#This Row],[AI_TRU2]]</f>
        <v>6</v>
      </c>
      <c r="AQ269" t="str">
        <f t="shared" si="123"/>
        <v>Neutral</v>
      </c>
      <c r="AR269">
        <f>survey_responses[[#This Row],[Tôi thấy mức thuế tôi phải đóng theo phương án mới là công bằng (người thu nhập như tôi đóng mức này là hợp lý). - HUMAN-TRU2]]</f>
        <v>7</v>
      </c>
      <c r="AS269" t="str">
        <f t="shared" si="124"/>
        <v>Neutral</v>
      </c>
      <c r="AT269" s="32">
        <f t="shared" si="125"/>
        <v>1</v>
      </c>
      <c r="AU269">
        <f>step3_validation[[#This Row],[AI_TRU3]]</f>
        <v>7</v>
      </c>
      <c r="AV269" t="str">
        <f t="shared" si="126"/>
        <v>Neutral</v>
      </c>
      <c r="AW269">
        <f>survey_responses[[#This Row],[Tôi tin tưởng số tiền thuế tôi đóng sẽ được Nhà nước sử dụng hiệu quả để cải thiện dịch vụ công (y tế, đường xá...). - HUMAN-TRU3]]</f>
        <v>7</v>
      </c>
      <c r="AX269" t="str">
        <f t="shared" si="127"/>
        <v>Neutral</v>
      </c>
      <c r="AY269" s="32">
        <f t="shared" si="128"/>
        <v>0</v>
      </c>
      <c r="AZ269">
        <f>step3_validation[[#This Row],[AI_TRU4]]</f>
        <v>6</v>
      </c>
      <c r="BA269" t="str">
        <f t="shared" si="129"/>
        <v>Neutral</v>
      </c>
      <c r="BB269">
        <f>survey_responses[[#This Row],[Tôi thấy Nhà nước đã giải thích rõ ràng, minh bạch về lý do và mục tiêu của việc sửa đổi thuế lần này. - HUMAN-TRU4]]</f>
        <v>7</v>
      </c>
      <c r="BC269" t="str">
        <f t="shared" si="130"/>
        <v>Neutral</v>
      </c>
      <c r="BD269" s="32">
        <f t="shared" si="131"/>
        <v>1</v>
      </c>
      <c r="BE269">
        <f>step3_validation[[#This Row],[AI_OUT1]]</f>
        <v>7</v>
      </c>
      <c r="BF269" t="str">
        <f t="shared" si="132"/>
        <v>Neutral</v>
      </c>
      <c r="BG269">
        <f>survey_responses[[#This Row],[Sau khi xem xét các quyền lợi và nghĩa vụ, bạn có ủng hộ và tuân thủ chính sách mới hiện nay? - HUMAN-OUT1]]</f>
        <v>7</v>
      </c>
      <c r="BH269" t="str">
        <f t="shared" si="133"/>
        <v>Neutral</v>
      </c>
      <c r="BI269" s="32">
        <f t="shared" si="134"/>
        <v>0</v>
      </c>
    </row>
    <row r="270" spans="1:61" x14ac:dyDescent="0.45">
      <c r="A270" s="30">
        <f>step3_validation[[#This Row],[Persona_ID]]</f>
        <v>269</v>
      </c>
      <c r="B270" s="31">
        <f>step3_validation[[#This Row],[Used_Seed]]</f>
        <v>2259</v>
      </c>
      <c r="C270" t="str">
        <f>step3_validation[[#This Row],[Gender]]</f>
        <v>Nam</v>
      </c>
      <c r="D270" t="str">
        <f>survey_responses[[#This Row],[Giới tính của bạn:]]</f>
        <v>Nam</v>
      </c>
      <c r="E270" t="str">
        <f>step3_validation[[#This Row],[Age_Group]]</f>
        <v>40 - 49</v>
      </c>
      <c r="F270" t="str">
        <f>survey_responses[[#This Row],[Độ tuổi của bạn:]]</f>
        <v>40 - 49</v>
      </c>
      <c r="G270" t="str">
        <f>step3_validation[[#This Row],[Region]]</f>
        <v>Thành thị</v>
      </c>
      <c r="H270" t="str">
        <f>survey_responses[[#This Row],[Khu vực bạn đang sinh sống:]]</f>
        <v>Thành thị</v>
      </c>
      <c r="I270" t="str">
        <f>step3_validation[[#This Row],[Education]]</f>
        <v>Sau Đại học</v>
      </c>
      <c r="J270" t="str">
        <f>survey_responses[[#This Row],[Trình độ học vấn cao nhất:]]</f>
        <v>Sau Đại học</v>
      </c>
      <c r="K270" t="str">
        <f>step3_validation[[#This Row],[Employment]]</f>
        <v>Chính thức</v>
      </c>
      <c r="L270" t="str">
        <f>survey_responses[[#This Row],[Tình trạng việc làm chính:]]</f>
        <v>Khu vực chính thức (Có Hợp đồng lao động, đóng BHXH)</v>
      </c>
      <c r="M270">
        <f>step3_validation[[#This Row],[Income_Mil]]</f>
        <v>88.673723159444748</v>
      </c>
      <c r="N270" t="str">
        <f>survey_responses[[#This Row],[Thu nhập bình quân tháng theo Hợp đồng lao động của bạn là bao nhiêu? (Vui lòng điền tổng thu nhập trước khi khấu trừ các loại Bảo hiểm (BHXH, BHYT, BHTN) và Thuế TNCN)]]</f>
        <v>Từ 70 - 102 triệu VNĐ</v>
      </c>
      <c r="O270">
        <f>step3_validation[[#This Row],[Dependents]]</f>
        <v>4</v>
      </c>
      <c r="P270" t="str">
        <f>survey_responses[[#This Row],[Số người phụ thuộc (con nhỏ, cha mẹ già...) đủ điều kiện giảm trừ gia cảnh:]]</f>
        <v>4 người trở lên</v>
      </c>
      <c r="Q270">
        <f>step3_validation[[#This Row],[AI_ENF1]]</f>
        <v>7</v>
      </c>
      <c r="R270" t="str">
        <f t="shared" si="108"/>
        <v>Neutral</v>
      </c>
      <c r="S270">
        <f>survey_responses[[#This Row],[Tôi tin rằng với các quy định quản lý thuế hiện nay, hành vi gian lận hoặc trốn thuế sẽ dễ dàng bị phát hiện và xử lý nghiêm. - HUMAN-ENF1]]</f>
        <v>4</v>
      </c>
      <c r="T270" t="str">
        <f t="shared" si="109"/>
        <v>Oppose</v>
      </c>
      <c r="U270" s="32">
        <f t="shared" si="110"/>
        <v>3</v>
      </c>
      <c r="V270">
        <f>step3_validation[[#This Row],[AI_ENF2]]</f>
        <v>8</v>
      </c>
      <c r="W270" t="str">
        <f t="shared" si="111"/>
        <v>Support</v>
      </c>
      <c r="X270">
        <f>survey_responses[[#This Row],[Tôi tin rằng Nhà nước, cơ quan thuế có đủ khả năng và công nghệ để phát hiện, xử lý nghiêm các hành vi trốn thuế. - HUMAN-ENF2]]</f>
        <v>5</v>
      </c>
      <c r="Y270" t="str">
        <f t="shared" si="112"/>
        <v>Neutral</v>
      </c>
      <c r="Z270" s="32">
        <f t="shared" si="113"/>
        <v>3</v>
      </c>
      <c r="AA270">
        <f>step3_validation[[#This Row],[AI_FAC1]]</f>
        <v>6</v>
      </c>
      <c r="AB270" t="str">
        <f t="shared" si="114"/>
        <v>Neutral</v>
      </c>
      <c r="AC270">
        <f>survey_responses[[#This Row],[Các thủ tục khai báo thuế VÀ/HOẶC quy trình làm việc với cơ quan thuế đơn giản, tiện lợi, nhanh chóng hơn so với trước đây. - HUMAN-FAC1]]</f>
        <v>2</v>
      </c>
      <c r="AD270" t="str">
        <f t="shared" si="115"/>
        <v>Oppose</v>
      </c>
      <c r="AE270" s="32">
        <f t="shared" si="116"/>
        <v>4</v>
      </c>
      <c r="AF270">
        <f>step3_validation[[#This Row],[AI_FAC2]]</f>
        <v>7</v>
      </c>
      <c r="AG270" t="str">
        <f t="shared" si="117"/>
        <v>Neutral</v>
      </c>
      <c r="AH270">
        <f>survey_responses[[#This Row],[So với trước đây, tôi thấy cách tính thuế và các bậc thuế trong phương án mới đơn giản, dễ hiểu và dễ thực hiện hơn. - HUMAN-FAC2]]</f>
        <v>6</v>
      </c>
      <c r="AI270" t="str">
        <f t="shared" si="118"/>
        <v>Neutral</v>
      </c>
      <c r="AJ270" s="32">
        <f t="shared" si="119"/>
        <v>1</v>
      </c>
      <c r="AK270">
        <f>step3_validation[[#This Row],[AI_TRU1]]</f>
        <v>8</v>
      </c>
      <c r="AL270" t="str">
        <f t="shared" si="120"/>
        <v>Support</v>
      </c>
      <c r="AM270">
        <f>survey_responses[[#This Row],[Tôi tin rằng Nhà nước, cơ quan thuế sẽ thực thi chính sách mới một cách khách quan, công tâm và đối xử bình đẳng với mọi người nộp thuế.  - HUMAN-TRU1]]</f>
        <v>3</v>
      </c>
      <c r="AN270" t="str">
        <f t="shared" si="121"/>
        <v>Oppose</v>
      </c>
      <c r="AO270" s="32">
        <f t="shared" si="122"/>
        <v>5</v>
      </c>
      <c r="AP270">
        <f>step3_validation[[#This Row],[AI_TRU2]]</f>
        <v>7</v>
      </c>
      <c r="AQ270" t="str">
        <f t="shared" si="123"/>
        <v>Neutral</v>
      </c>
      <c r="AR270">
        <f>survey_responses[[#This Row],[Tôi thấy mức thuế tôi phải đóng theo phương án mới là công bằng (người thu nhập như tôi đóng mức này là hợp lý). - HUMAN-TRU2]]</f>
        <v>3</v>
      </c>
      <c r="AS270" t="str">
        <f t="shared" si="124"/>
        <v>Oppose</v>
      </c>
      <c r="AT270" s="32">
        <f t="shared" si="125"/>
        <v>4</v>
      </c>
      <c r="AU270">
        <f>step3_validation[[#This Row],[AI_TRU3]]</f>
        <v>6</v>
      </c>
      <c r="AV270" t="str">
        <f t="shared" si="126"/>
        <v>Neutral</v>
      </c>
      <c r="AW270">
        <f>survey_responses[[#This Row],[Tôi tin tưởng số tiền thuế tôi đóng sẽ được Nhà nước sử dụng hiệu quả để cải thiện dịch vụ công (y tế, đường xá...). - HUMAN-TRU3]]</f>
        <v>1</v>
      </c>
      <c r="AX270" t="str">
        <f t="shared" si="127"/>
        <v>Oppose</v>
      </c>
      <c r="AY270" s="32">
        <f t="shared" si="128"/>
        <v>5</v>
      </c>
      <c r="AZ270">
        <f>step3_validation[[#This Row],[AI_TRU4]]</f>
        <v>5</v>
      </c>
      <c r="BA270" t="str">
        <f t="shared" si="129"/>
        <v>Neutral</v>
      </c>
      <c r="BB270">
        <f>survey_responses[[#This Row],[Tôi thấy Nhà nước đã giải thích rõ ràng, minh bạch về lý do và mục tiêu của việc sửa đổi thuế lần này. - HUMAN-TRU4]]</f>
        <v>3</v>
      </c>
      <c r="BC270" t="str">
        <f t="shared" si="130"/>
        <v>Oppose</v>
      </c>
      <c r="BD270" s="32">
        <f t="shared" si="131"/>
        <v>2</v>
      </c>
      <c r="BE270">
        <f>step3_validation[[#This Row],[AI_OUT1]]</f>
        <v>8</v>
      </c>
      <c r="BF270" t="str">
        <f t="shared" si="132"/>
        <v>Support</v>
      </c>
      <c r="BG270">
        <f>survey_responses[[#This Row],[Sau khi xem xét các quyền lợi và nghĩa vụ, bạn có ủng hộ và tuân thủ chính sách mới hiện nay? - HUMAN-OUT1]]</f>
        <v>1</v>
      </c>
      <c r="BH270" t="str">
        <f t="shared" si="133"/>
        <v>Oppose</v>
      </c>
      <c r="BI270" s="32">
        <f t="shared" si="134"/>
        <v>7</v>
      </c>
    </row>
    <row r="271" spans="1:61" x14ac:dyDescent="0.45">
      <c r="A271" s="30">
        <f>step3_validation[[#This Row],[Persona_ID]]</f>
        <v>270</v>
      </c>
      <c r="B271" s="31">
        <f>step3_validation[[#This Row],[Used_Seed]]</f>
        <v>2260</v>
      </c>
      <c r="C271" t="str">
        <f>step3_validation[[#This Row],[Gender]]</f>
        <v>Nữ</v>
      </c>
      <c r="D271" t="str">
        <f>survey_responses[[#This Row],[Giới tính của bạn:]]</f>
        <v>Nữ</v>
      </c>
      <c r="E271" t="str">
        <f>step3_validation[[#This Row],[Age_Group]]</f>
        <v>30 - 39</v>
      </c>
      <c r="F271" t="str">
        <f>survey_responses[[#This Row],[Độ tuổi của bạn:]]</f>
        <v>30 - 39</v>
      </c>
      <c r="G271" t="str">
        <f>step3_validation[[#This Row],[Region]]</f>
        <v>Thành thị</v>
      </c>
      <c r="H271" t="str">
        <f>survey_responses[[#This Row],[Khu vực bạn đang sinh sống:]]</f>
        <v>Thành thị</v>
      </c>
      <c r="I271" t="str">
        <f>step3_validation[[#This Row],[Education]]</f>
        <v>Sau Đại học</v>
      </c>
      <c r="J271" t="str">
        <f>survey_responses[[#This Row],[Trình độ học vấn cao nhất:]]</f>
        <v>Sau Đại học</v>
      </c>
      <c r="K271" t="str">
        <f>step3_validation[[#This Row],[Employment]]</f>
        <v>Phi chính thức</v>
      </c>
      <c r="L271" t="str">
        <f>survey_responses[[#This Row],[Tình trạng việc làm chính:]]</f>
        <v>Khu vực phi chính thức (Lao động tự do, không có HĐLĐ)</v>
      </c>
      <c r="M271">
        <f>step3_validation[[#This Row],[Income_Mil]]</f>
        <v>49.263811221633972</v>
      </c>
      <c r="N271" t="str">
        <f>survey_responses[[#This Row],[Thu nhập bình quân tháng theo Hợp đồng lao động của bạn là bao nhiêu? (Vui lòng điền tổng thu nhập trước khi khấu trừ các loại Bảo hiểm (BHXH, BHYT, BHTN) và Thuế TNCN)]]</f>
        <v>Từ 48 - 70 triệu VNĐ</v>
      </c>
      <c r="O271">
        <f>step3_validation[[#This Row],[Dependents]]</f>
        <v>0</v>
      </c>
      <c r="P271" t="str">
        <f>survey_responses[[#This Row],[Số người phụ thuộc (con nhỏ, cha mẹ già...) đủ điều kiện giảm trừ gia cảnh:]]</f>
        <v>0 người</v>
      </c>
      <c r="Q271">
        <f>step3_validation[[#This Row],[AI_ENF1]]</f>
        <v>6</v>
      </c>
      <c r="R271" t="str">
        <f t="shared" si="108"/>
        <v>Neutral</v>
      </c>
      <c r="S271">
        <f>survey_responses[[#This Row],[Tôi tin rằng với các quy định quản lý thuế hiện nay, hành vi gian lận hoặc trốn thuế sẽ dễ dàng bị phát hiện và xử lý nghiêm. - HUMAN-ENF1]]</f>
        <v>8</v>
      </c>
      <c r="T271" t="str">
        <f t="shared" si="109"/>
        <v>Support</v>
      </c>
      <c r="U271" s="32">
        <f t="shared" si="110"/>
        <v>2</v>
      </c>
      <c r="V271">
        <f>step3_validation[[#This Row],[AI_ENF2]]</f>
        <v>7</v>
      </c>
      <c r="W271" t="str">
        <f t="shared" si="111"/>
        <v>Neutral</v>
      </c>
      <c r="X271">
        <f>survey_responses[[#This Row],[Tôi tin rằng Nhà nước, cơ quan thuế có đủ khả năng và công nghệ để phát hiện, xử lý nghiêm các hành vi trốn thuế. - HUMAN-ENF2]]</f>
        <v>8</v>
      </c>
      <c r="Y271" t="str">
        <f t="shared" si="112"/>
        <v>Support</v>
      </c>
      <c r="Z271" s="32">
        <f t="shared" si="113"/>
        <v>1</v>
      </c>
      <c r="AA271">
        <f>step3_validation[[#This Row],[AI_FAC1]]</f>
        <v>8</v>
      </c>
      <c r="AB271" t="str">
        <f t="shared" si="114"/>
        <v>Support</v>
      </c>
      <c r="AC271">
        <f>survey_responses[[#This Row],[Các thủ tục khai báo thuế VÀ/HOẶC quy trình làm việc với cơ quan thuế đơn giản, tiện lợi, nhanh chóng hơn so với trước đây. - HUMAN-FAC1]]</f>
        <v>3</v>
      </c>
      <c r="AD271" t="str">
        <f t="shared" si="115"/>
        <v>Oppose</v>
      </c>
      <c r="AE271" s="32">
        <f t="shared" si="116"/>
        <v>5</v>
      </c>
      <c r="AF271">
        <f>step3_validation[[#This Row],[AI_FAC2]]</f>
        <v>9</v>
      </c>
      <c r="AG271" t="str">
        <f t="shared" si="117"/>
        <v>Support</v>
      </c>
      <c r="AH271">
        <f>survey_responses[[#This Row],[So với trước đây, tôi thấy cách tính thuế và các bậc thuế trong phương án mới đơn giản, dễ hiểu và dễ thực hiện hơn. - HUMAN-FAC2]]</f>
        <v>8</v>
      </c>
      <c r="AI271" t="str">
        <f t="shared" si="118"/>
        <v>Support</v>
      </c>
      <c r="AJ271" s="32">
        <f t="shared" si="119"/>
        <v>1</v>
      </c>
      <c r="AK271">
        <f>step3_validation[[#This Row],[AI_TRU1]]</f>
        <v>7</v>
      </c>
      <c r="AL271" t="str">
        <f t="shared" si="120"/>
        <v>Neutral</v>
      </c>
      <c r="AM271">
        <f>survey_responses[[#This Row],[Tôi tin rằng Nhà nước, cơ quan thuế sẽ thực thi chính sách mới một cách khách quan, công tâm và đối xử bình đẳng với mọi người nộp thuế.  - HUMAN-TRU1]]</f>
        <v>3</v>
      </c>
      <c r="AN271" t="str">
        <f t="shared" si="121"/>
        <v>Oppose</v>
      </c>
      <c r="AO271" s="32">
        <f t="shared" si="122"/>
        <v>4</v>
      </c>
      <c r="AP271">
        <f>step3_validation[[#This Row],[AI_TRU2]]</f>
        <v>6</v>
      </c>
      <c r="AQ271" t="str">
        <f t="shared" si="123"/>
        <v>Neutral</v>
      </c>
      <c r="AR271">
        <f>survey_responses[[#This Row],[Tôi thấy mức thuế tôi phải đóng theo phương án mới là công bằng (người thu nhập như tôi đóng mức này là hợp lý). - HUMAN-TRU2]]</f>
        <v>1</v>
      </c>
      <c r="AS271" t="str">
        <f t="shared" si="124"/>
        <v>Oppose</v>
      </c>
      <c r="AT271" s="32">
        <f t="shared" si="125"/>
        <v>5</v>
      </c>
      <c r="AU271">
        <f>step3_validation[[#This Row],[AI_TRU3]]</f>
        <v>7</v>
      </c>
      <c r="AV271" t="str">
        <f t="shared" si="126"/>
        <v>Neutral</v>
      </c>
      <c r="AW271">
        <f>survey_responses[[#This Row],[Tôi tin tưởng số tiền thuế tôi đóng sẽ được Nhà nước sử dụng hiệu quả để cải thiện dịch vụ công (y tế, đường xá...). - HUMAN-TRU3]]</f>
        <v>8</v>
      </c>
      <c r="AX271" t="str">
        <f t="shared" si="127"/>
        <v>Support</v>
      </c>
      <c r="AY271" s="32">
        <f t="shared" si="128"/>
        <v>1</v>
      </c>
      <c r="AZ271">
        <f>step3_validation[[#This Row],[AI_TRU4]]</f>
        <v>5</v>
      </c>
      <c r="BA271" t="str">
        <f t="shared" si="129"/>
        <v>Neutral</v>
      </c>
      <c r="BB271">
        <f>survey_responses[[#This Row],[Tôi thấy Nhà nước đã giải thích rõ ràng, minh bạch về lý do và mục tiêu của việc sửa đổi thuế lần này. - HUMAN-TRU4]]</f>
        <v>6</v>
      </c>
      <c r="BC271" t="str">
        <f t="shared" si="130"/>
        <v>Neutral</v>
      </c>
      <c r="BD271" s="32">
        <f t="shared" si="131"/>
        <v>1</v>
      </c>
      <c r="BE271">
        <f>step3_validation[[#This Row],[AI_OUT1]]</f>
        <v>7</v>
      </c>
      <c r="BF271" t="str">
        <f t="shared" si="132"/>
        <v>Neutral</v>
      </c>
      <c r="BG271">
        <f>survey_responses[[#This Row],[Sau khi xem xét các quyền lợi và nghĩa vụ, bạn có ủng hộ và tuân thủ chính sách mới hiện nay? - HUMAN-OUT1]]</f>
        <v>7</v>
      </c>
      <c r="BH271" t="str">
        <f t="shared" si="133"/>
        <v>Neutral</v>
      </c>
      <c r="BI271" s="32">
        <f t="shared" si="134"/>
        <v>0</v>
      </c>
    </row>
    <row r="272" spans="1:61" x14ac:dyDescent="0.45">
      <c r="A272" s="30">
        <f>step3_validation[[#This Row],[Persona_ID]]</f>
        <v>271</v>
      </c>
      <c r="B272" s="31">
        <f>step3_validation[[#This Row],[Used_Seed]]</f>
        <v>2261</v>
      </c>
      <c r="C272" t="str">
        <f>step3_validation[[#This Row],[Gender]]</f>
        <v>Nữ</v>
      </c>
      <c r="D272" t="str">
        <f>survey_responses[[#This Row],[Giới tính của bạn:]]</f>
        <v>Nữ</v>
      </c>
      <c r="E272" t="str">
        <f>step3_validation[[#This Row],[Age_Group]]</f>
        <v>30 - 39</v>
      </c>
      <c r="F272" t="str">
        <f>survey_responses[[#This Row],[Độ tuổi của bạn:]]</f>
        <v>30 - 39</v>
      </c>
      <c r="G272" t="str">
        <f>step3_validation[[#This Row],[Region]]</f>
        <v>Thành thị</v>
      </c>
      <c r="H272" t="str">
        <f>survey_responses[[#This Row],[Khu vực bạn đang sinh sống:]]</f>
        <v>Thành thị</v>
      </c>
      <c r="I272" t="str">
        <f>step3_validation[[#This Row],[Education]]</f>
        <v>Sau Đại học</v>
      </c>
      <c r="J272" t="str">
        <f>survey_responses[[#This Row],[Trình độ học vấn cao nhất:]]</f>
        <v>Sau Đại học</v>
      </c>
      <c r="K272" t="str">
        <f>step3_validation[[#This Row],[Employment]]</f>
        <v>Chính thức</v>
      </c>
      <c r="L272" t="str">
        <f>survey_responses[[#This Row],[Tình trạng việc làm chính:]]</f>
        <v>Khu vực chính thức (Có Hợp đồng lao động, đóng BHXH)</v>
      </c>
      <c r="M272">
        <f>step3_validation[[#This Row],[Income_Mil]]</f>
        <v>61.79431873802563</v>
      </c>
      <c r="N272" t="str">
        <f>survey_responses[[#This Row],[Thu nhập bình quân tháng theo Hợp đồng lao động của bạn là bao nhiêu? (Vui lòng điền tổng thu nhập trước khi khấu trừ các loại Bảo hiểm (BHXH, BHYT, BHTN) và Thuế TNCN)]]</f>
        <v>Từ 48 - 70 triệu VNĐ</v>
      </c>
      <c r="O272">
        <f>step3_validation[[#This Row],[Dependents]]</f>
        <v>2</v>
      </c>
      <c r="P272" t="str">
        <f>survey_responses[[#This Row],[Số người phụ thuộc (con nhỏ, cha mẹ già...) đủ điều kiện giảm trừ gia cảnh:]]</f>
        <v>2 người</v>
      </c>
      <c r="Q272">
        <f>step3_validation[[#This Row],[AI_ENF1]]</f>
        <v>6</v>
      </c>
      <c r="R272" t="str">
        <f t="shared" si="108"/>
        <v>Neutral</v>
      </c>
      <c r="S272">
        <f>survey_responses[[#This Row],[Tôi tin rằng với các quy định quản lý thuế hiện nay, hành vi gian lận hoặc trốn thuế sẽ dễ dàng bị phát hiện và xử lý nghiêm. - HUMAN-ENF1]]</f>
        <v>7</v>
      </c>
      <c r="T272" t="str">
        <f t="shared" si="109"/>
        <v>Neutral</v>
      </c>
      <c r="U272" s="32">
        <f t="shared" si="110"/>
        <v>1</v>
      </c>
      <c r="V272">
        <f>step3_validation[[#This Row],[AI_ENF2]]</f>
        <v>7</v>
      </c>
      <c r="W272" t="str">
        <f t="shared" si="111"/>
        <v>Neutral</v>
      </c>
      <c r="X272">
        <f>survey_responses[[#This Row],[Tôi tin rằng Nhà nước, cơ quan thuế có đủ khả năng và công nghệ để phát hiện, xử lý nghiêm các hành vi trốn thuế. - HUMAN-ENF2]]</f>
        <v>7</v>
      </c>
      <c r="Y272" t="str">
        <f t="shared" si="112"/>
        <v>Neutral</v>
      </c>
      <c r="Z272" s="32">
        <f t="shared" si="113"/>
        <v>0</v>
      </c>
      <c r="AA272">
        <f>step3_validation[[#This Row],[AI_FAC1]]</f>
        <v>4</v>
      </c>
      <c r="AB272" t="str">
        <f t="shared" si="114"/>
        <v>Oppose</v>
      </c>
      <c r="AC272">
        <f>survey_responses[[#This Row],[Các thủ tục khai báo thuế VÀ/HOẶC quy trình làm việc với cơ quan thuế đơn giản, tiện lợi, nhanh chóng hơn so với trước đây. - HUMAN-FAC1]]</f>
        <v>4</v>
      </c>
      <c r="AD272" t="str">
        <f t="shared" si="115"/>
        <v>Oppose</v>
      </c>
      <c r="AE272" s="32">
        <f t="shared" si="116"/>
        <v>0</v>
      </c>
      <c r="AF272">
        <f>step3_validation[[#This Row],[AI_FAC2]]</f>
        <v>8</v>
      </c>
      <c r="AG272" t="str">
        <f t="shared" si="117"/>
        <v>Support</v>
      </c>
      <c r="AH272">
        <f>survey_responses[[#This Row],[So với trước đây, tôi thấy cách tính thuế và các bậc thuế trong phương án mới đơn giản, dễ hiểu và dễ thực hiện hơn. - HUMAN-FAC2]]</f>
        <v>7</v>
      </c>
      <c r="AI272" t="str">
        <f t="shared" si="118"/>
        <v>Neutral</v>
      </c>
      <c r="AJ272" s="32">
        <f t="shared" si="119"/>
        <v>1</v>
      </c>
      <c r="AK272">
        <f>step3_validation[[#This Row],[AI_TRU1]]</f>
        <v>5</v>
      </c>
      <c r="AL272" t="str">
        <f t="shared" si="120"/>
        <v>Neutral</v>
      </c>
      <c r="AM272">
        <f>survey_responses[[#This Row],[Tôi tin rằng Nhà nước, cơ quan thuế sẽ thực thi chính sách mới một cách khách quan, công tâm và đối xử bình đẳng với mọi người nộp thuế.  - HUMAN-TRU1]]</f>
        <v>7</v>
      </c>
      <c r="AN272" t="str">
        <f t="shared" si="121"/>
        <v>Neutral</v>
      </c>
      <c r="AO272" s="32">
        <f t="shared" si="122"/>
        <v>2</v>
      </c>
      <c r="AP272">
        <f>step3_validation[[#This Row],[AI_TRU2]]</f>
        <v>7</v>
      </c>
      <c r="AQ272" t="str">
        <f t="shared" si="123"/>
        <v>Neutral</v>
      </c>
      <c r="AR272">
        <f>survey_responses[[#This Row],[Tôi thấy mức thuế tôi phải đóng theo phương án mới là công bằng (người thu nhập như tôi đóng mức này là hợp lý). - HUMAN-TRU2]]</f>
        <v>6</v>
      </c>
      <c r="AS272" t="str">
        <f t="shared" si="124"/>
        <v>Neutral</v>
      </c>
      <c r="AT272" s="32">
        <f t="shared" si="125"/>
        <v>1</v>
      </c>
      <c r="AU272">
        <f>step3_validation[[#This Row],[AI_TRU3]]</f>
        <v>6</v>
      </c>
      <c r="AV272" t="str">
        <f t="shared" si="126"/>
        <v>Neutral</v>
      </c>
      <c r="AW272">
        <f>survey_responses[[#This Row],[Tôi tin tưởng số tiền thuế tôi đóng sẽ được Nhà nước sử dụng hiệu quả để cải thiện dịch vụ công (y tế, đường xá...). - HUMAN-TRU3]]</f>
        <v>5</v>
      </c>
      <c r="AX272" t="str">
        <f t="shared" si="127"/>
        <v>Neutral</v>
      </c>
      <c r="AY272" s="32">
        <f t="shared" si="128"/>
        <v>1</v>
      </c>
      <c r="AZ272">
        <f>step3_validation[[#This Row],[AI_TRU4]]</f>
        <v>7</v>
      </c>
      <c r="BA272" t="str">
        <f t="shared" si="129"/>
        <v>Neutral</v>
      </c>
      <c r="BB272">
        <f>survey_responses[[#This Row],[Tôi thấy Nhà nước đã giải thích rõ ràng, minh bạch về lý do và mục tiêu của việc sửa đổi thuế lần này. - HUMAN-TRU4]]</f>
        <v>7</v>
      </c>
      <c r="BC272" t="str">
        <f t="shared" si="130"/>
        <v>Neutral</v>
      </c>
      <c r="BD272" s="32">
        <f t="shared" si="131"/>
        <v>0</v>
      </c>
      <c r="BE272">
        <f>step3_validation[[#This Row],[AI_OUT1]]</f>
        <v>6</v>
      </c>
      <c r="BF272" t="str">
        <f t="shared" si="132"/>
        <v>Neutral</v>
      </c>
      <c r="BG272">
        <f>survey_responses[[#This Row],[Sau khi xem xét các quyền lợi và nghĩa vụ, bạn có ủng hộ và tuân thủ chính sách mới hiện nay? - HUMAN-OUT1]]</f>
        <v>6</v>
      </c>
      <c r="BH272" t="str">
        <f t="shared" si="133"/>
        <v>Neutral</v>
      </c>
      <c r="BI272" s="32">
        <f t="shared" si="134"/>
        <v>0</v>
      </c>
    </row>
    <row r="273" spans="1:61" x14ac:dyDescent="0.45">
      <c r="A273" s="30">
        <f>step3_validation[[#This Row],[Persona_ID]]</f>
        <v>272</v>
      </c>
      <c r="B273" s="31">
        <f>step3_validation[[#This Row],[Used_Seed]]</f>
        <v>2262</v>
      </c>
      <c r="C273" t="str">
        <f>step3_validation[[#This Row],[Gender]]</f>
        <v>Nam</v>
      </c>
      <c r="D273" t="str">
        <f>survey_responses[[#This Row],[Giới tính của bạn:]]</f>
        <v>Nam</v>
      </c>
      <c r="E273" t="str">
        <f>step3_validation[[#This Row],[Age_Group]]</f>
        <v>30 - 39</v>
      </c>
      <c r="F273" t="str">
        <f>survey_responses[[#This Row],[Độ tuổi của bạn:]]</f>
        <v>30 - 39</v>
      </c>
      <c r="G273" t="str">
        <f>step3_validation[[#This Row],[Region]]</f>
        <v>Thành thị</v>
      </c>
      <c r="H273" t="str">
        <f>survey_responses[[#This Row],[Khu vực bạn đang sinh sống:]]</f>
        <v>Thành thị</v>
      </c>
      <c r="I273" t="str">
        <f>step3_validation[[#This Row],[Education]]</f>
        <v>Đại học</v>
      </c>
      <c r="J273" t="str">
        <f>survey_responses[[#This Row],[Trình độ học vấn cao nhất:]]</f>
        <v>Đại học</v>
      </c>
      <c r="K273" t="str">
        <f>step3_validation[[#This Row],[Employment]]</f>
        <v>Chính thức</v>
      </c>
      <c r="L273" t="str">
        <f>survey_responses[[#This Row],[Tình trạng việc làm chính:]]</f>
        <v>Khu vực chính thức (Có Hợp đồng lao động, đóng BHXH)</v>
      </c>
      <c r="M273">
        <f>step3_validation[[#This Row],[Income_Mil]]</f>
        <v>43.208028220020061</v>
      </c>
      <c r="N273" t="str">
        <f>survey_responses[[#This Row],[Thu nhập bình quân tháng theo Hợp đồng lao động của bạn là bao nhiêu? (Vui lòng điền tổng thu nhập trước khi khấu trừ các loại Bảo hiểm (BHXH, BHYT, BHTN) và Thuế TNCN)]]</f>
        <v>Từ 32 - 48 triệu VNĐ</v>
      </c>
      <c r="O273">
        <f>step3_validation[[#This Row],[Dependents]]</f>
        <v>1</v>
      </c>
      <c r="P273" t="str">
        <f>survey_responses[[#This Row],[Số người phụ thuộc (con nhỏ, cha mẹ già...) đủ điều kiện giảm trừ gia cảnh:]]</f>
        <v>1 người</v>
      </c>
      <c r="Q273">
        <f>step3_validation[[#This Row],[AI_ENF1]]</f>
        <v>8</v>
      </c>
      <c r="R273" t="str">
        <f t="shared" si="108"/>
        <v>Support</v>
      </c>
      <c r="S273">
        <f>survey_responses[[#This Row],[Tôi tin rằng với các quy định quản lý thuế hiện nay, hành vi gian lận hoặc trốn thuế sẽ dễ dàng bị phát hiện và xử lý nghiêm. - HUMAN-ENF1]]</f>
        <v>7</v>
      </c>
      <c r="T273" t="str">
        <f t="shared" si="109"/>
        <v>Neutral</v>
      </c>
      <c r="U273" s="32">
        <f t="shared" si="110"/>
        <v>1</v>
      </c>
      <c r="V273">
        <f>step3_validation[[#This Row],[AI_ENF2]]</f>
        <v>7</v>
      </c>
      <c r="W273" t="str">
        <f t="shared" si="111"/>
        <v>Neutral</v>
      </c>
      <c r="X273">
        <f>survey_responses[[#This Row],[Tôi tin rằng Nhà nước, cơ quan thuế có đủ khả năng và công nghệ để phát hiện, xử lý nghiêm các hành vi trốn thuế. - HUMAN-ENF2]]</f>
        <v>8</v>
      </c>
      <c r="Y273" t="str">
        <f t="shared" si="112"/>
        <v>Support</v>
      </c>
      <c r="Z273" s="32">
        <f t="shared" si="113"/>
        <v>1</v>
      </c>
      <c r="AA273">
        <f>step3_validation[[#This Row],[AI_FAC1]]</f>
        <v>9</v>
      </c>
      <c r="AB273" t="str">
        <f t="shared" si="114"/>
        <v>Support</v>
      </c>
      <c r="AC273">
        <f>survey_responses[[#This Row],[Các thủ tục khai báo thuế VÀ/HOẶC quy trình làm việc với cơ quan thuế đơn giản, tiện lợi, nhanh chóng hơn so với trước đây. - HUMAN-FAC1]]</f>
        <v>2</v>
      </c>
      <c r="AD273" t="str">
        <f t="shared" si="115"/>
        <v>Oppose</v>
      </c>
      <c r="AE273" s="32">
        <f t="shared" si="116"/>
        <v>7</v>
      </c>
      <c r="AF273">
        <f>step3_validation[[#This Row],[AI_FAC2]]</f>
        <v>8</v>
      </c>
      <c r="AG273" t="str">
        <f t="shared" si="117"/>
        <v>Support</v>
      </c>
      <c r="AH273">
        <f>survey_responses[[#This Row],[So với trước đây, tôi thấy cách tính thuế và các bậc thuế trong phương án mới đơn giản, dễ hiểu và dễ thực hiện hơn. - HUMAN-FAC2]]</f>
        <v>6</v>
      </c>
      <c r="AI273" t="str">
        <f t="shared" si="118"/>
        <v>Neutral</v>
      </c>
      <c r="AJ273" s="32">
        <f t="shared" si="119"/>
        <v>2</v>
      </c>
      <c r="AK273">
        <f>step3_validation[[#This Row],[AI_TRU1]]</f>
        <v>6</v>
      </c>
      <c r="AL273" t="str">
        <f t="shared" si="120"/>
        <v>Neutral</v>
      </c>
      <c r="AM273">
        <f>survey_responses[[#This Row],[Tôi tin rằng Nhà nước, cơ quan thuế sẽ thực thi chính sách mới một cách khách quan, công tâm và đối xử bình đẳng với mọi người nộp thuế.  - HUMAN-TRU1]]</f>
        <v>6</v>
      </c>
      <c r="AN273" t="str">
        <f t="shared" si="121"/>
        <v>Neutral</v>
      </c>
      <c r="AO273" s="32">
        <f t="shared" si="122"/>
        <v>0</v>
      </c>
      <c r="AP273">
        <f>step3_validation[[#This Row],[AI_TRU2]]</f>
        <v>7</v>
      </c>
      <c r="AQ273" t="str">
        <f t="shared" si="123"/>
        <v>Neutral</v>
      </c>
      <c r="AR273">
        <f>survey_responses[[#This Row],[Tôi thấy mức thuế tôi phải đóng theo phương án mới là công bằng (người thu nhập như tôi đóng mức này là hợp lý). - HUMAN-TRU2]]</f>
        <v>6</v>
      </c>
      <c r="AS273" t="str">
        <f t="shared" si="124"/>
        <v>Neutral</v>
      </c>
      <c r="AT273" s="32">
        <f t="shared" si="125"/>
        <v>1</v>
      </c>
      <c r="AU273">
        <f>step3_validation[[#This Row],[AI_TRU3]]</f>
        <v>6</v>
      </c>
      <c r="AV273" t="str">
        <f t="shared" si="126"/>
        <v>Neutral</v>
      </c>
      <c r="AW273">
        <f>survey_responses[[#This Row],[Tôi tin tưởng số tiền thuế tôi đóng sẽ được Nhà nước sử dụng hiệu quả để cải thiện dịch vụ công (y tế, đường xá...). - HUMAN-TRU3]]</f>
        <v>5</v>
      </c>
      <c r="AX273" t="str">
        <f t="shared" si="127"/>
        <v>Neutral</v>
      </c>
      <c r="AY273" s="32">
        <f t="shared" si="128"/>
        <v>1</v>
      </c>
      <c r="AZ273">
        <f>step3_validation[[#This Row],[AI_TRU4]]</f>
        <v>7</v>
      </c>
      <c r="BA273" t="str">
        <f t="shared" si="129"/>
        <v>Neutral</v>
      </c>
      <c r="BB273">
        <f>survey_responses[[#This Row],[Tôi thấy Nhà nước đã giải thích rõ ràng, minh bạch về lý do và mục tiêu của việc sửa đổi thuế lần này. - HUMAN-TRU4]]</f>
        <v>5</v>
      </c>
      <c r="BC273" t="str">
        <f t="shared" si="130"/>
        <v>Neutral</v>
      </c>
      <c r="BD273" s="32">
        <f t="shared" si="131"/>
        <v>2</v>
      </c>
      <c r="BE273">
        <f>step3_validation[[#This Row],[AI_OUT1]]</f>
        <v>8</v>
      </c>
      <c r="BF273" t="str">
        <f t="shared" si="132"/>
        <v>Support</v>
      </c>
      <c r="BG273">
        <f>survey_responses[[#This Row],[Sau khi xem xét các quyền lợi và nghĩa vụ, bạn có ủng hộ và tuân thủ chính sách mới hiện nay? - HUMAN-OUT1]]</f>
        <v>6</v>
      </c>
      <c r="BH273" t="str">
        <f t="shared" si="133"/>
        <v>Neutral</v>
      </c>
      <c r="BI273" s="32">
        <f t="shared" si="134"/>
        <v>2</v>
      </c>
    </row>
    <row r="274" spans="1:61" x14ac:dyDescent="0.45">
      <c r="A274" s="30">
        <f>step3_validation[[#This Row],[Persona_ID]]</f>
        <v>273</v>
      </c>
      <c r="B274" s="31">
        <f>step3_validation[[#This Row],[Used_Seed]]</f>
        <v>2263</v>
      </c>
      <c r="C274" t="str">
        <f>step3_validation[[#This Row],[Gender]]</f>
        <v>Nữ</v>
      </c>
      <c r="D274" t="str">
        <f>survey_responses[[#This Row],[Giới tính của bạn:]]</f>
        <v>Nữ</v>
      </c>
      <c r="E274" t="str">
        <f>step3_validation[[#This Row],[Age_Group]]</f>
        <v>50 - 54</v>
      </c>
      <c r="F274" t="str">
        <f>survey_responses[[#This Row],[Độ tuổi của bạn:]]</f>
        <v>50 - 54</v>
      </c>
      <c r="G274" t="str">
        <f>step3_validation[[#This Row],[Region]]</f>
        <v>Thành thị</v>
      </c>
      <c r="H274" t="str">
        <f>survey_responses[[#This Row],[Khu vực bạn đang sinh sống:]]</f>
        <v>Thành thị</v>
      </c>
      <c r="I274" t="str">
        <f>step3_validation[[#This Row],[Education]]</f>
        <v>Sau Đại học</v>
      </c>
      <c r="J274" t="str">
        <f>survey_responses[[#This Row],[Trình độ học vấn cao nhất:]]</f>
        <v>Sau Đại học</v>
      </c>
      <c r="K274" t="str">
        <f>step3_validation[[#This Row],[Employment]]</f>
        <v>Chính thức</v>
      </c>
      <c r="L274" t="str">
        <f>survey_responses[[#This Row],[Tình trạng việc làm chính:]]</f>
        <v>Khu vực chính thức (Có Hợp đồng lao động, đóng BHXH)</v>
      </c>
      <c r="M274">
        <f>step3_validation[[#This Row],[Income_Mil]]</f>
        <v>83.192467403288546</v>
      </c>
      <c r="N274" t="str">
        <f>survey_responses[[#This Row],[Thu nhập bình quân tháng theo Hợp đồng lao động của bạn là bao nhiêu? (Vui lòng điền tổng thu nhập trước khi khấu trừ các loại Bảo hiểm (BHXH, BHYT, BHTN) và Thuế TNCN)]]</f>
        <v>Từ 70 - 102 triệu VNĐ</v>
      </c>
      <c r="O274">
        <f>step3_validation[[#This Row],[Dependents]]</f>
        <v>4</v>
      </c>
      <c r="P274" t="str">
        <f>survey_responses[[#This Row],[Số người phụ thuộc (con nhỏ, cha mẹ già...) đủ điều kiện giảm trừ gia cảnh:]]</f>
        <v>4 người trở lên</v>
      </c>
      <c r="Q274">
        <f>step3_validation[[#This Row],[AI_ENF1]]</f>
        <v>8</v>
      </c>
      <c r="R274" t="str">
        <f t="shared" si="108"/>
        <v>Support</v>
      </c>
      <c r="S274">
        <f>survey_responses[[#This Row],[Tôi tin rằng với các quy định quản lý thuế hiện nay, hành vi gian lận hoặc trốn thuế sẽ dễ dàng bị phát hiện và xử lý nghiêm. - HUMAN-ENF1]]</f>
        <v>3</v>
      </c>
      <c r="T274" t="str">
        <f t="shared" si="109"/>
        <v>Oppose</v>
      </c>
      <c r="U274" s="32">
        <f t="shared" si="110"/>
        <v>5</v>
      </c>
      <c r="V274">
        <f>step3_validation[[#This Row],[AI_ENF2]]</f>
        <v>9</v>
      </c>
      <c r="W274" t="str">
        <f t="shared" si="111"/>
        <v>Support</v>
      </c>
      <c r="X274">
        <f>survey_responses[[#This Row],[Tôi tin rằng Nhà nước, cơ quan thuế có đủ khả năng và công nghệ để phát hiện, xử lý nghiêm các hành vi trốn thuế. - HUMAN-ENF2]]</f>
        <v>3</v>
      </c>
      <c r="Y274" t="str">
        <f t="shared" si="112"/>
        <v>Oppose</v>
      </c>
      <c r="Z274" s="32">
        <f t="shared" si="113"/>
        <v>6</v>
      </c>
      <c r="AA274">
        <f>step3_validation[[#This Row],[AI_FAC1]]</f>
        <v>7</v>
      </c>
      <c r="AB274" t="str">
        <f t="shared" si="114"/>
        <v>Neutral</v>
      </c>
      <c r="AC274">
        <f>survey_responses[[#This Row],[Các thủ tục khai báo thuế VÀ/HOẶC quy trình làm việc với cơ quan thuế đơn giản, tiện lợi, nhanh chóng hơn so với trước đây. - HUMAN-FAC1]]</f>
        <v>1</v>
      </c>
      <c r="AD274" t="str">
        <f t="shared" si="115"/>
        <v>Oppose</v>
      </c>
      <c r="AE274" s="32">
        <f t="shared" si="116"/>
        <v>6</v>
      </c>
      <c r="AF274">
        <f>step3_validation[[#This Row],[AI_FAC2]]</f>
        <v>8</v>
      </c>
      <c r="AG274" t="str">
        <f t="shared" si="117"/>
        <v>Support</v>
      </c>
      <c r="AH274">
        <f>survey_responses[[#This Row],[So với trước đây, tôi thấy cách tính thuế và các bậc thuế trong phương án mới đơn giản, dễ hiểu và dễ thực hiện hơn. - HUMAN-FAC2]]</f>
        <v>6</v>
      </c>
      <c r="AI274" t="str">
        <f t="shared" si="118"/>
        <v>Neutral</v>
      </c>
      <c r="AJ274" s="32">
        <f t="shared" si="119"/>
        <v>2</v>
      </c>
      <c r="AK274">
        <f>step3_validation[[#This Row],[AI_TRU1]]</f>
        <v>6</v>
      </c>
      <c r="AL274" t="str">
        <f t="shared" si="120"/>
        <v>Neutral</v>
      </c>
      <c r="AM274">
        <f>survey_responses[[#This Row],[Tôi tin rằng Nhà nước, cơ quan thuế sẽ thực thi chính sách mới một cách khách quan, công tâm và đối xử bình đẳng với mọi người nộp thuế.  - HUMAN-TRU1]]</f>
        <v>1</v>
      </c>
      <c r="AN274" t="str">
        <f t="shared" si="121"/>
        <v>Oppose</v>
      </c>
      <c r="AO274" s="32">
        <f t="shared" si="122"/>
        <v>5</v>
      </c>
      <c r="AP274">
        <f>step3_validation[[#This Row],[AI_TRU2]]</f>
        <v>7</v>
      </c>
      <c r="AQ274" t="str">
        <f t="shared" si="123"/>
        <v>Neutral</v>
      </c>
      <c r="AR274">
        <f>survey_responses[[#This Row],[Tôi thấy mức thuế tôi phải đóng theo phương án mới là công bằng (người thu nhập như tôi đóng mức này là hợp lý). - HUMAN-TRU2]]</f>
        <v>1</v>
      </c>
      <c r="AS274" t="str">
        <f t="shared" si="124"/>
        <v>Oppose</v>
      </c>
      <c r="AT274" s="32">
        <f t="shared" si="125"/>
        <v>6</v>
      </c>
      <c r="AU274">
        <f>step3_validation[[#This Row],[AI_TRU3]]</f>
        <v>6</v>
      </c>
      <c r="AV274" t="str">
        <f t="shared" si="126"/>
        <v>Neutral</v>
      </c>
      <c r="AW274">
        <f>survey_responses[[#This Row],[Tôi tin tưởng số tiền thuế tôi đóng sẽ được Nhà nước sử dụng hiệu quả để cải thiện dịch vụ công (y tế, đường xá...). - HUMAN-TRU3]]</f>
        <v>1</v>
      </c>
      <c r="AX274" t="str">
        <f t="shared" si="127"/>
        <v>Oppose</v>
      </c>
      <c r="AY274" s="32">
        <f t="shared" si="128"/>
        <v>5</v>
      </c>
      <c r="AZ274">
        <f>step3_validation[[#This Row],[AI_TRU4]]</f>
        <v>7</v>
      </c>
      <c r="BA274" t="str">
        <f t="shared" si="129"/>
        <v>Neutral</v>
      </c>
      <c r="BB274">
        <f>survey_responses[[#This Row],[Tôi thấy Nhà nước đã giải thích rõ ràng, minh bạch về lý do và mục tiêu của việc sửa đổi thuế lần này. - HUMAN-TRU4]]</f>
        <v>1</v>
      </c>
      <c r="BC274" t="str">
        <f t="shared" si="130"/>
        <v>Oppose</v>
      </c>
      <c r="BD274" s="32">
        <f t="shared" si="131"/>
        <v>6</v>
      </c>
      <c r="BE274">
        <f>step3_validation[[#This Row],[AI_OUT1]]</f>
        <v>7</v>
      </c>
      <c r="BF274" t="str">
        <f t="shared" si="132"/>
        <v>Neutral</v>
      </c>
      <c r="BG274">
        <f>survey_responses[[#This Row],[Sau khi xem xét các quyền lợi và nghĩa vụ, bạn có ủng hộ và tuân thủ chính sách mới hiện nay? - HUMAN-OUT1]]</f>
        <v>1</v>
      </c>
      <c r="BH274" t="str">
        <f t="shared" si="133"/>
        <v>Oppose</v>
      </c>
      <c r="BI274" s="32">
        <f t="shared" si="134"/>
        <v>6</v>
      </c>
    </row>
    <row r="275" spans="1:61" x14ac:dyDescent="0.45">
      <c r="A275" s="30">
        <f>step3_validation[[#This Row],[Persona_ID]]</f>
        <v>274</v>
      </c>
      <c r="B275" s="31">
        <f>step3_validation[[#This Row],[Used_Seed]]</f>
        <v>2264</v>
      </c>
      <c r="C275" t="str">
        <f>step3_validation[[#This Row],[Gender]]</f>
        <v>Nữ</v>
      </c>
      <c r="D275" t="str">
        <f>survey_responses[[#This Row],[Giới tính của bạn:]]</f>
        <v>Nữ</v>
      </c>
      <c r="E275" t="str">
        <f>step3_validation[[#This Row],[Age_Group]]</f>
        <v>30 - 39</v>
      </c>
      <c r="F275" t="str">
        <f>survey_responses[[#This Row],[Độ tuổi của bạn:]]</f>
        <v>30 - 39</v>
      </c>
      <c r="G275" t="str">
        <f>step3_validation[[#This Row],[Region]]</f>
        <v>Thành thị</v>
      </c>
      <c r="H275" t="str">
        <f>survey_responses[[#This Row],[Khu vực bạn đang sinh sống:]]</f>
        <v>Thành thị</v>
      </c>
      <c r="I275" t="str">
        <f>step3_validation[[#This Row],[Education]]</f>
        <v>Đại học</v>
      </c>
      <c r="J275" t="str">
        <f>survey_responses[[#This Row],[Trình độ học vấn cao nhất:]]</f>
        <v>Đại học</v>
      </c>
      <c r="K275" t="str">
        <f>step3_validation[[#This Row],[Employment]]</f>
        <v>Chính thức</v>
      </c>
      <c r="L275" t="str">
        <f>survey_responses[[#This Row],[Tình trạng việc làm chính:]]</f>
        <v>Khu vực chính thức (Có Hợp đồng lao động, đóng BHXH)</v>
      </c>
      <c r="M275">
        <f>step3_validation[[#This Row],[Income_Mil]]</f>
        <v>64.31641483786585</v>
      </c>
      <c r="N275" t="str">
        <f>survey_responses[[#This Row],[Thu nhập bình quân tháng theo Hợp đồng lao động của bạn là bao nhiêu? (Vui lòng điền tổng thu nhập trước khi khấu trừ các loại Bảo hiểm (BHXH, BHYT, BHTN) và Thuế TNCN)]]</f>
        <v>Từ 48 - 70 triệu VNĐ</v>
      </c>
      <c r="O275">
        <f>step3_validation[[#This Row],[Dependents]]</f>
        <v>2</v>
      </c>
      <c r="P275" t="str">
        <f>survey_responses[[#This Row],[Số người phụ thuộc (con nhỏ, cha mẹ già...) đủ điều kiện giảm trừ gia cảnh:]]</f>
        <v>2 người</v>
      </c>
      <c r="Q275">
        <f>step3_validation[[#This Row],[AI_ENF1]]</f>
        <v>7</v>
      </c>
      <c r="R275" t="str">
        <f t="shared" si="108"/>
        <v>Neutral</v>
      </c>
      <c r="S275">
        <f>survey_responses[[#This Row],[Tôi tin rằng với các quy định quản lý thuế hiện nay, hành vi gian lận hoặc trốn thuế sẽ dễ dàng bị phát hiện và xử lý nghiêm. - HUMAN-ENF1]]</f>
        <v>6</v>
      </c>
      <c r="T275" t="str">
        <f t="shared" si="109"/>
        <v>Neutral</v>
      </c>
      <c r="U275" s="32">
        <f t="shared" si="110"/>
        <v>1</v>
      </c>
      <c r="V275">
        <f>step3_validation[[#This Row],[AI_ENF2]]</f>
        <v>6</v>
      </c>
      <c r="W275" t="str">
        <f t="shared" si="111"/>
        <v>Neutral</v>
      </c>
      <c r="X275">
        <f>survey_responses[[#This Row],[Tôi tin rằng Nhà nước, cơ quan thuế có đủ khả năng và công nghệ để phát hiện, xử lý nghiêm các hành vi trốn thuế. - HUMAN-ENF2]]</f>
        <v>6</v>
      </c>
      <c r="Y275" t="str">
        <f t="shared" si="112"/>
        <v>Neutral</v>
      </c>
      <c r="Z275" s="32">
        <f t="shared" si="113"/>
        <v>0</v>
      </c>
      <c r="AA275">
        <f>step3_validation[[#This Row],[AI_FAC1]]</f>
        <v>8</v>
      </c>
      <c r="AB275" t="str">
        <f t="shared" si="114"/>
        <v>Support</v>
      </c>
      <c r="AC275">
        <f>survey_responses[[#This Row],[Các thủ tục khai báo thuế VÀ/HOẶC quy trình làm việc với cơ quan thuế đơn giản, tiện lợi, nhanh chóng hơn so với trước đây. - HUMAN-FAC1]]</f>
        <v>5</v>
      </c>
      <c r="AD275" t="str">
        <f t="shared" si="115"/>
        <v>Neutral</v>
      </c>
      <c r="AE275" s="32">
        <f t="shared" si="116"/>
        <v>3</v>
      </c>
      <c r="AF275">
        <f>step3_validation[[#This Row],[AI_FAC2]]</f>
        <v>9</v>
      </c>
      <c r="AG275" t="str">
        <f t="shared" si="117"/>
        <v>Support</v>
      </c>
      <c r="AH275">
        <f>survey_responses[[#This Row],[So với trước đây, tôi thấy cách tính thuế và các bậc thuế trong phương án mới đơn giản, dễ hiểu và dễ thực hiện hơn. - HUMAN-FAC2]]</f>
        <v>6</v>
      </c>
      <c r="AI275" t="str">
        <f t="shared" si="118"/>
        <v>Neutral</v>
      </c>
      <c r="AJ275" s="32">
        <f t="shared" si="119"/>
        <v>3</v>
      </c>
      <c r="AK275">
        <f>step3_validation[[#This Row],[AI_TRU1]]</f>
        <v>6</v>
      </c>
      <c r="AL275" t="str">
        <f t="shared" si="120"/>
        <v>Neutral</v>
      </c>
      <c r="AM275">
        <f>survey_responses[[#This Row],[Tôi tin rằng Nhà nước, cơ quan thuế sẽ thực thi chính sách mới một cách khách quan, công tâm và đối xử bình đẳng với mọi người nộp thuế.  - HUMAN-TRU1]]</f>
        <v>6</v>
      </c>
      <c r="AN275" t="str">
        <f t="shared" si="121"/>
        <v>Neutral</v>
      </c>
      <c r="AO275" s="32">
        <f t="shared" si="122"/>
        <v>0</v>
      </c>
      <c r="AP275">
        <f>step3_validation[[#This Row],[AI_TRU2]]</f>
        <v>7</v>
      </c>
      <c r="AQ275" t="str">
        <f t="shared" si="123"/>
        <v>Neutral</v>
      </c>
      <c r="AR275">
        <f>survey_responses[[#This Row],[Tôi thấy mức thuế tôi phải đóng theo phương án mới là công bằng (người thu nhập như tôi đóng mức này là hợp lý). - HUMAN-TRU2]]</f>
        <v>6</v>
      </c>
      <c r="AS275" t="str">
        <f t="shared" si="124"/>
        <v>Neutral</v>
      </c>
      <c r="AT275" s="32">
        <f t="shared" si="125"/>
        <v>1</v>
      </c>
      <c r="AU275">
        <f>step3_validation[[#This Row],[AI_TRU3]]</f>
        <v>6</v>
      </c>
      <c r="AV275" t="str">
        <f t="shared" si="126"/>
        <v>Neutral</v>
      </c>
      <c r="AW275">
        <f>survey_responses[[#This Row],[Tôi tin tưởng số tiền thuế tôi đóng sẽ được Nhà nước sử dụng hiệu quả để cải thiện dịch vụ công (y tế, đường xá...). - HUMAN-TRU3]]</f>
        <v>6</v>
      </c>
      <c r="AX275" t="str">
        <f t="shared" si="127"/>
        <v>Neutral</v>
      </c>
      <c r="AY275" s="32">
        <f t="shared" si="128"/>
        <v>0</v>
      </c>
      <c r="AZ275">
        <f>step3_validation[[#This Row],[AI_TRU4]]</f>
        <v>5</v>
      </c>
      <c r="BA275" t="str">
        <f t="shared" si="129"/>
        <v>Neutral</v>
      </c>
      <c r="BB275">
        <f>survey_responses[[#This Row],[Tôi thấy Nhà nước đã giải thích rõ ràng, minh bạch về lý do và mục tiêu của việc sửa đổi thuế lần này. - HUMAN-TRU4]]</f>
        <v>6</v>
      </c>
      <c r="BC275" t="str">
        <f t="shared" si="130"/>
        <v>Neutral</v>
      </c>
      <c r="BD275" s="32">
        <f t="shared" si="131"/>
        <v>1</v>
      </c>
      <c r="BE275">
        <f>step3_validation[[#This Row],[AI_OUT1]]</f>
        <v>4</v>
      </c>
      <c r="BF275" t="str">
        <f t="shared" si="132"/>
        <v>Oppose</v>
      </c>
      <c r="BG275">
        <f>survey_responses[[#This Row],[Sau khi xem xét các quyền lợi và nghĩa vụ, bạn có ủng hộ và tuân thủ chính sách mới hiện nay? - HUMAN-OUT1]]</f>
        <v>6</v>
      </c>
      <c r="BH275" t="str">
        <f t="shared" si="133"/>
        <v>Neutral</v>
      </c>
      <c r="BI275" s="32">
        <f t="shared" si="134"/>
        <v>2</v>
      </c>
    </row>
    <row r="276" spans="1:61" x14ac:dyDescent="0.45">
      <c r="A276" s="30">
        <f>step3_validation[[#This Row],[Persona_ID]]</f>
        <v>275</v>
      </c>
      <c r="B276" s="31">
        <f>step3_validation[[#This Row],[Used_Seed]]</f>
        <v>2265</v>
      </c>
      <c r="C276" t="str">
        <f>step3_validation[[#This Row],[Gender]]</f>
        <v>Nữ</v>
      </c>
      <c r="D276" t="str">
        <f>survey_responses[[#This Row],[Giới tính của bạn:]]</f>
        <v>Nữ</v>
      </c>
      <c r="E276" t="str">
        <f>step3_validation[[#This Row],[Age_Group]]</f>
        <v>40 - 49</v>
      </c>
      <c r="F276" t="str">
        <f>survey_responses[[#This Row],[Độ tuổi của bạn:]]</f>
        <v>40 - 49</v>
      </c>
      <c r="G276" t="str">
        <f>step3_validation[[#This Row],[Region]]</f>
        <v>Thành thị</v>
      </c>
      <c r="H276" t="str">
        <f>survey_responses[[#This Row],[Khu vực bạn đang sinh sống:]]</f>
        <v>Thành thị</v>
      </c>
      <c r="I276" t="str">
        <f>step3_validation[[#This Row],[Education]]</f>
        <v>Sau Đại học</v>
      </c>
      <c r="J276" t="str">
        <f>survey_responses[[#This Row],[Trình độ học vấn cao nhất:]]</f>
        <v>Sau Đại học</v>
      </c>
      <c r="K276" t="str">
        <f>step3_validation[[#This Row],[Employment]]</f>
        <v>Chính thức</v>
      </c>
      <c r="L276" t="str">
        <f>survey_responses[[#This Row],[Tình trạng việc làm chính:]]</f>
        <v>Khu vực chính thức (Có Hợp đồng lao động, đóng BHXH)</v>
      </c>
      <c r="M276">
        <f>step3_validation[[#This Row],[Income_Mil]]</f>
        <v>56.468503536521119</v>
      </c>
      <c r="N276" t="str">
        <f>survey_responses[[#This Row],[Thu nhập bình quân tháng theo Hợp đồng lao động của bạn là bao nhiêu? (Vui lòng điền tổng thu nhập trước khi khấu trừ các loại Bảo hiểm (BHXH, BHYT, BHTN) và Thuế TNCN)]]</f>
        <v>Từ 48 - 70 triệu VNĐ</v>
      </c>
      <c r="O276">
        <f>step3_validation[[#This Row],[Dependents]]</f>
        <v>2</v>
      </c>
      <c r="P276" t="str">
        <f>survey_responses[[#This Row],[Số người phụ thuộc (con nhỏ, cha mẹ già...) đủ điều kiện giảm trừ gia cảnh:]]</f>
        <v>2 người</v>
      </c>
      <c r="Q276">
        <f>step3_validation[[#This Row],[AI_ENF1]]</f>
        <v>7</v>
      </c>
      <c r="R276" t="str">
        <f t="shared" si="108"/>
        <v>Neutral</v>
      </c>
      <c r="S276">
        <f>survey_responses[[#This Row],[Tôi tin rằng với các quy định quản lý thuế hiện nay, hành vi gian lận hoặc trốn thuế sẽ dễ dàng bị phát hiện và xử lý nghiêm. - HUMAN-ENF1]]</f>
        <v>8</v>
      </c>
      <c r="T276" t="str">
        <f t="shared" si="109"/>
        <v>Support</v>
      </c>
      <c r="U276" s="32">
        <f t="shared" si="110"/>
        <v>1</v>
      </c>
      <c r="V276">
        <f>step3_validation[[#This Row],[AI_ENF2]]</f>
        <v>8</v>
      </c>
      <c r="W276" t="str">
        <f t="shared" si="111"/>
        <v>Support</v>
      </c>
      <c r="X276">
        <f>survey_responses[[#This Row],[Tôi tin rằng Nhà nước, cơ quan thuế có đủ khả năng và công nghệ để phát hiện, xử lý nghiêm các hành vi trốn thuế. - HUMAN-ENF2]]</f>
        <v>9</v>
      </c>
      <c r="Y276" t="str">
        <f t="shared" si="112"/>
        <v>Support</v>
      </c>
      <c r="Z276" s="32">
        <f t="shared" si="113"/>
        <v>1</v>
      </c>
      <c r="AA276">
        <f>step3_validation[[#This Row],[AI_FAC1]]</f>
        <v>6</v>
      </c>
      <c r="AB276" t="str">
        <f t="shared" si="114"/>
        <v>Neutral</v>
      </c>
      <c r="AC276">
        <f>survey_responses[[#This Row],[Các thủ tục khai báo thuế VÀ/HOẶC quy trình làm việc với cơ quan thuế đơn giản, tiện lợi, nhanh chóng hơn so với trước đây. - HUMAN-FAC1]]</f>
        <v>5</v>
      </c>
      <c r="AD276" t="str">
        <f t="shared" si="115"/>
        <v>Neutral</v>
      </c>
      <c r="AE276" s="32">
        <f t="shared" si="116"/>
        <v>1</v>
      </c>
      <c r="AF276">
        <f>step3_validation[[#This Row],[AI_FAC2]]</f>
        <v>9</v>
      </c>
      <c r="AG276" t="str">
        <f t="shared" si="117"/>
        <v>Support</v>
      </c>
      <c r="AH276">
        <f>survey_responses[[#This Row],[So với trước đây, tôi thấy cách tính thuế và các bậc thuế trong phương án mới đơn giản, dễ hiểu và dễ thực hiện hơn. - HUMAN-FAC2]]</f>
        <v>7</v>
      </c>
      <c r="AI276" t="str">
        <f t="shared" si="118"/>
        <v>Neutral</v>
      </c>
      <c r="AJ276" s="32">
        <f t="shared" si="119"/>
        <v>2</v>
      </c>
      <c r="AK276">
        <f>step3_validation[[#This Row],[AI_TRU1]]</f>
        <v>8</v>
      </c>
      <c r="AL276" t="str">
        <f t="shared" si="120"/>
        <v>Support</v>
      </c>
      <c r="AM276">
        <f>survey_responses[[#This Row],[Tôi tin rằng Nhà nước, cơ quan thuế sẽ thực thi chính sách mới một cách khách quan, công tâm và đối xử bình đẳng với mọi người nộp thuế.  - HUMAN-TRU1]]</f>
        <v>6</v>
      </c>
      <c r="AN276" t="str">
        <f t="shared" si="121"/>
        <v>Neutral</v>
      </c>
      <c r="AO276" s="32">
        <f t="shared" si="122"/>
        <v>2</v>
      </c>
      <c r="AP276">
        <f>step3_validation[[#This Row],[AI_TRU2]]</f>
        <v>9</v>
      </c>
      <c r="AQ276" t="str">
        <f t="shared" si="123"/>
        <v>Support</v>
      </c>
      <c r="AR276">
        <f>survey_responses[[#This Row],[Tôi thấy mức thuế tôi phải đóng theo phương án mới là công bằng (người thu nhập như tôi đóng mức này là hợp lý). - HUMAN-TRU2]]</f>
        <v>7</v>
      </c>
      <c r="AS276" t="str">
        <f t="shared" si="124"/>
        <v>Neutral</v>
      </c>
      <c r="AT276" s="32">
        <f t="shared" si="125"/>
        <v>2</v>
      </c>
      <c r="AU276">
        <f>step3_validation[[#This Row],[AI_TRU3]]</f>
        <v>8</v>
      </c>
      <c r="AV276" t="str">
        <f t="shared" si="126"/>
        <v>Support</v>
      </c>
      <c r="AW276">
        <f>survey_responses[[#This Row],[Tôi tin tưởng số tiền thuế tôi đóng sẽ được Nhà nước sử dụng hiệu quả để cải thiện dịch vụ công (y tế, đường xá...). - HUMAN-TRU3]]</f>
        <v>7</v>
      </c>
      <c r="AX276" t="str">
        <f t="shared" si="127"/>
        <v>Neutral</v>
      </c>
      <c r="AY276" s="32">
        <f t="shared" si="128"/>
        <v>1</v>
      </c>
      <c r="AZ276">
        <f>step3_validation[[#This Row],[AI_TRU4]]</f>
        <v>9</v>
      </c>
      <c r="BA276" t="str">
        <f t="shared" si="129"/>
        <v>Support</v>
      </c>
      <c r="BB276">
        <f>survey_responses[[#This Row],[Tôi thấy Nhà nước đã giải thích rõ ràng, minh bạch về lý do và mục tiêu của việc sửa đổi thuế lần này. - HUMAN-TRU4]]</f>
        <v>7</v>
      </c>
      <c r="BC276" t="str">
        <f t="shared" si="130"/>
        <v>Neutral</v>
      </c>
      <c r="BD276" s="32">
        <f t="shared" si="131"/>
        <v>2</v>
      </c>
      <c r="BE276">
        <f>step3_validation[[#This Row],[AI_OUT1]]</f>
        <v>7</v>
      </c>
      <c r="BF276" t="str">
        <f t="shared" si="132"/>
        <v>Neutral</v>
      </c>
      <c r="BG276">
        <f>survey_responses[[#This Row],[Sau khi xem xét các quyền lợi và nghĩa vụ, bạn có ủng hộ và tuân thủ chính sách mới hiện nay? - HUMAN-OUT1]]</f>
        <v>7</v>
      </c>
      <c r="BH276" t="str">
        <f t="shared" si="133"/>
        <v>Neutral</v>
      </c>
      <c r="BI276" s="32">
        <f t="shared" si="134"/>
        <v>0</v>
      </c>
    </row>
    <row r="277" spans="1:61" x14ac:dyDescent="0.45">
      <c r="A277" s="30">
        <f>step3_validation[[#This Row],[Persona_ID]]</f>
        <v>276</v>
      </c>
      <c r="B277" s="31">
        <f>step3_validation[[#This Row],[Used_Seed]]</f>
        <v>2266</v>
      </c>
      <c r="C277" t="str">
        <f>step3_validation[[#This Row],[Gender]]</f>
        <v>Nam</v>
      </c>
      <c r="D277" t="str">
        <f>survey_responses[[#This Row],[Giới tính của bạn:]]</f>
        <v>Nam</v>
      </c>
      <c r="E277" t="str">
        <f>step3_validation[[#This Row],[Age_Group]]</f>
        <v>30 - 39</v>
      </c>
      <c r="F277" t="str">
        <f>survey_responses[[#This Row],[Độ tuổi của bạn:]]</f>
        <v>30 - 39</v>
      </c>
      <c r="G277" t="str">
        <f>step3_validation[[#This Row],[Region]]</f>
        <v>Thành thị</v>
      </c>
      <c r="H277" t="str">
        <f>survey_responses[[#This Row],[Khu vực bạn đang sinh sống:]]</f>
        <v>Thành thị</v>
      </c>
      <c r="I277" t="str">
        <f>step3_validation[[#This Row],[Education]]</f>
        <v>Đại học</v>
      </c>
      <c r="J277" t="str">
        <f>survey_responses[[#This Row],[Trình độ học vấn cao nhất:]]</f>
        <v>Đại học</v>
      </c>
      <c r="K277" t="str">
        <f>step3_validation[[#This Row],[Employment]]</f>
        <v>Chính thức</v>
      </c>
      <c r="L277" t="str">
        <f>survey_responses[[#This Row],[Tình trạng việc làm chính:]]</f>
        <v>Khu vực chính thức (Có Hợp đồng lao động, đóng BHXH)</v>
      </c>
      <c r="M277">
        <f>step3_validation[[#This Row],[Income_Mil]]</f>
        <v>44.310110739472506</v>
      </c>
      <c r="N277" t="str">
        <f>survey_responses[[#This Row],[Thu nhập bình quân tháng theo Hợp đồng lao động của bạn là bao nhiêu? (Vui lòng điền tổng thu nhập trước khi khấu trừ các loại Bảo hiểm (BHXH, BHYT, BHTN) và Thuế TNCN)]]</f>
        <v>Từ 32 - 48 triệu VNĐ</v>
      </c>
      <c r="O277">
        <f>step3_validation[[#This Row],[Dependents]]</f>
        <v>1</v>
      </c>
      <c r="P277" t="str">
        <f>survey_responses[[#This Row],[Số người phụ thuộc (con nhỏ, cha mẹ già...) đủ điều kiện giảm trừ gia cảnh:]]</f>
        <v>1 người</v>
      </c>
      <c r="Q277">
        <f>step3_validation[[#This Row],[AI_ENF1]]</f>
        <v>7</v>
      </c>
      <c r="R277" t="str">
        <f t="shared" si="108"/>
        <v>Neutral</v>
      </c>
      <c r="S277">
        <f>survey_responses[[#This Row],[Tôi tin rằng với các quy định quản lý thuế hiện nay, hành vi gian lận hoặc trốn thuế sẽ dễ dàng bị phát hiện và xử lý nghiêm. - HUMAN-ENF1]]</f>
        <v>6</v>
      </c>
      <c r="T277" t="str">
        <f t="shared" si="109"/>
        <v>Neutral</v>
      </c>
      <c r="U277" s="32">
        <f t="shared" si="110"/>
        <v>1</v>
      </c>
      <c r="V277">
        <f>step3_validation[[#This Row],[AI_ENF2]]</f>
        <v>8</v>
      </c>
      <c r="W277" t="str">
        <f t="shared" si="111"/>
        <v>Support</v>
      </c>
      <c r="X277">
        <f>survey_responses[[#This Row],[Tôi tin rằng Nhà nước, cơ quan thuế có đủ khả năng và công nghệ để phát hiện, xử lý nghiêm các hành vi trốn thuế. - HUMAN-ENF2]]</f>
        <v>6</v>
      </c>
      <c r="Y277" t="str">
        <f t="shared" si="112"/>
        <v>Neutral</v>
      </c>
      <c r="Z277" s="32">
        <f t="shared" si="113"/>
        <v>2</v>
      </c>
      <c r="AA277">
        <f>step3_validation[[#This Row],[AI_FAC1]]</f>
        <v>6</v>
      </c>
      <c r="AB277" t="str">
        <f t="shared" si="114"/>
        <v>Neutral</v>
      </c>
      <c r="AC277">
        <f>survey_responses[[#This Row],[Các thủ tục khai báo thuế VÀ/HOẶC quy trình làm việc với cơ quan thuế đơn giản, tiện lợi, nhanh chóng hơn so với trước đây. - HUMAN-FAC1]]</f>
        <v>3</v>
      </c>
      <c r="AD277" t="str">
        <f t="shared" si="115"/>
        <v>Oppose</v>
      </c>
      <c r="AE277" s="32">
        <f t="shared" si="116"/>
        <v>3</v>
      </c>
      <c r="AF277">
        <f>step3_validation[[#This Row],[AI_FAC2]]</f>
        <v>9</v>
      </c>
      <c r="AG277" t="str">
        <f t="shared" si="117"/>
        <v>Support</v>
      </c>
      <c r="AH277">
        <f>survey_responses[[#This Row],[So với trước đây, tôi thấy cách tính thuế và các bậc thuế trong phương án mới đơn giản, dễ hiểu và dễ thực hiện hơn. - HUMAN-FAC2]]</f>
        <v>7</v>
      </c>
      <c r="AI277" t="str">
        <f t="shared" si="118"/>
        <v>Neutral</v>
      </c>
      <c r="AJ277" s="32">
        <f t="shared" si="119"/>
        <v>2</v>
      </c>
      <c r="AK277">
        <f>step3_validation[[#This Row],[AI_TRU1]]</f>
        <v>7</v>
      </c>
      <c r="AL277" t="str">
        <f t="shared" si="120"/>
        <v>Neutral</v>
      </c>
      <c r="AM277">
        <f>survey_responses[[#This Row],[Tôi tin rằng Nhà nước, cơ quan thuế sẽ thực thi chính sách mới một cách khách quan, công tâm và đối xử bình đẳng với mọi người nộp thuế.  - HUMAN-TRU1]]</f>
        <v>7</v>
      </c>
      <c r="AN277" t="str">
        <f t="shared" si="121"/>
        <v>Neutral</v>
      </c>
      <c r="AO277" s="32">
        <f t="shared" si="122"/>
        <v>0</v>
      </c>
      <c r="AP277">
        <f>step3_validation[[#This Row],[AI_TRU2]]</f>
        <v>8</v>
      </c>
      <c r="AQ277" t="str">
        <f t="shared" si="123"/>
        <v>Support</v>
      </c>
      <c r="AR277">
        <f>survey_responses[[#This Row],[Tôi thấy mức thuế tôi phải đóng theo phương án mới là công bằng (người thu nhập như tôi đóng mức này là hợp lý). - HUMAN-TRU2]]</f>
        <v>7</v>
      </c>
      <c r="AS277" t="str">
        <f t="shared" si="124"/>
        <v>Neutral</v>
      </c>
      <c r="AT277" s="32">
        <f t="shared" si="125"/>
        <v>1</v>
      </c>
      <c r="AU277">
        <f>step3_validation[[#This Row],[AI_TRU3]]</f>
        <v>7</v>
      </c>
      <c r="AV277" t="str">
        <f t="shared" si="126"/>
        <v>Neutral</v>
      </c>
      <c r="AW277">
        <f>survey_responses[[#This Row],[Tôi tin tưởng số tiền thuế tôi đóng sẽ được Nhà nước sử dụng hiệu quả để cải thiện dịch vụ công (y tế, đường xá...). - HUMAN-TRU3]]</f>
        <v>5</v>
      </c>
      <c r="AX277" t="str">
        <f t="shared" si="127"/>
        <v>Neutral</v>
      </c>
      <c r="AY277" s="32">
        <f t="shared" si="128"/>
        <v>2</v>
      </c>
      <c r="AZ277">
        <f>step3_validation[[#This Row],[AI_TRU4]]</f>
        <v>8</v>
      </c>
      <c r="BA277" t="str">
        <f t="shared" si="129"/>
        <v>Support</v>
      </c>
      <c r="BB277">
        <f>survey_responses[[#This Row],[Tôi thấy Nhà nước đã giải thích rõ ràng, minh bạch về lý do và mục tiêu của việc sửa đổi thuế lần này. - HUMAN-TRU4]]</f>
        <v>7</v>
      </c>
      <c r="BC277" t="str">
        <f t="shared" si="130"/>
        <v>Neutral</v>
      </c>
      <c r="BD277" s="32">
        <f t="shared" si="131"/>
        <v>1</v>
      </c>
      <c r="BE277">
        <f>step3_validation[[#This Row],[AI_OUT1]]</f>
        <v>8</v>
      </c>
      <c r="BF277" t="str">
        <f t="shared" si="132"/>
        <v>Support</v>
      </c>
      <c r="BG277">
        <f>survey_responses[[#This Row],[Sau khi xem xét các quyền lợi và nghĩa vụ, bạn có ủng hộ và tuân thủ chính sách mới hiện nay? - HUMAN-OUT1]]</f>
        <v>7</v>
      </c>
      <c r="BH277" t="str">
        <f t="shared" si="133"/>
        <v>Neutral</v>
      </c>
      <c r="BI277" s="32">
        <f t="shared" si="134"/>
        <v>1</v>
      </c>
    </row>
    <row r="278" spans="1:61" x14ac:dyDescent="0.45">
      <c r="A278" s="30">
        <f>step3_validation[[#This Row],[Persona_ID]]</f>
        <v>277</v>
      </c>
      <c r="B278" s="31">
        <f>step3_validation[[#This Row],[Used_Seed]]</f>
        <v>2267</v>
      </c>
      <c r="C278" t="str">
        <f>step3_validation[[#This Row],[Gender]]</f>
        <v>Nữ</v>
      </c>
      <c r="D278" t="str">
        <f>survey_responses[[#This Row],[Giới tính của bạn:]]</f>
        <v>Nữ</v>
      </c>
      <c r="E278" t="str">
        <f>step3_validation[[#This Row],[Age_Group]]</f>
        <v>40 - 49</v>
      </c>
      <c r="F278" t="str">
        <f>survey_responses[[#This Row],[Độ tuổi của bạn:]]</f>
        <v>40 - 49</v>
      </c>
      <c r="G278" t="str">
        <f>step3_validation[[#This Row],[Region]]</f>
        <v>Thành thị</v>
      </c>
      <c r="H278" t="str">
        <f>survey_responses[[#This Row],[Khu vực bạn đang sinh sống:]]</f>
        <v>Thành thị</v>
      </c>
      <c r="I278" t="str">
        <f>step3_validation[[#This Row],[Education]]</f>
        <v>Đại học</v>
      </c>
      <c r="J278" t="str">
        <f>survey_responses[[#This Row],[Trình độ học vấn cao nhất:]]</f>
        <v>Đại học</v>
      </c>
      <c r="K278" t="str">
        <f>step3_validation[[#This Row],[Employment]]</f>
        <v>Chính thức</v>
      </c>
      <c r="L278" t="str">
        <f>survey_responses[[#This Row],[Tình trạng việc làm chính:]]</f>
        <v>Khu vực chính thức (Có Hợp đồng lao động, đóng BHXH)</v>
      </c>
      <c r="M278">
        <f>step3_validation[[#This Row],[Income_Mil]]</f>
        <v>89.620343369473275</v>
      </c>
      <c r="N278" t="str">
        <f>survey_responses[[#This Row],[Thu nhập bình quân tháng theo Hợp đồng lao động của bạn là bao nhiêu? (Vui lòng điền tổng thu nhập trước khi khấu trừ các loại Bảo hiểm (BHXH, BHYT, BHTN) và Thuế TNCN)]]</f>
        <v>Từ 70 - 102 triệu VNĐ</v>
      </c>
      <c r="O278">
        <f>step3_validation[[#This Row],[Dependents]]</f>
        <v>4</v>
      </c>
      <c r="P278" t="str">
        <f>survey_responses[[#This Row],[Số người phụ thuộc (con nhỏ, cha mẹ già...) đủ điều kiện giảm trừ gia cảnh:]]</f>
        <v>4 người trở lên</v>
      </c>
      <c r="Q278">
        <f>step3_validation[[#This Row],[AI_ENF1]]</f>
        <v>6</v>
      </c>
      <c r="R278" t="str">
        <f t="shared" si="108"/>
        <v>Neutral</v>
      </c>
      <c r="S278">
        <f>survey_responses[[#This Row],[Tôi tin rằng với các quy định quản lý thuế hiện nay, hành vi gian lận hoặc trốn thuế sẽ dễ dàng bị phát hiện và xử lý nghiêm. - HUMAN-ENF1]]</f>
        <v>8</v>
      </c>
      <c r="T278" t="str">
        <f t="shared" si="109"/>
        <v>Support</v>
      </c>
      <c r="U278" s="32">
        <f t="shared" si="110"/>
        <v>2</v>
      </c>
      <c r="V278">
        <f>step3_validation[[#This Row],[AI_ENF2]]</f>
        <v>7</v>
      </c>
      <c r="W278" t="str">
        <f t="shared" si="111"/>
        <v>Neutral</v>
      </c>
      <c r="X278">
        <f>survey_responses[[#This Row],[Tôi tin rằng Nhà nước, cơ quan thuế có đủ khả năng và công nghệ để phát hiện, xử lý nghiêm các hành vi trốn thuế. - HUMAN-ENF2]]</f>
        <v>8</v>
      </c>
      <c r="Y278" t="str">
        <f t="shared" si="112"/>
        <v>Support</v>
      </c>
      <c r="Z278" s="32">
        <f t="shared" si="113"/>
        <v>1</v>
      </c>
      <c r="AA278">
        <f>step3_validation[[#This Row],[AI_FAC1]]</f>
        <v>8</v>
      </c>
      <c r="AB278" t="str">
        <f t="shared" si="114"/>
        <v>Support</v>
      </c>
      <c r="AC278">
        <f>survey_responses[[#This Row],[Các thủ tục khai báo thuế VÀ/HOẶC quy trình làm việc với cơ quan thuế đơn giản, tiện lợi, nhanh chóng hơn so với trước đây. - HUMAN-FAC1]]</f>
        <v>6</v>
      </c>
      <c r="AD278" t="str">
        <f t="shared" si="115"/>
        <v>Neutral</v>
      </c>
      <c r="AE278" s="32">
        <f t="shared" si="116"/>
        <v>2</v>
      </c>
      <c r="AF278">
        <f>step3_validation[[#This Row],[AI_FAC2]]</f>
        <v>9</v>
      </c>
      <c r="AG278" t="str">
        <f t="shared" si="117"/>
        <v>Support</v>
      </c>
      <c r="AH278">
        <f>survey_responses[[#This Row],[So với trước đây, tôi thấy cách tính thuế và các bậc thuế trong phương án mới đơn giản, dễ hiểu và dễ thực hiện hơn. - HUMAN-FAC2]]</f>
        <v>7</v>
      </c>
      <c r="AI278" t="str">
        <f t="shared" si="118"/>
        <v>Neutral</v>
      </c>
      <c r="AJ278" s="32">
        <f t="shared" si="119"/>
        <v>2</v>
      </c>
      <c r="AK278">
        <f>step3_validation[[#This Row],[AI_TRU1]]</f>
        <v>7</v>
      </c>
      <c r="AL278" t="str">
        <f t="shared" si="120"/>
        <v>Neutral</v>
      </c>
      <c r="AM278">
        <f>survey_responses[[#This Row],[Tôi tin rằng Nhà nước, cơ quan thuế sẽ thực thi chính sách mới một cách khách quan, công tâm và đối xử bình đẳng với mọi người nộp thuế.  - HUMAN-TRU1]]</f>
        <v>7</v>
      </c>
      <c r="AN278" t="str">
        <f t="shared" si="121"/>
        <v>Neutral</v>
      </c>
      <c r="AO278" s="32">
        <f t="shared" si="122"/>
        <v>0</v>
      </c>
      <c r="AP278">
        <f>step3_validation[[#This Row],[AI_TRU2]]</f>
        <v>8</v>
      </c>
      <c r="AQ278" t="str">
        <f t="shared" si="123"/>
        <v>Support</v>
      </c>
      <c r="AR278">
        <f>survey_responses[[#This Row],[Tôi thấy mức thuế tôi phải đóng theo phương án mới là công bằng (người thu nhập như tôi đóng mức này là hợp lý). - HUMAN-TRU2]]</f>
        <v>4</v>
      </c>
      <c r="AS278" t="str">
        <f t="shared" si="124"/>
        <v>Oppose</v>
      </c>
      <c r="AT278" s="32">
        <f t="shared" si="125"/>
        <v>4</v>
      </c>
      <c r="AU278">
        <f>step3_validation[[#This Row],[AI_TRU3]]</f>
        <v>6</v>
      </c>
      <c r="AV278" t="str">
        <f t="shared" si="126"/>
        <v>Neutral</v>
      </c>
      <c r="AW278">
        <f>survey_responses[[#This Row],[Tôi tin tưởng số tiền thuế tôi đóng sẽ được Nhà nước sử dụng hiệu quả để cải thiện dịch vụ công (y tế, đường xá...). - HUMAN-TRU3]]</f>
        <v>5</v>
      </c>
      <c r="AX278" t="str">
        <f t="shared" si="127"/>
        <v>Neutral</v>
      </c>
      <c r="AY278" s="32">
        <f t="shared" si="128"/>
        <v>1</v>
      </c>
      <c r="AZ278">
        <f>step3_validation[[#This Row],[AI_TRU4]]</f>
        <v>5</v>
      </c>
      <c r="BA278" t="str">
        <f t="shared" si="129"/>
        <v>Neutral</v>
      </c>
      <c r="BB278">
        <f>survey_responses[[#This Row],[Tôi thấy Nhà nước đã giải thích rõ ràng, minh bạch về lý do và mục tiêu của việc sửa đổi thuế lần này. - HUMAN-TRU4]]</f>
        <v>5</v>
      </c>
      <c r="BC278" t="str">
        <f t="shared" si="130"/>
        <v>Neutral</v>
      </c>
      <c r="BD278" s="32">
        <f t="shared" si="131"/>
        <v>0</v>
      </c>
      <c r="BE278">
        <f>step3_validation[[#This Row],[AI_OUT1]]</f>
        <v>7</v>
      </c>
      <c r="BF278" t="str">
        <f t="shared" si="132"/>
        <v>Neutral</v>
      </c>
      <c r="BG278">
        <f>survey_responses[[#This Row],[Sau khi xem xét các quyền lợi và nghĩa vụ, bạn có ủng hộ và tuân thủ chính sách mới hiện nay? - HUMAN-OUT1]]</f>
        <v>5</v>
      </c>
      <c r="BH278" t="str">
        <f t="shared" si="133"/>
        <v>Neutral</v>
      </c>
      <c r="BI278" s="32">
        <f t="shared" si="134"/>
        <v>2</v>
      </c>
    </row>
    <row r="279" spans="1:61" x14ac:dyDescent="0.45">
      <c r="A279" s="30">
        <f>step3_validation[[#This Row],[Persona_ID]]</f>
        <v>278</v>
      </c>
      <c r="B279" s="31">
        <f>step3_validation[[#This Row],[Used_Seed]]</f>
        <v>2268</v>
      </c>
      <c r="C279" t="str">
        <f>step3_validation[[#This Row],[Gender]]</f>
        <v>Nữ</v>
      </c>
      <c r="D279" t="str">
        <f>survey_responses[[#This Row],[Giới tính của bạn:]]</f>
        <v>Nữ</v>
      </c>
      <c r="E279" t="str">
        <f>step3_validation[[#This Row],[Age_Group]]</f>
        <v>30 - 39</v>
      </c>
      <c r="F279" t="str">
        <f>survey_responses[[#This Row],[Độ tuổi của bạn:]]</f>
        <v>30 - 39</v>
      </c>
      <c r="G279" t="str">
        <f>step3_validation[[#This Row],[Region]]</f>
        <v>Thành thị</v>
      </c>
      <c r="H279" t="str">
        <f>survey_responses[[#This Row],[Khu vực bạn đang sinh sống:]]</f>
        <v>Thành thị</v>
      </c>
      <c r="I279" t="str">
        <f>step3_validation[[#This Row],[Education]]</f>
        <v>Đại học</v>
      </c>
      <c r="J279" t="str">
        <f>survey_responses[[#This Row],[Trình độ học vấn cao nhất:]]</f>
        <v>Đại học</v>
      </c>
      <c r="K279" t="str">
        <f>step3_validation[[#This Row],[Employment]]</f>
        <v>Chính thức</v>
      </c>
      <c r="L279" t="str">
        <f>survey_responses[[#This Row],[Tình trạng việc làm chính:]]</f>
        <v>Khu vực chính thức (Có Hợp đồng lao động, đóng BHXH)</v>
      </c>
      <c r="M279">
        <f>step3_validation[[#This Row],[Income_Mil]]</f>
        <v>63.192631952157875</v>
      </c>
      <c r="N279" t="str">
        <f>survey_responses[[#This Row],[Thu nhập bình quân tháng theo Hợp đồng lao động của bạn là bao nhiêu? (Vui lòng điền tổng thu nhập trước khi khấu trừ các loại Bảo hiểm (BHXH, BHYT, BHTN) và Thuế TNCN)]]</f>
        <v>Từ 48 - 70 triệu VNĐ</v>
      </c>
      <c r="O279">
        <f>step3_validation[[#This Row],[Dependents]]</f>
        <v>3</v>
      </c>
      <c r="P279" t="str">
        <f>survey_responses[[#This Row],[Số người phụ thuộc (con nhỏ, cha mẹ già...) đủ điều kiện giảm trừ gia cảnh:]]</f>
        <v>3 người</v>
      </c>
      <c r="Q279">
        <f>step3_validation[[#This Row],[AI_ENF1]]</f>
        <v>7</v>
      </c>
      <c r="R279" t="str">
        <f t="shared" si="108"/>
        <v>Neutral</v>
      </c>
      <c r="S279">
        <f>survey_responses[[#This Row],[Tôi tin rằng với các quy định quản lý thuế hiện nay, hành vi gian lận hoặc trốn thuế sẽ dễ dàng bị phát hiện và xử lý nghiêm. - HUMAN-ENF1]]</f>
        <v>6</v>
      </c>
      <c r="T279" t="str">
        <f t="shared" si="109"/>
        <v>Neutral</v>
      </c>
      <c r="U279" s="32">
        <f t="shared" si="110"/>
        <v>1</v>
      </c>
      <c r="V279">
        <f>step3_validation[[#This Row],[AI_ENF2]]</f>
        <v>8</v>
      </c>
      <c r="W279" t="str">
        <f t="shared" si="111"/>
        <v>Support</v>
      </c>
      <c r="X279">
        <f>survey_responses[[#This Row],[Tôi tin rằng Nhà nước, cơ quan thuế có đủ khả năng và công nghệ để phát hiện, xử lý nghiêm các hành vi trốn thuế. - HUMAN-ENF2]]</f>
        <v>7</v>
      </c>
      <c r="Y279" t="str">
        <f t="shared" si="112"/>
        <v>Neutral</v>
      </c>
      <c r="Z279" s="32">
        <f t="shared" si="113"/>
        <v>1</v>
      </c>
      <c r="AA279">
        <f>step3_validation[[#This Row],[AI_FAC1]]</f>
        <v>9</v>
      </c>
      <c r="AB279" t="str">
        <f t="shared" si="114"/>
        <v>Support</v>
      </c>
      <c r="AC279">
        <f>survey_responses[[#This Row],[Các thủ tục khai báo thuế VÀ/HOẶC quy trình làm việc với cơ quan thuế đơn giản, tiện lợi, nhanh chóng hơn so với trước đây. - HUMAN-FAC1]]</f>
        <v>5</v>
      </c>
      <c r="AD279" t="str">
        <f t="shared" si="115"/>
        <v>Neutral</v>
      </c>
      <c r="AE279" s="32">
        <f t="shared" si="116"/>
        <v>4</v>
      </c>
      <c r="AF279">
        <f>step3_validation[[#This Row],[AI_FAC2]]</f>
        <v>8</v>
      </c>
      <c r="AG279" t="str">
        <f t="shared" si="117"/>
        <v>Support</v>
      </c>
      <c r="AH279">
        <f>survey_responses[[#This Row],[So với trước đây, tôi thấy cách tính thuế và các bậc thuế trong phương án mới đơn giản, dễ hiểu và dễ thực hiện hơn. - HUMAN-FAC2]]</f>
        <v>7</v>
      </c>
      <c r="AI279" t="str">
        <f t="shared" si="118"/>
        <v>Neutral</v>
      </c>
      <c r="AJ279" s="32">
        <f t="shared" si="119"/>
        <v>1</v>
      </c>
      <c r="AK279">
        <f>step3_validation[[#This Row],[AI_TRU1]]</f>
        <v>7</v>
      </c>
      <c r="AL279" t="str">
        <f t="shared" si="120"/>
        <v>Neutral</v>
      </c>
      <c r="AM279">
        <f>survey_responses[[#This Row],[Tôi tin rằng Nhà nước, cơ quan thuế sẽ thực thi chính sách mới một cách khách quan, công tâm và đối xử bình đẳng với mọi người nộp thuế.  - HUMAN-TRU1]]</f>
        <v>6</v>
      </c>
      <c r="AN279" t="str">
        <f t="shared" si="121"/>
        <v>Neutral</v>
      </c>
      <c r="AO279" s="32">
        <f t="shared" si="122"/>
        <v>1</v>
      </c>
      <c r="AP279">
        <f>step3_validation[[#This Row],[AI_TRU2]]</f>
        <v>6</v>
      </c>
      <c r="AQ279" t="str">
        <f t="shared" si="123"/>
        <v>Neutral</v>
      </c>
      <c r="AR279">
        <f>survey_responses[[#This Row],[Tôi thấy mức thuế tôi phải đóng theo phương án mới là công bằng (người thu nhập như tôi đóng mức này là hợp lý). - HUMAN-TRU2]]</f>
        <v>6</v>
      </c>
      <c r="AS279" t="str">
        <f t="shared" si="124"/>
        <v>Neutral</v>
      </c>
      <c r="AT279" s="32">
        <f t="shared" si="125"/>
        <v>0</v>
      </c>
      <c r="AU279">
        <f>step3_validation[[#This Row],[AI_TRU3]]</f>
        <v>7</v>
      </c>
      <c r="AV279" t="str">
        <f t="shared" si="126"/>
        <v>Neutral</v>
      </c>
      <c r="AW279">
        <f>survey_responses[[#This Row],[Tôi tin tưởng số tiền thuế tôi đóng sẽ được Nhà nước sử dụng hiệu quả để cải thiện dịch vụ công (y tế, đường xá...). - HUMAN-TRU3]]</f>
        <v>6</v>
      </c>
      <c r="AX279" t="str">
        <f t="shared" si="127"/>
        <v>Neutral</v>
      </c>
      <c r="AY279" s="32">
        <f t="shared" si="128"/>
        <v>1</v>
      </c>
      <c r="AZ279">
        <f>step3_validation[[#This Row],[AI_TRU4]]</f>
        <v>5</v>
      </c>
      <c r="BA279" t="str">
        <f t="shared" si="129"/>
        <v>Neutral</v>
      </c>
      <c r="BB279">
        <f>survey_responses[[#This Row],[Tôi thấy Nhà nước đã giải thích rõ ràng, minh bạch về lý do và mục tiêu của việc sửa đổi thuế lần này. - HUMAN-TRU4]]</f>
        <v>6</v>
      </c>
      <c r="BC279" t="str">
        <f t="shared" si="130"/>
        <v>Neutral</v>
      </c>
      <c r="BD279" s="32">
        <f t="shared" si="131"/>
        <v>1</v>
      </c>
      <c r="BE279">
        <f>step3_validation[[#This Row],[AI_OUT1]]</f>
        <v>6</v>
      </c>
      <c r="BF279" t="str">
        <f t="shared" si="132"/>
        <v>Neutral</v>
      </c>
      <c r="BG279">
        <f>survey_responses[[#This Row],[Sau khi xem xét các quyền lợi và nghĩa vụ, bạn có ủng hộ và tuân thủ chính sách mới hiện nay? - HUMAN-OUT1]]</f>
        <v>6</v>
      </c>
      <c r="BH279" t="str">
        <f t="shared" si="133"/>
        <v>Neutral</v>
      </c>
      <c r="BI279" s="32">
        <f t="shared" si="134"/>
        <v>0</v>
      </c>
    </row>
    <row r="280" spans="1:61" x14ac:dyDescent="0.45">
      <c r="A280" s="30">
        <f>step3_validation[[#This Row],[Persona_ID]]</f>
        <v>279</v>
      </c>
      <c r="B280" s="31">
        <f>step3_validation[[#This Row],[Used_Seed]]</f>
        <v>2269</v>
      </c>
      <c r="C280" t="str">
        <f>step3_validation[[#This Row],[Gender]]</f>
        <v>Nam</v>
      </c>
      <c r="D280" t="str">
        <f>survey_responses[[#This Row],[Giới tính của bạn:]]</f>
        <v>Nam</v>
      </c>
      <c r="E280" t="str">
        <f>step3_validation[[#This Row],[Age_Group]]</f>
        <v>30 - 39</v>
      </c>
      <c r="F280" t="str">
        <f>survey_responses[[#This Row],[Độ tuổi của bạn:]]</f>
        <v>30 - 39</v>
      </c>
      <c r="G280" t="str">
        <f>step3_validation[[#This Row],[Region]]</f>
        <v>Thành thị</v>
      </c>
      <c r="H280" t="str">
        <f>survey_responses[[#This Row],[Khu vực bạn đang sinh sống:]]</f>
        <v>Thành thị</v>
      </c>
      <c r="I280" t="str">
        <f>step3_validation[[#This Row],[Education]]</f>
        <v>Sau Đại học</v>
      </c>
      <c r="J280" t="str">
        <f>survey_responses[[#This Row],[Trình độ học vấn cao nhất:]]</f>
        <v>Sau Đại học</v>
      </c>
      <c r="K280" t="str">
        <f>step3_validation[[#This Row],[Employment]]</f>
        <v>Phi chính thức</v>
      </c>
      <c r="L280" t="str">
        <f>survey_responses[[#This Row],[Tình trạng việc làm chính:]]</f>
        <v>Khu vực phi chính thức (Lao động tự do, không có HĐLĐ)</v>
      </c>
      <c r="M280">
        <f>step3_validation[[#This Row],[Income_Mil]]</f>
        <v>76.618853313804934</v>
      </c>
      <c r="N280" t="str">
        <f>survey_responses[[#This Row],[Thu nhập bình quân tháng theo Hợp đồng lao động của bạn là bao nhiêu? (Vui lòng điền tổng thu nhập trước khi khấu trừ các loại Bảo hiểm (BHXH, BHYT, BHTN) và Thuế TNCN)]]</f>
        <v>Từ 70 - 102 triệu VNĐ</v>
      </c>
      <c r="O280">
        <f>step3_validation[[#This Row],[Dependents]]</f>
        <v>0</v>
      </c>
      <c r="P280" t="str">
        <f>survey_responses[[#This Row],[Số người phụ thuộc (con nhỏ, cha mẹ già...) đủ điều kiện giảm trừ gia cảnh:]]</f>
        <v>0 người</v>
      </c>
      <c r="Q280">
        <f>step3_validation[[#This Row],[AI_ENF1]]</f>
        <v>8</v>
      </c>
      <c r="R280" t="str">
        <f t="shared" si="108"/>
        <v>Support</v>
      </c>
      <c r="S280">
        <f>survey_responses[[#This Row],[Tôi tin rằng với các quy định quản lý thuế hiện nay, hành vi gian lận hoặc trốn thuế sẽ dễ dàng bị phát hiện và xử lý nghiêm. - HUMAN-ENF1]]</f>
        <v>6</v>
      </c>
      <c r="T280" t="str">
        <f t="shared" si="109"/>
        <v>Neutral</v>
      </c>
      <c r="U280" s="32">
        <f t="shared" si="110"/>
        <v>2</v>
      </c>
      <c r="V280">
        <f>step3_validation[[#This Row],[AI_ENF2]]</f>
        <v>7</v>
      </c>
      <c r="W280" t="str">
        <f t="shared" si="111"/>
        <v>Neutral</v>
      </c>
      <c r="X280">
        <f>survey_responses[[#This Row],[Tôi tin rằng Nhà nước, cơ quan thuế có đủ khả năng và công nghệ để phát hiện, xử lý nghiêm các hành vi trốn thuế. - HUMAN-ENF2]]</f>
        <v>7</v>
      </c>
      <c r="Y280" t="str">
        <f t="shared" si="112"/>
        <v>Neutral</v>
      </c>
      <c r="Z280" s="32">
        <f t="shared" si="113"/>
        <v>0</v>
      </c>
      <c r="AA280">
        <f>step3_validation[[#This Row],[AI_FAC1]]</f>
        <v>9</v>
      </c>
      <c r="AB280" t="str">
        <f t="shared" si="114"/>
        <v>Support</v>
      </c>
      <c r="AC280">
        <f>survey_responses[[#This Row],[Các thủ tục khai báo thuế VÀ/HOẶC quy trình làm việc với cơ quan thuế đơn giản, tiện lợi, nhanh chóng hơn so với trước đây. - HUMAN-FAC1]]</f>
        <v>5</v>
      </c>
      <c r="AD280" t="str">
        <f t="shared" si="115"/>
        <v>Neutral</v>
      </c>
      <c r="AE280" s="32">
        <f t="shared" si="116"/>
        <v>4</v>
      </c>
      <c r="AF280">
        <f>step3_validation[[#This Row],[AI_FAC2]]</f>
        <v>8</v>
      </c>
      <c r="AG280" t="str">
        <f t="shared" si="117"/>
        <v>Support</v>
      </c>
      <c r="AH280">
        <f>survey_responses[[#This Row],[So với trước đây, tôi thấy cách tính thuế và các bậc thuế trong phương án mới đơn giản, dễ hiểu và dễ thực hiện hơn. - HUMAN-FAC2]]</f>
        <v>8</v>
      </c>
      <c r="AI280" t="str">
        <f t="shared" si="118"/>
        <v>Support</v>
      </c>
      <c r="AJ280" s="32">
        <f t="shared" si="119"/>
        <v>0</v>
      </c>
      <c r="AK280">
        <f>step3_validation[[#This Row],[AI_TRU1]]</f>
        <v>7</v>
      </c>
      <c r="AL280" t="str">
        <f t="shared" si="120"/>
        <v>Neutral</v>
      </c>
      <c r="AM280">
        <f>survey_responses[[#This Row],[Tôi tin rằng Nhà nước, cơ quan thuế sẽ thực thi chính sách mới một cách khách quan, công tâm và đối xử bình đẳng với mọi người nộp thuế.  - HUMAN-TRU1]]</f>
        <v>6</v>
      </c>
      <c r="AN280" t="str">
        <f t="shared" si="121"/>
        <v>Neutral</v>
      </c>
      <c r="AO280" s="32">
        <f t="shared" si="122"/>
        <v>1</v>
      </c>
      <c r="AP280">
        <f>step3_validation[[#This Row],[AI_TRU2]]</f>
        <v>8</v>
      </c>
      <c r="AQ280" t="str">
        <f t="shared" si="123"/>
        <v>Support</v>
      </c>
      <c r="AR280">
        <f>survey_responses[[#This Row],[Tôi thấy mức thuế tôi phải đóng theo phương án mới là công bằng (người thu nhập như tôi đóng mức này là hợp lý). - HUMAN-TRU2]]</f>
        <v>3</v>
      </c>
      <c r="AS280" t="str">
        <f t="shared" si="124"/>
        <v>Oppose</v>
      </c>
      <c r="AT280" s="32">
        <f t="shared" si="125"/>
        <v>5</v>
      </c>
      <c r="AU280">
        <f>step3_validation[[#This Row],[AI_TRU3]]</f>
        <v>6</v>
      </c>
      <c r="AV280" t="str">
        <f t="shared" si="126"/>
        <v>Neutral</v>
      </c>
      <c r="AW280">
        <f>survey_responses[[#This Row],[Tôi tin tưởng số tiền thuế tôi đóng sẽ được Nhà nước sử dụng hiệu quả để cải thiện dịch vụ công (y tế, đường xá...). - HUMAN-TRU3]]</f>
        <v>6</v>
      </c>
      <c r="AX280" t="str">
        <f t="shared" si="127"/>
        <v>Neutral</v>
      </c>
      <c r="AY280" s="32">
        <f t="shared" si="128"/>
        <v>0</v>
      </c>
      <c r="AZ280">
        <f>step3_validation[[#This Row],[AI_TRU4]]</f>
        <v>5</v>
      </c>
      <c r="BA280" t="str">
        <f t="shared" si="129"/>
        <v>Neutral</v>
      </c>
      <c r="BB280">
        <f>survey_responses[[#This Row],[Tôi thấy Nhà nước đã giải thích rõ ràng, minh bạch về lý do và mục tiêu của việc sửa đổi thuế lần này. - HUMAN-TRU4]]</f>
        <v>8</v>
      </c>
      <c r="BC280" t="str">
        <f t="shared" si="130"/>
        <v>Support</v>
      </c>
      <c r="BD280" s="32">
        <f t="shared" si="131"/>
        <v>3</v>
      </c>
      <c r="BE280">
        <f>step3_validation[[#This Row],[AI_OUT1]]</f>
        <v>6</v>
      </c>
      <c r="BF280" t="str">
        <f t="shared" si="132"/>
        <v>Neutral</v>
      </c>
      <c r="BG280">
        <f>survey_responses[[#This Row],[Sau khi xem xét các quyền lợi và nghĩa vụ, bạn có ủng hộ và tuân thủ chính sách mới hiện nay? - HUMAN-OUT1]]</f>
        <v>6</v>
      </c>
      <c r="BH280" t="str">
        <f t="shared" si="133"/>
        <v>Neutral</v>
      </c>
      <c r="BI280" s="32">
        <f t="shared" si="134"/>
        <v>0</v>
      </c>
    </row>
    <row r="281" spans="1:61" x14ac:dyDescent="0.45">
      <c r="A281" s="30">
        <f>step3_validation[[#This Row],[Persona_ID]]</f>
        <v>280</v>
      </c>
      <c r="B281" s="31">
        <f>step3_validation[[#This Row],[Used_Seed]]</f>
        <v>2270</v>
      </c>
      <c r="C281" t="str">
        <f>step3_validation[[#This Row],[Gender]]</f>
        <v>Nữ</v>
      </c>
      <c r="D281" t="str">
        <f>survey_responses[[#This Row],[Giới tính của bạn:]]</f>
        <v>Nữ</v>
      </c>
      <c r="E281" t="str">
        <f>step3_validation[[#This Row],[Age_Group]]</f>
        <v>30 - 39</v>
      </c>
      <c r="F281" t="str">
        <f>survey_responses[[#This Row],[Độ tuổi của bạn:]]</f>
        <v>30 - 39</v>
      </c>
      <c r="G281" t="str">
        <f>step3_validation[[#This Row],[Region]]</f>
        <v>Thành thị</v>
      </c>
      <c r="H281" t="str">
        <f>survey_responses[[#This Row],[Khu vực bạn đang sinh sống:]]</f>
        <v>Thành thị</v>
      </c>
      <c r="I281" t="str">
        <f>step3_validation[[#This Row],[Education]]</f>
        <v>Sau Đại học</v>
      </c>
      <c r="J281" t="str">
        <f>survey_responses[[#This Row],[Trình độ học vấn cao nhất:]]</f>
        <v>Sau Đại học</v>
      </c>
      <c r="K281" t="str">
        <f>step3_validation[[#This Row],[Employment]]</f>
        <v>Chính thức</v>
      </c>
      <c r="L281" t="str">
        <f>survey_responses[[#This Row],[Tình trạng việc làm chính:]]</f>
        <v>Khu vực chính thức (Có Hợp đồng lao động, đóng BHXH)</v>
      </c>
      <c r="M281">
        <f>step3_validation[[#This Row],[Income_Mil]]</f>
        <v>71.148209333214581</v>
      </c>
      <c r="N281" t="str">
        <f>survey_responses[[#This Row],[Thu nhập bình quân tháng theo Hợp đồng lao động của bạn là bao nhiêu? (Vui lòng điền tổng thu nhập trước khi khấu trừ các loại Bảo hiểm (BHXH, BHYT, BHTN) và Thuế TNCN)]]</f>
        <v>Từ 70 - 102 triệu VNĐ</v>
      </c>
      <c r="O281">
        <f>step3_validation[[#This Row],[Dependents]]</f>
        <v>2</v>
      </c>
      <c r="P281" t="str">
        <f>survey_responses[[#This Row],[Số người phụ thuộc (con nhỏ, cha mẹ già...) đủ điều kiện giảm trừ gia cảnh:]]</f>
        <v>2 người</v>
      </c>
      <c r="Q281">
        <f>step3_validation[[#This Row],[AI_ENF1]]</f>
        <v>7</v>
      </c>
      <c r="R281" t="str">
        <f t="shared" si="108"/>
        <v>Neutral</v>
      </c>
      <c r="S281">
        <f>survey_responses[[#This Row],[Tôi tin rằng với các quy định quản lý thuế hiện nay, hành vi gian lận hoặc trốn thuế sẽ dễ dàng bị phát hiện và xử lý nghiêm. - HUMAN-ENF1]]</f>
        <v>4</v>
      </c>
      <c r="T281" t="str">
        <f t="shared" si="109"/>
        <v>Oppose</v>
      </c>
      <c r="U281" s="32">
        <f t="shared" si="110"/>
        <v>3</v>
      </c>
      <c r="V281">
        <f>step3_validation[[#This Row],[AI_ENF2]]</f>
        <v>8</v>
      </c>
      <c r="W281" t="str">
        <f t="shared" si="111"/>
        <v>Support</v>
      </c>
      <c r="X281">
        <f>survey_responses[[#This Row],[Tôi tin rằng Nhà nước, cơ quan thuế có đủ khả năng và công nghệ để phát hiện, xử lý nghiêm các hành vi trốn thuế. - HUMAN-ENF2]]</f>
        <v>4</v>
      </c>
      <c r="Y281" t="str">
        <f t="shared" si="112"/>
        <v>Oppose</v>
      </c>
      <c r="Z281" s="32">
        <f t="shared" si="113"/>
        <v>4</v>
      </c>
      <c r="AA281">
        <f>step3_validation[[#This Row],[AI_FAC1]]</f>
        <v>9</v>
      </c>
      <c r="AB281" t="str">
        <f t="shared" si="114"/>
        <v>Support</v>
      </c>
      <c r="AC281">
        <f>survey_responses[[#This Row],[Các thủ tục khai báo thuế VÀ/HOẶC quy trình làm việc với cơ quan thuế đơn giản, tiện lợi, nhanh chóng hơn so với trước đây. - HUMAN-FAC1]]</f>
        <v>1</v>
      </c>
      <c r="AD281" t="str">
        <f t="shared" si="115"/>
        <v>Oppose</v>
      </c>
      <c r="AE281" s="32">
        <f t="shared" si="116"/>
        <v>8</v>
      </c>
      <c r="AF281">
        <f>step3_validation[[#This Row],[AI_FAC2]]</f>
        <v>6</v>
      </c>
      <c r="AG281" t="str">
        <f t="shared" si="117"/>
        <v>Neutral</v>
      </c>
      <c r="AH281">
        <f>survey_responses[[#This Row],[So với trước đây, tôi thấy cách tính thuế và các bậc thuế trong phương án mới đơn giản, dễ hiểu và dễ thực hiện hơn. - HUMAN-FAC2]]</f>
        <v>6</v>
      </c>
      <c r="AI281" t="str">
        <f t="shared" si="118"/>
        <v>Neutral</v>
      </c>
      <c r="AJ281" s="32">
        <f t="shared" si="119"/>
        <v>0</v>
      </c>
      <c r="AK281">
        <f>step3_validation[[#This Row],[AI_TRU1]]</f>
        <v>8</v>
      </c>
      <c r="AL281" t="str">
        <f t="shared" si="120"/>
        <v>Support</v>
      </c>
      <c r="AM281">
        <f>survey_responses[[#This Row],[Tôi tin rằng Nhà nước, cơ quan thuế sẽ thực thi chính sách mới một cách khách quan, công tâm và đối xử bình đẳng với mọi người nộp thuế.  - HUMAN-TRU1]]</f>
        <v>3</v>
      </c>
      <c r="AN281" t="str">
        <f t="shared" si="121"/>
        <v>Oppose</v>
      </c>
      <c r="AO281" s="32">
        <f t="shared" si="122"/>
        <v>5</v>
      </c>
      <c r="AP281">
        <f>step3_validation[[#This Row],[AI_TRU2]]</f>
        <v>7</v>
      </c>
      <c r="AQ281" t="str">
        <f t="shared" si="123"/>
        <v>Neutral</v>
      </c>
      <c r="AR281">
        <f>survey_responses[[#This Row],[Tôi thấy mức thuế tôi phải đóng theo phương án mới là công bằng (người thu nhập như tôi đóng mức này là hợp lý). - HUMAN-TRU2]]</f>
        <v>2</v>
      </c>
      <c r="AS281" t="str">
        <f t="shared" si="124"/>
        <v>Oppose</v>
      </c>
      <c r="AT281" s="32">
        <f t="shared" si="125"/>
        <v>5</v>
      </c>
      <c r="AU281">
        <f>step3_validation[[#This Row],[AI_TRU3]]</f>
        <v>6</v>
      </c>
      <c r="AV281" t="str">
        <f t="shared" si="126"/>
        <v>Neutral</v>
      </c>
      <c r="AW281">
        <f>survey_responses[[#This Row],[Tôi tin tưởng số tiền thuế tôi đóng sẽ được Nhà nước sử dụng hiệu quả để cải thiện dịch vụ công (y tế, đường xá...). - HUMAN-TRU3]]</f>
        <v>1</v>
      </c>
      <c r="AX281" t="str">
        <f t="shared" si="127"/>
        <v>Oppose</v>
      </c>
      <c r="AY281" s="32">
        <f t="shared" si="128"/>
        <v>5</v>
      </c>
      <c r="AZ281">
        <f>step3_validation[[#This Row],[AI_TRU4]]</f>
        <v>5</v>
      </c>
      <c r="BA281" t="str">
        <f t="shared" si="129"/>
        <v>Neutral</v>
      </c>
      <c r="BB281">
        <f>survey_responses[[#This Row],[Tôi thấy Nhà nước đã giải thích rõ ràng, minh bạch về lý do và mục tiêu của việc sửa đổi thuế lần này. - HUMAN-TRU4]]</f>
        <v>5</v>
      </c>
      <c r="BC281" t="str">
        <f t="shared" si="130"/>
        <v>Neutral</v>
      </c>
      <c r="BD281" s="32">
        <f t="shared" si="131"/>
        <v>0</v>
      </c>
      <c r="BE281">
        <f>step3_validation[[#This Row],[AI_OUT1]]</f>
        <v>7</v>
      </c>
      <c r="BF281" t="str">
        <f t="shared" si="132"/>
        <v>Neutral</v>
      </c>
      <c r="BG281">
        <f>survey_responses[[#This Row],[Sau khi xem xét các quyền lợi và nghĩa vụ, bạn có ủng hộ và tuân thủ chính sách mới hiện nay? - HUMAN-OUT1]]</f>
        <v>4</v>
      </c>
      <c r="BH281" t="str">
        <f t="shared" si="133"/>
        <v>Oppose</v>
      </c>
      <c r="BI281" s="32">
        <f t="shared" si="134"/>
        <v>3</v>
      </c>
    </row>
    <row r="282" spans="1:61" x14ac:dyDescent="0.45">
      <c r="A282" s="30">
        <f>step3_validation[[#This Row],[Persona_ID]]</f>
        <v>281</v>
      </c>
      <c r="B282" s="31">
        <f>step3_validation[[#This Row],[Used_Seed]]</f>
        <v>2271</v>
      </c>
      <c r="C282" t="str">
        <f>step3_validation[[#This Row],[Gender]]</f>
        <v>Nữ</v>
      </c>
      <c r="D282" t="str">
        <f>survey_responses[[#This Row],[Giới tính của bạn:]]</f>
        <v>Nữ</v>
      </c>
      <c r="E282" t="str">
        <f>step3_validation[[#This Row],[Age_Group]]</f>
        <v>40 - 49</v>
      </c>
      <c r="F282" t="str">
        <f>survey_responses[[#This Row],[Độ tuổi của bạn:]]</f>
        <v>40 - 49</v>
      </c>
      <c r="G282" t="str">
        <f>step3_validation[[#This Row],[Region]]</f>
        <v>Thành thị</v>
      </c>
      <c r="H282" t="str">
        <f>survey_responses[[#This Row],[Khu vực bạn đang sinh sống:]]</f>
        <v>Thành thị</v>
      </c>
      <c r="I282" t="str">
        <f>step3_validation[[#This Row],[Education]]</f>
        <v>Sau Đại học</v>
      </c>
      <c r="J282" t="str">
        <f>survey_responses[[#This Row],[Trình độ học vấn cao nhất:]]</f>
        <v>Sau Đại học</v>
      </c>
      <c r="K282" t="str">
        <f>step3_validation[[#This Row],[Employment]]</f>
        <v>Chính thức</v>
      </c>
      <c r="L282" t="str">
        <f>survey_responses[[#This Row],[Tình trạng việc làm chính:]]</f>
        <v>Khu vực chính thức (Có Hợp đồng lao động, đóng BHXH)</v>
      </c>
      <c r="M282">
        <f>step3_validation[[#This Row],[Income_Mil]]</f>
        <v>90.3755892969847</v>
      </c>
      <c r="N282" t="str">
        <f>survey_responses[[#This Row],[Thu nhập bình quân tháng theo Hợp đồng lao động của bạn là bao nhiêu? (Vui lòng điền tổng thu nhập trước khi khấu trừ các loại Bảo hiểm (BHXH, BHYT, BHTN) và Thuế TNCN)]]</f>
        <v>Từ 70 - 102 triệu VNĐ</v>
      </c>
      <c r="O282">
        <f>step3_validation[[#This Row],[Dependents]]</f>
        <v>3</v>
      </c>
      <c r="P282" t="str">
        <f>survey_responses[[#This Row],[Số người phụ thuộc (con nhỏ, cha mẹ già...) đủ điều kiện giảm trừ gia cảnh:]]</f>
        <v>3 người</v>
      </c>
      <c r="Q282">
        <f>step3_validation[[#This Row],[AI_ENF1]]</f>
        <v>8</v>
      </c>
      <c r="R282" t="str">
        <f t="shared" si="108"/>
        <v>Support</v>
      </c>
      <c r="S282">
        <f>survey_responses[[#This Row],[Tôi tin rằng với các quy định quản lý thuế hiện nay, hành vi gian lận hoặc trốn thuế sẽ dễ dàng bị phát hiện và xử lý nghiêm. - HUMAN-ENF1]]</f>
        <v>6</v>
      </c>
      <c r="T282" t="str">
        <f t="shared" si="109"/>
        <v>Neutral</v>
      </c>
      <c r="U282" s="32">
        <f t="shared" si="110"/>
        <v>2</v>
      </c>
      <c r="V282">
        <f>step3_validation[[#This Row],[AI_ENF2]]</f>
        <v>9</v>
      </c>
      <c r="W282" t="str">
        <f t="shared" si="111"/>
        <v>Support</v>
      </c>
      <c r="X282">
        <f>survey_responses[[#This Row],[Tôi tin rằng Nhà nước, cơ quan thuế có đủ khả năng và công nghệ để phát hiện, xử lý nghiêm các hành vi trốn thuế. - HUMAN-ENF2]]</f>
        <v>7</v>
      </c>
      <c r="Y282" t="str">
        <f t="shared" si="112"/>
        <v>Neutral</v>
      </c>
      <c r="Z282" s="32">
        <f t="shared" si="113"/>
        <v>2</v>
      </c>
      <c r="AA282">
        <f>step3_validation[[#This Row],[AI_FAC1]]</f>
        <v>8</v>
      </c>
      <c r="AB282" t="str">
        <f t="shared" si="114"/>
        <v>Support</v>
      </c>
      <c r="AC282">
        <f>survey_responses[[#This Row],[Các thủ tục khai báo thuế VÀ/HOẶC quy trình làm việc với cơ quan thuế đơn giản, tiện lợi, nhanh chóng hơn so với trước đây. - HUMAN-FAC1]]</f>
        <v>4</v>
      </c>
      <c r="AD282" t="str">
        <f t="shared" si="115"/>
        <v>Oppose</v>
      </c>
      <c r="AE282" s="32">
        <f t="shared" si="116"/>
        <v>4</v>
      </c>
      <c r="AF282">
        <f>step3_validation[[#This Row],[AI_FAC2]]</f>
        <v>9</v>
      </c>
      <c r="AG282" t="str">
        <f t="shared" si="117"/>
        <v>Support</v>
      </c>
      <c r="AH282">
        <f>survey_responses[[#This Row],[So với trước đây, tôi thấy cách tính thuế và các bậc thuế trong phương án mới đơn giản, dễ hiểu và dễ thực hiện hơn. - HUMAN-FAC2]]</f>
        <v>8</v>
      </c>
      <c r="AI282" t="str">
        <f t="shared" si="118"/>
        <v>Support</v>
      </c>
      <c r="AJ282" s="32">
        <f t="shared" si="119"/>
        <v>1</v>
      </c>
      <c r="AK282">
        <f>step3_validation[[#This Row],[AI_TRU1]]</f>
        <v>8</v>
      </c>
      <c r="AL282" t="str">
        <f t="shared" si="120"/>
        <v>Support</v>
      </c>
      <c r="AM282">
        <f>survey_responses[[#This Row],[Tôi tin rằng Nhà nước, cơ quan thuế sẽ thực thi chính sách mới một cách khách quan, công tâm và đối xử bình đẳng với mọi người nộp thuế.  - HUMAN-TRU1]]</f>
        <v>6</v>
      </c>
      <c r="AN282" t="str">
        <f t="shared" si="121"/>
        <v>Neutral</v>
      </c>
      <c r="AO282" s="32">
        <f t="shared" si="122"/>
        <v>2</v>
      </c>
      <c r="AP282">
        <f>step3_validation[[#This Row],[AI_TRU2]]</f>
        <v>7</v>
      </c>
      <c r="AQ282" t="str">
        <f t="shared" si="123"/>
        <v>Neutral</v>
      </c>
      <c r="AR282">
        <f>survey_responses[[#This Row],[Tôi thấy mức thuế tôi phải đóng theo phương án mới là công bằng (người thu nhập như tôi đóng mức này là hợp lý). - HUMAN-TRU2]]</f>
        <v>6</v>
      </c>
      <c r="AS282" t="str">
        <f t="shared" si="124"/>
        <v>Neutral</v>
      </c>
      <c r="AT282" s="32">
        <f t="shared" si="125"/>
        <v>1</v>
      </c>
      <c r="AU282">
        <f>step3_validation[[#This Row],[AI_TRU3]]</f>
        <v>6</v>
      </c>
      <c r="AV282" t="str">
        <f t="shared" si="126"/>
        <v>Neutral</v>
      </c>
      <c r="AW282">
        <f>survey_responses[[#This Row],[Tôi tin tưởng số tiền thuế tôi đóng sẽ được Nhà nước sử dụng hiệu quả để cải thiện dịch vụ công (y tế, đường xá...). - HUMAN-TRU3]]</f>
        <v>5</v>
      </c>
      <c r="AX282" t="str">
        <f t="shared" si="127"/>
        <v>Neutral</v>
      </c>
      <c r="AY282" s="32">
        <f t="shared" si="128"/>
        <v>1</v>
      </c>
      <c r="AZ282">
        <f>step3_validation[[#This Row],[AI_TRU4]]</f>
        <v>5</v>
      </c>
      <c r="BA282" t="str">
        <f t="shared" si="129"/>
        <v>Neutral</v>
      </c>
      <c r="BB282">
        <f>survey_responses[[#This Row],[Tôi thấy Nhà nước đã giải thích rõ ràng, minh bạch về lý do và mục tiêu của việc sửa đổi thuế lần này. - HUMAN-TRU4]]</f>
        <v>7</v>
      </c>
      <c r="BC282" t="str">
        <f t="shared" si="130"/>
        <v>Neutral</v>
      </c>
      <c r="BD282" s="32">
        <f t="shared" si="131"/>
        <v>2</v>
      </c>
      <c r="BE282">
        <f>step3_validation[[#This Row],[AI_OUT1]]</f>
        <v>8</v>
      </c>
      <c r="BF282" t="str">
        <f t="shared" si="132"/>
        <v>Support</v>
      </c>
      <c r="BG282">
        <f>survey_responses[[#This Row],[Sau khi xem xét các quyền lợi và nghĩa vụ, bạn có ủng hộ và tuân thủ chính sách mới hiện nay? - HUMAN-OUT1]]</f>
        <v>6</v>
      </c>
      <c r="BH282" t="str">
        <f t="shared" si="133"/>
        <v>Neutral</v>
      </c>
      <c r="BI282" s="32">
        <f t="shared" si="134"/>
        <v>2</v>
      </c>
    </row>
    <row r="283" spans="1:61" x14ac:dyDescent="0.45">
      <c r="A283" s="30">
        <f>step3_validation[[#This Row],[Persona_ID]]</f>
        <v>282</v>
      </c>
      <c r="B283" s="31">
        <f>step3_validation[[#This Row],[Used_Seed]]</f>
        <v>2272</v>
      </c>
      <c r="C283" t="str">
        <f>step3_validation[[#This Row],[Gender]]</f>
        <v>Nữ</v>
      </c>
      <c r="D283" t="str">
        <f>survey_responses[[#This Row],[Giới tính của bạn:]]</f>
        <v>Nữ</v>
      </c>
      <c r="E283" t="str">
        <f>step3_validation[[#This Row],[Age_Group]]</f>
        <v>55 - 64</v>
      </c>
      <c r="F283" t="str">
        <f>survey_responses[[#This Row],[Độ tuổi của bạn:]]</f>
        <v>55 - 64</v>
      </c>
      <c r="G283" t="str">
        <f>step3_validation[[#This Row],[Region]]</f>
        <v>Thành thị</v>
      </c>
      <c r="H283" t="str">
        <f>survey_responses[[#This Row],[Khu vực bạn đang sinh sống:]]</f>
        <v>Thành thị</v>
      </c>
      <c r="I283" t="str">
        <f>step3_validation[[#This Row],[Education]]</f>
        <v>Sau Đại học</v>
      </c>
      <c r="J283" t="str">
        <f>survey_responses[[#This Row],[Trình độ học vấn cao nhất:]]</f>
        <v>Sau Đại học</v>
      </c>
      <c r="K283" t="str">
        <f>step3_validation[[#This Row],[Employment]]</f>
        <v>Chính thức</v>
      </c>
      <c r="L283" t="str">
        <f>survey_responses[[#This Row],[Tình trạng việc làm chính:]]</f>
        <v>Khu vực chính thức (Có Hợp đồng lao động, đóng BHXH)</v>
      </c>
      <c r="M283">
        <f>step3_validation[[#This Row],[Income_Mil]]</f>
        <v>209.08226298441062</v>
      </c>
      <c r="N283" t="str">
        <f>survey_responses[[#This Row],[Thu nhập bình quân tháng theo Hợp đồng lao động của bạn là bao nhiêu? (Vui lòng điền tổng thu nhập trước khi khấu trừ các loại Bảo hiểm (BHXH, BHYT, BHTN) và Thuế TNCN)]]</f>
        <v>Trên 102 triệu VNĐ</v>
      </c>
      <c r="O283">
        <f>step3_validation[[#This Row],[Dependents]]</f>
        <v>4</v>
      </c>
      <c r="P283" t="str">
        <f>survey_responses[[#This Row],[Số người phụ thuộc (con nhỏ, cha mẹ già...) đủ điều kiện giảm trừ gia cảnh:]]</f>
        <v>4 người trở lên</v>
      </c>
      <c r="Q283">
        <f>step3_validation[[#This Row],[AI_ENF1]]</f>
        <v>8</v>
      </c>
      <c r="R283" t="str">
        <f t="shared" si="108"/>
        <v>Support</v>
      </c>
      <c r="S283">
        <f>survey_responses[[#This Row],[Tôi tin rằng với các quy định quản lý thuế hiện nay, hành vi gian lận hoặc trốn thuế sẽ dễ dàng bị phát hiện và xử lý nghiêm. - HUMAN-ENF1]]</f>
        <v>8</v>
      </c>
      <c r="T283" t="str">
        <f t="shared" si="109"/>
        <v>Support</v>
      </c>
      <c r="U283" s="32">
        <f t="shared" si="110"/>
        <v>0</v>
      </c>
      <c r="V283">
        <f>step3_validation[[#This Row],[AI_ENF2]]</f>
        <v>7</v>
      </c>
      <c r="W283" t="str">
        <f t="shared" si="111"/>
        <v>Neutral</v>
      </c>
      <c r="X283">
        <f>survey_responses[[#This Row],[Tôi tin rằng Nhà nước, cơ quan thuế có đủ khả năng và công nghệ để phát hiện, xử lý nghiêm các hành vi trốn thuế. - HUMAN-ENF2]]</f>
        <v>8</v>
      </c>
      <c r="Y283" t="str">
        <f t="shared" si="112"/>
        <v>Support</v>
      </c>
      <c r="Z283" s="32">
        <f t="shared" si="113"/>
        <v>1</v>
      </c>
      <c r="AA283">
        <f>step3_validation[[#This Row],[AI_FAC1]]</f>
        <v>9</v>
      </c>
      <c r="AB283" t="str">
        <f t="shared" si="114"/>
        <v>Support</v>
      </c>
      <c r="AC283">
        <f>survey_responses[[#This Row],[Các thủ tục khai báo thuế VÀ/HOẶC quy trình làm việc với cơ quan thuế đơn giản, tiện lợi, nhanh chóng hơn so với trước đây. - HUMAN-FAC1]]</f>
        <v>9</v>
      </c>
      <c r="AD283" t="str">
        <f t="shared" si="115"/>
        <v>Support</v>
      </c>
      <c r="AE283" s="32">
        <f t="shared" si="116"/>
        <v>0</v>
      </c>
      <c r="AF283">
        <f>step3_validation[[#This Row],[AI_FAC2]]</f>
        <v>6</v>
      </c>
      <c r="AG283" t="str">
        <f t="shared" si="117"/>
        <v>Neutral</v>
      </c>
      <c r="AH283">
        <f>survey_responses[[#This Row],[So với trước đây, tôi thấy cách tính thuế và các bậc thuế trong phương án mới đơn giản, dễ hiểu và dễ thực hiện hơn. - HUMAN-FAC2]]</f>
        <v>9</v>
      </c>
      <c r="AI283" t="str">
        <f t="shared" si="118"/>
        <v>Support</v>
      </c>
      <c r="AJ283" s="32">
        <f t="shared" si="119"/>
        <v>3</v>
      </c>
      <c r="AK283">
        <f>step3_validation[[#This Row],[AI_TRU1]]</f>
        <v>8</v>
      </c>
      <c r="AL283" t="str">
        <f t="shared" si="120"/>
        <v>Support</v>
      </c>
      <c r="AM283">
        <f>survey_responses[[#This Row],[Tôi tin rằng Nhà nước, cơ quan thuế sẽ thực thi chính sách mới một cách khách quan, công tâm và đối xử bình đẳng với mọi người nộp thuế.  - HUMAN-TRU1]]</f>
        <v>7</v>
      </c>
      <c r="AN283" t="str">
        <f t="shared" si="121"/>
        <v>Neutral</v>
      </c>
      <c r="AO283" s="32">
        <f t="shared" si="122"/>
        <v>1</v>
      </c>
      <c r="AP283">
        <f>step3_validation[[#This Row],[AI_TRU2]]</f>
        <v>7</v>
      </c>
      <c r="AQ283" t="str">
        <f t="shared" si="123"/>
        <v>Neutral</v>
      </c>
      <c r="AR283">
        <f>survey_responses[[#This Row],[Tôi thấy mức thuế tôi phải đóng theo phương án mới là công bằng (người thu nhập như tôi đóng mức này là hợp lý). - HUMAN-TRU2]]</f>
        <v>8</v>
      </c>
      <c r="AS283" t="str">
        <f t="shared" si="124"/>
        <v>Support</v>
      </c>
      <c r="AT283" s="32">
        <f t="shared" si="125"/>
        <v>1</v>
      </c>
      <c r="AU283">
        <f>step3_validation[[#This Row],[AI_TRU3]]</f>
        <v>7</v>
      </c>
      <c r="AV283" t="str">
        <f t="shared" si="126"/>
        <v>Neutral</v>
      </c>
      <c r="AW283">
        <f>survey_responses[[#This Row],[Tôi tin tưởng số tiền thuế tôi đóng sẽ được Nhà nước sử dụng hiệu quả để cải thiện dịch vụ công (y tế, đường xá...). - HUMAN-TRU3]]</f>
        <v>8</v>
      </c>
      <c r="AX283" t="str">
        <f t="shared" si="127"/>
        <v>Support</v>
      </c>
      <c r="AY283" s="32">
        <f t="shared" si="128"/>
        <v>1</v>
      </c>
      <c r="AZ283">
        <f>step3_validation[[#This Row],[AI_TRU4]]</f>
        <v>6</v>
      </c>
      <c r="BA283" t="str">
        <f t="shared" si="129"/>
        <v>Neutral</v>
      </c>
      <c r="BB283">
        <f>survey_responses[[#This Row],[Tôi thấy Nhà nước đã giải thích rõ ràng, minh bạch về lý do và mục tiêu của việc sửa đổi thuế lần này. - HUMAN-TRU4]]</f>
        <v>8</v>
      </c>
      <c r="BC283" t="str">
        <f t="shared" si="130"/>
        <v>Support</v>
      </c>
      <c r="BD283" s="32">
        <f t="shared" si="131"/>
        <v>2</v>
      </c>
      <c r="BE283">
        <f>step3_validation[[#This Row],[AI_OUT1]]</f>
        <v>5</v>
      </c>
      <c r="BF283" t="str">
        <f t="shared" si="132"/>
        <v>Neutral</v>
      </c>
      <c r="BG283">
        <f>survey_responses[[#This Row],[Sau khi xem xét các quyền lợi và nghĩa vụ, bạn có ủng hộ và tuân thủ chính sách mới hiện nay? - HUMAN-OUT1]]</f>
        <v>7</v>
      </c>
      <c r="BH283" t="str">
        <f t="shared" si="133"/>
        <v>Neutral</v>
      </c>
      <c r="BI283" s="32">
        <f t="shared" si="134"/>
        <v>2</v>
      </c>
    </row>
    <row r="284" spans="1:61" x14ac:dyDescent="0.45">
      <c r="A284" s="30">
        <f>step3_validation[[#This Row],[Persona_ID]]</f>
        <v>283</v>
      </c>
      <c r="B284" s="31">
        <f>step3_validation[[#This Row],[Used_Seed]]</f>
        <v>2273</v>
      </c>
      <c r="C284" t="str">
        <f>step3_validation[[#This Row],[Gender]]</f>
        <v>Nữ</v>
      </c>
      <c r="D284" t="str">
        <f>survey_responses[[#This Row],[Giới tính của bạn:]]</f>
        <v>Nữ</v>
      </c>
      <c r="E284" t="str">
        <f>step3_validation[[#This Row],[Age_Group]]</f>
        <v>40 - 49</v>
      </c>
      <c r="F284" t="str">
        <f>survey_responses[[#This Row],[Độ tuổi của bạn:]]</f>
        <v>40 - 49</v>
      </c>
      <c r="G284" t="str">
        <f>step3_validation[[#This Row],[Region]]</f>
        <v>Thành thị</v>
      </c>
      <c r="H284" t="str">
        <f>survey_responses[[#This Row],[Khu vực bạn đang sinh sống:]]</f>
        <v>Thành thị</v>
      </c>
      <c r="I284" t="str">
        <f>step3_validation[[#This Row],[Education]]</f>
        <v>Đại học</v>
      </c>
      <c r="J284" t="str">
        <f>survey_responses[[#This Row],[Trình độ học vấn cao nhất:]]</f>
        <v>Đại học</v>
      </c>
      <c r="K284" t="str">
        <f>step3_validation[[#This Row],[Employment]]</f>
        <v>Chính thức</v>
      </c>
      <c r="L284" t="str">
        <f>survey_responses[[#This Row],[Tình trạng việc làm chính:]]</f>
        <v>Khu vực chính thức (Có Hợp đồng lao động, đóng BHXH)</v>
      </c>
      <c r="M284">
        <f>step3_validation[[#This Row],[Income_Mil]]</f>
        <v>57.282489933770037</v>
      </c>
      <c r="N284" t="str">
        <f>survey_responses[[#This Row],[Thu nhập bình quân tháng theo Hợp đồng lao động của bạn là bao nhiêu? (Vui lòng điền tổng thu nhập trước khi khấu trừ các loại Bảo hiểm (BHXH, BHYT, BHTN) và Thuế TNCN)]]</f>
        <v>Từ 48 - 70 triệu VNĐ</v>
      </c>
      <c r="O284">
        <f>step3_validation[[#This Row],[Dependents]]</f>
        <v>2</v>
      </c>
      <c r="P284" t="str">
        <f>survey_responses[[#This Row],[Số người phụ thuộc (con nhỏ, cha mẹ già...) đủ điều kiện giảm trừ gia cảnh:]]</f>
        <v>2 người</v>
      </c>
      <c r="Q284">
        <f>step3_validation[[#This Row],[AI_ENF1]]</f>
        <v>8</v>
      </c>
      <c r="R284" t="str">
        <f t="shared" si="108"/>
        <v>Support</v>
      </c>
      <c r="S284">
        <f>survey_responses[[#This Row],[Tôi tin rằng với các quy định quản lý thuế hiện nay, hành vi gian lận hoặc trốn thuế sẽ dễ dàng bị phát hiện và xử lý nghiêm. - HUMAN-ENF1]]</f>
        <v>5</v>
      </c>
      <c r="T284" t="str">
        <f t="shared" si="109"/>
        <v>Neutral</v>
      </c>
      <c r="U284" s="32">
        <f t="shared" si="110"/>
        <v>3</v>
      </c>
      <c r="V284">
        <f>step3_validation[[#This Row],[AI_ENF2]]</f>
        <v>7</v>
      </c>
      <c r="W284" t="str">
        <f t="shared" si="111"/>
        <v>Neutral</v>
      </c>
      <c r="X284">
        <f>survey_responses[[#This Row],[Tôi tin rằng Nhà nước, cơ quan thuế có đủ khả năng và công nghệ để phát hiện, xử lý nghiêm các hành vi trốn thuế. - HUMAN-ENF2]]</f>
        <v>5</v>
      </c>
      <c r="Y284" t="str">
        <f t="shared" si="112"/>
        <v>Neutral</v>
      </c>
      <c r="Z284" s="32">
        <f t="shared" si="113"/>
        <v>2</v>
      </c>
      <c r="AA284">
        <f>step3_validation[[#This Row],[AI_FAC1]]</f>
        <v>9</v>
      </c>
      <c r="AB284" t="str">
        <f t="shared" si="114"/>
        <v>Support</v>
      </c>
      <c r="AC284">
        <f>survey_responses[[#This Row],[Các thủ tục khai báo thuế VÀ/HOẶC quy trình làm việc với cơ quan thuế đơn giản, tiện lợi, nhanh chóng hơn so với trước đây. - HUMAN-FAC1]]</f>
        <v>2</v>
      </c>
      <c r="AD284" t="str">
        <f t="shared" si="115"/>
        <v>Oppose</v>
      </c>
      <c r="AE284" s="32">
        <f t="shared" si="116"/>
        <v>7</v>
      </c>
      <c r="AF284">
        <f>step3_validation[[#This Row],[AI_FAC2]]</f>
        <v>8</v>
      </c>
      <c r="AG284" t="str">
        <f t="shared" si="117"/>
        <v>Support</v>
      </c>
      <c r="AH284">
        <f>survey_responses[[#This Row],[So với trước đây, tôi thấy cách tính thuế và các bậc thuế trong phương án mới đơn giản, dễ hiểu và dễ thực hiện hơn. - HUMAN-FAC2]]</f>
        <v>6</v>
      </c>
      <c r="AI284" t="str">
        <f t="shared" si="118"/>
        <v>Neutral</v>
      </c>
      <c r="AJ284" s="32">
        <f t="shared" si="119"/>
        <v>2</v>
      </c>
      <c r="AK284">
        <f>step3_validation[[#This Row],[AI_TRU1]]</f>
        <v>7</v>
      </c>
      <c r="AL284" t="str">
        <f t="shared" si="120"/>
        <v>Neutral</v>
      </c>
      <c r="AM284">
        <f>survey_responses[[#This Row],[Tôi tin rằng Nhà nước, cơ quan thuế sẽ thực thi chính sách mới một cách khách quan, công tâm và đối xử bình đẳng với mọi người nộp thuế.  - HUMAN-TRU1]]</f>
        <v>5</v>
      </c>
      <c r="AN284" t="str">
        <f t="shared" si="121"/>
        <v>Neutral</v>
      </c>
      <c r="AO284" s="32">
        <f t="shared" si="122"/>
        <v>2</v>
      </c>
      <c r="AP284">
        <f>step3_validation[[#This Row],[AI_TRU2]]</f>
        <v>8</v>
      </c>
      <c r="AQ284" t="str">
        <f t="shared" si="123"/>
        <v>Support</v>
      </c>
      <c r="AR284">
        <f>survey_responses[[#This Row],[Tôi thấy mức thuế tôi phải đóng theo phương án mới là công bằng (người thu nhập như tôi đóng mức này là hợp lý). - HUMAN-TRU2]]</f>
        <v>4</v>
      </c>
      <c r="AS284" t="str">
        <f t="shared" si="124"/>
        <v>Oppose</v>
      </c>
      <c r="AT284" s="32">
        <f t="shared" si="125"/>
        <v>4</v>
      </c>
      <c r="AU284">
        <f>step3_validation[[#This Row],[AI_TRU3]]</f>
        <v>7</v>
      </c>
      <c r="AV284" t="str">
        <f t="shared" si="126"/>
        <v>Neutral</v>
      </c>
      <c r="AW284">
        <f>survey_responses[[#This Row],[Tôi tin tưởng số tiền thuế tôi đóng sẽ được Nhà nước sử dụng hiệu quả để cải thiện dịch vụ công (y tế, đường xá...). - HUMAN-TRU3]]</f>
        <v>5</v>
      </c>
      <c r="AX284" t="str">
        <f t="shared" si="127"/>
        <v>Neutral</v>
      </c>
      <c r="AY284" s="32">
        <f t="shared" si="128"/>
        <v>2</v>
      </c>
      <c r="AZ284">
        <f>step3_validation[[#This Row],[AI_TRU4]]</f>
        <v>6</v>
      </c>
      <c r="BA284" t="str">
        <f t="shared" si="129"/>
        <v>Neutral</v>
      </c>
      <c r="BB284">
        <f>survey_responses[[#This Row],[Tôi thấy Nhà nước đã giải thích rõ ràng, minh bạch về lý do và mục tiêu của việc sửa đổi thuế lần này. - HUMAN-TRU4]]</f>
        <v>5</v>
      </c>
      <c r="BC284" t="str">
        <f t="shared" si="130"/>
        <v>Neutral</v>
      </c>
      <c r="BD284" s="32">
        <f t="shared" si="131"/>
        <v>1</v>
      </c>
      <c r="BE284">
        <f>step3_validation[[#This Row],[AI_OUT1]]</f>
        <v>8</v>
      </c>
      <c r="BF284" t="str">
        <f t="shared" si="132"/>
        <v>Support</v>
      </c>
      <c r="BG284">
        <f>survey_responses[[#This Row],[Sau khi xem xét các quyền lợi và nghĩa vụ, bạn có ủng hộ và tuân thủ chính sách mới hiện nay? - HUMAN-OUT1]]</f>
        <v>4</v>
      </c>
      <c r="BH284" t="str">
        <f t="shared" si="133"/>
        <v>Oppose</v>
      </c>
      <c r="BI284" s="32">
        <f t="shared" si="134"/>
        <v>4</v>
      </c>
    </row>
    <row r="285" spans="1:61" x14ac:dyDescent="0.45">
      <c r="A285" s="30">
        <f>step3_validation[[#This Row],[Persona_ID]]</f>
        <v>284</v>
      </c>
      <c r="B285" s="31">
        <f>step3_validation[[#This Row],[Used_Seed]]</f>
        <v>2274</v>
      </c>
      <c r="C285" t="str">
        <f>step3_validation[[#This Row],[Gender]]</f>
        <v>Nam</v>
      </c>
      <c r="D285" t="str">
        <f>survey_responses[[#This Row],[Giới tính của bạn:]]</f>
        <v>Nam</v>
      </c>
      <c r="E285" t="str">
        <f>step3_validation[[#This Row],[Age_Group]]</f>
        <v>30 - 39</v>
      </c>
      <c r="F285" t="str">
        <f>survey_responses[[#This Row],[Độ tuổi của bạn:]]</f>
        <v>30 - 39</v>
      </c>
      <c r="G285" t="str">
        <f>step3_validation[[#This Row],[Region]]</f>
        <v>Thành thị</v>
      </c>
      <c r="H285" t="str">
        <f>survey_responses[[#This Row],[Khu vực bạn đang sinh sống:]]</f>
        <v>Thành thị</v>
      </c>
      <c r="I285" t="str">
        <f>step3_validation[[#This Row],[Education]]</f>
        <v>Đại học</v>
      </c>
      <c r="J285" t="str">
        <f>survey_responses[[#This Row],[Trình độ học vấn cao nhất:]]</f>
        <v>Đại học</v>
      </c>
      <c r="K285" t="str">
        <f>step3_validation[[#This Row],[Employment]]</f>
        <v>Chính thức</v>
      </c>
      <c r="L285" t="str">
        <f>survey_responses[[#This Row],[Tình trạng việc làm chính:]]</f>
        <v>Khu vực chính thức (Có Hợp đồng lao động, đóng BHXH)</v>
      </c>
      <c r="M285">
        <f>step3_validation[[#This Row],[Income_Mil]]</f>
        <v>63.393929452753142</v>
      </c>
      <c r="N285" t="str">
        <f>survey_responses[[#This Row],[Thu nhập bình quân tháng theo Hợp đồng lao động của bạn là bao nhiêu? (Vui lòng điền tổng thu nhập trước khi khấu trừ các loại Bảo hiểm (BHXH, BHYT, BHTN) và Thuế TNCN)]]</f>
        <v>Từ 48 - 70 triệu VNĐ</v>
      </c>
      <c r="O285">
        <f>step3_validation[[#This Row],[Dependents]]</f>
        <v>2</v>
      </c>
      <c r="P285" t="str">
        <f>survey_responses[[#This Row],[Số người phụ thuộc (con nhỏ, cha mẹ già...) đủ điều kiện giảm trừ gia cảnh:]]</f>
        <v>2 người</v>
      </c>
      <c r="Q285">
        <f>step3_validation[[#This Row],[AI_ENF1]]</f>
        <v>7</v>
      </c>
      <c r="R285" t="str">
        <f t="shared" si="108"/>
        <v>Neutral</v>
      </c>
      <c r="S285">
        <f>survey_responses[[#This Row],[Tôi tin rằng với các quy định quản lý thuế hiện nay, hành vi gian lận hoặc trốn thuế sẽ dễ dàng bị phát hiện và xử lý nghiêm. - HUMAN-ENF1]]</f>
        <v>7</v>
      </c>
      <c r="T285" t="str">
        <f t="shared" si="109"/>
        <v>Neutral</v>
      </c>
      <c r="U285" s="32">
        <f t="shared" si="110"/>
        <v>0</v>
      </c>
      <c r="V285">
        <f>step3_validation[[#This Row],[AI_ENF2]]</f>
        <v>6</v>
      </c>
      <c r="W285" t="str">
        <f t="shared" si="111"/>
        <v>Neutral</v>
      </c>
      <c r="X285">
        <f>survey_responses[[#This Row],[Tôi tin rằng Nhà nước, cơ quan thuế có đủ khả năng và công nghệ để phát hiện, xử lý nghiêm các hành vi trốn thuế. - HUMAN-ENF2]]</f>
        <v>7</v>
      </c>
      <c r="Y285" t="str">
        <f t="shared" si="112"/>
        <v>Neutral</v>
      </c>
      <c r="Z285" s="32">
        <f t="shared" si="113"/>
        <v>1</v>
      </c>
      <c r="AA285">
        <f>step3_validation[[#This Row],[AI_FAC1]]</f>
        <v>9</v>
      </c>
      <c r="AB285" t="str">
        <f t="shared" si="114"/>
        <v>Support</v>
      </c>
      <c r="AC285">
        <f>survey_responses[[#This Row],[Các thủ tục khai báo thuế VÀ/HOẶC quy trình làm việc với cơ quan thuế đơn giản, tiện lợi, nhanh chóng hơn so với trước đây. - HUMAN-FAC1]]</f>
        <v>5</v>
      </c>
      <c r="AD285" t="str">
        <f t="shared" si="115"/>
        <v>Neutral</v>
      </c>
      <c r="AE285" s="32">
        <f t="shared" si="116"/>
        <v>4</v>
      </c>
      <c r="AF285">
        <f>step3_validation[[#This Row],[AI_FAC2]]</f>
        <v>8</v>
      </c>
      <c r="AG285" t="str">
        <f t="shared" si="117"/>
        <v>Support</v>
      </c>
      <c r="AH285">
        <f>survey_responses[[#This Row],[So với trước đây, tôi thấy cách tính thuế và các bậc thuế trong phương án mới đơn giản, dễ hiểu và dễ thực hiện hơn. - HUMAN-FAC2]]</f>
        <v>7</v>
      </c>
      <c r="AI285" t="str">
        <f t="shared" si="118"/>
        <v>Neutral</v>
      </c>
      <c r="AJ285" s="32">
        <f t="shared" si="119"/>
        <v>1</v>
      </c>
      <c r="AK285">
        <f>step3_validation[[#This Row],[AI_TRU1]]</f>
        <v>9</v>
      </c>
      <c r="AL285" t="str">
        <f t="shared" si="120"/>
        <v>Support</v>
      </c>
      <c r="AM285">
        <f>survey_responses[[#This Row],[Tôi tin rằng Nhà nước, cơ quan thuế sẽ thực thi chính sách mới một cách khách quan, công tâm và đối xử bình đẳng với mọi người nộp thuế.  - HUMAN-TRU1]]</f>
        <v>5</v>
      </c>
      <c r="AN285" t="str">
        <f t="shared" si="121"/>
        <v>Neutral</v>
      </c>
      <c r="AO285" s="32">
        <f t="shared" si="122"/>
        <v>4</v>
      </c>
      <c r="AP285">
        <f>step3_validation[[#This Row],[AI_TRU2]]</f>
        <v>7</v>
      </c>
      <c r="AQ285" t="str">
        <f t="shared" si="123"/>
        <v>Neutral</v>
      </c>
      <c r="AR285">
        <f>survey_responses[[#This Row],[Tôi thấy mức thuế tôi phải đóng theo phương án mới là công bằng (người thu nhập như tôi đóng mức này là hợp lý). - HUMAN-TRU2]]</f>
        <v>6</v>
      </c>
      <c r="AS285" t="str">
        <f t="shared" si="124"/>
        <v>Neutral</v>
      </c>
      <c r="AT285" s="32">
        <f t="shared" si="125"/>
        <v>1</v>
      </c>
      <c r="AU285">
        <f>step3_validation[[#This Row],[AI_TRU3]]</f>
        <v>8</v>
      </c>
      <c r="AV285" t="str">
        <f t="shared" si="126"/>
        <v>Support</v>
      </c>
      <c r="AW285">
        <f>survey_responses[[#This Row],[Tôi tin tưởng số tiền thuế tôi đóng sẽ được Nhà nước sử dụng hiệu quả để cải thiện dịch vụ công (y tế, đường xá...). - HUMAN-TRU3]]</f>
        <v>5</v>
      </c>
      <c r="AX285" t="str">
        <f t="shared" si="127"/>
        <v>Neutral</v>
      </c>
      <c r="AY285" s="32">
        <f t="shared" si="128"/>
        <v>3</v>
      </c>
      <c r="AZ285">
        <f>step3_validation[[#This Row],[AI_TRU4]]</f>
        <v>7</v>
      </c>
      <c r="BA285" t="str">
        <f t="shared" si="129"/>
        <v>Neutral</v>
      </c>
      <c r="BB285">
        <f>survey_responses[[#This Row],[Tôi thấy Nhà nước đã giải thích rõ ràng, minh bạch về lý do và mục tiêu của việc sửa đổi thuế lần này. - HUMAN-TRU4]]</f>
        <v>7</v>
      </c>
      <c r="BC285" t="str">
        <f t="shared" si="130"/>
        <v>Neutral</v>
      </c>
      <c r="BD285" s="32">
        <f t="shared" si="131"/>
        <v>0</v>
      </c>
      <c r="BE285">
        <f>step3_validation[[#This Row],[AI_OUT1]]</f>
        <v>8</v>
      </c>
      <c r="BF285" t="str">
        <f t="shared" si="132"/>
        <v>Support</v>
      </c>
      <c r="BG285">
        <f>survey_responses[[#This Row],[Sau khi xem xét các quyền lợi và nghĩa vụ, bạn có ủng hộ và tuân thủ chính sách mới hiện nay? - HUMAN-OUT1]]</f>
        <v>6</v>
      </c>
      <c r="BH285" t="str">
        <f t="shared" si="133"/>
        <v>Neutral</v>
      </c>
      <c r="BI285" s="32">
        <f t="shared" si="134"/>
        <v>2</v>
      </c>
    </row>
    <row r="286" spans="1:61" x14ac:dyDescent="0.45">
      <c r="A286" s="30">
        <f>step3_validation[[#This Row],[Persona_ID]]</f>
        <v>285</v>
      </c>
      <c r="B286" s="31">
        <f>step3_validation[[#This Row],[Used_Seed]]</f>
        <v>2275</v>
      </c>
      <c r="C286" t="str">
        <f>step3_validation[[#This Row],[Gender]]</f>
        <v>Nam</v>
      </c>
      <c r="D286" t="str">
        <f>survey_responses[[#This Row],[Giới tính của bạn:]]</f>
        <v>Nam</v>
      </c>
      <c r="E286" t="str">
        <f>step3_validation[[#This Row],[Age_Group]]</f>
        <v>50 - 54</v>
      </c>
      <c r="F286" t="str">
        <f>survey_responses[[#This Row],[Độ tuổi của bạn:]]</f>
        <v>50 - 54</v>
      </c>
      <c r="G286" t="str">
        <f>step3_validation[[#This Row],[Region]]</f>
        <v>Thành thị</v>
      </c>
      <c r="H286" t="str">
        <f>survey_responses[[#This Row],[Khu vực bạn đang sinh sống:]]</f>
        <v>Thành thị</v>
      </c>
      <c r="I286" t="str">
        <f>step3_validation[[#This Row],[Education]]</f>
        <v>Đại học</v>
      </c>
      <c r="J286" t="str">
        <f>survey_responses[[#This Row],[Trình độ học vấn cao nhất:]]</f>
        <v>Đại học</v>
      </c>
      <c r="K286" t="str">
        <f>step3_validation[[#This Row],[Employment]]</f>
        <v>Chính thức</v>
      </c>
      <c r="L286" t="str">
        <f>survey_responses[[#This Row],[Tình trạng việc làm chính:]]</f>
        <v>Khu vực chính thức (Có Hợp đồng lao động, đóng BHXH)</v>
      </c>
      <c r="M286">
        <f>step3_validation[[#This Row],[Income_Mil]]</f>
        <v>98.175095707980162</v>
      </c>
      <c r="N286" t="str">
        <f>survey_responses[[#This Row],[Thu nhập bình quân tháng theo Hợp đồng lao động của bạn là bao nhiêu? (Vui lòng điền tổng thu nhập trước khi khấu trừ các loại Bảo hiểm (BHXH, BHYT, BHTN) và Thuế TNCN)]]</f>
        <v>Từ 70 - 102 triệu VNĐ</v>
      </c>
      <c r="O286">
        <f>step3_validation[[#This Row],[Dependents]]</f>
        <v>3</v>
      </c>
      <c r="P286" t="str">
        <f>survey_responses[[#This Row],[Số người phụ thuộc (con nhỏ, cha mẹ già...) đủ điều kiện giảm trừ gia cảnh:]]</f>
        <v>3 người</v>
      </c>
      <c r="Q286">
        <f>step3_validation[[#This Row],[AI_ENF1]]</f>
        <v>8</v>
      </c>
      <c r="R286" t="str">
        <f t="shared" si="108"/>
        <v>Support</v>
      </c>
      <c r="S286">
        <f>survey_responses[[#This Row],[Tôi tin rằng với các quy định quản lý thuế hiện nay, hành vi gian lận hoặc trốn thuế sẽ dễ dàng bị phát hiện và xử lý nghiêm. - HUMAN-ENF1]]</f>
        <v>7</v>
      </c>
      <c r="T286" t="str">
        <f t="shared" si="109"/>
        <v>Neutral</v>
      </c>
      <c r="U286" s="32">
        <f t="shared" si="110"/>
        <v>1</v>
      </c>
      <c r="V286">
        <f>step3_validation[[#This Row],[AI_ENF2]]</f>
        <v>7</v>
      </c>
      <c r="W286" t="str">
        <f t="shared" si="111"/>
        <v>Neutral</v>
      </c>
      <c r="X286">
        <f>survey_responses[[#This Row],[Tôi tin rằng Nhà nước, cơ quan thuế có đủ khả năng và công nghệ để phát hiện, xử lý nghiêm các hành vi trốn thuế. - HUMAN-ENF2]]</f>
        <v>7</v>
      </c>
      <c r="Y286" t="str">
        <f t="shared" si="112"/>
        <v>Neutral</v>
      </c>
      <c r="Z286" s="32">
        <f t="shared" si="113"/>
        <v>0</v>
      </c>
      <c r="AA286">
        <f>step3_validation[[#This Row],[AI_FAC1]]</f>
        <v>6</v>
      </c>
      <c r="AB286" t="str">
        <f t="shared" si="114"/>
        <v>Neutral</v>
      </c>
      <c r="AC286">
        <f>survey_responses[[#This Row],[Các thủ tục khai báo thuế VÀ/HOẶC quy trình làm việc với cơ quan thuế đơn giản, tiện lợi, nhanh chóng hơn so với trước đây. - HUMAN-FAC1]]</f>
        <v>5</v>
      </c>
      <c r="AD286" t="str">
        <f t="shared" si="115"/>
        <v>Neutral</v>
      </c>
      <c r="AE286" s="32">
        <f t="shared" si="116"/>
        <v>1</v>
      </c>
      <c r="AF286">
        <f>step3_validation[[#This Row],[AI_FAC2]]</f>
        <v>6</v>
      </c>
      <c r="AG286" t="str">
        <f t="shared" si="117"/>
        <v>Neutral</v>
      </c>
      <c r="AH286">
        <f>survey_responses[[#This Row],[So với trước đây, tôi thấy cách tính thuế và các bậc thuế trong phương án mới đơn giản, dễ hiểu và dễ thực hiện hơn. - HUMAN-FAC2]]</f>
        <v>8</v>
      </c>
      <c r="AI286" t="str">
        <f t="shared" si="118"/>
        <v>Support</v>
      </c>
      <c r="AJ286" s="32">
        <f t="shared" si="119"/>
        <v>2</v>
      </c>
      <c r="AK286">
        <f>step3_validation[[#This Row],[AI_TRU1]]</f>
        <v>7</v>
      </c>
      <c r="AL286" t="str">
        <f t="shared" si="120"/>
        <v>Neutral</v>
      </c>
      <c r="AM286">
        <f>survey_responses[[#This Row],[Tôi tin rằng Nhà nước, cơ quan thuế sẽ thực thi chính sách mới một cách khách quan, công tâm và đối xử bình đẳng với mọi người nộp thuế.  - HUMAN-TRU1]]</f>
        <v>6</v>
      </c>
      <c r="AN286" t="str">
        <f t="shared" si="121"/>
        <v>Neutral</v>
      </c>
      <c r="AO286" s="32">
        <f t="shared" si="122"/>
        <v>1</v>
      </c>
      <c r="AP286">
        <f>step3_validation[[#This Row],[AI_TRU2]]</f>
        <v>7</v>
      </c>
      <c r="AQ286" t="str">
        <f t="shared" si="123"/>
        <v>Neutral</v>
      </c>
      <c r="AR286">
        <f>survey_responses[[#This Row],[Tôi thấy mức thuế tôi phải đóng theo phương án mới là công bằng (người thu nhập như tôi đóng mức này là hợp lý). - HUMAN-TRU2]]</f>
        <v>6</v>
      </c>
      <c r="AS286" t="str">
        <f t="shared" si="124"/>
        <v>Neutral</v>
      </c>
      <c r="AT286" s="32">
        <f t="shared" si="125"/>
        <v>1</v>
      </c>
      <c r="AU286">
        <f>step3_validation[[#This Row],[AI_TRU3]]</f>
        <v>7</v>
      </c>
      <c r="AV286" t="str">
        <f t="shared" si="126"/>
        <v>Neutral</v>
      </c>
      <c r="AW286">
        <f>survey_responses[[#This Row],[Tôi tin tưởng số tiền thuế tôi đóng sẽ được Nhà nước sử dụng hiệu quả để cải thiện dịch vụ công (y tế, đường xá...). - HUMAN-TRU3]]</f>
        <v>6</v>
      </c>
      <c r="AX286" t="str">
        <f t="shared" si="127"/>
        <v>Neutral</v>
      </c>
      <c r="AY286" s="32">
        <f t="shared" si="128"/>
        <v>1</v>
      </c>
      <c r="AZ286">
        <f>step3_validation[[#This Row],[AI_TRU4]]</f>
        <v>7</v>
      </c>
      <c r="BA286" t="str">
        <f t="shared" si="129"/>
        <v>Neutral</v>
      </c>
      <c r="BB286">
        <f>survey_responses[[#This Row],[Tôi thấy Nhà nước đã giải thích rõ ràng, minh bạch về lý do và mục tiêu của việc sửa đổi thuế lần này. - HUMAN-TRU4]]</f>
        <v>7</v>
      </c>
      <c r="BC286" t="str">
        <f t="shared" si="130"/>
        <v>Neutral</v>
      </c>
      <c r="BD286" s="32">
        <f t="shared" si="131"/>
        <v>0</v>
      </c>
      <c r="BE286">
        <f>step3_validation[[#This Row],[AI_OUT1]]</f>
        <v>6</v>
      </c>
      <c r="BF286" t="str">
        <f t="shared" si="132"/>
        <v>Neutral</v>
      </c>
      <c r="BG286">
        <f>survey_responses[[#This Row],[Sau khi xem xét các quyền lợi và nghĩa vụ, bạn có ủng hộ và tuân thủ chính sách mới hiện nay? - HUMAN-OUT1]]</f>
        <v>7</v>
      </c>
      <c r="BH286" t="str">
        <f t="shared" si="133"/>
        <v>Neutral</v>
      </c>
      <c r="BI286" s="32">
        <f t="shared" si="134"/>
        <v>1</v>
      </c>
    </row>
    <row r="287" spans="1:61" x14ac:dyDescent="0.45">
      <c r="A287" s="30">
        <f>step3_validation[[#This Row],[Persona_ID]]</f>
        <v>286</v>
      </c>
      <c r="B287" s="31">
        <f>step3_validation[[#This Row],[Used_Seed]]</f>
        <v>2276</v>
      </c>
      <c r="C287" t="str">
        <f>step3_validation[[#This Row],[Gender]]</f>
        <v>Nữ</v>
      </c>
      <c r="D287" t="str">
        <f>survey_responses[[#This Row],[Giới tính của bạn:]]</f>
        <v>Nữ</v>
      </c>
      <c r="E287" t="str">
        <f>step3_validation[[#This Row],[Age_Group]]</f>
        <v>30 - 39</v>
      </c>
      <c r="F287" t="str">
        <f>survey_responses[[#This Row],[Độ tuổi của bạn:]]</f>
        <v>30 - 39</v>
      </c>
      <c r="G287" t="str">
        <f>step3_validation[[#This Row],[Region]]</f>
        <v>Thành thị</v>
      </c>
      <c r="H287" t="str">
        <f>survey_responses[[#This Row],[Khu vực bạn đang sinh sống:]]</f>
        <v>Thành thị</v>
      </c>
      <c r="I287" t="str">
        <f>step3_validation[[#This Row],[Education]]</f>
        <v>Đại học</v>
      </c>
      <c r="J287" t="str">
        <f>survey_responses[[#This Row],[Trình độ học vấn cao nhất:]]</f>
        <v>Đại học</v>
      </c>
      <c r="K287" t="str">
        <f>step3_validation[[#This Row],[Employment]]</f>
        <v>Chính thức</v>
      </c>
      <c r="L287" t="str">
        <f>survey_responses[[#This Row],[Tình trạng việc làm chính:]]</f>
        <v>Khu vực chính thức (Có Hợp đồng lao động, đóng BHXH)</v>
      </c>
      <c r="M287">
        <f>step3_validation[[#This Row],[Income_Mil]]</f>
        <v>37.978933802969514</v>
      </c>
      <c r="N287" t="str">
        <f>survey_responses[[#This Row],[Thu nhập bình quân tháng theo Hợp đồng lao động của bạn là bao nhiêu? (Vui lòng điền tổng thu nhập trước khi khấu trừ các loại Bảo hiểm (BHXH, BHYT, BHTN) và Thuế TNCN)]]</f>
        <v>Từ 32 - 48 triệu VNĐ</v>
      </c>
      <c r="O287">
        <f>step3_validation[[#This Row],[Dependents]]</f>
        <v>0</v>
      </c>
      <c r="P287" t="str">
        <f>survey_responses[[#This Row],[Số người phụ thuộc (con nhỏ, cha mẹ già...) đủ điều kiện giảm trừ gia cảnh:]]</f>
        <v>0 người</v>
      </c>
      <c r="Q287">
        <f>step3_validation[[#This Row],[AI_ENF1]]</f>
        <v>6</v>
      </c>
      <c r="R287" t="str">
        <f t="shared" si="108"/>
        <v>Neutral</v>
      </c>
      <c r="S287">
        <f>survey_responses[[#This Row],[Tôi tin rằng với các quy định quản lý thuế hiện nay, hành vi gian lận hoặc trốn thuế sẽ dễ dàng bị phát hiện và xử lý nghiêm. - HUMAN-ENF1]]</f>
        <v>4</v>
      </c>
      <c r="T287" t="str">
        <f t="shared" si="109"/>
        <v>Oppose</v>
      </c>
      <c r="U287" s="32">
        <f t="shared" si="110"/>
        <v>2</v>
      </c>
      <c r="V287">
        <f>step3_validation[[#This Row],[AI_ENF2]]</f>
        <v>8</v>
      </c>
      <c r="W287" t="str">
        <f t="shared" si="111"/>
        <v>Support</v>
      </c>
      <c r="X287">
        <f>survey_responses[[#This Row],[Tôi tin rằng Nhà nước, cơ quan thuế có đủ khả năng và công nghệ để phát hiện, xử lý nghiêm các hành vi trốn thuế. - HUMAN-ENF2]]</f>
        <v>4</v>
      </c>
      <c r="Y287" t="str">
        <f t="shared" si="112"/>
        <v>Oppose</v>
      </c>
      <c r="Z287" s="32">
        <f t="shared" si="113"/>
        <v>4</v>
      </c>
      <c r="AA287">
        <f>step3_validation[[#This Row],[AI_FAC1]]</f>
        <v>7</v>
      </c>
      <c r="AB287" t="str">
        <f t="shared" si="114"/>
        <v>Neutral</v>
      </c>
      <c r="AC287">
        <f>survey_responses[[#This Row],[Các thủ tục khai báo thuế VÀ/HOẶC quy trình làm việc với cơ quan thuế đơn giản, tiện lợi, nhanh chóng hơn so với trước đây. - HUMAN-FAC1]]</f>
        <v>2</v>
      </c>
      <c r="AD287" t="str">
        <f t="shared" si="115"/>
        <v>Oppose</v>
      </c>
      <c r="AE287" s="32">
        <f t="shared" si="116"/>
        <v>5</v>
      </c>
      <c r="AF287">
        <f>step3_validation[[#This Row],[AI_FAC2]]</f>
        <v>9</v>
      </c>
      <c r="AG287" t="str">
        <f t="shared" si="117"/>
        <v>Support</v>
      </c>
      <c r="AH287">
        <f>survey_responses[[#This Row],[So với trước đây, tôi thấy cách tính thuế và các bậc thuế trong phương án mới đơn giản, dễ hiểu và dễ thực hiện hơn. - HUMAN-FAC2]]</f>
        <v>8</v>
      </c>
      <c r="AI287" t="str">
        <f t="shared" si="118"/>
        <v>Support</v>
      </c>
      <c r="AJ287" s="32">
        <f t="shared" si="119"/>
        <v>1</v>
      </c>
      <c r="AK287">
        <f>step3_validation[[#This Row],[AI_TRU1]]</f>
        <v>5</v>
      </c>
      <c r="AL287" t="str">
        <f t="shared" si="120"/>
        <v>Neutral</v>
      </c>
      <c r="AM287">
        <f>survey_responses[[#This Row],[Tôi tin rằng Nhà nước, cơ quan thuế sẽ thực thi chính sách mới một cách khách quan, công tâm và đối xử bình đẳng với mọi người nộp thuế.  - HUMAN-TRU1]]</f>
        <v>5</v>
      </c>
      <c r="AN287" t="str">
        <f t="shared" si="121"/>
        <v>Neutral</v>
      </c>
      <c r="AO287" s="32">
        <f t="shared" si="122"/>
        <v>0</v>
      </c>
      <c r="AP287">
        <f>step3_validation[[#This Row],[AI_TRU2]]</f>
        <v>8</v>
      </c>
      <c r="AQ287" t="str">
        <f t="shared" si="123"/>
        <v>Support</v>
      </c>
      <c r="AR287">
        <f>survey_responses[[#This Row],[Tôi thấy mức thuế tôi phải đóng theo phương án mới là công bằng (người thu nhập như tôi đóng mức này là hợp lý). - HUMAN-TRU2]]</f>
        <v>5</v>
      </c>
      <c r="AS287" t="str">
        <f t="shared" si="124"/>
        <v>Neutral</v>
      </c>
      <c r="AT287" s="32">
        <f t="shared" si="125"/>
        <v>3</v>
      </c>
      <c r="AU287">
        <f>step3_validation[[#This Row],[AI_TRU3]]</f>
        <v>6</v>
      </c>
      <c r="AV287" t="str">
        <f t="shared" si="126"/>
        <v>Neutral</v>
      </c>
      <c r="AW287">
        <f>survey_responses[[#This Row],[Tôi tin tưởng số tiền thuế tôi đóng sẽ được Nhà nước sử dụng hiệu quả để cải thiện dịch vụ công (y tế, đường xá...). - HUMAN-TRU3]]</f>
        <v>4</v>
      </c>
      <c r="AX287" t="str">
        <f t="shared" si="127"/>
        <v>Oppose</v>
      </c>
      <c r="AY287" s="32">
        <f t="shared" si="128"/>
        <v>2</v>
      </c>
      <c r="AZ287">
        <f>step3_validation[[#This Row],[AI_TRU4]]</f>
        <v>4</v>
      </c>
      <c r="BA287" t="str">
        <f t="shared" si="129"/>
        <v>Oppose</v>
      </c>
      <c r="BB287">
        <f>survey_responses[[#This Row],[Tôi thấy Nhà nước đã giải thích rõ ràng, minh bạch về lý do và mục tiêu của việc sửa đổi thuế lần này. - HUMAN-TRU4]]</f>
        <v>6</v>
      </c>
      <c r="BC287" t="str">
        <f t="shared" si="130"/>
        <v>Neutral</v>
      </c>
      <c r="BD287" s="32">
        <f t="shared" si="131"/>
        <v>2</v>
      </c>
      <c r="BE287">
        <f>step3_validation[[#This Row],[AI_OUT1]]</f>
        <v>7</v>
      </c>
      <c r="BF287" t="str">
        <f t="shared" si="132"/>
        <v>Neutral</v>
      </c>
      <c r="BG287">
        <f>survey_responses[[#This Row],[Sau khi xem xét các quyền lợi và nghĩa vụ, bạn có ủng hộ và tuân thủ chính sách mới hiện nay? - HUMAN-OUT1]]</f>
        <v>5</v>
      </c>
      <c r="BH287" t="str">
        <f t="shared" si="133"/>
        <v>Neutral</v>
      </c>
      <c r="BI287" s="32">
        <f t="shared" si="134"/>
        <v>2</v>
      </c>
    </row>
    <row r="288" spans="1:61" x14ac:dyDescent="0.45">
      <c r="A288" s="30">
        <f>step3_validation[[#This Row],[Persona_ID]]</f>
        <v>287</v>
      </c>
      <c r="B288" s="31">
        <f>step3_validation[[#This Row],[Used_Seed]]</f>
        <v>2277</v>
      </c>
      <c r="C288" t="str">
        <f>step3_validation[[#This Row],[Gender]]</f>
        <v>Nữ</v>
      </c>
      <c r="D288" t="str">
        <f>survey_responses[[#This Row],[Giới tính của bạn:]]</f>
        <v>Nữ</v>
      </c>
      <c r="E288" t="str">
        <f>step3_validation[[#This Row],[Age_Group]]</f>
        <v>50 - 54</v>
      </c>
      <c r="F288" t="str">
        <f>survey_responses[[#This Row],[Độ tuổi của bạn:]]</f>
        <v>50 - 54</v>
      </c>
      <c r="G288" t="str">
        <f>step3_validation[[#This Row],[Region]]</f>
        <v>Thành thị</v>
      </c>
      <c r="H288" t="str">
        <f>survey_responses[[#This Row],[Khu vực bạn đang sinh sống:]]</f>
        <v>Thành thị</v>
      </c>
      <c r="I288" t="str">
        <f>step3_validation[[#This Row],[Education]]</f>
        <v>Đại học</v>
      </c>
      <c r="J288" t="str">
        <f>survey_responses[[#This Row],[Trình độ học vấn cao nhất:]]</f>
        <v>Đại học</v>
      </c>
      <c r="K288" t="str">
        <f>step3_validation[[#This Row],[Employment]]</f>
        <v>Chính thức</v>
      </c>
      <c r="L288" t="str">
        <f>survey_responses[[#This Row],[Tình trạng việc làm chính:]]</f>
        <v>Khu vực chính thức (Có Hợp đồng lao động, đóng BHXH)</v>
      </c>
      <c r="M288">
        <f>step3_validation[[#This Row],[Income_Mil]]</f>
        <v>68.388741481585825</v>
      </c>
      <c r="N288" t="str">
        <f>survey_responses[[#This Row],[Thu nhập bình quân tháng theo Hợp đồng lao động của bạn là bao nhiêu? (Vui lòng điền tổng thu nhập trước khi khấu trừ các loại Bảo hiểm (BHXH, BHYT, BHTN) và Thuế TNCN)]]</f>
        <v>Từ 48 - 70 triệu VNĐ</v>
      </c>
      <c r="O288">
        <f>step3_validation[[#This Row],[Dependents]]</f>
        <v>4</v>
      </c>
      <c r="P288" t="str">
        <f>survey_responses[[#This Row],[Số người phụ thuộc (con nhỏ, cha mẹ già...) đủ điều kiện giảm trừ gia cảnh:]]</f>
        <v>4 người trở lên</v>
      </c>
      <c r="Q288">
        <f>step3_validation[[#This Row],[AI_ENF1]]</f>
        <v>6</v>
      </c>
      <c r="R288" t="str">
        <f t="shared" si="108"/>
        <v>Neutral</v>
      </c>
      <c r="S288">
        <f>survey_responses[[#This Row],[Tôi tin rằng với các quy định quản lý thuế hiện nay, hành vi gian lận hoặc trốn thuế sẽ dễ dàng bị phát hiện và xử lý nghiêm. - HUMAN-ENF1]]</f>
        <v>10</v>
      </c>
      <c r="T288" t="str">
        <f t="shared" si="109"/>
        <v>Support</v>
      </c>
      <c r="U288" s="32">
        <f t="shared" si="110"/>
        <v>4</v>
      </c>
      <c r="V288">
        <f>step3_validation[[#This Row],[AI_ENF2]]</f>
        <v>8</v>
      </c>
      <c r="W288" t="str">
        <f t="shared" si="111"/>
        <v>Support</v>
      </c>
      <c r="X288">
        <f>survey_responses[[#This Row],[Tôi tin rằng Nhà nước, cơ quan thuế có đủ khả năng và công nghệ để phát hiện, xử lý nghiêm các hành vi trốn thuế. - HUMAN-ENF2]]</f>
        <v>10</v>
      </c>
      <c r="Y288" t="str">
        <f t="shared" si="112"/>
        <v>Support</v>
      </c>
      <c r="Z288" s="32">
        <f t="shared" si="113"/>
        <v>2</v>
      </c>
      <c r="AA288">
        <f>step3_validation[[#This Row],[AI_FAC1]]</f>
        <v>5</v>
      </c>
      <c r="AB288" t="str">
        <f t="shared" si="114"/>
        <v>Neutral</v>
      </c>
      <c r="AC288">
        <f>survey_responses[[#This Row],[Các thủ tục khai báo thuế VÀ/HOẶC quy trình làm việc với cơ quan thuế đơn giản, tiện lợi, nhanh chóng hơn so với trước đây. - HUMAN-FAC1]]</f>
        <v>7</v>
      </c>
      <c r="AD288" t="str">
        <f t="shared" si="115"/>
        <v>Neutral</v>
      </c>
      <c r="AE288" s="32">
        <f t="shared" si="116"/>
        <v>2</v>
      </c>
      <c r="AF288">
        <f>step3_validation[[#This Row],[AI_FAC2]]</f>
        <v>7</v>
      </c>
      <c r="AG288" t="str">
        <f t="shared" si="117"/>
        <v>Neutral</v>
      </c>
      <c r="AH288">
        <f>survey_responses[[#This Row],[So với trước đây, tôi thấy cách tính thuế và các bậc thuế trong phương án mới đơn giản, dễ hiểu và dễ thực hiện hơn. - HUMAN-FAC2]]</f>
        <v>7</v>
      </c>
      <c r="AI288" t="str">
        <f t="shared" si="118"/>
        <v>Neutral</v>
      </c>
      <c r="AJ288" s="32">
        <f t="shared" si="119"/>
        <v>0</v>
      </c>
      <c r="AK288">
        <f>step3_validation[[#This Row],[AI_TRU1]]</f>
        <v>8</v>
      </c>
      <c r="AL288" t="str">
        <f t="shared" si="120"/>
        <v>Support</v>
      </c>
      <c r="AM288">
        <f>survey_responses[[#This Row],[Tôi tin rằng Nhà nước, cơ quan thuế sẽ thực thi chính sách mới một cách khách quan, công tâm và đối xử bình đẳng với mọi người nộp thuế.  - HUMAN-TRU1]]</f>
        <v>8</v>
      </c>
      <c r="AN288" t="str">
        <f t="shared" si="121"/>
        <v>Support</v>
      </c>
      <c r="AO288" s="32">
        <f t="shared" si="122"/>
        <v>0</v>
      </c>
      <c r="AP288">
        <f>step3_validation[[#This Row],[AI_TRU2]]</f>
        <v>7</v>
      </c>
      <c r="AQ288" t="str">
        <f t="shared" si="123"/>
        <v>Neutral</v>
      </c>
      <c r="AR288">
        <f>survey_responses[[#This Row],[Tôi thấy mức thuế tôi phải đóng theo phương án mới là công bằng (người thu nhập như tôi đóng mức này là hợp lý). - HUMAN-TRU2]]</f>
        <v>7</v>
      </c>
      <c r="AS288" t="str">
        <f t="shared" si="124"/>
        <v>Neutral</v>
      </c>
      <c r="AT288" s="32">
        <f t="shared" si="125"/>
        <v>0</v>
      </c>
      <c r="AU288">
        <f>step3_validation[[#This Row],[AI_TRU3]]</f>
        <v>5</v>
      </c>
      <c r="AV288" t="str">
        <f t="shared" si="126"/>
        <v>Neutral</v>
      </c>
      <c r="AW288">
        <f>survey_responses[[#This Row],[Tôi tin tưởng số tiền thuế tôi đóng sẽ được Nhà nước sử dụng hiệu quả để cải thiện dịch vụ công (y tế, đường xá...). - HUMAN-TRU3]]</f>
        <v>8</v>
      </c>
      <c r="AX288" t="str">
        <f t="shared" si="127"/>
        <v>Support</v>
      </c>
      <c r="AY288" s="32">
        <f t="shared" si="128"/>
        <v>3</v>
      </c>
      <c r="AZ288">
        <f>step3_validation[[#This Row],[AI_TRU4]]</f>
        <v>4</v>
      </c>
      <c r="BA288" t="str">
        <f t="shared" si="129"/>
        <v>Oppose</v>
      </c>
      <c r="BB288">
        <f>survey_responses[[#This Row],[Tôi thấy Nhà nước đã giải thích rõ ràng, minh bạch về lý do và mục tiêu của việc sửa đổi thuế lần này. - HUMAN-TRU4]]</f>
        <v>8</v>
      </c>
      <c r="BC288" t="str">
        <f t="shared" si="130"/>
        <v>Support</v>
      </c>
      <c r="BD288" s="32">
        <f t="shared" si="131"/>
        <v>4</v>
      </c>
      <c r="BE288">
        <f>step3_validation[[#This Row],[AI_OUT1]]</f>
        <v>5</v>
      </c>
      <c r="BF288" t="str">
        <f t="shared" si="132"/>
        <v>Neutral</v>
      </c>
      <c r="BG288">
        <f>survey_responses[[#This Row],[Sau khi xem xét các quyền lợi và nghĩa vụ, bạn có ủng hộ và tuân thủ chính sách mới hiện nay? - HUMAN-OUT1]]</f>
        <v>8</v>
      </c>
      <c r="BH288" t="str">
        <f t="shared" si="133"/>
        <v>Support</v>
      </c>
      <c r="BI288" s="32">
        <f t="shared" si="134"/>
        <v>3</v>
      </c>
    </row>
    <row r="289" spans="1:61" x14ac:dyDescent="0.45">
      <c r="A289" s="30">
        <f>step3_validation[[#This Row],[Persona_ID]]</f>
        <v>288</v>
      </c>
      <c r="B289" s="31">
        <f>step3_validation[[#This Row],[Used_Seed]]</f>
        <v>2278</v>
      </c>
      <c r="C289" t="str">
        <f>step3_validation[[#This Row],[Gender]]</f>
        <v>Nam</v>
      </c>
      <c r="D289" t="str">
        <f>survey_responses[[#This Row],[Giới tính của bạn:]]</f>
        <v>Nam</v>
      </c>
      <c r="E289" t="str">
        <f>step3_validation[[#This Row],[Age_Group]]</f>
        <v>25 - 29</v>
      </c>
      <c r="F289" t="str">
        <f>survey_responses[[#This Row],[Độ tuổi của bạn:]]</f>
        <v>25 - 29</v>
      </c>
      <c r="G289" t="str">
        <f>step3_validation[[#This Row],[Region]]</f>
        <v>Thành thị</v>
      </c>
      <c r="H289" t="str">
        <f>survey_responses[[#This Row],[Khu vực bạn đang sinh sống:]]</f>
        <v>Thành thị</v>
      </c>
      <c r="I289" t="str">
        <f>step3_validation[[#This Row],[Education]]</f>
        <v>Đại học</v>
      </c>
      <c r="J289" t="str">
        <f>survey_responses[[#This Row],[Trình độ học vấn cao nhất:]]</f>
        <v>Đại học</v>
      </c>
      <c r="K289" t="str">
        <f>step3_validation[[#This Row],[Employment]]</f>
        <v>Chính thức</v>
      </c>
      <c r="L289" t="str">
        <f>survey_responses[[#This Row],[Tình trạng việc làm chính:]]</f>
        <v>Khu vực chính thức (Có Hợp đồng lao động, đóng BHXH)</v>
      </c>
      <c r="M289">
        <f>step3_validation[[#This Row],[Income_Mil]]</f>
        <v>28.964490430024476</v>
      </c>
      <c r="N289" t="str">
        <f>survey_responses[[#This Row],[Thu nhập bình quân tháng theo Hợp đồng lao động của bạn là bao nhiêu? (Vui lòng điền tổng thu nhập trước khi khấu trừ các loại Bảo hiểm (BHXH, BHYT, BHTN) và Thuế TNCN)]]</f>
        <v>Từ 23 - 32 triệu VNĐ</v>
      </c>
      <c r="O289">
        <f>step3_validation[[#This Row],[Dependents]]</f>
        <v>0</v>
      </c>
      <c r="P289" t="str">
        <f>survey_responses[[#This Row],[Số người phụ thuộc (con nhỏ, cha mẹ già...) đủ điều kiện giảm trừ gia cảnh:]]</f>
        <v>0 người</v>
      </c>
      <c r="Q289">
        <f>step3_validation[[#This Row],[AI_ENF1]]</f>
        <v>7</v>
      </c>
      <c r="R289" t="str">
        <f t="shared" si="108"/>
        <v>Neutral</v>
      </c>
      <c r="S289">
        <f>survey_responses[[#This Row],[Tôi tin rằng với các quy định quản lý thuế hiện nay, hành vi gian lận hoặc trốn thuế sẽ dễ dàng bị phát hiện và xử lý nghiêm. - HUMAN-ENF1]]</f>
        <v>8</v>
      </c>
      <c r="T289" t="str">
        <f t="shared" si="109"/>
        <v>Support</v>
      </c>
      <c r="U289" s="32">
        <f t="shared" si="110"/>
        <v>1</v>
      </c>
      <c r="V289">
        <f>step3_validation[[#This Row],[AI_ENF2]]</f>
        <v>8</v>
      </c>
      <c r="W289" t="str">
        <f t="shared" si="111"/>
        <v>Support</v>
      </c>
      <c r="X289">
        <f>survey_responses[[#This Row],[Tôi tin rằng Nhà nước, cơ quan thuế có đủ khả năng và công nghệ để phát hiện, xử lý nghiêm các hành vi trốn thuế. - HUMAN-ENF2]]</f>
        <v>8</v>
      </c>
      <c r="Y289" t="str">
        <f t="shared" si="112"/>
        <v>Support</v>
      </c>
      <c r="Z289" s="32">
        <f t="shared" si="113"/>
        <v>0</v>
      </c>
      <c r="AA289">
        <f>step3_validation[[#This Row],[AI_FAC1]]</f>
        <v>6</v>
      </c>
      <c r="AB289" t="str">
        <f t="shared" si="114"/>
        <v>Neutral</v>
      </c>
      <c r="AC289">
        <f>survey_responses[[#This Row],[Các thủ tục khai báo thuế VÀ/HOẶC quy trình làm việc với cơ quan thuế đơn giản, tiện lợi, nhanh chóng hơn so với trước đây. - HUMAN-FAC1]]</f>
        <v>5</v>
      </c>
      <c r="AD289" t="str">
        <f t="shared" si="115"/>
        <v>Neutral</v>
      </c>
      <c r="AE289" s="32">
        <f t="shared" si="116"/>
        <v>1</v>
      </c>
      <c r="AF289">
        <f>step3_validation[[#This Row],[AI_FAC2]]</f>
        <v>7</v>
      </c>
      <c r="AG289" t="str">
        <f t="shared" si="117"/>
        <v>Neutral</v>
      </c>
      <c r="AH289">
        <f>survey_responses[[#This Row],[So với trước đây, tôi thấy cách tính thuế và các bậc thuế trong phương án mới đơn giản, dễ hiểu và dễ thực hiện hơn. - HUMAN-FAC2]]</f>
        <v>9</v>
      </c>
      <c r="AI289" t="str">
        <f t="shared" si="118"/>
        <v>Support</v>
      </c>
      <c r="AJ289" s="32">
        <f t="shared" si="119"/>
        <v>2</v>
      </c>
      <c r="AK289">
        <f>step3_validation[[#This Row],[AI_TRU1]]</f>
        <v>6</v>
      </c>
      <c r="AL289" t="str">
        <f t="shared" si="120"/>
        <v>Neutral</v>
      </c>
      <c r="AM289">
        <f>survey_responses[[#This Row],[Tôi tin rằng Nhà nước, cơ quan thuế sẽ thực thi chính sách mới một cách khách quan, công tâm và đối xử bình đẳng với mọi người nộp thuế.  - HUMAN-TRU1]]</f>
        <v>10</v>
      </c>
      <c r="AN289" t="str">
        <f t="shared" si="121"/>
        <v>Support</v>
      </c>
      <c r="AO289" s="32">
        <f t="shared" si="122"/>
        <v>4</v>
      </c>
      <c r="AP289">
        <f>step3_validation[[#This Row],[AI_TRU2]]</f>
        <v>5</v>
      </c>
      <c r="AQ289" t="str">
        <f t="shared" si="123"/>
        <v>Neutral</v>
      </c>
      <c r="AR289">
        <f>survey_responses[[#This Row],[Tôi thấy mức thuế tôi phải đóng theo phương án mới là công bằng (người thu nhập như tôi đóng mức này là hợp lý). - HUMAN-TRU2]]</f>
        <v>10</v>
      </c>
      <c r="AS289" t="str">
        <f t="shared" si="124"/>
        <v>Support</v>
      </c>
      <c r="AT289" s="32">
        <f t="shared" si="125"/>
        <v>5</v>
      </c>
      <c r="AU289">
        <f>step3_validation[[#This Row],[AI_TRU3]]</f>
        <v>6</v>
      </c>
      <c r="AV289" t="str">
        <f t="shared" si="126"/>
        <v>Neutral</v>
      </c>
      <c r="AW289">
        <f>survey_responses[[#This Row],[Tôi tin tưởng số tiền thuế tôi đóng sẽ được Nhà nước sử dụng hiệu quả để cải thiện dịch vụ công (y tế, đường xá...). - HUMAN-TRU3]]</f>
        <v>9</v>
      </c>
      <c r="AX289" t="str">
        <f t="shared" si="127"/>
        <v>Support</v>
      </c>
      <c r="AY289" s="32">
        <f t="shared" si="128"/>
        <v>3</v>
      </c>
      <c r="AZ289">
        <f>step3_validation[[#This Row],[AI_TRU4]]</f>
        <v>5</v>
      </c>
      <c r="BA289" t="str">
        <f t="shared" si="129"/>
        <v>Neutral</v>
      </c>
      <c r="BB289">
        <f>survey_responses[[#This Row],[Tôi thấy Nhà nước đã giải thích rõ ràng, minh bạch về lý do và mục tiêu của việc sửa đổi thuế lần này. - HUMAN-TRU4]]</f>
        <v>9</v>
      </c>
      <c r="BC289" t="str">
        <f t="shared" si="130"/>
        <v>Support</v>
      </c>
      <c r="BD289" s="32">
        <f t="shared" si="131"/>
        <v>4</v>
      </c>
      <c r="BE289">
        <f>step3_validation[[#This Row],[AI_OUT1]]</f>
        <v>6</v>
      </c>
      <c r="BF289" t="str">
        <f t="shared" si="132"/>
        <v>Neutral</v>
      </c>
      <c r="BG289">
        <f>survey_responses[[#This Row],[Sau khi xem xét các quyền lợi và nghĩa vụ, bạn có ủng hộ và tuân thủ chính sách mới hiện nay? - HUMAN-OUT1]]</f>
        <v>10</v>
      </c>
      <c r="BH289" t="str">
        <f t="shared" si="133"/>
        <v>Support</v>
      </c>
      <c r="BI289" s="32">
        <f t="shared" si="134"/>
        <v>4</v>
      </c>
    </row>
    <row r="290" spans="1:61" x14ac:dyDescent="0.45">
      <c r="A290" s="30">
        <f>step3_validation[[#This Row],[Persona_ID]]</f>
        <v>289</v>
      </c>
      <c r="B290" s="31">
        <f>step3_validation[[#This Row],[Used_Seed]]</f>
        <v>2279</v>
      </c>
      <c r="C290" t="str">
        <f>step3_validation[[#This Row],[Gender]]</f>
        <v>Nữ</v>
      </c>
      <c r="D290" t="str">
        <f>survey_responses[[#This Row],[Giới tính của bạn:]]</f>
        <v>Nữ</v>
      </c>
      <c r="E290" t="str">
        <f>step3_validation[[#This Row],[Age_Group]]</f>
        <v>30 - 39</v>
      </c>
      <c r="F290" t="str">
        <f>survey_responses[[#This Row],[Độ tuổi của bạn:]]</f>
        <v>30 - 39</v>
      </c>
      <c r="G290" t="str">
        <f>step3_validation[[#This Row],[Region]]</f>
        <v>Thành thị</v>
      </c>
      <c r="H290" t="str">
        <f>survey_responses[[#This Row],[Khu vực bạn đang sinh sống:]]</f>
        <v>Thành thị</v>
      </c>
      <c r="I290" t="str">
        <f>step3_validation[[#This Row],[Education]]</f>
        <v>Cao đẳng</v>
      </c>
      <c r="J290" t="str">
        <f>survey_responses[[#This Row],[Trình độ học vấn cao nhất:]]</f>
        <v>Cao đẳng</v>
      </c>
      <c r="K290" t="str">
        <f>step3_validation[[#This Row],[Employment]]</f>
        <v>Chính thức</v>
      </c>
      <c r="L290" t="str">
        <f>survey_responses[[#This Row],[Tình trạng việc làm chính:]]</f>
        <v>Khu vực chính thức (Có Hợp đồng lao động, đóng BHXH)</v>
      </c>
      <c r="M290">
        <f>step3_validation[[#This Row],[Income_Mil]]</f>
        <v>27.839769059456074</v>
      </c>
      <c r="N290" t="str">
        <f>survey_responses[[#This Row],[Thu nhập bình quân tháng theo Hợp đồng lao động của bạn là bao nhiêu? (Vui lòng điền tổng thu nhập trước khi khấu trừ các loại Bảo hiểm (BHXH, BHYT, BHTN) và Thuế TNCN)]]</f>
        <v>Từ 23 - 32 triệu VNĐ</v>
      </c>
      <c r="O290">
        <f>step3_validation[[#This Row],[Dependents]]</f>
        <v>1</v>
      </c>
      <c r="P290" t="str">
        <f>survey_responses[[#This Row],[Số người phụ thuộc (con nhỏ, cha mẹ già...) đủ điều kiện giảm trừ gia cảnh:]]</f>
        <v>1 người</v>
      </c>
      <c r="Q290">
        <f>step3_validation[[#This Row],[AI_ENF1]]</f>
        <v>7</v>
      </c>
      <c r="R290" t="str">
        <f t="shared" si="108"/>
        <v>Neutral</v>
      </c>
      <c r="S290">
        <f>survey_responses[[#This Row],[Tôi tin rằng với các quy định quản lý thuế hiện nay, hành vi gian lận hoặc trốn thuế sẽ dễ dàng bị phát hiện và xử lý nghiêm. - HUMAN-ENF1]]</f>
        <v>7</v>
      </c>
      <c r="T290" t="str">
        <f t="shared" si="109"/>
        <v>Neutral</v>
      </c>
      <c r="U290" s="32">
        <f t="shared" si="110"/>
        <v>0</v>
      </c>
      <c r="V290">
        <f>step3_validation[[#This Row],[AI_ENF2]]</f>
        <v>6</v>
      </c>
      <c r="W290" t="str">
        <f t="shared" si="111"/>
        <v>Neutral</v>
      </c>
      <c r="X290">
        <f>survey_responses[[#This Row],[Tôi tin rằng Nhà nước, cơ quan thuế có đủ khả năng và công nghệ để phát hiện, xử lý nghiêm các hành vi trốn thuế. - HUMAN-ENF2]]</f>
        <v>7</v>
      </c>
      <c r="Y290" t="str">
        <f t="shared" si="112"/>
        <v>Neutral</v>
      </c>
      <c r="Z290" s="32">
        <f t="shared" si="113"/>
        <v>1</v>
      </c>
      <c r="AA290">
        <f>step3_validation[[#This Row],[AI_FAC1]]</f>
        <v>4</v>
      </c>
      <c r="AB290" t="str">
        <f t="shared" si="114"/>
        <v>Oppose</v>
      </c>
      <c r="AC290">
        <f>survey_responses[[#This Row],[Các thủ tục khai báo thuế VÀ/HOẶC quy trình làm việc với cơ quan thuế đơn giản, tiện lợi, nhanh chóng hơn so với trước đây. - HUMAN-FAC1]]</f>
        <v>5</v>
      </c>
      <c r="AD290" t="str">
        <f t="shared" si="115"/>
        <v>Neutral</v>
      </c>
      <c r="AE290" s="32">
        <f t="shared" si="116"/>
        <v>1</v>
      </c>
      <c r="AF290">
        <f>step3_validation[[#This Row],[AI_FAC2]]</f>
        <v>8</v>
      </c>
      <c r="AG290" t="str">
        <f t="shared" si="117"/>
        <v>Support</v>
      </c>
      <c r="AH290">
        <f>survey_responses[[#This Row],[So với trước đây, tôi thấy cách tính thuế và các bậc thuế trong phương án mới đơn giản, dễ hiểu và dễ thực hiện hơn. - HUMAN-FAC2]]</f>
        <v>6</v>
      </c>
      <c r="AI290" t="str">
        <f t="shared" si="118"/>
        <v>Neutral</v>
      </c>
      <c r="AJ290" s="32">
        <f t="shared" si="119"/>
        <v>2</v>
      </c>
      <c r="AK290">
        <f>step3_validation[[#This Row],[AI_TRU1]]</f>
        <v>5</v>
      </c>
      <c r="AL290" t="str">
        <f t="shared" si="120"/>
        <v>Neutral</v>
      </c>
      <c r="AM290">
        <f>survey_responses[[#This Row],[Tôi tin rằng Nhà nước, cơ quan thuế sẽ thực thi chính sách mới một cách khách quan, công tâm và đối xử bình đẳng với mọi người nộp thuế.  - HUMAN-TRU1]]</f>
        <v>5</v>
      </c>
      <c r="AN290" t="str">
        <f t="shared" si="121"/>
        <v>Neutral</v>
      </c>
      <c r="AO290" s="32">
        <f t="shared" si="122"/>
        <v>0</v>
      </c>
      <c r="AP290">
        <f>step3_validation[[#This Row],[AI_TRU2]]</f>
        <v>6</v>
      </c>
      <c r="AQ290" t="str">
        <f t="shared" si="123"/>
        <v>Neutral</v>
      </c>
      <c r="AR290">
        <f>survey_responses[[#This Row],[Tôi thấy mức thuế tôi phải đóng theo phương án mới là công bằng (người thu nhập như tôi đóng mức này là hợp lý). - HUMAN-TRU2]]</f>
        <v>5</v>
      </c>
      <c r="AS290" t="str">
        <f t="shared" si="124"/>
        <v>Neutral</v>
      </c>
      <c r="AT290" s="32">
        <f t="shared" si="125"/>
        <v>1</v>
      </c>
      <c r="AU290">
        <f>step3_validation[[#This Row],[AI_TRU3]]</f>
        <v>4</v>
      </c>
      <c r="AV290" t="str">
        <f t="shared" si="126"/>
        <v>Oppose</v>
      </c>
      <c r="AW290">
        <f>survey_responses[[#This Row],[Tôi tin tưởng số tiền thuế tôi đóng sẽ được Nhà nước sử dụng hiệu quả để cải thiện dịch vụ công (y tế, đường xá...). - HUMAN-TRU3]]</f>
        <v>5</v>
      </c>
      <c r="AX290" t="str">
        <f t="shared" si="127"/>
        <v>Neutral</v>
      </c>
      <c r="AY290" s="32">
        <f t="shared" si="128"/>
        <v>1</v>
      </c>
      <c r="AZ290">
        <f>step3_validation[[#This Row],[AI_TRU4]]</f>
        <v>5</v>
      </c>
      <c r="BA290" t="str">
        <f t="shared" si="129"/>
        <v>Neutral</v>
      </c>
      <c r="BB290">
        <f>survey_responses[[#This Row],[Tôi thấy Nhà nước đã giải thích rõ ràng, minh bạch về lý do và mục tiêu của việc sửa đổi thuế lần này. - HUMAN-TRU4]]</f>
        <v>5</v>
      </c>
      <c r="BC290" t="str">
        <f t="shared" si="130"/>
        <v>Neutral</v>
      </c>
      <c r="BD290" s="32">
        <f t="shared" si="131"/>
        <v>0</v>
      </c>
      <c r="BE290">
        <f>step3_validation[[#This Row],[AI_OUT1]]</f>
        <v>7</v>
      </c>
      <c r="BF290" t="str">
        <f t="shared" si="132"/>
        <v>Neutral</v>
      </c>
      <c r="BG290">
        <f>survey_responses[[#This Row],[Sau khi xem xét các quyền lợi và nghĩa vụ, bạn có ủng hộ và tuân thủ chính sách mới hiện nay? - HUMAN-OUT1]]</f>
        <v>6</v>
      </c>
      <c r="BH290" t="str">
        <f t="shared" si="133"/>
        <v>Neutral</v>
      </c>
      <c r="BI290" s="32">
        <f t="shared" si="134"/>
        <v>1</v>
      </c>
    </row>
    <row r="291" spans="1:61" x14ac:dyDescent="0.45">
      <c r="A291" s="30">
        <f>step3_validation[[#This Row],[Persona_ID]]</f>
        <v>290</v>
      </c>
      <c r="B291" s="31">
        <f>step3_validation[[#This Row],[Used_Seed]]</f>
        <v>2280</v>
      </c>
      <c r="C291" t="str">
        <f>step3_validation[[#This Row],[Gender]]</f>
        <v>Nam</v>
      </c>
      <c r="D291" t="str">
        <f>survey_responses[[#This Row],[Giới tính của bạn:]]</f>
        <v>Nam</v>
      </c>
      <c r="E291" t="str">
        <f>step3_validation[[#This Row],[Age_Group]]</f>
        <v>30 - 39</v>
      </c>
      <c r="F291" t="str">
        <f>survey_responses[[#This Row],[Độ tuổi của bạn:]]</f>
        <v>30 - 39</v>
      </c>
      <c r="G291" t="str">
        <f>step3_validation[[#This Row],[Region]]</f>
        <v>Thành thị</v>
      </c>
      <c r="H291" t="str">
        <f>survey_responses[[#This Row],[Khu vực bạn đang sinh sống:]]</f>
        <v>Thành thị</v>
      </c>
      <c r="I291" t="str">
        <f>step3_validation[[#This Row],[Education]]</f>
        <v>Đại học</v>
      </c>
      <c r="J291" t="str">
        <f>survey_responses[[#This Row],[Trình độ học vấn cao nhất:]]</f>
        <v>Đại học</v>
      </c>
      <c r="K291" t="str">
        <f>step3_validation[[#This Row],[Employment]]</f>
        <v>Chính thức</v>
      </c>
      <c r="L291" t="str">
        <f>survey_responses[[#This Row],[Tình trạng việc làm chính:]]</f>
        <v>Khu vực chính thức (Có Hợp đồng lao động, đóng BHXH)</v>
      </c>
      <c r="M291">
        <f>step3_validation[[#This Row],[Income_Mil]]</f>
        <v>37.322422703116146</v>
      </c>
      <c r="N291" t="str">
        <f>survey_responses[[#This Row],[Thu nhập bình quân tháng theo Hợp đồng lao động của bạn là bao nhiêu? (Vui lòng điền tổng thu nhập trước khi khấu trừ các loại Bảo hiểm (BHXH, BHYT, BHTN) và Thuế TNCN)]]</f>
        <v>Từ 32 - 48 triệu VNĐ</v>
      </c>
      <c r="O291">
        <f>step3_validation[[#This Row],[Dependents]]</f>
        <v>2</v>
      </c>
      <c r="P291" t="str">
        <f>survey_responses[[#This Row],[Số người phụ thuộc (con nhỏ, cha mẹ già...) đủ điều kiện giảm trừ gia cảnh:]]</f>
        <v>2 người</v>
      </c>
      <c r="Q291">
        <f>step3_validation[[#This Row],[AI_ENF1]]</f>
        <v>7</v>
      </c>
      <c r="R291" t="str">
        <f t="shared" si="108"/>
        <v>Neutral</v>
      </c>
      <c r="S291">
        <f>survey_responses[[#This Row],[Tôi tin rằng với các quy định quản lý thuế hiện nay, hành vi gian lận hoặc trốn thuế sẽ dễ dàng bị phát hiện và xử lý nghiêm. - HUMAN-ENF1]]</f>
        <v>8</v>
      </c>
      <c r="T291" t="str">
        <f t="shared" si="109"/>
        <v>Support</v>
      </c>
      <c r="U291" s="32">
        <f t="shared" si="110"/>
        <v>1</v>
      </c>
      <c r="V291">
        <f>step3_validation[[#This Row],[AI_ENF2]]</f>
        <v>6</v>
      </c>
      <c r="W291" t="str">
        <f t="shared" si="111"/>
        <v>Neutral</v>
      </c>
      <c r="X291">
        <f>survey_responses[[#This Row],[Tôi tin rằng Nhà nước, cơ quan thuế có đủ khả năng và công nghệ để phát hiện, xử lý nghiêm các hành vi trốn thuế. - HUMAN-ENF2]]</f>
        <v>8</v>
      </c>
      <c r="Y291" t="str">
        <f t="shared" si="112"/>
        <v>Support</v>
      </c>
      <c r="Z291" s="32">
        <f t="shared" si="113"/>
        <v>2</v>
      </c>
      <c r="AA291">
        <f>step3_validation[[#This Row],[AI_FAC1]]</f>
        <v>8</v>
      </c>
      <c r="AB291" t="str">
        <f t="shared" si="114"/>
        <v>Support</v>
      </c>
      <c r="AC291">
        <f>survey_responses[[#This Row],[Các thủ tục khai báo thuế VÀ/HOẶC quy trình làm việc với cơ quan thuế đơn giản, tiện lợi, nhanh chóng hơn so với trước đây. - HUMAN-FAC1]]</f>
        <v>8</v>
      </c>
      <c r="AD291" t="str">
        <f t="shared" si="115"/>
        <v>Support</v>
      </c>
      <c r="AE291" s="32">
        <f t="shared" si="116"/>
        <v>0</v>
      </c>
      <c r="AF291">
        <f>step3_validation[[#This Row],[AI_FAC2]]</f>
        <v>9</v>
      </c>
      <c r="AG291" t="str">
        <f t="shared" si="117"/>
        <v>Support</v>
      </c>
      <c r="AH291">
        <f>survey_responses[[#This Row],[So với trước đây, tôi thấy cách tính thuế và các bậc thuế trong phương án mới đơn giản, dễ hiểu và dễ thực hiện hơn. - HUMAN-FAC2]]</f>
        <v>8</v>
      </c>
      <c r="AI291" t="str">
        <f t="shared" si="118"/>
        <v>Support</v>
      </c>
      <c r="AJ291" s="32">
        <f t="shared" si="119"/>
        <v>1</v>
      </c>
      <c r="AK291">
        <f>step3_validation[[#This Row],[AI_TRU1]]</f>
        <v>7</v>
      </c>
      <c r="AL291" t="str">
        <f t="shared" si="120"/>
        <v>Neutral</v>
      </c>
      <c r="AM291">
        <f>survey_responses[[#This Row],[Tôi tin rằng Nhà nước, cơ quan thuế sẽ thực thi chính sách mới một cách khách quan, công tâm và đối xử bình đẳng với mọi người nộp thuế.  - HUMAN-TRU1]]</f>
        <v>8</v>
      </c>
      <c r="AN291" t="str">
        <f t="shared" si="121"/>
        <v>Support</v>
      </c>
      <c r="AO291" s="32">
        <f t="shared" si="122"/>
        <v>1</v>
      </c>
      <c r="AP291">
        <f>step3_validation[[#This Row],[AI_TRU2]]</f>
        <v>8</v>
      </c>
      <c r="AQ291" t="str">
        <f t="shared" si="123"/>
        <v>Support</v>
      </c>
      <c r="AR291">
        <f>survey_responses[[#This Row],[Tôi thấy mức thuế tôi phải đóng theo phương án mới là công bằng (người thu nhập như tôi đóng mức này là hợp lý). - HUMAN-TRU2]]</f>
        <v>8</v>
      </c>
      <c r="AS291" t="str">
        <f t="shared" si="124"/>
        <v>Support</v>
      </c>
      <c r="AT291" s="32">
        <f t="shared" si="125"/>
        <v>0</v>
      </c>
      <c r="AU291">
        <f>step3_validation[[#This Row],[AI_TRU3]]</f>
        <v>6</v>
      </c>
      <c r="AV291" t="str">
        <f t="shared" si="126"/>
        <v>Neutral</v>
      </c>
      <c r="AW291">
        <f>survey_responses[[#This Row],[Tôi tin tưởng số tiền thuế tôi đóng sẽ được Nhà nước sử dụng hiệu quả để cải thiện dịch vụ công (y tế, đường xá...). - HUMAN-TRU3]]</f>
        <v>8</v>
      </c>
      <c r="AX291" t="str">
        <f t="shared" si="127"/>
        <v>Support</v>
      </c>
      <c r="AY291" s="32">
        <f t="shared" si="128"/>
        <v>2</v>
      </c>
      <c r="AZ291">
        <f>step3_validation[[#This Row],[AI_TRU4]]</f>
        <v>5</v>
      </c>
      <c r="BA291" t="str">
        <f t="shared" si="129"/>
        <v>Neutral</v>
      </c>
      <c r="BB291">
        <f>survey_responses[[#This Row],[Tôi thấy Nhà nước đã giải thích rõ ràng, minh bạch về lý do và mục tiêu của việc sửa đổi thuế lần này. - HUMAN-TRU4]]</f>
        <v>8</v>
      </c>
      <c r="BC291" t="str">
        <f t="shared" si="130"/>
        <v>Support</v>
      </c>
      <c r="BD291" s="32">
        <f t="shared" si="131"/>
        <v>3</v>
      </c>
      <c r="BE291">
        <f>step3_validation[[#This Row],[AI_OUT1]]</f>
        <v>8</v>
      </c>
      <c r="BF291" t="str">
        <f t="shared" si="132"/>
        <v>Support</v>
      </c>
      <c r="BG291">
        <f>survey_responses[[#This Row],[Sau khi xem xét các quyền lợi và nghĩa vụ, bạn có ủng hộ và tuân thủ chính sách mới hiện nay? - HUMAN-OUT1]]</f>
        <v>8</v>
      </c>
      <c r="BH291" t="str">
        <f t="shared" si="133"/>
        <v>Support</v>
      </c>
      <c r="BI291" s="32">
        <f t="shared" si="134"/>
        <v>0</v>
      </c>
    </row>
    <row r="292" spans="1:61" x14ac:dyDescent="0.45">
      <c r="A292" s="30">
        <f>step3_validation[[#This Row],[Persona_ID]]</f>
        <v>291</v>
      </c>
      <c r="B292" s="31">
        <f>step3_validation[[#This Row],[Used_Seed]]</f>
        <v>2281</v>
      </c>
      <c r="C292" t="str">
        <f>step3_validation[[#This Row],[Gender]]</f>
        <v>Nam</v>
      </c>
      <c r="D292" t="str">
        <f>survey_responses[[#This Row],[Giới tính của bạn:]]</f>
        <v>Nam</v>
      </c>
      <c r="E292" t="str">
        <f>step3_validation[[#This Row],[Age_Group]]</f>
        <v>25 - 29</v>
      </c>
      <c r="F292" t="str">
        <f>survey_responses[[#This Row],[Độ tuổi của bạn:]]</f>
        <v>25 - 29</v>
      </c>
      <c r="G292" t="str">
        <f>step3_validation[[#This Row],[Region]]</f>
        <v>Thành thị</v>
      </c>
      <c r="H292" t="str">
        <f>survey_responses[[#This Row],[Khu vực bạn đang sinh sống:]]</f>
        <v>Thành thị</v>
      </c>
      <c r="I292" t="str">
        <f>step3_validation[[#This Row],[Education]]</f>
        <v>Đại học</v>
      </c>
      <c r="J292" t="str">
        <f>survey_responses[[#This Row],[Trình độ học vấn cao nhất:]]</f>
        <v>Đại học</v>
      </c>
      <c r="K292" t="str">
        <f>step3_validation[[#This Row],[Employment]]</f>
        <v>Chính thức</v>
      </c>
      <c r="L292" t="str">
        <f>survey_responses[[#This Row],[Tình trạng việc làm chính:]]</f>
        <v>Khu vực chính thức (Có Hợp đồng lao động, đóng BHXH)</v>
      </c>
      <c r="M292">
        <f>step3_validation[[#This Row],[Income_Mil]]</f>
        <v>53.096133340729381</v>
      </c>
      <c r="N292" t="str">
        <f>survey_responses[[#This Row],[Thu nhập bình quân tháng theo Hợp đồng lao động của bạn là bao nhiêu? (Vui lòng điền tổng thu nhập trước khi khấu trừ các loại Bảo hiểm (BHXH, BHYT, BHTN) và Thuế TNCN)]]</f>
        <v>Từ 48 - 70 triệu VNĐ</v>
      </c>
      <c r="O292">
        <f>step3_validation[[#This Row],[Dependents]]</f>
        <v>2</v>
      </c>
      <c r="P292" t="str">
        <f>survey_responses[[#This Row],[Số người phụ thuộc (con nhỏ, cha mẹ già...) đủ điều kiện giảm trừ gia cảnh:]]</f>
        <v>2 người</v>
      </c>
      <c r="Q292">
        <f>step3_validation[[#This Row],[AI_ENF1]]</f>
        <v>8</v>
      </c>
      <c r="R292" t="str">
        <f t="shared" si="108"/>
        <v>Support</v>
      </c>
      <c r="S292">
        <f>survey_responses[[#This Row],[Tôi tin rằng với các quy định quản lý thuế hiện nay, hành vi gian lận hoặc trốn thuế sẽ dễ dàng bị phát hiện và xử lý nghiêm. - HUMAN-ENF1]]</f>
        <v>9</v>
      </c>
      <c r="T292" t="str">
        <f t="shared" si="109"/>
        <v>Support</v>
      </c>
      <c r="U292" s="32">
        <f t="shared" si="110"/>
        <v>1</v>
      </c>
      <c r="V292">
        <f>step3_validation[[#This Row],[AI_ENF2]]</f>
        <v>7</v>
      </c>
      <c r="W292" t="str">
        <f t="shared" si="111"/>
        <v>Neutral</v>
      </c>
      <c r="X292">
        <f>survey_responses[[#This Row],[Tôi tin rằng Nhà nước, cơ quan thuế có đủ khả năng và công nghệ để phát hiện, xử lý nghiêm các hành vi trốn thuế. - HUMAN-ENF2]]</f>
        <v>9</v>
      </c>
      <c r="Y292" t="str">
        <f t="shared" si="112"/>
        <v>Support</v>
      </c>
      <c r="Z292" s="32">
        <f t="shared" si="113"/>
        <v>2</v>
      </c>
      <c r="AA292">
        <f>step3_validation[[#This Row],[AI_FAC1]]</f>
        <v>6</v>
      </c>
      <c r="AB292" t="str">
        <f t="shared" si="114"/>
        <v>Neutral</v>
      </c>
      <c r="AC292">
        <f>survey_responses[[#This Row],[Các thủ tục khai báo thuế VÀ/HOẶC quy trình làm việc với cơ quan thuế đơn giản, tiện lợi, nhanh chóng hơn so với trước đây. - HUMAN-FAC1]]</f>
        <v>3</v>
      </c>
      <c r="AD292" t="str">
        <f t="shared" si="115"/>
        <v>Oppose</v>
      </c>
      <c r="AE292" s="32">
        <f t="shared" si="116"/>
        <v>3</v>
      </c>
      <c r="AF292">
        <f>step3_validation[[#This Row],[AI_FAC2]]</f>
        <v>8</v>
      </c>
      <c r="AG292" t="str">
        <f t="shared" si="117"/>
        <v>Support</v>
      </c>
      <c r="AH292">
        <f>survey_responses[[#This Row],[So với trước đây, tôi thấy cách tính thuế và các bậc thuế trong phương án mới đơn giản, dễ hiểu và dễ thực hiện hơn. - HUMAN-FAC2]]</f>
        <v>10</v>
      </c>
      <c r="AI292" t="str">
        <f t="shared" si="118"/>
        <v>Support</v>
      </c>
      <c r="AJ292" s="32">
        <f t="shared" si="119"/>
        <v>2</v>
      </c>
      <c r="AK292">
        <f>step3_validation[[#This Row],[AI_TRU1]]</f>
        <v>9</v>
      </c>
      <c r="AL292" t="str">
        <f t="shared" si="120"/>
        <v>Support</v>
      </c>
      <c r="AM292">
        <f>survey_responses[[#This Row],[Tôi tin rằng Nhà nước, cơ quan thuế sẽ thực thi chính sách mới một cách khách quan, công tâm và đối xử bình đẳng với mọi người nộp thuế.  - HUMAN-TRU1]]</f>
        <v>8</v>
      </c>
      <c r="AN292" t="str">
        <f t="shared" si="121"/>
        <v>Support</v>
      </c>
      <c r="AO292" s="32">
        <f t="shared" si="122"/>
        <v>1</v>
      </c>
      <c r="AP292">
        <f>step3_validation[[#This Row],[AI_TRU2]]</f>
        <v>8</v>
      </c>
      <c r="AQ292" t="str">
        <f t="shared" si="123"/>
        <v>Support</v>
      </c>
      <c r="AR292">
        <f>survey_responses[[#This Row],[Tôi thấy mức thuế tôi phải đóng theo phương án mới là công bằng (người thu nhập như tôi đóng mức này là hợp lý). - HUMAN-TRU2]]</f>
        <v>8</v>
      </c>
      <c r="AS292" t="str">
        <f t="shared" si="124"/>
        <v>Support</v>
      </c>
      <c r="AT292" s="32">
        <f t="shared" si="125"/>
        <v>0</v>
      </c>
      <c r="AU292">
        <f>step3_validation[[#This Row],[AI_TRU3]]</f>
        <v>7</v>
      </c>
      <c r="AV292" t="str">
        <f t="shared" si="126"/>
        <v>Neutral</v>
      </c>
      <c r="AW292">
        <f>survey_responses[[#This Row],[Tôi tin tưởng số tiền thuế tôi đóng sẽ được Nhà nước sử dụng hiệu quả để cải thiện dịch vụ công (y tế, đường xá...). - HUMAN-TRU3]]</f>
        <v>6</v>
      </c>
      <c r="AX292" t="str">
        <f t="shared" si="127"/>
        <v>Neutral</v>
      </c>
      <c r="AY292" s="32">
        <f t="shared" si="128"/>
        <v>1</v>
      </c>
      <c r="AZ292">
        <f>step3_validation[[#This Row],[AI_TRU4]]</f>
        <v>9</v>
      </c>
      <c r="BA292" t="str">
        <f t="shared" si="129"/>
        <v>Support</v>
      </c>
      <c r="BB292">
        <f>survey_responses[[#This Row],[Tôi thấy Nhà nước đã giải thích rõ ràng, minh bạch về lý do và mục tiêu của việc sửa đổi thuế lần này. - HUMAN-TRU4]]</f>
        <v>8</v>
      </c>
      <c r="BC292" t="str">
        <f t="shared" si="130"/>
        <v>Support</v>
      </c>
      <c r="BD292" s="32">
        <f t="shared" si="131"/>
        <v>1</v>
      </c>
      <c r="BE292">
        <f>step3_validation[[#This Row],[AI_OUT1]]</f>
        <v>6</v>
      </c>
      <c r="BF292" t="str">
        <f t="shared" si="132"/>
        <v>Neutral</v>
      </c>
      <c r="BG292">
        <f>survey_responses[[#This Row],[Sau khi xem xét các quyền lợi và nghĩa vụ, bạn có ủng hộ và tuân thủ chính sách mới hiện nay? - HUMAN-OUT1]]</f>
        <v>8</v>
      </c>
      <c r="BH292" t="str">
        <f t="shared" si="133"/>
        <v>Support</v>
      </c>
      <c r="BI292" s="32">
        <f t="shared" si="134"/>
        <v>2</v>
      </c>
    </row>
    <row r="293" spans="1:61" x14ac:dyDescent="0.45">
      <c r="A293" s="30">
        <f>step3_validation[[#This Row],[Persona_ID]]</f>
        <v>292</v>
      </c>
      <c r="B293" s="31">
        <f>step3_validation[[#This Row],[Used_Seed]]</f>
        <v>2282</v>
      </c>
      <c r="C293" t="str">
        <f>step3_validation[[#This Row],[Gender]]</f>
        <v>Nữ</v>
      </c>
      <c r="D293" t="str">
        <f>survey_responses[[#This Row],[Giới tính của bạn:]]</f>
        <v>Nữ</v>
      </c>
      <c r="E293" t="str">
        <f>step3_validation[[#This Row],[Age_Group]]</f>
        <v>55 - 64</v>
      </c>
      <c r="F293" t="str">
        <f>survey_responses[[#This Row],[Độ tuổi của bạn:]]</f>
        <v>55 - 64</v>
      </c>
      <c r="G293" t="str">
        <f>step3_validation[[#This Row],[Region]]</f>
        <v>Thành thị</v>
      </c>
      <c r="H293" t="str">
        <f>survey_responses[[#This Row],[Khu vực bạn đang sinh sống:]]</f>
        <v>Thành thị</v>
      </c>
      <c r="I293" t="str">
        <f>step3_validation[[#This Row],[Education]]</f>
        <v>Sau Đại học</v>
      </c>
      <c r="J293" t="str">
        <f>survey_responses[[#This Row],[Trình độ học vấn cao nhất:]]</f>
        <v>Sau Đại học</v>
      </c>
      <c r="K293" t="str">
        <f>step3_validation[[#This Row],[Employment]]</f>
        <v>Phi chính thức</v>
      </c>
      <c r="L293" t="str">
        <f>survey_responses[[#This Row],[Tình trạng việc làm chính:]]</f>
        <v>Khác (Về hưu, nội trợ, sinh viên)</v>
      </c>
      <c r="M293">
        <f>step3_validation[[#This Row],[Income_Mil]]</f>
        <v>56.405672353240703</v>
      </c>
      <c r="N293" t="str">
        <f>survey_responses[[#This Row],[Thu nhập bình quân tháng theo Hợp đồng lao động của bạn là bao nhiêu? (Vui lòng điền tổng thu nhập trước khi khấu trừ các loại Bảo hiểm (BHXH, BHYT, BHTN) và Thuế TNCN)]]</f>
        <v>Từ 48 - 70 triệu VNĐ</v>
      </c>
      <c r="O293">
        <f>step3_validation[[#This Row],[Dependents]]</f>
        <v>2</v>
      </c>
      <c r="P293" t="str">
        <f>survey_responses[[#This Row],[Số người phụ thuộc (con nhỏ, cha mẹ già...) đủ điều kiện giảm trừ gia cảnh:]]</f>
        <v>2 người</v>
      </c>
      <c r="Q293">
        <f>step3_validation[[#This Row],[AI_ENF1]]</f>
        <v>6</v>
      </c>
      <c r="R293" t="str">
        <f t="shared" si="108"/>
        <v>Neutral</v>
      </c>
      <c r="S293">
        <f>survey_responses[[#This Row],[Tôi tin rằng với các quy định quản lý thuế hiện nay, hành vi gian lận hoặc trốn thuế sẽ dễ dàng bị phát hiện và xử lý nghiêm. - HUMAN-ENF1]]</f>
        <v>6</v>
      </c>
      <c r="T293" t="str">
        <f t="shared" si="109"/>
        <v>Neutral</v>
      </c>
      <c r="U293" s="32">
        <f t="shared" si="110"/>
        <v>0</v>
      </c>
      <c r="V293">
        <f>step3_validation[[#This Row],[AI_ENF2]]</f>
        <v>7</v>
      </c>
      <c r="W293" t="str">
        <f t="shared" si="111"/>
        <v>Neutral</v>
      </c>
      <c r="X293">
        <f>survey_responses[[#This Row],[Tôi tin rằng Nhà nước, cơ quan thuế có đủ khả năng và công nghệ để phát hiện, xử lý nghiêm các hành vi trốn thuế. - HUMAN-ENF2]]</f>
        <v>6</v>
      </c>
      <c r="Y293" t="str">
        <f t="shared" si="112"/>
        <v>Neutral</v>
      </c>
      <c r="Z293" s="32">
        <f t="shared" si="113"/>
        <v>1</v>
      </c>
      <c r="AA293">
        <f>step3_validation[[#This Row],[AI_FAC1]]</f>
        <v>8</v>
      </c>
      <c r="AB293" t="str">
        <f t="shared" si="114"/>
        <v>Support</v>
      </c>
      <c r="AC293">
        <f>survey_responses[[#This Row],[Các thủ tục khai báo thuế VÀ/HOẶC quy trình làm việc với cơ quan thuế đơn giản, tiện lợi, nhanh chóng hơn so với trước đây. - HUMAN-FAC1]]</f>
        <v>1</v>
      </c>
      <c r="AD293" t="str">
        <f t="shared" si="115"/>
        <v>Oppose</v>
      </c>
      <c r="AE293" s="32">
        <f t="shared" si="116"/>
        <v>7</v>
      </c>
      <c r="AF293">
        <f>step3_validation[[#This Row],[AI_FAC2]]</f>
        <v>7</v>
      </c>
      <c r="AG293" t="str">
        <f t="shared" si="117"/>
        <v>Neutral</v>
      </c>
      <c r="AH293">
        <f>survey_responses[[#This Row],[So với trước đây, tôi thấy cách tính thuế và các bậc thuế trong phương án mới đơn giản, dễ hiểu và dễ thực hiện hơn. - HUMAN-FAC2]]</f>
        <v>6</v>
      </c>
      <c r="AI293" t="str">
        <f t="shared" si="118"/>
        <v>Neutral</v>
      </c>
      <c r="AJ293" s="32">
        <f t="shared" si="119"/>
        <v>1</v>
      </c>
      <c r="AK293">
        <f>step3_validation[[#This Row],[AI_TRU1]]</f>
        <v>6</v>
      </c>
      <c r="AL293" t="str">
        <f t="shared" si="120"/>
        <v>Neutral</v>
      </c>
      <c r="AM293">
        <f>survey_responses[[#This Row],[Tôi tin rằng Nhà nước, cơ quan thuế sẽ thực thi chính sách mới một cách khách quan, công tâm và đối xử bình đẳng với mọi người nộp thuế.  - HUMAN-TRU1]]</f>
        <v>5</v>
      </c>
      <c r="AN293" t="str">
        <f t="shared" si="121"/>
        <v>Neutral</v>
      </c>
      <c r="AO293" s="32">
        <f t="shared" si="122"/>
        <v>1</v>
      </c>
      <c r="AP293">
        <f>step3_validation[[#This Row],[AI_TRU2]]</f>
        <v>8</v>
      </c>
      <c r="AQ293" t="str">
        <f t="shared" si="123"/>
        <v>Support</v>
      </c>
      <c r="AR293">
        <f>survey_responses[[#This Row],[Tôi thấy mức thuế tôi phải đóng theo phương án mới là công bằng (người thu nhập như tôi đóng mức này là hợp lý). - HUMAN-TRU2]]</f>
        <v>6</v>
      </c>
      <c r="AS293" t="str">
        <f t="shared" si="124"/>
        <v>Neutral</v>
      </c>
      <c r="AT293" s="32">
        <f t="shared" si="125"/>
        <v>2</v>
      </c>
      <c r="AU293">
        <f>step3_validation[[#This Row],[AI_TRU3]]</f>
        <v>6</v>
      </c>
      <c r="AV293" t="str">
        <f t="shared" si="126"/>
        <v>Neutral</v>
      </c>
      <c r="AW293">
        <f>survey_responses[[#This Row],[Tôi tin tưởng số tiền thuế tôi đóng sẽ được Nhà nước sử dụng hiệu quả để cải thiện dịch vụ công (y tế, đường xá...). - HUMAN-TRU3]]</f>
        <v>5</v>
      </c>
      <c r="AX293" t="str">
        <f t="shared" si="127"/>
        <v>Neutral</v>
      </c>
      <c r="AY293" s="32">
        <f t="shared" si="128"/>
        <v>1</v>
      </c>
      <c r="AZ293">
        <f>step3_validation[[#This Row],[AI_TRU4]]</f>
        <v>5</v>
      </c>
      <c r="BA293" t="str">
        <f t="shared" si="129"/>
        <v>Neutral</v>
      </c>
      <c r="BB293">
        <f>survey_responses[[#This Row],[Tôi thấy Nhà nước đã giải thích rõ ràng, minh bạch về lý do và mục tiêu của việc sửa đổi thuế lần này. - HUMAN-TRU4]]</f>
        <v>6</v>
      </c>
      <c r="BC293" t="str">
        <f t="shared" si="130"/>
        <v>Neutral</v>
      </c>
      <c r="BD293" s="32">
        <f t="shared" si="131"/>
        <v>1</v>
      </c>
      <c r="BE293">
        <f>step3_validation[[#This Row],[AI_OUT1]]</f>
        <v>7</v>
      </c>
      <c r="BF293" t="str">
        <f t="shared" si="132"/>
        <v>Neutral</v>
      </c>
      <c r="BG293">
        <f>survey_responses[[#This Row],[Sau khi xem xét các quyền lợi và nghĩa vụ, bạn có ủng hộ và tuân thủ chính sách mới hiện nay? - HUMAN-OUT1]]</f>
        <v>6</v>
      </c>
      <c r="BH293" t="str">
        <f t="shared" si="133"/>
        <v>Neutral</v>
      </c>
      <c r="BI293" s="32">
        <f t="shared" si="134"/>
        <v>1</v>
      </c>
    </row>
    <row r="294" spans="1:61" x14ac:dyDescent="0.45">
      <c r="A294" s="30">
        <f>step3_validation[[#This Row],[Persona_ID]]</f>
        <v>293</v>
      </c>
      <c r="B294" s="31">
        <f>step3_validation[[#This Row],[Used_Seed]]</f>
        <v>2283</v>
      </c>
      <c r="C294" t="str">
        <f>step3_validation[[#This Row],[Gender]]</f>
        <v>Nữ</v>
      </c>
      <c r="D294" t="str">
        <f>survey_responses[[#This Row],[Giới tính của bạn:]]</f>
        <v>Nữ</v>
      </c>
      <c r="E294" t="str">
        <f>step3_validation[[#This Row],[Age_Group]]</f>
        <v>25 - 29</v>
      </c>
      <c r="F294" t="str">
        <f>survey_responses[[#This Row],[Độ tuổi của bạn:]]</f>
        <v>25 - 29</v>
      </c>
      <c r="G294" t="str">
        <f>step3_validation[[#This Row],[Region]]</f>
        <v>Thành thị</v>
      </c>
      <c r="H294" t="str">
        <f>survey_responses[[#This Row],[Khu vực bạn đang sinh sống:]]</f>
        <v>Thành thị</v>
      </c>
      <c r="I294" t="str">
        <f>step3_validation[[#This Row],[Education]]</f>
        <v>Đại học</v>
      </c>
      <c r="J294" t="str">
        <f>survey_responses[[#This Row],[Trình độ học vấn cao nhất:]]</f>
        <v>Đại học</v>
      </c>
      <c r="K294" t="str">
        <f>step3_validation[[#This Row],[Employment]]</f>
        <v>Chính thức</v>
      </c>
      <c r="L294" t="str">
        <f>survey_responses[[#This Row],[Tình trạng việc làm chính:]]</f>
        <v>Khu vực chính thức (Có Hợp đồng lao động, đóng BHXH)</v>
      </c>
      <c r="M294">
        <f>step3_validation[[#This Row],[Income_Mil]]</f>
        <v>43.135282492584544</v>
      </c>
      <c r="N294" t="str">
        <f>survey_responses[[#This Row],[Thu nhập bình quân tháng theo Hợp đồng lao động của bạn là bao nhiêu? (Vui lòng điền tổng thu nhập trước khi khấu trừ các loại Bảo hiểm (BHXH, BHYT, BHTN) và Thuế TNCN)]]</f>
        <v>Từ 32 - 48 triệu VNĐ</v>
      </c>
      <c r="O294">
        <f>step3_validation[[#This Row],[Dependents]]</f>
        <v>1</v>
      </c>
      <c r="P294" t="str">
        <f>survey_responses[[#This Row],[Số người phụ thuộc (con nhỏ, cha mẹ già...) đủ điều kiện giảm trừ gia cảnh:]]</f>
        <v>1 người</v>
      </c>
      <c r="Q294">
        <f>step3_validation[[#This Row],[AI_ENF1]]</f>
        <v>6</v>
      </c>
      <c r="R294" t="str">
        <f t="shared" si="108"/>
        <v>Neutral</v>
      </c>
      <c r="S294">
        <f>survey_responses[[#This Row],[Tôi tin rằng với các quy định quản lý thuế hiện nay, hành vi gian lận hoặc trốn thuế sẽ dễ dàng bị phát hiện và xử lý nghiêm. - HUMAN-ENF1]]</f>
        <v>8</v>
      </c>
      <c r="T294" t="str">
        <f t="shared" si="109"/>
        <v>Support</v>
      </c>
      <c r="U294" s="32">
        <f t="shared" si="110"/>
        <v>2</v>
      </c>
      <c r="V294">
        <f>step3_validation[[#This Row],[AI_ENF2]]</f>
        <v>7</v>
      </c>
      <c r="W294" t="str">
        <f t="shared" si="111"/>
        <v>Neutral</v>
      </c>
      <c r="X294">
        <f>survey_responses[[#This Row],[Tôi tin rằng Nhà nước, cơ quan thuế có đủ khả năng và công nghệ để phát hiện, xử lý nghiêm các hành vi trốn thuế. - HUMAN-ENF2]]</f>
        <v>8</v>
      </c>
      <c r="Y294" t="str">
        <f t="shared" si="112"/>
        <v>Support</v>
      </c>
      <c r="Z294" s="32">
        <f t="shared" si="113"/>
        <v>1</v>
      </c>
      <c r="AA294">
        <f>step3_validation[[#This Row],[AI_FAC1]]</f>
        <v>8</v>
      </c>
      <c r="AB294" t="str">
        <f t="shared" si="114"/>
        <v>Support</v>
      </c>
      <c r="AC294">
        <f>survey_responses[[#This Row],[Các thủ tục khai báo thuế VÀ/HOẶC quy trình làm việc với cơ quan thuế đơn giản, tiện lợi, nhanh chóng hơn so với trước đây. - HUMAN-FAC1]]</f>
        <v>5</v>
      </c>
      <c r="AD294" t="str">
        <f t="shared" si="115"/>
        <v>Neutral</v>
      </c>
      <c r="AE294" s="32">
        <f t="shared" si="116"/>
        <v>3</v>
      </c>
      <c r="AF294">
        <f>step3_validation[[#This Row],[AI_FAC2]]</f>
        <v>7</v>
      </c>
      <c r="AG294" t="str">
        <f t="shared" si="117"/>
        <v>Neutral</v>
      </c>
      <c r="AH294">
        <f>survey_responses[[#This Row],[So với trước đây, tôi thấy cách tính thuế và các bậc thuế trong phương án mới đơn giản, dễ hiểu và dễ thực hiện hơn. - HUMAN-FAC2]]</f>
        <v>8</v>
      </c>
      <c r="AI294" t="str">
        <f t="shared" si="118"/>
        <v>Support</v>
      </c>
      <c r="AJ294" s="32">
        <f t="shared" si="119"/>
        <v>1</v>
      </c>
      <c r="AK294">
        <f>step3_validation[[#This Row],[AI_TRU1]]</f>
        <v>8</v>
      </c>
      <c r="AL294" t="str">
        <f t="shared" si="120"/>
        <v>Support</v>
      </c>
      <c r="AM294">
        <f>survey_responses[[#This Row],[Tôi tin rằng Nhà nước, cơ quan thuế sẽ thực thi chính sách mới một cách khách quan, công tâm và đối xử bình đẳng với mọi người nộp thuế.  - HUMAN-TRU1]]</f>
        <v>5</v>
      </c>
      <c r="AN294" t="str">
        <f t="shared" si="121"/>
        <v>Neutral</v>
      </c>
      <c r="AO294" s="32">
        <f t="shared" si="122"/>
        <v>3</v>
      </c>
      <c r="AP294">
        <f>step3_validation[[#This Row],[AI_TRU2]]</f>
        <v>7</v>
      </c>
      <c r="AQ294" t="str">
        <f t="shared" si="123"/>
        <v>Neutral</v>
      </c>
      <c r="AR294">
        <f>survey_responses[[#This Row],[Tôi thấy mức thuế tôi phải đóng theo phương án mới là công bằng (người thu nhập như tôi đóng mức này là hợp lý). - HUMAN-TRU2]]</f>
        <v>6</v>
      </c>
      <c r="AS294" t="str">
        <f t="shared" si="124"/>
        <v>Neutral</v>
      </c>
      <c r="AT294" s="32">
        <f t="shared" si="125"/>
        <v>1</v>
      </c>
      <c r="AU294">
        <f>step3_validation[[#This Row],[AI_TRU3]]</f>
        <v>8</v>
      </c>
      <c r="AV294" t="str">
        <f t="shared" si="126"/>
        <v>Support</v>
      </c>
      <c r="AW294">
        <f>survey_responses[[#This Row],[Tôi tin tưởng số tiền thuế tôi đóng sẽ được Nhà nước sử dụng hiệu quả để cải thiện dịch vụ công (y tế, đường xá...). - HUMAN-TRU3]]</f>
        <v>5</v>
      </c>
      <c r="AX294" t="str">
        <f t="shared" si="127"/>
        <v>Neutral</v>
      </c>
      <c r="AY294" s="32">
        <f t="shared" si="128"/>
        <v>3</v>
      </c>
      <c r="AZ294">
        <f>step3_validation[[#This Row],[AI_TRU4]]</f>
        <v>6</v>
      </c>
      <c r="BA294" t="str">
        <f t="shared" si="129"/>
        <v>Neutral</v>
      </c>
      <c r="BB294">
        <f>survey_responses[[#This Row],[Tôi thấy Nhà nước đã giải thích rõ ràng, minh bạch về lý do và mục tiêu của việc sửa đổi thuế lần này. - HUMAN-TRU4]]</f>
        <v>6</v>
      </c>
      <c r="BC294" t="str">
        <f t="shared" si="130"/>
        <v>Neutral</v>
      </c>
      <c r="BD294" s="32">
        <f t="shared" si="131"/>
        <v>0</v>
      </c>
      <c r="BE294">
        <f>step3_validation[[#This Row],[AI_OUT1]]</f>
        <v>8</v>
      </c>
      <c r="BF294" t="str">
        <f t="shared" si="132"/>
        <v>Support</v>
      </c>
      <c r="BG294">
        <f>survey_responses[[#This Row],[Sau khi xem xét các quyền lợi và nghĩa vụ, bạn có ủng hộ và tuân thủ chính sách mới hiện nay? - HUMAN-OUT1]]</f>
        <v>6</v>
      </c>
      <c r="BH294" t="str">
        <f t="shared" si="133"/>
        <v>Neutral</v>
      </c>
      <c r="BI294" s="32">
        <f t="shared" si="134"/>
        <v>2</v>
      </c>
    </row>
    <row r="295" spans="1:61" x14ac:dyDescent="0.45">
      <c r="A295" s="30">
        <f>step3_validation[[#This Row],[Persona_ID]]</f>
        <v>294</v>
      </c>
      <c r="B295" s="31">
        <f>step3_validation[[#This Row],[Used_Seed]]</f>
        <v>2284</v>
      </c>
      <c r="C295" t="str">
        <f>step3_validation[[#This Row],[Gender]]</f>
        <v>Nữ</v>
      </c>
      <c r="D295" t="str">
        <f>survey_responses[[#This Row],[Giới tính của bạn:]]</f>
        <v>Nữ</v>
      </c>
      <c r="E295" t="str">
        <f>step3_validation[[#This Row],[Age_Group]]</f>
        <v>25 - 29</v>
      </c>
      <c r="F295" t="str">
        <f>survey_responses[[#This Row],[Độ tuổi của bạn:]]</f>
        <v>25 - 29</v>
      </c>
      <c r="G295" t="str">
        <f>step3_validation[[#This Row],[Region]]</f>
        <v>Thành thị</v>
      </c>
      <c r="H295" t="str">
        <f>survey_responses[[#This Row],[Khu vực bạn đang sinh sống:]]</f>
        <v>Thành thị</v>
      </c>
      <c r="I295" t="str">
        <f>step3_validation[[#This Row],[Education]]</f>
        <v>Đại học</v>
      </c>
      <c r="J295" t="str">
        <f>survey_responses[[#This Row],[Trình độ học vấn cao nhất:]]</f>
        <v>Đại học</v>
      </c>
      <c r="K295" t="str">
        <f>step3_validation[[#This Row],[Employment]]</f>
        <v>Chính thức</v>
      </c>
      <c r="L295" t="str">
        <f>survey_responses[[#This Row],[Tình trạng việc làm chính:]]</f>
        <v>Khu vực chính thức (Có Hợp đồng lao động, đóng BHXH)</v>
      </c>
      <c r="M295">
        <f>step3_validation[[#This Row],[Income_Mil]]</f>
        <v>66.465718123118322</v>
      </c>
      <c r="N295" t="str">
        <f>survey_responses[[#This Row],[Thu nhập bình quân tháng theo Hợp đồng lao động của bạn là bao nhiêu? (Vui lòng điền tổng thu nhập trước khi khấu trừ các loại Bảo hiểm (BHXH, BHYT, BHTN) và Thuế TNCN)]]</f>
        <v>Từ 48 - 70 triệu VNĐ</v>
      </c>
      <c r="O295">
        <f>step3_validation[[#This Row],[Dependents]]</f>
        <v>3</v>
      </c>
      <c r="P295" t="str">
        <f>survey_responses[[#This Row],[Số người phụ thuộc (con nhỏ, cha mẹ già...) đủ điều kiện giảm trừ gia cảnh:]]</f>
        <v>3 người</v>
      </c>
      <c r="Q295">
        <f>step3_validation[[#This Row],[AI_ENF1]]</f>
        <v>7</v>
      </c>
      <c r="R295" t="str">
        <f t="shared" si="108"/>
        <v>Neutral</v>
      </c>
      <c r="S295">
        <f>survey_responses[[#This Row],[Tôi tin rằng với các quy định quản lý thuế hiện nay, hành vi gian lận hoặc trốn thuế sẽ dễ dàng bị phát hiện và xử lý nghiêm. - HUMAN-ENF1]]</f>
        <v>6</v>
      </c>
      <c r="T295" t="str">
        <f t="shared" si="109"/>
        <v>Neutral</v>
      </c>
      <c r="U295" s="32">
        <f t="shared" si="110"/>
        <v>1</v>
      </c>
      <c r="V295">
        <f>step3_validation[[#This Row],[AI_ENF2]]</f>
        <v>7</v>
      </c>
      <c r="W295" t="str">
        <f t="shared" si="111"/>
        <v>Neutral</v>
      </c>
      <c r="X295">
        <f>survey_responses[[#This Row],[Tôi tin rằng Nhà nước, cơ quan thuế có đủ khả năng và công nghệ để phát hiện, xử lý nghiêm các hành vi trốn thuế. - HUMAN-ENF2]]</f>
        <v>6</v>
      </c>
      <c r="Y295" t="str">
        <f t="shared" si="112"/>
        <v>Neutral</v>
      </c>
      <c r="Z295" s="32">
        <f t="shared" si="113"/>
        <v>1</v>
      </c>
      <c r="AA295">
        <f>step3_validation[[#This Row],[AI_FAC1]]</f>
        <v>8</v>
      </c>
      <c r="AB295" t="str">
        <f t="shared" si="114"/>
        <v>Support</v>
      </c>
      <c r="AC295">
        <f>survey_responses[[#This Row],[Các thủ tục khai báo thuế VÀ/HOẶC quy trình làm việc với cơ quan thuế đơn giản, tiện lợi, nhanh chóng hơn so với trước đây. - HUMAN-FAC1]]</f>
        <v>3</v>
      </c>
      <c r="AD295" t="str">
        <f t="shared" si="115"/>
        <v>Oppose</v>
      </c>
      <c r="AE295" s="32">
        <f t="shared" si="116"/>
        <v>5</v>
      </c>
      <c r="AF295">
        <f>step3_validation[[#This Row],[AI_FAC2]]</f>
        <v>9</v>
      </c>
      <c r="AG295" t="str">
        <f t="shared" si="117"/>
        <v>Support</v>
      </c>
      <c r="AH295">
        <f>survey_responses[[#This Row],[So với trước đây, tôi thấy cách tính thuế và các bậc thuế trong phương án mới đơn giản, dễ hiểu và dễ thực hiện hơn. - HUMAN-FAC2]]</f>
        <v>7</v>
      </c>
      <c r="AI295" t="str">
        <f t="shared" si="118"/>
        <v>Neutral</v>
      </c>
      <c r="AJ295" s="32">
        <f t="shared" si="119"/>
        <v>2</v>
      </c>
      <c r="AK295">
        <f>step3_validation[[#This Row],[AI_TRU1]]</f>
        <v>8</v>
      </c>
      <c r="AL295" t="str">
        <f t="shared" si="120"/>
        <v>Support</v>
      </c>
      <c r="AM295">
        <f>survey_responses[[#This Row],[Tôi tin rằng Nhà nước, cơ quan thuế sẽ thực thi chính sách mới một cách khách quan, công tâm và đối xử bình đẳng với mọi người nộp thuế.  - HUMAN-TRU1]]</f>
        <v>5</v>
      </c>
      <c r="AN295" t="str">
        <f t="shared" si="121"/>
        <v>Neutral</v>
      </c>
      <c r="AO295" s="32">
        <f t="shared" si="122"/>
        <v>3</v>
      </c>
      <c r="AP295">
        <f>step3_validation[[#This Row],[AI_TRU2]]</f>
        <v>9</v>
      </c>
      <c r="AQ295" t="str">
        <f t="shared" si="123"/>
        <v>Support</v>
      </c>
      <c r="AR295">
        <f>survey_responses[[#This Row],[Tôi thấy mức thuế tôi phải đóng theo phương án mới là công bằng (người thu nhập như tôi đóng mức này là hợp lý). - HUMAN-TRU2]]</f>
        <v>6</v>
      </c>
      <c r="AS295" t="str">
        <f t="shared" si="124"/>
        <v>Neutral</v>
      </c>
      <c r="AT295" s="32">
        <f t="shared" si="125"/>
        <v>3</v>
      </c>
      <c r="AU295">
        <f>step3_validation[[#This Row],[AI_TRU3]]</f>
        <v>8</v>
      </c>
      <c r="AV295" t="str">
        <f t="shared" si="126"/>
        <v>Support</v>
      </c>
      <c r="AW295">
        <f>survey_responses[[#This Row],[Tôi tin tưởng số tiền thuế tôi đóng sẽ được Nhà nước sử dụng hiệu quả để cải thiện dịch vụ công (y tế, đường xá...). - HUMAN-TRU3]]</f>
        <v>5</v>
      </c>
      <c r="AX295" t="str">
        <f t="shared" si="127"/>
        <v>Neutral</v>
      </c>
      <c r="AY295" s="32">
        <f t="shared" si="128"/>
        <v>3</v>
      </c>
      <c r="AZ295">
        <f>step3_validation[[#This Row],[AI_TRU4]]</f>
        <v>8</v>
      </c>
      <c r="BA295" t="str">
        <f t="shared" si="129"/>
        <v>Support</v>
      </c>
      <c r="BB295">
        <f>survey_responses[[#This Row],[Tôi thấy Nhà nước đã giải thích rõ ràng, minh bạch về lý do và mục tiêu của việc sửa đổi thuế lần này. - HUMAN-TRU4]]</f>
        <v>5</v>
      </c>
      <c r="BC295" t="str">
        <f t="shared" si="130"/>
        <v>Neutral</v>
      </c>
      <c r="BD295" s="32">
        <f t="shared" si="131"/>
        <v>3</v>
      </c>
      <c r="BE295">
        <f>step3_validation[[#This Row],[AI_OUT1]]</f>
        <v>9</v>
      </c>
      <c r="BF295" t="str">
        <f t="shared" si="132"/>
        <v>Support</v>
      </c>
      <c r="BG295">
        <f>survey_responses[[#This Row],[Sau khi xem xét các quyền lợi và nghĩa vụ, bạn có ủng hộ và tuân thủ chính sách mới hiện nay? - HUMAN-OUT1]]</f>
        <v>6</v>
      </c>
      <c r="BH295" t="str">
        <f t="shared" si="133"/>
        <v>Neutral</v>
      </c>
      <c r="BI295" s="32">
        <f t="shared" si="134"/>
        <v>3</v>
      </c>
    </row>
    <row r="296" spans="1:61" x14ac:dyDescent="0.45">
      <c r="A296" s="30">
        <f>step3_validation[[#This Row],[Persona_ID]]</f>
        <v>295</v>
      </c>
      <c r="B296" s="31">
        <f>step3_validation[[#This Row],[Used_Seed]]</f>
        <v>2285</v>
      </c>
      <c r="C296" t="str">
        <f>step3_validation[[#This Row],[Gender]]</f>
        <v>Nam</v>
      </c>
      <c r="D296" t="str">
        <f>survey_responses[[#This Row],[Giới tính của bạn:]]</f>
        <v>Nam</v>
      </c>
      <c r="E296" t="str">
        <f>step3_validation[[#This Row],[Age_Group]]</f>
        <v>18 - 24</v>
      </c>
      <c r="F296" t="str">
        <f>survey_responses[[#This Row],[Độ tuổi của bạn:]]</f>
        <v>18 - 24</v>
      </c>
      <c r="G296" t="str">
        <f>step3_validation[[#This Row],[Region]]</f>
        <v>Thành thị</v>
      </c>
      <c r="H296" t="str">
        <f>survey_responses[[#This Row],[Khu vực bạn đang sinh sống:]]</f>
        <v>Thành thị</v>
      </c>
      <c r="I296" t="str">
        <f>step3_validation[[#This Row],[Education]]</f>
        <v>Đại học</v>
      </c>
      <c r="J296" t="str">
        <f>survey_responses[[#This Row],[Trình độ học vấn cao nhất:]]</f>
        <v>Đại học</v>
      </c>
      <c r="K296" t="str">
        <f>step3_validation[[#This Row],[Employment]]</f>
        <v>Chính thức</v>
      </c>
      <c r="L296" t="str">
        <f>survey_responses[[#This Row],[Tình trạng việc làm chính:]]</f>
        <v>Khu vực chính thức (Có Hợp đồng lao động, đóng BHXH)</v>
      </c>
      <c r="M296">
        <f>step3_validation[[#This Row],[Income_Mil]]</f>
        <v>24.929247288114333</v>
      </c>
      <c r="N296" t="str">
        <f>survey_responses[[#This Row],[Thu nhập bình quân tháng theo Hợp đồng lao động của bạn là bao nhiêu? (Vui lòng điền tổng thu nhập trước khi khấu trừ các loại Bảo hiểm (BHXH, BHYT, BHTN) và Thuế TNCN)]]</f>
        <v>Từ 23 - 32 triệu VNĐ</v>
      </c>
      <c r="O296">
        <f>step3_validation[[#This Row],[Dependents]]</f>
        <v>0</v>
      </c>
      <c r="P296" t="str">
        <f>survey_responses[[#This Row],[Số người phụ thuộc (con nhỏ, cha mẹ già...) đủ điều kiện giảm trừ gia cảnh:]]</f>
        <v>0 người</v>
      </c>
      <c r="Q296">
        <f>step3_validation[[#This Row],[AI_ENF1]]</f>
        <v>6</v>
      </c>
      <c r="R296" t="str">
        <f t="shared" si="108"/>
        <v>Neutral</v>
      </c>
      <c r="S296">
        <f>survey_responses[[#This Row],[Tôi tin rằng với các quy định quản lý thuế hiện nay, hành vi gian lận hoặc trốn thuế sẽ dễ dàng bị phát hiện và xử lý nghiêm. - HUMAN-ENF1]]</f>
        <v>8</v>
      </c>
      <c r="T296" t="str">
        <f t="shared" si="109"/>
        <v>Support</v>
      </c>
      <c r="U296" s="32">
        <f t="shared" si="110"/>
        <v>2</v>
      </c>
      <c r="V296">
        <f>step3_validation[[#This Row],[AI_ENF2]]</f>
        <v>8</v>
      </c>
      <c r="W296" t="str">
        <f t="shared" si="111"/>
        <v>Support</v>
      </c>
      <c r="X296">
        <f>survey_responses[[#This Row],[Tôi tin rằng Nhà nước, cơ quan thuế có đủ khả năng và công nghệ để phát hiện, xử lý nghiêm các hành vi trốn thuế. - HUMAN-ENF2]]</f>
        <v>9</v>
      </c>
      <c r="Y296" t="str">
        <f t="shared" si="112"/>
        <v>Support</v>
      </c>
      <c r="Z296" s="32">
        <f t="shared" si="113"/>
        <v>1</v>
      </c>
      <c r="AA296">
        <f>step3_validation[[#This Row],[AI_FAC1]]</f>
        <v>8</v>
      </c>
      <c r="AB296" t="str">
        <f t="shared" si="114"/>
        <v>Support</v>
      </c>
      <c r="AC296">
        <f>survey_responses[[#This Row],[Các thủ tục khai báo thuế VÀ/HOẶC quy trình làm việc với cơ quan thuế đơn giản, tiện lợi, nhanh chóng hơn so với trước đây. - HUMAN-FAC1]]</f>
        <v>9</v>
      </c>
      <c r="AD296" t="str">
        <f t="shared" si="115"/>
        <v>Support</v>
      </c>
      <c r="AE296" s="32">
        <f t="shared" si="116"/>
        <v>1</v>
      </c>
      <c r="AF296">
        <f>step3_validation[[#This Row],[AI_FAC2]]</f>
        <v>7</v>
      </c>
      <c r="AG296" t="str">
        <f t="shared" si="117"/>
        <v>Neutral</v>
      </c>
      <c r="AH296">
        <f>survey_responses[[#This Row],[So với trước đây, tôi thấy cách tính thuế và các bậc thuế trong phương án mới đơn giản, dễ hiểu và dễ thực hiện hơn. - HUMAN-FAC2]]</f>
        <v>10</v>
      </c>
      <c r="AI296" t="str">
        <f t="shared" si="118"/>
        <v>Support</v>
      </c>
      <c r="AJ296" s="32">
        <f t="shared" si="119"/>
        <v>3</v>
      </c>
      <c r="AK296">
        <f>step3_validation[[#This Row],[AI_TRU1]]</f>
        <v>5</v>
      </c>
      <c r="AL296" t="str">
        <f t="shared" si="120"/>
        <v>Neutral</v>
      </c>
      <c r="AM296">
        <f>survey_responses[[#This Row],[Tôi tin rằng Nhà nước, cơ quan thuế sẽ thực thi chính sách mới một cách khách quan, công tâm và đối xử bình đẳng với mọi người nộp thuế.  - HUMAN-TRU1]]</f>
        <v>8</v>
      </c>
      <c r="AN296" t="str">
        <f t="shared" si="121"/>
        <v>Support</v>
      </c>
      <c r="AO296" s="32">
        <f t="shared" si="122"/>
        <v>3</v>
      </c>
      <c r="AP296">
        <f>step3_validation[[#This Row],[AI_TRU2]]</f>
        <v>6</v>
      </c>
      <c r="AQ296" t="str">
        <f t="shared" si="123"/>
        <v>Neutral</v>
      </c>
      <c r="AR296">
        <f>survey_responses[[#This Row],[Tôi thấy mức thuế tôi phải đóng theo phương án mới là công bằng (người thu nhập như tôi đóng mức này là hợp lý). - HUMAN-TRU2]]</f>
        <v>8</v>
      </c>
      <c r="AS296" t="str">
        <f t="shared" si="124"/>
        <v>Support</v>
      </c>
      <c r="AT296" s="32">
        <f t="shared" si="125"/>
        <v>2</v>
      </c>
      <c r="AU296">
        <f>step3_validation[[#This Row],[AI_TRU3]]</f>
        <v>7</v>
      </c>
      <c r="AV296" t="str">
        <f t="shared" si="126"/>
        <v>Neutral</v>
      </c>
      <c r="AW296">
        <f>survey_responses[[#This Row],[Tôi tin tưởng số tiền thuế tôi đóng sẽ được Nhà nước sử dụng hiệu quả để cải thiện dịch vụ công (y tế, đường xá...). - HUMAN-TRU3]]</f>
        <v>9</v>
      </c>
      <c r="AX296" t="str">
        <f t="shared" si="127"/>
        <v>Support</v>
      </c>
      <c r="AY296" s="32">
        <f t="shared" si="128"/>
        <v>2</v>
      </c>
      <c r="AZ296">
        <f>step3_validation[[#This Row],[AI_TRU4]]</f>
        <v>5</v>
      </c>
      <c r="BA296" t="str">
        <f t="shared" si="129"/>
        <v>Neutral</v>
      </c>
      <c r="BB296">
        <f>survey_responses[[#This Row],[Tôi thấy Nhà nước đã giải thích rõ ràng, minh bạch về lý do và mục tiêu của việc sửa đổi thuế lần này. - HUMAN-TRU4]]</f>
        <v>10</v>
      </c>
      <c r="BC296" t="str">
        <f t="shared" si="130"/>
        <v>Support</v>
      </c>
      <c r="BD296" s="32">
        <f t="shared" si="131"/>
        <v>5</v>
      </c>
      <c r="BE296">
        <f>step3_validation[[#This Row],[AI_OUT1]]</f>
        <v>7</v>
      </c>
      <c r="BF296" t="str">
        <f t="shared" si="132"/>
        <v>Neutral</v>
      </c>
      <c r="BG296">
        <f>survey_responses[[#This Row],[Sau khi xem xét các quyền lợi và nghĩa vụ, bạn có ủng hộ và tuân thủ chính sách mới hiện nay? - HUMAN-OUT1]]</f>
        <v>10</v>
      </c>
      <c r="BH296" t="str">
        <f t="shared" si="133"/>
        <v>Support</v>
      </c>
      <c r="BI296" s="32">
        <f t="shared" si="134"/>
        <v>3</v>
      </c>
    </row>
    <row r="297" spans="1:61" x14ac:dyDescent="0.45">
      <c r="A297" s="30">
        <f>step3_validation[[#This Row],[Persona_ID]]</f>
        <v>296</v>
      </c>
      <c r="B297" s="31">
        <f>step3_validation[[#This Row],[Used_Seed]]</f>
        <v>2286</v>
      </c>
      <c r="C297" t="str">
        <f>step3_validation[[#This Row],[Gender]]</f>
        <v>Nam</v>
      </c>
      <c r="D297" t="str">
        <f>survey_responses[[#This Row],[Giới tính của bạn:]]</f>
        <v>Nam</v>
      </c>
      <c r="E297" t="str">
        <f>step3_validation[[#This Row],[Age_Group]]</f>
        <v>55 - 64</v>
      </c>
      <c r="F297" t="str">
        <f>survey_responses[[#This Row],[Độ tuổi của bạn:]]</f>
        <v>55 - 64</v>
      </c>
      <c r="G297" t="str">
        <f>step3_validation[[#This Row],[Region]]</f>
        <v>Thành thị</v>
      </c>
      <c r="H297" t="str">
        <f>survey_responses[[#This Row],[Khu vực bạn đang sinh sống:]]</f>
        <v>Thành thị</v>
      </c>
      <c r="I297" t="str">
        <f>step3_validation[[#This Row],[Education]]</f>
        <v>Đại học</v>
      </c>
      <c r="J297" t="str">
        <f>survey_responses[[#This Row],[Trình độ học vấn cao nhất:]]</f>
        <v>Đại học</v>
      </c>
      <c r="K297" t="str">
        <f>step3_validation[[#This Row],[Employment]]</f>
        <v>Chính thức</v>
      </c>
      <c r="L297" t="str">
        <f>survey_responses[[#This Row],[Tình trạng việc làm chính:]]</f>
        <v>Khu vực chính thức (Có Hợp đồng lao động, đóng BHXH)</v>
      </c>
      <c r="M297">
        <f>step3_validation[[#This Row],[Income_Mil]]</f>
        <v>12</v>
      </c>
      <c r="N297" t="str">
        <f>survey_responses[[#This Row],[Thu nhập bình quân tháng theo Hợp đồng lao động của bạn là bao nhiêu? (Vui lòng điền tổng thu nhập trước khi khấu trừ các loại Bảo hiểm (BHXH, BHYT, BHTN) và Thuế TNCN)]]</f>
        <v>Dưới 12 triệu VNĐ</v>
      </c>
      <c r="O297">
        <f>step3_validation[[#This Row],[Dependents]]</f>
        <v>0</v>
      </c>
      <c r="P297" t="str">
        <f>survey_responses[[#This Row],[Số người phụ thuộc (con nhỏ, cha mẹ già...) đủ điều kiện giảm trừ gia cảnh:]]</f>
        <v>0 người</v>
      </c>
      <c r="Q297">
        <f>step3_validation[[#This Row],[AI_ENF1]]</f>
        <v>7</v>
      </c>
      <c r="R297" t="str">
        <f t="shared" si="108"/>
        <v>Neutral</v>
      </c>
      <c r="S297">
        <f>survey_responses[[#This Row],[Tôi tin rằng với các quy định quản lý thuế hiện nay, hành vi gian lận hoặc trốn thuế sẽ dễ dàng bị phát hiện và xử lý nghiêm. - HUMAN-ENF1]]</f>
        <v>7</v>
      </c>
      <c r="T297" t="str">
        <f t="shared" si="109"/>
        <v>Neutral</v>
      </c>
      <c r="U297" s="32">
        <f t="shared" si="110"/>
        <v>0</v>
      </c>
      <c r="V297">
        <f>step3_validation[[#This Row],[AI_ENF2]]</f>
        <v>8</v>
      </c>
      <c r="W297" t="str">
        <f t="shared" si="111"/>
        <v>Support</v>
      </c>
      <c r="X297">
        <f>survey_responses[[#This Row],[Tôi tin rằng Nhà nước, cơ quan thuế có đủ khả năng và công nghệ để phát hiện, xử lý nghiêm các hành vi trốn thuế. - HUMAN-ENF2]]</f>
        <v>7</v>
      </c>
      <c r="Y297" t="str">
        <f t="shared" si="112"/>
        <v>Neutral</v>
      </c>
      <c r="Z297" s="32">
        <f t="shared" si="113"/>
        <v>1</v>
      </c>
      <c r="AA297">
        <f>step3_validation[[#This Row],[AI_FAC1]]</f>
        <v>9</v>
      </c>
      <c r="AB297" t="str">
        <f t="shared" si="114"/>
        <v>Support</v>
      </c>
      <c r="AC297">
        <f>survey_responses[[#This Row],[Các thủ tục khai báo thuế VÀ/HOẶC quy trình làm việc với cơ quan thuế đơn giản, tiện lợi, nhanh chóng hơn so với trước đây. - HUMAN-FAC1]]</f>
        <v>6</v>
      </c>
      <c r="AD297" t="str">
        <f t="shared" si="115"/>
        <v>Neutral</v>
      </c>
      <c r="AE297" s="32">
        <f t="shared" si="116"/>
        <v>3</v>
      </c>
      <c r="AF297">
        <f>step3_validation[[#This Row],[AI_FAC2]]</f>
        <v>8</v>
      </c>
      <c r="AG297" t="str">
        <f t="shared" si="117"/>
        <v>Support</v>
      </c>
      <c r="AH297">
        <f>survey_responses[[#This Row],[So với trước đây, tôi thấy cách tính thuế và các bậc thuế trong phương án mới đơn giản, dễ hiểu và dễ thực hiện hơn. - HUMAN-FAC2]]</f>
        <v>7</v>
      </c>
      <c r="AI297" t="str">
        <f t="shared" si="118"/>
        <v>Neutral</v>
      </c>
      <c r="AJ297" s="32">
        <f t="shared" si="119"/>
        <v>1</v>
      </c>
      <c r="AK297">
        <f>step3_validation[[#This Row],[AI_TRU1]]</f>
        <v>6</v>
      </c>
      <c r="AL297" t="str">
        <f t="shared" si="120"/>
        <v>Neutral</v>
      </c>
      <c r="AM297">
        <f>survey_responses[[#This Row],[Tôi tin rằng Nhà nước, cơ quan thuế sẽ thực thi chính sách mới một cách khách quan, công tâm và đối xử bình đẳng với mọi người nộp thuế.  - HUMAN-TRU1]]</f>
        <v>7</v>
      </c>
      <c r="AN297" t="str">
        <f t="shared" si="121"/>
        <v>Neutral</v>
      </c>
      <c r="AO297" s="32">
        <f t="shared" si="122"/>
        <v>1</v>
      </c>
      <c r="AP297">
        <f>step3_validation[[#This Row],[AI_TRU2]]</f>
        <v>7</v>
      </c>
      <c r="AQ297" t="str">
        <f t="shared" si="123"/>
        <v>Neutral</v>
      </c>
      <c r="AR297">
        <f>survey_responses[[#This Row],[Tôi thấy mức thuế tôi phải đóng theo phương án mới là công bằng (người thu nhập như tôi đóng mức này là hợp lý). - HUMAN-TRU2]]</f>
        <v>1</v>
      </c>
      <c r="AS297" t="str">
        <f t="shared" si="124"/>
        <v>Oppose</v>
      </c>
      <c r="AT297" s="32">
        <f t="shared" si="125"/>
        <v>6</v>
      </c>
      <c r="AU297">
        <f>step3_validation[[#This Row],[AI_TRU3]]</f>
        <v>6</v>
      </c>
      <c r="AV297" t="str">
        <f t="shared" si="126"/>
        <v>Neutral</v>
      </c>
      <c r="AW297">
        <f>survey_responses[[#This Row],[Tôi tin tưởng số tiền thuế tôi đóng sẽ được Nhà nước sử dụng hiệu quả để cải thiện dịch vụ công (y tế, đường xá...). - HUMAN-TRU3]]</f>
        <v>5</v>
      </c>
      <c r="AX297" t="str">
        <f t="shared" si="127"/>
        <v>Neutral</v>
      </c>
      <c r="AY297" s="32">
        <f t="shared" si="128"/>
        <v>1</v>
      </c>
      <c r="AZ297">
        <f>step3_validation[[#This Row],[AI_TRU4]]</f>
        <v>5</v>
      </c>
      <c r="BA297" t="str">
        <f t="shared" si="129"/>
        <v>Neutral</v>
      </c>
      <c r="BB297">
        <f>survey_responses[[#This Row],[Tôi thấy Nhà nước đã giải thích rõ ràng, minh bạch về lý do và mục tiêu của việc sửa đổi thuế lần này. - HUMAN-TRU4]]</f>
        <v>7</v>
      </c>
      <c r="BC297" t="str">
        <f t="shared" si="130"/>
        <v>Neutral</v>
      </c>
      <c r="BD297" s="32">
        <f t="shared" si="131"/>
        <v>2</v>
      </c>
      <c r="BE297">
        <f>step3_validation[[#This Row],[AI_OUT1]]</f>
        <v>7</v>
      </c>
      <c r="BF297" t="str">
        <f t="shared" si="132"/>
        <v>Neutral</v>
      </c>
      <c r="BG297">
        <f>survey_responses[[#This Row],[Sau khi xem xét các quyền lợi và nghĩa vụ, bạn có ủng hộ và tuân thủ chính sách mới hiện nay? - HUMAN-OUT1]]</f>
        <v>7</v>
      </c>
      <c r="BH297" t="str">
        <f t="shared" si="133"/>
        <v>Neutral</v>
      </c>
      <c r="BI297" s="32">
        <f t="shared" si="134"/>
        <v>0</v>
      </c>
    </row>
    <row r="298" spans="1:61" x14ac:dyDescent="0.45">
      <c r="A298" s="30">
        <f>step3_validation[[#This Row],[Persona_ID]]</f>
        <v>297</v>
      </c>
      <c r="B298" s="31">
        <f>step3_validation[[#This Row],[Used_Seed]]</f>
        <v>2287</v>
      </c>
      <c r="C298" t="str">
        <f>step3_validation[[#This Row],[Gender]]</f>
        <v>Nữ</v>
      </c>
      <c r="D298" t="str">
        <f>survey_responses[[#This Row],[Giới tính của bạn:]]</f>
        <v>Nữ</v>
      </c>
      <c r="E298" t="str">
        <f>step3_validation[[#This Row],[Age_Group]]</f>
        <v>30 - 39</v>
      </c>
      <c r="F298" t="str">
        <f>survey_responses[[#This Row],[Độ tuổi của bạn:]]</f>
        <v>30 - 39</v>
      </c>
      <c r="G298" t="str">
        <f>step3_validation[[#This Row],[Region]]</f>
        <v>Thành thị</v>
      </c>
      <c r="H298" t="str">
        <f>survey_responses[[#This Row],[Khu vực bạn đang sinh sống:]]</f>
        <v>Thành thị</v>
      </c>
      <c r="I298" t="str">
        <f>step3_validation[[#This Row],[Education]]</f>
        <v>Đại học</v>
      </c>
      <c r="J298" t="str">
        <f>survey_responses[[#This Row],[Trình độ học vấn cao nhất:]]</f>
        <v>Đại học</v>
      </c>
      <c r="K298" t="str">
        <f>step3_validation[[#This Row],[Employment]]</f>
        <v>Chính thức</v>
      </c>
      <c r="L298" t="str">
        <f>survey_responses[[#This Row],[Tình trạng việc làm chính:]]</f>
        <v>Khu vực chính thức (Có Hợp đồng lao động, đóng BHXH)</v>
      </c>
      <c r="M298">
        <f>step3_validation[[#This Row],[Income_Mil]]</f>
        <v>48.27742925304392</v>
      </c>
      <c r="N298" t="str">
        <f>survey_responses[[#This Row],[Thu nhập bình quân tháng theo Hợp đồng lao động của bạn là bao nhiêu? (Vui lòng điền tổng thu nhập trước khi khấu trừ các loại Bảo hiểm (BHXH, BHYT, BHTN) và Thuế TNCN)]]</f>
        <v>Từ 48 - 70 triệu VNĐ</v>
      </c>
      <c r="O298">
        <f>step3_validation[[#This Row],[Dependents]]</f>
        <v>2</v>
      </c>
      <c r="P298" t="str">
        <f>survey_responses[[#This Row],[Số người phụ thuộc (con nhỏ, cha mẹ già...) đủ điều kiện giảm trừ gia cảnh:]]</f>
        <v>2 người</v>
      </c>
      <c r="Q298">
        <f>step3_validation[[#This Row],[AI_ENF1]]</f>
        <v>7</v>
      </c>
      <c r="R298" t="str">
        <f t="shared" si="108"/>
        <v>Neutral</v>
      </c>
      <c r="S298">
        <f>survey_responses[[#This Row],[Tôi tin rằng với các quy định quản lý thuế hiện nay, hành vi gian lận hoặc trốn thuế sẽ dễ dàng bị phát hiện và xử lý nghiêm. - HUMAN-ENF1]]</f>
        <v>5</v>
      </c>
      <c r="T298" t="str">
        <f t="shared" si="109"/>
        <v>Neutral</v>
      </c>
      <c r="U298" s="32">
        <f t="shared" si="110"/>
        <v>2</v>
      </c>
      <c r="V298">
        <f>step3_validation[[#This Row],[AI_ENF2]]</f>
        <v>6</v>
      </c>
      <c r="W298" t="str">
        <f t="shared" si="111"/>
        <v>Neutral</v>
      </c>
      <c r="X298">
        <f>survey_responses[[#This Row],[Tôi tin rằng Nhà nước, cơ quan thuế có đủ khả năng và công nghệ để phát hiện, xử lý nghiêm các hành vi trốn thuế. - HUMAN-ENF2]]</f>
        <v>10</v>
      </c>
      <c r="Y298" t="str">
        <f t="shared" si="112"/>
        <v>Support</v>
      </c>
      <c r="Z298" s="32">
        <f t="shared" si="113"/>
        <v>4</v>
      </c>
      <c r="AA298">
        <f>step3_validation[[#This Row],[AI_FAC1]]</f>
        <v>8</v>
      </c>
      <c r="AB298" t="str">
        <f t="shared" si="114"/>
        <v>Support</v>
      </c>
      <c r="AC298">
        <f>survey_responses[[#This Row],[Các thủ tục khai báo thuế VÀ/HOẶC quy trình làm việc với cơ quan thuế đơn giản, tiện lợi, nhanh chóng hơn so với trước đây. - HUMAN-FAC1]]</f>
        <v>5</v>
      </c>
      <c r="AD298" t="str">
        <f t="shared" si="115"/>
        <v>Neutral</v>
      </c>
      <c r="AE298" s="32">
        <f t="shared" si="116"/>
        <v>3</v>
      </c>
      <c r="AF298">
        <f>step3_validation[[#This Row],[AI_FAC2]]</f>
        <v>9</v>
      </c>
      <c r="AG298" t="str">
        <f t="shared" si="117"/>
        <v>Support</v>
      </c>
      <c r="AH298">
        <f>survey_responses[[#This Row],[So với trước đây, tôi thấy cách tính thuế và các bậc thuế trong phương án mới đơn giản, dễ hiểu và dễ thực hiện hơn. - HUMAN-FAC2]]</f>
        <v>5</v>
      </c>
      <c r="AI298" t="str">
        <f t="shared" si="118"/>
        <v>Neutral</v>
      </c>
      <c r="AJ298" s="32">
        <f t="shared" si="119"/>
        <v>4</v>
      </c>
      <c r="AK298">
        <f>step3_validation[[#This Row],[AI_TRU1]]</f>
        <v>7</v>
      </c>
      <c r="AL298" t="str">
        <f t="shared" si="120"/>
        <v>Neutral</v>
      </c>
      <c r="AM298">
        <f>survey_responses[[#This Row],[Tôi tin rằng Nhà nước, cơ quan thuế sẽ thực thi chính sách mới một cách khách quan, công tâm và đối xử bình đẳng với mọi người nộp thuế.  - HUMAN-TRU1]]</f>
        <v>2</v>
      </c>
      <c r="AN298" t="str">
        <f t="shared" si="121"/>
        <v>Oppose</v>
      </c>
      <c r="AO298" s="32">
        <f t="shared" si="122"/>
        <v>5</v>
      </c>
      <c r="AP298">
        <f>step3_validation[[#This Row],[AI_TRU2]]</f>
        <v>8</v>
      </c>
      <c r="AQ298" t="str">
        <f t="shared" si="123"/>
        <v>Support</v>
      </c>
      <c r="AR298">
        <f>survey_responses[[#This Row],[Tôi thấy mức thuế tôi phải đóng theo phương án mới là công bằng (người thu nhập như tôi đóng mức này là hợp lý). - HUMAN-TRU2]]</f>
        <v>3</v>
      </c>
      <c r="AS298" t="str">
        <f t="shared" si="124"/>
        <v>Oppose</v>
      </c>
      <c r="AT298" s="32">
        <f t="shared" si="125"/>
        <v>5</v>
      </c>
      <c r="AU298">
        <f>step3_validation[[#This Row],[AI_TRU3]]</f>
        <v>7</v>
      </c>
      <c r="AV298" t="str">
        <f t="shared" si="126"/>
        <v>Neutral</v>
      </c>
      <c r="AW298">
        <f>survey_responses[[#This Row],[Tôi tin tưởng số tiền thuế tôi đóng sẽ được Nhà nước sử dụng hiệu quả để cải thiện dịch vụ công (y tế, đường xá...). - HUMAN-TRU3]]</f>
        <v>2</v>
      </c>
      <c r="AX298" t="str">
        <f t="shared" si="127"/>
        <v>Oppose</v>
      </c>
      <c r="AY298" s="32">
        <f t="shared" si="128"/>
        <v>5</v>
      </c>
      <c r="AZ298">
        <f>step3_validation[[#This Row],[AI_TRU4]]</f>
        <v>6</v>
      </c>
      <c r="BA298" t="str">
        <f t="shared" si="129"/>
        <v>Neutral</v>
      </c>
      <c r="BB298">
        <f>survey_responses[[#This Row],[Tôi thấy Nhà nước đã giải thích rõ ràng, minh bạch về lý do và mục tiêu của việc sửa đổi thuế lần này. - HUMAN-TRU4]]</f>
        <v>5</v>
      </c>
      <c r="BC298" t="str">
        <f t="shared" si="130"/>
        <v>Neutral</v>
      </c>
      <c r="BD298" s="32">
        <f t="shared" si="131"/>
        <v>1</v>
      </c>
      <c r="BE298">
        <f>step3_validation[[#This Row],[AI_OUT1]]</f>
        <v>5</v>
      </c>
      <c r="BF298" t="str">
        <f t="shared" si="132"/>
        <v>Neutral</v>
      </c>
      <c r="BG298">
        <f>survey_responses[[#This Row],[Sau khi xem xét các quyền lợi và nghĩa vụ, bạn có ủng hộ và tuân thủ chính sách mới hiện nay? - HUMAN-OUT1]]</f>
        <v>5</v>
      </c>
      <c r="BH298" t="str">
        <f t="shared" si="133"/>
        <v>Neutral</v>
      </c>
      <c r="BI298" s="32">
        <f t="shared" si="134"/>
        <v>0</v>
      </c>
    </row>
    <row r="299" spans="1:61" x14ac:dyDescent="0.45">
      <c r="A299" s="30">
        <f>step3_validation[[#This Row],[Persona_ID]]</f>
        <v>298</v>
      </c>
      <c r="B299" s="31">
        <f>step3_validation[[#This Row],[Used_Seed]]</f>
        <v>2288</v>
      </c>
      <c r="C299" t="str">
        <f>step3_validation[[#This Row],[Gender]]</f>
        <v>Nam</v>
      </c>
      <c r="D299" t="str">
        <f>survey_responses[[#This Row],[Giới tính của bạn:]]</f>
        <v>Nam</v>
      </c>
      <c r="E299" t="str">
        <f>step3_validation[[#This Row],[Age_Group]]</f>
        <v>30 - 39</v>
      </c>
      <c r="F299" t="str">
        <f>survey_responses[[#This Row],[Độ tuổi của bạn:]]</f>
        <v>30 - 39</v>
      </c>
      <c r="G299" t="str">
        <f>step3_validation[[#This Row],[Region]]</f>
        <v>Thành thị</v>
      </c>
      <c r="H299" t="str">
        <f>survey_responses[[#This Row],[Khu vực bạn đang sinh sống:]]</f>
        <v>Thành thị</v>
      </c>
      <c r="I299" t="str">
        <f>step3_validation[[#This Row],[Education]]</f>
        <v>Đại học</v>
      </c>
      <c r="J299" t="str">
        <f>survey_responses[[#This Row],[Trình độ học vấn cao nhất:]]</f>
        <v>Đại học</v>
      </c>
      <c r="K299" t="str">
        <f>step3_validation[[#This Row],[Employment]]</f>
        <v>Phi chính thức</v>
      </c>
      <c r="L299" t="str">
        <f>survey_responses[[#This Row],[Tình trạng việc làm chính:]]</f>
        <v>Khác (Về hưu, nội trợ, sinh viên)</v>
      </c>
      <c r="M299">
        <f>step3_validation[[#This Row],[Income_Mil]]</f>
        <v>12</v>
      </c>
      <c r="N299" t="str">
        <f>survey_responses[[#This Row],[Thu nhập bình quân tháng theo Hợp đồng lao động của bạn là bao nhiêu? (Vui lòng điền tổng thu nhập trước khi khấu trừ các loại Bảo hiểm (BHXH, BHYT, BHTN) và Thuế TNCN)]]</f>
        <v>Dưới 12 triệu VNĐ</v>
      </c>
      <c r="O299">
        <f>step3_validation[[#This Row],[Dependents]]</f>
        <v>0</v>
      </c>
      <c r="P299" t="str">
        <f>survey_responses[[#This Row],[Số người phụ thuộc (con nhỏ, cha mẹ già...) đủ điều kiện giảm trừ gia cảnh:]]</f>
        <v>0 người</v>
      </c>
      <c r="Q299">
        <f>step3_validation[[#This Row],[AI_ENF1]]</f>
        <v>7</v>
      </c>
      <c r="R299" t="str">
        <f t="shared" si="108"/>
        <v>Neutral</v>
      </c>
      <c r="S299">
        <f>survey_responses[[#This Row],[Tôi tin rằng với các quy định quản lý thuế hiện nay, hành vi gian lận hoặc trốn thuế sẽ dễ dàng bị phát hiện và xử lý nghiêm. - HUMAN-ENF1]]</f>
        <v>5</v>
      </c>
      <c r="T299" t="str">
        <f t="shared" si="109"/>
        <v>Neutral</v>
      </c>
      <c r="U299" s="32">
        <f t="shared" si="110"/>
        <v>2</v>
      </c>
      <c r="V299">
        <f>step3_validation[[#This Row],[AI_ENF2]]</f>
        <v>6</v>
      </c>
      <c r="W299" t="str">
        <f t="shared" si="111"/>
        <v>Neutral</v>
      </c>
      <c r="X299">
        <f>survey_responses[[#This Row],[Tôi tin rằng Nhà nước, cơ quan thuế có đủ khả năng và công nghệ để phát hiện, xử lý nghiêm các hành vi trốn thuế. - HUMAN-ENF2]]</f>
        <v>5</v>
      </c>
      <c r="Y299" t="str">
        <f t="shared" si="112"/>
        <v>Neutral</v>
      </c>
      <c r="Z299" s="32">
        <f t="shared" si="113"/>
        <v>1</v>
      </c>
      <c r="AA299">
        <f>step3_validation[[#This Row],[AI_FAC1]]</f>
        <v>8</v>
      </c>
      <c r="AB299" t="str">
        <f t="shared" si="114"/>
        <v>Support</v>
      </c>
      <c r="AC299">
        <f>survey_responses[[#This Row],[Các thủ tục khai báo thuế VÀ/HOẶC quy trình làm việc với cơ quan thuế đơn giản, tiện lợi, nhanh chóng hơn so với trước đây. - HUMAN-FAC1]]</f>
        <v>5</v>
      </c>
      <c r="AD299" t="str">
        <f t="shared" si="115"/>
        <v>Neutral</v>
      </c>
      <c r="AE299" s="32">
        <f t="shared" si="116"/>
        <v>3</v>
      </c>
      <c r="AF299">
        <f>step3_validation[[#This Row],[AI_FAC2]]</f>
        <v>7</v>
      </c>
      <c r="AG299" t="str">
        <f t="shared" si="117"/>
        <v>Neutral</v>
      </c>
      <c r="AH299">
        <f>survey_responses[[#This Row],[So với trước đây, tôi thấy cách tính thuế và các bậc thuế trong phương án mới đơn giản, dễ hiểu và dễ thực hiện hơn. - HUMAN-FAC2]]</f>
        <v>10</v>
      </c>
      <c r="AI299" t="str">
        <f t="shared" si="118"/>
        <v>Support</v>
      </c>
      <c r="AJ299" s="32">
        <f t="shared" si="119"/>
        <v>3</v>
      </c>
      <c r="AK299">
        <f>step3_validation[[#This Row],[AI_TRU1]]</f>
        <v>6</v>
      </c>
      <c r="AL299" t="str">
        <f t="shared" si="120"/>
        <v>Neutral</v>
      </c>
      <c r="AM299">
        <f>survey_responses[[#This Row],[Tôi tin rằng Nhà nước, cơ quan thuế sẽ thực thi chính sách mới một cách khách quan, công tâm và đối xử bình đẳng với mọi người nộp thuế.  - HUMAN-TRU1]]</f>
        <v>10</v>
      </c>
      <c r="AN299" t="str">
        <f t="shared" si="121"/>
        <v>Support</v>
      </c>
      <c r="AO299" s="32">
        <f t="shared" si="122"/>
        <v>4</v>
      </c>
      <c r="AP299">
        <f>step3_validation[[#This Row],[AI_TRU2]]</f>
        <v>6</v>
      </c>
      <c r="AQ299" t="str">
        <f t="shared" si="123"/>
        <v>Neutral</v>
      </c>
      <c r="AR299">
        <f>survey_responses[[#This Row],[Tôi thấy mức thuế tôi phải đóng theo phương án mới là công bằng (người thu nhập như tôi đóng mức này là hợp lý). - HUMAN-TRU2]]</f>
        <v>5</v>
      </c>
      <c r="AS299" t="str">
        <f t="shared" si="124"/>
        <v>Neutral</v>
      </c>
      <c r="AT299" s="32">
        <f t="shared" si="125"/>
        <v>1</v>
      </c>
      <c r="AU299">
        <f>step3_validation[[#This Row],[AI_TRU3]]</f>
        <v>6</v>
      </c>
      <c r="AV299" t="str">
        <f t="shared" si="126"/>
        <v>Neutral</v>
      </c>
      <c r="AW299">
        <f>survey_responses[[#This Row],[Tôi tin tưởng số tiền thuế tôi đóng sẽ được Nhà nước sử dụng hiệu quả để cải thiện dịch vụ công (y tế, đường xá...). - HUMAN-TRU3]]</f>
        <v>5</v>
      </c>
      <c r="AX299" t="str">
        <f t="shared" si="127"/>
        <v>Neutral</v>
      </c>
      <c r="AY299" s="32">
        <f t="shared" si="128"/>
        <v>1</v>
      </c>
      <c r="AZ299">
        <f>step3_validation[[#This Row],[AI_TRU4]]</f>
        <v>6</v>
      </c>
      <c r="BA299" t="str">
        <f t="shared" si="129"/>
        <v>Neutral</v>
      </c>
      <c r="BB299">
        <f>survey_responses[[#This Row],[Tôi thấy Nhà nước đã giải thích rõ ràng, minh bạch về lý do và mục tiêu của việc sửa đổi thuế lần này. - HUMAN-TRU4]]</f>
        <v>5</v>
      </c>
      <c r="BC299" t="str">
        <f t="shared" si="130"/>
        <v>Neutral</v>
      </c>
      <c r="BD299" s="32">
        <f t="shared" si="131"/>
        <v>1</v>
      </c>
      <c r="BE299">
        <f>step3_validation[[#This Row],[AI_OUT1]]</f>
        <v>5</v>
      </c>
      <c r="BF299" t="str">
        <f t="shared" si="132"/>
        <v>Neutral</v>
      </c>
      <c r="BG299">
        <f>survey_responses[[#This Row],[Sau khi xem xét các quyền lợi và nghĩa vụ, bạn có ủng hộ và tuân thủ chính sách mới hiện nay? - HUMAN-OUT1]]</f>
        <v>5</v>
      </c>
      <c r="BH299" t="str">
        <f t="shared" si="133"/>
        <v>Neutral</v>
      </c>
      <c r="BI299" s="32">
        <f t="shared" si="134"/>
        <v>0</v>
      </c>
    </row>
    <row r="300" spans="1:61" x14ac:dyDescent="0.45">
      <c r="A300" s="30">
        <f>step3_validation[[#This Row],[Persona_ID]]</f>
        <v>299</v>
      </c>
      <c r="B300" s="31">
        <f>step3_validation[[#This Row],[Used_Seed]]</f>
        <v>2289</v>
      </c>
      <c r="C300" t="str">
        <f>step3_validation[[#This Row],[Gender]]</f>
        <v>Nam</v>
      </c>
      <c r="D300" t="str">
        <f>survey_responses[[#This Row],[Giới tính của bạn:]]</f>
        <v>Nam</v>
      </c>
      <c r="E300" t="str">
        <f>step3_validation[[#This Row],[Age_Group]]</f>
        <v>30 - 39</v>
      </c>
      <c r="F300" t="str">
        <f>survey_responses[[#This Row],[Độ tuổi của bạn:]]</f>
        <v>30 - 39</v>
      </c>
      <c r="G300" t="str">
        <f>step3_validation[[#This Row],[Region]]</f>
        <v>Thành thị</v>
      </c>
      <c r="H300" t="str">
        <f>survey_responses[[#This Row],[Khu vực bạn đang sinh sống:]]</f>
        <v>Thành thị</v>
      </c>
      <c r="I300" t="str">
        <f>step3_validation[[#This Row],[Education]]</f>
        <v>Sau Đại học</v>
      </c>
      <c r="J300" t="str">
        <f>survey_responses[[#This Row],[Trình độ học vấn cao nhất:]]</f>
        <v>Sau Đại học</v>
      </c>
      <c r="K300" t="str">
        <f>step3_validation[[#This Row],[Employment]]</f>
        <v>Chính thức</v>
      </c>
      <c r="L300" t="str">
        <f>survey_responses[[#This Row],[Tình trạng việc làm chính:]]</f>
        <v>Khu vực chính thức (Có Hợp đồng lao động, đóng BHXH)</v>
      </c>
      <c r="M300">
        <f>step3_validation[[#This Row],[Income_Mil]]</f>
        <v>40.527526501639954</v>
      </c>
      <c r="N300" t="str">
        <f>survey_responses[[#This Row],[Thu nhập bình quân tháng theo Hợp đồng lao động của bạn là bao nhiêu? (Vui lòng điền tổng thu nhập trước khi khấu trừ các loại Bảo hiểm (BHXH, BHYT, BHTN) và Thuế TNCN)]]</f>
        <v>Từ 32 - 48 triệu VNĐ</v>
      </c>
      <c r="O300">
        <f>step3_validation[[#This Row],[Dependents]]</f>
        <v>0</v>
      </c>
      <c r="P300" t="str">
        <f>survey_responses[[#This Row],[Số người phụ thuộc (con nhỏ, cha mẹ già...) đủ điều kiện giảm trừ gia cảnh:]]</f>
        <v>0 người</v>
      </c>
      <c r="Q300">
        <f>step3_validation[[#This Row],[AI_ENF1]]</f>
        <v>7</v>
      </c>
      <c r="R300" t="str">
        <f t="shared" si="108"/>
        <v>Neutral</v>
      </c>
      <c r="S300">
        <f>survey_responses[[#This Row],[Tôi tin rằng với các quy định quản lý thuế hiện nay, hành vi gian lận hoặc trốn thuế sẽ dễ dàng bị phát hiện và xử lý nghiêm. - HUMAN-ENF1]]</f>
        <v>10</v>
      </c>
      <c r="T300" t="str">
        <f t="shared" si="109"/>
        <v>Support</v>
      </c>
      <c r="U300" s="32">
        <f t="shared" si="110"/>
        <v>3</v>
      </c>
      <c r="V300">
        <f>step3_validation[[#This Row],[AI_ENF2]]</f>
        <v>8</v>
      </c>
      <c r="W300" t="str">
        <f t="shared" si="111"/>
        <v>Support</v>
      </c>
      <c r="X300">
        <f>survey_responses[[#This Row],[Tôi tin rằng Nhà nước, cơ quan thuế có đủ khả năng và công nghệ để phát hiện, xử lý nghiêm các hành vi trốn thuế. - HUMAN-ENF2]]</f>
        <v>10</v>
      </c>
      <c r="Y300" t="str">
        <f t="shared" si="112"/>
        <v>Support</v>
      </c>
      <c r="Z300" s="32">
        <f t="shared" si="113"/>
        <v>2</v>
      </c>
      <c r="AA300">
        <f>step3_validation[[#This Row],[AI_FAC1]]</f>
        <v>6</v>
      </c>
      <c r="AB300" t="str">
        <f t="shared" si="114"/>
        <v>Neutral</v>
      </c>
      <c r="AC300">
        <f>survey_responses[[#This Row],[Các thủ tục khai báo thuế VÀ/HOẶC quy trình làm việc với cơ quan thuế đơn giản, tiện lợi, nhanh chóng hơn so với trước đây. - HUMAN-FAC1]]</f>
        <v>10</v>
      </c>
      <c r="AD300" t="str">
        <f t="shared" si="115"/>
        <v>Support</v>
      </c>
      <c r="AE300" s="32">
        <f t="shared" si="116"/>
        <v>4</v>
      </c>
      <c r="AF300">
        <f>step3_validation[[#This Row],[AI_FAC2]]</f>
        <v>7</v>
      </c>
      <c r="AG300" t="str">
        <f t="shared" si="117"/>
        <v>Neutral</v>
      </c>
      <c r="AH300">
        <f>survey_responses[[#This Row],[So với trước đây, tôi thấy cách tính thuế và các bậc thuế trong phương án mới đơn giản, dễ hiểu và dễ thực hiện hơn. - HUMAN-FAC2]]</f>
        <v>10</v>
      </c>
      <c r="AI300" t="str">
        <f t="shared" si="118"/>
        <v>Support</v>
      </c>
      <c r="AJ300" s="32">
        <f t="shared" si="119"/>
        <v>3</v>
      </c>
      <c r="AK300">
        <f>step3_validation[[#This Row],[AI_TRU1]]</f>
        <v>6</v>
      </c>
      <c r="AL300" t="str">
        <f t="shared" si="120"/>
        <v>Neutral</v>
      </c>
      <c r="AM300">
        <f>survey_responses[[#This Row],[Tôi tin rằng Nhà nước, cơ quan thuế sẽ thực thi chính sách mới một cách khách quan, công tâm và đối xử bình đẳng với mọi người nộp thuế.  - HUMAN-TRU1]]</f>
        <v>10</v>
      </c>
      <c r="AN300" t="str">
        <f t="shared" si="121"/>
        <v>Support</v>
      </c>
      <c r="AO300" s="32">
        <f t="shared" si="122"/>
        <v>4</v>
      </c>
      <c r="AP300">
        <f>step3_validation[[#This Row],[AI_TRU2]]</f>
        <v>7</v>
      </c>
      <c r="AQ300" t="str">
        <f t="shared" si="123"/>
        <v>Neutral</v>
      </c>
      <c r="AR300">
        <f>survey_responses[[#This Row],[Tôi thấy mức thuế tôi phải đóng theo phương án mới là công bằng (người thu nhập như tôi đóng mức này là hợp lý). - HUMAN-TRU2]]</f>
        <v>10</v>
      </c>
      <c r="AS300" t="str">
        <f t="shared" si="124"/>
        <v>Support</v>
      </c>
      <c r="AT300" s="32">
        <f t="shared" si="125"/>
        <v>3</v>
      </c>
      <c r="AU300">
        <f>step3_validation[[#This Row],[AI_TRU3]]</f>
        <v>6</v>
      </c>
      <c r="AV300" t="str">
        <f t="shared" si="126"/>
        <v>Neutral</v>
      </c>
      <c r="AW300">
        <f>survey_responses[[#This Row],[Tôi tin tưởng số tiền thuế tôi đóng sẽ được Nhà nước sử dụng hiệu quả để cải thiện dịch vụ công (y tế, đường xá...). - HUMAN-TRU3]]</f>
        <v>10</v>
      </c>
      <c r="AX300" t="str">
        <f t="shared" si="127"/>
        <v>Support</v>
      </c>
      <c r="AY300" s="32">
        <f t="shared" si="128"/>
        <v>4</v>
      </c>
      <c r="AZ300">
        <f>step3_validation[[#This Row],[AI_TRU4]]</f>
        <v>7</v>
      </c>
      <c r="BA300" t="str">
        <f t="shared" si="129"/>
        <v>Neutral</v>
      </c>
      <c r="BB300">
        <f>survey_responses[[#This Row],[Tôi thấy Nhà nước đã giải thích rõ ràng, minh bạch về lý do và mục tiêu của việc sửa đổi thuế lần này. - HUMAN-TRU4]]</f>
        <v>10</v>
      </c>
      <c r="BC300" t="str">
        <f t="shared" si="130"/>
        <v>Support</v>
      </c>
      <c r="BD300" s="32">
        <f t="shared" si="131"/>
        <v>3</v>
      </c>
      <c r="BE300">
        <f>step3_validation[[#This Row],[AI_OUT1]]</f>
        <v>7</v>
      </c>
      <c r="BF300" t="str">
        <f t="shared" si="132"/>
        <v>Neutral</v>
      </c>
      <c r="BG300">
        <f>survey_responses[[#This Row],[Sau khi xem xét các quyền lợi và nghĩa vụ, bạn có ủng hộ và tuân thủ chính sách mới hiện nay? - HUMAN-OUT1]]</f>
        <v>10</v>
      </c>
      <c r="BH300" t="str">
        <f t="shared" si="133"/>
        <v>Support</v>
      </c>
      <c r="BI300" s="32">
        <f t="shared" si="134"/>
        <v>3</v>
      </c>
    </row>
    <row r="301" spans="1:61" x14ac:dyDescent="0.45">
      <c r="A301" s="30">
        <f>step3_validation[[#This Row],[Persona_ID]]</f>
        <v>300</v>
      </c>
      <c r="B301" s="31">
        <f>step3_validation[[#This Row],[Used_Seed]]</f>
        <v>2290</v>
      </c>
      <c r="C301" t="str">
        <f>step3_validation[[#This Row],[Gender]]</f>
        <v>Nam</v>
      </c>
      <c r="D301" t="str">
        <f>survey_responses[[#This Row],[Giới tính của bạn:]]</f>
        <v>Nam</v>
      </c>
      <c r="E301" t="str">
        <f>step3_validation[[#This Row],[Age_Group]]</f>
        <v>30 - 39</v>
      </c>
      <c r="F301" t="str">
        <f>survey_responses[[#This Row],[Độ tuổi của bạn:]]</f>
        <v>30 - 39</v>
      </c>
      <c r="G301" t="str">
        <f>step3_validation[[#This Row],[Region]]</f>
        <v>Thành thị</v>
      </c>
      <c r="H301" t="str">
        <f>survey_responses[[#This Row],[Khu vực bạn đang sinh sống:]]</f>
        <v>Thành thị</v>
      </c>
      <c r="I301" t="str">
        <f>step3_validation[[#This Row],[Education]]</f>
        <v>Đại học</v>
      </c>
      <c r="J301" t="str">
        <f>survey_responses[[#This Row],[Trình độ học vấn cao nhất:]]</f>
        <v>Đại học</v>
      </c>
      <c r="K301" t="str">
        <f>step3_validation[[#This Row],[Employment]]</f>
        <v>Chính thức</v>
      </c>
      <c r="L301" t="str">
        <f>survey_responses[[#This Row],[Tình trạng việc làm chính:]]</f>
        <v>Khu vực chính thức (Có Hợp đồng lao động, đóng BHXH)</v>
      </c>
      <c r="M301">
        <f>step3_validation[[#This Row],[Income_Mil]]</f>
        <v>23.619644223184714</v>
      </c>
      <c r="N301" t="str">
        <f>survey_responses[[#This Row],[Thu nhập bình quân tháng theo Hợp đồng lao động của bạn là bao nhiêu? (Vui lòng điền tổng thu nhập trước khi khấu trừ các loại Bảo hiểm (BHXH, BHYT, BHTN) và Thuế TNCN)]]</f>
        <v>Từ 23 - 32 triệu VNĐ</v>
      </c>
      <c r="O301">
        <f>step3_validation[[#This Row],[Dependents]]</f>
        <v>1</v>
      </c>
      <c r="P301" t="str">
        <f>survey_responses[[#This Row],[Số người phụ thuộc (con nhỏ, cha mẹ già...) đủ điều kiện giảm trừ gia cảnh:]]</f>
        <v>1 người</v>
      </c>
      <c r="Q301">
        <f>step3_validation[[#This Row],[AI_ENF1]]</f>
        <v>8</v>
      </c>
      <c r="R301" t="str">
        <f t="shared" si="108"/>
        <v>Support</v>
      </c>
      <c r="S301">
        <f>survey_responses[[#This Row],[Tôi tin rằng với các quy định quản lý thuế hiện nay, hành vi gian lận hoặc trốn thuế sẽ dễ dàng bị phát hiện và xử lý nghiêm. - HUMAN-ENF1]]</f>
        <v>9</v>
      </c>
      <c r="T301" t="str">
        <f t="shared" si="109"/>
        <v>Support</v>
      </c>
      <c r="U301" s="32">
        <f t="shared" si="110"/>
        <v>1</v>
      </c>
      <c r="V301">
        <f>step3_validation[[#This Row],[AI_ENF2]]</f>
        <v>7</v>
      </c>
      <c r="W301" t="str">
        <f t="shared" si="111"/>
        <v>Neutral</v>
      </c>
      <c r="X301">
        <f>survey_responses[[#This Row],[Tôi tin rằng Nhà nước, cơ quan thuế có đủ khả năng và công nghệ để phát hiện, xử lý nghiêm các hành vi trốn thuế. - HUMAN-ENF2]]</f>
        <v>9</v>
      </c>
      <c r="Y301" t="str">
        <f t="shared" si="112"/>
        <v>Support</v>
      </c>
      <c r="Z301" s="32">
        <f t="shared" si="113"/>
        <v>2</v>
      </c>
      <c r="AA301">
        <f>step3_validation[[#This Row],[AI_FAC1]]</f>
        <v>6</v>
      </c>
      <c r="AB301" t="str">
        <f t="shared" si="114"/>
        <v>Neutral</v>
      </c>
      <c r="AC301">
        <f>survey_responses[[#This Row],[Các thủ tục khai báo thuế VÀ/HOẶC quy trình làm việc với cơ quan thuế đơn giản, tiện lợi, nhanh chóng hơn so với trước đây. - HUMAN-FAC1]]</f>
        <v>8</v>
      </c>
      <c r="AD301" t="str">
        <f t="shared" si="115"/>
        <v>Support</v>
      </c>
      <c r="AE301" s="32">
        <f t="shared" si="116"/>
        <v>2</v>
      </c>
      <c r="AF301">
        <f>step3_validation[[#This Row],[AI_FAC2]]</f>
        <v>8</v>
      </c>
      <c r="AG301" t="str">
        <f t="shared" si="117"/>
        <v>Support</v>
      </c>
      <c r="AH301">
        <f>survey_responses[[#This Row],[So với trước đây, tôi thấy cách tính thuế và các bậc thuế trong phương án mới đơn giản, dễ hiểu và dễ thực hiện hơn. - HUMAN-FAC2]]</f>
        <v>10</v>
      </c>
      <c r="AI301" t="str">
        <f t="shared" si="118"/>
        <v>Support</v>
      </c>
      <c r="AJ301" s="32">
        <f t="shared" si="119"/>
        <v>2</v>
      </c>
      <c r="AK301">
        <f>step3_validation[[#This Row],[AI_TRU1]]</f>
        <v>8</v>
      </c>
      <c r="AL301" t="str">
        <f t="shared" si="120"/>
        <v>Support</v>
      </c>
      <c r="AM301">
        <f>survey_responses[[#This Row],[Tôi tin rằng Nhà nước, cơ quan thuế sẽ thực thi chính sách mới một cách khách quan, công tâm và đối xử bình đẳng với mọi người nộp thuế.  - HUMAN-TRU1]]</f>
        <v>8</v>
      </c>
      <c r="AN301" t="str">
        <f t="shared" si="121"/>
        <v>Support</v>
      </c>
      <c r="AO301" s="32">
        <f t="shared" si="122"/>
        <v>0</v>
      </c>
      <c r="AP301">
        <f>step3_validation[[#This Row],[AI_TRU2]]</f>
        <v>7</v>
      </c>
      <c r="AQ301" t="str">
        <f t="shared" si="123"/>
        <v>Neutral</v>
      </c>
      <c r="AR301">
        <f>survey_responses[[#This Row],[Tôi thấy mức thuế tôi phải đóng theo phương án mới là công bằng (người thu nhập như tôi đóng mức này là hợp lý). - HUMAN-TRU2]]</f>
        <v>8</v>
      </c>
      <c r="AS301" t="str">
        <f t="shared" si="124"/>
        <v>Support</v>
      </c>
      <c r="AT301" s="32">
        <f t="shared" si="125"/>
        <v>1</v>
      </c>
      <c r="AU301">
        <f>step3_validation[[#This Row],[AI_TRU3]]</f>
        <v>6</v>
      </c>
      <c r="AV301" t="str">
        <f t="shared" si="126"/>
        <v>Neutral</v>
      </c>
      <c r="AW301">
        <f>survey_responses[[#This Row],[Tôi tin tưởng số tiền thuế tôi đóng sẽ được Nhà nước sử dụng hiệu quả để cải thiện dịch vụ công (y tế, đường xá...). - HUMAN-TRU3]]</f>
        <v>10</v>
      </c>
      <c r="AX301" t="str">
        <f t="shared" si="127"/>
        <v>Support</v>
      </c>
      <c r="AY301" s="32">
        <f t="shared" si="128"/>
        <v>4</v>
      </c>
      <c r="AZ301">
        <f>step3_validation[[#This Row],[AI_TRU4]]</f>
        <v>5</v>
      </c>
      <c r="BA301" t="str">
        <f t="shared" si="129"/>
        <v>Neutral</v>
      </c>
      <c r="BB301">
        <f>survey_responses[[#This Row],[Tôi thấy Nhà nước đã giải thích rõ ràng, minh bạch về lý do và mục tiêu của việc sửa đổi thuế lần này. - HUMAN-TRU4]]</f>
        <v>9</v>
      </c>
      <c r="BC301" t="str">
        <f t="shared" si="130"/>
        <v>Support</v>
      </c>
      <c r="BD301" s="32">
        <f t="shared" si="131"/>
        <v>4</v>
      </c>
      <c r="BE301">
        <f>step3_validation[[#This Row],[AI_OUT1]]</f>
        <v>7</v>
      </c>
      <c r="BF301" t="str">
        <f t="shared" si="132"/>
        <v>Neutral</v>
      </c>
      <c r="BG301">
        <f>survey_responses[[#This Row],[Sau khi xem xét các quyền lợi và nghĩa vụ, bạn có ủng hộ và tuân thủ chính sách mới hiện nay? - HUMAN-OUT1]]</f>
        <v>9</v>
      </c>
      <c r="BH301" t="str">
        <f t="shared" si="133"/>
        <v>Support</v>
      </c>
      <c r="BI301" s="32">
        <f t="shared" si="134"/>
        <v>2</v>
      </c>
    </row>
    <row r="302" spans="1:61" x14ac:dyDescent="0.45">
      <c r="A302" s="30">
        <f>step3_validation[[#This Row],[Persona_ID]]</f>
        <v>301</v>
      </c>
      <c r="B302" s="31">
        <f>step3_validation[[#This Row],[Used_Seed]]</f>
        <v>2291</v>
      </c>
      <c r="C302" t="str">
        <f>step3_validation[[#This Row],[Gender]]</f>
        <v>Nam</v>
      </c>
      <c r="D302" t="str">
        <f>survey_responses[[#This Row],[Giới tính của bạn:]]</f>
        <v>Nam</v>
      </c>
      <c r="E302" t="str">
        <f>step3_validation[[#This Row],[Age_Group]]</f>
        <v>25 - 29</v>
      </c>
      <c r="F302" t="str">
        <f>survey_responses[[#This Row],[Độ tuổi của bạn:]]</f>
        <v>25 - 29</v>
      </c>
      <c r="G302" t="str">
        <f>step3_validation[[#This Row],[Region]]</f>
        <v>Thành thị</v>
      </c>
      <c r="H302" t="str">
        <f>survey_responses[[#This Row],[Khu vực bạn đang sinh sống:]]</f>
        <v>Thành thị</v>
      </c>
      <c r="I302" t="str">
        <f>step3_validation[[#This Row],[Education]]</f>
        <v>Đại học</v>
      </c>
      <c r="J302" t="str">
        <f>survey_responses[[#This Row],[Trình độ học vấn cao nhất:]]</f>
        <v>Đại học</v>
      </c>
      <c r="K302" t="str">
        <f>step3_validation[[#This Row],[Employment]]</f>
        <v>Chính thức</v>
      </c>
      <c r="L302" t="str">
        <f>survey_responses[[#This Row],[Tình trạng việc làm chính:]]</f>
        <v>Khu vực chính thức (Có Hợp đồng lao động, đóng BHXH)</v>
      </c>
      <c r="M302">
        <f>step3_validation[[#This Row],[Income_Mil]]</f>
        <v>12</v>
      </c>
      <c r="N302" t="str">
        <f>survey_responses[[#This Row],[Thu nhập bình quân tháng theo Hợp đồng lao động của bạn là bao nhiêu? (Vui lòng điền tổng thu nhập trước khi khấu trừ các loại Bảo hiểm (BHXH, BHYT, BHTN) và Thuế TNCN)]]</f>
        <v>Dưới 12 triệu VNĐ</v>
      </c>
      <c r="O302">
        <f>step3_validation[[#This Row],[Dependents]]</f>
        <v>0</v>
      </c>
      <c r="P302" t="str">
        <f>survey_responses[[#This Row],[Số người phụ thuộc (con nhỏ, cha mẹ già...) đủ điều kiện giảm trừ gia cảnh:]]</f>
        <v>0 người</v>
      </c>
      <c r="Q302">
        <f>step3_validation[[#This Row],[AI_ENF1]]</f>
        <v>8</v>
      </c>
      <c r="R302" t="str">
        <f t="shared" si="108"/>
        <v>Support</v>
      </c>
      <c r="S302">
        <f>survey_responses[[#This Row],[Tôi tin rằng với các quy định quản lý thuế hiện nay, hành vi gian lận hoặc trốn thuế sẽ dễ dàng bị phát hiện và xử lý nghiêm. - HUMAN-ENF1]]</f>
        <v>8</v>
      </c>
      <c r="T302" t="str">
        <f t="shared" si="109"/>
        <v>Support</v>
      </c>
      <c r="U302" s="32">
        <f t="shared" si="110"/>
        <v>0</v>
      </c>
      <c r="V302">
        <f>step3_validation[[#This Row],[AI_ENF2]]</f>
        <v>7</v>
      </c>
      <c r="W302" t="str">
        <f t="shared" si="111"/>
        <v>Neutral</v>
      </c>
      <c r="X302">
        <f>survey_responses[[#This Row],[Tôi tin rằng Nhà nước, cơ quan thuế có đủ khả năng và công nghệ để phát hiện, xử lý nghiêm các hành vi trốn thuế. - HUMAN-ENF2]]</f>
        <v>7</v>
      </c>
      <c r="Y302" t="str">
        <f t="shared" si="112"/>
        <v>Neutral</v>
      </c>
      <c r="Z302" s="32">
        <f t="shared" si="113"/>
        <v>0</v>
      </c>
      <c r="AA302">
        <f>step3_validation[[#This Row],[AI_FAC1]]</f>
        <v>9</v>
      </c>
      <c r="AB302" t="str">
        <f t="shared" si="114"/>
        <v>Support</v>
      </c>
      <c r="AC302">
        <f>survey_responses[[#This Row],[Các thủ tục khai báo thuế VÀ/HOẶC quy trình làm việc với cơ quan thuế đơn giản, tiện lợi, nhanh chóng hơn so với trước đây. - HUMAN-FAC1]]</f>
        <v>9</v>
      </c>
      <c r="AD302" t="str">
        <f t="shared" si="115"/>
        <v>Support</v>
      </c>
      <c r="AE302" s="32">
        <f t="shared" si="116"/>
        <v>0</v>
      </c>
      <c r="AF302">
        <f>step3_validation[[#This Row],[AI_FAC2]]</f>
        <v>8</v>
      </c>
      <c r="AG302" t="str">
        <f t="shared" si="117"/>
        <v>Support</v>
      </c>
      <c r="AH302">
        <f>survey_responses[[#This Row],[So với trước đây, tôi thấy cách tính thuế và các bậc thuế trong phương án mới đơn giản, dễ hiểu và dễ thực hiện hơn. - HUMAN-FAC2]]</f>
        <v>5</v>
      </c>
      <c r="AI302" t="str">
        <f t="shared" si="118"/>
        <v>Neutral</v>
      </c>
      <c r="AJ302" s="32">
        <f t="shared" si="119"/>
        <v>3</v>
      </c>
      <c r="AK302">
        <f>step3_validation[[#This Row],[AI_TRU1]]</f>
        <v>7</v>
      </c>
      <c r="AL302" t="str">
        <f t="shared" si="120"/>
        <v>Neutral</v>
      </c>
      <c r="AM302">
        <f>survey_responses[[#This Row],[Tôi tin rằng Nhà nước, cơ quan thuế sẽ thực thi chính sách mới một cách khách quan, công tâm và đối xử bình đẳng với mọi người nộp thuế.  - HUMAN-TRU1]]</f>
        <v>7</v>
      </c>
      <c r="AN302" t="str">
        <f t="shared" si="121"/>
        <v>Neutral</v>
      </c>
      <c r="AO302" s="32">
        <f t="shared" si="122"/>
        <v>0</v>
      </c>
      <c r="AP302">
        <f>step3_validation[[#This Row],[AI_TRU2]]</f>
        <v>7</v>
      </c>
      <c r="AQ302" t="str">
        <f t="shared" si="123"/>
        <v>Neutral</v>
      </c>
      <c r="AR302">
        <f>survey_responses[[#This Row],[Tôi thấy mức thuế tôi phải đóng theo phương án mới là công bằng (người thu nhập như tôi đóng mức này là hợp lý). - HUMAN-TRU2]]</f>
        <v>7</v>
      </c>
      <c r="AS302" t="str">
        <f t="shared" si="124"/>
        <v>Neutral</v>
      </c>
      <c r="AT302" s="32">
        <f t="shared" si="125"/>
        <v>0</v>
      </c>
      <c r="AU302">
        <f>step3_validation[[#This Row],[AI_TRU3]]</f>
        <v>7</v>
      </c>
      <c r="AV302" t="str">
        <f t="shared" si="126"/>
        <v>Neutral</v>
      </c>
      <c r="AW302">
        <f>survey_responses[[#This Row],[Tôi tin tưởng số tiền thuế tôi đóng sẽ được Nhà nước sử dụng hiệu quả để cải thiện dịch vụ công (y tế, đường xá...). - HUMAN-TRU3]]</f>
        <v>7</v>
      </c>
      <c r="AX302" t="str">
        <f t="shared" si="127"/>
        <v>Neutral</v>
      </c>
      <c r="AY302" s="32">
        <f t="shared" si="128"/>
        <v>0</v>
      </c>
      <c r="AZ302">
        <f>step3_validation[[#This Row],[AI_TRU4]]</f>
        <v>7</v>
      </c>
      <c r="BA302" t="str">
        <f t="shared" si="129"/>
        <v>Neutral</v>
      </c>
      <c r="BB302">
        <f>survey_responses[[#This Row],[Tôi thấy Nhà nước đã giải thích rõ ràng, minh bạch về lý do và mục tiêu của việc sửa đổi thuế lần này. - HUMAN-TRU4]]</f>
        <v>6</v>
      </c>
      <c r="BC302" t="str">
        <f t="shared" si="130"/>
        <v>Neutral</v>
      </c>
      <c r="BD302" s="32">
        <f t="shared" si="131"/>
        <v>1</v>
      </c>
      <c r="BE302">
        <f>step3_validation[[#This Row],[AI_OUT1]]</f>
        <v>8</v>
      </c>
      <c r="BF302" t="str">
        <f t="shared" si="132"/>
        <v>Support</v>
      </c>
      <c r="BG302">
        <f>survey_responses[[#This Row],[Sau khi xem xét các quyền lợi và nghĩa vụ, bạn có ủng hộ và tuân thủ chính sách mới hiện nay? - HUMAN-OUT1]]</f>
        <v>7</v>
      </c>
      <c r="BH302" t="str">
        <f t="shared" si="133"/>
        <v>Neutral</v>
      </c>
      <c r="BI302" s="32">
        <f t="shared" si="134"/>
        <v>1</v>
      </c>
    </row>
    <row r="303" spans="1:61" x14ac:dyDescent="0.45">
      <c r="A303" s="30">
        <f>step3_validation[[#This Row],[Persona_ID]]</f>
        <v>302</v>
      </c>
      <c r="B303" s="31">
        <f>step3_validation[[#This Row],[Used_Seed]]</f>
        <v>2292</v>
      </c>
      <c r="C303" t="str">
        <f>step3_validation[[#This Row],[Gender]]</f>
        <v>Nữ</v>
      </c>
      <c r="D303" t="str">
        <f>survey_responses[[#This Row],[Giới tính của bạn:]]</f>
        <v>Nữ</v>
      </c>
      <c r="E303" t="str">
        <f>step3_validation[[#This Row],[Age_Group]]</f>
        <v>30 - 39</v>
      </c>
      <c r="F303" t="str">
        <f>survey_responses[[#This Row],[Độ tuổi của bạn:]]</f>
        <v>30 - 39</v>
      </c>
      <c r="G303" t="str">
        <f>step3_validation[[#This Row],[Region]]</f>
        <v>Thành thị</v>
      </c>
      <c r="H303" t="str">
        <f>survey_responses[[#This Row],[Khu vực bạn đang sinh sống:]]</f>
        <v>Thành thị</v>
      </c>
      <c r="I303" t="str">
        <f>step3_validation[[#This Row],[Education]]</f>
        <v>Đại học</v>
      </c>
      <c r="J303" t="str">
        <f>survey_responses[[#This Row],[Trình độ học vấn cao nhất:]]</f>
        <v>Đại học</v>
      </c>
      <c r="K303" t="str">
        <f>step3_validation[[#This Row],[Employment]]</f>
        <v>Chính thức</v>
      </c>
      <c r="L303" t="str">
        <f>survey_responses[[#This Row],[Tình trạng việc làm chính:]]</f>
        <v>Khu vực chính thức (Có Hợp đồng lao động, đóng BHXH)</v>
      </c>
      <c r="M303">
        <f>step3_validation[[#This Row],[Income_Mil]]</f>
        <v>25.452016522366868</v>
      </c>
      <c r="N303" t="str">
        <f>survey_responses[[#This Row],[Thu nhập bình quân tháng theo Hợp đồng lao động của bạn là bao nhiêu? (Vui lòng điền tổng thu nhập trước khi khấu trừ các loại Bảo hiểm (BHXH, BHYT, BHTN) và Thuế TNCN)]]</f>
        <v>Từ 23 - 32 triệu VNĐ</v>
      </c>
      <c r="O303">
        <f>step3_validation[[#This Row],[Dependents]]</f>
        <v>0</v>
      </c>
      <c r="P303" t="str">
        <f>survey_responses[[#This Row],[Số người phụ thuộc (con nhỏ, cha mẹ già...) đủ điều kiện giảm trừ gia cảnh:]]</f>
        <v>0 người</v>
      </c>
      <c r="Q303">
        <f>step3_validation[[#This Row],[AI_ENF1]]</f>
        <v>7</v>
      </c>
      <c r="R303" t="str">
        <f t="shared" si="108"/>
        <v>Neutral</v>
      </c>
      <c r="S303">
        <f>survey_responses[[#This Row],[Tôi tin rằng với các quy định quản lý thuế hiện nay, hành vi gian lận hoặc trốn thuế sẽ dễ dàng bị phát hiện và xử lý nghiêm. - HUMAN-ENF1]]</f>
        <v>7</v>
      </c>
      <c r="T303" t="str">
        <f t="shared" si="109"/>
        <v>Neutral</v>
      </c>
      <c r="U303" s="32">
        <f t="shared" si="110"/>
        <v>0</v>
      </c>
      <c r="V303">
        <f>step3_validation[[#This Row],[AI_ENF2]]</f>
        <v>8</v>
      </c>
      <c r="W303" t="str">
        <f t="shared" si="111"/>
        <v>Support</v>
      </c>
      <c r="X303">
        <f>survey_responses[[#This Row],[Tôi tin rằng Nhà nước, cơ quan thuế có đủ khả năng và công nghệ để phát hiện, xử lý nghiêm các hành vi trốn thuế. - HUMAN-ENF2]]</f>
        <v>7</v>
      </c>
      <c r="Y303" t="str">
        <f t="shared" si="112"/>
        <v>Neutral</v>
      </c>
      <c r="Z303" s="32">
        <f t="shared" si="113"/>
        <v>1</v>
      </c>
      <c r="AA303">
        <f>step3_validation[[#This Row],[AI_FAC1]]</f>
        <v>6</v>
      </c>
      <c r="AB303" t="str">
        <f t="shared" si="114"/>
        <v>Neutral</v>
      </c>
      <c r="AC303">
        <f>survey_responses[[#This Row],[Các thủ tục khai báo thuế VÀ/HOẶC quy trình làm việc với cơ quan thuế đơn giản, tiện lợi, nhanh chóng hơn so với trước đây. - HUMAN-FAC1]]</f>
        <v>4</v>
      </c>
      <c r="AD303" t="str">
        <f t="shared" si="115"/>
        <v>Oppose</v>
      </c>
      <c r="AE303" s="32">
        <f t="shared" si="116"/>
        <v>2</v>
      </c>
      <c r="AF303">
        <f>step3_validation[[#This Row],[AI_FAC2]]</f>
        <v>5</v>
      </c>
      <c r="AG303" t="str">
        <f t="shared" si="117"/>
        <v>Neutral</v>
      </c>
      <c r="AH303">
        <f>survey_responses[[#This Row],[So với trước đây, tôi thấy cách tính thuế và các bậc thuế trong phương án mới đơn giản, dễ hiểu và dễ thực hiện hơn. - HUMAN-FAC2]]</f>
        <v>8</v>
      </c>
      <c r="AI303" t="str">
        <f t="shared" si="118"/>
        <v>Support</v>
      </c>
      <c r="AJ303" s="32">
        <f t="shared" si="119"/>
        <v>3</v>
      </c>
      <c r="AK303">
        <f>step3_validation[[#This Row],[AI_TRU1]]</f>
        <v>6</v>
      </c>
      <c r="AL303" t="str">
        <f t="shared" si="120"/>
        <v>Neutral</v>
      </c>
      <c r="AM303">
        <f>survey_responses[[#This Row],[Tôi tin rằng Nhà nước, cơ quan thuế sẽ thực thi chính sách mới một cách khách quan, công tâm và đối xử bình đẳng với mọi người nộp thuế.  - HUMAN-TRU1]]</f>
        <v>7</v>
      </c>
      <c r="AN303" t="str">
        <f t="shared" si="121"/>
        <v>Neutral</v>
      </c>
      <c r="AO303" s="32">
        <f t="shared" si="122"/>
        <v>1</v>
      </c>
      <c r="AP303">
        <f>step3_validation[[#This Row],[AI_TRU2]]</f>
        <v>7</v>
      </c>
      <c r="AQ303" t="str">
        <f t="shared" si="123"/>
        <v>Neutral</v>
      </c>
      <c r="AR303">
        <f>survey_responses[[#This Row],[Tôi thấy mức thuế tôi phải đóng theo phương án mới là công bằng (người thu nhập như tôi đóng mức này là hợp lý). - HUMAN-TRU2]]</f>
        <v>7</v>
      </c>
      <c r="AS303" t="str">
        <f t="shared" si="124"/>
        <v>Neutral</v>
      </c>
      <c r="AT303" s="32">
        <f t="shared" si="125"/>
        <v>0</v>
      </c>
      <c r="AU303">
        <f>step3_validation[[#This Row],[AI_TRU3]]</f>
        <v>6</v>
      </c>
      <c r="AV303" t="str">
        <f t="shared" si="126"/>
        <v>Neutral</v>
      </c>
      <c r="AW303">
        <f>survey_responses[[#This Row],[Tôi tin tưởng số tiền thuế tôi đóng sẽ được Nhà nước sử dụng hiệu quả để cải thiện dịch vụ công (y tế, đường xá...). - HUMAN-TRU3]]</f>
        <v>5</v>
      </c>
      <c r="AX303" t="str">
        <f t="shared" si="127"/>
        <v>Neutral</v>
      </c>
      <c r="AY303" s="32">
        <f t="shared" si="128"/>
        <v>1</v>
      </c>
      <c r="AZ303">
        <f>step3_validation[[#This Row],[AI_TRU4]]</f>
        <v>7</v>
      </c>
      <c r="BA303" t="str">
        <f t="shared" si="129"/>
        <v>Neutral</v>
      </c>
      <c r="BB303">
        <f>survey_responses[[#This Row],[Tôi thấy Nhà nước đã giải thích rõ ràng, minh bạch về lý do và mục tiêu của việc sửa đổi thuế lần này. - HUMAN-TRU4]]</f>
        <v>5</v>
      </c>
      <c r="BC303" t="str">
        <f t="shared" si="130"/>
        <v>Neutral</v>
      </c>
      <c r="BD303" s="32">
        <f t="shared" si="131"/>
        <v>2</v>
      </c>
      <c r="BE303">
        <f>step3_validation[[#This Row],[AI_OUT1]]</f>
        <v>6</v>
      </c>
      <c r="BF303" t="str">
        <f t="shared" si="132"/>
        <v>Neutral</v>
      </c>
      <c r="BG303">
        <f>survey_responses[[#This Row],[Sau khi xem xét các quyền lợi và nghĩa vụ, bạn có ủng hộ và tuân thủ chính sách mới hiện nay? - HUMAN-OUT1]]</f>
        <v>7</v>
      </c>
      <c r="BH303" t="str">
        <f t="shared" si="133"/>
        <v>Neutral</v>
      </c>
      <c r="BI303" s="32">
        <f t="shared" si="134"/>
        <v>1</v>
      </c>
    </row>
    <row r="304" spans="1:61" x14ac:dyDescent="0.45">
      <c r="A304" s="30">
        <f>step3_validation[[#This Row],[Persona_ID]]</f>
        <v>303</v>
      </c>
      <c r="B304" s="31">
        <f>step3_validation[[#This Row],[Used_Seed]]</f>
        <v>2293</v>
      </c>
      <c r="C304" t="str">
        <f>step3_validation[[#This Row],[Gender]]</f>
        <v>Nam</v>
      </c>
      <c r="D304" t="str">
        <f>survey_responses[[#This Row],[Giới tính của bạn:]]</f>
        <v>Nam</v>
      </c>
      <c r="E304" t="str">
        <f>step3_validation[[#This Row],[Age_Group]]</f>
        <v>30 - 39</v>
      </c>
      <c r="F304" t="str">
        <f>survey_responses[[#This Row],[Độ tuổi của bạn:]]</f>
        <v>30 - 39</v>
      </c>
      <c r="G304" t="str">
        <f>step3_validation[[#This Row],[Region]]</f>
        <v>Thành thị</v>
      </c>
      <c r="H304" t="str">
        <f>survey_responses[[#This Row],[Khu vực bạn đang sinh sống:]]</f>
        <v>Thành thị</v>
      </c>
      <c r="I304" t="str">
        <f>step3_validation[[#This Row],[Education]]</f>
        <v>Đại học</v>
      </c>
      <c r="J304" t="str">
        <f>survey_responses[[#This Row],[Trình độ học vấn cao nhất:]]</f>
        <v>Đại học</v>
      </c>
      <c r="K304" t="str">
        <f>step3_validation[[#This Row],[Employment]]</f>
        <v>Chính thức</v>
      </c>
      <c r="L304" t="str">
        <f>survey_responses[[#This Row],[Tình trạng việc làm chính:]]</f>
        <v>Khu vực chính thức (Có Hợp đồng lao động, đóng BHXH)</v>
      </c>
      <c r="M304">
        <f>step3_validation[[#This Row],[Income_Mil]]</f>
        <v>24.634858690807217</v>
      </c>
      <c r="N304" t="str">
        <f>survey_responses[[#This Row],[Thu nhập bình quân tháng theo Hợp đồng lao động của bạn là bao nhiêu? (Vui lòng điền tổng thu nhập trước khi khấu trừ các loại Bảo hiểm (BHXH, BHYT, BHTN) và Thuế TNCN)]]</f>
        <v>Từ 23 - 32 triệu VNĐ</v>
      </c>
      <c r="O304">
        <f>step3_validation[[#This Row],[Dependents]]</f>
        <v>2</v>
      </c>
      <c r="P304" t="str">
        <f>survey_responses[[#This Row],[Số người phụ thuộc (con nhỏ, cha mẹ già...) đủ điều kiện giảm trừ gia cảnh:]]</f>
        <v>2 người</v>
      </c>
      <c r="Q304">
        <f>step3_validation[[#This Row],[AI_ENF1]]</f>
        <v>7</v>
      </c>
      <c r="R304" t="str">
        <f t="shared" si="108"/>
        <v>Neutral</v>
      </c>
      <c r="S304">
        <f>survey_responses[[#This Row],[Tôi tin rằng với các quy định quản lý thuế hiện nay, hành vi gian lận hoặc trốn thuế sẽ dễ dàng bị phát hiện và xử lý nghiêm. - HUMAN-ENF1]]</f>
        <v>6</v>
      </c>
      <c r="T304" t="str">
        <f t="shared" si="109"/>
        <v>Neutral</v>
      </c>
      <c r="U304" s="32">
        <f t="shared" si="110"/>
        <v>1</v>
      </c>
      <c r="V304">
        <f>step3_validation[[#This Row],[AI_ENF2]]</f>
        <v>8</v>
      </c>
      <c r="W304" t="str">
        <f t="shared" si="111"/>
        <v>Support</v>
      </c>
      <c r="X304">
        <f>survey_responses[[#This Row],[Tôi tin rằng Nhà nước, cơ quan thuế có đủ khả năng và công nghệ để phát hiện, xử lý nghiêm các hành vi trốn thuế. - HUMAN-ENF2]]</f>
        <v>10</v>
      </c>
      <c r="Y304" t="str">
        <f t="shared" si="112"/>
        <v>Support</v>
      </c>
      <c r="Z304" s="32">
        <f t="shared" si="113"/>
        <v>2</v>
      </c>
      <c r="AA304">
        <f>step3_validation[[#This Row],[AI_FAC1]]</f>
        <v>9</v>
      </c>
      <c r="AB304" t="str">
        <f t="shared" si="114"/>
        <v>Support</v>
      </c>
      <c r="AC304">
        <f>survey_responses[[#This Row],[Các thủ tục khai báo thuế VÀ/HOẶC quy trình làm việc với cơ quan thuế đơn giản, tiện lợi, nhanh chóng hơn so với trước đây. - HUMAN-FAC1]]</f>
        <v>5</v>
      </c>
      <c r="AD304" t="str">
        <f t="shared" si="115"/>
        <v>Neutral</v>
      </c>
      <c r="AE304" s="32">
        <f t="shared" si="116"/>
        <v>4</v>
      </c>
      <c r="AF304">
        <f>step3_validation[[#This Row],[AI_FAC2]]</f>
        <v>9</v>
      </c>
      <c r="AG304" t="str">
        <f t="shared" si="117"/>
        <v>Support</v>
      </c>
      <c r="AH304">
        <f>survey_responses[[#This Row],[So với trước đây, tôi thấy cách tính thuế và các bậc thuế trong phương án mới đơn giản, dễ hiểu và dễ thực hiện hơn. - HUMAN-FAC2]]</f>
        <v>4</v>
      </c>
      <c r="AI304" t="str">
        <f t="shared" si="118"/>
        <v>Oppose</v>
      </c>
      <c r="AJ304" s="32">
        <f t="shared" si="119"/>
        <v>5</v>
      </c>
      <c r="AK304">
        <f>step3_validation[[#This Row],[AI_TRU1]]</f>
        <v>8</v>
      </c>
      <c r="AL304" t="str">
        <f t="shared" si="120"/>
        <v>Support</v>
      </c>
      <c r="AM304">
        <f>survey_responses[[#This Row],[Tôi tin rằng Nhà nước, cơ quan thuế sẽ thực thi chính sách mới một cách khách quan, công tâm và đối xử bình đẳng với mọi người nộp thuế.  - HUMAN-TRU1]]</f>
        <v>3</v>
      </c>
      <c r="AN304" t="str">
        <f t="shared" si="121"/>
        <v>Oppose</v>
      </c>
      <c r="AO304" s="32">
        <f t="shared" si="122"/>
        <v>5</v>
      </c>
      <c r="AP304">
        <f>step3_validation[[#This Row],[AI_TRU2]]</f>
        <v>8</v>
      </c>
      <c r="AQ304" t="str">
        <f t="shared" si="123"/>
        <v>Support</v>
      </c>
      <c r="AR304">
        <f>survey_responses[[#This Row],[Tôi thấy mức thuế tôi phải đóng theo phương án mới là công bằng (người thu nhập như tôi đóng mức này là hợp lý). - HUMAN-TRU2]]</f>
        <v>7</v>
      </c>
      <c r="AS304" t="str">
        <f t="shared" si="124"/>
        <v>Neutral</v>
      </c>
      <c r="AT304" s="32">
        <f t="shared" si="125"/>
        <v>1</v>
      </c>
      <c r="AU304">
        <f>step3_validation[[#This Row],[AI_TRU3]]</f>
        <v>8</v>
      </c>
      <c r="AV304" t="str">
        <f t="shared" si="126"/>
        <v>Support</v>
      </c>
      <c r="AW304">
        <f>survey_responses[[#This Row],[Tôi tin tưởng số tiền thuế tôi đóng sẽ được Nhà nước sử dụng hiệu quả để cải thiện dịch vụ công (y tế, đường xá...). - HUMAN-TRU3]]</f>
        <v>4</v>
      </c>
      <c r="AX304" t="str">
        <f t="shared" si="127"/>
        <v>Oppose</v>
      </c>
      <c r="AY304" s="32">
        <f t="shared" si="128"/>
        <v>4</v>
      </c>
      <c r="AZ304">
        <f>step3_validation[[#This Row],[AI_TRU4]]</f>
        <v>8</v>
      </c>
      <c r="BA304" t="str">
        <f t="shared" si="129"/>
        <v>Support</v>
      </c>
      <c r="BB304">
        <f>survey_responses[[#This Row],[Tôi thấy Nhà nước đã giải thích rõ ràng, minh bạch về lý do và mục tiêu của việc sửa đổi thuế lần này. - HUMAN-TRU4]]</f>
        <v>4</v>
      </c>
      <c r="BC304" t="str">
        <f t="shared" si="130"/>
        <v>Oppose</v>
      </c>
      <c r="BD304" s="32">
        <f t="shared" si="131"/>
        <v>4</v>
      </c>
      <c r="BE304">
        <f>step3_validation[[#This Row],[AI_OUT1]]</f>
        <v>8</v>
      </c>
      <c r="BF304" t="str">
        <f t="shared" si="132"/>
        <v>Support</v>
      </c>
      <c r="BG304">
        <f>survey_responses[[#This Row],[Sau khi xem xét các quyền lợi và nghĩa vụ, bạn có ủng hộ và tuân thủ chính sách mới hiện nay? - HUMAN-OUT1]]</f>
        <v>5</v>
      </c>
      <c r="BH304" t="str">
        <f t="shared" si="133"/>
        <v>Neutral</v>
      </c>
      <c r="BI304" s="32">
        <f t="shared" si="134"/>
        <v>3</v>
      </c>
    </row>
    <row r="305" spans="1:61" x14ac:dyDescent="0.45">
      <c r="A305" s="30">
        <f>step3_validation[[#This Row],[Persona_ID]]</f>
        <v>304</v>
      </c>
      <c r="B305" s="31">
        <f>step3_validation[[#This Row],[Used_Seed]]</f>
        <v>2294</v>
      </c>
      <c r="C305" t="str">
        <f>step3_validation[[#This Row],[Gender]]</f>
        <v>Nam</v>
      </c>
      <c r="D305" t="str">
        <f>survey_responses[[#This Row],[Giới tính của bạn:]]</f>
        <v>Nam</v>
      </c>
      <c r="E305" t="str">
        <f>step3_validation[[#This Row],[Age_Group]]</f>
        <v>25 - 29</v>
      </c>
      <c r="F305" t="str">
        <f>survey_responses[[#This Row],[Độ tuổi của bạn:]]</f>
        <v>25 - 29</v>
      </c>
      <c r="G305" t="str">
        <f>step3_validation[[#This Row],[Region]]</f>
        <v>Thành thị</v>
      </c>
      <c r="H305" t="str">
        <f>survey_responses[[#This Row],[Khu vực bạn đang sinh sống:]]</f>
        <v>Thành thị</v>
      </c>
      <c r="I305" t="str">
        <f>step3_validation[[#This Row],[Education]]</f>
        <v>Sau Đại học</v>
      </c>
      <c r="J305" t="str">
        <f>survey_responses[[#This Row],[Trình độ học vấn cao nhất:]]</f>
        <v>Sau Đại học</v>
      </c>
      <c r="K305" t="str">
        <f>step3_validation[[#This Row],[Employment]]</f>
        <v>Chính thức</v>
      </c>
      <c r="L305" t="str">
        <f>survey_responses[[#This Row],[Tình trạng việc làm chính:]]</f>
        <v>Khu vực chính thức (Có Hợp đồng lao động, đóng BHXH)</v>
      </c>
      <c r="M305">
        <f>step3_validation[[#This Row],[Income_Mil]]</f>
        <v>12</v>
      </c>
      <c r="N305" t="str">
        <f>survey_responses[[#This Row],[Thu nhập bình quân tháng theo Hợp đồng lao động của bạn là bao nhiêu? (Vui lòng điền tổng thu nhập trước khi khấu trừ các loại Bảo hiểm (BHXH, BHYT, BHTN) và Thuế TNCN)]]</f>
        <v>Dưới 12 triệu VNĐ</v>
      </c>
      <c r="O305">
        <f>step3_validation[[#This Row],[Dependents]]</f>
        <v>0</v>
      </c>
      <c r="P305" t="str">
        <f>survey_responses[[#This Row],[Số người phụ thuộc (con nhỏ, cha mẹ già...) đủ điều kiện giảm trừ gia cảnh:]]</f>
        <v>0 người</v>
      </c>
      <c r="Q305">
        <f>step3_validation[[#This Row],[AI_ENF1]]</f>
        <v>6</v>
      </c>
      <c r="R305" t="str">
        <f t="shared" si="108"/>
        <v>Neutral</v>
      </c>
      <c r="S305">
        <f>survey_responses[[#This Row],[Tôi tin rằng với các quy định quản lý thuế hiện nay, hành vi gian lận hoặc trốn thuế sẽ dễ dàng bị phát hiện và xử lý nghiêm. - HUMAN-ENF1]]</f>
        <v>10</v>
      </c>
      <c r="T305" t="str">
        <f t="shared" si="109"/>
        <v>Support</v>
      </c>
      <c r="U305" s="32">
        <f t="shared" si="110"/>
        <v>4</v>
      </c>
      <c r="V305">
        <f>step3_validation[[#This Row],[AI_ENF2]]</f>
        <v>7</v>
      </c>
      <c r="W305" t="str">
        <f t="shared" si="111"/>
        <v>Neutral</v>
      </c>
      <c r="X305">
        <f>survey_responses[[#This Row],[Tôi tin rằng Nhà nước, cơ quan thuế có đủ khả năng và công nghệ để phát hiện, xử lý nghiêm các hành vi trốn thuế. - HUMAN-ENF2]]</f>
        <v>10</v>
      </c>
      <c r="Y305" t="str">
        <f t="shared" si="112"/>
        <v>Support</v>
      </c>
      <c r="Z305" s="32">
        <f t="shared" si="113"/>
        <v>3</v>
      </c>
      <c r="AA305">
        <f>step3_validation[[#This Row],[AI_FAC1]]</f>
        <v>8</v>
      </c>
      <c r="AB305" t="str">
        <f t="shared" si="114"/>
        <v>Support</v>
      </c>
      <c r="AC305">
        <f>survey_responses[[#This Row],[Các thủ tục khai báo thuế VÀ/HOẶC quy trình làm việc với cơ quan thuế đơn giản, tiện lợi, nhanh chóng hơn so với trước đây. - HUMAN-FAC1]]</f>
        <v>10</v>
      </c>
      <c r="AD305" t="str">
        <f t="shared" si="115"/>
        <v>Support</v>
      </c>
      <c r="AE305" s="32">
        <f t="shared" si="116"/>
        <v>2</v>
      </c>
      <c r="AF305">
        <f>step3_validation[[#This Row],[AI_FAC2]]</f>
        <v>7</v>
      </c>
      <c r="AG305" t="str">
        <f t="shared" si="117"/>
        <v>Neutral</v>
      </c>
      <c r="AH305">
        <f>survey_responses[[#This Row],[So với trước đây, tôi thấy cách tính thuế và các bậc thuế trong phương án mới đơn giản, dễ hiểu và dễ thực hiện hơn. - HUMAN-FAC2]]</f>
        <v>10</v>
      </c>
      <c r="AI305" t="str">
        <f t="shared" si="118"/>
        <v>Support</v>
      </c>
      <c r="AJ305" s="32">
        <f t="shared" si="119"/>
        <v>3</v>
      </c>
      <c r="AK305">
        <f>step3_validation[[#This Row],[AI_TRU1]]</f>
        <v>6</v>
      </c>
      <c r="AL305" t="str">
        <f t="shared" si="120"/>
        <v>Neutral</v>
      </c>
      <c r="AM305">
        <f>survey_responses[[#This Row],[Tôi tin rằng Nhà nước, cơ quan thuế sẽ thực thi chính sách mới một cách khách quan, công tâm và đối xử bình đẳng với mọi người nộp thuế.  - HUMAN-TRU1]]</f>
        <v>10</v>
      </c>
      <c r="AN305" t="str">
        <f t="shared" si="121"/>
        <v>Support</v>
      </c>
      <c r="AO305" s="32">
        <f t="shared" si="122"/>
        <v>4</v>
      </c>
      <c r="AP305">
        <f>step3_validation[[#This Row],[AI_TRU2]]</f>
        <v>5</v>
      </c>
      <c r="AQ305" t="str">
        <f t="shared" si="123"/>
        <v>Neutral</v>
      </c>
      <c r="AR305">
        <f>survey_responses[[#This Row],[Tôi thấy mức thuế tôi phải đóng theo phương án mới là công bằng (người thu nhập như tôi đóng mức này là hợp lý). - HUMAN-TRU2]]</f>
        <v>10</v>
      </c>
      <c r="AS305" t="str">
        <f t="shared" si="124"/>
        <v>Support</v>
      </c>
      <c r="AT305" s="32">
        <f t="shared" si="125"/>
        <v>5</v>
      </c>
      <c r="AU305">
        <f>step3_validation[[#This Row],[AI_TRU3]]</f>
        <v>4</v>
      </c>
      <c r="AV305" t="str">
        <f t="shared" si="126"/>
        <v>Oppose</v>
      </c>
      <c r="AW305">
        <f>survey_responses[[#This Row],[Tôi tin tưởng số tiền thuế tôi đóng sẽ được Nhà nước sử dụng hiệu quả để cải thiện dịch vụ công (y tế, đường xá...). - HUMAN-TRU3]]</f>
        <v>10</v>
      </c>
      <c r="AX305" t="str">
        <f t="shared" si="127"/>
        <v>Support</v>
      </c>
      <c r="AY305" s="32">
        <f t="shared" si="128"/>
        <v>6</v>
      </c>
      <c r="AZ305">
        <f>step3_validation[[#This Row],[AI_TRU4]]</f>
        <v>6</v>
      </c>
      <c r="BA305" t="str">
        <f t="shared" si="129"/>
        <v>Neutral</v>
      </c>
      <c r="BB305">
        <f>survey_responses[[#This Row],[Tôi thấy Nhà nước đã giải thích rõ ràng, minh bạch về lý do và mục tiêu của việc sửa đổi thuế lần này. - HUMAN-TRU4]]</f>
        <v>10</v>
      </c>
      <c r="BC305" t="str">
        <f t="shared" si="130"/>
        <v>Support</v>
      </c>
      <c r="BD305" s="32">
        <f t="shared" si="131"/>
        <v>4</v>
      </c>
      <c r="BE305">
        <f>step3_validation[[#This Row],[AI_OUT1]]</f>
        <v>5</v>
      </c>
      <c r="BF305" t="str">
        <f t="shared" si="132"/>
        <v>Neutral</v>
      </c>
      <c r="BG305">
        <f>survey_responses[[#This Row],[Sau khi xem xét các quyền lợi và nghĩa vụ, bạn có ủng hộ và tuân thủ chính sách mới hiện nay? - HUMAN-OUT1]]</f>
        <v>10</v>
      </c>
      <c r="BH305" t="str">
        <f t="shared" si="133"/>
        <v>Support</v>
      </c>
      <c r="BI305" s="32">
        <f t="shared" si="134"/>
        <v>5</v>
      </c>
    </row>
    <row r="306" spans="1:61" x14ac:dyDescent="0.45">
      <c r="A306" s="30">
        <f>step3_validation[[#This Row],[Persona_ID]]</f>
        <v>305</v>
      </c>
      <c r="B306" s="31">
        <f>step3_validation[[#This Row],[Used_Seed]]</f>
        <v>2295</v>
      </c>
      <c r="C306" t="str">
        <f>step3_validation[[#This Row],[Gender]]</f>
        <v>Nam</v>
      </c>
      <c r="D306" t="str">
        <f>survey_responses[[#This Row],[Giới tính của bạn:]]</f>
        <v>Nam</v>
      </c>
      <c r="E306" t="str">
        <f>step3_validation[[#This Row],[Age_Group]]</f>
        <v>30 - 39</v>
      </c>
      <c r="F306" t="str">
        <f>survey_responses[[#This Row],[Độ tuổi của bạn:]]</f>
        <v>30 - 39</v>
      </c>
      <c r="G306" t="str">
        <f>step3_validation[[#This Row],[Region]]</f>
        <v>Thành thị</v>
      </c>
      <c r="H306" t="str">
        <f>survey_responses[[#This Row],[Khu vực bạn đang sinh sống:]]</f>
        <v>Thành thị</v>
      </c>
      <c r="I306" t="str">
        <f>step3_validation[[#This Row],[Education]]</f>
        <v>Đại học</v>
      </c>
      <c r="J306" t="str">
        <f>survey_responses[[#This Row],[Trình độ học vấn cao nhất:]]</f>
        <v>Đại học</v>
      </c>
      <c r="K306" t="str">
        <f>step3_validation[[#This Row],[Employment]]</f>
        <v>Chính thức</v>
      </c>
      <c r="L306" t="str">
        <f>survey_responses[[#This Row],[Tình trạng việc làm chính:]]</f>
        <v>Khu vực chính thức (Có Hợp đồng lao động, đóng BHXH)</v>
      </c>
      <c r="M306">
        <f>step3_validation[[#This Row],[Income_Mil]]</f>
        <v>39.284181945225868</v>
      </c>
      <c r="N306" t="str">
        <f>survey_responses[[#This Row],[Thu nhập bình quân tháng theo Hợp đồng lao động của bạn là bao nhiêu? (Vui lòng điền tổng thu nhập trước khi khấu trừ các loại Bảo hiểm (BHXH, BHYT, BHTN) và Thuế TNCN)]]</f>
        <v>Từ 32 - 48 triệu VNĐ</v>
      </c>
      <c r="O306">
        <f>step3_validation[[#This Row],[Dependents]]</f>
        <v>0</v>
      </c>
      <c r="P306" t="str">
        <f>survey_responses[[#This Row],[Số người phụ thuộc (con nhỏ, cha mẹ già...) đủ điều kiện giảm trừ gia cảnh:]]</f>
        <v>0 người</v>
      </c>
      <c r="Q306">
        <f>step3_validation[[#This Row],[AI_ENF1]]</f>
        <v>6</v>
      </c>
      <c r="R306" t="str">
        <f t="shared" si="108"/>
        <v>Neutral</v>
      </c>
      <c r="S306">
        <f>survey_responses[[#This Row],[Tôi tin rằng với các quy định quản lý thuế hiện nay, hành vi gian lận hoặc trốn thuế sẽ dễ dàng bị phát hiện và xử lý nghiêm. - HUMAN-ENF1]]</f>
        <v>7</v>
      </c>
      <c r="T306" t="str">
        <f t="shared" si="109"/>
        <v>Neutral</v>
      </c>
      <c r="U306" s="32">
        <f t="shared" si="110"/>
        <v>1</v>
      </c>
      <c r="V306">
        <f>step3_validation[[#This Row],[AI_ENF2]]</f>
        <v>7</v>
      </c>
      <c r="W306" t="str">
        <f t="shared" si="111"/>
        <v>Neutral</v>
      </c>
      <c r="X306">
        <f>survey_responses[[#This Row],[Tôi tin rằng Nhà nước, cơ quan thuế có đủ khả năng và công nghệ để phát hiện, xử lý nghiêm các hành vi trốn thuế. - HUMAN-ENF2]]</f>
        <v>9</v>
      </c>
      <c r="Y306" t="str">
        <f t="shared" si="112"/>
        <v>Support</v>
      </c>
      <c r="Z306" s="32">
        <f t="shared" si="113"/>
        <v>2</v>
      </c>
      <c r="AA306">
        <f>step3_validation[[#This Row],[AI_FAC1]]</f>
        <v>8</v>
      </c>
      <c r="AB306" t="str">
        <f t="shared" si="114"/>
        <v>Support</v>
      </c>
      <c r="AC306">
        <f>survey_responses[[#This Row],[Các thủ tục khai báo thuế VÀ/HOẶC quy trình làm việc với cơ quan thuế đơn giản, tiện lợi, nhanh chóng hơn so với trước đây. - HUMAN-FAC1]]</f>
        <v>8</v>
      </c>
      <c r="AD306" t="str">
        <f t="shared" si="115"/>
        <v>Support</v>
      </c>
      <c r="AE306" s="32">
        <f t="shared" si="116"/>
        <v>0</v>
      </c>
      <c r="AF306">
        <f>step3_validation[[#This Row],[AI_FAC2]]</f>
        <v>6</v>
      </c>
      <c r="AG306" t="str">
        <f t="shared" si="117"/>
        <v>Neutral</v>
      </c>
      <c r="AH306">
        <f>survey_responses[[#This Row],[So với trước đây, tôi thấy cách tính thuế và các bậc thuế trong phương án mới đơn giản, dễ hiểu và dễ thực hiện hơn. - HUMAN-FAC2]]</f>
        <v>6</v>
      </c>
      <c r="AI306" t="str">
        <f t="shared" si="118"/>
        <v>Neutral</v>
      </c>
      <c r="AJ306" s="32">
        <f t="shared" si="119"/>
        <v>0</v>
      </c>
      <c r="AK306">
        <f>step3_validation[[#This Row],[AI_TRU1]]</f>
        <v>8</v>
      </c>
      <c r="AL306" t="str">
        <f t="shared" si="120"/>
        <v>Support</v>
      </c>
      <c r="AM306">
        <f>survey_responses[[#This Row],[Tôi tin rằng Nhà nước, cơ quan thuế sẽ thực thi chính sách mới một cách khách quan, công tâm và đối xử bình đẳng với mọi người nộp thuế.  - HUMAN-TRU1]]</f>
        <v>5</v>
      </c>
      <c r="AN306" t="str">
        <f t="shared" si="121"/>
        <v>Neutral</v>
      </c>
      <c r="AO306" s="32">
        <f t="shared" si="122"/>
        <v>3</v>
      </c>
      <c r="AP306">
        <f>step3_validation[[#This Row],[AI_TRU2]]</f>
        <v>7</v>
      </c>
      <c r="AQ306" t="str">
        <f t="shared" si="123"/>
        <v>Neutral</v>
      </c>
      <c r="AR306">
        <f>survey_responses[[#This Row],[Tôi thấy mức thuế tôi phải đóng theo phương án mới là công bằng (người thu nhập như tôi đóng mức này là hợp lý). - HUMAN-TRU2]]</f>
        <v>3</v>
      </c>
      <c r="AS306" t="str">
        <f t="shared" si="124"/>
        <v>Oppose</v>
      </c>
      <c r="AT306" s="32">
        <f t="shared" si="125"/>
        <v>4</v>
      </c>
      <c r="AU306">
        <f>step3_validation[[#This Row],[AI_TRU3]]</f>
        <v>6</v>
      </c>
      <c r="AV306" t="str">
        <f t="shared" si="126"/>
        <v>Neutral</v>
      </c>
      <c r="AW306">
        <f>survey_responses[[#This Row],[Tôi tin tưởng số tiền thuế tôi đóng sẽ được Nhà nước sử dụng hiệu quả để cải thiện dịch vụ công (y tế, đường xá...). - HUMAN-TRU3]]</f>
        <v>9</v>
      </c>
      <c r="AX306" t="str">
        <f t="shared" si="127"/>
        <v>Support</v>
      </c>
      <c r="AY306" s="32">
        <f t="shared" si="128"/>
        <v>3</v>
      </c>
      <c r="AZ306">
        <f>step3_validation[[#This Row],[AI_TRU4]]</f>
        <v>5</v>
      </c>
      <c r="BA306" t="str">
        <f t="shared" si="129"/>
        <v>Neutral</v>
      </c>
      <c r="BB306">
        <f>survey_responses[[#This Row],[Tôi thấy Nhà nước đã giải thích rõ ràng, minh bạch về lý do và mục tiêu của việc sửa đổi thuế lần này. - HUMAN-TRU4]]</f>
        <v>3</v>
      </c>
      <c r="BC306" t="str">
        <f t="shared" si="130"/>
        <v>Oppose</v>
      </c>
      <c r="BD306" s="32">
        <f t="shared" si="131"/>
        <v>2</v>
      </c>
      <c r="BE306">
        <f>step3_validation[[#This Row],[AI_OUT1]]</f>
        <v>7</v>
      </c>
      <c r="BF306" t="str">
        <f t="shared" si="132"/>
        <v>Neutral</v>
      </c>
      <c r="BG306">
        <f>survey_responses[[#This Row],[Sau khi xem xét các quyền lợi và nghĩa vụ, bạn có ủng hộ và tuân thủ chính sách mới hiện nay? - HUMAN-OUT1]]</f>
        <v>4</v>
      </c>
      <c r="BH306" t="str">
        <f t="shared" si="133"/>
        <v>Oppose</v>
      </c>
      <c r="BI306" s="32">
        <f t="shared" si="134"/>
        <v>3</v>
      </c>
    </row>
    <row r="307" spans="1:61" x14ac:dyDescent="0.45">
      <c r="A307" s="30">
        <f>step3_validation[[#This Row],[Persona_ID]]</f>
        <v>306</v>
      </c>
      <c r="B307" s="31">
        <f>step3_validation[[#This Row],[Used_Seed]]</f>
        <v>2296</v>
      </c>
      <c r="C307" t="str">
        <f>step3_validation[[#This Row],[Gender]]</f>
        <v>Nữ</v>
      </c>
      <c r="D307" t="str">
        <f>survey_responses[[#This Row],[Giới tính của bạn:]]</f>
        <v>Nữ</v>
      </c>
      <c r="E307" t="str">
        <f>step3_validation[[#This Row],[Age_Group]]</f>
        <v>40 - 49</v>
      </c>
      <c r="F307" t="str">
        <f>survey_responses[[#This Row],[Độ tuổi của bạn:]]</f>
        <v>40 - 49</v>
      </c>
      <c r="G307" t="str">
        <f>step3_validation[[#This Row],[Region]]</f>
        <v>Thành thị</v>
      </c>
      <c r="H307" t="str">
        <f>survey_responses[[#This Row],[Khu vực bạn đang sinh sống:]]</f>
        <v>Thành thị</v>
      </c>
      <c r="I307" t="str">
        <f>step3_validation[[#This Row],[Education]]</f>
        <v>Đại học</v>
      </c>
      <c r="J307" t="str">
        <f>survey_responses[[#This Row],[Trình độ học vấn cao nhất:]]</f>
        <v>Đại học</v>
      </c>
      <c r="K307" t="str">
        <f>step3_validation[[#This Row],[Employment]]</f>
        <v>Chính thức</v>
      </c>
      <c r="L307" t="str">
        <f>survey_responses[[#This Row],[Tình trạng việc làm chính:]]</f>
        <v>Khu vực chính thức (Có Hợp đồng lao động, đóng BHXH)</v>
      </c>
      <c r="M307">
        <f>step3_validation[[#This Row],[Income_Mil]]</f>
        <v>56.810136217068468</v>
      </c>
      <c r="N307" t="str">
        <f>survey_responses[[#This Row],[Thu nhập bình quân tháng theo Hợp đồng lao động của bạn là bao nhiêu? (Vui lòng điền tổng thu nhập trước khi khấu trừ các loại Bảo hiểm (BHXH, BHYT, BHTN) và Thuế TNCN)]]</f>
        <v>Từ 48 - 70 triệu VNĐ</v>
      </c>
      <c r="O307">
        <f>step3_validation[[#This Row],[Dependents]]</f>
        <v>3</v>
      </c>
      <c r="P307" t="str">
        <f>survey_responses[[#This Row],[Số người phụ thuộc (con nhỏ, cha mẹ già...) đủ điều kiện giảm trừ gia cảnh:]]</f>
        <v>3 người</v>
      </c>
      <c r="Q307">
        <f>step3_validation[[#This Row],[AI_ENF1]]</f>
        <v>8</v>
      </c>
      <c r="R307" t="str">
        <f t="shared" si="108"/>
        <v>Support</v>
      </c>
      <c r="S307">
        <f>survey_responses[[#This Row],[Tôi tin rằng với các quy định quản lý thuế hiện nay, hành vi gian lận hoặc trốn thuế sẽ dễ dàng bị phát hiện và xử lý nghiêm. - HUMAN-ENF1]]</f>
        <v>3</v>
      </c>
      <c r="T307" t="str">
        <f t="shared" si="109"/>
        <v>Oppose</v>
      </c>
      <c r="U307" s="32">
        <f t="shared" si="110"/>
        <v>5</v>
      </c>
      <c r="V307">
        <f>step3_validation[[#This Row],[AI_ENF2]]</f>
        <v>7</v>
      </c>
      <c r="W307" t="str">
        <f t="shared" si="111"/>
        <v>Neutral</v>
      </c>
      <c r="X307">
        <f>survey_responses[[#This Row],[Tôi tin rằng Nhà nước, cơ quan thuế có đủ khả năng và công nghệ để phát hiện, xử lý nghiêm các hành vi trốn thuế. - HUMAN-ENF2]]</f>
        <v>8</v>
      </c>
      <c r="Y307" t="str">
        <f t="shared" si="112"/>
        <v>Support</v>
      </c>
      <c r="Z307" s="32">
        <f t="shared" si="113"/>
        <v>1</v>
      </c>
      <c r="AA307">
        <f>step3_validation[[#This Row],[AI_FAC1]]</f>
        <v>9</v>
      </c>
      <c r="AB307" t="str">
        <f t="shared" si="114"/>
        <v>Support</v>
      </c>
      <c r="AC307">
        <f>survey_responses[[#This Row],[Các thủ tục khai báo thuế VÀ/HOẶC quy trình làm việc với cơ quan thuế đơn giản, tiện lợi, nhanh chóng hơn so với trước đây. - HUMAN-FAC1]]</f>
        <v>8</v>
      </c>
      <c r="AD307" t="str">
        <f t="shared" si="115"/>
        <v>Support</v>
      </c>
      <c r="AE307" s="32">
        <f t="shared" si="116"/>
        <v>1</v>
      </c>
      <c r="AF307">
        <f>step3_validation[[#This Row],[AI_FAC2]]</f>
        <v>8</v>
      </c>
      <c r="AG307" t="str">
        <f t="shared" si="117"/>
        <v>Support</v>
      </c>
      <c r="AH307">
        <f>survey_responses[[#This Row],[So với trước đây, tôi thấy cách tính thuế và các bậc thuế trong phương án mới đơn giản, dễ hiểu và dễ thực hiện hơn. - HUMAN-FAC2]]</f>
        <v>4</v>
      </c>
      <c r="AI307" t="str">
        <f t="shared" si="118"/>
        <v>Oppose</v>
      </c>
      <c r="AJ307" s="32">
        <f t="shared" si="119"/>
        <v>4</v>
      </c>
      <c r="AK307">
        <f>step3_validation[[#This Row],[AI_TRU1]]</f>
        <v>8</v>
      </c>
      <c r="AL307" t="str">
        <f t="shared" si="120"/>
        <v>Support</v>
      </c>
      <c r="AM307">
        <f>survey_responses[[#This Row],[Tôi tin rằng Nhà nước, cơ quan thuế sẽ thực thi chính sách mới một cách khách quan, công tâm và đối xử bình đẳng với mọi người nộp thuế.  - HUMAN-TRU1]]</f>
        <v>4</v>
      </c>
      <c r="AN307" t="str">
        <f t="shared" si="121"/>
        <v>Oppose</v>
      </c>
      <c r="AO307" s="32">
        <f t="shared" si="122"/>
        <v>4</v>
      </c>
      <c r="AP307">
        <f>step3_validation[[#This Row],[AI_TRU2]]</f>
        <v>9</v>
      </c>
      <c r="AQ307" t="str">
        <f t="shared" si="123"/>
        <v>Support</v>
      </c>
      <c r="AR307">
        <f>survey_responses[[#This Row],[Tôi thấy mức thuế tôi phải đóng theo phương án mới là công bằng (người thu nhập như tôi đóng mức này là hợp lý). - HUMAN-TRU2]]</f>
        <v>3</v>
      </c>
      <c r="AS307" t="str">
        <f t="shared" si="124"/>
        <v>Oppose</v>
      </c>
      <c r="AT307" s="32">
        <f t="shared" si="125"/>
        <v>6</v>
      </c>
      <c r="AU307">
        <f>step3_validation[[#This Row],[AI_TRU3]]</f>
        <v>7</v>
      </c>
      <c r="AV307" t="str">
        <f t="shared" si="126"/>
        <v>Neutral</v>
      </c>
      <c r="AW307">
        <f>survey_responses[[#This Row],[Tôi tin tưởng số tiền thuế tôi đóng sẽ được Nhà nước sử dụng hiệu quả để cải thiện dịch vụ công (y tế, đường xá...). - HUMAN-TRU3]]</f>
        <v>7</v>
      </c>
      <c r="AX307" t="str">
        <f t="shared" si="127"/>
        <v>Neutral</v>
      </c>
      <c r="AY307" s="32">
        <f t="shared" si="128"/>
        <v>0</v>
      </c>
      <c r="AZ307">
        <f>step3_validation[[#This Row],[AI_TRU4]]</f>
        <v>6</v>
      </c>
      <c r="BA307" t="str">
        <f t="shared" si="129"/>
        <v>Neutral</v>
      </c>
      <c r="BB307">
        <f>survey_responses[[#This Row],[Tôi thấy Nhà nước đã giải thích rõ ràng, minh bạch về lý do và mục tiêu của việc sửa đổi thuế lần này. - HUMAN-TRU4]]</f>
        <v>5</v>
      </c>
      <c r="BC307" t="str">
        <f t="shared" si="130"/>
        <v>Neutral</v>
      </c>
      <c r="BD307" s="32">
        <f t="shared" si="131"/>
        <v>1</v>
      </c>
      <c r="BE307">
        <f>step3_validation[[#This Row],[AI_OUT1]]</f>
        <v>8</v>
      </c>
      <c r="BF307" t="str">
        <f t="shared" si="132"/>
        <v>Support</v>
      </c>
      <c r="BG307">
        <f>survey_responses[[#This Row],[Sau khi xem xét các quyền lợi và nghĩa vụ, bạn có ủng hộ và tuân thủ chính sách mới hiện nay? - HUMAN-OUT1]]</f>
        <v>5</v>
      </c>
      <c r="BH307" t="str">
        <f t="shared" si="133"/>
        <v>Neutral</v>
      </c>
      <c r="BI307" s="32">
        <f t="shared" si="134"/>
        <v>3</v>
      </c>
    </row>
    <row r="308" spans="1:61" x14ac:dyDescent="0.45">
      <c r="A308" s="30">
        <f>step3_validation[[#This Row],[Persona_ID]]</f>
        <v>307</v>
      </c>
      <c r="B308" s="31">
        <f>step3_validation[[#This Row],[Used_Seed]]</f>
        <v>2297</v>
      </c>
      <c r="C308" t="str">
        <f>step3_validation[[#This Row],[Gender]]</f>
        <v>Nữ</v>
      </c>
      <c r="D308" t="str">
        <f>survey_responses[[#This Row],[Giới tính của bạn:]]</f>
        <v>Nữ</v>
      </c>
      <c r="E308" t="str">
        <f>step3_validation[[#This Row],[Age_Group]]</f>
        <v>55 - 64</v>
      </c>
      <c r="F308" t="str">
        <f>survey_responses[[#This Row],[Độ tuổi của bạn:]]</f>
        <v>55 - 64</v>
      </c>
      <c r="G308" t="str">
        <f>step3_validation[[#This Row],[Region]]</f>
        <v>Thành thị</v>
      </c>
      <c r="H308" t="str">
        <f>survey_responses[[#This Row],[Khu vực bạn đang sinh sống:]]</f>
        <v>Thành thị</v>
      </c>
      <c r="I308" t="str">
        <f>step3_validation[[#This Row],[Education]]</f>
        <v>Sau Đại học</v>
      </c>
      <c r="J308" t="str">
        <f>survey_responses[[#This Row],[Trình độ học vấn cao nhất:]]</f>
        <v>Sau Đại học</v>
      </c>
      <c r="K308" t="str">
        <f>step3_validation[[#This Row],[Employment]]</f>
        <v>Phi chính thức</v>
      </c>
      <c r="L308" t="str">
        <f>survey_responses[[#This Row],[Tình trạng việc làm chính:]]</f>
        <v>Khác (Về hưu, nội trợ, sinh viên)</v>
      </c>
      <c r="M308">
        <f>step3_validation[[#This Row],[Income_Mil]]</f>
        <v>14.954634857941985</v>
      </c>
      <c r="N308" t="str">
        <f>survey_responses[[#This Row],[Thu nhập bình quân tháng theo Hợp đồng lao động của bạn là bao nhiêu? (Vui lòng điền tổng thu nhập trước khi khấu trừ các loại Bảo hiểm (BHXH, BHYT, BHTN) và Thuế TNCN)]]</f>
        <v>Từ 12 - 18 triệu VNĐ</v>
      </c>
      <c r="O308">
        <f>step3_validation[[#This Row],[Dependents]]</f>
        <v>2</v>
      </c>
      <c r="P308" t="str">
        <f>survey_responses[[#This Row],[Số người phụ thuộc (con nhỏ, cha mẹ già...) đủ điều kiện giảm trừ gia cảnh:]]</f>
        <v>2 người</v>
      </c>
      <c r="Q308">
        <f>step3_validation[[#This Row],[AI_ENF1]]</f>
        <v>8</v>
      </c>
      <c r="R308" t="str">
        <f t="shared" si="108"/>
        <v>Support</v>
      </c>
      <c r="S308">
        <f>survey_responses[[#This Row],[Tôi tin rằng với các quy định quản lý thuế hiện nay, hành vi gian lận hoặc trốn thuế sẽ dễ dàng bị phát hiện và xử lý nghiêm. - HUMAN-ENF1]]</f>
        <v>2</v>
      </c>
      <c r="T308" t="str">
        <f t="shared" si="109"/>
        <v>Oppose</v>
      </c>
      <c r="U308" s="32">
        <f t="shared" si="110"/>
        <v>6</v>
      </c>
      <c r="V308">
        <f>step3_validation[[#This Row],[AI_ENF2]]</f>
        <v>7</v>
      </c>
      <c r="W308" t="str">
        <f t="shared" si="111"/>
        <v>Neutral</v>
      </c>
      <c r="X308">
        <f>survey_responses[[#This Row],[Tôi tin rằng Nhà nước, cơ quan thuế có đủ khả năng và công nghệ để phát hiện, xử lý nghiêm các hành vi trốn thuế. - HUMAN-ENF2]]</f>
        <v>2</v>
      </c>
      <c r="Y308" t="str">
        <f t="shared" si="112"/>
        <v>Oppose</v>
      </c>
      <c r="Z308" s="32">
        <f t="shared" si="113"/>
        <v>5</v>
      </c>
      <c r="AA308">
        <f>step3_validation[[#This Row],[AI_FAC1]]</f>
        <v>9</v>
      </c>
      <c r="AB308" t="str">
        <f t="shared" si="114"/>
        <v>Support</v>
      </c>
      <c r="AC308">
        <f>survey_responses[[#This Row],[Các thủ tục khai báo thuế VÀ/HOẶC quy trình làm việc với cơ quan thuế đơn giản, tiện lợi, nhanh chóng hơn so với trước đây. - HUMAN-FAC1]]</f>
        <v>2</v>
      </c>
      <c r="AD308" t="str">
        <f t="shared" si="115"/>
        <v>Oppose</v>
      </c>
      <c r="AE308" s="32">
        <f t="shared" si="116"/>
        <v>7</v>
      </c>
      <c r="AF308">
        <f>step3_validation[[#This Row],[AI_FAC2]]</f>
        <v>8</v>
      </c>
      <c r="AG308" t="str">
        <f t="shared" si="117"/>
        <v>Support</v>
      </c>
      <c r="AH308">
        <f>survey_responses[[#This Row],[So với trước đây, tôi thấy cách tính thuế và các bậc thuế trong phương án mới đơn giản, dễ hiểu và dễ thực hiện hơn. - HUMAN-FAC2]]</f>
        <v>1</v>
      </c>
      <c r="AI308" t="str">
        <f t="shared" si="118"/>
        <v>Oppose</v>
      </c>
      <c r="AJ308" s="32">
        <f t="shared" si="119"/>
        <v>7</v>
      </c>
      <c r="AK308">
        <f>step3_validation[[#This Row],[AI_TRU1]]</f>
        <v>9</v>
      </c>
      <c r="AL308" t="str">
        <f t="shared" si="120"/>
        <v>Support</v>
      </c>
      <c r="AM308">
        <f>survey_responses[[#This Row],[Tôi tin rằng Nhà nước, cơ quan thuế sẽ thực thi chính sách mới một cách khách quan, công tâm và đối xử bình đẳng với mọi người nộp thuế.  - HUMAN-TRU1]]</f>
        <v>2</v>
      </c>
      <c r="AN308" t="str">
        <f t="shared" si="121"/>
        <v>Oppose</v>
      </c>
      <c r="AO308" s="32">
        <f t="shared" si="122"/>
        <v>7</v>
      </c>
      <c r="AP308">
        <f>step3_validation[[#This Row],[AI_TRU2]]</f>
        <v>8</v>
      </c>
      <c r="AQ308" t="str">
        <f t="shared" si="123"/>
        <v>Support</v>
      </c>
      <c r="AR308">
        <f>survey_responses[[#This Row],[Tôi thấy mức thuế tôi phải đóng theo phương án mới là công bằng (người thu nhập như tôi đóng mức này là hợp lý). - HUMAN-TRU2]]</f>
        <v>2</v>
      </c>
      <c r="AS308" t="str">
        <f t="shared" si="124"/>
        <v>Oppose</v>
      </c>
      <c r="AT308" s="32">
        <f t="shared" si="125"/>
        <v>6</v>
      </c>
      <c r="AU308">
        <f>step3_validation[[#This Row],[AI_TRU3]]</f>
        <v>9</v>
      </c>
      <c r="AV308" t="str">
        <f t="shared" si="126"/>
        <v>Support</v>
      </c>
      <c r="AW308">
        <f>survey_responses[[#This Row],[Tôi tin tưởng số tiền thuế tôi đóng sẽ được Nhà nước sử dụng hiệu quả để cải thiện dịch vụ công (y tế, đường xá...). - HUMAN-TRU3]]</f>
        <v>2</v>
      </c>
      <c r="AX308" t="str">
        <f t="shared" si="127"/>
        <v>Oppose</v>
      </c>
      <c r="AY308" s="32">
        <f t="shared" si="128"/>
        <v>7</v>
      </c>
      <c r="AZ308">
        <f>step3_validation[[#This Row],[AI_TRU4]]</f>
        <v>7</v>
      </c>
      <c r="BA308" t="str">
        <f t="shared" si="129"/>
        <v>Neutral</v>
      </c>
      <c r="BB308">
        <f>survey_responses[[#This Row],[Tôi thấy Nhà nước đã giải thích rõ ràng, minh bạch về lý do và mục tiêu của việc sửa đổi thuế lần này. - HUMAN-TRU4]]</f>
        <v>2</v>
      </c>
      <c r="BC308" t="str">
        <f t="shared" si="130"/>
        <v>Oppose</v>
      </c>
      <c r="BD308" s="32">
        <f t="shared" si="131"/>
        <v>5</v>
      </c>
      <c r="BE308">
        <f>step3_validation[[#This Row],[AI_OUT1]]</f>
        <v>9</v>
      </c>
      <c r="BF308" t="str">
        <f t="shared" si="132"/>
        <v>Support</v>
      </c>
      <c r="BG308">
        <f>survey_responses[[#This Row],[Sau khi xem xét các quyền lợi và nghĩa vụ, bạn có ủng hộ và tuân thủ chính sách mới hiện nay? - HUMAN-OUT1]]</f>
        <v>2</v>
      </c>
      <c r="BH308" t="str">
        <f t="shared" si="133"/>
        <v>Oppose</v>
      </c>
      <c r="BI308" s="32">
        <f t="shared" si="134"/>
        <v>7</v>
      </c>
    </row>
    <row r="309" spans="1:61" x14ac:dyDescent="0.45">
      <c r="A309" s="30">
        <f>step3_validation[[#This Row],[Persona_ID]]</f>
        <v>308</v>
      </c>
      <c r="B309" s="31">
        <f>step3_validation[[#This Row],[Used_Seed]]</f>
        <v>2298</v>
      </c>
      <c r="C309" t="str">
        <f>step3_validation[[#This Row],[Gender]]</f>
        <v>Nữ</v>
      </c>
      <c r="D309" t="str">
        <f>survey_responses[[#This Row],[Giới tính của bạn:]]</f>
        <v>Nữ</v>
      </c>
      <c r="E309" t="str">
        <f>step3_validation[[#This Row],[Age_Group]]</f>
        <v>40 - 49</v>
      </c>
      <c r="F309" t="str">
        <f>survey_responses[[#This Row],[Độ tuổi của bạn:]]</f>
        <v>40 - 49</v>
      </c>
      <c r="G309" t="str">
        <f>step3_validation[[#This Row],[Region]]</f>
        <v>Thành thị</v>
      </c>
      <c r="H309" t="str">
        <f>survey_responses[[#This Row],[Khu vực bạn đang sinh sống:]]</f>
        <v>Thành thị</v>
      </c>
      <c r="I309" t="str">
        <f>step3_validation[[#This Row],[Education]]</f>
        <v>Sau Đại học</v>
      </c>
      <c r="J309" t="str">
        <f>survey_responses[[#This Row],[Trình độ học vấn cao nhất:]]</f>
        <v>Sau Đại học</v>
      </c>
      <c r="K309" t="str">
        <f>step3_validation[[#This Row],[Employment]]</f>
        <v>Chính thức</v>
      </c>
      <c r="L309" t="str">
        <f>survey_responses[[#This Row],[Tình trạng việc làm chính:]]</f>
        <v>Khu vực chính thức (Có Hợp đồng lao động, đóng BHXH)</v>
      </c>
      <c r="M309">
        <f>step3_validation[[#This Row],[Income_Mil]]</f>
        <v>184.79089577465027</v>
      </c>
      <c r="N309" t="str">
        <f>survey_responses[[#This Row],[Thu nhập bình quân tháng theo Hợp đồng lao động của bạn là bao nhiêu? (Vui lòng điền tổng thu nhập trước khi khấu trừ các loại Bảo hiểm (BHXH, BHYT, BHTN) và Thuế TNCN)]]</f>
        <v>Trên 102 triệu VNĐ</v>
      </c>
      <c r="O309">
        <f>step3_validation[[#This Row],[Dependents]]</f>
        <v>2</v>
      </c>
      <c r="P309" t="str">
        <f>survey_responses[[#This Row],[Số người phụ thuộc (con nhỏ, cha mẹ già...) đủ điều kiện giảm trừ gia cảnh:]]</f>
        <v>2 người</v>
      </c>
      <c r="Q309">
        <f>step3_validation[[#This Row],[AI_ENF1]]</f>
        <v>7</v>
      </c>
      <c r="R309" t="str">
        <f t="shared" si="108"/>
        <v>Neutral</v>
      </c>
      <c r="S309">
        <f>survey_responses[[#This Row],[Tôi tin rằng với các quy định quản lý thuế hiện nay, hành vi gian lận hoặc trốn thuế sẽ dễ dàng bị phát hiện và xử lý nghiêm. - HUMAN-ENF1]]</f>
        <v>10</v>
      </c>
      <c r="T309" t="str">
        <f t="shared" si="109"/>
        <v>Support</v>
      </c>
      <c r="U309" s="32">
        <f t="shared" si="110"/>
        <v>3</v>
      </c>
      <c r="V309">
        <f>step3_validation[[#This Row],[AI_ENF2]]</f>
        <v>8</v>
      </c>
      <c r="W309" t="str">
        <f t="shared" si="111"/>
        <v>Support</v>
      </c>
      <c r="X309">
        <f>survey_responses[[#This Row],[Tôi tin rằng Nhà nước, cơ quan thuế có đủ khả năng và công nghệ để phát hiện, xử lý nghiêm các hành vi trốn thuế. - HUMAN-ENF2]]</f>
        <v>8</v>
      </c>
      <c r="Y309" t="str">
        <f t="shared" si="112"/>
        <v>Support</v>
      </c>
      <c r="Z309" s="32">
        <f t="shared" si="113"/>
        <v>0</v>
      </c>
      <c r="AA309">
        <f>step3_validation[[#This Row],[AI_FAC1]]</f>
        <v>6</v>
      </c>
      <c r="AB309" t="str">
        <f t="shared" si="114"/>
        <v>Neutral</v>
      </c>
      <c r="AC309">
        <f>survey_responses[[#This Row],[Các thủ tục khai báo thuế VÀ/HOẶC quy trình làm việc với cơ quan thuế đơn giản, tiện lợi, nhanh chóng hơn so với trước đây. - HUMAN-FAC1]]</f>
        <v>8</v>
      </c>
      <c r="AD309" t="str">
        <f t="shared" si="115"/>
        <v>Support</v>
      </c>
      <c r="AE309" s="32">
        <f t="shared" si="116"/>
        <v>2</v>
      </c>
      <c r="AF309">
        <f>step3_validation[[#This Row],[AI_FAC2]]</f>
        <v>6</v>
      </c>
      <c r="AG309" t="str">
        <f t="shared" si="117"/>
        <v>Neutral</v>
      </c>
      <c r="AH309">
        <f>survey_responses[[#This Row],[So với trước đây, tôi thấy cách tính thuế và các bậc thuế trong phương án mới đơn giản, dễ hiểu và dễ thực hiện hơn. - HUMAN-FAC2]]</f>
        <v>8</v>
      </c>
      <c r="AI309" t="str">
        <f t="shared" si="118"/>
        <v>Support</v>
      </c>
      <c r="AJ309" s="32">
        <f t="shared" si="119"/>
        <v>2</v>
      </c>
      <c r="AK309">
        <f>step3_validation[[#This Row],[AI_TRU1]]</f>
        <v>7</v>
      </c>
      <c r="AL309" t="str">
        <f t="shared" si="120"/>
        <v>Neutral</v>
      </c>
      <c r="AM309">
        <f>survey_responses[[#This Row],[Tôi tin rằng Nhà nước, cơ quan thuế sẽ thực thi chính sách mới một cách khách quan, công tâm và đối xử bình đẳng với mọi người nộp thuế.  - HUMAN-TRU1]]</f>
        <v>10</v>
      </c>
      <c r="AN309" t="str">
        <f t="shared" si="121"/>
        <v>Support</v>
      </c>
      <c r="AO309" s="32">
        <f t="shared" si="122"/>
        <v>3</v>
      </c>
      <c r="AP309">
        <f>step3_validation[[#This Row],[AI_TRU2]]</f>
        <v>8</v>
      </c>
      <c r="AQ309" t="str">
        <f t="shared" si="123"/>
        <v>Support</v>
      </c>
      <c r="AR309">
        <f>survey_responses[[#This Row],[Tôi thấy mức thuế tôi phải đóng theo phương án mới là công bằng (người thu nhập như tôi đóng mức này là hợp lý). - HUMAN-TRU2]]</f>
        <v>10</v>
      </c>
      <c r="AS309" t="str">
        <f t="shared" si="124"/>
        <v>Support</v>
      </c>
      <c r="AT309" s="32">
        <f t="shared" si="125"/>
        <v>2</v>
      </c>
      <c r="AU309">
        <f>step3_validation[[#This Row],[AI_TRU3]]</f>
        <v>7</v>
      </c>
      <c r="AV309" t="str">
        <f t="shared" si="126"/>
        <v>Neutral</v>
      </c>
      <c r="AW309">
        <f>survey_responses[[#This Row],[Tôi tin tưởng số tiền thuế tôi đóng sẽ được Nhà nước sử dụng hiệu quả để cải thiện dịch vụ công (y tế, đường xá...). - HUMAN-TRU3]]</f>
        <v>6</v>
      </c>
      <c r="AX309" t="str">
        <f t="shared" si="127"/>
        <v>Neutral</v>
      </c>
      <c r="AY309" s="32">
        <f t="shared" si="128"/>
        <v>1</v>
      </c>
      <c r="AZ309">
        <f>step3_validation[[#This Row],[AI_TRU4]]</f>
        <v>7</v>
      </c>
      <c r="BA309" t="str">
        <f t="shared" si="129"/>
        <v>Neutral</v>
      </c>
      <c r="BB309">
        <f>survey_responses[[#This Row],[Tôi thấy Nhà nước đã giải thích rõ ràng, minh bạch về lý do và mục tiêu của việc sửa đổi thuế lần này. - HUMAN-TRU4]]</f>
        <v>8</v>
      </c>
      <c r="BC309" t="str">
        <f t="shared" si="130"/>
        <v>Support</v>
      </c>
      <c r="BD309" s="32">
        <f t="shared" si="131"/>
        <v>1</v>
      </c>
      <c r="BE309">
        <f>step3_validation[[#This Row],[AI_OUT1]]</f>
        <v>7</v>
      </c>
      <c r="BF309" t="str">
        <f t="shared" si="132"/>
        <v>Neutral</v>
      </c>
      <c r="BG309">
        <f>survey_responses[[#This Row],[Sau khi xem xét các quyền lợi và nghĩa vụ, bạn có ủng hộ và tuân thủ chính sách mới hiện nay? - HUMAN-OUT1]]</f>
        <v>8</v>
      </c>
      <c r="BH309" t="str">
        <f t="shared" si="133"/>
        <v>Support</v>
      </c>
      <c r="BI309" s="32">
        <f t="shared" si="134"/>
        <v>1</v>
      </c>
    </row>
    <row r="310" spans="1:61" x14ac:dyDescent="0.45">
      <c r="A310" s="30">
        <f>step3_validation[[#This Row],[Persona_ID]]</f>
        <v>309</v>
      </c>
      <c r="B310" s="31">
        <f>step3_validation[[#This Row],[Used_Seed]]</f>
        <v>2299</v>
      </c>
      <c r="C310" t="str">
        <f>step3_validation[[#This Row],[Gender]]</f>
        <v>Nam</v>
      </c>
      <c r="D310" t="str">
        <f>survey_responses[[#This Row],[Giới tính của bạn:]]</f>
        <v>Nam</v>
      </c>
      <c r="E310" t="str">
        <f>step3_validation[[#This Row],[Age_Group]]</f>
        <v>30 - 39</v>
      </c>
      <c r="F310" t="str">
        <f>survey_responses[[#This Row],[Độ tuổi của bạn:]]</f>
        <v>30 - 39</v>
      </c>
      <c r="G310" t="str">
        <f>step3_validation[[#This Row],[Region]]</f>
        <v>Thành thị</v>
      </c>
      <c r="H310" t="str">
        <f>survey_responses[[#This Row],[Khu vực bạn đang sinh sống:]]</f>
        <v>Thành thị</v>
      </c>
      <c r="I310" t="str">
        <f>step3_validation[[#This Row],[Education]]</f>
        <v>Đại học</v>
      </c>
      <c r="J310" t="str">
        <f>survey_responses[[#This Row],[Trình độ học vấn cao nhất:]]</f>
        <v>Đại học</v>
      </c>
      <c r="K310" t="str">
        <f>step3_validation[[#This Row],[Employment]]</f>
        <v>Chính thức</v>
      </c>
      <c r="L310" t="str">
        <f>survey_responses[[#This Row],[Tình trạng việc làm chính:]]</f>
        <v>Khu vực chính thức (Có Hợp đồng lao động, đóng BHXH)</v>
      </c>
      <c r="M310">
        <f>step3_validation[[#This Row],[Income_Mil]]</f>
        <v>50.676369719896847</v>
      </c>
      <c r="N310" t="str">
        <f>survey_responses[[#This Row],[Thu nhập bình quân tháng theo Hợp đồng lao động của bạn là bao nhiêu? (Vui lòng điền tổng thu nhập trước khi khấu trừ các loại Bảo hiểm (BHXH, BHYT, BHTN) và Thuế TNCN)]]</f>
        <v>Từ 48 - 70 triệu VNĐ</v>
      </c>
      <c r="O310">
        <f>step3_validation[[#This Row],[Dependents]]</f>
        <v>1</v>
      </c>
      <c r="P310" t="str">
        <f>survey_responses[[#This Row],[Số người phụ thuộc (con nhỏ, cha mẹ già...) đủ điều kiện giảm trừ gia cảnh:]]</f>
        <v>1 người</v>
      </c>
      <c r="Q310">
        <f>step3_validation[[#This Row],[AI_ENF1]]</f>
        <v>6</v>
      </c>
      <c r="R310" t="str">
        <f t="shared" si="108"/>
        <v>Neutral</v>
      </c>
      <c r="S310">
        <f>survey_responses[[#This Row],[Tôi tin rằng với các quy định quản lý thuế hiện nay, hành vi gian lận hoặc trốn thuế sẽ dễ dàng bị phát hiện và xử lý nghiêm. - HUMAN-ENF1]]</f>
        <v>10</v>
      </c>
      <c r="T310" t="str">
        <f t="shared" si="109"/>
        <v>Support</v>
      </c>
      <c r="U310" s="32">
        <f t="shared" si="110"/>
        <v>4</v>
      </c>
      <c r="V310">
        <f>step3_validation[[#This Row],[AI_ENF2]]</f>
        <v>7</v>
      </c>
      <c r="W310" t="str">
        <f t="shared" si="111"/>
        <v>Neutral</v>
      </c>
      <c r="X310">
        <f>survey_responses[[#This Row],[Tôi tin rằng Nhà nước, cơ quan thuế có đủ khả năng và công nghệ để phát hiện, xử lý nghiêm các hành vi trốn thuế. - HUMAN-ENF2]]</f>
        <v>10</v>
      </c>
      <c r="Y310" t="str">
        <f t="shared" si="112"/>
        <v>Support</v>
      </c>
      <c r="Z310" s="32">
        <f t="shared" si="113"/>
        <v>3</v>
      </c>
      <c r="AA310">
        <f>step3_validation[[#This Row],[AI_FAC1]]</f>
        <v>8</v>
      </c>
      <c r="AB310" t="str">
        <f t="shared" si="114"/>
        <v>Support</v>
      </c>
      <c r="AC310">
        <f>survey_responses[[#This Row],[Các thủ tục khai báo thuế VÀ/HOẶC quy trình làm việc với cơ quan thuế đơn giản, tiện lợi, nhanh chóng hơn so với trước đây. - HUMAN-FAC1]]</f>
        <v>10</v>
      </c>
      <c r="AD310" t="str">
        <f t="shared" si="115"/>
        <v>Support</v>
      </c>
      <c r="AE310" s="32">
        <f t="shared" si="116"/>
        <v>2</v>
      </c>
      <c r="AF310">
        <f>step3_validation[[#This Row],[AI_FAC2]]</f>
        <v>9</v>
      </c>
      <c r="AG310" t="str">
        <f t="shared" si="117"/>
        <v>Support</v>
      </c>
      <c r="AH310">
        <f>survey_responses[[#This Row],[So với trước đây, tôi thấy cách tính thuế và các bậc thuế trong phương án mới đơn giản, dễ hiểu và dễ thực hiện hơn. - HUMAN-FAC2]]</f>
        <v>10</v>
      </c>
      <c r="AI310" t="str">
        <f t="shared" si="118"/>
        <v>Support</v>
      </c>
      <c r="AJ310" s="32">
        <f t="shared" si="119"/>
        <v>1</v>
      </c>
      <c r="AK310">
        <f>step3_validation[[#This Row],[AI_TRU1]]</f>
        <v>7</v>
      </c>
      <c r="AL310" t="str">
        <f t="shared" si="120"/>
        <v>Neutral</v>
      </c>
      <c r="AM310">
        <f>survey_responses[[#This Row],[Tôi tin rằng Nhà nước, cơ quan thuế sẽ thực thi chính sách mới một cách khách quan, công tâm và đối xử bình đẳng với mọi người nộp thuế.  - HUMAN-TRU1]]</f>
        <v>10</v>
      </c>
      <c r="AN310" t="str">
        <f t="shared" si="121"/>
        <v>Support</v>
      </c>
      <c r="AO310" s="32">
        <f t="shared" si="122"/>
        <v>3</v>
      </c>
      <c r="AP310">
        <f>step3_validation[[#This Row],[AI_TRU2]]</f>
        <v>6</v>
      </c>
      <c r="AQ310" t="str">
        <f t="shared" si="123"/>
        <v>Neutral</v>
      </c>
      <c r="AR310">
        <f>survey_responses[[#This Row],[Tôi thấy mức thuế tôi phải đóng theo phương án mới là công bằng (người thu nhập như tôi đóng mức này là hợp lý). - HUMAN-TRU2]]</f>
        <v>9</v>
      </c>
      <c r="AS310" t="str">
        <f t="shared" si="124"/>
        <v>Support</v>
      </c>
      <c r="AT310" s="32">
        <f t="shared" si="125"/>
        <v>3</v>
      </c>
      <c r="AU310">
        <f>step3_validation[[#This Row],[AI_TRU3]]</f>
        <v>5</v>
      </c>
      <c r="AV310" t="str">
        <f t="shared" si="126"/>
        <v>Neutral</v>
      </c>
      <c r="AW310">
        <f>survey_responses[[#This Row],[Tôi tin tưởng số tiền thuế tôi đóng sẽ được Nhà nước sử dụng hiệu quả để cải thiện dịch vụ công (y tế, đường xá...). - HUMAN-TRU3]]</f>
        <v>9</v>
      </c>
      <c r="AX310" t="str">
        <f t="shared" si="127"/>
        <v>Support</v>
      </c>
      <c r="AY310" s="32">
        <f t="shared" si="128"/>
        <v>4</v>
      </c>
      <c r="AZ310">
        <f>step3_validation[[#This Row],[AI_TRU4]]</f>
        <v>6</v>
      </c>
      <c r="BA310" t="str">
        <f t="shared" si="129"/>
        <v>Neutral</v>
      </c>
      <c r="BB310">
        <f>survey_responses[[#This Row],[Tôi thấy Nhà nước đã giải thích rõ ràng, minh bạch về lý do và mục tiêu của việc sửa đổi thuế lần này. - HUMAN-TRU4]]</f>
        <v>10</v>
      </c>
      <c r="BC310" t="str">
        <f t="shared" si="130"/>
        <v>Support</v>
      </c>
      <c r="BD310" s="32">
        <f t="shared" si="131"/>
        <v>4</v>
      </c>
      <c r="BE310">
        <f>step3_validation[[#This Row],[AI_OUT1]]</f>
        <v>7</v>
      </c>
      <c r="BF310" t="str">
        <f t="shared" si="132"/>
        <v>Neutral</v>
      </c>
      <c r="BG310">
        <f>survey_responses[[#This Row],[Sau khi xem xét các quyền lợi và nghĩa vụ, bạn có ủng hộ và tuân thủ chính sách mới hiện nay? - HUMAN-OUT1]]</f>
        <v>10</v>
      </c>
      <c r="BH310" t="str">
        <f t="shared" si="133"/>
        <v>Support</v>
      </c>
      <c r="BI310" s="32">
        <f t="shared" si="134"/>
        <v>3</v>
      </c>
    </row>
    <row r="311" spans="1:61" x14ac:dyDescent="0.45">
      <c r="A311" s="30">
        <f>step3_validation[[#This Row],[Persona_ID]]</f>
        <v>310</v>
      </c>
      <c r="B311" s="31">
        <f>step3_validation[[#This Row],[Used_Seed]]</f>
        <v>2300</v>
      </c>
      <c r="C311" t="str">
        <f>step3_validation[[#This Row],[Gender]]</f>
        <v>Nữ</v>
      </c>
      <c r="D311" t="str">
        <f>survey_responses[[#This Row],[Giới tính của bạn:]]</f>
        <v>Nữ</v>
      </c>
      <c r="E311" t="str">
        <f>step3_validation[[#This Row],[Age_Group]]</f>
        <v>18 - 24</v>
      </c>
      <c r="F311" t="str">
        <f>survey_responses[[#This Row],[Độ tuổi của bạn:]]</f>
        <v>18 - 24</v>
      </c>
      <c r="G311" t="str">
        <f>step3_validation[[#This Row],[Region]]</f>
        <v>Thành thị</v>
      </c>
      <c r="H311" t="str">
        <f>survey_responses[[#This Row],[Khu vực bạn đang sinh sống:]]</f>
        <v>Thành thị</v>
      </c>
      <c r="I311" t="str">
        <f>step3_validation[[#This Row],[Education]]</f>
        <v>Đại học</v>
      </c>
      <c r="J311" t="str">
        <f>survey_responses[[#This Row],[Trình độ học vấn cao nhất:]]</f>
        <v>Đại học</v>
      </c>
      <c r="K311" t="str">
        <f>step3_validation[[#This Row],[Employment]]</f>
        <v>Chính thức</v>
      </c>
      <c r="L311" t="str">
        <f>survey_responses[[#This Row],[Tình trạng việc làm chính:]]</f>
        <v>Khu vực chính thức (Có Hợp đồng lao động, đóng BHXH)</v>
      </c>
      <c r="M311">
        <f>step3_validation[[#This Row],[Income_Mil]]</f>
        <v>21.771079265001994</v>
      </c>
      <c r="N311" t="str">
        <f>survey_responses[[#This Row],[Thu nhập bình quân tháng theo Hợp đồng lao động của bạn là bao nhiêu? (Vui lòng điền tổng thu nhập trước khi khấu trừ các loại Bảo hiểm (BHXH, BHYT, BHTN) và Thuế TNCN)]]</f>
        <v>Từ 18 - 23 triệu VNĐ</v>
      </c>
      <c r="O311">
        <f>step3_validation[[#This Row],[Dependents]]</f>
        <v>0</v>
      </c>
      <c r="P311" t="str">
        <f>survey_responses[[#This Row],[Số người phụ thuộc (con nhỏ, cha mẹ già...) đủ điều kiện giảm trừ gia cảnh:]]</f>
        <v>0 người</v>
      </c>
      <c r="Q311">
        <f>step3_validation[[#This Row],[AI_ENF1]]</f>
        <v>7</v>
      </c>
      <c r="R311" t="str">
        <f t="shared" si="108"/>
        <v>Neutral</v>
      </c>
      <c r="S311">
        <f>survey_responses[[#This Row],[Tôi tin rằng với các quy định quản lý thuế hiện nay, hành vi gian lận hoặc trốn thuế sẽ dễ dàng bị phát hiện và xử lý nghiêm. - HUMAN-ENF1]]</f>
        <v>7</v>
      </c>
      <c r="T311" t="str">
        <f t="shared" si="109"/>
        <v>Neutral</v>
      </c>
      <c r="U311" s="32">
        <f t="shared" si="110"/>
        <v>0</v>
      </c>
      <c r="V311">
        <f>step3_validation[[#This Row],[AI_ENF2]]</f>
        <v>8</v>
      </c>
      <c r="W311" t="str">
        <f t="shared" si="111"/>
        <v>Support</v>
      </c>
      <c r="X311">
        <f>survey_responses[[#This Row],[Tôi tin rằng Nhà nước, cơ quan thuế có đủ khả năng và công nghệ để phát hiện, xử lý nghiêm các hành vi trốn thuế. - HUMAN-ENF2]]</f>
        <v>7</v>
      </c>
      <c r="Y311" t="str">
        <f t="shared" si="112"/>
        <v>Neutral</v>
      </c>
      <c r="Z311" s="32">
        <f t="shared" si="113"/>
        <v>1</v>
      </c>
      <c r="AA311">
        <f>step3_validation[[#This Row],[AI_FAC1]]</f>
        <v>6</v>
      </c>
      <c r="AB311" t="str">
        <f t="shared" si="114"/>
        <v>Neutral</v>
      </c>
      <c r="AC311">
        <f>survey_responses[[#This Row],[Các thủ tục khai báo thuế VÀ/HOẶC quy trình làm việc với cơ quan thuế đơn giản, tiện lợi, nhanh chóng hơn so với trước đây. - HUMAN-FAC1]]</f>
        <v>5</v>
      </c>
      <c r="AD311" t="str">
        <f t="shared" si="115"/>
        <v>Neutral</v>
      </c>
      <c r="AE311" s="32">
        <f t="shared" si="116"/>
        <v>1</v>
      </c>
      <c r="AF311">
        <f>step3_validation[[#This Row],[AI_FAC2]]</f>
        <v>9</v>
      </c>
      <c r="AG311" t="str">
        <f t="shared" si="117"/>
        <v>Support</v>
      </c>
      <c r="AH311">
        <f>survey_responses[[#This Row],[So với trước đây, tôi thấy cách tính thuế và các bậc thuế trong phương án mới đơn giản, dễ hiểu và dễ thực hiện hơn. - HUMAN-FAC2]]</f>
        <v>8</v>
      </c>
      <c r="AI311" t="str">
        <f t="shared" si="118"/>
        <v>Support</v>
      </c>
      <c r="AJ311" s="32">
        <f t="shared" si="119"/>
        <v>1</v>
      </c>
      <c r="AK311">
        <f>step3_validation[[#This Row],[AI_TRU1]]</f>
        <v>7</v>
      </c>
      <c r="AL311" t="str">
        <f t="shared" si="120"/>
        <v>Neutral</v>
      </c>
      <c r="AM311">
        <f>survey_responses[[#This Row],[Tôi tin rằng Nhà nước, cơ quan thuế sẽ thực thi chính sách mới một cách khách quan, công tâm và đối xử bình đẳng với mọi người nộp thuế.  - HUMAN-TRU1]]</f>
        <v>8</v>
      </c>
      <c r="AN311" t="str">
        <f t="shared" si="121"/>
        <v>Support</v>
      </c>
      <c r="AO311" s="32">
        <f t="shared" si="122"/>
        <v>1</v>
      </c>
      <c r="AP311">
        <f>step3_validation[[#This Row],[AI_TRU2]]</f>
        <v>6</v>
      </c>
      <c r="AQ311" t="str">
        <f t="shared" si="123"/>
        <v>Neutral</v>
      </c>
      <c r="AR311">
        <f>survey_responses[[#This Row],[Tôi thấy mức thuế tôi phải đóng theo phương án mới là công bằng (người thu nhập như tôi đóng mức này là hợp lý). - HUMAN-TRU2]]</f>
        <v>9</v>
      </c>
      <c r="AS311" t="str">
        <f t="shared" si="124"/>
        <v>Support</v>
      </c>
      <c r="AT311" s="32">
        <f t="shared" si="125"/>
        <v>3</v>
      </c>
      <c r="AU311">
        <f>step3_validation[[#This Row],[AI_TRU3]]</f>
        <v>7</v>
      </c>
      <c r="AV311" t="str">
        <f t="shared" si="126"/>
        <v>Neutral</v>
      </c>
      <c r="AW311">
        <f>survey_responses[[#This Row],[Tôi tin tưởng số tiền thuế tôi đóng sẽ được Nhà nước sử dụng hiệu quả để cải thiện dịch vụ công (y tế, đường xá...). - HUMAN-TRU3]]</f>
        <v>9</v>
      </c>
      <c r="AX311" t="str">
        <f t="shared" si="127"/>
        <v>Support</v>
      </c>
      <c r="AY311" s="32">
        <f t="shared" si="128"/>
        <v>2</v>
      </c>
      <c r="AZ311">
        <f>step3_validation[[#This Row],[AI_TRU4]]</f>
        <v>6</v>
      </c>
      <c r="BA311" t="str">
        <f t="shared" si="129"/>
        <v>Neutral</v>
      </c>
      <c r="BB311">
        <f>survey_responses[[#This Row],[Tôi thấy Nhà nước đã giải thích rõ ràng, minh bạch về lý do và mục tiêu của việc sửa đổi thuế lần này. - HUMAN-TRU4]]</f>
        <v>9</v>
      </c>
      <c r="BC311" t="str">
        <f t="shared" si="130"/>
        <v>Support</v>
      </c>
      <c r="BD311" s="32">
        <f t="shared" si="131"/>
        <v>3</v>
      </c>
      <c r="BE311">
        <f>step3_validation[[#This Row],[AI_OUT1]]</f>
        <v>7</v>
      </c>
      <c r="BF311" t="str">
        <f t="shared" si="132"/>
        <v>Neutral</v>
      </c>
      <c r="BG311">
        <f>survey_responses[[#This Row],[Sau khi xem xét các quyền lợi và nghĩa vụ, bạn có ủng hộ và tuân thủ chính sách mới hiện nay? - HUMAN-OUT1]]</f>
        <v>10</v>
      </c>
      <c r="BH311" t="str">
        <f t="shared" si="133"/>
        <v>Support</v>
      </c>
      <c r="BI311" s="32">
        <f t="shared" si="134"/>
        <v>3</v>
      </c>
    </row>
    <row r="312" spans="1:61" x14ac:dyDescent="0.45">
      <c r="A312" s="30">
        <f>step3_validation[[#This Row],[Persona_ID]]</f>
        <v>311</v>
      </c>
      <c r="B312" s="31">
        <f>step3_validation[[#This Row],[Used_Seed]]</f>
        <v>2301</v>
      </c>
      <c r="C312" t="str">
        <f>step3_validation[[#This Row],[Gender]]</f>
        <v>Nữ</v>
      </c>
      <c r="D312" t="str">
        <f>survey_responses[[#This Row],[Giới tính của bạn:]]</f>
        <v>Nữ</v>
      </c>
      <c r="E312" t="str">
        <f>step3_validation[[#This Row],[Age_Group]]</f>
        <v>18 - 24</v>
      </c>
      <c r="F312" t="str">
        <f>survey_responses[[#This Row],[Độ tuổi của bạn:]]</f>
        <v>18 - 24</v>
      </c>
      <c r="G312" t="str">
        <f>step3_validation[[#This Row],[Region]]</f>
        <v>Thành thị</v>
      </c>
      <c r="H312" t="str">
        <f>survey_responses[[#This Row],[Khu vực bạn đang sinh sống:]]</f>
        <v>Thành thị</v>
      </c>
      <c r="I312" t="str">
        <f>step3_validation[[#This Row],[Education]]</f>
        <v>Đại học</v>
      </c>
      <c r="J312" t="str">
        <f>survey_responses[[#This Row],[Trình độ học vấn cao nhất:]]</f>
        <v>Đại học</v>
      </c>
      <c r="K312" t="str">
        <f>step3_validation[[#This Row],[Employment]]</f>
        <v>Chính thức</v>
      </c>
      <c r="L312" t="str">
        <f>survey_responses[[#This Row],[Tình trạng việc làm chính:]]</f>
        <v>Khu vực chính thức (Có Hợp đồng lao động, đóng BHXH)</v>
      </c>
      <c r="M312">
        <f>step3_validation[[#This Row],[Income_Mil]]</f>
        <v>15.690216748925257</v>
      </c>
      <c r="N312" t="str">
        <f>survey_responses[[#This Row],[Thu nhập bình quân tháng theo Hợp đồng lao động của bạn là bao nhiêu? (Vui lòng điền tổng thu nhập trước khi khấu trừ các loại Bảo hiểm (BHXH, BHYT, BHTN) và Thuế TNCN)]]</f>
        <v>Từ 12 - 18 triệu VNĐ</v>
      </c>
      <c r="O312">
        <f>step3_validation[[#This Row],[Dependents]]</f>
        <v>0</v>
      </c>
      <c r="P312" t="str">
        <f>survey_responses[[#This Row],[Số người phụ thuộc (con nhỏ, cha mẹ già...) đủ điều kiện giảm trừ gia cảnh:]]</f>
        <v>0 người</v>
      </c>
      <c r="Q312">
        <f>step3_validation[[#This Row],[AI_ENF1]]</f>
        <v>7</v>
      </c>
      <c r="R312" t="str">
        <f t="shared" si="108"/>
        <v>Neutral</v>
      </c>
      <c r="S312">
        <f>survey_responses[[#This Row],[Tôi tin rằng với các quy định quản lý thuế hiện nay, hành vi gian lận hoặc trốn thuế sẽ dễ dàng bị phát hiện và xử lý nghiêm. - HUMAN-ENF1]]</f>
        <v>6</v>
      </c>
      <c r="T312" t="str">
        <f t="shared" si="109"/>
        <v>Neutral</v>
      </c>
      <c r="U312" s="32">
        <f t="shared" si="110"/>
        <v>1</v>
      </c>
      <c r="V312">
        <f>step3_validation[[#This Row],[AI_ENF2]]</f>
        <v>8</v>
      </c>
      <c r="W312" t="str">
        <f t="shared" si="111"/>
        <v>Support</v>
      </c>
      <c r="X312">
        <f>survey_responses[[#This Row],[Tôi tin rằng Nhà nước, cơ quan thuế có đủ khả năng và công nghệ để phát hiện, xử lý nghiêm các hành vi trốn thuế. - HUMAN-ENF2]]</f>
        <v>5</v>
      </c>
      <c r="Y312" t="str">
        <f t="shared" si="112"/>
        <v>Neutral</v>
      </c>
      <c r="Z312" s="32">
        <f t="shared" si="113"/>
        <v>3</v>
      </c>
      <c r="AA312">
        <f>step3_validation[[#This Row],[AI_FAC1]]</f>
        <v>9</v>
      </c>
      <c r="AB312" t="str">
        <f t="shared" si="114"/>
        <v>Support</v>
      </c>
      <c r="AC312">
        <f>survey_responses[[#This Row],[Các thủ tục khai báo thuế VÀ/HOẶC quy trình làm việc với cơ quan thuế đơn giản, tiện lợi, nhanh chóng hơn so với trước đây. - HUMAN-FAC1]]</f>
        <v>4</v>
      </c>
      <c r="AD312" t="str">
        <f t="shared" si="115"/>
        <v>Oppose</v>
      </c>
      <c r="AE312" s="32">
        <f t="shared" si="116"/>
        <v>5</v>
      </c>
      <c r="AF312">
        <f>step3_validation[[#This Row],[AI_FAC2]]</f>
        <v>8</v>
      </c>
      <c r="AG312" t="str">
        <f t="shared" si="117"/>
        <v>Support</v>
      </c>
      <c r="AH312">
        <f>survey_responses[[#This Row],[So với trước đây, tôi thấy cách tính thuế và các bậc thuế trong phương án mới đơn giản, dễ hiểu và dễ thực hiện hơn. - HUMAN-FAC2]]</f>
        <v>7</v>
      </c>
      <c r="AI312" t="str">
        <f t="shared" si="118"/>
        <v>Neutral</v>
      </c>
      <c r="AJ312" s="32">
        <f t="shared" si="119"/>
        <v>1</v>
      </c>
      <c r="AK312">
        <f>step3_validation[[#This Row],[AI_TRU1]]</f>
        <v>7</v>
      </c>
      <c r="AL312" t="str">
        <f t="shared" si="120"/>
        <v>Neutral</v>
      </c>
      <c r="AM312">
        <f>survey_responses[[#This Row],[Tôi tin rằng Nhà nước, cơ quan thuế sẽ thực thi chính sách mới một cách khách quan, công tâm và đối xử bình đẳng với mọi người nộp thuế.  - HUMAN-TRU1]]</f>
        <v>5</v>
      </c>
      <c r="AN312" t="str">
        <f t="shared" si="121"/>
        <v>Neutral</v>
      </c>
      <c r="AO312" s="32">
        <f t="shared" si="122"/>
        <v>2</v>
      </c>
      <c r="AP312">
        <f>step3_validation[[#This Row],[AI_TRU2]]</f>
        <v>6</v>
      </c>
      <c r="AQ312" t="str">
        <f t="shared" si="123"/>
        <v>Neutral</v>
      </c>
      <c r="AR312">
        <f>survey_responses[[#This Row],[Tôi thấy mức thuế tôi phải đóng theo phương án mới là công bằng (người thu nhập như tôi đóng mức này là hợp lý). - HUMAN-TRU2]]</f>
        <v>6</v>
      </c>
      <c r="AS312" t="str">
        <f t="shared" si="124"/>
        <v>Neutral</v>
      </c>
      <c r="AT312" s="32">
        <f t="shared" si="125"/>
        <v>0</v>
      </c>
      <c r="AU312">
        <f>step3_validation[[#This Row],[AI_TRU3]]</f>
        <v>7</v>
      </c>
      <c r="AV312" t="str">
        <f t="shared" si="126"/>
        <v>Neutral</v>
      </c>
      <c r="AW312">
        <f>survey_responses[[#This Row],[Tôi tin tưởng số tiền thuế tôi đóng sẽ được Nhà nước sử dụng hiệu quả để cải thiện dịch vụ công (y tế, đường xá...). - HUMAN-TRU3]]</f>
        <v>6</v>
      </c>
      <c r="AX312" t="str">
        <f t="shared" si="127"/>
        <v>Neutral</v>
      </c>
      <c r="AY312" s="32">
        <f t="shared" si="128"/>
        <v>1</v>
      </c>
      <c r="AZ312">
        <f>step3_validation[[#This Row],[AI_TRU4]]</f>
        <v>5</v>
      </c>
      <c r="BA312" t="str">
        <f t="shared" si="129"/>
        <v>Neutral</v>
      </c>
      <c r="BB312">
        <f>survey_responses[[#This Row],[Tôi thấy Nhà nước đã giải thích rõ ràng, minh bạch về lý do và mục tiêu của việc sửa đổi thuế lần này. - HUMAN-TRU4]]</f>
        <v>7</v>
      </c>
      <c r="BC312" t="str">
        <f t="shared" si="130"/>
        <v>Neutral</v>
      </c>
      <c r="BD312" s="32">
        <f t="shared" si="131"/>
        <v>2</v>
      </c>
      <c r="BE312">
        <f>step3_validation[[#This Row],[AI_OUT1]]</f>
        <v>7</v>
      </c>
      <c r="BF312" t="str">
        <f t="shared" si="132"/>
        <v>Neutral</v>
      </c>
      <c r="BG312">
        <f>survey_responses[[#This Row],[Sau khi xem xét các quyền lợi và nghĩa vụ, bạn có ủng hộ và tuân thủ chính sách mới hiện nay? - HUMAN-OUT1]]</f>
        <v>7</v>
      </c>
      <c r="BH312" t="str">
        <f t="shared" si="133"/>
        <v>Neutral</v>
      </c>
      <c r="BI312" s="32">
        <f t="shared" si="134"/>
        <v>0</v>
      </c>
    </row>
    <row r="313" spans="1:61" x14ac:dyDescent="0.45">
      <c r="A313" s="30">
        <f>step3_validation[[#This Row],[Persona_ID]]</f>
        <v>312</v>
      </c>
      <c r="B313" s="31">
        <f>step3_validation[[#This Row],[Used_Seed]]</f>
        <v>2302</v>
      </c>
      <c r="C313" t="str">
        <f>step3_validation[[#This Row],[Gender]]</f>
        <v>Nam</v>
      </c>
      <c r="D313" t="str">
        <f>survey_responses[[#This Row],[Giới tính của bạn:]]</f>
        <v>Nam</v>
      </c>
      <c r="E313" t="str">
        <f>step3_validation[[#This Row],[Age_Group]]</f>
        <v>25 - 29</v>
      </c>
      <c r="F313" t="str">
        <f>survey_responses[[#This Row],[Độ tuổi của bạn:]]</f>
        <v>25 - 29</v>
      </c>
      <c r="G313" t="str">
        <f>step3_validation[[#This Row],[Region]]</f>
        <v>Thành thị</v>
      </c>
      <c r="H313" t="str">
        <f>survey_responses[[#This Row],[Khu vực bạn đang sinh sống:]]</f>
        <v>Thành thị</v>
      </c>
      <c r="I313" t="str">
        <f>step3_validation[[#This Row],[Education]]</f>
        <v>Đại học</v>
      </c>
      <c r="J313" t="str">
        <f>survey_responses[[#This Row],[Trình độ học vấn cao nhất:]]</f>
        <v>Đại học</v>
      </c>
      <c r="K313" t="str">
        <f>step3_validation[[#This Row],[Employment]]</f>
        <v>Chính thức</v>
      </c>
      <c r="L313" t="str">
        <f>survey_responses[[#This Row],[Tình trạng việc làm chính:]]</f>
        <v>Khu vực chính thức (Có Hợp đồng lao động, đóng BHXH)</v>
      </c>
      <c r="M313">
        <f>step3_validation[[#This Row],[Income_Mil]]</f>
        <v>21.220638313442763</v>
      </c>
      <c r="N313" t="str">
        <f>survey_responses[[#This Row],[Thu nhập bình quân tháng theo Hợp đồng lao động của bạn là bao nhiêu? (Vui lòng điền tổng thu nhập trước khi khấu trừ các loại Bảo hiểm (BHXH, BHYT, BHTN) và Thuế TNCN)]]</f>
        <v>Từ 18 - 23 triệu VNĐ</v>
      </c>
      <c r="O313">
        <f>step3_validation[[#This Row],[Dependents]]</f>
        <v>0</v>
      </c>
      <c r="P313" t="str">
        <f>survey_responses[[#This Row],[Số người phụ thuộc (con nhỏ, cha mẹ già...) đủ điều kiện giảm trừ gia cảnh:]]</f>
        <v>0 người</v>
      </c>
      <c r="Q313">
        <f>step3_validation[[#This Row],[AI_ENF1]]</f>
        <v>6</v>
      </c>
      <c r="R313" t="str">
        <f t="shared" si="108"/>
        <v>Neutral</v>
      </c>
      <c r="S313">
        <f>survey_responses[[#This Row],[Tôi tin rằng với các quy định quản lý thuế hiện nay, hành vi gian lận hoặc trốn thuế sẽ dễ dàng bị phát hiện và xử lý nghiêm. - HUMAN-ENF1]]</f>
        <v>8</v>
      </c>
      <c r="T313" t="str">
        <f t="shared" si="109"/>
        <v>Support</v>
      </c>
      <c r="U313" s="32">
        <f t="shared" si="110"/>
        <v>2</v>
      </c>
      <c r="V313">
        <f>step3_validation[[#This Row],[AI_ENF2]]</f>
        <v>5</v>
      </c>
      <c r="W313" t="str">
        <f t="shared" si="111"/>
        <v>Neutral</v>
      </c>
      <c r="X313">
        <f>survey_responses[[#This Row],[Tôi tin rằng Nhà nước, cơ quan thuế có đủ khả năng và công nghệ để phát hiện, xử lý nghiêm các hành vi trốn thuế. - HUMAN-ENF2]]</f>
        <v>9</v>
      </c>
      <c r="Y313" t="str">
        <f t="shared" si="112"/>
        <v>Support</v>
      </c>
      <c r="Z313" s="32">
        <f t="shared" si="113"/>
        <v>4</v>
      </c>
      <c r="AA313">
        <f>step3_validation[[#This Row],[AI_FAC1]]</f>
        <v>4</v>
      </c>
      <c r="AB313" t="str">
        <f t="shared" si="114"/>
        <v>Oppose</v>
      </c>
      <c r="AC313">
        <f>survey_responses[[#This Row],[Các thủ tục khai báo thuế VÀ/HOẶC quy trình làm việc với cơ quan thuế đơn giản, tiện lợi, nhanh chóng hơn so với trước đây. - HUMAN-FAC1]]</f>
        <v>10</v>
      </c>
      <c r="AD313" t="str">
        <f t="shared" si="115"/>
        <v>Support</v>
      </c>
      <c r="AE313" s="32">
        <f t="shared" si="116"/>
        <v>6</v>
      </c>
      <c r="AF313">
        <f>step3_validation[[#This Row],[AI_FAC2]]</f>
        <v>7</v>
      </c>
      <c r="AG313" t="str">
        <f t="shared" si="117"/>
        <v>Neutral</v>
      </c>
      <c r="AH313">
        <f>survey_responses[[#This Row],[So với trước đây, tôi thấy cách tính thuế và các bậc thuế trong phương án mới đơn giản, dễ hiểu và dễ thực hiện hơn. - HUMAN-FAC2]]</f>
        <v>10</v>
      </c>
      <c r="AI313" t="str">
        <f t="shared" si="118"/>
        <v>Support</v>
      </c>
      <c r="AJ313" s="32">
        <f t="shared" si="119"/>
        <v>3</v>
      </c>
      <c r="AK313">
        <f>step3_validation[[#This Row],[AI_TRU1]]</f>
        <v>8</v>
      </c>
      <c r="AL313" t="str">
        <f t="shared" si="120"/>
        <v>Support</v>
      </c>
      <c r="AM313">
        <f>survey_responses[[#This Row],[Tôi tin rằng Nhà nước, cơ quan thuế sẽ thực thi chính sách mới một cách khách quan, công tâm và đối xử bình đẳng với mọi người nộp thuế.  - HUMAN-TRU1]]</f>
        <v>8</v>
      </c>
      <c r="AN313" t="str">
        <f t="shared" si="121"/>
        <v>Support</v>
      </c>
      <c r="AO313" s="32">
        <f t="shared" si="122"/>
        <v>0</v>
      </c>
      <c r="AP313">
        <f>step3_validation[[#This Row],[AI_TRU2]]</f>
        <v>3</v>
      </c>
      <c r="AQ313" t="str">
        <f t="shared" si="123"/>
        <v>Oppose</v>
      </c>
      <c r="AR313">
        <f>survey_responses[[#This Row],[Tôi thấy mức thuế tôi phải đóng theo phương án mới là công bằng (người thu nhập như tôi đóng mức này là hợp lý). - HUMAN-TRU2]]</f>
        <v>9</v>
      </c>
      <c r="AS313" t="str">
        <f t="shared" si="124"/>
        <v>Support</v>
      </c>
      <c r="AT313" s="32">
        <f t="shared" si="125"/>
        <v>6</v>
      </c>
      <c r="AU313">
        <f>step3_validation[[#This Row],[AI_TRU3]]</f>
        <v>6</v>
      </c>
      <c r="AV313" t="str">
        <f t="shared" si="126"/>
        <v>Neutral</v>
      </c>
      <c r="AW313">
        <f>survey_responses[[#This Row],[Tôi tin tưởng số tiền thuế tôi đóng sẽ được Nhà nước sử dụng hiệu quả để cải thiện dịch vụ công (y tế, đường xá...). - HUMAN-TRU3]]</f>
        <v>8</v>
      </c>
      <c r="AX313" t="str">
        <f t="shared" si="127"/>
        <v>Support</v>
      </c>
      <c r="AY313" s="32">
        <f t="shared" si="128"/>
        <v>2</v>
      </c>
      <c r="AZ313">
        <f>step3_validation[[#This Row],[AI_TRU4]]</f>
        <v>4</v>
      </c>
      <c r="BA313" t="str">
        <f t="shared" si="129"/>
        <v>Oppose</v>
      </c>
      <c r="BB313">
        <f>survey_responses[[#This Row],[Tôi thấy Nhà nước đã giải thích rõ ràng, minh bạch về lý do và mục tiêu của việc sửa đổi thuế lần này. - HUMAN-TRU4]]</f>
        <v>8</v>
      </c>
      <c r="BC313" t="str">
        <f t="shared" si="130"/>
        <v>Support</v>
      </c>
      <c r="BD313" s="32">
        <f t="shared" si="131"/>
        <v>4</v>
      </c>
      <c r="BE313">
        <f>step3_validation[[#This Row],[AI_OUT1]]</f>
        <v>5</v>
      </c>
      <c r="BF313" t="str">
        <f t="shared" si="132"/>
        <v>Neutral</v>
      </c>
      <c r="BG313">
        <f>survey_responses[[#This Row],[Sau khi xem xét các quyền lợi và nghĩa vụ, bạn có ủng hộ và tuân thủ chính sách mới hiện nay? - HUMAN-OUT1]]</f>
        <v>10</v>
      </c>
      <c r="BH313" t="str">
        <f t="shared" si="133"/>
        <v>Support</v>
      </c>
      <c r="BI313" s="32">
        <f t="shared" si="134"/>
        <v>5</v>
      </c>
    </row>
    <row r="314" spans="1:61" x14ac:dyDescent="0.45">
      <c r="A314" s="30">
        <f>step3_validation[[#This Row],[Persona_ID]]</f>
        <v>313</v>
      </c>
      <c r="B314" s="31">
        <f>step3_validation[[#This Row],[Used_Seed]]</f>
        <v>2303</v>
      </c>
      <c r="C314" t="str">
        <f>step3_validation[[#This Row],[Gender]]</f>
        <v>Nam</v>
      </c>
      <c r="D314" t="str">
        <f>survey_responses[[#This Row],[Giới tính của bạn:]]</f>
        <v>Nam</v>
      </c>
      <c r="E314" t="str">
        <f>step3_validation[[#This Row],[Age_Group]]</f>
        <v>18 - 24</v>
      </c>
      <c r="F314" t="str">
        <f>survey_responses[[#This Row],[Độ tuổi của bạn:]]</f>
        <v>18 - 24</v>
      </c>
      <c r="G314" t="str">
        <f>step3_validation[[#This Row],[Region]]</f>
        <v>Thành thị</v>
      </c>
      <c r="H314" t="str">
        <f>survey_responses[[#This Row],[Khu vực bạn đang sinh sống:]]</f>
        <v>Thành thị</v>
      </c>
      <c r="I314" t="str">
        <f>step3_validation[[#This Row],[Education]]</f>
        <v>Đại học</v>
      </c>
      <c r="J314" t="str">
        <f>survey_responses[[#This Row],[Trình độ học vấn cao nhất:]]</f>
        <v>Đại học</v>
      </c>
      <c r="K314" t="str">
        <f>step3_validation[[#This Row],[Employment]]</f>
        <v>Chính thức</v>
      </c>
      <c r="L314" t="str">
        <f>survey_responses[[#This Row],[Tình trạng việc làm chính:]]</f>
        <v>Khu vực chính thức (Có Hợp đồng lao động, đóng BHXH)</v>
      </c>
      <c r="M314">
        <f>step3_validation[[#This Row],[Income_Mil]]</f>
        <v>14.279434814435996</v>
      </c>
      <c r="N314" t="str">
        <f>survey_responses[[#This Row],[Thu nhập bình quân tháng theo Hợp đồng lao động của bạn là bao nhiêu? (Vui lòng điền tổng thu nhập trước khi khấu trừ các loại Bảo hiểm (BHXH, BHYT, BHTN) và Thuế TNCN)]]</f>
        <v>Từ 12 - 18 triệu VNĐ</v>
      </c>
      <c r="O314">
        <f>step3_validation[[#This Row],[Dependents]]</f>
        <v>0</v>
      </c>
      <c r="P314" t="str">
        <f>survey_responses[[#This Row],[Số người phụ thuộc (con nhỏ, cha mẹ già...) đủ điều kiện giảm trừ gia cảnh:]]</f>
        <v>0 người</v>
      </c>
      <c r="Q314">
        <f>step3_validation[[#This Row],[AI_ENF1]]</f>
        <v>6</v>
      </c>
      <c r="R314" t="str">
        <f t="shared" si="108"/>
        <v>Neutral</v>
      </c>
      <c r="S314">
        <f>survey_responses[[#This Row],[Tôi tin rằng với các quy định quản lý thuế hiện nay, hành vi gian lận hoặc trốn thuế sẽ dễ dàng bị phát hiện và xử lý nghiêm. - HUMAN-ENF1]]</f>
        <v>6</v>
      </c>
      <c r="T314" t="str">
        <f t="shared" si="109"/>
        <v>Neutral</v>
      </c>
      <c r="U314" s="32">
        <f t="shared" si="110"/>
        <v>0</v>
      </c>
      <c r="V314">
        <f>step3_validation[[#This Row],[AI_ENF2]]</f>
        <v>5</v>
      </c>
      <c r="W314" t="str">
        <f t="shared" si="111"/>
        <v>Neutral</v>
      </c>
      <c r="X314">
        <f>survey_responses[[#This Row],[Tôi tin rằng Nhà nước, cơ quan thuế có đủ khả năng và công nghệ để phát hiện, xử lý nghiêm các hành vi trốn thuế. - HUMAN-ENF2]]</f>
        <v>6</v>
      </c>
      <c r="Y314" t="str">
        <f t="shared" si="112"/>
        <v>Neutral</v>
      </c>
      <c r="Z314" s="32">
        <f t="shared" si="113"/>
        <v>1</v>
      </c>
      <c r="AA314">
        <f>step3_validation[[#This Row],[AI_FAC1]]</f>
        <v>8</v>
      </c>
      <c r="AB314" t="str">
        <f t="shared" si="114"/>
        <v>Support</v>
      </c>
      <c r="AC314">
        <f>survey_responses[[#This Row],[Các thủ tục khai báo thuế VÀ/HOẶC quy trình làm việc với cơ quan thuế đơn giản, tiện lợi, nhanh chóng hơn so với trước đây. - HUMAN-FAC1]]</f>
        <v>7</v>
      </c>
      <c r="AD314" t="str">
        <f t="shared" si="115"/>
        <v>Neutral</v>
      </c>
      <c r="AE314" s="32">
        <f t="shared" si="116"/>
        <v>1</v>
      </c>
      <c r="AF314">
        <f>step3_validation[[#This Row],[AI_FAC2]]</f>
        <v>9</v>
      </c>
      <c r="AG314" t="str">
        <f t="shared" si="117"/>
        <v>Support</v>
      </c>
      <c r="AH314">
        <f>survey_responses[[#This Row],[So với trước đây, tôi thấy cách tính thuế và các bậc thuế trong phương án mới đơn giản, dễ hiểu và dễ thực hiện hơn. - HUMAN-FAC2]]</f>
        <v>7</v>
      </c>
      <c r="AI314" t="str">
        <f t="shared" si="118"/>
        <v>Neutral</v>
      </c>
      <c r="AJ314" s="32">
        <f t="shared" si="119"/>
        <v>2</v>
      </c>
      <c r="AK314">
        <f>step3_validation[[#This Row],[AI_TRU1]]</f>
        <v>7</v>
      </c>
      <c r="AL314" t="str">
        <f t="shared" si="120"/>
        <v>Neutral</v>
      </c>
      <c r="AM314">
        <f>survey_responses[[#This Row],[Tôi tin rằng Nhà nước, cơ quan thuế sẽ thực thi chính sách mới một cách khách quan, công tâm và đối xử bình đẳng với mọi người nộp thuế.  - HUMAN-TRU1]]</f>
        <v>7</v>
      </c>
      <c r="AN314" t="str">
        <f t="shared" si="121"/>
        <v>Neutral</v>
      </c>
      <c r="AO314" s="32">
        <f t="shared" si="122"/>
        <v>0</v>
      </c>
      <c r="AP314">
        <f>step3_validation[[#This Row],[AI_TRU2]]</f>
        <v>8</v>
      </c>
      <c r="AQ314" t="str">
        <f t="shared" si="123"/>
        <v>Support</v>
      </c>
      <c r="AR314">
        <f>survey_responses[[#This Row],[Tôi thấy mức thuế tôi phải đóng theo phương án mới là công bằng (người thu nhập như tôi đóng mức này là hợp lý). - HUMAN-TRU2]]</f>
        <v>8</v>
      </c>
      <c r="AS314" t="str">
        <f t="shared" si="124"/>
        <v>Support</v>
      </c>
      <c r="AT314" s="32">
        <f t="shared" si="125"/>
        <v>0</v>
      </c>
      <c r="AU314">
        <f>step3_validation[[#This Row],[AI_TRU3]]</f>
        <v>7</v>
      </c>
      <c r="AV314" t="str">
        <f t="shared" si="126"/>
        <v>Neutral</v>
      </c>
      <c r="AW314">
        <f>survey_responses[[#This Row],[Tôi tin tưởng số tiền thuế tôi đóng sẽ được Nhà nước sử dụng hiệu quả để cải thiện dịch vụ công (y tế, đường xá...). - HUMAN-TRU3]]</f>
        <v>5</v>
      </c>
      <c r="AX314" t="str">
        <f t="shared" si="127"/>
        <v>Neutral</v>
      </c>
      <c r="AY314" s="32">
        <f t="shared" si="128"/>
        <v>2</v>
      </c>
      <c r="AZ314">
        <f>step3_validation[[#This Row],[AI_TRU4]]</f>
        <v>6</v>
      </c>
      <c r="BA314" t="str">
        <f t="shared" si="129"/>
        <v>Neutral</v>
      </c>
      <c r="BB314">
        <f>survey_responses[[#This Row],[Tôi thấy Nhà nước đã giải thích rõ ràng, minh bạch về lý do và mục tiêu của việc sửa đổi thuế lần này. - HUMAN-TRU4]]</f>
        <v>5</v>
      </c>
      <c r="BC314" t="str">
        <f t="shared" si="130"/>
        <v>Neutral</v>
      </c>
      <c r="BD314" s="32">
        <f t="shared" si="131"/>
        <v>1</v>
      </c>
      <c r="BE314">
        <f>step3_validation[[#This Row],[AI_OUT1]]</f>
        <v>7</v>
      </c>
      <c r="BF314" t="str">
        <f t="shared" si="132"/>
        <v>Neutral</v>
      </c>
      <c r="BG314">
        <f>survey_responses[[#This Row],[Sau khi xem xét các quyền lợi và nghĩa vụ, bạn có ủng hộ và tuân thủ chính sách mới hiện nay? - HUMAN-OUT1]]</f>
        <v>8</v>
      </c>
      <c r="BH314" t="str">
        <f t="shared" si="133"/>
        <v>Support</v>
      </c>
      <c r="BI314" s="32">
        <f t="shared" si="134"/>
        <v>1</v>
      </c>
    </row>
    <row r="315" spans="1:61" x14ac:dyDescent="0.45">
      <c r="A315" s="30">
        <f>step3_validation[[#This Row],[Persona_ID]]</f>
        <v>314</v>
      </c>
      <c r="B315" s="31">
        <f>step3_validation[[#This Row],[Used_Seed]]</f>
        <v>2304</v>
      </c>
      <c r="C315" t="str">
        <f>step3_validation[[#This Row],[Gender]]</f>
        <v>Nữ</v>
      </c>
      <c r="D315" t="str">
        <f>survey_responses[[#This Row],[Giới tính của bạn:]]</f>
        <v>Nữ</v>
      </c>
      <c r="E315" t="str">
        <f>step3_validation[[#This Row],[Age_Group]]</f>
        <v>18 - 24</v>
      </c>
      <c r="F315" t="str">
        <f>survey_responses[[#This Row],[Độ tuổi của bạn:]]</f>
        <v>18 - 24</v>
      </c>
      <c r="G315" t="str">
        <f>step3_validation[[#This Row],[Region]]</f>
        <v>Thành thị</v>
      </c>
      <c r="H315" t="str">
        <f>survey_responses[[#This Row],[Khu vực bạn đang sinh sống:]]</f>
        <v>Thành thị</v>
      </c>
      <c r="I315" t="str">
        <f>step3_validation[[#This Row],[Education]]</f>
        <v>Đại học</v>
      </c>
      <c r="J315" t="str">
        <f>survey_responses[[#This Row],[Trình độ học vấn cao nhất:]]</f>
        <v>Đại học</v>
      </c>
      <c r="K315" t="str">
        <f>step3_validation[[#This Row],[Employment]]</f>
        <v>Chính thức</v>
      </c>
      <c r="L315" t="str">
        <f>survey_responses[[#This Row],[Tình trạng việc làm chính:]]</f>
        <v>Khu vực chính thức (Có Hợp đồng lao động, đóng BHXH)</v>
      </c>
      <c r="M315">
        <f>step3_validation[[#This Row],[Income_Mil]]</f>
        <v>16.669427799534606</v>
      </c>
      <c r="N315" t="str">
        <f>survey_responses[[#This Row],[Thu nhập bình quân tháng theo Hợp đồng lao động của bạn là bao nhiêu? (Vui lòng điền tổng thu nhập trước khi khấu trừ các loại Bảo hiểm (BHXH, BHYT, BHTN) và Thuế TNCN)]]</f>
        <v>Từ 12 - 18 triệu VNĐ</v>
      </c>
      <c r="O315">
        <f>step3_validation[[#This Row],[Dependents]]</f>
        <v>0</v>
      </c>
      <c r="P315" t="str">
        <f>survey_responses[[#This Row],[Số người phụ thuộc (con nhỏ, cha mẹ già...) đủ điều kiện giảm trừ gia cảnh:]]</f>
        <v>0 người</v>
      </c>
      <c r="Q315">
        <f>step3_validation[[#This Row],[AI_ENF1]]</f>
        <v>7</v>
      </c>
      <c r="R315" t="str">
        <f t="shared" si="108"/>
        <v>Neutral</v>
      </c>
      <c r="S315">
        <f>survey_responses[[#This Row],[Tôi tin rằng với các quy định quản lý thuế hiện nay, hành vi gian lận hoặc trốn thuế sẽ dễ dàng bị phát hiện và xử lý nghiêm. - HUMAN-ENF1]]</f>
        <v>7</v>
      </c>
      <c r="T315" t="str">
        <f t="shared" si="109"/>
        <v>Neutral</v>
      </c>
      <c r="U315" s="32">
        <f t="shared" si="110"/>
        <v>0</v>
      </c>
      <c r="V315">
        <f>step3_validation[[#This Row],[AI_ENF2]]</f>
        <v>8</v>
      </c>
      <c r="W315" t="str">
        <f t="shared" si="111"/>
        <v>Support</v>
      </c>
      <c r="X315">
        <f>survey_responses[[#This Row],[Tôi tin rằng Nhà nước, cơ quan thuế có đủ khả năng và công nghệ để phát hiện, xử lý nghiêm các hành vi trốn thuế. - HUMAN-ENF2]]</f>
        <v>8</v>
      </c>
      <c r="Y315" t="str">
        <f t="shared" si="112"/>
        <v>Support</v>
      </c>
      <c r="Z315" s="32">
        <f t="shared" si="113"/>
        <v>0</v>
      </c>
      <c r="AA315">
        <f>step3_validation[[#This Row],[AI_FAC1]]</f>
        <v>6</v>
      </c>
      <c r="AB315" t="str">
        <f t="shared" si="114"/>
        <v>Neutral</v>
      </c>
      <c r="AC315">
        <f>survey_responses[[#This Row],[Các thủ tục khai báo thuế VÀ/HOẶC quy trình làm việc với cơ quan thuế đơn giản, tiện lợi, nhanh chóng hơn so với trước đây. - HUMAN-FAC1]]</f>
        <v>8</v>
      </c>
      <c r="AD315" t="str">
        <f t="shared" si="115"/>
        <v>Support</v>
      </c>
      <c r="AE315" s="32">
        <f t="shared" si="116"/>
        <v>2</v>
      </c>
      <c r="AF315">
        <f>step3_validation[[#This Row],[AI_FAC2]]</f>
        <v>5</v>
      </c>
      <c r="AG315" t="str">
        <f t="shared" si="117"/>
        <v>Neutral</v>
      </c>
      <c r="AH315">
        <f>survey_responses[[#This Row],[So với trước đây, tôi thấy cách tính thuế và các bậc thuế trong phương án mới đơn giản, dễ hiểu và dễ thực hiện hơn. - HUMAN-FAC2]]</f>
        <v>8</v>
      </c>
      <c r="AI315" t="str">
        <f t="shared" si="118"/>
        <v>Support</v>
      </c>
      <c r="AJ315" s="32">
        <f t="shared" si="119"/>
        <v>3</v>
      </c>
      <c r="AK315">
        <f>step3_validation[[#This Row],[AI_TRU1]]</f>
        <v>8</v>
      </c>
      <c r="AL315" t="str">
        <f t="shared" si="120"/>
        <v>Support</v>
      </c>
      <c r="AM315">
        <f>survey_responses[[#This Row],[Tôi tin rằng Nhà nước, cơ quan thuế sẽ thực thi chính sách mới một cách khách quan, công tâm và đối xử bình đẳng với mọi người nộp thuế.  - HUMAN-TRU1]]</f>
        <v>5</v>
      </c>
      <c r="AN315" t="str">
        <f t="shared" si="121"/>
        <v>Neutral</v>
      </c>
      <c r="AO315" s="32">
        <f t="shared" si="122"/>
        <v>3</v>
      </c>
      <c r="AP315">
        <f>step3_validation[[#This Row],[AI_TRU2]]</f>
        <v>3</v>
      </c>
      <c r="AQ315" t="str">
        <f t="shared" si="123"/>
        <v>Oppose</v>
      </c>
      <c r="AR315">
        <f>survey_responses[[#This Row],[Tôi thấy mức thuế tôi phải đóng theo phương án mới là công bằng (người thu nhập như tôi đóng mức này là hợp lý). - HUMAN-TRU2]]</f>
        <v>8</v>
      </c>
      <c r="AS315" t="str">
        <f t="shared" si="124"/>
        <v>Support</v>
      </c>
      <c r="AT315" s="32">
        <f t="shared" si="125"/>
        <v>5</v>
      </c>
      <c r="AU315">
        <f>step3_validation[[#This Row],[AI_TRU3]]</f>
        <v>7</v>
      </c>
      <c r="AV315" t="str">
        <f t="shared" si="126"/>
        <v>Neutral</v>
      </c>
      <c r="AW315">
        <f>survey_responses[[#This Row],[Tôi tin tưởng số tiền thuế tôi đóng sẽ được Nhà nước sử dụng hiệu quả để cải thiện dịch vụ công (y tế, đường xá...). - HUMAN-TRU3]]</f>
        <v>6</v>
      </c>
      <c r="AX315" t="str">
        <f t="shared" si="127"/>
        <v>Neutral</v>
      </c>
      <c r="AY315" s="32">
        <f t="shared" si="128"/>
        <v>1</v>
      </c>
      <c r="AZ315">
        <f>step3_validation[[#This Row],[AI_TRU4]]</f>
        <v>6</v>
      </c>
      <c r="BA315" t="str">
        <f t="shared" si="129"/>
        <v>Neutral</v>
      </c>
      <c r="BB315">
        <f>survey_responses[[#This Row],[Tôi thấy Nhà nước đã giải thích rõ ràng, minh bạch về lý do và mục tiêu của việc sửa đổi thuế lần này. - HUMAN-TRU4]]</f>
        <v>6</v>
      </c>
      <c r="BC315" t="str">
        <f t="shared" si="130"/>
        <v>Neutral</v>
      </c>
      <c r="BD315" s="32">
        <f t="shared" si="131"/>
        <v>0</v>
      </c>
      <c r="BE315">
        <f>step3_validation[[#This Row],[AI_OUT1]]</f>
        <v>0</v>
      </c>
      <c r="BF315" t="str">
        <f t="shared" si="132"/>
        <v/>
      </c>
      <c r="BG315">
        <f>survey_responses[[#This Row],[Sau khi xem xét các quyền lợi và nghĩa vụ, bạn có ủng hộ và tuân thủ chính sách mới hiện nay? - HUMAN-OUT1]]</f>
        <v>8</v>
      </c>
      <c r="BH315" t="str">
        <f t="shared" si="133"/>
        <v>Support</v>
      </c>
      <c r="BI315" s="32">
        <f t="shared" si="134"/>
        <v>8</v>
      </c>
    </row>
    <row r="316" spans="1:61" x14ac:dyDescent="0.45">
      <c r="A316" s="30">
        <f>step3_validation[[#This Row],[Persona_ID]]</f>
        <v>315</v>
      </c>
      <c r="B316" s="31">
        <f>step3_validation[[#This Row],[Used_Seed]]</f>
        <v>2305</v>
      </c>
      <c r="C316" t="str">
        <f>step3_validation[[#This Row],[Gender]]</f>
        <v>Nam</v>
      </c>
      <c r="D316" t="str">
        <f>survey_responses[[#This Row],[Giới tính của bạn:]]</f>
        <v>Nam</v>
      </c>
      <c r="E316" t="str">
        <f>step3_validation[[#This Row],[Age_Group]]</f>
        <v>18 - 24</v>
      </c>
      <c r="F316" t="str">
        <f>survey_responses[[#This Row],[Độ tuổi của bạn:]]</f>
        <v>18 - 24</v>
      </c>
      <c r="G316" t="str">
        <f>step3_validation[[#This Row],[Region]]</f>
        <v>Thành thị</v>
      </c>
      <c r="H316" t="str">
        <f>survey_responses[[#This Row],[Khu vực bạn đang sinh sống:]]</f>
        <v>Thành thị</v>
      </c>
      <c r="I316" t="str">
        <f>step3_validation[[#This Row],[Education]]</f>
        <v>Đại học</v>
      </c>
      <c r="J316" t="str">
        <f>survey_responses[[#This Row],[Trình độ học vấn cao nhất:]]</f>
        <v>Đại học</v>
      </c>
      <c r="K316" t="str">
        <f>step3_validation[[#This Row],[Employment]]</f>
        <v>Chính thức</v>
      </c>
      <c r="L316" t="str">
        <f>survey_responses[[#This Row],[Tình trạng việc làm chính:]]</f>
        <v>Khu vực chính thức (Có Hợp đồng lao động, đóng BHXH)</v>
      </c>
      <c r="M316">
        <f>step3_validation[[#This Row],[Income_Mil]]</f>
        <v>18.646241298108148</v>
      </c>
      <c r="N316" t="str">
        <f>survey_responses[[#This Row],[Thu nhập bình quân tháng theo Hợp đồng lao động của bạn là bao nhiêu? (Vui lòng điền tổng thu nhập trước khi khấu trừ các loại Bảo hiểm (BHXH, BHYT, BHTN) và Thuế TNCN)]]</f>
        <v>Từ 18 - 23 triệu VNĐ</v>
      </c>
      <c r="O316">
        <f>step3_validation[[#This Row],[Dependents]]</f>
        <v>0</v>
      </c>
      <c r="P316" t="str">
        <f>survey_responses[[#This Row],[Số người phụ thuộc (con nhỏ, cha mẹ già...) đủ điều kiện giảm trừ gia cảnh:]]</f>
        <v>0 người</v>
      </c>
      <c r="Q316">
        <f>step3_validation[[#This Row],[AI_ENF1]]</f>
        <v>7</v>
      </c>
      <c r="R316" t="str">
        <f t="shared" si="108"/>
        <v>Neutral</v>
      </c>
      <c r="S316">
        <f>survey_responses[[#This Row],[Tôi tin rằng với các quy định quản lý thuế hiện nay, hành vi gian lận hoặc trốn thuế sẽ dễ dàng bị phát hiện và xử lý nghiêm. - HUMAN-ENF1]]</f>
        <v>4</v>
      </c>
      <c r="T316" t="str">
        <f t="shared" si="109"/>
        <v>Oppose</v>
      </c>
      <c r="U316" s="32">
        <f t="shared" si="110"/>
        <v>3</v>
      </c>
      <c r="V316">
        <f>step3_validation[[#This Row],[AI_ENF2]]</f>
        <v>8</v>
      </c>
      <c r="W316" t="str">
        <f t="shared" si="111"/>
        <v>Support</v>
      </c>
      <c r="X316">
        <f>survey_responses[[#This Row],[Tôi tin rằng Nhà nước, cơ quan thuế có đủ khả năng và công nghệ để phát hiện, xử lý nghiêm các hành vi trốn thuế. - HUMAN-ENF2]]</f>
        <v>5</v>
      </c>
      <c r="Y316" t="str">
        <f t="shared" si="112"/>
        <v>Neutral</v>
      </c>
      <c r="Z316" s="32">
        <f t="shared" si="113"/>
        <v>3</v>
      </c>
      <c r="AA316">
        <f>step3_validation[[#This Row],[AI_FAC1]]</f>
        <v>9</v>
      </c>
      <c r="AB316" t="str">
        <f t="shared" si="114"/>
        <v>Support</v>
      </c>
      <c r="AC316">
        <f>survey_responses[[#This Row],[Các thủ tục khai báo thuế VÀ/HOẶC quy trình làm việc với cơ quan thuế đơn giản, tiện lợi, nhanh chóng hơn so với trước đây. - HUMAN-FAC1]]</f>
        <v>5</v>
      </c>
      <c r="AD316" t="str">
        <f t="shared" si="115"/>
        <v>Neutral</v>
      </c>
      <c r="AE316" s="32">
        <f t="shared" si="116"/>
        <v>4</v>
      </c>
      <c r="AF316">
        <f>step3_validation[[#This Row],[AI_FAC2]]</f>
        <v>8</v>
      </c>
      <c r="AG316" t="str">
        <f t="shared" si="117"/>
        <v>Support</v>
      </c>
      <c r="AH316">
        <f>survey_responses[[#This Row],[So với trước đây, tôi thấy cách tính thuế và các bậc thuế trong phương án mới đơn giản, dễ hiểu và dễ thực hiện hơn. - HUMAN-FAC2]]</f>
        <v>7</v>
      </c>
      <c r="AI316" t="str">
        <f t="shared" si="118"/>
        <v>Neutral</v>
      </c>
      <c r="AJ316" s="32">
        <f t="shared" si="119"/>
        <v>1</v>
      </c>
      <c r="AK316">
        <f>step3_validation[[#This Row],[AI_TRU1]]</f>
        <v>9</v>
      </c>
      <c r="AL316" t="str">
        <f t="shared" si="120"/>
        <v>Support</v>
      </c>
      <c r="AM316">
        <f>survey_responses[[#This Row],[Tôi tin rằng Nhà nước, cơ quan thuế sẽ thực thi chính sách mới một cách khách quan, công tâm và đối xử bình đẳng với mọi người nộp thuế.  - HUMAN-TRU1]]</f>
        <v>5</v>
      </c>
      <c r="AN316" t="str">
        <f t="shared" si="121"/>
        <v>Neutral</v>
      </c>
      <c r="AO316" s="32">
        <f t="shared" si="122"/>
        <v>4</v>
      </c>
      <c r="AP316">
        <f>step3_validation[[#This Row],[AI_TRU2]]</f>
        <v>8</v>
      </c>
      <c r="AQ316" t="str">
        <f t="shared" si="123"/>
        <v>Support</v>
      </c>
      <c r="AR316">
        <f>survey_responses[[#This Row],[Tôi thấy mức thuế tôi phải đóng theo phương án mới là công bằng (người thu nhập như tôi đóng mức này là hợp lý). - HUMAN-TRU2]]</f>
        <v>8</v>
      </c>
      <c r="AS316" t="str">
        <f t="shared" si="124"/>
        <v>Support</v>
      </c>
      <c r="AT316" s="32">
        <f t="shared" si="125"/>
        <v>0</v>
      </c>
      <c r="AU316">
        <f>step3_validation[[#This Row],[AI_TRU3]]</f>
        <v>9</v>
      </c>
      <c r="AV316" t="str">
        <f t="shared" si="126"/>
        <v>Support</v>
      </c>
      <c r="AW316">
        <f>survey_responses[[#This Row],[Tôi tin tưởng số tiền thuế tôi đóng sẽ được Nhà nước sử dụng hiệu quả để cải thiện dịch vụ công (y tế, đường xá...). - HUMAN-TRU3]]</f>
        <v>5</v>
      </c>
      <c r="AX316" t="str">
        <f t="shared" si="127"/>
        <v>Neutral</v>
      </c>
      <c r="AY316" s="32">
        <f t="shared" si="128"/>
        <v>4</v>
      </c>
      <c r="AZ316">
        <f>step3_validation[[#This Row],[AI_TRU4]]</f>
        <v>6</v>
      </c>
      <c r="BA316" t="str">
        <f t="shared" si="129"/>
        <v>Neutral</v>
      </c>
      <c r="BB316">
        <f>survey_responses[[#This Row],[Tôi thấy Nhà nước đã giải thích rõ ràng, minh bạch về lý do và mục tiêu của việc sửa đổi thuế lần này. - HUMAN-TRU4]]</f>
        <v>6</v>
      </c>
      <c r="BC316" t="str">
        <f t="shared" si="130"/>
        <v>Neutral</v>
      </c>
      <c r="BD316" s="32">
        <f t="shared" si="131"/>
        <v>0</v>
      </c>
      <c r="BE316">
        <f>step3_validation[[#This Row],[AI_OUT1]]</f>
        <v>9</v>
      </c>
      <c r="BF316" t="str">
        <f t="shared" si="132"/>
        <v>Support</v>
      </c>
      <c r="BG316">
        <f>survey_responses[[#This Row],[Sau khi xem xét các quyền lợi và nghĩa vụ, bạn có ủng hộ và tuân thủ chính sách mới hiện nay? - HUMAN-OUT1]]</f>
        <v>8</v>
      </c>
      <c r="BH316" t="str">
        <f t="shared" si="133"/>
        <v>Support</v>
      </c>
      <c r="BI316" s="32">
        <f t="shared" si="134"/>
        <v>1</v>
      </c>
    </row>
    <row r="317" spans="1:61" x14ac:dyDescent="0.45">
      <c r="A317" s="30">
        <f>step3_validation[[#This Row],[Persona_ID]]</f>
        <v>316</v>
      </c>
      <c r="B317" s="31">
        <f>step3_validation[[#This Row],[Used_Seed]]</f>
        <v>2306</v>
      </c>
      <c r="C317" t="str">
        <f>step3_validation[[#This Row],[Gender]]</f>
        <v>Nữ</v>
      </c>
      <c r="D317" t="str">
        <f>survey_responses[[#This Row],[Giới tính của bạn:]]</f>
        <v>Nữ</v>
      </c>
      <c r="E317" t="str">
        <f>step3_validation[[#This Row],[Age_Group]]</f>
        <v>25 - 29</v>
      </c>
      <c r="F317" t="str">
        <f>survey_responses[[#This Row],[Độ tuổi của bạn:]]</f>
        <v>25 - 29</v>
      </c>
      <c r="G317" t="str">
        <f>step3_validation[[#This Row],[Region]]</f>
        <v>Thành thị</v>
      </c>
      <c r="H317" t="str">
        <f>survey_responses[[#This Row],[Khu vực bạn đang sinh sống:]]</f>
        <v>Thành thị</v>
      </c>
      <c r="I317" t="str">
        <f>step3_validation[[#This Row],[Education]]</f>
        <v>Đại học</v>
      </c>
      <c r="J317" t="str">
        <f>survey_responses[[#This Row],[Trình độ học vấn cao nhất:]]</f>
        <v>Đại học</v>
      </c>
      <c r="K317" t="str">
        <f>step3_validation[[#This Row],[Employment]]</f>
        <v>Chính thức</v>
      </c>
      <c r="L317" t="str">
        <f>survey_responses[[#This Row],[Tình trạng việc làm chính:]]</f>
        <v>Khu vực chính thức (Có Hợp đồng lao động, đóng BHXH)</v>
      </c>
      <c r="M317">
        <f>step3_validation[[#This Row],[Income_Mil]]</f>
        <v>30.586055792254186</v>
      </c>
      <c r="N317" t="str">
        <f>survey_responses[[#This Row],[Thu nhập bình quân tháng theo Hợp đồng lao động của bạn là bao nhiêu? (Vui lòng điền tổng thu nhập trước khi khấu trừ các loại Bảo hiểm (BHXH, BHYT, BHTN) và Thuế TNCN)]]</f>
        <v>Từ 23 - 32 triệu VNĐ</v>
      </c>
      <c r="O317">
        <f>step3_validation[[#This Row],[Dependents]]</f>
        <v>0</v>
      </c>
      <c r="P317" t="str">
        <f>survey_responses[[#This Row],[Số người phụ thuộc (con nhỏ, cha mẹ già...) đủ điều kiện giảm trừ gia cảnh:]]</f>
        <v>0 người</v>
      </c>
      <c r="Q317">
        <f>step3_validation[[#This Row],[AI_ENF1]]</f>
        <v>7</v>
      </c>
      <c r="R317" t="str">
        <f t="shared" si="108"/>
        <v>Neutral</v>
      </c>
      <c r="S317">
        <f>survey_responses[[#This Row],[Tôi tin rằng với các quy định quản lý thuế hiện nay, hành vi gian lận hoặc trốn thuế sẽ dễ dàng bị phát hiện và xử lý nghiêm. - HUMAN-ENF1]]</f>
        <v>6</v>
      </c>
      <c r="T317" t="str">
        <f t="shared" si="109"/>
        <v>Neutral</v>
      </c>
      <c r="U317" s="32">
        <f t="shared" si="110"/>
        <v>1</v>
      </c>
      <c r="V317">
        <f>step3_validation[[#This Row],[AI_ENF2]]</f>
        <v>6</v>
      </c>
      <c r="W317" t="str">
        <f t="shared" si="111"/>
        <v>Neutral</v>
      </c>
      <c r="X317">
        <f>survey_responses[[#This Row],[Tôi tin rằng Nhà nước, cơ quan thuế có đủ khả năng và công nghệ để phát hiện, xử lý nghiêm các hành vi trốn thuế. - HUMAN-ENF2]]</f>
        <v>8</v>
      </c>
      <c r="Y317" t="str">
        <f t="shared" si="112"/>
        <v>Support</v>
      </c>
      <c r="Z317" s="32">
        <f t="shared" si="113"/>
        <v>2</v>
      </c>
      <c r="AA317">
        <f>step3_validation[[#This Row],[AI_FAC1]]</f>
        <v>8</v>
      </c>
      <c r="AB317" t="str">
        <f t="shared" si="114"/>
        <v>Support</v>
      </c>
      <c r="AC317">
        <f>survey_responses[[#This Row],[Các thủ tục khai báo thuế VÀ/HOẶC quy trình làm việc với cơ quan thuế đơn giản, tiện lợi, nhanh chóng hơn so với trước đây. - HUMAN-FAC1]]</f>
        <v>5</v>
      </c>
      <c r="AD317" t="str">
        <f t="shared" si="115"/>
        <v>Neutral</v>
      </c>
      <c r="AE317" s="32">
        <f t="shared" si="116"/>
        <v>3</v>
      </c>
      <c r="AF317">
        <f>step3_validation[[#This Row],[AI_FAC2]]</f>
        <v>7</v>
      </c>
      <c r="AG317" t="str">
        <f t="shared" si="117"/>
        <v>Neutral</v>
      </c>
      <c r="AH317">
        <f>survey_responses[[#This Row],[So với trước đây, tôi thấy cách tính thuế và các bậc thuế trong phương án mới đơn giản, dễ hiểu và dễ thực hiện hơn. - HUMAN-FAC2]]</f>
        <v>6</v>
      </c>
      <c r="AI317" t="str">
        <f t="shared" si="118"/>
        <v>Neutral</v>
      </c>
      <c r="AJ317" s="32">
        <f t="shared" si="119"/>
        <v>1</v>
      </c>
      <c r="AK317">
        <f>step3_validation[[#This Row],[AI_TRU1]]</f>
        <v>6</v>
      </c>
      <c r="AL317" t="str">
        <f t="shared" si="120"/>
        <v>Neutral</v>
      </c>
      <c r="AM317">
        <f>survey_responses[[#This Row],[Tôi tin rằng Nhà nước, cơ quan thuế sẽ thực thi chính sách mới một cách khách quan, công tâm và đối xử bình đẳng với mọi người nộp thuế.  - HUMAN-TRU1]]</f>
        <v>6</v>
      </c>
      <c r="AN317" t="str">
        <f t="shared" si="121"/>
        <v>Neutral</v>
      </c>
      <c r="AO317" s="32">
        <f t="shared" si="122"/>
        <v>0</v>
      </c>
      <c r="AP317">
        <f>step3_validation[[#This Row],[AI_TRU2]]</f>
        <v>5</v>
      </c>
      <c r="AQ317" t="str">
        <f t="shared" si="123"/>
        <v>Neutral</v>
      </c>
      <c r="AR317">
        <f>survey_responses[[#This Row],[Tôi thấy mức thuế tôi phải đóng theo phương án mới là công bằng (người thu nhập như tôi đóng mức này là hợp lý). - HUMAN-TRU2]]</f>
        <v>7</v>
      </c>
      <c r="AS317" t="str">
        <f t="shared" si="124"/>
        <v>Neutral</v>
      </c>
      <c r="AT317" s="32">
        <f t="shared" si="125"/>
        <v>2</v>
      </c>
      <c r="AU317">
        <f>step3_validation[[#This Row],[AI_TRU3]]</f>
        <v>6</v>
      </c>
      <c r="AV317" t="str">
        <f t="shared" si="126"/>
        <v>Neutral</v>
      </c>
      <c r="AW317">
        <f>survey_responses[[#This Row],[Tôi tin tưởng số tiền thuế tôi đóng sẽ được Nhà nước sử dụng hiệu quả để cải thiện dịch vụ công (y tế, đường xá...). - HUMAN-TRU3]]</f>
        <v>6</v>
      </c>
      <c r="AX317" t="str">
        <f t="shared" si="127"/>
        <v>Neutral</v>
      </c>
      <c r="AY317" s="32">
        <f t="shared" si="128"/>
        <v>0</v>
      </c>
      <c r="AZ317">
        <f>step3_validation[[#This Row],[AI_TRU4]]</f>
        <v>5</v>
      </c>
      <c r="BA317" t="str">
        <f t="shared" si="129"/>
        <v>Neutral</v>
      </c>
      <c r="BB317">
        <f>survey_responses[[#This Row],[Tôi thấy Nhà nước đã giải thích rõ ràng, minh bạch về lý do và mục tiêu của việc sửa đổi thuế lần này. - HUMAN-TRU4]]</f>
        <v>7</v>
      </c>
      <c r="BC317" t="str">
        <f t="shared" si="130"/>
        <v>Neutral</v>
      </c>
      <c r="BD317" s="32">
        <f t="shared" si="131"/>
        <v>2</v>
      </c>
      <c r="BE317">
        <f>step3_validation[[#This Row],[AI_OUT1]]</f>
        <v>6</v>
      </c>
      <c r="BF317" t="str">
        <f t="shared" si="132"/>
        <v>Neutral</v>
      </c>
      <c r="BG317">
        <f>survey_responses[[#This Row],[Sau khi xem xét các quyền lợi và nghĩa vụ, bạn có ủng hộ và tuân thủ chính sách mới hiện nay? - HUMAN-OUT1]]</f>
        <v>7</v>
      </c>
      <c r="BH317" t="str">
        <f t="shared" si="133"/>
        <v>Neutral</v>
      </c>
      <c r="BI317" s="32">
        <f t="shared" si="134"/>
        <v>1</v>
      </c>
    </row>
    <row r="318" spans="1:61" x14ac:dyDescent="0.45">
      <c r="A318" s="30">
        <f>step3_validation[[#This Row],[Persona_ID]]</f>
        <v>317</v>
      </c>
      <c r="B318" s="31">
        <f>step3_validation[[#This Row],[Used_Seed]]</f>
        <v>2307</v>
      </c>
      <c r="C318" t="str">
        <f>step3_validation[[#This Row],[Gender]]</f>
        <v>Nữ</v>
      </c>
      <c r="D318" t="str">
        <f>survey_responses[[#This Row],[Giới tính của bạn:]]</f>
        <v>Nữ</v>
      </c>
      <c r="E318" t="str">
        <f>step3_validation[[#This Row],[Age_Group]]</f>
        <v>18 - 24</v>
      </c>
      <c r="F318" t="str">
        <f>survey_responses[[#This Row],[Độ tuổi của bạn:]]</f>
        <v>18 - 24</v>
      </c>
      <c r="G318" t="str">
        <f>step3_validation[[#This Row],[Region]]</f>
        <v>Thành thị</v>
      </c>
      <c r="H318" t="str">
        <f>survey_responses[[#This Row],[Khu vực bạn đang sinh sống:]]</f>
        <v>Thành thị</v>
      </c>
      <c r="I318" t="str">
        <f>step3_validation[[#This Row],[Education]]</f>
        <v>Đại học</v>
      </c>
      <c r="J318" t="str">
        <f>survey_responses[[#This Row],[Trình độ học vấn cao nhất:]]</f>
        <v>Đại học</v>
      </c>
      <c r="K318" t="str">
        <f>step3_validation[[#This Row],[Employment]]</f>
        <v>Chính thức</v>
      </c>
      <c r="L318" t="str">
        <f>survey_responses[[#This Row],[Tình trạng việc làm chính:]]</f>
        <v>Khu vực chính thức (Có Hợp đồng lao động, đóng BHXH)</v>
      </c>
      <c r="M318">
        <f>step3_validation[[#This Row],[Income_Mil]]</f>
        <v>13.614504885833528</v>
      </c>
      <c r="N318" t="str">
        <f>survey_responses[[#This Row],[Thu nhập bình quân tháng theo Hợp đồng lao động của bạn là bao nhiêu? (Vui lòng điền tổng thu nhập trước khi khấu trừ các loại Bảo hiểm (BHXH, BHYT, BHTN) và Thuế TNCN)]]</f>
        <v>Từ 12 - 18 triệu VNĐ</v>
      </c>
      <c r="O318">
        <f>step3_validation[[#This Row],[Dependents]]</f>
        <v>0</v>
      </c>
      <c r="P318" t="str">
        <f>survey_responses[[#This Row],[Số người phụ thuộc (con nhỏ, cha mẹ già...) đủ điều kiện giảm trừ gia cảnh:]]</f>
        <v>0 người</v>
      </c>
      <c r="Q318">
        <f>step3_validation[[#This Row],[AI_ENF1]]</f>
        <v>5</v>
      </c>
      <c r="R318" t="str">
        <f t="shared" si="108"/>
        <v>Neutral</v>
      </c>
      <c r="S318">
        <f>survey_responses[[#This Row],[Tôi tin rằng với các quy định quản lý thuế hiện nay, hành vi gian lận hoặc trốn thuế sẽ dễ dàng bị phát hiện và xử lý nghiêm. - HUMAN-ENF1]]</f>
        <v>7</v>
      </c>
      <c r="T318" t="str">
        <f t="shared" si="109"/>
        <v>Neutral</v>
      </c>
      <c r="U318" s="32">
        <f t="shared" si="110"/>
        <v>2</v>
      </c>
      <c r="V318">
        <f>step3_validation[[#This Row],[AI_ENF2]]</f>
        <v>6</v>
      </c>
      <c r="W318" t="str">
        <f t="shared" si="111"/>
        <v>Neutral</v>
      </c>
      <c r="X318">
        <f>survey_responses[[#This Row],[Tôi tin rằng Nhà nước, cơ quan thuế có đủ khả năng và công nghệ để phát hiện, xử lý nghiêm các hành vi trốn thuế. - HUMAN-ENF2]]</f>
        <v>7</v>
      </c>
      <c r="Y318" t="str">
        <f t="shared" si="112"/>
        <v>Neutral</v>
      </c>
      <c r="Z318" s="32">
        <f t="shared" si="113"/>
        <v>1</v>
      </c>
      <c r="AA318">
        <f>step3_validation[[#This Row],[AI_FAC1]]</f>
        <v>7</v>
      </c>
      <c r="AB318" t="str">
        <f t="shared" si="114"/>
        <v>Neutral</v>
      </c>
      <c r="AC318">
        <f>survey_responses[[#This Row],[Các thủ tục khai báo thuế VÀ/HOẶC quy trình làm việc với cơ quan thuế đơn giản, tiện lợi, nhanh chóng hơn so với trước đây. - HUMAN-FAC1]]</f>
        <v>5</v>
      </c>
      <c r="AD318" t="str">
        <f t="shared" si="115"/>
        <v>Neutral</v>
      </c>
      <c r="AE318" s="32">
        <f t="shared" si="116"/>
        <v>2</v>
      </c>
      <c r="AF318">
        <f>step3_validation[[#This Row],[AI_FAC2]]</f>
        <v>8</v>
      </c>
      <c r="AG318" t="str">
        <f t="shared" si="117"/>
        <v>Support</v>
      </c>
      <c r="AH318">
        <f>survey_responses[[#This Row],[So với trước đây, tôi thấy cách tính thuế và các bậc thuế trong phương án mới đơn giản, dễ hiểu và dễ thực hiện hơn. - HUMAN-FAC2]]</f>
        <v>8</v>
      </c>
      <c r="AI318" t="str">
        <f t="shared" si="118"/>
        <v>Support</v>
      </c>
      <c r="AJ318" s="32">
        <f t="shared" si="119"/>
        <v>0</v>
      </c>
      <c r="AK318">
        <f>step3_validation[[#This Row],[AI_TRU1]]</f>
        <v>7</v>
      </c>
      <c r="AL318" t="str">
        <f t="shared" si="120"/>
        <v>Neutral</v>
      </c>
      <c r="AM318">
        <f>survey_responses[[#This Row],[Tôi tin rằng Nhà nước, cơ quan thuế sẽ thực thi chính sách mới một cách khách quan, công tâm và đối xử bình đẳng với mọi người nộp thuế.  - HUMAN-TRU1]]</f>
        <v>5</v>
      </c>
      <c r="AN318" t="str">
        <f t="shared" si="121"/>
        <v>Neutral</v>
      </c>
      <c r="AO318" s="32">
        <f t="shared" si="122"/>
        <v>2</v>
      </c>
      <c r="AP318">
        <f>step3_validation[[#This Row],[AI_TRU2]]</f>
        <v>8</v>
      </c>
      <c r="AQ318" t="str">
        <f t="shared" si="123"/>
        <v>Support</v>
      </c>
      <c r="AR318">
        <f>survey_responses[[#This Row],[Tôi thấy mức thuế tôi phải đóng theo phương án mới là công bằng (người thu nhập như tôi đóng mức này là hợp lý). - HUMAN-TRU2]]</f>
        <v>8</v>
      </c>
      <c r="AS318" t="str">
        <f t="shared" si="124"/>
        <v>Support</v>
      </c>
      <c r="AT318" s="32">
        <f t="shared" si="125"/>
        <v>0</v>
      </c>
      <c r="AU318">
        <f>step3_validation[[#This Row],[AI_TRU3]]</f>
        <v>7</v>
      </c>
      <c r="AV318" t="str">
        <f t="shared" si="126"/>
        <v>Neutral</v>
      </c>
      <c r="AW318">
        <f>survey_responses[[#This Row],[Tôi tin tưởng số tiền thuế tôi đóng sẽ được Nhà nước sử dụng hiệu quả để cải thiện dịch vụ công (y tế, đường xá...). - HUMAN-TRU3]]</f>
        <v>5</v>
      </c>
      <c r="AX318" t="str">
        <f t="shared" si="127"/>
        <v>Neutral</v>
      </c>
      <c r="AY318" s="32">
        <f t="shared" si="128"/>
        <v>2</v>
      </c>
      <c r="AZ318">
        <f>step3_validation[[#This Row],[AI_TRU4]]</f>
        <v>6</v>
      </c>
      <c r="BA318" t="str">
        <f t="shared" si="129"/>
        <v>Neutral</v>
      </c>
      <c r="BB318">
        <f>survey_responses[[#This Row],[Tôi thấy Nhà nước đã giải thích rõ ràng, minh bạch về lý do và mục tiêu của việc sửa đổi thuế lần này. - HUMAN-TRU4]]</f>
        <v>7</v>
      </c>
      <c r="BC318" t="str">
        <f t="shared" si="130"/>
        <v>Neutral</v>
      </c>
      <c r="BD318" s="32">
        <f t="shared" si="131"/>
        <v>1</v>
      </c>
      <c r="BE318">
        <f>step3_validation[[#This Row],[AI_OUT1]]</f>
        <v>8</v>
      </c>
      <c r="BF318" t="str">
        <f t="shared" si="132"/>
        <v>Support</v>
      </c>
      <c r="BG318">
        <f>survey_responses[[#This Row],[Sau khi xem xét các quyền lợi và nghĩa vụ, bạn có ủng hộ và tuân thủ chính sách mới hiện nay? - HUMAN-OUT1]]</f>
        <v>8</v>
      </c>
      <c r="BH318" t="str">
        <f t="shared" si="133"/>
        <v>Support</v>
      </c>
      <c r="BI318" s="32">
        <f t="shared" si="134"/>
        <v>0</v>
      </c>
    </row>
    <row r="319" spans="1:61" x14ac:dyDescent="0.45">
      <c r="A319" s="30">
        <f>step3_validation[[#This Row],[Persona_ID]]</f>
        <v>318</v>
      </c>
      <c r="B319" s="31">
        <f>step3_validation[[#This Row],[Used_Seed]]</f>
        <v>2308</v>
      </c>
      <c r="C319" t="str">
        <f>step3_validation[[#This Row],[Gender]]</f>
        <v>Nữ</v>
      </c>
      <c r="D319" t="str">
        <f>survey_responses[[#This Row],[Giới tính của bạn:]]</f>
        <v>Nữ</v>
      </c>
      <c r="E319" t="str">
        <f>step3_validation[[#This Row],[Age_Group]]</f>
        <v>25 - 29</v>
      </c>
      <c r="F319" t="str">
        <f>survey_responses[[#This Row],[Độ tuổi của bạn:]]</f>
        <v>25 - 29</v>
      </c>
      <c r="G319" t="str">
        <f>step3_validation[[#This Row],[Region]]</f>
        <v>Thành thị</v>
      </c>
      <c r="H319" t="str">
        <f>survey_responses[[#This Row],[Khu vực bạn đang sinh sống:]]</f>
        <v>Thành thị</v>
      </c>
      <c r="I319" t="str">
        <f>step3_validation[[#This Row],[Education]]</f>
        <v>Sau Đại học</v>
      </c>
      <c r="J319" t="str">
        <f>survey_responses[[#This Row],[Trình độ học vấn cao nhất:]]</f>
        <v>Sau Đại học</v>
      </c>
      <c r="K319" t="str">
        <f>step3_validation[[#This Row],[Employment]]</f>
        <v>Chính thức</v>
      </c>
      <c r="L319" t="str">
        <f>survey_responses[[#This Row],[Tình trạng việc làm chính:]]</f>
        <v>Khu vực chính thức (Có Hợp đồng lao động, đóng BHXH)</v>
      </c>
      <c r="M319">
        <f>step3_validation[[#This Row],[Income_Mil]]</f>
        <v>21.386217368159549</v>
      </c>
      <c r="N319" t="str">
        <f>survey_responses[[#This Row],[Thu nhập bình quân tháng theo Hợp đồng lao động của bạn là bao nhiêu? (Vui lòng điền tổng thu nhập trước khi khấu trừ các loại Bảo hiểm (BHXH, BHYT, BHTN) và Thuế TNCN)]]</f>
        <v>Từ 18 - 23 triệu VNĐ</v>
      </c>
      <c r="O319">
        <f>step3_validation[[#This Row],[Dependents]]</f>
        <v>0</v>
      </c>
      <c r="P319" t="str">
        <f>survey_responses[[#This Row],[Số người phụ thuộc (con nhỏ, cha mẹ già...) đủ điều kiện giảm trừ gia cảnh:]]</f>
        <v>0 người</v>
      </c>
      <c r="Q319">
        <f>step3_validation[[#This Row],[AI_ENF1]]</f>
        <v>7</v>
      </c>
      <c r="R319" t="str">
        <f t="shared" si="108"/>
        <v>Neutral</v>
      </c>
      <c r="S319">
        <f>survey_responses[[#This Row],[Tôi tin rằng với các quy định quản lý thuế hiện nay, hành vi gian lận hoặc trốn thuế sẽ dễ dàng bị phát hiện và xử lý nghiêm. - HUMAN-ENF1]]</f>
        <v>4</v>
      </c>
      <c r="T319" t="str">
        <f t="shared" si="109"/>
        <v>Oppose</v>
      </c>
      <c r="U319" s="32">
        <f t="shared" si="110"/>
        <v>3</v>
      </c>
      <c r="V319">
        <f>step3_validation[[#This Row],[AI_ENF2]]</f>
        <v>6</v>
      </c>
      <c r="W319" t="str">
        <f t="shared" si="111"/>
        <v>Neutral</v>
      </c>
      <c r="X319">
        <f>survey_responses[[#This Row],[Tôi tin rằng Nhà nước, cơ quan thuế có đủ khả năng và công nghệ để phát hiện, xử lý nghiêm các hành vi trốn thuế. - HUMAN-ENF2]]</f>
        <v>4</v>
      </c>
      <c r="Y319" t="str">
        <f t="shared" si="112"/>
        <v>Oppose</v>
      </c>
      <c r="Z319" s="32">
        <f t="shared" si="113"/>
        <v>2</v>
      </c>
      <c r="AA319">
        <f>step3_validation[[#This Row],[AI_FAC1]]</f>
        <v>8</v>
      </c>
      <c r="AB319" t="str">
        <f t="shared" si="114"/>
        <v>Support</v>
      </c>
      <c r="AC319">
        <f>survey_responses[[#This Row],[Các thủ tục khai báo thuế VÀ/HOẶC quy trình làm việc với cơ quan thuế đơn giản, tiện lợi, nhanh chóng hơn so với trước đây. - HUMAN-FAC1]]</f>
        <v>6</v>
      </c>
      <c r="AD319" t="str">
        <f t="shared" si="115"/>
        <v>Neutral</v>
      </c>
      <c r="AE319" s="32">
        <f t="shared" si="116"/>
        <v>2</v>
      </c>
      <c r="AF319">
        <f>step3_validation[[#This Row],[AI_FAC2]]</f>
        <v>9</v>
      </c>
      <c r="AG319" t="str">
        <f t="shared" si="117"/>
        <v>Support</v>
      </c>
      <c r="AH319">
        <f>survey_responses[[#This Row],[So với trước đây, tôi thấy cách tính thuế và các bậc thuế trong phương án mới đơn giản, dễ hiểu và dễ thực hiện hơn. - HUMAN-FAC2]]</f>
        <v>7</v>
      </c>
      <c r="AI319" t="str">
        <f t="shared" si="118"/>
        <v>Neutral</v>
      </c>
      <c r="AJ319" s="32">
        <f t="shared" si="119"/>
        <v>2</v>
      </c>
      <c r="AK319">
        <f>step3_validation[[#This Row],[AI_TRU1]]</f>
        <v>7</v>
      </c>
      <c r="AL319" t="str">
        <f t="shared" si="120"/>
        <v>Neutral</v>
      </c>
      <c r="AM319">
        <f>survey_responses[[#This Row],[Tôi tin rằng Nhà nước, cơ quan thuế sẽ thực thi chính sách mới một cách khách quan, công tâm và đối xử bình đẳng với mọi người nộp thuế.  - HUMAN-TRU1]]</f>
        <v>5</v>
      </c>
      <c r="AN319" t="str">
        <f t="shared" si="121"/>
        <v>Neutral</v>
      </c>
      <c r="AO319" s="32">
        <f t="shared" si="122"/>
        <v>2</v>
      </c>
      <c r="AP319">
        <f>step3_validation[[#This Row],[AI_TRU2]]</f>
        <v>6</v>
      </c>
      <c r="AQ319" t="str">
        <f t="shared" si="123"/>
        <v>Neutral</v>
      </c>
      <c r="AR319">
        <f>survey_responses[[#This Row],[Tôi thấy mức thuế tôi phải đóng theo phương án mới là công bằng (người thu nhập như tôi đóng mức này là hợp lý). - HUMAN-TRU2]]</f>
        <v>8</v>
      </c>
      <c r="AS319" t="str">
        <f t="shared" si="124"/>
        <v>Support</v>
      </c>
      <c r="AT319" s="32">
        <f t="shared" si="125"/>
        <v>2</v>
      </c>
      <c r="AU319">
        <f>step3_validation[[#This Row],[AI_TRU3]]</f>
        <v>8</v>
      </c>
      <c r="AV319" t="str">
        <f t="shared" si="126"/>
        <v>Support</v>
      </c>
      <c r="AW319">
        <f>survey_responses[[#This Row],[Tôi tin tưởng số tiền thuế tôi đóng sẽ được Nhà nước sử dụng hiệu quả để cải thiện dịch vụ công (y tế, đường xá...). - HUMAN-TRU3]]</f>
        <v>5</v>
      </c>
      <c r="AX319" t="str">
        <f t="shared" si="127"/>
        <v>Neutral</v>
      </c>
      <c r="AY319" s="32">
        <f t="shared" si="128"/>
        <v>3</v>
      </c>
      <c r="AZ319">
        <f>step3_validation[[#This Row],[AI_TRU4]]</f>
        <v>5</v>
      </c>
      <c r="BA319" t="str">
        <f t="shared" si="129"/>
        <v>Neutral</v>
      </c>
      <c r="BB319">
        <f>survey_responses[[#This Row],[Tôi thấy Nhà nước đã giải thích rõ ràng, minh bạch về lý do và mục tiêu của việc sửa đổi thuế lần này. - HUMAN-TRU4]]</f>
        <v>5</v>
      </c>
      <c r="BC319" t="str">
        <f t="shared" si="130"/>
        <v>Neutral</v>
      </c>
      <c r="BD319" s="32">
        <f t="shared" si="131"/>
        <v>0</v>
      </c>
      <c r="BE319">
        <f>step3_validation[[#This Row],[AI_OUT1]]</f>
        <v>8</v>
      </c>
      <c r="BF319" t="str">
        <f t="shared" si="132"/>
        <v>Support</v>
      </c>
      <c r="BG319">
        <f>survey_responses[[#This Row],[Sau khi xem xét các quyền lợi và nghĩa vụ, bạn có ủng hộ và tuân thủ chính sách mới hiện nay? - HUMAN-OUT1]]</f>
        <v>8</v>
      </c>
      <c r="BH319" t="str">
        <f t="shared" si="133"/>
        <v>Support</v>
      </c>
      <c r="BI319" s="32">
        <f t="shared" si="134"/>
        <v>0</v>
      </c>
    </row>
    <row r="320" spans="1:61" x14ac:dyDescent="0.45">
      <c r="A320" s="30">
        <f>step3_validation[[#This Row],[Persona_ID]]</f>
        <v>319</v>
      </c>
      <c r="B320" s="31">
        <f>step3_validation[[#This Row],[Used_Seed]]</f>
        <v>2309</v>
      </c>
      <c r="C320" t="str">
        <f>step3_validation[[#This Row],[Gender]]</f>
        <v>Nữ</v>
      </c>
      <c r="D320" t="str">
        <f>survey_responses[[#This Row],[Giới tính của bạn:]]</f>
        <v>Nữ</v>
      </c>
      <c r="E320" t="str">
        <f>step3_validation[[#This Row],[Age_Group]]</f>
        <v>18 - 24</v>
      </c>
      <c r="F320" t="str">
        <f>survey_responses[[#This Row],[Độ tuổi của bạn:]]</f>
        <v>18 - 24</v>
      </c>
      <c r="G320" t="str">
        <f>step3_validation[[#This Row],[Region]]</f>
        <v>Thành thị</v>
      </c>
      <c r="H320" t="str">
        <f>survey_responses[[#This Row],[Khu vực bạn đang sinh sống:]]</f>
        <v>Thành thị</v>
      </c>
      <c r="I320" t="str">
        <f>step3_validation[[#This Row],[Education]]</f>
        <v>Đại học</v>
      </c>
      <c r="J320" t="str">
        <f>survey_responses[[#This Row],[Trình độ học vấn cao nhất:]]</f>
        <v>Đại học</v>
      </c>
      <c r="K320" t="str">
        <f>step3_validation[[#This Row],[Employment]]</f>
        <v>Chính thức</v>
      </c>
      <c r="L320" t="str">
        <f>survey_responses[[#This Row],[Tình trạng việc làm chính:]]</f>
        <v>Khu vực chính thức (Có Hợp đồng lao động, đóng BHXH)</v>
      </c>
      <c r="M320">
        <f>step3_validation[[#This Row],[Income_Mil]]</f>
        <v>15.901916868626156</v>
      </c>
      <c r="N320" t="str">
        <f>survey_responses[[#This Row],[Thu nhập bình quân tháng theo Hợp đồng lao động của bạn là bao nhiêu? (Vui lòng điền tổng thu nhập trước khi khấu trừ các loại Bảo hiểm (BHXH, BHYT, BHTN) và Thuế TNCN)]]</f>
        <v>Từ 12 - 18 triệu VNĐ</v>
      </c>
      <c r="O320">
        <f>step3_validation[[#This Row],[Dependents]]</f>
        <v>0</v>
      </c>
      <c r="P320" t="str">
        <f>survey_responses[[#This Row],[Số người phụ thuộc (con nhỏ, cha mẹ già...) đủ điều kiện giảm trừ gia cảnh:]]</f>
        <v>0 người</v>
      </c>
      <c r="Q320">
        <f>step3_validation[[#This Row],[AI_ENF1]]</f>
        <v>7</v>
      </c>
      <c r="R320" t="str">
        <f t="shared" si="108"/>
        <v>Neutral</v>
      </c>
      <c r="S320">
        <f>survey_responses[[#This Row],[Tôi tin rằng với các quy định quản lý thuế hiện nay, hành vi gian lận hoặc trốn thuế sẽ dễ dàng bị phát hiện và xử lý nghiêm. - HUMAN-ENF1]]</f>
        <v>8</v>
      </c>
      <c r="T320" t="str">
        <f t="shared" si="109"/>
        <v>Support</v>
      </c>
      <c r="U320" s="32">
        <f t="shared" si="110"/>
        <v>1</v>
      </c>
      <c r="V320">
        <f>step3_validation[[#This Row],[AI_ENF2]]</f>
        <v>8</v>
      </c>
      <c r="W320" t="str">
        <f t="shared" si="111"/>
        <v>Support</v>
      </c>
      <c r="X320">
        <f>survey_responses[[#This Row],[Tôi tin rằng Nhà nước, cơ quan thuế có đủ khả năng và công nghệ để phát hiện, xử lý nghiêm các hành vi trốn thuế. - HUMAN-ENF2]]</f>
        <v>8</v>
      </c>
      <c r="Y320" t="str">
        <f t="shared" si="112"/>
        <v>Support</v>
      </c>
      <c r="Z320" s="32">
        <f t="shared" si="113"/>
        <v>0</v>
      </c>
      <c r="AA320">
        <f>step3_validation[[#This Row],[AI_FAC1]]</f>
        <v>6</v>
      </c>
      <c r="AB320" t="str">
        <f t="shared" si="114"/>
        <v>Neutral</v>
      </c>
      <c r="AC320">
        <f>survey_responses[[#This Row],[Các thủ tục khai báo thuế VÀ/HOẶC quy trình làm việc với cơ quan thuế đơn giản, tiện lợi, nhanh chóng hơn so với trước đây. - HUMAN-FAC1]]</f>
        <v>10</v>
      </c>
      <c r="AD320" t="str">
        <f t="shared" si="115"/>
        <v>Support</v>
      </c>
      <c r="AE320" s="32">
        <f t="shared" si="116"/>
        <v>4</v>
      </c>
      <c r="AF320">
        <f>step3_validation[[#This Row],[AI_FAC2]]</f>
        <v>7</v>
      </c>
      <c r="AG320" t="str">
        <f t="shared" si="117"/>
        <v>Neutral</v>
      </c>
      <c r="AH320">
        <f>survey_responses[[#This Row],[So với trước đây, tôi thấy cách tính thuế và các bậc thuế trong phương án mới đơn giản, dễ hiểu và dễ thực hiện hơn. - HUMAN-FAC2]]</f>
        <v>10</v>
      </c>
      <c r="AI320" t="str">
        <f t="shared" si="118"/>
        <v>Support</v>
      </c>
      <c r="AJ320" s="32">
        <f t="shared" si="119"/>
        <v>3</v>
      </c>
      <c r="AK320">
        <f>step3_validation[[#This Row],[AI_TRU1]]</f>
        <v>8</v>
      </c>
      <c r="AL320" t="str">
        <f t="shared" si="120"/>
        <v>Support</v>
      </c>
      <c r="AM320">
        <f>survey_responses[[#This Row],[Tôi tin rằng Nhà nước, cơ quan thuế sẽ thực thi chính sách mới một cách khách quan, công tâm và đối xử bình đẳng với mọi người nộp thuế.  - HUMAN-TRU1]]</f>
        <v>9</v>
      </c>
      <c r="AN320" t="str">
        <f t="shared" si="121"/>
        <v>Support</v>
      </c>
      <c r="AO320" s="32">
        <f t="shared" si="122"/>
        <v>1</v>
      </c>
      <c r="AP320">
        <f>step3_validation[[#This Row],[AI_TRU2]]</f>
        <v>7</v>
      </c>
      <c r="AQ320" t="str">
        <f t="shared" si="123"/>
        <v>Neutral</v>
      </c>
      <c r="AR320">
        <f>survey_responses[[#This Row],[Tôi thấy mức thuế tôi phải đóng theo phương án mới là công bằng (người thu nhập như tôi đóng mức này là hợp lý). - HUMAN-TRU2]]</f>
        <v>10</v>
      </c>
      <c r="AS320" t="str">
        <f t="shared" si="124"/>
        <v>Support</v>
      </c>
      <c r="AT320" s="32">
        <f t="shared" si="125"/>
        <v>3</v>
      </c>
      <c r="AU320">
        <f>step3_validation[[#This Row],[AI_TRU3]]</f>
        <v>6</v>
      </c>
      <c r="AV320" t="str">
        <f t="shared" si="126"/>
        <v>Neutral</v>
      </c>
      <c r="AW320">
        <f>survey_responses[[#This Row],[Tôi tin tưởng số tiền thuế tôi đóng sẽ được Nhà nước sử dụng hiệu quả để cải thiện dịch vụ công (y tế, đường xá...). - HUMAN-TRU3]]</f>
        <v>8</v>
      </c>
      <c r="AX320" t="str">
        <f t="shared" si="127"/>
        <v>Support</v>
      </c>
      <c r="AY320" s="32">
        <f t="shared" si="128"/>
        <v>2</v>
      </c>
      <c r="AZ320">
        <f>step3_validation[[#This Row],[AI_TRU4]]</f>
        <v>7</v>
      </c>
      <c r="BA320" t="str">
        <f t="shared" si="129"/>
        <v>Neutral</v>
      </c>
      <c r="BB320">
        <f>survey_responses[[#This Row],[Tôi thấy Nhà nước đã giải thích rõ ràng, minh bạch về lý do và mục tiêu của việc sửa đổi thuế lần này. - HUMAN-TRU4]]</f>
        <v>8</v>
      </c>
      <c r="BC320" t="str">
        <f t="shared" si="130"/>
        <v>Support</v>
      </c>
      <c r="BD320" s="32">
        <f t="shared" si="131"/>
        <v>1</v>
      </c>
      <c r="BE320">
        <f>step3_validation[[#This Row],[AI_OUT1]]</f>
        <v>8</v>
      </c>
      <c r="BF320" t="str">
        <f t="shared" si="132"/>
        <v>Support</v>
      </c>
      <c r="BG320">
        <f>survey_responses[[#This Row],[Sau khi xem xét các quyền lợi và nghĩa vụ, bạn có ủng hộ và tuân thủ chính sách mới hiện nay? - HUMAN-OUT1]]</f>
        <v>10</v>
      </c>
      <c r="BH320" t="str">
        <f t="shared" si="133"/>
        <v>Support</v>
      </c>
      <c r="BI320" s="32">
        <f t="shared" si="134"/>
        <v>2</v>
      </c>
    </row>
    <row r="321" spans="1:61" x14ac:dyDescent="0.45">
      <c r="A321" s="30">
        <f>step3_validation[[#This Row],[Persona_ID]]</f>
        <v>320</v>
      </c>
      <c r="B321" s="31">
        <f>step3_validation[[#This Row],[Used_Seed]]</f>
        <v>2310</v>
      </c>
      <c r="C321" t="str">
        <f>step3_validation[[#This Row],[Gender]]</f>
        <v>Nam</v>
      </c>
      <c r="D321" t="str">
        <f>survey_responses[[#This Row],[Giới tính của bạn:]]</f>
        <v>Nam</v>
      </c>
      <c r="E321" t="str">
        <f>step3_validation[[#This Row],[Age_Group]]</f>
        <v>30 - 39</v>
      </c>
      <c r="F321" t="str">
        <f>survey_responses[[#This Row],[Độ tuổi của bạn:]]</f>
        <v>30 - 39</v>
      </c>
      <c r="G321" t="str">
        <f>step3_validation[[#This Row],[Region]]</f>
        <v>Thành thị</v>
      </c>
      <c r="H321" t="str">
        <f>survey_responses[[#This Row],[Khu vực bạn đang sinh sống:]]</f>
        <v>Thành thị</v>
      </c>
      <c r="I321" t="str">
        <f>step3_validation[[#This Row],[Education]]</f>
        <v>Sau Đại học</v>
      </c>
      <c r="J321" t="str">
        <f>survey_responses[[#This Row],[Trình độ học vấn cao nhất:]]</f>
        <v>Sau Đại học</v>
      </c>
      <c r="K321" t="str">
        <f>step3_validation[[#This Row],[Employment]]</f>
        <v>Chính thức</v>
      </c>
      <c r="L321" t="str">
        <f>survey_responses[[#This Row],[Tình trạng việc làm chính:]]</f>
        <v>Khu vực chính thức (Có Hợp đồng lao động, đóng BHXH)</v>
      </c>
      <c r="M321">
        <f>step3_validation[[#This Row],[Income_Mil]]</f>
        <v>29.341342026175226</v>
      </c>
      <c r="N321" t="str">
        <f>survey_responses[[#This Row],[Thu nhập bình quân tháng theo Hợp đồng lao động của bạn là bao nhiêu? (Vui lòng điền tổng thu nhập trước khi khấu trừ các loại Bảo hiểm (BHXH, BHYT, BHTN) và Thuế TNCN)]]</f>
        <v>Từ 23 - 32 triệu VNĐ</v>
      </c>
      <c r="O321">
        <f>step3_validation[[#This Row],[Dependents]]</f>
        <v>0</v>
      </c>
      <c r="P321" t="str">
        <f>survey_responses[[#This Row],[Số người phụ thuộc (con nhỏ, cha mẹ già...) đủ điều kiện giảm trừ gia cảnh:]]</f>
        <v>0 người</v>
      </c>
      <c r="Q321">
        <f>step3_validation[[#This Row],[AI_ENF1]]</f>
        <v>7</v>
      </c>
      <c r="R321" t="str">
        <f t="shared" si="108"/>
        <v>Neutral</v>
      </c>
      <c r="S321">
        <f>survey_responses[[#This Row],[Tôi tin rằng với các quy định quản lý thuế hiện nay, hành vi gian lận hoặc trốn thuế sẽ dễ dàng bị phát hiện và xử lý nghiêm. - HUMAN-ENF1]]</f>
        <v>5</v>
      </c>
      <c r="T321" t="str">
        <f t="shared" si="109"/>
        <v>Neutral</v>
      </c>
      <c r="U321" s="32">
        <f t="shared" si="110"/>
        <v>2</v>
      </c>
      <c r="V321">
        <f>step3_validation[[#This Row],[AI_ENF2]]</f>
        <v>7</v>
      </c>
      <c r="W321" t="str">
        <f t="shared" si="111"/>
        <v>Neutral</v>
      </c>
      <c r="X321">
        <f>survey_responses[[#This Row],[Tôi tin rằng Nhà nước, cơ quan thuế có đủ khả năng và công nghệ để phát hiện, xử lý nghiêm các hành vi trốn thuế. - HUMAN-ENF2]]</f>
        <v>7</v>
      </c>
      <c r="Y321" t="str">
        <f t="shared" si="112"/>
        <v>Neutral</v>
      </c>
      <c r="Z321" s="32">
        <f t="shared" si="113"/>
        <v>0</v>
      </c>
      <c r="AA321">
        <f>step3_validation[[#This Row],[AI_FAC1]]</f>
        <v>9</v>
      </c>
      <c r="AB321" t="str">
        <f t="shared" si="114"/>
        <v>Support</v>
      </c>
      <c r="AC321">
        <f>survey_responses[[#This Row],[Các thủ tục khai báo thuế VÀ/HOẶC quy trình làm việc với cơ quan thuế đơn giản, tiện lợi, nhanh chóng hơn so với trước đây. - HUMAN-FAC1]]</f>
        <v>7</v>
      </c>
      <c r="AD321" t="str">
        <f t="shared" si="115"/>
        <v>Neutral</v>
      </c>
      <c r="AE321" s="32">
        <f t="shared" si="116"/>
        <v>2</v>
      </c>
      <c r="AF321">
        <f>step3_validation[[#This Row],[AI_FAC2]]</f>
        <v>8</v>
      </c>
      <c r="AG321" t="str">
        <f t="shared" si="117"/>
        <v>Support</v>
      </c>
      <c r="AH321">
        <f>survey_responses[[#This Row],[So với trước đây, tôi thấy cách tính thuế và các bậc thuế trong phương án mới đơn giản, dễ hiểu và dễ thực hiện hơn. - HUMAN-FAC2]]</f>
        <v>9</v>
      </c>
      <c r="AI321" t="str">
        <f t="shared" si="118"/>
        <v>Support</v>
      </c>
      <c r="AJ321" s="32">
        <f t="shared" si="119"/>
        <v>1</v>
      </c>
      <c r="AK321">
        <f>step3_validation[[#This Row],[AI_TRU1]]</f>
        <v>6</v>
      </c>
      <c r="AL321" t="str">
        <f t="shared" si="120"/>
        <v>Neutral</v>
      </c>
      <c r="AM321">
        <f>survey_responses[[#This Row],[Tôi tin rằng Nhà nước, cơ quan thuế sẽ thực thi chính sách mới một cách khách quan, công tâm và đối xử bình đẳng với mọi người nộp thuế.  - HUMAN-TRU1]]</f>
        <v>5</v>
      </c>
      <c r="AN321" t="str">
        <f t="shared" si="121"/>
        <v>Neutral</v>
      </c>
      <c r="AO321" s="32">
        <f t="shared" si="122"/>
        <v>1</v>
      </c>
      <c r="AP321">
        <f>step3_validation[[#This Row],[AI_TRU2]]</f>
        <v>8</v>
      </c>
      <c r="AQ321" t="str">
        <f t="shared" si="123"/>
        <v>Support</v>
      </c>
      <c r="AR321">
        <f>survey_responses[[#This Row],[Tôi thấy mức thuế tôi phải đóng theo phương án mới là công bằng (người thu nhập như tôi đóng mức này là hợp lý). - HUMAN-TRU2]]</f>
        <v>6</v>
      </c>
      <c r="AS321" t="str">
        <f t="shared" si="124"/>
        <v>Neutral</v>
      </c>
      <c r="AT321" s="32">
        <f t="shared" si="125"/>
        <v>2</v>
      </c>
      <c r="AU321">
        <f>step3_validation[[#This Row],[AI_TRU3]]</f>
        <v>6</v>
      </c>
      <c r="AV321" t="str">
        <f t="shared" si="126"/>
        <v>Neutral</v>
      </c>
      <c r="AW321">
        <f>survey_responses[[#This Row],[Tôi tin tưởng số tiền thuế tôi đóng sẽ được Nhà nước sử dụng hiệu quả để cải thiện dịch vụ công (y tế, đường xá...). - HUMAN-TRU3]]</f>
        <v>5</v>
      </c>
      <c r="AX321" t="str">
        <f t="shared" si="127"/>
        <v>Neutral</v>
      </c>
      <c r="AY321" s="32">
        <f t="shared" si="128"/>
        <v>1</v>
      </c>
      <c r="AZ321">
        <f>step3_validation[[#This Row],[AI_TRU4]]</f>
        <v>5</v>
      </c>
      <c r="BA321" t="str">
        <f t="shared" si="129"/>
        <v>Neutral</v>
      </c>
      <c r="BB321">
        <f>survey_responses[[#This Row],[Tôi thấy Nhà nước đã giải thích rõ ràng, minh bạch về lý do và mục tiêu của việc sửa đổi thuế lần này. - HUMAN-TRU4]]</f>
        <v>7</v>
      </c>
      <c r="BC321" t="str">
        <f t="shared" si="130"/>
        <v>Neutral</v>
      </c>
      <c r="BD321" s="32">
        <f t="shared" si="131"/>
        <v>2</v>
      </c>
      <c r="BE321">
        <f>step3_validation[[#This Row],[AI_OUT1]]</f>
        <v>7</v>
      </c>
      <c r="BF321" t="str">
        <f t="shared" si="132"/>
        <v>Neutral</v>
      </c>
      <c r="BG321">
        <f>survey_responses[[#This Row],[Sau khi xem xét các quyền lợi và nghĩa vụ, bạn có ủng hộ và tuân thủ chính sách mới hiện nay? - HUMAN-OUT1]]</f>
        <v>7</v>
      </c>
      <c r="BH321" t="str">
        <f t="shared" si="133"/>
        <v>Neutral</v>
      </c>
      <c r="BI321" s="32">
        <f t="shared" si="134"/>
        <v>0</v>
      </c>
    </row>
    <row r="322" spans="1:61" x14ac:dyDescent="0.45">
      <c r="A322" s="30">
        <f>step3_validation[[#This Row],[Persona_ID]]</f>
        <v>321</v>
      </c>
      <c r="B322" s="31">
        <f>step3_validation[[#This Row],[Used_Seed]]</f>
        <v>2311</v>
      </c>
      <c r="C322" t="str">
        <f>step3_validation[[#This Row],[Gender]]</f>
        <v>Nữ</v>
      </c>
      <c r="D322" t="str">
        <f>survey_responses[[#This Row],[Giới tính của bạn:]]</f>
        <v>Nữ</v>
      </c>
      <c r="E322" t="str">
        <f>step3_validation[[#This Row],[Age_Group]]</f>
        <v>18 - 24</v>
      </c>
      <c r="F322" t="str">
        <f>survey_responses[[#This Row],[Độ tuổi của bạn:]]</f>
        <v>18 - 24</v>
      </c>
      <c r="G322" t="str">
        <f>step3_validation[[#This Row],[Region]]</f>
        <v>Thành thị</v>
      </c>
      <c r="H322" t="str">
        <f>survey_responses[[#This Row],[Khu vực bạn đang sinh sống:]]</f>
        <v>Thành thị</v>
      </c>
      <c r="I322" t="str">
        <f>step3_validation[[#This Row],[Education]]</f>
        <v>Đại học</v>
      </c>
      <c r="J322" t="str">
        <f>survey_responses[[#This Row],[Trình độ học vấn cao nhất:]]</f>
        <v>Đại học</v>
      </c>
      <c r="K322" t="str">
        <f>step3_validation[[#This Row],[Employment]]</f>
        <v>Chính thức</v>
      </c>
      <c r="L322" t="str">
        <f>survey_responses[[#This Row],[Tình trạng việc làm chính:]]</f>
        <v>Khu vực chính thức (Có Hợp đồng lao động, đóng BHXH)</v>
      </c>
      <c r="M322">
        <f>step3_validation[[#This Row],[Income_Mil]]</f>
        <v>12.933171919818072</v>
      </c>
      <c r="N322" t="str">
        <f>survey_responses[[#This Row],[Thu nhập bình quân tháng theo Hợp đồng lao động của bạn là bao nhiêu? (Vui lòng điền tổng thu nhập trước khi khấu trừ các loại Bảo hiểm (BHXH, BHYT, BHTN) và Thuế TNCN)]]</f>
        <v>Từ 12 - 18 triệu VNĐ</v>
      </c>
      <c r="O322">
        <f>step3_validation[[#This Row],[Dependents]]</f>
        <v>0</v>
      </c>
      <c r="P322" t="str">
        <f>survey_responses[[#This Row],[Số người phụ thuộc (con nhỏ, cha mẹ già...) đủ điều kiện giảm trừ gia cảnh:]]</f>
        <v>0 người</v>
      </c>
      <c r="Q322">
        <f>step3_validation[[#This Row],[AI_ENF1]]</f>
        <v>8</v>
      </c>
      <c r="R322" t="str">
        <f t="shared" si="108"/>
        <v>Support</v>
      </c>
      <c r="S322">
        <f>survey_responses[[#This Row],[Tôi tin rằng với các quy định quản lý thuế hiện nay, hành vi gian lận hoặc trốn thuế sẽ dễ dàng bị phát hiện và xử lý nghiêm. - HUMAN-ENF1]]</f>
        <v>8</v>
      </c>
      <c r="T322" t="str">
        <f t="shared" si="109"/>
        <v>Support</v>
      </c>
      <c r="U322" s="32">
        <f t="shared" si="110"/>
        <v>0</v>
      </c>
      <c r="V322">
        <f>step3_validation[[#This Row],[AI_ENF2]]</f>
        <v>7</v>
      </c>
      <c r="W322" t="str">
        <f t="shared" si="111"/>
        <v>Neutral</v>
      </c>
      <c r="X322">
        <f>survey_responses[[#This Row],[Tôi tin rằng Nhà nước, cơ quan thuế có đủ khả năng và công nghệ để phát hiện, xử lý nghiêm các hành vi trốn thuế. - HUMAN-ENF2]]</f>
        <v>8</v>
      </c>
      <c r="Y322" t="str">
        <f t="shared" si="112"/>
        <v>Support</v>
      </c>
      <c r="Z322" s="32">
        <f t="shared" si="113"/>
        <v>1</v>
      </c>
      <c r="AA322">
        <f>step3_validation[[#This Row],[AI_FAC1]]</f>
        <v>9</v>
      </c>
      <c r="AB322" t="str">
        <f t="shared" si="114"/>
        <v>Support</v>
      </c>
      <c r="AC322">
        <f>survey_responses[[#This Row],[Các thủ tục khai báo thuế VÀ/HOẶC quy trình làm việc với cơ quan thuế đơn giản, tiện lợi, nhanh chóng hơn so với trước đây. - HUMAN-FAC1]]</f>
        <v>7</v>
      </c>
      <c r="AD322" t="str">
        <f t="shared" si="115"/>
        <v>Neutral</v>
      </c>
      <c r="AE322" s="32">
        <f t="shared" si="116"/>
        <v>2</v>
      </c>
      <c r="AF322">
        <f>step3_validation[[#This Row],[AI_FAC2]]</f>
        <v>8</v>
      </c>
      <c r="AG322" t="str">
        <f t="shared" si="117"/>
        <v>Support</v>
      </c>
      <c r="AH322">
        <f>survey_responses[[#This Row],[So với trước đây, tôi thấy cách tính thuế và các bậc thuế trong phương án mới đơn giản, dễ hiểu và dễ thực hiện hơn. - HUMAN-FAC2]]</f>
        <v>9</v>
      </c>
      <c r="AI322" t="str">
        <f t="shared" si="118"/>
        <v>Support</v>
      </c>
      <c r="AJ322" s="32">
        <f t="shared" si="119"/>
        <v>1</v>
      </c>
      <c r="AK322">
        <f>step3_validation[[#This Row],[AI_TRU1]]</f>
        <v>9</v>
      </c>
      <c r="AL322" t="str">
        <f t="shared" si="120"/>
        <v>Support</v>
      </c>
      <c r="AM322">
        <f>survey_responses[[#This Row],[Tôi tin rằng Nhà nước, cơ quan thuế sẽ thực thi chính sách mới một cách khách quan, công tâm và đối xử bình đẳng với mọi người nộp thuế.  - HUMAN-TRU1]]</f>
        <v>9</v>
      </c>
      <c r="AN322" t="str">
        <f t="shared" si="121"/>
        <v>Support</v>
      </c>
      <c r="AO322" s="32">
        <f t="shared" si="122"/>
        <v>0</v>
      </c>
      <c r="AP322">
        <f>step3_validation[[#This Row],[AI_TRU2]]</f>
        <v>8</v>
      </c>
      <c r="AQ322" t="str">
        <f t="shared" si="123"/>
        <v>Support</v>
      </c>
      <c r="AR322">
        <f>survey_responses[[#This Row],[Tôi thấy mức thuế tôi phải đóng theo phương án mới là công bằng (người thu nhập như tôi đóng mức này là hợp lý). - HUMAN-TRU2]]</f>
        <v>9</v>
      </c>
      <c r="AS322" t="str">
        <f t="shared" si="124"/>
        <v>Support</v>
      </c>
      <c r="AT322" s="32">
        <f t="shared" si="125"/>
        <v>1</v>
      </c>
      <c r="AU322">
        <f>step3_validation[[#This Row],[AI_TRU3]]</f>
        <v>9</v>
      </c>
      <c r="AV322" t="str">
        <f t="shared" si="126"/>
        <v>Support</v>
      </c>
      <c r="AW322">
        <f>survey_responses[[#This Row],[Tôi tin tưởng số tiền thuế tôi đóng sẽ được Nhà nước sử dụng hiệu quả để cải thiện dịch vụ công (y tế, đường xá...). - HUMAN-TRU3]]</f>
        <v>7</v>
      </c>
      <c r="AX322" t="str">
        <f t="shared" si="127"/>
        <v>Neutral</v>
      </c>
      <c r="AY322" s="32">
        <f t="shared" si="128"/>
        <v>2</v>
      </c>
      <c r="AZ322">
        <f>step3_validation[[#This Row],[AI_TRU4]]</f>
        <v>8</v>
      </c>
      <c r="BA322" t="str">
        <f t="shared" si="129"/>
        <v>Support</v>
      </c>
      <c r="BB322">
        <f>survey_responses[[#This Row],[Tôi thấy Nhà nước đã giải thích rõ ràng, minh bạch về lý do và mục tiêu của việc sửa đổi thuế lần này. - HUMAN-TRU4]]</f>
        <v>9</v>
      </c>
      <c r="BC322" t="str">
        <f t="shared" si="130"/>
        <v>Support</v>
      </c>
      <c r="BD322" s="32">
        <f t="shared" si="131"/>
        <v>1</v>
      </c>
      <c r="BE322">
        <f>step3_validation[[#This Row],[AI_OUT1]]</f>
        <v>9</v>
      </c>
      <c r="BF322" t="str">
        <f t="shared" si="132"/>
        <v>Support</v>
      </c>
      <c r="BG322">
        <f>survey_responses[[#This Row],[Sau khi xem xét các quyền lợi và nghĩa vụ, bạn có ủng hộ và tuân thủ chính sách mới hiện nay? - HUMAN-OUT1]]</f>
        <v>9</v>
      </c>
      <c r="BH322" t="str">
        <f t="shared" si="133"/>
        <v>Support</v>
      </c>
      <c r="BI322" s="32">
        <f t="shared" si="134"/>
        <v>0</v>
      </c>
    </row>
    <row r="323" spans="1:61" x14ac:dyDescent="0.45">
      <c r="A323" s="30">
        <f>step3_validation[[#This Row],[Persona_ID]]</f>
        <v>322</v>
      </c>
      <c r="B323" s="31">
        <f>step3_validation[[#This Row],[Used_Seed]]</f>
        <v>2312</v>
      </c>
      <c r="C323" t="str">
        <f>step3_validation[[#This Row],[Gender]]</f>
        <v>Nam</v>
      </c>
      <c r="D323" t="str">
        <f>survey_responses[[#This Row],[Giới tính của bạn:]]</f>
        <v>Nam</v>
      </c>
      <c r="E323" t="str">
        <f>step3_validation[[#This Row],[Age_Group]]</f>
        <v>25 - 29</v>
      </c>
      <c r="F323" t="str">
        <f>survey_responses[[#This Row],[Độ tuổi của bạn:]]</f>
        <v>25 - 29</v>
      </c>
      <c r="G323" t="str">
        <f>step3_validation[[#This Row],[Region]]</f>
        <v>Thành thị</v>
      </c>
      <c r="H323" t="str">
        <f>survey_responses[[#This Row],[Khu vực bạn đang sinh sống:]]</f>
        <v>Thành thị</v>
      </c>
      <c r="I323" t="str">
        <f>step3_validation[[#This Row],[Education]]</f>
        <v>Đại học</v>
      </c>
      <c r="J323" t="str">
        <f>survey_responses[[#This Row],[Trình độ học vấn cao nhất:]]</f>
        <v>Đại học</v>
      </c>
      <c r="K323" t="str">
        <f>step3_validation[[#This Row],[Employment]]</f>
        <v>Chính thức</v>
      </c>
      <c r="L323" t="str">
        <f>survey_responses[[#This Row],[Tình trạng việc làm chính:]]</f>
        <v>Khu vực chính thức (Có Hợp đồng lao động, đóng BHXH)</v>
      </c>
      <c r="M323">
        <f>step3_validation[[#This Row],[Income_Mil]]</f>
        <v>26.840526521385101</v>
      </c>
      <c r="N323" t="str">
        <f>survey_responses[[#This Row],[Thu nhập bình quân tháng theo Hợp đồng lao động của bạn là bao nhiêu? (Vui lòng điền tổng thu nhập trước khi khấu trừ các loại Bảo hiểm (BHXH, BHYT, BHTN) và Thuế TNCN)]]</f>
        <v>Từ 23 - 32 triệu VNĐ</v>
      </c>
      <c r="O323">
        <f>step3_validation[[#This Row],[Dependents]]</f>
        <v>0</v>
      </c>
      <c r="P323" t="str">
        <f>survey_responses[[#This Row],[Số người phụ thuộc (con nhỏ, cha mẹ già...) đủ điều kiện giảm trừ gia cảnh:]]</f>
        <v>0 người</v>
      </c>
      <c r="Q323">
        <f>step3_validation[[#This Row],[AI_ENF1]]</f>
        <v>6</v>
      </c>
      <c r="R323" t="str">
        <f t="shared" ref="R323:R386" si="135">IF(AND(Q323&gt;=1,Q323&lt;5),"Oppose",IF(AND(Q323&gt;=5,Q323&lt;8),"Neutral",IF(AND(Q323&gt;=8,Q323&lt;=10),"Support","")))</f>
        <v>Neutral</v>
      </c>
      <c r="S323">
        <f>survey_responses[[#This Row],[Tôi tin rằng với các quy định quản lý thuế hiện nay, hành vi gian lận hoặc trốn thuế sẽ dễ dàng bị phát hiện và xử lý nghiêm. - HUMAN-ENF1]]</f>
        <v>5</v>
      </c>
      <c r="T323" t="str">
        <f t="shared" ref="T323:T386" si="136">IF(AND(S323&gt;=1,S323&lt;5),"Oppose",IF(AND(S323&gt;=5,S323&lt;8),"Neutral",IF(AND(S323&gt;=8,S323&lt;=10),"Support","")))</f>
        <v>Neutral</v>
      </c>
      <c r="U323" s="32">
        <f t="shared" ref="U323:U386" si="137">ABS(S323-Q323)</f>
        <v>1</v>
      </c>
      <c r="V323">
        <f>step3_validation[[#This Row],[AI_ENF2]]</f>
        <v>7</v>
      </c>
      <c r="W323" t="str">
        <f t="shared" ref="W323:W386" si="138">IF(AND(V323&gt;=1,V323&lt;5),"Oppose",IF(AND(V323&gt;=5,V323&lt;8),"Neutral",IF(AND(V323&gt;=8,V323&lt;=10),"Support","")))</f>
        <v>Neutral</v>
      </c>
      <c r="X323">
        <f>survey_responses[[#This Row],[Tôi tin rằng Nhà nước, cơ quan thuế có đủ khả năng và công nghệ để phát hiện, xử lý nghiêm các hành vi trốn thuế. - HUMAN-ENF2]]</f>
        <v>5</v>
      </c>
      <c r="Y323" t="str">
        <f t="shared" ref="Y323:Y386" si="139">IF(AND(X323&gt;=1,X323&lt;5),"Oppose",IF(AND(X323&gt;=5,X323&lt;8),"Neutral",IF(AND(X323&gt;=8,X323&lt;=10),"Support","")))</f>
        <v>Neutral</v>
      </c>
      <c r="Z323" s="32">
        <f t="shared" ref="Z323:Z386" si="140">ABS(X323-V323)</f>
        <v>2</v>
      </c>
      <c r="AA323">
        <f>step3_validation[[#This Row],[AI_FAC1]]</f>
        <v>5</v>
      </c>
      <c r="AB323" t="str">
        <f t="shared" ref="AB323:AB386" si="141">IF(AND(AA323&gt;=1,AA323&lt;5),"Oppose",IF(AND(AA323&gt;=5,AA323&lt;8),"Neutral",IF(AND(AA323&gt;=8,AA323&lt;=10),"Support","")))</f>
        <v>Neutral</v>
      </c>
      <c r="AC323">
        <f>survey_responses[[#This Row],[Các thủ tục khai báo thuế VÀ/HOẶC quy trình làm việc với cơ quan thuế đơn giản, tiện lợi, nhanh chóng hơn so với trước đây. - HUMAN-FAC1]]</f>
        <v>5</v>
      </c>
      <c r="AD323" t="str">
        <f t="shared" ref="AD323:AD386" si="142">IF(AND(AC323&gt;=1,AC323&lt;5),"Oppose",IF(AND(AC323&gt;=5,AC323&lt;8),"Neutral",IF(AND(AC323&gt;=8,AC323&lt;=10),"Support","")))</f>
        <v>Neutral</v>
      </c>
      <c r="AE323" s="32">
        <f t="shared" ref="AE323:AE386" si="143">ABS(AC323-AA323)</f>
        <v>0</v>
      </c>
      <c r="AF323">
        <f>step3_validation[[#This Row],[AI_FAC2]]</f>
        <v>8</v>
      </c>
      <c r="AG323" t="str">
        <f t="shared" ref="AG323:AG386" si="144">IF(AND(AF323&gt;=1,AF323&lt;5),"Oppose",IF(AND(AF323&gt;=5,AF323&lt;8),"Neutral",IF(AND(AF323&gt;=8,AF323&lt;=10),"Support","")))</f>
        <v>Support</v>
      </c>
      <c r="AH323">
        <f>survey_responses[[#This Row],[So với trước đây, tôi thấy cách tính thuế và các bậc thuế trong phương án mới đơn giản, dễ hiểu và dễ thực hiện hơn. - HUMAN-FAC2]]</f>
        <v>7</v>
      </c>
      <c r="AI323" t="str">
        <f t="shared" ref="AI323:AI386" si="145">IF(AND(AH323&gt;=1,AH323&lt;5),"Oppose",IF(AND(AH323&gt;=5,AH323&lt;8),"Neutral",IF(AND(AH323&gt;=8,AH323&lt;=10),"Support","")))</f>
        <v>Neutral</v>
      </c>
      <c r="AJ323" s="32">
        <f t="shared" ref="AJ323:AJ386" si="146">ABS(AH323-AF323)</f>
        <v>1</v>
      </c>
      <c r="AK323">
        <f>step3_validation[[#This Row],[AI_TRU1]]</f>
        <v>7</v>
      </c>
      <c r="AL323" t="str">
        <f t="shared" ref="AL323:AL386" si="147">IF(AND(AK323&gt;=1,AK323&lt;5),"Oppose",IF(AND(AK323&gt;=5,AK323&lt;8),"Neutral",IF(AND(AK323&gt;=8,AK323&lt;=10),"Support","")))</f>
        <v>Neutral</v>
      </c>
      <c r="AM323">
        <f>survey_responses[[#This Row],[Tôi tin rằng Nhà nước, cơ quan thuế sẽ thực thi chính sách mới một cách khách quan, công tâm và đối xử bình đẳng với mọi người nộp thuế.  - HUMAN-TRU1]]</f>
        <v>5</v>
      </c>
      <c r="AN323" t="str">
        <f t="shared" ref="AN323:AN386" si="148">IF(AND(AM323&gt;=1,AM323&lt;5),"Oppose",IF(AND(AM323&gt;=5,AM323&lt;8),"Neutral",IF(AND(AM323&gt;=8,AM323&lt;=10),"Support","")))</f>
        <v>Neutral</v>
      </c>
      <c r="AO323" s="32">
        <f t="shared" ref="AO323:AO386" si="149">ABS(AM323-AK323)</f>
        <v>2</v>
      </c>
      <c r="AP323">
        <f>step3_validation[[#This Row],[AI_TRU2]]</f>
        <v>8</v>
      </c>
      <c r="AQ323" t="str">
        <f t="shared" ref="AQ323:AQ386" si="150">IF(AND(AP323&gt;=1,AP323&lt;5),"Oppose",IF(AND(AP323&gt;=5,AP323&lt;8),"Neutral",IF(AND(AP323&gt;=8,AP323&lt;=10),"Support","")))</f>
        <v>Support</v>
      </c>
      <c r="AR323">
        <f>survey_responses[[#This Row],[Tôi thấy mức thuế tôi phải đóng theo phương án mới là công bằng (người thu nhập như tôi đóng mức này là hợp lý). - HUMAN-TRU2]]</f>
        <v>7</v>
      </c>
      <c r="AS323" t="str">
        <f t="shared" ref="AS323:AS386" si="151">IF(AND(AR323&gt;=1,AR323&lt;5),"Oppose",IF(AND(AR323&gt;=5,AR323&lt;8),"Neutral",IF(AND(AR323&gt;=8,AR323&lt;=10),"Support","")))</f>
        <v>Neutral</v>
      </c>
      <c r="AT323" s="32">
        <f t="shared" ref="AT323:AT386" si="152">ABS(AR323-AP323)</f>
        <v>1</v>
      </c>
      <c r="AU323">
        <f>step3_validation[[#This Row],[AI_TRU3]]</f>
        <v>6</v>
      </c>
      <c r="AV323" t="str">
        <f t="shared" ref="AV323:AV386" si="153">IF(AND(AU323&gt;=1,AU323&lt;5),"Oppose",IF(AND(AU323&gt;=5,AU323&lt;8),"Neutral",IF(AND(AU323&gt;=8,AU323&lt;=10),"Support","")))</f>
        <v>Neutral</v>
      </c>
      <c r="AW323">
        <f>survey_responses[[#This Row],[Tôi tin tưởng số tiền thuế tôi đóng sẽ được Nhà nước sử dụng hiệu quả để cải thiện dịch vụ công (y tế, đường xá...). - HUMAN-TRU3]]</f>
        <v>5</v>
      </c>
      <c r="AX323" t="str">
        <f t="shared" ref="AX323:AX386" si="154">IF(AND(AW323&gt;=1,AW323&lt;5),"Oppose",IF(AND(AW323&gt;=5,AW323&lt;8),"Neutral",IF(AND(AW323&gt;=8,AW323&lt;=10),"Support","")))</f>
        <v>Neutral</v>
      </c>
      <c r="AY323" s="32">
        <f t="shared" ref="AY323:AY386" si="155">ABS(AW323-AU323)</f>
        <v>1</v>
      </c>
      <c r="AZ323">
        <f>step3_validation[[#This Row],[AI_TRU4]]</f>
        <v>5</v>
      </c>
      <c r="BA323" t="str">
        <f t="shared" ref="BA323:BA386" si="156">IF(AND(AZ323&gt;=1,AZ323&lt;5),"Oppose",IF(AND(AZ323&gt;=5,AZ323&lt;8),"Neutral",IF(AND(AZ323&gt;=8,AZ323&lt;=10),"Support","")))</f>
        <v>Neutral</v>
      </c>
      <c r="BB323">
        <f>survey_responses[[#This Row],[Tôi thấy Nhà nước đã giải thích rõ ràng, minh bạch về lý do và mục tiêu của việc sửa đổi thuế lần này. - HUMAN-TRU4]]</f>
        <v>5</v>
      </c>
      <c r="BC323" t="str">
        <f t="shared" ref="BC323:BC386" si="157">IF(AND(BB323&gt;=1,BB323&lt;5),"Oppose",IF(AND(BB323&gt;=5,BB323&lt;8),"Neutral",IF(AND(BB323&gt;=8,BB323&lt;=10),"Support","")))</f>
        <v>Neutral</v>
      </c>
      <c r="BD323" s="32">
        <f t="shared" ref="BD323:BD386" si="158">ABS(BB323-AZ323)</f>
        <v>0</v>
      </c>
      <c r="BE323">
        <f>step3_validation[[#This Row],[AI_OUT1]]</f>
        <v>7</v>
      </c>
      <c r="BF323" t="str">
        <f t="shared" ref="BF323:BF386" si="159">IF(AND(BE323&gt;=1,BE323&lt;5),"Oppose",IF(AND(BE323&gt;=5,BE323&lt;8),"Neutral",IF(AND(BE323&gt;=8,BE323&lt;=10),"Support","")))</f>
        <v>Neutral</v>
      </c>
      <c r="BG323">
        <f>survey_responses[[#This Row],[Sau khi xem xét các quyền lợi và nghĩa vụ, bạn có ủng hộ và tuân thủ chính sách mới hiện nay? - HUMAN-OUT1]]</f>
        <v>7</v>
      </c>
      <c r="BH323" t="str">
        <f t="shared" ref="BH323:BH386" si="160">IF(AND(BG323&gt;=1,BG323&lt;5),"Oppose",IF(AND(BG323&gt;=5,BG323&lt;8),"Neutral",IF(AND(BG323&gt;=8,BG323&lt;=10),"Support","")))</f>
        <v>Neutral</v>
      </c>
      <c r="BI323" s="32">
        <f t="shared" ref="BI323:BI386" si="161">ABS(BG323-BE323)</f>
        <v>0</v>
      </c>
    </row>
    <row r="324" spans="1:61" x14ac:dyDescent="0.45">
      <c r="A324" s="30">
        <f>step3_validation[[#This Row],[Persona_ID]]</f>
        <v>323</v>
      </c>
      <c r="B324" s="31">
        <f>step3_validation[[#This Row],[Used_Seed]]</f>
        <v>2313</v>
      </c>
      <c r="C324" t="str">
        <f>step3_validation[[#This Row],[Gender]]</f>
        <v>Nam</v>
      </c>
      <c r="D324" t="str">
        <f>survey_responses[[#This Row],[Giới tính của bạn:]]</f>
        <v>Nam</v>
      </c>
      <c r="E324" t="str">
        <f>step3_validation[[#This Row],[Age_Group]]</f>
        <v>25 - 29</v>
      </c>
      <c r="F324" t="str">
        <f>survey_responses[[#This Row],[Độ tuổi của bạn:]]</f>
        <v>25 - 29</v>
      </c>
      <c r="G324" t="str">
        <f>step3_validation[[#This Row],[Region]]</f>
        <v>Thành thị</v>
      </c>
      <c r="H324" t="str">
        <f>survey_responses[[#This Row],[Khu vực bạn đang sinh sống:]]</f>
        <v>Thành thị</v>
      </c>
      <c r="I324" t="str">
        <f>step3_validation[[#This Row],[Education]]</f>
        <v>Sau Đại học</v>
      </c>
      <c r="J324" t="str">
        <f>survey_responses[[#This Row],[Trình độ học vấn cao nhất:]]</f>
        <v>Sau Đại học</v>
      </c>
      <c r="K324" t="str">
        <f>step3_validation[[#This Row],[Employment]]</f>
        <v>Chính thức</v>
      </c>
      <c r="L324" t="str">
        <f>survey_responses[[#This Row],[Tình trạng việc làm chính:]]</f>
        <v>Khu vực chính thức (Có Hợp đồng lao động, đóng BHXH)</v>
      </c>
      <c r="M324">
        <f>step3_validation[[#This Row],[Income_Mil]]</f>
        <v>25.672394156601221</v>
      </c>
      <c r="N324" t="str">
        <f>survey_responses[[#This Row],[Thu nhập bình quân tháng theo Hợp đồng lao động của bạn là bao nhiêu? (Vui lòng điền tổng thu nhập trước khi khấu trừ các loại Bảo hiểm (BHXH, BHYT, BHTN) và Thuế TNCN)]]</f>
        <v>Từ 23 - 32 triệu VNĐ</v>
      </c>
      <c r="O324">
        <f>step3_validation[[#This Row],[Dependents]]</f>
        <v>0</v>
      </c>
      <c r="P324" t="str">
        <f>survey_responses[[#This Row],[Số người phụ thuộc (con nhỏ, cha mẹ già...) đủ điều kiện giảm trừ gia cảnh:]]</f>
        <v>0 người</v>
      </c>
      <c r="Q324">
        <f>step3_validation[[#This Row],[AI_ENF1]]</f>
        <v>9</v>
      </c>
      <c r="R324" t="str">
        <f t="shared" si="135"/>
        <v>Support</v>
      </c>
      <c r="S324">
        <f>survey_responses[[#This Row],[Tôi tin rằng với các quy định quản lý thuế hiện nay, hành vi gian lận hoặc trốn thuế sẽ dễ dàng bị phát hiện và xử lý nghiêm. - HUMAN-ENF1]]</f>
        <v>7</v>
      </c>
      <c r="T324" t="str">
        <f t="shared" si="136"/>
        <v>Neutral</v>
      </c>
      <c r="U324" s="32">
        <f t="shared" si="137"/>
        <v>2</v>
      </c>
      <c r="V324">
        <f>step3_validation[[#This Row],[AI_ENF2]]</f>
        <v>8</v>
      </c>
      <c r="W324" t="str">
        <f t="shared" si="138"/>
        <v>Support</v>
      </c>
      <c r="X324">
        <f>survey_responses[[#This Row],[Tôi tin rằng Nhà nước, cơ quan thuế có đủ khả năng và công nghệ để phát hiện, xử lý nghiêm các hành vi trốn thuế. - HUMAN-ENF2]]</f>
        <v>7</v>
      </c>
      <c r="Y324" t="str">
        <f t="shared" si="139"/>
        <v>Neutral</v>
      </c>
      <c r="Z324" s="32">
        <f t="shared" si="140"/>
        <v>1</v>
      </c>
      <c r="AA324">
        <f>step3_validation[[#This Row],[AI_FAC1]]</f>
        <v>7</v>
      </c>
      <c r="AB324" t="str">
        <f t="shared" si="141"/>
        <v>Neutral</v>
      </c>
      <c r="AC324">
        <f>survey_responses[[#This Row],[Các thủ tục khai báo thuế VÀ/HOẶC quy trình làm việc với cơ quan thuế đơn giản, tiện lợi, nhanh chóng hơn so với trước đây. - HUMAN-FAC1]]</f>
        <v>8</v>
      </c>
      <c r="AD324" t="str">
        <f t="shared" si="142"/>
        <v>Support</v>
      </c>
      <c r="AE324" s="32">
        <f t="shared" si="143"/>
        <v>1</v>
      </c>
      <c r="AF324">
        <f>step3_validation[[#This Row],[AI_FAC2]]</f>
        <v>6</v>
      </c>
      <c r="AG324" t="str">
        <f t="shared" si="144"/>
        <v>Neutral</v>
      </c>
      <c r="AH324">
        <f>survey_responses[[#This Row],[So với trước đây, tôi thấy cách tính thuế và các bậc thuế trong phương án mới đơn giản, dễ hiểu và dễ thực hiện hơn. - HUMAN-FAC2]]</f>
        <v>8</v>
      </c>
      <c r="AI324" t="str">
        <f t="shared" si="145"/>
        <v>Support</v>
      </c>
      <c r="AJ324" s="32">
        <f t="shared" si="146"/>
        <v>2</v>
      </c>
      <c r="AK324">
        <f>step3_validation[[#This Row],[AI_TRU1]]</f>
        <v>8</v>
      </c>
      <c r="AL324" t="str">
        <f t="shared" si="147"/>
        <v>Support</v>
      </c>
      <c r="AM324">
        <f>survey_responses[[#This Row],[Tôi tin rằng Nhà nước, cơ quan thuế sẽ thực thi chính sách mới một cách khách quan, công tâm và đối xử bình đẳng với mọi người nộp thuế.  - HUMAN-TRU1]]</f>
        <v>6</v>
      </c>
      <c r="AN324" t="str">
        <f t="shared" si="148"/>
        <v>Neutral</v>
      </c>
      <c r="AO324" s="32">
        <f t="shared" si="149"/>
        <v>2</v>
      </c>
      <c r="AP324">
        <f>step3_validation[[#This Row],[AI_TRU2]]</f>
        <v>7</v>
      </c>
      <c r="AQ324" t="str">
        <f t="shared" si="150"/>
        <v>Neutral</v>
      </c>
      <c r="AR324">
        <f>survey_responses[[#This Row],[Tôi thấy mức thuế tôi phải đóng theo phương án mới là công bằng (người thu nhập như tôi đóng mức này là hợp lý). - HUMAN-TRU2]]</f>
        <v>7</v>
      </c>
      <c r="AS324" t="str">
        <f t="shared" si="151"/>
        <v>Neutral</v>
      </c>
      <c r="AT324" s="32">
        <f t="shared" si="152"/>
        <v>0</v>
      </c>
      <c r="AU324">
        <f>step3_validation[[#This Row],[AI_TRU3]]</f>
        <v>7</v>
      </c>
      <c r="AV324" t="str">
        <f t="shared" si="153"/>
        <v>Neutral</v>
      </c>
      <c r="AW324">
        <f>survey_responses[[#This Row],[Tôi tin tưởng số tiền thuế tôi đóng sẽ được Nhà nước sử dụng hiệu quả để cải thiện dịch vụ công (y tế, đường xá...). - HUMAN-TRU3]]</f>
        <v>6</v>
      </c>
      <c r="AX324" t="str">
        <f t="shared" si="154"/>
        <v>Neutral</v>
      </c>
      <c r="AY324" s="32">
        <f t="shared" si="155"/>
        <v>1</v>
      </c>
      <c r="AZ324">
        <f>step3_validation[[#This Row],[AI_TRU4]]</f>
        <v>6</v>
      </c>
      <c r="BA324" t="str">
        <f t="shared" si="156"/>
        <v>Neutral</v>
      </c>
      <c r="BB324">
        <f>survey_responses[[#This Row],[Tôi thấy Nhà nước đã giải thích rõ ràng, minh bạch về lý do và mục tiêu của việc sửa đổi thuế lần này. - HUMAN-TRU4]]</f>
        <v>7</v>
      </c>
      <c r="BC324" t="str">
        <f t="shared" si="157"/>
        <v>Neutral</v>
      </c>
      <c r="BD324" s="32">
        <f t="shared" si="158"/>
        <v>1</v>
      </c>
      <c r="BE324">
        <f>step3_validation[[#This Row],[AI_OUT1]]</f>
        <v>8</v>
      </c>
      <c r="BF324" t="str">
        <f t="shared" si="159"/>
        <v>Support</v>
      </c>
      <c r="BG324">
        <f>survey_responses[[#This Row],[Sau khi xem xét các quyền lợi và nghĩa vụ, bạn có ủng hộ và tuân thủ chính sách mới hiện nay? - HUMAN-OUT1]]</f>
        <v>7</v>
      </c>
      <c r="BH324" t="str">
        <f t="shared" si="160"/>
        <v>Neutral</v>
      </c>
      <c r="BI324" s="32">
        <f t="shared" si="161"/>
        <v>1</v>
      </c>
    </row>
    <row r="325" spans="1:61" x14ac:dyDescent="0.45">
      <c r="A325" s="30">
        <f>step3_validation[[#This Row],[Persona_ID]]</f>
        <v>324</v>
      </c>
      <c r="B325" s="31">
        <f>step3_validation[[#This Row],[Used_Seed]]</f>
        <v>2314</v>
      </c>
      <c r="C325" t="str">
        <f>step3_validation[[#This Row],[Gender]]</f>
        <v>Nữ</v>
      </c>
      <c r="D325" t="str">
        <f>survey_responses[[#This Row],[Giới tính của bạn:]]</f>
        <v>Nữ</v>
      </c>
      <c r="E325" t="str">
        <f>step3_validation[[#This Row],[Age_Group]]</f>
        <v>18 - 24</v>
      </c>
      <c r="F325" t="str">
        <f>survey_responses[[#This Row],[Độ tuổi của bạn:]]</f>
        <v>18 - 24</v>
      </c>
      <c r="G325" t="str">
        <f>step3_validation[[#This Row],[Region]]</f>
        <v>Thành thị</v>
      </c>
      <c r="H325" t="str">
        <f>survey_responses[[#This Row],[Khu vực bạn đang sinh sống:]]</f>
        <v>Thành thị</v>
      </c>
      <c r="I325" t="str">
        <f>step3_validation[[#This Row],[Education]]</f>
        <v>Đại học</v>
      </c>
      <c r="J325" t="str">
        <f>survey_responses[[#This Row],[Trình độ học vấn cao nhất:]]</f>
        <v>Đại học</v>
      </c>
      <c r="K325" t="str">
        <f>step3_validation[[#This Row],[Employment]]</f>
        <v>Chính thức</v>
      </c>
      <c r="L325" t="str">
        <f>survey_responses[[#This Row],[Tình trạng việc làm chính:]]</f>
        <v>Khu vực chính thức (Có Hợp đồng lao động, đóng BHXH)</v>
      </c>
      <c r="M325">
        <f>step3_validation[[#This Row],[Income_Mil]]</f>
        <v>12</v>
      </c>
      <c r="N325" t="str">
        <f>survey_responses[[#This Row],[Thu nhập bình quân tháng theo Hợp đồng lao động của bạn là bao nhiêu? (Vui lòng điền tổng thu nhập trước khi khấu trừ các loại Bảo hiểm (BHXH, BHYT, BHTN) và Thuế TNCN)]]</f>
        <v>Dưới 12 triệu VNĐ</v>
      </c>
      <c r="O325">
        <f>step3_validation[[#This Row],[Dependents]]</f>
        <v>0</v>
      </c>
      <c r="P325" t="str">
        <f>survey_responses[[#This Row],[Số người phụ thuộc (con nhỏ, cha mẹ già...) đủ điều kiện giảm trừ gia cảnh:]]</f>
        <v>0 người</v>
      </c>
      <c r="Q325">
        <f>step3_validation[[#This Row],[AI_ENF1]]</f>
        <v>7</v>
      </c>
      <c r="R325" t="str">
        <f t="shared" si="135"/>
        <v>Neutral</v>
      </c>
      <c r="S325">
        <f>survey_responses[[#This Row],[Tôi tin rằng với các quy định quản lý thuế hiện nay, hành vi gian lận hoặc trốn thuế sẽ dễ dàng bị phát hiện và xử lý nghiêm. - HUMAN-ENF1]]</f>
        <v>7</v>
      </c>
      <c r="T325" t="str">
        <f t="shared" si="136"/>
        <v>Neutral</v>
      </c>
      <c r="U325" s="32">
        <f t="shared" si="137"/>
        <v>0</v>
      </c>
      <c r="V325">
        <f>step3_validation[[#This Row],[AI_ENF2]]</f>
        <v>8</v>
      </c>
      <c r="W325" t="str">
        <f t="shared" si="138"/>
        <v>Support</v>
      </c>
      <c r="X325">
        <f>survey_responses[[#This Row],[Tôi tin rằng Nhà nước, cơ quan thuế có đủ khả năng và công nghệ để phát hiện, xử lý nghiêm các hành vi trốn thuế. - HUMAN-ENF2]]</f>
        <v>7</v>
      </c>
      <c r="Y325" t="str">
        <f t="shared" si="139"/>
        <v>Neutral</v>
      </c>
      <c r="Z325" s="32">
        <f t="shared" si="140"/>
        <v>1</v>
      </c>
      <c r="AA325">
        <f>step3_validation[[#This Row],[AI_FAC1]]</f>
        <v>6</v>
      </c>
      <c r="AB325" t="str">
        <f t="shared" si="141"/>
        <v>Neutral</v>
      </c>
      <c r="AC325">
        <f>survey_responses[[#This Row],[Các thủ tục khai báo thuế VÀ/HOẶC quy trình làm việc với cơ quan thuế đơn giản, tiện lợi, nhanh chóng hơn so với trước đây. - HUMAN-FAC1]]</f>
        <v>5</v>
      </c>
      <c r="AD325" t="str">
        <f t="shared" si="142"/>
        <v>Neutral</v>
      </c>
      <c r="AE325" s="32">
        <f t="shared" si="143"/>
        <v>1</v>
      </c>
      <c r="AF325">
        <f>step3_validation[[#This Row],[AI_FAC2]]</f>
        <v>8</v>
      </c>
      <c r="AG325" t="str">
        <f t="shared" si="144"/>
        <v>Support</v>
      </c>
      <c r="AH325">
        <f>survey_responses[[#This Row],[So với trước đây, tôi thấy cách tính thuế và các bậc thuế trong phương án mới đơn giản, dễ hiểu và dễ thực hiện hơn. - HUMAN-FAC2]]</f>
        <v>7</v>
      </c>
      <c r="AI325" t="str">
        <f t="shared" si="145"/>
        <v>Neutral</v>
      </c>
      <c r="AJ325" s="32">
        <f t="shared" si="146"/>
        <v>1</v>
      </c>
      <c r="AK325">
        <f>step3_validation[[#This Row],[AI_TRU1]]</f>
        <v>6</v>
      </c>
      <c r="AL325" t="str">
        <f t="shared" si="147"/>
        <v>Neutral</v>
      </c>
      <c r="AM325">
        <f>survey_responses[[#This Row],[Tôi tin rằng Nhà nước, cơ quan thuế sẽ thực thi chính sách mới một cách khách quan, công tâm và đối xử bình đẳng với mọi người nộp thuế.  - HUMAN-TRU1]]</f>
        <v>7</v>
      </c>
      <c r="AN325" t="str">
        <f t="shared" si="148"/>
        <v>Neutral</v>
      </c>
      <c r="AO325" s="32">
        <f t="shared" si="149"/>
        <v>1</v>
      </c>
      <c r="AP325">
        <f>step3_validation[[#This Row],[AI_TRU2]]</f>
        <v>9</v>
      </c>
      <c r="AQ325" t="str">
        <f t="shared" si="150"/>
        <v>Support</v>
      </c>
      <c r="AR325">
        <f>survey_responses[[#This Row],[Tôi thấy mức thuế tôi phải đóng theo phương án mới là công bằng (người thu nhập như tôi đóng mức này là hợp lý). - HUMAN-TRU2]]</f>
        <v>7</v>
      </c>
      <c r="AS325" t="str">
        <f t="shared" si="151"/>
        <v>Neutral</v>
      </c>
      <c r="AT325" s="32">
        <f t="shared" si="152"/>
        <v>2</v>
      </c>
      <c r="AU325">
        <f>step3_validation[[#This Row],[AI_TRU3]]</f>
        <v>6</v>
      </c>
      <c r="AV325" t="str">
        <f t="shared" si="153"/>
        <v>Neutral</v>
      </c>
      <c r="AW325">
        <f>survey_responses[[#This Row],[Tôi tin tưởng số tiền thuế tôi đóng sẽ được Nhà nước sử dụng hiệu quả để cải thiện dịch vụ công (y tế, đường xá...). - HUMAN-TRU3]]</f>
        <v>5</v>
      </c>
      <c r="AX325" t="str">
        <f t="shared" si="154"/>
        <v>Neutral</v>
      </c>
      <c r="AY325" s="32">
        <f t="shared" si="155"/>
        <v>1</v>
      </c>
      <c r="AZ325">
        <f>step3_validation[[#This Row],[AI_TRU4]]</f>
        <v>7</v>
      </c>
      <c r="BA325" t="str">
        <f t="shared" si="156"/>
        <v>Neutral</v>
      </c>
      <c r="BB325">
        <f>survey_responses[[#This Row],[Tôi thấy Nhà nước đã giải thích rõ ràng, minh bạch về lý do và mục tiêu của việc sửa đổi thuế lần này. - HUMAN-TRU4]]</f>
        <v>5</v>
      </c>
      <c r="BC325" t="str">
        <f t="shared" si="157"/>
        <v>Neutral</v>
      </c>
      <c r="BD325" s="32">
        <f t="shared" si="158"/>
        <v>2</v>
      </c>
      <c r="BE325">
        <f>step3_validation[[#This Row],[AI_OUT1]]</f>
        <v>8</v>
      </c>
      <c r="BF325" t="str">
        <f t="shared" si="159"/>
        <v>Support</v>
      </c>
      <c r="BG325">
        <f>survey_responses[[#This Row],[Sau khi xem xét các quyền lợi và nghĩa vụ, bạn có ủng hộ và tuân thủ chính sách mới hiện nay? - HUMAN-OUT1]]</f>
        <v>8</v>
      </c>
      <c r="BH325" t="str">
        <f t="shared" si="160"/>
        <v>Support</v>
      </c>
      <c r="BI325" s="32">
        <f t="shared" si="161"/>
        <v>0</v>
      </c>
    </row>
    <row r="326" spans="1:61" x14ac:dyDescent="0.45">
      <c r="A326" s="30">
        <f>step3_validation[[#This Row],[Persona_ID]]</f>
        <v>325</v>
      </c>
      <c r="B326" s="31">
        <f>step3_validation[[#This Row],[Used_Seed]]</f>
        <v>2315</v>
      </c>
      <c r="C326" t="str">
        <f>step3_validation[[#This Row],[Gender]]</f>
        <v>Nam</v>
      </c>
      <c r="D326" t="str">
        <f>survey_responses[[#This Row],[Giới tính của bạn:]]</f>
        <v>Nam</v>
      </c>
      <c r="E326" t="str">
        <f>step3_validation[[#This Row],[Age_Group]]</f>
        <v>30 - 39</v>
      </c>
      <c r="F326" t="str">
        <f>survey_responses[[#This Row],[Độ tuổi của bạn:]]</f>
        <v>30 - 39</v>
      </c>
      <c r="G326" t="str">
        <f>step3_validation[[#This Row],[Region]]</f>
        <v>Thành thị</v>
      </c>
      <c r="H326" t="str">
        <f>survey_responses[[#This Row],[Khu vực bạn đang sinh sống:]]</f>
        <v>Thành thị</v>
      </c>
      <c r="I326" t="str">
        <f>step3_validation[[#This Row],[Education]]</f>
        <v>Đại học</v>
      </c>
      <c r="J326" t="str">
        <f>survey_responses[[#This Row],[Trình độ học vấn cao nhất:]]</f>
        <v>Đại học</v>
      </c>
      <c r="K326" t="str">
        <f>step3_validation[[#This Row],[Employment]]</f>
        <v>Chính thức</v>
      </c>
      <c r="L326" t="str">
        <f>survey_responses[[#This Row],[Tình trạng việc làm chính:]]</f>
        <v>Khu vực chính thức (Có Hợp đồng lao động, đóng BHXH)</v>
      </c>
      <c r="M326">
        <f>step3_validation[[#This Row],[Income_Mil]]</f>
        <v>32.421696879686671</v>
      </c>
      <c r="N326" t="str">
        <f>survey_responses[[#This Row],[Thu nhập bình quân tháng theo Hợp đồng lao động của bạn là bao nhiêu? (Vui lòng điền tổng thu nhập trước khi khấu trừ các loại Bảo hiểm (BHXH, BHYT, BHTN) và Thuế TNCN)]]</f>
        <v>Từ 32 - 48 triệu VNĐ</v>
      </c>
      <c r="O326">
        <f>step3_validation[[#This Row],[Dependents]]</f>
        <v>1</v>
      </c>
      <c r="P326" t="str">
        <f>survey_responses[[#This Row],[Số người phụ thuộc (con nhỏ, cha mẹ già...) đủ điều kiện giảm trừ gia cảnh:]]</f>
        <v>1 người</v>
      </c>
      <c r="Q326">
        <f>step3_validation[[#This Row],[AI_ENF1]]</f>
        <v>7</v>
      </c>
      <c r="R326" t="str">
        <f t="shared" si="135"/>
        <v>Neutral</v>
      </c>
      <c r="S326">
        <f>survey_responses[[#This Row],[Tôi tin rằng với các quy định quản lý thuế hiện nay, hành vi gian lận hoặc trốn thuế sẽ dễ dàng bị phát hiện và xử lý nghiêm. - HUMAN-ENF1]]</f>
        <v>2</v>
      </c>
      <c r="T326" t="str">
        <f t="shared" si="136"/>
        <v>Oppose</v>
      </c>
      <c r="U326" s="32">
        <f t="shared" si="137"/>
        <v>5</v>
      </c>
      <c r="V326">
        <f>step3_validation[[#This Row],[AI_ENF2]]</f>
        <v>6</v>
      </c>
      <c r="W326" t="str">
        <f t="shared" si="138"/>
        <v>Neutral</v>
      </c>
      <c r="X326">
        <f>survey_responses[[#This Row],[Tôi tin rằng Nhà nước, cơ quan thuế có đủ khả năng và công nghệ để phát hiện, xử lý nghiêm các hành vi trốn thuế. - HUMAN-ENF2]]</f>
        <v>2</v>
      </c>
      <c r="Y326" t="str">
        <f t="shared" si="139"/>
        <v>Oppose</v>
      </c>
      <c r="Z326" s="32">
        <f t="shared" si="140"/>
        <v>4</v>
      </c>
      <c r="AA326">
        <f>step3_validation[[#This Row],[AI_FAC1]]</f>
        <v>8</v>
      </c>
      <c r="AB326" t="str">
        <f t="shared" si="141"/>
        <v>Support</v>
      </c>
      <c r="AC326">
        <f>survey_responses[[#This Row],[Các thủ tục khai báo thuế VÀ/HOẶC quy trình làm việc với cơ quan thuế đơn giản, tiện lợi, nhanh chóng hơn so với trước đây. - HUMAN-FAC1]]</f>
        <v>6</v>
      </c>
      <c r="AD326" t="str">
        <f t="shared" si="142"/>
        <v>Neutral</v>
      </c>
      <c r="AE326" s="32">
        <f t="shared" si="143"/>
        <v>2</v>
      </c>
      <c r="AF326">
        <f>step3_validation[[#This Row],[AI_FAC2]]</f>
        <v>9</v>
      </c>
      <c r="AG326" t="str">
        <f t="shared" si="144"/>
        <v>Support</v>
      </c>
      <c r="AH326">
        <f>survey_responses[[#This Row],[So với trước đây, tôi thấy cách tính thuế và các bậc thuế trong phương án mới đơn giản, dễ hiểu và dễ thực hiện hơn. - HUMAN-FAC2]]</f>
        <v>7</v>
      </c>
      <c r="AI326" t="str">
        <f t="shared" si="145"/>
        <v>Neutral</v>
      </c>
      <c r="AJ326" s="32">
        <f t="shared" si="146"/>
        <v>2</v>
      </c>
      <c r="AK326">
        <f>step3_validation[[#This Row],[AI_TRU1]]</f>
        <v>5</v>
      </c>
      <c r="AL326" t="str">
        <f t="shared" si="147"/>
        <v>Neutral</v>
      </c>
      <c r="AM326">
        <f>survey_responses[[#This Row],[Tôi tin rằng Nhà nước, cơ quan thuế sẽ thực thi chính sách mới một cách khách quan, công tâm và đối xử bình đẳng với mọi người nộp thuế.  - HUMAN-TRU1]]</f>
        <v>2</v>
      </c>
      <c r="AN326" t="str">
        <f t="shared" si="148"/>
        <v>Oppose</v>
      </c>
      <c r="AO326" s="32">
        <f t="shared" si="149"/>
        <v>3</v>
      </c>
      <c r="AP326">
        <f>step3_validation[[#This Row],[AI_TRU2]]</f>
        <v>6</v>
      </c>
      <c r="AQ326" t="str">
        <f t="shared" si="150"/>
        <v>Neutral</v>
      </c>
      <c r="AR326">
        <f>survey_responses[[#This Row],[Tôi thấy mức thuế tôi phải đóng theo phương án mới là công bằng (người thu nhập như tôi đóng mức này là hợp lý). - HUMAN-TRU2]]</f>
        <v>5</v>
      </c>
      <c r="AS326" t="str">
        <f t="shared" si="151"/>
        <v>Neutral</v>
      </c>
      <c r="AT326" s="32">
        <f t="shared" si="152"/>
        <v>1</v>
      </c>
      <c r="AU326">
        <f>step3_validation[[#This Row],[AI_TRU3]]</f>
        <v>4</v>
      </c>
      <c r="AV326" t="str">
        <f t="shared" si="153"/>
        <v>Oppose</v>
      </c>
      <c r="AW326">
        <f>survey_responses[[#This Row],[Tôi tin tưởng số tiền thuế tôi đóng sẽ được Nhà nước sử dụng hiệu quả để cải thiện dịch vụ công (y tế, đường xá...). - HUMAN-TRU3]]</f>
        <v>5</v>
      </c>
      <c r="AX326" t="str">
        <f t="shared" si="154"/>
        <v>Neutral</v>
      </c>
      <c r="AY326" s="32">
        <f t="shared" si="155"/>
        <v>1</v>
      </c>
      <c r="AZ326">
        <f>step3_validation[[#This Row],[AI_TRU4]]</f>
        <v>5</v>
      </c>
      <c r="BA326" t="str">
        <f t="shared" si="156"/>
        <v>Neutral</v>
      </c>
      <c r="BB326">
        <f>survey_responses[[#This Row],[Tôi thấy Nhà nước đã giải thích rõ ràng, minh bạch về lý do và mục tiêu của việc sửa đổi thuế lần này. - HUMAN-TRU4]]</f>
        <v>6</v>
      </c>
      <c r="BC326" t="str">
        <f t="shared" si="157"/>
        <v>Neutral</v>
      </c>
      <c r="BD326" s="32">
        <f t="shared" si="158"/>
        <v>1</v>
      </c>
      <c r="BE326">
        <f>step3_validation[[#This Row],[AI_OUT1]]</f>
        <v>7</v>
      </c>
      <c r="BF326" t="str">
        <f t="shared" si="159"/>
        <v>Neutral</v>
      </c>
      <c r="BG326">
        <f>survey_responses[[#This Row],[Sau khi xem xét các quyền lợi và nghĩa vụ, bạn có ủng hộ và tuân thủ chính sách mới hiện nay? - HUMAN-OUT1]]</f>
        <v>5</v>
      </c>
      <c r="BH326" t="str">
        <f t="shared" si="160"/>
        <v>Neutral</v>
      </c>
      <c r="BI326" s="32">
        <f t="shared" si="161"/>
        <v>2</v>
      </c>
    </row>
    <row r="327" spans="1:61" x14ac:dyDescent="0.45">
      <c r="A327" s="30">
        <f>step3_validation[[#This Row],[Persona_ID]]</f>
        <v>326</v>
      </c>
      <c r="B327" s="31">
        <f>step3_validation[[#This Row],[Used_Seed]]</f>
        <v>2316</v>
      </c>
      <c r="C327" t="str">
        <f>step3_validation[[#This Row],[Gender]]</f>
        <v>Nữ</v>
      </c>
      <c r="D327" t="str">
        <f>survey_responses[[#This Row],[Giới tính của bạn:]]</f>
        <v>Nữ</v>
      </c>
      <c r="E327" t="str">
        <f>step3_validation[[#This Row],[Age_Group]]</f>
        <v>40 - 49</v>
      </c>
      <c r="F327" t="str">
        <f>survey_responses[[#This Row],[Độ tuổi của bạn:]]</f>
        <v>40 - 49</v>
      </c>
      <c r="G327" t="str">
        <f>step3_validation[[#This Row],[Region]]</f>
        <v>Thành thị</v>
      </c>
      <c r="H327" t="str">
        <f>survey_responses[[#This Row],[Khu vực bạn đang sinh sống:]]</f>
        <v>Thành thị</v>
      </c>
      <c r="I327" t="str">
        <f>step3_validation[[#This Row],[Education]]</f>
        <v>Đại học</v>
      </c>
      <c r="J327" t="str">
        <f>survey_responses[[#This Row],[Trình độ học vấn cao nhất:]]</f>
        <v>Đại học</v>
      </c>
      <c r="K327" t="str">
        <f>step3_validation[[#This Row],[Employment]]</f>
        <v>Chính thức</v>
      </c>
      <c r="L327" t="str">
        <f>survey_responses[[#This Row],[Tình trạng việc làm chính:]]</f>
        <v>Khu vực chính thức (Có Hợp đồng lao động, đóng BHXH)</v>
      </c>
      <c r="M327">
        <f>step3_validation[[#This Row],[Income_Mil]]</f>
        <v>66.599036760439176</v>
      </c>
      <c r="N327" t="str">
        <f>survey_responses[[#This Row],[Thu nhập bình quân tháng theo Hợp đồng lao động của bạn là bao nhiêu? (Vui lòng điền tổng thu nhập trước khi khấu trừ các loại Bảo hiểm (BHXH, BHYT, BHTN) và Thuế TNCN)]]</f>
        <v>Từ 48 - 70 triệu VNĐ</v>
      </c>
      <c r="O327">
        <f>step3_validation[[#This Row],[Dependents]]</f>
        <v>2</v>
      </c>
      <c r="P327" t="str">
        <f>survey_responses[[#This Row],[Số người phụ thuộc (con nhỏ, cha mẹ già...) đủ điều kiện giảm trừ gia cảnh:]]</f>
        <v>2 người</v>
      </c>
      <c r="Q327">
        <f>step3_validation[[#This Row],[AI_ENF1]]</f>
        <v>8</v>
      </c>
      <c r="R327" t="str">
        <f t="shared" si="135"/>
        <v>Support</v>
      </c>
      <c r="S327">
        <f>survey_responses[[#This Row],[Tôi tin rằng với các quy định quản lý thuế hiện nay, hành vi gian lận hoặc trốn thuế sẽ dễ dàng bị phát hiện và xử lý nghiêm. - HUMAN-ENF1]]</f>
        <v>8</v>
      </c>
      <c r="T327" t="str">
        <f t="shared" si="136"/>
        <v>Support</v>
      </c>
      <c r="U327" s="32">
        <f t="shared" si="137"/>
        <v>0</v>
      </c>
      <c r="V327">
        <f>step3_validation[[#This Row],[AI_ENF2]]</f>
        <v>9</v>
      </c>
      <c r="W327" t="str">
        <f t="shared" si="138"/>
        <v>Support</v>
      </c>
      <c r="X327">
        <f>survey_responses[[#This Row],[Tôi tin rằng Nhà nước, cơ quan thuế có đủ khả năng và công nghệ để phát hiện, xử lý nghiêm các hành vi trốn thuế. - HUMAN-ENF2]]</f>
        <v>9</v>
      </c>
      <c r="Y327" t="str">
        <f t="shared" si="139"/>
        <v>Support</v>
      </c>
      <c r="Z327" s="32">
        <f t="shared" si="140"/>
        <v>0</v>
      </c>
      <c r="AA327">
        <f>step3_validation[[#This Row],[AI_FAC1]]</f>
        <v>7</v>
      </c>
      <c r="AB327" t="str">
        <f t="shared" si="141"/>
        <v>Neutral</v>
      </c>
      <c r="AC327">
        <f>survey_responses[[#This Row],[Các thủ tục khai báo thuế VÀ/HOẶC quy trình làm việc với cơ quan thuế đơn giản, tiện lợi, nhanh chóng hơn so với trước đây. - HUMAN-FAC1]]</f>
        <v>9</v>
      </c>
      <c r="AD327" t="str">
        <f t="shared" si="142"/>
        <v>Support</v>
      </c>
      <c r="AE327" s="32">
        <f t="shared" si="143"/>
        <v>2</v>
      </c>
      <c r="AF327">
        <f>step3_validation[[#This Row],[AI_FAC2]]</f>
        <v>8</v>
      </c>
      <c r="AG327" t="str">
        <f t="shared" si="144"/>
        <v>Support</v>
      </c>
      <c r="AH327">
        <f>survey_responses[[#This Row],[So với trước đây, tôi thấy cách tính thuế và các bậc thuế trong phương án mới đơn giản, dễ hiểu và dễ thực hiện hơn. - HUMAN-FAC2]]</f>
        <v>10</v>
      </c>
      <c r="AI327" t="str">
        <f t="shared" si="145"/>
        <v>Support</v>
      </c>
      <c r="AJ327" s="32">
        <f t="shared" si="146"/>
        <v>2</v>
      </c>
      <c r="AK327">
        <f>step3_validation[[#This Row],[AI_TRU1]]</f>
        <v>7</v>
      </c>
      <c r="AL327" t="str">
        <f t="shared" si="147"/>
        <v>Neutral</v>
      </c>
      <c r="AM327">
        <f>survey_responses[[#This Row],[Tôi tin rằng Nhà nước, cơ quan thuế sẽ thực thi chính sách mới một cách khách quan, công tâm và đối xử bình đẳng với mọi người nộp thuế.  - HUMAN-TRU1]]</f>
        <v>8</v>
      </c>
      <c r="AN327" t="str">
        <f t="shared" si="148"/>
        <v>Support</v>
      </c>
      <c r="AO327" s="32">
        <f t="shared" si="149"/>
        <v>1</v>
      </c>
      <c r="AP327">
        <f>step3_validation[[#This Row],[AI_TRU2]]</f>
        <v>8</v>
      </c>
      <c r="AQ327" t="str">
        <f t="shared" si="150"/>
        <v>Support</v>
      </c>
      <c r="AR327">
        <f>survey_responses[[#This Row],[Tôi thấy mức thuế tôi phải đóng theo phương án mới là công bằng (người thu nhập như tôi đóng mức này là hợp lý). - HUMAN-TRU2]]</f>
        <v>10</v>
      </c>
      <c r="AS327" t="str">
        <f t="shared" si="151"/>
        <v>Support</v>
      </c>
      <c r="AT327" s="32">
        <f t="shared" si="152"/>
        <v>2</v>
      </c>
      <c r="AU327">
        <f>step3_validation[[#This Row],[AI_TRU3]]</f>
        <v>7</v>
      </c>
      <c r="AV327" t="str">
        <f t="shared" si="153"/>
        <v>Neutral</v>
      </c>
      <c r="AW327">
        <f>survey_responses[[#This Row],[Tôi tin tưởng số tiền thuế tôi đóng sẽ được Nhà nước sử dụng hiệu quả để cải thiện dịch vụ công (y tế, đường xá...). - HUMAN-TRU3]]</f>
        <v>9</v>
      </c>
      <c r="AX327" t="str">
        <f t="shared" si="154"/>
        <v>Support</v>
      </c>
      <c r="AY327" s="32">
        <f t="shared" si="155"/>
        <v>2</v>
      </c>
      <c r="AZ327">
        <f>step3_validation[[#This Row],[AI_TRU4]]</f>
        <v>6</v>
      </c>
      <c r="BA327" t="str">
        <f t="shared" si="156"/>
        <v>Neutral</v>
      </c>
      <c r="BB327">
        <f>survey_responses[[#This Row],[Tôi thấy Nhà nước đã giải thích rõ ràng, minh bạch về lý do và mục tiêu của việc sửa đổi thuế lần này. - HUMAN-TRU4]]</f>
        <v>9</v>
      </c>
      <c r="BC327" t="str">
        <f t="shared" si="157"/>
        <v>Support</v>
      </c>
      <c r="BD327" s="32">
        <f t="shared" si="158"/>
        <v>3</v>
      </c>
      <c r="BE327">
        <f>step3_validation[[#This Row],[AI_OUT1]]</f>
        <v>7</v>
      </c>
      <c r="BF327" t="str">
        <f t="shared" si="159"/>
        <v>Neutral</v>
      </c>
      <c r="BG327">
        <f>survey_responses[[#This Row],[Sau khi xem xét các quyền lợi và nghĩa vụ, bạn có ủng hộ và tuân thủ chính sách mới hiện nay? - HUMAN-OUT1]]</f>
        <v>10</v>
      </c>
      <c r="BH327" t="str">
        <f t="shared" si="160"/>
        <v>Support</v>
      </c>
      <c r="BI327" s="32">
        <f t="shared" si="161"/>
        <v>3</v>
      </c>
    </row>
    <row r="328" spans="1:61" x14ac:dyDescent="0.45">
      <c r="A328" s="30">
        <f>step3_validation[[#This Row],[Persona_ID]]</f>
        <v>327</v>
      </c>
      <c r="B328" s="31">
        <f>step3_validation[[#This Row],[Used_Seed]]</f>
        <v>2317</v>
      </c>
      <c r="C328" t="str">
        <f>step3_validation[[#This Row],[Gender]]</f>
        <v>Nữ</v>
      </c>
      <c r="D328" t="str">
        <f>survey_responses[[#This Row],[Giới tính của bạn:]]</f>
        <v>Nữ</v>
      </c>
      <c r="E328" t="str">
        <f>step3_validation[[#This Row],[Age_Group]]</f>
        <v>25 - 29</v>
      </c>
      <c r="F328" t="str">
        <f>survey_responses[[#This Row],[Độ tuổi của bạn:]]</f>
        <v>25 - 29</v>
      </c>
      <c r="G328" t="str">
        <f>step3_validation[[#This Row],[Region]]</f>
        <v>Thành thị</v>
      </c>
      <c r="H328" t="str">
        <f>survey_responses[[#This Row],[Khu vực bạn đang sinh sống:]]</f>
        <v>Thành thị</v>
      </c>
      <c r="I328" t="str">
        <f>step3_validation[[#This Row],[Education]]</f>
        <v>Đại học</v>
      </c>
      <c r="J328" t="str">
        <f>survey_responses[[#This Row],[Trình độ học vấn cao nhất:]]</f>
        <v>Đại học</v>
      </c>
      <c r="K328" t="str">
        <f>step3_validation[[#This Row],[Employment]]</f>
        <v>Chính thức</v>
      </c>
      <c r="L328" t="str">
        <f>survey_responses[[#This Row],[Tình trạng việc làm chính:]]</f>
        <v>Khu vực chính thức (Có Hợp đồng lao động, đóng BHXH)</v>
      </c>
      <c r="M328">
        <f>step3_validation[[#This Row],[Income_Mil]]</f>
        <v>21.42524974191797</v>
      </c>
      <c r="N328" t="str">
        <f>survey_responses[[#This Row],[Thu nhập bình quân tháng theo Hợp đồng lao động của bạn là bao nhiêu? (Vui lòng điền tổng thu nhập trước khi khấu trừ các loại Bảo hiểm (BHXH, BHYT, BHTN) và Thuế TNCN)]]</f>
        <v>Từ 18 - 23 triệu VNĐ</v>
      </c>
      <c r="O328">
        <f>step3_validation[[#This Row],[Dependents]]</f>
        <v>0</v>
      </c>
      <c r="P328" t="str">
        <f>survey_responses[[#This Row],[Số người phụ thuộc (con nhỏ, cha mẹ già...) đủ điều kiện giảm trừ gia cảnh:]]</f>
        <v>0 người</v>
      </c>
      <c r="Q328">
        <f>step3_validation[[#This Row],[AI_ENF1]]</f>
        <v>7</v>
      </c>
      <c r="R328" t="str">
        <f t="shared" si="135"/>
        <v>Neutral</v>
      </c>
      <c r="S328">
        <f>survey_responses[[#This Row],[Tôi tin rằng với các quy định quản lý thuế hiện nay, hành vi gian lận hoặc trốn thuế sẽ dễ dàng bị phát hiện và xử lý nghiêm. - HUMAN-ENF1]]</f>
        <v>7</v>
      </c>
      <c r="T328" t="str">
        <f t="shared" si="136"/>
        <v>Neutral</v>
      </c>
      <c r="U328" s="32">
        <f t="shared" si="137"/>
        <v>0</v>
      </c>
      <c r="V328">
        <f>step3_validation[[#This Row],[AI_ENF2]]</f>
        <v>6</v>
      </c>
      <c r="W328" t="str">
        <f t="shared" si="138"/>
        <v>Neutral</v>
      </c>
      <c r="X328">
        <f>survey_responses[[#This Row],[Tôi tin rằng Nhà nước, cơ quan thuế có đủ khả năng và công nghệ để phát hiện, xử lý nghiêm các hành vi trốn thuế. - HUMAN-ENF2]]</f>
        <v>7</v>
      </c>
      <c r="Y328" t="str">
        <f t="shared" si="139"/>
        <v>Neutral</v>
      </c>
      <c r="Z328" s="32">
        <f t="shared" si="140"/>
        <v>1</v>
      </c>
      <c r="AA328">
        <f>step3_validation[[#This Row],[AI_FAC1]]</f>
        <v>5</v>
      </c>
      <c r="AB328" t="str">
        <f t="shared" si="141"/>
        <v>Neutral</v>
      </c>
      <c r="AC328">
        <f>survey_responses[[#This Row],[Các thủ tục khai báo thuế VÀ/HOẶC quy trình làm việc với cơ quan thuế đơn giản, tiện lợi, nhanh chóng hơn so với trước đây. - HUMAN-FAC1]]</f>
        <v>7</v>
      </c>
      <c r="AD328" t="str">
        <f t="shared" si="142"/>
        <v>Neutral</v>
      </c>
      <c r="AE328" s="32">
        <f t="shared" si="143"/>
        <v>2</v>
      </c>
      <c r="AF328">
        <f>step3_validation[[#This Row],[AI_FAC2]]</f>
        <v>6</v>
      </c>
      <c r="AG328" t="str">
        <f t="shared" si="144"/>
        <v>Neutral</v>
      </c>
      <c r="AH328">
        <f>survey_responses[[#This Row],[So với trước đây, tôi thấy cách tính thuế và các bậc thuế trong phương án mới đơn giản, dễ hiểu và dễ thực hiện hơn. - HUMAN-FAC2]]</f>
        <v>9</v>
      </c>
      <c r="AI328" t="str">
        <f t="shared" si="145"/>
        <v>Support</v>
      </c>
      <c r="AJ328" s="32">
        <f t="shared" si="146"/>
        <v>3</v>
      </c>
      <c r="AK328">
        <f>step3_validation[[#This Row],[AI_TRU1]]</f>
        <v>7</v>
      </c>
      <c r="AL328" t="str">
        <f t="shared" si="147"/>
        <v>Neutral</v>
      </c>
      <c r="AM328">
        <f>survey_responses[[#This Row],[Tôi tin rằng Nhà nước, cơ quan thuế sẽ thực thi chính sách mới một cách khách quan, công tâm và đối xử bình đẳng với mọi người nộp thuế.  - HUMAN-TRU1]]</f>
        <v>7</v>
      </c>
      <c r="AN328" t="str">
        <f t="shared" si="148"/>
        <v>Neutral</v>
      </c>
      <c r="AO328" s="32">
        <f t="shared" si="149"/>
        <v>0</v>
      </c>
      <c r="AP328">
        <f>step3_validation[[#This Row],[AI_TRU2]]</f>
        <v>6</v>
      </c>
      <c r="AQ328" t="str">
        <f t="shared" si="150"/>
        <v>Neutral</v>
      </c>
      <c r="AR328">
        <f>survey_responses[[#This Row],[Tôi thấy mức thuế tôi phải đóng theo phương án mới là công bằng (người thu nhập như tôi đóng mức này là hợp lý). - HUMAN-TRU2]]</f>
        <v>8</v>
      </c>
      <c r="AS328" t="str">
        <f t="shared" si="151"/>
        <v>Support</v>
      </c>
      <c r="AT328" s="32">
        <f t="shared" si="152"/>
        <v>2</v>
      </c>
      <c r="AU328">
        <f>step3_validation[[#This Row],[AI_TRU3]]</f>
        <v>7</v>
      </c>
      <c r="AV328" t="str">
        <f t="shared" si="153"/>
        <v>Neutral</v>
      </c>
      <c r="AW328">
        <f>survey_responses[[#This Row],[Tôi tin tưởng số tiền thuế tôi đóng sẽ được Nhà nước sử dụng hiệu quả để cải thiện dịch vụ công (y tế, đường xá...). - HUMAN-TRU3]]</f>
        <v>5</v>
      </c>
      <c r="AX328" t="str">
        <f t="shared" si="154"/>
        <v>Neutral</v>
      </c>
      <c r="AY328" s="32">
        <f t="shared" si="155"/>
        <v>2</v>
      </c>
      <c r="AZ328">
        <f>step3_validation[[#This Row],[AI_TRU4]]</f>
        <v>6</v>
      </c>
      <c r="BA328" t="str">
        <f t="shared" si="156"/>
        <v>Neutral</v>
      </c>
      <c r="BB328">
        <f>survey_responses[[#This Row],[Tôi thấy Nhà nước đã giải thích rõ ràng, minh bạch về lý do và mục tiêu của việc sửa đổi thuế lần này. - HUMAN-TRU4]]</f>
        <v>7</v>
      </c>
      <c r="BC328" t="str">
        <f t="shared" si="157"/>
        <v>Neutral</v>
      </c>
      <c r="BD328" s="32">
        <f t="shared" si="158"/>
        <v>1</v>
      </c>
      <c r="BE328">
        <f>step3_validation[[#This Row],[AI_OUT1]]</f>
        <v>7</v>
      </c>
      <c r="BF328" t="str">
        <f t="shared" si="159"/>
        <v>Neutral</v>
      </c>
      <c r="BG328">
        <f>survey_responses[[#This Row],[Sau khi xem xét các quyền lợi và nghĩa vụ, bạn có ủng hộ và tuân thủ chính sách mới hiện nay? - HUMAN-OUT1]]</f>
        <v>8</v>
      </c>
      <c r="BH328" t="str">
        <f t="shared" si="160"/>
        <v>Support</v>
      </c>
      <c r="BI328" s="32">
        <f t="shared" si="161"/>
        <v>1</v>
      </c>
    </row>
    <row r="329" spans="1:61" x14ac:dyDescent="0.45">
      <c r="A329" s="30">
        <f>step3_validation[[#This Row],[Persona_ID]]</f>
        <v>328</v>
      </c>
      <c r="B329" s="31">
        <f>step3_validation[[#This Row],[Used_Seed]]</f>
        <v>2318</v>
      </c>
      <c r="C329" t="str">
        <f>step3_validation[[#This Row],[Gender]]</f>
        <v>Nam</v>
      </c>
      <c r="D329" t="str">
        <f>survey_responses[[#This Row],[Giới tính của bạn:]]</f>
        <v>Nam</v>
      </c>
      <c r="E329" t="str">
        <f>step3_validation[[#This Row],[Age_Group]]</f>
        <v>40 - 49</v>
      </c>
      <c r="F329" t="str">
        <f>survey_responses[[#This Row],[Độ tuổi của bạn:]]</f>
        <v>40 - 49</v>
      </c>
      <c r="G329" t="str">
        <f>step3_validation[[#This Row],[Region]]</f>
        <v>Thành thị</v>
      </c>
      <c r="H329" t="str">
        <f>survey_responses[[#This Row],[Khu vực bạn đang sinh sống:]]</f>
        <v>Thành thị</v>
      </c>
      <c r="I329" t="str">
        <f>step3_validation[[#This Row],[Education]]</f>
        <v>Sau Đại học</v>
      </c>
      <c r="J329" t="str">
        <f>survey_responses[[#This Row],[Trình độ học vấn cao nhất:]]</f>
        <v>Sau Đại học</v>
      </c>
      <c r="K329" t="str">
        <f>step3_validation[[#This Row],[Employment]]</f>
        <v>Chính thức</v>
      </c>
      <c r="L329" t="str">
        <f>survey_responses[[#This Row],[Tình trạng việc làm chính:]]</f>
        <v>Khu vực chính thức (Có Hợp đồng lao động, đóng BHXH)</v>
      </c>
      <c r="M329">
        <f>step3_validation[[#This Row],[Income_Mil]]</f>
        <v>90.960749809410544</v>
      </c>
      <c r="N329" t="str">
        <f>survey_responses[[#This Row],[Thu nhập bình quân tháng theo Hợp đồng lao động của bạn là bao nhiêu? (Vui lòng điền tổng thu nhập trước khi khấu trừ các loại Bảo hiểm (BHXH, BHYT, BHTN) và Thuế TNCN)]]</f>
        <v>Từ 70 - 102 triệu VNĐ</v>
      </c>
      <c r="O329">
        <f>step3_validation[[#This Row],[Dependents]]</f>
        <v>3</v>
      </c>
      <c r="P329" t="str">
        <f>survey_responses[[#This Row],[Số người phụ thuộc (con nhỏ, cha mẹ già...) đủ điều kiện giảm trừ gia cảnh:]]</f>
        <v>3 người</v>
      </c>
      <c r="Q329">
        <f>step3_validation[[#This Row],[AI_ENF1]]</f>
        <v>7</v>
      </c>
      <c r="R329" t="str">
        <f t="shared" si="135"/>
        <v>Neutral</v>
      </c>
      <c r="S329">
        <f>survey_responses[[#This Row],[Tôi tin rằng với các quy định quản lý thuế hiện nay, hành vi gian lận hoặc trốn thuế sẽ dễ dàng bị phát hiện và xử lý nghiêm. - HUMAN-ENF1]]</f>
        <v>7</v>
      </c>
      <c r="T329" t="str">
        <f t="shared" si="136"/>
        <v>Neutral</v>
      </c>
      <c r="U329" s="32">
        <f t="shared" si="137"/>
        <v>0</v>
      </c>
      <c r="V329">
        <f>step3_validation[[#This Row],[AI_ENF2]]</f>
        <v>8</v>
      </c>
      <c r="W329" t="str">
        <f t="shared" si="138"/>
        <v>Support</v>
      </c>
      <c r="X329">
        <f>survey_responses[[#This Row],[Tôi tin rằng Nhà nước, cơ quan thuế có đủ khả năng và công nghệ để phát hiện, xử lý nghiêm các hành vi trốn thuế. - HUMAN-ENF2]]</f>
        <v>8</v>
      </c>
      <c r="Y329" t="str">
        <f t="shared" si="139"/>
        <v>Support</v>
      </c>
      <c r="Z329" s="32">
        <f t="shared" si="140"/>
        <v>0</v>
      </c>
      <c r="AA329">
        <f>step3_validation[[#This Row],[AI_FAC1]]</f>
        <v>9</v>
      </c>
      <c r="AB329" t="str">
        <f t="shared" si="141"/>
        <v>Support</v>
      </c>
      <c r="AC329">
        <f>survey_responses[[#This Row],[Các thủ tục khai báo thuế VÀ/HOẶC quy trình làm việc với cơ quan thuế đơn giản, tiện lợi, nhanh chóng hơn so với trước đây. - HUMAN-FAC1]]</f>
        <v>9</v>
      </c>
      <c r="AD329" t="str">
        <f t="shared" si="142"/>
        <v>Support</v>
      </c>
      <c r="AE329" s="32">
        <f t="shared" si="143"/>
        <v>0</v>
      </c>
      <c r="AF329">
        <f>step3_validation[[#This Row],[AI_FAC2]]</f>
        <v>7</v>
      </c>
      <c r="AG329" t="str">
        <f t="shared" si="144"/>
        <v>Neutral</v>
      </c>
      <c r="AH329">
        <f>survey_responses[[#This Row],[So với trước đây, tôi thấy cách tính thuế và các bậc thuế trong phương án mới đơn giản, dễ hiểu và dễ thực hiện hơn. - HUMAN-FAC2]]</f>
        <v>9</v>
      </c>
      <c r="AI329" t="str">
        <f t="shared" si="145"/>
        <v>Support</v>
      </c>
      <c r="AJ329" s="32">
        <f t="shared" si="146"/>
        <v>2</v>
      </c>
      <c r="AK329">
        <f>step3_validation[[#This Row],[AI_TRU1]]</f>
        <v>8</v>
      </c>
      <c r="AL329" t="str">
        <f t="shared" si="147"/>
        <v>Support</v>
      </c>
      <c r="AM329">
        <f>survey_responses[[#This Row],[Tôi tin rằng Nhà nước, cơ quan thuế sẽ thực thi chính sách mới một cách khách quan, công tâm và đối xử bình đẳng với mọi người nộp thuế.  - HUMAN-TRU1]]</f>
        <v>9</v>
      </c>
      <c r="AN329" t="str">
        <f t="shared" si="148"/>
        <v>Support</v>
      </c>
      <c r="AO329" s="32">
        <f t="shared" si="149"/>
        <v>1</v>
      </c>
      <c r="AP329">
        <f>step3_validation[[#This Row],[AI_TRU2]]</f>
        <v>6</v>
      </c>
      <c r="AQ329" t="str">
        <f t="shared" si="150"/>
        <v>Neutral</v>
      </c>
      <c r="AR329">
        <f>survey_responses[[#This Row],[Tôi thấy mức thuế tôi phải đóng theo phương án mới là công bằng (người thu nhập như tôi đóng mức này là hợp lý). - HUMAN-TRU2]]</f>
        <v>8</v>
      </c>
      <c r="AS329" t="str">
        <f t="shared" si="151"/>
        <v>Support</v>
      </c>
      <c r="AT329" s="32">
        <f t="shared" si="152"/>
        <v>2</v>
      </c>
      <c r="AU329">
        <f>step3_validation[[#This Row],[AI_TRU3]]</f>
        <v>7</v>
      </c>
      <c r="AV329" t="str">
        <f t="shared" si="153"/>
        <v>Neutral</v>
      </c>
      <c r="AW329">
        <f>survey_responses[[#This Row],[Tôi tin tưởng số tiền thuế tôi đóng sẽ được Nhà nước sử dụng hiệu quả để cải thiện dịch vụ công (y tế, đường xá...). - HUMAN-TRU3]]</f>
        <v>7</v>
      </c>
      <c r="AX329" t="str">
        <f t="shared" si="154"/>
        <v>Neutral</v>
      </c>
      <c r="AY329" s="32">
        <f t="shared" si="155"/>
        <v>0</v>
      </c>
      <c r="AZ329">
        <f>step3_validation[[#This Row],[AI_TRU4]]</f>
        <v>5</v>
      </c>
      <c r="BA329" t="str">
        <f t="shared" si="156"/>
        <v>Neutral</v>
      </c>
      <c r="BB329">
        <f>survey_responses[[#This Row],[Tôi thấy Nhà nước đã giải thích rõ ràng, minh bạch về lý do và mục tiêu của việc sửa đổi thuế lần này. - HUMAN-TRU4]]</f>
        <v>7</v>
      </c>
      <c r="BC329" t="str">
        <f t="shared" si="157"/>
        <v>Neutral</v>
      </c>
      <c r="BD329" s="32">
        <f t="shared" si="158"/>
        <v>2</v>
      </c>
      <c r="BE329">
        <f>step3_validation[[#This Row],[AI_OUT1]]</f>
        <v>6</v>
      </c>
      <c r="BF329" t="str">
        <f t="shared" si="159"/>
        <v>Neutral</v>
      </c>
      <c r="BG329">
        <f>survey_responses[[#This Row],[Sau khi xem xét các quyền lợi và nghĩa vụ, bạn có ủng hộ và tuân thủ chính sách mới hiện nay? - HUMAN-OUT1]]</f>
        <v>9</v>
      </c>
      <c r="BH329" t="str">
        <f t="shared" si="160"/>
        <v>Support</v>
      </c>
      <c r="BI329" s="32">
        <f t="shared" si="161"/>
        <v>3</v>
      </c>
    </row>
    <row r="330" spans="1:61" x14ac:dyDescent="0.45">
      <c r="A330" s="30">
        <f>step3_validation[[#This Row],[Persona_ID]]</f>
        <v>329</v>
      </c>
      <c r="B330" s="31">
        <f>step3_validation[[#This Row],[Used_Seed]]</f>
        <v>2319</v>
      </c>
      <c r="C330" t="str">
        <f>step3_validation[[#This Row],[Gender]]</f>
        <v>Nữ</v>
      </c>
      <c r="D330" t="str">
        <f>survey_responses[[#This Row],[Giới tính của bạn:]]</f>
        <v>Nữ</v>
      </c>
      <c r="E330" t="str">
        <f>step3_validation[[#This Row],[Age_Group]]</f>
        <v>25 - 29</v>
      </c>
      <c r="F330" t="str">
        <f>survey_responses[[#This Row],[Độ tuổi của bạn:]]</f>
        <v>25 - 29</v>
      </c>
      <c r="G330" t="str">
        <f>step3_validation[[#This Row],[Region]]</f>
        <v>Thành thị</v>
      </c>
      <c r="H330" t="str">
        <f>survey_responses[[#This Row],[Khu vực bạn đang sinh sống:]]</f>
        <v>Thành thị</v>
      </c>
      <c r="I330" t="str">
        <f>step3_validation[[#This Row],[Education]]</f>
        <v>Đại học</v>
      </c>
      <c r="J330" t="str">
        <f>survey_responses[[#This Row],[Trình độ học vấn cao nhất:]]</f>
        <v>Đại học</v>
      </c>
      <c r="K330" t="str">
        <f>step3_validation[[#This Row],[Employment]]</f>
        <v>Chính thức</v>
      </c>
      <c r="L330" t="str">
        <f>survey_responses[[#This Row],[Tình trạng việc làm chính:]]</f>
        <v>Khu vực chính thức (Có Hợp đồng lao động, đóng BHXH)</v>
      </c>
      <c r="M330">
        <f>step3_validation[[#This Row],[Income_Mil]]</f>
        <v>16.728174054891092</v>
      </c>
      <c r="N330" t="str">
        <f>survey_responses[[#This Row],[Thu nhập bình quân tháng theo Hợp đồng lao động của bạn là bao nhiêu? (Vui lòng điền tổng thu nhập trước khi khấu trừ các loại Bảo hiểm (BHXH, BHYT, BHTN) và Thuế TNCN)]]</f>
        <v>Từ 12 - 18 triệu VNĐ</v>
      </c>
      <c r="O330">
        <f>step3_validation[[#This Row],[Dependents]]</f>
        <v>0</v>
      </c>
      <c r="P330" t="str">
        <f>survey_responses[[#This Row],[Số người phụ thuộc (con nhỏ, cha mẹ già...) đủ điều kiện giảm trừ gia cảnh:]]</f>
        <v>0 người</v>
      </c>
      <c r="Q330">
        <f>step3_validation[[#This Row],[AI_ENF1]]</f>
        <v>8</v>
      </c>
      <c r="R330" t="str">
        <f t="shared" si="135"/>
        <v>Support</v>
      </c>
      <c r="S330">
        <f>survey_responses[[#This Row],[Tôi tin rằng với các quy định quản lý thuế hiện nay, hành vi gian lận hoặc trốn thuế sẽ dễ dàng bị phát hiện và xử lý nghiêm. - HUMAN-ENF1]]</f>
        <v>7</v>
      </c>
      <c r="T330" t="str">
        <f t="shared" si="136"/>
        <v>Neutral</v>
      </c>
      <c r="U330" s="32">
        <f t="shared" si="137"/>
        <v>1</v>
      </c>
      <c r="V330">
        <f>step3_validation[[#This Row],[AI_ENF2]]</f>
        <v>7</v>
      </c>
      <c r="W330" t="str">
        <f t="shared" si="138"/>
        <v>Neutral</v>
      </c>
      <c r="X330">
        <f>survey_responses[[#This Row],[Tôi tin rằng Nhà nước, cơ quan thuế có đủ khả năng và công nghệ để phát hiện, xử lý nghiêm các hành vi trốn thuế. - HUMAN-ENF2]]</f>
        <v>7</v>
      </c>
      <c r="Y330" t="str">
        <f t="shared" si="139"/>
        <v>Neutral</v>
      </c>
      <c r="Z330" s="32">
        <f t="shared" si="140"/>
        <v>0</v>
      </c>
      <c r="AA330">
        <f>step3_validation[[#This Row],[AI_FAC1]]</f>
        <v>9</v>
      </c>
      <c r="AB330" t="str">
        <f t="shared" si="141"/>
        <v>Support</v>
      </c>
      <c r="AC330">
        <f>survey_responses[[#This Row],[Các thủ tục khai báo thuế VÀ/HOẶC quy trình làm việc với cơ quan thuế đơn giản, tiện lợi, nhanh chóng hơn so với trước đây. - HUMAN-FAC1]]</f>
        <v>9</v>
      </c>
      <c r="AD330" t="str">
        <f t="shared" si="142"/>
        <v>Support</v>
      </c>
      <c r="AE330" s="32">
        <f t="shared" si="143"/>
        <v>0</v>
      </c>
      <c r="AF330">
        <f>step3_validation[[#This Row],[AI_FAC2]]</f>
        <v>8</v>
      </c>
      <c r="AG330" t="str">
        <f t="shared" si="144"/>
        <v>Support</v>
      </c>
      <c r="AH330">
        <f>survey_responses[[#This Row],[So với trước đây, tôi thấy cách tính thuế và các bậc thuế trong phương án mới đơn giản, dễ hiểu và dễ thực hiện hơn. - HUMAN-FAC2]]</f>
        <v>9</v>
      </c>
      <c r="AI330" t="str">
        <f t="shared" si="145"/>
        <v>Support</v>
      </c>
      <c r="AJ330" s="32">
        <f t="shared" si="146"/>
        <v>1</v>
      </c>
      <c r="AK330">
        <f>step3_validation[[#This Row],[AI_TRU1]]</f>
        <v>9</v>
      </c>
      <c r="AL330" t="str">
        <f t="shared" si="147"/>
        <v>Support</v>
      </c>
      <c r="AM330">
        <f>survey_responses[[#This Row],[Tôi tin rằng Nhà nước, cơ quan thuế sẽ thực thi chính sách mới một cách khách quan, công tâm và đối xử bình đẳng với mọi người nộp thuế.  - HUMAN-TRU1]]</f>
        <v>9</v>
      </c>
      <c r="AN330" t="str">
        <f t="shared" si="148"/>
        <v>Support</v>
      </c>
      <c r="AO330" s="32">
        <f t="shared" si="149"/>
        <v>0</v>
      </c>
      <c r="AP330">
        <f>step3_validation[[#This Row],[AI_TRU2]]</f>
        <v>8</v>
      </c>
      <c r="AQ330" t="str">
        <f t="shared" si="150"/>
        <v>Support</v>
      </c>
      <c r="AR330">
        <f>survey_responses[[#This Row],[Tôi thấy mức thuế tôi phải đóng theo phương án mới là công bằng (người thu nhập như tôi đóng mức này là hợp lý). - HUMAN-TRU2]]</f>
        <v>9</v>
      </c>
      <c r="AS330" t="str">
        <f t="shared" si="151"/>
        <v>Support</v>
      </c>
      <c r="AT330" s="32">
        <f t="shared" si="152"/>
        <v>1</v>
      </c>
      <c r="AU330">
        <f>step3_validation[[#This Row],[AI_TRU3]]</f>
        <v>8</v>
      </c>
      <c r="AV330" t="str">
        <f t="shared" si="153"/>
        <v>Support</v>
      </c>
      <c r="AW330">
        <f>survey_responses[[#This Row],[Tôi tin tưởng số tiền thuế tôi đóng sẽ được Nhà nước sử dụng hiệu quả để cải thiện dịch vụ công (y tế, đường xá...). - HUMAN-TRU3]]</f>
        <v>5</v>
      </c>
      <c r="AX330" t="str">
        <f t="shared" si="154"/>
        <v>Neutral</v>
      </c>
      <c r="AY330" s="32">
        <f t="shared" si="155"/>
        <v>3</v>
      </c>
      <c r="AZ330">
        <f>step3_validation[[#This Row],[AI_TRU4]]</f>
        <v>7</v>
      </c>
      <c r="BA330" t="str">
        <f t="shared" si="156"/>
        <v>Neutral</v>
      </c>
      <c r="BB330">
        <f>survey_responses[[#This Row],[Tôi thấy Nhà nước đã giải thích rõ ràng, minh bạch về lý do và mục tiêu của việc sửa đổi thuế lần này. - HUMAN-TRU4]]</f>
        <v>6</v>
      </c>
      <c r="BC330" t="str">
        <f t="shared" si="157"/>
        <v>Neutral</v>
      </c>
      <c r="BD330" s="32">
        <f t="shared" si="158"/>
        <v>1</v>
      </c>
      <c r="BE330">
        <f>step3_validation[[#This Row],[AI_OUT1]]</f>
        <v>7</v>
      </c>
      <c r="BF330" t="str">
        <f t="shared" si="159"/>
        <v>Neutral</v>
      </c>
      <c r="BG330">
        <f>survey_responses[[#This Row],[Sau khi xem xét các quyền lợi và nghĩa vụ, bạn có ủng hộ và tuân thủ chính sách mới hiện nay? - HUMAN-OUT1]]</f>
        <v>9</v>
      </c>
      <c r="BH330" t="str">
        <f t="shared" si="160"/>
        <v>Support</v>
      </c>
      <c r="BI330" s="32">
        <f t="shared" si="161"/>
        <v>2</v>
      </c>
    </row>
    <row r="331" spans="1:61" x14ac:dyDescent="0.45">
      <c r="A331" s="30">
        <f>step3_validation[[#This Row],[Persona_ID]]</f>
        <v>330</v>
      </c>
      <c r="B331" s="31">
        <f>step3_validation[[#This Row],[Used_Seed]]</f>
        <v>2320</v>
      </c>
      <c r="C331" t="str">
        <f>step3_validation[[#This Row],[Gender]]</f>
        <v>Nam</v>
      </c>
      <c r="D331" t="str">
        <f>survey_responses[[#This Row],[Giới tính của bạn:]]</f>
        <v>Nam</v>
      </c>
      <c r="E331" t="str">
        <f>step3_validation[[#This Row],[Age_Group]]</f>
        <v>18 - 24</v>
      </c>
      <c r="F331" t="str">
        <f>survey_responses[[#This Row],[Độ tuổi của bạn:]]</f>
        <v>18 - 24</v>
      </c>
      <c r="G331" t="str">
        <f>step3_validation[[#This Row],[Region]]</f>
        <v>Thành thị</v>
      </c>
      <c r="H331" t="str">
        <f>survey_responses[[#This Row],[Khu vực bạn đang sinh sống:]]</f>
        <v>Thành thị</v>
      </c>
      <c r="I331" t="str">
        <f>step3_validation[[#This Row],[Education]]</f>
        <v>Đại học</v>
      </c>
      <c r="J331" t="str">
        <f>survey_responses[[#This Row],[Trình độ học vấn cao nhất:]]</f>
        <v>Đại học</v>
      </c>
      <c r="K331" t="str">
        <f>step3_validation[[#This Row],[Employment]]</f>
        <v>Chính thức</v>
      </c>
      <c r="L331" t="str">
        <f>survey_responses[[#This Row],[Tình trạng việc làm chính:]]</f>
        <v>Khu vực chính thức (Có Hợp đồng lao động, đóng BHXH)</v>
      </c>
      <c r="M331">
        <f>step3_validation[[#This Row],[Income_Mil]]</f>
        <v>12.050702345928158</v>
      </c>
      <c r="N331" t="str">
        <f>survey_responses[[#This Row],[Thu nhập bình quân tháng theo Hợp đồng lao động của bạn là bao nhiêu? (Vui lòng điền tổng thu nhập trước khi khấu trừ các loại Bảo hiểm (BHXH, BHYT, BHTN) và Thuế TNCN)]]</f>
        <v>Từ 12 - 18 triệu VNĐ</v>
      </c>
      <c r="O331">
        <f>step3_validation[[#This Row],[Dependents]]</f>
        <v>0</v>
      </c>
      <c r="P331" t="str">
        <f>survey_responses[[#This Row],[Số người phụ thuộc (con nhỏ, cha mẹ già...) đủ điều kiện giảm trừ gia cảnh:]]</f>
        <v>0 người</v>
      </c>
      <c r="Q331">
        <f>step3_validation[[#This Row],[AI_ENF1]]</f>
        <v>8</v>
      </c>
      <c r="R331" t="str">
        <f t="shared" si="135"/>
        <v>Support</v>
      </c>
      <c r="S331">
        <f>survey_responses[[#This Row],[Tôi tin rằng với các quy định quản lý thuế hiện nay, hành vi gian lận hoặc trốn thuế sẽ dễ dàng bị phát hiện và xử lý nghiêm. - HUMAN-ENF1]]</f>
        <v>3</v>
      </c>
      <c r="T331" t="str">
        <f t="shared" si="136"/>
        <v>Oppose</v>
      </c>
      <c r="U331" s="32">
        <f t="shared" si="137"/>
        <v>5</v>
      </c>
      <c r="V331">
        <f>step3_validation[[#This Row],[AI_ENF2]]</f>
        <v>7</v>
      </c>
      <c r="W331" t="str">
        <f t="shared" si="138"/>
        <v>Neutral</v>
      </c>
      <c r="X331">
        <f>survey_responses[[#This Row],[Tôi tin rằng Nhà nước, cơ quan thuế có đủ khả năng và công nghệ để phát hiện, xử lý nghiêm các hành vi trốn thuế. - HUMAN-ENF2]]</f>
        <v>3</v>
      </c>
      <c r="Y331" t="str">
        <f t="shared" si="139"/>
        <v>Oppose</v>
      </c>
      <c r="Z331" s="32">
        <f t="shared" si="140"/>
        <v>4</v>
      </c>
      <c r="AA331">
        <f>step3_validation[[#This Row],[AI_FAC1]]</f>
        <v>9</v>
      </c>
      <c r="AB331" t="str">
        <f t="shared" si="141"/>
        <v>Support</v>
      </c>
      <c r="AC331">
        <f>survey_responses[[#This Row],[Các thủ tục khai báo thuế VÀ/HOẶC quy trình làm việc với cơ quan thuế đơn giản, tiện lợi, nhanh chóng hơn so với trước đây. - HUMAN-FAC1]]</f>
        <v>5</v>
      </c>
      <c r="AD331" t="str">
        <f t="shared" si="142"/>
        <v>Neutral</v>
      </c>
      <c r="AE331" s="32">
        <f t="shared" si="143"/>
        <v>4</v>
      </c>
      <c r="AF331">
        <f>step3_validation[[#This Row],[AI_FAC2]]</f>
        <v>8</v>
      </c>
      <c r="AG331" t="str">
        <f t="shared" si="144"/>
        <v>Support</v>
      </c>
      <c r="AH331">
        <f>survey_responses[[#This Row],[So với trước đây, tôi thấy cách tính thuế và các bậc thuế trong phương án mới đơn giản, dễ hiểu và dễ thực hiện hơn. - HUMAN-FAC2]]</f>
        <v>6</v>
      </c>
      <c r="AI331" t="str">
        <f t="shared" si="145"/>
        <v>Neutral</v>
      </c>
      <c r="AJ331" s="32">
        <f t="shared" si="146"/>
        <v>2</v>
      </c>
      <c r="AK331">
        <f>step3_validation[[#This Row],[AI_TRU1]]</f>
        <v>7</v>
      </c>
      <c r="AL331" t="str">
        <f t="shared" si="147"/>
        <v>Neutral</v>
      </c>
      <c r="AM331">
        <f>survey_responses[[#This Row],[Tôi tin rằng Nhà nước, cơ quan thuế sẽ thực thi chính sách mới một cách khách quan, công tâm và đối xử bình đẳng với mọi người nộp thuế.  - HUMAN-TRU1]]</f>
        <v>4</v>
      </c>
      <c r="AN331" t="str">
        <f t="shared" si="148"/>
        <v>Oppose</v>
      </c>
      <c r="AO331" s="32">
        <f t="shared" si="149"/>
        <v>3</v>
      </c>
      <c r="AP331">
        <f>step3_validation[[#This Row],[AI_TRU2]]</f>
        <v>7</v>
      </c>
      <c r="AQ331" t="str">
        <f t="shared" si="150"/>
        <v>Neutral</v>
      </c>
      <c r="AR331">
        <f>survey_responses[[#This Row],[Tôi thấy mức thuế tôi phải đóng theo phương án mới là công bằng (người thu nhập như tôi đóng mức này là hợp lý). - HUMAN-TRU2]]</f>
        <v>5</v>
      </c>
      <c r="AS331" t="str">
        <f t="shared" si="151"/>
        <v>Neutral</v>
      </c>
      <c r="AT331" s="32">
        <f t="shared" si="152"/>
        <v>2</v>
      </c>
      <c r="AU331">
        <f>step3_validation[[#This Row],[AI_TRU3]]</f>
        <v>6</v>
      </c>
      <c r="AV331" t="str">
        <f t="shared" si="153"/>
        <v>Neutral</v>
      </c>
      <c r="AW331">
        <f>survey_responses[[#This Row],[Tôi tin tưởng số tiền thuế tôi đóng sẽ được Nhà nước sử dụng hiệu quả để cải thiện dịch vụ công (y tế, đường xá...). - HUMAN-TRU3]]</f>
        <v>5</v>
      </c>
      <c r="AX331" t="str">
        <f t="shared" si="154"/>
        <v>Neutral</v>
      </c>
      <c r="AY331" s="32">
        <f t="shared" si="155"/>
        <v>1</v>
      </c>
      <c r="AZ331">
        <f>step3_validation[[#This Row],[AI_TRU4]]</f>
        <v>7</v>
      </c>
      <c r="BA331" t="str">
        <f t="shared" si="156"/>
        <v>Neutral</v>
      </c>
      <c r="BB331">
        <f>survey_responses[[#This Row],[Tôi thấy Nhà nước đã giải thích rõ ràng, minh bạch về lý do và mục tiêu của việc sửa đổi thuế lần này. - HUMAN-TRU4]]</f>
        <v>5</v>
      </c>
      <c r="BC331" t="str">
        <f t="shared" si="157"/>
        <v>Neutral</v>
      </c>
      <c r="BD331" s="32">
        <f t="shared" si="158"/>
        <v>2</v>
      </c>
      <c r="BE331">
        <f>step3_validation[[#This Row],[AI_OUT1]]</f>
        <v>7</v>
      </c>
      <c r="BF331" t="str">
        <f t="shared" si="159"/>
        <v>Neutral</v>
      </c>
      <c r="BG331">
        <f>survey_responses[[#This Row],[Sau khi xem xét các quyền lợi và nghĩa vụ, bạn có ủng hộ và tuân thủ chính sách mới hiện nay? - HUMAN-OUT1]]</f>
        <v>5</v>
      </c>
      <c r="BH331" t="str">
        <f t="shared" si="160"/>
        <v>Neutral</v>
      </c>
      <c r="BI331" s="32">
        <f t="shared" si="161"/>
        <v>2</v>
      </c>
    </row>
    <row r="332" spans="1:61" x14ac:dyDescent="0.45">
      <c r="A332" s="30">
        <f>step3_validation[[#This Row],[Persona_ID]]</f>
        <v>331</v>
      </c>
      <c r="B332" s="31">
        <f>step3_validation[[#This Row],[Used_Seed]]</f>
        <v>2321</v>
      </c>
      <c r="C332" t="str">
        <f>step3_validation[[#This Row],[Gender]]</f>
        <v>Nam</v>
      </c>
      <c r="D332" t="str">
        <f>survey_responses[[#This Row],[Giới tính của bạn:]]</f>
        <v>Nam</v>
      </c>
      <c r="E332" t="str">
        <f>step3_validation[[#This Row],[Age_Group]]</f>
        <v>30 - 39</v>
      </c>
      <c r="F332" t="str">
        <f>survey_responses[[#This Row],[Độ tuổi của bạn:]]</f>
        <v>30 - 39</v>
      </c>
      <c r="G332" t="str">
        <f>step3_validation[[#This Row],[Region]]</f>
        <v>Thành thị</v>
      </c>
      <c r="H332" t="str">
        <f>survey_responses[[#This Row],[Khu vực bạn đang sinh sống:]]</f>
        <v>Thành thị</v>
      </c>
      <c r="I332" t="str">
        <f>step3_validation[[#This Row],[Education]]</f>
        <v>Đại học</v>
      </c>
      <c r="J332" t="str">
        <f>survey_responses[[#This Row],[Trình độ học vấn cao nhất:]]</f>
        <v>Đại học</v>
      </c>
      <c r="K332" t="str">
        <f>step3_validation[[#This Row],[Employment]]</f>
        <v>Chính thức</v>
      </c>
      <c r="L332" t="str">
        <f>survey_responses[[#This Row],[Tình trạng việc làm chính:]]</f>
        <v>Khu vực chính thức (Có Hợp đồng lao động, đóng BHXH)</v>
      </c>
      <c r="M332">
        <f>step3_validation[[#This Row],[Income_Mil]]</f>
        <v>25.593949633815651</v>
      </c>
      <c r="N332" t="str">
        <f>survey_responses[[#This Row],[Thu nhập bình quân tháng theo Hợp đồng lao động của bạn là bao nhiêu? (Vui lòng điền tổng thu nhập trước khi khấu trừ các loại Bảo hiểm (BHXH, BHYT, BHTN) và Thuế TNCN)]]</f>
        <v>Từ 23 - 32 triệu VNĐ</v>
      </c>
      <c r="O332">
        <f>step3_validation[[#This Row],[Dependents]]</f>
        <v>1</v>
      </c>
      <c r="P332" t="str">
        <f>survey_responses[[#This Row],[Số người phụ thuộc (con nhỏ, cha mẹ già...) đủ điều kiện giảm trừ gia cảnh:]]</f>
        <v>1 người</v>
      </c>
      <c r="Q332">
        <f>step3_validation[[#This Row],[AI_ENF1]]</f>
        <v>6</v>
      </c>
      <c r="R332" t="str">
        <f t="shared" si="135"/>
        <v>Neutral</v>
      </c>
      <c r="S332">
        <f>survey_responses[[#This Row],[Tôi tin rằng với các quy định quản lý thuế hiện nay, hành vi gian lận hoặc trốn thuế sẽ dễ dàng bị phát hiện và xử lý nghiêm. - HUMAN-ENF1]]</f>
        <v>4</v>
      </c>
      <c r="T332" t="str">
        <f t="shared" si="136"/>
        <v>Oppose</v>
      </c>
      <c r="U332" s="32">
        <f t="shared" si="137"/>
        <v>2</v>
      </c>
      <c r="V332">
        <f>step3_validation[[#This Row],[AI_ENF2]]</f>
        <v>7</v>
      </c>
      <c r="W332" t="str">
        <f t="shared" si="138"/>
        <v>Neutral</v>
      </c>
      <c r="X332">
        <f>survey_responses[[#This Row],[Tôi tin rằng Nhà nước, cơ quan thuế có đủ khả năng và công nghệ để phát hiện, xử lý nghiêm các hành vi trốn thuế. - HUMAN-ENF2]]</f>
        <v>4</v>
      </c>
      <c r="Y332" t="str">
        <f t="shared" si="139"/>
        <v>Oppose</v>
      </c>
      <c r="Z332" s="32">
        <f t="shared" si="140"/>
        <v>3</v>
      </c>
      <c r="AA332">
        <f>step3_validation[[#This Row],[AI_FAC1]]</f>
        <v>8</v>
      </c>
      <c r="AB332" t="str">
        <f t="shared" si="141"/>
        <v>Support</v>
      </c>
      <c r="AC332">
        <f>survey_responses[[#This Row],[Các thủ tục khai báo thuế VÀ/HOẶC quy trình làm việc với cơ quan thuế đơn giản, tiện lợi, nhanh chóng hơn so với trước đây. - HUMAN-FAC1]]</f>
        <v>5</v>
      </c>
      <c r="AD332" t="str">
        <f t="shared" si="142"/>
        <v>Neutral</v>
      </c>
      <c r="AE332" s="32">
        <f t="shared" si="143"/>
        <v>3</v>
      </c>
      <c r="AF332">
        <f>step3_validation[[#This Row],[AI_FAC2]]</f>
        <v>9</v>
      </c>
      <c r="AG332" t="str">
        <f t="shared" si="144"/>
        <v>Support</v>
      </c>
      <c r="AH332">
        <f>survey_responses[[#This Row],[So với trước đây, tôi thấy cách tính thuế và các bậc thuế trong phương án mới đơn giản, dễ hiểu và dễ thực hiện hơn. - HUMAN-FAC2]]</f>
        <v>6</v>
      </c>
      <c r="AI332" t="str">
        <f t="shared" si="145"/>
        <v>Neutral</v>
      </c>
      <c r="AJ332" s="32">
        <f t="shared" si="146"/>
        <v>3</v>
      </c>
      <c r="AK332">
        <f>step3_validation[[#This Row],[AI_TRU1]]</f>
        <v>7</v>
      </c>
      <c r="AL332" t="str">
        <f t="shared" si="147"/>
        <v>Neutral</v>
      </c>
      <c r="AM332">
        <f>survey_responses[[#This Row],[Tôi tin rằng Nhà nước, cơ quan thuế sẽ thực thi chính sách mới một cách khách quan, công tâm và đối xử bình đẳng với mọi người nộp thuế.  - HUMAN-TRU1]]</f>
        <v>4</v>
      </c>
      <c r="AN332" t="str">
        <f t="shared" si="148"/>
        <v>Oppose</v>
      </c>
      <c r="AO332" s="32">
        <f t="shared" si="149"/>
        <v>3</v>
      </c>
      <c r="AP332">
        <f>step3_validation[[#This Row],[AI_TRU2]]</f>
        <v>6</v>
      </c>
      <c r="AQ332" t="str">
        <f t="shared" si="150"/>
        <v>Neutral</v>
      </c>
      <c r="AR332">
        <f>survey_responses[[#This Row],[Tôi thấy mức thuế tôi phải đóng theo phương án mới là công bằng (người thu nhập như tôi đóng mức này là hợp lý). - HUMAN-TRU2]]</f>
        <v>5</v>
      </c>
      <c r="AS332" t="str">
        <f t="shared" si="151"/>
        <v>Neutral</v>
      </c>
      <c r="AT332" s="32">
        <f t="shared" si="152"/>
        <v>1</v>
      </c>
      <c r="AU332">
        <f>step3_validation[[#This Row],[AI_TRU3]]</f>
        <v>5</v>
      </c>
      <c r="AV332" t="str">
        <f t="shared" si="153"/>
        <v>Neutral</v>
      </c>
      <c r="AW332">
        <f>survey_responses[[#This Row],[Tôi tin tưởng số tiền thuế tôi đóng sẽ được Nhà nước sử dụng hiệu quả để cải thiện dịch vụ công (y tế, đường xá...). - HUMAN-TRU3]]</f>
        <v>3</v>
      </c>
      <c r="AX332" t="str">
        <f t="shared" si="154"/>
        <v>Oppose</v>
      </c>
      <c r="AY332" s="32">
        <f t="shared" si="155"/>
        <v>2</v>
      </c>
      <c r="AZ332">
        <f>step3_validation[[#This Row],[AI_TRU4]]</f>
        <v>6</v>
      </c>
      <c r="BA332" t="str">
        <f t="shared" si="156"/>
        <v>Neutral</v>
      </c>
      <c r="BB332">
        <f>survey_responses[[#This Row],[Tôi thấy Nhà nước đã giải thích rõ ràng, minh bạch về lý do và mục tiêu của việc sửa đổi thuế lần này. - HUMAN-TRU4]]</f>
        <v>4</v>
      </c>
      <c r="BC332" t="str">
        <f t="shared" si="157"/>
        <v>Oppose</v>
      </c>
      <c r="BD332" s="32">
        <f t="shared" si="158"/>
        <v>2</v>
      </c>
      <c r="BE332">
        <f>step3_validation[[#This Row],[AI_OUT1]]</f>
        <v>8</v>
      </c>
      <c r="BF332" t="str">
        <f t="shared" si="159"/>
        <v>Support</v>
      </c>
      <c r="BG332">
        <f>survey_responses[[#This Row],[Sau khi xem xét các quyền lợi và nghĩa vụ, bạn có ủng hộ và tuân thủ chính sách mới hiện nay? - HUMAN-OUT1]]</f>
        <v>5</v>
      </c>
      <c r="BH332" t="str">
        <f t="shared" si="160"/>
        <v>Neutral</v>
      </c>
      <c r="BI332" s="32">
        <f t="shared" si="161"/>
        <v>3</v>
      </c>
    </row>
    <row r="333" spans="1:61" x14ac:dyDescent="0.45">
      <c r="A333" s="30">
        <f>step3_validation[[#This Row],[Persona_ID]]</f>
        <v>332</v>
      </c>
      <c r="B333" s="31">
        <f>step3_validation[[#This Row],[Used_Seed]]</f>
        <v>2322</v>
      </c>
      <c r="C333" t="str">
        <f>step3_validation[[#This Row],[Gender]]</f>
        <v>Nữ</v>
      </c>
      <c r="D333" t="str">
        <f>survey_responses[[#This Row],[Giới tính của bạn:]]</f>
        <v>Nữ</v>
      </c>
      <c r="E333" t="str">
        <f>step3_validation[[#This Row],[Age_Group]]</f>
        <v>18 - 24</v>
      </c>
      <c r="F333" t="str">
        <f>survey_responses[[#This Row],[Độ tuổi của bạn:]]</f>
        <v>18 - 24</v>
      </c>
      <c r="G333" t="str">
        <f>step3_validation[[#This Row],[Region]]</f>
        <v>Thành thị</v>
      </c>
      <c r="H333" t="str">
        <f>survey_responses[[#This Row],[Khu vực bạn đang sinh sống:]]</f>
        <v>Thành thị</v>
      </c>
      <c r="I333" t="str">
        <f>step3_validation[[#This Row],[Education]]</f>
        <v>Đại học</v>
      </c>
      <c r="J333" t="str">
        <f>survey_responses[[#This Row],[Trình độ học vấn cao nhất:]]</f>
        <v>Đại học</v>
      </c>
      <c r="K333" t="str">
        <f>step3_validation[[#This Row],[Employment]]</f>
        <v>Chính thức</v>
      </c>
      <c r="L333" t="str">
        <f>survey_responses[[#This Row],[Tình trạng việc làm chính:]]</f>
        <v>Khu vực chính thức (Có Hợp đồng lao động, đóng BHXH)</v>
      </c>
      <c r="M333">
        <f>step3_validation[[#This Row],[Income_Mil]]</f>
        <v>19.930764889106943</v>
      </c>
      <c r="N333" t="str">
        <f>survey_responses[[#This Row],[Thu nhập bình quân tháng theo Hợp đồng lao động của bạn là bao nhiêu? (Vui lòng điền tổng thu nhập trước khi khấu trừ các loại Bảo hiểm (BHXH, BHYT, BHTN) và Thuế TNCN)]]</f>
        <v>Từ 18 - 23 triệu VNĐ</v>
      </c>
      <c r="O333">
        <f>step3_validation[[#This Row],[Dependents]]</f>
        <v>0</v>
      </c>
      <c r="P333" t="str">
        <f>survey_responses[[#This Row],[Số người phụ thuộc (con nhỏ, cha mẹ già...) đủ điều kiện giảm trừ gia cảnh:]]</f>
        <v>0 người</v>
      </c>
      <c r="Q333">
        <f>step3_validation[[#This Row],[AI_ENF1]]</f>
        <v>7</v>
      </c>
      <c r="R333" t="str">
        <f t="shared" si="135"/>
        <v>Neutral</v>
      </c>
      <c r="S333">
        <f>survey_responses[[#This Row],[Tôi tin rằng với các quy định quản lý thuế hiện nay, hành vi gian lận hoặc trốn thuế sẽ dễ dàng bị phát hiện và xử lý nghiêm. - HUMAN-ENF1]]</f>
        <v>7</v>
      </c>
      <c r="T333" t="str">
        <f t="shared" si="136"/>
        <v>Neutral</v>
      </c>
      <c r="U333" s="32">
        <f t="shared" si="137"/>
        <v>0</v>
      </c>
      <c r="V333">
        <f>step3_validation[[#This Row],[AI_ENF2]]</f>
        <v>6</v>
      </c>
      <c r="W333" t="str">
        <f t="shared" si="138"/>
        <v>Neutral</v>
      </c>
      <c r="X333">
        <f>survey_responses[[#This Row],[Tôi tin rằng Nhà nước, cơ quan thuế có đủ khả năng và công nghệ để phát hiện, xử lý nghiêm các hành vi trốn thuế. - HUMAN-ENF2]]</f>
        <v>7</v>
      </c>
      <c r="Y333" t="str">
        <f t="shared" si="139"/>
        <v>Neutral</v>
      </c>
      <c r="Z333" s="32">
        <f t="shared" si="140"/>
        <v>1</v>
      </c>
      <c r="AA333">
        <f>step3_validation[[#This Row],[AI_FAC1]]</f>
        <v>8</v>
      </c>
      <c r="AB333" t="str">
        <f t="shared" si="141"/>
        <v>Support</v>
      </c>
      <c r="AC333">
        <f>survey_responses[[#This Row],[Các thủ tục khai báo thuế VÀ/HOẶC quy trình làm việc với cơ quan thuế đơn giản, tiện lợi, nhanh chóng hơn so với trước đây. - HUMAN-FAC1]]</f>
        <v>9</v>
      </c>
      <c r="AD333" t="str">
        <f t="shared" si="142"/>
        <v>Support</v>
      </c>
      <c r="AE333" s="32">
        <f t="shared" si="143"/>
        <v>1</v>
      </c>
      <c r="AF333">
        <f>step3_validation[[#This Row],[AI_FAC2]]</f>
        <v>9</v>
      </c>
      <c r="AG333" t="str">
        <f t="shared" si="144"/>
        <v>Support</v>
      </c>
      <c r="AH333">
        <f>survey_responses[[#This Row],[So với trước đây, tôi thấy cách tính thuế và các bậc thuế trong phương án mới đơn giản, dễ hiểu và dễ thực hiện hơn. - HUMAN-FAC2]]</f>
        <v>9</v>
      </c>
      <c r="AI333" t="str">
        <f t="shared" si="145"/>
        <v>Support</v>
      </c>
      <c r="AJ333" s="32">
        <f t="shared" si="146"/>
        <v>0</v>
      </c>
      <c r="AK333">
        <f>step3_validation[[#This Row],[AI_TRU1]]</f>
        <v>7</v>
      </c>
      <c r="AL333" t="str">
        <f t="shared" si="147"/>
        <v>Neutral</v>
      </c>
      <c r="AM333">
        <f>survey_responses[[#This Row],[Tôi tin rằng Nhà nước, cơ quan thuế sẽ thực thi chính sách mới một cách khách quan, công tâm và đối xử bình đẳng với mọi người nộp thuế.  - HUMAN-TRU1]]</f>
        <v>8</v>
      </c>
      <c r="AN333" t="str">
        <f t="shared" si="148"/>
        <v>Support</v>
      </c>
      <c r="AO333" s="32">
        <f t="shared" si="149"/>
        <v>1</v>
      </c>
      <c r="AP333">
        <f>step3_validation[[#This Row],[AI_TRU2]]</f>
        <v>8</v>
      </c>
      <c r="AQ333" t="str">
        <f t="shared" si="150"/>
        <v>Support</v>
      </c>
      <c r="AR333">
        <f>survey_responses[[#This Row],[Tôi thấy mức thuế tôi phải đóng theo phương án mới là công bằng (người thu nhập như tôi đóng mức này là hợp lý). - HUMAN-TRU2]]</f>
        <v>9</v>
      </c>
      <c r="AS333" t="str">
        <f t="shared" si="151"/>
        <v>Support</v>
      </c>
      <c r="AT333" s="32">
        <f t="shared" si="152"/>
        <v>1</v>
      </c>
      <c r="AU333">
        <f>step3_validation[[#This Row],[AI_TRU3]]</f>
        <v>7</v>
      </c>
      <c r="AV333" t="str">
        <f t="shared" si="153"/>
        <v>Neutral</v>
      </c>
      <c r="AW333">
        <f>survey_responses[[#This Row],[Tôi tin tưởng số tiền thuế tôi đóng sẽ được Nhà nước sử dụng hiệu quả để cải thiện dịch vụ công (y tế, đường xá...). - HUMAN-TRU3]]</f>
        <v>7</v>
      </c>
      <c r="AX333" t="str">
        <f t="shared" si="154"/>
        <v>Neutral</v>
      </c>
      <c r="AY333" s="32">
        <f t="shared" si="155"/>
        <v>0</v>
      </c>
      <c r="AZ333">
        <f>step3_validation[[#This Row],[AI_TRU4]]</f>
        <v>6</v>
      </c>
      <c r="BA333" t="str">
        <f t="shared" si="156"/>
        <v>Neutral</v>
      </c>
      <c r="BB333">
        <f>survey_responses[[#This Row],[Tôi thấy Nhà nước đã giải thích rõ ràng, minh bạch về lý do và mục tiêu của việc sửa đổi thuế lần này. - HUMAN-TRU4]]</f>
        <v>9</v>
      </c>
      <c r="BC333" t="str">
        <f t="shared" si="157"/>
        <v>Support</v>
      </c>
      <c r="BD333" s="32">
        <f t="shared" si="158"/>
        <v>3</v>
      </c>
      <c r="BE333">
        <f>step3_validation[[#This Row],[AI_OUT1]]</f>
        <v>9</v>
      </c>
      <c r="BF333" t="str">
        <f t="shared" si="159"/>
        <v>Support</v>
      </c>
      <c r="BG333">
        <f>survey_responses[[#This Row],[Sau khi xem xét các quyền lợi và nghĩa vụ, bạn có ủng hộ và tuân thủ chính sách mới hiện nay? - HUMAN-OUT1]]</f>
        <v>9</v>
      </c>
      <c r="BH333" t="str">
        <f t="shared" si="160"/>
        <v>Support</v>
      </c>
      <c r="BI333" s="32">
        <f t="shared" si="161"/>
        <v>0</v>
      </c>
    </row>
    <row r="334" spans="1:61" x14ac:dyDescent="0.45">
      <c r="A334" s="30">
        <f>step3_validation[[#This Row],[Persona_ID]]</f>
        <v>333</v>
      </c>
      <c r="B334" s="31">
        <f>step3_validation[[#This Row],[Used_Seed]]</f>
        <v>2323</v>
      </c>
      <c r="C334" t="str">
        <f>step3_validation[[#This Row],[Gender]]</f>
        <v>Nam</v>
      </c>
      <c r="D334" t="str">
        <f>survey_responses[[#This Row],[Giới tính của bạn:]]</f>
        <v>Nam</v>
      </c>
      <c r="E334" t="str">
        <f>step3_validation[[#This Row],[Age_Group]]</f>
        <v>40 - 49</v>
      </c>
      <c r="F334" t="str">
        <f>survey_responses[[#This Row],[Độ tuổi của bạn:]]</f>
        <v>40 - 49</v>
      </c>
      <c r="G334" t="str">
        <f>step3_validation[[#This Row],[Region]]</f>
        <v>Thành thị</v>
      </c>
      <c r="H334" t="str">
        <f>survey_responses[[#This Row],[Khu vực bạn đang sinh sống:]]</f>
        <v>Thành thị</v>
      </c>
      <c r="I334" t="str">
        <f>step3_validation[[#This Row],[Education]]</f>
        <v>Sau Đại học</v>
      </c>
      <c r="J334" t="str">
        <f>survey_responses[[#This Row],[Trình độ học vấn cao nhất:]]</f>
        <v>Sau Đại học</v>
      </c>
      <c r="K334" t="str">
        <f>step3_validation[[#This Row],[Employment]]</f>
        <v>Chính thức</v>
      </c>
      <c r="L334" t="str">
        <f>survey_responses[[#This Row],[Tình trạng việc làm chính:]]</f>
        <v>Khu vực chính thức (Có Hợp đồng lao động, đóng BHXH)</v>
      </c>
      <c r="M334">
        <f>step3_validation[[#This Row],[Income_Mil]]</f>
        <v>71.918773550044762</v>
      </c>
      <c r="N334" t="str">
        <f>survey_responses[[#This Row],[Thu nhập bình quân tháng theo Hợp đồng lao động của bạn là bao nhiêu? (Vui lòng điền tổng thu nhập trước khi khấu trừ các loại Bảo hiểm (BHXH, BHYT, BHTN) và Thuế TNCN)]]</f>
        <v>Từ 70 - 102 triệu VNĐ</v>
      </c>
      <c r="O334">
        <f>step3_validation[[#This Row],[Dependents]]</f>
        <v>1</v>
      </c>
      <c r="P334" t="str">
        <f>survey_responses[[#This Row],[Số người phụ thuộc (con nhỏ, cha mẹ già...) đủ điều kiện giảm trừ gia cảnh:]]</f>
        <v>1 người</v>
      </c>
      <c r="Q334">
        <f>step3_validation[[#This Row],[AI_ENF1]]</f>
        <v>7</v>
      </c>
      <c r="R334" t="str">
        <f t="shared" si="135"/>
        <v>Neutral</v>
      </c>
      <c r="S334">
        <f>survey_responses[[#This Row],[Tôi tin rằng với các quy định quản lý thuế hiện nay, hành vi gian lận hoặc trốn thuế sẽ dễ dàng bị phát hiện và xử lý nghiêm. - HUMAN-ENF1]]</f>
        <v>6</v>
      </c>
      <c r="T334" t="str">
        <f t="shared" si="136"/>
        <v>Neutral</v>
      </c>
      <c r="U334" s="32">
        <f t="shared" si="137"/>
        <v>1</v>
      </c>
      <c r="V334">
        <f>step3_validation[[#This Row],[AI_ENF2]]</f>
        <v>8</v>
      </c>
      <c r="W334" t="str">
        <f t="shared" si="138"/>
        <v>Support</v>
      </c>
      <c r="X334">
        <f>survey_responses[[#This Row],[Tôi tin rằng Nhà nước, cơ quan thuế có đủ khả năng và công nghệ để phát hiện, xử lý nghiêm các hành vi trốn thuế. - HUMAN-ENF2]]</f>
        <v>6</v>
      </c>
      <c r="Y334" t="str">
        <f t="shared" si="139"/>
        <v>Neutral</v>
      </c>
      <c r="Z334" s="32">
        <f t="shared" si="140"/>
        <v>2</v>
      </c>
      <c r="AA334">
        <f>step3_validation[[#This Row],[AI_FAC1]]</f>
        <v>6</v>
      </c>
      <c r="AB334" t="str">
        <f t="shared" si="141"/>
        <v>Neutral</v>
      </c>
      <c r="AC334">
        <f>survey_responses[[#This Row],[Các thủ tục khai báo thuế VÀ/HOẶC quy trình làm việc với cơ quan thuế đơn giản, tiện lợi, nhanh chóng hơn so với trước đây. - HUMAN-FAC1]]</f>
        <v>8</v>
      </c>
      <c r="AD334" t="str">
        <f t="shared" si="142"/>
        <v>Support</v>
      </c>
      <c r="AE334" s="32">
        <f t="shared" si="143"/>
        <v>2</v>
      </c>
      <c r="AF334">
        <f>step3_validation[[#This Row],[AI_FAC2]]</f>
        <v>7</v>
      </c>
      <c r="AG334" t="str">
        <f t="shared" si="144"/>
        <v>Neutral</v>
      </c>
      <c r="AH334">
        <f>survey_responses[[#This Row],[So với trước đây, tôi thấy cách tính thuế và các bậc thuế trong phương án mới đơn giản, dễ hiểu và dễ thực hiện hơn. - HUMAN-FAC2]]</f>
        <v>8</v>
      </c>
      <c r="AI334" t="str">
        <f t="shared" si="145"/>
        <v>Support</v>
      </c>
      <c r="AJ334" s="32">
        <f t="shared" si="146"/>
        <v>1</v>
      </c>
      <c r="AK334">
        <f>step3_validation[[#This Row],[AI_TRU1]]</f>
        <v>6</v>
      </c>
      <c r="AL334" t="str">
        <f t="shared" si="147"/>
        <v>Neutral</v>
      </c>
      <c r="AM334">
        <f>survey_responses[[#This Row],[Tôi tin rằng Nhà nước, cơ quan thuế sẽ thực thi chính sách mới một cách khách quan, công tâm và đối xử bình đẳng với mọi người nộp thuế.  - HUMAN-TRU1]]</f>
        <v>6</v>
      </c>
      <c r="AN334" t="str">
        <f t="shared" si="148"/>
        <v>Neutral</v>
      </c>
      <c r="AO334" s="32">
        <f t="shared" si="149"/>
        <v>0</v>
      </c>
      <c r="AP334">
        <f>step3_validation[[#This Row],[AI_TRU2]]</f>
        <v>5</v>
      </c>
      <c r="AQ334" t="str">
        <f t="shared" si="150"/>
        <v>Neutral</v>
      </c>
      <c r="AR334">
        <f>survey_responses[[#This Row],[Tôi thấy mức thuế tôi phải đóng theo phương án mới là công bằng (người thu nhập như tôi đóng mức này là hợp lý). - HUMAN-TRU2]]</f>
        <v>7</v>
      </c>
      <c r="AS334" t="str">
        <f t="shared" si="151"/>
        <v>Neutral</v>
      </c>
      <c r="AT334" s="32">
        <f t="shared" si="152"/>
        <v>2</v>
      </c>
      <c r="AU334">
        <f>step3_validation[[#This Row],[AI_TRU3]]</f>
        <v>6</v>
      </c>
      <c r="AV334" t="str">
        <f t="shared" si="153"/>
        <v>Neutral</v>
      </c>
      <c r="AW334">
        <f>survey_responses[[#This Row],[Tôi tin tưởng số tiền thuế tôi đóng sẽ được Nhà nước sử dụng hiệu quả để cải thiện dịch vụ công (y tế, đường xá...). - HUMAN-TRU3]]</f>
        <v>6</v>
      </c>
      <c r="AX334" t="str">
        <f t="shared" si="154"/>
        <v>Neutral</v>
      </c>
      <c r="AY334" s="32">
        <f t="shared" si="155"/>
        <v>0</v>
      </c>
      <c r="AZ334">
        <f>step3_validation[[#This Row],[AI_TRU4]]</f>
        <v>5</v>
      </c>
      <c r="BA334" t="str">
        <f t="shared" si="156"/>
        <v>Neutral</v>
      </c>
      <c r="BB334">
        <f>survey_responses[[#This Row],[Tôi thấy Nhà nước đã giải thích rõ ràng, minh bạch về lý do và mục tiêu của việc sửa đổi thuế lần này. - HUMAN-TRU4]]</f>
        <v>7</v>
      </c>
      <c r="BC334" t="str">
        <f t="shared" si="157"/>
        <v>Neutral</v>
      </c>
      <c r="BD334" s="32">
        <f t="shared" si="158"/>
        <v>2</v>
      </c>
      <c r="BE334">
        <f>step3_validation[[#This Row],[AI_OUT1]]</f>
        <v>5</v>
      </c>
      <c r="BF334" t="str">
        <f t="shared" si="159"/>
        <v>Neutral</v>
      </c>
      <c r="BG334">
        <f>survey_responses[[#This Row],[Sau khi xem xét các quyền lợi và nghĩa vụ, bạn có ủng hộ và tuân thủ chính sách mới hiện nay? - HUMAN-OUT1]]</f>
        <v>7</v>
      </c>
      <c r="BH334" t="str">
        <f t="shared" si="160"/>
        <v>Neutral</v>
      </c>
      <c r="BI334" s="32">
        <f t="shared" si="161"/>
        <v>2</v>
      </c>
    </row>
    <row r="335" spans="1:61" x14ac:dyDescent="0.45">
      <c r="A335" s="30">
        <f>step3_validation[[#This Row],[Persona_ID]]</f>
        <v>334</v>
      </c>
      <c r="B335" s="31">
        <f>step3_validation[[#This Row],[Used_Seed]]</f>
        <v>2324</v>
      </c>
      <c r="C335" t="str">
        <f>step3_validation[[#This Row],[Gender]]</f>
        <v>Nữ</v>
      </c>
      <c r="D335" t="str">
        <f>survey_responses[[#This Row],[Giới tính của bạn:]]</f>
        <v>Nữ</v>
      </c>
      <c r="E335" t="str">
        <f>step3_validation[[#This Row],[Age_Group]]</f>
        <v>50 - 54</v>
      </c>
      <c r="F335" t="str">
        <f>survey_responses[[#This Row],[Độ tuổi của bạn:]]</f>
        <v>50 - 54</v>
      </c>
      <c r="G335" t="str">
        <f>step3_validation[[#This Row],[Region]]</f>
        <v>Thành thị</v>
      </c>
      <c r="H335" t="str">
        <f>survey_responses[[#This Row],[Khu vực bạn đang sinh sống:]]</f>
        <v>Thành thị</v>
      </c>
      <c r="I335" t="str">
        <f>step3_validation[[#This Row],[Education]]</f>
        <v>Sau Đại học</v>
      </c>
      <c r="J335" t="str">
        <f>survey_responses[[#This Row],[Trình độ học vấn cao nhất:]]</f>
        <v>Sau Đại học</v>
      </c>
      <c r="K335" t="str">
        <f>step3_validation[[#This Row],[Employment]]</f>
        <v>Phi chính thức</v>
      </c>
      <c r="L335" t="str">
        <f>survey_responses[[#This Row],[Tình trạng việc làm chính:]]</f>
        <v>Khu vực phi chính thức (Lao động tự do, không có HĐLĐ)</v>
      </c>
      <c r="M335">
        <f>step3_validation[[#This Row],[Income_Mil]]</f>
        <v>234.60689954896262</v>
      </c>
      <c r="N335" t="str">
        <f>survey_responses[[#This Row],[Thu nhập bình quân tháng theo Hợp đồng lao động của bạn là bao nhiêu? (Vui lòng điền tổng thu nhập trước khi khấu trừ các loại Bảo hiểm (BHXH, BHYT, BHTN) và Thuế TNCN)]]</f>
        <v>Trên 102 triệu VNĐ</v>
      </c>
      <c r="O335">
        <f>step3_validation[[#This Row],[Dependents]]</f>
        <v>3</v>
      </c>
      <c r="P335" t="str">
        <f>survey_responses[[#This Row],[Số người phụ thuộc (con nhỏ, cha mẹ già...) đủ điều kiện giảm trừ gia cảnh:]]</f>
        <v>3 người</v>
      </c>
      <c r="Q335">
        <f>step3_validation[[#This Row],[AI_ENF1]]</f>
        <v>7</v>
      </c>
      <c r="R335" t="str">
        <f t="shared" si="135"/>
        <v>Neutral</v>
      </c>
      <c r="S335">
        <f>survey_responses[[#This Row],[Tôi tin rằng với các quy định quản lý thuế hiện nay, hành vi gian lận hoặc trốn thuế sẽ dễ dàng bị phát hiện và xử lý nghiêm. - HUMAN-ENF1]]</f>
        <v>2</v>
      </c>
      <c r="T335" t="str">
        <f t="shared" si="136"/>
        <v>Oppose</v>
      </c>
      <c r="U335" s="32">
        <f t="shared" si="137"/>
        <v>5</v>
      </c>
      <c r="V335">
        <f>step3_validation[[#This Row],[AI_ENF2]]</f>
        <v>8</v>
      </c>
      <c r="W335" t="str">
        <f t="shared" si="138"/>
        <v>Support</v>
      </c>
      <c r="X335">
        <f>survey_responses[[#This Row],[Tôi tin rằng Nhà nước, cơ quan thuế có đủ khả năng và công nghệ để phát hiện, xử lý nghiêm các hành vi trốn thuế. - HUMAN-ENF2]]</f>
        <v>2</v>
      </c>
      <c r="Y335" t="str">
        <f t="shared" si="139"/>
        <v>Oppose</v>
      </c>
      <c r="Z335" s="32">
        <f t="shared" si="140"/>
        <v>6</v>
      </c>
      <c r="AA335">
        <f>step3_validation[[#This Row],[AI_FAC1]]</f>
        <v>9</v>
      </c>
      <c r="AB335" t="str">
        <f t="shared" si="141"/>
        <v>Support</v>
      </c>
      <c r="AC335">
        <f>survey_responses[[#This Row],[Các thủ tục khai báo thuế VÀ/HOẶC quy trình làm việc với cơ quan thuế đơn giản, tiện lợi, nhanh chóng hơn so với trước đây. - HUMAN-FAC1]]</f>
        <v>3</v>
      </c>
      <c r="AD335" t="str">
        <f t="shared" si="142"/>
        <v>Oppose</v>
      </c>
      <c r="AE335" s="32">
        <f t="shared" si="143"/>
        <v>6</v>
      </c>
      <c r="AF335">
        <f>step3_validation[[#This Row],[AI_FAC2]]</f>
        <v>8</v>
      </c>
      <c r="AG335" t="str">
        <f t="shared" si="144"/>
        <v>Support</v>
      </c>
      <c r="AH335">
        <f>survey_responses[[#This Row],[So với trước đây, tôi thấy cách tính thuế và các bậc thuế trong phương án mới đơn giản, dễ hiểu và dễ thực hiện hơn. - HUMAN-FAC2]]</f>
        <v>5</v>
      </c>
      <c r="AI335" t="str">
        <f t="shared" si="145"/>
        <v>Neutral</v>
      </c>
      <c r="AJ335" s="32">
        <f t="shared" si="146"/>
        <v>3</v>
      </c>
      <c r="AK335">
        <f>step3_validation[[#This Row],[AI_TRU1]]</f>
        <v>7</v>
      </c>
      <c r="AL335" t="str">
        <f t="shared" si="147"/>
        <v>Neutral</v>
      </c>
      <c r="AM335">
        <f>survey_responses[[#This Row],[Tôi tin rằng Nhà nước, cơ quan thuế sẽ thực thi chính sách mới một cách khách quan, công tâm và đối xử bình đẳng với mọi người nộp thuế.  - HUMAN-TRU1]]</f>
        <v>1</v>
      </c>
      <c r="AN335" t="str">
        <f t="shared" si="148"/>
        <v>Oppose</v>
      </c>
      <c r="AO335" s="32">
        <f t="shared" si="149"/>
        <v>6</v>
      </c>
      <c r="AP335">
        <f>step3_validation[[#This Row],[AI_TRU2]]</f>
        <v>6</v>
      </c>
      <c r="AQ335" t="str">
        <f t="shared" si="150"/>
        <v>Neutral</v>
      </c>
      <c r="AR335">
        <f>survey_responses[[#This Row],[Tôi thấy mức thuế tôi phải đóng theo phương án mới là công bằng (người thu nhập như tôi đóng mức này là hợp lý). - HUMAN-TRU2]]</f>
        <v>1</v>
      </c>
      <c r="AS335" t="str">
        <f t="shared" si="151"/>
        <v>Oppose</v>
      </c>
      <c r="AT335" s="32">
        <f t="shared" si="152"/>
        <v>5</v>
      </c>
      <c r="AU335">
        <f>step3_validation[[#This Row],[AI_TRU3]]</f>
        <v>5</v>
      </c>
      <c r="AV335" t="str">
        <f t="shared" si="153"/>
        <v>Neutral</v>
      </c>
      <c r="AW335">
        <f>survey_responses[[#This Row],[Tôi tin tưởng số tiền thuế tôi đóng sẽ được Nhà nước sử dụng hiệu quả để cải thiện dịch vụ công (y tế, đường xá...). - HUMAN-TRU3]]</f>
        <v>1</v>
      </c>
      <c r="AX335" t="str">
        <f t="shared" si="154"/>
        <v>Oppose</v>
      </c>
      <c r="AY335" s="32">
        <f t="shared" si="155"/>
        <v>4</v>
      </c>
      <c r="AZ335">
        <f>step3_validation[[#This Row],[AI_TRU4]]</f>
        <v>6</v>
      </c>
      <c r="BA335" t="str">
        <f t="shared" si="156"/>
        <v>Neutral</v>
      </c>
      <c r="BB335">
        <f>survey_responses[[#This Row],[Tôi thấy Nhà nước đã giải thích rõ ràng, minh bạch về lý do và mục tiêu của việc sửa đổi thuế lần này. - HUMAN-TRU4]]</f>
        <v>3</v>
      </c>
      <c r="BC335" t="str">
        <f t="shared" si="157"/>
        <v>Oppose</v>
      </c>
      <c r="BD335" s="32">
        <f t="shared" si="158"/>
        <v>3</v>
      </c>
      <c r="BE335">
        <f>step3_validation[[#This Row],[AI_OUT1]]</f>
        <v>7</v>
      </c>
      <c r="BF335" t="str">
        <f t="shared" si="159"/>
        <v>Neutral</v>
      </c>
      <c r="BG335">
        <f>survey_responses[[#This Row],[Sau khi xem xét các quyền lợi và nghĩa vụ, bạn có ủng hộ và tuân thủ chính sách mới hiện nay? - HUMAN-OUT1]]</f>
        <v>1</v>
      </c>
      <c r="BH335" t="str">
        <f t="shared" si="160"/>
        <v>Oppose</v>
      </c>
      <c r="BI335" s="32">
        <f t="shared" si="161"/>
        <v>6</v>
      </c>
    </row>
    <row r="336" spans="1:61" x14ac:dyDescent="0.45">
      <c r="A336" s="30">
        <f>step3_validation[[#This Row],[Persona_ID]]</f>
        <v>335</v>
      </c>
      <c r="B336" s="31">
        <f>step3_validation[[#This Row],[Used_Seed]]</f>
        <v>2325</v>
      </c>
      <c r="C336" t="str">
        <f>step3_validation[[#This Row],[Gender]]</f>
        <v>Nam</v>
      </c>
      <c r="D336" t="str">
        <f>survey_responses[[#This Row],[Giới tính của bạn:]]</f>
        <v>Nam</v>
      </c>
      <c r="E336" t="str">
        <f>step3_validation[[#This Row],[Age_Group]]</f>
        <v>18 - 24</v>
      </c>
      <c r="F336" t="str">
        <f>survey_responses[[#This Row],[Độ tuổi của bạn:]]</f>
        <v>18 - 24</v>
      </c>
      <c r="G336" t="str">
        <f>step3_validation[[#This Row],[Region]]</f>
        <v>Thành thị</v>
      </c>
      <c r="H336" t="str">
        <f>survey_responses[[#This Row],[Khu vực bạn đang sinh sống:]]</f>
        <v>Thành thị</v>
      </c>
      <c r="I336" t="str">
        <f>step3_validation[[#This Row],[Education]]</f>
        <v>Đại học</v>
      </c>
      <c r="J336" t="str">
        <f>survey_responses[[#This Row],[Trình độ học vấn cao nhất:]]</f>
        <v>Đại học</v>
      </c>
      <c r="K336" t="str">
        <f>step3_validation[[#This Row],[Employment]]</f>
        <v>Chính thức</v>
      </c>
      <c r="L336" t="str">
        <f>survey_responses[[#This Row],[Tình trạng việc làm chính:]]</f>
        <v>Khu vực chính thức (Có Hợp đồng lao động, đóng BHXH)</v>
      </c>
      <c r="M336">
        <f>step3_validation[[#This Row],[Income_Mil]]</f>
        <v>16.434566267830931</v>
      </c>
      <c r="N336" t="str">
        <f>survey_responses[[#This Row],[Thu nhập bình quân tháng theo Hợp đồng lao động của bạn là bao nhiêu? (Vui lòng điền tổng thu nhập trước khi khấu trừ các loại Bảo hiểm (BHXH, BHYT, BHTN) và Thuế TNCN)]]</f>
        <v>Từ 12 - 18 triệu VNĐ</v>
      </c>
      <c r="O336">
        <f>step3_validation[[#This Row],[Dependents]]</f>
        <v>0</v>
      </c>
      <c r="P336" t="str">
        <f>survey_responses[[#This Row],[Số người phụ thuộc (con nhỏ, cha mẹ già...) đủ điều kiện giảm trừ gia cảnh:]]</f>
        <v>0 người</v>
      </c>
      <c r="Q336">
        <f>step3_validation[[#This Row],[AI_ENF1]]</f>
        <v>8</v>
      </c>
      <c r="R336" t="str">
        <f t="shared" si="135"/>
        <v>Support</v>
      </c>
      <c r="S336">
        <f>survey_responses[[#This Row],[Tôi tin rằng với các quy định quản lý thuế hiện nay, hành vi gian lận hoặc trốn thuế sẽ dễ dàng bị phát hiện và xử lý nghiêm. - HUMAN-ENF1]]</f>
        <v>7</v>
      </c>
      <c r="T336" t="str">
        <f t="shared" si="136"/>
        <v>Neutral</v>
      </c>
      <c r="U336" s="32">
        <f t="shared" si="137"/>
        <v>1</v>
      </c>
      <c r="V336">
        <f>step3_validation[[#This Row],[AI_ENF2]]</f>
        <v>7</v>
      </c>
      <c r="W336" t="str">
        <f t="shared" si="138"/>
        <v>Neutral</v>
      </c>
      <c r="X336">
        <f>survey_responses[[#This Row],[Tôi tin rằng Nhà nước, cơ quan thuế có đủ khả năng và công nghệ để phát hiện, xử lý nghiêm các hành vi trốn thuế. - HUMAN-ENF2]]</f>
        <v>7</v>
      </c>
      <c r="Y336" t="str">
        <f t="shared" si="139"/>
        <v>Neutral</v>
      </c>
      <c r="Z336" s="32">
        <f t="shared" si="140"/>
        <v>0</v>
      </c>
      <c r="AA336">
        <f>step3_validation[[#This Row],[AI_FAC1]]</f>
        <v>9</v>
      </c>
      <c r="AB336" t="str">
        <f t="shared" si="141"/>
        <v>Support</v>
      </c>
      <c r="AC336">
        <f>survey_responses[[#This Row],[Các thủ tục khai báo thuế VÀ/HOẶC quy trình làm việc với cơ quan thuế đơn giản, tiện lợi, nhanh chóng hơn so với trước đây. - HUMAN-FAC1]]</f>
        <v>8</v>
      </c>
      <c r="AD336" t="str">
        <f t="shared" si="142"/>
        <v>Support</v>
      </c>
      <c r="AE336" s="32">
        <f t="shared" si="143"/>
        <v>1</v>
      </c>
      <c r="AF336">
        <f>step3_validation[[#This Row],[AI_FAC2]]</f>
        <v>8</v>
      </c>
      <c r="AG336" t="str">
        <f t="shared" si="144"/>
        <v>Support</v>
      </c>
      <c r="AH336">
        <f>survey_responses[[#This Row],[So với trước đây, tôi thấy cách tính thuế và các bậc thuế trong phương án mới đơn giản, dễ hiểu và dễ thực hiện hơn. - HUMAN-FAC2]]</f>
        <v>10</v>
      </c>
      <c r="AI336" t="str">
        <f t="shared" si="145"/>
        <v>Support</v>
      </c>
      <c r="AJ336" s="32">
        <f t="shared" si="146"/>
        <v>2</v>
      </c>
      <c r="AK336">
        <f>step3_validation[[#This Row],[AI_TRU1]]</f>
        <v>7</v>
      </c>
      <c r="AL336" t="str">
        <f t="shared" si="147"/>
        <v>Neutral</v>
      </c>
      <c r="AM336">
        <f>survey_responses[[#This Row],[Tôi tin rằng Nhà nước, cơ quan thuế sẽ thực thi chính sách mới một cách khách quan, công tâm và đối xử bình đẳng với mọi người nộp thuế.  - HUMAN-TRU1]]</f>
        <v>9</v>
      </c>
      <c r="AN336" t="str">
        <f t="shared" si="148"/>
        <v>Support</v>
      </c>
      <c r="AO336" s="32">
        <f t="shared" si="149"/>
        <v>2</v>
      </c>
      <c r="AP336">
        <f>step3_validation[[#This Row],[AI_TRU2]]</f>
        <v>6</v>
      </c>
      <c r="AQ336" t="str">
        <f t="shared" si="150"/>
        <v>Neutral</v>
      </c>
      <c r="AR336">
        <f>survey_responses[[#This Row],[Tôi thấy mức thuế tôi phải đóng theo phương án mới là công bằng (người thu nhập như tôi đóng mức này là hợp lý). - HUMAN-TRU2]]</f>
        <v>10</v>
      </c>
      <c r="AS336" t="str">
        <f t="shared" si="151"/>
        <v>Support</v>
      </c>
      <c r="AT336" s="32">
        <f t="shared" si="152"/>
        <v>4</v>
      </c>
      <c r="AU336">
        <f>step3_validation[[#This Row],[AI_TRU3]]</f>
        <v>7</v>
      </c>
      <c r="AV336" t="str">
        <f t="shared" si="153"/>
        <v>Neutral</v>
      </c>
      <c r="AW336">
        <f>survey_responses[[#This Row],[Tôi tin tưởng số tiền thuế tôi đóng sẽ được Nhà nước sử dụng hiệu quả để cải thiện dịch vụ công (y tế, đường xá...). - HUMAN-TRU3]]</f>
        <v>8</v>
      </c>
      <c r="AX336" t="str">
        <f t="shared" si="154"/>
        <v>Support</v>
      </c>
      <c r="AY336" s="32">
        <f t="shared" si="155"/>
        <v>1</v>
      </c>
      <c r="AZ336">
        <f>step3_validation[[#This Row],[AI_TRU4]]</f>
        <v>5</v>
      </c>
      <c r="BA336" t="str">
        <f t="shared" si="156"/>
        <v>Neutral</v>
      </c>
      <c r="BB336">
        <f>survey_responses[[#This Row],[Tôi thấy Nhà nước đã giải thích rõ ràng, minh bạch về lý do và mục tiêu của việc sửa đổi thuế lần này. - HUMAN-TRU4]]</f>
        <v>8</v>
      </c>
      <c r="BC336" t="str">
        <f t="shared" si="157"/>
        <v>Support</v>
      </c>
      <c r="BD336" s="32">
        <f t="shared" si="158"/>
        <v>3</v>
      </c>
      <c r="BE336">
        <f>step3_validation[[#This Row],[AI_OUT1]]</f>
        <v>6</v>
      </c>
      <c r="BF336" t="str">
        <f t="shared" si="159"/>
        <v>Neutral</v>
      </c>
      <c r="BG336">
        <f>survey_responses[[#This Row],[Sau khi xem xét các quyền lợi và nghĩa vụ, bạn có ủng hộ và tuân thủ chính sách mới hiện nay? - HUMAN-OUT1]]</f>
        <v>10</v>
      </c>
      <c r="BH336" t="str">
        <f t="shared" si="160"/>
        <v>Support</v>
      </c>
      <c r="BI336" s="32">
        <f t="shared" si="161"/>
        <v>4</v>
      </c>
    </row>
    <row r="337" spans="1:61" x14ac:dyDescent="0.45">
      <c r="A337" s="30">
        <f>step3_validation[[#This Row],[Persona_ID]]</f>
        <v>336</v>
      </c>
      <c r="B337" s="31">
        <f>step3_validation[[#This Row],[Used_Seed]]</f>
        <v>2326</v>
      </c>
      <c r="C337" t="str">
        <f>step3_validation[[#This Row],[Gender]]</f>
        <v>Nữ</v>
      </c>
      <c r="D337" t="str">
        <f>survey_responses[[#This Row],[Giới tính của bạn:]]</f>
        <v>Nữ</v>
      </c>
      <c r="E337" t="str">
        <f>step3_validation[[#This Row],[Age_Group]]</f>
        <v>25 - 29</v>
      </c>
      <c r="F337" t="str">
        <f>survey_responses[[#This Row],[Độ tuổi của bạn:]]</f>
        <v>25 - 29</v>
      </c>
      <c r="G337" t="str">
        <f>step3_validation[[#This Row],[Region]]</f>
        <v>Thành thị</v>
      </c>
      <c r="H337" t="str">
        <f>survey_responses[[#This Row],[Khu vực bạn đang sinh sống:]]</f>
        <v>Thành thị</v>
      </c>
      <c r="I337" t="str">
        <f>step3_validation[[#This Row],[Education]]</f>
        <v>Đại học</v>
      </c>
      <c r="J337" t="str">
        <f>survey_responses[[#This Row],[Trình độ học vấn cao nhất:]]</f>
        <v>Đại học</v>
      </c>
      <c r="K337" t="str">
        <f>step3_validation[[#This Row],[Employment]]</f>
        <v>Chính thức</v>
      </c>
      <c r="L337" t="str">
        <f>survey_responses[[#This Row],[Tình trạng việc làm chính:]]</f>
        <v>Khu vực chính thức (Có Hợp đồng lao động, đóng BHXH)</v>
      </c>
      <c r="M337">
        <f>step3_validation[[#This Row],[Income_Mil]]</f>
        <v>21.539914408558545</v>
      </c>
      <c r="N337" t="str">
        <f>survey_responses[[#This Row],[Thu nhập bình quân tháng theo Hợp đồng lao động của bạn là bao nhiêu? (Vui lòng điền tổng thu nhập trước khi khấu trừ các loại Bảo hiểm (BHXH, BHYT, BHTN) và Thuế TNCN)]]</f>
        <v>Từ 18 - 23 triệu VNĐ</v>
      </c>
      <c r="O337">
        <f>step3_validation[[#This Row],[Dependents]]</f>
        <v>0</v>
      </c>
      <c r="P337" t="str">
        <f>survey_responses[[#This Row],[Số người phụ thuộc (con nhỏ, cha mẹ già...) đủ điều kiện giảm trừ gia cảnh:]]</f>
        <v>0 người</v>
      </c>
      <c r="Q337">
        <f>step3_validation[[#This Row],[AI_ENF1]]</f>
        <v>5</v>
      </c>
      <c r="R337" t="str">
        <f t="shared" si="135"/>
        <v>Neutral</v>
      </c>
      <c r="S337">
        <f>survey_responses[[#This Row],[Tôi tin rằng với các quy định quản lý thuế hiện nay, hành vi gian lận hoặc trốn thuế sẽ dễ dàng bị phát hiện và xử lý nghiêm. - HUMAN-ENF1]]</f>
        <v>4</v>
      </c>
      <c r="T337" t="str">
        <f t="shared" si="136"/>
        <v>Oppose</v>
      </c>
      <c r="U337" s="32">
        <f t="shared" si="137"/>
        <v>1</v>
      </c>
      <c r="V337">
        <f>step3_validation[[#This Row],[AI_ENF2]]</f>
        <v>6</v>
      </c>
      <c r="W337" t="str">
        <f t="shared" si="138"/>
        <v>Neutral</v>
      </c>
      <c r="X337">
        <f>survey_responses[[#This Row],[Tôi tin rằng Nhà nước, cơ quan thuế có đủ khả năng và công nghệ để phát hiện, xử lý nghiêm các hành vi trốn thuế. - HUMAN-ENF2]]</f>
        <v>5</v>
      </c>
      <c r="Y337" t="str">
        <f t="shared" si="139"/>
        <v>Neutral</v>
      </c>
      <c r="Z337" s="32">
        <f t="shared" si="140"/>
        <v>1</v>
      </c>
      <c r="AA337">
        <f>step3_validation[[#This Row],[AI_FAC1]]</f>
        <v>4</v>
      </c>
      <c r="AB337" t="str">
        <f t="shared" si="141"/>
        <v>Oppose</v>
      </c>
      <c r="AC337">
        <f>survey_responses[[#This Row],[Các thủ tục khai báo thuế VÀ/HOẶC quy trình làm việc với cơ quan thuế đơn giản, tiện lợi, nhanh chóng hơn so với trước đây. - HUMAN-FAC1]]</f>
        <v>5</v>
      </c>
      <c r="AD337" t="str">
        <f t="shared" si="142"/>
        <v>Neutral</v>
      </c>
      <c r="AE337" s="32">
        <f t="shared" si="143"/>
        <v>1</v>
      </c>
      <c r="AF337">
        <f>step3_validation[[#This Row],[AI_FAC2]]</f>
        <v>8</v>
      </c>
      <c r="AG337" t="str">
        <f t="shared" si="144"/>
        <v>Support</v>
      </c>
      <c r="AH337">
        <f>survey_responses[[#This Row],[So với trước đây, tôi thấy cách tính thuế và các bậc thuế trong phương án mới đơn giản, dễ hiểu và dễ thực hiện hơn. - HUMAN-FAC2]]</f>
        <v>6</v>
      </c>
      <c r="AI337" t="str">
        <f t="shared" si="145"/>
        <v>Neutral</v>
      </c>
      <c r="AJ337" s="32">
        <f t="shared" si="146"/>
        <v>2</v>
      </c>
      <c r="AK337">
        <f>step3_validation[[#This Row],[AI_TRU1]]</f>
        <v>5</v>
      </c>
      <c r="AL337" t="str">
        <f t="shared" si="147"/>
        <v>Neutral</v>
      </c>
      <c r="AM337">
        <f>survey_responses[[#This Row],[Tôi tin rằng Nhà nước, cơ quan thuế sẽ thực thi chính sách mới một cách khách quan, công tâm và đối xử bình đẳng với mọi người nộp thuế.  - HUMAN-TRU1]]</f>
        <v>5</v>
      </c>
      <c r="AN337" t="str">
        <f t="shared" si="148"/>
        <v>Neutral</v>
      </c>
      <c r="AO337" s="32">
        <f t="shared" si="149"/>
        <v>0</v>
      </c>
      <c r="AP337">
        <f>step3_validation[[#This Row],[AI_TRU2]]</f>
        <v>7</v>
      </c>
      <c r="AQ337" t="str">
        <f t="shared" si="150"/>
        <v>Neutral</v>
      </c>
      <c r="AR337">
        <f>survey_responses[[#This Row],[Tôi thấy mức thuế tôi phải đóng theo phương án mới là công bằng (người thu nhập như tôi đóng mức này là hợp lý). - HUMAN-TRU2]]</f>
        <v>6</v>
      </c>
      <c r="AS337" t="str">
        <f t="shared" si="151"/>
        <v>Neutral</v>
      </c>
      <c r="AT337" s="32">
        <f t="shared" si="152"/>
        <v>1</v>
      </c>
      <c r="AU337">
        <f>step3_validation[[#This Row],[AI_TRU3]]</f>
        <v>6</v>
      </c>
      <c r="AV337" t="str">
        <f t="shared" si="153"/>
        <v>Neutral</v>
      </c>
      <c r="AW337">
        <f>survey_responses[[#This Row],[Tôi tin tưởng số tiền thuế tôi đóng sẽ được Nhà nước sử dụng hiệu quả để cải thiện dịch vụ công (y tế, đường xá...). - HUMAN-TRU3]]</f>
        <v>5</v>
      </c>
      <c r="AX337" t="str">
        <f t="shared" si="154"/>
        <v>Neutral</v>
      </c>
      <c r="AY337" s="32">
        <f t="shared" si="155"/>
        <v>1</v>
      </c>
      <c r="AZ337">
        <f>step3_validation[[#This Row],[AI_TRU4]]</f>
        <v>5</v>
      </c>
      <c r="BA337" t="str">
        <f t="shared" si="156"/>
        <v>Neutral</v>
      </c>
      <c r="BB337">
        <f>survey_responses[[#This Row],[Tôi thấy Nhà nước đã giải thích rõ ràng, minh bạch về lý do và mục tiêu của việc sửa đổi thuế lần này. - HUMAN-TRU4]]</f>
        <v>5</v>
      </c>
      <c r="BC337" t="str">
        <f t="shared" si="157"/>
        <v>Neutral</v>
      </c>
      <c r="BD337" s="32">
        <f t="shared" si="158"/>
        <v>0</v>
      </c>
      <c r="BE337">
        <f>step3_validation[[#This Row],[AI_OUT1]]</f>
        <v>6</v>
      </c>
      <c r="BF337" t="str">
        <f t="shared" si="159"/>
        <v>Neutral</v>
      </c>
      <c r="BG337">
        <f>survey_responses[[#This Row],[Sau khi xem xét các quyền lợi và nghĩa vụ, bạn có ủng hộ và tuân thủ chính sách mới hiện nay? - HUMAN-OUT1]]</f>
        <v>6</v>
      </c>
      <c r="BH337" t="str">
        <f t="shared" si="160"/>
        <v>Neutral</v>
      </c>
      <c r="BI337" s="32">
        <f t="shared" si="161"/>
        <v>0</v>
      </c>
    </row>
    <row r="338" spans="1:61" x14ac:dyDescent="0.45">
      <c r="A338" s="30">
        <f>step3_validation[[#This Row],[Persona_ID]]</f>
        <v>337</v>
      </c>
      <c r="B338" s="31">
        <f>step3_validation[[#This Row],[Used_Seed]]</f>
        <v>2327</v>
      </c>
      <c r="C338" t="str">
        <f>step3_validation[[#This Row],[Gender]]</f>
        <v>Nam</v>
      </c>
      <c r="D338" t="str">
        <f>survey_responses[[#This Row],[Giới tính của bạn:]]</f>
        <v>Nam</v>
      </c>
      <c r="E338" t="str">
        <f>step3_validation[[#This Row],[Age_Group]]</f>
        <v>30 - 39</v>
      </c>
      <c r="F338" t="str">
        <f>survey_responses[[#This Row],[Độ tuổi của bạn:]]</f>
        <v>30 - 39</v>
      </c>
      <c r="G338" t="str">
        <f>step3_validation[[#This Row],[Region]]</f>
        <v>Thành thị</v>
      </c>
      <c r="H338" t="str">
        <f>survey_responses[[#This Row],[Khu vực bạn đang sinh sống:]]</f>
        <v>Thành thị</v>
      </c>
      <c r="I338" t="str">
        <f>step3_validation[[#This Row],[Education]]</f>
        <v>Đại học</v>
      </c>
      <c r="J338" t="str">
        <f>survey_responses[[#This Row],[Trình độ học vấn cao nhất:]]</f>
        <v>Đại học</v>
      </c>
      <c r="K338" t="str">
        <f>step3_validation[[#This Row],[Employment]]</f>
        <v>Chính thức</v>
      </c>
      <c r="L338" t="str">
        <f>survey_responses[[#This Row],[Tình trạng việc làm chính:]]</f>
        <v>Khu vực chính thức (Có Hợp đồng lao động, đóng BHXH)</v>
      </c>
      <c r="M338">
        <f>step3_validation[[#This Row],[Income_Mil]]</f>
        <v>28.625944835947372</v>
      </c>
      <c r="N338" t="str">
        <f>survey_responses[[#This Row],[Thu nhập bình quân tháng theo Hợp đồng lao động của bạn là bao nhiêu? (Vui lòng điền tổng thu nhập trước khi khấu trừ các loại Bảo hiểm (BHXH, BHYT, BHTN) và Thuế TNCN)]]</f>
        <v>Từ 23 - 32 triệu VNĐ</v>
      </c>
      <c r="O338">
        <f>step3_validation[[#This Row],[Dependents]]</f>
        <v>0</v>
      </c>
      <c r="P338" t="str">
        <f>survey_responses[[#This Row],[Số người phụ thuộc (con nhỏ, cha mẹ già...) đủ điều kiện giảm trừ gia cảnh:]]</f>
        <v>0 người</v>
      </c>
      <c r="Q338">
        <f>step3_validation[[#This Row],[AI_ENF1]]</f>
        <v>8</v>
      </c>
      <c r="R338" t="str">
        <f t="shared" si="135"/>
        <v>Support</v>
      </c>
      <c r="S338">
        <f>survey_responses[[#This Row],[Tôi tin rằng với các quy định quản lý thuế hiện nay, hành vi gian lận hoặc trốn thuế sẽ dễ dàng bị phát hiện và xử lý nghiêm. - HUMAN-ENF1]]</f>
        <v>7</v>
      </c>
      <c r="T338" t="str">
        <f t="shared" si="136"/>
        <v>Neutral</v>
      </c>
      <c r="U338" s="32">
        <f t="shared" si="137"/>
        <v>1</v>
      </c>
      <c r="V338">
        <f>step3_validation[[#This Row],[AI_ENF2]]</f>
        <v>9</v>
      </c>
      <c r="W338" t="str">
        <f t="shared" si="138"/>
        <v>Support</v>
      </c>
      <c r="X338">
        <f>survey_responses[[#This Row],[Tôi tin rằng Nhà nước, cơ quan thuế có đủ khả năng và công nghệ để phát hiện, xử lý nghiêm các hành vi trốn thuế. - HUMAN-ENF2]]</f>
        <v>8</v>
      </c>
      <c r="Y338" t="str">
        <f t="shared" si="139"/>
        <v>Support</v>
      </c>
      <c r="Z338" s="32">
        <f t="shared" si="140"/>
        <v>1</v>
      </c>
      <c r="AA338">
        <f>step3_validation[[#This Row],[AI_FAC1]]</f>
        <v>7</v>
      </c>
      <c r="AB338" t="str">
        <f t="shared" si="141"/>
        <v>Neutral</v>
      </c>
      <c r="AC338">
        <f>survey_responses[[#This Row],[Các thủ tục khai báo thuế VÀ/HOẶC quy trình làm việc với cơ quan thuế đơn giản, tiện lợi, nhanh chóng hơn so với trước đây. - HUMAN-FAC1]]</f>
        <v>7</v>
      </c>
      <c r="AD338" t="str">
        <f t="shared" si="142"/>
        <v>Neutral</v>
      </c>
      <c r="AE338" s="32">
        <f t="shared" si="143"/>
        <v>0</v>
      </c>
      <c r="AF338">
        <f>step3_validation[[#This Row],[AI_FAC2]]</f>
        <v>8</v>
      </c>
      <c r="AG338" t="str">
        <f t="shared" si="144"/>
        <v>Support</v>
      </c>
      <c r="AH338">
        <f>survey_responses[[#This Row],[So với trước đây, tôi thấy cách tính thuế và các bậc thuế trong phương án mới đơn giản, dễ hiểu và dễ thực hiện hơn. - HUMAN-FAC2]]</f>
        <v>7</v>
      </c>
      <c r="AI338" t="str">
        <f t="shared" si="145"/>
        <v>Neutral</v>
      </c>
      <c r="AJ338" s="32">
        <f t="shared" si="146"/>
        <v>1</v>
      </c>
      <c r="AK338">
        <f>step3_validation[[#This Row],[AI_TRU1]]</f>
        <v>7</v>
      </c>
      <c r="AL338" t="str">
        <f t="shared" si="147"/>
        <v>Neutral</v>
      </c>
      <c r="AM338">
        <f>survey_responses[[#This Row],[Tôi tin rằng Nhà nước, cơ quan thuế sẽ thực thi chính sách mới một cách khách quan, công tâm và đối xử bình đẳng với mọi người nộp thuế.  - HUMAN-TRU1]]</f>
        <v>6</v>
      </c>
      <c r="AN338" t="str">
        <f t="shared" si="148"/>
        <v>Neutral</v>
      </c>
      <c r="AO338" s="32">
        <f t="shared" si="149"/>
        <v>1</v>
      </c>
      <c r="AP338">
        <f>step3_validation[[#This Row],[AI_TRU2]]</f>
        <v>6</v>
      </c>
      <c r="AQ338" t="str">
        <f t="shared" si="150"/>
        <v>Neutral</v>
      </c>
      <c r="AR338">
        <f>survey_responses[[#This Row],[Tôi thấy mức thuế tôi phải đóng theo phương án mới là công bằng (người thu nhập như tôi đóng mức này là hợp lý). - HUMAN-TRU2]]</f>
        <v>8</v>
      </c>
      <c r="AS338" t="str">
        <f t="shared" si="151"/>
        <v>Support</v>
      </c>
      <c r="AT338" s="32">
        <f t="shared" si="152"/>
        <v>2</v>
      </c>
      <c r="AU338">
        <f>step3_validation[[#This Row],[AI_TRU3]]</f>
        <v>7</v>
      </c>
      <c r="AV338" t="str">
        <f t="shared" si="153"/>
        <v>Neutral</v>
      </c>
      <c r="AW338">
        <f>survey_responses[[#This Row],[Tôi tin tưởng số tiền thuế tôi đóng sẽ được Nhà nước sử dụng hiệu quả để cải thiện dịch vụ công (y tế, đường xá...). - HUMAN-TRU3]]</f>
        <v>6</v>
      </c>
      <c r="AX338" t="str">
        <f t="shared" si="154"/>
        <v>Neutral</v>
      </c>
      <c r="AY338" s="32">
        <f t="shared" si="155"/>
        <v>1</v>
      </c>
      <c r="AZ338">
        <f>step3_validation[[#This Row],[AI_TRU4]]</f>
        <v>5</v>
      </c>
      <c r="BA338" t="str">
        <f t="shared" si="156"/>
        <v>Neutral</v>
      </c>
      <c r="BB338">
        <f>survey_responses[[#This Row],[Tôi thấy Nhà nước đã giải thích rõ ràng, minh bạch về lý do và mục tiêu của việc sửa đổi thuế lần này. - HUMAN-TRU4]]</f>
        <v>8</v>
      </c>
      <c r="BC338" t="str">
        <f t="shared" si="157"/>
        <v>Support</v>
      </c>
      <c r="BD338" s="32">
        <f t="shared" si="158"/>
        <v>3</v>
      </c>
      <c r="BE338">
        <f>step3_validation[[#This Row],[AI_OUT1]]</f>
        <v>7</v>
      </c>
      <c r="BF338" t="str">
        <f t="shared" si="159"/>
        <v>Neutral</v>
      </c>
      <c r="BG338">
        <f>survey_responses[[#This Row],[Sau khi xem xét các quyền lợi và nghĩa vụ, bạn có ủng hộ và tuân thủ chính sách mới hiện nay? - HUMAN-OUT1]]</f>
        <v>8</v>
      </c>
      <c r="BH338" t="str">
        <f t="shared" si="160"/>
        <v>Support</v>
      </c>
      <c r="BI338" s="32">
        <f t="shared" si="161"/>
        <v>1</v>
      </c>
    </row>
    <row r="339" spans="1:61" x14ac:dyDescent="0.45">
      <c r="A339" s="30">
        <f>step3_validation[[#This Row],[Persona_ID]]</f>
        <v>338</v>
      </c>
      <c r="B339" s="31">
        <f>step3_validation[[#This Row],[Used_Seed]]</f>
        <v>2328</v>
      </c>
      <c r="C339" t="str">
        <f>step3_validation[[#This Row],[Gender]]</f>
        <v>Nam</v>
      </c>
      <c r="D339" t="str">
        <f>survey_responses[[#This Row],[Giới tính của bạn:]]</f>
        <v>Nam</v>
      </c>
      <c r="E339" t="str">
        <f>step3_validation[[#This Row],[Age_Group]]</f>
        <v>18 - 24</v>
      </c>
      <c r="F339" t="str">
        <f>survey_responses[[#This Row],[Độ tuổi của bạn:]]</f>
        <v>18 - 24</v>
      </c>
      <c r="G339" t="str">
        <f>step3_validation[[#This Row],[Region]]</f>
        <v>Thành thị</v>
      </c>
      <c r="H339" t="str">
        <f>survey_responses[[#This Row],[Khu vực bạn đang sinh sống:]]</f>
        <v>Thành thị</v>
      </c>
      <c r="I339" t="str">
        <f>step3_validation[[#This Row],[Education]]</f>
        <v>Đại học</v>
      </c>
      <c r="J339" t="str">
        <f>survey_responses[[#This Row],[Trình độ học vấn cao nhất:]]</f>
        <v>Đại học</v>
      </c>
      <c r="K339" t="str">
        <f>step3_validation[[#This Row],[Employment]]</f>
        <v>Chính thức</v>
      </c>
      <c r="L339" t="str">
        <f>survey_responses[[#This Row],[Tình trạng việc làm chính:]]</f>
        <v>Khu vực chính thức (Có Hợp đồng lao động, đóng BHXH)</v>
      </c>
      <c r="M339">
        <f>step3_validation[[#This Row],[Income_Mil]]</f>
        <v>16.758565311772529</v>
      </c>
      <c r="N339" t="str">
        <f>survey_responses[[#This Row],[Thu nhập bình quân tháng theo Hợp đồng lao động của bạn là bao nhiêu? (Vui lòng điền tổng thu nhập trước khi khấu trừ các loại Bảo hiểm (BHXH, BHYT, BHTN) và Thuế TNCN)]]</f>
        <v>Từ 12 - 18 triệu VNĐ</v>
      </c>
      <c r="O339">
        <f>step3_validation[[#This Row],[Dependents]]</f>
        <v>0</v>
      </c>
      <c r="P339" t="str">
        <f>survey_responses[[#This Row],[Số người phụ thuộc (con nhỏ, cha mẹ già...) đủ điều kiện giảm trừ gia cảnh:]]</f>
        <v>0 người</v>
      </c>
      <c r="Q339">
        <f>step3_validation[[#This Row],[AI_ENF1]]</f>
        <v>8</v>
      </c>
      <c r="R339" t="str">
        <f t="shared" si="135"/>
        <v>Support</v>
      </c>
      <c r="S339">
        <f>survey_responses[[#This Row],[Tôi tin rằng với các quy định quản lý thuế hiện nay, hành vi gian lận hoặc trốn thuế sẽ dễ dàng bị phát hiện và xử lý nghiêm. - HUMAN-ENF1]]</f>
        <v>8</v>
      </c>
      <c r="T339" t="str">
        <f t="shared" si="136"/>
        <v>Support</v>
      </c>
      <c r="U339" s="32">
        <f t="shared" si="137"/>
        <v>0</v>
      </c>
      <c r="V339">
        <f>step3_validation[[#This Row],[AI_ENF2]]</f>
        <v>9</v>
      </c>
      <c r="W339" t="str">
        <f t="shared" si="138"/>
        <v>Support</v>
      </c>
      <c r="X339">
        <f>survey_responses[[#This Row],[Tôi tin rằng Nhà nước, cơ quan thuế có đủ khả năng và công nghệ để phát hiện, xử lý nghiêm các hành vi trốn thuế. - HUMAN-ENF2]]</f>
        <v>8</v>
      </c>
      <c r="Y339" t="str">
        <f t="shared" si="139"/>
        <v>Support</v>
      </c>
      <c r="Z339" s="32">
        <f t="shared" si="140"/>
        <v>1</v>
      </c>
      <c r="AA339">
        <f>step3_validation[[#This Row],[AI_FAC1]]</f>
        <v>7</v>
      </c>
      <c r="AB339" t="str">
        <f t="shared" si="141"/>
        <v>Neutral</v>
      </c>
      <c r="AC339">
        <f>survey_responses[[#This Row],[Các thủ tục khai báo thuế VÀ/HOẶC quy trình làm việc với cơ quan thuế đơn giản, tiện lợi, nhanh chóng hơn so với trước đây. - HUMAN-FAC1]]</f>
        <v>9</v>
      </c>
      <c r="AD339" t="str">
        <f t="shared" si="142"/>
        <v>Support</v>
      </c>
      <c r="AE339" s="32">
        <f t="shared" si="143"/>
        <v>2</v>
      </c>
      <c r="AF339">
        <f>step3_validation[[#This Row],[AI_FAC2]]</f>
        <v>8</v>
      </c>
      <c r="AG339" t="str">
        <f t="shared" si="144"/>
        <v>Support</v>
      </c>
      <c r="AH339">
        <f>survey_responses[[#This Row],[So với trước đây, tôi thấy cách tính thuế và các bậc thuế trong phương án mới đơn giản, dễ hiểu và dễ thực hiện hơn. - HUMAN-FAC2]]</f>
        <v>9</v>
      </c>
      <c r="AI339" t="str">
        <f t="shared" si="145"/>
        <v>Support</v>
      </c>
      <c r="AJ339" s="32">
        <f t="shared" si="146"/>
        <v>1</v>
      </c>
      <c r="AK339">
        <f>step3_validation[[#This Row],[AI_TRU1]]</f>
        <v>6</v>
      </c>
      <c r="AL339" t="str">
        <f t="shared" si="147"/>
        <v>Neutral</v>
      </c>
      <c r="AM339">
        <f>survey_responses[[#This Row],[Tôi tin rằng Nhà nước, cơ quan thuế sẽ thực thi chính sách mới một cách khách quan, công tâm và đối xử bình đẳng với mọi người nộp thuế.  - HUMAN-TRU1]]</f>
        <v>8</v>
      </c>
      <c r="AN339" t="str">
        <f t="shared" si="148"/>
        <v>Support</v>
      </c>
      <c r="AO339" s="32">
        <f t="shared" si="149"/>
        <v>2</v>
      </c>
      <c r="AP339">
        <f>step3_validation[[#This Row],[AI_TRU2]]</f>
        <v>7</v>
      </c>
      <c r="AQ339" t="str">
        <f t="shared" si="150"/>
        <v>Neutral</v>
      </c>
      <c r="AR339">
        <f>survey_responses[[#This Row],[Tôi thấy mức thuế tôi phải đóng theo phương án mới là công bằng (người thu nhập như tôi đóng mức này là hợp lý). - HUMAN-TRU2]]</f>
        <v>9</v>
      </c>
      <c r="AS339" t="str">
        <f t="shared" si="151"/>
        <v>Support</v>
      </c>
      <c r="AT339" s="32">
        <f t="shared" si="152"/>
        <v>2</v>
      </c>
      <c r="AU339">
        <f>step3_validation[[#This Row],[AI_TRU3]]</f>
        <v>6</v>
      </c>
      <c r="AV339" t="str">
        <f t="shared" si="153"/>
        <v>Neutral</v>
      </c>
      <c r="AW339">
        <f>survey_responses[[#This Row],[Tôi tin tưởng số tiền thuế tôi đóng sẽ được Nhà nước sử dụng hiệu quả để cải thiện dịch vụ công (y tế, đường xá...). - HUMAN-TRU3]]</f>
        <v>10</v>
      </c>
      <c r="AX339" t="str">
        <f t="shared" si="154"/>
        <v>Support</v>
      </c>
      <c r="AY339" s="32">
        <f t="shared" si="155"/>
        <v>4</v>
      </c>
      <c r="AZ339">
        <f>step3_validation[[#This Row],[AI_TRU4]]</f>
        <v>5</v>
      </c>
      <c r="BA339" t="str">
        <f t="shared" si="156"/>
        <v>Neutral</v>
      </c>
      <c r="BB339">
        <f>survey_responses[[#This Row],[Tôi thấy Nhà nước đã giải thích rõ ràng, minh bạch về lý do và mục tiêu của việc sửa đổi thuế lần này. - HUMAN-TRU4]]</f>
        <v>9</v>
      </c>
      <c r="BC339" t="str">
        <f t="shared" si="157"/>
        <v>Support</v>
      </c>
      <c r="BD339" s="32">
        <f t="shared" si="158"/>
        <v>4</v>
      </c>
      <c r="BE339">
        <f>step3_validation[[#This Row],[AI_OUT1]]</f>
        <v>4</v>
      </c>
      <c r="BF339" t="str">
        <f t="shared" si="159"/>
        <v>Oppose</v>
      </c>
      <c r="BG339">
        <f>survey_responses[[#This Row],[Sau khi xem xét các quyền lợi và nghĩa vụ, bạn có ủng hộ và tuân thủ chính sách mới hiện nay? - HUMAN-OUT1]]</f>
        <v>10</v>
      </c>
      <c r="BH339" t="str">
        <f t="shared" si="160"/>
        <v>Support</v>
      </c>
      <c r="BI339" s="32">
        <f t="shared" si="161"/>
        <v>6</v>
      </c>
    </row>
    <row r="340" spans="1:61" x14ac:dyDescent="0.45">
      <c r="A340" s="30">
        <f>step3_validation[[#This Row],[Persona_ID]]</f>
        <v>339</v>
      </c>
      <c r="B340" s="31">
        <f>step3_validation[[#This Row],[Used_Seed]]</f>
        <v>2329</v>
      </c>
      <c r="C340" t="str">
        <f>step3_validation[[#This Row],[Gender]]</f>
        <v>Nữ</v>
      </c>
      <c r="D340" t="str">
        <f>survey_responses[[#This Row],[Giới tính của bạn:]]</f>
        <v>Nữ</v>
      </c>
      <c r="E340" t="str">
        <f>step3_validation[[#This Row],[Age_Group]]</f>
        <v>18 - 24</v>
      </c>
      <c r="F340" t="str">
        <f>survey_responses[[#This Row],[Độ tuổi của bạn:]]</f>
        <v>18 - 24</v>
      </c>
      <c r="G340" t="str">
        <f>step3_validation[[#This Row],[Region]]</f>
        <v>Thành thị</v>
      </c>
      <c r="H340" t="str">
        <f>survey_responses[[#This Row],[Khu vực bạn đang sinh sống:]]</f>
        <v>Thành thị</v>
      </c>
      <c r="I340" t="str">
        <f>step3_validation[[#This Row],[Education]]</f>
        <v>Đại học</v>
      </c>
      <c r="J340" t="str">
        <f>survey_responses[[#This Row],[Trình độ học vấn cao nhất:]]</f>
        <v>Đại học</v>
      </c>
      <c r="K340" t="str">
        <f>step3_validation[[#This Row],[Employment]]</f>
        <v>Chính thức</v>
      </c>
      <c r="L340" t="str">
        <f>survey_responses[[#This Row],[Tình trạng việc làm chính:]]</f>
        <v>Khu vực chính thức (Có Hợp đồng lao động, đóng BHXH)</v>
      </c>
      <c r="M340">
        <f>step3_validation[[#This Row],[Income_Mil]]</f>
        <v>14.632622679515956</v>
      </c>
      <c r="N340" t="str">
        <f>survey_responses[[#This Row],[Thu nhập bình quân tháng theo Hợp đồng lao động của bạn là bao nhiêu? (Vui lòng điền tổng thu nhập trước khi khấu trừ các loại Bảo hiểm (BHXH, BHYT, BHTN) và Thuế TNCN)]]</f>
        <v>Từ 12 - 18 triệu VNĐ</v>
      </c>
      <c r="O340">
        <f>step3_validation[[#This Row],[Dependents]]</f>
        <v>0</v>
      </c>
      <c r="P340" t="str">
        <f>survey_responses[[#This Row],[Số người phụ thuộc (con nhỏ, cha mẹ già...) đủ điều kiện giảm trừ gia cảnh:]]</f>
        <v>0 người</v>
      </c>
      <c r="Q340">
        <f>step3_validation[[#This Row],[AI_ENF1]]</f>
        <v>7</v>
      </c>
      <c r="R340" t="str">
        <f t="shared" si="135"/>
        <v>Neutral</v>
      </c>
      <c r="S340">
        <f>survey_responses[[#This Row],[Tôi tin rằng với các quy định quản lý thuế hiện nay, hành vi gian lận hoặc trốn thuế sẽ dễ dàng bị phát hiện và xử lý nghiêm. - HUMAN-ENF1]]</f>
        <v>7</v>
      </c>
      <c r="T340" t="str">
        <f t="shared" si="136"/>
        <v>Neutral</v>
      </c>
      <c r="U340" s="32">
        <f t="shared" si="137"/>
        <v>0</v>
      </c>
      <c r="V340">
        <f>step3_validation[[#This Row],[AI_ENF2]]</f>
        <v>6</v>
      </c>
      <c r="W340" t="str">
        <f t="shared" si="138"/>
        <v>Neutral</v>
      </c>
      <c r="X340">
        <f>survey_responses[[#This Row],[Tôi tin rằng Nhà nước, cơ quan thuế có đủ khả năng và công nghệ để phát hiện, xử lý nghiêm các hành vi trốn thuế. - HUMAN-ENF2]]</f>
        <v>7</v>
      </c>
      <c r="Y340" t="str">
        <f t="shared" si="139"/>
        <v>Neutral</v>
      </c>
      <c r="Z340" s="32">
        <f t="shared" si="140"/>
        <v>1</v>
      </c>
      <c r="AA340">
        <f>step3_validation[[#This Row],[AI_FAC1]]</f>
        <v>8</v>
      </c>
      <c r="AB340" t="str">
        <f t="shared" si="141"/>
        <v>Support</v>
      </c>
      <c r="AC340">
        <f>survey_responses[[#This Row],[Các thủ tục khai báo thuế VÀ/HOẶC quy trình làm việc với cơ quan thuế đơn giản, tiện lợi, nhanh chóng hơn so với trước đây. - HUMAN-FAC1]]</f>
        <v>8</v>
      </c>
      <c r="AD340" t="str">
        <f t="shared" si="142"/>
        <v>Support</v>
      </c>
      <c r="AE340" s="32">
        <f t="shared" si="143"/>
        <v>0</v>
      </c>
      <c r="AF340">
        <f>step3_validation[[#This Row],[AI_FAC2]]</f>
        <v>9</v>
      </c>
      <c r="AG340" t="str">
        <f t="shared" si="144"/>
        <v>Support</v>
      </c>
      <c r="AH340">
        <f>survey_responses[[#This Row],[So với trước đây, tôi thấy cách tính thuế và các bậc thuế trong phương án mới đơn giản, dễ hiểu và dễ thực hiện hơn. - HUMAN-FAC2]]</f>
        <v>8</v>
      </c>
      <c r="AI340" t="str">
        <f t="shared" si="145"/>
        <v>Support</v>
      </c>
      <c r="AJ340" s="32">
        <f t="shared" si="146"/>
        <v>1</v>
      </c>
      <c r="AK340">
        <f>step3_validation[[#This Row],[AI_TRU1]]</f>
        <v>8</v>
      </c>
      <c r="AL340" t="str">
        <f t="shared" si="147"/>
        <v>Support</v>
      </c>
      <c r="AM340">
        <f>survey_responses[[#This Row],[Tôi tin rằng Nhà nước, cơ quan thuế sẽ thực thi chính sách mới một cách khách quan, công tâm và đối xử bình đẳng với mọi người nộp thuế.  - HUMAN-TRU1]]</f>
        <v>6</v>
      </c>
      <c r="AN340" t="str">
        <f t="shared" si="148"/>
        <v>Neutral</v>
      </c>
      <c r="AO340" s="32">
        <f t="shared" si="149"/>
        <v>2</v>
      </c>
      <c r="AP340">
        <f>step3_validation[[#This Row],[AI_TRU2]]</f>
        <v>7</v>
      </c>
      <c r="AQ340" t="str">
        <f t="shared" si="150"/>
        <v>Neutral</v>
      </c>
      <c r="AR340">
        <f>survey_responses[[#This Row],[Tôi thấy mức thuế tôi phải đóng theo phương án mới là công bằng (người thu nhập như tôi đóng mức này là hợp lý). - HUMAN-TRU2]]</f>
        <v>7</v>
      </c>
      <c r="AS340" t="str">
        <f t="shared" si="151"/>
        <v>Neutral</v>
      </c>
      <c r="AT340" s="32">
        <f t="shared" si="152"/>
        <v>0</v>
      </c>
      <c r="AU340">
        <f>step3_validation[[#This Row],[AI_TRU3]]</f>
        <v>8</v>
      </c>
      <c r="AV340" t="str">
        <f t="shared" si="153"/>
        <v>Support</v>
      </c>
      <c r="AW340">
        <f>survey_responses[[#This Row],[Tôi tin tưởng số tiền thuế tôi đóng sẽ được Nhà nước sử dụng hiệu quả để cải thiện dịch vụ công (y tế, đường xá...). - HUMAN-TRU3]]</f>
        <v>6</v>
      </c>
      <c r="AX340" t="str">
        <f t="shared" si="154"/>
        <v>Neutral</v>
      </c>
      <c r="AY340" s="32">
        <f t="shared" si="155"/>
        <v>2</v>
      </c>
      <c r="AZ340">
        <f>step3_validation[[#This Row],[AI_TRU4]]</f>
        <v>6</v>
      </c>
      <c r="BA340" t="str">
        <f t="shared" si="156"/>
        <v>Neutral</v>
      </c>
      <c r="BB340">
        <f>survey_responses[[#This Row],[Tôi thấy Nhà nước đã giải thích rõ ràng, minh bạch về lý do và mục tiêu của việc sửa đổi thuế lần này. - HUMAN-TRU4]]</f>
        <v>6</v>
      </c>
      <c r="BC340" t="str">
        <f t="shared" si="157"/>
        <v>Neutral</v>
      </c>
      <c r="BD340" s="32">
        <f t="shared" si="158"/>
        <v>0</v>
      </c>
      <c r="BE340">
        <f>step3_validation[[#This Row],[AI_OUT1]]</f>
        <v>7</v>
      </c>
      <c r="BF340" t="str">
        <f t="shared" si="159"/>
        <v>Neutral</v>
      </c>
      <c r="BG340">
        <f>survey_responses[[#This Row],[Sau khi xem xét các quyền lợi và nghĩa vụ, bạn có ủng hộ và tuân thủ chính sách mới hiện nay? - HUMAN-OUT1]]</f>
        <v>7</v>
      </c>
      <c r="BH340" t="str">
        <f t="shared" si="160"/>
        <v>Neutral</v>
      </c>
      <c r="BI340" s="32">
        <f t="shared" si="161"/>
        <v>0</v>
      </c>
    </row>
    <row r="341" spans="1:61" x14ac:dyDescent="0.45">
      <c r="A341" s="30">
        <f>step3_validation[[#This Row],[Persona_ID]]</f>
        <v>340</v>
      </c>
      <c r="B341" s="31">
        <f>step3_validation[[#This Row],[Used_Seed]]</f>
        <v>2330</v>
      </c>
      <c r="C341" t="str">
        <f>step3_validation[[#This Row],[Gender]]</f>
        <v>Nam</v>
      </c>
      <c r="D341" t="str">
        <f>survey_responses[[#This Row],[Giới tính của bạn:]]</f>
        <v>Nam</v>
      </c>
      <c r="E341" t="str">
        <f>step3_validation[[#This Row],[Age_Group]]</f>
        <v>25 - 29</v>
      </c>
      <c r="F341" t="str">
        <f>survey_responses[[#This Row],[Độ tuổi của bạn:]]</f>
        <v>25 - 29</v>
      </c>
      <c r="G341" t="str">
        <f>step3_validation[[#This Row],[Region]]</f>
        <v>Thành thị</v>
      </c>
      <c r="H341" t="str">
        <f>survey_responses[[#This Row],[Khu vực bạn đang sinh sống:]]</f>
        <v>Thành thị</v>
      </c>
      <c r="I341" t="str">
        <f>step3_validation[[#This Row],[Education]]</f>
        <v>Đại học</v>
      </c>
      <c r="J341" t="str">
        <f>survey_responses[[#This Row],[Trình độ học vấn cao nhất:]]</f>
        <v>Đại học</v>
      </c>
      <c r="K341" t="str">
        <f>step3_validation[[#This Row],[Employment]]</f>
        <v>Chính thức</v>
      </c>
      <c r="L341" t="str">
        <f>survey_responses[[#This Row],[Tình trạng việc làm chính:]]</f>
        <v>Khu vực chính thức (Có Hợp đồng lao động, đóng BHXH)</v>
      </c>
      <c r="M341">
        <f>step3_validation[[#This Row],[Income_Mil]]</f>
        <v>14.958310988785255</v>
      </c>
      <c r="N341" t="str">
        <f>survey_responses[[#This Row],[Thu nhập bình quân tháng theo Hợp đồng lao động của bạn là bao nhiêu? (Vui lòng điền tổng thu nhập trước khi khấu trừ các loại Bảo hiểm (BHXH, BHYT, BHTN) và Thuế TNCN)]]</f>
        <v>Từ 12 - 18 triệu VNĐ</v>
      </c>
      <c r="O341">
        <f>step3_validation[[#This Row],[Dependents]]</f>
        <v>0</v>
      </c>
      <c r="P341" t="str">
        <f>survey_responses[[#This Row],[Số người phụ thuộc (con nhỏ, cha mẹ già...) đủ điều kiện giảm trừ gia cảnh:]]</f>
        <v>0 người</v>
      </c>
      <c r="Q341">
        <f>step3_validation[[#This Row],[AI_ENF1]]</f>
        <v>7</v>
      </c>
      <c r="R341" t="str">
        <f t="shared" si="135"/>
        <v>Neutral</v>
      </c>
      <c r="S341">
        <f>survey_responses[[#This Row],[Tôi tin rằng với các quy định quản lý thuế hiện nay, hành vi gian lận hoặc trốn thuế sẽ dễ dàng bị phát hiện và xử lý nghiêm. - HUMAN-ENF1]]</f>
        <v>7</v>
      </c>
      <c r="T341" t="str">
        <f t="shared" si="136"/>
        <v>Neutral</v>
      </c>
      <c r="U341" s="32">
        <f t="shared" si="137"/>
        <v>0</v>
      </c>
      <c r="V341">
        <f>step3_validation[[#This Row],[AI_ENF2]]</f>
        <v>8</v>
      </c>
      <c r="W341" t="str">
        <f t="shared" si="138"/>
        <v>Support</v>
      </c>
      <c r="X341">
        <f>survey_responses[[#This Row],[Tôi tin rằng Nhà nước, cơ quan thuế có đủ khả năng và công nghệ để phát hiện, xử lý nghiêm các hành vi trốn thuế. - HUMAN-ENF2]]</f>
        <v>8</v>
      </c>
      <c r="Y341" t="str">
        <f t="shared" si="139"/>
        <v>Support</v>
      </c>
      <c r="Z341" s="32">
        <f t="shared" si="140"/>
        <v>0</v>
      </c>
      <c r="AA341">
        <f>step3_validation[[#This Row],[AI_FAC1]]</f>
        <v>6</v>
      </c>
      <c r="AB341" t="str">
        <f t="shared" si="141"/>
        <v>Neutral</v>
      </c>
      <c r="AC341">
        <f>survey_responses[[#This Row],[Các thủ tục khai báo thuế VÀ/HOẶC quy trình làm việc với cơ quan thuế đơn giản, tiện lợi, nhanh chóng hơn so với trước đây. - HUMAN-FAC1]]</f>
        <v>8</v>
      </c>
      <c r="AD341" t="str">
        <f t="shared" si="142"/>
        <v>Support</v>
      </c>
      <c r="AE341" s="32">
        <f t="shared" si="143"/>
        <v>2</v>
      </c>
      <c r="AF341">
        <f>step3_validation[[#This Row],[AI_FAC2]]</f>
        <v>5</v>
      </c>
      <c r="AG341" t="str">
        <f t="shared" si="144"/>
        <v>Neutral</v>
      </c>
      <c r="AH341">
        <f>survey_responses[[#This Row],[So với trước đây, tôi thấy cách tính thuế và các bậc thuế trong phương án mới đơn giản, dễ hiểu và dễ thực hiện hơn. - HUMAN-FAC2]]</f>
        <v>8</v>
      </c>
      <c r="AI341" t="str">
        <f t="shared" si="145"/>
        <v>Support</v>
      </c>
      <c r="AJ341" s="32">
        <f t="shared" si="146"/>
        <v>3</v>
      </c>
      <c r="AK341">
        <f>step3_validation[[#This Row],[AI_TRU1]]</f>
        <v>7</v>
      </c>
      <c r="AL341" t="str">
        <f t="shared" si="147"/>
        <v>Neutral</v>
      </c>
      <c r="AM341">
        <f>survey_responses[[#This Row],[Tôi tin rằng Nhà nước, cơ quan thuế sẽ thực thi chính sách mới một cách khách quan, công tâm và đối xử bình đẳng với mọi người nộp thuế.  - HUMAN-TRU1]]</f>
        <v>5</v>
      </c>
      <c r="AN341" t="str">
        <f t="shared" si="148"/>
        <v>Neutral</v>
      </c>
      <c r="AO341" s="32">
        <f t="shared" si="149"/>
        <v>2</v>
      </c>
      <c r="AP341">
        <f>step3_validation[[#This Row],[AI_TRU2]]</f>
        <v>6</v>
      </c>
      <c r="AQ341" t="str">
        <f t="shared" si="150"/>
        <v>Neutral</v>
      </c>
      <c r="AR341">
        <f>survey_responses[[#This Row],[Tôi thấy mức thuế tôi phải đóng theo phương án mới là công bằng (người thu nhập như tôi đóng mức này là hợp lý). - HUMAN-TRU2]]</f>
        <v>8</v>
      </c>
      <c r="AS341" t="str">
        <f t="shared" si="151"/>
        <v>Support</v>
      </c>
      <c r="AT341" s="32">
        <f t="shared" si="152"/>
        <v>2</v>
      </c>
      <c r="AU341">
        <f>step3_validation[[#This Row],[AI_TRU3]]</f>
        <v>6</v>
      </c>
      <c r="AV341" t="str">
        <f t="shared" si="153"/>
        <v>Neutral</v>
      </c>
      <c r="AW341">
        <f>survey_responses[[#This Row],[Tôi tin tưởng số tiền thuế tôi đóng sẽ được Nhà nước sử dụng hiệu quả để cải thiện dịch vụ công (y tế, đường xá...). - HUMAN-TRU3]]</f>
        <v>5</v>
      </c>
      <c r="AX341" t="str">
        <f t="shared" si="154"/>
        <v>Neutral</v>
      </c>
      <c r="AY341" s="32">
        <f t="shared" si="155"/>
        <v>1</v>
      </c>
      <c r="AZ341">
        <f>step3_validation[[#This Row],[AI_TRU4]]</f>
        <v>5</v>
      </c>
      <c r="BA341" t="str">
        <f t="shared" si="156"/>
        <v>Neutral</v>
      </c>
      <c r="BB341">
        <f>survey_responses[[#This Row],[Tôi thấy Nhà nước đã giải thích rõ ràng, minh bạch về lý do và mục tiêu của việc sửa đổi thuế lần này. - HUMAN-TRU4]]</f>
        <v>8</v>
      </c>
      <c r="BC341" t="str">
        <f t="shared" si="157"/>
        <v>Support</v>
      </c>
      <c r="BD341" s="32">
        <f t="shared" si="158"/>
        <v>3</v>
      </c>
      <c r="BE341">
        <f>step3_validation[[#This Row],[AI_OUT1]]</f>
        <v>6</v>
      </c>
      <c r="BF341" t="str">
        <f t="shared" si="159"/>
        <v>Neutral</v>
      </c>
      <c r="BG341">
        <f>survey_responses[[#This Row],[Sau khi xem xét các quyền lợi và nghĩa vụ, bạn có ủng hộ và tuân thủ chính sách mới hiện nay? - HUMAN-OUT1]]</f>
        <v>8</v>
      </c>
      <c r="BH341" t="str">
        <f t="shared" si="160"/>
        <v>Support</v>
      </c>
      <c r="BI341" s="32">
        <f t="shared" si="161"/>
        <v>2</v>
      </c>
    </row>
    <row r="342" spans="1:61" x14ac:dyDescent="0.45">
      <c r="A342" s="30">
        <f>step3_validation[[#This Row],[Persona_ID]]</f>
        <v>341</v>
      </c>
      <c r="B342" s="31">
        <f>step3_validation[[#This Row],[Used_Seed]]</f>
        <v>2331</v>
      </c>
      <c r="C342" t="str">
        <f>step3_validation[[#This Row],[Gender]]</f>
        <v>Nữ</v>
      </c>
      <c r="D342" t="str">
        <f>survey_responses[[#This Row],[Giới tính của bạn:]]</f>
        <v>Nữ</v>
      </c>
      <c r="E342" t="str">
        <f>step3_validation[[#This Row],[Age_Group]]</f>
        <v>18 - 24</v>
      </c>
      <c r="F342" t="str">
        <f>survey_responses[[#This Row],[Độ tuổi của bạn:]]</f>
        <v>18 - 24</v>
      </c>
      <c r="G342" t="str">
        <f>step3_validation[[#This Row],[Region]]</f>
        <v>Thành thị</v>
      </c>
      <c r="H342" t="str">
        <f>survey_responses[[#This Row],[Khu vực bạn đang sinh sống:]]</f>
        <v>Thành thị</v>
      </c>
      <c r="I342" t="str">
        <f>step3_validation[[#This Row],[Education]]</f>
        <v>Đại học</v>
      </c>
      <c r="J342" t="str">
        <f>survey_responses[[#This Row],[Trình độ học vấn cao nhất:]]</f>
        <v>Đại học</v>
      </c>
      <c r="K342" t="str">
        <f>step3_validation[[#This Row],[Employment]]</f>
        <v>Chính thức</v>
      </c>
      <c r="L342" t="str">
        <f>survey_responses[[#This Row],[Tình trạng việc làm chính:]]</f>
        <v>Khu vực chính thức (Có Hợp đồng lao động, đóng BHXH)</v>
      </c>
      <c r="M342">
        <f>step3_validation[[#This Row],[Income_Mil]]</f>
        <v>12</v>
      </c>
      <c r="N342" t="str">
        <f>survey_responses[[#This Row],[Thu nhập bình quân tháng theo Hợp đồng lao động của bạn là bao nhiêu? (Vui lòng điền tổng thu nhập trước khi khấu trừ các loại Bảo hiểm (BHXH, BHYT, BHTN) và Thuế TNCN)]]</f>
        <v>Dưới 12 triệu VNĐ</v>
      </c>
      <c r="O342">
        <f>step3_validation[[#This Row],[Dependents]]</f>
        <v>0</v>
      </c>
      <c r="P342" t="str">
        <f>survey_responses[[#This Row],[Số người phụ thuộc (con nhỏ, cha mẹ già...) đủ điều kiện giảm trừ gia cảnh:]]</f>
        <v>0 người</v>
      </c>
      <c r="Q342">
        <f>step3_validation[[#This Row],[AI_ENF1]]</f>
        <v>7</v>
      </c>
      <c r="R342" t="str">
        <f t="shared" si="135"/>
        <v>Neutral</v>
      </c>
      <c r="S342">
        <f>survey_responses[[#This Row],[Tôi tin rằng với các quy định quản lý thuế hiện nay, hành vi gian lận hoặc trốn thuế sẽ dễ dàng bị phát hiện và xử lý nghiêm. - HUMAN-ENF1]]</f>
        <v>8</v>
      </c>
      <c r="T342" t="str">
        <f t="shared" si="136"/>
        <v>Support</v>
      </c>
      <c r="U342" s="32">
        <f t="shared" si="137"/>
        <v>1</v>
      </c>
      <c r="V342">
        <f>step3_validation[[#This Row],[AI_ENF2]]</f>
        <v>8</v>
      </c>
      <c r="W342" t="str">
        <f t="shared" si="138"/>
        <v>Support</v>
      </c>
      <c r="X342">
        <f>survey_responses[[#This Row],[Tôi tin rằng Nhà nước, cơ quan thuế có đủ khả năng và công nghệ để phát hiện, xử lý nghiêm các hành vi trốn thuế. - HUMAN-ENF2]]</f>
        <v>8</v>
      </c>
      <c r="Y342" t="str">
        <f t="shared" si="139"/>
        <v>Support</v>
      </c>
      <c r="Z342" s="32">
        <f t="shared" si="140"/>
        <v>0</v>
      </c>
      <c r="AA342">
        <f>step3_validation[[#This Row],[AI_FAC1]]</f>
        <v>9</v>
      </c>
      <c r="AB342" t="str">
        <f t="shared" si="141"/>
        <v>Support</v>
      </c>
      <c r="AC342">
        <f>survey_responses[[#This Row],[Các thủ tục khai báo thuế VÀ/HOẶC quy trình làm việc với cơ quan thuế đơn giản, tiện lợi, nhanh chóng hơn so với trước đây. - HUMAN-FAC1]]</f>
        <v>8</v>
      </c>
      <c r="AD342" t="str">
        <f t="shared" si="142"/>
        <v>Support</v>
      </c>
      <c r="AE342" s="32">
        <f t="shared" si="143"/>
        <v>1</v>
      </c>
      <c r="AF342">
        <f>step3_validation[[#This Row],[AI_FAC2]]</f>
        <v>7</v>
      </c>
      <c r="AG342" t="str">
        <f t="shared" si="144"/>
        <v>Neutral</v>
      </c>
      <c r="AH342">
        <f>survey_responses[[#This Row],[So với trước đây, tôi thấy cách tính thuế và các bậc thuế trong phương án mới đơn giản, dễ hiểu và dễ thực hiện hơn. - HUMAN-FAC2]]</f>
        <v>9</v>
      </c>
      <c r="AI342" t="str">
        <f t="shared" si="145"/>
        <v>Support</v>
      </c>
      <c r="AJ342" s="32">
        <f t="shared" si="146"/>
        <v>2</v>
      </c>
      <c r="AK342">
        <f>step3_validation[[#This Row],[AI_TRU1]]</f>
        <v>8</v>
      </c>
      <c r="AL342" t="str">
        <f t="shared" si="147"/>
        <v>Support</v>
      </c>
      <c r="AM342">
        <f>survey_responses[[#This Row],[Tôi tin rằng Nhà nước, cơ quan thuế sẽ thực thi chính sách mới một cách khách quan, công tâm và đối xử bình đẳng với mọi người nộp thuế.  - HUMAN-TRU1]]</f>
        <v>8</v>
      </c>
      <c r="AN342" t="str">
        <f t="shared" si="148"/>
        <v>Support</v>
      </c>
      <c r="AO342" s="32">
        <f t="shared" si="149"/>
        <v>0</v>
      </c>
      <c r="AP342">
        <f>step3_validation[[#This Row],[AI_TRU2]]</f>
        <v>7</v>
      </c>
      <c r="AQ342" t="str">
        <f t="shared" si="150"/>
        <v>Neutral</v>
      </c>
      <c r="AR342">
        <f>survey_responses[[#This Row],[Tôi thấy mức thuế tôi phải đóng theo phương án mới là công bằng (người thu nhập như tôi đóng mức này là hợp lý). - HUMAN-TRU2]]</f>
        <v>8</v>
      </c>
      <c r="AS342" t="str">
        <f t="shared" si="151"/>
        <v>Support</v>
      </c>
      <c r="AT342" s="32">
        <f t="shared" si="152"/>
        <v>1</v>
      </c>
      <c r="AU342">
        <f>step3_validation[[#This Row],[AI_TRU3]]</f>
        <v>6</v>
      </c>
      <c r="AV342" t="str">
        <f t="shared" si="153"/>
        <v>Neutral</v>
      </c>
      <c r="AW342">
        <f>survey_responses[[#This Row],[Tôi tin tưởng số tiền thuế tôi đóng sẽ được Nhà nước sử dụng hiệu quả để cải thiện dịch vụ công (y tế, đường xá...). - HUMAN-TRU3]]</f>
        <v>7</v>
      </c>
      <c r="AX342" t="str">
        <f t="shared" si="154"/>
        <v>Neutral</v>
      </c>
      <c r="AY342" s="32">
        <f t="shared" si="155"/>
        <v>1</v>
      </c>
      <c r="AZ342">
        <f>step3_validation[[#This Row],[AI_TRU4]]</f>
        <v>5</v>
      </c>
      <c r="BA342" t="str">
        <f t="shared" si="156"/>
        <v>Neutral</v>
      </c>
      <c r="BB342">
        <f>survey_responses[[#This Row],[Tôi thấy Nhà nước đã giải thích rõ ràng, minh bạch về lý do và mục tiêu của việc sửa đổi thuế lần này. - HUMAN-TRU4]]</f>
        <v>7</v>
      </c>
      <c r="BC342" t="str">
        <f t="shared" si="157"/>
        <v>Neutral</v>
      </c>
      <c r="BD342" s="32">
        <f t="shared" si="158"/>
        <v>2</v>
      </c>
      <c r="BE342">
        <f>step3_validation[[#This Row],[AI_OUT1]]</f>
        <v>6</v>
      </c>
      <c r="BF342" t="str">
        <f t="shared" si="159"/>
        <v>Neutral</v>
      </c>
      <c r="BG342">
        <f>survey_responses[[#This Row],[Sau khi xem xét các quyền lợi và nghĩa vụ, bạn có ủng hộ và tuân thủ chính sách mới hiện nay? - HUMAN-OUT1]]</f>
        <v>8</v>
      </c>
      <c r="BH342" t="str">
        <f t="shared" si="160"/>
        <v>Support</v>
      </c>
      <c r="BI342" s="32">
        <f t="shared" si="161"/>
        <v>2</v>
      </c>
    </row>
    <row r="343" spans="1:61" x14ac:dyDescent="0.45">
      <c r="A343" s="30">
        <f>step3_validation[[#This Row],[Persona_ID]]</f>
        <v>342</v>
      </c>
      <c r="B343" s="31">
        <f>step3_validation[[#This Row],[Used_Seed]]</f>
        <v>2332</v>
      </c>
      <c r="C343" t="str">
        <f>step3_validation[[#This Row],[Gender]]</f>
        <v>Nam</v>
      </c>
      <c r="D343" t="str">
        <f>survey_responses[[#This Row],[Giới tính của bạn:]]</f>
        <v>Nam</v>
      </c>
      <c r="E343" t="str">
        <f>step3_validation[[#This Row],[Age_Group]]</f>
        <v>18 - 24</v>
      </c>
      <c r="F343" t="str">
        <f>survey_responses[[#This Row],[Độ tuổi của bạn:]]</f>
        <v>18 - 24</v>
      </c>
      <c r="G343" t="str">
        <f>step3_validation[[#This Row],[Region]]</f>
        <v>Thành thị</v>
      </c>
      <c r="H343" t="str">
        <f>survey_responses[[#This Row],[Khu vực bạn đang sinh sống:]]</f>
        <v>Thành thị</v>
      </c>
      <c r="I343" t="str">
        <f>step3_validation[[#This Row],[Education]]</f>
        <v>Đại học</v>
      </c>
      <c r="J343" t="str">
        <f>survey_responses[[#This Row],[Trình độ học vấn cao nhất:]]</f>
        <v>Đại học</v>
      </c>
      <c r="K343" t="str">
        <f>step3_validation[[#This Row],[Employment]]</f>
        <v>Chính thức</v>
      </c>
      <c r="L343" t="str">
        <f>survey_responses[[#This Row],[Tình trạng việc làm chính:]]</f>
        <v>Khu vực chính thức (Có Hợp đồng lao động, đóng BHXH)</v>
      </c>
      <c r="M343">
        <f>step3_validation[[#This Row],[Income_Mil]]</f>
        <v>12</v>
      </c>
      <c r="N343" t="str">
        <f>survey_responses[[#This Row],[Thu nhập bình quân tháng theo Hợp đồng lao động của bạn là bao nhiêu? (Vui lòng điền tổng thu nhập trước khi khấu trừ các loại Bảo hiểm (BHXH, BHYT, BHTN) và Thuế TNCN)]]</f>
        <v>Dưới 12 triệu VNĐ</v>
      </c>
      <c r="O343">
        <f>step3_validation[[#This Row],[Dependents]]</f>
        <v>0</v>
      </c>
      <c r="P343" t="str">
        <f>survey_responses[[#This Row],[Số người phụ thuộc (con nhỏ, cha mẹ già...) đủ điều kiện giảm trừ gia cảnh:]]</f>
        <v>0 người</v>
      </c>
      <c r="Q343">
        <f>step3_validation[[#This Row],[AI_ENF1]]</f>
        <v>7</v>
      </c>
      <c r="R343" t="str">
        <f t="shared" si="135"/>
        <v>Neutral</v>
      </c>
      <c r="S343">
        <f>survey_responses[[#This Row],[Tôi tin rằng với các quy định quản lý thuế hiện nay, hành vi gian lận hoặc trốn thuế sẽ dễ dàng bị phát hiện và xử lý nghiêm. - HUMAN-ENF1]]</f>
        <v>5</v>
      </c>
      <c r="T343" t="str">
        <f t="shared" si="136"/>
        <v>Neutral</v>
      </c>
      <c r="U343" s="32">
        <f t="shared" si="137"/>
        <v>2</v>
      </c>
      <c r="V343">
        <f>step3_validation[[#This Row],[AI_ENF2]]</f>
        <v>8</v>
      </c>
      <c r="W343" t="str">
        <f t="shared" si="138"/>
        <v>Support</v>
      </c>
      <c r="X343">
        <f>survey_responses[[#This Row],[Tôi tin rằng Nhà nước, cơ quan thuế có đủ khả năng và công nghệ để phát hiện, xử lý nghiêm các hành vi trốn thuế. - HUMAN-ENF2]]</f>
        <v>5</v>
      </c>
      <c r="Y343" t="str">
        <f t="shared" si="139"/>
        <v>Neutral</v>
      </c>
      <c r="Z343" s="32">
        <f t="shared" si="140"/>
        <v>3</v>
      </c>
      <c r="AA343">
        <f>step3_validation[[#This Row],[AI_FAC1]]</f>
        <v>6</v>
      </c>
      <c r="AB343" t="str">
        <f t="shared" si="141"/>
        <v>Neutral</v>
      </c>
      <c r="AC343">
        <f>survey_responses[[#This Row],[Các thủ tục khai báo thuế VÀ/HOẶC quy trình làm việc với cơ quan thuế đơn giản, tiện lợi, nhanh chóng hơn so với trước đây. - HUMAN-FAC1]]</f>
        <v>6</v>
      </c>
      <c r="AD343" t="str">
        <f t="shared" si="142"/>
        <v>Neutral</v>
      </c>
      <c r="AE343" s="32">
        <f t="shared" si="143"/>
        <v>0</v>
      </c>
      <c r="AF343">
        <f>step3_validation[[#This Row],[AI_FAC2]]</f>
        <v>8</v>
      </c>
      <c r="AG343" t="str">
        <f t="shared" si="144"/>
        <v>Support</v>
      </c>
      <c r="AH343">
        <f>survey_responses[[#This Row],[So với trước đây, tôi thấy cách tính thuế và các bậc thuế trong phương án mới đơn giản, dễ hiểu và dễ thực hiện hơn. - HUMAN-FAC2]]</f>
        <v>7</v>
      </c>
      <c r="AI343" t="str">
        <f t="shared" si="145"/>
        <v>Neutral</v>
      </c>
      <c r="AJ343" s="32">
        <f t="shared" si="146"/>
        <v>1</v>
      </c>
      <c r="AK343">
        <f>step3_validation[[#This Row],[AI_TRU1]]</f>
        <v>7</v>
      </c>
      <c r="AL343" t="str">
        <f t="shared" si="147"/>
        <v>Neutral</v>
      </c>
      <c r="AM343">
        <f>survey_responses[[#This Row],[Tôi tin rằng Nhà nước, cơ quan thuế sẽ thực thi chính sách mới một cách khách quan, công tâm và đối xử bình đẳng với mọi người nộp thuế.  - HUMAN-TRU1]]</f>
        <v>5</v>
      </c>
      <c r="AN343" t="str">
        <f t="shared" si="148"/>
        <v>Neutral</v>
      </c>
      <c r="AO343" s="32">
        <f t="shared" si="149"/>
        <v>2</v>
      </c>
      <c r="AP343">
        <f>step3_validation[[#This Row],[AI_TRU2]]</f>
        <v>8</v>
      </c>
      <c r="AQ343" t="str">
        <f t="shared" si="150"/>
        <v>Support</v>
      </c>
      <c r="AR343">
        <f>survey_responses[[#This Row],[Tôi thấy mức thuế tôi phải đóng theo phương án mới là công bằng (người thu nhập như tôi đóng mức này là hợp lý). - HUMAN-TRU2]]</f>
        <v>8</v>
      </c>
      <c r="AS343" t="str">
        <f t="shared" si="151"/>
        <v>Support</v>
      </c>
      <c r="AT343" s="32">
        <f t="shared" si="152"/>
        <v>0</v>
      </c>
      <c r="AU343">
        <f>step3_validation[[#This Row],[AI_TRU3]]</f>
        <v>7</v>
      </c>
      <c r="AV343" t="str">
        <f t="shared" si="153"/>
        <v>Neutral</v>
      </c>
      <c r="AW343">
        <f>survey_responses[[#This Row],[Tôi tin tưởng số tiền thuế tôi đóng sẽ được Nhà nước sử dụng hiệu quả để cải thiện dịch vụ công (y tế, đường xá...). - HUMAN-TRU3]]</f>
        <v>6</v>
      </c>
      <c r="AX343" t="str">
        <f t="shared" si="154"/>
        <v>Neutral</v>
      </c>
      <c r="AY343" s="32">
        <f t="shared" si="155"/>
        <v>1</v>
      </c>
      <c r="AZ343">
        <f>step3_validation[[#This Row],[AI_TRU4]]</f>
        <v>8</v>
      </c>
      <c r="BA343" t="str">
        <f t="shared" si="156"/>
        <v>Support</v>
      </c>
      <c r="BB343">
        <f>survey_responses[[#This Row],[Tôi thấy Nhà nước đã giải thích rõ ràng, minh bạch về lý do và mục tiêu của việc sửa đổi thuế lần này. - HUMAN-TRU4]]</f>
        <v>6</v>
      </c>
      <c r="BC343" t="str">
        <f t="shared" si="157"/>
        <v>Neutral</v>
      </c>
      <c r="BD343" s="32">
        <f t="shared" si="158"/>
        <v>2</v>
      </c>
      <c r="BE343">
        <f>step3_validation[[#This Row],[AI_OUT1]]</f>
        <v>8</v>
      </c>
      <c r="BF343" t="str">
        <f t="shared" si="159"/>
        <v>Support</v>
      </c>
      <c r="BG343">
        <f>survey_responses[[#This Row],[Sau khi xem xét các quyền lợi và nghĩa vụ, bạn có ủng hộ và tuân thủ chính sách mới hiện nay? - HUMAN-OUT1]]</f>
        <v>7</v>
      </c>
      <c r="BH343" t="str">
        <f t="shared" si="160"/>
        <v>Neutral</v>
      </c>
      <c r="BI343" s="32">
        <f t="shared" si="161"/>
        <v>1</v>
      </c>
    </row>
    <row r="344" spans="1:61" x14ac:dyDescent="0.45">
      <c r="A344" s="30">
        <f>step3_validation[[#This Row],[Persona_ID]]</f>
        <v>343</v>
      </c>
      <c r="B344" s="31">
        <f>step3_validation[[#This Row],[Used_Seed]]</f>
        <v>2333</v>
      </c>
      <c r="C344" t="str">
        <f>step3_validation[[#This Row],[Gender]]</f>
        <v>Nam</v>
      </c>
      <c r="D344" t="str">
        <f>survey_responses[[#This Row],[Giới tính của bạn:]]</f>
        <v>Nam</v>
      </c>
      <c r="E344" t="str">
        <f>step3_validation[[#This Row],[Age_Group]]</f>
        <v>25 - 29</v>
      </c>
      <c r="F344" t="str">
        <f>survey_responses[[#This Row],[Độ tuổi của bạn:]]</f>
        <v>25 - 29</v>
      </c>
      <c r="G344" t="str">
        <f>step3_validation[[#This Row],[Region]]</f>
        <v>Thành thị</v>
      </c>
      <c r="H344" t="str">
        <f>survey_responses[[#This Row],[Khu vực bạn đang sinh sống:]]</f>
        <v>Thành thị</v>
      </c>
      <c r="I344" t="str">
        <f>step3_validation[[#This Row],[Education]]</f>
        <v>Đại học</v>
      </c>
      <c r="J344" t="str">
        <f>survey_responses[[#This Row],[Trình độ học vấn cao nhất:]]</f>
        <v>Đại học</v>
      </c>
      <c r="K344" t="str">
        <f>step3_validation[[#This Row],[Employment]]</f>
        <v>Chính thức</v>
      </c>
      <c r="L344" t="str">
        <f>survey_responses[[#This Row],[Tình trạng việc làm chính:]]</f>
        <v>Khu vực chính thức (Có Hợp đồng lao động, đóng BHXH)</v>
      </c>
      <c r="M344">
        <f>step3_validation[[#This Row],[Income_Mil]]</f>
        <v>14.640203362523385</v>
      </c>
      <c r="N344" t="str">
        <f>survey_responses[[#This Row],[Thu nhập bình quân tháng theo Hợp đồng lao động của bạn là bao nhiêu? (Vui lòng điền tổng thu nhập trước khi khấu trừ các loại Bảo hiểm (BHXH, BHYT, BHTN) và Thuế TNCN)]]</f>
        <v>Từ 12 - 18 triệu VNĐ</v>
      </c>
      <c r="O344">
        <f>step3_validation[[#This Row],[Dependents]]</f>
        <v>0</v>
      </c>
      <c r="P344" t="str">
        <f>survey_responses[[#This Row],[Số người phụ thuộc (con nhỏ, cha mẹ già...) đủ điều kiện giảm trừ gia cảnh:]]</f>
        <v>0 người</v>
      </c>
      <c r="Q344">
        <f>step3_validation[[#This Row],[AI_ENF1]]</f>
        <v>6</v>
      </c>
      <c r="R344" t="str">
        <f t="shared" si="135"/>
        <v>Neutral</v>
      </c>
      <c r="S344">
        <f>survey_responses[[#This Row],[Tôi tin rằng với các quy định quản lý thuế hiện nay, hành vi gian lận hoặc trốn thuế sẽ dễ dàng bị phát hiện và xử lý nghiêm. - HUMAN-ENF1]]</f>
        <v>7</v>
      </c>
      <c r="T344" t="str">
        <f t="shared" si="136"/>
        <v>Neutral</v>
      </c>
      <c r="U344" s="32">
        <f t="shared" si="137"/>
        <v>1</v>
      </c>
      <c r="V344">
        <f>step3_validation[[#This Row],[AI_ENF2]]</f>
        <v>6</v>
      </c>
      <c r="W344" t="str">
        <f t="shared" si="138"/>
        <v>Neutral</v>
      </c>
      <c r="X344">
        <f>survey_responses[[#This Row],[Tôi tin rằng Nhà nước, cơ quan thuế có đủ khả năng và công nghệ để phát hiện, xử lý nghiêm các hành vi trốn thuế. - HUMAN-ENF2]]</f>
        <v>7</v>
      </c>
      <c r="Y344" t="str">
        <f t="shared" si="139"/>
        <v>Neutral</v>
      </c>
      <c r="Z344" s="32">
        <f t="shared" si="140"/>
        <v>1</v>
      </c>
      <c r="AA344">
        <f>step3_validation[[#This Row],[AI_FAC1]]</f>
        <v>8</v>
      </c>
      <c r="AB344" t="str">
        <f t="shared" si="141"/>
        <v>Support</v>
      </c>
      <c r="AC344">
        <f>survey_responses[[#This Row],[Các thủ tục khai báo thuế VÀ/HOẶC quy trình làm việc với cơ quan thuế đơn giản, tiện lợi, nhanh chóng hơn so với trước đây. - HUMAN-FAC1]]</f>
        <v>8</v>
      </c>
      <c r="AD344" t="str">
        <f t="shared" si="142"/>
        <v>Support</v>
      </c>
      <c r="AE344" s="32">
        <f t="shared" si="143"/>
        <v>0</v>
      </c>
      <c r="AF344">
        <f>step3_validation[[#This Row],[AI_FAC2]]</f>
        <v>9</v>
      </c>
      <c r="AG344" t="str">
        <f t="shared" si="144"/>
        <v>Support</v>
      </c>
      <c r="AH344">
        <f>survey_responses[[#This Row],[So với trước đây, tôi thấy cách tính thuế và các bậc thuế trong phương án mới đơn giản, dễ hiểu và dễ thực hiện hơn. - HUMAN-FAC2]]</f>
        <v>7</v>
      </c>
      <c r="AI344" t="str">
        <f t="shared" si="145"/>
        <v>Neutral</v>
      </c>
      <c r="AJ344" s="32">
        <f t="shared" si="146"/>
        <v>2</v>
      </c>
      <c r="AK344">
        <f>step3_validation[[#This Row],[AI_TRU1]]</f>
        <v>7</v>
      </c>
      <c r="AL344" t="str">
        <f t="shared" si="147"/>
        <v>Neutral</v>
      </c>
      <c r="AM344">
        <f>survey_responses[[#This Row],[Tôi tin rằng Nhà nước, cơ quan thuế sẽ thực thi chính sách mới một cách khách quan, công tâm và đối xử bình đẳng với mọi người nộp thuế.  - HUMAN-TRU1]]</f>
        <v>8</v>
      </c>
      <c r="AN344" t="str">
        <f t="shared" si="148"/>
        <v>Support</v>
      </c>
      <c r="AO344" s="32">
        <f t="shared" si="149"/>
        <v>1</v>
      </c>
      <c r="AP344">
        <f>step3_validation[[#This Row],[AI_TRU2]]</f>
        <v>8</v>
      </c>
      <c r="AQ344" t="str">
        <f t="shared" si="150"/>
        <v>Support</v>
      </c>
      <c r="AR344">
        <f>survey_responses[[#This Row],[Tôi thấy mức thuế tôi phải đóng theo phương án mới là công bằng (người thu nhập như tôi đóng mức này là hợp lý). - HUMAN-TRU2]]</f>
        <v>8</v>
      </c>
      <c r="AS344" t="str">
        <f t="shared" si="151"/>
        <v>Support</v>
      </c>
      <c r="AT344" s="32">
        <f t="shared" si="152"/>
        <v>0</v>
      </c>
      <c r="AU344">
        <f>step3_validation[[#This Row],[AI_TRU3]]</f>
        <v>7</v>
      </c>
      <c r="AV344" t="str">
        <f t="shared" si="153"/>
        <v>Neutral</v>
      </c>
      <c r="AW344">
        <f>survey_responses[[#This Row],[Tôi tin tưởng số tiền thuế tôi đóng sẽ được Nhà nước sử dụng hiệu quả để cải thiện dịch vụ công (y tế, đường xá...). - HUMAN-TRU3]]</f>
        <v>8</v>
      </c>
      <c r="AX344" t="str">
        <f t="shared" si="154"/>
        <v>Support</v>
      </c>
      <c r="AY344" s="32">
        <f t="shared" si="155"/>
        <v>1</v>
      </c>
      <c r="AZ344">
        <f>step3_validation[[#This Row],[AI_TRU4]]</f>
        <v>6</v>
      </c>
      <c r="BA344" t="str">
        <f t="shared" si="156"/>
        <v>Neutral</v>
      </c>
      <c r="BB344">
        <f>survey_responses[[#This Row],[Tôi thấy Nhà nước đã giải thích rõ ràng, minh bạch về lý do và mục tiêu của việc sửa đổi thuế lần này. - HUMAN-TRU4]]</f>
        <v>7</v>
      </c>
      <c r="BC344" t="str">
        <f t="shared" si="157"/>
        <v>Neutral</v>
      </c>
      <c r="BD344" s="32">
        <f t="shared" si="158"/>
        <v>1</v>
      </c>
      <c r="BE344">
        <f>step3_validation[[#This Row],[AI_OUT1]]</f>
        <v>7</v>
      </c>
      <c r="BF344" t="str">
        <f t="shared" si="159"/>
        <v>Neutral</v>
      </c>
      <c r="BG344">
        <f>survey_responses[[#This Row],[Sau khi xem xét các quyền lợi và nghĩa vụ, bạn có ủng hộ và tuân thủ chính sách mới hiện nay? - HUMAN-OUT1]]</f>
        <v>8</v>
      </c>
      <c r="BH344" t="str">
        <f t="shared" si="160"/>
        <v>Support</v>
      </c>
      <c r="BI344" s="32">
        <f t="shared" si="161"/>
        <v>1</v>
      </c>
    </row>
    <row r="345" spans="1:61" x14ac:dyDescent="0.45">
      <c r="A345" s="30">
        <f>step3_validation[[#This Row],[Persona_ID]]</f>
        <v>344</v>
      </c>
      <c r="B345" s="31">
        <f>step3_validation[[#This Row],[Used_Seed]]</f>
        <v>2334</v>
      </c>
      <c r="C345" t="str">
        <f>step3_validation[[#This Row],[Gender]]</f>
        <v>Nam</v>
      </c>
      <c r="D345" t="str">
        <f>survey_responses[[#This Row],[Giới tính của bạn:]]</f>
        <v>Nam</v>
      </c>
      <c r="E345" t="str">
        <f>step3_validation[[#This Row],[Age_Group]]</f>
        <v>30 - 39</v>
      </c>
      <c r="F345" t="str">
        <f>survey_responses[[#This Row],[Độ tuổi của bạn:]]</f>
        <v>30 - 39</v>
      </c>
      <c r="G345" t="str">
        <f>step3_validation[[#This Row],[Region]]</f>
        <v>Thành thị</v>
      </c>
      <c r="H345" t="str">
        <f>survey_responses[[#This Row],[Khu vực bạn đang sinh sống:]]</f>
        <v>Thành thị</v>
      </c>
      <c r="I345" t="str">
        <f>step3_validation[[#This Row],[Education]]</f>
        <v>Sau Đại học</v>
      </c>
      <c r="J345" t="str">
        <f>survey_responses[[#This Row],[Trình độ học vấn cao nhất:]]</f>
        <v>Sau Đại học</v>
      </c>
      <c r="K345" t="str">
        <f>step3_validation[[#This Row],[Employment]]</f>
        <v>Chính thức</v>
      </c>
      <c r="L345" t="str">
        <f>survey_responses[[#This Row],[Tình trạng việc làm chính:]]</f>
        <v>Khu vực chính thức (Có Hợp đồng lao động, đóng BHXH)</v>
      </c>
      <c r="M345">
        <f>step3_validation[[#This Row],[Income_Mil]]</f>
        <v>64.845851968529757</v>
      </c>
      <c r="N345" t="str">
        <f>survey_responses[[#This Row],[Thu nhập bình quân tháng theo Hợp đồng lao động của bạn là bao nhiêu? (Vui lòng điền tổng thu nhập trước khi khấu trừ các loại Bảo hiểm (BHXH, BHYT, BHTN) và Thuế TNCN)]]</f>
        <v>Từ 48 - 70 triệu VNĐ</v>
      </c>
      <c r="O345">
        <f>step3_validation[[#This Row],[Dependents]]</f>
        <v>2</v>
      </c>
      <c r="P345" t="str">
        <f>survey_responses[[#This Row],[Số người phụ thuộc (con nhỏ, cha mẹ già...) đủ điều kiện giảm trừ gia cảnh:]]</f>
        <v>2 người</v>
      </c>
      <c r="Q345">
        <f>step3_validation[[#This Row],[AI_ENF1]]</f>
        <v>6</v>
      </c>
      <c r="R345" t="str">
        <f t="shared" si="135"/>
        <v>Neutral</v>
      </c>
      <c r="S345">
        <f>survey_responses[[#This Row],[Tôi tin rằng với các quy định quản lý thuế hiện nay, hành vi gian lận hoặc trốn thuế sẽ dễ dàng bị phát hiện và xử lý nghiêm. - HUMAN-ENF1]]</f>
        <v>7</v>
      </c>
      <c r="T345" t="str">
        <f t="shared" si="136"/>
        <v>Neutral</v>
      </c>
      <c r="U345" s="32">
        <f t="shared" si="137"/>
        <v>1</v>
      </c>
      <c r="V345">
        <f>step3_validation[[#This Row],[AI_ENF2]]</f>
        <v>7</v>
      </c>
      <c r="W345" t="str">
        <f t="shared" si="138"/>
        <v>Neutral</v>
      </c>
      <c r="X345">
        <f>survey_responses[[#This Row],[Tôi tin rằng Nhà nước, cơ quan thuế có đủ khả năng và công nghệ để phát hiện, xử lý nghiêm các hành vi trốn thuế. - HUMAN-ENF2]]</f>
        <v>7</v>
      </c>
      <c r="Y345" t="str">
        <f t="shared" si="139"/>
        <v>Neutral</v>
      </c>
      <c r="Z345" s="32">
        <f t="shared" si="140"/>
        <v>0</v>
      </c>
      <c r="AA345">
        <f>step3_validation[[#This Row],[AI_FAC1]]</f>
        <v>8</v>
      </c>
      <c r="AB345" t="str">
        <f t="shared" si="141"/>
        <v>Support</v>
      </c>
      <c r="AC345">
        <f>survey_responses[[#This Row],[Các thủ tục khai báo thuế VÀ/HOẶC quy trình làm việc với cơ quan thuế đơn giản, tiện lợi, nhanh chóng hơn so với trước đây. - HUMAN-FAC1]]</f>
        <v>5</v>
      </c>
      <c r="AD345" t="str">
        <f t="shared" si="142"/>
        <v>Neutral</v>
      </c>
      <c r="AE345" s="32">
        <f t="shared" si="143"/>
        <v>3</v>
      </c>
      <c r="AF345">
        <f>step3_validation[[#This Row],[AI_FAC2]]</f>
        <v>6</v>
      </c>
      <c r="AG345" t="str">
        <f t="shared" si="144"/>
        <v>Neutral</v>
      </c>
      <c r="AH345">
        <f>survey_responses[[#This Row],[So với trước đây, tôi thấy cách tính thuế và các bậc thuế trong phương án mới đơn giản, dễ hiểu và dễ thực hiện hơn. - HUMAN-FAC2]]</f>
        <v>8</v>
      </c>
      <c r="AI345" t="str">
        <f t="shared" si="145"/>
        <v>Support</v>
      </c>
      <c r="AJ345" s="32">
        <f t="shared" si="146"/>
        <v>2</v>
      </c>
      <c r="AK345">
        <f>step3_validation[[#This Row],[AI_TRU1]]</f>
        <v>7</v>
      </c>
      <c r="AL345" t="str">
        <f t="shared" si="147"/>
        <v>Neutral</v>
      </c>
      <c r="AM345">
        <f>survey_responses[[#This Row],[Tôi tin rằng Nhà nước, cơ quan thuế sẽ thực thi chính sách mới một cách khách quan, công tâm và đối xử bình đẳng với mọi người nộp thuế.  - HUMAN-TRU1]]</f>
        <v>6</v>
      </c>
      <c r="AN345" t="str">
        <f t="shared" si="148"/>
        <v>Neutral</v>
      </c>
      <c r="AO345" s="32">
        <f t="shared" si="149"/>
        <v>1</v>
      </c>
      <c r="AP345">
        <f>step3_validation[[#This Row],[AI_TRU2]]</f>
        <v>6</v>
      </c>
      <c r="AQ345" t="str">
        <f t="shared" si="150"/>
        <v>Neutral</v>
      </c>
      <c r="AR345">
        <f>survey_responses[[#This Row],[Tôi thấy mức thuế tôi phải đóng theo phương án mới là công bằng (người thu nhập như tôi đóng mức này là hợp lý). - HUMAN-TRU2]]</f>
        <v>5</v>
      </c>
      <c r="AS345" t="str">
        <f t="shared" si="151"/>
        <v>Neutral</v>
      </c>
      <c r="AT345" s="32">
        <f t="shared" si="152"/>
        <v>1</v>
      </c>
      <c r="AU345">
        <f>step3_validation[[#This Row],[AI_TRU3]]</f>
        <v>7</v>
      </c>
      <c r="AV345" t="str">
        <f t="shared" si="153"/>
        <v>Neutral</v>
      </c>
      <c r="AW345">
        <f>survey_responses[[#This Row],[Tôi tin tưởng số tiền thuế tôi đóng sẽ được Nhà nước sử dụng hiệu quả để cải thiện dịch vụ công (y tế, đường xá...). - HUMAN-TRU3]]</f>
        <v>5</v>
      </c>
      <c r="AX345" t="str">
        <f t="shared" si="154"/>
        <v>Neutral</v>
      </c>
      <c r="AY345" s="32">
        <f t="shared" si="155"/>
        <v>2</v>
      </c>
      <c r="AZ345">
        <f>step3_validation[[#This Row],[AI_TRU4]]</f>
        <v>5</v>
      </c>
      <c r="BA345" t="str">
        <f t="shared" si="156"/>
        <v>Neutral</v>
      </c>
      <c r="BB345">
        <f>survey_responses[[#This Row],[Tôi thấy Nhà nước đã giải thích rõ ràng, minh bạch về lý do và mục tiêu của việc sửa đổi thuế lần này. - HUMAN-TRU4]]</f>
        <v>6</v>
      </c>
      <c r="BC345" t="str">
        <f t="shared" si="157"/>
        <v>Neutral</v>
      </c>
      <c r="BD345" s="32">
        <f t="shared" si="158"/>
        <v>1</v>
      </c>
      <c r="BE345">
        <f>step3_validation[[#This Row],[AI_OUT1]]</f>
        <v>6</v>
      </c>
      <c r="BF345" t="str">
        <f t="shared" si="159"/>
        <v>Neutral</v>
      </c>
      <c r="BG345">
        <f>survey_responses[[#This Row],[Sau khi xem xét các quyền lợi và nghĩa vụ, bạn có ủng hộ và tuân thủ chính sách mới hiện nay? - HUMAN-OUT1]]</f>
        <v>5</v>
      </c>
      <c r="BH345" t="str">
        <f t="shared" si="160"/>
        <v>Neutral</v>
      </c>
      <c r="BI345" s="32">
        <f t="shared" si="161"/>
        <v>1</v>
      </c>
    </row>
    <row r="346" spans="1:61" x14ac:dyDescent="0.45">
      <c r="A346" s="30">
        <f>step3_validation[[#This Row],[Persona_ID]]</f>
        <v>345</v>
      </c>
      <c r="B346" s="31">
        <f>step3_validation[[#This Row],[Used_Seed]]</f>
        <v>2335</v>
      </c>
      <c r="C346" t="str">
        <f>step3_validation[[#This Row],[Gender]]</f>
        <v>Nữ</v>
      </c>
      <c r="D346" t="str">
        <f>survey_responses[[#This Row],[Giới tính của bạn:]]</f>
        <v>Nữ</v>
      </c>
      <c r="E346" t="str">
        <f>step3_validation[[#This Row],[Age_Group]]</f>
        <v>25 - 29</v>
      </c>
      <c r="F346" t="str">
        <f>survey_responses[[#This Row],[Độ tuổi của bạn:]]</f>
        <v>25 - 29</v>
      </c>
      <c r="G346" t="str">
        <f>step3_validation[[#This Row],[Region]]</f>
        <v>Thành thị</v>
      </c>
      <c r="H346" t="str">
        <f>survey_responses[[#This Row],[Khu vực bạn đang sinh sống:]]</f>
        <v>Thành thị</v>
      </c>
      <c r="I346" t="str">
        <f>step3_validation[[#This Row],[Education]]</f>
        <v>Đại học</v>
      </c>
      <c r="J346" t="str">
        <f>survey_responses[[#This Row],[Trình độ học vấn cao nhất:]]</f>
        <v>Đại học</v>
      </c>
      <c r="K346" t="str">
        <f>step3_validation[[#This Row],[Employment]]</f>
        <v>Chính thức</v>
      </c>
      <c r="L346" t="str">
        <f>survey_responses[[#This Row],[Tình trạng việc làm chính:]]</f>
        <v>Khu vực chính thức (Có Hợp đồng lao động, đóng BHXH)</v>
      </c>
      <c r="M346">
        <f>step3_validation[[#This Row],[Income_Mil]]</f>
        <v>15.829406271752029</v>
      </c>
      <c r="N346" t="str">
        <f>survey_responses[[#This Row],[Thu nhập bình quân tháng theo Hợp đồng lao động của bạn là bao nhiêu? (Vui lòng điền tổng thu nhập trước khi khấu trừ các loại Bảo hiểm (BHXH, BHYT, BHTN) và Thuế TNCN)]]</f>
        <v>Từ 12 - 18 triệu VNĐ</v>
      </c>
      <c r="O346">
        <f>step3_validation[[#This Row],[Dependents]]</f>
        <v>0</v>
      </c>
      <c r="P346" t="str">
        <f>survey_responses[[#This Row],[Số người phụ thuộc (con nhỏ, cha mẹ già...) đủ điều kiện giảm trừ gia cảnh:]]</f>
        <v>0 người</v>
      </c>
      <c r="Q346">
        <f>step3_validation[[#This Row],[AI_ENF1]]</f>
        <v>7</v>
      </c>
      <c r="R346" t="str">
        <f t="shared" si="135"/>
        <v>Neutral</v>
      </c>
      <c r="S346">
        <f>survey_responses[[#This Row],[Tôi tin rằng với các quy định quản lý thuế hiện nay, hành vi gian lận hoặc trốn thuế sẽ dễ dàng bị phát hiện và xử lý nghiêm. - HUMAN-ENF1]]</f>
        <v>7</v>
      </c>
      <c r="T346" t="str">
        <f t="shared" si="136"/>
        <v>Neutral</v>
      </c>
      <c r="U346" s="32">
        <f t="shared" si="137"/>
        <v>0</v>
      </c>
      <c r="V346">
        <f>step3_validation[[#This Row],[AI_ENF2]]</f>
        <v>6</v>
      </c>
      <c r="W346" t="str">
        <f t="shared" si="138"/>
        <v>Neutral</v>
      </c>
      <c r="X346">
        <f>survey_responses[[#This Row],[Tôi tin rằng Nhà nước, cơ quan thuế có đủ khả năng và công nghệ để phát hiện, xử lý nghiêm các hành vi trốn thuế. - HUMAN-ENF2]]</f>
        <v>7</v>
      </c>
      <c r="Y346" t="str">
        <f t="shared" si="139"/>
        <v>Neutral</v>
      </c>
      <c r="Z346" s="32">
        <f t="shared" si="140"/>
        <v>1</v>
      </c>
      <c r="AA346">
        <f>step3_validation[[#This Row],[AI_FAC1]]</f>
        <v>8</v>
      </c>
      <c r="AB346" t="str">
        <f t="shared" si="141"/>
        <v>Support</v>
      </c>
      <c r="AC346">
        <f>survey_responses[[#This Row],[Các thủ tục khai báo thuế VÀ/HOẶC quy trình làm việc với cơ quan thuế đơn giản, tiện lợi, nhanh chóng hơn so với trước đây. - HUMAN-FAC1]]</f>
        <v>5</v>
      </c>
      <c r="AD346" t="str">
        <f t="shared" si="142"/>
        <v>Neutral</v>
      </c>
      <c r="AE346" s="32">
        <f t="shared" si="143"/>
        <v>3</v>
      </c>
      <c r="AF346">
        <f>step3_validation[[#This Row],[AI_FAC2]]</f>
        <v>9</v>
      </c>
      <c r="AG346" t="str">
        <f t="shared" si="144"/>
        <v>Support</v>
      </c>
      <c r="AH346">
        <f>survey_responses[[#This Row],[So với trước đây, tôi thấy cách tính thuế và các bậc thuế trong phương án mới đơn giản, dễ hiểu và dễ thực hiện hơn. - HUMAN-FAC2]]</f>
        <v>8</v>
      </c>
      <c r="AI346" t="str">
        <f t="shared" si="145"/>
        <v>Support</v>
      </c>
      <c r="AJ346" s="32">
        <f t="shared" si="146"/>
        <v>1</v>
      </c>
      <c r="AK346">
        <f>step3_validation[[#This Row],[AI_TRU1]]</f>
        <v>7</v>
      </c>
      <c r="AL346" t="str">
        <f t="shared" si="147"/>
        <v>Neutral</v>
      </c>
      <c r="AM346">
        <f>survey_responses[[#This Row],[Tôi tin rằng Nhà nước, cơ quan thuế sẽ thực thi chính sách mới một cách khách quan, công tâm và đối xử bình đẳng với mọi người nộp thuế.  - HUMAN-TRU1]]</f>
        <v>7</v>
      </c>
      <c r="AN346" t="str">
        <f t="shared" si="148"/>
        <v>Neutral</v>
      </c>
      <c r="AO346" s="32">
        <f t="shared" si="149"/>
        <v>0</v>
      </c>
      <c r="AP346">
        <f>step3_validation[[#This Row],[AI_TRU2]]</f>
        <v>6</v>
      </c>
      <c r="AQ346" t="str">
        <f t="shared" si="150"/>
        <v>Neutral</v>
      </c>
      <c r="AR346">
        <f>survey_responses[[#This Row],[Tôi thấy mức thuế tôi phải đóng theo phương án mới là công bằng (người thu nhập như tôi đóng mức này là hợp lý). - HUMAN-TRU2]]</f>
        <v>7</v>
      </c>
      <c r="AS346" t="str">
        <f t="shared" si="151"/>
        <v>Neutral</v>
      </c>
      <c r="AT346" s="32">
        <f t="shared" si="152"/>
        <v>1</v>
      </c>
      <c r="AU346">
        <f>step3_validation[[#This Row],[AI_TRU3]]</f>
        <v>7</v>
      </c>
      <c r="AV346" t="str">
        <f t="shared" si="153"/>
        <v>Neutral</v>
      </c>
      <c r="AW346">
        <f>survey_responses[[#This Row],[Tôi tin tưởng số tiền thuế tôi đóng sẽ được Nhà nước sử dụng hiệu quả để cải thiện dịch vụ công (y tế, đường xá...). - HUMAN-TRU3]]</f>
        <v>6</v>
      </c>
      <c r="AX346" t="str">
        <f t="shared" si="154"/>
        <v>Neutral</v>
      </c>
      <c r="AY346" s="32">
        <f t="shared" si="155"/>
        <v>1</v>
      </c>
      <c r="AZ346">
        <f>step3_validation[[#This Row],[AI_TRU4]]</f>
        <v>6</v>
      </c>
      <c r="BA346" t="str">
        <f t="shared" si="156"/>
        <v>Neutral</v>
      </c>
      <c r="BB346">
        <f>survey_responses[[#This Row],[Tôi thấy Nhà nước đã giải thích rõ ràng, minh bạch về lý do và mục tiêu của việc sửa đổi thuế lần này. - HUMAN-TRU4]]</f>
        <v>7</v>
      </c>
      <c r="BC346" t="str">
        <f t="shared" si="157"/>
        <v>Neutral</v>
      </c>
      <c r="BD346" s="32">
        <f t="shared" si="158"/>
        <v>1</v>
      </c>
      <c r="BE346">
        <f>step3_validation[[#This Row],[AI_OUT1]]</f>
        <v>8</v>
      </c>
      <c r="BF346" t="str">
        <f t="shared" si="159"/>
        <v>Support</v>
      </c>
      <c r="BG346">
        <f>survey_responses[[#This Row],[Sau khi xem xét các quyền lợi và nghĩa vụ, bạn có ủng hộ và tuân thủ chính sách mới hiện nay? - HUMAN-OUT1]]</f>
        <v>7</v>
      </c>
      <c r="BH346" t="str">
        <f t="shared" si="160"/>
        <v>Neutral</v>
      </c>
      <c r="BI346" s="32">
        <f t="shared" si="161"/>
        <v>1</v>
      </c>
    </row>
    <row r="347" spans="1:61" x14ac:dyDescent="0.45">
      <c r="A347" s="30">
        <f>step3_validation[[#This Row],[Persona_ID]]</f>
        <v>346</v>
      </c>
      <c r="B347" s="31">
        <f>step3_validation[[#This Row],[Used_Seed]]</f>
        <v>2336</v>
      </c>
      <c r="C347" t="str">
        <f>step3_validation[[#This Row],[Gender]]</f>
        <v>Nữ</v>
      </c>
      <c r="D347" t="str">
        <f>survey_responses[[#This Row],[Giới tính của bạn:]]</f>
        <v>Nữ</v>
      </c>
      <c r="E347" t="str">
        <f>step3_validation[[#This Row],[Age_Group]]</f>
        <v>30 - 39</v>
      </c>
      <c r="F347" t="str">
        <f>survey_responses[[#This Row],[Độ tuổi của bạn:]]</f>
        <v>30 - 39</v>
      </c>
      <c r="G347" t="str">
        <f>step3_validation[[#This Row],[Region]]</f>
        <v>Thành thị</v>
      </c>
      <c r="H347" t="str">
        <f>survey_responses[[#This Row],[Khu vực bạn đang sinh sống:]]</f>
        <v>Thành thị</v>
      </c>
      <c r="I347" t="str">
        <f>step3_validation[[#This Row],[Education]]</f>
        <v>Đại học</v>
      </c>
      <c r="J347" t="str">
        <f>survey_responses[[#This Row],[Trình độ học vấn cao nhất:]]</f>
        <v>Đại học</v>
      </c>
      <c r="K347" t="str">
        <f>step3_validation[[#This Row],[Employment]]</f>
        <v>Chính thức</v>
      </c>
      <c r="L347" t="str">
        <f>survey_responses[[#This Row],[Tình trạng việc làm chính:]]</f>
        <v>Khu vực chính thức (Có Hợp đồng lao động, đóng BHXH)</v>
      </c>
      <c r="M347">
        <f>step3_validation[[#This Row],[Income_Mil]]</f>
        <v>25.519211290085583</v>
      </c>
      <c r="N347" t="str">
        <f>survey_responses[[#This Row],[Thu nhập bình quân tháng theo Hợp đồng lao động của bạn là bao nhiêu? (Vui lòng điền tổng thu nhập trước khi khấu trừ các loại Bảo hiểm (BHXH, BHYT, BHTN) và Thuế TNCN)]]</f>
        <v>Từ 23 - 32 triệu VNĐ</v>
      </c>
      <c r="O347">
        <f>step3_validation[[#This Row],[Dependents]]</f>
        <v>1</v>
      </c>
      <c r="P347" t="str">
        <f>survey_responses[[#This Row],[Số người phụ thuộc (con nhỏ, cha mẹ già...) đủ điều kiện giảm trừ gia cảnh:]]</f>
        <v>1 người</v>
      </c>
      <c r="Q347">
        <f>step3_validation[[#This Row],[AI_ENF1]]</f>
        <v>6</v>
      </c>
      <c r="R347" t="str">
        <f t="shared" si="135"/>
        <v>Neutral</v>
      </c>
      <c r="S347">
        <f>survey_responses[[#This Row],[Tôi tin rằng với các quy định quản lý thuế hiện nay, hành vi gian lận hoặc trốn thuế sẽ dễ dàng bị phát hiện và xử lý nghiêm. - HUMAN-ENF1]]</f>
        <v>9</v>
      </c>
      <c r="T347" t="str">
        <f t="shared" si="136"/>
        <v>Support</v>
      </c>
      <c r="U347" s="32">
        <f t="shared" si="137"/>
        <v>3</v>
      </c>
      <c r="V347">
        <f>step3_validation[[#This Row],[AI_ENF2]]</f>
        <v>7</v>
      </c>
      <c r="W347" t="str">
        <f t="shared" si="138"/>
        <v>Neutral</v>
      </c>
      <c r="X347">
        <f>survey_responses[[#This Row],[Tôi tin rằng Nhà nước, cơ quan thuế có đủ khả năng và công nghệ để phát hiện, xử lý nghiêm các hành vi trốn thuế. - HUMAN-ENF2]]</f>
        <v>8</v>
      </c>
      <c r="Y347" t="str">
        <f t="shared" si="139"/>
        <v>Support</v>
      </c>
      <c r="Z347" s="32">
        <f t="shared" si="140"/>
        <v>1</v>
      </c>
      <c r="AA347">
        <f>step3_validation[[#This Row],[AI_FAC1]]</f>
        <v>8</v>
      </c>
      <c r="AB347" t="str">
        <f t="shared" si="141"/>
        <v>Support</v>
      </c>
      <c r="AC347">
        <f>survey_responses[[#This Row],[Các thủ tục khai báo thuế VÀ/HOẶC quy trình làm việc với cơ quan thuế đơn giản, tiện lợi, nhanh chóng hơn so với trước đây. - HUMAN-FAC1]]</f>
        <v>8</v>
      </c>
      <c r="AD347" t="str">
        <f t="shared" si="142"/>
        <v>Support</v>
      </c>
      <c r="AE347" s="32">
        <f t="shared" si="143"/>
        <v>0</v>
      </c>
      <c r="AF347">
        <f>step3_validation[[#This Row],[AI_FAC2]]</f>
        <v>9</v>
      </c>
      <c r="AG347" t="str">
        <f t="shared" si="144"/>
        <v>Support</v>
      </c>
      <c r="AH347">
        <f>survey_responses[[#This Row],[So với trước đây, tôi thấy cách tính thuế và các bậc thuế trong phương án mới đơn giản, dễ hiểu và dễ thực hiện hơn. - HUMAN-FAC2]]</f>
        <v>9</v>
      </c>
      <c r="AI347" t="str">
        <f t="shared" si="145"/>
        <v>Support</v>
      </c>
      <c r="AJ347" s="32">
        <f t="shared" si="146"/>
        <v>0</v>
      </c>
      <c r="AK347">
        <f>step3_validation[[#This Row],[AI_TRU1]]</f>
        <v>8</v>
      </c>
      <c r="AL347" t="str">
        <f t="shared" si="147"/>
        <v>Support</v>
      </c>
      <c r="AM347">
        <f>survey_responses[[#This Row],[Tôi tin rằng Nhà nước, cơ quan thuế sẽ thực thi chính sách mới một cách khách quan, công tâm và đối xử bình đẳng với mọi người nộp thuế.  - HUMAN-TRU1]]</f>
        <v>7</v>
      </c>
      <c r="AN347" t="str">
        <f t="shared" si="148"/>
        <v>Neutral</v>
      </c>
      <c r="AO347" s="32">
        <f t="shared" si="149"/>
        <v>1</v>
      </c>
      <c r="AP347">
        <f>step3_validation[[#This Row],[AI_TRU2]]</f>
        <v>7</v>
      </c>
      <c r="AQ347" t="str">
        <f t="shared" si="150"/>
        <v>Neutral</v>
      </c>
      <c r="AR347">
        <f>survey_responses[[#This Row],[Tôi thấy mức thuế tôi phải đóng theo phương án mới là công bằng (người thu nhập như tôi đóng mức này là hợp lý). - HUMAN-TRU2]]</f>
        <v>8</v>
      </c>
      <c r="AS347" t="str">
        <f t="shared" si="151"/>
        <v>Support</v>
      </c>
      <c r="AT347" s="32">
        <f t="shared" si="152"/>
        <v>1</v>
      </c>
      <c r="AU347">
        <f>step3_validation[[#This Row],[AI_TRU3]]</f>
        <v>8</v>
      </c>
      <c r="AV347" t="str">
        <f t="shared" si="153"/>
        <v>Support</v>
      </c>
      <c r="AW347">
        <f>survey_responses[[#This Row],[Tôi tin tưởng số tiền thuế tôi đóng sẽ được Nhà nước sử dụng hiệu quả để cải thiện dịch vụ công (y tế, đường xá...). - HUMAN-TRU3]]</f>
        <v>7</v>
      </c>
      <c r="AX347" t="str">
        <f t="shared" si="154"/>
        <v>Neutral</v>
      </c>
      <c r="AY347" s="32">
        <f t="shared" si="155"/>
        <v>1</v>
      </c>
      <c r="AZ347">
        <f>step3_validation[[#This Row],[AI_TRU4]]</f>
        <v>7</v>
      </c>
      <c r="BA347" t="str">
        <f t="shared" si="156"/>
        <v>Neutral</v>
      </c>
      <c r="BB347">
        <f>survey_responses[[#This Row],[Tôi thấy Nhà nước đã giải thích rõ ràng, minh bạch về lý do và mục tiêu của việc sửa đổi thuế lần này. - HUMAN-TRU4]]</f>
        <v>7</v>
      </c>
      <c r="BC347" t="str">
        <f t="shared" si="157"/>
        <v>Neutral</v>
      </c>
      <c r="BD347" s="32">
        <f t="shared" si="158"/>
        <v>0</v>
      </c>
      <c r="BE347">
        <f>step3_validation[[#This Row],[AI_OUT1]]</f>
        <v>8</v>
      </c>
      <c r="BF347" t="str">
        <f t="shared" si="159"/>
        <v>Support</v>
      </c>
      <c r="BG347">
        <f>survey_responses[[#This Row],[Sau khi xem xét các quyền lợi và nghĩa vụ, bạn có ủng hộ và tuân thủ chính sách mới hiện nay? - HUMAN-OUT1]]</f>
        <v>8</v>
      </c>
      <c r="BH347" t="str">
        <f t="shared" si="160"/>
        <v>Support</v>
      </c>
      <c r="BI347" s="32">
        <f t="shared" si="161"/>
        <v>0</v>
      </c>
    </row>
    <row r="348" spans="1:61" x14ac:dyDescent="0.45">
      <c r="A348" s="30">
        <f>step3_validation[[#This Row],[Persona_ID]]</f>
        <v>347</v>
      </c>
      <c r="B348" s="31">
        <f>step3_validation[[#This Row],[Used_Seed]]</f>
        <v>2337</v>
      </c>
      <c r="C348" t="str">
        <f>step3_validation[[#This Row],[Gender]]</f>
        <v>Nữ</v>
      </c>
      <c r="D348" t="str">
        <f>survey_responses[[#This Row],[Giới tính của bạn:]]</f>
        <v>Nữ</v>
      </c>
      <c r="E348" t="str">
        <f>step3_validation[[#This Row],[Age_Group]]</f>
        <v>25 - 29</v>
      </c>
      <c r="F348" t="str">
        <f>survey_responses[[#This Row],[Độ tuổi của bạn:]]</f>
        <v>25 - 29</v>
      </c>
      <c r="G348" t="str">
        <f>step3_validation[[#This Row],[Region]]</f>
        <v>Thành thị</v>
      </c>
      <c r="H348" t="str">
        <f>survey_responses[[#This Row],[Khu vực bạn đang sinh sống:]]</f>
        <v>Thành thị</v>
      </c>
      <c r="I348" t="str">
        <f>step3_validation[[#This Row],[Education]]</f>
        <v>Đại học</v>
      </c>
      <c r="J348" t="str">
        <f>survey_responses[[#This Row],[Trình độ học vấn cao nhất:]]</f>
        <v>Đại học</v>
      </c>
      <c r="K348" t="str">
        <f>step3_validation[[#This Row],[Employment]]</f>
        <v>Chính thức</v>
      </c>
      <c r="L348" t="str">
        <f>survey_responses[[#This Row],[Tình trạng việc làm chính:]]</f>
        <v>Khu vực chính thức (Có Hợp đồng lao động, đóng BHXH)</v>
      </c>
      <c r="M348">
        <f>step3_validation[[#This Row],[Income_Mil]]</f>
        <v>20.777676159732167</v>
      </c>
      <c r="N348" t="str">
        <f>survey_responses[[#This Row],[Thu nhập bình quân tháng theo Hợp đồng lao động của bạn là bao nhiêu? (Vui lòng điền tổng thu nhập trước khi khấu trừ các loại Bảo hiểm (BHXH, BHYT, BHTN) và Thuế TNCN)]]</f>
        <v>Từ 18 - 23 triệu VNĐ</v>
      </c>
      <c r="O348">
        <f>step3_validation[[#This Row],[Dependents]]</f>
        <v>0</v>
      </c>
      <c r="P348" t="str">
        <f>survey_responses[[#This Row],[Số người phụ thuộc (con nhỏ, cha mẹ già...) đủ điều kiện giảm trừ gia cảnh:]]</f>
        <v>0 người</v>
      </c>
      <c r="Q348">
        <f>step3_validation[[#This Row],[AI_ENF1]]</f>
        <v>7</v>
      </c>
      <c r="R348" t="str">
        <f t="shared" si="135"/>
        <v>Neutral</v>
      </c>
      <c r="S348">
        <f>survey_responses[[#This Row],[Tôi tin rằng với các quy định quản lý thuế hiện nay, hành vi gian lận hoặc trốn thuế sẽ dễ dàng bị phát hiện và xử lý nghiêm. - HUMAN-ENF1]]</f>
        <v>8</v>
      </c>
      <c r="T348" t="str">
        <f t="shared" si="136"/>
        <v>Support</v>
      </c>
      <c r="U348" s="32">
        <f t="shared" si="137"/>
        <v>1</v>
      </c>
      <c r="V348">
        <f>step3_validation[[#This Row],[AI_ENF2]]</f>
        <v>8</v>
      </c>
      <c r="W348" t="str">
        <f t="shared" si="138"/>
        <v>Support</v>
      </c>
      <c r="X348">
        <f>survey_responses[[#This Row],[Tôi tin rằng Nhà nước, cơ quan thuế có đủ khả năng và công nghệ để phát hiện, xử lý nghiêm các hành vi trốn thuế. - HUMAN-ENF2]]</f>
        <v>8</v>
      </c>
      <c r="Y348" t="str">
        <f t="shared" si="139"/>
        <v>Support</v>
      </c>
      <c r="Z348" s="32">
        <f t="shared" si="140"/>
        <v>0</v>
      </c>
      <c r="AA348">
        <f>step3_validation[[#This Row],[AI_FAC1]]</f>
        <v>6</v>
      </c>
      <c r="AB348" t="str">
        <f t="shared" si="141"/>
        <v>Neutral</v>
      </c>
      <c r="AC348">
        <f>survey_responses[[#This Row],[Các thủ tục khai báo thuế VÀ/HOẶC quy trình làm việc với cơ quan thuế đơn giản, tiện lợi, nhanh chóng hơn so với trước đây. - HUMAN-FAC1]]</f>
        <v>7</v>
      </c>
      <c r="AD348" t="str">
        <f t="shared" si="142"/>
        <v>Neutral</v>
      </c>
      <c r="AE348" s="32">
        <f t="shared" si="143"/>
        <v>1</v>
      </c>
      <c r="AF348">
        <f>step3_validation[[#This Row],[AI_FAC2]]</f>
        <v>8</v>
      </c>
      <c r="AG348" t="str">
        <f t="shared" si="144"/>
        <v>Support</v>
      </c>
      <c r="AH348">
        <f>survey_responses[[#This Row],[So với trước đây, tôi thấy cách tính thuế và các bậc thuế trong phương án mới đơn giản, dễ hiểu và dễ thực hiện hơn. - HUMAN-FAC2]]</f>
        <v>8</v>
      </c>
      <c r="AI348" t="str">
        <f t="shared" si="145"/>
        <v>Support</v>
      </c>
      <c r="AJ348" s="32">
        <f t="shared" si="146"/>
        <v>0</v>
      </c>
      <c r="AK348">
        <f>step3_validation[[#This Row],[AI_TRU1]]</f>
        <v>9</v>
      </c>
      <c r="AL348" t="str">
        <f t="shared" si="147"/>
        <v>Support</v>
      </c>
      <c r="AM348">
        <f>survey_responses[[#This Row],[Tôi tin rằng Nhà nước, cơ quan thuế sẽ thực thi chính sách mới một cách khách quan, công tâm và đối xử bình đẳng với mọi người nộp thuế.  - HUMAN-TRU1]]</f>
        <v>6</v>
      </c>
      <c r="AN348" t="str">
        <f t="shared" si="148"/>
        <v>Neutral</v>
      </c>
      <c r="AO348" s="32">
        <f t="shared" si="149"/>
        <v>3</v>
      </c>
      <c r="AP348">
        <f>step3_validation[[#This Row],[AI_TRU2]]</f>
        <v>7</v>
      </c>
      <c r="AQ348" t="str">
        <f t="shared" si="150"/>
        <v>Neutral</v>
      </c>
      <c r="AR348">
        <f>survey_responses[[#This Row],[Tôi thấy mức thuế tôi phải đóng theo phương án mới là công bằng (người thu nhập như tôi đóng mức này là hợp lý). - HUMAN-TRU2]]</f>
        <v>8</v>
      </c>
      <c r="AS348" t="str">
        <f t="shared" si="151"/>
        <v>Support</v>
      </c>
      <c r="AT348" s="32">
        <f t="shared" si="152"/>
        <v>1</v>
      </c>
      <c r="AU348">
        <f>step3_validation[[#This Row],[AI_TRU3]]</f>
        <v>8</v>
      </c>
      <c r="AV348" t="str">
        <f t="shared" si="153"/>
        <v>Support</v>
      </c>
      <c r="AW348">
        <f>survey_responses[[#This Row],[Tôi tin tưởng số tiền thuế tôi đóng sẽ được Nhà nước sử dụng hiệu quả để cải thiện dịch vụ công (y tế, đường xá...). - HUMAN-TRU3]]</f>
        <v>6</v>
      </c>
      <c r="AX348" t="str">
        <f t="shared" si="154"/>
        <v>Neutral</v>
      </c>
      <c r="AY348" s="32">
        <f t="shared" si="155"/>
        <v>2</v>
      </c>
      <c r="AZ348">
        <f>step3_validation[[#This Row],[AI_TRU4]]</f>
        <v>6</v>
      </c>
      <c r="BA348" t="str">
        <f t="shared" si="156"/>
        <v>Neutral</v>
      </c>
      <c r="BB348">
        <f>survey_responses[[#This Row],[Tôi thấy Nhà nước đã giải thích rõ ràng, minh bạch về lý do và mục tiêu của việc sửa đổi thuế lần này. - HUMAN-TRU4]]</f>
        <v>6</v>
      </c>
      <c r="BC348" t="str">
        <f t="shared" si="157"/>
        <v>Neutral</v>
      </c>
      <c r="BD348" s="32">
        <f t="shared" si="158"/>
        <v>0</v>
      </c>
      <c r="BE348">
        <f>step3_validation[[#This Row],[AI_OUT1]]</f>
        <v>8</v>
      </c>
      <c r="BF348" t="str">
        <f t="shared" si="159"/>
        <v>Support</v>
      </c>
      <c r="BG348">
        <f>survey_responses[[#This Row],[Sau khi xem xét các quyền lợi và nghĩa vụ, bạn có ủng hộ và tuân thủ chính sách mới hiện nay? - HUMAN-OUT1]]</f>
        <v>8</v>
      </c>
      <c r="BH348" t="str">
        <f t="shared" si="160"/>
        <v>Support</v>
      </c>
      <c r="BI348" s="32">
        <f t="shared" si="161"/>
        <v>0</v>
      </c>
    </row>
    <row r="349" spans="1:61" x14ac:dyDescent="0.45">
      <c r="A349" s="30">
        <f>step3_validation[[#This Row],[Persona_ID]]</f>
        <v>348</v>
      </c>
      <c r="B349" s="31">
        <f>step3_validation[[#This Row],[Used_Seed]]</f>
        <v>2338</v>
      </c>
      <c r="C349" t="str">
        <f>step3_validation[[#This Row],[Gender]]</f>
        <v>Nữ</v>
      </c>
      <c r="D349" t="str">
        <f>survey_responses[[#This Row],[Giới tính của bạn:]]</f>
        <v>Nữ</v>
      </c>
      <c r="E349" t="str">
        <f>step3_validation[[#This Row],[Age_Group]]</f>
        <v>25 - 29</v>
      </c>
      <c r="F349" t="str">
        <f>survey_responses[[#This Row],[Độ tuổi của bạn:]]</f>
        <v>25 - 29</v>
      </c>
      <c r="G349" t="str">
        <f>step3_validation[[#This Row],[Region]]</f>
        <v>Thành thị</v>
      </c>
      <c r="H349" t="str">
        <f>survey_responses[[#This Row],[Khu vực bạn đang sinh sống:]]</f>
        <v>Thành thị</v>
      </c>
      <c r="I349" t="str">
        <f>step3_validation[[#This Row],[Education]]</f>
        <v>Đại học</v>
      </c>
      <c r="J349" t="str">
        <f>survey_responses[[#This Row],[Trình độ học vấn cao nhất:]]</f>
        <v>Đại học</v>
      </c>
      <c r="K349" t="str">
        <f>step3_validation[[#This Row],[Employment]]</f>
        <v>Chính thức</v>
      </c>
      <c r="L349" t="str">
        <f>survey_responses[[#This Row],[Tình trạng việc làm chính:]]</f>
        <v>Khu vực chính thức (Có Hợp đồng lao động, đóng BHXH)</v>
      </c>
      <c r="M349">
        <f>step3_validation[[#This Row],[Income_Mil]]</f>
        <v>18.653231668521222</v>
      </c>
      <c r="N349" t="str">
        <f>survey_responses[[#This Row],[Thu nhập bình quân tháng theo Hợp đồng lao động của bạn là bao nhiêu? (Vui lòng điền tổng thu nhập trước khi khấu trừ các loại Bảo hiểm (BHXH, BHYT, BHTN) và Thuế TNCN)]]</f>
        <v>Từ 18 - 23 triệu VNĐ</v>
      </c>
      <c r="O349">
        <f>step3_validation[[#This Row],[Dependents]]</f>
        <v>0</v>
      </c>
      <c r="P349" t="str">
        <f>survey_responses[[#This Row],[Số người phụ thuộc (con nhỏ, cha mẹ già...) đủ điều kiện giảm trừ gia cảnh:]]</f>
        <v>0 người</v>
      </c>
      <c r="Q349">
        <f>step3_validation[[#This Row],[AI_ENF1]]</f>
        <v>8</v>
      </c>
      <c r="R349" t="str">
        <f t="shared" si="135"/>
        <v>Support</v>
      </c>
      <c r="S349">
        <f>survey_responses[[#This Row],[Tôi tin rằng với các quy định quản lý thuế hiện nay, hành vi gian lận hoặc trốn thuế sẽ dễ dàng bị phát hiện và xử lý nghiêm. - HUMAN-ENF1]]</f>
        <v>8</v>
      </c>
      <c r="T349" t="str">
        <f t="shared" si="136"/>
        <v>Support</v>
      </c>
      <c r="U349" s="32">
        <f t="shared" si="137"/>
        <v>0</v>
      </c>
      <c r="V349">
        <f>step3_validation[[#This Row],[AI_ENF2]]</f>
        <v>7</v>
      </c>
      <c r="W349" t="str">
        <f t="shared" si="138"/>
        <v>Neutral</v>
      </c>
      <c r="X349">
        <f>survey_responses[[#This Row],[Tôi tin rằng Nhà nước, cơ quan thuế có đủ khả năng và công nghệ để phát hiện, xử lý nghiêm các hành vi trốn thuế. - HUMAN-ENF2]]</f>
        <v>8</v>
      </c>
      <c r="Y349" t="str">
        <f t="shared" si="139"/>
        <v>Support</v>
      </c>
      <c r="Z349" s="32">
        <f t="shared" si="140"/>
        <v>1</v>
      </c>
      <c r="AA349">
        <f>step3_validation[[#This Row],[AI_FAC1]]</f>
        <v>7</v>
      </c>
      <c r="AB349" t="str">
        <f t="shared" si="141"/>
        <v>Neutral</v>
      </c>
      <c r="AC349">
        <f>survey_responses[[#This Row],[Các thủ tục khai báo thuế VÀ/HOẶC quy trình làm việc với cơ quan thuế đơn giản, tiện lợi, nhanh chóng hơn so với trước đây. - HUMAN-FAC1]]</f>
        <v>7</v>
      </c>
      <c r="AD349" t="str">
        <f t="shared" si="142"/>
        <v>Neutral</v>
      </c>
      <c r="AE349" s="32">
        <f t="shared" si="143"/>
        <v>0</v>
      </c>
      <c r="AF349">
        <f>step3_validation[[#This Row],[AI_FAC2]]</f>
        <v>6</v>
      </c>
      <c r="AG349" t="str">
        <f t="shared" si="144"/>
        <v>Neutral</v>
      </c>
      <c r="AH349">
        <f>survey_responses[[#This Row],[So với trước đây, tôi thấy cách tính thuế và các bậc thuế trong phương án mới đơn giản, dễ hiểu và dễ thực hiện hơn. - HUMAN-FAC2]]</f>
        <v>7</v>
      </c>
      <c r="AI349" t="str">
        <f t="shared" si="145"/>
        <v>Neutral</v>
      </c>
      <c r="AJ349" s="32">
        <f t="shared" si="146"/>
        <v>1</v>
      </c>
      <c r="AK349">
        <f>step3_validation[[#This Row],[AI_TRU1]]</f>
        <v>8</v>
      </c>
      <c r="AL349" t="str">
        <f t="shared" si="147"/>
        <v>Support</v>
      </c>
      <c r="AM349">
        <f>survey_responses[[#This Row],[Tôi tin rằng Nhà nước, cơ quan thuế sẽ thực thi chính sách mới một cách khách quan, công tâm và đối xử bình đẳng với mọi người nộp thuế.  - HUMAN-TRU1]]</f>
        <v>6</v>
      </c>
      <c r="AN349" t="str">
        <f t="shared" si="148"/>
        <v>Neutral</v>
      </c>
      <c r="AO349" s="32">
        <f t="shared" si="149"/>
        <v>2</v>
      </c>
      <c r="AP349">
        <f>step3_validation[[#This Row],[AI_TRU2]]</f>
        <v>7</v>
      </c>
      <c r="AQ349" t="str">
        <f t="shared" si="150"/>
        <v>Neutral</v>
      </c>
      <c r="AR349">
        <f>survey_responses[[#This Row],[Tôi thấy mức thuế tôi phải đóng theo phương án mới là công bằng (người thu nhập như tôi đóng mức này là hợp lý). - HUMAN-TRU2]]</f>
        <v>7</v>
      </c>
      <c r="AS349" t="str">
        <f t="shared" si="151"/>
        <v>Neutral</v>
      </c>
      <c r="AT349" s="32">
        <f t="shared" si="152"/>
        <v>0</v>
      </c>
      <c r="AU349">
        <f>step3_validation[[#This Row],[AI_TRU3]]</f>
        <v>8</v>
      </c>
      <c r="AV349" t="str">
        <f t="shared" si="153"/>
        <v>Support</v>
      </c>
      <c r="AW349">
        <f>survey_responses[[#This Row],[Tôi tin tưởng số tiền thuế tôi đóng sẽ được Nhà nước sử dụng hiệu quả để cải thiện dịch vụ công (y tế, đường xá...). - HUMAN-TRU3]]</f>
        <v>6</v>
      </c>
      <c r="AX349" t="str">
        <f t="shared" si="154"/>
        <v>Neutral</v>
      </c>
      <c r="AY349" s="32">
        <f t="shared" si="155"/>
        <v>2</v>
      </c>
      <c r="AZ349">
        <f>step3_validation[[#This Row],[AI_TRU4]]</f>
        <v>7</v>
      </c>
      <c r="BA349" t="str">
        <f t="shared" si="156"/>
        <v>Neutral</v>
      </c>
      <c r="BB349">
        <f>survey_responses[[#This Row],[Tôi thấy Nhà nước đã giải thích rõ ràng, minh bạch về lý do và mục tiêu của việc sửa đổi thuế lần này. - HUMAN-TRU4]]</f>
        <v>6</v>
      </c>
      <c r="BC349" t="str">
        <f t="shared" si="157"/>
        <v>Neutral</v>
      </c>
      <c r="BD349" s="32">
        <f t="shared" si="158"/>
        <v>1</v>
      </c>
      <c r="BE349">
        <f>step3_validation[[#This Row],[AI_OUT1]]</f>
        <v>7</v>
      </c>
      <c r="BF349" t="str">
        <f t="shared" si="159"/>
        <v>Neutral</v>
      </c>
      <c r="BG349">
        <f>survey_responses[[#This Row],[Sau khi xem xét các quyền lợi và nghĩa vụ, bạn có ủng hộ và tuân thủ chính sách mới hiện nay? - HUMAN-OUT1]]</f>
        <v>7</v>
      </c>
      <c r="BH349" t="str">
        <f t="shared" si="160"/>
        <v>Neutral</v>
      </c>
      <c r="BI349" s="32">
        <f t="shared" si="161"/>
        <v>0</v>
      </c>
    </row>
    <row r="350" spans="1:61" x14ac:dyDescent="0.45">
      <c r="A350" s="30">
        <f>step3_validation[[#This Row],[Persona_ID]]</f>
        <v>349</v>
      </c>
      <c r="B350" s="31">
        <f>step3_validation[[#This Row],[Used_Seed]]</f>
        <v>2339</v>
      </c>
      <c r="C350" t="str">
        <f>step3_validation[[#This Row],[Gender]]</f>
        <v>Nữ</v>
      </c>
      <c r="D350" t="str">
        <f>survey_responses[[#This Row],[Giới tính của bạn:]]</f>
        <v>Nữ</v>
      </c>
      <c r="E350" t="str">
        <f>step3_validation[[#This Row],[Age_Group]]</f>
        <v>25 - 29</v>
      </c>
      <c r="F350" t="str">
        <f>survey_responses[[#This Row],[Độ tuổi của bạn:]]</f>
        <v>25 - 29</v>
      </c>
      <c r="G350" t="str">
        <f>step3_validation[[#This Row],[Region]]</f>
        <v>Thành thị</v>
      </c>
      <c r="H350" t="str">
        <f>survey_responses[[#This Row],[Khu vực bạn đang sinh sống:]]</f>
        <v>Thành thị</v>
      </c>
      <c r="I350" t="str">
        <f>step3_validation[[#This Row],[Education]]</f>
        <v>Đại học</v>
      </c>
      <c r="J350" t="str">
        <f>survey_responses[[#This Row],[Trình độ học vấn cao nhất:]]</f>
        <v>Đại học</v>
      </c>
      <c r="K350" t="str">
        <f>step3_validation[[#This Row],[Employment]]</f>
        <v>Chính thức</v>
      </c>
      <c r="L350" t="str">
        <f>survey_responses[[#This Row],[Tình trạng việc làm chính:]]</f>
        <v>Khu vực chính thức (Có Hợp đồng lao động, đóng BHXH)</v>
      </c>
      <c r="M350">
        <f>step3_validation[[#This Row],[Income_Mil]]</f>
        <v>20.35320858682794</v>
      </c>
      <c r="N350" t="str">
        <f>survey_responses[[#This Row],[Thu nhập bình quân tháng theo Hợp đồng lao động của bạn là bao nhiêu? (Vui lòng điền tổng thu nhập trước khi khấu trừ các loại Bảo hiểm (BHXH, BHYT, BHTN) và Thuế TNCN)]]</f>
        <v>Từ 18 - 23 triệu VNĐ</v>
      </c>
      <c r="O350">
        <f>step3_validation[[#This Row],[Dependents]]</f>
        <v>0</v>
      </c>
      <c r="P350" t="str">
        <f>survey_responses[[#This Row],[Số người phụ thuộc (con nhỏ, cha mẹ già...) đủ điều kiện giảm trừ gia cảnh:]]</f>
        <v>0 người</v>
      </c>
      <c r="Q350">
        <f>step3_validation[[#This Row],[AI_ENF1]]</f>
        <v>6</v>
      </c>
      <c r="R350" t="str">
        <f t="shared" si="135"/>
        <v>Neutral</v>
      </c>
      <c r="S350">
        <f>survey_responses[[#This Row],[Tôi tin rằng với các quy định quản lý thuế hiện nay, hành vi gian lận hoặc trốn thuế sẽ dễ dàng bị phát hiện và xử lý nghiêm. - HUMAN-ENF1]]</f>
        <v>4</v>
      </c>
      <c r="T350" t="str">
        <f t="shared" si="136"/>
        <v>Oppose</v>
      </c>
      <c r="U350" s="32">
        <f t="shared" si="137"/>
        <v>2</v>
      </c>
      <c r="V350">
        <f>step3_validation[[#This Row],[AI_ENF2]]</f>
        <v>7</v>
      </c>
      <c r="W350" t="str">
        <f t="shared" si="138"/>
        <v>Neutral</v>
      </c>
      <c r="X350">
        <f>survey_responses[[#This Row],[Tôi tin rằng Nhà nước, cơ quan thuế có đủ khả năng và công nghệ để phát hiện, xử lý nghiêm các hành vi trốn thuế. - HUMAN-ENF2]]</f>
        <v>4</v>
      </c>
      <c r="Y350" t="str">
        <f t="shared" si="139"/>
        <v>Oppose</v>
      </c>
      <c r="Z350" s="32">
        <f t="shared" si="140"/>
        <v>3</v>
      </c>
      <c r="AA350">
        <f>step3_validation[[#This Row],[AI_FAC1]]</f>
        <v>8</v>
      </c>
      <c r="AB350" t="str">
        <f t="shared" si="141"/>
        <v>Support</v>
      </c>
      <c r="AC350">
        <f>survey_responses[[#This Row],[Các thủ tục khai báo thuế VÀ/HOẶC quy trình làm việc với cơ quan thuế đơn giản, tiện lợi, nhanh chóng hơn so với trước đây. - HUMAN-FAC1]]</f>
        <v>5</v>
      </c>
      <c r="AD350" t="str">
        <f t="shared" si="142"/>
        <v>Neutral</v>
      </c>
      <c r="AE350" s="32">
        <f t="shared" si="143"/>
        <v>3</v>
      </c>
      <c r="AF350">
        <f>step3_validation[[#This Row],[AI_FAC2]]</f>
        <v>9</v>
      </c>
      <c r="AG350" t="str">
        <f t="shared" si="144"/>
        <v>Support</v>
      </c>
      <c r="AH350">
        <f>survey_responses[[#This Row],[So với trước đây, tôi thấy cách tính thuế và các bậc thuế trong phương án mới đơn giản, dễ hiểu và dễ thực hiện hơn. - HUMAN-FAC2]]</f>
        <v>7</v>
      </c>
      <c r="AI350" t="str">
        <f t="shared" si="145"/>
        <v>Neutral</v>
      </c>
      <c r="AJ350" s="32">
        <f t="shared" si="146"/>
        <v>2</v>
      </c>
      <c r="AK350">
        <f>step3_validation[[#This Row],[AI_TRU1]]</f>
        <v>8</v>
      </c>
      <c r="AL350" t="str">
        <f t="shared" si="147"/>
        <v>Support</v>
      </c>
      <c r="AM350">
        <f>survey_responses[[#This Row],[Tôi tin rằng Nhà nước, cơ quan thuế sẽ thực thi chính sách mới một cách khách quan, công tâm và đối xử bình đẳng với mọi người nộp thuế.  - HUMAN-TRU1]]</f>
        <v>5</v>
      </c>
      <c r="AN350" t="str">
        <f t="shared" si="148"/>
        <v>Neutral</v>
      </c>
      <c r="AO350" s="32">
        <f t="shared" si="149"/>
        <v>3</v>
      </c>
      <c r="AP350">
        <f>step3_validation[[#This Row],[AI_TRU2]]</f>
        <v>7</v>
      </c>
      <c r="AQ350" t="str">
        <f t="shared" si="150"/>
        <v>Neutral</v>
      </c>
      <c r="AR350">
        <f>survey_responses[[#This Row],[Tôi thấy mức thuế tôi phải đóng theo phương án mới là công bằng (người thu nhập như tôi đóng mức này là hợp lý). - HUMAN-TRU2]]</f>
        <v>6</v>
      </c>
      <c r="AS350" t="str">
        <f t="shared" si="151"/>
        <v>Neutral</v>
      </c>
      <c r="AT350" s="32">
        <f t="shared" si="152"/>
        <v>1</v>
      </c>
      <c r="AU350">
        <f>step3_validation[[#This Row],[AI_TRU3]]</f>
        <v>6</v>
      </c>
      <c r="AV350" t="str">
        <f t="shared" si="153"/>
        <v>Neutral</v>
      </c>
      <c r="AW350">
        <f>survey_responses[[#This Row],[Tôi tin tưởng số tiền thuế tôi đóng sẽ được Nhà nước sử dụng hiệu quả để cải thiện dịch vụ công (y tế, đường xá...). - HUMAN-TRU3]]</f>
        <v>6</v>
      </c>
      <c r="AX350" t="str">
        <f t="shared" si="154"/>
        <v>Neutral</v>
      </c>
      <c r="AY350" s="32">
        <f t="shared" si="155"/>
        <v>0</v>
      </c>
      <c r="AZ350">
        <f>step3_validation[[#This Row],[AI_TRU4]]</f>
        <v>7</v>
      </c>
      <c r="BA350" t="str">
        <f t="shared" si="156"/>
        <v>Neutral</v>
      </c>
      <c r="BB350">
        <f>survey_responses[[#This Row],[Tôi thấy Nhà nước đã giải thích rõ ràng, minh bạch về lý do và mục tiêu của việc sửa đổi thuế lần này. - HUMAN-TRU4]]</f>
        <v>6</v>
      </c>
      <c r="BC350" t="str">
        <f t="shared" si="157"/>
        <v>Neutral</v>
      </c>
      <c r="BD350" s="32">
        <f t="shared" si="158"/>
        <v>1</v>
      </c>
      <c r="BE350">
        <f>step3_validation[[#This Row],[AI_OUT1]]</f>
        <v>5</v>
      </c>
      <c r="BF350" t="str">
        <f t="shared" si="159"/>
        <v>Neutral</v>
      </c>
      <c r="BG350">
        <f>survey_responses[[#This Row],[Sau khi xem xét các quyền lợi và nghĩa vụ, bạn có ủng hộ và tuân thủ chính sách mới hiện nay? - HUMAN-OUT1]]</f>
        <v>6</v>
      </c>
      <c r="BH350" t="str">
        <f t="shared" si="160"/>
        <v>Neutral</v>
      </c>
      <c r="BI350" s="32">
        <f t="shared" si="161"/>
        <v>1</v>
      </c>
    </row>
    <row r="351" spans="1:61" x14ac:dyDescent="0.45">
      <c r="A351" s="30">
        <f>step3_validation[[#This Row],[Persona_ID]]</f>
        <v>350</v>
      </c>
      <c r="B351" s="31">
        <f>step3_validation[[#This Row],[Used_Seed]]</f>
        <v>2340</v>
      </c>
      <c r="C351" t="str">
        <f>step3_validation[[#This Row],[Gender]]</f>
        <v>Nữ</v>
      </c>
      <c r="D351" t="str">
        <f>survey_responses[[#This Row],[Giới tính của bạn:]]</f>
        <v>Nữ</v>
      </c>
      <c r="E351" t="str">
        <f>step3_validation[[#This Row],[Age_Group]]</f>
        <v>25 - 29</v>
      </c>
      <c r="F351" t="str">
        <f>survey_responses[[#This Row],[Độ tuổi của bạn:]]</f>
        <v>25 - 29</v>
      </c>
      <c r="G351" t="str">
        <f>step3_validation[[#This Row],[Region]]</f>
        <v>Thành thị</v>
      </c>
      <c r="H351" t="str">
        <f>survey_responses[[#This Row],[Khu vực bạn đang sinh sống:]]</f>
        <v>Thành thị</v>
      </c>
      <c r="I351" t="str">
        <f>step3_validation[[#This Row],[Education]]</f>
        <v>Đại học</v>
      </c>
      <c r="J351" t="str">
        <f>survey_responses[[#This Row],[Trình độ học vấn cao nhất:]]</f>
        <v>Đại học</v>
      </c>
      <c r="K351" t="str">
        <f>step3_validation[[#This Row],[Employment]]</f>
        <v>Chính thức</v>
      </c>
      <c r="L351" t="str">
        <f>survey_responses[[#This Row],[Tình trạng việc làm chính:]]</f>
        <v>Khu vực chính thức (Có Hợp đồng lao động, đóng BHXH)</v>
      </c>
      <c r="M351">
        <f>step3_validation[[#This Row],[Income_Mil]]</f>
        <v>23.294302963266411</v>
      </c>
      <c r="N351" t="str">
        <f>survey_responses[[#This Row],[Thu nhập bình quân tháng theo Hợp đồng lao động của bạn là bao nhiêu? (Vui lòng điền tổng thu nhập trước khi khấu trừ các loại Bảo hiểm (BHXH, BHYT, BHTN) và Thuế TNCN)]]</f>
        <v>Từ 23 - 32 triệu VNĐ</v>
      </c>
      <c r="O351">
        <f>step3_validation[[#This Row],[Dependents]]</f>
        <v>0</v>
      </c>
      <c r="P351" t="str">
        <f>survey_responses[[#This Row],[Số người phụ thuộc (con nhỏ, cha mẹ già...) đủ điều kiện giảm trừ gia cảnh:]]</f>
        <v>0 người</v>
      </c>
      <c r="Q351">
        <f>step3_validation[[#This Row],[AI_ENF1]]</f>
        <v>7</v>
      </c>
      <c r="R351" t="str">
        <f t="shared" si="135"/>
        <v>Neutral</v>
      </c>
      <c r="S351">
        <f>survey_responses[[#This Row],[Tôi tin rằng với các quy định quản lý thuế hiện nay, hành vi gian lận hoặc trốn thuế sẽ dễ dàng bị phát hiện và xử lý nghiêm. - HUMAN-ENF1]]</f>
        <v>7</v>
      </c>
      <c r="T351" t="str">
        <f t="shared" si="136"/>
        <v>Neutral</v>
      </c>
      <c r="U351" s="32">
        <f t="shared" si="137"/>
        <v>0</v>
      </c>
      <c r="V351">
        <f>step3_validation[[#This Row],[AI_ENF2]]</f>
        <v>6</v>
      </c>
      <c r="W351" t="str">
        <f t="shared" si="138"/>
        <v>Neutral</v>
      </c>
      <c r="X351">
        <f>survey_responses[[#This Row],[Tôi tin rằng Nhà nước, cơ quan thuế có đủ khả năng và công nghệ để phát hiện, xử lý nghiêm các hành vi trốn thuế. - HUMAN-ENF2]]</f>
        <v>7</v>
      </c>
      <c r="Y351" t="str">
        <f t="shared" si="139"/>
        <v>Neutral</v>
      </c>
      <c r="Z351" s="32">
        <f t="shared" si="140"/>
        <v>1</v>
      </c>
      <c r="AA351">
        <f>step3_validation[[#This Row],[AI_FAC1]]</f>
        <v>8</v>
      </c>
      <c r="AB351" t="str">
        <f t="shared" si="141"/>
        <v>Support</v>
      </c>
      <c r="AC351">
        <f>survey_responses[[#This Row],[Các thủ tục khai báo thuế VÀ/HOẶC quy trình làm việc với cơ quan thuế đơn giản, tiện lợi, nhanh chóng hơn so với trước đây. - HUMAN-FAC1]]</f>
        <v>8</v>
      </c>
      <c r="AD351" t="str">
        <f t="shared" si="142"/>
        <v>Support</v>
      </c>
      <c r="AE351" s="32">
        <f t="shared" si="143"/>
        <v>0</v>
      </c>
      <c r="AF351">
        <f>step3_validation[[#This Row],[AI_FAC2]]</f>
        <v>9</v>
      </c>
      <c r="AG351" t="str">
        <f t="shared" si="144"/>
        <v>Support</v>
      </c>
      <c r="AH351">
        <f>survey_responses[[#This Row],[So với trước đây, tôi thấy cách tính thuế và các bậc thuế trong phương án mới đơn giản, dễ hiểu và dễ thực hiện hơn. - HUMAN-FAC2]]</f>
        <v>8</v>
      </c>
      <c r="AI351" t="str">
        <f t="shared" si="145"/>
        <v>Support</v>
      </c>
      <c r="AJ351" s="32">
        <f t="shared" si="146"/>
        <v>1</v>
      </c>
      <c r="AK351">
        <f>step3_validation[[#This Row],[AI_TRU1]]</f>
        <v>7</v>
      </c>
      <c r="AL351" t="str">
        <f t="shared" si="147"/>
        <v>Neutral</v>
      </c>
      <c r="AM351">
        <f>survey_responses[[#This Row],[Tôi tin rằng Nhà nước, cơ quan thuế sẽ thực thi chính sách mới một cách khách quan, công tâm và đối xử bình đẳng với mọi người nộp thuế.  - HUMAN-TRU1]]</f>
        <v>7</v>
      </c>
      <c r="AN351" t="str">
        <f t="shared" si="148"/>
        <v>Neutral</v>
      </c>
      <c r="AO351" s="32">
        <f t="shared" si="149"/>
        <v>0</v>
      </c>
      <c r="AP351">
        <f>step3_validation[[#This Row],[AI_TRU2]]</f>
        <v>6</v>
      </c>
      <c r="AQ351" t="str">
        <f t="shared" si="150"/>
        <v>Neutral</v>
      </c>
      <c r="AR351">
        <f>survey_responses[[#This Row],[Tôi thấy mức thuế tôi phải đóng theo phương án mới là công bằng (người thu nhập như tôi đóng mức này là hợp lý). - HUMAN-TRU2]]</f>
        <v>7</v>
      </c>
      <c r="AS351" t="str">
        <f t="shared" si="151"/>
        <v>Neutral</v>
      </c>
      <c r="AT351" s="32">
        <f t="shared" si="152"/>
        <v>1</v>
      </c>
      <c r="AU351">
        <f>step3_validation[[#This Row],[AI_TRU3]]</f>
        <v>5</v>
      </c>
      <c r="AV351" t="str">
        <f t="shared" si="153"/>
        <v>Neutral</v>
      </c>
      <c r="AW351">
        <f>survey_responses[[#This Row],[Tôi tin tưởng số tiền thuế tôi đóng sẽ được Nhà nước sử dụng hiệu quả để cải thiện dịch vụ công (y tế, đường xá...). - HUMAN-TRU3]]</f>
        <v>8</v>
      </c>
      <c r="AX351" t="str">
        <f t="shared" si="154"/>
        <v>Support</v>
      </c>
      <c r="AY351" s="32">
        <f t="shared" si="155"/>
        <v>3</v>
      </c>
      <c r="AZ351">
        <f>step3_validation[[#This Row],[AI_TRU4]]</f>
        <v>6</v>
      </c>
      <c r="BA351" t="str">
        <f t="shared" si="156"/>
        <v>Neutral</v>
      </c>
      <c r="BB351">
        <f>survey_responses[[#This Row],[Tôi thấy Nhà nước đã giải thích rõ ràng, minh bạch về lý do và mục tiêu của việc sửa đổi thuế lần này. - HUMAN-TRU4]]</f>
        <v>7</v>
      </c>
      <c r="BC351" t="str">
        <f t="shared" si="157"/>
        <v>Neutral</v>
      </c>
      <c r="BD351" s="32">
        <f t="shared" si="158"/>
        <v>1</v>
      </c>
      <c r="BE351">
        <f>step3_validation[[#This Row],[AI_OUT1]]</f>
        <v>7</v>
      </c>
      <c r="BF351" t="str">
        <f t="shared" si="159"/>
        <v>Neutral</v>
      </c>
      <c r="BG351">
        <f>survey_responses[[#This Row],[Sau khi xem xét các quyền lợi và nghĩa vụ, bạn có ủng hộ và tuân thủ chính sách mới hiện nay? - HUMAN-OUT1]]</f>
        <v>8</v>
      </c>
      <c r="BH351" t="str">
        <f t="shared" si="160"/>
        <v>Support</v>
      </c>
      <c r="BI351" s="32">
        <f t="shared" si="161"/>
        <v>1</v>
      </c>
    </row>
    <row r="352" spans="1:61" x14ac:dyDescent="0.45">
      <c r="A352" s="30">
        <f>step3_validation[[#This Row],[Persona_ID]]</f>
        <v>351</v>
      </c>
      <c r="B352" s="31">
        <f>step3_validation[[#This Row],[Used_Seed]]</f>
        <v>2341</v>
      </c>
      <c r="C352" t="str">
        <f>step3_validation[[#This Row],[Gender]]</f>
        <v>Nữ</v>
      </c>
      <c r="D352" t="str">
        <f>survey_responses[[#This Row],[Giới tính của bạn:]]</f>
        <v>Nữ</v>
      </c>
      <c r="E352" t="str">
        <f>step3_validation[[#This Row],[Age_Group]]</f>
        <v>30 - 39</v>
      </c>
      <c r="F352" t="str">
        <f>survey_responses[[#This Row],[Độ tuổi của bạn:]]</f>
        <v>30 - 39</v>
      </c>
      <c r="G352" t="str">
        <f>step3_validation[[#This Row],[Region]]</f>
        <v>Thành thị</v>
      </c>
      <c r="H352" t="str">
        <f>survey_responses[[#This Row],[Khu vực bạn đang sinh sống:]]</f>
        <v>Thành thị</v>
      </c>
      <c r="I352" t="str">
        <f>step3_validation[[#This Row],[Education]]</f>
        <v>Đại học</v>
      </c>
      <c r="J352" t="str">
        <f>survey_responses[[#This Row],[Trình độ học vấn cao nhất:]]</f>
        <v>Đại học</v>
      </c>
      <c r="K352" t="str">
        <f>step3_validation[[#This Row],[Employment]]</f>
        <v>Chính thức</v>
      </c>
      <c r="L352" t="str">
        <f>survey_responses[[#This Row],[Tình trạng việc làm chính:]]</f>
        <v>Khu vực chính thức (Có Hợp đồng lao động, đóng BHXH)</v>
      </c>
      <c r="M352">
        <f>step3_validation[[#This Row],[Income_Mil]]</f>
        <v>41.23280230271429</v>
      </c>
      <c r="N352" t="str">
        <f>survey_responses[[#This Row],[Thu nhập bình quân tháng theo Hợp đồng lao động của bạn là bao nhiêu? (Vui lòng điền tổng thu nhập trước khi khấu trừ các loại Bảo hiểm (BHXH, BHYT, BHTN) và Thuế TNCN)]]</f>
        <v>Từ 32 - 48 triệu VNĐ</v>
      </c>
      <c r="O352">
        <f>step3_validation[[#This Row],[Dependents]]</f>
        <v>2</v>
      </c>
      <c r="P352" t="str">
        <f>survey_responses[[#This Row],[Số người phụ thuộc (con nhỏ, cha mẹ già...) đủ điều kiện giảm trừ gia cảnh:]]</f>
        <v>2 người</v>
      </c>
      <c r="Q352">
        <f>step3_validation[[#This Row],[AI_ENF1]]</f>
        <v>7</v>
      </c>
      <c r="R352" t="str">
        <f t="shared" si="135"/>
        <v>Neutral</v>
      </c>
      <c r="S352">
        <f>survey_responses[[#This Row],[Tôi tin rằng với các quy định quản lý thuế hiện nay, hành vi gian lận hoặc trốn thuế sẽ dễ dàng bị phát hiện và xử lý nghiêm. - HUMAN-ENF1]]</f>
        <v>8</v>
      </c>
      <c r="T352" t="str">
        <f t="shared" si="136"/>
        <v>Support</v>
      </c>
      <c r="U352" s="32">
        <f t="shared" si="137"/>
        <v>1</v>
      </c>
      <c r="V352">
        <f>step3_validation[[#This Row],[AI_ENF2]]</f>
        <v>8</v>
      </c>
      <c r="W352" t="str">
        <f t="shared" si="138"/>
        <v>Support</v>
      </c>
      <c r="X352">
        <f>survey_responses[[#This Row],[Tôi tin rằng Nhà nước, cơ quan thuế có đủ khả năng và công nghệ để phát hiện, xử lý nghiêm các hành vi trốn thuế. - HUMAN-ENF2]]</f>
        <v>8</v>
      </c>
      <c r="Y352" t="str">
        <f t="shared" si="139"/>
        <v>Support</v>
      </c>
      <c r="Z352" s="32">
        <f t="shared" si="140"/>
        <v>0</v>
      </c>
      <c r="AA352">
        <f>step3_validation[[#This Row],[AI_FAC1]]</f>
        <v>6</v>
      </c>
      <c r="AB352" t="str">
        <f t="shared" si="141"/>
        <v>Neutral</v>
      </c>
      <c r="AC352">
        <f>survey_responses[[#This Row],[Các thủ tục khai báo thuế VÀ/HOẶC quy trình làm việc với cơ quan thuế đơn giản, tiện lợi, nhanh chóng hơn so với trước đây. - HUMAN-FAC1]]</f>
        <v>6</v>
      </c>
      <c r="AD352" t="str">
        <f t="shared" si="142"/>
        <v>Neutral</v>
      </c>
      <c r="AE352" s="32">
        <f t="shared" si="143"/>
        <v>0</v>
      </c>
      <c r="AF352">
        <f>step3_validation[[#This Row],[AI_FAC2]]</f>
        <v>8</v>
      </c>
      <c r="AG352" t="str">
        <f t="shared" si="144"/>
        <v>Support</v>
      </c>
      <c r="AH352">
        <f>survey_responses[[#This Row],[So với trước đây, tôi thấy cách tính thuế và các bậc thuế trong phương án mới đơn giản, dễ hiểu và dễ thực hiện hơn. - HUMAN-FAC2]]</f>
        <v>7</v>
      </c>
      <c r="AI352" t="str">
        <f t="shared" si="145"/>
        <v>Neutral</v>
      </c>
      <c r="AJ352" s="32">
        <f t="shared" si="146"/>
        <v>1</v>
      </c>
      <c r="AK352">
        <f>step3_validation[[#This Row],[AI_TRU1]]</f>
        <v>7</v>
      </c>
      <c r="AL352" t="str">
        <f t="shared" si="147"/>
        <v>Neutral</v>
      </c>
      <c r="AM352">
        <f>survey_responses[[#This Row],[Tôi tin rằng Nhà nước, cơ quan thuế sẽ thực thi chính sách mới một cách khách quan, công tâm và đối xử bình đẳng với mọi người nộp thuế.  - HUMAN-TRU1]]</f>
        <v>6</v>
      </c>
      <c r="AN352" t="str">
        <f t="shared" si="148"/>
        <v>Neutral</v>
      </c>
      <c r="AO352" s="32">
        <f t="shared" si="149"/>
        <v>1</v>
      </c>
      <c r="AP352">
        <f>step3_validation[[#This Row],[AI_TRU2]]</f>
        <v>6</v>
      </c>
      <c r="AQ352" t="str">
        <f t="shared" si="150"/>
        <v>Neutral</v>
      </c>
      <c r="AR352">
        <f>survey_responses[[#This Row],[Tôi thấy mức thuế tôi phải đóng theo phương án mới là công bằng (người thu nhập như tôi đóng mức này là hợp lý). - HUMAN-TRU2]]</f>
        <v>7</v>
      </c>
      <c r="AS352" t="str">
        <f t="shared" si="151"/>
        <v>Neutral</v>
      </c>
      <c r="AT352" s="32">
        <f t="shared" si="152"/>
        <v>1</v>
      </c>
      <c r="AU352">
        <f>step3_validation[[#This Row],[AI_TRU3]]</f>
        <v>7</v>
      </c>
      <c r="AV352" t="str">
        <f t="shared" si="153"/>
        <v>Neutral</v>
      </c>
      <c r="AW352">
        <f>survey_responses[[#This Row],[Tôi tin tưởng số tiền thuế tôi đóng sẽ được Nhà nước sử dụng hiệu quả để cải thiện dịch vụ công (y tế, đường xá...). - HUMAN-TRU3]]</f>
        <v>5</v>
      </c>
      <c r="AX352" t="str">
        <f t="shared" si="154"/>
        <v>Neutral</v>
      </c>
      <c r="AY352" s="32">
        <f t="shared" si="155"/>
        <v>2</v>
      </c>
      <c r="AZ352">
        <f>step3_validation[[#This Row],[AI_TRU4]]</f>
        <v>6</v>
      </c>
      <c r="BA352" t="str">
        <f t="shared" si="156"/>
        <v>Neutral</v>
      </c>
      <c r="BB352">
        <f>survey_responses[[#This Row],[Tôi thấy Nhà nước đã giải thích rõ ràng, minh bạch về lý do và mục tiêu của việc sửa đổi thuế lần này. - HUMAN-TRU4]]</f>
        <v>7</v>
      </c>
      <c r="BC352" t="str">
        <f t="shared" si="157"/>
        <v>Neutral</v>
      </c>
      <c r="BD352" s="32">
        <f t="shared" si="158"/>
        <v>1</v>
      </c>
      <c r="BE352">
        <f>step3_validation[[#This Row],[AI_OUT1]]</f>
        <v>8</v>
      </c>
      <c r="BF352" t="str">
        <f t="shared" si="159"/>
        <v>Support</v>
      </c>
      <c r="BG352">
        <f>survey_responses[[#This Row],[Sau khi xem xét các quyền lợi và nghĩa vụ, bạn có ủng hộ và tuân thủ chính sách mới hiện nay? - HUMAN-OUT1]]</f>
        <v>7</v>
      </c>
      <c r="BH352" t="str">
        <f t="shared" si="160"/>
        <v>Neutral</v>
      </c>
      <c r="BI352" s="32">
        <f t="shared" si="161"/>
        <v>1</v>
      </c>
    </row>
    <row r="353" spans="1:61" x14ac:dyDescent="0.45">
      <c r="A353" s="30">
        <f>step3_validation[[#This Row],[Persona_ID]]</f>
        <v>352</v>
      </c>
      <c r="B353" s="31">
        <f>step3_validation[[#This Row],[Used_Seed]]</f>
        <v>2342</v>
      </c>
      <c r="C353" t="str">
        <f>step3_validation[[#This Row],[Gender]]</f>
        <v>Nữ</v>
      </c>
      <c r="D353" t="str">
        <f>survey_responses[[#This Row],[Giới tính của bạn:]]</f>
        <v>Nữ</v>
      </c>
      <c r="E353" t="str">
        <f>step3_validation[[#This Row],[Age_Group]]</f>
        <v>30 - 39</v>
      </c>
      <c r="F353" t="str">
        <f>survey_responses[[#This Row],[Độ tuổi của bạn:]]</f>
        <v>30 - 39</v>
      </c>
      <c r="G353" t="str">
        <f>step3_validation[[#This Row],[Region]]</f>
        <v>Thành thị</v>
      </c>
      <c r="H353" t="str">
        <f>survey_responses[[#This Row],[Khu vực bạn đang sinh sống:]]</f>
        <v>Thành thị</v>
      </c>
      <c r="I353" t="str">
        <f>step3_validation[[#This Row],[Education]]</f>
        <v>Đại học</v>
      </c>
      <c r="J353" t="str">
        <f>survey_responses[[#This Row],[Trình độ học vấn cao nhất:]]</f>
        <v>Đại học</v>
      </c>
      <c r="K353" t="str">
        <f>step3_validation[[#This Row],[Employment]]</f>
        <v>Chính thức</v>
      </c>
      <c r="L353" t="str">
        <f>survey_responses[[#This Row],[Tình trạng việc làm chính:]]</f>
        <v>Khu vực chính thức (Có Hợp đồng lao động, đóng BHXH)</v>
      </c>
      <c r="M353">
        <f>step3_validation[[#This Row],[Income_Mil]]</f>
        <v>29.307246409588465</v>
      </c>
      <c r="N353" t="str">
        <f>survey_responses[[#This Row],[Thu nhập bình quân tháng theo Hợp đồng lao động của bạn là bao nhiêu? (Vui lòng điền tổng thu nhập trước khi khấu trừ các loại Bảo hiểm (BHXH, BHYT, BHTN) và Thuế TNCN)]]</f>
        <v>Từ 23 - 32 triệu VNĐ</v>
      </c>
      <c r="O353">
        <f>step3_validation[[#This Row],[Dependents]]</f>
        <v>1</v>
      </c>
      <c r="P353" t="str">
        <f>survey_responses[[#This Row],[Số người phụ thuộc (con nhỏ, cha mẹ già...) đủ điều kiện giảm trừ gia cảnh:]]</f>
        <v>1 người</v>
      </c>
      <c r="Q353">
        <f>step3_validation[[#This Row],[AI_ENF1]]</f>
        <v>8</v>
      </c>
      <c r="R353" t="str">
        <f t="shared" si="135"/>
        <v>Support</v>
      </c>
      <c r="S353">
        <f>survey_responses[[#This Row],[Tôi tin rằng với các quy định quản lý thuế hiện nay, hành vi gian lận hoặc trốn thuế sẽ dễ dàng bị phát hiện và xử lý nghiêm. - HUMAN-ENF1]]</f>
        <v>6</v>
      </c>
      <c r="T353" t="str">
        <f t="shared" si="136"/>
        <v>Neutral</v>
      </c>
      <c r="U353" s="32">
        <f t="shared" si="137"/>
        <v>2</v>
      </c>
      <c r="V353">
        <f>step3_validation[[#This Row],[AI_ENF2]]</f>
        <v>9</v>
      </c>
      <c r="W353" t="str">
        <f t="shared" si="138"/>
        <v>Support</v>
      </c>
      <c r="X353">
        <f>survey_responses[[#This Row],[Tôi tin rằng Nhà nước, cơ quan thuế có đủ khả năng và công nghệ để phát hiện, xử lý nghiêm các hành vi trốn thuế. - HUMAN-ENF2]]</f>
        <v>6</v>
      </c>
      <c r="Y353" t="str">
        <f t="shared" si="139"/>
        <v>Neutral</v>
      </c>
      <c r="Z353" s="32">
        <f t="shared" si="140"/>
        <v>3</v>
      </c>
      <c r="AA353">
        <f>step3_validation[[#This Row],[AI_FAC1]]</f>
        <v>7</v>
      </c>
      <c r="AB353" t="str">
        <f t="shared" si="141"/>
        <v>Neutral</v>
      </c>
      <c r="AC353">
        <f>survey_responses[[#This Row],[Các thủ tục khai báo thuế VÀ/HOẶC quy trình làm việc với cơ quan thuế đơn giản, tiện lợi, nhanh chóng hơn so với trước đây. - HUMAN-FAC1]]</f>
        <v>8</v>
      </c>
      <c r="AD353" t="str">
        <f t="shared" si="142"/>
        <v>Support</v>
      </c>
      <c r="AE353" s="32">
        <f t="shared" si="143"/>
        <v>1</v>
      </c>
      <c r="AF353">
        <f>step3_validation[[#This Row],[AI_FAC2]]</f>
        <v>8</v>
      </c>
      <c r="AG353" t="str">
        <f t="shared" si="144"/>
        <v>Support</v>
      </c>
      <c r="AH353">
        <f>survey_responses[[#This Row],[So với trước đây, tôi thấy cách tính thuế và các bậc thuế trong phương án mới đơn giản, dễ hiểu và dễ thực hiện hơn. - HUMAN-FAC2]]</f>
        <v>7</v>
      </c>
      <c r="AI353" t="str">
        <f t="shared" si="145"/>
        <v>Neutral</v>
      </c>
      <c r="AJ353" s="32">
        <f t="shared" si="146"/>
        <v>1</v>
      </c>
      <c r="AK353">
        <f>step3_validation[[#This Row],[AI_TRU1]]</f>
        <v>7</v>
      </c>
      <c r="AL353" t="str">
        <f t="shared" si="147"/>
        <v>Neutral</v>
      </c>
      <c r="AM353">
        <f>survey_responses[[#This Row],[Tôi tin rằng Nhà nước, cơ quan thuế sẽ thực thi chính sách mới một cách khách quan, công tâm và đối xử bình đẳng với mọi người nộp thuế.  - HUMAN-TRU1]]</f>
        <v>7</v>
      </c>
      <c r="AN353" t="str">
        <f t="shared" si="148"/>
        <v>Neutral</v>
      </c>
      <c r="AO353" s="32">
        <f t="shared" si="149"/>
        <v>0</v>
      </c>
      <c r="AP353">
        <f>step3_validation[[#This Row],[AI_TRU2]]</f>
        <v>8</v>
      </c>
      <c r="AQ353" t="str">
        <f t="shared" si="150"/>
        <v>Support</v>
      </c>
      <c r="AR353">
        <f>survey_responses[[#This Row],[Tôi thấy mức thuế tôi phải đóng theo phương án mới là công bằng (người thu nhập như tôi đóng mức này là hợp lý). - HUMAN-TRU2]]</f>
        <v>7</v>
      </c>
      <c r="AS353" t="str">
        <f t="shared" si="151"/>
        <v>Neutral</v>
      </c>
      <c r="AT353" s="32">
        <f t="shared" si="152"/>
        <v>1</v>
      </c>
      <c r="AU353">
        <f>step3_validation[[#This Row],[AI_TRU3]]</f>
        <v>7</v>
      </c>
      <c r="AV353" t="str">
        <f t="shared" si="153"/>
        <v>Neutral</v>
      </c>
      <c r="AW353">
        <f>survey_responses[[#This Row],[Tôi tin tưởng số tiền thuế tôi đóng sẽ được Nhà nước sử dụng hiệu quả để cải thiện dịch vụ công (y tế, đường xá...). - HUMAN-TRU3]]</f>
        <v>5</v>
      </c>
      <c r="AX353" t="str">
        <f t="shared" si="154"/>
        <v>Neutral</v>
      </c>
      <c r="AY353" s="32">
        <f t="shared" si="155"/>
        <v>2</v>
      </c>
      <c r="AZ353">
        <f>step3_validation[[#This Row],[AI_TRU4]]</f>
        <v>8</v>
      </c>
      <c r="BA353" t="str">
        <f t="shared" si="156"/>
        <v>Support</v>
      </c>
      <c r="BB353">
        <f>survey_responses[[#This Row],[Tôi thấy Nhà nước đã giải thích rõ ràng, minh bạch về lý do và mục tiêu của việc sửa đổi thuế lần này. - HUMAN-TRU4]]</f>
        <v>6</v>
      </c>
      <c r="BC353" t="str">
        <f t="shared" si="157"/>
        <v>Neutral</v>
      </c>
      <c r="BD353" s="32">
        <f t="shared" si="158"/>
        <v>2</v>
      </c>
      <c r="BE353">
        <f>step3_validation[[#This Row],[AI_OUT1]]</f>
        <v>9</v>
      </c>
      <c r="BF353" t="str">
        <f t="shared" si="159"/>
        <v>Support</v>
      </c>
      <c r="BG353">
        <f>survey_responses[[#This Row],[Sau khi xem xét các quyền lợi và nghĩa vụ, bạn có ủng hộ và tuân thủ chính sách mới hiện nay? - HUMAN-OUT1]]</f>
        <v>7</v>
      </c>
      <c r="BH353" t="str">
        <f t="shared" si="160"/>
        <v>Neutral</v>
      </c>
      <c r="BI353" s="32">
        <f t="shared" si="161"/>
        <v>2</v>
      </c>
    </row>
    <row r="354" spans="1:61" x14ac:dyDescent="0.45">
      <c r="A354" s="30">
        <f>step3_validation[[#This Row],[Persona_ID]]</f>
        <v>353</v>
      </c>
      <c r="B354" s="31">
        <f>step3_validation[[#This Row],[Used_Seed]]</f>
        <v>2343</v>
      </c>
      <c r="C354" t="str">
        <f>step3_validation[[#This Row],[Gender]]</f>
        <v>Nam</v>
      </c>
      <c r="D354" t="str">
        <f>survey_responses[[#This Row],[Giới tính của bạn:]]</f>
        <v>Nam</v>
      </c>
      <c r="E354" t="str">
        <f>step3_validation[[#This Row],[Age_Group]]</f>
        <v>40 - 49</v>
      </c>
      <c r="F354" t="str">
        <f>survey_responses[[#This Row],[Độ tuổi của bạn:]]</f>
        <v>40 - 49</v>
      </c>
      <c r="G354" t="str">
        <f>step3_validation[[#This Row],[Region]]</f>
        <v>Thành thị</v>
      </c>
      <c r="H354" t="str">
        <f>survey_responses[[#This Row],[Khu vực bạn đang sinh sống:]]</f>
        <v>Thành thị</v>
      </c>
      <c r="I354" t="str">
        <f>step3_validation[[#This Row],[Education]]</f>
        <v>Đại học</v>
      </c>
      <c r="J354" t="str">
        <f>survey_responses[[#This Row],[Trình độ học vấn cao nhất:]]</f>
        <v>Đại học</v>
      </c>
      <c r="K354" t="str">
        <f>step3_validation[[#This Row],[Employment]]</f>
        <v>Chính thức</v>
      </c>
      <c r="L354" t="str">
        <f>survey_responses[[#This Row],[Tình trạng việc làm chính:]]</f>
        <v>Khu vực chính thức (Có Hợp đồng lao động, đóng BHXH)</v>
      </c>
      <c r="M354">
        <f>step3_validation[[#This Row],[Income_Mil]]</f>
        <v>84.90412737225077</v>
      </c>
      <c r="N354" t="str">
        <f>survey_responses[[#This Row],[Thu nhập bình quân tháng theo Hợp đồng lao động của bạn là bao nhiêu? (Vui lòng điền tổng thu nhập trước khi khấu trừ các loại Bảo hiểm (BHXH, BHYT, BHTN) và Thuế TNCN)]]</f>
        <v>Từ 70 - 102 triệu VNĐ</v>
      </c>
      <c r="O354">
        <f>step3_validation[[#This Row],[Dependents]]</f>
        <v>4</v>
      </c>
      <c r="P354" t="str">
        <f>survey_responses[[#This Row],[Số người phụ thuộc (con nhỏ, cha mẹ già...) đủ điều kiện giảm trừ gia cảnh:]]</f>
        <v>4 người trở lên</v>
      </c>
      <c r="Q354">
        <f>step3_validation[[#This Row],[AI_ENF1]]</f>
        <v>7</v>
      </c>
      <c r="R354" t="str">
        <f t="shared" si="135"/>
        <v>Neutral</v>
      </c>
      <c r="S354">
        <f>survey_responses[[#This Row],[Tôi tin rằng với các quy định quản lý thuế hiện nay, hành vi gian lận hoặc trốn thuế sẽ dễ dàng bị phát hiện và xử lý nghiêm. - HUMAN-ENF1]]</f>
        <v>7</v>
      </c>
      <c r="T354" t="str">
        <f t="shared" si="136"/>
        <v>Neutral</v>
      </c>
      <c r="U354" s="32">
        <f t="shared" si="137"/>
        <v>0</v>
      </c>
      <c r="V354">
        <f>step3_validation[[#This Row],[AI_ENF2]]</f>
        <v>8</v>
      </c>
      <c r="W354" t="str">
        <f t="shared" si="138"/>
        <v>Support</v>
      </c>
      <c r="X354">
        <f>survey_responses[[#This Row],[Tôi tin rằng Nhà nước, cơ quan thuế có đủ khả năng và công nghệ để phát hiện, xử lý nghiêm các hành vi trốn thuế. - HUMAN-ENF2]]</f>
        <v>7</v>
      </c>
      <c r="Y354" t="str">
        <f t="shared" si="139"/>
        <v>Neutral</v>
      </c>
      <c r="Z354" s="32">
        <f t="shared" si="140"/>
        <v>1</v>
      </c>
      <c r="AA354">
        <f>step3_validation[[#This Row],[AI_FAC1]]</f>
        <v>9</v>
      </c>
      <c r="AB354" t="str">
        <f t="shared" si="141"/>
        <v>Support</v>
      </c>
      <c r="AC354">
        <f>survey_responses[[#This Row],[Các thủ tục khai báo thuế VÀ/HOẶC quy trình làm việc với cơ quan thuế đơn giản, tiện lợi, nhanh chóng hơn so với trước đây. - HUMAN-FAC1]]</f>
        <v>8</v>
      </c>
      <c r="AD354" t="str">
        <f t="shared" si="142"/>
        <v>Support</v>
      </c>
      <c r="AE354" s="32">
        <f t="shared" si="143"/>
        <v>1</v>
      </c>
      <c r="AF354">
        <f>step3_validation[[#This Row],[AI_FAC2]]</f>
        <v>8</v>
      </c>
      <c r="AG354" t="str">
        <f t="shared" si="144"/>
        <v>Support</v>
      </c>
      <c r="AH354">
        <f>survey_responses[[#This Row],[So với trước đây, tôi thấy cách tính thuế và các bậc thuế trong phương án mới đơn giản, dễ hiểu và dễ thực hiện hơn. - HUMAN-FAC2]]</f>
        <v>8</v>
      </c>
      <c r="AI354" t="str">
        <f t="shared" si="145"/>
        <v>Support</v>
      </c>
      <c r="AJ354" s="32">
        <f t="shared" si="146"/>
        <v>0</v>
      </c>
      <c r="AK354">
        <f>step3_validation[[#This Row],[AI_TRU1]]</f>
        <v>6</v>
      </c>
      <c r="AL354" t="str">
        <f t="shared" si="147"/>
        <v>Neutral</v>
      </c>
      <c r="AM354">
        <f>survey_responses[[#This Row],[Tôi tin rằng Nhà nước, cơ quan thuế sẽ thực thi chính sách mới một cách khách quan, công tâm và đối xử bình đẳng với mọi người nộp thuế.  - HUMAN-TRU1]]</f>
        <v>6</v>
      </c>
      <c r="AN354" t="str">
        <f t="shared" si="148"/>
        <v>Neutral</v>
      </c>
      <c r="AO354" s="32">
        <f t="shared" si="149"/>
        <v>0</v>
      </c>
      <c r="AP354">
        <f>step3_validation[[#This Row],[AI_TRU2]]</f>
        <v>7</v>
      </c>
      <c r="AQ354" t="str">
        <f t="shared" si="150"/>
        <v>Neutral</v>
      </c>
      <c r="AR354">
        <f>survey_responses[[#This Row],[Tôi thấy mức thuế tôi phải đóng theo phương án mới là công bằng (người thu nhập như tôi đóng mức này là hợp lý). - HUMAN-TRU2]]</f>
        <v>7</v>
      </c>
      <c r="AS354" t="str">
        <f t="shared" si="151"/>
        <v>Neutral</v>
      </c>
      <c r="AT354" s="32">
        <f t="shared" si="152"/>
        <v>0</v>
      </c>
      <c r="AU354">
        <f>step3_validation[[#This Row],[AI_TRU3]]</f>
        <v>6</v>
      </c>
      <c r="AV354" t="str">
        <f t="shared" si="153"/>
        <v>Neutral</v>
      </c>
      <c r="AW354">
        <f>survey_responses[[#This Row],[Tôi tin tưởng số tiền thuế tôi đóng sẽ được Nhà nước sử dụng hiệu quả để cải thiện dịch vụ công (y tế, đường xá...). - HUMAN-TRU3]]</f>
        <v>5</v>
      </c>
      <c r="AX354" t="str">
        <f t="shared" si="154"/>
        <v>Neutral</v>
      </c>
      <c r="AY354" s="32">
        <f t="shared" si="155"/>
        <v>1</v>
      </c>
      <c r="AZ354">
        <f>step3_validation[[#This Row],[AI_TRU4]]</f>
        <v>7</v>
      </c>
      <c r="BA354" t="str">
        <f t="shared" si="156"/>
        <v>Neutral</v>
      </c>
      <c r="BB354">
        <f>survey_responses[[#This Row],[Tôi thấy Nhà nước đã giải thích rõ ràng, minh bạch về lý do và mục tiêu của việc sửa đổi thuế lần này. - HUMAN-TRU4]]</f>
        <v>7</v>
      </c>
      <c r="BC354" t="str">
        <f t="shared" si="157"/>
        <v>Neutral</v>
      </c>
      <c r="BD354" s="32">
        <f t="shared" si="158"/>
        <v>0</v>
      </c>
      <c r="BE354">
        <f>step3_validation[[#This Row],[AI_OUT1]]</f>
        <v>8</v>
      </c>
      <c r="BF354" t="str">
        <f t="shared" si="159"/>
        <v>Support</v>
      </c>
      <c r="BG354">
        <f>survey_responses[[#This Row],[Sau khi xem xét các quyền lợi và nghĩa vụ, bạn có ủng hộ và tuân thủ chính sách mới hiện nay? - HUMAN-OUT1]]</f>
        <v>7</v>
      </c>
      <c r="BH354" t="str">
        <f t="shared" si="160"/>
        <v>Neutral</v>
      </c>
      <c r="BI354" s="32">
        <f t="shared" si="161"/>
        <v>1</v>
      </c>
    </row>
    <row r="355" spans="1:61" x14ac:dyDescent="0.45">
      <c r="A355" s="30">
        <f>step3_validation[[#This Row],[Persona_ID]]</f>
        <v>354</v>
      </c>
      <c r="B355" s="31">
        <f>step3_validation[[#This Row],[Used_Seed]]</f>
        <v>2344</v>
      </c>
      <c r="C355" t="str">
        <f>step3_validation[[#This Row],[Gender]]</f>
        <v>Nữ</v>
      </c>
      <c r="D355" t="str">
        <f>survey_responses[[#This Row],[Giới tính của bạn:]]</f>
        <v>Nữ</v>
      </c>
      <c r="E355" t="str">
        <f>step3_validation[[#This Row],[Age_Group]]</f>
        <v>18 - 24</v>
      </c>
      <c r="F355" t="str">
        <f>survey_responses[[#This Row],[Độ tuổi của bạn:]]</f>
        <v>18 - 24</v>
      </c>
      <c r="G355" t="str">
        <f>step3_validation[[#This Row],[Region]]</f>
        <v>Thành thị</v>
      </c>
      <c r="H355" t="str">
        <f>survey_responses[[#This Row],[Khu vực bạn đang sinh sống:]]</f>
        <v>Thành thị</v>
      </c>
      <c r="I355" t="str">
        <f>step3_validation[[#This Row],[Education]]</f>
        <v>Đại học</v>
      </c>
      <c r="J355" t="str">
        <f>survey_responses[[#This Row],[Trình độ học vấn cao nhất:]]</f>
        <v>Đại học</v>
      </c>
      <c r="K355" t="str">
        <f>step3_validation[[#This Row],[Employment]]</f>
        <v>Chính thức</v>
      </c>
      <c r="L355" t="str">
        <f>survey_responses[[#This Row],[Tình trạng việc làm chính:]]</f>
        <v>Khu vực chính thức (Có Hợp đồng lao động, đóng BHXH)</v>
      </c>
      <c r="M355">
        <f>step3_validation[[#This Row],[Income_Mil]]</f>
        <v>15.930593337444501</v>
      </c>
      <c r="N355" t="str">
        <f>survey_responses[[#This Row],[Thu nhập bình quân tháng theo Hợp đồng lao động của bạn là bao nhiêu? (Vui lòng điền tổng thu nhập trước khi khấu trừ các loại Bảo hiểm (BHXH, BHYT, BHTN) và Thuế TNCN)]]</f>
        <v>Từ 12 - 18 triệu VNĐ</v>
      </c>
      <c r="O355">
        <f>step3_validation[[#This Row],[Dependents]]</f>
        <v>0</v>
      </c>
      <c r="P355" t="str">
        <f>survey_responses[[#This Row],[Số người phụ thuộc (con nhỏ, cha mẹ già...) đủ điều kiện giảm trừ gia cảnh:]]</f>
        <v>0 người</v>
      </c>
      <c r="Q355">
        <f>step3_validation[[#This Row],[AI_ENF1]]</f>
        <v>8</v>
      </c>
      <c r="R355" t="str">
        <f t="shared" si="135"/>
        <v>Support</v>
      </c>
      <c r="S355">
        <f>survey_responses[[#This Row],[Tôi tin rằng với các quy định quản lý thuế hiện nay, hành vi gian lận hoặc trốn thuế sẽ dễ dàng bị phát hiện và xử lý nghiêm. - HUMAN-ENF1]]</f>
        <v>9</v>
      </c>
      <c r="T355" t="str">
        <f t="shared" si="136"/>
        <v>Support</v>
      </c>
      <c r="U355" s="32">
        <f t="shared" si="137"/>
        <v>1</v>
      </c>
      <c r="V355">
        <f>step3_validation[[#This Row],[AI_ENF2]]</f>
        <v>9</v>
      </c>
      <c r="W355" t="str">
        <f t="shared" si="138"/>
        <v>Support</v>
      </c>
      <c r="X355">
        <f>survey_responses[[#This Row],[Tôi tin rằng Nhà nước, cơ quan thuế có đủ khả năng và công nghệ để phát hiện, xử lý nghiêm các hành vi trốn thuế. - HUMAN-ENF2]]</f>
        <v>9</v>
      </c>
      <c r="Y355" t="str">
        <f t="shared" si="139"/>
        <v>Support</v>
      </c>
      <c r="Z355" s="32">
        <f t="shared" si="140"/>
        <v>0</v>
      </c>
      <c r="AA355">
        <f>step3_validation[[#This Row],[AI_FAC1]]</f>
        <v>8</v>
      </c>
      <c r="AB355" t="str">
        <f t="shared" si="141"/>
        <v>Support</v>
      </c>
      <c r="AC355">
        <f>survey_responses[[#This Row],[Các thủ tục khai báo thuế VÀ/HOẶC quy trình làm việc với cơ quan thuế đơn giản, tiện lợi, nhanh chóng hơn so với trước đây. - HUMAN-FAC1]]</f>
        <v>10</v>
      </c>
      <c r="AD355" t="str">
        <f t="shared" si="142"/>
        <v>Support</v>
      </c>
      <c r="AE355" s="32">
        <f t="shared" si="143"/>
        <v>2</v>
      </c>
      <c r="AF355">
        <f>step3_validation[[#This Row],[AI_FAC2]]</f>
        <v>7</v>
      </c>
      <c r="AG355" t="str">
        <f t="shared" si="144"/>
        <v>Neutral</v>
      </c>
      <c r="AH355">
        <f>survey_responses[[#This Row],[So với trước đây, tôi thấy cách tính thuế và các bậc thuế trong phương án mới đơn giản, dễ hiểu và dễ thực hiện hơn. - HUMAN-FAC2]]</f>
        <v>10</v>
      </c>
      <c r="AI355" t="str">
        <f t="shared" si="145"/>
        <v>Support</v>
      </c>
      <c r="AJ355" s="32">
        <f t="shared" si="146"/>
        <v>3</v>
      </c>
      <c r="AK355">
        <f>step3_validation[[#This Row],[AI_TRU1]]</f>
        <v>6</v>
      </c>
      <c r="AL355" t="str">
        <f t="shared" si="147"/>
        <v>Neutral</v>
      </c>
      <c r="AM355">
        <f>survey_responses[[#This Row],[Tôi tin rằng Nhà nước, cơ quan thuế sẽ thực thi chính sách mới một cách khách quan, công tâm và đối xử bình đẳng với mọi người nộp thuế.  - HUMAN-TRU1]]</f>
        <v>9</v>
      </c>
      <c r="AN355" t="str">
        <f t="shared" si="148"/>
        <v>Support</v>
      </c>
      <c r="AO355" s="32">
        <f t="shared" si="149"/>
        <v>3</v>
      </c>
      <c r="AP355">
        <f>step3_validation[[#This Row],[AI_TRU2]]</f>
        <v>5</v>
      </c>
      <c r="AQ355" t="str">
        <f t="shared" si="150"/>
        <v>Neutral</v>
      </c>
      <c r="AR355">
        <f>survey_responses[[#This Row],[Tôi thấy mức thuế tôi phải đóng theo phương án mới là công bằng (người thu nhập như tôi đóng mức này là hợp lý). - HUMAN-TRU2]]</f>
        <v>10</v>
      </c>
      <c r="AS355" t="str">
        <f t="shared" si="151"/>
        <v>Support</v>
      </c>
      <c r="AT355" s="32">
        <f t="shared" si="152"/>
        <v>5</v>
      </c>
      <c r="AU355">
        <f>step3_validation[[#This Row],[AI_TRU3]]</f>
        <v>6</v>
      </c>
      <c r="AV355" t="str">
        <f t="shared" si="153"/>
        <v>Neutral</v>
      </c>
      <c r="AW355">
        <f>survey_responses[[#This Row],[Tôi tin tưởng số tiền thuế tôi đóng sẽ được Nhà nước sử dụng hiệu quả để cải thiện dịch vụ công (y tế, đường xá...). - HUMAN-TRU3]]</f>
        <v>8</v>
      </c>
      <c r="AX355" t="str">
        <f t="shared" si="154"/>
        <v>Support</v>
      </c>
      <c r="AY355" s="32">
        <f t="shared" si="155"/>
        <v>2</v>
      </c>
      <c r="AZ355">
        <f>step3_validation[[#This Row],[AI_TRU4]]</f>
        <v>5</v>
      </c>
      <c r="BA355" t="str">
        <f t="shared" si="156"/>
        <v>Neutral</v>
      </c>
      <c r="BB355">
        <f>survey_responses[[#This Row],[Tôi thấy Nhà nước đã giải thích rõ ràng, minh bạch về lý do và mục tiêu của việc sửa đổi thuế lần này. - HUMAN-TRU4]]</f>
        <v>8</v>
      </c>
      <c r="BC355" t="str">
        <f t="shared" si="157"/>
        <v>Support</v>
      </c>
      <c r="BD355" s="32">
        <f t="shared" si="158"/>
        <v>3</v>
      </c>
      <c r="BE355">
        <f>step3_validation[[#This Row],[AI_OUT1]]</f>
        <v>4</v>
      </c>
      <c r="BF355" t="str">
        <f t="shared" si="159"/>
        <v>Oppose</v>
      </c>
      <c r="BG355">
        <f>survey_responses[[#This Row],[Sau khi xem xét các quyền lợi và nghĩa vụ, bạn có ủng hộ và tuân thủ chính sách mới hiện nay? - HUMAN-OUT1]]</f>
        <v>9</v>
      </c>
      <c r="BH355" t="str">
        <f t="shared" si="160"/>
        <v>Support</v>
      </c>
      <c r="BI355" s="32">
        <f t="shared" si="161"/>
        <v>5</v>
      </c>
    </row>
    <row r="356" spans="1:61" x14ac:dyDescent="0.45">
      <c r="A356" s="30">
        <f>step3_validation[[#This Row],[Persona_ID]]</f>
        <v>355</v>
      </c>
      <c r="B356" s="31">
        <f>step3_validation[[#This Row],[Used_Seed]]</f>
        <v>2345</v>
      </c>
      <c r="C356" t="str">
        <f>step3_validation[[#This Row],[Gender]]</f>
        <v>Nam</v>
      </c>
      <c r="D356" t="str">
        <f>survey_responses[[#This Row],[Giới tính của bạn:]]</f>
        <v>Nam</v>
      </c>
      <c r="E356" t="str">
        <f>step3_validation[[#This Row],[Age_Group]]</f>
        <v>18 - 24</v>
      </c>
      <c r="F356" t="str">
        <f>survey_responses[[#This Row],[Độ tuổi của bạn:]]</f>
        <v>18 - 24</v>
      </c>
      <c r="G356" t="str">
        <f>step3_validation[[#This Row],[Region]]</f>
        <v>Thành thị</v>
      </c>
      <c r="H356" t="str">
        <f>survey_responses[[#This Row],[Khu vực bạn đang sinh sống:]]</f>
        <v>Thành thị</v>
      </c>
      <c r="I356" t="str">
        <f>step3_validation[[#This Row],[Education]]</f>
        <v>Đại học</v>
      </c>
      <c r="J356" t="str">
        <f>survey_responses[[#This Row],[Trình độ học vấn cao nhất:]]</f>
        <v>Đại học</v>
      </c>
      <c r="K356" t="str">
        <f>step3_validation[[#This Row],[Employment]]</f>
        <v>Chính thức</v>
      </c>
      <c r="L356" t="str">
        <f>survey_responses[[#This Row],[Tình trạng việc làm chính:]]</f>
        <v>Khu vực chính thức (Có Hợp đồng lao động, đóng BHXH)</v>
      </c>
      <c r="M356">
        <f>step3_validation[[#This Row],[Income_Mil]]</f>
        <v>14.529106801505399</v>
      </c>
      <c r="N356" t="str">
        <f>survey_responses[[#This Row],[Thu nhập bình quân tháng theo Hợp đồng lao động của bạn là bao nhiêu? (Vui lòng điền tổng thu nhập trước khi khấu trừ các loại Bảo hiểm (BHXH, BHYT, BHTN) và Thuế TNCN)]]</f>
        <v>Từ 12 - 18 triệu VNĐ</v>
      </c>
      <c r="O356">
        <f>step3_validation[[#This Row],[Dependents]]</f>
        <v>0</v>
      </c>
      <c r="P356" t="str">
        <f>survey_responses[[#This Row],[Số người phụ thuộc (con nhỏ, cha mẹ già...) đủ điều kiện giảm trừ gia cảnh:]]</f>
        <v>0 người</v>
      </c>
      <c r="Q356">
        <f>step3_validation[[#This Row],[AI_ENF1]]</f>
        <v>7</v>
      </c>
      <c r="R356" t="str">
        <f t="shared" si="135"/>
        <v>Neutral</v>
      </c>
      <c r="S356">
        <f>survey_responses[[#This Row],[Tôi tin rằng với các quy định quản lý thuế hiện nay, hành vi gian lận hoặc trốn thuế sẽ dễ dàng bị phát hiện và xử lý nghiêm. - HUMAN-ENF1]]</f>
        <v>7</v>
      </c>
      <c r="T356" t="str">
        <f t="shared" si="136"/>
        <v>Neutral</v>
      </c>
      <c r="U356" s="32">
        <f t="shared" si="137"/>
        <v>0</v>
      </c>
      <c r="V356">
        <f>step3_validation[[#This Row],[AI_ENF2]]</f>
        <v>8</v>
      </c>
      <c r="W356" t="str">
        <f t="shared" si="138"/>
        <v>Support</v>
      </c>
      <c r="X356">
        <f>survey_responses[[#This Row],[Tôi tin rằng Nhà nước, cơ quan thuế có đủ khả năng và công nghệ để phát hiện, xử lý nghiêm các hành vi trốn thuế. - HUMAN-ENF2]]</f>
        <v>8</v>
      </c>
      <c r="Y356" t="str">
        <f t="shared" si="139"/>
        <v>Support</v>
      </c>
      <c r="Z356" s="32">
        <f t="shared" si="140"/>
        <v>0</v>
      </c>
      <c r="AA356">
        <f>step3_validation[[#This Row],[AI_FAC1]]</f>
        <v>6</v>
      </c>
      <c r="AB356" t="str">
        <f t="shared" si="141"/>
        <v>Neutral</v>
      </c>
      <c r="AC356">
        <f>survey_responses[[#This Row],[Các thủ tục khai báo thuế VÀ/HOẶC quy trình làm việc với cơ quan thuế đơn giản, tiện lợi, nhanh chóng hơn so với trước đây. - HUMAN-FAC1]]</f>
        <v>8</v>
      </c>
      <c r="AD356" t="str">
        <f t="shared" si="142"/>
        <v>Support</v>
      </c>
      <c r="AE356" s="32">
        <f t="shared" si="143"/>
        <v>2</v>
      </c>
      <c r="AF356">
        <f>step3_validation[[#This Row],[AI_FAC2]]</f>
        <v>7</v>
      </c>
      <c r="AG356" t="str">
        <f t="shared" si="144"/>
        <v>Neutral</v>
      </c>
      <c r="AH356">
        <f>survey_responses[[#This Row],[So với trước đây, tôi thấy cách tính thuế và các bậc thuế trong phương án mới đơn giản, dễ hiểu và dễ thực hiện hơn. - HUMAN-FAC2]]</f>
        <v>9</v>
      </c>
      <c r="AI356" t="str">
        <f t="shared" si="145"/>
        <v>Support</v>
      </c>
      <c r="AJ356" s="32">
        <f t="shared" si="146"/>
        <v>2</v>
      </c>
      <c r="AK356">
        <f>step3_validation[[#This Row],[AI_TRU1]]</f>
        <v>6</v>
      </c>
      <c r="AL356" t="str">
        <f t="shared" si="147"/>
        <v>Neutral</v>
      </c>
      <c r="AM356">
        <f>survey_responses[[#This Row],[Tôi tin rằng Nhà nước, cơ quan thuế sẽ thực thi chính sách mới một cách khách quan, công tâm và đối xử bình đẳng với mọi người nộp thuế.  - HUMAN-TRU1]]</f>
        <v>8</v>
      </c>
      <c r="AN356" t="str">
        <f t="shared" si="148"/>
        <v>Support</v>
      </c>
      <c r="AO356" s="32">
        <f t="shared" si="149"/>
        <v>2</v>
      </c>
      <c r="AP356">
        <f>step3_validation[[#This Row],[AI_TRU2]]</f>
        <v>7</v>
      </c>
      <c r="AQ356" t="str">
        <f t="shared" si="150"/>
        <v>Neutral</v>
      </c>
      <c r="AR356">
        <f>survey_responses[[#This Row],[Tôi thấy mức thuế tôi phải đóng theo phương án mới là công bằng (người thu nhập như tôi đóng mức này là hợp lý). - HUMAN-TRU2]]</f>
        <v>10</v>
      </c>
      <c r="AS356" t="str">
        <f t="shared" si="151"/>
        <v>Support</v>
      </c>
      <c r="AT356" s="32">
        <f t="shared" si="152"/>
        <v>3</v>
      </c>
      <c r="AU356">
        <f>step3_validation[[#This Row],[AI_TRU3]]</f>
        <v>6</v>
      </c>
      <c r="AV356" t="str">
        <f t="shared" si="153"/>
        <v>Neutral</v>
      </c>
      <c r="AW356">
        <f>survey_responses[[#This Row],[Tôi tin tưởng số tiền thuế tôi đóng sẽ được Nhà nước sử dụng hiệu quả để cải thiện dịch vụ công (y tế, đường xá...). - HUMAN-TRU3]]</f>
        <v>8</v>
      </c>
      <c r="AX356" t="str">
        <f t="shared" si="154"/>
        <v>Support</v>
      </c>
      <c r="AY356" s="32">
        <f t="shared" si="155"/>
        <v>2</v>
      </c>
      <c r="AZ356">
        <f>step3_validation[[#This Row],[AI_TRU4]]</f>
        <v>5</v>
      </c>
      <c r="BA356" t="str">
        <f t="shared" si="156"/>
        <v>Neutral</v>
      </c>
      <c r="BB356">
        <f>survey_responses[[#This Row],[Tôi thấy Nhà nước đã giải thích rõ ràng, minh bạch về lý do và mục tiêu của việc sửa đổi thuế lần này. - HUMAN-TRU4]]</f>
        <v>8</v>
      </c>
      <c r="BC356" t="str">
        <f t="shared" si="157"/>
        <v>Support</v>
      </c>
      <c r="BD356" s="32">
        <f t="shared" si="158"/>
        <v>3</v>
      </c>
      <c r="BE356">
        <f>step3_validation[[#This Row],[AI_OUT1]]</f>
        <v>6</v>
      </c>
      <c r="BF356" t="str">
        <f t="shared" si="159"/>
        <v>Neutral</v>
      </c>
      <c r="BG356">
        <f>survey_responses[[#This Row],[Sau khi xem xét các quyền lợi và nghĩa vụ, bạn có ủng hộ và tuân thủ chính sách mới hiện nay? - HUMAN-OUT1]]</f>
        <v>9</v>
      </c>
      <c r="BH356" t="str">
        <f t="shared" si="160"/>
        <v>Support</v>
      </c>
      <c r="BI356" s="32">
        <f t="shared" si="161"/>
        <v>3</v>
      </c>
    </row>
    <row r="357" spans="1:61" x14ac:dyDescent="0.45">
      <c r="A357" s="30">
        <f>step3_validation[[#This Row],[Persona_ID]]</f>
        <v>356</v>
      </c>
      <c r="B357" s="31">
        <f>step3_validation[[#This Row],[Used_Seed]]</f>
        <v>2346</v>
      </c>
      <c r="C357" t="str">
        <f>step3_validation[[#This Row],[Gender]]</f>
        <v>Nam</v>
      </c>
      <c r="D357" t="str">
        <f>survey_responses[[#This Row],[Giới tính của bạn:]]</f>
        <v>Nam</v>
      </c>
      <c r="E357" t="str">
        <f>step3_validation[[#This Row],[Age_Group]]</f>
        <v>18 - 24</v>
      </c>
      <c r="F357" t="str">
        <f>survey_responses[[#This Row],[Độ tuổi của bạn:]]</f>
        <v>18 - 24</v>
      </c>
      <c r="G357" t="str">
        <f>step3_validation[[#This Row],[Region]]</f>
        <v>Thành thị</v>
      </c>
      <c r="H357" t="str">
        <f>survey_responses[[#This Row],[Khu vực bạn đang sinh sống:]]</f>
        <v>Thành thị</v>
      </c>
      <c r="I357" t="str">
        <f>step3_validation[[#This Row],[Education]]</f>
        <v>Đại học</v>
      </c>
      <c r="J357" t="str">
        <f>survey_responses[[#This Row],[Trình độ học vấn cao nhất:]]</f>
        <v>Đại học</v>
      </c>
      <c r="K357" t="str">
        <f>step3_validation[[#This Row],[Employment]]</f>
        <v>Chính thức</v>
      </c>
      <c r="L357" t="str">
        <f>survey_responses[[#This Row],[Tình trạng việc làm chính:]]</f>
        <v>Khu vực chính thức (Có Hợp đồng lao động, đóng BHXH)</v>
      </c>
      <c r="M357">
        <f>step3_validation[[#This Row],[Income_Mil]]</f>
        <v>13.29466550493764</v>
      </c>
      <c r="N357" t="str">
        <f>survey_responses[[#This Row],[Thu nhập bình quân tháng theo Hợp đồng lao động của bạn là bao nhiêu? (Vui lòng điền tổng thu nhập trước khi khấu trừ các loại Bảo hiểm (BHXH, BHYT, BHTN) và Thuế TNCN)]]</f>
        <v>Từ 12 - 18 triệu VNĐ</v>
      </c>
      <c r="O357">
        <f>step3_validation[[#This Row],[Dependents]]</f>
        <v>0</v>
      </c>
      <c r="P357" t="str">
        <f>survey_responses[[#This Row],[Số người phụ thuộc (con nhỏ, cha mẹ già...) đủ điều kiện giảm trừ gia cảnh:]]</f>
        <v>0 người</v>
      </c>
      <c r="Q357">
        <f>step3_validation[[#This Row],[AI_ENF1]]</f>
        <v>8</v>
      </c>
      <c r="R357" t="str">
        <f t="shared" si="135"/>
        <v>Support</v>
      </c>
      <c r="S357">
        <f>survey_responses[[#This Row],[Tôi tin rằng với các quy định quản lý thuế hiện nay, hành vi gian lận hoặc trốn thuế sẽ dễ dàng bị phát hiện và xử lý nghiêm. - HUMAN-ENF1]]</f>
        <v>7</v>
      </c>
      <c r="T357" t="str">
        <f t="shared" si="136"/>
        <v>Neutral</v>
      </c>
      <c r="U357" s="32">
        <f t="shared" si="137"/>
        <v>1</v>
      </c>
      <c r="V357">
        <f>step3_validation[[#This Row],[AI_ENF2]]</f>
        <v>7</v>
      </c>
      <c r="W357" t="str">
        <f t="shared" si="138"/>
        <v>Neutral</v>
      </c>
      <c r="X357">
        <f>survey_responses[[#This Row],[Tôi tin rằng Nhà nước, cơ quan thuế có đủ khả năng và công nghệ để phát hiện, xử lý nghiêm các hành vi trốn thuế. - HUMAN-ENF2]]</f>
        <v>7</v>
      </c>
      <c r="Y357" t="str">
        <f t="shared" si="139"/>
        <v>Neutral</v>
      </c>
      <c r="Z357" s="32">
        <f t="shared" si="140"/>
        <v>0</v>
      </c>
      <c r="AA357">
        <f>step3_validation[[#This Row],[AI_FAC1]]</f>
        <v>9</v>
      </c>
      <c r="AB357" t="str">
        <f t="shared" si="141"/>
        <v>Support</v>
      </c>
      <c r="AC357">
        <f>survey_responses[[#This Row],[Các thủ tục khai báo thuế VÀ/HOẶC quy trình làm việc với cơ quan thuế đơn giản, tiện lợi, nhanh chóng hơn so với trước đây. - HUMAN-FAC1]]</f>
        <v>8</v>
      </c>
      <c r="AD357" t="str">
        <f t="shared" si="142"/>
        <v>Support</v>
      </c>
      <c r="AE357" s="32">
        <f t="shared" si="143"/>
        <v>1</v>
      </c>
      <c r="AF357">
        <f>step3_validation[[#This Row],[AI_FAC2]]</f>
        <v>8</v>
      </c>
      <c r="AG357" t="str">
        <f t="shared" si="144"/>
        <v>Support</v>
      </c>
      <c r="AH357">
        <f>survey_responses[[#This Row],[So với trước đây, tôi thấy cách tính thuế và các bậc thuế trong phương án mới đơn giản, dễ hiểu và dễ thực hiện hơn. - HUMAN-FAC2]]</f>
        <v>10</v>
      </c>
      <c r="AI357" t="str">
        <f t="shared" si="145"/>
        <v>Support</v>
      </c>
      <c r="AJ357" s="32">
        <f t="shared" si="146"/>
        <v>2</v>
      </c>
      <c r="AK357">
        <f>step3_validation[[#This Row],[AI_TRU1]]</f>
        <v>7</v>
      </c>
      <c r="AL357" t="str">
        <f t="shared" si="147"/>
        <v>Neutral</v>
      </c>
      <c r="AM357">
        <f>survey_responses[[#This Row],[Tôi tin rằng Nhà nước, cơ quan thuế sẽ thực thi chính sách mới một cách khách quan, công tâm và đối xử bình đẳng với mọi người nộp thuế.  - HUMAN-TRU1]]</f>
        <v>9</v>
      </c>
      <c r="AN357" t="str">
        <f t="shared" si="148"/>
        <v>Support</v>
      </c>
      <c r="AO357" s="32">
        <f t="shared" si="149"/>
        <v>2</v>
      </c>
      <c r="AP357">
        <f>step3_validation[[#This Row],[AI_TRU2]]</f>
        <v>6</v>
      </c>
      <c r="AQ357" t="str">
        <f t="shared" si="150"/>
        <v>Neutral</v>
      </c>
      <c r="AR357">
        <f>survey_responses[[#This Row],[Tôi thấy mức thuế tôi phải đóng theo phương án mới là công bằng (người thu nhập như tôi đóng mức này là hợp lý). - HUMAN-TRU2]]</f>
        <v>10</v>
      </c>
      <c r="AS357" t="str">
        <f t="shared" si="151"/>
        <v>Support</v>
      </c>
      <c r="AT357" s="32">
        <f t="shared" si="152"/>
        <v>4</v>
      </c>
      <c r="AU357">
        <f>step3_validation[[#This Row],[AI_TRU3]]</f>
        <v>5</v>
      </c>
      <c r="AV357" t="str">
        <f t="shared" si="153"/>
        <v>Neutral</v>
      </c>
      <c r="AW357">
        <f>survey_responses[[#This Row],[Tôi tin tưởng số tiền thuế tôi đóng sẽ được Nhà nước sử dụng hiệu quả để cải thiện dịch vụ công (y tế, đường xá...). - HUMAN-TRU3]]</f>
        <v>8</v>
      </c>
      <c r="AX357" t="str">
        <f t="shared" si="154"/>
        <v>Support</v>
      </c>
      <c r="AY357" s="32">
        <f t="shared" si="155"/>
        <v>3</v>
      </c>
      <c r="AZ357">
        <f>step3_validation[[#This Row],[AI_TRU4]]</f>
        <v>4</v>
      </c>
      <c r="BA357" t="str">
        <f t="shared" si="156"/>
        <v>Oppose</v>
      </c>
      <c r="BB357">
        <f>survey_responses[[#This Row],[Tôi thấy Nhà nước đã giải thích rõ ràng, minh bạch về lý do và mục tiêu của việc sửa đổi thuế lần này. - HUMAN-TRU4]]</f>
        <v>8</v>
      </c>
      <c r="BC357" t="str">
        <f t="shared" si="157"/>
        <v>Support</v>
      </c>
      <c r="BD357" s="32">
        <f t="shared" si="158"/>
        <v>4</v>
      </c>
      <c r="BE357">
        <f>step3_validation[[#This Row],[AI_OUT1]]</f>
        <v>6</v>
      </c>
      <c r="BF357" t="str">
        <f t="shared" si="159"/>
        <v>Neutral</v>
      </c>
      <c r="BG357">
        <f>survey_responses[[#This Row],[Sau khi xem xét các quyền lợi và nghĩa vụ, bạn có ủng hộ và tuân thủ chính sách mới hiện nay? - HUMAN-OUT1]]</f>
        <v>10</v>
      </c>
      <c r="BH357" t="str">
        <f t="shared" si="160"/>
        <v>Support</v>
      </c>
      <c r="BI357" s="32">
        <f t="shared" si="161"/>
        <v>4</v>
      </c>
    </row>
    <row r="358" spans="1:61" x14ac:dyDescent="0.45">
      <c r="A358" s="30">
        <f>step3_validation[[#This Row],[Persona_ID]]</f>
        <v>357</v>
      </c>
      <c r="B358" s="31">
        <f>step3_validation[[#This Row],[Used_Seed]]</f>
        <v>2347</v>
      </c>
      <c r="C358" t="str">
        <f>step3_validation[[#This Row],[Gender]]</f>
        <v>Nam</v>
      </c>
      <c r="D358" t="str">
        <f>survey_responses[[#This Row],[Giới tính của bạn:]]</f>
        <v>Nam</v>
      </c>
      <c r="E358" t="str">
        <f>step3_validation[[#This Row],[Age_Group]]</f>
        <v>25 - 29</v>
      </c>
      <c r="F358" t="str">
        <f>survey_responses[[#This Row],[Độ tuổi của bạn:]]</f>
        <v>25 - 29</v>
      </c>
      <c r="G358" t="str">
        <f>step3_validation[[#This Row],[Region]]</f>
        <v>Thành thị</v>
      </c>
      <c r="H358" t="str">
        <f>survey_responses[[#This Row],[Khu vực bạn đang sinh sống:]]</f>
        <v>Thành thị</v>
      </c>
      <c r="I358" t="str">
        <f>step3_validation[[#This Row],[Education]]</f>
        <v>Đại học</v>
      </c>
      <c r="J358" t="str">
        <f>survey_responses[[#This Row],[Trình độ học vấn cao nhất:]]</f>
        <v>Đại học</v>
      </c>
      <c r="K358" t="str">
        <f>step3_validation[[#This Row],[Employment]]</f>
        <v>Chính thức</v>
      </c>
      <c r="L358" t="str">
        <f>survey_responses[[#This Row],[Tình trạng việc làm chính:]]</f>
        <v>Khu vực chính thức (Có Hợp đồng lao động, đóng BHXH)</v>
      </c>
      <c r="M358">
        <f>step3_validation[[#This Row],[Income_Mil]]</f>
        <v>25.004337059616322</v>
      </c>
      <c r="N358" t="str">
        <f>survey_responses[[#This Row],[Thu nhập bình quân tháng theo Hợp đồng lao động của bạn là bao nhiêu? (Vui lòng điền tổng thu nhập trước khi khấu trừ các loại Bảo hiểm (BHXH, BHYT, BHTN) và Thuế TNCN)]]</f>
        <v>Từ 23 - 32 triệu VNĐ</v>
      </c>
      <c r="O358">
        <f>step3_validation[[#This Row],[Dependents]]</f>
        <v>0</v>
      </c>
      <c r="P358" t="str">
        <f>survey_responses[[#This Row],[Số người phụ thuộc (con nhỏ, cha mẹ già...) đủ điều kiện giảm trừ gia cảnh:]]</f>
        <v>0 người</v>
      </c>
      <c r="Q358">
        <f>step3_validation[[#This Row],[AI_ENF1]]</f>
        <v>9</v>
      </c>
      <c r="R358" t="str">
        <f t="shared" si="135"/>
        <v>Support</v>
      </c>
      <c r="S358">
        <f>survey_responses[[#This Row],[Tôi tin rằng với các quy định quản lý thuế hiện nay, hành vi gian lận hoặc trốn thuế sẽ dễ dàng bị phát hiện và xử lý nghiêm. - HUMAN-ENF1]]</f>
        <v>9</v>
      </c>
      <c r="T358" t="str">
        <f t="shared" si="136"/>
        <v>Support</v>
      </c>
      <c r="U358" s="32">
        <f t="shared" si="137"/>
        <v>0</v>
      </c>
      <c r="V358">
        <f>step3_validation[[#This Row],[AI_ENF2]]</f>
        <v>8</v>
      </c>
      <c r="W358" t="str">
        <f t="shared" si="138"/>
        <v>Support</v>
      </c>
      <c r="X358">
        <f>survey_responses[[#This Row],[Tôi tin rằng Nhà nước, cơ quan thuế có đủ khả năng và công nghệ để phát hiện, xử lý nghiêm các hành vi trốn thuế. - HUMAN-ENF2]]</f>
        <v>9</v>
      </c>
      <c r="Y358" t="str">
        <f t="shared" si="139"/>
        <v>Support</v>
      </c>
      <c r="Z358" s="32">
        <f t="shared" si="140"/>
        <v>1</v>
      </c>
      <c r="AA358">
        <f>step3_validation[[#This Row],[AI_FAC1]]</f>
        <v>8</v>
      </c>
      <c r="AB358" t="str">
        <f t="shared" si="141"/>
        <v>Support</v>
      </c>
      <c r="AC358">
        <f>survey_responses[[#This Row],[Các thủ tục khai báo thuế VÀ/HOẶC quy trình làm việc với cơ quan thuế đơn giản, tiện lợi, nhanh chóng hơn so với trước đây. - HUMAN-FAC1]]</f>
        <v>8</v>
      </c>
      <c r="AD358" t="str">
        <f t="shared" si="142"/>
        <v>Support</v>
      </c>
      <c r="AE358" s="32">
        <f t="shared" si="143"/>
        <v>0</v>
      </c>
      <c r="AF358">
        <f>step3_validation[[#This Row],[AI_FAC2]]</f>
        <v>9</v>
      </c>
      <c r="AG358" t="str">
        <f t="shared" si="144"/>
        <v>Support</v>
      </c>
      <c r="AH358">
        <f>survey_responses[[#This Row],[So với trước đây, tôi thấy cách tính thuế và các bậc thuế trong phương án mới đơn giản, dễ hiểu và dễ thực hiện hơn. - HUMAN-FAC2]]</f>
        <v>9</v>
      </c>
      <c r="AI358" t="str">
        <f t="shared" si="145"/>
        <v>Support</v>
      </c>
      <c r="AJ358" s="32">
        <f t="shared" si="146"/>
        <v>0</v>
      </c>
      <c r="AK358">
        <f>step3_validation[[#This Row],[AI_TRU1]]</f>
        <v>8</v>
      </c>
      <c r="AL358" t="str">
        <f t="shared" si="147"/>
        <v>Support</v>
      </c>
      <c r="AM358">
        <f>survey_responses[[#This Row],[Tôi tin rằng Nhà nước, cơ quan thuế sẽ thực thi chính sách mới một cách khách quan, công tâm và đối xử bình đẳng với mọi người nộp thuế.  - HUMAN-TRU1]]</f>
        <v>8</v>
      </c>
      <c r="AN358" t="str">
        <f t="shared" si="148"/>
        <v>Support</v>
      </c>
      <c r="AO358" s="32">
        <f t="shared" si="149"/>
        <v>0</v>
      </c>
      <c r="AP358">
        <f>step3_validation[[#This Row],[AI_TRU2]]</f>
        <v>7</v>
      </c>
      <c r="AQ358" t="str">
        <f t="shared" si="150"/>
        <v>Neutral</v>
      </c>
      <c r="AR358">
        <f>survey_responses[[#This Row],[Tôi thấy mức thuế tôi phải đóng theo phương án mới là công bằng (người thu nhập như tôi đóng mức này là hợp lý). - HUMAN-TRU2]]</f>
        <v>8</v>
      </c>
      <c r="AS358" t="str">
        <f t="shared" si="151"/>
        <v>Support</v>
      </c>
      <c r="AT358" s="32">
        <f t="shared" si="152"/>
        <v>1</v>
      </c>
      <c r="AU358">
        <f>step3_validation[[#This Row],[AI_TRU3]]</f>
        <v>8</v>
      </c>
      <c r="AV358" t="str">
        <f t="shared" si="153"/>
        <v>Support</v>
      </c>
      <c r="AW358">
        <f>survey_responses[[#This Row],[Tôi tin tưởng số tiền thuế tôi đóng sẽ được Nhà nước sử dụng hiệu quả để cải thiện dịch vụ công (y tế, đường xá...). - HUMAN-TRU3]]</f>
        <v>7</v>
      </c>
      <c r="AX358" t="str">
        <f t="shared" si="154"/>
        <v>Neutral</v>
      </c>
      <c r="AY358" s="32">
        <f t="shared" si="155"/>
        <v>1</v>
      </c>
      <c r="AZ358">
        <f>step3_validation[[#This Row],[AI_TRU4]]</f>
        <v>7</v>
      </c>
      <c r="BA358" t="str">
        <f t="shared" si="156"/>
        <v>Neutral</v>
      </c>
      <c r="BB358">
        <f>survey_responses[[#This Row],[Tôi thấy Nhà nước đã giải thích rõ ràng, minh bạch về lý do và mục tiêu của việc sửa đổi thuế lần này. - HUMAN-TRU4]]</f>
        <v>7</v>
      </c>
      <c r="BC358" t="str">
        <f t="shared" si="157"/>
        <v>Neutral</v>
      </c>
      <c r="BD358" s="32">
        <f t="shared" si="158"/>
        <v>0</v>
      </c>
      <c r="BE358">
        <f>step3_validation[[#This Row],[AI_OUT1]]</f>
        <v>7</v>
      </c>
      <c r="BF358" t="str">
        <f t="shared" si="159"/>
        <v>Neutral</v>
      </c>
      <c r="BG358">
        <f>survey_responses[[#This Row],[Sau khi xem xét các quyền lợi và nghĩa vụ, bạn có ủng hộ và tuân thủ chính sách mới hiện nay? - HUMAN-OUT1]]</f>
        <v>8</v>
      </c>
      <c r="BH358" t="str">
        <f t="shared" si="160"/>
        <v>Support</v>
      </c>
      <c r="BI358" s="32">
        <f t="shared" si="161"/>
        <v>1</v>
      </c>
    </row>
    <row r="359" spans="1:61" x14ac:dyDescent="0.45">
      <c r="A359" s="30">
        <f>step3_validation[[#This Row],[Persona_ID]]</f>
        <v>358</v>
      </c>
      <c r="B359" s="31">
        <f>step3_validation[[#This Row],[Used_Seed]]</f>
        <v>2348</v>
      </c>
      <c r="C359" t="str">
        <f>step3_validation[[#This Row],[Gender]]</f>
        <v>Nữ</v>
      </c>
      <c r="D359" t="str">
        <f>survey_responses[[#This Row],[Giới tính của bạn:]]</f>
        <v>Nữ</v>
      </c>
      <c r="E359" t="str">
        <f>step3_validation[[#This Row],[Age_Group]]</f>
        <v>18 - 24</v>
      </c>
      <c r="F359" t="str">
        <f>survey_responses[[#This Row],[Độ tuổi của bạn:]]</f>
        <v>18 - 24</v>
      </c>
      <c r="G359" t="str">
        <f>step3_validation[[#This Row],[Region]]</f>
        <v>Thành thị</v>
      </c>
      <c r="H359" t="str">
        <f>survey_responses[[#This Row],[Khu vực bạn đang sinh sống:]]</f>
        <v>Thành thị</v>
      </c>
      <c r="I359" t="str">
        <f>step3_validation[[#This Row],[Education]]</f>
        <v>Đại học</v>
      </c>
      <c r="J359" t="str">
        <f>survey_responses[[#This Row],[Trình độ học vấn cao nhất:]]</f>
        <v>Đại học</v>
      </c>
      <c r="K359" t="str">
        <f>step3_validation[[#This Row],[Employment]]</f>
        <v>Chính thức</v>
      </c>
      <c r="L359" t="str">
        <f>survey_responses[[#This Row],[Tình trạng việc làm chính:]]</f>
        <v>Khu vực chính thức (Có Hợp đồng lao động, đóng BHXH)</v>
      </c>
      <c r="M359">
        <f>step3_validation[[#This Row],[Income_Mil]]</f>
        <v>13.343862758706214</v>
      </c>
      <c r="N359" t="str">
        <f>survey_responses[[#This Row],[Thu nhập bình quân tháng theo Hợp đồng lao động của bạn là bao nhiêu? (Vui lòng điền tổng thu nhập trước khi khấu trừ các loại Bảo hiểm (BHXH, BHYT, BHTN) và Thuế TNCN)]]</f>
        <v>Từ 12 - 18 triệu VNĐ</v>
      </c>
      <c r="O359">
        <f>step3_validation[[#This Row],[Dependents]]</f>
        <v>0</v>
      </c>
      <c r="P359" t="str">
        <f>survey_responses[[#This Row],[Số người phụ thuộc (con nhỏ, cha mẹ già...) đủ điều kiện giảm trừ gia cảnh:]]</f>
        <v>0 người</v>
      </c>
      <c r="Q359">
        <f>step3_validation[[#This Row],[AI_ENF1]]</f>
        <v>8</v>
      </c>
      <c r="R359" t="str">
        <f t="shared" si="135"/>
        <v>Support</v>
      </c>
      <c r="S359">
        <f>survey_responses[[#This Row],[Tôi tin rằng với các quy định quản lý thuế hiện nay, hành vi gian lận hoặc trốn thuế sẽ dễ dàng bị phát hiện và xử lý nghiêm. - HUMAN-ENF1]]</f>
        <v>7</v>
      </c>
      <c r="T359" t="str">
        <f t="shared" si="136"/>
        <v>Neutral</v>
      </c>
      <c r="U359" s="32">
        <f t="shared" si="137"/>
        <v>1</v>
      </c>
      <c r="V359">
        <f>step3_validation[[#This Row],[AI_ENF2]]</f>
        <v>7</v>
      </c>
      <c r="W359" t="str">
        <f t="shared" si="138"/>
        <v>Neutral</v>
      </c>
      <c r="X359">
        <f>survey_responses[[#This Row],[Tôi tin rằng Nhà nước, cơ quan thuế có đủ khả năng và công nghệ để phát hiện, xử lý nghiêm các hành vi trốn thuế. - HUMAN-ENF2]]</f>
        <v>7</v>
      </c>
      <c r="Y359" t="str">
        <f t="shared" si="139"/>
        <v>Neutral</v>
      </c>
      <c r="Z359" s="32">
        <f t="shared" si="140"/>
        <v>0</v>
      </c>
      <c r="AA359">
        <f>step3_validation[[#This Row],[AI_FAC1]]</f>
        <v>9</v>
      </c>
      <c r="AB359" t="str">
        <f t="shared" si="141"/>
        <v>Support</v>
      </c>
      <c r="AC359">
        <f>survey_responses[[#This Row],[Các thủ tục khai báo thuế VÀ/HOẶC quy trình làm việc với cơ quan thuế đơn giản, tiện lợi, nhanh chóng hơn so với trước đây. - HUMAN-FAC1]]</f>
        <v>7</v>
      </c>
      <c r="AD359" t="str">
        <f t="shared" si="142"/>
        <v>Neutral</v>
      </c>
      <c r="AE359" s="32">
        <f t="shared" si="143"/>
        <v>2</v>
      </c>
      <c r="AF359">
        <f>step3_validation[[#This Row],[AI_FAC2]]</f>
        <v>8</v>
      </c>
      <c r="AG359" t="str">
        <f t="shared" si="144"/>
        <v>Support</v>
      </c>
      <c r="AH359">
        <f>survey_responses[[#This Row],[So với trước đây, tôi thấy cách tính thuế và các bậc thuế trong phương án mới đơn giản, dễ hiểu và dễ thực hiện hơn. - HUMAN-FAC2]]</f>
        <v>8</v>
      </c>
      <c r="AI359" t="str">
        <f t="shared" si="145"/>
        <v>Support</v>
      </c>
      <c r="AJ359" s="32">
        <f t="shared" si="146"/>
        <v>0</v>
      </c>
      <c r="AK359">
        <f>step3_validation[[#This Row],[AI_TRU1]]</f>
        <v>8</v>
      </c>
      <c r="AL359" t="str">
        <f t="shared" si="147"/>
        <v>Support</v>
      </c>
      <c r="AM359">
        <f>survey_responses[[#This Row],[Tôi tin rằng Nhà nước, cơ quan thuế sẽ thực thi chính sách mới một cách khách quan, công tâm và đối xử bình đẳng với mọi người nộp thuế.  - HUMAN-TRU1]]</f>
        <v>7</v>
      </c>
      <c r="AN359" t="str">
        <f t="shared" si="148"/>
        <v>Neutral</v>
      </c>
      <c r="AO359" s="32">
        <f t="shared" si="149"/>
        <v>1</v>
      </c>
      <c r="AP359">
        <f>step3_validation[[#This Row],[AI_TRU2]]</f>
        <v>7</v>
      </c>
      <c r="AQ359" t="str">
        <f t="shared" si="150"/>
        <v>Neutral</v>
      </c>
      <c r="AR359">
        <f>survey_responses[[#This Row],[Tôi thấy mức thuế tôi phải đóng theo phương án mới là công bằng (người thu nhập như tôi đóng mức này là hợp lý). - HUMAN-TRU2]]</f>
        <v>9</v>
      </c>
      <c r="AS359" t="str">
        <f t="shared" si="151"/>
        <v>Support</v>
      </c>
      <c r="AT359" s="32">
        <f t="shared" si="152"/>
        <v>2</v>
      </c>
      <c r="AU359">
        <f>step3_validation[[#This Row],[AI_TRU3]]</f>
        <v>7</v>
      </c>
      <c r="AV359" t="str">
        <f t="shared" si="153"/>
        <v>Neutral</v>
      </c>
      <c r="AW359">
        <f>survey_responses[[#This Row],[Tôi tin tưởng số tiền thuế tôi đóng sẽ được Nhà nước sử dụng hiệu quả để cải thiện dịch vụ công (y tế, đường xá...). - HUMAN-TRU3]]</f>
        <v>8</v>
      </c>
      <c r="AX359" t="str">
        <f t="shared" si="154"/>
        <v>Support</v>
      </c>
      <c r="AY359" s="32">
        <f t="shared" si="155"/>
        <v>1</v>
      </c>
      <c r="AZ359">
        <f>step3_validation[[#This Row],[AI_TRU4]]</f>
        <v>6</v>
      </c>
      <c r="BA359" t="str">
        <f t="shared" si="156"/>
        <v>Neutral</v>
      </c>
      <c r="BB359">
        <f>survey_responses[[#This Row],[Tôi thấy Nhà nước đã giải thích rõ ràng, minh bạch về lý do và mục tiêu của việc sửa đổi thuế lần này. - HUMAN-TRU4]]</f>
        <v>8</v>
      </c>
      <c r="BC359" t="str">
        <f t="shared" si="157"/>
        <v>Support</v>
      </c>
      <c r="BD359" s="32">
        <f t="shared" si="158"/>
        <v>2</v>
      </c>
      <c r="BE359">
        <f>step3_validation[[#This Row],[AI_OUT1]]</f>
        <v>7</v>
      </c>
      <c r="BF359" t="str">
        <f t="shared" si="159"/>
        <v>Neutral</v>
      </c>
      <c r="BG359">
        <f>survey_responses[[#This Row],[Sau khi xem xét các quyền lợi và nghĩa vụ, bạn có ủng hộ và tuân thủ chính sách mới hiện nay? - HUMAN-OUT1]]</f>
        <v>8</v>
      </c>
      <c r="BH359" t="str">
        <f t="shared" si="160"/>
        <v>Support</v>
      </c>
      <c r="BI359" s="32">
        <f t="shared" si="161"/>
        <v>1</v>
      </c>
    </row>
    <row r="360" spans="1:61" x14ac:dyDescent="0.45">
      <c r="A360" s="30">
        <f>step3_validation[[#This Row],[Persona_ID]]</f>
        <v>359</v>
      </c>
      <c r="B360" s="31">
        <f>step3_validation[[#This Row],[Used_Seed]]</f>
        <v>2349</v>
      </c>
      <c r="C360" t="str">
        <f>step3_validation[[#This Row],[Gender]]</f>
        <v>Nữ</v>
      </c>
      <c r="D360" t="str">
        <f>survey_responses[[#This Row],[Giới tính của bạn:]]</f>
        <v>Nữ</v>
      </c>
      <c r="E360" t="str">
        <f>step3_validation[[#This Row],[Age_Group]]</f>
        <v>25 - 29</v>
      </c>
      <c r="F360" t="str">
        <f>survey_responses[[#This Row],[Độ tuổi của bạn:]]</f>
        <v>25 - 29</v>
      </c>
      <c r="G360" t="str">
        <f>step3_validation[[#This Row],[Region]]</f>
        <v>Thành thị</v>
      </c>
      <c r="H360" t="str">
        <f>survey_responses[[#This Row],[Khu vực bạn đang sinh sống:]]</f>
        <v>Thành thị</v>
      </c>
      <c r="I360" t="str">
        <f>step3_validation[[#This Row],[Education]]</f>
        <v>Đại học</v>
      </c>
      <c r="J360" t="str">
        <f>survey_responses[[#This Row],[Trình độ học vấn cao nhất:]]</f>
        <v>Đại học</v>
      </c>
      <c r="K360" t="str">
        <f>step3_validation[[#This Row],[Employment]]</f>
        <v>Chính thức</v>
      </c>
      <c r="L360" t="str">
        <f>survey_responses[[#This Row],[Tình trạng việc làm chính:]]</f>
        <v>Khu vực chính thức (Có Hợp đồng lao động, đóng BHXH)</v>
      </c>
      <c r="M360">
        <f>step3_validation[[#This Row],[Income_Mil]]</f>
        <v>18.804621973749335</v>
      </c>
      <c r="N360" t="str">
        <f>survey_responses[[#This Row],[Thu nhập bình quân tháng theo Hợp đồng lao động của bạn là bao nhiêu? (Vui lòng điền tổng thu nhập trước khi khấu trừ các loại Bảo hiểm (BHXH, BHYT, BHTN) và Thuế TNCN)]]</f>
        <v>Từ 18 - 23 triệu VNĐ</v>
      </c>
      <c r="O360">
        <f>step3_validation[[#This Row],[Dependents]]</f>
        <v>1</v>
      </c>
      <c r="P360" t="str">
        <f>survey_responses[[#This Row],[Số người phụ thuộc (con nhỏ, cha mẹ già...) đủ điều kiện giảm trừ gia cảnh:]]</f>
        <v>1 người</v>
      </c>
      <c r="Q360">
        <f>step3_validation[[#This Row],[AI_ENF1]]</f>
        <v>7</v>
      </c>
      <c r="R360" t="str">
        <f t="shared" si="135"/>
        <v>Neutral</v>
      </c>
      <c r="S360">
        <f>survey_responses[[#This Row],[Tôi tin rằng với các quy định quản lý thuế hiện nay, hành vi gian lận hoặc trốn thuế sẽ dễ dàng bị phát hiện và xử lý nghiêm. - HUMAN-ENF1]]</f>
        <v>4</v>
      </c>
      <c r="T360" t="str">
        <f t="shared" si="136"/>
        <v>Oppose</v>
      </c>
      <c r="U360" s="32">
        <f t="shared" si="137"/>
        <v>3</v>
      </c>
      <c r="V360">
        <f>step3_validation[[#This Row],[AI_ENF2]]</f>
        <v>8</v>
      </c>
      <c r="W360" t="str">
        <f t="shared" si="138"/>
        <v>Support</v>
      </c>
      <c r="X360">
        <f>survey_responses[[#This Row],[Tôi tin rằng Nhà nước, cơ quan thuế có đủ khả năng và công nghệ để phát hiện, xử lý nghiêm các hành vi trốn thuế. - HUMAN-ENF2]]</f>
        <v>5</v>
      </c>
      <c r="Y360" t="str">
        <f t="shared" si="139"/>
        <v>Neutral</v>
      </c>
      <c r="Z360" s="32">
        <f t="shared" si="140"/>
        <v>3</v>
      </c>
      <c r="AA360">
        <f>step3_validation[[#This Row],[AI_FAC1]]</f>
        <v>9</v>
      </c>
      <c r="AB360" t="str">
        <f t="shared" si="141"/>
        <v>Support</v>
      </c>
      <c r="AC360">
        <f>survey_responses[[#This Row],[Các thủ tục khai báo thuế VÀ/HOẶC quy trình làm việc với cơ quan thuế đơn giản, tiện lợi, nhanh chóng hơn so với trước đây. - HUMAN-FAC1]]</f>
        <v>6</v>
      </c>
      <c r="AD360" t="str">
        <f t="shared" si="142"/>
        <v>Neutral</v>
      </c>
      <c r="AE360" s="32">
        <f t="shared" si="143"/>
        <v>3</v>
      </c>
      <c r="AF360">
        <f>step3_validation[[#This Row],[AI_FAC2]]</f>
        <v>8</v>
      </c>
      <c r="AG360" t="str">
        <f t="shared" si="144"/>
        <v>Support</v>
      </c>
      <c r="AH360">
        <f>survey_responses[[#This Row],[So với trước đây, tôi thấy cách tính thuế và các bậc thuế trong phương án mới đơn giản, dễ hiểu và dễ thực hiện hơn. - HUMAN-FAC2]]</f>
        <v>7</v>
      </c>
      <c r="AI360" t="str">
        <f t="shared" si="145"/>
        <v>Neutral</v>
      </c>
      <c r="AJ360" s="32">
        <f t="shared" si="146"/>
        <v>1</v>
      </c>
      <c r="AK360">
        <f>step3_validation[[#This Row],[AI_TRU1]]</f>
        <v>9</v>
      </c>
      <c r="AL360" t="str">
        <f t="shared" si="147"/>
        <v>Support</v>
      </c>
      <c r="AM360">
        <f>survey_responses[[#This Row],[Tôi tin rằng Nhà nước, cơ quan thuế sẽ thực thi chính sách mới một cách khách quan, công tâm và đối xử bình đẳng với mọi người nộp thuế.  - HUMAN-TRU1]]</f>
        <v>7</v>
      </c>
      <c r="AN360" t="str">
        <f t="shared" si="148"/>
        <v>Neutral</v>
      </c>
      <c r="AO360" s="32">
        <f t="shared" si="149"/>
        <v>2</v>
      </c>
      <c r="AP360">
        <f>step3_validation[[#This Row],[AI_TRU2]]</f>
        <v>8</v>
      </c>
      <c r="AQ360" t="str">
        <f t="shared" si="150"/>
        <v>Support</v>
      </c>
      <c r="AR360">
        <f>survey_responses[[#This Row],[Tôi thấy mức thuế tôi phải đóng theo phương án mới là công bằng (người thu nhập như tôi đóng mức này là hợp lý). - HUMAN-TRU2]]</f>
        <v>6</v>
      </c>
      <c r="AS360" t="str">
        <f t="shared" si="151"/>
        <v>Neutral</v>
      </c>
      <c r="AT360" s="32">
        <f t="shared" si="152"/>
        <v>2</v>
      </c>
      <c r="AU360">
        <f>step3_validation[[#This Row],[AI_TRU3]]</f>
        <v>7</v>
      </c>
      <c r="AV360" t="str">
        <f t="shared" si="153"/>
        <v>Neutral</v>
      </c>
      <c r="AW360">
        <f>survey_responses[[#This Row],[Tôi tin tưởng số tiền thuế tôi đóng sẽ được Nhà nước sử dụng hiệu quả để cải thiện dịch vụ công (y tế, đường xá...). - HUMAN-TRU3]]</f>
        <v>4</v>
      </c>
      <c r="AX360" t="str">
        <f t="shared" si="154"/>
        <v>Oppose</v>
      </c>
      <c r="AY360" s="32">
        <f t="shared" si="155"/>
        <v>3</v>
      </c>
      <c r="AZ360">
        <f>step3_validation[[#This Row],[AI_TRU4]]</f>
        <v>6</v>
      </c>
      <c r="BA360" t="str">
        <f t="shared" si="156"/>
        <v>Neutral</v>
      </c>
      <c r="BB360">
        <f>survey_responses[[#This Row],[Tôi thấy Nhà nước đã giải thích rõ ràng, minh bạch về lý do và mục tiêu của việc sửa đổi thuế lần này. - HUMAN-TRU4]]</f>
        <v>6</v>
      </c>
      <c r="BC360" t="str">
        <f t="shared" si="157"/>
        <v>Neutral</v>
      </c>
      <c r="BD360" s="32">
        <f t="shared" si="158"/>
        <v>0</v>
      </c>
      <c r="BE360">
        <f>step3_validation[[#This Row],[AI_OUT1]]</f>
        <v>8</v>
      </c>
      <c r="BF360" t="str">
        <f t="shared" si="159"/>
        <v>Support</v>
      </c>
      <c r="BG360">
        <f>survey_responses[[#This Row],[Sau khi xem xét các quyền lợi và nghĩa vụ, bạn có ủng hộ và tuân thủ chính sách mới hiện nay? - HUMAN-OUT1]]</f>
        <v>7</v>
      </c>
      <c r="BH360" t="str">
        <f t="shared" si="160"/>
        <v>Neutral</v>
      </c>
      <c r="BI360" s="32">
        <f t="shared" si="161"/>
        <v>1</v>
      </c>
    </row>
    <row r="361" spans="1:61" x14ac:dyDescent="0.45">
      <c r="A361" s="30">
        <f>step3_validation[[#This Row],[Persona_ID]]</f>
        <v>360</v>
      </c>
      <c r="B361" s="31">
        <f>step3_validation[[#This Row],[Used_Seed]]</f>
        <v>2350</v>
      </c>
      <c r="C361" t="str">
        <f>step3_validation[[#This Row],[Gender]]</f>
        <v>Nam</v>
      </c>
      <c r="D361" t="str">
        <f>survey_responses[[#This Row],[Giới tính của bạn:]]</f>
        <v>Nam</v>
      </c>
      <c r="E361" t="str">
        <f>step3_validation[[#This Row],[Age_Group]]</f>
        <v>25 - 29</v>
      </c>
      <c r="F361" t="str">
        <f>survey_responses[[#This Row],[Độ tuổi của bạn:]]</f>
        <v>25 - 29</v>
      </c>
      <c r="G361" t="str">
        <f>step3_validation[[#This Row],[Region]]</f>
        <v>Thành thị</v>
      </c>
      <c r="H361" t="str">
        <f>survey_responses[[#This Row],[Khu vực bạn đang sinh sống:]]</f>
        <v>Thành thị</v>
      </c>
      <c r="I361" t="str">
        <f>step3_validation[[#This Row],[Education]]</f>
        <v>Đại học</v>
      </c>
      <c r="J361" t="str">
        <f>survey_responses[[#This Row],[Trình độ học vấn cao nhất:]]</f>
        <v>Đại học</v>
      </c>
      <c r="K361" t="str">
        <f>step3_validation[[#This Row],[Employment]]</f>
        <v>Chính thức</v>
      </c>
      <c r="L361" t="str">
        <f>survey_responses[[#This Row],[Tình trạng việc làm chính:]]</f>
        <v>Khu vực chính thức (Có Hợp đồng lao động, đóng BHXH)</v>
      </c>
      <c r="M361">
        <f>step3_validation[[#This Row],[Income_Mil]]</f>
        <v>21.424811989680624</v>
      </c>
      <c r="N361" t="str">
        <f>survey_responses[[#This Row],[Thu nhập bình quân tháng theo Hợp đồng lao động của bạn là bao nhiêu? (Vui lòng điền tổng thu nhập trước khi khấu trừ các loại Bảo hiểm (BHXH, BHYT, BHTN) và Thuế TNCN)]]</f>
        <v>Từ 18 - 23 triệu VNĐ</v>
      </c>
      <c r="O361">
        <f>step3_validation[[#This Row],[Dependents]]</f>
        <v>0</v>
      </c>
      <c r="P361" t="str">
        <f>survey_responses[[#This Row],[Số người phụ thuộc (con nhỏ, cha mẹ già...) đủ điều kiện giảm trừ gia cảnh:]]</f>
        <v>0 người</v>
      </c>
      <c r="Q361">
        <f>step3_validation[[#This Row],[AI_ENF1]]</f>
        <v>7</v>
      </c>
      <c r="R361" t="str">
        <f t="shared" si="135"/>
        <v>Neutral</v>
      </c>
      <c r="S361">
        <f>survey_responses[[#This Row],[Tôi tin rằng với các quy định quản lý thuế hiện nay, hành vi gian lận hoặc trốn thuế sẽ dễ dàng bị phát hiện và xử lý nghiêm. - HUMAN-ENF1]]</f>
        <v>9</v>
      </c>
      <c r="T361" t="str">
        <f t="shared" si="136"/>
        <v>Support</v>
      </c>
      <c r="U361" s="32">
        <f t="shared" si="137"/>
        <v>2</v>
      </c>
      <c r="V361">
        <f>step3_validation[[#This Row],[AI_ENF2]]</f>
        <v>8</v>
      </c>
      <c r="W361" t="str">
        <f t="shared" si="138"/>
        <v>Support</v>
      </c>
      <c r="X361">
        <f>survey_responses[[#This Row],[Tôi tin rằng Nhà nước, cơ quan thuế có đủ khả năng và công nghệ để phát hiện, xử lý nghiêm các hành vi trốn thuế. - HUMAN-ENF2]]</f>
        <v>8</v>
      </c>
      <c r="Y361" t="str">
        <f t="shared" si="139"/>
        <v>Support</v>
      </c>
      <c r="Z361" s="32">
        <f t="shared" si="140"/>
        <v>0</v>
      </c>
      <c r="AA361">
        <f>step3_validation[[#This Row],[AI_FAC1]]</f>
        <v>9</v>
      </c>
      <c r="AB361" t="str">
        <f t="shared" si="141"/>
        <v>Support</v>
      </c>
      <c r="AC361">
        <f>survey_responses[[#This Row],[Các thủ tục khai báo thuế VÀ/HOẶC quy trình làm việc với cơ quan thuế đơn giản, tiện lợi, nhanh chóng hơn so với trước đây. - HUMAN-FAC1]]</f>
        <v>8</v>
      </c>
      <c r="AD361" t="str">
        <f t="shared" si="142"/>
        <v>Support</v>
      </c>
      <c r="AE361" s="32">
        <f t="shared" si="143"/>
        <v>1</v>
      </c>
      <c r="AF361">
        <f>step3_validation[[#This Row],[AI_FAC2]]</f>
        <v>8</v>
      </c>
      <c r="AG361" t="str">
        <f t="shared" si="144"/>
        <v>Support</v>
      </c>
      <c r="AH361">
        <f>survey_responses[[#This Row],[So với trước đây, tôi thấy cách tính thuế và các bậc thuế trong phương án mới đơn giản, dễ hiểu và dễ thực hiện hơn. - HUMAN-FAC2]]</f>
        <v>8</v>
      </c>
      <c r="AI361" t="str">
        <f t="shared" si="145"/>
        <v>Support</v>
      </c>
      <c r="AJ361" s="32">
        <f t="shared" si="146"/>
        <v>0</v>
      </c>
      <c r="AK361">
        <f>step3_validation[[#This Row],[AI_TRU1]]</f>
        <v>7</v>
      </c>
      <c r="AL361" t="str">
        <f t="shared" si="147"/>
        <v>Neutral</v>
      </c>
      <c r="AM361">
        <f>survey_responses[[#This Row],[Tôi tin rằng Nhà nước, cơ quan thuế sẽ thực thi chính sách mới một cách khách quan, công tâm và đối xử bình đẳng với mọi người nộp thuế.  - HUMAN-TRU1]]</f>
        <v>7</v>
      </c>
      <c r="AN361" t="str">
        <f t="shared" si="148"/>
        <v>Neutral</v>
      </c>
      <c r="AO361" s="32">
        <f t="shared" si="149"/>
        <v>0</v>
      </c>
      <c r="AP361">
        <f>step3_validation[[#This Row],[AI_TRU2]]</f>
        <v>6</v>
      </c>
      <c r="AQ361" t="str">
        <f t="shared" si="150"/>
        <v>Neutral</v>
      </c>
      <c r="AR361">
        <f>survey_responses[[#This Row],[Tôi thấy mức thuế tôi phải đóng theo phương án mới là công bằng (người thu nhập như tôi đóng mức này là hợp lý). - HUMAN-TRU2]]</f>
        <v>7</v>
      </c>
      <c r="AS361" t="str">
        <f t="shared" si="151"/>
        <v>Neutral</v>
      </c>
      <c r="AT361" s="32">
        <f t="shared" si="152"/>
        <v>1</v>
      </c>
      <c r="AU361">
        <f>step3_validation[[#This Row],[AI_TRU3]]</f>
        <v>6</v>
      </c>
      <c r="AV361" t="str">
        <f t="shared" si="153"/>
        <v>Neutral</v>
      </c>
      <c r="AW361">
        <f>survey_responses[[#This Row],[Tôi tin tưởng số tiền thuế tôi đóng sẽ được Nhà nước sử dụng hiệu quả để cải thiện dịch vụ công (y tế, đường xá...). - HUMAN-TRU3]]</f>
        <v>6</v>
      </c>
      <c r="AX361" t="str">
        <f t="shared" si="154"/>
        <v>Neutral</v>
      </c>
      <c r="AY361" s="32">
        <f t="shared" si="155"/>
        <v>0</v>
      </c>
      <c r="AZ361">
        <f>step3_validation[[#This Row],[AI_TRU4]]</f>
        <v>7</v>
      </c>
      <c r="BA361" t="str">
        <f t="shared" si="156"/>
        <v>Neutral</v>
      </c>
      <c r="BB361">
        <f>survey_responses[[#This Row],[Tôi thấy Nhà nước đã giải thích rõ ràng, minh bạch về lý do và mục tiêu của việc sửa đổi thuế lần này. - HUMAN-TRU4]]</f>
        <v>7</v>
      </c>
      <c r="BC361" t="str">
        <f t="shared" si="157"/>
        <v>Neutral</v>
      </c>
      <c r="BD361" s="32">
        <f t="shared" si="158"/>
        <v>0</v>
      </c>
      <c r="BE361">
        <f>step3_validation[[#This Row],[AI_OUT1]]</f>
        <v>8</v>
      </c>
      <c r="BF361" t="str">
        <f t="shared" si="159"/>
        <v>Support</v>
      </c>
      <c r="BG361">
        <f>survey_responses[[#This Row],[Sau khi xem xét các quyền lợi và nghĩa vụ, bạn có ủng hộ và tuân thủ chính sách mới hiện nay? - HUMAN-OUT1]]</f>
        <v>8</v>
      </c>
      <c r="BH361" t="str">
        <f t="shared" si="160"/>
        <v>Support</v>
      </c>
      <c r="BI361" s="32">
        <f t="shared" si="161"/>
        <v>0</v>
      </c>
    </row>
    <row r="362" spans="1:61" x14ac:dyDescent="0.45">
      <c r="A362" s="30">
        <f>step3_validation[[#This Row],[Persona_ID]]</f>
        <v>361</v>
      </c>
      <c r="B362" s="31">
        <f>step3_validation[[#This Row],[Used_Seed]]</f>
        <v>2351</v>
      </c>
      <c r="C362" t="str">
        <f>step3_validation[[#This Row],[Gender]]</f>
        <v>Nữ</v>
      </c>
      <c r="D362" t="str">
        <f>survey_responses[[#This Row],[Giới tính của bạn:]]</f>
        <v>Nữ</v>
      </c>
      <c r="E362" t="str">
        <f>step3_validation[[#This Row],[Age_Group]]</f>
        <v>18 - 24</v>
      </c>
      <c r="F362" t="str">
        <f>survey_responses[[#This Row],[Độ tuổi của bạn:]]</f>
        <v>18 - 24</v>
      </c>
      <c r="G362" t="str">
        <f>step3_validation[[#This Row],[Region]]</f>
        <v>Thành thị</v>
      </c>
      <c r="H362" t="str">
        <f>survey_responses[[#This Row],[Khu vực bạn đang sinh sống:]]</f>
        <v>Thành thị</v>
      </c>
      <c r="I362" t="str">
        <f>step3_validation[[#This Row],[Education]]</f>
        <v>Đại học</v>
      </c>
      <c r="J362" t="str">
        <f>survey_responses[[#This Row],[Trình độ học vấn cao nhất:]]</f>
        <v>Đại học</v>
      </c>
      <c r="K362" t="str">
        <f>step3_validation[[#This Row],[Employment]]</f>
        <v>Chính thức</v>
      </c>
      <c r="L362" t="str">
        <f>survey_responses[[#This Row],[Tình trạng việc làm chính:]]</f>
        <v>Khu vực chính thức (Có Hợp đồng lao động, đóng BHXH)</v>
      </c>
      <c r="M362">
        <f>step3_validation[[#This Row],[Income_Mil]]</f>
        <v>12</v>
      </c>
      <c r="N362" t="str">
        <f>survey_responses[[#This Row],[Thu nhập bình quân tháng theo Hợp đồng lao động của bạn là bao nhiêu? (Vui lòng điền tổng thu nhập trước khi khấu trừ các loại Bảo hiểm (BHXH, BHYT, BHTN) và Thuế TNCN)]]</f>
        <v>Dưới 12 triệu VNĐ</v>
      </c>
      <c r="O362">
        <f>step3_validation[[#This Row],[Dependents]]</f>
        <v>0</v>
      </c>
      <c r="P362" t="str">
        <f>survey_responses[[#This Row],[Số người phụ thuộc (con nhỏ, cha mẹ già...) đủ điều kiện giảm trừ gia cảnh:]]</f>
        <v>0 người</v>
      </c>
      <c r="Q362">
        <f>step3_validation[[#This Row],[AI_ENF1]]</f>
        <v>7</v>
      </c>
      <c r="R362" t="str">
        <f t="shared" si="135"/>
        <v>Neutral</v>
      </c>
      <c r="S362">
        <f>survey_responses[[#This Row],[Tôi tin rằng với các quy định quản lý thuế hiện nay, hành vi gian lận hoặc trốn thuế sẽ dễ dàng bị phát hiện và xử lý nghiêm. - HUMAN-ENF1]]</f>
        <v>7</v>
      </c>
      <c r="T362" t="str">
        <f t="shared" si="136"/>
        <v>Neutral</v>
      </c>
      <c r="U362" s="32">
        <f t="shared" si="137"/>
        <v>0</v>
      </c>
      <c r="V362">
        <f>step3_validation[[#This Row],[AI_ENF2]]</f>
        <v>8</v>
      </c>
      <c r="W362" t="str">
        <f t="shared" si="138"/>
        <v>Support</v>
      </c>
      <c r="X362">
        <f>survey_responses[[#This Row],[Tôi tin rằng Nhà nước, cơ quan thuế có đủ khả năng và công nghệ để phát hiện, xử lý nghiêm các hành vi trốn thuế. - HUMAN-ENF2]]</f>
        <v>7</v>
      </c>
      <c r="Y362" t="str">
        <f t="shared" si="139"/>
        <v>Neutral</v>
      </c>
      <c r="Z362" s="32">
        <f t="shared" si="140"/>
        <v>1</v>
      </c>
      <c r="AA362">
        <f>step3_validation[[#This Row],[AI_FAC1]]</f>
        <v>6</v>
      </c>
      <c r="AB362" t="str">
        <f t="shared" si="141"/>
        <v>Neutral</v>
      </c>
      <c r="AC362">
        <f>survey_responses[[#This Row],[Các thủ tục khai báo thuế VÀ/HOẶC quy trình làm việc với cơ quan thuế đơn giản, tiện lợi, nhanh chóng hơn so với trước đây. - HUMAN-FAC1]]</f>
        <v>8</v>
      </c>
      <c r="AD362" t="str">
        <f t="shared" si="142"/>
        <v>Support</v>
      </c>
      <c r="AE362" s="32">
        <f t="shared" si="143"/>
        <v>2</v>
      </c>
      <c r="AF362">
        <f>step3_validation[[#This Row],[AI_FAC2]]</f>
        <v>7</v>
      </c>
      <c r="AG362" t="str">
        <f t="shared" si="144"/>
        <v>Neutral</v>
      </c>
      <c r="AH362">
        <f>survey_responses[[#This Row],[So với trước đây, tôi thấy cách tính thuế và các bậc thuế trong phương án mới đơn giản, dễ hiểu và dễ thực hiện hơn. - HUMAN-FAC2]]</f>
        <v>9</v>
      </c>
      <c r="AI362" t="str">
        <f t="shared" si="145"/>
        <v>Support</v>
      </c>
      <c r="AJ362" s="32">
        <f t="shared" si="146"/>
        <v>2</v>
      </c>
      <c r="AK362">
        <f>step3_validation[[#This Row],[AI_TRU1]]</f>
        <v>8</v>
      </c>
      <c r="AL362" t="str">
        <f t="shared" si="147"/>
        <v>Support</v>
      </c>
      <c r="AM362">
        <f>survey_responses[[#This Row],[Tôi tin rằng Nhà nước, cơ quan thuế sẽ thực thi chính sách mới một cách khách quan, công tâm và đối xử bình đẳng với mọi người nộp thuế.  - HUMAN-TRU1]]</f>
        <v>7</v>
      </c>
      <c r="AN362" t="str">
        <f t="shared" si="148"/>
        <v>Neutral</v>
      </c>
      <c r="AO362" s="32">
        <f t="shared" si="149"/>
        <v>1</v>
      </c>
      <c r="AP362">
        <f>step3_validation[[#This Row],[AI_TRU2]]</f>
        <v>7</v>
      </c>
      <c r="AQ362" t="str">
        <f t="shared" si="150"/>
        <v>Neutral</v>
      </c>
      <c r="AR362">
        <f>survey_responses[[#This Row],[Tôi thấy mức thuế tôi phải đóng theo phương án mới là công bằng (người thu nhập như tôi đóng mức này là hợp lý). - HUMAN-TRU2]]</f>
        <v>10</v>
      </c>
      <c r="AS362" t="str">
        <f t="shared" si="151"/>
        <v>Support</v>
      </c>
      <c r="AT362" s="32">
        <f t="shared" si="152"/>
        <v>3</v>
      </c>
      <c r="AU362">
        <f>step3_validation[[#This Row],[AI_TRU3]]</f>
        <v>6</v>
      </c>
      <c r="AV362" t="str">
        <f t="shared" si="153"/>
        <v>Neutral</v>
      </c>
      <c r="AW362">
        <f>survey_responses[[#This Row],[Tôi tin tưởng số tiền thuế tôi đóng sẽ được Nhà nước sử dụng hiệu quả để cải thiện dịch vụ công (y tế, đường xá...). - HUMAN-TRU3]]</f>
        <v>8</v>
      </c>
      <c r="AX362" t="str">
        <f t="shared" si="154"/>
        <v>Support</v>
      </c>
      <c r="AY362" s="32">
        <f t="shared" si="155"/>
        <v>2</v>
      </c>
      <c r="AZ362">
        <f>step3_validation[[#This Row],[AI_TRU4]]</f>
        <v>7</v>
      </c>
      <c r="BA362" t="str">
        <f t="shared" si="156"/>
        <v>Neutral</v>
      </c>
      <c r="BB362">
        <f>survey_responses[[#This Row],[Tôi thấy Nhà nước đã giải thích rõ ràng, minh bạch về lý do và mục tiêu của việc sửa đổi thuế lần này. - HUMAN-TRU4]]</f>
        <v>8</v>
      </c>
      <c r="BC362" t="str">
        <f t="shared" si="157"/>
        <v>Support</v>
      </c>
      <c r="BD362" s="32">
        <f t="shared" si="158"/>
        <v>1</v>
      </c>
      <c r="BE362">
        <f>step3_validation[[#This Row],[AI_OUT1]]</f>
        <v>8</v>
      </c>
      <c r="BF362" t="str">
        <f t="shared" si="159"/>
        <v>Support</v>
      </c>
      <c r="BG362">
        <f>survey_responses[[#This Row],[Sau khi xem xét các quyền lợi và nghĩa vụ, bạn có ủng hộ và tuân thủ chính sách mới hiện nay? - HUMAN-OUT1]]</f>
        <v>10</v>
      </c>
      <c r="BH362" t="str">
        <f t="shared" si="160"/>
        <v>Support</v>
      </c>
      <c r="BI362" s="32">
        <f t="shared" si="161"/>
        <v>2</v>
      </c>
    </row>
    <row r="363" spans="1:61" x14ac:dyDescent="0.45">
      <c r="A363" s="30">
        <f>step3_validation[[#This Row],[Persona_ID]]</f>
        <v>362</v>
      </c>
      <c r="B363" s="31">
        <f>step3_validation[[#This Row],[Used_Seed]]</f>
        <v>2352</v>
      </c>
      <c r="C363" t="str">
        <f>step3_validation[[#This Row],[Gender]]</f>
        <v>Nữ</v>
      </c>
      <c r="D363" t="str">
        <f>survey_responses[[#This Row],[Giới tính của bạn:]]</f>
        <v>Nữ</v>
      </c>
      <c r="E363" t="str">
        <f>step3_validation[[#This Row],[Age_Group]]</f>
        <v>18 - 24</v>
      </c>
      <c r="F363" t="str">
        <f>survey_responses[[#This Row],[Độ tuổi của bạn:]]</f>
        <v>18 - 24</v>
      </c>
      <c r="G363" t="str">
        <f>step3_validation[[#This Row],[Region]]</f>
        <v>Thành thị</v>
      </c>
      <c r="H363" t="str">
        <f>survey_responses[[#This Row],[Khu vực bạn đang sinh sống:]]</f>
        <v>Thành thị</v>
      </c>
      <c r="I363" t="str">
        <f>step3_validation[[#This Row],[Education]]</f>
        <v>Đại học</v>
      </c>
      <c r="J363" t="str">
        <f>survey_responses[[#This Row],[Trình độ học vấn cao nhất:]]</f>
        <v>Đại học</v>
      </c>
      <c r="K363" t="str">
        <f>step3_validation[[#This Row],[Employment]]</f>
        <v>Chính thức</v>
      </c>
      <c r="L363" t="str">
        <f>survey_responses[[#This Row],[Tình trạng việc làm chính:]]</f>
        <v>Khu vực chính thức (Có Hợp đồng lao động, đóng BHXH)</v>
      </c>
      <c r="M363">
        <f>step3_validation[[#This Row],[Income_Mil]]</f>
        <v>15.250439861908996</v>
      </c>
      <c r="N363" t="str">
        <f>survey_responses[[#This Row],[Thu nhập bình quân tháng theo Hợp đồng lao động của bạn là bao nhiêu? (Vui lòng điền tổng thu nhập trước khi khấu trừ các loại Bảo hiểm (BHXH, BHYT, BHTN) và Thuế TNCN)]]</f>
        <v>Từ 12 - 18 triệu VNĐ</v>
      </c>
      <c r="O363">
        <f>step3_validation[[#This Row],[Dependents]]</f>
        <v>0</v>
      </c>
      <c r="P363" t="str">
        <f>survey_responses[[#This Row],[Số người phụ thuộc (con nhỏ, cha mẹ già...) đủ điều kiện giảm trừ gia cảnh:]]</f>
        <v>0 người</v>
      </c>
      <c r="Q363">
        <f>step3_validation[[#This Row],[AI_ENF1]]</f>
        <v>4</v>
      </c>
      <c r="R363" t="str">
        <f t="shared" si="135"/>
        <v>Oppose</v>
      </c>
      <c r="S363">
        <f>survey_responses[[#This Row],[Tôi tin rằng với các quy định quản lý thuế hiện nay, hành vi gian lận hoặc trốn thuế sẽ dễ dàng bị phát hiện và xử lý nghiêm. - HUMAN-ENF1]]</f>
        <v>3</v>
      </c>
      <c r="T363" t="str">
        <f t="shared" si="136"/>
        <v>Oppose</v>
      </c>
      <c r="U363" s="32">
        <f t="shared" si="137"/>
        <v>1</v>
      </c>
      <c r="V363">
        <f>step3_validation[[#This Row],[AI_ENF2]]</f>
        <v>5</v>
      </c>
      <c r="W363" t="str">
        <f t="shared" si="138"/>
        <v>Neutral</v>
      </c>
      <c r="X363">
        <f>survey_responses[[#This Row],[Tôi tin rằng Nhà nước, cơ quan thuế có đủ khả năng và công nghệ để phát hiện, xử lý nghiêm các hành vi trốn thuế. - HUMAN-ENF2]]</f>
        <v>3</v>
      </c>
      <c r="Y363" t="str">
        <f t="shared" si="139"/>
        <v>Oppose</v>
      </c>
      <c r="Z363" s="32">
        <f t="shared" si="140"/>
        <v>2</v>
      </c>
      <c r="AA363">
        <f>step3_validation[[#This Row],[AI_FAC1]]</f>
        <v>7</v>
      </c>
      <c r="AB363" t="str">
        <f t="shared" si="141"/>
        <v>Neutral</v>
      </c>
      <c r="AC363">
        <f>survey_responses[[#This Row],[Các thủ tục khai báo thuế VÀ/HOẶC quy trình làm việc với cơ quan thuế đơn giản, tiện lợi, nhanh chóng hơn so với trước đây. - HUMAN-FAC1]]</f>
        <v>5</v>
      </c>
      <c r="AD363" t="str">
        <f t="shared" si="142"/>
        <v>Neutral</v>
      </c>
      <c r="AE363" s="32">
        <f t="shared" si="143"/>
        <v>2</v>
      </c>
      <c r="AF363">
        <f>step3_validation[[#This Row],[AI_FAC2]]</f>
        <v>8</v>
      </c>
      <c r="AG363" t="str">
        <f t="shared" si="144"/>
        <v>Support</v>
      </c>
      <c r="AH363">
        <f>survey_responses[[#This Row],[So với trước đây, tôi thấy cách tính thuế và các bậc thuế trong phương án mới đơn giản, dễ hiểu và dễ thực hiện hơn. - HUMAN-FAC2]]</f>
        <v>6</v>
      </c>
      <c r="AI363" t="str">
        <f t="shared" si="145"/>
        <v>Neutral</v>
      </c>
      <c r="AJ363" s="32">
        <f t="shared" si="146"/>
        <v>2</v>
      </c>
      <c r="AK363">
        <f>step3_validation[[#This Row],[AI_TRU1]]</f>
        <v>6</v>
      </c>
      <c r="AL363" t="str">
        <f t="shared" si="147"/>
        <v>Neutral</v>
      </c>
      <c r="AM363">
        <f>survey_responses[[#This Row],[Tôi tin rằng Nhà nước, cơ quan thuế sẽ thực thi chính sách mới một cách khách quan, công tâm và đối xử bình đẳng với mọi người nộp thuế.  - HUMAN-TRU1]]</f>
        <v>5</v>
      </c>
      <c r="AN363" t="str">
        <f t="shared" si="148"/>
        <v>Neutral</v>
      </c>
      <c r="AO363" s="32">
        <f t="shared" si="149"/>
        <v>1</v>
      </c>
      <c r="AP363">
        <f>step3_validation[[#This Row],[AI_TRU2]]</f>
        <v>5</v>
      </c>
      <c r="AQ363" t="str">
        <f t="shared" si="150"/>
        <v>Neutral</v>
      </c>
      <c r="AR363">
        <f>survey_responses[[#This Row],[Tôi thấy mức thuế tôi phải đóng theo phương án mới là công bằng (người thu nhập như tôi đóng mức này là hợp lý). - HUMAN-TRU2]]</f>
        <v>6</v>
      </c>
      <c r="AS363" t="str">
        <f t="shared" si="151"/>
        <v>Neutral</v>
      </c>
      <c r="AT363" s="32">
        <f t="shared" si="152"/>
        <v>1</v>
      </c>
      <c r="AU363">
        <f>step3_validation[[#This Row],[AI_TRU3]]</f>
        <v>6</v>
      </c>
      <c r="AV363" t="str">
        <f t="shared" si="153"/>
        <v>Neutral</v>
      </c>
      <c r="AW363">
        <f>survey_responses[[#This Row],[Tôi tin tưởng số tiền thuế tôi đóng sẽ được Nhà nước sử dụng hiệu quả để cải thiện dịch vụ công (y tế, đường xá...). - HUMAN-TRU3]]</f>
        <v>4</v>
      </c>
      <c r="AX363" t="str">
        <f t="shared" si="154"/>
        <v>Oppose</v>
      </c>
      <c r="AY363" s="32">
        <f t="shared" si="155"/>
        <v>2</v>
      </c>
      <c r="AZ363">
        <f>step3_validation[[#This Row],[AI_TRU4]]</f>
        <v>4</v>
      </c>
      <c r="BA363" t="str">
        <f t="shared" si="156"/>
        <v>Oppose</v>
      </c>
      <c r="BB363">
        <f>survey_responses[[#This Row],[Tôi thấy Nhà nước đã giải thích rõ ràng, minh bạch về lý do và mục tiêu của việc sửa đổi thuế lần này. - HUMAN-TRU4]]</f>
        <v>6</v>
      </c>
      <c r="BC363" t="str">
        <f t="shared" si="157"/>
        <v>Neutral</v>
      </c>
      <c r="BD363" s="32">
        <f t="shared" si="158"/>
        <v>2</v>
      </c>
      <c r="BE363">
        <f>step3_validation[[#This Row],[AI_OUT1]]</f>
        <v>5</v>
      </c>
      <c r="BF363" t="str">
        <f t="shared" si="159"/>
        <v>Neutral</v>
      </c>
      <c r="BG363">
        <f>survey_responses[[#This Row],[Sau khi xem xét các quyền lợi và nghĩa vụ, bạn có ủng hộ và tuân thủ chính sách mới hiện nay? - HUMAN-OUT1]]</f>
        <v>6</v>
      </c>
      <c r="BH363" t="str">
        <f t="shared" si="160"/>
        <v>Neutral</v>
      </c>
      <c r="BI363" s="32">
        <f t="shared" si="161"/>
        <v>1</v>
      </c>
    </row>
    <row r="364" spans="1:61" x14ac:dyDescent="0.45">
      <c r="A364" s="30">
        <f>step3_validation[[#This Row],[Persona_ID]]</f>
        <v>363</v>
      </c>
      <c r="B364" s="31">
        <f>step3_validation[[#This Row],[Used_Seed]]</f>
        <v>2353</v>
      </c>
      <c r="C364" t="str">
        <f>step3_validation[[#This Row],[Gender]]</f>
        <v>Nam</v>
      </c>
      <c r="D364" t="str">
        <f>survey_responses[[#This Row],[Giới tính của bạn:]]</f>
        <v>Nam</v>
      </c>
      <c r="E364" t="str">
        <f>step3_validation[[#This Row],[Age_Group]]</f>
        <v>25 - 29</v>
      </c>
      <c r="F364" t="str">
        <f>survey_responses[[#This Row],[Độ tuổi của bạn:]]</f>
        <v>25 - 29</v>
      </c>
      <c r="G364" t="str">
        <f>step3_validation[[#This Row],[Region]]</f>
        <v>Thành thị</v>
      </c>
      <c r="H364" t="str">
        <f>survey_responses[[#This Row],[Khu vực bạn đang sinh sống:]]</f>
        <v>Thành thị</v>
      </c>
      <c r="I364" t="str">
        <f>step3_validation[[#This Row],[Education]]</f>
        <v>Đại học</v>
      </c>
      <c r="J364" t="str">
        <f>survey_responses[[#This Row],[Trình độ học vấn cao nhất:]]</f>
        <v>Đại học</v>
      </c>
      <c r="K364" t="str">
        <f>step3_validation[[#This Row],[Employment]]</f>
        <v>Chính thức</v>
      </c>
      <c r="L364" t="str">
        <f>survey_responses[[#This Row],[Tình trạng việc làm chính:]]</f>
        <v>Khu vực chính thức (Có Hợp đồng lao động, đóng BHXH)</v>
      </c>
      <c r="M364">
        <f>step3_validation[[#This Row],[Income_Mil]]</f>
        <v>29.363439304212196</v>
      </c>
      <c r="N364" t="str">
        <f>survey_responses[[#This Row],[Thu nhập bình quân tháng theo Hợp đồng lao động của bạn là bao nhiêu? (Vui lòng điền tổng thu nhập trước khi khấu trừ các loại Bảo hiểm (BHXH, BHYT, BHTN) và Thuế TNCN)]]</f>
        <v>Từ 23 - 32 triệu VNĐ</v>
      </c>
      <c r="O364">
        <f>step3_validation[[#This Row],[Dependents]]</f>
        <v>1</v>
      </c>
      <c r="P364" t="str">
        <f>survey_responses[[#This Row],[Số người phụ thuộc (con nhỏ, cha mẹ già...) đủ điều kiện giảm trừ gia cảnh:]]</f>
        <v>1 người</v>
      </c>
      <c r="Q364">
        <f>step3_validation[[#This Row],[AI_ENF1]]</f>
        <v>7</v>
      </c>
      <c r="R364" t="str">
        <f t="shared" si="135"/>
        <v>Neutral</v>
      </c>
      <c r="S364">
        <f>survey_responses[[#This Row],[Tôi tin rằng với các quy định quản lý thuế hiện nay, hành vi gian lận hoặc trốn thuế sẽ dễ dàng bị phát hiện và xử lý nghiêm. - HUMAN-ENF1]]</f>
        <v>8</v>
      </c>
      <c r="T364" t="str">
        <f t="shared" si="136"/>
        <v>Support</v>
      </c>
      <c r="U364" s="32">
        <f t="shared" si="137"/>
        <v>1</v>
      </c>
      <c r="V364">
        <f>step3_validation[[#This Row],[AI_ENF2]]</f>
        <v>6</v>
      </c>
      <c r="W364" t="str">
        <f t="shared" si="138"/>
        <v>Neutral</v>
      </c>
      <c r="X364">
        <f>survey_responses[[#This Row],[Tôi tin rằng Nhà nước, cơ quan thuế có đủ khả năng và công nghệ để phát hiện, xử lý nghiêm các hành vi trốn thuế. - HUMAN-ENF2]]</f>
        <v>8</v>
      </c>
      <c r="Y364" t="str">
        <f t="shared" si="139"/>
        <v>Support</v>
      </c>
      <c r="Z364" s="32">
        <f t="shared" si="140"/>
        <v>2</v>
      </c>
      <c r="AA364">
        <f>step3_validation[[#This Row],[AI_FAC1]]</f>
        <v>8</v>
      </c>
      <c r="AB364" t="str">
        <f t="shared" si="141"/>
        <v>Support</v>
      </c>
      <c r="AC364">
        <f>survey_responses[[#This Row],[Các thủ tục khai báo thuế VÀ/HOẶC quy trình làm việc với cơ quan thuế đơn giản, tiện lợi, nhanh chóng hơn so với trước đây. - HUMAN-FAC1]]</f>
        <v>5</v>
      </c>
      <c r="AD364" t="str">
        <f t="shared" si="142"/>
        <v>Neutral</v>
      </c>
      <c r="AE364" s="32">
        <f t="shared" si="143"/>
        <v>3</v>
      </c>
      <c r="AF364">
        <f>step3_validation[[#This Row],[AI_FAC2]]</f>
        <v>9</v>
      </c>
      <c r="AG364" t="str">
        <f t="shared" si="144"/>
        <v>Support</v>
      </c>
      <c r="AH364">
        <f>survey_responses[[#This Row],[So với trước đây, tôi thấy cách tính thuế và các bậc thuế trong phương án mới đơn giản, dễ hiểu và dễ thực hiện hơn. - HUMAN-FAC2]]</f>
        <v>7</v>
      </c>
      <c r="AI364" t="str">
        <f t="shared" si="145"/>
        <v>Neutral</v>
      </c>
      <c r="AJ364" s="32">
        <f t="shared" si="146"/>
        <v>2</v>
      </c>
      <c r="AK364">
        <f>step3_validation[[#This Row],[AI_TRU1]]</f>
        <v>7</v>
      </c>
      <c r="AL364" t="str">
        <f t="shared" si="147"/>
        <v>Neutral</v>
      </c>
      <c r="AM364">
        <f>survey_responses[[#This Row],[Tôi tin rằng Nhà nước, cơ quan thuế sẽ thực thi chính sách mới một cách khách quan, công tâm và đối xử bình đẳng với mọi người nộp thuế.  - HUMAN-TRU1]]</f>
        <v>5</v>
      </c>
      <c r="AN364" t="str">
        <f t="shared" si="148"/>
        <v>Neutral</v>
      </c>
      <c r="AO364" s="32">
        <f t="shared" si="149"/>
        <v>2</v>
      </c>
      <c r="AP364">
        <f>step3_validation[[#This Row],[AI_TRU2]]</f>
        <v>8</v>
      </c>
      <c r="AQ364" t="str">
        <f t="shared" si="150"/>
        <v>Support</v>
      </c>
      <c r="AR364">
        <f>survey_responses[[#This Row],[Tôi thấy mức thuế tôi phải đóng theo phương án mới là công bằng (người thu nhập như tôi đóng mức này là hợp lý). - HUMAN-TRU2]]</f>
        <v>8</v>
      </c>
      <c r="AS364" t="str">
        <f t="shared" si="151"/>
        <v>Support</v>
      </c>
      <c r="AT364" s="32">
        <f t="shared" si="152"/>
        <v>0</v>
      </c>
      <c r="AU364">
        <f>step3_validation[[#This Row],[AI_TRU3]]</f>
        <v>6</v>
      </c>
      <c r="AV364" t="str">
        <f t="shared" si="153"/>
        <v>Neutral</v>
      </c>
      <c r="AW364">
        <f>survey_responses[[#This Row],[Tôi tin tưởng số tiền thuế tôi đóng sẽ được Nhà nước sử dụng hiệu quả để cải thiện dịch vụ công (y tế, đường xá...). - HUMAN-TRU3]]</f>
        <v>5</v>
      </c>
      <c r="AX364" t="str">
        <f t="shared" si="154"/>
        <v>Neutral</v>
      </c>
      <c r="AY364" s="32">
        <f t="shared" si="155"/>
        <v>1</v>
      </c>
      <c r="AZ364">
        <f>step3_validation[[#This Row],[AI_TRU4]]</f>
        <v>7</v>
      </c>
      <c r="BA364" t="str">
        <f t="shared" si="156"/>
        <v>Neutral</v>
      </c>
      <c r="BB364">
        <f>survey_responses[[#This Row],[Tôi thấy Nhà nước đã giải thích rõ ràng, minh bạch về lý do và mục tiêu của việc sửa đổi thuế lần này. - HUMAN-TRU4]]</f>
        <v>7</v>
      </c>
      <c r="BC364" t="str">
        <f t="shared" si="157"/>
        <v>Neutral</v>
      </c>
      <c r="BD364" s="32">
        <f t="shared" si="158"/>
        <v>0</v>
      </c>
      <c r="BE364">
        <f>step3_validation[[#This Row],[AI_OUT1]]</f>
        <v>8</v>
      </c>
      <c r="BF364" t="str">
        <f t="shared" si="159"/>
        <v>Support</v>
      </c>
      <c r="BG364">
        <f>survey_responses[[#This Row],[Sau khi xem xét các quyền lợi và nghĩa vụ, bạn có ủng hộ và tuân thủ chính sách mới hiện nay? - HUMAN-OUT1]]</f>
        <v>8</v>
      </c>
      <c r="BH364" t="str">
        <f t="shared" si="160"/>
        <v>Support</v>
      </c>
      <c r="BI364" s="32">
        <f t="shared" si="161"/>
        <v>0</v>
      </c>
    </row>
    <row r="365" spans="1:61" x14ac:dyDescent="0.45">
      <c r="A365" s="30">
        <f>step3_validation[[#This Row],[Persona_ID]]</f>
        <v>364</v>
      </c>
      <c r="B365" s="31">
        <f>step3_validation[[#This Row],[Used_Seed]]</f>
        <v>2354</v>
      </c>
      <c r="C365" t="str">
        <f>step3_validation[[#This Row],[Gender]]</f>
        <v>Nam</v>
      </c>
      <c r="D365" t="str">
        <f>survey_responses[[#This Row],[Giới tính của bạn:]]</f>
        <v>Nam</v>
      </c>
      <c r="E365" t="str">
        <f>step3_validation[[#This Row],[Age_Group]]</f>
        <v>30 - 39</v>
      </c>
      <c r="F365" t="str">
        <f>survey_responses[[#This Row],[Độ tuổi của bạn:]]</f>
        <v>30 - 39</v>
      </c>
      <c r="G365" t="str">
        <f>step3_validation[[#This Row],[Region]]</f>
        <v>Thành thị</v>
      </c>
      <c r="H365" t="str">
        <f>survey_responses[[#This Row],[Khu vực bạn đang sinh sống:]]</f>
        <v>Thành thị</v>
      </c>
      <c r="I365" t="str">
        <f>step3_validation[[#This Row],[Education]]</f>
        <v>Đại học</v>
      </c>
      <c r="J365" t="str">
        <f>survey_responses[[#This Row],[Trình độ học vấn cao nhất:]]</f>
        <v>Đại học</v>
      </c>
      <c r="K365" t="str">
        <f>step3_validation[[#This Row],[Employment]]</f>
        <v>Chính thức</v>
      </c>
      <c r="L365" t="str">
        <f>survey_responses[[#This Row],[Tình trạng việc làm chính:]]</f>
        <v>Khu vực chính thức (Có Hợp đồng lao động, đóng BHXH)</v>
      </c>
      <c r="M365">
        <f>step3_validation[[#This Row],[Income_Mil]]</f>
        <v>18.725084011725549</v>
      </c>
      <c r="N365" t="str">
        <f>survey_responses[[#This Row],[Thu nhập bình quân tháng theo Hợp đồng lao động của bạn là bao nhiêu? (Vui lòng điền tổng thu nhập trước khi khấu trừ các loại Bảo hiểm (BHXH, BHYT, BHTN) và Thuế TNCN)]]</f>
        <v>Từ 18 - 23 triệu VNĐ</v>
      </c>
      <c r="O365">
        <f>step3_validation[[#This Row],[Dependents]]</f>
        <v>1</v>
      </c>
      <c r="P365" t="str">
        <f>survey_responses[[#This Row],[Số người phụ thuộc (con nhỏ, cha mẹ già...) đủ điều kiện giảm trừ gia cảnh:]]</f>
        <v>1 người</v>
      </c>
      <c r="Q365">
        <f>step3_validation[[#This Row],[AI_ENF1]]</f>
        <v>7</v>
      </c>
      <c r="R365" t="str">
        <f t="shared" si="135"/>
        <v>Neutral</v>
      </c>
      <c r="S365">
        <f>survey_responses[[#This Row],[Tôi tin rằng với các quy định quản lý thuế hiện nay, hành vi gian lận hoặc trốn thuế sẽ dễ dàng bị phát hiện và xử lý nghiêm. - HUMAN-ENF1]]</f>
        <v>4</v>
      </c>
      <c r="T365" t="str">
        <f t="shared" si="136"/>
        <v>Oppose</v>
      </c>
      <c r="U365" s="32">
        <f t="shared" si="137"/>
        <v>3</v>
      </c>
      <c r="V365">
        <f>step3_validation[[#This Row],[AI_ENF2]]</f>
        <v>8</v>
      </c>
      <c r="W365" t="str">
        <f t="shared" si="138"/>
        <v>Support</v>
      </c>
      <c r="X365">
        <f>survey_responses[[#This Row],[Tôi tin rằng Nhà nước, cơ quan thuế có đủ khả năng và công nghệ để phát hiện, xử lý nghiêm các hành vi trốn thuế. - HUMAN-ENF2]]</f>
        <v>5</v>
      </c>
      <c r="Y365" t="str">
        <f t="shared" si="139"/>
        <v>Neutral</v>
      </c>
      <c r="Z365" s="32">
        <f t="shared" si="140"/>
        <v>3</v>
      </c>
      <c r="AA365">
        <f>step3_validation[[#This Row],[AI_FAC1]]</f>
        <v>6</v>
      </c>
      <c r="AB365" t="str">
        <f t="shared" si="141"/>
        <v>Neutral</v>
      </c>
      <c r="AC365">
        <f>survey_responses[[#This Row],[Các thủ tục khai báo thuế VÀ/HOẶC quy trình làm việc với cơ quan thuế đơn giản, tiện lợi, nhanh chóng hơn so với trước đây. - HUMAN-FAC1]]</f>
        <v>5</v>
      </c>
      <c r="AD365" t="str">
        <f t="shared" si="142"/>
        <v>Neutral</v>
      </c>
      <c r="AE365" s="32">
        <f t="shared" si="143"/>
        <v>1</v>
      </c>
      <c r="AF365">
        <f>step3_validation[[#This Row],[AI_FAC2]]</f>
        <v>7</v>
      </c>
      <c r="AG365" t="str">
        <f t="shared" si="144"/>
        <v>Neutral</v>
      </c>
      <c r="AH365">
        <f>survey_responses[[#This Row],[So với trước đây, tôi thấy cách tính thuế và các bậc thuế trong phương án mới đơn giản, dễ hiểu và dễ thực hiện hơn. - HUMAN-FAC2]]</f>
        <v>7</v>
      </c>
      <c r="AI365" t="str">
        <f t="shared" si="145"/>
        <v>Neutral</v>
      </c>
      <c r="AJ365" s="32">
        <f t="shared" si="146"/>
        <v>0</v>
      </c>
      <c r="AK365">
        <f>step3_validation[[#This Row],[AI_TRU1]]</f>
        <v>5</v>
      </c>
      <c r="AL365" t="str">
        <f t="shared" si="147"/>
        <v>Neutral</v>
      </c>
      <c r="AM365">
        <f>survey_responses[[#This Row],[Tôi tin rằng Nhà nước, cơ quan thuế sẽ thực thi chính sách mới một cách khách quan, công tâm và đối xử bình đẳng với mọi người nộp thuế.  - HUMAN-TRU1]]</f>
        <v>5</v>
      </c>
      <c r="AN365" t="str">
        <f t="shared" si="148"/>
        <v>Neutral</v>
      </c>
      <c r="AO365" s="32">
        <f t="shared" si="149"/>
        <v>0</v>
      </c>
      <c r="AP365">
        <f>step3_validation[[#This Row],[AI_TRU2]]</f>
        <v>6</v>
      </c>
      <c r="AQ365" t="str">
        <f t="shared" si="150"/>
        <v>Neutral</v>
      </c>
      <c r="AR365">
        <f>survey_responses[[#This Row],[Tôi thấy mức thuế tôi phải đóng theo phương án mới là công bằng (người thu nhập như tôi đóng mức này là hợp lý). - HUMAN-TRU2]]</f>
        <v>7</v>
      </c>
      <c r="AS365" t="str">
        <f t="shared" si="151"/>
        <v>Neutral</v>
      </c>
      <c r="AT365" s="32">
        <f t="shared" si="152"/>
        <v>1</v>
      </c>
      <c r="AU365">
        <f>step3_validation[[#This Row],[AI_TRU3]]</f>
        <v>4</v>
      </c>
      <c r="AV365" t="str">
        <f t="shared" si="153"/>
        <v>Oppose</v>
      </c>
      <c r="AW365">
        <f>survey_responses[[#This Row],[Tôi tin tưởng số tiền thuế tôi đóng sẽ được Nhà nước sử dụng hiệu quả để cải thiện dịch vụ công (y tế, đường xá...). - HUMAN-TRU3]]</f>
        <v>5</v>
      </c>
      <c r="AX365" t="str">
        <f t="shared" si="154"/>
        <v>Neutral</v>
      </c>
      <c r="AY365" s="32">
        <f t="shared" si="155"/>
        <v>1</v>
      </c>
      <c r="AZ365">
        <f>step3_validation[[#This Row],[AI_TRU4]]</f>
        <v>5</v>
      </c>
      <c r="BA365" t="str">
        <f t="shared" si="156"/>
        <v>Neutral</v>
      </c>
      <c r="BB365">
        <f>survey_responses[[#This Row],[Tôi thấy Nhà nước đã giải thích rõ ràng, minh bạch về lý do và mục tiêu của việc sửa đổi thuế lần này. - HUMAN-TRU4]]</f>
        <v>6</v>
      </c>
      <c r="BC365" t="str">
        <f t="shared" si="157"/>
        <v>Neutral</v>
      </c>
      <c r="BD365" s="32">
        <f t="shared" si="158"/>
        <v>1</v>
      </c>
      <c r="BE365">
        <f>step3_validation[[#This Row],[AI_OUT1]]</f>
        <v>6</v>
      </c>
      <c r="BF365" t="str">
        <f t="shared" si="159"/>
        <v>Neutral</v>
      </c>
      <c r="BG365">
        <f>survey_responses[[#This Row],[Sau khi xem xét các quyền lợi và nghĩa vụ, bạn có ủng hộ và tuân thủ chính sách mới hiện nay? - HUMAN-OUT1]]</f>
        <v>7</v>
      </c>
      <c r="BH365" t="str">
        <f t="shared" si="160"/>
        <v>Neutral</v>
      </c>
      <c r="BI365" s="32">
        <f t="shared" si="161"/>
        <v>1</v>
      </c>
    </row>
    <row r="366" spans="1:61" x14ac:dyDescent="0.45">
      <c r="A366" s="30">
        <f>step3_validation[[#This Row],[Persona_ID]]</f>
        <v>365</v>
      </c>
      <c r="B366" s="31">
        <f>step3_validation[[#This Row],[Used_Seed]]</f>
        <v>2355</v>
      </c>
      <c r="C366" t="str">
        <f>step3_validation[[#This Row],[Gender]]</f>
        <v>Nữ</v>
      </c>
      <c r="D366" t="str">
        <f>survey_responses[[#This Row],[Giới tính của bạn:]]</f>
        <v>Nữ</v>
      </c>
      <c r="E366" t="str">
        <f>step3_validation[[#This Row],[Age_Group]]</f>
        <v>25 - 29</v>
      </c>
      <c r="F366" t="str">
        <f>survey_responses[[#This Row],[Độ tuổi của bạn:]]</f>
        <v>25 - 29</v>
      </c>
      <c r="G366" t="str">
        <f>step3_validation[[#This Row],[Region]]</f>
        <v>Thành thị</v>
      </c>
      <c r="H366" t="str">
        <f>survey_responses[[#This Row],[Khu vực bạn đang sinh sống:]]</f>
        <v>Thành thị</v>
      </c>
      <c r="I366" t="str">
        <f>step3_validation[[#This Row],[Education]]</f>
        <v>Đại học</v>
      </c>
      <c r="J366" t="str">
        <f>survey_responses[[#This Row],[Trình độ học vấn cao nhất:]]</f>
        <v>Đại học</v>
      </c>
      <c r="K366" t="str">
        <f>step3_validation[[#This Row],[Employment]]</f>
        <v>Chính thức</v>
      </c>
      <c r="L366" t="str">
        <f>survey_responses[[#This Row],[Tình trạng việc làm chính:]]</f>
        <v>Khu vực chính thức (Có Hợp đồng lao động, đóng BHXH)</v>
      </c>
      <c r="M366">
        <f>step3_validation[[#This Row],[Income_Mil]]</f>
        <v>39.830690095258355</v>
      </c>
      <c r="N366" t="str">
        <f>survey_responses[[#This Row],[Thu nhập bình quân tháng theo Hợp đồng lao động của bạn là bao nhiêu? (Vui lòng điền tổng thu nhập trước khi khấu trừ các loại Bảo hiểm (BHXH, BHYT, BHTN) và Thuế TNCN)]]</f>
        <v>Từ 32 - 48 triệu VNĐ</v>
      </c>
      <c r="O366">
        <f>step3_validation[[#This Row],[Dependents]]</f>
        <v>0</v>
      </c>
      <c r="P366" t="str">
        <f>survey_responses[[#This Row],[Số người phụ thuộc (con nhỏ, cha mẹ già...) đủ điều kiện giảm trừ gia cảnh:]]</f>
        <v>0 người</v>
      </c>
      <c r="Q366">
        <f>step3_validation[[#This Row],[AI_ENF1]]</f>
        <v>6</v>
      </c>
      <c r="R366" t="str">
        <f t="shared" si="135"/>
        <v>Neutral</v>
      </c>
      <c r="S366">
        <f>survey_responses[[#This Row],[Tôi tin rằng với các quy định quản lý thuế hiện nay, hành vi gian lận hoặc trốn thuế sẽ dễ dàng bị phát hiện và xử lý nghiêm. - HUMAN-ENF1]]</f>
        <v>9</v>
      </c>
      <c r="T366" t="str">
        <f t="shared" si="136"/>
        <v>Support</v>
      </c>
      <c r="U366" s="32">
        <f t="shared" si="137"/>
        <v>3</v>
      </c>
      <c r="V366">
        <f>step3_validation[[#This Row],[AI_ENF2]]</f>
        <v>7</v>
      </c>
      <c r="W366" t="str">
        <f t="shared" si="138"/>
        <v>Neutral</v>
      </c>
      <c r="X366">
        <f>survey_responses[[#This Row],[Tôi tin rằng Nhà nước, cơ quan thuế có đủ khả năng và công nghệ để phát hiện, xử lý nghiêm các hành vi trốn thuế. - HUMAN-ENF2]]</f>
        <v>9</v>
      </c>
      <c r="Y366" t="str">
        <f t="shared" si="139"/>
        <v>Support</v>
      </c>
      <c r="Z366" s="32">
        <f t="shared" si="140"/>
        <v>2</v>
      </c>
      <c r="AA366">
        <f>step3_validation[[#This Row],[AI_FAC1]]</f>
        <v>8</v>
      </c>
      <c r="AB366" t="str">
        <f t="shared" si="141"/>
        <v>Support</v>
      </c>
      <c r="AC366">
        <f>survey_responses[[#This Row],[Các thủ tục khai báo thuế VÀ/HOẶC quy trình làm việc với cơ quan thuế đơn giản, tiện lợi, nhanh chóng hơn so với trước đây. - HUMAN-FAC1]]</f>
        <v>8</v>
      </c>
      <c r="AD366" t="str">
        <f t="shared" si="142"/>
        <v>Support</v>
      </c>
      <c r="AE366" s="32">
        <f t="shared" si="143"/>
        <v>0</v>
      </c>
      <c r="AF366">
        <f>step3_validation[[#This Row],[AI_FAC2]]</f>
        <v>7</v>
      </c>
      <c r="AG366" t="str">
        <f t="shared" si="144"/>
        <v>Neutral</v>
      </c>
      <c r="AH366">
        <f>survey_responses[[#This Row],[So với trước đây, tôi thấy cách tính thuế và các bậc thuế trong phương án mới đơn giản, dễ hiểu và dễ thực hiện hơn. - HUMAN-FAC2]]</f>
        <v>9</v>
      </c>
      <c r="AI366" t="str">
        <f t="shared" si="145"/>
        <v>Support</v>
      </c>
      <c r="AJ366" s="32">
        <f t="shared" si="146"/>
        <v>2</v>
      </c>
      <c r="AK366">
        <f>step3_validation[[#This Row],[AI_TRU1]]</f>
        <v>6</v>
      </c>
      <c r="AL366" t="str">
        <f t="shared" si="147"/>
        <v>Neutral</v>
      </c>
      <c r="AM366">
        <f>survey_responses[[#This Row],[Tôi tin rằng Nhà nước, cơ quan thuế sẽ thực thi chính sách mới một cách khách quan, công tâm và đối xử bình đẳng với mọi người nộp thuế.  - HUMAN-TRU1]]</f>
        <v>9</v>
      </c>
      <c r="AN366" t="str">
        <f t="shared" si="148"/>
        <v>Support</v>
      </c>
      <c r="AO366" s="32">
        <f t="shared" si="149"/>
        <v>3</v>
      </c>
      <c r="AP366">
        <f>step3_validation[[#This Row],[AI_TRU2]]</f>
        <v>5</v>
      </c>
      <c r="AQ366" t="str">
        <f t="shared" si="150"/>
        <v>Neutral</v>
      </c>
      <c r="AR366">
        <f>survey_responses[[#This Row],[Tôi thấy mức thuế tôi phải đóng theo phương án mới là công bằng (người thu nhập như tôi đóng mức này là hợp lý). - HUMAN-TRU2]]</f>
        <v>7</v>
      </c>
      <c r="AS366" t="str">
        <f t="shared" si="151"/>
        <v>Neutral</v>
      </c>
      <c r="AT366" s="32">
        <f t="shared" si="152"/>
        <v>2</v>
      </c>
      <c r="AU366">
        <f>step3_validation[[#This Row],[AI_TRU3]]</f>
        <v>4</v>
      </c>
      <c r="AV366" t="str">
        <f t="shared" si="153"/>
        <v>Oppose</v>
      </c>
      <c r="AW366">
        <f>survey_responses[[#This Row],[Tôi tin tưởng số tiền thuế tôi đóng sẽ được Nhà nước sử dụng hiệu quả để cải thiện dịch vụ công (y tế, đường xá...). - HUMAN-TRU3]]</f>
        <v>7</v>
      </c>
      <c r="AX366" t="str">
        <f t="shared" si="154"/>
        <v>Neutral</v>
      </c>
      <c r="AY366" s="32">
        <f t="shared" si="155"/>
        <v>3</v>
      </c>
      <c r="AZ366">
        <f>step3_validation[[#This Row],[AI_TRU4]]</f>
        <v>5</v>
      </c>
      <c r="BA366" t="str">
        <f t="shared" si="156"/>
        <v>Neutral</v>
      </c>
      <c r="BB366">
        <f>survey_responses[[#This Row],[Tôi thấy Nhà nước đã giải thích rõ ràng, minh bạch về lý do và mục tiêu của việc sửa đổi thuế lần này. - HUMAN-TRU4]]</f>
        <v>7</v>
      </c>
      <c r="BC366" t="str">
        <f t="shared" si="157"/>
        <v>Neutral</v>
      </c>
      <c r="BD366" s="32">
        <f t="shared" si="158"/>
        <v>2</v>
      </c>
      <c r="BE366">
        <f>step3_validation[[#This Row],[AI_OUT1]]</f>
        <v>6</v>
      </c>
      <c r="BF366" t="str">
        <f t="shared" si="159"/>
        <v>Neutral</v>
      </c>
      <c r="BG366">
        <f>survey_responses[[#This Row],[Sau khi xem xét các quyền lợi và nghĩa vụ, bạn có ủng hộ và tuân thủ chính sách mới hiện nay? - HUMAN-OUT1]]</f>
        <v>7</v>
      </c>
      <c r="BH366" t="str">
        <f t="shared" si="160"/>
        <v>Neutral</v>
      </c>
      <c r="BI366" s="32">
        <f t="shared" si="161"/>
        <v>1</v>
      </c>
    </row>
    <row r="367" spans="1:61" x14ac:dyDescent="0.45">
      <c r="A367" s="30">
        <f>step3_validation[[#This Row],[Persona_ID]]</f>
        <v>366</v>
      </c>
      <c r="B367" s="31">
        <f>step3_validation[[#This Row],[Used_Seed]]</f>
        <v>2356</v>
      </c>
      <c r="C367" t="str">
        <f>step3_validation[[#This Row],[Gender]]</f>
        <v>Nam</v>
      </c>
      <c r="D367" t="str">
        <f>survey_responses[[#This Row],[Giới tính của bạn:]]</f>
        <v>Nam</v>
      </c>
      <c r="E367" t="str">
        <f>step3_validation[[#This Row],[Age_Group]]</f>
        <v>30 - 39</v>
      </c>
      <c r="F367" t="str">
        <f>survey_responses[[#This Row],[Độ tuổi của bạn:]]</f>
        <v>30 - 39</v>
      </c>
      <c r="G367" t="str">
        <f>step3_validation[[#This Row],[Region]]</f>
        <v>Thành thị</v>
      </c>
      <c r="H367" t="str">
        <f>survey_responses[[#This Row],[Khu vực bạn đang sinh sống:]]</f>
        <v>Thành thị</v>
      </c>
      <c r="I367" t="str">
        <f>step3_validation[[#This Row],[Education]]</f>
        <v>Sau Đại học</v>
      </c>
      <c r="J367" t="str">
        <f>survey_responses[[#This Row],[Trình độ học vấn cao nhất:]]</f>
        <v>Sau Đại học</v>
      </c>
      <c r="K367" t="str">
        <f>step3_validation[[#This Row],[Employment]]</f>
        <v>Chính thức</v>
      </c>
      <c r="L367" t="str">
        <f>survey_responses[[#This Row],[Tình trạng việc làm chính:]]</f>
        <v>Khu vực chính thức (Có Hợp đồng lao động, đóng BHXH)</v>
      </c>
      <c r="M367">
        <f>step3_validation[[#This Row],[Income_Mil]]</f>
        <v>51.45867378392812</v>
      </c>
      <c r="N367" t="str">
        <f>survey_responses[[#This Row],[Thu nhập bình quân tháng theo Hợp đồng lao động của bạn là bao nhiêu? (Vui lòng điền tổng thu nhập trước khi khấu trừ các loại Bảo hiểm (BHXH, BHYT, BHTN) và Thuế TNCN)]]</f>
        <v>Từ 48 - 70 triệu VNĐ</v>
      </c>
      <c r="O367">
        <f>step3_validation[[#This Row],[Dependents]]</f>
        <v>1</v>
      </c>
      <c r="P367" t="str">
        <f>survey_responses[[#This Row],[Số người phụ thuộc (con nhỏ, cha mẹ già...) đủ điều kiện giảm trừ gia cảnh:]]</f>
        <v>1 người</v>
      </c>
      <c r="Q367">
        <f>step3_validation[[#This Row],[AI_ENF1]]</f>
        <v>8</v>
      </c>
      <c r="R367" t="str">
        <f t="shared" si="135"/>
        <v>Support</v>
      </c>
      <c r="S367">
        <f>survey_responses[[#This Row],[Tôi tin rằng với các quy định quản lý thuế hiện nay, hành vi gian lận hoặc trốn thuế sẽ dễ dàng bị phát hiện và xử lý nghiêm. - HUMAN-ENF1]]</f>
        <v>7</v>
      </c>
      <c r="T367" t="str">
        <f t="shared" si="136"/>
        <v>Neutral</v>
      </c>
      <c r="U367" s="32">
        <f t="shared" si="137"/>
        <v>1</v>
      </c>
      <c r="V367">
        <f>step3_validation[[#This Row],[AI_ENF2]]</f>
        <v>9</v>
      </c>
      <c r="W367" t="str">
        <f t="shared" si="138"/>
        <v>Support</v>
      </c>
      <c r="X367">
        <f>survey_responses[[#This Row],[Tôi tin rằng Nhà nước, cơ quan thuế có đủ khả năng và công nghệ để phát hiện, xử lý nghiêm các hành vi trốn thuế. - HUMAN-ENF2]]</f>
        <v>8</v>
      </c>
      <c r="Y367" t="str">
        <f t="shared" si="139"/>
        <v>Support</v>
      </c>
      <c r="Z367" s="32">
        <f t="shared" si="140"/>
        <v>1</v>
      </c>
      <c r="AA367">
        <f>step3_validation[[#This Row],[AI_FAC1]]</f>
        <v>7</v>
      </c>
      <c r="AB367" t="str">
        <f t="shared" si="141"/>
        <v>Neutral</v>
      </c>
      <c r="AC367">
        <f>survey_responses[[#This Row],[Các thủ tục khai báo thuế VÀ/HOẶC quy trình làm việc với cơ quan thuế đơn giản, tiện lợi, nhanh chóng hơn so với trước đây. - HUMAN-FAC1]]</f>
        <v>8</v>
      </c>
      <c r="AD367" t="str">
        <f t="shared" si="142"/>
        <v>Support</v>
      </c>
      <c r="AE367" s="32">
        <f t="shared" si="143"/>
        <v>1</v>
      </c>
      <c r="AF367">
        <f>step3_validation[[#This Row],[AI_FAC2]]</f>
        <v>8</v>
      </c>
      <c r="AG367" t="str">
        <f t="shared" si="144"/>
        <v>Support</v>
      </c>
      <c r="AH367">
        <f>survey_responses[[#This Row],[So với trước đây, tôi thấy cách tính thuế và các bậc thuế trong phương án mới đơn giản, dễ hiểu và dễ thực hiện hơn. - HUMAN-FAC2]]</f>
        <v>8</v>
      </c>
      <c r="AI367" t="str">
        <f t="shared" si="145"/>
        <v>Support</v>
      </c>
      <c r="AJ367" s="32">
        <f t="shared" si="146"/>
        <v>0</v>
      </c>
      <c r="AK367">
        <f>step3_validation[[#This Row],[AI_TRU1]]</f>
        <v>9</v>
      </c>
      <c r="AL367" t="str">
        <f t="shared" si="147"/>
        <v>Support</v>
      </c>
      <c r="AM367">
        <f>survey_responses[[#This Row],[Tôi tin rằng Nhà nước, cơ quan thuế sẽ thực thi chính sách mới một cách khách quan, công tâm và đối xử bình đẳng với mọi người nộp thuế.  - HUMAN-TRU1]]</f>
        <v>5</v>
      </c>
      <c r="AN367" t="str">
        <f t="shared" si="148"/>
        <v>Neutral</v>
      </c>
      <c r="AO367" s="32">
        <f t="shared" si="149"/>
        <v>4</v>
      </c>
      <c r="AP367">
        <f>step3_validation[[#This Row],[AI_TRU2]]</f>
        <v>8</v>
      </c>
      <c r="AQ367" t="str">
        <f t="shared" si="150"/>
        <v>Support</v>
      </c>
      <c r="AR367">
        <f>survey_responses[[#This Row],[Tôi thấy mức thuế tôi phải đóng theo phương án mới là công bằng (người thu nhập như tôi đóng mức này là hợp lý). - HUMAN-TRU2]]</f>
        <v>6</v>
      </c>
      <c r="AS367" t="str">
        <f t="shared" si="151"/>
        <v>Neutral</v>
      </c>
      <c r="AT367" s="32">
        <f t="shared" si="152"/>
        <v>2</v>
      </c>
      <c r="AU367">
        <f>step3_validation[[#This Row],[AI_TRU3]]</f>
        <v>7</v>
      </c>
      <c r="AV367" t="str">
        <f t="shared" si="153"/>
        <v>Neutral</v>
      </c>
      <c r="AW367">
        <f>survey_responses[[#This Row],[Tôi tin tưởng số tiền thuế tôi đóng sẽ được Nhà nước sử dụng hiệu quả để cải thiện dịch vụ công (y tế, đường xá...). - HUMAN-TRU3]]</f>
        <v>5</v>
      </c>
      <c r="AX367" t="str">
        <f t="shared" si="154"/>
        <v>Neutral</v>
      </c>
      <c r="AY367" s="32">
        <f t="shared" si="155"/>
        <v>2</v>
      </c>
      <c r="AZ367">
        <f>step3_validation[[#This Row],[AI_TRU4]]</f>
        <v>6</v>
      </c>
      <c r="BA367" t="str">
        <f t="shared" si="156"/>
        <v>Neutral</v>
      </c>
      <c r="BB367">
        <f>survey_responses[[#This Row],[Tôi thấy Nhà nước đã giải thích rõ ràng, minh bạch về lý do và mục tiêu của việc sửa đổi thuế lần này. - HUMAN-TRU4]]</f>
        <v>6</v>
      </c>
      <c r="BC367" t="str">
        <f t="shared" si="157"/>
        <v>Neutral</v>
      </c>
      <c r="BD367" s="32">
        <f t="shared" si="158"/>
        <v>0</v>
      </c>
      <c r="BE367">
        <f>step3_validation[[#This Row],[AI_OUT1]]</f>
        <v>5</v>
      </c>
      <c r="BF367" t="str">
        <f t="shared" si="159"/>
        <v>Neutral</v>
      </c>
      <c r="BG367">
        <f>survey_responses[[#This Row],[Sau khi xem xét các quyền lợi và nghĩa vụ, bạn có ủng hộ và tuân thủ chính sách mới hiện nay? - HUMAN-OUT1]]</f>
        <v>6</v>
      </c>
      <c r="BH367" t="str">
        <f t="shared" si="160"/>
        <v>Neutral</v>
      </c>
      <c r="BI367" s="32">
        <f t="shared" si="161"/>
        <v>1</v>
      </c>
    </row>
    <row r="368" spans="1:61" x14ac:dyDescent="0.45">
      <c r="A368" s="30">
        <f>step3_validation[[#This Row],[Persona_ID]]</f>
        <v>367</v>
      </c>
      <c r="B368" s="31">
        <f>step3_validation[[#This Row],[Used_Seed]]</f>
        <v>2357</v>
      </c>
      <c r="C368" t="str">
        <f>step3_validation[[#This Row],[Gender]]</f>
        <v>Nữ</v>
      </c>
      <c r="D368" t="str">
        <f>survey_responses[[#This Row],[Giới tính của bạn:]]</f>
        <v>Nữ</v>
      </c>
      <c r="E368" t="str">
        <f>step3_validation[[#This Row],[Age_Group]]</f>
        <v>18 - 24</v>
      </c>
      <c r="F368" t="str">
        <f>survey_responses[[#This Row],[Độ tuổi của bạn:]]</f>
        <v>18 - 24</v>
      </c>
      <c r="G368" t="str">
        <f>step3_validation[[#This Row],[Region]]</f>
        <v>Thành thị</v>
      </c>
      <c r="H368" t="str">
        <f>survey_responses[[#This Row],[Khu vực bạn đang sinh sống:]]</f>
        <v>Thành thị</v>
      </c>
      <c r="I368" t="str">
        <f>step3_validation[[#This Row],[Education]]</f>
        <v>Đại học</v>
      </c>
      <c r="J368" t="str">
        <f>survey_responses[[#This Row],[Trình độ học vấn cao nhất:]]</f>
        <v>Đại học</v>
      </c>
      <c r="K368" t="str">
        <f>step3_validation[[#This Row],[Employment]]</f>
        <v>Chính thức</v>
      </c>
      <c r="L368" t="str">
        <f>survey_responses[[#This Row],[Tình trạng việc làm chính:]]</f>
        <v>Khu vực chính thức (Có Hợp đồng lao động, đóng BHXH)</v>
      </c>
      <c r="M368">
        <f>step3_validation[[#This Row],[Income_Mil]]</f>
        <v>12.963323804232729</v>
      </c>
      <c r="N368" t="str">
        <f>survey_responses[[#This Row],[Thu nhập bình quân tháng theo Hợp đồng lao động của bạn là bao nhiêu? (Vui lòng điền tổng thu nhập trước khi khấu trừ các loại Bảo hiểm (BHXH, BHYT, BHTN) và Thuế TNCN)]]</f>
        <v>Từ 12 - 18 triệu VNĐ</v>
      </c>
      <c r="O368">
        <f>step3_validation[[#This Row],[Dependents]]</f>
        <v>0</v>
      </c>
      <c r="P368" t="str">
        <f>survey_responses[[#This Row],[Số người phụ thuộc (con nhỏ, cha mẹ già...) đủ điều kiện giảm trừ gia cảnh:]]</f>
        <v>0 người</v>
      </c>
      <c r="Q368">
        <f>step3_validation[[#This Row],[AI_ENF1]]</f>
        <v>7</v>
      </c>
      <c r="R368" t="str">
        <f t="shared" si="135"/>
        <v>Neutral</v>
      </c>
      <c r="S368">
        <f>survey_responses[[#This Row],[Tôi tin rằng với các quy định quản lý thuế hiện nay, hành vi gian lận hoặc trốn thuế sẽ dễ dàng bị phát hiện và xử lý nghiêm. - HUMAN-ENF1]]</f>
        <v>8</v>
      </c>
      <c r="T368" t="str">
        <f t="shared" si="136"/>
        <v>Support</v>
      </c>
      <c r="U368" s="32">
        <f t="shared" si="137"/>
        <v>1</v>
      </c>
      <c r="V368">
        <f>step3_validation[[#This Row],[AI_ENF2]]</f>
        <v>8</v>
      </c>
      <c r="W368" t="str">
        <f t="shared" si="138"/>
        <v>Support</v>
      </c>
      <c r="X368">
        <f>survey_responses[[#This Row],[Tôi tin rằng Nhà nước, cơ quan thuế có đủ khả năng và công nghệ để phát hiện, xử lý nghiêm các hành vi trốn thuế. - HUMAN-ENF2]]</f>
        <v>9</v>
      </c>
      <c r="Y368" t="str">
        <f t="shared" si="139"/>
        <v>Support</v>
      </c>
      <c r="Z368" s="32">
        <f t="shared" si="140"/>
        <v>1</v>
      </c>
      <c r="AA368">
        <f>step3_validation[[#This Row],[AI_FAC1]]</f>
        <v>9</v>
      </c>
      <c r="AB368" t="str">
        <f t="shared" si="141"/>
        <v>Support</v>
      </c>
      <c r="AC368">
        <f>survey_responses[[#This Row],[Các thủ tục khai báo thuế VÀ/HOẶC quy trình làm việc với cơ quan thuế đơn giản, tiện lợi, nhanh chóng hơn so với trước đây. - HUMAN-FAC1]]</f>
        <v>8</v>
      </c>
      <c r="AD368" t="str">
        <f t="shared" si="142"/>
        <v>Support</v>
      </c>
      <c r="AE368" s="32">
        <f t="shared" si="143"/>
        <v>1</v>
      </c>
      <c r="AF368">
        <f>step3_validation[[#This Row],[AI_FAC2]]</f>
        <v>8</v>
      </c>
      <c r="AG368" t="str">
        <f t="shared" si="144"/>
        <v>Support</v>
      </c>
      <c r="AH368">
        <f>survey_responses[[#This Row],[So với trước đây, tôi thấy cách tính thuế và các bậc thuế trong phương án mới đơn giản, dễ hiểu và dễ thực hiện hơn. - HUMAN-FAC2]]</f>
        <v>8</v>
      </c>
      <c r="AI368" t="str">
        <f t="shared" si="145"/>
        <v>Support</v>
      </c>
      <c r="AJ368" s="32">
        <f t="shared" si="146"/>
        <v>0</v>
      </c>
      <c r="AK368">
        <f>step3_validation[[#This Row],[AI_TRU1]]</f>
        <v>7</v>
      </c>
      <c r="AL368" t="str">
        <f t="shared" si="147"/>
        <v>Neutral</v>
      </c>
      <c r="AM368">
        <f>survey_responses[[#This Row],[Tôi tin rằng Nhà nước, cơ quan thuế sẽ thực thi chính sách mới một cách khách quan, công tâm và đối xử bình đẳng với mọi người nộp thuế.  - HUMAN-TRU1]]</f>
        <v>9</v>
      </c>
      <c r="AN368" t="str">
        <f t="shared" si="148"/>
        <v>Support</v>
      </c>
      <c r="AO368" s="32">
        <f t="shared" si="149"/>
        <v>2</v>
      </c>
      <c r="AP368">
        <f>step3_validation[[#This Row],[AI_TRU2]]</f>
        <v>6</v>
      </c>
      <c r="AQ368" t="str">
        <f t="shared" si="150"/>
        <v>Neutral</v>
      </c>
      <c r="AR368">
        <f>survey_responses[[#This Row],[Tôi thấy mức thuế tôi phải đóng theo phương án mới là công bằng (người thu nhập như tôi đóng mức này là hợp lý). - HUMAN-TRU2]]</f>
        <v>10</v>
      </c>
      <c r="AS368" t="str">
        <f t="shared" si="151"/>
        <v>Support</v>
      </c>
      <c r="AT368" s="32">
        <f t="shared" si="152"/>
        <v>4</v>
      </c>
      <c r="AU368">
        <f>step3_validation[[#This Row],[AI_TRU3]]</f>
        <v>5</v>
      </c>
      <c r="AV368" t="str">
        <f t="shared" si="153"/>
        <v>Neutral</v>
      </c>
      <c r="AW368">
        <f>survey_responses[[#This Row],[Tôi tin tưởng số tiền thuế tôi đóng sẽ được Nhà nước sử dụng hiệu quả để cải thiện dịch vụ công (y tế, đường xá...). - HUMAN-TRU3]]</f>
        <v>10</v>
      </c>
      <c r="AX368" t="str">
        <f t="shared" si="154"/>
        <v>Support</v>
      </c>
      <c r="AY368" s="32">
        <f t="shared" si="155"/>
        <v>5</v>
      </c>
      <c r="AZ368">
        <f>step3_validation[[#This Row],[AI_TRU4]]</f>
        <v>4</v>
      </c>
      <c r="BA368" t="str">
        <f t="shared" si="156"/>
        <v>Oppose</v>
      </c>
      <c r="BB368">
        <f>survey_responses[[#This Row],[Tôi thấy Nhà nước đã giải thích rõ ràng, minh bạch về lý do và mục tiêu của việc sửa đổi thuế lần này. - HUMAN-TRU4]]</f>
        <v>9</v>
      </c>
      <c r="BC368" t="str">
        <f t="shared" si="157"/>
        <v>Support</v>
      </c>
      <c r="BD368" s="32">
        <f t="shared" si="158"/>
        <v>5</v>
      </c>
      <c r="BE368">
        <f>step3_validation[[#This Row],[AI_OUT1]]</f>
        <v>6</v>
      </c>
      <c r="BF368" t="str">
        <f t="shared" si="159"/>
        <v>Neutral</v>
      </c>
      <c r="BG368">
        <f>survey_responses[[#This Row],[Sau khi xem xét các quyền lợi và nghĩa vụ, bạn có ủng hộ và tuân thủ chính sách mới hiện nay? - HUMAN-OUT1]]</f>
        <v>10</v>
      </c>
      <c r="BH368" t="str">
        <f t="shared" si="160"/>
        <v>Support</v>
      </c>
      <c r="BI368" s="32">
        <f t="shared" si="161"/>
        <v>4</v>
      </c>
    </row>
    <row r="369" spans="1:61" x14ac:dyDescent="0.45">
      <c r="A369" s="30">
        <f>step3_validation[[#This Row],[Persona_ID]]</f>
        <v>368</v>
      </c>
      <c r="B369" s="31">
        <f>step3_validation[[#This Row],[Used_Seed]]</f>
        <v>2358</v>
      </c>
      <c r="C369" t="str">
        <f>step3_validation[[#This Row],[Gender]]</f>
        <v>Nữ</v>
      </c>
      <c r="D369" t="str">
        <f>survey_responses[[#This Row],[Giới tính của bạn:]]</f>
        <v>Nữ</v>
      </c>
      <c r="E369" t="str">
        <f>step3_validation[[#This Row],[Age_Group]]</f>
        <v>25 - 29</v>
      </c>
      <c r="F369" t="str">
        <f>survey_responses[[#This Row],[Độ tuổi của bạn:]]</f>
        <v>25 - 29</v>
      </c>
      <c r="G369" t="str">
        <f>step3_validation[[#This Row],[Region]]</f>
        <v>Thành thị</v>
      </c>
      <c r="H369" t="str">
        <f>survey_responses[[#This Row],[Khu vực bạn đang sinh sống:]]</f>
        <v>Thành thị</v>
      </c>
      <c r="I369" t="str">
        <f>step3_validation[[#This Row],[Education]]</f>
        <v>Sau Đại học</v>
      </c>
      <c r="J369" t="str">
        <f>survey_responses[[#This Row],[Trình độ học vấn cao nhất:]]</f>
        <v>Sau Đại học</v>
      </c>
      <c r="K369" t="str">
        <f>step3_validation[[#This Row],[Employment]]</f>
        <v>Chính thức</v>
      </c>
      <c r="L369" t="str">
        <f>survey_responses[[#This Row],[Tình trạng việc làm chính:]]</f>
        <v>Khu vực chính thức (Có Hợp đồng lao động, đóng BHXH)</v>
      </c>
      <c r="M369">
        <f>step3_validation[[#This Row],[Income_Mil]]</f>
        <v>29.994046877652671</v>
      </c>
      <c r="N369" t="str">
        <f>survey_responses[[#This Row],[Thu nhập bình quân tháng theo Hợp đồng lao động của bạn là bao nhiêu? (Vui lòng điền tổng thu nhập trước khi khấu trừ các loại Bảo hiểm (BHXH, BHYT, BHTN) và Thuế TNCN)]]</f>
        <v>Từ 23 - 32 triệu VNĐ</v>
      </c>
      <c r="O369">
        <f>step3_validation[[#This Row],[Dependents]]</f>
        <v>2</v>
      </c>
      <c r="P369" t="str">
        <f>survey_responses[[#This Row],[Số người phụ thuộc (con nhỏ, cha mẹ già...) đủ điều kiện giảm trừ gia cảnh:]]</f>
        <v>2 người</v>
      </c>
      <c r="Q369">
        <f>step3_validation[[#This Row],[AI_ENF1]]</f>
        <v>5</v>
      </c>
      <c r="R369" t="str">
        <f t="shared" si="135"/>
        <v>Neutral</v>
      </c>
      <c r="S369">
        <f>survey_responses[[#This Row],[Tôi tin rằng với các quy định quản lý thuế hiện nay, hành vi gian lận hoặc trốn thuế sẽ dễ dàng bị phát hiện và xử lý nghiêm. - HUMAN-ENF1]]</f>
        <v>7</v>
      </c>
      <c r="T369" t="str">
        <f t="shared" si="136"/>
        <v>Neutral</v>
      </c>
      <c r="U369" s="32">
        <f t="shared" si="137"/>
        <v>2</v>
      </c>
      <c r="V369">
        <f>step3_validation[[#This Row],[AI_ENF2]]</f>
        <v>6</v>
      </c>
      <c r="W369" t="str">
        <f t="shared" si="138"/>
        <v>Neutral</v>
      </c>
      <c r="X369">
        <f>survey_responses[[#This Row],[Tôi tin rằng Nhà nước, cơ quan thuế có đủ khả năng và công nghệ để phát hiện, xử lý nghiêm các hành vi trốn thuế. - HUMAN-ENF2]]</f>
        <v>7</v>
      </c>
      <c r="Y369" t="str">
        <f t="shared" si="139"/>
        <v>Neutral</v>
      </c>
      <c r="Z369" s="32">
        <f t="shared" si="140"/>
        <v>1</v>
      </c>
      <c r="AA369">
        <f>step3_validation[[#This Row],[AI_FAC1]]</f>
        <v>8</v>
      </c>
      <c r="AB369" t="str">
        <f t="shared" si="141"/>
        <v>Support</v>
      </c>
      <c r="AC369">
        <f>survey_responses[[#This Row],[Các thủ tục khai báo thuế VÀ/HOẶC quy trình làm việc với cơ quan thuế đơn giản, tiện lợi, nhanh chóng hơn so với trước đây. - HUMAN-FAC1]]</f>
        <v>8</v>
      </c>
      <c r="AD369" t="str">
        <f t="shared" si="142"/>
        <v>Support</v>
      </c>
      <c r="AE369" s="32">
        <f t="shared" si="143"/>
        <v>0</v>
      </c>
      <c r="AF369">
        <f>step3_validation[[#This Row],[AI_FAC2]]</f>
        <v>7</v>
      </c>
      <c r="AG369" t="str">
        <f t="shared" si="144"/>
        <v>Neutral</v>
      </c>
      <c r="AH369">
        <f>survey_responses[[#This Row],[So với trước đây, tôi thấy cách tính thuế và các bậc thuế trong phương án mới đơn giản, dễ hiểu và dễ thực hiện hơn. - HUMAN-FAC2]]</f>
        <v>8</v>
      </c>
      <c r="AI369" t="str">
        <f t="shared" si="145"/>
        <v>Support</v>
      </c>
      <c r="AJ369" s="32">
        <f t="shared" si="146"/>
        <v>1</v>
      </c>
      <c r="AK369">
        <f>step3_validation[[#This Row],[AI_TRU1]]</f>
        <v>8</v>
      </c>
      <c r="AL369" t="str">
        <f t="shared" si="147"/>
        <v>Support</v>
      </c>
      <c r="AM369">
        <f>survey_responses[[#This Row],[Tôi tin rằng Nhà nước, cơ quan thuế sẽ thực thi chính sách mới một cách khách quan, công tâm và đối xử bình đẳng với mọi người nộp thuế.  - HUMAN-TRU1]]</f>
        <v>6</v>
      </c>
      <c r="AN369" t="str">
        <f t="shared" si="148"/>
        <v>Neutral</v>
      </c>
      <c r="AO369" s="32">
        <f t="shared" si="149"/>
        <v>2</v>
      </c>
      <c r="AP369">
        <f>step3_validation[[#This Row],[AI_TRU2]]</f>
        <v>7</v>
      </c>
      <c r="AQ369" t="str">
        <f t="shared" si="150"/>
        <v>Neutral</v>
      </c>
      <c r="AR369">
        <f>survey_responses[[#This Row],[Tôi thấy mức thuế tôi phải đóng theo phương án mới là công bằng (người thu nhập như tôi đóng mức này là hợp lý). - HUMAN-TRU2]]</f>
        <v>8</v>
      </c>
      <c r="AS369" t="str">
        <f t="shared" si="151"/>
        <v>Support</v>
      </c>
      <c r="AT369" s="32">
        <f t="shared" si="152"/>
        <v>1</v>
      </c>
      <c r="AU369">
        <f>step3_validation[[#This Row],[AI_TRU3]]</f>
        <v>8</v>
      </c>
      <c r="AV369" t="str">
        <f t="shared" si="153"/>
        <v>Support</v>
      </c>
      <c r="AW369">
        <f>survey_responses[[#This Row],[Tôi tin tưởng số tiền thuế tôi đóng sẽ được Nhà nước sử dụng hiệu quả để cải thiện dịch vụ công (y tế, đường xá...). - HUMAN-TRU3]]</f>
        <v>6</v>
      </c>
      <c r="AX369" t="str">
        <f t="shared" si="154"/>
        <v>Neutral</v>
      </c>
      <c r="AY369" s="32">
        <f t="shared" si="155"/>
        <v>2</v>
      </c>
      <c r="AZ369">
        <f>step3_validation[[#This Row],[AI_TRU4]]</f>
        <v>6</v>
      </c>
      <c r="BA369" t="str">
        <f t="shared" si="156"/>
        <v>Neutral</v>
      </c>
      <c r="BB369">
        <f>survey_responses[[#This Row],[Tôi thấy Nhà nước đã giải thích rõ ràng, minh bạch về lý do và mục tiêu của việc sửa đổi thuế lần này. - HUMAN-TRU4]]</f>
        <v>7</v>
      </c>
      <c r="BC369" t="str">
        <f t="shared" si="157"/>
        <v>Neutral</v>
      </c>
      <c r="BD369" s="32">
        <f t="shared" si="158"/>
        <v>1</v>
      </c>
      <c r="BE369">
        <f>step3_validation[[#This Row],[AI_OUT1]]</f>
        <v>7</v>
      </c>
      <c r="BF369" t="str">
        <f t="shared" si="159"/>
        <v>Neutral</v>
      </c>
      <c r="BG369">
        <f>survey_responses[[#This Row],[Sau khi xem xét các quyền lợi và nghĩa vụ, bạn có ủng hộ và tuân thủ chính sách mới hiện nay? - HUMAN-OUT1]]</f>
        <v>8</v>
      </c>
      <c r="BH369" t="str">
        <f t="shared" si="160"/>
        <v>Support</v>
      </c>
      <c r="BI369" s="32">
        <f t="shared" si="161"/>
        <v>1</v>
      </c>
    </row>
    <row r="370" spans="1:61" x14ac:dyDescent="0.45">
      <c r="A370" s="30">
        <f>step3_validation[[#This Row],[Persona_ID]]</f>
        <v>369</v>
      </c>
      <c r="B370" s="31">
        <f>step3_validation[[#This Row],[Used_Seed]]</f>
        <v>2359</v>
      </c>
      <c r="C370" t="str">
        <f>step3_validation[[#This Row],[Gender]]</f>
        <v>Nam</v>
      </c>
      <c r="D370" t="str">
        <f>survey_responses[[#This Row],[Giới tính của bạn:]]</f>
        <v>Nam</v>
      </c>
      <c r="E370" t="str">
        <f>step3_validation[[#This Row],[Age_Group]]</f>
        <v>25 - 29</v>
      </c>
      <c r="F370" t="str">
        <f>survey_responses[[#This Row],[Độ tuổi của bạn:]]</f>
        <v>25 - 29</v>
      </c>
      <c r="G370" t="str">
        <f>step3_validation[[#This Row],[Region]]</f>
        <v>Thành thị</v>
      </c>
      <c r="H370" t="str">
        <f>survey_responses[[#This Row],[Khu vực bạn đang sinh sống:]]</f>
        <v>Thành thị</v>
      </c>
      <c r="I370" t="str">
        <f>step3_validation[[#This Row],[Education]]</f>
        <v>Đại học</v>
      </c>
      <c r="J370" t="str">
        <f>survey_responses[[#This Row],[Trình độ học vấn cao nhất:]]</f>
        <v>Đại học</v>
      </c>
      <c r="K370" t="str">
        <f>step3_validation[[#This Row],[Employment]]</f>
        <v>Chính thức</v>
      </c>
      <c r="L370" t="str">
        <f>survey_responses[[#This Row],[Tình trạng việc làm chính:]]</f>
        <v>Khu vực chính thức (Có Hợp đồng lao động, đóng BHXH)</v>
      </c>
      <c r="M370">
        <f>step3_validation[[#This Row],[Income_Mil]]</f>
        <v>12.136423705738206</v>
      </c>
      <c r="N370" t="str">
        <f>survey_responses[[#This Row],[Thu nhập bình quân tháng theo Hợp đồng lao động của bạn là bao nhiêu? (Vui lòng điền tổng thu nhập trước khi khấu trừ các loại Bảo hiểm (BHXH, BHYT, BHTN) và Thuế TNCN)]]</f>
        <v>Từ 12 - 18 triệu VNĐ</v>
      </c>
      <c r="O370">
        <f>step3_validation[[#This Row],[Dependents]]</f>
        <v>0</v>
      </c>
      <c r="P370" t="str">
        <f>survey_responses[[#This Row],[Số người phụ thuộc (con nhỏ, cha mẹ già...) đủ điều kiện giảm trừ gia cảnh:]]</f>
        <v>0 người</v>
      </c>
      <c r="Q370">
        <f>step3_validation[[#This Row],[AI_ENF1]]</f>
        <v>6</v>
      </c>
      <c r="R370" t="str">
        <f t="shared" si="135"/>
        <v>Neutral</v>
      </c>
      <c r="S370">
        <f>survey_responses[[#This Row],[Tôi tin rằng với các quy định quản lý thuế hiện nay, hành vi gian lận hoặc trốn thuế sẽ dễ dàng bị phát hiện và xử lý nghiêm. - HUMAN-ENF1]]</f>
        <v>6</v>
      </c>
      <c r="T370" t="str">
        <f t="shared" si="136"/>
        <v>Neutral</v>
      </c>
      <c r="U370" s="32">
        <f t="shared" si="137"/>
        <v>0</v>
      </c>
      <c r="V370">
        <f>step3_validation[[#This Row],[AI_ENF2]]</f>
        <v>5</v>
      </c>
      <c r="W370" t="str">
        <f t="shared" si="138"/>
        <v>Neutral</v>
      </c>
      <c r="X370">
        <f>survey_responses[[#This Row],[Tôi tin rằng Nhà nước, cơ quan thuế có đủ khả năng và công nghệ để phát hiện, xử lý nghiêm các hành vi trốn thuế. - HUMAN-ENF2]]</f>
        <v>6</v>
      </c>
      <c r="Y370" t="str">
        <f t="shared" si="139"/>
        <v>Neutral</v>
      </c>
      <c r="Z370" s="32">
        <f t="shared" si="140"/>
        <v>1</v>
      </c>
      <c r="AA370">
        <f>step3_validation[[#This Row],[AI_FAC1]]</f>
        <v>8</v>
      </c>
      <c r="AB370" t="str">
        <f t="shared" si="141"/>
        <v>Support</v>
      </c>
      <c r="AC370">
        <f>survey_responses[[#This Row],[Các thủ tục khai báo thuế VÀ/HOẶC quy trình làm việc với cơ quan thuế đơn giản, tiện lợi, nhanh chóng hơn so với trước đây. - HUMAN-FAC1]]</f>
        <v>8</v>
      </c>
      <c r="AD370" t="str">
        <f t="shared" si="142"/>
        <v>Support</v>
      </c>
      <c r="AE370" s="32">
        <f t="shared" si="143"/>
        <v>0</v>
      </c>
      <c r="AF370">
        <f>step3_validation[[#This Row],[AI_FAC2]]</f>
        <v>9</v>
      </c>
      <c r="AG370" t="str">
        <f t="shared" si="144"/>
        <v>Support</v>
      </c>
      <c r="AH370">
        <f>survey_responses[[#This Row],[So với trước đây, tôi thấy cách tính thuế và các bậc thuế trong phương án mới đơn giản, dễ hiểu và dễ thực hiện hơn. - HUMAN-FAC2]]</f>
        <v>9</v>
      </c>
      <c r="AI370" t="str">
        <f t="shared" si="145"/>
        <v>Support</v>
      </c>
      <c r="AJ370" s="32">
        <f t="shared" si="146"/>
        <v>0</v>
      </c>
      <c r="AK370">
        <f>step3_validation[[#This Row],[AI_TRU1]]</f>
        <v>7</v>
      </c>
      <c r="AL370" t="str">
        <f t="shared" si="147"/>
        <v>Neutral</v>
      </c>
      <c r="AM370">
        <f>survey_responses[[#This Row],[Tôi tin rằng Nhà nước, cơ quan thuế sẽ thực thi chính sách mới một cách khách quan, công tâm và đối xử bình đẳng với mọi người nộp thuế.  - HUMAN-TRU1]]</f>
        <v>8</v>
      </c>
      <c r="AN370" t="str">
        <f t="shared" si="148"/>
        <v>Support</v>
      </c>
      <c r="AO370" s="32">
        <f t="shared" si="149"/>
        <v>1</v>
      </c>
      <c r="AP370">
        <f>step3_validation[[#This Row],[AI_TRU2]]</f>
        <v>6</v>
      </c>
      <c r="AQ370" t="str">
        <f t="shared" si="150"/>
        <v>Neutral</v>
      </c>
      <c r="AR370">
        <f>survey_responses[[#This Row],[Tôi thấy mức thuế tôi phải đóng theo phương án mới là công bằng (người thu nhập như tôi đóng mức này là hợp lý). - HUMAN-TRU2]]</f>
        <v>8</v>
      </c>
      <c r="AS370" t="str">
        <f t="shared" si="151"/>
        <v>Support</v>
      </c>
      <c r="AT370" s="32">
        <f t="shared" si="152"/>
        <v>2</v>
      </c>
      <c r="AU370">
        <f>step3_validation[[#This Row],[AI_TRU3]]</f>
        <v>7</v>
      </c>
      <c r="AV370" t="str">
        <f t="shared" si="153"/>
        <v>Neutral</v>
      </c>
      <c r="AW370">
        <f>survey_responses[[#This Row],[Tôi tin tưởng số tiền thuế tôi đóng sẽ được Nhà nước sử dụng hiệu quả để cải thiện dịch vụ công (y tế, đường xá...). - HUMAN-TRU3]]</f>
        <v>5</v>
      </c>
      <c r="AX370" t="str">
        <f t="shared" si="154"/>
        <v>Neutral</v>
      </c>
      <c r="AY370" s="32">
        <f t="shared" si="155"/>
        <v>2</v>
      </c>
      <c r="AZ370">
        <f>step3_validation[[#This Row],[AI_TRU4]]</f>
        <v>4</v>
      </c>
      <c r="BA370" t="str">
        <f t="shared" si="156"/>
        <v>Oppose</v>
      </c>
      <c r="BB370">
        <f>survey_responses[[#This Row],[Tôi thấy Nhà nước đã giải thích rõ ràng, minh bạch về lý do và mục tiêu của việc sửa đổi thuế lần này. - HUMAN-TRU4]]</f>
        <v>7</v>
      </c>
      <c r="BC370" t="str">
        <f t="shared" si="157"/>
        <v>Neutral</v>
      </c>
      <c r="BD370" s="32">
        <f t="shared" si="158"/>
        <v>3</v>
      </c>
      <c r="BE370">
        <f>step3_validation[[#This Row],[AI_OUT1]]</f>
        <v>7</v>
      </c>
      <c r="BF370" t="str">
        <f t="shared" si="159"/>
        <v>Neutral</v>
      </c>
      <c r="BG370">
        <f>survey_responses[[#This Row],[Sau khi xem xét các quyền lợi và nghĩa vụ, bạn có ủng hộ và tuân thủ chính sách mới hiện nay? - HUMAN-OUT1]]</f>
        <v>8</v>
      </c>
      <c r="BH370" t="str">
        <f t="shared" si="160"/>
        <v>Support</v>
      </c>
      <c r="BI370" s="32">
        <f t="shared" si="161"/>
        <v>1</v>
      </c>
    </row>
    <row r="371" spans="1:61" x14ac:dyDescent="0.45">
      <c r="A371" s="30">
        <f>step3_validation[[#This Row],[Persona_ID]]</f>
        <v>370</v>
      </c>
      <c r="B371" s="31">
        <f>step3_validation[[#This Row],[Used_Seed]]</f>
        <v>2360</v>
      </c>
      <c r="C371" t="str">
        <f>step3_validation[[#This Row],[Gender]]</f>
        <v>Nam</v>
      </c>
      <c r="D371" t="str">
        <f>survey_responses[[#This Row],[Giới tính của bạn:]]</f>
        <v>Nam</v>
      </c>
      <c r="E371" t="str">
        <f>step3_validation[[#This Row],[Age_Group]]</f>
        <v>18 - 24</v>
      </c>
      <c r="F371" t="str">
        <f>survey_responses[[#This Row],[Độ tuổi của bạn:]]</f>
        <v>18 - 24</v>
      </c>
      <c r="G371" t="str">
        <f>step3_validation[[#This Row],[Region]]</f>
        <v>Thành thị</v>
      </c>
      <c r="H371" t="str">
        <f>survey_responses[[#This Row],[Khu vực bạn đang sinh sống:]]</f>
        <v>Thành thị</v>
      </c>
      <c r="I371" t="str">
        <f>step3_validation[[#This Row],[Education]]</f>
        <v>Đại học</v>
      </c>
      <c r="J371" t="str">
        <f>survey_responses[[#This Row],[Trình độ học vấn cao nhất:]]</f>
        <v>Đại học</v>
      </c>
      <c r="K371" t="str">
        <f>step3_validation[[#This Row],[Employment]]</f>
        <v>Chính thức</v>
      </c>
      <c r="L371" t="str">
        <f>survey_responses[[#This Row],[Tình trạng việc làm chính:]]</f>
        <v>Khu vực chính thức (Có Hợp đồng lao động, đóng BHXH)</v>
      </c>
      <c r="M371">
        <f>step3_validation[[#This Row],[Income_Mil]]</f>
        <v>20.792196320437082</v>
      </c>
      <c r="N371" t="str">
        <f>survey_responses[[#This Row],[Thu nhập bình quân tháng theo Hợp đồng lao động của bạn là bao nhiêu? (Vui lòng điền tổng thu nhập trước khi khấu trừ các loại Bảo hiểm (BHXH, BHYT, BHTN) và Thuế TNCN)]]</f>
        <v>Từ 18 - 23 triệu VNĐ</v>
      </c>
      <c r="O371">
        <f>step3_validation[[#This Row],[Dependents]]</f>
        <v>0</v>
      </c>
      <c r="P371" t="str">
        <f>survey_responses[[#This Row],[Số người phụ thuộc (con nhỏ, cha mẹ già...) đủ điều kiện giảm trừ gia cảnh:]]</f>
        <v>0 người</v>
      </c>
      <c r="Q371">
        <f>step3_validation[[#This Row],[AI_ENF1]]</f>
        <v>7</v>
      </c>
      <c r="R371" t="str">
        <f t="shared" si="135"/>
        <v>Neutral</v>
      </c>
      <c r="S371">
        <f>survey_responses[[#This Row],[Tôi tin rằng với các quy định quản lý thuế hiện nay, hành vi gian lận hoặc trốn thuế sẽ dễ dàng bị phát hiện và xử lý nghiêm. - HUMAN-ENF1]]</f>
        <v>6</v>
      </c>
      <c r="T371" t="str">
        <f t="shared" si="136"/>
        <v>Neutral</v>
      </c>
      <c r="U371" s="32">
        <f t="shared" si="137"/>
        <v>1</v>
      </c>
      <c r="V371">
        <f>step3_validation[[#This Row],[AI_ENF2]]</f>
        <v>6</v>
      </c>
      <c r="W371" t="str">
        <f t="shared" si="138"/>
        <v>Neutral</v>
      </c>
      <c r="X371">
        <f>survey_responses[[#This Row],[Tôi tin rằng Nhà nước, cơ quan thuế có đủ khả năng và công nghệ để phát hiện, xử lý nghiêm các hành vi trốn thuế. - HUMAN-ENF2]]</f>
        <v>7</v>
      </c>
      <c r="Y371" t="str">
        <f t="shared" si="139"/>
        <v>Neutral</v>
      </c>
      <c r="Z371" s="32">
        <f t="shared" si="140"/>
        <v>1</v>
      </c>
      <c r="AA371">
        <f>step3_validation[[#This Row],[AI_FAC1]]</f>
        <v>5</v>
      </c>
      <c r="AB371" t="str">
        <f t="shared" si="141"/>
        <v>Neutral</v>
      </c>
      <c r="AC371">
        <f>survey_responses[[#This Row],[Các thủ tục khai báo thuế VÀ/HOẶC quy trình làm việc với cơ quan thuế đơn giản, tiện lợi, nhanh chóng hơn so với trước đây. - HUMAN-FAC1]]</f>
        <v>7</v>
      </c>
      <c r="AD371" t="str">
        <f t="shared" si="142"/>
        <v>Neutral</v>
      </c>
      <c r="AE371" s="32">
        <f t="shared" si="143"/>
        <v>2</v>
      </c>
      <c r="AF371">
        <f>step3_validation[[#This Row],[AI_FAC2]]</f>
        <v>8</v>
      </c>
      <c r="AG371" t="str">
        <f t="shared" si="144"/>
        <v>Support</v>
      </c>
      <c r="AH371">
        <f>survey_responses[[#This Row],[So với trước đây, tôi thấy cách tính thuế và các bậc thuế trong phương án mới đơn giản, dễ hiểu và dễ thực hiện hơn. - HUMAN-FAC2]]</f>
        <v>9</v>
      </c>
      <c r="AI371" t="str">
        <f t="shared" si="145"/>
        <v>Support</v>
      </c>
      <c r="AJ371" s="32">
        <f t="shared" si="146"/>
        <v>1</v>
      </c>
      <c r="AK371">
        <f>step3_validation[[#This Row],[AI_TRU1]]</f>
        <v>6</v>
      </c>
      <c r="AL371" t="str">
        <f t="shared" si="147"/>
        <v>Neutral</v>
      </c>
      <c r="AM371">
        <f>survey_responses[[#This Row],[Tôi tin rằng Nhà nước, cơ quan thuế sẽ thực thi chính sách mới một cách khách quan, công tâm và đối xử bình đẳng với mọi người nộp thuế.  - HUMAN-TRU1]]</f>
        <v>7</v>
      </c>
      <c r="AN371" t="str">
        <f t="shared" si="148"/>
        <v>Neutral</v>
      </c>
      <c r="AO371" s="32">
        <f t="shared" si="149"/>
        <v>1</v>
      </c>
      <c r="AP371">
        <f>step3_validation[[#This Row],[AI_TRU2]]</f>
        <v>7</v>
      </c>
      <c r="AQ371" t="str">
        <f t="shared" si="150"/>
        <v>Neutral</v>
      </c>
      <c r="AR371">
        <f>survey_responses[[#This Row],[Tôi thấy mức thuế tôi phải đóng theo phương án mới là công bằng (người thu nhập như tôi đóng mức này là hợp lý). - HUMAN-TRU2]]</f>
        <v>9</v>
      </c>
      <c r="AS371" t="str">
        <f t="shared" si="151"/>
        <v>Support</v>
      </c>
      <c r="AT371" s="32">
        <f t="shared" si="152"/>
        <v>2</v>
      </c>
      <c r="AU371">
        <f>step3_validation[[#This Row],[AI_TRU3]]</f>
        <v>8</v>
      </c>
      <c r="AV371" t="str">
        <f t="shared" si="153"/>
        <v>Support</v>
      </c>
      <c r="AW371">
        <f>survey_responses[[#This Row],[Tôi tin tưởng số tiền thuế tôi đóng sẽ được Nhà nước sử dụng hiệu quả để cải thiện dịch vụ công (y tế, đường xá...). - HUMAN-TRU3]]</f>
        <v>9</v>
      </c>
      <c r="AX371" t="str">
        <f t="shared" si="154"/>
        <v>Support</v>
      </c>
      <c r="AY371" s="32">
        <f t="shared" si="155"/>
        <v>1</v>
      </c>
      <c r="AZ371">
        <f>step3_validation[[#This Row],[AI_TRU4]]</f>
        <v>7</v>
      </c>
      <c r="BA371" t="str">
        <f t="shared" si="156"/>
        <v>Neutral</v>
      </c>
      <c r="BB371">
        <f>survey_responses[[#This Row],[Tôi thấy Nhà nước đã giải thích rõ ràng, minh bạch về lý do và mục tiêu của việc sửa đổi thuế lần này. - HUMAN-TRU4]]</f>
        <v>9</v>
      </c>
      <c r="BC371" t="str">
        <f t="shared" si="157"/>
        <v>Support</v>
      </c>
      <c r="BD371" s="32">
        <f t="shared" si="158"/>
        <v>2</v>
      </c>
      <c r="BE371">
        <f>step3_validation[[#This Row],[AI_OUT1]]</f>
        <v>6</v>
      </c>
      <c r="BF371" t="str">
        <f t="shared" si="159"/>
        <v>Neutral</v>
      </c>
      <c r="BG371">
        <f>survey_responses[[#This Row],[Sau khi xem xét các quyền lợi và nghĩa vụ, bạn có ủng hộ và tuân thủ chính sách mới hiện nay? - HUMAN-OUT1]]</f>
        <v>9</v>
      </c>
      <c r="BH371" t="str">
        <f t="shared" si="160"/>
        <v>Support</v>
      </c>
      <c r="BI371" s="32">
        <f t="shared" si="161"/>
        <v>3</v>
      </c>
    </row>
    <row r="372" spans="1:61" x14ac:dyDescent="0.45">
      <c r="A372" s="30">
        <f>step3_validation[[#This Row],[Persona_ID]]</f>
        <v>371</v>
      </c>
      <c r="B372" s="31">
        <f>step3_validation[[#This Row],[Used_Seed]]</f>
        <v>2361</v>
      </c>
      <c r="C372" t="str">
        <f>step3_validation[[#This Row],[Gender]]</f>
        <v>Nam</v>
      </c>
      <c r="D372" t="str">
        <f>survey_responses[[#This Row],[Giới tính của bạn:]]</f>
        <v>Nam</v>
      </c>
      <c r="E372" t="str">
        <f>step3_validation[[#This Row],[Age_Group]]</f>
        <v>40 - 49</v>
      </c>
      <c r="F372" t="str">
        <f>survey_responses[[#This Row],[Độ tuổi của bạn:]]</f>
        <v>40 - 49</v>
      </c>
      <c r="G372" t="str">
        <f>step3_validation[[#This Row],[Region]]</f>
        <v>Thành thị</v>
      </c>
      <c r="H372" t="str">
        <f>survey_responses[[#This Row],[Khu vực bạn đang sinh sống:]]</f>
        <v>Thành thị</v>
      </c>
      <c r="I372" t="str">
        <f>step3_validation[[#This Row],[Education]]</f>
        <v>Sau Đại học</v>
      </c>
      <c r="J372" t="str">
        <f>survey_responses[[#This Row],[Trình độ học vấn cao nhất:]]</f>
        <v>Sau Đại học</v>
      </c>
      <c r="K372" t="str">
        <f>step3_validation[[#This Row],[Employment]]</f>
        <v>Chính thức</v>
      </c>
      <c r="L372" t="str">
        <f>survey_responses[[#This Row],[Tình trạng việc làm chính:]]</f>
        <v>Khu vực chính thức (Có Hợp đồng lao động, đóng BHXH)</v>
      </c>
      <c r="M372">
        <f>step3_validation[[#This Row],[Income_Mil]]</f>
        <v>64.658827631072882</v>
      </c>
      <c r="N372" t="str">
        <f>survey_responses[[#This Row],[Thu nhập bình quân tháng theo Hợp đồng lao động của bạn là bao nhiêu? (Vui lòng điền tổng thu nhập trước khi khấu trừ các loại Bảo hiểm (BHXH, BHYT, BHTN) và Thuế TNCN)]]</f>
        <v>Từ 48 - 70 triệu VNĐ</v>
      </c>
      <c r="O372">
        <f>step3_validation[[#This Row],[Dependents]]</f>
        <v>3</v>
      </c>
      <c r="P372" t="str">
        <f>survey_responses[[#This Row],[Số người phụ thuộc (con nhỏ, cha mẹ già...) đủ điều kiện giảm trừ gia cảnh:]]</f>
        <v>3 người</v>
      </c>
      <c r="Q372">
        <f>step3_validation[[#This Row],[AI_ENF1]]</f>
        <v>6</v>
      </c>
      <c r="R372" t="str">
        <f t="shared" si="135"/>
        <v>Neutral</v>
      </c>
      <c r="S372">
        <f>survey_responses[[#This Row],[Tôi tin rằng với các quy định quản lý thuế hiện nay, hành vi gian lận hoặc trốn thuế sẽ dễ dàng bị phát hiện và xử lý nghiêm. - HUMAN-ENF1]]</f>
        <v>4</v>
      </c>
      <c r="T372" t="str">
        <f t="shared" si="136"/>
        <v>Oppose</v>
      </c>
      <c r="U372" s="32">
        <f t="shared" si="137"/>
        <v>2</v>
      </c>
      <c r="V372">
        <f>step3_validation[[#This Row],[AI_ENF2]]</f>
        <v>7</v>
      </c>
      <c r="W372" t="str">
        <f t="shared" si="138"/>
        <v>Neutral</v>
      </c>
      <c r="X372">
        <f>survey_responses[[#This Row],[Tôi tin rằng Nhà nước, cơ quan thuế có đủ khả năng và công nghệ để phát hiện, xử lý nghiêm các hành vi trốn thuế. - HUMAN-ENF2]]</f>
        <v>4</v>
      </c>
      <c r="Y372" t="str">
        <f t="shared" si="139"/>
        <v>Oppose</v>
      </c>
      <c r="Z372" s="32">
        <f t="shared" si="140"/>
        <v>3</v>
      </c>
      <c r="AA372">
        <f>step3_validation[[#This Row],[AI_FAC1]]</f>
        <v>8</v>
      </c>
      <c r="AB372" t="str">
        <f t="shared" si="141"/>
        <v>Support</v>
      </c>
      <c r="AC372">
        <f>survey_responses[[#This Row],[Các thủ tục khai báo thuế VÀ/HOẶC quy trình làm việc với cơ quan thuế đơn giản, tiện lợi, nhanh chóng hơn so với trước đây. - HUMAN-FAC1]]</f>
        <v>5</v>
      </c>
      <c r="AD372" t="str">
        <f t="shared" si="142"/>
        <v>Neutral</v>
      </c>
      <c r="AE372" s="32">
        <f t="shared" si="143"/>
        <v>3</v>
      </c>
      <c r="AF372">
        <f>step3_validation[[#This Row],[AI_FAC2]]</f>
        <v>9</v>
      </c>
      <c r="AG372" t="str">
        <f t="shared" si="144"/>
        <v>Support</v>
      </c>
      <c r="AH372">
        <f>survey_responses[[#This Row],[So với trước đây, tôi thấy cách tính thuế và các bậc thuế trong phương án mới đơn giản, dễ hiểu và dễ thực hiện hơn. - HUMAN-FAC2]]</f>
        <v>5</v>
      </c>
      <c r="AI372" t="str">
        <f t="shared" si="145"/>
        <v>Neutral</v>
      </c>
      <c r="AJ372" s="32">
        <f t="shared" si="146"/>
        <v>4</v>
      </c>
      <c r="AK372">
        <f>step3_validation[[#This Row],[AI_TRU1]]</f>
        <v>5</v>
      </c>
      <c r="AL372" t="str">
        <f t="shared" si="147"/>
        <v>Neutral</v>
      </c>
      <c r="AM372">
        <f>survey_responses[[#This Row],[Tôi tin rằng Nhà nước, cơ quan thuế sẽ thực thi chính sách mới một cách khách quan, công tâm và đối xử bình đẳng với mọi người nộp thuế.  - HUMAN-TRU1]]</f>
        <v>5</v>
      </c>
      <c r="AN372" t="str">
        <f t="shared" si="148"/>
        <v>Neutral</v>
      </c>
      <c r="AO372" s="32">
        <f t="shared" si="149"/>
        <v>0</v>
      </c>
      <c r="AP372">
        <f>step3_validation[[#This Row],[AI_TRU2]]</f>
        <v>7</v>
      </c>
      <c r="AQ372" t="str">
        <f t="shared" si="150"/>
        <v>Neutral</v>
      </c>
      <c r="AR372">
        <f>survey_responses[[#This Row],[Tôi thấy mức thuế tôi phải đóng theo phương án mới là công bằng (người thu nhập như tôi đóng mức này là hợp lý). - HUMAN-TRU2]]</f>
        <v>4</v>
      </c>
      <c r="AS372" t="str">
        <f t="shared" si="151"/>
        <v>Oppose</v>
      </c>
      <c r="AT372" s="32">
        <f t="shared" si="152"/>
        <v>3</v>
      </c>
      <c r="AU372">
        <f>step3_validation[[#This Row],[AI_TRU3]]</f>
        <v>4</v>
      </c>
      <c r="AV372" t="str">
        <f t="shared" si="153"/>
        <v>Oppose</v>
      </c>
      <c r="AW372">
        <f>survey_responses[[#This Row],[Tôi tin tưởng số tiền thuế tôi đóng sẽ được Nhà nước sử dụng hiệu quả để cải thiện dịch vụ công (y tế, đường xá...). - HUMAN-TRU3]]</f>
        <v>5</v>
      </c>
      <c r="AX372" t="str">
        <f t="shared" si="154"/>
        <v>Neutral</v>
      </c>
      <c r="AY372" s="32">
        <f t="shared" si="155"/>
        <v>1</v>
      </c>
      <c r="AZ372">
        <f>step3_validation[[#This Row],[AI_TRU4]]</f>
        <v>6</v>
      </c>
      <c r="BA372" t="str">
        <f t="shared" si="156"/>
        <v>Neutral</v>
      </c>
      <c r="BB372">
        <f>survey_responses[[#This Row],[Tôi thấy Nhà nước đã giải thích rõ ràng, minh bạch về lý do và mục tiêu của việc sửa đổi thuế lần này. - HUMAN-TRU4]]</f>
        <v>6</v>
      </c>
      <c r="BC372" t="str">
        <f t="shared" si="157"/>
        <v>Neutral</v>
      </c>
      <c r="BD372" s="32">
        <f t="shared" si="158"/>
        <v>0</v>
      </c>
      <c r="BE372">
        <f>step3_validation[[#This Row],[AI_OUT1]]</f>
        <v>7</v>
      </c>
      <c r="BF372" t="str">
        <f t="shared" si="159"/>
        <v>Neutral</v>
      </c>
      <c r="BG372">
        <f>survey_responses[[#This Row],[Sau khi xem xét các quyền lợi và nghĩa vụ, bạn có ủng hộ và tuân thủ chính sách mới hiện nay? - HUMAN-OUT1]]</f>
        <v>5</v>
      </c>
      <c r="BH372" t="str">
        <f t="shared" si="160"/>
        <v>Neutral</v>
      </c>
      <c r="BI372" s="32">
        <f t="shared" si="161"/>
        <v>2</v>
      </c>
    </row>
    <row r="373" spans="1:61" x14ac:dyDescent="0.45">
      <c r="A373" s="30">
        <f>step3_validation[[#This Row],[Persona_ID]]</f>
        <v>372</v>
      </c>
      <c r="B373" s="31">
        <f>step3_validation[[#This Row],[Used_Seed]]</f>
        <v>2362</v>
      </c>
      <c r="C373" t="str">
        <f>step3_validation[[#This Row],[Gender]]</f>
        <v>Nữ</v>
      </c>
      <c r="D373" t="str">
        <f>survey_responses[[#This Row],[Giới tính của bạn:]]</f>
        <v>Nữ</v>
      </c>
      <c r="E373" t="str">
        <f>step3_validation[[#This Row],[Age_Group]]</f>
        <v>30 - 39</v>
      </c>
      <c r="F373" t="str">
        <f>survey_responses[[#This Row],[Độ tuổi của bạn:]]</f>
        <v>30 - 39</v>
      </c>
      <c r="G373" t="str">
        <f>step3_validation[[#This Row],[Region]]</f>
        <v>Thành thị</v>
      </c>
      <c r="H373" t="str">
        <f>survey_responses[[#This Row],[Khu vực bạn đang sinh sống:]]</f>
        <v>Thành thị</v>
      </c>
      <c r="I373" t="str">
        <f>step3_validation[[#This Row],[Education]]</f>
        <v>Đại học</v>
      </c>
      <c r="J373" t="str">
        <f>survey_responses[[#This Row],[Trình độ học vấn cao nhất:]]</f>
        <v>Đại học</v>
      </c>
      <c r="K373" t="str">
        <f>step3_validation[[#This Row],[Employment]]</f>
        <v>Chính thức</v>
      </c>
      <c r="L373" t="str">
        <f>survey_responses[[#This Row],[Tình trạng việc làm chính:]]</f>
        <v>Khu vực chính thức (Có Hợp đồng lao động, đóng BHXH)</v>
      </c>
      <c r="M373">
        <f>step3_validation[[#This Row],[Income_Mil]]</f>
        <v>38.305383857010327</v>
      </c>
      <c r="N373" t="str">
        <f>survey_responses[[#This Row],[Thu nhập bình quân tháng theo Hợp đồng lao động của bạn là bao nhiêu? (Vui lòng điền tổng thu nhập trước khi khấu trừ các loại Bảo hiểm (BHXH, BHYT, BHTN) và Thuế TNCN)]]</f>
        <v>Từ 32 - 48 triệu VNĐ</v>
      </c>
      <c r="O373">
        <f>step3_validation[[#This Row],[Dependents]]</f>
        <v>2</v>
      </c>
      <c r="P373" t="str">
        <f>survey_responses[[#This Row],[Số người phụ thuộc (con nhỏ, cha mẹ già...) đủ điều kiện giảm trừ gia cảnh:]]</f>
        <v>2 người</v>
      </c>
      <c r="Q373">
        <f>step3_validation[[#This Row],[AI_ENF1]]</f>
        <v>8</v>
      </c>
      <c r="R373" t="str">
        <f t="shared" si="135"/>
        <v>Support</v>
      </c>
      <c r="S373">
        <f>survey_responses[[#This Row],[Tôi tin rằng với các quy định quản lý thuế hiện nay, hành vi gian lận hoặc trốn thuế sẽ dễ dàng bị phát hiện và xử lý nghiêm. - HUMAN-ENF1]]</f>
        <v>6</v>
      </c>
      <c r="T373" t="str">
        <f t="shared" si="136"/>
        <v>Neutral</v>
      </c>
      <c r="U373" s="32">
        <f t="shared" si="137"/>
        <v>2</v>
      </c>
      <c r="V373">
        <f>step3_validation[[#This Row],[AI_ENF2]]</f>
        <v>7</v>
      </c>
      <c r="W373" t="str">
        <f t="shared" si="138"/>
        <v>Neutral</v>
      </c>
      <c r="X373">
        <f>survey_responses[[#This Row],[Tôi tin rằng Nhà nước, cơ quan thuế có đủ khả năng và công nghệ để phát hiện, xử lý nghiêm các hành vi trốn thuế. - HUMAN-ENF2]]</f>
        <v>6</v>
      </c>
      <c r="Y373" t="str">
        <f t="shared" si="139"/>
        <v>Neutral</v>
      </c>
      <c r="Z373" s="32">
        <f t="shared" si="140"/>
        <v>1</v>
      </c>
      <c r="AA373">
        <f>step3_validation[[#This Row],[AI_FAC1]]</f>
        <v>9</v>
      </c>
      <c r="AB373" t="str">
        <f t="shared" si="141"/>
        <v>Support</v>
      </c>
      <c r="AC373">
        <f>survey_responses[[#This Row],[Các thủ tục khai báo thuế VÀ/HOẶC quy trình làm việc với cơ quan thuế đơn giản, tiện lợi, nhanh chóng hơn so với trước đây. - HUMAN-FAC1]]</f>
        <v>8</v>
      </c>
      <c r="AD373" t="str">
        <f t="shared" si="142"/>
        <v>Support</v>
      </c>
      <c r="AE373" s="32">
        <f t="shared" si="143"/>
        <v>1</v>
      </c>
      <c r="AF373">
        <f>step3_validation[[#This Row],[AI_FAC2]]</f>
        <v>8</v>
      </c>
      <c r="AG373" t="str">
        <f t="shared" si="144"/>
        <v>Support</v>
      </c>
      <c r="AH373">
        <f>survey_responses[[#This Row],[So với trước đây, tôi thấy cách tính thuế và các bậc thuế trong phương án mới đơn giản, dễ hiểu và dễ thực hiện hơn. - HUMAN-FAC2]]</f>
        <v>8</v>
      </c>
      <c r="AI373" t="str">
        <f t="shared" si="145"/>
        <v>Support</v>
      </c>
      <c r="AJ373" s="32">
        <f t="shared" si="146"/>
        <v>0</v>
      </c>
      <c r="AK373">
        <f>step3_validation[[#This Row],[AI_TRU1]]</f>
        <v>7</v>
      </c>
      <c r="AL373" t="str">
        <f t="shared" si="147"/>
        <v>Neutral</v>
      </c>
      <c r="AM373">
        <f>survey_responses[[#This Row],[Tôi tin rằng Nhà nước, cơ quan thuế sẽ thực thi chính sách mới một cách khách quan, công tâm và đối xử bình đẳng với mọi người nộp thuế.  - HUMAN-TRU1]]</f>
        <v>6</v>
      </c>
      <c r="AN373" t="str">
        <f t="shared" si="148"/>
        <v>Neutral</v>
      </c>
      <c r="AO373" s="32">
        <f t="shared" si="149"/>
        <v>1</v>
      </c>
      <c r="AP373">
        <f>step3_validation[[#This Row],[AI_TRU2]]</f>
        <v>6</v>
      </c>
      <c r="AQ373" t="str">
        <f t="shared" si="150"/>
        <v>Neutral</v>
      </c>
      <c r="AR373">
        <f>survey_responses[[#This Row],[Tôi thấy mức thuế tôi phải đóng theo phương án mới là công bằng (người thu nhập như tôi đóng mức này là hợp lý). - HUMAN-TRU2]]</f>
        <v>7</v>
      </c>
      <c r="AS373" t="str">
        <f t="shared" si="151"/>
        <v>Neutral</v>
      </c>
      <c r="AT373" s="32">
        <f t="shared" si="152"/>
        <v>1</v>
      </c>
      <c r="AU373">
        <f>step3_validation[[#This Row],[AI_TRU3]]</f>
        <v>5</v>
      </c>
      <c r="AV373" t="str">
        <f t="shared" si="153"/>
        <v>Neutral</v>
      </c>
      <c r="AW373">
        <f>survey_responses[[#This Row],[Tôi tin tưởng số tiền thuế tôi đóng sẽ được Nhà nước sử dụng hiệu quả để cải thiện dịch vụ công (y tế, đường xá...). - HUMAN-TRU3]]</f>
        <v>5</v>
      </c>
      <c r="AX373" t="str">
        <f t="shared" si="154"/>
        <v>Neutral</v>
      </c>
      <c r="AY373" s="32">
        <f t="shared" si="155"/>
        <v>0</v>
      </c>
      <c r="AZ373">
        <f>step3_validation[[#This Row],[AI_TRU4]]</f>
        <v>4</v>
      </c>
      <c r="BA373" t="str">
        <f t="shared" si="156"/>
        <v>Oppose</v>
      </c>
      <c r="BB373">
        <f>survey_responses[[#This Row],[Tôi thấy Nhà nước đã giải thích rõ ràng, minh bạch về lý do và mục tiêu của việc sửa đổi thuế lần này. - HUMAN-TRU4]]</f>
        <v>6</v>
      </c>
      <c r="BC373" t="str">
        <f t="shared" si="157"/>
        <v>Neutral</v>
      </c>
      <c r="BD373" s="32">
        <f t="shared" si="158"/>
        <v>2</v>
      </c>
      <c r="BE373">
        <f>step3_validation[[#This Row],[AI_OUT1]]</f>
        <v>6</v>
      </c>
      <c r="BF373" t="str">
        <f t="shared" si="159"/>
        <v>Neutral</v>
      </c>
      <c r="BG373">
        <f>survey_responses[[#This Row],[Sau khi xem xét các quyền lợi và nghĩa vụ, bạn có ủng hộ và tuân thủ chính sách mới hiện nay? - HUMAN-OUT1]]</f>
        <v>6</v>
      </c>
      <c r="BH373" t="str">
        <f t="shared" si="160"/>
        <v>Neutral</v>
      </c>
      <c r="BI373" s="32">
        <f t="shared" si="161"/>
        <v>0</v>
      </c>
    </row>
    <row r="374" spans="1:61" x14ac:dyDescent="0.45">
      <c r="A374" s="30">
        <f>step3_validation[[#This Row],[Persona_ID]]</f>
        <v>373</v>
      </c>
      <c r="B374" s="31">
        <f>step3_validation[[#This Row],[Used_Seed]]</f>
        <v>2363</v>
      </c>
      <c r="C374" t="str">
        <f>step3_validation[[#This Row],[Gender]]</f>
        <v>Nữ</v>
      </c>
      <c r="D374" t="str">
        <f>survey_responses[[#This Row],[Giới tính của bạn:]]</f>
        <v>Nữ</v>
      </c>
      <c r="E374" t="str">
        <f>step3_validation[[#This Row],[Age_Group]]</f>
        <v>30 - 39</v>
      </c>
      <c r="F374" t="str">
        <f>survey_responses[[#This Row],[Độ tuổi của bạn:]]</f>
        <v>30 - 39</v>
      </c>
      <c r="G374" t="str">
        <f>step3_validation[[#This Row],[Region]]</f>
        <v>Thành thị</v>
      </c>
      <c r="H374" t="str">
        <f>survey_responses[[#This Row],[Khu vực bạn đang sinh sống:]]</f>
        <v>Thành thị</v>
      </c>
      <c r="I374" t="str">
        <f>step3_validation[[#This Row],[Education]]</f>
        <v>Đại học</v>
      </c>
      <c r="J374" t="str">
        <f>survey_responses[[#This Row],[Trình độ học vấn cao nhất:]]</f>
        <v>Đại học</v>
      </c>
      <c r="K374" t="str">
        <f>step3_validation[[#This Row],[Employment]]</f>
        <v>Chính thức</v>
      </c>
      <c r="L374" t="str">
        <f>survey_responses[[#This Row],[Tình trạng việc làm chính:]]</f>
        <v>Khu vực chính thức (Có Hợp đồng lao động, đóng BHXH)</v>
      </c>
      <c r="M374">
        <f>step3_validation[[#This Row],[Income_Mil]]</f>
        <v>75.716250671386007</v>
      </c>
      <c r="N374" t="str">
        <f>survey_responses[[#This Row],[Thu nhập bình quân tháng theo Hợp đồng lao động của bạn là bao nhiêu? (Vui lòng điền tổng thu nhập trước khi khấu trừ các loại Bảo hiểm (BHXH, BHYT, BHTN) và Thuế TNCN)]]</f>
        <v>Từ 70 - 102 triệu VNĐ</v>
      </c>
      <c r="O374">
        <f>step3_validation[[#This Row],[Dependents]]</f>
        <v>2</v>
      </c>
      <c r="P374" t="str">
        <f>survey_responses[[#This Row],[Số người phụ thuộc (con nhỏ, cha mẹ già...) đủ điều kiện giảm trừ gia cảnh:]]</f>
        <v>2 người</v>
      </c>
      <c r="Q374">
        <f>step3_validation[[#This Row],[AI_ENF1]]</f>
        <v>7</v>
      </c>
      <c r="R374" t="str">
        <f t="shared" si="135"/>
        <v>Neutral</v>
      </c>
      <c r="S374">
        <f>survey_responses[[#This Row],[Tôi tin rằng với các quy định quản lý thuế hiện nay, hành vi gian lận hoặc trốn thuế sẽ dễ dàng bị phát hiện và xử lý nghiêm. - HUMAN-ENF1]]</f>
        <v>8</v>
      </c>
      <c r="T374" t="str">
        <f t="shared" si="136"/>
        <v>Support</v>
      </c>
      <c r="U374" s="32">
        <f t="shared" si="137"/>
        <v>1</v>
      </c>
      <c r="V374">
        <f>step3_validation[[#This Row],[AI_ENF2]]</f>
        <v>6</v>
      </c>
      <c r="W374" t="str">
        <f t="shared" si="138"/>
        <v>Neutral</v>
      </c>
      <c r="X374">
        <f>survey_responses[[#This Row],[Tôi tin rằng Nhà nước, cơ quan thuế có đủ khả năng và công nghệ để phát hiện, xử lý nghiêm các hành vi trốn thuế. - HUMAN-ENF2]]</f>
        <v>8</v>
      </c>
      <c r="Y374" t="str">
        <f t="shared" si="139"/>
        <v>Support</v>
      </c>
      <c r="Z374" s="32">
        <f t="shared" si="140"/>
        <v>2</v>
      </c>
      <c r="AA374">
        <f>step3_validation[[#This Row],[AI_FAC1]]</f>
        <v>8</v>
      </c>
      <c r="AB374" t="str">
        <f t="shared" si="141"/>
        <v>Support</v>
      </c>
      <c r="AC374">
        <f>survey_responses[[#This Row],[Các thủ tục khai báo thuế VÀ/HOẶC quy trình làm việc với cơ quan thuế đơn giản, tiện lợi, nhanh chóng hơn so với trước đây. - HUMAN-FAC1]]</f>
        <v>9</v>
      </c>
      <c r="AD374" t="str">
        <f t="shared" si="142"/>
        <v>Support</v>
      </c>
      <c r="AE374" s="32">
        <f t="shared" si="143"/>
        <v>1</v>
      </c>
      <c r="AF374">
        <f>step3_validation[[#This Row],[AI_FAC2]]</f>
        <v>9</v>
      </c>
      <c r="AG374" t="str">
        <f t="shared" si="144"/>
        <v>Support</v>
      </c>
      <c r="AH374">
        <f>survey_responses[[#This Row],[So với trước đây, tôi thấy cách tính thuế và các bậc thuế trong phương án mới đơn giản, dễ hiểu và dễ thực hiện hơn. - HUMAN-FAC2]]</f>
        <v>9</v>
      </c>
      <c r="AI374" t="str">
        <f t="shared" si="145"/>
        <v>Support</v>
      </c>
      <c r="AJ374" s="32">
        <f t="shared" si="146"/>
        <v>0</v>
      </c>
      <c r="AK374">
        <f>step3_validation[[#This Row],[AI_TRU1]]</f>
        <v>8</v>
      </c>
      <c r="AL374" t="str">
        <f t="shared" si="147"/>
        <v>Support</v>
      </c>
      <c r="AM374">
        <f>survey_responses[[#This Row],[Tôi tin rằng Nhà nước, cơ quan thuế sẽ thực thi chính sách mới một cách khách quan, công tâm và đối xử bình đẳng với mọi người nộp thuế.  - HUMAN-TRU1]]</f>
        <v>5</v>
      </c>
      <c r="AN374" t="str">
        <f t="shared" si="148"/>
        <v>Neutral</v>
      </c>
      <c r="AO374" s="32">
        <f t="shared" si="149"/>
        <v>3</v>
      </c>
      <c r="AP374">
        <f>step3_validation[[#This Row],[AI_TRU2]]</f>
        <v>7</v>
      </c>
      <c r="AQ374" t="str">
        <f t="shared" si="150"/>
        <v>Neutral</v>
      </c>
      <c r="AR374">
        <f>survey_responses[[#This Row],[Tôi thấy mức thuế tôi phải đóng theo phương án mới là công bằng (người thu nhập như tôi đóng mức này là hợp lý). - HUMAN-TRU2]]</f>
        <v>5</v>
      </c>
      <c r="AS374" t="str">
        <f t="shared" si="151"/>
        <v>Neutral</v>
      </c>
      <c r="AT374" s="32">
        <f t="shared" si="152"/>
        <v>2</v>
      </c>
      <c r="AU374">
        <f>step3_validation[[#This Row],[AI_TRU3]]</f>
        <v>6</v>
      </c>
      <c r="AV374" t="str">
        <f t="shared" si="153"/>
        <v>Neutral</v>
      </c>
      <c r="AW374">
        <f>survey_responses[[#This Row],[Tôi tin tưởng số tiền thuế tôi đóng sẽ được Nhà nước sử dụng hiệu quả để cải thiện dịch vụ công (y tế, đường xá...). - HUMAN-TRU3]]</f>
        <v>5</v>
      </c>
      <c r="AX374" t="str">
        <f t="shared" si="154"/>
        <v>Neutral</v>
      </c>
      <c r="AY374" s="32">
        <f t="shared" si="155"/>
        <v>1</v>
      </c>
      <c r="AZ374">
        <f>step3_validation[[#This Row],[AI_TRU4]]</f>
        <v>5</v>
      </c>
      <c r="BA374" t="str">
        <f t="shared" si="156"/>
        <v>Neutral</v>
      </c>
      <c r="BB374">
        <f>survey_responses[[#This Row],[Tôi thấy Nhà nước đã giải thích rõ ràng, minh bạch về lý do và mục tiêu của việc sửa đổi thuế lần này. - HUMAN-TRU4]]</f>
        <v>6</v>
      </c>
      <c r="BC374" t="str">
        <f t="shared" si="157"/>
        <v>Neutral</v>
      </c>
      <c r="BD374" s="32">
        <f t="shared" si="158"/>
        <v>1</v>
      </c>
      <c r="BE374">
        <f>step3_validation[[#This Row],[AI_OUT1]]</f>
        <v>7</v>
      </c>
      <c r="BF374" t="str">
        <f t="shared" si="159"/>
        <v>Neutral</v>
      </c>
      <c r="BG374">
        <f>survey_responses[[#This Row],[Sau khi xem xét các quyền lợi và nghĩa vụ, bạn có ủng hộ và tuân thủ chính sách mới hiện nay? - HUMAN-OUT1]]</f>
        <v>5</v>
      </c>
      <c r="BH374" t="str">
        <f t="shared" si="160"/>
        <v>Neutral</v>
      </c>
      <c r="BI374" s="32">
        <f t="shared" si="161"/>
        <v>2</v>
      </c>
    </row>
    <row r="375" spans="1:61" x14ac:dyDescent="0.45">
      <c r="A375" s="30">
        <f>step3_validation[[#This Row],[Persona_ID]]</f>
        <v>374</v>
      </c>
      <c r="B375" s="31">
        <f>step3_validation[[#This Row],[Used_Seed]]</f>
        <v>2364</v>
      </c>
      <c r="C375" t="str">
        <f>step3_validation[[#This Row],[Gender]]</f>
        <v>Nữ</v>
      </c>
      <c r="D375" t="str">
        <f>survey_responses[[#This Row],[Giới tính của bạn:]]</f>
        <v>Nữ</v>
      </c>
      <c r="E375" t="str">
        <f>step3_validation[[#This Row],[Age_Group]]</f>
        <v>30 - 39</v>
      </c>
      <c r="F375" t="str">
        <f>survey_responses[[#This Row],[Độ tuổi của bạn:]]</f>
        <v>30 - 39</v>
      </c>
      <c r="G375" t="str">
        <f>step3_validation[[#This Row],[Region]]</f>
        <v>Thành thị</v>
      </c>
      <c r="H375" t="str">
        <f>survey_responses[[#This Row],[Khu vực bạn đang sinh sống:]]</f>
        <v>Thành thị</v>
      </c>
      <c r="I375" t="str">
        <f>step3_validation[[#This Row],[Education]]</f>
        <v>Đại học</v>
      </c>
      <c r="J375" t="str">
        <f>survey_responses[[#This Row],[Trình độ học vấn cao nhất:]]</f>
        <v>Đại học</v>
      </c>
      <c r="K375" t="str">
        <f>step3_validation[[#This Row],[Employment]]</f>
        <v>Chính thức</v>
      </c>
      <c r="L375" t="str">
        <f>survey_responses[[#This Row],[Tình trạng việc làm chính:]]</f>
        <v>Khu vực chính thức (Có Hợp đồng lao động, đóng BHXH)</v>
      </c>
      <c r="M375">
        <f>step3_validation[[#This Row],[Income_Mil]]</f>
        <v>46.286492782535312</v>
      </c>
      <c r="N375" t="str">
        <f>survey_responses[[#This Row],[Thu nhập bình quân tháng theo Hợp đồng lao động của bạn là bao nhiêu? (Vui lòng điền tổng thu nhập trước khi khấu trừ các loại Bảo hiểm (BHXH, BHYT, BHTN) và Thuế TNCN)]]</f>
        <v>Từ 32 - 48 triệu VNĐ</v>
      </c>
      <c r="O375">
        <f>step3_validation[[#This Row],[Dependents]]</f>
        <v>1</v>
      </c>
      <c r="P375" t="str">
        <f>survey_responses[[#This Row],[Số người phụ thuộc (con nhỏ, cha mẹ già...) đủ điều kiện giảm trừ gia cảnh:]]</f>
        <v>1 người</v>
      </c>
      <c r="Q375">
        <f>step3_validation[[#This Row],[AI_ENF1]]</f>
        <v>5</v>
      </c>
      <c r="R375" t="str">
        <f t="shared" si="135"/>
        <v>Neutral</v>
      </c>
      <c r="S375">
        <f>survey_responses[[#This Row],[Tôi tin rằng với các quy định quản lý thuế hiện nay, hành vi gian lận hoặc trốn thuế sẽ dễ dàng bị phát hiện và xử lý nghiêm. - HUMAN-ENF1]]</f>
        <v>6</v>
      </c>
      <c r="T375" t="str">
        <f t="shared" si="136"/>
        <v>Neutral</v>
      </c>
      <c r="U375" s="32">
        <f t="shared" si="137"/>
        <v>1</v>
      </c>
      <c r="V375">
        <f>step3_validation[[#This Row],[AI_ENF2]]</f>
        <v>6</v>
      </c>
      <c r="W375" t="str">
        <f t="shared" si="138"/>
        <v>Neutral</v>
      </c>
      <c r="X375">
        <f>survey_responses[[#This Row],[Tôi tin rằng Nhà nước, cơ quan thuế có đủ khả năng và công nghệ để phát hiện, xử lý nghiêm các hành vi trốn thuế. - HUMAN-ENF2]]</f>
        <v>6</v>
      </c>
      <c r="Y375" t="str">
        <f t="shared" si="139"/>
        <v>Neutral</v>
      </c>
      <c r="Z375" s="32">
        <f t="shared" si="140"/>
        <v>0</v>
      </c>
      <c r="AA375">
        <f>step3_validation[[#This Row],[AI_FAC1]]</f>
        <v>8</v>
      </c>
      <c r="AB375" t="str">
        <f t="shared" si="141"/>
        <v>Support</v>
      </c>
      <c r="AC375">
        <f>survey_responses[[#This Row],[Các thủ tục khai báo thuế VÀ/HOẶC quy trình làm việc với cơ quan thuế đơn giản, tiện lợi, nhanh chóng hơn so với trước đây. - HUMAN-FAC1]]</f>
        <v>7</v>
      </c>
      <c r="AD375" t="str">
        <f t="shared" si="142"/>
        <v>Neutral</v>
      </c>
      <c r="AE375" s="32">
        <f t="shared" si="143"/>
        <v>1</v>
      </c>
      <c r="AF375">
        <f>step3_validation[[#This Row],[AI_FAC2]]</f>
        <v>7</v>
      </c>
      <c r="AG375" t="str">
        <f t="shared" si="144"/>
        <v>Neutral</v>
      </c>
      <c r="AH375">
        <f>survey_responses[[#This Row],[So với trước đây, tôi thấy cách tính thuế và các bậc thuế trong phương án mới đơn giản, dễ hiểu và dễ thực hiện hơn. - HUMAN-FAC2]]</f>
        <v>7</v>
      </c>
      <c r="AI375" t="str">
        <f t="shared" si="145"/>
        <v>Neutral</v>
      </c>
      <c r="AJ375" s="32">
        <f t="shared" si="146"/>
        <v>0</v>
      </c>
      <c r="AK375">
        <f>step3_validation[[#This Row],[AI_TRU1]]</f>
        <v>8</v>
      </c>
      <c r="AL375" t="str">
        <f t="shared" si="147"/>
        <v>Support</v>
      </c>
      <c r="AM375">
        <f>survey_responses[[#This Row],[Tôi tin rằng Nhà nước, cơ quan thuế sẽ thực thi chính sách mới một cách khách quan, công tâm và đối xử bình đẳng với mọi người nộp thuế.  - HUMAN-TRU1]]</f>
        <v>6</v>
      </c>
      <c r="AN375" t="str">
        <f t="shared" si="148"/>
        <v>Neutral</v>
      </c>
      <c r="AO375" s="32">
        <f t="shared" si="149"/>
        <v>2</v>
      </c>
      <c r="AP375">
        <f>step3_validation[[#This Row],[AI_TRU2]]</f>
        <v>6</v>
      </c>
      <c r="AQ375" t="str">
        <f t="shared" si="150"/>
        <v>Neutral</v>
      </c>
      <c r="AR375">
        <f>survey_responses[[#This Row],[Tôi thấy mức thuế tôi phải đóng theo phương án mới là công bằng (người thu nhập như tôi đóng mức này là hợp lý). - HUMAN-TRU2]]</f>
        <v>6</v>
      </c>
      <c r="AS375" t="str">
        <f t="shared" si="151"/>
        <v>Neutral</v>
      </c>
      <c r="AT375" s="32">
        <f t="shared" si="152"/>
        <v>0</v>
      </c>
      <c r="AU375">
        <f>step3_validation[[#This Row],[AI_TRU3]]</f>
        <v>7</v>
      </c>
      <c r="AV375" t="str">
        <f t="shared" si="153"/>
        <v>Neutral</v>
      </c>
      <c r="AW375">
        <f>survey_responses[[#This Row],[Tôi tin tưởng số tiền thuế tôi đóng sẽ được Nhà nước sử dụng hiệu quả để cải thiện dịch vụ công (y tế, đường xá...). - HUMAN-TRU3]]</f>
        <v>6</v>
      </c>
      <c r="AX375" t="str">
        <f t="shared" si="154"/>
        <v>Neutral</v>
      </c>
      <c r="AY375" s="32">
        <f t="shared" si="155"/>
        <v>1</v>
      </c>
      <c r="AZ375">
        <f>step3_validation[[#This Row],[AI_TRU4]]</f>
        <v>5</v>
      </c>
      <c r="BA375" t="str">
        <f t="shared" si="156"/>
        <v>Neutral</v>
      </c>
      <c r="BB375">
        <f>survey_responses[[#This Row],[Tôi thấy Nhà nước đã giải thích rõ ràng, minh bạch về lý do và mục tiêu của việc sửa đổi thuế lần này. - HUMAN-TRU4]]</f>
        <v>6</v>
      </c>
      <c r="BC375" t="str">
        <f t="shared" si="157"/>
        <v>Neutral</v>
      </c>
      <c r="BD375" s="32">
        <f t="shared" si="158"/>
        <v>1</v>
      </c>
      <c r="BE375">
        <f>step3_validation[[#This Row],[AI_OUT1]]</f>
        <v>9</v>
      </c>
      <c r="BF375" t="str">
        <f t="shared" si="159"/>
        <v>Support</v>
      </c>
      <c r="BG375">
        <f>survey_responses[[#This Row],[Sau khi xem xét các quyền lợi và nghĩa vụ, bạn có ủng hộ và tuân thủ chính sách mới hiện nay? - HUMAN-OUT1]]</f>
        <v>6</v>
      </c>
      <c r="BH375" t="str">
        <f t="shared" si="160"/>
        <v>Neutral</v>
      </c>
      <c r="BI375" s="32">
        <f t="shared" si="161"/>
        <v>3</v>
      </c>
    </row>
    <row r="376" spans="1:61" x14ac:dyDescent="0.45">
      <c r="A376" s="30">
        <f>step3_validation[[#This Row],[Persona_ID]]</f>
        <v>375</v>
      </c>
      <c r="B376" s="31">
        <f>step3_validation[[#This Row],[Used_Seed]]</f>
        <v>2365</v>
      </c>
      <c r="C376" t="str">
        <f>step3_validation[[#This Row],[Gender]]</f>
        <v>Nữ</v>
      </c>
      <c r="D376" t="str">
        <f>survey_responses[[#This Row],[Giới tính của bạn:]]</f>
        <v>Nữ</v>
      </c>
      <c r="E376" t="str">
        <f>step3_validation[[#This Row],[Age_Group]]</f>
        <v>30 - 39</v>
      </c>
      <c r="F376" t="str">
        <f>survey_responses[[#This Row],[Độ tuổi của bạn:]]</f>
        <v>30 - 39</v>
      </c>
      <c r="G376" t="str">
        <f>step3_validation[[#This Row],[Region]]</f>
        <v>Thành thị</v>
      </c>
      <c r="H376" t="str">
        <f>survey_responses[[#This Row],[Khu vực bạn đang sinh sống:]]</f>
        <v>Thành thị</v>
      </c>
      <c r="I376" t="str">
        <f>step3_validation[[#This Row],[Education]]</f>
        <v>Đại học</v>
      </c>
      <c r="J376" t="str">
        <f>survey_responses[[#This Row],[Trình độ học vấn cao nhất:]]</f>
        <v>Đại học</v>
      </c>
      <c r="K376" t="str">
        <f>step3_validation[[#This Row],[Employment]]</f>
        <v>Chính thức</v>
      </c>
      <c r="L376" t="str">
        <f>survey_responses[[#This Row],[Tình trạng việc làm chính:]]</f>
        <v>Khu vực chính thức (Có Hợp đồng lao động, đóng BHXH)</v>
      </c>
      <c r="M376">
        <f>step3_validation[[#This Row],[Income_Mil]]</f>
        <v>61.904998155702714</v>
      </c>
      <c r="N376" t="str">
        <f>survey_responses[[#This Row],[Thu nhập bình quân tháng theo Hợp đồng lao động của bạn là bao nhiêu? (Vui lòng điền tổng thu nhập trước khi khấu trừ các loại Bảo hiểm (BHXH, BHYT, BHTN) và Thuế TNCN)]]</f>
        <v>Từ 48 - 70 triệu VNĐ</v>
      </c>
      <c r="O376">
        <f>step3_validation[[#This Row],[Dependents]]</f>
        <v>1</v>
      </c>
      <c r="P376" t="str">
        <f>survey_responses[[#This Row],[Số người phụ thuộc (con nhỏ, cha mẹ già...) đủ điều kiện giảm trừ gia cảnh:]]</f>
        <v>1 người</v>
      </c>
      <c r="Q376">
        <f>step3_validation[[#This Row],[AI_ENF1]]</f>
        <v>6</v>
      </c>
      <c r="R376" t="str">
        <f t="shared" si="135"/>
        <v>Neutral</v>
      </c>
      <c r="S376">
        <f>survey_responses[[#This Row],[Tôi tin rằng với các quy định quản lý thuế hiện nay, hành vi gian lận hoặc trốn thuế sẽ dễ dàng bị phát hiện và xử lý nghiêm. - HUMAN-ENF1]]</f>
        <v>8</v>
      </c>
      <c r="T376" t="str">
        <f t="shared" si="136"/>
        <v>Support</v>
      </c>
      <c r="U376" s="32">
        <f t="shared" si="137"/>
        <v>2</v>
      </c>
      <c r="V376">
        <f>step3_validation[[#This Row],[AI_ENF2]]</f>
        <v>6</v>
      </c>
      <c r="W376" t="str">
        <f t="shared" si="138"/>
        <v>Neutral</v>
      </c>
      <c r="X376">
        <f>survey_responses[[#This Row],[Tôi tin rằng Nhà nước, cơ quan thuế có đủ khả năng và công nghệ để phát hiện, xử lý nghiêm các hành vi trốn thuế. - HUMAN-ENF2]]</f>
        <v>8</v>
      </c>
      <c r="Y376" t="str">
        <f t="shared" si="139"/>
        <v>Support</v>
      </c>
      <c r="Z376" s="32">
        <f t="shared" si="140"/>
        <v>2</v>
      </c>
      <c r="AA376">
        <f>step3_validation[[#This Row],[AI_FAC1]]</f>
        <v>6</v>
      </c>
      <c r="AB376" t="str">
        <f t="shared" si="141"/>
        <v>Neutral</v>
      </c>
      <c r="AC376">
        <f>survey_responses[[#This Row],[Các thủ tục khai báo thuế VÀ/HOẶC quy trình làm việc với cơ quan thuế đơn giản, tiện lợi, nhanh chóng hơn so với trước đây. - HUMAN-FAC1]]</f>
        <v>8</v>
      </c>
      <c r="AD376" t="str">
        <f t="shared" si="142"/>
        <v>Support</v>
      </c>
      <c r="AE376" s="32">
        <f t="shared" si="143"/>
        <v>2</v>
      </c>
      <c r="AF376">
        <f>step3_validation[[#This Row],[AI_FAC2]]</f>
        <v>7</v>
      </c>
      <c r="AG376" t="str">
        <f t="shared" si="144"/>
        <v>Neutral</v>
      </c>
      <c r="AH376">
        <f>survey_responses[[#This Row],[So với trước đây, tôi thấy cách tính thuế và các bậc thuế trong phương án mới đơn giản, dễ hiểu và dễ thực hiện hơn. - HUMAN-FAC2]]</f>
        <v>8</v>
      </c>
      <c r="AI376" t="str">
        <f t="shared" si="145"/>
        <v>Support</v>
      </c>
      <c r="AJ376" s="32">
        <f t="shared" si="146"/>
        <v>1</v>
      </c>
      <c r="AK376">
        <f>step3_validation[[#This Row],[AI_TRU1]]</f>
        <v>6</v>
      </c>
      <c r="AL376" t="str">
        <f t="shared" si="147"/>
        <v>Neutral</v>
      </c>
      <c r="AM376">
        <f>survey_responses[[#This Row],[Tôi tin rằng Nhà nước, cơ quan thuế sẽ thực thi chính sách mới một cách khách quan, công tâm và đối xử bình đẳng với mọi người nộp thuế.  - HUMAN-TRU1]]</f>
        <v>7</v>
      </c>
      <c r="AN376" t="str">
        <f t="shared" si="148"/>
        <v>Neutral</v>
      </c>
      <c r="AO376" s="32">
        <f t="shared" si="149"/>
        <v>1</v>
      </c>
      <c r="AP376">
        <f>step3_validation[[#This Row],[AI_TRU2]]</f>
        <v>7</v>
      </c>
      <c r="AQ376" t="str">
        <f t="shared" si="150"/>
        <v>Neutral</v>
      </c>
      <c r="AR376">
        <f>survey_responses[[#This Row],[Tôi thấy mức thuế tôi phải đóng theo phương án mới là công bằng (người thu nhập như tôi đóng mức này là hợp lý). - HUMAN-TRU2]]</f>
        <v>6</v>
      </c>
      <c r="AS376" t="str">
        <f t="shared" si="151"/>
        <v>Neutral</v>
      </c>
      <c r="AT376" s="32">
        <f t="shared" si="152"/>
        <v>1</v>
      </c>
      <c r="AU376">
        <f>step3_validation[[#This Row],[AI_TRU3]]</f>
        <v>5</v>
      </c>
      <c r="AV376" t="str">
        <f t="shared" si="153"/>
        <v>Neutral</v>
      </c>
      <c r="AW376">
        <f>survey_responses[[#This Row],[Tôi tin tưởng số tiền thuế tôi đóng sẽ được Nhà nước sử dụng hiệu quả để cải thiện dịch vụ công (y tế, đường xá...). - HUMAN-TRU3]]</f>
        <v>6</v>
      </c>
      <c r="AX376" t="str">
        <f t="shared" si="154"/>
        <v>Neutral</v>
      </c>
      <c r="AY376" s="32">
        <f t="shared" si="155"/>
        <v>1</v>
      </c>
      <c r="AZ376">
        <f>step3_validation[[#This Row],[AI_TRU4]]</f>
        <v>6</v>
      </c>
      <c r="BA376" t="str">
        <f t="shared" si="156"/>
        <v>Neutral</v>
      </c>
      <c r="BB376">
        <f>survey_responses[[#This Row],[Tôi thấy Nhà nước đã giải thích rõ ràng, minh bạch về lý do và mục tiêu của việc sửa đổi thuế lần này. - HUMAN-TRU4]]</f>
        <v>5</v>
      </c>
      <c r="BC376" t="str">
        <f t="shared" si="157"/>
        <v>Neutral</v>
      </c>
      <c r="BD376" s="32">
        <f t="shared" si="158"/>
        <v>1</v>
      </c>
      <c r="BE376">
        <f>step3_validation[[#This Row],[AI_OUT1]]</f>
        <v>5</v>
      </c>
      <c r="BF376" t="str">
        <f t="shared" si="159"/>
        <v>Neutral</v>
      </c>
      <c r="BG376">
        <f>survey_responses[[#This Row],[Sau khi xem xét các quyền lợi và nghĩa vụ, bạn có ủng hộ và tuân thủ chính sách mới hiện nay? - HUMAN-OUT1]]</f>
        <v>7</v>
      </c>
      <c r="BH376" t="str">
        <f t="shared" si="160"/>
        <v>Neutral</v>
      </c>
      <c r="BI376" s="32">
        <f t="shared" si="161"/>
        <v>2</v>
      </c>
    </row>
    <row r="377" spans="1:61" x14ac:dyDescent="0.45">
      <c r="A377" s="30">
        <f>step3_validation[[#This Row],[Persona_ID]]</f>
        <v>376</v>
      </c>
      <c r="B377" s="31">
        <f>step3_validation[[#This Row],[Used_Seed]]</f>
        <v>2366</v>
      </c>
      <c r="C377" t="str">
        <f>step3_validation[[#This Row],[Gender]]</f>
        <v>Nữ</v>
      </c>
      <c r="D377" t="str">
        <f>survey_responses[[#This Row],[Giới tính của bạn:]]</f>
        <v>Nữ</v>
      </c>
      <c r="E377" t="str">
        <f>step3_validation[[#This Row],[Age_Group]]</f>
        <v>25 - 29</v>
      </c>
      <c r="F377" t="str">
        <f>survey_responses[[#This Row],[Độ tuổi của bạn:]]</f>
        <v>25 - 29</v>
      </c>
      <c r="G377" t="str">
        <f>step3_validation[[#This Row],[Region]]</f>
        <v>Thành thị</v>
      </c>
      <c r="H377" t="str">
        <f>survey_responses[[#This Row],[Khu vực bạn đang sinh sống:]]</f>
        <v>Thành thị</v>
      </c>
      <c r="I377" t="str">
        <f>step3_validation[[#This Row],[Education]]</f>
        <v>Đại học</v>
      </c>
      <c r="J377" t="str">
        <f>survey_responses[[#This Row],[Trình độ học vấn cao nhất:]]</f>
        <v>Đại học</v>
      </c>
      <c r="K377" t="str">
        <f>step3_validation[[#This Row],[Employment]]</f>
        <v>Chính thức</v>
      </c>
      <c r="L377" t="str">
        <f>survey_responses[[#This Row],[Tình trạng việc làm chính:]]</f>
        <v>Khu vực chính thức (Có Hợp đồng lao động, đóng BHXH)</v>
      </c>
      <c r="M377">
        <f>step3_validation[[#This Row],[Income_Mil]]</f>
        <v>18.071519810931775</v>
      </c>
      <c r="N377" t="str">
        <f>survey_responses[[#This Row],[Thu nhập bình quân tháng theo Hợp đồng lao động của bạn là bao nhiêu? (Vui lòng điền tổng thu nhập trước khi khấu trừ các loại Bảo hiểm (BHXH, BHYT, BHTN) và Thuế TNCN)]]</f>
        <v>Từ 18 - 23 triệu VNĐ</v>
      </c>
      <c r="O377">
        <f>step3_validation[[#This Row],[Dependents]]</f>
        <v>0</v>
      </c>
      <c r="P377" t="str">
        <f>survey_responses[[#This Row],[Số người phụ thuộc (con nhỏ, cha mẹ già...) đủ điều kiện giảm trừ gia cảnh:]]</f>
        <v>0 người</v>
      </c>
      <c r="Q377">
        <f>step3_validation[[#This Row],[AI_ENF1]]</f>
        <v>6</v>
      </c>
      <c r="R377" t="str">
        <f t="shared" si="135"/>
        <v>Neutral</v>
      </c>
      <c r="S377">
        <f>survey_responses[[#This Row],[Tôi tin rằng với các quy định quản lý thuế hiện nay, hành vi gian lận hoặc trốn thuế sẽ dễ dàng bị phát hiện và xử lý nghiêm. - HUMAN-ENF1]]</f>
        <v>6</v>
      </c>
      <c r="T377" t="str">
        <f t="shared" si="136"/>
        <v>Neutral</v>
      </c>
      <c r="U377" s="32">
        <f t="shared" si="137"/>
        <v>0</v>
      </c>
      <c r="V377">
        <f>step3_validation[[#This Row],[AI_ENF2]]</f>
        <v>5</v>
      </c>
      <c r="W377" t="str">
        <f t="shared" si="138"/>
        <v>Neutral</v>
      </c>
      <c r="X377">
        <f>survey_responses[[#This Row],[Tôi tin rằng Nhà nước, cơ quan thuế có đủ khả năng và công nghệ để phát hiện, xử lý nghiêm các hành vi trốn thuế. - HUMAN-ENF2]]</f>
        <v>6</v>
      </c>
      <c r="Y377" t="str">
        <f t="shared" si="139"/>
        <v>Neutral</v>
      </c>
      <c r="Z377" s="32">
        <f t="shared" si="140"/>
        <v>1</v>
      </c>
      <c r="AA377">
        <f>step3_validation[[#This Row],[AI_FAC1]]</f>
        <v>7</v>
      </c>
      <c r="AB377" t="str">
        <f t="shared" si="141"/>
        <v>Neutral</v>
      </c>
      <c r="AC377">
        <f>survey_responses[[#This Row],[Các thủ tục khai báo thuế VÀ/HOẶC quy trình làm việc với cơ quan thuế đơn giản, tiện lợi, nhanh chóng hơn so với trước đây. - HUMAN-FAC1]]</f>
        <v>5</v>
      </c>
      <c r="AD377" t="str">
        <f t="shared" si="142"/>
        <v>Neutral</v>
      </c>
      <c r="AE377" s="32">
        <f t="shared" si="143"/>
        <v>2</v>
      </c>
      <c r="AF377">
        <f>step3_validation[[#This Row],[AI_FAC2]]</f>
        <v>8</v>
      </c>
      <c r="AG377" t="str">
        <f t="shared" si="144"/>
        <v>Support</v>
      </c>
      <c r="AH377">
        <f>survey_responses[[#This Row],[So với trước đây, tôi thấy cách tính thuế và các bậc thuế trong phương án mới đơn giản, dễ hiểu và dễ thực hiện hơn. - HUMAN-FAC2]]</f>
        <v>7</v>
      </c>
      <c r="AI377" t="str">
        <f t="shared" si="145"/>
        <v>Neutral</v>
      </c>
      <c r="AJ377" s="32">
        <f t="shared" si="146"/>
        <v>1</v>
      </c>
      <c r="AK377">
        <f>step3_validation[[#This Row],[AI_TRU1]]</f>
        <v>7</v>
      </c>
      <c r="AL377" t="str">
        <f t="shared" si="147"/>
        <v>Neutral</v>
      </c>
      <c r="AM377">
        <f>survey_responses[[#This Row],[Tôi tin rằng Nhà nước, cơ quan thuế sẽ thực thi chính sách mới một cách khách quan, công tâm và đối xử bình đẳng với mọi người nộp thuế.  - HUMAN-TRU1]]</f>
        <v>6</v>
      </c>
      <c r="AN377" t="str">
        <f t="shared" si="148"/>
        <v>Neutral</v>
      </c>
      <c r="AO377" s="32">
        <f t="shared" si="149"/>
        <v>1</v>
      </c>
      <c r="AP377">
        <f>step3_validation[[#This Row],[AI_TRU2]]</f>
        <v>7</v>
      </c>
      <c r="AQ377" t="str">
        <f t="shared" si="150"/>
        <v>Neutral</v>
      </c>
      <c r="AR377">
        <f>survey_responses[[#This Row],[Tôi thấy mức thuế tôi phải đóng theo phương án mới là công bằng (người thu nhập như tôi đóng mức này là hợp lý). - HUMAN-TRU2]]</f>
        <v>7</v>
      </c>
      <c r="AS377" t="str">
        <f t="shared" si="151"/>
        <v>Neutral</v>
      </c>
      <c r="AT377" s="32">
        <f t="shared" si="152"/>
        <v>0</v>
      </c>
      <c r="AU377">
        <f>step3_validation[[#This Row],[AI_TRU3]]</f>
        <v>7</v>
      </c>
      <c r="AV377" t="str">
        <f t="shared" si="153"/>
        <v>Neutral</v>
      </c>
      <c r="AW377">
        <f>survey_responses[[#This Row],[Tôi tin tưởng số tiền thuế tôi đóng sẽ được Nhà nước sử dụng hiệu quả để cải thiện dịch vụ công (y tế, đường xá...). - HUMAN-TRU3]]</f>
        <v>5</v>
      </c>
      <c r="AX377" t="str">
        <f t="shared" si="154"/>
        <v>Neutral</v>
      </c>
      <c r="AY377" s="32">
        <f t="shared" si="155"/>
        <v>2</v>
      </c>
      <c r="AZ377">
        <f>step3_validation[[#This Row],[AI_TRU4]]</f>
        <v>7</v>
      </c>
      <c r="BA377" t="str">
        <f t="shared" si="156"/>
        <v>Neutral</v>
      </c>
      <c r="BB377">
        <f>survey_responses[[#This Row],[Tôi thấy Nhà nước đã giải thích rõ ràng, minh bạch về lý do và mục tiêu của việc sửa đổi thuế lần này. - HUMAN-TRU4]]</f>
        <v>6</v>
      </c>
      <c r="BC377" t="str">
        <f t="shared" si="157"/>
        <v>Neutral</v>
      </c>
      <c r="BD377" s="32">
        <f t="shared" si="158"/>
        <v>1</v>
      </c>
      <c r="BE377">
        <f>step3_validation[[#This Row],[AI_OUT1]]</f>
        <v>6</v>
      </c>
      <c r="BF377" t="str">
        <f t="shared" si="159"/>
        <v>Neutral</v>
      </c>
      <c r="BG377">
        <f>survey_responses[[#This Row],[Sau khi xem xét các quyền lợi và nghĩa vụ, bạn có ủng hộ và tuân thủ chính sách mới hiện nay? - HUMAN-OUT1]]</f>
        <v>7</v>
      </c>
      <c r="BH377" t="str">
        <f t="shared" si="160"/>
        <v>Neutral</v>
      </c>
      <c r="BI377" s="32">
        <f t="shared" si="161"/>
        <v>1</v>
      </c>
    </row>
    <row r="378" spans="1:61" x14ac:dyDescent="0.45">
      <c r="A378" s="30">
        <f>step3_validation[[#This Row],[Persona_ID]]</f>
        <v>377</v>
      </c>
      <c r="B378" s="31">
        <f>step3_validation[[#This Row],[Used_Seed]]</f>
        <v>2367</v>
      </c>
      <c r="C378" t="str">
        <f>step3_validation[[#This Row],[Gender]]</f>
        <v>Nam</v>
      </c>
      <c r="D378" t="str">
        <f>survey_responses[[#This Row],[Giới tính của bạn:]]</f>
        <v>Nam</v>
      </c>
      <c r="E378" t="str">
        <f>step3_validation[[#This Row],[Age_Group]]</f>
        <v>25 - 29</v>
      </c>
      <c r="F378" t="str">
        <f>survey_responses[[#This Row],[Độ tuổi của bạn:]]</f>
        <v>25 - 29</v>
      </c>
      <c r="G378" t="str">
        <f>step3_validation[[#This Row],[Region]]</f>
        <v>Thành thị</v>
      </c>
      <c r="H378" t="str">
        <f>survey_responses[[#This Row],[Khu vực bạn đang sinh sống:]]</f>
        <v>Thành thị</v>
      </c>
      <c r="I378" t="str">
        <f>step3_validation[[#This Row],[Education]]</f>
        <v>Đại học</v>
      </c>
      <c r="J378" t="str">
        <f>survey_responses[[#This Row],[Trình độ học vấn cao nhất:]]</f>
        <v>Đại học</v>
      </c>
      <c r="K378" t="str">
        <f>step3_validation[[#This Row],[Employment]]</f>
        <v>Chính thức</v>
      </c>
      <c r="L378" t="str">
        <f>survey_responses[[#This Row],[Tình trạng việc làm chính:]]</f>
        <v>Khu vực chính thức (Có Hợp đồng lao động, đóng BHXH)</v>
      </c>
      <c r="M378">
        <f>step3_validation[[#This Row],[Income_Mil]]</f>
        <v>13.102010482953537</v>
      </c>
      <c r="N378" t="str">
        <f>survey_responses[[#This Row],[Thu nhập bình quân tháng theo Hợp đồng lao động của bạn là bao nhiêu? (Vui lòng điền tổng thu nhập trước khi khấu trừ các loại Bảo hiểm (BHXH, BHYT, BHTN) và Thuế TNCN)]]</f>
        <v>Từ 12 - 18 triệu VNĐ</v>
      </c>
      <c r="O378">
        <f>step3_validation[[#This Row],[Dependents]]</f>
        <v>0</v>
      </c>
      <c r="P378" t="str">
        <f>survey_responses[[#This Row],[Số người phụ thuộc (con nhỏ, cha mẹ già...) đủ điều kiện giảm trừ gia cảnh:]]</f>
        <v>0 người</v>
      </c>
      <c r="Q378">
        <f>step3_validation[[#This Row],[AI_ENF1]]</f>
        <v>8</v>
      </c>
      <c r="R378" t="str">
        <f t="shared" si="135"/>
        <v>Support</v>
      </c>
      <c r="S378">
        <f>survey_responses[[#This Row],[Tôi tin rằng với các quy định quản lý thuế hiện nay, hành vi gian lận hoặc trốn thuế sẽ dễ dàng bị phát hiện và xử lý nghiêm. - HUMAN-ENF1]]</f>
        <v>7</v>
      </c>
      <c r="T378" t="str">
        <f t="shared" si="136"/>
        <v>Neutral</v>
      </c>
      <c r="U378" s="32">
        <f t="shared" si="137"/>
        <v>1</v>
      </c>
      <c r="V378">
        <f>step3_validation[[#This Row],[AI_ENF2]]</f>
        <v>9</v>
      </c>
      <c r="W378" t="str">
        <f t="shared" si="138"/>
        <v>Support</v>
      </c>
      <c r="X378">
        <f>survey_responses[[#This Row],[Tôi tin rằng Nhà nước, cơ quan thuế có đủ khả năng và công nghệ để phát hiện, xử lý nghiêm các hành vi trốn thuế. - HUMAN-ENF2]]</f>
        <v>8</v>
      </c>
      <c r="Y378" t="str">
        <f t="shared" si="139"/>
        <v>Support</v>
      </c>
      <c r="Z378" s="32">
        <f t="shared" si="140"/>
        <v>1</v>
      </c>
      <c r="AA378">
        <f>step3_validation[[#This Row],[AI_FAC1]]</f>
        <v>7</v>
      </c>
      <c r="AB378" t="str">
        <f t="shared" si="141"/>
        <v>Neutral</v>
      </c>
      <c r="AC378">
        <f>survey_responses[[#This Row],[Các thủ tục khai báo thuế VÀ/HOẶC quy trình làm việc với cơ quan thuế đơn giản, tiện lợi, nhanh chóng hơn so với trước đây. - HUMAN-FAC1]]</f>
        <v>7</v>
      </c>
      <c r="AD378" t="str">
        <f t="shared" si="142"/>
        <v>Neutral</v>
      </c>
      <c r="AE378" s="32">
        <f t="shared" si="143"/>
        <v>0</v>
      </c>
      <c r="AF378">
        <f>step3_validation[[#This Row],[AI_FAC2]]</f>
        <v>8</v>
      </c>
      <c r="AG378" t="str">
        <f t="shared" si="144"/>
        <v>Support</v>
      </c>
      <c r="AH378">
        <f>survey_responses[[#This Row],[So với trước đây, tôi thấy cách tính thuế và các bậc thuế trong phương án mới đơn giản, dễ hiểu và dễ thực hiện hơn. - HUMAN-FAC2]]</f>
        <v>7</v>
      </c>
      <c r="AI378" t="str">
        <f t="shared" si="145"/>
        <v>Neutral</v>
      </c>
      <c r="AJ378" s="32">
        <f t="shared" si="146"/>
        <v>1</v>
      </c>
      <c r="AK378">
        <f>step3_validation[[#This Row],[AI_TRU1]]</f>
        <v>7</v>
      </c>
      <c r="AL378" t="str">
        <f t="shared" si="147"/>
        <v>Neutral</v>
      </c>
      <c r="AM378">
        <f>survey_responses[[#This Row],[Tôi tin rằng Nhà nước, cơ quan thuế sẽ thực thi chính sách mới một cách khách quan, công tâm và đối xử bình đẳng với mọi người nộp thuế.  - HUMAN-TRU1]]</f>
        <v>8</v>
      </c>
      <c r="AN378" t="str">
        <f t="shared" si="148"/>
        <v>Support</v>
      </c>
      <c r="AO378" s="32">
        <f t="shared" si="149"/>
        <v>1</v>
      </c>
      <c r="AP378">
        <f>step3_validation[[#This Row],[AI_TRU2]]</f>
        <v>8</v>
      </c>
      <c r="AQ378" t="str">
        <f t="shared" si="150"/>
        <v>Support</v>
      </c>
      <c r="AR378">
        <f>survey_responses[[#This Row],[Tôi thấy mức thuế tôi phải đóng theo phương án mới là công bằng (người thu nhập như tôi đóng mức này là hợp lý). - HUMAN-TRU2]]</f>
        <v>9</v>
      </c>
      <c r="AS378" t="str">
        <f t="shared" si="151"/>
        <v>Support</v>
      </c>
      <c r="AT378" s="32">
        <f t="shared" si="152"/>
        <v>1</v>
      </c>
      <c r="AU378">
        <f>step3_validation[[#This Row],[AI_TRU3]]</f>
        <v>7</v>
      </c>
      <c r="AV378" t="str">
        <f t="shared" si="153"/>
        <v>Neutral</v>
      </c>
      <c r="AW378">
        <f>survey_responses[[#This Row],[Tôi tin tưởng số tiền thuế tôi đóng sẽ được Nhà nước sử dụng hiệu quả để cải thiện dịch vụ công (y tế, đường xá...). - HUMAN-TRU3]]</f>
        <v>7</v>
      </c>
      <c r="AX378" t="str">
        <f t="shared" si="154"/>
        <v>Neutral</v>
      </c>
      <c r="AY378" s="32">
        <f t="shared" si="155"/>
        <v>0</v>
      </c>
      <c r="AZ378">
        <f>step3_validation[[#This Row],[AI_TRU4]]</f>
        <v>6</v>
      </c>
      <c r="BA378" t="str">
        <f t="shared" si="156"/>
        <v>Neutral</v>
      </c>
      <c r="BB378">
        <f>survey_responses[[#This Row],[Tôi thấy Nhà nước đã giải thích rõ ràng, minh bạch về lý do và mục tiêu của việc sửa đổi thuế lần này. - HUMAN-TRU4]]</f>
        <v>7</v>
      </c>
      <c r="BC378" t="str">
        <f t="shared" si="157"/>
        <v>Neutral</v>
      </c>
      <c r="BD378" s="32">
        <f t="shared" si="158"/>
        <v>1</v>
      </c>
      <c r="BE378">
        <f>step3_validation[[#This Row],[AI_OUT1]]</f>
        <v>5</v>
      </c>
      <c r="BF378" t="str">
        <f t="shared" si="159"/>
        <v>Neutral</v>
      </c>
      <c r="BG378">
        <f>survey_responses[[#This Row],[Sau khi xem xét các quyền lợi và nghĩa vụ, bạn có ủng hộ và tuân thủ chính sách mới hiện nay? - HUMAN-OUT1]]</f>
        <v>8</v>
      </c>
      <c r="BH378" t="str">
        <f t="shared" si="160"/>
        <v>Support</v>
      </c>
      <c r="BI378" s="32">
        <f t="shared" si="161"/>
        <v>3</v>
      </c>
    </row>
    <row r="379" spans="1:61" x14ac:dyDescent="0.45">
      <c r="A379" s="30">
        <f>step3_validation[[#This Row],[Persona_ID]]</f>
        <v>378</v>
      </c>
      <c r="B379" s="31">
        <f>step3_validation[[#This Row],[Used_Seed]]</f>
        <v>2368</v>
      </c>
      <c r="C379" t="str">
        <f>step3_validation[[#This Row],[Gender]]</f>
        <v>Nữ</v>
      </c>
      <c r="D379" t="str">
        <f>survey_responses[[#This Row],[Giới tính của bạn:]]</f>
        <v>Nữ</v>
      </c>
      <c r="E379" t="str">
        <f>step3_validation[[#This Row],[Age_Group]]</f>
        <v>18 - 24</v>
      </c>
      <c r="F379" t="str">
        <f>survey_responses[[#This Row],[Độ tuổi của bạn:]]</f>
        <v>18 - 24</v>
      </c>
      <c r="G379" t="str">
        <f>step3_validation[[#This Row],[Region]]</f>
        <v>Thành thị</v>
      </c>
      <c r="H379" t="str">
        <f>survey_responses[[#This Row],[Khu vực bạn đang sinh sống:]]</f>
        <v>Thành thị</v>
      </c>
      <c r="I379" t="str">
        <f>step3_validation[[#This Row],[Education]]</f>
        <v>Đại học</v>
      </c>
      <c r="J379" t="str">
        <f>survey_responses[[#This Row],[Trình độ học vấn cao nhất:]]</f>
        <v>Đại học</v>
      </c>
      <c r="K379" t="str">
        <f>step3_validation[[#This Row],[Employment]]</f>
        <v>Chính thức</v>
      </c>
      <c r="L379" t="str">
        <f>survey_responses[[#This Row],[Tình trạng việc làm chính:]]</f>
        <v>Khu vực chính thức (Có Hợp đồng lao động, đóng BHXH)</v>
      </c>
      <c r="M379">
        <f>step3_validation[[#This Row],[Income_Mil]]</f>
        <v>21.345968841037703</v>
      </c>
      <c r="N379" t="str">
        <f>survey_responses[[#This Row],[Thu nhập bình quân tháng theo Hợp đồng lao động của bạn là bao nhiêu? (Vui lòng điền tổng thu nhập trước khi khấu trừ các loại Bảo hiểm (BHXH, BHYT, BHTN) và Thuế TNCN)]]</f>
        <v>Từ 18 - 23 triệu VNĐ</v>
      </c>
      <c r="O379">
        <f>step3_validation[[#This Row],[Dependents]]</f>
        <v>0</v>
      </c>
      <c r="P379" t="str">
        <f>survey_responses[[#This Row],[Số người phụ thuộc (con nhỏ, cha mẹ già...) đủ điều kiện giảm trừ gia cảnh:]]</f>
        <v>0 người</v>
      </c>
      <c r="Q379">
        <f>step3_validation[[#This Row],[AI_ENF1]]</f>
        <v>8</v>
      </c>
      <c r="R379" t="str">
        <f t="shared" si="135"/>
        <v>Support</v>
      </c>
      <c r="S379">
        <f>survey_responses[[#This Row],[Tôi tin rằng với các quy định quản lý thuế hiện nay, hành vi gian lận hoặc trốn thuế sẽ dễ dàng bị phát hiện và xử lý nghiêm. - HUMAN-ENF1]]</f>
        <v>6</v>
      </c>
      <c r="T379" t="str">
        <f t="shared" si="136"/>
        <v>Neutral</v>
      </c>
      <c r="U379" s="32">
        <f t="shared" si="137"/>
        <v>2</v>
      </c>
      <c r="V379">
        <f>step3_validation[[#This Row],[AI_ENF2]]</f>
        <v>7</v>
      </c>
      <c r="W379" t="str">
        <f t="shared" si="138"/>
        <v>Neutral</v>
      </c>
      <c r="X379">
        <f>survey_responses[[#This Row],[Tôi tin rằng Nhà nước, cơ quan thuế có đủ khả năng và công nghệ để phát hiện, xử lý nghiêm các hành vi trốn thuế. - HUMAN-ENF2]]</f>
        <v>7</v>
      </c>
      <c r="Y379" t="str">
        <f t="shared" si="139"/>
        <v>Neutral</v>
      </c>
      <c r="Z379" s="32">
        <f t="shared" si="140"/>
        <v>0</v>
      </c>
      <c r="AA379">
        <f>step3_validation[[#This Row],[AI_FAC1]]</f>
        <v>9</v>
      </c>
      <c r="AB379" t="str">
        <f t="shared" si="141"/>
        <v>Support</v>
      </c>
      <c r="AC379">
        <f>survey_responses[[#This Row],[Các thủ tục khai báo thuế VÀ/HOẶC quy trình làm việc với cơ quan thuế đơn giản, tiện lợi, nhanh chóng hơn so với trước đây. - HUMAN-FAC1]]</f>
        <v>5</v>
      </c>
      <c r="AD379" t="str">
        <f t="shared" si="142"/>
        <v>Neutral</v>
      </c>
      <c r="AE379" s="32">
        <f t="shared" si="143"/>
        <v>4</v>
      </c>
      <c r="AF379">
        <f>step3_validation[[#This Row],[AI_FAC2]]</f>
        <v>8</v>
      </c>
      <c r="AG379" t="str">
        <f t="shared" si="144"/>
        <v>Support</v>
      </c>
      <c r="AH379">
        <f>survey_responses[[#This Row],[So với trước đây, tôi thấy cách tính thuế và các bậc thuế trong phương án mới đơn giản, dễ hiểu và dễ thực hiện hơn. - HUMAN-FAC2]]</f>
        <v>8</v>
      </c>
      <c r="AI379" t="str">
        <f t="shared" si="145"/>
        <v>Support</v>
      </c>
      <c r="AJ379" s="32">
        <f t="shared" si="146"/>
        <v>0</v>
      </c>
      <c r="AK379">
        <f>step3_validation[[#This Row],[AI_TRU1]]</f>
        <v>9</v>
      </c>
      <c r="AL379" t="str">
        <f t="shared" si="147"/>
        <v>Support</v>
      </c>
      <c r="AM379">
        <f>survey_responses[[#This Row],[Tôi tin rằng Nhà nước, cơ quan thuế sẽ thực thi chính sách mới một cách khách quan, công tâm và đối xử bình đẳng với mọi người nộp thuế.  - HUMAN-TRU1]]</f>
        <v>7</v>
      </c>
      <c r="AN379" t="str">
        <f t="shared" si="148"/>
        <v>Neutral</v>
      </c>
      <c r="AO379" s="32">
        <f t="shared" si="149"/>
        <v>2</v>
      </c>
      <c r="AP379">
        <f>step3_validation[[#This Row],[AI_TRU2]]</f>
        <v>8</v>
      </c>
      <c r="AQ379" t="str">
        <f t="shared" si="150"/>
        <v>Support</v>
      </c>
      <c r="AR379">
        <f>survey_responses[[#This Row],[Tôi thấy mức thuế tôi phải đóng theo phương án mới là công bằng (người thu nhập như tôi đóng mức này là hợp lý). - HUMAN-TRU2]]</f>
        <v>7</v>
      </c>
      <c r="AS379" t="str">
        <f t="shared" si="151"/>
        <v>Neutral</v>
      </c>
      <c r="AT379" s="32">
        <f t="shared" si="152"/>
        <v>1</v>
      </c>
      <c r="AU379">
        <f>step3_validation[[#This Row],[AI_TRU3]]</f>
        <v>7</v>
      </c>
      <c r="AV379" t="str">
        <f t="shared" si="153"/>
        <v>Neutral</v>
      </c>
      <c r="AW379">
        <f>survey_responses[[#This Row],[Tôi tin tưởng số tiền thuế tôi đóng sẽ được Nhà nước sử dụng hiệu quả để cải thiện dịch vụ công (y tế, đường xá...). - HUMAN-TRU3]]</f>
        <v>7</v>
      </c>
      <c r="AX379" t="str">
        <f t="shared" si="154"/>
        <v>Neutral</v>
      </c>
      <c r="AY379" s="32">
        <f t="shared" si="155"/>
        <v>0</v>
      </c>
      <c r="AZ379">
        <f>step3_validation[[#This Row],[AI_TRU4]]</f>
        <v>6</v>
      </c>
      <c r="BA379" t="str">
        <f t="shared" si="156"/>
        <v>Neutral</v>
      </c>
      <c r="BB379">
        <f>survey_responses[[#This Row],[Tôi thấy Nhà nước đã giải thích rõ ràng, minh bạch về lý do và mục tiêu của việc sửa đổi thuế lần này. - HUMAN-TRU4]]</f>
        <v>7</v>
      </c>
      <c r="BC379" t="str">
        <f t="shared" si="157"/>
        <v>Neutral</v>
      </c>
      <c r="BD379" s="32">
        <f t="shared" si="158"/>
        <v>1</v>
      </c>
      <c r="BE379">
        <f>step3_validation[[#This Row],[AI_OUT1]]</f>
        <v>8</v>
      </c>
      <c r="BF379" t="str">
        <f t="shared" si="159"/>
        <v>Support</v>
      </c>
      <c r="BG379">
        <f>survey_responses[[#This Row],[Sau khi xem xét các quyền lợi và nghĩa vụ, bạn có ủng hộ và tuân thủ chính sách mới hiện nay? - HUMAN-OUT1]]</f>
        <v>8</v>
      </c>
      <c r="BH379" t="str">
        <f t="shared" si="160"/>
        <v>Support</v>
      </c>
      <c r="BI379" s="32">
        <f t="shared" si="161"/>
        <v>0</v>
      </c>
    </row>
    <row r="380" spans="1:61" x14ac:dyDescent="0.45">
      <c r="A380" s="30">
        <f>step3_validation[[#This Row],[Persona_ID]]</f>
        <v>379</v>
      </c>
      <c r="B380" s="31">
        <f>step3_validation[[#This Row],[Used_Seed]]</f>
        <v>2369</v>
      </c>
      <c r="C380" t="str">
        <f>step3_validation[[#This Row],[Gender]]</f>
        <v>Nữ</v>
      </c>
      <c r="D380" t="str">
        <f>survey_responses[[#This Row],[Giới tính của bạn:]]</f>
        <v>Nữ</v>
      </c>
      <c r="E380" t="str">
        <f>step3_validation[[#This Row],[Age_Group]]</f>
        <v>18 - 24</v>
      </c>
      <c r="F380" t="str">
        <f>survey_responses[[#This Row],[Độ tuổi của bạn:]]</f>
        <v>18 - 24</v>
      </c>
      <c r="G380" t="str">
        <f>step3_validation[[#This Row],[Region]]</f>
        <v>Thành thị</v>
      </c>
      <c r="H380" t="str">
        <f>survey_responses[[#This Row],[Khu vực bạn đang sinh sống:]]</f>
        <v>Thành thị</v>
      </c>
      <c r="I380" t="str">
        <f>step3_validation[[#This Row],[Education]]</f>
        <v>Đại học</v>
      </c>
      <c r="J380" t="str">
        <f>survey_responses[[#This Row],[Trình độ học vấn cao nhất:]]</f>
        <v>Đại học</v>
      </c>
      <c r="K380" t="str">
        <f>step3_validation[[#This Row],[Employment]]</f>
        <v>Chính thức</v>
      </c>
      <c r="L380" t="str">
        <f>survey_responses[[#This Row],[Tình trạng việc làm chính:]]</f>
        <v>Khu vực chính thức (Có Hợp đồng lao động, đóng BHXH)</v>
      </c>
      <c r="M380">
        <f>step3_validation[[#This Row],[Income_Mil]]</f>
        <v>13.086150560138417</v>
      </c>
      <c r="N380" t="str">
        <f>survey_responses[[#This Row],[Thu nhập bình quân tháng theo Hợp đồng lao động của bạn là bao nhiêu? (Vui lòng điền tổng thu nhập trước khi khấu trừ các loại Bảo hiểm (BHXH, BHYT, BHTN) và Thuế TNCN)]]</f>
        <v>Từ 12 - 18 triệu VNĐ</v>
      </c>
      <c r="O380">
        <f>step3_validation[[#This Row],[Dependents]]</f>
        <v>0</v>
      </c>
      <c r="P380" t="str">
        <f>survey_responses[[#This Row],[Số người phụ thuộc (con nhỏ, cha mẹ già...) đủ điều kiện giảm trừ gia cảnh:]]</f>
        <v>0 người</v>
      </c>
      <c r="Q380">
        <f>step3_validation[[#This Row],[AI_ENF1]]</f>
        <v>7</v>
      </c>
      <c r="R380" t="str">
        <f t="shared" si="135"/>
        <v>Neutral</v>
      </c>
      <c r="S380">
        <f>survey_responses[[#This Row],[Tôi tin rằng với các quy định quản lý thuế hiện nay, hành vi gian lận hoặc trốn thuế sẽ dễ dàng bị phát hiện và xử lý nghiêm. - HUMAN-ENF1]]</f>
        <v>8</v>
      </c>
      <c r="T380" t="str">
        <f t="shared" si="136"/>
        <v>Support</v>
      </c>
      <c r="U380" s="32">
        <f t="shared" si="137"/>
        <v>1</v>
      </c>
      <c r="V380">
        <f>step3_validation[[#This Row],[AI_ENF2]]</f>
        <v>8</v>
      </c>
      <c r="W380" t="str">
        <f t="shared" si="138"/>
        <v>Support</v>
      </c>
      <c r="X380">
        <f>survey_responses[[#This Row],[Tôi tin rằng Nhà nước, cơ quan thuế có đủ khả năng và công nghệ để phát hiện, xử lý nghiêm các hành vi trốn thuế. - HUMAN-ENF2]]</f>
        <v>8</v>
      </c>
      <c r="Y380" t="str">
        <f t="shared" si="139"/>
        <v>Support</v>
      </c>
      <c r="Z380" s="32">
        <f t="shared" si="140"/>
        <v>0</v>
      </c>
      <c r="AA380">
        <f>step3_validation[[#This Row],[AI_FAC1]]</f>
        <v>9</v>
      </c>
      <c r="AB380" t="str">
        <f t="shared" si="141"/>
        <v>Support</v>
      </c>
      <c r="AC380">
        <f>survey_responses[[#This Row],[Các thủ tục khai báo thuế VÀ/HOẶC quy trình làm việc với cơ quan thuế đơn giản, tiện lợi, nhanh chóng hơn so với trước đây. - HUMAN-FAC1]]</f>
        <v>9</v>
      </c>
      <c r="AD380" t="str">
        <f t="shared" si="142"/>
        <v>Support</v>
      </c>
      <c r="AE380" s="32">
        <f t="shared" si="143"/>
        <v>0</v>
      </c>
      <c r="AF380">
        <f>step3_validation[[#This Row],[AI_FAC2]]</f>
        <v>8</v>
      </c>
      <c r="AG380" t="str">
        <f t="shared" si="144"/>
        <v>Support</v>
      </c>
      <c r="AH380">
        <f>survey_responses[[#This Row],[So với trước đây, tôi thấy cách tính thuế và các bậc thuế trong phương án mới đơn giản, dễ hiểu và dễ thực hiện hơn. - HUMAN-FAC2]]</f>
        <v>9</v>
      </c>
      <c r="AI380" t="str">
        <f t="shared" si="145"/>
        <v>Support</v>
      </c>
      <c r="AJ380" s="32">
        <f t="shared" si="146"/>
        <v>1</v>
      </c>
      <c r="AK380">
        <f>step3_validation[[#This Row],[AI_TRU1]]</f>
        <v>9</v>
      </c>
      <c r="AL380" t="str">
        <f t="shared" si="147"/>
        <v>Support</v>
      </c>
      <c r="AM380">
        <f>survey_responses[[#This Row],[Tôi tin rằng Nhà nước, cơ quan thuế sẽ thực thi chính sách mới một cách khách quan, công tâm và đối xử bình đẳng với mọi người nộp thuế.  - HUMAN-TRU1]]</f>
        <v>7</v>
      </c>
      <c r="AN380" t="str">
        <f t="shared" si="148"/>
        <v>Neutral</v>
      </c>
      <c r="AO380" s="32">
        <f t="shared" si="149"/>
        <v>2</v>
      </c>
      <c r="AP380">
        <f>step3_validation[[#This Row],[AI_TRU2]]</f>
        <v>8</v>
      </c>
      <c r="AQ380" t="str">
        <f t="shared" si="150"/>
        <v>Support</v>
      </c>
      <c r="AR380">
        <f>survey_responses[[#This Row],[Tôi thấy mức thuế tôi phải đóng theo phương án mới là công bằng (người thu nhập như tôi đóng mức này là hợp lý). - HUMAN-TRU2]]</f>
        <v>9</v>
      </c>
      <c r="AS380" t="str">
        <f t="shared" si="151"/>
        <v>Support</v>
      </c>
      <c r="AT380" s="32">
        <f t="shared" si="152"/>
        <v>1</v>
      </c>
      <c r="AU380">
        <f>step3_validation[[#This Row],[AI_TRU3]]</f>
        <v>8</v>
      </c>
      <c r="AV380" t="str">
        <f t="shared" si="153"/>
        <v>Support</v>
      </c>
      <c r="AW380">
        <f>survey_responses[[#This Row],[Tôi tin tưởng số tiền thuế tôi đóng sẽ được Nhà nước sử dụng hiệu quả để cải thiện dịch vụ công (y tế, đường xá...). - HUMAN-TRU3]]</f>
        <v>7</v>
      </c>
      <c r="AX380" t="str">
        <f t="shared" si="154"/>
        <v>Neutral</v>
      </c>
      <c r="AY380" s="32">
        <f t="shared" si="155"/>
        <v>1</v>
      </c>
      <c r="AZ380">
        <f>step3_validation[[#This Row],[AI_TRU4]]</f>
        <v>7</v>
      </c>
      <c r="BA380" t="str">
        <f t="shared" si="156"/>
        <v>Neutral</v>
      </c>
      <c r="BB380">
        <f>survey_responses[[#This Row],[Tôi thấy Nhà nước đã giải thích rõ ràng, minh bạch về lý do và mục tiêu của việc sửa đổi thuế lần này. - HUMAN-TRU4]]</f>
        <v>7</v>
      </c>
      <c r="BC380" t="str">
        <f t="shared" si="157"/>
        <v>Neutral</v>
      </c>
      <c r="BD380" s="32">
        <f t="shared" si="158"/>
        <v>0</v>
      </c>
      <c r="BE380">
        <f>step3_validation[[#This Row],[AI_OUT1]]</f>
        <v>8</v>
      </c>
      <c r="BF380" t="str">
        <f t="shared" si="159"/>
        <v>Support</v>
      </c>
      <c r="BG380">
        <f>survey_responses[[#This Row],[Sau khi xem xét các quyền lợi và nghĩa vụ, bạn có ủng hộ và tuân thủ chính sách mới hiện nay? - HUMAN-OUT1]]</f>
        <v>9</v>
      </c>
      <c r="BH380" t="str">
        <f t="shared" si="160"/>
        <v>Support</v>
      </c>
      <c r="BI380" s="32">
        <f t="shared" si="161"/>
        <v>1</v>
      </c>
    </row>
    <row r="381" spans="1:61" x14ac:dyDescent="0.45">
      <c r="A381" s="30">
        <f>step3_validation[[#This Row],[Persona_ID]]</f>
        <v>380</v>
      </c>
      <c r="B381" s="31">
        <f>step3_validation[[#This Row],[Used_Seed]]</f>
        <v>2370</v>
      </c>
      <c r="C381" t="str">
        <f>step3_validation[[#This Row],[Gender]]</f>
        <v>Nam</v>
      </c>
      <c r="D381" t="str">
        <f>survey_responses[[#This Row],[Giới tính của bạn:]]</f>
        <v>Nam</v>
      </c>
      <c r="E381" t="str">
        <f>step3_validation[[#This Row],[Age_Group]]</f>
        <v>18 - 24</v>
      </c>
      <c r="F381" t="str">
        <f>survey_responses[[#This Row],[Độ tuổi của bạn:]]</f>
        <v>18 - 24</v>
      </c>
      <c r="G381" t="str">
        <f>step3_validation[[#This Row],[Region]]</f>
        <v>Thành thị</v>
      </c>
      <c r="H381" t="str">
        <f>survey_responses[[#This Row],[Khu vực bạn đang sinh sống:]]</f>
        <v>Thành thị</v>
      </c>
      <c r="I381" t="str">
        <f>step3_validation[[#This Row],[Education]]</f>
        <v>Đại học</v>
      </c>
      <c r="J381" t="str">
        <f>survey_responses[[#This Row],[Trình độ học vấn cao nhất:]]</f>
        <v>Đại học</v>
      </c>
      <c r="K381" t="str">
        <f>step3_validation[[#This Row],[Employment]]</f>
        <v>Chính thức</v>
      </c>
      <c r="L381" t="str">
        <f>survey_responses[[#This Row],[Tình trạng việc làm chính:]]</f>
        <v>Khu vực chính thức (Có Hợp đồng lao động, đóng BHXH)</v>
      </c>
      <c r="M381">
        <f>step3_validation[[#This Row],[Income_Mil]]</f>
        <v>19.891782772163314</v>
      </c>
      <c r="N381" t="str">
        <f>survey_responses[[#This Row],[Thu nhập bình quân tháng theo Hợp đồng lao động của bạn là bao nhiêu? (Vui lòng điền tổng thu nhập trước khi khấu trừ các loại Bảo hiểm (BHXH, BHYT, BHTN) và Thuế TNCN)]]</f>
        <v>Từ 18 - 23 triệu VNĐ</v>
      </c>
      <c r="O381">
        <f>step3_validation[[#This Row],[Dependents]]</f>
        <v>0</v>
      </c>
      <c r="P381" t="str">
        <f>survey_responses[[#This Row],[Số người phụ thuộc (con nhỏ, cha mẹ già...) đủ điều kiện giảm trừ gia cảnh:]]</f>
        <v>0 người</v>
      </c>
      <c r="Q381">
        <f>step3_validation[[#This Row],[AI_ENF1]]</f>
        <v>8</v>
      </c>
      <c r="R381" t="str">
        <f t="shared" si="135"/>
        <v>Support</v>
      </c>
      <c r="S381">
        <f>survey_responses[[#This Row],[Tôi tin rằng với các quy định quản lý thuế hiện nay, hành vi gian lận hoặc trốn thuế sẽ dễ dàng bị phát hiện và xử lý nghiêm. - HUMAN-ENF1]]</f>
        <v>8</v>
      </c>
      <c r="T381" t="str">
        <f t="shared" si="136"/>
        <v>Support</v>
      </c>
      <c r="U381" s="32">
        <f t="shared" si="137"/>
        <v>0</v>
      </c>
      <c r="V381">
        <f>step3_validation[[#This Row],[AI_ENF2]]</f>
        <v>7</v>
      </c>
      <c r="W381" t="str">
        <f t="shared" si="138"/>
        <v>Neutral</v>
      </c>
      <c r="X381">
        <f>survey_responses[[#This Row],[Tôi tin rằng Nhà nước, cơ quan thuế có đủ khả năng và công nghệ để phát hiện, xử lý nghiêm các hành vi trốn thuế. - HUMAN-ENF2]]</f>
        <v>8</v>
      </c>
      <c r="Y381" t="str">
        <f t="shared" si="139"/>
        <v>Support</v>
      </c>
      <c r="Z381" s="32">
        <f t="shared" si="140"/>
        <v>1</v>
      </c>
      <c r="AA381">
        <f>step3_validation[[#This Row],[AI_FAC1]]</f>
        <v>8</v>
      </c>
      <c r="AB381" t="str">
        <f t="shared" si="141"/>
        <v>Support</v>
      </c>
      <c r="AC381">
        <f>survey_responses[[#This Row],[Các thủ tục khai báo thuế VÀ/HOẶC quy trình làm việc với cơ quan thuế đơn giản, tiện lợi, nhanh chóng hơn so với trước đây. - HUMAN-FAC1]]</f>
        <v>5</v>
      </c>
      <c r="AD381" t="str">
        <f t="shared" si="142"/>
        <v>Neutral</v>
      </c>
      <c r="AE381" s="32">
        <f t="shared" si="143"/>
        <v>3</v>
      </c>
      <c r="AF381">
        <f>step3_validation[[#This Row],[AI_FAC2]]</f>
        <v>9</v>
      </c>
      <c r="AG381" t="str">
        <f t="shared" si="144"/>
        <v>Support</v>
      </c>
      <c r="AH381">
        <f>survey_responses[[#This Row],[So với trước đây, tôi thấy cách tính thuế và các bậc thuế trong phương án mới đơn giản, dễ hiểu và dễ thực hiện hơn. - HUMAN-FAC2]]</f>
        <v>8</v>
      </c>
      <c r="AI381" t="str">
        <f t="shared" si="145"/>
        <v>Support</v>
      </c>
      <c r="AJ381" s="32">
        <f t="shared" si="146"/>
        <v>1</v>
      </c>
      <c r="AK381">
        <f>step3_validation[[#This Row],[AI_TRU1]]</f>
        <v>6</v>
      </c>
      <c r="AL381" t="str">
        <f t="shared" si="147"/>
        <v>Neutral</v>
      </c>
      <c r="AM381">
        <f>survey_responses[[#This Row],[Tôi tin rằng Nhà nước, cơ quan thuế sẽ thực thi chính sách mới một cách khách quan, công tâm và đối xử bình đẳng với mọi người nộp thuế.  - HUMAN-TRU1]]</f>
        <v>6</v>
      </c>
      <c r="AN381" t="str">
        <f t="shared" si="148"/>
        <v>Neutral</v>
      </c>
      <c r="AO381" s="32">
        <f t="shared" si="149"/>
        <v>0</v>
      </c>
      <c r="AP381">
        <f>step3_validation[[#This Row],[AI_TRU2]]</f>
        <v>7</v>
      </c>
      <c r="AQ381" t="str">
        <f t="shared" si="150"/>
        <v>Neutral</v>
      </c>
      <c r="AR381">
        <f>survey_responses[[#This Row],[Tôi thấy mức thuế tôi phải đóng theo phương án mới là công bằng (người thu nhập như tôi đóng mức này là hợp lý). - HUMAN-TRU2]]</f>
        <v>9</v>
      </c>
      <c r="AS381" t="str">
        <f t="shared" si="151"/>
        <v>Support</v>
      </c>
      <c r="AT381" s="32">
        <f t="shared" si="152"/>
        <v>2</v>
      </c>
      <c r="AU381">
        <f>step3_validation[[#This Row],[AI_TRU3]]</f>
        <v>6</v>
      </c>
      <c r="AV381" t="str">
        <f t="shared" si="153"/>
        <v>Neutral</v>
      </c>
      <c r="AW381">
        <f>survey_responses[[#This Row],[Tôi tin tưởng số tiền thuế tôi đóng sẽ được Nhà nước sử dụng hiệu quả để cải thiện dịch vụ công (y tế, đường xá...). - HUMAN-TRU3]]</f>
        <v>5</v>
      </c>
      <c r="AX381" t="str">
        <f t="shared" si="154"/>
        <v>Neutral</v>
      </c>
      <c r="AY381" s="32">
        <f t="shared" si="155"/>
        <v>1</v>
      </c>
      <c r="AZ381">
        <f>step3_validation[[#This Row],[AI_TRU4]]</f>
        <v>5</v>
      </c>
      <c r="BA381" t="str">
        <f t="shared" si="156"/>
        <v>Neutral</v>
      </c>
      <c r="BB381">
        <f>survey_responses[[#This Row],[Tôi thấy Nhà nước đã giải thích rõ ràng, minh bạch về lý do và mục tiêu của việc sửa đổi thuế lần này. - HUMAN-TRU4]]</f>
        <v>7</v>
      </c>
      <c r="BC381" t="str">
        <f t="shared" si="157"/>
        <v>Neutral</v>
      </c>
      <c r="BD381" s="32">
        <f t="shared" si="158"/>
        <v>2</v>
      </c>
      <c r="BE381">
        <f>step3_validation[[#This Row],[AI_OUT1]]</f>
        <v>7</v>
      </c>
      <c r="BF381" t="str">
        <f t="shared" si="159"/>
        <v>Neutral</v>
      </c>
      <c r="BG381">
        <f>survey_responses[[#This Row],[Sau khi xem xét các quyền lợi và nghĩa vụ, bạn có ủng hộ và tuân thủ chính sách mới hiện nay? - HUMAN-OUT1]]</f>
        <v>8</v>
      </c>
      <c r="BH381" t="str">
        <f t="shared" si="160"/>
        <v>Support</v>
      </c>
      <c r="BI381" s="32">
        <f t="shared" si="161"/>
        <v>1</v>
      </c>
    </row>
    <row r="382" spans="1:61" x14ac:dyDescent="0.45">
      <c r="A382" s="30">
        <f>step3_validation[[#This Row],[Persona_ID]]</f>
        <v>381</v>
      </c>
      <c r="B382" s="31">
        <f>step3_validation[[#This Row],[Used_Seed]]</f>
        <v>2371</v>
      </c>
      <c r="C382" t="str">
        <f>step3_validation[[#This Row],[Gender]]</f>
        <v>Nam</v>
      </c>
      <c r="D382" t="str">
        <f>survey_responses[[#This Row],[Giới tính của bạn:]]</f>
        <v>Nam</v>
      </c>
      <c r="E382" t="str">
        <f>step3_validation[[#This Row],[Age_Group]]</f>
        <v>18 - 24</v>
      </c>
      <c r="F382" t="str">
        <f>survey_responses[[#This Row],[Độ tuổi của bạn:]]</f>
        <v>18 - 24</v>
      </c>
      <c r="G382" t="str">
        <f>step3_validation[[#This Row],[Region]]</f>
        <v>Thành thị</v>
      </c>
      <c r="H382" t="str">
        <f>survey_responses[[#This Row],[Khu vực bạn đang sinh sống:]]</f>
        <v>Thành thị</v>
      </c>
      <c r="I382" t="str">
        <f>step3_validation[[#This Row],[Education]]</f>
        <v>Cao đẳng</v>
      </c>
      <c r="J382" t="str">
        <f>survey_responses[[#This Row],[Trình độ học vấn cao nhất:]]</f>
        <v>Cao đẳng</v>
      </c>
      <c r="K382" t="str">
        <f>step3_validation[[#This Row],[Employment]]</f>
        <v>Chính thức</v>
      </c>
      <c r="L382" t="str">
        <f>survey_responses[[#This Row],[Tình trạng việc làm chính:]]</f>
        <v>Khu vực chính thức (Có Hợp đồng lao động, đóng BHXH)</v>
      </c>
      <c r="M382">
        <f>step3_validation[[#This Row],[Income_Mil]]</f>
        <v>14.038254947353952</v>
      </c>
      <c r="N382" t="str">
        <f>survey_responses[[#This Row],[Thu nhập bình quân tháng theo Hợp đồng lao động của bạn là bao nhiêu? (Vui lòng điền tổng thu nhập trước khi khấu trừ các loại Bảo hiểm (BHXH, BHYT, BHTN) và Thuế TNCN)]]</f>
        <v>Từ 12 - 18 triệu VNĐ</v>
      </c>
      <c r="O382">
        <f>step3_validation[[#This Row],[Dependents]]</f>
        <v>0</v>
      </c>
      <c r="P382" t="str">
        <f>survey_responses[[#This Row],[Số người phụ thuộc (con nhỏ, cha mẹ già...) đủ điều kiện giảm trừ gia cảnh:]]</f>
        <v>0 người</v>
      </c>
      <c r="Q382">
        <f>step3_validation[[#This Row],[AI_ENF1]]</f>
        <v>6</v>
      </c>
      <c r="R382" t="str">
        <f t="shared" si="135"/>
        <v>Neutral</v>
      </c>
      <c r="S382">
        <f>survey_responses[[#This Row],[Tôi tin rằng với các quy định quản lý thuế hiện nay, hành vi gian lận hoặc trốn thuế sẽ dễ dàng bị phát hiện và xử lý nghiêm. - HUMAN-ENF1]]</f>
        <v>9</v>
      </c>
      <c r="T382" t="str">
        <f t="shared" si="136"/>
        <v>Support</v>
      </c>
      <c r="U382" s="32">
        <f t="shared" si="137"/>
        <v>3</v>
      </c>
      <c r="V382">
        <f>step3_validation[[#This Row],[AI_ENF2]]</f>
        <v>7</v>
      </c>
      <c r="W382" t="str">
        <f t="shared" si="138"/>
        <v>Neutral</v>
      </c>
      <c r="X382">
        <f>survey_responses[[#This Row],[Tôi tin rằng Nhà nước, cơ quan thuế có đủ khả năng và công nghệ để phát hiện, xử lý nghiêm các hành vi trốn thuế. - HUMAN-ENF2]]</f>
        <v>9</v>
      </c>
      <c r="Y382" t="str">
        <f t="shared" si="139"/>
        <v>Support</v>
      </c>
      <c r="Z382" s="32">
        <f t="shared" si="140"/>
        <v>2</v>
      </c>
      <c r="AA382">
        <f>step3_validation[[#This Row],[AI_FAC1]]</f>
        <v>8</v>
      </c>
      <c r="AB382" t="str">
        <f t="shared" si="141"/>
        <v>Support</v>
      </c>
      <c r="AC382">
        <f>survey_responses[[#This Row],[Các thủ tục khai báo thuế VÀ/HOẶC quy trình làm việc với cơ quan thuế đơn giản, tiện lợi, nhanh chóng hơn so với trước đây. - HUMAN-FAC1]]</f>
        <v>8</v>
      </c>
      <c r="AD382" t="str">
        <f t="shared" si="142"/>
        <v>Support</v>
      </c>
      <c r="AE382" s="32">
        <f t="shared" si="143"/>
        <v>0</v>
      </c>
      <c r="AF382">
        <f>step3_validation[[#This Row],[AI_FAC2]]</f>
        <v>7</v>
      </c>
      <c r="AG382" t="str">
        <f t="shared" si="144"/>
        <v>Neutral</v>
      </c>
      <c r="AH382">
        <f>survey_responses[[#This Row],[So với trước đây, tôi thấy cách tính thuế và các bậc thuế trong phương án mới đơn giản, dễ hiểu và dễ thực hiện hơn. - HUMAN-FAC2]]</f>
        <v>9</v>
      </c>
      <c r="AI382" t="str">
        <f t="shared" si="145"/>
        <v>Support</v>
      </c>
      <c r="AJ382" s="32">
        <f t="shared" si="146"/>
        <v>2</v>
      </c>
      <c r="AK382">
        <f>step3_validation[[#This Row],[AI_TRU1]]</f>
        <v>8</v>
      </c>
      <c r="AL382" t="str">
        <f t="shared" si="147"/>
        <v>Support</v>
      </c>
      <c r="AM382">
        <f>survey_responses[[#This Row],[Tôi tin rằng Nhà nước, cơ quan thuế sẽ thực thi chính sách mới một cách khách quan, công tâm và đối xử bình đẳng với mọi người nộp thuế.  - HUMAN-TRU1]]</f>
        <v>8</v>
      </c>
      <c r="AN382" t="str">
        <f t="shared" si="148"/>
        <v>Support</v>
      </c>
      <c r="AO382" s="32">
        <f t="shared" si="149"/>
        <v>0</v>
      </c>
      <c r="AP382">
        <f>step3_validation[[#This Row],[AI_TRU2]]</f>
        <v>6</v>
      </c>
      <c r="AQ382" t="str">
        <f t="shared" si="150"/>
        <v>Neutral</v>
      </c>
      <c r="AR382">
        <f>survey_responses[[#This Row],[Tôi thấy mức thuế tôi phải đóng theo phương án mới là công bằng (người thu nhập như tôi đóng mức này là hợp lý). - HUMAN-TRU2]]</f>
        <v>10</v>
      </c>
      <c r="AS382" t="str">
        <f t="shared" si="151"/>
        <v>Support</v>
      </c>
      <c r="AT382" s="32">
        <f t="shared" si="152"/>
        <v>4</v>
      </c>
      <c r="AU382">
        <f>step3_validation[[#This Row],[AI_TRU3]]</f>
        <v>5</v>
      </c>
      <c r="AV382" t="str">
        <f t="shared" si="153"/>
        <v>Neutral</v>
      </c>
      <c r="AW382">
        <f>survey_responses[[#This Row],[Tôi tin tưởng số tiền thuế tôi đóng sẽ được Nhà nước sử dụng hiệu quả để cải thiện dịch vụ công (y tế, đường xá...). - HUMAN-TRU3]]</f>
        <v>8</v>
      </c>
      <c r="AX382" t="str">
        <f t="shared" si="154"/>
        <v>Support</v>
      </c>
      <c r="AY382" s="32">
        <f t="shared" si="155"/>
        <v>3</v>
      </c>
      <c r="AZ382">
        <f>step3_validation[[#This Row],[AI_TRU4]]</f>
        <v>7</v>
      </c>
      <c r="BA382" t="str">
        <f t="shared" si="156"/>
        <v>Neutral</v>
      </c>
      <c r="BB382">
        <f>survey_responses[[#This Row],[Tôi thấy Nhà nước đã giải thích rõ ràng, minh bạch về lý do và mục tiêu của việc sửa đổi thuế lần này. - HUMAN-TRU4]]</f>
        <v>8</v>
      </c>
      <c r="BC382" t="str">
        <f t="shared" si="157"/>
        <v>Support</v>
      </c>
      <c r="BD382" s="32">
        <f t="shared" si="158"/>
        <v>1</v>
      </c>
      <c r="BE382">
        <f>step3_validation[[#This Row],[AI_OUT1]]</f>
        <v>6</v>
      </c>
      <c r="BF382" t="str">
        <f t="shared" si="159"/>
        <v>Neutral</v>
      </c>
      <c r="BG382">
        <f>survey_responses[[#This Row],[Sau khi xem xét các quyền lợi và nghĩa vụ, bạn có ủng hộ và tuân thủ chính sách mới hiện nay? - HUMAN-OUT1]]</f>
        <v>10</v>
      </c>
      <c r="BH382" t="str">
        <f t="shared" si="160"/>
        <v>Support</v>
      </c>
      <c r="BI382" s="32">
        <f t="shared" si="161"/>
        <v>4</v>
      </c>
    </row>
    <row r="383" spans="1:61" x14ac:dyDescent="0.45">
      <c r="A383" s="30">
        <f>step3_validation[[#This Row],[Persona_ID]]</f>
        <v>382</v>
      </c>
      <c r="B383" s="31">
        <f>step3_validation[[#This Row],[Used_Seed]]</f>
        <v>2372</v>
      </c>
      <c r="C383" t="str">
        <f>step3_validation[[#This Row],[Gender]]</f>
        <v>Nữ</v>
      </c>
      <c r="D383" t="str">
        <f>survey_responses[[#This Row],[Giới tính của bạn:]]</f>
        <v>Nữ</v>
      </c>
      <c r="E383" t="str">
        <f>step3_validation[[#This Row],[Age_Group]]</f>
        <v>18 - 24</v>
      </c>
      <c r="F383" t="str">
        <f>survey_responses[[#This Row],[Độ tuổi của bạn:]]</f>
        <v>18 - 24</v>
      </c>
      <c r="G383" t="str">
        <f>step3_validation[[#This Row],[Region]]</f>
        <v>Thành thị</v>
      </c>
      <c r="H383" t="str">
        <f>survey_responses[[#This Row],[Khu vực bạn đang sinh sống:]]</f>
        <v>Thành thị</v>
      </c>
      <c r="I383" t="str">
        <f>step3_validation[[#This Row],[Education]]</f>
        <v>Đại học</v>
      </c>
      <c r="J383" t="str">
        <f>survey_responses[[#This Row],[Trình độ học vấn cao nhất:]]</f>
        <v>Đại học</v>
      </c>
      <c r="K383" t="str">
        <f>step3_validation[[#This Row],[Employment]]</f>
        <v>Chính thức</v>
      </c>
      <c r="L383" t="str">
        <f>survey_responses[[#This Row],[Tình trạng việc làm chính:]]</f>
        <v>Khu vực chính thức (Có Hợp đồng lao động, đóng BHXH)</v>
      </c>
      <c r="M383">
        <f>step3_validation[[#This Row],[Income_Mil]]</f>
        <v>21.567787991110219</v>
      </c>
      <c r="N383" t="str">
        <f>survey_responses[[#This Row],[Thu nhập bình quân tháng theo Hợp đồng lao động của bạn là bao nhiêu? (Vui lòng điền tổng thu nhập trước khi khấu trừ các loại Bảo hiểm (BHXH, BHYT, BHTN) và Thuế TNCN)]]</f>
        <v>Từ 18 - 23 triệu VNĐ</v>
      </c>
      <c r="O383">
        <f>step3_validation[[#This Row],[Dependents]]</f>
        <v>1</v>
      </c>
      <c r="P383" t="str">
        <f>survey_responses[[#This Row],[Số người phụ thuộc (con nhỏ, cha mẹ già...) đủ điều kiện giảm trừ gia cảnh:]]</f>
        <v>1 người</v>
      </c>
      <c r="Q383">
        <f>step3_validation[[#This Row],[AI_ENF1]]</f>
        <v>7</v>
      </c>
      <c r="R383" t="str">
        <f t="shared" si="135"/>
        <v>Neutral</v>
      </c>
      <c r="S383">
        <f>survey_responses[[#This Row],[Tôi tin rằng với các quy định quản lý thuế hiện nay, hành vi gian lận hoặc trốn thuế sẽ dễ dàng bị phát hiện và xử lý nghiêm. - HUMAN-ENF1]]</f>
        <v>5</v>
      </c>
      <c r="T383" t="str">
        <f t="shared" si="136"/>
        <v>Neutral</v>
      </c>
      <c r="U383" s="32">
        <f t="shared" si="137"/>
        <v>2</v>
      </c>
      <c r="V383">
        <f>step3_validation[[#This Row],[AI_ENF2]]</f>
        <v>6</v>
      </c>
      <c r="W383" t="str">
        <f t="shared" si="138"/>
        <v>Neutral</v>
      </c>
      <c r="X383">
        <f>survey_responses[[#This Row],[Tôi tin rằng Nhà nước, cơ quan thuế có đủ khả năng và công nghệ để phát hiện, xử lý nghiêm các hành vi trốn thuế. - HUMAN-ENF2]]</f>
        <v>5</v>
      </c>
      <c r="Y383" t="str">
        <f t="shared" si="139"/>
        <v>Neutral</v>
      </c>
      <c r="Z383" s="32">
        <f t="shared" si="140"/>
        <v>1</v>
      </c>
      <c r="AA383">
        <f>step3_validation[[#This Row],[AI_FAC1]]</f>
        <v>8</v>
      </c>
      <c r="AB383" t="str">
        <f t="shared" si="141"/>
        <v>Support</v>
      </c>
      <c r="AC383">
        <f>survey_responses[[#This Row],[Các thủ tục khai báo thuế VÀ/HOẶC quy trình làm việc với cơ quan thuế đơn giản, tiện lợi, nhanh chóng hơn so với trước đây. - HUMAN-FAC1]]</f>
        <v>4</v>
      </c>
      <c r="AD383" t="str">
        <f t="shared" si="142"/>
        <v>Oppose</v>
      </c>
      <c r="AE383" s="32">
        <f t="shared" si="143"/>
        <v>4</v>
      </c>
      <c r="AF383">
        <f>step3_validation[[#This Row],[AI_FAC2]]</f>
        <v>9</v>
      </c>
      <c r="AG383" t="str">
        <f t="shared" si="144"/>
        <v>Support</v>
      </c>
      <c r="AH383">
        <f>survey_responses[[#This Row],[So với trước đây, tôi thấy cách tính thuế và các bậc thuế trong phương án mới đơn giản, dễ hiểu và dễ thực hiện hơn. - HUMAN-FAC2]]</f>
        <v>8</v>
      </c>
      <c r="AI383" t="str">
        <f t="shared" si="145"/>
        <v>Support</v>
      </c>
      <c r="AJ383" s="32">
        <f t="shared" si="146"/>
        <v>1</v>
      </c>
      <c r="AK383">
        <f>step3_validation[[#This Row],[AI_TRU1]]</f>
        <v>8</v>
      </c>
      <c r="AL383" t="str">
        <f t="shared" si="147"/>
        <v>Support</v>
      </c>
      <c r="AM383">
        <f>survey_responses[[#This Row],[Tôi tin rằng Nhà nước, cơ quan thuế sẽ thực thi chính sách mới một cách khách quan, công tâm và đối xử bình đẳng với mọi người nộp thuế.  - HUMAN-TRU1]]</f>
        <v>4</v>
      </c>
      <c r="AN383" t="str">
        <f t="shared" si="148"/>
        <v>Oppose</v>
      </c>
      <c r="AO383" s="32">
        <f t="shared" si="149"/>
        <v>4</v>
      </c>
      <c r="AP383">
        <f>step3_validation[[#This Row],[AI_TRU2]]</f>
        <v>7</v>
      </c>
      <c r="AQ383" t="str">
        <f t="shared" si="150"/>
        <v>Neutral</v>
      </c>
      <c r="AR383">
        <f>survey_responses[[#This Row],[Tôi thấy mức thuế tôi phải đóng theo phương án mới là công bằng (người thu nhập như tôi đóng mức này là hợp lý). - HUMAN-TRU2]]</f>
        <v>8</v>
      </c>
      <c r="AS383" t="str">
        <f t="shared" si="151"/>
        <v>Support</v>
      </c>
      <c r="AT383" s="32">
        <f t="shared" si="152"/>
        <v>1</v>
      </c>
      <c r="AU383">
        <f>step3_validation[[#This Row],[AI_TRU3]]</f>
        <v>6</v>
      </c>
      <c r="AV383" t="str">
        <f t="shared" si="153"/>
        <v>Neutral</v>
      </c>
      <c r="AW383">
        <f>survey_responses[[#This Row],[Tôi tin tưởng số tiền thuế tôi đóng sẽ được Nhà nước sử dụng hiệu quả để cải thiện dịch vụ công (y tế, đường xá...). - HUMAN-TRU3]]</f>
        <v>4</v>
      </c>
      <c r="AX383" t="str">
        <f t="shared" si="154"/>
        <v>Oppose</v>
      </c>
      <c r="AY383" s="32">
        <f t="shared" si="155"/>
        <v>2</v>
      </c>
      <c r="AZ383">
        <f>step3_validation[[#This Row],[AI_TRU4]]</f>
        <v>7</v>
      </c>
      <c r="BA383" t="str">
        <f t="shared" si="156"/>
        <v>Neutral</v>
      </c>
      <c r="BB383">
        <f>survey_responses[[#This Row],[Tôi thấy Nhà nước đã giải thích rõ ràng, minh bạch về lý do và mục tiêu của việc sửa đổi thuế lần này. - HUMAN-TRU4]]</f>
        <v>5</v>
      </c>
      <c r="BC383" t="str">
        <f t="shared" si="157"/>
        <v>Neutral</v>
      </c>
      <c r="BD383" s="32">
        <f t="shared" si="158"/>
        <v>2</v>
      </c>
      <c r="BE383">
        <f>step3_validation[[#This Row],[AI_OUT1]]</f>
        <v>8</v>
      </c>
      <c r="BF383" t="str">
        <f t="shared" si="159"/>
        <v>Support</v>
      </c>
      <c r="BG383">
        <f>survey_responses[[#This Row],[Sau khi xem xét các quyền lợi và nghĩa vụ, bạn có ủng hộ và tuân thủ chính sách mới hiện nay? - HUMAN-OUT1]]</f>
        <v>7</v>
      </c>
      <c r="BH383" t="str">
        <f t="shared" si="160"/>
        <v>Neutral</v>
      </c>
      <c r="BI383" s="32">
        <f t="shared" si="161"/>
        <v>1</v>
      </c>
    </row>
    <row r="384" spans="1:61" x14ac:dyDescent="0.45">
      <c r="A384" s="30">
        <f>step3_validation[[#This Row],[Persona_ID]]</f>
        <v>383</v>
      </c>
      <c r="B384" s="31">
        <f>step3_validation[[#This Row],[Used_Seed]]</f>
        <v>2373</v>
      </c>
      <c r="C384" t="str">
        <f>step3_validation[[#This Row],[Gender]]</f>
        <v>Nam</v>
      </c>
      <c r="D384" t="str">
        <f>survey_responses[[#This Row],[Giới tính của bạn:]]</f>
        <v>Nam</v>
      </c>
      <c r="E384" t="str">
        <f>step3_validation[[#This Row],[Age_Group]]</f>
        <v>50 - 54</v>
      </c>
      <c r="F384" t="str">
        <f>survey_responses[[#This Row],[Độ tuổi của bạn:]]</f>
        <v>50 - 54</v>
      </c>
      <c r="G384" t="str">
        <f>step3_validation[[#This Row],[Region]]</f>
        <v>Thành thị</v>
      </c>
      <c r="H384" t="str">
        <f>survey_responses[[#This Row],[Khu vực bạn đang sinh sống:]]</f>
        <v>Thành thị</v>
      </c>
      <c r="I384" t="str">
        <f>step3_validation[[#This Row],[Education]]</f>
        <v>Sau Đại học</v>
      </c>
      <c r="J384" t="str">
        <f>survey_responses[[#This Row],[Trình độ học vấn cao nhất:]]</f>
        <v>Sau Đại học</v>
      </c>
      <c r="K384" t="str">
        <f>step3_validation[[#This Row],[Employment]]</f>
        <v>Chính thức</v>
      </c>
      <c r="L384" t="str">
        <f>survey_responses[[#This Row],[Tình trạng việc làm chính:]]</f>
        <v>Khu vực chính thức (Có Hợp đồng lao động, đóng BHXH)</v>
      </c>
      <c r="M384">
        <f>step3_validation[[#This Row],[Income_Mil]]</f>
        <v>86.583662625862345</v>
      </c>
      <c r="N384" t="str">
        <f>survey_responses[[#This Row],[Thu nhập bình quân tháng theo Hợp đồng lao động của bạn là bao nhiêu? (Vui lòng điền tổng thu nhập trước khi khấu trừ các loại Bảo hiểm (BHXH, BHYT, BHTN) và Thuế TNCN)]]</f>
        <v>Từ 70 - 102 triệu VNĐ</v>
      </c>
      <c r="O384">
        <f>step3_validation[[#This Row],[Dependents]]</f>
        <v>2</v>
      </c>
      <c r="P384" t="str">
        <f>survey_responses[[#This Row],[Số người phụ thuộc (con nhỏ, cha mẹ già...) đủ điều kiện giảm trừ gia cảnh:]]</f>
        <v>2 người</v>
      </c>
      <c r="Q384">
        <f>step3_validation[[#This Row],[AI_ENF1]]</f>
        <v>7</v>
      </c>
      <c r="R384" t="str">
        <f t="shared" si="135"/>
        <v>Neutral</v>
      </c>
      <c r="S384">
        <f>survey_responses[[#This Row],[Tôi tin rằng với các quy định quản lý thuế hiện nay, hành vi gian lận hoặc trốn thuế sẽ dễ dàng bị phát hiện và xử lý nghiêm. - HUMAN-ENF1]]</f>
        <v>1</v>
      </c>
      <c r="T384" t="str">
        <f t="shared" si="136"/>
        <v>Oppose</v>
      </c>
      <c r="U384" s="32">
        <f t="shared" si="137"/>
        <v>6</v>
      </c>
      <c r="V384">
        <f>step3_validation[[#This Row],[AI_ENF2]]</f>
        <v>8</v>
      </c>
      <c r="W384" t="str">
        <f t="shared" si="138"/>
        <v>Support</v>
      </c>
      <c r="X384">
        <f>survey_responses[[#This Row],[Tôi tin rằng Nhà nước, cơ quan thuế có đủ khả năng và công nghệ để phát hiện, xử lý nghiêm các hành vi trốn thuế. - HUMAN-ENF2]]</f>
        <v>1</v>
      </c>
      <c r="Y384" t="str">
        <f t="shared" si="139"/>
        <v>Oppose</v>
      </c>
      <c r="Z384" s="32">
        <f t="shared" si="140"/>
        <v>7</v>
      </c>
      <c r="AA384">
        <f>step3_validation[[#This Row],[AI_FAC1]]</f>
        <v>9</v>
      </c>
      <c r="AB384" t="str">
        <f t="shared" si="141"/>
        <v>Support</v>
      </c>
      <c r="AC384">
        <f>survey_responses[[#This Row],[Các thủ tục khai báo thuế VÀ/HOẶC quy trình làm việc với cơ quan thuế đơn giản, tiện lợi, nhanh chóng hơn so với trước đây. - HUMAN-FAC1]]</f>
        <v>4</v>
      </c>
      <c r="AD384" t="str">
        <f t="shared" si="142"/>
        <v>Oppose</v>
      </c>
      <c r="AE384" s="32">
        <f t="shared" si="143"/>
        <v>5</v>
      </c>
      <c r="AF384">
        <f>step3_validation[[#This Row],[AI_FAC2]]</f>
        <v>8</v>
      </c>
      <c r="AG384" t="str">
        <f t="shared" si="144"/>
        <v>Support</v>
      </c>
      <c r="AH384">
        <f>survey_responses[[#This Row],[So với trước đây, tôi thấy cách tính thuế và các bậc thuế trong phương án mới đơn giản, dễ hiểu và dễ thực hiện hơn. - HUMAN-FAC2]]</f>
        <v>5</v>
      </c>
      <c r="AI384" t="str">
        <f t="shared" si="145"/>
        <v>Neutral</v>
      </c>
      <c r="AJ384" s="32">
        <f t="shared" si="146"/>
        <v>3</v>
      </c>
      <c r="AK384">
        <f>step3_validation[[#This Row],[AI_TRU1]]</f>
        <v>6</v>
      </c>
      <c r="AL384" t="str">
        <f t="shared" si="147"/>
        <v>Neutral</v>
      </c>
      <c r="AM384">
        <f>survey_responses[[#This Row],[Tôi tin rằng Nhà nước, cơ quan thuế sẽ thực thi chính sách mới một cách khách quan, công tâm và đối xử bình đẳng với mọi người nộp thuế.  - HUMAN-TRU1]]</f>
        <v>5</v>
      </c>
      <c r="AN384" t="str">
        <f t="shared" si="148"/>
        <v>Neutral</v>
      </c>
      <c r="AO384" s="32">
        <f t="shared" si="149"/>
        <v>1</v>
      </c>
      <c r="AP384">
        <f>step3_validation[[#This Row],[AI_TRU2]]</f>
        <v>7</v>
      </c>
      <c r="AQ384" t="str">
        <f t="shared" si="150"/>
        <v>Neutral</v>
      </c>
      <c r="AR384">
        <f>survey_responses[[#This Row],[Tôi thấy mức thuế tôi phải đóng theo phương án mới là công bằng (người thu nhập như tôi đóng mức này là hợp lý). - HUMAN-TRU2]]</f>
        <v>4</v>
      </c>
      <c r="AS384" t="str">
        <f t="shared" si="151"/>
        <v>Oppose</v>
      </c>
      <c r="AT384" s="32">
        <f t="shared" si="152"/>
        <v>3</v>
      </c>
      <c r="AU384">
        <f>step3_validation[[#This Row],[AI_TRU3]]</f>
        <v>6</v>
      </c>
      <c r="AV384" t="str">
        <f t="shared" si="153"/>
        <v>Neutral</v>
      </c>
      <c r="AW384">
        <f>survey_responses[[#This Row],[Tôi tin tưởng số tiền thuế tôi đóng sẽ được Nhà nước sử dụng hiệu quả để cải thiện dịch vụ công (y tế, đường xá...). - HUMAN-TRU3]]</f>
        <v>4</v>
      </c>
      <c r="AX384" t="str">
        <f t="shared" si="154"/>
        <v>Oppose</v>
      </c>
      <c r="AY384" s="32">
        <f t="shared" si="155"/>
        <v>2</v>
      </c>
      <c r="AZ384">
        <f>step3_validation[[#This Row],[AI_TRU4]]</f>
        <v>7</v>
      </c>
      <c r="BA384" t="str">
        <f t="shared" si="156"/>
        <v>Neutral</v>
      </c>
      <c r="BB384">
        <f>survey_responses[[#This Row],[Tôi thấy Nhà nước đã giải thích rõ ràng, minh bạch về lý do và mục tiêu của việc sửa đổi thuế lần này. - HUMAN-TRU4]]</f>
        <v>5</v>
      </c>
      <c r="BC384" t="str">
        <f t="shared" si="157"/>
        <v>Neutral</v>
      </c>
      <c r="BD384" s="32">
        <f t="shared" si="158"/>
        <v>2</v>
      </c>
      <c r="BE384">
        <f>step3_validation[[#This Row],[AI_OUT1]]</f>
        <v>8</v>
      </c>
      <c r="BF384" t="str">
        <f t="shared" si="159"/>
        <v>Support</v>
      </c>
      <c r="BG384">
        <f>survey_responses[[#This Row],[Sau khi xem xét các quyền lợi và nghĩa vụ, bạn có ủng hộ và tuân thủ chính sách mới hiện nay? - HUMAN-OUT1]]</f>
        <v>3</v>
      </c>
      <c r="BH384" t="str">
        <f t="shared" si="160"/>
        <v>Oppose</v>
      </c>
      <c r="BI384" s="32">
        <f t="shared" si="161"/>
        <v>5</v>
      </c>
    </row>
    <row r="385" spans="1:61" x14ac:dyDescent="0.45">
      <c r="A385" s="30">
        <f>step3_validation[[#This Row],[Persona_ID]]</f>
        <v>384</v>
      </c>
      <c r="B385" s="31">
        <f>step3_validation[[#This Row],[Used_Seed]]</f>
        <v>2374</v>
      </c>
      <c r="C385" t="str">
        <f>step3_validation[[#This Row],[Gender]]</f>
        <v>Nam</v>
      </c>
      <c r="D385" t="str">
        <f>survey_responses[[#This Row],[Giới tính của bạn:]]</f>
        <v>Nam</v>
      </c>
      <c r="E385" t="str">
        <f>step3_validation[[#This Row],[Age_Group]]</f>
        <v>18 - 24</v>
      </c>
      <c r="F385" t="str">
        <f>survey_responses[[#This Row],[Độ tuổi của bạn:]]</f>
        <v>18 - 24</v>
      </c>
      <c r="G385" t="str">
        <f>step3_validation[[#This Row],[Region]]</f>
        <v>Thành thị</v>
      </c>
      <c r="H385" t="str">
        <f>survey_responses[[#This Row],[Khu vực bạn đang sinh sống:]]</f>
        <v>Thành thị</v>
      </c>
      <c r="I385" t="str">
        <f>step3_validation[[#This Row],[Education]]</f>
        <v>Đại học</v>
      </c>
      <c r="J385" t="str">
        <f>survey_responses[[#This Row],[Trình độ học vấn cao nhất:]]</f>
        <v>Đại học</v>
      </c>
      <c r="K385" t="str">
        <f>step3_validation[[#This Row],[Employment]]</f>
        <v>Chính thức</v>
      </c>
      <c r="L385" t="str">
        <f>survey_responses[[#This Row],[Tình trạng việc làm chính:]]</f>
        <v>Khu vực chính thức (Có Hợp đồng lao động, đóng BHXH)</v>
      </c>
      <c r="M385">
        <f>step3_validation[[#This Row],[Income_Mil]]</f>
        <v>12</v>
      </c>
      <c r="N385" t="str">
        <f>survey_responses[[#This Row],[Thu nhập bình quân tháng theo Hợp đồng lao động của bạn là bao nhiêu? (Vui lòng điền tổng thu nhập trước khi khấu trừ các loại Bảo hiểm (BHXH, BHYT, BHTN) và Thuế TNCN)]]</f>
        <v>Dưới 12 triệu VNĐ</v>
      </c>
      <c r="O385">
        <f>step3_validation[[#This Row],[Dependents]]</f>
        <v>0</v>
      </c>
      <c r="P385" t="str">
        <f>survey_responses[[#This Row],[Số người phụ thuộc (con nhỏ, cha mẹ già...) đủ điều kiện giảm trừ gia cảnh:]]</f>
        <v>0 người</v>
      </c>
      <c r="Q385">
        <f>step3_validation[[#This Row],[AI_ENF1]]</f>
        <v>8</v>
      </c>
      <c r="R385" t="str">
        <f t="shared" si="135"/>
        <v>Support</v>
      </c>
      <c r="S385">
        <f>survey_responses[[#This Row],[Tôi tin rằng với các quy định quản lý thuế hiện nay, hành vi gian lận hoặc trốn thuế sẽ dễ dàng bị phát hiện và xử lý nghiêm. - HUMAN-ENF1]]</f>
        <v>7</v>
      </c>
      <c r="T385" t="str">
        <f t="shared" si="136"/>
        <v>Neutral</v>
      </c>
      <c r="U385" s="32">
        <f t="shared" si="137"/>
        <v>1</v>
      </c>
      <c r="V385">
        <f>step3_validation[[#This Row],[AI_ENF2]]</f>
        <v>7</v>
      </c>
      <c r="W385" t="str">
        <f t="shared" si="138"/>
        <v>Neutral</v>
      </c>
      <c r="X385">
        <f>survey_responses[[#This Row],[Tôi tin rằng Nhà nước, cơ quan thuế có đủ khả năng và công nghệ để phát hiện, xử lý nghiêm các hành vi trốn thuế. - HUMAN-ENF2]]</f>
        <v>7</v>
      </c>
      <c r="Y385" t="str">
        <f t="shared" si="139"/>
        <v>Neutral</v>
      </c>
      <c r="Z385" s="32">
        <f t="shared" si="140"/>
        <v>0</v>
      </c>
      <c r="AA385">
        <f>step3_validation[[#This Row],[AI_FAC1]]</f>
        <v>9</v>
      </c>
      <c r="AB385" t="str">
        <f t="shared" si="141"/>
        <v>Support</v>
      </c>
      <c r="AC385">
        <f>survey_responses[[#This Row],[Các thủ tục khai báo thuế VÀ/HOẶC quy trình làm việc với cơ quan thuế đơn giản, tiện lợi, nhanh chóng hơn so với trước đây. - HUMAN-FAC1]]</f>
        <v>7</v>
      </c>
      <c r="AD385" t="str">
        <f t="shared" si="142"/>
        <v>Neutral</v>
      </c>
      <c r="AE385" s="32">
        <f t="shared" si="143"/>
        <v>2</v>
      </c>
      <c r="AF385">
        <f>step3_validation[[#This Row],[AI_FAC2]]</f>
        <v>8</v>
      </c>
      <c r="AG385" t="str">
        <f t="shared" si="144"/>
        <v>Support</v>
      </c>
      <c r="AH385">
        <f>survey_responses[[#This Row],[So với trước đây, tôi thấy cách tính thuế và các bậc thuế trong phương án mới đơn giản, dễ hiểu và dễ thực hiện hơn. - HUMAN-FAC2]]</f>
        <v>9</v>
      </c>
      <c r="AI385" t="str">
        <f t="shared" si="145"/>
        <v>Support</v>
      </c>
      <c r="AJ385" s="32">
        <f t="shared" si="146"/>
        <v>1</v>
      </c>
      <c r="AK385">
        <f>step3_validation[[#This Row],[AI_TRU1]]</f>
        <v>8</v>
      </c>
      <c r="AL385" t="str">
        <f t="shared" si="147"/>
        <v>Support</v>
      </c>
      <c r="AM385">
        <f>survey_responses[[#This Row],[Tôi tin rằng Nhà nước, cơ quan thuế sẽ thực thi chính sách mới một cách khách quan, công tâm và đối xử bình đẳng với mọi người nộp thuế.  - HUMAN-TRU1]]</f>
        <v>8</v>
      </c>
      <c r="AN385" t="str">
        <f t="shared" si="148"/>
        <v>Support</v>
      </c>
      <c r="AO385" s="32">
        <f t="shared" si="149"/>
        <v>0</v>
      </c>
      <c r="AP385">
        <f>step3_validation[[#This Row],[AI_TRU2]]</f>
        <v>7</v>
      </c>
      <c r="AQ385" t="str">
        <f t="shared" si="150"/>
        <v>Neutral</v>
      </c>
      <c r="AR385">
        <f>survey_responses[[#This Row],[Tôi thấy mức thuế tôi phải đóng theo phương án mới là công bằng (người thu nhập như tôi đóng mức này là hợp lý). - HUMAN-TRU2]]</f>
        <v>10</v>
      </c>
      <c r="AS385" t="str">
        <f t="shared" si="151"/>
        <v>Support</v>
      </c>
      <c r="AT385" s="32">
        <f t="shared" si="152"/>
        <v>3</v>
      </c>
      <c r="AU385">
        <f>step3_validation[[#This Row],[AI_TRU3]]</f>
        <v>6</v>
      </c>
      <c r="AV385" t="str">
        <f t="shared" si="153"/>
        <v>Neutral</v>
      </c>
      <c r="AW385">
        <f>survey_responses[[#This Row],[Tôi tin tưởng số tiền thuế tôi đóng sẽ được Nhà nước sử dụng hiệu quả để cải thiện dịch vụ công (y tế, đường xá...). - HUMAN-TRU3]]</f>
        <v>8</v>
      </c>
      <c r="AX385" t="str">
        <f t="shared" si="154"/>
        <v>Support</v>
      </c>
      <c r="AY385" s="32">
        <f t="shared" si="155"/>
        <v>2</v>
      </c>
      <c r="AZ385">
        <f>step3_validation[[#This Row],[AI_TRU4]]</f>
        <v>5</v>
      </c>
      <c r="BA385" t="str">
        <f t="shared" si="156"/>
        <v>Neutral</v>
      </c>
      <c r="BB385">
        <f>survey_responses[[#This Row],[Tôi thấy Nhà nước đã giải thích rõ ràng, minh bạch về lý do và mục tiêu của việc sửa đổi thuế lần này. - HUMAN-TRU4]]</f>
        <v>7</v>
      </c>
      <c r="BC385" t="str">
        <f t="shared" si="157"/>
        <v>Neutral</v>
      </c>
      <c r="BD385" s="32">
        <f t="shared" si="158"/>
        <v>2</v>
      </c>
      <c r="BE385">
        <f>step3_validation[[#This Row],[AI_OUT1]]</f>
        <v>8</v>
      </c>
      <c r="BF385" t="str">
        <f t="shared" si="159"/>
        <v>Support</v>
      </c>
      <c r="BG385">
        <f>survey_responses[[#This Row],[Sau khi xem xét các quyền lợi và nghĩa vụ, bạn có ủng hộ và tuân thủ chính sách mới hiện nay? - HUMAN-OUT1]]</f>
        <v>10</v>
      </c>
      <c r="BH385" t="str">
        <f t="shared" si="160"/>
        <v>Support</v>
      </c>
      <c r="BI385" s="32">
        <f t="shared" si="161"/>
        <v>2</v>
      </c>
    </row>
    <row r="386" spans="1:61" x14ac:dyDescent="0.45">
      <c r="A386" s="30">
        <f>step3_validation[[#This Row],[Persona_ID]]</f>
        <v>385</v>
      </c>
      <c r="B386" s="31">
        <f>step3_validation[[#This Row],[Used_Seed]]</f>
        <v>2375</v>
      </c>
      <c r="C386" t="str">
        <f>step3_validation[[#This Row],[Gender]]</f>
        <v>Nam</v>
      </c>
      <c r="D386" t="str">
        <f>survey_responses[[#This Row],[Giới tính của bạn:]]</f>
        <v>Nam</v>
      </c>
      <c r="E386" t="str">
        <f>step3_validation[[#This Row],[Age_Group]]</f>
        <v>40 - 49</v>
      </c>
      <c r="F386" t="str">
        <f>survey_responses[[#This Row],[Độ tuổi của bạn:]]</f>
        <v>40 - 49</v>
      </c>
      <c r="G386" t="str">
        <f>step3_validation[[#This Row],[Region]]</f>
        <v>Thành thị</v>
      </c>
      <c r="H386" t="str">
        <f>survey_responses[[#This Row],[Khu vực bạn đang sinh sống:]]</f>
        <v>Thành thị</v>
      </c>
      <c r="I386" t="str">
        <f>step3_validation[[#This Row],[Education]]</f>
        <v>Đại học</v>
      </c>
      <c r="J386" t="str">
        <f>survey_responses[[#This Row],[Trình độ học vấn cao nhất:]]</f>
        <v>Đại học</v>
      </c>
      <c r="K386" t="str">
        <f>step3_validation[[#This Row],[Employment]]</f>
        <v>Chính thức</v>
      </c>
      <c r="L386" t="str">
        <f>survey_responses[[#This Row],[Tình trạng việc làm chính:]]</f>
        <v>Khu vực chính thức (Có Hợp đồng lao động, đóng BHXH)</v>
      </c>
      <c r="M386">
        <f>step3_validation[[#This Row],[Income_Mil]]</f>
        <v>35.124308822432177</v>
      </c>
      <c r="N386" t="str">
        <f>survey_responses[[#This Row],[Thu nhập bình quân tháng theo Hợp đồng lao động của bạn là bao nhiêu? (Vui lòng điền tổng thu nhập trước khi khấu trừ các loại Bảo hiểm (BHXH, BHYT, BHTN) và Thuế TNCN)]]</f>
        <v>Từ 32 - 48 triệu VNĐ</v>
      </c>
      <c r="O386">
        <f>step3_validation[[#This Row],[Dependents]]</f>
        <v>2</v>
      </c>
      <c r="P386" t="str">
        <f>survey_responses[[#This Row],[Số người phụ thuộc (con nhỏ, cha mẹ già...) đủ điều kiện giảm trừ gia cảnh:]]</f>
        <v>2 người</v>
      </c>
      <c r="Q386">
        <f>step3_validation[[#This Row],[AI_ENF1]]</f>
        <v>4</v>
      </c>
      <c r="R386" t="str">
        <f t="shared" si="135"/>
        <v>Oppose</v>
      </c>
      <c r="S386">
        <f>survey_responses[[#This Row],[Tôi tin rằng với các quy định quản lý thuế hiện nay, hành vi gian lận hoặc trốn thuế sẽ dễ dàng bị phát hiện và xử lý nghiêm. - HUMAN-ENF1]]</f>
        <v>3</v>
      </c>
      <c r="T386" t="str">
        <f t="shared" si="136"/>
        <v>Oppose</v>
      </c>
      <c r="U386" s="32">
        <f t="shared" si="137"/>
        <v>1</v>
      </c>
      <c r="V386">
        <f>step3_validation[[#This Row],[AI_ENF2]]</f>
        <v>6</v>
      </c>
      <c r="W386" t="str">
        <f t="shared" si="138"/>
        <v>Neutral</v>
      </c>
      <c r="X386">
        <f>survey_responses[[#This Row],[Tôi tin rằng Nhà nước, cơ quan thuế có đủ khả năng và công nghệ để phát hiện, xử lý nghiêm các hành vi trốn thuế. - HUMAN-ENF2]]</f>
        <v>3</v>
      </c>
      <c r="Y386" t="str">
        <f t="shared" si="139"/>
        <v>Oppose</v>
      </c>
      <c r="Z386" s="32">
        <f t="shared" si="140"/>
        <v>3</v>
      </c>
      <c r="AA386">
        <f>step3_validation[[#This Row],[AI_FAC1]]</f>
        <v>8</v>
      </c>
      <c r="AB386" t="str">
        <f t="shared" si="141"/>
        <v>Support</v>
      </c>
      <c r="AC386">
        <f>survey_responses[[#This Row],[Các thủ tục khai báo thuế VÀ/HOẶC quy trình làm việc với cơ quan thuế đơn giản, tiện lợi, nhanh chóng hơn so với trước đây. - HUMAN-FAC1]]</f>
        <v>4</v>
      </c>
      <c r="AD386" t="str">
        <f t="shared" si="142"/>
        <v>Oppose</v>
      </c>
      <c r="AE386" s="32">
        <f t="shared" si="143"/>
        <v>4</v>
      </c>
      <c r="AF386">
        <f>step3_validation[[#This Row],[AI_FAC2]]</f>
        <v>5</v>
      </c>
      <c r="AG386" t="str">
        <f t="shared" si="144"/>
        <v>Neutral</v>
      </c>
      <c r="AH386">
        <f>survey_responses[[#This Row],[So với trước đây, tôi thấy cách tính thuế và các bậc thuế trong phương án mới đơn giản, dễ hiểu và dễ thực hiện hơn. - HUMAN-FAC2]]</f>
        <v>6</v>
      </c>
      <c r="AI386" t="str">
        <f t="shared" si="145"/>
        <v>Neutral</v>
      </c>
      <c r="AJ386" s="32">
        <f t="shared" si="146"/>
        <v>1</v>
      </c>
      <c r="AK386">
        <f>step3_validation[[#This Row],[AI_TRU1]]</f>
        <v>3</v>
      </c>
      <c r="AL386" t="str">
        <f t="shared" si="147"/>
        <v>Oppose</v>
      </c>
      <c r="AM386">
        <f>survey_responses[[#This Row],[Tôi tin rằng Nhà nước, cơ quan thuế sẽ thực thi chính sách mới một cách khách quan, công tâm và đối xử bình đẳng với mọi người nộp thuế.  - HUMAN-TRU1]]</f>
        <v>4</v>
      </c>
      <c r="AN386" t="str">
        <f t="shared" si="148"/>
        <v>Oppose</v>
      </c>
      <c r="AO386" s="32">
        <f t="shared" si="149"/>
        <v>1</v>
      </c>
      <c r="AP386">
        <f>step3_validation[[#This Row],[AI_TRU2]]</f>
        <v>7</v>
      </c>
      <c r="AQ386" t="str">
        <f t="shared" si="150"/>
        <v>Neutral</v>
      </c>
      <c r="AR386">
        <f>survey_responses[[#This Row],[Tôi thấy mức thuế tôi phải đóng theo phương án mới là công bằng (người thu nhập như tôi đóng mức này là hợp lý). - HUMAN-TRU2]]</f>
        <v>5</v>
      </c>
      <c r="AS386" t="str">
        <f t="shared" si="151"/>
        <v>Neutral</v>
      </c>
      <c r="AT386" s="32">
        <f t="shared" si="152"/>
        <v>2</v>
      </c>
      <c r="AU386">
        <f>step3_validation[[#This Row],[AI_TRU3]]</f>
        <v>4</v>
      </c>
      <c r="AV386" t="str">
        <f t="shared" si="153"/>
        <v>Oppose</v>
      </c>
      <c r="AW386">
        <f>survey_responses[[#This Row],[Tôi tin tưởng số tiền thuế tôi đóng sẽ được Nhà nước sử dụng hiệu quả để cải thiện dịch vụ công (y tế, đường xá...). - HUMAN-TRU3]]</f>
        <v>4</v>
      </c>
      <c r="AX386" t="str">
        <f t="shared" si="154"/>
        <v>Oppose</v>
      </c>
      <c r="AY386" s="32">
        <f t="shared" si="155"/>
        <v>0</v>
      </c>
      <c r="AZ386">
        <f>step3_validation[[#This Row],[AI_TRU4]]</f>
        <v>5</v>
      </c>
      <c r="BA386" t="str">
        <f t="shared" si="156"/>
        <v>Neutral</v>
      </c>
      <c r="BB386">
        <f>survey_responses[[#This Row],[Tôi thấy Nhà nước đã giải thích rõ ràng, minh bạch về lý do và mục tiêu của việc sửa đổi thuế lần này. - HUMAN-TRU4]]</f>
        <v>5</v>
      </c>
      <c r="BC386" t="str">
        <f t="shared" si="157"/>
        <v>Neutral</v>
      </c>
      <c r="BD386" s="32">
        <f t="shared" si="158"/>
        <v>0</v>
      </c>
      <c r="BE386">
        <f>step3_validation[[#This Row],[AI_OUT1]]</f>
        <v>6</v>
      </c>
      <c r="BF386" t="str">
        <f t="shared" si="159"/>
        <v>Neutral</v>
      </c>
      <c r="BG386">
        <f>survey_responses[[#This Row],[Sau khi xem xét các quyền lợi và nghĩa vụ, bạn có ủng hộ và tuân thủ chính sách mới hiện nay? - HUMAN-OUT1]]</f>
        <v>5</v>
      </c>
      <c r="BH386" t="str">
        <f t="shared" si="160"/>
        <v>Neutral</v>
      </c>
      <c r="BI386" s="32">
        <f t="shared" si="161"/>
        <v>1</v>
      </c>
    </row>
    <row r="387" spans="1:61" x14ac:dyDescent="0.45">
      <c r="A387" s="30">
        <f>step3_validation[[#This Row],[Persona_ID]]</f>
        <v>386</v>
      </c>
      <c r="B387" s="31">
        <f>step3_validation[[#This Row],[Used_Seed]]</f>
        <v>2376</v>
      </c>
      <c r="C387" t="str">
        <f>step3_validation[[#This Row],[Gender]]</f>
        <v>Nữ</v>
      </c>
      <c r="D387" t="str">
        <f>survey_responses[[#This Row],[Giới tính của bạn:]]</f>
        <v>Nữ</v>
      </c>
      <c r="E387" t="str">
        <f>step3_validation[[#This Row],[Age_Group]]</f>
        <v>25 - 29</v>
      </c>
      <c r="F387" t="str">
        <f>survey_responses[[#This Row],[Độ tuổi của bạn:]]</f>
        <v>25 - 29</v>
      </c>
      <c r="G387" t="str">
        <f>step3_validation[[#This Row],[Region]]</f>
        <v>Thành thị</v>
      </c>
      <c r="H387" t="str">
        <f>survey_responses[[#This Row],[Khu vực bạn đang sinh sống:]]</f>
        <v>Thành thị</v>
      </c>
      <c r="I387" t="str">
        <f>step3_validation[[#This Row],[Education]]</f>
        <v>Sau Đại học</v>
      </c>
      <c r="J387" t="str">
        <f>survey_responses[[#This Row],[Trình độ học vấn cao nhất:]]</f>
        <v>Sau Đại học</v>
      </c>
      <c r="K387" t="str">
        <f>step3_validation[[#This Row],[Employment]]</f>
        <v>Chính thức</v>
      </c>
      <c r="L387" t="str">
        <f>survey_responses[[#This Row],[Tình trạng việc làm chính:]]</f>
        <v>Khu vực chính thức (Có Hợp đồng lao động, đóng BHXH)</v>
      </c>
      <c r="M387">
        <f>step3_validation[[#This Row],[Income_Mil]]</f>
        <v>29.241842720020962</v>
      </c>
      <c r="N387" t="str">
        <f>survey_responses[[#This Row],[Thu nhập bình quân tháng theo Hợp đồng lao động của bạn là bao nhiêu? (Vui lòng điền tổng thu nhập trước khi khấu trừ các loại Bảo hiểm (BHXH, BHYT, BHTN) và Thuế TNCN)]]</f>
        <v>Từ 23 - 32 triệu VNĐ</v>
      </c>
      <c r="O387">
        <f>step3_validation[[#This Row],[Dependents]]</f>
        <v>0</v>
      </c>
      <c r="P387" t="str">
        <f>survey_responses[[#This Row],[Số người phụ thuộc (con nhỏ, cha mẹ già...) đủ điều kiện giảm trừ gia cảnh:]]</f>
        <v>0 người</v>
      </c>
      <c r="Q387">
        <f>step3_validation[[#This Row],[AI_ENF1]]</f>
        <v>9</v>
      </c>
      <c r="R387" t="str">
        <f t="shared" ref="R387:R404" si="162">IF(AND(Q387&gt;=1,Q387&lt;5),"Oppose",IF(AND(Q387&gt;=5,Q387&lt;8),"Neutral",IF(AND(Q387&gt;=8,Q387&lt;=10),"Support","")))</f>
        <v>Support</v>
      </c>
      <c r="S387">
        <f>survey_responses[[#This Row],[Tôi tin rằng với các quy định quản lý thuế hiện nay, hành vi gian lận hoặc trốn thuế sẽ dễ dàng bị phát hiện và xử lý nghiêm. - HUMAN-ENF1]]</f>
        <v>8</v>
      </c>
      <c r="T387" t="str">
        <f t="shared" ref="T387:T404" si="163">IF(AND(S387&gt;=1,S387&lt;5),"Oppose",IF(AND(S387&gt;=5,S387&lt;8),"Neutral",IF(AND(S387&gt;=8,S387&lt;=10),"Support","")))</f>
        <v>Support</v>
      </c>
      <c r="U387" s="32">
        <f t="shared" ref="U387:U404" si="164">ABS(S387-Q387)</f>
        <v>1</v>
      </c>
      <c r="V387">
        <f>step3_validation[[#This Row],[AI_ENF2]]</f>
        <v>8</v>
      </c>
      <c r="W387" t="str">
        <f t="shared" ref="W387:W404" si="165">IF(AND(V387&gt;=1,V387&lt;5),"Oppose",IF(AND(V387&gt;=5,V387&lt;8),"Neutral",IF(AND(V387&gt;=8,V387&lt;=10),"Support","")))</f>
        <v>Support</v>
      </c>
      <c r="X387">
        <f>survey_responses[[#This Row],[Tôi tin rằng Nhà nước, cơ quan thuế có đủ khả năng và công nghệ để phát hiện, xử lý nghiêm các hành vi trốn thuế. - HUMAN-ENF2]]</f>
        <v>8</v>
      </c>
      <c r="Y387" t="str">
        <f t="shared" ref="Y387:Y404" si="166">IF(AND(X387&gt;=1,X387&lt;5),"Oppose",IF(AND(X387&gt;=5,X387&lt;8),"Neutral",IF(AND(X387&gt;=8,X387&lt;=10),"Support","")))</f>
        <v>Support</v>
      </c>
      <c r="Z387" s="32">
        <f t="shared" ref="Z387:Z404" si="167">ABS(X387-V387)</f>
        <v>0</v>
      </c>
      <c r="AA387">
        <f>step3_validation[[#This Row],[AI_FAC1]]</f>
        <v>8</v>
      </c>
      <c r="AB387" t="str">
        <f t="shared" ref="AB387:AB404" si="168">IF(AND(AA387&gt;=1,AA387&lt;5),"Oppose",IF(AND(AA387&gt;=5,AA387&lt;8),"Neutral",IF(AND(AA387&gt;=8,AA387&lt;=10),"Support","")))</f>
        <v>Support</v>
      </c>
      <c r="AC387">
        <f>survey_responses[[#This Row],[Các thủ tục khai báo thuế VÀ/HOẶC quy trình làm việc với cơ quan thuế đơn giản, tiện lợi, nhanh chóng hơn so với trước đây. - HUMAN-FAC1]]</f>
        <v>9</v>
      </c>
      <c r="AD387" t="str">
        <f t="shared" ref="AD387:AD404" si="169">IF(AND(AC387&gt;=1,AC387&lt;5),"Oppose",IF(AND(AC387&gt;=5,AC387&lt;8),"Neutral",IF(AND(AC387&gt;=8,AC387&lt;=10),"Support","")))</f>
        <v>Support</v>
      </c>
      <c r="AE387" s="32">
        <f t="shared" ref="AE387:AE404" si="170">ABS(AC387-AA387)</f>
        <v>1</v>
      </c>
      <c r="AF387">
        <f>step3_validation[[#This Row],[AI_FAC2]]</f>
        <v>7</v>
      </c>
      <c r="AG387" t="str">
        <f t="shared" ref="AG387:AG404" si="171">IF(AND(AF387&gt;=1,AF387&lt;5),"Oppose",IF(AND(AF387&gt;=5,AF387&lt;8),"Neutral",IF(AND(AF387&gt;=8,AF387&lt;=10),"Support","")))</f>
        <v>Neutral</v>
      </c>
      <c r="AH387">
        <f>survey_responses[[#This Row],[So với trước đây, tôi thấy cách tính thuế và các bậc thuế trong phương án mới đơn giản, dễ hiểu và dễ thực hiện hơn. - HUMAN-FAC2]]</f>
        <v>8</v>
      </c>
      <c r="AI387" t="str">
        <f t="shared" ref="AI387:AI404" si="172">IF(AND(AH387&gt;=1,AH387&lt;5),"Oppose",IF(AND(AH387&gt;=5,AH387&lt;8),"Neutral",IF(AND(AH387&gt;=8,AH387&lt;=10),"Support","")))</f>
        <v>Support</v>
      </c>
      <c r="AJ387" s="32">
        <f t="shared" ref="AJ387:AJ404" si="173">ABS(AH387-AF387)</f>
        <v>1</v>
      </c>
      <c r="AK387">
        <f>step3_validation[[#This Row],[AI_TRU1]]</f>
        <v>8</v>
      </c>
      <c r="AL387" t="str">
        <f t="shared" ref="AL387:AL404" si="174">IF(AND(AK387&gt;=1,AK387&lt;5),"Oppose",IF(AND(AK387&gt;=5,AK387&lt;8),"Neutral",IF(AND(AK387&gt;=8,AK387&lt;=10),"Support","")))</f>
        <v>Support</v>
      </c>
      <c r="AM387">
        <f>survey_responses[[#This Row],[Tôi tin rằng Nhà nước, cơ quan thuế sẽ thực thi chính sách mới một cách khách quan, công tâm và đối xử bình đẳng với mọi người nộp thuế.  - HUMAN-TRU1]]</f>
        <v>7</v>
      </c>
      <c r="AN387" t="str">
        <f t="shared" ref="AN387:AN404" si="175">IF(AND(AM387&gt;=1,AM387&lt;5),"Oppose",IF(AND(AM387&gt;=5,AM387&lt;8),"Neutral",IF(AND(AM387&gt;=8,AM387&lt;=10),"Support","")))</f>
        <v>Neutral</v>
      </c>
      <c r="AO387" s="32">
        <f t="shared" ref="AO387:AO404" si="176">ABS(AM387-AK387)</f>
        <v>1</v>
      </c>
      <c r="AP387">
        <f>step3_validation[[#This Row],[AI_TRU2]]</f>
        <v>7</v>
      </c>
      <c r="AQ387" t="str">
        <f t="shared" ref="AQ387:AQ404" si="177">IF(AND(AP387&gt;=1,AP387&lt;5),"Oppose",IF(AND(AP387&gt;=5,AP387&lt;8),"Neutral",IF(AND(AP387&gt;=8,AP387&lt;=10),"Support","")))</f>
        <v>Neutral</v>
      </c>
      <c r="AR387">
        <f>survey_responses[[#This Row],[Tôi thấy mức thuế tôi phải đóng theo phương án mới là công bằng (người thu nhập như tôi đóng mức này là hợp lý). - HUMAN-TRU2]]</f>
        <v>8</v>
      </c>
      <c r="AS387" t="str">
        <f t="shared" ref="AS387:AS404" si="178">IF(AND(AR387&gt;=1,AR387&lt;5),"Oppose",IF(AND(AR387&gt;=5,AR387&lt;8),"Neutral",IF(AND(AR387&gt;=8,AR387&lt;=10),"Support","")))</f>
        <v>Support</v>
      </c>
      <c r="AT387" s="32">
        <f t="shared" ref="AT387:AT404" si="179">ABS(AR387-AP387)</f>
        <v>1</v>
      </c>
      <c r="AU387">
        <f>step3_validation[[#This Row],[AI_TRU3]]</f>
        <v>6</v>
      </c>
      <c r="AV387" t="str">
        <f t="shared" ref="AV387:AV404" si="180">IF(AND(AU387&gt;=1,AU387&lt;5),"Oppose",IF(AND(AU387&gt;=5,AU387&lt;8),"Neutral",IF(AND(AU387&gt;=8,AU387&lt;=10),"Support","")))</f>
        <v>Neutral</v>
      </c>
      <c r="AW387">
        <f>survey_responses[[#This Row],[Tôi tin tưởng số tiền thuế tôi đóng sẽ được Nhà nước sử dụng hiệu quả để cải thiện dịch vụ công (y tế, đường xá...). - HUMAN-TRU3]]</f>
        <v>7</v>
      </c>
      <c r="AX387" t="str">
        <f t="shared" ref="AX387:AX404" si="181">IF(AND(AW387&gt;=1,AW387&lt;5),"Oppose",IF(AND(AW387&gt;=5,AW387&lt;8),"Neutral",IF(AND(AW387&gt;=8,AW387&lt;=10),"Support","")))</f>
        <v>Neutral</v>
      </c>
      <c r="AY387" s="32">
        <f t="shared" ref="AY387:AY404" si="182">ABS(AW387-AU387)</f>
        <v>1</v>
      </c>
      <c r="AZ387">
        <f>step3_validation[[#This Row],[AI_TRU4]]</f>
        <v>8</v>
      </c>
      <c r="BA387" t="str">
        <f t="shared" ref="BA387:BA404" si="183">IF(AND(AZ387&gt;=1,AZ387&lt;5),"Oppose",IF(AND(AZ387&gt;=5,AZ387&lt;8),"Neutral",IF(AND(AZ387&gt;=8,AZ387&lt;=10),"Support","")))</f>
        <v>Support</v>
      </c>
      <c r="BB387">
        <f>survey_responses[[#This Row],[Tôi thấy Nhà nước đã giải thích rõ ràng, minh bạch về lý do và mục tiêu của việc sửa đổi thuế lần này. - HUMAN-TRU4]]</f>
        <v>7</v>
      </c>
      <c r="BC387" t="str">
        <f t="shared" ref="BC387:BC404" si="184">IF(AND(BB387&gt;=1,BB387&lt;5),"Oppose",IF(AND(BB387&gt;=5,BB387&lt;8),"Neutral",IF(AND(BB387&gt;=8,BB387&lt;=10),"Support","")))</f>
        <v>Neutral</v>
      </c>
      <c r="BD387" s="32">
        <f t="shared" ref="BD387:BD404" si="185">ABS(BB387-AZ387)</f>
        <v>1</v>
      </c>
      <c r="BE387">
        <f>step3_validation[[#This Row],[AI_OUT1]]</f>
        <v>9</v>
      </c>
      <c r="BF387" t="str">
        <f t="shared" ref="BF387:BF404" si="186">IF(AND(BE387&gt;=1,BE387&lt;5),"Oppose",IF(AND(BE387&gt;=5,BE387&lt;8),"Neutral",IF(AND(BE387&gt;=8,BE387&lt;=10),"Support","")))</f>
        <v>Support</v>
      </c>
      <c r="BG387">
        <f>survey_responses[[#This Row],[Sau khi xem xét các quyền lợi và nghĩa vụ, bạn có ủng hộ và tuân thủ chính sách mới hiện nay? - HUMAN-OUT1]]</f>
        <v>8</v>
      </c>
      <c r="BH387" t="str">
        <f t="shared" ref="BH387:BH404" si="187">IF(AND(BG387&gt;=1,BG387&lt;5),"Oppose",IF(AND(BG387&gt;=5,BG387&lt;8),"Neutral",IF(AND(BG387&gt;=8,BG387&lt;=10),"Support","")))</f>
        <v>Support</v>
      </c>
      <c r="BI387" s="32">
        <f t="shared" ref="BI387:BI404" si="188">ABS(BG387-BE387)</f>
        <v>1</v>
      </c>
    </row>
    <row r="388" spans="1:61" x14ac:dyDescent="0.45">
      <c r="A388" s="30">
        <f>step3_validation[[#This Row],[Persona_ID]]</f>
        <v>387</v>
      </c>
      <c r="B388" s="31">
        <f>step3_validation[[#This Row],[Used_Seed]]</f>
        <v>2377</v>
      </c>
      <c r="C388" t="str">
        <f>step3_validation[[#This Row],[Gender]]</f>
        <v>Nam</v>
      </c>
      <c r="D388" t="str">
        <f>survey_responses[[#This Row],[Giới tính của bạn:]]</f>
        <v>Nam</v>
      </c>
      <c r="E388" t="str">
        <f>step3_validation[[#This Row],[Age_Group]]</f>
        <v>30 - 39</v>
      </c>
      <c r="F388" t="str">
        <f>survey_responses[[#This Row],[Độ tuổi của bạn:]]</f>
        <v>30 - 39</v>
      </c>
      <c r="G388" t="str">
        <f>step3_validation[[#This Row],[Region]]</f>
        <v>Thành thị</v>
      </c>
      <c r="H388" t="str">
        <f>survey_responses[[#This Row],[Khu vực bạn đang sinh sống:]]</f>
        <v>Thành thị</v>
      </c>
      <c r="I388" t="str">
        <f>step3_validation[[#This Row],[Education]]</f>
        <v>Đại học</v>
      </c>
      <c r="J388" t="str">
        <f>survey_responses[[#This Row],[Trình độ học vấn cao nhất:]]</f>
        <v>Đại học</v>
      </c>
      <c r="K388" t="str">
        <f>step3_validation[[#This Row],[Employment]]</f>
        <v>Chính thức</v>
      </c>
      <c r="L388" t="str">
        <f>survey_responses[[#This Row],[Tình trạng việc làm chính:]]</f>
        <v>Khu vực chính thức (Có Hợp đồng lao động, đóng BHXH)</v>
      </c>
      <c r="M388">
        <f>step3_validation[[#This Row],[Income_Mil]]</f>
        <v>52.847932292906329</v>
      </c>
      <c r="N388" t="str">
        <f>survey_responses[[#This Row],[Thu nhập bình quân tháng theo Hợp đồng lao động của bạn là bao nhiêu? (Vui lòng điền tổng thu nhập trước khi khấu trừ các loại Bảo hiểm (BHXH, BHYT, BHTN) và Thuế TNCN)]]</f>
        <v>Từ 48 - 70 triệu VNĐ</v>
      </c>
      <c r="O388">
        <f>step3_validation[[#This Row],[Dependents]]</f>
        <v>2</v>
      </c>
      <c r="P388" t="str">
        <f>survey_responses[[#This Row],[Số người phụ thuộc (con nhỏ, cha mẹ già...) đủ điều kiện giảm trừ gia cảnh:]]</f>
        <v>2 người</v>
      </c>
      <c r="Q388">
        <f>step3_validation[[#This Row],[AI_ENF1]]</f>
        <v>7</v>
      </c>
      <c r="R388" t="str">
        <f t="shared" si="162"/>
        <v>Neutral</v>
      </c>
      <c r="S388">
        <f>survey_responses[[#This Row],[Tôi tin rằng với các quy định quản lý thuế hiện nay, hành vi gian lận hoặc trốn thuế sẽ dễ dàng bị phát hiện và xử lý nghiêm. - HUMAN-ENF1]]</f>
        <v>5</v>
      </c>
      <c r="T388" t="str">
        <f t="shared" si="163"/>
        <v>Neutral</v>
      </c>
      <c r="U388" s="32">
        <f t="shared" si="164"/>
        <v>2</v>
      </c>
      <c r="V388">
        <f>step3_validation[[#This Row],[AI_ENF2]]</f>
        <v>8</v>
      </c>
      <c r="W388" t="str">
        <f t="shared" si="165"/>
        <v>Support</v>
      </c>
      <c r="X388">
        <f>survey_responses[[#This Row],[Tôi tin rằng Nhà nước, cơ quan thuế có đủ khả năng và công nghệ để phát hiện, xử lý nghiêm các hành vi trốn thuế. - HUMAN-ENF2]]</f>
        <v>5</v>
      </c>
      <c r="Y388" t="str">
        <f t="shared" si="166"/>
        <v>Neutral</v>
      </c>
      <c r="Z388" s="32">
        <f t="shared" si="167"/>
        <v>3</v>
      </c>
      <c r="AA388">
        <f>step3_validation[[#This Row],[AI_FAC1]]</f>
        <v>9</v>
      </c>
      <c r="AB388" t="str">
        <f t="shared" si="168"/>
        <v>Support</v>
      </c>
      <c r="AC388">
        <f>survey_responses[[#This Row],[Các thủ tục khai báo thuế VÀ/HOẶC quy trình làm việc với cơ quan thuế đơn giản, tiện lợi, nhanh chóng hơn so với trước đây. - HUMAN-FAC1]]</f>
        <v>5</v>
      </c>
      <c r="AD388" t="str">
        <f t="shared" si="169"/>
        <v>Neutral</v>
      </c>
      <c r="AE388" s="32">
        <f t="shared" si="170"/>
        <v>4</v>
      </c>
      <c r="AF388">
        <f>step3_validation[[#This Row],[AI_FAC2]]</f>
        <v>8</v>
      </c>
      <c r="AG388" t="str">
        <f t="shared" si="171"/>
        <v>Support</v>
      </c>
      <c r="AH388">
        <f>survey_responses[[#This Row],[So với trước đây, tôi thấy cách tính thuế và các bậc thuế trong phương án mới đơn giản, dễ hiểu và dễ thực hiện hơn. - HUMAN-FAC2]]</f>
        <v>5</v>
      </c>
      <c r="AI388" t="str">
        <f t="shared" si="172"/>
        <v>Neutral</v>
      </c>
      <c r="AJ388" s="32">
        <f t="shared" si="173"/>
        <v>3</v>
      </c>
      <c r="AK388">
        <f>step3_validation[[#This Row],[AI_TRU1]]</f>
        <v>6</v>
      </c>
      <c r="AL388" t="str">
        <f t="shared" si="174"/>
        <v>Neutral</v>
      </c>
      <c r="AM388">
        <f>survey_responses[[#This Row],[Tôi tin rằng Nhà nước, cơ quan thuế sẽ thực thi chính sách mới một cách khách quan, công tâm và đối xử bình đẳng với mọi người nộp thuế.  - HUMAN-TRU1]]</f>
        <v>5</v>
      </c>
      <c r="AN388" t="str">
        <f t="shared" si="175"/>
        <v>Neutral</v>
      </c>
      <c r="AO388" s="32">
        <f t="shared" si="176"/>
        <v>1</v>
      </c>
      <c r="AP388">
        <f>step3_validation[[#This Row],[AI_TRU2]]</f>
        <v>7</v>
      </c>
      <c r="AQ388" t="str">
        <f t="shared" si="177"/>
        <v>Neutral</v>
      </c>
      <c r="AR388">
        <f>survey_responses[[#This Row],[Tôi thấy mức thuế tôi phải đóng theo phương án mới là công bằng (người thu nhập như tôi đóng mức này là hợp lý). - HUMAN-TRU2]]</f>
        <v>5</v>
      </c>
      <c r="AS388" t="str">
        <f t="shared" si="178"/>
        <v>Neutral</v>
      </c>
      <c r="AT388" s="32">
        <f t="shared" si="179"/>
        <v>2</v>
      </c>
      <c r="AU388">
        <f>step3_validation[[#This Row],[AI_TRU3]]</f>
        <v>6</v>
      </c>
      <c r="AV388" t="str">
        <f t="shared" si="180"/>
        <v>Neutral</v>
      </c>
      <c r="AW388">
        <f>survey_responses[[#This Row],[Tôi tin tưởng số tiền thuế tôi đóng sẽ được Nhà nước sử dụng hiệu quả để cải thiện dịch vụ công (y tế, đường xá...). - HUMAN-TRU3]]</f>
        <v>5</v>
      </c>
      <c r="AX388" t="str">
        <f t="shared" si="181"/>
        <v>Neutral</v>
      </c>
      <c r="AY388" s="32">
        <f t="shared" si="182"/>
        <v>1</v>
      </c>
      <c r="AZ388">
        <f>step3_validation[[#This Row],[AI_TRU4]]</f>
        <v>5</v>
      </c>
      <c r="BA388" t="str">
        <f t="shared" si="183"/>
        <v>Neutral</v>
      </c>
      <c r="BB388">
        <f>survey_responses[[#This Row],[Tôi thấy Nhà nước đã giải thích rõ ràng, minh bạch về lý do và mục tiêu của việc sửa đổi thuế lần này. - HUMAN-TRU4]]</f>
        <v>5</v>
      </c>
      <c r="BC388" t="str">
        <f t="shared" si="184"/>
        <v>Neutral</v>
      </c>
      <c r="BD388" s="32">
        <f t="shared" si="185"/>
        <v>0</v>
      </c>
      <c r="BE388">
        <f>step3_validation[[#This Row],[AI_OUT1]]</f>
        <v>7</v>
      </c>
      <c r="BF388" t="str">
        <f t="shared" si="186"/>
        <v>Neutral</v>
      </c>
      <c r="BG388">
        <f>survey_responses[[#This Row],[Sau khi xem xét các quyền lợi và nghĩa vụ, bạn có ủng hộ và tuân thủ chính sách mới hiện nay? - HUMAN-OUT1]]</f>
        <v>5</v>
      </c>
      <c r="BH388" t="str">
        <f t="shared" si="187"/>
        <v>Neutral</v>
      </c>
      <c r="BI388" s="32">
        <f t="shared" si="188"/>
        <v>2</v>
      </c>
    </row>
    <row r="389" spans="1:61" x14ac:dyDescent="0.45">
      <c r="A389" s="30">
        <f>step3_validation[[#This Row],[Persona_ID]]</f>
        <v>388</v>
      </c>
      <c r="B389" s="31">
        <f>step3_validation[[#This Row],[Used_Seed]]</f>
        <v>2378</v>
      </c>
      <c r="C389" t="str">
        <f>step3_validation[[#This Row],[Gender]]</f>
        <v>Nam</v>
      </c>
      <c r="D389" t="str">
        <f>survey_responses[[#This Row],[Giới tính của bạn:]]</f>
        <v>Nam</v>
      </c>
      <c r="E389" t="str">
        <f>step3_validation[[#This Row],[Age_Group]]</f>
        <v>18 - 24</v>
      </c>
      <c r="F389" t="str">
        <f>survey_responses[[#This Row],[Độ tuổi của bạn:]]</f>
        <v>18 - 24</v>
      </c>
      <c r="G389" t="str">
        <f>step3_validation[[#This Row],[Region]]</f>
        <v>Thành thị</v>
      </c>
      <c r="H389" t="str">
        <f>survey_responses[[#This Row],[Khu vực bạn đang sinh sống:]]</f>
        <v>Thành thị</v>
      </c>
      <c r="I389" t="str">
        <f>step3_validation[[#This Row],[Education]]</f>
        <v>Đại học</v>
      </c>
      <c r="J389" t="str">
        <f>survey_responses[[#This Row],[Trình độ học vấn cao nhất:]]</f>
        <v>Đại học</v>
      </c>
      <c r="K389" t="str">
        <f>step3_validation[[#This Row],[Employment]]</f>
        <v>Chính thức</v>
      </c>
      <c r="L389" t="str">
        <f>survey_responses[[#This Row],[Tình trạng việc làm chính:]]</f>
        <v>Khu vực chính thức (Có Hợp đồng lao động, đóng BHXH)</v>
      </c>
      <c r="M389">
        <f>step3_validation[[#This Row],[Income_Mil]]</f>
        <v>12.676222042255832</v>
      </c>
      <c r="N389" t="str">
        <f>survey_responses[[#This Row],[Thu nhập bình quân tháng theo Hợp đồng lao động của bạn là bao nhiêu? (Vui lòng điền tổng thu nhập trước khi khấu trừ các loại Bảo hiểm (BHXH, BHYT, BHTN) và Thuế TNCN)]]</f>
        <v>Từ 12 - 18 triệu VNĐ</v>
      </c>
      <c r="O389">
        <f>step3_validation[[#This Row],[Dependents]]</f>
        <v>0</v>
      </c>
      <c r="P389" t="str">
        <f>survey_responses[[#This Row],[Số người phụ thuộc (con nhỏ, cha mẹ già...) đủ điều kiện giảm trừ gia cảnh:]]</f>
        <v>0 người</v>
      </c>
      <c r="Q389">
        <f>step3_validation[[#This Row],[AI_ENF1]]</f>
        <v>7</v>
      </c>
      <c r="R389" t="str">
        <f t="shared" si="162"/>
        <v>Neutral</v>
      </c>
      <c r="S389">
        <f>survey_responses[[#This Row],[Tôi tin rằng với các quy định quản lý thuế hiện nay, hành vi gian lận hoặc trốn thuế sẽ dễ dàng bị phát hiện và xử lý nghiêm. - HUMAN-ENF1]]</f>
        <v>7</v>
      </c>
      <c r="T389" t="str">
        <f t="shared" si="163"/>
        <v>Neutral</v>
      </c>
      <c r="U389" s="32">
        <f t="shared" si="164"/>
        <v>0</v>
      </c>
      <c r="V389">
        <f>step3_validation[[#This Row],[AI_ENF2]]</f>
        <v>6</v>
      </c>
      <c r="W389" t="str">
        <f t="shared" si="165"/>
        <v>Neutral</v>
      </c>
      <c r="X389">
        <f>survey_responses[[#This Row],[Tôi tin rằng Nhà nước, cơ quan thuế có đủ khả năng và công nghệ để phát hiện, xử lý nghiêm các hành vi trốn thuế. - HUMAN-ENF2]]</f>
        <v>7</v>
      </c>
      <c r="Y389" t="str">
        <f t="shared" si="166"/>
        <v>Neutral</v>
      </c>
      <c r="Z389" s="32">
        <f t="shared" si="167"/>
        <v>1</v>
      </c>
      <c r="AA389">
        <f>step3_validation[[#This Row],[AI_FAC1]]</f>
        <v>8</v>
      </c>
      <c r="AB389" t="str">
        <f t="shared" si="168"/>
        <v>Support</v>
      </c>
      <c r="AC389">
        <f>survey_responses[[#This Row],[Các thủ tục khai báo thuế VÀ/HOẶC quy trình làm việc với cơ quan thuế đơn giản, tiện lợi, nhanh chóng hơn so với trước đây. - HUMAN-FAC1]]</f>
        <v>5</v>
      </c>
      <c r="AD389" t="str">
        <f t="shared" si="169"/>
        <v>Neutral</v>
      </c>
      <c r="AE389" s="32">
        <f t="shared" si="170"/>
        <v>3</v>
      </c>
      <c r="AF389">
        <f>step3_validation[[#This Row],[AI_FAC2]]</f>
        <v>9</v>
      </c>
      <c r="AG389" t="str">
        <f t="shared" si="171"/>
        <v>Support</v>
      </c>
      <c r="AH389">
        <f>survey_responses[[#This Row],[So với trước đây, tôi thấy cách tính thuế và các bậc thuế trong phương án mới đơn giản, dễ hiểu và dễ thực hiện hơn. - HUMAN-FAC2]]</f>
        <v>8</v>
      </c>
      <c r="AI389" t="str">
        <f t="shared" si="172"/>
        <v>Support</v>
      </c>
      <c r="AJ389" s="32">
        <f t="shared" si="173"/>
        <v>1</v>
      </c>
      <c r="AK389">
        <f>step3_validation[[#This Row],[AI_TRU1]]</f>
        <v>8</v>
      </c>
      <c r="AL389" t="str">
        <f t="shared" si="174"/>
        <v>Support</v>
      </c>
      <c r="AM389">
        <f>survey_responses[[#This Row],[Tôi tin rằng Nhà nước, cơ quan thuế sẽ thực thi chính sách mới một cách khách quan, công tâm và đối xử bình đẳng với mọi người nộp thuế.  - HUMAN-TRU1]]</f>
        <v>6</v>
      </c>
      <c r="AN389" t="str">
        <f t="shared" si="175"/>
        <v>Neutral</v>
      </c>
      <c r="AO389" s="32">
        <f t="shared" si="176"/>
        <v>2</v>
      </c>
      <c r="AP389">
        <f>step3_validation[[#This Row],[AI_TRU2]]</f>
        <v>7</v>
      </c>
      <c r="AQ389" t="str">
        <f t="shared" si="177"/>
        <v>Neutral</v>
      </c>
      <c r="AR389">
        <f>survey_responses[[#This Row],[Tôi thấy mức thuế tôi phải đóng theo phương án mới là công bằng (người thu nhập như tôi đóng mức này là hợp lý). - HUMAN-TRU2]]</f>
        <v>8</v>
      </c>
      <c r="AS389" t="str">
        <f t="shared" si="178"/>
        <v>Support</v>
      </c>
      <c r="AT389" s="32">
        <f t="shared" si="179"/>
        <v>1</v>
      </c>
      <c r="AU389">
        <f>step3_validation[[#This Row],[AI_TRU3]]</f>
        <v>6</v>
      </c>
      <c r="AV389" t="str">
        <f t="shared" si="180"/>
        <v>Neutral</v>
      </c>
      <c r="AW389">
        <f>survey_responses[[#This Row],[Tôi tin tưởng số tiền thuế tôi đóng sẽ được Nhà nước sử dụng hiệu quả để cải thiện dịch vụ công (y tế, đường xá...). - HUMAN-TRU3]]</f>
        <v>5</v>
      </c>
      <c r="AX389" t="str">
        <f t="shared" si="181"/>
        <v>Neutral</v>
      </c>
      <c r="AY389" s="32">
        <f t="shared" si="182"/>
        <v>1</v>
      </c>
      <c r="AZ389">
        <f>step3_validation[[#This Row],[AI_TRU4]]</f>
        <v>5</v>
      </c>
      <c r="BA389" t="str">
        <f t="shared" si="183"/>
        <v>Neutral</v>
      </c>
      <c r="BB389">
        <f>survey_responses[[#This Row],[Tôi thấy Nhà nước đã giải thích rõ ràng, minh bạch về lý do và mục tiêu của việc sửa đổi thuế lần này. - HUMAN-TRU4]]</f>
        <v>5</v>
      </c>
      <c r="BC389" t="str">
        <f t="shared" si="184"/>
        <v>Neutral</v>
      </c>
      <c r="BD389" s="32">
        <f t="shared" si="185"/>
        <v>0</v>
      </c>
      <c r="BE389">
        <f>step3_validation[[#This Row],[AI_OUT1]]</f>
        <v>6</v>
      </c>
      <c r="BF389" t="str">
        <f t="shared" si="186"/>
        <v>Neutral</v>
      </c>
      <c r="BG389">
        <f>survey_responses[[#This Row],[Sau khi xem xét các quyền lợi và nghĩa vụ, bạn có ủng hộ và tuân thủ chính sách mới hiện nay? - HUMAN-OUT1]]</f>
        <v>8</v>
      </c>
      <c r="BH389" t="str">
        <f t="shared" si="187"/>
        <v>Support</v>
      </c>
      <c r="BI389" s="32">
        <f t="shared" si="188"/>
        <v>2</v>
      </c>
    </row>
    <row r="390" spans="1:61" x14ac:dyDescent="0.45">
      <c r="A390" s="30">
        <f>step3_validation[[#This Row],[Persona_ID]]</f>
        <v>389</v>
      </c>
      <c r="B390" s="31">
        <f>step3_validation[[#This Row],[Used_Seed]]</f>
        <v>2379</v>
      </c>
      <c r="C390" t="str">
        <f>step3_validation[[#This Row],[Gender]]</f>
        <v>Nam</v>
      </c>
      <c r="D390" t="str">
        <f>survey_responses[[#This Row],[Giới tính của bạn:]]</f>
        <v>Nam</v>
      </c>
      <c r="E390" t="str">
        <f>step3_validation[[#This Row],[Age_Group]]</f>
        <v>25 - 29</v>
      </c>
      <c r="F390" t="str">
        <f>survey_responses[[#This Row],[Độ tuổi của bạn:]]</f>
        <v>25 - 29</v>
      </c>
      <c r="G390" t="str">
        <f>step3_validation[[#This Row],[Region]]</f>
        <v>Thành thị</v>
      </c>
      <c r="H390" t="str">
        <f>survey_responses[[#This Row],[Khu vực bạn đang sinh sống:]]</f>
        <v>Thành thị</v>
      </c>
      <c r="I390" t="str">
        <f>step3_validation[[#This Row],[Education]]</f>
        <v>Đại học</v>
      </c>
      <c r="J390" t="str">
        <f>survey_responses[[#This Row],[Trình độ học vấn cao nhất:]]</f>
        <v>Đại học</v>
      </c>
      <c r="K390" t="str">
        <f>step3_validation[[#This Row],[Employment]]</f>
        <v>Chính thức</v>
      </c>
      <c r="L390" t="str">
        <f>survey_responses[[#This Row],[Tình trạng việc làm chính:]]</f>
        <v>Khu vực chính thức (Có Hợp đồng lao động, đóng BHXH)</v>
      </c>
      <c r="M390">
        <f>step3_validation[[#This Row],[Income_Mil]]</f>
        <v>20.136205359719021</v>
      </c>
      <c r="N390" t="str">
        <f>survey_responses[[#This Row],[Thu nhập bình quân tháng theo Hợp đồng lao động của bạn là bao nhiêu? (Vui lòng điền tổng thu nhập trước khi khấu trừ các loại Bảo hiểm (BHXH, BHYT, BHTN) và Thuế TNCN)]]</f>
        <v>Từ 18 - 23 triệu VNĐ</v>
      </c>
      <c r="O390">
        <f>step3_validation[[#This Row],[Dependents]]</f>
        <v>0</v>
      </c>
      <c r="P390" t="str">
        <f>survey_responses[[#This Row],[Số người phụ thuộc (con nhỏ, cha mẹ già...) đủ điều kiện giảm trừ gia cảnh:]]</f>
        <v>0 người</v>
      </c>
      <c r="Q390">
        <f>step3_validation[[#This Row],[AI_ENF1]]</f>
        <v>7</v>
      </c>
      <c r="R390" t="str">
        <f t="shared" si="162"/>
        <v>Neutral</v>
      </c>
      <c r="S390">
        <f>survey_responses[[#This Row],[Tôi tin rằng với các quy định quản lý thuế hiện nay, hành vi gian lận hoặc trốn thuế sẽ dễ dàng bị phát hiện và xử lý nghiêm. - HUMAN-ENF1]]</f>
        <v>6</v>
      </c>
      <c r="T390" t="str">
        <f t="shared" si="163"/>
        <v>Neutral</v>
      </c>
      <c r="U390" s="32">
        <f t="shared" si="164"/>
        <v>1</v>
      </c>
      <c r="V390">
        <f>step3_validation[[#This Row],[AI_ENF2]]</f>
        <v>8</v>
      </c>
      <c r="W390" t="str">
        <f t="shared" si="165"/>
        <v>Support</v>
      </c>
      <c r="X390">
        <f>survey_responses[[#This Row],[Tôi tin rằng Nhà nước, cơ quan thuế có đủ khả năng và công nghệ để phát hiện, xử lý nghiêm các hành vi trốn thuế. - HUMAN-ENF2]]</f>
        <v>8</v>
      </c>
      <c r="Y390" t="str">
        <f t="shared" si="166"/>
        <v>Support</v>
      </c>
      <c r="Z390" s="32">
        <f t="shared" si="167"/>
        <v>0</v>
      </c>
      <c r="AA390">
        <f>step3_validation[[#This Row],[AI_FAC1]]</f>
        <v>9</v>
      </c>
      <c r="AB390" t="str">
        <f t="shared" si="168"/>
        <v>Support</v>
      </c>
      <c r="AC390">
        <f>survey_responses[[#This Row],[Các thủ tục khai báo thuế VÀ/HOẶC quy trình làm việc với cơ quan thuế đơn giản, tiện lợi, nhanh chóng hơn so với trước đây. - HUMAN-FAC1]]</f>
        <v>7</v>
      </c>
      <c r="AD390" t="str">
        <f t="shared" si="169"/>
        <v>Neutral</v>
      </c>
      <c r="AE390" s="32">
        <f t="shared" si="170"/>
        <v>2</v>
      </c>
      <c r="AF390">
        <f>step3_validation[[#This Row],[AI_FAC2]]</f>
        <v>8</v>
      </c>
      <c r="AG390" t="str">
        <f t="shared" si="171"/>
        <v>Support</v>
      </c>
      <c r="AH390">
        <f>survey_responses[[#This Row],[So với trước đây, tôi thấy cách tính thuế và các bậc thuế trong phương án mới đơn giản, dễ hiểu và dễ thực hiện hơn. - HUMAN-FAC2]]</f>
        <v>8</v>
      </c>
      <c r="AI390" t="str">
        <f t="shared" si="172"/>
        <v>Support</v>
      </c>
      <c r="AJ390" s="32">
        <f t="shared" si="173"/>
        <v>0</v>
      </c>
      <c r="AK390">
        <f>step3_validation[[#This Row],[AI_TRU1]]</f>
        <v>7</v>
      </c>
      <c r="AL390" t="str">
        <f t="shared" si="174"/>
        <v>Neutral</v>
      </c>
      <c r="AM390">
        <f>survey_responses[[#This Row],[Tôi tin rằng Nhà nước, cơ quan thuế sẽ thực thi chính sách mới một cách khách quan, công tâm và đối xử bình đẳng với mọi người nộp thuế.  - HUMAN-TRU1]]</f>
        <v>6</v>
      </c>
      <c r="AN390" t="str">
        <f t="shared" si="175"/>
        <v>Neutral</v>
      </c>
      <c r="AO390" s="32">
        <f t="shared" si="176"/>
        <v>1</v>
      </c>
      <c r="AP390">
        <f>step3_validation[[#This Row],[AI_TRU2]]</f>
        <v>5</v>
      </c>
      <c r="AQ390" t="str">
        <f t="shared" si="177"/>
        <v>Neutral</v>
      </c>
      <c r="AR390">
        <f>survey_responses[[#This Row],[Tôi thấy mức thuế tôi phải đóng theo phương án mới là công bằng (người thu nhập như tôi đóng mức này là hợp lý). - HUMAN-TRU2]]</f>
        <v>8</v>
      </c>
      <c r="AS390" t="str">
        <f t="shared" si="178"/>
        <v>Support</v>
      </c>
      <c r="AT390" s="32">
        <f t="shared" si="179"/>
        <v>3</v>
      </c>
      <c r="AU390">
        <f>step3_validation[[#This Row],[AI_TRU3]]</f>
        <v>6</v>
      </c>
      <c r="AV390" t="str">
        <f t="shared" si="180"/>
        <v>Neutral</v>
      </c>
      <c r="AW390">
        <f>survey_responses[[#This Row],[Tôi tin tưởng số tiền thuế tôi đóng sẽ được Nhà nước sử dụng hiệu quả để cải thiện dịch vụ công (y tế, đường xá...). - HUMAN-TRU3]]</f>
        <v>5</v>
      </c>
      <c r="AX390" t="str">
        <f t="shared" si="181"/>
        <v>Neutral</v>
      </c>
      <c r="AY390" s="32">
        <f t="shared" si="182"/>
        <v>1</v>
      </c>
      <c r="AZ390">
        <f>step3_validation[[#This Row],[AI_TRU4]]</f>
        <v>7</v>
      </c>
      <c r="BA390" t="str">
        <f t="shared" si="183"/>
        <v>Neutral</v>
      </c>
      <c r="BB390">
        <f>survey_responses[[#This Row],[Tôi thấy Nhà nước đã giải thích rõ ràng, minh bạch về lý do và mục tiêu của việc sửa đổi thuế lần này. - HUMAN-TRU4]]</f>
        <v>5</v>
      </c>
      <c r="BC390" t="str">
        <f t="shared" si="184"/>
        <v>Neutral</v>
      </c>
      <c r="BD390" s="32">
        <f t="shared" si="185"/>
        <v>2</v>
      </c>
      <c r="BE390">
        <f>step3_validation[[#This Row],[AI_OUT1]]</f>
        <v>7</v>
      </c>
      <c r="BF390" t="str">
        <f t="shared" si="186"/>
        <v>Neutral</v>
      </c>
      <c r="BG390">
        <f>survey_responses[[#This Row],[Sau khi xem xét các quyền lợi và nghĩa vụ, bạn có ủng hộ và tuân thủ chính sách mới hiện nay? - HUMAN-OUT1]]</f>
        <v>8</v>
      </c>
      <c r="BH390" t="str">
        <f t="shared" si="187"/>
        <v>Support</v>
      </c>
      <c r="BI390" s="32">
        <f t="shared" si="188"/>
        <v>1</v>
      </c>
    </row>
    <row r="391" spans="1:61" x14ac:dyDescent="0.45">
      <c r="A391" s="30">
        <f>step3_validation[[#This Row],[Persona_ID]]</f>
        <v>390</v>
      </c>
      <c r="B391" s="31">
        <f>step3_validation[[#This Row],[Used_Seed]]</f>
        <v>2380</v>
      </c>
      <c r="C391" t="str">
        <f>step3_validation[[#This Row],[Gender]]</f>
        <v>Nữ</v>
      </c>
      <c r="D391" t="str">
        <f>survey_responses[[#This Row],[Giới tính của bạn:]]</f>
        <v>Nữ</v>
      </c>
      <c r="E391" t="str">
        <f>step3_validation[[#This Row],[Age_Group]]</f>
        <v>40 - 49</v>
      </c>
      <c r="F391" t="str">
        <f>survey_responses[[#This Row],[Độ tuổi của bạn:]]</f>
        <v>40 - 49</v>
      </c>
      <c r="G391" t="str">
        <f>step3_validation[[#This Row],[Region]]</f>
        <v>Thành thị</v>
      </c>
      <c r="H391" t="str">
        <f>survey_responses[[#This Row],[Khu vực bạn đang sinh sống:]]</f>
        <v>Thành thị</v>
      </c>
      <c r="I391" t="str">
        <f>step3_validation[[#This Row],[Education]]</f>
        <v>Sau Đại học</v>
      </c>
      <c r="J391" t="str">
        <f>survey_responses[[#This Row],[Trình độ học vấn cao nhất:]]</f>
        <v>Sau Đại học</v>
      </c>
      <c r="K391" t="str">
        <f>step3_validation[[#This Row],[Employment]]</f>
        <v>Chính thức</v>
      </c>
      <c r="L391" t="str">
        <f>survey_responses[[#This Row],[Tình trạng việc làm chính:]]</f>
        <v>Khu vực chính thức (Có Hợp đồng lao động, đóng BHXH)</v>
      </c>
      <c r="M391">
        <f>step3_validation[[#This Row],[Income_Mil]]</f>
        <v>34.459279784677925</v>
      </c>
      <c r="N391" t="str">
        <f>survey_responses[[#This Row],[Thu nhập bình quân tháng theo Hợp đồng lao động của bạn là bao nhiêu? (Vui lòng điền tổng thu nhập trước khi khấu trừ các loại Bảo hiểm (BHXH, BHYT, BHTN) và Thuế TNCN)]]</f>
        <v>Từ 32 - 48 triệu VNĐ</v>
      </c>
      <c r="O391">
        <f>step3_validation[[#This Row],[Dependents]]</f>
        <v>3</v>
      </c>
      <c r="P391" t="str">
        <f>survey_responses[[#This Row],[Số người phụ thuộc (con nhỏ, cha mẹ già...) đủ điều kiện giảm trừ gia cảnh:]]</f>
        <v>3 người</v>
      </c>
      <c r="Q391">
        <f>step3_validation[[#This Row],[AI_ENF1]]</f>
        <v>7</v>
      </c>
      <c r="R391" t="str">
        <f t="shared" si="162"/>
        <v>Neutral</v>
      </c>
      <c r="S391">
        <f>survey_responses[[#This Row],[Tôi tin rằng với các quy định quản lý thuế hiện nay, hành vi gian lận hoặc trốn thuế sẽ dễ dàng bị phát hiện và xử lý nghiêm. - HUMAN-ENF1]]</f>
        <v>10</v>
      </c>
      <c r="T391" t="str">
        <f t="shared" si="163"/>
        <v>Support</v>
      </c>
      <c r="U391" s="32">
        <f t="shared" si="164"/>
        <v>3</v>
      </c>
      <c r="V391">
        <f>step3_validation[[#This Row],[AI_ENF2]]</f>
        <v>6</v>
      </c>
      <c r="W391" t="str">
        <f t="shared" si="165"/>
        <v>Neutral</v>
      </c>
      <c r="X391">
        <f>survey_responses[[#This Row],[Tôi tin rằng Nhà nước, cơ quan thuế có đủ khả năng và công nghệ để phát hiện, xử lý nghiêm các hành vi trốn thuế. - HUMAN-ENF2]]</f>
        <v>10</v>
      </c>
      <c r="Y391" t="str">
        <f t="shared" si="166"/>
        <v>Support</v>
      </c>
      <c r="Z391" s="32">
        <f t="shared" si="167"/>
        <v>4</v>
      </c>
      <c r="AA391">
        <f>step3_validation[[#This Row],[AI_FAC1]]</f>
        <v>8</v>
      </c>
      <c r="AB391" t="str">
        <f t="shared" si="168"/>
        <v>Support</v>
      </c>
      <c r="AC391">
        <f>survey_responses[[#This Row],[Các thủ tục khai báo thuế VÀ/HOẶC quy trình làm việc với cơ quan thuế đơn giản, tiện lợi, nhanh chóng hơn so với trước đây. - HUMAN-FAC1]]</f>
        <v>5</v>
      </c>
      <c r="AD391" t="str">
        <f t="shared" si="169"/>
        <v>Neutral</v>
      </c>
      <c r="AE391" s="32">
        <f t="shared" si="170"/>
        <v>3</v>
      </c>
      <c r="AF391">
        <f>step3_validation[[#This Row],[AI_FAC2]]</f>
        <v>7</v>
      </c>
      <c r="AG391" t="str">
        <f t="shared" si="171"/>
        <v>Neutral</v>
      </c>
      <c r="AH391">
        <f>survey_responses[[#This Row],[So với trước đây, tôi thấy cách tính thuế và các bậc thuế trong phương án mới đơn giản, dễ hiểu và dễ thực hiện hơn. - HUMAN-FAC2]]</f>
        <v>9</v>
      </c>
      <c r="AI391" t="str">
        <f t="shared" si="172"/>
        <v>Support</v>
      </c>
      <c r="AJ391" s="32">
        <f t="shared" si="173"/>
        <v>2</v>
      </c>
      <c r="AK391">
        <f>step3_validation[[#This Row],[AI_TRU1]]</f>
        <v>8</v>
      </c>
      <c r="AL391" t="str">
        <f t="shared" si="174"/>
        <v>Support</v>
      </c>
      <c r="AM391">
        <f>survey_responses[[#This Row],[Tôi tin rằng Nhà nước, cơ quan thuế sẽ thực thi chính sách mới một cách khách quan, công tâm và đối xử bình đẳng với mọi người nộp thuế.  - HUMAN-TRU1]]</f>
        <v>7</v>
      </c>
      <c r="AN391" t="str">
        <f t="shared" si="175"/>
        <v>Neutral</v>
      </c>
      <c r="AO391" s="32">
        <f t="shared" si="176"/>
        <v>1</v>
      </c>
      <c r="AP391">
        <f>step3_validation[[#This Row],[AI_TRU2]]</f>
        <v>6</v>
      </c>
      <c r="AQ391" t="str">
        <f t="shared" si="177"/>
        <v>Neutral</v>
      </c>
      <c r="AR391">
        <f>survey_responses[[#This Row],[Tôi thấy mức thuế tôi phải đóng theo phương án mới là công bằng (người thu nhập như tôi đóng mức này là hợp lý). - HUMAN-TRU2]]</f>
        <v>8</v>
      </c>
      <c r="AS391" t="str">
        <f t="shared" si="178"/>
        <v>Support</v>
      </c>
      <c r="AT391" s="32">
        <f t="shared" si="179"/>
        <v>2</v>
      </c>
      <c r="AU391">
        <f>step3_validation[[#This Row],[AI_TRU3]]</f>
        <v>7</v>
      </c>
      <c r="AV391" t="str">
        <f t="shared" si="180"/>
        <v>Neutral</v>
      </c>
      <c r="AW391">
        <f>survey_responses[[#This Row],[Tôi tin tưởng số tiền thuế tôi đóng sẽ được Nhà nước sử dụng hiệu quả để cải thiện dịch vụ công (y tế, đường xá...). - HUMAN-TRU3]]</f>
        <v>5</v>
      </c>
      <c r="AX391" t="str">
        <f t="shared" si="181"/>
        <v>Neutral</v>
      </c>
      <c r="AY391" s="32">
        <f t="shared" si="182"/>
        <v>2</v>
      </c>
      <c r="AZ391">
        <f>step3_validation[[#This Row],[AI_TRU4]]</f>
        <v>6</v>
      </c>
      <c r="BA391" t="str">
        <f t="shared" si="183"/>
        <v>Neutral</v>
      </c>
      <c r="BB391">
        <f>survey_responses[[#This Row],[Tôi thấy Nhà nước đã giải thích rõ ràng, minh bạch về lý do và mục tiêu của việc sửa đổi thuế lần này. - HUMAN-TRU4]]</f>
        <v>5</v>
      </c>
      <c r="BC391" t="str">
        <f t="shared" si="184"/>
        <v>Neutral</v>
      </c>
      <c r="BD391" s="32">
        <f t="shared" si="185"/>
        <v>1</v>
      </c>
      <c r="BE391">
        <f>step3_validation[[#This Row],[AI_OUT1]]</f>
        <v>8</v>
      </c>
      <c r="BF391" t="str">
        <f t="shared" si="186"/>
        <v>Support</v>
      </c>
      <c r="BG391">
        <f>survey_responses[[#This Row],[Sau khi xem xét các quyền lợi và nghĩa vụ, bạn có ủng hộ và tuân thủ chính sách mới hiện nay? - HUMAN-OUT1]]</f>
        <v>8</v>
      </c>
      <c r="BH391" t="str">
        <f t="shared" si="187"/>
        <v>Support</v>
      </c>
      <c r="BI391" s="32">
        <f t="shared" si="188"/>
        <v>0</v>
      </c>
    </row>
    <row r="392" spans="1:61" x14ac:dyDescent="0.45">
      <c r="A392" s="30">
        <f>step3_validation[[#This Row],[Persona_ID]]</f>
        <v>391</v>
      </c>
      <c r="B392" s="31">
        <f>step3_validation[[#This Row],[Used_Seed]]</f>
        <v>2381</v>
      </c>
      <c r="C392" t="str">
        <f>step3_validation[[#This Row],[Gender]]</f>
        <v>Nam</v>
      </c>
      <c r="D392" t="str">
        <f>survey_responses[[#This Row],[Giới tính của bạn:]]</f>
        <v>Nam</v>
      </c>
      <c r="E392" t="str">
        <f>step3_validation[[#This Row],[Age_Group]]</f>
        <v>25 - 29</v>
      </c>
      <c r="F392" t="str">
        <f>survey_responses[[#This Row],[Độ tuổi của bạn:]]</f>
        <v>25 - 29</v>
      </c>
      <c r="G392" t="str">
        <f>step3_validation[[#This Row],[Region]]</f>
        <v>Thành thị</v>
      </c>
      <c r="H392" t="str">
        <f>survey_responses[[#This Row],[Khu vực bạn đang sinh sống:]]</f>
        <v>Thành thị</v>
      </c>
      <c r="I392" t="str">
        <f>step3_validation[[#This Row],[Education]]</f>
        <v>Đại học</v>
      </c>
      <c r="J392" t="str">
        <f>survey_responses[[#This Row],[Trình độ học vấn cao nhất:]]</f>
        <v>Đại học</v>
      </c>
      <c r="K392" t="str">
        <f>step3_validation[[#This Row],[Employment]]</f>
        <v>Chính thức</v>
      </c>
      <c r="L392" t="str">
        <f>survey_responses[[#This Row],[Tình trạng việc làm chính:]]</f>
        <v>Khu vực chính thức (Có Hợp đồng lao động, đóng BHXH)</v>
      </c>
      <c r="M392">
        <f>step3_validation[[#This Row],[Income_Mil]]</f>
        <v>15.101688341676548</v>
      </c>
      <c r="N392" t="str">
        <f>survey_responses[[#This Row],[Thu nhập bình quân tháng theo Hợp đồng lao động của bạn là bao nhiêu? (Vui lòng điền tổng thu nhập trước khi khấu trừ các loại Bảo hiểm (BHXH, BHYT, BHTN) và Thuế TNCN)]]</f>
        <v>Từ 12 - 18 triệu VNĐ</v>
      </c>
      <c r="O392">
        <f>step3_validation[[#This Row],[Dependents]]</f>
        <v>0</v>
      </c>
      <c r="P392" t="str">
        <f>survey_responses[[#This Row],[Số người phụ thuộc (con nhỏ, cha mẹ già...) đủ điều kiện giảm trừ gia cảnh:]]</f>
        <v>0 người</v>
      </c>
      <c r="Q392">
        <f>step3_validation[[#This Row],[AI_ENF1]]</f>
        <v>6</v>
      </c>
      <c r="R392" t="str">
        <f t="shared" si="162"/>
        <v>Neutral</v>
      </c>
      <c r="S392">
        <f>survey_responses[[#This Row],[Tôi tin rằng với các quy định quản lý thuế hiện nay, hành vi gian lận hoặc trốn thuế sẽ dễ dàng bị phát hiện và xử lý nghiêm. - HUMAN-ENF1]]</f>
        <v>4</v>
      </c>
      <c r="T392" t="str">
        <f t="shared" si="163"/>
        <v>Oppose</v>
      </c>
      <c r="U392" s="32">
        <f t="shared" si="164"/>
        <v>2</v>
      </c>
      <c r="V392">
        <f>step3_validation[[#This Row],[AI_ENF2]]</f>
        <v>6</v>
      </c>
      <c r="W392" t="str">
        <f t="shared" si="165"/>
        <v>Neutral</v>
      </c>
      <c r="X392">
        <f>survey_responses[[#This Row],[Tôi tin rằng Nhà nước, cơ quan thuế có đủ khả năng và công nghệ để phát hiện, xử lý nghiêm các hành vi trốn thuế. - HUMAN-ENF2]]</f>
        <v>5</v>
      </c>
      <c r="Y392" t="str">
        <f t="shared" si="166"/>
        <v>Neutral</v>
      </c>
      <c r="Z392" s="32">
        <f t="shared" si="167"/>
        <v>1</v>
      </c>
      <c r="AA392">
        <f>step3_validation[[#This Row],[AI_FAC1]]</f>
        <v>8</v>
      </c>
      <c r="AB392" t="str">
        <f t="shared" si="168"/>
        <v>Support</v>
      </c>
      <c r="AC392">
        <f>survey_responses[[#This Row],[Các thủ tục khai báo thuế VÀ/HOẶC quy trình làm việc với cơ quan thuế đơn giản, tiện lợi, nhanh chóng hơn so với trước đây. - HUMAN-FAC1]]</f>
        <v>7</v>
      </c>
      <c r="AD392" t="str">
        <f t="shared" si="169"/>
        <v>Neutral</v>
      </c>
      <c r="AE392" s="32">
        <f t="shared" si="170"/>
        <v>1</v>
      </c>
      <c r="AF392">
        <f>step3_validation[[#This Row],[AI_FAC2]]</f>
        <v>8</v>
      </c>
      <c r="AG392" t="str">
        <f t="shared" si="171"/>
        <v>Support</v>
      </c>
      <c r="AH392">
        <f>survey_responses[[#This Row],[So với trước đây, tôi thấy cách tính thuế và các bậc thuế trong phương án mới đơn giản, dễ hiểu và dễ thực hiện hơn. - HUMAN-FAC2]]</f>
        <v>7</v>
      </c>
      <c r="AI392" t="str">
        <f t="shared" si="172"/>
        <v>Neutral</v>
      </c>
      <c r="AJ392" s="32">
        <f t="shared" si="173"/>
        <v>1</v>
      </c>
      <c r="AK392">
        <f>step3_validation[[#This Row],[AI_TRU1]]</f>
        <v>7</v>
      </c>
      <c r="AL392" t="str">
        <f t="shared" si="174"/>
        <v>Neutral</v>
      </c>
      <c r="AM392">
        <f>survey_responses[[#This Row],[Tôi tin rằng Nhà nước, cơ quan thuế sẽ thực thi chính sách mới một cách khách quan, công tâm và đối xử bình đẳng với mọi người nộp thuế.  - HUMAN-TRU1]]</f>
        <v>5</v>
      </c>
      <c r="AN392" t="str">
        <f t="shared" si="175"/>
        <v>Neutral</v>
      </c>
      <c r="AO392" s="32">
        <f t="shared" si="176"/>
        <v>2</v>
      </c>
      <c r="AP392">
        <f>step3_validation[[#This Row],[AI_TRU2]]</f>
        <v>7</v>
      </c>
      <c r="AQ392" t="str">
        <f t="shared" si="177"/>
        <v>Neutral</v>
      </c>
      <c r="AR392">
        <f>survey_responses[[#This Row],[Tôi thấy mức thuế tôi phải đóng theo phương án mới là công bằng (người thu nhập như tôi đóng mức này là hợp lý). - HUMAN-TRU2]]</f>
        <v>7</v>
      </c>
      <c r="AS392" t="str">
        <f t="shared" si="178"/>
        <v>Neutral</v>
      </c>
      <c r="AT392" s="32">
        <f t="shared" si="179"/>
        <v>0</v>
      </c>
      <c r="AU392">
        <f>step3_validation[[#This Row],[AI_TRU3]]</f>
        <v>7</v>
      </c>
      <c r="AV392" t="str">
        <f t="shared" si="180"/>
        <v>Neutral</v>
      </c>
      <c r="AW392">
        <f>survey_responses[[#This Row],[Tôi tin tưởng số tiền thuế tôi đóng sẽ được Nhà nước sử dụng hiệu quả để cải thiện dịch vụ công (y tế, đường xá...). - HUMAN-TRU3]]</f>
        <v>5</v>
      </c>
      <c r="AX392" t="str">
        <f t="shared" si="181"/>
        <v>Neutral</v>
      </c>
      <c r="AY392" s="32">
        <f t="shared" si="182"/>
        <v>2</v>
      </c>
      <c r="AZ392">
        <f>step3_validation[[#This Row],[AI_TRU4]]</f>
        <v>6</v>
      </c>
      <c r="BA392" t="str">
        <f t="shared" si="183"/>
        <v>Neutral</v>
      </c>
      <c r="BB392">
        <f>survey_responses[[#This Row],[Tôi thấy Nhà nước đã giải thích rõ ràng, minh bạch về lý do và mục tiêu của việc sửa đổi thuế lần này. - HUMAN-TRU4]]</f>
        <v>5</v>
      </c>
      <c r="BC392" t="str">
        <f t="shared" si="184"/>
        <v>Neutral</v>
      </c>
      <c r="BD392" s="32">
        <f t="shared" si="185"/>
        <v>1</v>
      </c>
      <c r="BE392">
        <f>step3_validation[[#This Row],[AI_OUT1]]</f>
        <v>7</v>
      </c>
      <c r="BF392" t="str">
        <f t="shared" si="186"/>
        <v>Neutral</v>
      </c>
      <c r="BG392">
        <f>survey_responses[[#This Row],[Sau khi xem xét các quyền lợi và nghĩa vụ, bạn có ủng hộ và tuân thủ chính sách mới hiện nay? - HUMAN-OUT1]]</f>
        <v>7</v>
      </c>
      <c r="BH392" t="str">
        <f t="shared" si="187"/>
        <v>Neutral</v>
      </c>
      <c r="BI392" s="32">
        <f t="shared" si="188"/>
        <v>0</v>
      </c>
    </row>
    <row r="393" spans="1:61" x14ac:dyDescent="0.45">
      <c r="A393" s="30">
        <f>step3_validation[[#This Row],[Persona_ID]]</f>
        <v>392</v>
      </c>
      <c r="B393" s="31">
        <f>step3_validation[[#This Row],[Used_Seed]]</f>
        <v>2382</v>
      </c>
      <c r="C393" t="str">
        <f>step3_validation[[#This Row],[Gender]]</f>
        <v>Nữ</v>
      </c>
      <c r="D393" t="str">
        <f>survey_responses[[#This Row],[Giới tính của bạn:]]</f>
        <v>Nữ</v>
      </c>
      <c r="E393" t="str">
        <f>step3_validation[[#This Row],[Age_Group]]</f>
        <v>55 - 64</v>
      </c>
      <c r="F393" t="str">
        <f>survey_responses[[#This Row],[Độ tuổi của bạn:]]</f>
        <v>55 - 64</v>
      </c>
      <c r="G393" t="str">
        <f>step3_validation[[#This Row],[Region]]</f>
        <v>Thành thị</v>
      </c>
      <c r="H393" t="str">
        <f>survey_responses[[#This Row],[Khu vực bạn đang sinh sống:]]</f>
        <v>Thành thị</v>
      </c>
      <c r="I393" t="str">
        <f>step3_validation[[#This Row],[Education]]</f>
        <v>Sau Đại học</v>
      </c>
      <c r="J393" t="str">
        <f>survey_responses[[#This Row],[Trình độ học vấn cao nhất:]]</f>
        <v>Sau Đại học</v>
      </c>
      <c r="K393" t="str">
        <f>step3_validation[[#This Row],[Employment]]</f>
        <v>Chính thức</v>
      </c>
      <c r="L393" t="str">
        <f>survey_responses[[#This Row],[Tình trạng việc làm chính:]]</f>
        <v>Khu vực chính thức (Có Hợp đồng lao động, đóng BHXH)</v>
      </c>
      <c r="M393">
        <f>step3_validation[[#This Row],[Income_Mil]]</f>
        <v>153.63499539382221</v>
      </c>
      <c r="N393" t="str">
        <f>survey_responses[[#This Row],[Thu nhập bình quân tháng theo Hợp đồng lao động của bạn là bao nhiêu? (Vui lòng điền tổng thu nhập trước khi khấu trừ các loại Bảo hiểm (BHXH, BHYT, BHTN) và Thuế TNCN)]]</f>
        <v>Trên 102 triệu VNĐ</v>
      </c>
      <c r="O393">
        <f>step3_validation[[#This Row],[Dependents]]</f>
        <v>4</v>
      </c>
      <c r="P393" t="str">
        <f>survey_responses[[#This Row],[Số người phụ thuộc (con nhỏ, cha mẹ già...) đủ điều kiện giảm trừ gia cảnh:]]</f>
        <v>4 người trở lên</v>
      </c>
      <c r="Q393">
        <f>step3_validation[[#This Row],[AI_ENF1]]</f>
        <v>8</v>
      </c>
      <c r="R393" t="str">
        <f t="shared" si="162"/>
        <v>Support</v>
      </c>
      <c r="S393">
        <f>survey_responses[[#This Row],[Tôi tin rằng với các quy định quản lý thuế hiện nay, hành vi gian lận hoặc trốn thuế sẽ dễ dàng bị phát hiện và xử lý nghiêm. - HUMAN-ENF1]]</f>
        <v>2</v>
      </c>
      <c r="T393" t="str">
        <f t="shared" si="163"/>
        <v>Oppose</v>
      </c>
      <c r="U393" s="32">
        <f t="shared" si="164"/>
        <v>6</v>
      </c>
      <c r="V393">
        <f>step3_validation[[#This Row],[AI_ENF2]]</f>
        <v>7</v>
      </c>
      <c r="W393" t="str">
        <f t="shared" si="165"/>
        <v>Neutral</v>
      </c>
      <c r="X393">
        <f>survey_responses[[#This Row],[Tôi tin rằng Nhà nước, cơ quan thuế có đủ khả năng và công nghệ để phát hiện, xử lý nghiêm các hành vi trốn thuế. - HUMAN-ENF2]]</f>
        <v>3</v>
      </c>
      <c r="Y393" t="str">
        <f t="shared" si="166"/>
        <v>Oppose</v>
      </c>
      <c r="Z393" s="32">
        <f t="shared" si="167"/>
        <v>4</v>
      </c>
      <c r="AA393">
        <f>step3_validation[[#This Row],[AI_FAC1]]</f>
        <v>9</v>
      </c>
      <c r="AB393" t="str">
        <f t="shared" si="168"/>
        <v>Support</v>
      </c>
      <c r="AC393">
        <f>survey_responses[[#This Row],[Các thủ tục khai báo thuế VÀ/HOẶC quy trình làm việc với cơ quan thuế đơn giản, tiện lợi, nhanh chóng hơn so với trước đây. - HUMAN-FAC1]]</f>
        <v>3</v>
      </c>
      <c r="AD393" t="str">
        <f t="shared" si="169"/>
        <v>Oppose</v>
      </c>
      <c r="AE393" s="32">
        <f t="shared" si="170"/>
        <v>6</v>
      </c>
      <c r="AF393">
        <f>step3_validation[[#This Row],[AI_FAC2]]</f>
        <v>8</v>
      </c>
      <c r="AG393" t="str">
        <f t="shared" si="171"/>
        <v>Support</v>
      </c>
      <c r="AH393">
        <f>survey_responses[[#This Row],[So với trước đây, tôi thấy cách tính thuế và các bậc thuế trong phương án mới đơn giản, dễ hiểu và dễ thực hiện hơn. - HUMAN-FAC2]]</f>
        <v>6</v>
      </c>
      <c r="AI393" t="str">
        <f t="shared" si="172"/>
        <v>Neutral</v>
      </c>
      <c r="AJ393" s="32">
        <f t="shared" si="173"/>
        <v>2</v>
      </c>
      <c r="AK393">
        <f>step3_validation[[#This Row],[AI_TRU1]]</f>
        <v>6</v>
      </c>
      <c r="AL393" t="str">
        <f t="shared" si="174"/>
        <v>Neutral</v>
      </c>
      <c r="AM393">
        <f>survey_responses[[#This Row],[Tôi tin rằng Nhà nước, cơ quan thuế sẽ thực thi chính sách mới một cách khách quan, công tâm và đối xử bình đẳng với mọi người nộp thuế.  - HUMAN-TRU1]]</f>
        <v>5</v>
      </c>
      <c r="AN393" t="str">
        <f t="shared" si="175"/>
        <v>Neutral</v>
      </c>
      <c r="AO393" s="32">
        <f t="shared" si="176"/>
        <v>1</v>
      </c>
      <c r="AP393">
        <f>step3_validation[[#This Row],[AI_TRU2]]</f>
        <v>7</v>
      </c>
      <c r="AQ393" t="str">
        <f t="shared" si="177"/>
        <v>Neutral</v>
      </c>
      <c r="AR393">
        <f>survey_responses[[#This Row],[Tôi thấy mức thuế tôi phải đóng theo phương án mới là công bằng (người thu nhập như tôi đóng mức này là hợp lý). - HUMAN-TRU2]]</f>
        <v>5</v>
      </c>
      <c r="AS393" t="str">
        <f t="shared" si="178"/>
        <v>Neutral</v>
      </c>
      <c r="AT393" s="32">
        <f t="shared" si="179"/>
        <v>2</v>
      </c>
      <c r="AU393">
        <f>step3_validation[[#This Row],[AI_TRU3]]</f>
        <v>8</v>
      </c>
      <c r="AV393" t="str">
        <f t="shared" si="180"/>
        <v>Support</v>
      </c>
      <c r="AW393">
        <f>survey_responses[[#This Row],[Tôi tin tưởng số tiền thuế tôi đóng sẽ được Nhà nước sử dụng hiệu quả để cải thiện dịch vụ công (y tế, đường xá...). - HUMAN-TRU3]]</f>
        <v>5</v>
      </c>
      <c r="AX393" t="str">
        <f t="shared" si="181"/>
        <v>Neutral</v>
      </c>
      <c r="AY393" s="32">
        <f t="shared" si="182"/>
        <v>3</v>
      </c>
      <c r="AZ393">
        <f>step3_validation[[#This Row],[AI_TRU4]]</f>
        <v>6</v>
      </c>
      <c r="BA393" t="str">
        <f t="shared" si="183"/>
        <v>Neutral</v>
      </c>
      <c r="BB393">
        <f>survey_responses[[#This Row],[Tôi thấy Nhà nước đã giải thích rõ ràng, minh bạch về lý do và mục tiêu của việc sửa đổi thuế lần này. - HUMAN-TRU4]]</f>
        <v>5</v>
      </c>
      <c r="BC393" t="str">
        <f t="shared" si="184"/>
        <v>Neutral</v>
      </c>
      <c r="BD393" s="32">
        <f t="shared" si="185"/>
        <v>1</v>
      </c>
      <c r="BE393">
        <f>step3_validation[[#This Row],[AI_OUT1]]</f>
        <v>7</v>
      </c>
      <c r="BF393" t="str">
        <f t="shared" si="186"/>
        <v>Neutral</v>
      </c>
      <c r="BG393">
        <f>survey_responses[[#This Row],[Sau khi xem xét các quyền lợi và nghĩa vụ, bạn có ủng hộ và tuân thủ chính sách mới hiện nay? - HUMAN-OUT1]]</f>
        <v>5</v>
      </c>
      <c r="BH393" t="str">
        <f t="shared" si="187"/>
        <v>Neutral</v>
      </c>
      <c r="BI393" s="32">
        <f t="shared" si="188"/>
        <v>2</v>
      </c>
    </row>
    <row r="394" spans="1:61" x14ac:dyDescent="0.45">
      <c r="A394" s="30">
        <f>step3_validation[[#This Row],[Persona_ID]]</f>
        <v>393</v>
      </c>
      <c r="B394" s="31">
        <f>step3_validation[[#This Row],[Used_Seed]]</f>
        <v>2383</v>
      </c>
      <c r="C394" t="str">
        <f>step3_validation[[#This Row],[Gender]]</f>
        <v>Nữ</v>
      </c>
      <c r="D394" t="str">
        <f>survey_responses[[#This Row],[Giới tính của bạn:]]</f>
        <v>Nữ</v>
      </c>
      <c r="E394" t="str">
        <f>step3_validation[[#This Row],[Age_Group]]</f>
        <v>30 - 39</v>
      </c>
      <c r="F394" t="str">
        <f>survey_responses[[#This Row],[Độ tuổi của bạn:]]</f>
        <v>30 - 39</v>
      </c>
      <c r="G394" t="str">
        <f>step3_validation[[#This Row],[Region]]</f>
        <v>Thành thị</v>
      </c>
      <c r="H394" t="str">
        <f>survey_responses[[#This Row],[Khu vực bạn đang sinh sống:]]</f>
        <v>Thành thị</v>
      </c>
      <c r="I394" t="str">
        <f>step3_validation[[#This Row],[Education]]</f>
        <v>Đại học</v>
      </c>
      <c r="J394" t="str">
        <f>survey_responses[[#This Row],[Trình độ học vấn cao nhất:]]</f>
        <v>Đại học</v>
      </c>
      <c r="K394" t="str">
        <f>step3_validation[[#This Row],[Employment]]</f>
        <v>Chính thức</v>
      </c>
      <c r="L394" t="str">
        <f>survey_responses[[#This Row],[Tình trạng việc làm chính:]]</f>
        <v>Khu vực chính thức (Có Hợp đồng lao động, đóng BHXH)</v>
      </c>
      <c r="M394">
        <f>step3_validation[[#This Row],[Income_Mil]]</f>
        <v>26.366368373254399</v>
      </c>
      <c r="N394" t="str">
        <f>survey_responses[[#This Row],[Thu nhập bình quân tháng theo Hợp đồng lao động của bạn là bao nhiêu? (Vui lòng điền tổng thu nhập trước khi khấu trừ các loại Bảo hiểm (BHXH, BHYT, BHTN) và Thuế TNCN)]]</f>
        <v>Từ 23 - 32 triệu VNĐ</v>
      </c>
      <c r="O394">
        <f>step3_validation[[#This Row],[Dependents]]</f>
        <v>2</v>
      </c>
      <c r="P394" t="str">
        <f>survey_responses[[#This Row],[Số người phụ thuộc (con nhỏ, cha mẹ già...) đủ điều kiện giảm trừ gia cảnh:]]</f>
        <v>2 người</v>
      </c>
      <c r="Q394">
        <f>step3_validation[[#This Row],[AI_ENF1]]</f>
        <v>8</v>
      </c>
      <c r="R394" t="str">
        <f t="shared" si="162"/>
        <v>Support</v>
      </c>
      <c r="S394">
        <f>survey_responses[[#This Row],[Tôi tin rằng với các quy định quản lý thuế hiện nay, hành vi gian lận hoặc trốn thuế sẽ dễ dàng bị phát hiện và xử lý nghiêm. - HUMAN-ENF1]]</f>
        <v>7</v>
      </c>
      <c r="T394" t="str">
        <f t="shared" si="163"/>
        <v>Neutral</v>
      </c>
      <c r="U394" s="32">
        <f t="shared" si="164"/>
        <v>1</v>
      </c>
      <c r="V394">
        <f>step3_validation[[#This Row],[AI_ENF2]]</f>
        <v>9</v>
      </c>
      <c r="W394" t="str">
        <f t="shared" si="165"/>
        <v>Support</v>
      </c>
      <c r="X394">
        <f>survey_responses[[#This Row],[Tôi tin rằng Nhà nước, cơ quan thuế có đủ khả năng và công nghệ để phát hiện, xử lý nghiêm các hành vi trốn thuế. - HUMAN-ENF2]]</f>
        <v>7</v>
      </c>
      <c r="Y394" t="str">
        <f t="shared" si="166"/>
        <v>Neutral</v>
      </c>
      <c r="Z394" s="32">
        <f t="shared" si="167"/>
        <v>2</v>
      </c>
      <c r="AA394">
        <f>step3_validation[[#This Row],[AI_FAC1]]</f>
        <v>7</v>
      </c>
      <c r="AB394" t="str">
        <f t="shared" si="168"/>
        <v>Neutral</v>
      </c>
      <c r="AC394">
        <f>survey_responses[[#This Row],[Các thủ tục khai báo thuế VÀ/HOẶC quy trình làm việc với cơ quan thuế đơn giản, tiện lợi, nhanh chóng hơn so với trước đây. - HUMAN-FAC1]]</f>
        <v>5</v>
      </c>
      <c r="AD394" t="str">
        <f t="shared" si="169"/>
        <v>Neutral</v>
      </c>
      <c r="AE394" s="32">
        <f t="shared" si="170"/>
        <v>2</v>
      </c>
      <c r="AF394">
        <f>step3_validation[[#This Row],[AI_FAC2]]</f>
        <v>8</v>
      </c>
      <c r="AG394" t="str">
        <f t="shared" si="171"/>
        <v>Support</v>
      </c>
      <c r="AH394">
        <f>survey_responses[[#This Row],[So với trước đây, tôi thấy cách tính thuế và các bậc thuế trong phương án mới đơn giản, dễ hiểu và dễ thực hiện hơn. - HUMAN-FAC2]]</f>
        <v>8</v>
      </c>
      <c r="AI394" t="str">
        <f t="shared" si="172"/>
        <v>Support</v>
      </c>
      <c r="AJ394" s="32">
        <f t="shared" si="173"/>
        <v>0</v>
      </c>
      <c r="AK394">
        <f>step3_validation[[#This Row],[AI_TRU1]]</f>
        <v>7</v>
      </c>
      <c r="AL394" t="str">
        <f t="shared" si="174"/>
        <v>Neutral</v>
      </c>
      <c r="AM394">
        <f>survey_responses[[#This Row],[Tôi tin rằng Nhà nước, cơ quan thuế sẽ thực thi chính sách mới một cách khách quan, công tâm và đối xử bình đẳng với mọi người nộp thuế.  - HUMAN-TRU1]]</f>
        <v>7</v>
      </c>
      <c r="AN394" t="str">
        <f t="shared" si="175"/>
        <v>Neutral</v>
      </c>
      <c r="AO394" s="32">
        <f t="shared" si="176"/>
        <v>0</v>
      </c>
      <c r="AP394">
        <f>step3_validation[[#This Row],[AI_TRU2]]</f>
        <v>8</v>
      </c>
      <c r="AQ394" t="str">
        <f t="shared" si="177"/>
        <v>Support</v>
      </c>
      <c r="AR394">
        <f>survey_responses[[#This Row],[Tôi thấy mức thuế tôi phải đóng theo phương án mới là công bằng (người thu nhập như tôi đóng mức này là hợp lý). - HUMAN-TRU2]]</f>
        <v>7</v>
      </c>
      <c r="AS394" t="str">
        <f t="shared" si="178"/>
        <v>Neutral</v>
      </c>
      <c r="AT394" s="32">
        <f t="shared" si="179"/>
        <v>1</v>
      </c>
      <c r="AU394">
        <f>step3_validation[[#This Row],[AI_TRU3]]</f>
        <v>7</v>
      </c>
      <c r="AV394" t="str">
        <f t="shared" si="180"/>
        <v>Neutral</v>
      </c>
      <c r="AW394">
        <f>survey_responses[[#This Row],[Tôi tin tưởng số tiền thuế tôi đóng sẽ được Nhà nước sử dụng hiệu quả để cải thiện dịch vụ công (y tế, đường xá...). - HUMAN-TRU3]]</f>
        <v>5</v>
      </c>
      <c r="AX394" t="str">
        <f t="shared" si="181"/>
        <v>Neutral</v>
      </c>
      <c r="AY394" s="32">
        <f t="shared" si="182"/>
        <v>2</v>
      </c>
      <c r="AZ394">
        <f>step3_validation[[#This Row],[AI_TRU4]]</f>
        <v>5</v>
      </c>
      <c r="BA394" t="str">
        <f t="shared" si="183"/>
        <v>Neutral</v>
      </c>
      <c r="BB394">
        <f>survey_responses[[#This Row],[Tôi thấy Nhà nước đã giải thích rõ ràng, minh bạch về lý do và mục tiêu của việc sửa đổi thuế lần này. - HUMAN-TRU4]]</f>
        <v>6</v>
      </c>
      <c r="BC394" t="str">
        <f t="shared" si="184"/>
        <v>Neutral</v>
      </c>
      <c r="BD394" s="32">
        <f t="shared" si="185"/>
        <v>1</v>
      </c>
      <c r="BE394">
        <f>step3_validation[[#This Row],[AI_OUT1]]</f>
        <v>6</v>
      </c>
      <c r="BF394" t="str">
        <f t="shared" si="186"/>
        <v>Neutral</v>
      </c>
      <c r="BG394">
        <f>survey_responses[[#This Row],[Sau khi xem xét các quyền lợi và nghĩa vụ, bạn có ủng hộ và tuân thủ chính sách mới hiện nay? - HUMAN-OUT1]]</f>
        <v>7</v>
      </c>
      <c r="BH394" t="str">
        <f t="shared" si="187"/>
        <v>Neutral</v>
      </c>
      <c r="BI394" s="32">
        <f t="shared" si="188"/>
        <v>1</v>
      </c>
    </row>
    <row r="395" spans="1:61" x14ac:dyDescent="0.45">
      <c r="A395" s="30">
        <f>step3_validation[[#This Row],[Persona_ID]]</f>
        <v>394</v>
      </c>
      <c r="B395" s="31">
        <f>step3_validation[[#This Row],[Used_Seed]]</f>
        <v>2384</v>
      </c>
      <c r="C395" t="str">
        <f>step3_validation[[#This Row],[Gender]]</f>
        <v>Nam</v>
      </c>
      <c r="D395" t="str">
        <f>survey_responses[[#This Row],[Giới tính của bạn:]]</f>
        <v>Nam</v>
      </c>
      <c r="E395" t="str">
        <f>step3_validation[[#This Row],[Age_Group]]</f>
        <v>25 - 29</v>
      </c>
      <c r="F395" t="str">
        <f>survey_responses[[#This Row],[Độ tuổi của bạn:]]</f>
        <v>25 - 29</v>
      </c>
      <c r="G395" t="str">
        <f>step3_validation[[#This Row],[Region]]</f>
        <v>Thành thị</v>
      </c>
      <c r="H395" t="str">
        <f>survey_responses[[#This Row],[Khu vực bạn đang sinh sống:]]</f>
        <v>Thành thị</v>
      </c>
      <c r="I395" t="str">
        <f>step3_validation[[#This Row],[Education]]</f>
        <v>Đại học</v>
      </c>
      <c r="J395" t="str">
        <f>survey_responses[[#This Row],[Trình độ học vấn cao nhất:]]</f>
        <v>Đại học</v>
      </c>
      <c r="K395" t="str">
        <f>step3_validation[[#This Row],[Employment]]</f>
        <v>Chính thức</v>
      </c>
      <c r="L395" t="str">
        <f>survey_responses[[#This Row],[Tình trạng việc làm chính:]]</f>
        <v>Khu vực chính thức (Có Hợp đồng lao động, đóng BHXH)</v>
      </c>
      <c r="M395">
        <f>step3_validation[[#This Row],[Income_Mil]]</f>
        <v>12</v>
      </c>
      <c r="N395" t="str">
        <f>survey_responses[[#This Row],[Thu nhập bình quân tháng theo Hợp đồng lao động của bạn là bao nhiêu? (Vui lòng điền tổng thu nhập trước khi khấu trừ các loại Bảo hiểm (BHXH, BHYT, BHTN) và Thuế TNCN)]]</f>
        <v>Dưới 12 triệu VNĐ</v>
      </c>
      <c r="O395">
        <f>step3_validation[[#This Row],[Dependents]]</f>
        <v>1</v>
      </c>
      <c r="P395" t="str">
        <f>survey_responses[[#This Row],[Số người phụ thuộc (con nhỏ, cha mẹ già...) đủ điều kiện giảm trừ gia cảnh:]]</f>
        <v>1 người</v>
      </c>
      <c r="Q395">
        <f>step3_validation[[#This Row],[AI_ENF1]]</f>
        <v>8</v>
      </c>
      <c r="R395" t="str">
        <f t="shared" si="162"/>
        <v>Support</v>
      </c>
      <c r="S395">
        <f>survey_responses[[#This Row],[Tôi tin rằng với các quy định quản lý thuế hiện nay, hành vi gian lận hoặc trốn thuế sẽ dễ dàng bị phát hiện và xử lý nghiêm. - HUMAN-ENF1]]</f>
        <v>9</v>
      </c>
      <c r="T395" t="str">
        <f t="shared" si="163"/>
        <v>Support</v>
      </c>
      <c r="U395" s="32">
        <f t="shared" si="164"/>
        <v>1</v>
      </c>
      <c r="V395">
        <f>step3_validation[[#This Row],[AI_ENF2]]</f>
        <v>9</v>
      </c>
      <c r="W395" t="str">
        <f t="shared" si="165"/>
        <v>Support</v>
      </c>
      <c r="X395">
        <f>survey_responses[[#This Row],[Tôi tin rằng Nhà nước, cơ quan thuế có đủ khả năng và công nghệ để phát hiện, xử lý nghiêm các hành vi trốn thuế. - HUMAN-ENF2]]</f>
        <v>9</v>
      </c>
      <c r="Y395" t="str">
        <f t="shared" si="166"/>
        <v>Support</v>
      </c>
      <c r="Z395" s="32">
        <f t="shared" si="167"/>
        <v>0</v>
      </c>
      <c r="AA395">
        <f>step3_validation[[#This Row],[AI_FAC1]]</f>
        <v>8</v>
      </c>
      <c r="AB395" t="str">
        <f t="shared" si="168"/>
        <v>Support</v>
      </c>
      <c r="AC395">
        <f>survey_responses[[#This Row],[Các thủ tục khai báo thuế VÀ/HOẶC quy trình làm việc với cơ quan thuế đơn giản, tiện lợi, nhanh chóng hơn so với trước đây. - HUMAN-FAC1]]</f>
        <v>9</v>
      </c>
      <c r="AD395" t="str">
        <f t="shared" si="169"/>
        <v>Support</v>
      </c>
      <c r="AE395" s="32">
        <f t="shared" si="170"/>
        <v>1</v>
      </c>
      <c r="AF395">
        <f>step3_validation[[#This Row],[AI_FAC2]]</f>
        <v>7</v>
      </c>
      <c r="AG395" t="str">
        <f t="shared" si="171"/>
        <v>Neutral</v>
      </c>
      <c r="AH395">
        <f>survey_responses[[#This Row],[So với trước đây, tôi thấy cách tính thuế và các bậc thuế trong phương án mới đơn giản, dễ hiểu và dễ thực hiện hơn. - HUMAN-FAC2]]</f>
        <v>7</v>
      </c>
      <c r="AI395" t="str">
        <f t="shared" si="172"/>
        <v>Neutral</v>
      </c>
      <c r="AJ395" s="32">
        <f t="shared" si="173"/>
        <v>0</v>
      </c>
      <c r="AK395">
        <f>step3_validation[[#This Row],[AI_TRU1]]</f>
        <v>8</v>
      </c>
      <c r="AL395" t="str">
        <f t="shared" si="174"/>
        <v>Support</v>
      </c>
      <c r="AM395">
        <f>survey_responses[[#This Row],[Tôi tin rằng Nhà nước, cơ quan thuế sẽ thực thi chính sách mới một cách khách quan, công tâm và đối xử bình đẳng với mọi người nộp thuế.  - HUMAN-TRU1]]</f>
        <v>8</v>
      </c>
      <c r="AN395" t="str">
        <f t="shared" si="175"/>
        <v>Support</v>
      </c>
      <c r="AO395" s="32">
        <f t="shared" si="176"/>
        <v>0</v>
      </c>
      <c r="AP395">
        <f>step3_validation[[#This Row],[AI_TRU2]]</f>
        <v>7</v>
      </c>
      <c r="AQ395" t="str">
        <f t="shared" si="177"/>
        <v>Neutral</v>
      </c>
      <c r="AR395">
        <f>survey_responses[[#This Row],[Tôi thấy mức thuế tôi phải đóng theo phương án mới là công bằng (người thu nhập như tôi đóng mức này là hợp lý). - HUMAN-TRU2]]</f>
        <v>6</v>
      </c>
      <c r="AS395" t="str">
        <f t="shared" si="178"/>
        <v>Neutral</v>
      </c>
      <c r="AT395" s="32">
        <f t="shared" si="179"/>
        <v>1</v>
      </c>
      <c r="AU395">
        <f>step3_validation[[#This Row],[AI_TRU3]]</f>
        <v>8</v>
      </c>
      <c r="AV395" t="str">
        <f t="shared" si="180"/>
        <v>Support</v>
      </c>
      <c r="AW395">
        <f>survey_responses[[#This Row],[Tôi tin tưởng số tiền thuế tôi đóng sẽ được Nhà nước sử dụng hiệu quả để cải thiện dịch vụ công (y tế, đường xá...). - HUMAN-TRU3]]</f>
        <v>8</v>
      </c>
      <c r="AX395" t="str">
        <f t="shared" si="181"/>
        <v>Support</v>
      </c>
      <c r="AY395" s="32">
        <f t="shared" si="182"/>
        <v>0</v>
      </c>
      <c r="AZ395">
        <f>step3_validation[[#This Row],[AI_TRU4]]</f>
        <v>7</v>
      </c>
      <c r="BA395" t="str">
        <f t="shared" si="183"/>
        <v>Neutral</v>
      </c>
      <c r="BB395">
        <f>survey_responses[[#This Row],[Tôi thấy Nhà nước đã giải thích rõ ràng, minh bạch về lý do và mục tiêu của việc sửa đổi thuế lần này. - HUMAN-TRU4]]</f>
        <v>10</v>
      </c>
      <c r="BC395" t="str">
        <f t="shared" si="184"/>
        <v>Support</v>
      </c>
      <c r="BD395" s="32">
        <f t="shared" si="185"/>
        <v>3</v>
      </c>
      <c r="BE395">
        <f>step3_validation[[#This Row],[AI_OUT1]]</f>
        <v>8</v>
      </c>
      <c r="BF395" t="str">
        <f t="shared" si="186"/>
        <v>Support</v>
      </c>
      <c r="BG395">
        <f>survey_responses[[#This Row],[Sau khi xem xét các quyền lợi và nghĩa vụ, bạn có ủng hộ và tuân thủ chính sách mới hiện nay? - HUMAN-OUT1]]</f>
        <v>10</v>
      </c>
      <c r="BH395" t="str">
        <f t="shared" si="187"/>
        <v>Support</v>
      </c>
      <c r="BI395" s="32">
        <f t="shared" si="188"/>
        <v>2</v>
      </c>
    </row>
    <row r="396" spans="1:61" x14ac:dyDescent="0.45">
      <c r="A396" s="30">
        <f>step3_validation[[#This Row],[Persona_ID]]</f>
        <v>395</v>
      </c>
      <c r="B396" s="31">
        <f>step3_validation[[#This Row],[Used_Seed]]</f>
        <v>2385</v>
      </c>
      <c r="C396" t="str">
        <f>step3_validation[[#This Row],[Gender]]</f>
        <v>Nam</v>
      </c>
      <c r="D396" t="str">
        <f>survey_responses[[#This Row],[Giới tính của bạn:]]</f>
        <v>Nam</v>
      </c>
      <c r="E396" t="str">
        <f>step3_validation[[#This Row],[Age_Group]]</f>
        <v>50 - 54</v>
      </c>
      <c r="F396" t="str">
        <f>survey_responses[[#This Row],[Độ tuổi của bạn:]]</f>
        <v>50 - 54</v>
      </c>
      <c r="G396" t="str">
        <f>step3_validation[[#This Row],[Region]]</f>
        <v>Thành thị</v>
      </c>
      <c r="H396" t="str">
        <f>survey_responses[[#This Row],[Khu vực bạn đang sinh sống:]]</f>
        <v>Thành thị</v>
      </c>
      <c r="I396" t="str">
        <f>step3_validation[[#This Row],[Education]]</f>
        <v>Đại học</v>
      </c>
      <c r="J396" t="str">
        <f>survey_responses[[#This Row],[Trình độ học vấn cao nhất:]]</f>
        <v>Đại học</v>
      </c>
      <c r="K396" t="str">
        <f>step3_validation[[#This Row],[Employment]]</f>
        <v>Chính thức</v>
      </c>
      <c r="L396" t="str">
        <f>survey_responses[[#This Row],[Tình trạng việc làm chính:]]</f>
        <v>Khu vực chính thức (Có Hợp đồng lao động, đóng BHXH)</v>
      </c>
      <c r="M396">
        <f>step3_validation[[#This Row],[Income_Mil]]</f>
        <v>37.18922022252984</v>
      </c>
      <c r="N396" t="str">
        <f>survey_responses[[#This Row],[Thu nhập bình quân tháng theo Hợp đồng lao động của bạn là bao nhiêu? (Vui lòng điền tổng thu nhập trước khi khấu trừ các loại Bảo hiểm (BHXH, BHYT, BHTN) và Thuế TNCN)]]</f>
        <v>Từ 32 - 48 triệu VNĐ</v>
      </c>
      <c r="O396">
        <f>step3_validation[[#This Row],[Dependents]]</f>
        <v>1</v>
      </c>
      <c r="P396" t="str">
        <f>survey_responses[[#This Row],[Số người phụ thuộc (con nhỏ, cha mẹ già...) đủ điều kiện giảm trừ gia cảnh:]]</f>
        <v>1 người</v>
      </c>
      <c r="Q396">
        <f>step3_validation[[#This Row],[AI_ENF1]]</f>
        <v>8</v>
      </c>
      <c r="R396" t="str">
        <f t="shared" si="162"/>
        <v>Support</v>
      </c>
      <c r="S396">
        <f>survey_responses[[#This Row],[Tôi tin rằng với các quy định quản lý thuế hiện nay, hành vi gian lận hoặc trốn thuế sẽ dễ dàng bị phát hiện và xử lý nghiêm. - HUMAN-ENF1]]</f>
        <v>7</v>
      </c>
      <c r="T396" t="str">
        <f t="shared" si="163"/>
        <v>Neutral</v>
      </c>
      <c r="U396" s="32">
        <f t="shared" si="164"/>
        <v>1</v>
      </c>
      <c r="V396">
        <f>step3_validation[[#This Row],[AI_ENF2]]</f>
        <v>7</v>
      </c>
      <c r="W396" t="str">
        <f t="shared" si="165"/>
        <v>Neutral</v>
      </c>
      <c r="X396">
        <f>survey_responses[[#This Row],[Tôi tin rằng Nhà nước, cơ quan thuế có đủ khả năng và công nghệ để phát hiện, xử lý nghiêm các hành vi trốn thuế. - HUMAN-ENF2]]</f>
        <v>7</v>
      </c>
      <c r="Y396" t="str">
        <f t="shared" si="166"/>
        <v>Neutral</v>
      </c>
      <c r="Z396" s="32">
        <f t="shared" si="167"/>
        <v>0</v>
      </c>
      <c r="AA396">
        <f>step3_validation[[#This Row],[AI_FAC1]]</f>
        <v>9</v>
      </c>
      <c r="AB396" t="str">
        <f t="shared" si="168"/>
        <v>Support</v>
      </c>
      <c r="AC396">
        <f>survey_responses[[#This Row],[Các thủ tục khai báo thuế VÀ/HOẶC quy trình làm việc với cơ quan thuế đơn giản, tiện lợi, nhanh chóng hơn so với trước đây. - HUMAN-FAC1]]</f>
        <v>5</v>
      </c>
      <c r="AD396" t="str">
        <f t="shared" si="169"/>
        <v>Neutral</v>
      </c>
      <c r="AE396" s="32">
        <f t="shared" si="170"/>
        <v>4</v>
      </c>
      <c r="AF396">
        <f>step3_validation[[#This Row],[AI_FAC2]]</f>
        <v>8</v>
      </c>
      <c r="AG396" t="str">
        <f t="shared" si="171"/>
        <v>Support</v>
      </c>
      <c r="AH396">
        <f>survey_responses[[#This Row],[So với trước đây, tôi thấy cách tính thuế và các bậc thuế trong phương án mới đơn giản, dễ hiểu và dễ thực hiện hơn. - HUMAN-FAC2]]</f>
        <v>7</v>
      </c>
      <c r="AI396" t="str">
        <f t="shared" si="172"/>
        <v>Neutral</v>
      </c>
      <c r="AJ396" s="32">
        <f t="shared" si="173"/>
        <v>1</v>
      </c>
      <c r="AK396">
        <f>step3_validation[[#This Row],[AI_TRU1]]</f>
        <v>7</v>
      </c>
      <c r="AL396" t="str">
        <f t="shared" si="174"/>
        <v>Neutral</v>
      </c>
      <c r="AM396">
        <f>survey_responses[[#This Row],[Tôi tin rằng Nhà nước, cơ quan thuế sẽ thực thi chính sách mới một cách khách quan, công tâm và đối xử bình đẳng với mọi người nộp thuế.  - HUMAN-TRU1]]</f>
        <v>5</v>
      </c>
      <c r="AN396" t="str">
        <f t="shared" si="175"/>
        <v>Neutral</v>
      </c>
      <c r="AO396" s="32">
        <f t="shared" si="176"/>
        <v>2</v>
      </c>
      <c r="AP396">
        <f>step3_validation[[#This Row],[AI_TRU2]]</f>
        <v>6</v>
      </c>
      <c r="AQ396" t="str">
        <f t="shared" si="177"/>
        <v>Neutral</v>
      </c>
      <c r="AR396">
        <f>survey_responses[[#This Row],[Tôi thấy mức thuế tôi phải đóng theo phương án mới là công bằng (người thu nhập như tôi đóng mức này là hợp lý). - HUMAN-TRU2]]</f>
        <v>6</v>
      </c>
      <c r="AS396" t="str">
        <f t="shared" si="178"/>
        <v>Neutral</v>
      </c>
      <c r="AT396" s="32">
        <f t="shared" si="179"/>
        <v>0</v>
      </c>
      <c r="AU396">
        <f>step3_validation[[#This Row],[AI_TRU3]]</f>
        <v>6</v>
      </c>
      <c r="AV396" t="str">
        <f t="shared" si="180"/>
        <v>Neutral</v>
      </c>
      <c r="AW396">
        <f>survey_responses[[#This Row],[Tôi tin tưởng số tiền thuế tôi đóng sẽ được Nhà nước sử dụng hiệu quả để cải thiện dịch vụ công (y tế, đường xá...). - HUMAN-TRU3]]</f>
        <v>5</v>
      </c>
      <c r="AX396" t="str">
        <f t="shared" si="181"/>
        <v>Neutral</v>
      </c>
      <c r="AY396" s="32">
        <f t="shared" si="182"/>
        <v>1</v>
      </c>
      <c r="AZ396">
        <f>step3_validation[[#This Row],[AI_TRU4]]</f>
        <v>7</v>
      </c>
      <c r="BA396" t="str">
        <f t="shared" si="183"/>
        <v>Neutral</v>
      </c>
      <c r="BB396">
        <f>survey_responses[[#This Row],[Tôi thấy Nhà nước đã giải thích rõ ràng, minh bạch về lý do và mục tiêu của việc sửa đổi thuế lần này. - HUMAN-TRU4]]</f>
        <v>6</v>
      </c>
      <c r="BC396" t="str">
        <f t="shared" si="184"/>
        <v>Neutral</v>
      </c>
      <c r="BD396" s="32">
        <f t="shared" si="185"/>
        <v>1</v>
      </c>
      <c r="BE396">
        <f>step3_validation[[#This Row],[AI_OUT1]]</f>
        <v>8</v>
      </c>
      <c r="BF396" t="str">
        <f t="shared" si="186"/>
        <v>Support</v>
      </c>
      <c r="BG396">
        <f>survey_responses[[#This Row],[Sau khi xem xét các quyền lợi và nghĩa vụ, bạn có ủng hộ và tuân thủ chính sách mới hiện nay? - HUMAN-OUT1]]</f>
        <v>6</v>
      </c>
      <c r="BH396" t="str">
        <f t="shared" si="187"/>
        <v>Neutral</v>
      </c>
      <c r="BI396" s="32">
        <f t="shared" si="188"/>
        <v>2</v>
      </c>
    </row>
    <row r="397" spans="1:61" x14ac:dyDescent="0.45">
      <c r="A397" s="30">
        <f>step3_validation[[#This Row],[Persona_ID]]</f>
        <v>396</v>
      </c>
      <c r="B397" s="31">
        <f>step3_validation[[#This Row],[Used_Seed]]</f>
        <v>2386</v>
      </c>
      <c r="C397" t="str">
        <f>step3_validation[[#This Row],[Gender]]</f>
        <v>Nữ</v>
      </c>
      <c r="D397" t="str">
        <f>survey_responses[[#This Row],[Giới tính của bạn:]]</f>
        <v>Nữ</v>
      </c>
      <c r="E397" t="str">
        <f>step3_validation[[#This Row],[Age_Group]]</f>
        <v>30 - 39</v>
      </c>
      <c r="F397" t="str">
        <f>survey_responses[[#This Row],[Độ tuổi của bạn:]]</f>
        <v>30 - 39</v>
      </c>
      <c r="G397" t="str">
        <f>step3_validation[[#This Row],[Region]]</f>
        <v>Thành thị</v>
      </c>
      <c r="H397" t="str">
        <f>survey_responses[[#This Row],[Khu vực bạn đang sinh sống:]]</f>
        <v>Thành thị</v>
      </c>
      <c r="I397" t="str">
        <f>step3_validation[[#This Row],[Education]]</f>
        <v>Cao đẳng</v>
      </c>
      <c r="J397" t="str">
        <f>survey_responses[[#This Row],[Trình độ học vấn cao nhất:]]</f>
        <v>Cao đẳng</v>
      </c>
      <c r="K397" t="str">
        <f>step3_validation[[#This Row],[Employment]]</f>
        <v>Chính thức</v>
      </c>
      <c r="L397" t="str">
        <f>survey_responses[[#This Row],[Tình trạng việc làm chính:]]</f>
        <v>Khu vực chính thức (Có Hợp đồng lao động, đóng BHXH)</v>
      </c>
      <c r="M397">
        <f>step3_validation[[#This Row],[Income_Mil]]</f>
        <v>25.669016257260886</v>
      </c>
      <c r="N397" t="str">
        <f>survey_responses[[#This Row],[Thu nhập bình quân tháng theo Hợp đồng lao động của bạn là bao nhiêu? (Vui lòng điền tổng thu nhập trước khi khấu trừ các loại Bảo hiểm (BHXH, BHYT, BHTN) và Thuế TNCN)]]</f>
        <v>Từ 23 - 32 triệu VNĐ</v>
      </c>
      <c r="O397">
        <f>step3_validation[[#This Row],[Dependents]]</f>
        <v>1</v>
      </c>
      <c r="P397" t="str">
        <f>survey_responses[[#This Row],[Số người phụ thuộc (con nhỏ, cha mẹ già...) đủ điều kiện giảm trừ gia cảnh:]]</f>
        <v>1 người</v>
      </c>
      <c r="Q397">
        <f>step3_validation[[#This Row],[AI_ENF1]]</f>
        <v>5</v>
      </c>
      <c r="R397" t="str">
        <f t="shared" si="162"/>
        <v>Neutral</v>
      </c>
      <c r="S397">
        <f>survey_responses[[#This Row],[Tôi tin rằng với các quy định quản lý thuế hiện nay, hành vi gian lận hoặc trốn thuế sẽ dễ dàng bị phát hiện và xử lý nghiêm. - HUMAN-ENF1]]</f>
        <v>2</v>
      </c>
      <c r="T397" t="str">
        <f t="shared" si="163"/>
        <v>Oppose</v>
      </c>
      <c r="U397" s="32">
        <f t="shared" si="164"/>
        <v>3</v>
      </c>
      <c r="V397">
        <f>step3_validation[[#This Row],[AI_ENF2]]</f>
        <v>6</v>
      </c>
      <c r="W397" t="str">
        <f t="shared" si="165"/>
        <v>Neutral</v>
      </c>
      <c r="X397">
        <f>survey_responses[[#This Row],[Tôi tin rằng Nhà nước, cơ quan thuế có đủ khả năng và công nghệ để phát hiện, xử lý nghiêm các hành vi trốn thuế. - HUMAN-ENF2]]</f>
        <v>2</v>
      </c>
      <c r="Y397" t="str">
        <f t="shared" si="166"/>
        <v>Oppose</v>
      </c>
      <c r="Z397" s="32">
        <f t="shared" si="167"/>
        <v>4</v>
      </c>
      <c r="AA397">
        <f>step3_validation[[#This Row],[AI_FAC1]]</f>
        <v>8</v>
      </c>
      <c r="AB397" t="str">
        <f t="shared" si="168"/>
        <v>Support</v>
      </c>
      <c r="AC397">
        <f>survey_responses[[#This Row],[Các thủ tục khai báo thuế VÀ/HOẶC quy trình làm việc với cơ quan thuế đơn giản, tiện lợi, nhanh chóng hơn so với trước đây. - HUMAN-FAC1]]</f>
        <v>4</v>
      </c>
      <c r="AD397" t="str">
        <f t="shared" si="169"/>
        <v>Oppose</v>
      </c>
      <c r="AE397" s="32">
        <f t="shared" si="170"/>
        <v>4</v>
      </c>
      <c r="AF397">
        <f>step3_validation[[#This Row],[AI_FAC2]]</f>
        <v>7</v>
      </c>
      <c r="AG397" t="str">
        <f t="shared" si="171"/>
        <v>Neutral</v>
      </c>
      <c r="AH397">
        <f>survey_responses[[#This Row],[So với trước đây, tôi thấy cách tính thuế và các bậc thuế trong phương án mới đơn giản, dễ hiểu và dễ thực hiện hơn. - HUMAN-FAC2]]</f>
        <v>5</v>
      </c>
      <c r="AI397" t="str">
        <f t="shared" si="172"/>
        <v>Neutral</v>
      </c>
      <c r="AJ397" s="32">
        <f t="shared" si="173"/>
        <v>2</v>
      </c>
      <c r="AK397">
        <f>step3_validation[[#This Row],[AI_TRU1]]</f>
        <v>8</v>
      </c>
      <c r="AL397" t="str">
        <f t="shared" si="174"/>
        <v>Support</v>
      </c>
      <c r="AM397">
        <f>survey_responses[[#This Row],[Tôi tin rằng Nhà nước, cơ quan thuế sẽ thực thi chính sách mới một cách khách quan, công tâm và đối xử bình đẳng với mọi người nộp thuế.  - HUMAN-TRU1]]</f>
        <v>5</v>
      </c>
      <c r="AN397" t="str">
        <f t="shared" si="175"/>
        <v>Neutral</v>
      </c>
      <c r="AO397" s="32">
        <f t="shared" si="176"/>
        <v>3</v>
      </c>
      <c r="AP397">
        <f>step3_validation[[#This Row],[AI_TRU2]]</f>
        <v>6</v>
      </c>
      <c r="AQ397" t="str">
        <f t="shared" si="177"/>
        <v>Neutral</v>
      </c>
      <c r="AR397">
        <f>survey_responses[[#This Row],[Tôi thấy mức thuế tôi phải đóng theo phương án mới là công bằng (người thu nhập như tôi đóng mức này là hợp lý). - HUMAN-TRU2]]</f>
        <v>3</v>
      </c>
      <c r="AS397" t="str">
        <f t="shared" si="178"/>
        <v>Oppose</v>
      </c>
      <c r="AT397" s="32">
        <f t="shared" si="179"/>
        <v>3</v>
      </c>
      <c r="AU397">
        <f>step3_validation[[#This Row],[AI_TRU3]]</f>
        <v>5</v>
      </c>
      <c r="AV397" t="str">
        <f t="shared" si="180"/>
        <v>Neutral</v>
      </c>
      <c r="AW397">
        <f>survey_responses[[#This Row],[Tôi tin tưởng số tiền thuế tôi đóng sẽ được Nhà nước sử dụng hiệu quả để cải thiện dịch vụ công (y tế, đường xá...). - HUMAN-TRU3]]</f>
        <v>5</v>
      </c>
      <c r="AX397" t="str">
        <f t="shared" si="181"/>
        <v>Neutral</v>
      </c>
      <c r="AY397" s="32">
        <f t="shared" si="182"/>
        <v>0</v>
      </c>
      <c r="AZ397">
        <f>step3_validation[[#This Row],[AI_TRU4]]</f>
        <v>7</v>
      </c>
      <c r="BA397" t="str">
        <f t="shared" si="183"/>
        <v>Neutral</v>
      </c>
      <c r="BB397">
        <f>survey_responses[[#This Row],[Tôi thấy Nhà nước đã giải thích rõ ràng, minh bạch về lý do và mục tiêu của việc sửa đổi thuế lần này. - HUMAN-TRU4]]</f>
        <v>5</v>
      </c>
      <c r="BC397" t="str">
        <f t="shared" si="184"/>
        <v>Neutral</v>
      </c>
      <c r="BD397" s="32">
        <f t="shared" si="185"/>
        <v>2</v>
      </c>
      <c r="BE397">
        <f>step3_validation[[#This Row],[AI_OUT1]]</f>
        <v>6</v>
      </c>
      <c r="BF397" t="str">
        <f t="shared" si="186"/>
        <v>Neutral</v>
      </c>
      <c r="BG397">
        <f>survey_responses[[#This Row],[Sau khi xem xét các quyền lợi và nghĩa vụ, bạn có ủng hộ và tuân thủ chính sách mới hiện nay? - HUMAN-OUT1]]</f>
        <v>5</v>
      </c>
      <c r="BH397" t="str">
        <f t="shared" si="187"/>
        <v>Neutral</v>
      </c>
      <c r="BI397" s="32">
        <f t="shared" si="188"/>
        <v>1</v>
      </c>
    </row>
    <row r="398" spans="1:61" x14ac:dyDescent="0.45">
      <c r="A398" s="30">
        <f>step3_validation[[#This Row],[Persona_ID]]</f>
        <v>397</v>
      </c>
      <c r="B398" s="31">
        <f>step3_validation[[#This Row],[Used_Seed]]</f>
        <v>2387</v>
      </c>
      <c r="C398" t="str">
        <f>step3_validation[[#This Row],[Gender]]</f>
        <v>Nữ</v>
      </c>
      <c r="D398" t="str">
        <f>survey_responses[[#This Row],[Giới tính của bạn:]]</f>
        <v>Nữ</v>
      </c>
      <c r="E398" t="str">
        <f>step3_validation[[#This Row],[Age_Group]]</f>
        <v>25 - 29</v>
      </c>
      <c r="F398" t="str">
        <f>survey_responses[[#This Row],[Độ tuổi của bạn:]]</f>
        <v>25 - 29</v>
      </c>
      <c r="G398" t="str">
        <f>step3_validation[[#This Row],[Region]]</f>
        <v>Thành thị</v>
      </c>
      <c r="H398" t="str">
        <f>survey_responses[[#This Row],[Khu vực bạn đang sinh sống:]]</f>
        <v>Thành thị</v>
      </c>
      <c r="I398" t="str">
        <f>step3_validation[[#This Row],[Education]]</f>
        <v>Đại học</v>
      </c>
      <c r="J398" t="str">
        <f>survey_responses[[#This Row],[Trình độ học vấn cao nhất:]]</f>
        <v>Đại học</v>
      </c>
      <c r="K398" t="str">
        <f>step3_validation[[#This Row],[Employment]]</f>
        <v>Chính thức</v>
      </c>
      <c r="L398" t="str">
        <f>survey_responses[[#This Row],[Tình trạng việc làm chính:]]</f>
        <v>Khu vực chính thức (Có Hợp đồng lao động, đóng BHXH)</v>
      </c>
      <c r="M398">
        <f>step3_validation[[#This Row],[Income_Mil]]</f>
        <v>27.270332931984399</v>
      </c>
      <c r="N398" t="str">
        <f>survey_responses[[#This Row],[Thu nhập bình quân tháng theo Hợp đồng lao động của bạn là bao nhiêu? (Vui lòng điền tổng thu nhập trước khi khấu trừ các loại Bảo hiểm (BHXH, BHYT, BHTN) và Thuế TNCN)]]</f>
        <v>Từ 23 - 32 triệu VNĐ</v>
      </c>
      <c r="O398">
        <f>step3_validation[[#This Row],[Dependents]]</f>
        <v>0</v>
      </c>
      <c r="P398" t="str">
        <f>survey_responses[[#This Row],[Số người phụ thuộc (con nhỏ, cha mẹ già...) đủ điều kiện giảm trừ gia cảnh:]]</f>
        <v>0 người</v>
      </c>
      <c r="Q398">
        <f>step3_validation[[#This Row],[AI_ENF1]]</f>
        <v>8</v>
      </c>
      <c r="R398" t="str">
        <f t="shared" si="162"/>
        <v>Support</v>
      </c>
      <c r="S398">
        <f>survey_responses[[#This Row],[Tôi tin rằng với các quy định quản lý thuế hiện nay, hành vi gian lận hoặc trốn thuế sẽ dễ dàng bị phát hiện và xử lý nghiêm. - HUMAN-ENF1]]</f>
        <v>8</v>
      </c>
      <c r="T398" t="str">
        <f t="shared" si="163"/>
        <v>Support</v>
      </c>
      <c r="U398" s="32">
        <f t="shared" si="164"/>
        <v>0</v>
      </c>
      <c r="V398">
        <f>step3_validation[[#This Row],[AI_ENF2]]</f>
        <v>7</v>
      </c>
      <c r="W398" t="str">
        <f t="shared" si="165"/>
        <v>Neutral</v>
      </c>
      <c r="X398">
        <f>survey_responses[[#This Row],[Tôi tin rằng Nhà nước, cơ quan thuế có đủ khả năng và công nghệ để phát hiện, xử lý nghiêm các hành vi trốn thuế. - HUMAN-ENF2]]</f>
        <v>8</v>
      </c>
      <c r="Y398" t="str">
        <f t="shared" si="166"/>
        <v>Support</v>
      </c>
      <c r="Z398" s="32">
        <f t="shared" si="167"/>
        <v>1</v>
      </c>
      <c r="AA398">
        <f>step3_validation[[#This Row],[AI_FAC1]]</f>
        <v>6</v>
      </c>
      <c r="AB398" t="str">
        <f t="shared" si="168"/>
        <v>Neutral</v>
      </c>
      <c r="AC398">
        <f>survey_responses[[#This Row],[Các thủ tục khai báo thuế VÀ/HOẶC quy trình làm việc với cơ quan thuế đơn giản, tiện lợi, nhanh chóng hơn so với trước đây. - HUMAN-FAC1]]</f>
        <v>7</v>
      </c>
      <c r="AD398" t="str">
        <f t="shared" si="169"/>
        <v>Neutral</v>
      </c>
      <c r="AE398" s="32">
        <f t="shared" si="170"/>
        <v>1</v>
      </c>
      <c r="AF398">
        <f>step3_validation[[#This Row],[AI_FAC2]]</f>
        <v>7</v>
      </c>
      <c r="AG398" t="str">
        <f t="shared" si="171"/>
        <v>Neutral</v>
      </c>
      <c r="AH398">
        <f>survey_responses[[#This Row],[So với trước đây, tôi thấy cách tính thuế và các bậc thuế trong phương án mới đơn giản, dễ hiểu và dễ thực hiện hơn. - HUMAN-FAC2]]</f>
        <v>7</v>
      </c>
      <c r="AI398" t="str">
        <f t="shared" si="172"/>
        <v>Neutral</v>
      </c>
      <c r="AJ398" s="32">
        <f t="shared" si="173"/>
        <v>0</v>
      </c>
      <c r="AK398">
        <f>step3_validation[[#This Row],[AI_TRU1]]</f>
        <v>6</v>
      </c>
      <c r="AL398" t="str">
        <f t="shared" si="174"/>
        <v>Neutral</v>
      </c>
      <c r="AM398">
        <f>survey_responses[[#This Row],[Tôi tin rằng Nhà nước, cơ quan thuế sẽ thực thi chính sách mới một cách khách quan, công tâm và đối xử bình đẳng với mọi người nộp thuế.  - HUMAN-TRU1]]</f>
        <v>7</v>
      </c>
      <c r="AN398" t="str">
        <f t="shared" si="175"/>
        <v>Neutral</v>
      </c>
      <c r="AO398" s="32">
        <f t="shared" si="176"/>
        <v>1</v>
      </c>
      <c r="AP398">
        <f>step3_validation[[#This Row],[AI_TRU2]]</f>
        <v>5</v>
      </c>
      <c r="AQ398" t="str">
        <f t="shared" si="177"/>
        <v>Neutral</v>
      </c>
      <c r="AR398">
        <f>survey_responses[[#This Row],[Tôi thấy mức thuế tôi phải đóng theo phương án mới là công bằng (người thu nhập như tôi đóng mức này là hợp lý). - HUMAN-TRU2]]</f>
        <v>8</v>
      </c>
      <c r="AS398" t="str">
        <f t="shared" si="178"/>
        <v>Support</v>
      </c>
      <c r="AT398" s="32">
        <f t="shared" si="179"/>
        <v>3</v>
      </c>
      <c r="AU398">
        <f>step3_validation[[#This Row],[AI_TRU3]]</f>
        <v>6</v>
      </c>
      <c r="AV398" t="str">
        <f t="shared" si="180"/>
        <v>Neutral</v>
      </c>
      <c r="AW398">
        <f>survey_responses[[#This Row],[Tôi tin tưởng số tiền thuế tôi đóng sẽ được Nhà nước sử dụng hiệu quả để cải thiện dịch vụ công (y tế, đường xá...). - HUMAN-TRU3]]</f>
        <v>7</v>
      </c>
      <c r="AX398" t="str">
        <f t="shared" si="181"/>
        <v>Neutral</v>
      </c>
      <c r="AY398" s="32">
        <f t="shared" si="182"/>
        <v>1</v>
      </c>
      <c r="AZ398">
        <f>step3_validation[[#This Row],[AI_TRU4]]</f>
        <v>5</v>
      </c>
      <c r="BA398" t="str">
        <f t="shared" si="183"/>
        <v>Neutral</v>
      </c>
      <c r="BB398">
        <f>survey_responses[[#This Row],[Tôi thấy Nhà nước đã giải thích rõ ràng, minh bạch về lý do và mục tiêu của việc sửa đổi thuế lần này. - HUMAN-TRU4]]</f>
        <v>8</v>
      </c>
      <c r="BC398" t="str">
        <f t="shared" si="184"/>
        <v>Support</v>
      </c>
      <c r="BD398" s="32">
        <f t="shared" si="185"/>
        <v>3</v>
      </c>
      <c r="BE398">
        <f>step3_validation[[#This Row],[AI_OUT1]]</f>
        <v>7</v>
      </c>
      <c r="BF398" t="str">
        <f t="shared" si="186"/>
        <v>Neutral</v>
      </c>
      <c r="BG398">
        <f>survey_responses[[#This Row],[Sau khi xem xét các quyền lợi và nghĩa vụ, bạn có ủng hộ và tuân thủ chính sách mới hiện nay? - HUMAN-OUT1]]</f>
        <v>8</v>
      </c>
      <c r="BH398" t="str">
        <f t="shared" si="187"/>
        <v>Support</v>
      </c>
      <c r="BI398" s="32">
        <f t="shared" si="188"/>
        <v>1</v>
      </c>
    </row>
    <row r="399" spans="1:61" x14ac:dyDescent="0.45">
      <c r="A399" s="30">
        <f>step3_validation[[#This Row],[Persona_ID]]</f>
        <v>398</v>
      </c>
      <c r="B399" s="31">
        <f>step3_validation[[#This Row],[Used_Seed]]</f>
        <v>2388</v>
      </c>
      <c r="C399" t="str">
        <f>step3_validation[[#This Row],[Gender]]</f>
        <v>Nữ</v>
      </c>
      <c r="D399" t="str">
        <f>survey_responses[[#This Row],[Giới tính của bạn:]]</f>
        <v>Nữ</v>
      </c>
      <c r="E399" t="str">
        <f>step3_validation[[#This Row],[Age_Group]]</f>
        <v>18 - 24</v>
      </c>
      <c r="F399" t="str">
        <f>survey_responses[[#This Row],[Độ tuổi của bạn:]]</f>
        <v>18 - 24</v>
      </c>
      <c r="G399" t="str">
        <f>step3_validation[[#This Row],[Region]]</f>
        <v>Thành thị</v>
      </c>
      <c r="H399" t="str">
        <f>survey_responses[[#This Row],[Khu vực bạn đang sinh sống:]]</f>
        <v>Thành thị</v>
      </c>
      <c r="I399" t="str">
        <f>step3_validation[[#This Row],[Education]]</f>
        <v>Đại học</v>
      </c>
      <c r="J399" t="str">
        <f>survey_responses[[#This Row],[Trình độ học vấn cao nhất:]]</f>
        <v>Đại học</v>
      </c>
      <c r="K399" t="str">
        <f>step3_validation[[#This Row],[Employment]]</f>
        <v>Chính thức</v>
      </c>
      <c r="L399" t="str">
        <f>survey_responses[[#This Row],[Tình trạng việc làm chính:]]</f>
        <v>Khu vực chính thức (Có Hợp đồng lao động, đóng BHXH)</v>
      </c>
      <c r="M399">
        <f>step3_validation[[#This Row],[Income_Mil]]</f>
        <v>12</v>
      </c>
      <c r="N399" t="str">
        <f>survey_responses[[#This Row],[Thu nhập bình quân tháng theo Hợp đồng lao động của bạn là bao nhiêu? (Vui lòng điền tổng thu nhập trước khi khấu trừ các loại Bảo hiểm (BHXH, BHYT, BHTN) và Thuế TNCN)]]</f>
        <v>Dưới 12 triệu VNĐ</v>
      </c>
      <c r="O399">
        <f>step3_validation[[#This Row],[Dependents]]</f>
        <v>0</v>
      </c>
      <c r="P399" t="str">
        <f>survey_responses[[#This Row],[Số người phụ thuộc (con nhỏ, cha mẹ già...) đủ điều kiện giảm trừ gia cảnh:]]</f>
        <v>0 người</v>
      </c>
      <c r="Q399">
        <f>step3_validation[[#This Row],[AI_ENF1]]</f>
        <v>6</v>
      </c>
      <c r="R399" t="str">
        <f t="shared" si="162"/>
        <v>Neutral</v>
      </c>
      <c r="S399">
        <f>survey_responses[[#This Row],[Tôi tin rằng với các quy định quản lý thuế hiện nay, hành vi gian lận hoặc trốn thuế sẽ dễ dàng bị phát hiện và xử lý nghiêm. - HUMAN-ENF1]]</f>
        <v>9</v>
      </c>
      <c r="T399" t="str">
        <f t="shared" si="163"/>
        <v>Support</v>
      </c>
      <c r="U399" s="32">
        <f t="shared" si="164"/>
        <v>3</v>
      </c>
      <c r="V399">
        <f>step3_validation[[#This Row],[AI_ENF2]]</f>
        <v>7</v>
      </c>
      <c r="W399" t="str">
        <f t="shared" si="165"/>
        <v>Neutral</v>
      </c>
      <c r="X399">
        <f>survey_responses[[#This Row],[Tôi tin rằng Nhà nước, cơ quan thuế có đủ khả năng và công nghệ để phát hiện, xử lý nghiêm các hành vi trốn thuế. - HUMAN-ENF2]]</f>
        <v>9</v>
      </c>
      <c r="Y399" t="str">
        <f t="shared" si="166"/>
        <v>Support</v>
      </c>
      <c r="Z399" s="32">
        <f t="shared" si="167"/>
        <v>2</v>
      </c>
      <c r="AA399">
        <f>step3_validation[[#This Row],[AI_FAC1]]</f>
        <v>8</v>
      </c>
      <c r="AB399" t="str">
        <f t="shared" si="168"/>
        <v>Support</v>
      </c>
      <c r="AC399">
        <f>survey_responses[[#This Row],[Các thủ tục khai báo thuế VÀ/HOẶC quy trình làm việc với cơ quan thuế đơn giản, tiện lợi, nhanh chóng hơn so với trước đây. - HUMAN-FAC1]]</f>
        <v>8</v>
      </c>
      <c r="AD399" t="str">
        <f t="shared" si="169"/>
        <v>Support</v>
      </c>
      <c r="AE399" s="32">
        <f t="shared" si="170"/>
        <v>0</v>
      </c>
      <c r="AF399">
        <f>step3_validation[[#This Row],[AI_FAC2]]</f>
        <v>7</v>
      </c>
      <c r="AG399" t="str">
        <f t="shared" si="171"/>
        <v>Neutral</v>
      </c>
      <c r="AH399">
        <f>survey_responses[[#This Row],[So với trước đây, tôi thấy cách tính thuế và các bậc thuế trong phương án mới đơn giản, dễ hiểu và dễ thực hiện hơn. - HUMAN-FAC2]]</f>
        <v>9</v>
      </c>
      <c r="AI399" t="str">
        <f t="shared" si="172"/>
        <v>Support</v>
      </c>
      <c r="AJ399" s="32">
        <f t="shared" si="173"/>
        <v>2</v>
      </c>
      <c r="AK399">
        <f>step3_validation[[#This Row],[AI_TRU1]]</f>
        <v>8</v>
      </c>
      <c r="AL399" t="str">
        <f t="shared" si="174"/>
        <v>Support</v>
      </c>
      <c r="AM399">
        <f>survey_responses[[#This Row],[Tôi tin rằng Nhà nước, cơ quan thuế sẽ thực thi chính sách mới một cách khách quan, công tâm và đối xử bình đẳng với mọi người nộp thuế.  - HUMAN-TRU1]]</f>
        <v>7</v>
      </c>
      <c r="AN399" t="str">
        <f t="shared" si="175"/>
        <v>Neutral</v>
      </c>
      <c r="AO399" s="32">
        <f t="shared" si="176"/>
        <v>1</v>
      </c>
      <c r="AP399">
        <f>step3_validation[[#This Row],[AI_TRU2]]</f>
        <v>7</v>
      </c>
      <c r="AQ399" t="str">
        <f t="shared" si="177"/>
        <v>Neutral</v>
      </c>
      <c r="AR399">
        <f>survey_responses[[#This Row],[Tôi thấy mức thuế tôi phải đóng theo phương án mới là công bằng (người thu nhập như tôi đóng mức này là hợp lý). - HUMAN-TRU2]]</f>
        <v>9</v>
      </c>
      <c r="AS399" t="str">
        <f t="shared" si="178"/>
        <v>Support</v>
      </c>
      <c r="AT399" s="32">
        <f t="shared" si="179"/>
        <v>2</v>
      </c>
      <c r="AU399">
        <f>step3_validation[[#This Row],[AI_TRU3]]</f>
        <v>6</v>
      </c>
      <c r="AV399" t="str">
        <f t="shared" si="180"/>
        <v>Neutral</v>
      </c>
      <c r="AW399">
        <f>survey_responses[[#This Row],[Tôi tin tưởng số tiền thuế tôi đóng sẽ được Nhà nước sử dụng hiệu quả để cải thiện dịch vụ công (y tế, đường xá...). - HUMAN-TRU3]]</f>
        <v>8</v>
      </c>
      <c r="AX399" t="str">
        <f t="shared" si="181"/>
        <v>Support</v>
      </c>
      <c r="AY399" s="32">
        <f t="shared" si="182"/>
        <v>2</v>
      </c>
      <c r="AZ399">
        <f>step3_validation[[#This Row],[AI_TRU4]]</f>
        <v>5</v>
      </c>
      <c r="BA399" t="str">
        <f t="shared" si="183"/>
        <v>Neutral</v>
      </c>
      <c r="BB399">
        <f>survey_responses[[#This Row],[Tôi thấy Nhà nước đã giải thích rõ ràng, minh bạch về lý do và mục tiêu của việc sửa đổi thuế lần này. - HUMAN-TRU4]]</f>
        <v>8</v>
      </c>
      <c r="BC399" t="str">
        <f t="shared" si="184"/>
        <v>Support</v>
      </c>
      <c r="BD399" s="32">
        <f t="shared" si="185"/>
        <v>3</v>
      </c>
      <c r="BE399">
        <f>step3_validation[[#This Row],[AI_OUT1]]</f>
        <v>6</v>
      </c>
      <c r="BF399" t="str">
        <f t="shared" si="186"/>
        <v>Neutral</v>
      </c>
      <c r="BG399">
        <f>survey_responses[[#This Row],[Sau khi xem xét các quyền lợi và nghĩa vụ, bạn có ủng hộ và tuân thủ chính sách mới hiện nay? - HUMAN-OUT1]]</f>
        <v>8</v>
      </c>
      <c r="BH399" t="str">
        <f t="shared" si="187"/>
        <v>Support</v>
      </c>
      <c r="BI399" s="32">
        <f t="shared" si="188"/>
        <v>2</v>
      </c>
    </row>
    <row r="400" spans="1:61" x14ac:dyDescent="0.45">
      <c r="A400" s="30">
        <f>step3_validation[[#This Row],[Persona_ID]]</f>
        <v>399</v>
      </c>
      <c r="B400" s="31">
        <f>step3_validation[[#This Row],[Used_Seed]]</f>
        <v>2389</v>
      </c>
      <c r="C400" t="str">
        <f>step3_validation[[#This Row],[Gender]]</f>
        <v>Nữ</v>
      </c>
      <c r="D400" t="str">
        <f>survey_responses[[#This Row],[Giới tính của bạn:]]</f>
        <v>Nữ</v>
      </c>
      <c r="E400" t="str">
        <f>step3_validation[[#This Row],[Age_Group]]</f>
        <v>25 - 29</v>
      </c>
      <c r="F400" t="str">
        <f>survey_responses[[#This Row],[Độ tuổi của bạn:]]</f>
        <v>25 - 29</v>
      </c>
      <c r="G400" t="str">
        <f>step3_validation[[#This Row],[Region]]</f>
        <v>Thành thị</v>
      </c>
      <c r="H400" t="str">
        <f>survey_responses[[#This Row],[Khu vực bạn đang sinh sống:]]</f>
        <v>Thành thị</v>
      </c>
      <c r="I400" t="str">
        <f>step3_validation[[#This Row],[Education]]</f>
        <v>Sau Đại học</v>
      </c>
      <c r="J400" t="str">
        <f>survey_responses[[#This Row],[Trình độ học vấn cao nhất:]]</f>
        <v>Sau Đại học</v>
      </c>
      <c r="K400" t="str">
        <f>step3_validation[[#This Row],[Employment]]</f>
        <v>Chính thức</v>
      </c>
      <c r="L400" t="str">
        <f>survey_responses[[#This Row],[Tình trạng việc làm chính:]]</f>
        <v>Khu vực chính thức (Có Hợp đồng lao động, đóng BHXH)</v>
      </c>
      <c r="M400">
        <f>step3_validation[[#This Row],[Income_Mil]]</f>
        <v>27.74387359222391</v>
      </c>
      <c r="N400" t="str">
        <f>survey_responses[[#This Row],[Thu nhập bình quân tháng theo Hợp đồng lao động của bạn là bao nhiêu? (Vui lòng điền tổng thu nhập trước khi khấu trừ các loại Bảo hiểm (BHXH, BHYT, BHTN) và Thuế TNCN)]]</f>
        <v>Từ 23 - 32 triệu VNĐ</v>
      </c>
      <c r="O400">
        <f>step3_validation[[#This Row],[Dependents]]</f>
        <v>0</v>
      </c>
      <c r="P400" t="str">
        <f>survey_responses[[#This Row],[Số người phụ thuộc (con nhỏ, cha mẹ già...) đủ điều kiện giảm trừ gia cảnh:]]</f>
        <v>0 người</v>
      </c>
      <c r="Q400">
        <f>step3_validation[[#This Row],[AI_ENF1]]</f>
        <v>7</v>
      </c>
      <c r="R400" t="str">
        <f t="shared" si="162"/>
        <v>Neutral</v>
      </c>
      <c r="S400">
        <f>survey_responses[[#This Row],[Tôi tin rằng với các quy định quản lý thuế hiện nay, hành vi gian lận hoặc trốn thuế sẽ dễ dàng bị phát hiện và xử lý nghiêm. - HUMAN-ENF1]]</f>
        <v>7</v>
      </c>
      <c r="T400" t="str">
        <f t="shared" si="163"/>
        <v>Neutral</v>
      </c>
      <c r="U400" s="32">
        <f t="shared" si="164"/>
        <v>0</v>
      </c>
      <c r="V400">
        <f>step3_validation[[#This Row],[AI_ENF2]]</f>
        <v>8</v>
      </c>
      <c r="W400" t="str">
        <f t="shared" si="165"/>
        <v>Support</v>
      </c>
      <c r="X400">
        <f>survey_responses[[#This Row],[Tôi tin rằng Nhà nước, cơ quan thuế có đủ khả năng và công nghệ để phát hiện, xử lý nghiêm các hành vi trốn thuế. - HUMAN-ENF2]]</f>
        <v>7</v>
      </c>
      <c r="Y400" t="str">
        <f t="shared" si="166"/>
        <v>Neutral</v>
      </c>
      <c r="Z400" s="32">
        <f t="shared" si="167"/>
        <v>1</v>
      </c>
      <c r="AA400">
        <f>step3_validation[[#This Row],[AI_FAC1]]</f>
        <v>6</v>
      </c>
      <c r="AB400" t="str">
        <f t="shared" si="168"/>
        <v>Neutral</v>
      </c>
      <c r="AC400">
        <f>survey_responses[[#This Row],[Các thủ tục khai báo thuế VÀ/HOẶC quy trình làm việc với cơ quan thuế đơn giản, tiện lợi, nhanh chóng hơn so với trước đây. - HUMAN-FAC1]]</f>
        <v>5</v>
      </c>
      <c r="AD400" t="str">
        <f t="shared" si="169"/>
        <v>Neutral</v>
      </c>
      <c r="AE400" s="32">
        <f t="shared" si="170"/>
        <v>1</v>
      </c>
      <c r="AF400">
        <f>step3_validation[[#This Row],[AI_FAC2]]</f>
        <v>7</v>
      </c>
      <c r="AG400" t="str">
        <f t="shared" si="171"/>
        <v>Neutral</v>
      </c>
      <c r="AH400">
        <f>survey_responses[[#This Row],[So với trước đây, tôi thấy cách tính thuế và các bậc thuế trong phương án mới đơn giản, dễ hiểu và dễ thực hiện hơn. - HUMAN-FAC2]]</f>
        <v>8</v>
      </c>
      <c r="AI400" t="str">
        <f t="shared" si="172"/>
        <v>Support</v>
      </c>
      <c r="AJ400" s="32">
        <f t="shared" si="173"/>
        <v>1</v>
      </c>
      <c r="AK400">
        <f>step3_validation[[#This Row],[AI_TRU1]]</f>
        <v>6</v>
      </c>
      <c r="AL400" t="str">
        <f t="shared" si="174"/>
        <v>Neutral</v>
      </c>
      <c r="AM400">
        <f>survey_responses[[#This Row],[Tôi tin rằng Nhà nước, cơ quan thuế sẽ thực thi chính sách mới một cách khách quan, công tâm và đối xử bình đẳng với mọi người nộp thuế.  - HUMAN-TRU1]]</f>
        <v>7</v>
      </c>
      <c r="AN400" t="str">
        <f t="shared" si="175"/>
        <v>Neutral</v>
      </c>
      <c r="AO400" s="32">
        <f t="shared" si="176"/>
        <v>1</v>
      </c>
      <c r="AP400">
        <f>step3_validation[[#This Row],[AI_TRU2]]</f>
        <v>7</v>
      </c>
      <c r="AQ400" t="str">
        <f t="shared" si="177"/>
        <v>Neutral</v>
      </c>
      <c r="AR400">
        <f>survey_responses[[#This Row],[Tôi thấy mức thuế tôi phải đóng theo phương án mới là công bằng (người thu nhập như tôi đóng mức này là hợp lý). - HUMAN-TRU2]]</f>
        <v>8</v>
      </c>
      <c r="AS400" t="str">
        <f t="shared" si="178"/>
        <v>Support</v>
      </c>
      <c r="AT400" s="32">
        <f t="shared" si="179"/>
        <v>1</v>
      </c>
      <c r="AU400">
        <f>step3_validation[[#This Row],[AI_TRU3]]</f>
        <v>6</v>
      </c>
      <c r="AV400" t="str">
        <f t="shared" si="180"/>
        <v>Neutral</v>
      </c>
      <c r="AW400">
        <f>survey_responses[[#This Row],[Tôi tin tưởng số tiền thuế tôi đóng sẽ được Nhà nước sử dụng hiệu quả để cải thiện dịch vụ công (y tế, đường xá...). - HUMAN-TRU3]]</f>
        <v>6</v>
      </c>
      <c r="AX400" t="str">
        <f t="shared" si="181"/>
        <v>Neutral</v>
      </c>
      <c r="AY400" s="32">
        <f t="shared" si="182"/>
        <v>0</v>
      </c>
      <c r="AZ400">
        <f>step3_validation[[#This Row],[AI_TRU4]]</f>
        <v>7</v>
      </c>
      <c r="BA400" t="str">
        <f t="shared" si="183"/>
        <v>Neutral</v>
      </c>
      <c r="BB400">
        <f>survey_responses[[#This Row],[Tôi thấy Nhà nước đã giải thích rõ ràng, minh bạch về lý do và mục tiêu của việc sửa đổi thuế lần này. - HUMAN-TRU4]]</f>
        <v>6</v>
      </c>
      <c r="BC400" t="str">
        <f t="shared" si="184"/>
        <v>Neutral</v>
      </c>
      <c r="BD400" s="32">
        <f t="shared" si="185"/>
        <v>1</v>
      </c>
      <c r="BE400">
        <f>step3_validation[[#This Row],[AI_OUT1]]</f>
        <v>6</v>
      </c>
      <c r="BF400" t="str">
        <f t="shared" si="186"/>
        <v>Neutral</v>
      </c>
      <c r="BG400">
        <f>survey_responses[[#This Row],[Sau khi xem xét các quyền lợi và nghĩa vụ, bạn có ủng hộ và tuân thủ chính sách mới hiện nay? - HUMAN-OUT1]]</f>
        <v>8</v>
      </c>
      <c r="BH400" t="str">
        <f t="shared" si="187"/>
        <v>Support</v>
      </c>
      <c r="BI400" s="32">
        <f t="shared" si="188"/>
        <v>2</v>
      </c>
    </row>
    <row r="401" spans="1:61" x14ac:dyDescent="0.45">
      <c r="A401" s="30">
        <f>step3_validation[[#This Row],[Persona_ID]]</f>
        <v>400</v>
      </c>
      <c r="B401" s="31">
        <f>step3_validation[[#This Row],[Used_Seed]]</f>
        <v>2390</v>
      </c>
      <c r="C401" t="str">
        <f>step3_validation[[#This Row],[Gender]]</f>
        <v>Nữ</v>
      </c>
      <c r="D401" t="str">
        <f>survey_responses[[#This Row],[Giới tính của bạn:]]</f>
        <v>Nữ</v>
      </c>
      <c r="E401" t="str">
        <f>step3_validation[[#This Row],[Age_Group]]</f>
        <v>40 - 49</v>
      </c>
      <c r="F401" t="str">
        <f>survey_responses[[#This Row],[Độ tuổi của bạn:]]</f>
        <v>40 - 49</v>
      </c>
      <c r="G401" t="str">
        <f>step3_validation[[#This Row],[Region]]</f>
        <v>Thành thị</v>
      </c>
      <c r="H401" t="str">
        <f>survey_responses[[#This Row],[Khu vực bạn đang sinh sống:]]</f>
        <v>Thành thị</v>
      </c>
      <c r="I401" t="str">
        <f>step3_validation[[#This Row],[Education]]</f>
        <v>Đại học</v>
      </c>
      <c r="J401" t="str">
        <f>survey_responses[[#This Row],[Trình độ học vấn cao nhất:]]</f>
        <v>Đại học</v>
      </c>
      <c r="K401" t="str">
        <f>step3_validation[[#This Row],[Employment]]</f>
        <v>Chính thức</v>
      </c>
      <c r="L401" t="str">
        <f>survey_responses[[#This Row],[Tình trạng việc làm chính:]]</f>
        <v>Khu vực chính thức (Có Hợp đồng lao động, đóng BHXH)</v>
      </c>
      <c r="M401">
        <f>step3_validation[[#This Row],[Income_Mil]]</f>
        <v>38.514138274483862</v>
      </c>
      <c r="N401" t="str">
        <f>survey_responses[[#This Row],[Thu nhập bình quân tháng theo Hợp đồng lao động của bạn là bao nhiêu? (Vui lòng điền tổng thu nhập trước khi khấu trừ các loại Bảo hiểm (BHXH, BHYT, BHTN) và Thuế TNCN)]]</f>
        <v>Từ 32 - 48 triệu VNĐ</v>
      </c>
      <c r="O401">
        <f>step3_validation[[#This Row],[Dependents]]</f>
        <v>3</v>
      </c>
      <c r="P401" t="str">
        <f>survey_responses[[#This Row],[Số người phụ thuộc (con nhỏ, cha mẹ già...) đủ điều kiện giảm trừ gia cảnh:]]</f>
        <v>3 người</v>
      </c>
      <c r="Q401">
        <f>step3_validation[[#This Row],[AI_ENF1]]</f>
        <v>7</v>
      </c>
      <c r="R401" t="str">
        <f t="shared" si="162"/>
        <v>Neutral</v>
      </c>
      <c r="S401">
        <f>survey_responses[[#This Row],[Tôi tin rằng với các quy định quản lý thuế hiện nay, hành vi gian lận hoặc trốn thuế sẽ dễ dàng bị phát hiện và xử lý nghiêm. - HUMAN-ENF1]]</f>
        <v>8</v>
      </c>
      <c r="T401" t="str">
        <f t="shared" si="163"/>
        <v>Support</v>
      </c>
      <c r="U401" s="32">
        <f t="shared" si="164"/>
        <v>1</v>
      </c>
      <c r="V401">
        <f>step3_validation[[#This Row],[AI_ENF2]]</f>
        <v>6</v>
      </c>
      <c r="W401" t="str">
        <f t="shared" si="165"/>
        <v>Neutral</v>
      </c>
      <c r="X401">
        <f>survey_responses[[#This Row],[Tôi tin rằng Nhà nước, cơ quan thuế có đủ khả năng và công nghệ để phát hiện, xử lý nghiêm các hành vi trốn thuế. - HUMAN-ENF2]]</f>
        <v>9</v>
      </c>
      <c r="Y401" t="str">
        <f t="shared" si="166"/>
        <v>Support</v>
      </c>
      <c r="Z401" s="32">
        <f t="shared" si="167"/>
        <v>3</v>
      </c>
      <c r="AA401">
        <f>step3_validation[[#This Row],[AI_FAC1]]</f>
        <v>8</v>
      </c>
      <c r="AB401" t="str">
        <f t="shared" si="168"/>
        <v>Support</v>
      </c>
      <c r="AC401">
        <f>survey_responses[[#This Row],[Các thủ tục khai báo thuế VÀ/HOẶC quy trình làm việc với cơ quan thuế đơn giản, tiện lợi, nhanh chóng hơn so với trước đây. - HUMAN-FAC1]]</f>
        <v>8</v>
      </c>
      <c r="AD401" t="str">
        <f t="shared" si="169"/>
        <v>Support</v>
      </c>
      <c r="AE401" s="32">
        <f t="shared" si="170"/>
        <v>0</v>
      </c>
      <c r="AF401">
        <f>step3_validation[[#This Row],[AI_FAC2]]</f>
        <v>9</v>
      </c>
      <c r="AG401" t="str">
        <f t="shared" si="171"/>
        <v>Support</v>
      </c>
      <c r="AH401">
        <f>survey_responses[[#This Row],[So với trước đây, tôi thấy cách tính thuế và các bậc thuế trong phương án mới đơn giản, dễ hiểu và dễ thực hiện hơn. - HUMAN-FAC2]]</f>
        <v>8</v>
      </c>
      <c r="AI401" t="str">
        <f t="shared" si="172"/>
        <v>Support</v>
      </c>
      <c r="AJ401" s="32">
        <f t="shared" si="173"/>
        <v>1</v>
      </c>
      <c r="AK401">
        <f>step3_validation[[#This Row],[AI_TRU1]]</f>
        <v>7</v>
      </c>
      <c r="AL401" t="str">
        <f t="shared" si="174"/>
        <v>Neutral</v>
      </c>
      <c r="AM401">
        <f>survey_responses[[#This Row],[Tôi tin rằng Nhà nước, cơ quan thuế sẽ thực thi chính sách mới một cách khách quan, công tâm và đối xử bình đẳng với mọi người nộp thuế.  - HUMAN-TRU1]]</f>
        <v>7</v>
      </c>
      <c r="AN401" t="str">
        <f t="shared" si="175"/>
        <v>Neutral</v>
      </c>
      <c r="AO401" s="32">
        <f t="shared" si="176"/>
        <v>0</v>
      </c>
      <c r="AP401">
        <f>step3_validation[[#This Row],[AI_TRU2]]</f>
        <v>8</v>
      </c>
      <c r="AQ401" t="str">
        <f t="shared" si="177"/>
        <v>Support</v>
      </c>
      <c r="AR401">
        <f>survey_responses[[#This Row],[Tôi thấy mức thuế tôi phải đóng theo phương án mới là công bằng (người thu nhập như tôi đóng mức này là hợp lý). - HUMAN-TRU2]]</f>
        <v>7</v>
      </c>
      <c r="AS401" t="str">
        <f t="shared" si="178"/>
        <v>Neutral</v>
      </c>
      <c r="AT401" s="32">
        <f t="shared" si="179"/>
        <v>1</v>
      </c>
      <c r="AU401">
        <f>step3_validation[[#This Row],[AI_TRU3]]</f>
        <v>7</v>
      </c>
      <c r="AV401" t="str">
        <f t="shared" si="180"/>
        <v>Neutral</v>
      </c>
      <c r="AW401">
        <f>survey_responses[[#This Row],[Tôi tin tưởng số tiền thuế tôi đóng sẽ được Nhà nước sử dụng hiệu quả để cải thiện dịch vụ công (y tế, đường xá...). - HUMAN-TRU3]]</f>
        <v>7</v>
      </c>
      <c r="AX401" t="str">
        <f t="shared" si="181"/>
        <v>Neutral</v>
      </c>
      <c r="AY401" s="32">
        <f t="shared" si="182"/>
        <v>0</v>
      </c>
      <c r="AZ401">
        <f>step3_validation[[#This Row],[AI_TRU4]]</f>
        <v>6</v>
      </c>
      <c r="BA401" t="str">
        <f t="shared" si="183"/>
        <v>Neutral</v>
      </c>
      <c r="BB401">
        <f>survey_responses[[#This Row],[Tôi thấy Nhà nước đã giải thích rõ ràng, minh bạch về lý do và mục tiêu của việc sửa đổi thuế lần này. - HUMAN-TRU4]]</f>
        <v>7</v>
      </c>
      <c r="BC401" t="str">
        <f t="shared" si="184"/>
        <v>Neutral</v>
      </c>
      <c r="BD401" s="32">
        <f t="shared" si="185"/>
        <v>1</v>
      </c>
      <c r="BE401">
        <f>step3_validation[[#This Row],[AI_OUT1]]</f>
        <v>8</v>
      </c>
      <c r="BF401" t="str">
        <f t="shared" si="186"/>
        <v>Support</v>
      </c>
      <c r="BG401">
        <f>survey_responses[[#This Row],[Sau khi xem xét các quyền lợi và nghĩa vụ, bạn có ủng hộ và tuân thủ chính sách mới hiện nay? - HUMAN-OUT1]]</f>
        <v>8</v>
      </c>
      <c r="BH401" t="str">
        <f t="shared" si="187"/>
        <v>Support</v>
      </c>
      <c r="BI401" s="32">
        <f t="shared" si="188"/>
        <v>0</v>
      </c>
    </row>
    <row r="402" spans="1:61" x14ac:dyDescent="0.45">
      <c r="A402" s="30">
        <f>step3_validation[[#This Row],[Persona_ID]]</f>
        <v>401</v>
      </c>
      <c r="B402" s="31">
        <f>step3_validation[[#This Row],[Used_Seed]]</f>
        <v>2391</v>
      </c>
      <c r="C402" t="str">
        <f>step3_validation[[#This Row],[Gender]]</f>
        <v>Nữ</v>
      </c>
      <c r="D402" t="str">
        <f>survey_responses[[#This Row],[Giới tính của bạn:]]</f>
        <v>Nữ</v>
      </c>
      <c r="E402" t="str">
        <f>step3_validation[[#This Row],[Age_Group]]</f>
        <v>25 - 29</v>
      </c>
      <c r="F402" t="str">
        <f>survey_responses[[#This Row],[Độ tuổi của bạn:]]</f>
        <v>25 - 29</v>
      </c>
      <c r="G402" t="str">
        <f>step3_validation[[#This Row],[Region]]</f>
        <v>Nông thôn</v>
      </c>
      <c r="H402" t="str">
        <f>survey_responses[[#This Row],[Khu vực bạn đang sinh sống:]]</f>
        <v>Nông thôn</v>
      </c>
      <c r="I402" t="str">
        <f>step3_validation[[#This Row],[Education]]</f>
        <v>Đại học</v>
      </c>
      <c r="J402" t="str">
        <f>survey_responses[[#This Row],[Trình độ học vấn cao nhất:]]</f>
        <v>Đại học</v>
      </c>
      <c r="K402" t="str">
        <f>step3_validation[[#This Row],[Employment]]</f>
        <v>Chính thức</v>
      </c>
      <c r="L402" t="str">
        <f>survey_responses[[#This Row],[Tình trạng việc làm chính:]]</f>
        <v>Khu vực chính thức (Có Hợp đồng lao động, đóng BHXH)</v>
      </c>
      <c r="M402">
        <f>step3_validation[[#This Row],[Income_Mil]]</f>
        <v>16.079860024526425</v>
      </c>
      <c r="N402" t="str">
        <f>survey_responses[[#This Row],[Thu nhập bình quân tháng theo Hợp đồng lao động của bạn là bao nhiêu? (Vui lòng điền tổng thu nhập trước khi khấu trừ các loại Bảo hiểm (BHXH, BHYT, BHTN) và Thuế TNCN)]]</f>
        <v>Từ 12 - 18 triệu VNĐ</v>
      </c>
      <c r="O402">
        <f>step3_validation[[#This Row],[Dependents]]</f>
        <v>0</v>
      </c>
      <c r="P402" t="str">
        <f>survey_responses[[#This Row],[Số người phụ thuộc (con nhỏ, cha mẹ già...) đủ điều kiện giảm trừ gia cảnh:]]</f>
        <v>0 người</v>
      </c>
      <c r="Q402">
        <f>step3_validation[[#This Row],[AI_ENF1]]</f>
        <v>7</v>
      </c>
      <c r="R402" t="str">
        <f t="shared" si="162"/>
        <v>Neutral</v>
      </c>
      <c r="S402">
        <f>survey_responses[[#This Row],[Tôi tin rằng với các quy định quản lý thuế hiện nay, hành vi gian lận hoặc trốn thuế sẽ dễ dàng bị phát hiện và xử lý nghiêm. - HUMAN-ENF1]]</f>
        <v>4</v>
      </c>
      <c r="T402" t="str">
        <f t="shared" si="163"/>
        <v>Oppose</v>
      </c>
      <c r="U402" s="32">
        <f t="shared" si="164"/>
        <v>3</v>
      </c>
      <c r="V402">
        <f>step3_validation[[#This Row],[AI_ENF2]]</f>
        <v>8</v>
      </c>
      <c r="W402" t="str">
        <f t="shared" si="165"/>
        <v>Support</v>
      </c>
      <c r="X402">
        <f>survey_responses[[#This Row],[Tôi tin rằng Nhà nước, cơ quan thuế có đủ khả năng và công nghệ để phát hiện, xử lý nghiêm các hành vi trốn thuế. - HUMAN-ENF2]]</f>
        <v>4</v>
      </c>
      <c r="Y402" t="str">
        <f t="shared" si="166"/>
        <v>Oppose</v>
      </c>
      <c r="Z402" s="32">
        <f t="shared" si="167"/>
        <v>4</v>
      </c>
      <c r="AA402">
        <f>step3_validation[[#This Row],[AI_FAC1]]</f>
        <v>6</v>
      </c>
      <c r="AB402" t="str">
        <f t="shared" si="168"/>
        <v>Neutral</v>
      </c>
      <c r="AC402">
        <f>survey_responses[[#This Row],[Các thủ tục khai báo thuế VÀ/HOẶC quy trình làm việc với cơ quan thuế đơn giản, tiện lợi, nhanh chóng hơn so với trước đây. - HUMAN-FAC1]]</f>
        <v>3</v>
      </c>
      <c r="AD402" t="str">
        <f t="shared" si="169"/>
        <v>Oppose</v>
      </c>
      <c r="AE402" s="32">
        <f t="shared" si="170"/>
        <v>3</v>
      </c>
      <c r="AF402">
        <f>step3_validation[[#This Row],[AI_FAC2]]</f>
        <v>5</v>
      </c>
      <c r="AG402" t="str">
        <f t="shared" si="171"/>
        <v>Neutral</v>
      </c>
      <c r="AH402">
        <f>survey_responses[[#This Row],[So với trước đây, tôi thấy cách tính thuế và các bậc thuế trong phương án mới đơn giản, dễ hiểu và dễ thực hiện hơn. - HUMAN-FAC2]]</f>
        <v>5</v>
      </c>
      <c r="AI402" t="str">
        <f t="shared" si="172"/>
        <v>Neutral</v>
      </c>
      <c r="AJ402" s="32">
        <f t="shared" si="173"/>
        <v>0</v>
      </c>
      <c r="AK402">
        <f>step3_validation[[#This Row],[AI_TRU1]]</f>
        <v>7</v>
      </c>
      <c r="AL402" t="str">
        <f t="shared" si="174"/>
        <v>Neutral</v>
      </c>
      <c r="AM402">
        <f>survey_responses[[#This Row],[Tôi tin rằng Nhà nước, cơ quan thuế sẽ thực thi chính sách mới một cách khách quan, công tâm và đối xử bình đẳng với mọi người nộp thuế.  - HUMAN-TRU1]]</f>
        <v>5</v>
      </c>
      <c r="AN402" t="str">
        <f t="shared" si="175"/>
        <v>Neutral</v>
      </c>
      <c r="AO402" s="32">
        <f t="shared" si="176"/>
        <v>2</v>
      </c>
      <c r="AP402">
        <f>step3_validation[[#This Row],[AI_TRU2]]</f>
        <v>6</v>
      </c>
      <c r="AQ402" t="str">
        <f t="shared" si="177"/>
        <v>Neutral</v>
      </c>
      <c r="AR402">
        <f>survey_responses[[#This Row],[Tôi thấy mức thuế tôi phải đóng theo phương án mới là công bằng (người thu nhập như tôi đóng mức này là hợp lý). - HUMAN-TRU2]]</f>
        <v>2</v>
      </c>
      <c r="AS402" t="str">
        <f t="shared" si="178"/>
        <v>Oppose</v>
      </c>
      <c r="AT402" s="32">
        <f t="shared" si="179"/>
        <v>4</v>
      </c>
      <c r="AU402">
        <f>step3_validation[[#This Row],[AI_TRU3]]</f>
        <v>7</v>
      </c>
      <c r="AV402" t="str">
        <f t="shared" si="180"/>
        <v>Neutral</v>
      </c>
      <c r="AW402">
        <f>survey_responses[[#This Row],[Tôi tin tưởng số tiền thuế tôi đóng sẽ được Nhà nước sử dụng hiệu quả để cải thiện dịch vụ công (y tế, đường xá...). - HUMAN-TRU3]]</f>
        <v>2</v>
      </c>
      <c r="AX402" t="str">
        <f t="shared" si="181"/>
        <v>Oppose</v>
      </c>
      <c r="AY402" s="32">
        <f t="shared" si="182"/>
        <v>5</v>
      </c>
      <c r="AZ402">
        <f>step3_validation[[#This Row],[AI_TRU4]]</f>
        <v>6</v>
      </c>
      <c r="BA402" t="str">
        <f t="shared" si="183"/>
        <v>Neutral</v>
      </c>
      <c r="BB402">
        <f>survey_responses[[#This Row],[Tôi thấy Nhà nước đã giải thích rõ ràng, minh bạch về lý do và mục tiêu của việc sửa đổi thuế lần này. - HUMAN-TRU4]]</f>
        <v>5</v>
      </c>
      <c r="BC402" t="str">
        <f t="shared" si="184"/>
        <v>Neutral</v>
      </c>
      <c r="BD402" s="32">
        <f t="shared" si="185"/>
        <v>1</v>
      </c>
      <c r="BE402">
        <f>step3_validation[[#This Row],[AI_OUT1]]</f>
        <v>7</v>
      </c>
      <c r="BF402" t="str">
        <f t="shared" si="186"/>
        <v>Neutral</v>
      </c>
      <c r="BG402">
        <f>survey_responses[[#This Row],[Sau khi xem xét các quyền lợi và nghĩa vụ, bạn có ủng hộ và tuân thủ chính sách mới hiện nay? - HUMAN-OUT1]]</f>
        <v>2</v>
      </c>
      <c r="BH402" t="str">
        <f t="shared" si="187"/>
        <v>Oppose</v>
      </c>
      <c r="BI402" s="32">
        <f t="shared" si="188"/>
        <v>5</v>
      </c>
    </row>
    <row r="403" spans="1:61" x14ac:dyDescent="0.45">
      <c r="A403" s="30">
        <f>step3_validation[[#This Row],[Persona_ID]]</f>
        <v>402</v>
      </c>
      <c r="B403" s="31">
        <f>step3_validation[[#This Row],[Used_Seed]]</f>
        <v>2392</v>
      </c>
      <c r="C403" t="str">
        <f>step3_validation[[#This Row],[Gender]]</f>
        <v>Nam</v>
      </c>
      <c r="D403" t="str">
        <f>survey_responses[[#This Row],[Giới tính của bạn:]]</f>
        <v>Nam</v>
      </c>
      <c r="E403" t="str">
        <f>step3_validation[[#This Row],[Age_Group]]</f>
        <v>55 - 64</v>
      </c>
      <c r="F403" t="str">
        <f>survey_responses[[#This Row],[Độ tuổi của bạn:]]</f>
        <v>55 - 64</v>
      </c>
      <c r="G403" t="str">
        <f>step3_validation[[#This Row],[Region]]</f>
        <v>Thành thị</v>
      </c>
      <c r="H403" t="str">
        <f>survey_responses[[#This Row],[Khu vực bạn đang sinh sống:]]</f>
        <v>Thành thị</v>
      </c>
      <c r="I403" t="str">
        <f>step3_validation[[#This Row],[Education]]</f>
        <v>Sau Đại học</v>
      </c>
      <c r="J403" t="str">
        <f>survey_responses[[#This Row],[Trình độ học vấn cao nhất:]]</f>
        <v>Sau Đại học</v>
      </c>
      <c r="K403" t="str">
        <f>step3_validation[[#This Row],[Employment]]</f>
        <v>Chính thức</v>
      </c>
      <c r="L403" t="str">
        <f>survey_responses[[#This Row],[Tình trạng việc làm chính:]]</f>
        <v>Khu vực chính thức (Có Hợp đồng lao động, đóng BHXH)</v>
      </c>
      <c r="M403">
        <f>step3_validation[[#This Row],[Income_Mil]]</f>
        <v>246.83245577454321</v>
      </c>
      <c r="N403" t="str">
        <f>survey_responses[[#This Row],[Thu nhập bình quân tháng theo Hợp đồng lao động của bạn là bao nhiêu? (Vui lòng điền tổng thu nhập trước khi khấu trừ các loại Bảo hiểm (BHXH, BHYT, BHTN) và Thuế TNCN)]]</f>
        <v>Trên 102 triệu VNĐ</v>
      </c>
      <c r="O403">
        <f>step3_validation[[#This Row],[Dependents]]</f>
        <v>4</v>
      </c>
      <c r="P403" t="str">
        <f>survey_responses[[#This Row],[Số người phụ thuộc (con nhỏ, cha mẹ già...) đủ điều kiện giảm trừ gia cảnh:]]</f>
        <v>4 người trở lên</v>
      </c>
      <c r="Q403">
        <f>step3_validation[[#This Row],[AI_ENF1]]</f>
        <v>7</v>
      </c>
      <c r="R403" t="str">
        <f t="shared" si="162"/>
        <v>Neutral</v>
      </c>
      <c r="S403">
        <f>survey_responses[[#This Row],[Tôi tin rằng với các quy định quản lý thuế hiện nay, hành vi gian lận hoặc trốn thuế sẽ dễ dàng bị phát hiện và xử lý nghiêm. - HUMAN-ENF1]]</f>
        <v>7</v>
      </c>
      <c r="T403" t="str">
        <f t="shared" si="163"/>
        <v>Neutral</v>
      </c>
      <c r="U403" s="32">
        <f t="shared" si="164"/>
        <v>0</v>
      </c>
      <c r="V403">
        <f>step3_validation[[#This Row],[AI_ENF2]]</f>
        <v>8</v>
      </c>
      <c r="W403" t="str">
        <f t="shared" si="165"/>
        <v>Support</v>
      </c>
      <c r="X403">
        <f>survey_responses[[#This Row],[Tôi tin rằng Nhà nước, cơ quan thuế có đủ khả năng và công nghệ để phát hiện, xử lý nghiêm các hành vi trốn thuế. - HUMAN-ENF2]]</f>
        <v>7</v>
      </c>
      <c r="Y403" t="str">
        <f t="shared" si="166"/>
        <v>Neutral</v>
      </c>
      <c r="Z403" s="32">
        <f t="shared" si="167"/>
        <v>1</v>
      </c>
      <c r="AA403">
        <f>step3_validation[[#This Row],[AI_FAC1]]</f>
        <v>9</v>
      </c>
      <c r="AB403" t="str">
        <f t="shared" si="168"/>
        <v>Support</v>
      </c>
      <c r="AC403">
        <f>survey_responses[[#This Row],[Các thủ tục khai báo thuế VÀ/HOẶC quy trình làm việc với cơ quan thuế đơn giản, tiện lợi, nhanh chóng hơn so với trước đây. - HUMAN-FAC1]]</f>
        <v>4</v>
      </c>
      <c r="AD403" t="str">
        <f t="shared" si="169"/>
        <v>Oppose</v>
      </c>
      <c r="AE403" s="32">
        <f t="shared" si="170"/>
        <v>5</v>
      </c>
      <c r="AF403">
        <f>step3_validation[[#This Row],[AI_FAC2]]</f>
        <v>9</v>
      </c>
      <c r="AG403" t="str">
        <f t="shared" si="171"/>
        <v>Support</v>
      </c>
      <c r="AH403">
        <f>survey_responses[[#This Row],[So với trước đây, tôi thấy cách tính thuế và các bậc thuế trong phương án mới đơn giản, dễ hiểu và dễ thực hiện hơn. - HUMAN-FAC2]]</f>
        <v>6</v>
      </c>
      <c r="AI403" t="str">
        <f t="shared" si="172"/>
        <v>Neutral</v>
      </c>
      <c r="AJ403" s="32">
        <f t="shared" si="173"/>
        <v>3</v>
      </c>
      <c r="AK403">
        <f>step3_validation[[#This Row],[AI_TRU1]]</f>
        <v>8</v>
      </c>
      <c r="AL403" t="str">
        <f t="shared" si="174"/>
        <v>Support</v>
      </c>
      <c r="AM403">
        <f>survey_responses[[#This Row],[Tôi tin rằng Nhà nước, cơ quan thuế sẽ thực thi chính sách mới một cách khách quan, công tâm và đối xử bình đẳng với mọi người nộp thuế.  - HUMAN-TRU1]]</f>
        <v>5</v>
      </c>
      <c r="AN403" t="str">
        <f t="shared" si="175"/>
        <v>Neutral</v>
      </c>
      <c r="AO403" s="32">
        <f t="shared" si="176"/>
        <v>3</v>
      </c>
      <c r="AP403">
        <f>step3_validation[[#This Row],[AI_TRU2]]</f>
        <v>7</v>
      </c>
      <c r="AQ403" t="str">
        <f t="shared" si="177"/>
        <v>Neutral</v>
      </c>
      <c r="AR403">
        <f>survey_responses[[#This Row],[Tôi thấy mức thuế tôi phải đóng theo phương án mới là công bằng (người thu nhập như tôi đóng mức này là hợp lý). - HUMAN-TRU2]]</f>
        <v>4</v>
      </c>
      <c r="AS403" t="str">
        <f t="shared" si="178"/>
        <v>Oppose</v>
      </c>
      <c r="AT403" s="32">
        <f t="shared" si="179"/>
        <v>3</v>
      </c>
      <c r="AU403">
        <f>step3_validation[[#This Row],[AI_TRU3]]</f>
        <v>8</v>
      </c>
      <c r="AV403" t="str">
        <f t="shared" si="180"/>
        <v>Support</v>
      </c>
      <c r="AW403">
        <f>survey_responses[[#This Row],[Tôi tin tưởng số tiền thuế tôi đóng sẽ được Nhà nước sử dụng hiệu quả để cải thiện dịch vụ công (y tế, đường xá...). - HUMAN-TRU3]]</f>
        <v>5</v>
      </c>
      <c r="AX403" t="str">
        <f t="shared" si="181"/>
        <v>Neutral</v>
      </c>
      <c r="AY403" s="32">
        <f t="shared" si="182"/>
        <v>3</v>
      </c>
      <c r="AZ403">
        <f>step3_validation[[#This Row],[AI_TRU4]]</f>
        <v>6</v>
      </c>
      <c r="BA403" t="str">
        <f t="shared" si="183"/>
        <v>Neutral</v>
      </c>
      <c r="BB403">
        <f>survey_responses[[#This Row],[Tôi thấy Nhà nước đã giải thích rõ ràng, minh bạch về lý do và mục tiêu của việc sửa đổi thuế lần này. - HUMAN-TRU4]]</f>
        <v>5</v>
      </c>
      <c r="BC403" t="str">
        <f t="shared" si="184"/>
        <v>Neutral</v>
      </c>
      <c r="BD403" s="32">
        <f t="shared" si="185"/>
        <v>1</v>
      </c>
      <c r="BE403">
        <f>step3_validation[[#This Row],[AI_OUT1]]</f>
        <v>9</v>
      </c>
      <c r="BF403" t="str">
        <f t="shared" si="186"/>
        <v>Support</v>
      </c>
      <c r="BG403">
        <f>survey_responses[[#This Row],[Sau khi xem xét các quyền lợi và nghĩa vụ, bạn có ủng hộ và tuân thủ chính sách mới hiện nay? - HUMAN-OUT1]]</f>
        <v>5</v>
      </c>
      <c r="BH403" t="str">
        <f t="shared" si="187"/>
        <v>Neutral</v>
      </c>
      <c r="BI403" s="32">
        <f t="shared" si="188"/>
        <v>4</v>
      </c>
    </row>
    <row r="404" spans="1:61" x14ac:dyDescent="0.45">
      <c r="A404" s="30">
        <f>step3_validation[[#This Row],[Persona_ID]]</f>
        <v>403</v>
      </c>
      <c r="B404" s="31">
        <f>step3_validation[[#This Row],[Used_Seed]]</f>
        <v>2393</v>
      </c>
      <c r="C404" t="str">
        <f>step3_validation[[#This Row],[Gender]]</f>
        <v>Nữ</v>
      </c>
      <c r="D404" t="str">
        <f>survey_responses[[#This Row],[Giới tính của bạn:]]</f>
        <v>Nữ</v>
      </c>
      <c r="E404" t="str">
        <f>step3_validation[[#This Row],[Age_Group]]</f>
        <v>25 - 29</v>
      </c>
      <c r="F404" t="str">
        <f>survey_responses[[#This Row],[Độ tuổi của bạn:]]</f>
        <v>25 - 29</v>
      </c>
      <c r="G404" t="str">
        <f>step3_validation[[#This Row],[Region]]</f>
        <v>Thành thị</v>
      </c>
      <c r="H404" t="str">
        <f>survey_responses[[#This Row],[Khu vực bạn đang sinh sống:]]</f>
        <v>Thành thị</v>
      </c>
      <c r="I404" t="str">
        <f>step3_validation[[#This Row],[Education]]</f>
        <v>Đại học</v>
      </c>
      <c r="J404" t="str">
        <f>survey_responses[[#This Row],[Trình độ học vấn cao nhất:]]</f>
        <v>Đại học</v>
      </c>
      <c r="K404" t="str">
        <f>step3_validation[[#This Row],[Employment]]</f>
        <v>Chính thức</v>
      </c>
      <c r="L404" t="str">
        <f>survey_responses[[#This Row],[Tình trạng việc làm chính:]]</f>
        <v>Khu vực chính thức (Có Hợp đồng lao động, đóng BHXH)</v>
      </c>
      <c r="M404">
        <f>step3_validation[[#This Row],[Income_Mil]]</f>
        <v>23.605855353203044</v>
      </c>
      <c r="N404" t="str">
        <f>survey_responses[[#This Row],[Thu nhập bình quân tháng theo Hợp đồng lao động của bạn là bao nhiêu? (Vui lòng điền tổng thu nhập trước khi khấu trừ các loại Bảo hiểm (BHXH, BHYT, BHTN) và Thuế TNCN)]]</f>
        <v>Từ 23 - 32 triệu VNĐ</v>
      </c>
      <c r="O404">
        <f>step3_validation[[#This Row],[Dependents]]</f>
        <v>0</v>
      </c>
      <c r="P404" t="str">
        <f>survey_responses[[#This Row],[Số người phụ thuộc (con nhỏ, cha mẹ già...) đủ điều kiện giảm trừ gia cảnh:]]</f>
        <v>0 người</v>
      </c>
      <c r="Q404">
        <f>step3_validation[[#This Row],[AI_ENF1]]</f>
        <v>7</v>
      </c>
      <c r="R404" t="str">
        <f t="shared" si="162"/>
        <v>Neutral</v>
      </c>
      <c r="S404">
        <f>survey_responses[[#This Row],[Tôi tin rằng với các quy định quản lý thuế hiện nay, hành vi gian lận hoặc trốn thuế sẽ dễ dàng bị phát hiện và xử lý nghiêm. - HUMAN-ENF1]]</f>
        <v>7</v>
      </c>
      <c r="T404" t="str">
        <f t="shared" si="163"/>
        <v>Neutral</v>
      </c>
      <c r="U404" s="32">
        <f t="shared" si="164"/>
        <v>0</v>
      </c>
      <c r="V404">
        <f>step3_validation[[#This Row],[AI_ENF2]]</f>
        <v>8</v>
      </c>
      <c r="W404" t="str">
        <f t="shared" si="165"/>
        <v>Support</v>
      </c>
      <c r="X404">
        <f>survey_responses[[#This Row],[Tôi tin rằng Nhà nước, cơ quan thuế có đủ khả năng và công nghệ để phát hiện, xử lý nghiêm các hành vi trốn thuế. - HUMAN-ENF2]]</f>
        <v>7</v>
      </c>
      <c r="Y404" t="str">
        <f t="shared" si="166"/>
        <v>Neutral</v>
      </c>
      <c r="Z404" s="32">
        <f t="shared" si="167"/>
        <v>1</v>
      </c>
      <c r="AA404">
        <f>step3_validation[[#This Row],[AI_FAC1]]</f>
        <v>6</v>
      </c>
      <c r="AB404" t="str">
        <f t="shared" si="168"/>
        <v>Neutral</v>
      </c>
      <c r="AC404">
        <f>survey_responses[[#This Row],[Các thủ tục khai báo thuế VÀ/HOẶC quy trình làm việc với cơ quan thuế đơn giản, tiện lợi, nhanh chóng hơn so với trước đây. - HUMAN-FAC1]]</f>
        <v>7</v>
      </c>
      <c r="AD404" t="str">
        <f t="shared" si="169"/>
        <v>Neutral</v>
      </c>
      <c r="AE404" s="32">
        <f t="shared" si="170"/>
        <v>1</v>
      </c>
      <c r="AF404">
        <f>step3_validation[[#This Row],[AI_FAC2]]</f>
        <v>8</v>
      </c>
      <c r="AG404" t="str">
        <f t="shared" si="171"/>
        <v>Support</v>
      </c>
      <c r="AH404">
        <f>survey_responses[[#This Row],[So với trước đây, tôi thấy cách tính thuế và các bậc thuế trong phương án mới đơn giản, dễ hiểu và dễ thực hiện hơn. - HUMAN-FAC2]]</f>
        <v>7</v>
      </c>
      <c r="AI404" t="str">
        <f t="shared" si="172"/>
        <v>Neutral</v>
      </c>
      <c r="AJ404" s="32">
        <f t="shared" si="173"/>
        <v>1</v>
      </c>
      <c r="AK404">
        <f>step3_validation[[#This Row],[AI_TRU1]]</f>
        <v>9</v>
      </c>
      <c r="AL404" t="str">
        <f t="shared" si="174"/>
        <v>Support</v>
      </c>
      <c r="AM404">
        <f>survey_responses[[#This Row],[Tôi tin rằng Nhà nước, cơ quan thuế sẽ thực thi chính sách mới một cách khách quan, công tâm và đối xử bình đẳng với mọi người nộp thuế.  - HUMAN-TRU1]]</f>
        <v>7</v>
      </c>
      <c r="AN404" t="str">
        <f t="shared" si="175"/>
        <v>Neutral</v>
      </c>
      <c r="AO404" s="32">
        <f t="shared" si="176"/>
        <v>2</v>
      </c>
      <c r="AP404">
        <f>step3_validation[[#This Row],[AI_TRU2]]</f>
        <v>7</v>
      </c>
      <c r="AQ404" t="str">
        <f t="shared" si="177"/>
        <v>Neutral</v>
      </c>
      <c r="AR404">
        <f>survey_responses[[#This Row],[Tôi thấy mức thuế tôi phải đóng theo phương án mới là công bằng (người thu nhập như tôi đóng mức này là hợp lý). - HUMAN-TRU2]]</f>
        <v>7</v>
      </c>
      <c r="AS404" t="str">
        <f t="shared" si="178"/>
        <v>Neutral</v>
      </c>
      <c r="AT404" s="32">
        <f t="shared" si="179"/>
        <v>0</v>
      </c>
      <c r="AU404">
        <f>step3_validation[[#This Row],[AI_TRU3]]</f>
        <v>8</v>
      </c>
      <c r="AV404" t="str">
        <f t="shared" si="180"/>
        <v>Support</v>
      </c>
      <c r="AW404">
        <f>survey_responses[[#This Row],[Tôi tin tưởng số tiền thuế tôi đóng sẽ được Nhà nước sử dụng hiệu quả để cải thiện dịch vụ công (y tế, đường xá...). - HUMAN-TRU3]]</f>
        <v>7</v>
      </c>
      <c r="AX404" t="str">
        <f t="shared" si="181"/>
        <v>Neutral</v>
      </c>
      <c r="AY404" s="32">
        <f t="shared" si="182"/>
        <v>1</v>
      </c>
      <c r="AZ404">
        <f>step3_validation[[#This Row],[AI_TRU4]]</f>
        <v>6</v>
      </c>
      <c r="BA404" t="str">
        <f t="shared" si="183"/>
        <v>Neutral</v>
      </c>
      <c r="BB404">
        <f>survey_responses[[#This Row],[Tôi thấy Nhà nước đã giải thích rõ ràng, minh bạch về lý do và mục tiêu của việc sửa đổi thuế lần này. - HUMAN-TRU4]]</f>
        <v>7</v>
      </c>
      <c r="BC404" t="str">
        <f t="shared" si="184"/>
        <v>Neutral</v>
      </c>
      <c r="BD404" s="32">
        <f t="shared" si="185"/>
        <v>1</v>
      </c>
      <c r="BE404">
        <f>step3_validation[[#This Row],[AI_OUT1]]</f>
        <v>9</v>
      </c>
      <c r="BF404" t="str">
        <f t="shared" si="186"/>
        <v>Support</v>
      </c>
      <c r="BG404">
        <f>survey_responses[[#This Row],[Sau khi xem xét các quyền lợi và nghĩa vụ, bạn có ủng hộ và tuân thủ chính sách mới hiện nay? - HUMAN-OUT1]]</f>
        <v>7</v>
      </c>
      <c r="BH404" t="str">
        <f t="shared" si="187"/>
        <v>Neutral</v>
      </c>
      <c r="BI404" s="32">
        <f t="shared" si="188"/>
        <v>2</v>
      </c>
    </row>
    <row r="405" spans="1:61" x14ac:dyDescent="0.45">
      <c r="U405">
        <f>AVERAGE(U2:U404)</f>
        <v>1.8436724565756824</v>
      </c>
      <c r="Z405">
        <f>AVERAGE(Z2:Z404)</f>
        <v>1.8163771712158809</v>
      </c>
      <c r="AE405">
        <f>AVERAGE(AE2:AE404)</f>
        <v>2.4466501240694791</v>
      </c>
      <c r="AJ405">
        <f>AVERAGE(AJ2:AJ404)</f>
        <v>1.6823821339950371</v>
      </c>
      <c r="AO405">
        <f>AVERAGE(AO2:AO404)</f>
        <v>2.032258064516129</v>
      </c>
      <c r="AT405">
        <f>AVERAGE(AT2:AT404)</f>
        <v>2.0942928039702231</v>
      </c>
      <c r="AY405">
        <f>AVERAGE(AY2:AY404)</f>
        <v>2.2481389578163773</v>
      </c>
      <c r="BD405">
        <f>AVERAGE(BD2:BD404)</f>
        <v>1.8635235732009925</v>
      </c>
      <c r="BI405">
        <f>AVERAGE(BI2:BI404)</f>
        <v>1.9255583126550868</v>
      </c>
    </row>
    <row r="406" spans="1:61" x14ac:dyDescent="0.45">
      <c r="Q406" t="s">
        <v>1</v>
      </c>
      <c r="R406">
        <f>COUNTIF($R$2:$R$404,"Oppose")</f>
        <v>5</v>
      </c>
      <c r="S406" t="s">
        <v>1</v>
      </c>
      <c r="T406">
        <f>COUNTIF($T$2:$T$404,"Oppose")</f>
        <v>55</v>
      </c>
      <c r="V406" t="s">
        <v>1</v>
      </c>
      <c r="W406">
        <f>COUNTIF($W$2:$W$404,"Oppose")</f>
        <v>0</v>
      </c>
      <c r="X406" t="s">
        <v>1</v>
      </c>
      <c r="Y406">
        <f>COUNTIF($Y$2:$Y$404,"Oppose")</f>
        <v>45</v>
      </c>
      <c r="AA406" t="s">
        <v>1</v>
      </c>
      <c r="AB406">
        <f>COUNTIF($AB$2:$AB$404,"Oppose")</f>
        <v>6</v>
      </c>
      <c r="AC406" t="s">
        <v>1</v>
      </c>
      <c r="AD406">
        <f>COUNTIF($AD$2:$AD$404,"Oppose")</f>
        <v>83</v>
      </c>
      <c r="AF406" t="s">
        <v>1</v>
      </c>
      <c r="AG406">
        <f>COUNTIF($AG$2:$AG$404,"Oppose")</f>
        <v>3</v>
      </c>
      <c r="AH406" t="s">
        <v>1</v>
      </c>
      <c r="AI406">
        <f>COUNTIF($AI$2:$AI$404,"Oppose")</f>
        <v>21</v>
      </c>
      <c r="AK406" t="s">
        <v>1</v>
      </c>
      <c r="AL406">
        <f>COUNTIF($AL$2:$AL$404,"Oppose")</f>
        <v>9</v>
      </c>
      <c r="AM406" t="s">
        <v>1</v>
      </c>
      <c r="AN406">
        <f>COUNTIF($AN$2:$AN$404,"Oppose")</f>
        <v>57</v>
      </c>
      <c r="AP406" t="s">
        <v>1</v>
      </c>
      <c r="AQ406">
        <f>COUNTIF($AQ$2:$AQ$404,"Oppose")</f>
        <v>7</v>
      </c>
      <c r="AR406" t="s">
        <v>1</v>
      </c>
      <c r="AS406">
        <f>COUNTIF($AS$2:$AS$404,"Oppose")</f>
        <v>70</v>
      </c>
      <c r="AU406" t="s">
        <v>1</v>
      </c>
      <c r="AV406">
        <f>COUNTIF($AV$2:$AV$404,"Oppose")</f>
        <v>17</v>
      </c>
      <c r="AW406" t="s">
        <v>1</v>
      </c>
      <c r="AX406">
        <f>COUNTIF($AX$2:$AX$404,"Oppose")</f>
        <v>72</v>
      </c>
      <c r="AZ406" t="s">
        <v>1</v>
      </c>
      <c r="BA406">
        <f>COUNTIF($BA$2:$BA$404,"Oppose")</f>
        <v>20</v>
      </c>
      <c r="BB406" t="s">
        <v>1</v>
      </c>
      <c r="BC406">
        <f>COUNTIF($BC$2:$BC$404,"Oppose")</f>
        <v>46</v>
      </c>
      <c r="BE406" t="s">
        <v>1</v>
      </c>
      <c r="BF406">
        <f>COUNTIF($BF$2:$BF$404,"Oppose")</f>
        <v>10</v>
      </c>
      <c r="BG406" t="s">
        <v>1</v>
      </c>
      <c r="BH406">
        <f>COUNTIF($BH$2:$BH$404,"Oppose")</f>
        <v>35</v>
      </c>
    </row>
    <row r="407" spans="1:61" x14ac:dyDescent="0.45">
      <c r="Q407" t="s">
        <v>2</v>
      </c>
      <c r="R407">
        <f>COUNTIF($R$2:$R$404,"Neutral")</f>
        <v>286</v>
      </c>
      <c r="S407" t="s">
        <v>2</v>
      </c>
      <c r="T407">
        <f>COUNTIF($T$2:$T$404,"Neutral")</f>
        <v>180</v>
      </c>
      <c r="V407" t="s">
        <v>2</v>
      </c>
      <c r="W407">
        <f>COUNTIF($W$2:$W$404,"Neutral")</f>
        <v>231</v>
      </c>
      <c r="X407" t="s">
        <v>2</v>
      </c>
      <c r="Y407">
        <f>COUNTIF($Y$2:$Y$404,"Neutral")</f>
        <v>166</v>
      </c>
      <c r="AA407" t="s">
        <v>2</v>
      </c>
      <c r="AB407">
        <f>COUNTIF($AB$2:$AB$404,"Neutral")</f>
        <v>148</v>
      </c>
      <c r="AC407" t="s">
        <v>2</v>
      </c>
      <c r="AD407">
        <f>COUNTIF($AD$2:$AD$404,"Neutral")</f>
        <v>177</v>
      </c>
      <c r="AF407" t="s">
        <v>2</v>
      </c>
      <c r="AG407">
        <f>COUNTIF($AG$2:$AG$404,"Neutral")</f>
        <v>134</v>
      </c>
      <c r="AH407" t="s">
        <v>2</v>
      </c>
      <c r="AI407">
        <f>COUNTIF($AI$2:$AI$404,"Neutral")</f>
        <v>185</v>
      </c>
      <c r="AK407" t="s">
        <v>2</v>
      </c>
      <c r="AL407">
        <f>COUNTIF($AL$2:$AL$404,"Neutral")</f>
        <v>261</v>
      </c>
      <c r="AM407" t="s">
        <v>2</v>
      </c>
      <c r="AN407">
        <f>COUNTIF($AN$2:$AN$404,"Neutral")</f>
        <v>218</v>
      </c>
      <c r="AP407" t="s">
        <v>2</v>
      </c>
      <c r="AQ407">
        <f>COUNTIF($AQ$2:$AQ$404,"Neutral")</f>
        <v>272</v>
      </c>
      <c r="AR407" t="s">
        <v>2</v>
      </c>
      <c r="AS407">
        <f>COUNTIF($AS$2:$AS$404,"Neutral")</f>
        <v>178</v>
      </c>
      <c r="AU407" t="s">
        <v>2</v>
      </c>
      <c r="AV407">
        <f>COUNTIF($AV$2:$AV$404,"Neutral")</f>
        <v>329</v>
      </c>
      <c r="AW407" t="s">
        <v>2</v>
      </c>
      <c r="AX407">
        <f>COUNTIF($AX$2:$AX$404,"Neutral")</f>
        <v>217</v>
      </c>
      <c r="AZ407" t="s">
        <v>2</v>
      </c>
      <c r="BA407">
        <f>COUNTIF($BA$2:$BA$404,"Neutral")</f>
        <v>347</v>
      </c>
      <c r="BB407" t="s">
        <v>2</v>
      </c>
      <c r="BC407">
        <f>COUNTIF($BC$2:$BC$404,"Neutral")</f>
        <v>235</v>
      </c>
      <c r="BE407" t="s">
        <v>2</v>
      </c>
      <c r="BF407">
        <f>COUNTIF($BF$2:$BF$404,"Neutral")</f>
        <v>259</v>
      </c>
      <c r="BG407" t="s">
        <v>2</v>
      </c>
      <c r="BH407">
        <f>COUNTIF($BH$2:$BH$404,"Neutral")</f>
        <v>194</v>
      </c>
    </row>
    <row r="408" spans="1:61" x14ac:dyDescent="0.45">
      <c r="Q408" t="s">
        <v>3</v>
      </c>
      <c r="R408">
        <f>COUNTIF($R$2:$R$404,"Support")</f>
        <v>112</v>
      </c>
      <c r="S408" t="s">
        <v>3</v>
      </c>
      <c r="T408">
        <f>COUNTIF($T$2:$T$404,"Support")</f>
        <v>168</v>
      </c>
      <c r="V408" t="s">
        <v>3</v>
      </c>
      <c r="W408">
        <f>COUNTIF($W$2:$W$404,"Support")</f>
        <v>172</v>
      </c>
      <c r="X408" t="s">
        <v>3</v>
      </c>
      <c r="Y408">
        <f>COUNTIF($Y$2:$Y$404,"Support")</f>
        <v>192</v>
      </c>
      <c r="AA408" t="s">
        <v>3</v>
      </c>
      <c r="AB408">
        <f>COUNTIF($AB$2:$AB$404,"Support")</f>
        <v>249</v>
      </c>
      <c r="AC408" t="s">
        <v>3</v>
      </c>
      <c r="AD408">
        <f>COUNTIF($AD$2:$AD$404,"Support")</f>
        <v>143</v>
      </c>
      <c r="AF408" t="s">
        <v>3</v>
      </c>
      <c r="AG408">
        <f>COUNTIF($AG$2:$AG$404,"Support")</f>
        <v>266</v>
      </c>
      <c r="AH408" t="s">
        <v>3</v>
      </c>
      <c r="AI408">
        <f>COUNTIF($AI$2:$AI$404,"Support")</f>
        <v>197</v>
      </c>
      <c r="AK408" t="s">
        <v>3</v>
      </c>
      <c r="AL408">
        <f>COUNTIF($AL$2:$AL$404,"Support")</f>
        <v>133</v>
      </c>
      <c r="AM408" t="s">
        <v>3</v>
      </c>
      <c r="AN408">
        <f>COUNTIF($AN$2:$AN$404,"Support")</f>
        <v>128</v>
      </c>
      <c r="AP408" t="s">
        <v>3</v>
      </c>
      <c r="AQ408">
        <f>COUNTIF($AQ$2:$AQ$404,"Support")</f>
        <v>124</v>
      </c>
      <c r="AR408" t="s">
        <v>3</v>
      </c>
      <c r="AS408">
        <f>COUNTIF($AS$2:$AS$404,"Support")</f>
        <v>155</v>
      </c>
      <c r="AU408" t="s">
        <v>3</v>
      </c>
      <c r="AV408">
        <f>COUNTIF($AV$2:$AV$404,"Support")</f>
        <v>57</v>
      </c>
      <c r="AW408" t="s">
        <v>3</v>
      </c>
      <c r="AX408">
        <f>COUNTIF($AX$2:$AX$404,"Support")</f>
        <v>114</v>
      </c>
      <c r="AZ408" t="s">
        <v>3</v>
      </c>
      <c r="BA408">
        <f>COUNTIF($BA$2:$BA$404,"Support")</f>
        <v>36</v>
      </c>
      <c r="BB408" t="s">
        <v>3</v>
      </c>
      <c r="BC408">
        <f>COUNTIF($BC$2:$BC$404,"Support")</f>
        <v>122</v>
      </c>
      <c r="BE408" t="s">
        <v>3</v>
      </c>
      <c r="BF408">
        <f>COUNTIF($BF$2:$BF$404,"Support")</f>
        <v>133</v>
      </c>
      <c r="BG408" t="s">
        <v>3</v>
      </c>
      <c r="BH408">
        <f>COUNTIF($BH$2:$BH$404,"Support")</f>
        <v>174</v>
      </c>
    </row>
    <row r="409" spans="1:61" x14ac:dyDescent="0.45">
      <c r="R409">
        <f>SUM(R406:R408)</f>
        <v>403</v>
      </c>
      <c r="T409">
        <f>SUM(T406:T408)</f>
        <v>403</v>
      </c>
      <c r="W409">
        <f>SUM(W406:W408)</f>
        <v>403</v>
      </c>
      <c r="Y409">
        <f>SUM(Y406:Y408)</f>
        <v>403</v>
      </c>
      <c r="AB409">
        <f>SUM(AB406:AB408)</f>
        <v>403</v>
      </c>
      <c r="AD409">
        <f>SUM(AD406:AD408)</f>
        <v>403</v>
      </c>
      <c r="AG409">
        <f>SUM(AG406:AG408)</f>
        <v>403</v>
      </c>
      <c r="AI409">
        <f>SUM(AI406:AI408)</f>
        <v>403</v>
      </c>
      <c r="AL409">
        <f>SUM(AL406:AL408)</f>
        <v>403</v>
      </c>
      <c r="AN409">
        <f>SUM(AN406:AN408)</f>
        <v>403</v>
      </c>
      <c r="AQ409">
        <f>SUM(AQ406:AQ408)</f>
        <v>403</v>
      </c>
      <c r="AS409">
        <f>SUM(AS406:AS408)</f>
        <v>403</v>
      </c>
      <c r="AV409">
        <f>SUM(AV406:AV408)</f>
        <v>403</v>
      </c>
      <c r="AX409">
        <f>SUM(AX406:AX408)</f>
        <v>403</v>
      </c>
      <c r="BA409">
        <f>SUM(BA406:BA408)</f>
        <v>403</v>
      </c>
      <c r="BC409">
        <f>SUM(BC406:BC408)</f>
        <v>403</v>
      </c>
      <c r="BF409">
        <f>SUM(BF406:BF408)</f>
        <v>402</v>
      </c>
      <c r="BH409">
        <f>SUM(BH406:BH408)</f>
        <v>403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FEADA-1036-42A1-9E7B-ECE3B897E2F4}">
  <dimension ref="A1:AS405"/>
  <sheetViews>
    <sheetView topLeftCell="Z376" workbookViewId="0">
      <selection activeCell="AM405" sqref="AM405"/>
    </sheetView>
  </sheetViews>
  <sheetFormatPr defaultRowHeight="14.25" x14ac:dyDescent="0.45"/>
  <sheetData>
    <row r="1" spans="1:45" x14ac:dyDescent="0.45">
      <c r="A1" s="21" t="s">
        <v>45</v>
      </c>
      <c r="B1" s="21" t="s">
        <v>3808</v>
      </c>
      <c r="C1" s="21" t="s">
        <v>125</v>
      </c>
      <c r="D1" s="21" t="s">
        <v>3809</v>
      </c>
      <c r="E1" s="22" t="s">
        <v>48</v>
      </c>
      <c r="F1" s="22" t="s">
        <v>3810</v>
      </c>
      <c r="G1" s="22" t="s">
        <v>130</v>
      </c>
      <c r="H1" s="22" t="s">
        <v>3811</v>
      </c>
      <c r="I1" s="18" t="s">
        <v>3812</v>
      </c>
      <c r="J1" s="20" t="s">
        <v>3813</v>
      </c>
      <c r="K1" s="21" t="s">
        <v>51</v>
      </c>
      <c r="L1" s="21" t="s">
        <v>3814</v>
      </c>
      <c r="M1" s="21" t="s">
        <v>134</v>
      </c>
      <c r="N1" s="21" t="s">
        <v>3815</v>
      </c>
      <c r="O1" s="22" t="s">
        <v>54</v>
      </c>
      <c r="P1" s="22" t="s">
        <v>3816</v>
      </c>
      <c r="Q1" s="22" t="s">
        <v>138</v>
      </c>
      <c r="R1" s="22" t="s">
        <v>3817</v>
      </c>
      <c r="S1" s="18" t="s">
        <v>3818</v>
      </c>
      <c r="T1" s="22" t="s">
        <v>3819</v>
      </c>
      <c r="U1" s="21" t="s">
        <v>57</v>
      </c>
      <c r="V1" s="21" t="s">
        <v>3820</v>
      </c>
      <c r="W1" s="21" t="s">
        <v>142</v>
      </c>
      <c r="X1" s="21" t="s">
        <v>3821</v>
      </c>
      <c r="Y1" s="22" t="s">
        <v>60</v>
      </c>
      <c r="Z1" s="22" t="s">
        <v>3822</v>
      </c>
      <c r="AA1" s="22" t="s">
        <v>146</v>
      </c>
      <c r="AB1" s="22" t="s">
        <v>3823</v>
      </c>
      <c r="AC1" s="21" t="s">
        <v>63</v>
      </c>
      <c r="AD1" s="21" t="s">
        <v>3824</v>
      </c>
      <c r="AE1" s="21" t="s">
        <v>150</v>
      </c>
      <c r="AF1" s="21" t="s">
        <v>3825</v>
      </c>
      <c r="AG1" s="22" t="s">
        <v>66</v>
      </c>
      <c r="AH1" s="22" t="s">
        <v>3826</v>
      </c>
      <c r="AI1" s="22" t="s">
        <v>154</v>
      </c>
      <c r="AJ1" s="22" t="s">
        <v>155</v>
      </c>
      <c r="AK1" s="21" t="s">
        <v>3827</v>
      </c>
      <c r="AL1" s="22" t="s">
        <v>3828</v>
      </c>
      <c r="AM1" s="22" t="s">
        <v>3829</v>
      </c>
      <c r="AN1" s="22" t="s">
        <v>3830</v>
      </c>
      <c r="AO1" s="21" t="s">
        <v>69</v>
      </c>
      <c r="AP1" s="21" t="s">
        <v>3831</v>
      </c>
      <c r="AQ1" s="21" t="s">
        <v>158</v>
      </c>
      <c r="AR1" s="21" t="s">
        <v>3832</v>
      </c>
      <c r="AS1" s="21" t="s">
        <v>160</v>
      </c>
    </row>
    <row r="2" spans="1:45" x14ac:dyDescent="0.45">
      <c r="A2">
        <f>step3_validation[[#This Row],[AI_ENF1]]</f>
        <v>7</v>
      </c>
      <c r="B2">
        <f>(A2-1)/9</f>
        <v>0.66666666666666663</v>
      </c>
      <c r="C2">
        <f>[1]!survey_responses[[#This Row],[Tôi tin rằng với các quy định quản lý thuế hiện nay, hành vi gian lận hoặc trốn thuế sẽ dễ dàng bị phát hiện và xử lý nghiêm. - HUMAN-ENF1]]</f>
        <v>10</v>
      </c>
      <c r="D2">
        <f>(C2-1)/9</f>
        <v>1</v>
      </c>
      <c r="E2">
        <f>step3_validation[[#This Row],[AI_ENF2]]</f>
        <v>8</v>
      </c>
      <c r="F2">
        <f>(E2-1)/9</f>
        <v>0.77777777777777779</v>
      </c>
      <c r="G2">
        <f>[1]!survey_responses[[#This Row],[Tôi tin rằng Nhà nước, cơ quan thuế có đủ khả năng và công nghệ để phát hiện, xử lý nghiêm các hành vi trốn thuế. - HUMAN-ENF2]]</f>
        <v>8</v>
      </c>
      <c r="H2">
        <f>(G2-1)/9</f>
        <v>0.77777777777777779</v>
      </c>
      <c r="I2" s="32">
        <f>AVERAGE(B2,F2)</f>
        <v>0.72222222222222221</v>
      </c>
      <c r="J2" s="32">
        <f>AVERAGE(D2,H2)</f>
        <v>0.88888888888888884</v>
      </c>
      <c r="K2">
        <f>step3_validation[[#This Row],[AI_FAC1]]</f>
        <v>6</v>
      </c>
      <c r="L2">
        <f>(K2-1)/9</f>
        <v>0.55555555555555558</v>
      </c>
      <c r="M2">
        <f>[1]!survey_responses[[#This Row],[Các thủ tục khai báo thuế VÀ/HOẶC quy trình làm việc với cơ quan thuế đơn giản, tiện lợi, nhanh chóng hơn so với trước đây. - HUMAN-FAC1]]</f>
        <v>5</v>
      </c>
      <c r="N2">
        <f>(M2-1)/9</f>
        <v>0.44444444444444442</v>
      </c>
      <c r="O2">
        <f>step3_validation[[#This Row],[AI_FAC2]]</f>
        <v>8</v>
      </c>
      <c r="P2">
        <f>(O2-1)/9</f>
        <v>0.77777777777777779</v>
      </c>
      <c r="Q2">
        <f>[1]!survey_responses[[#This Row],[So với trước đây, tôi thấy cách tính thuế và các bậc thuế trong phương án mới đơn giản, dễ hiểu và dễ thực hiện hơn. - HUMAN-FAC2]]</f>
        <v>5</v>
      </c>
      <c r="R2">
        <f>(Q2-1)/9</f>
        <v>0.44444444444444442</v>
      </c>
      <c r="S2" s="32">
        <f>AVERAGE(L2,P2)</f>
        <v>0.66666666666666674</v>
      </c>
      <c r="T2" s="32">
        <f>AVERAGE(N2,R2)</f>
        <v>0.44444444444444442</v>
      </c>
      <c r="U2">
        <f>step3_validation[[#This Row],[AI_TRU1]]</f>
        <v>7</v>
      </c>
      <c r="V2">
        <f>(U2-1)/9</f>
        <v>0.66666666666666663</v>
      </c>
      <c r="W2">
        <f>[1]!survey_responses[[#This Row],[Tôi tin rằng Nhà nước, cơ quan thuế sẽ thực thi chính sách mới một cách khách quan, công tâm và đối xử bình đẳng với mọi người nộp thuế.  - HUMAN-TRU1]]</f>
        <v>10</v>
      </c>
      <c r="X2">
        <f>(W2-1)/9</f>
        <v>1</v>
      </c>
      <c r="Y2">
        <f>step3_validation[[#This Row],[AI_TRU2]]</f>
        <v>8</v>
      </c>
      <c r="Z2">
        <f>(Y2-1)/9</f>
        <v>0.77777777777777779</v>
      </c>
      <c r="AA2">
        <f>[1]!survey_responses[[#This Row],[Tôi thấy mức thuế tôi phải đóng theo phương án mới là công bằng (người thu nhập như tôi đóng mức này là hợp lý). - HUMAN-TRU2]]</f>
        <v>10</v>
      </c>
      <c r="AB2">
        <f>(AA2-1)/9</f>
        <v>1</v>
      </c>
      <c r="AC2">
        <f>step3_validation[[#This Row],[AI_TRU3]]</f>
        <v>7</v>
      </c>
      <c r="AD2">
        <f>(AC2-1)/9</f>
        <v>0.66666666666666663</v>
      </c>
      <c r="AE2">
        <f>[1]!survey_responses[[#This Row],[Tôi tin tưởng số tiền thuế tôi đóng sẽ được Nhà nước sử dụng hiệu quả để cải thiện dịch vụ công (y tế, đường xá...). - HUMAN-TRU3]]</f>
        <v>10</v>
      </c>
      <c r="AF2">
        <f>(AE2-1)/9</f>
        <v>1</v>
      </c>
      <c r="AG2">
        <f>step3_validation[[#This Row],[AI_TRU4]]</f>
        <v>6</v>
      </c>
      <c r="AH2">
        <f>(AG2-1)/9</f>
        <v>0.55555555555555558</v>
      </c>
      <c r="AI2">
        <f>[1]!survey_responses[[#This Row],[Tôi thấy Nhà nước đã giải thích rõ ràng, minh bạch về lý do và mục tiêu của việc sửa đổi thuế lần này. - HUMAN-TRU4]]</f>
        <v>10</v>
      </c>
      <c r="AJ2">
        <f>(AI2-1)/9</f>
        <v>1</v>
      </c>
      <c r="AK2" s="32">
        <f>AVERAGE(V2,Z2,AD2,AH2)</f>
        <v>0.66666666666666674</v>
      </c>
      <c r="AL2" s="32">
        <f>AVERAGE(X2,AB2,AF2,AJ2)</f>
        <v>1</v>
      </c>
      <c r="AM2" s="7">
        <f>(I2+S2+AK2)/3</f>
        <v>0.68518518518518512</v>
      </c>
      <c r="AN2" s="7">
        <f>(J2+T2+AL2)/3</f>
        <v>0.77777777777777768</v>
      </c>
      <c r="AO2">
        <f>step3_validation[[#This Row],[AI_OUT1]]</f>
        <v>8</v>
      </c>
      <c r="AP2">
        <f>(AO2-1)/9</f>
        <v>0.77777777777777779</v>
      </c>
      <c r="AQ2">
        <f>[1]!survey_responses[[#This Row],[Sau khi xem xét các quyền lợi và nghĩa vụ, bạn có ủng hộ và tuân thủ chính sách mới hiện nay? - HUMAN-OUT1]]</f>
        <v>10</v>
      </c>
      <c r="AR2">
        <f>(AQ2-1)/9</f>
        <v>1</v>
      </c>
      <c r="AS2" s="32">
        <f>ABS(AQ2-AO2)</f>
        <v>2</v>
      </c>
    </row>
    <row r="3" spans="1:45" x14ac:dyDescent="0.45">
      <c r="A3">
        <f>step3_validation[[#This Row],[AI_ENF1]]</f>
        <v>7</v>
      </c>
      <c r="B3">
        <f t="shared" ref="B3:B66" si="0">(A3-1)/9</f>
        <v>0.66666666666666663</v>
      </c>
      <c r="C3">
        <f>[1]!survey_responses[[#This Row],[Tôi tin rằng với các quy định quản lý thuế hiện nay, hành vi gian lận hoặc trốn thuế sẽ dễ dàng bị phát hiện và xử lý nghiêm. - HUMAN-ENF1]]</f>
        <v>8</v>
      </c>
      <c r="D3">
        <f t="shared" ref="D3:D66" si="1">(C3-1)/9</f>
        <v>0.77777777777777779</v>
      </c>
      <c r="E3">
        <f>step3_validation[[#This Row],[AI_ENF2]]</f>
        <v>8</v>
      </c>
      <c r="F3">
        <f t="shared" ref="F3:F66" si="2">(E3-1)/9</f>
        <v>0.77777777777777779</v>
      </c>
      <c r="G3">
        <f>[1]!survey_responses[[#This Row],[Tôi tin rằng Nhà nước, cơ quan thuế có đủ khả năng và công nghệ để phát hiện, xử lý nghiêm các hành vi trốn thuế. - HUMAN-ENF2]]</f>
        <v>8</v>
      </c>
      <c r="H3">
        <f t="shared" ref="H3:H66" si="3">(G3-1)/9</f>
        <v>0.77777777777777779</v>
      </c>
      <c r="I3" s="32">
        <f t="shared" ref="I3:I66" si="4">AVERAGE(B3,F3)</f>
        <v>0.72222222222222221</v>
      </c>
      <c r="J3" s="32">
        <f t="shared" ref="J3:J66" si="5">AVERAGE(D3,H3)</f>
        <v>0.77777777777777779</v>
      </c>
      <c r="K3">
        <f>step3_validation[[#This Row],[AI_FAC1]]</f>
        <v>6</v>
      </c>
      <c r="L3">
        <f t="shared" ref="L3:L66" si="6">(K3-1)/9</f>
        <v>0.55555555555555558</v>
      </c>
      <c r="M3">
        <f>[1]!survey_responses[[#This Row],[Các thủ tục khai báo thuế VÀ/HOẶC quy trình làm việc với cơ quan thuế đơn giản, tiện lợi, nhanh chóng hơn so với trước đây. - HUMAN-FAC1]]</f>
        <v>6</v>
      </c>
      <c r="N3">
        <f t="shared" ref="N3:N66" si="7">(M3-1)/9</f>
        <v>0.55555555555555558</v>
      </c>
      <c r="O3">
        <f>step3_validation[[#This Row],[AI_FAC2]]</f>
        <v>8</v>
      </c>
      <c r="P3">
        <f t="shared" ref="P3:P66" si="8">(O3-1)/9</f>
        <v>0.77777777777777779</v>
      </c>
      <c r="Q3">
        <f>[1]!survey_responses[[#This Row],[So với trước đây, tôi thấy cách tính thuế và các bậc thuế trong phương án mới đơn giản, dễ hiểu và dễ thực hiện hơn. - HUMAN-FAC2]]</f>
        <v>9</v>
      </c>
      <c r="R3">
        <f t="shared" ref="R3:R66" si="9">(Q3-1)/9</f>
        <v>0.88888888888888884</v>
      </c>
      <c r="S3" s="32">
        <f t="shared" ref="S3:S66" si="10">AVERAGE(L3,P3)</f>
        <v>0.66666666666666674</v>
      </c>
      <c r="T3" s="32">
        <f t="shared" ref="T3:T66" si="11">AVERAGE(N3,R3)</f>
        <v>0.72222222222222221</v>
      </c>
      <c r="U3">
        <f>step3_validation[[#This Row],[AI_TRU1]]</f>
        <v>7</v>
      </c>
      <c r="V3">
        <f t="shared" ref="V3:V66" si="12">(U3-1)/9</f>
        <v>0.66666666666666663</v>
      </c>
      <c r="W3">
        <f>[1]!survey_responses[[#This Row],[Tôi tin rằng Nhà nước, cơ quan thuế sẽ thực thi chính sách mới một cách khách quan, công tâm và đối xử bình đẳng với mọi người nộp thuế.  - HUMAN-TRU1]]</f>
        <v>10</v>
      </c>
      <c r="X3">
        <f t="shared" ref="X3:X66" si="13">(W3-1)/9</f>
        <v>1</v>
      </c>
      <c r="Y3">
        <f>step3_validation[[#This Row],[AI_TRU2]]</f>
        <v>9</v>
      </c>
      <c r="Z3">
        <f t="shared" ref="Z3:Z66" si="14">(Y3-1)/9</f>
        <v>0.88888888888888884</v>
      </c>
      <c r="AA3">
        <f>[1]!survey_responses[[#This Row],[Tôi thấy mức thuế tôi phải đóng theo phương án mới là công bằng (người thu nhập như tôi đóng mức này là hợp lý). - HUMAN-TRU2]]</f>
        <v>9</v>
      </c>
      <c r="AB3">
        <f t="shared" ref="AB3:AB66" si="15">(AA3-1)/9</f>
        <v>0.88888888888888884</v>
      </c>
      <c r="AC3">
        <f>step3_validation[[#This Row],[AI_TRU3]]</f>
        <v>8</v>
      </c>
      <c r="AD3">
        <f t="shared" ref="AD3:AD66" si="16">(AC3-1)/9</f>
        <v>0.77777777777777779</v>
      </c>
      <c r="AE3">
        <f>[1]!survey_responses[[#This Row],[Tôi tin tưởng số tiền thuế tôi đóng sẽ được Nhà nước sử dụng hiệu quả để cải thiện dịch vụ công (y tế, đường xá...). - HUMAN-TRU3]]</f>
        <v>8</v>
      </c>
      <c r="AF3">
        <f t="shared" ref="AF3:AF66" si="17">(AE3-1)/9</f>
        <v>0.77777777777777779</v>
      </c>
      <c r="AG3">
        <f>step3_validation[[#This Row],[AI_TRU4]]</f>
        <v>9</v>
      </c>
      <c r="AH3">
        <f t="shared" ref="AH3:AH66" si="18">(AG3-1)/9</f>
        <v>0.88888888888888884</v>
      </c>
      <c r="AI3">
        <f>[1]!survey_responses[[#This Row],[Tôi thấy Nhà nước đã giải thích rõ ràng, minh bạch về lý do và mục tiêu của việc sửa đổi thuế lần này. - HUMAN-TRU4]]</f>
        <v>9</v>
      </c>
      <c r="AJ3">
        <f t="shared" ref="AJ3:AJ66" si="19">(AI3-1)/9</f>
        <v>0.88888888888888884</v>
      </c>
      <c r="AK3" s="32">
        <f t="shared" ref="AK3:AK66" si="20">AVERAGE(V3,Z3,AD3,AH3)</f>
        <v>0.80555555555555547</v>
      </c>
      <c r="AL3" s="32">
        <f t="shared" ref="AL3:AL66" si="21">AVERAGE(X3,AB3,AF3,AJ3)</f>
        <v>0.88888888888888884</v>
      </c>
      <c r="AM3" s="7">
        <f t="shared" ref="AM3:AM66" si="22">(I3+S3+AK3)/3</f>
        <v>0.7314814814814814</v>
      </c>
      <c r="AN3" s="7">
        <f t="shared" ref="AN3:AN66" si="23">(J3+T3+AL3)/3</f>
        <v>0.79629629629629628</v>
      </c>
      <c r="AO3">
        <f>step3_validation[[#This Row],[AI_OUT1]]</f>
        <v>7</v>
      </c>
      <c r="AP3">
        <f t="shared" ref="AP3:AP66" si="24">(AO3-1)/9</f>
        <v>0.66666666666666663</v>
      </c>
      <c r="AQ3">
        <f>[1]!survey_responses[[#This Row],[Sau khi xem xét các quyền lợi và nghĩa vụ, bạn có ủng hộ và tuân thủ chính sách mới hiện nay? - HUMAN-OUT1]]</f>
        <v>10</v>
      </c>
      <c r="AR3">
        <f t="shared" ref="AR3:AR66" si="25">(AQ3-1)/9</f>
        <v>1</v>
      </c>
      <c r="AS3" s="32">
        <f t="shared" ref="AS3:AS66" si="26">ABS(AQ3-AO3)</f>
        <v>3</v>
      </c>
    </row>
    <row r="4" spans="1:45" x14ac:dyDescent="0.45">
      <c r="A4">
        <f>step3_validation[[#This Row],[AI_ENF1]]</f>
        <v>7</v>
      </c>
      <c r="B4">
        <f t="shared" si="0"/>
        <v>0.66666666666666663</v>
      </c>
      <c r="C4">
        <f>[1]!survey_responses[[#This Row],[Tôi tin rằng với các quy định quản lý thuế hiện nay, hành vi gian lận hoặc trốn thuế sẽ dễ dàng bị phát hiện và xử lý nghiêm. - HUMAN-ENF1]]</f>
        <v>6</v>
      </c>
      <c r="D4">
        <f t="shared" si="1"/>
        <v>0.55555555555555558</v>
      </c>
      <c r="E4">
        <f>step3_validation[[#This Row],[AI_ENF2]]</f>
        <v>8</v>
      </c>
      <c r="F4">
        <f t="shared" si="2"/>
        <v>0.77777777777777779</v>
      </c>
      <c r="G4">
        <f>[1]!survey_responses[[#This Row],[Tôi tin rằng Nhà nước, cơ quan thuế có đủ khả năng và công nghệ để phát hiện, xử lý nghiêm các hành vi trốn thuế. - HUMAN-ENF2]]</f>
        <v>5</v>
      </c>
      <c r="H4">
        <f t="shared" si="3"/>
        <v>0.44444444444444442</v>
      </c>
      <c r="I4" s="32">
        <f t="shared" si="4"/>
        <v>0.72222222222222221</v>
      </c>
      <c r="J4" s="32">
        <f t="shared" si="5"/>
        <v>0.5</v>
      </c>
      <c r="K4">
        <f>step3_validation[[#This Row],[AI_FAC1]]</f>
        <v>6</v>
      </c>
      <c r="L4">
        <f t="shared" si="6"/>
        <v>0.55555555555555558</v>
      </c>
      <c r="M4">
        <f>[1]!survey_responses[[#This Row],[Các thủ tục khai báo thuế VÀ/HOẶC quy trình làm việc với cơ quan thuế đơn giản, tiện lợi, nhanh chóng hơn so với trước đây. - HUMAN-FAC1]]</f>
        <v>4</v>
      </c>
      <c r="N4">
        <f t="shared" si="7"/>
        <v>0.33333333333333331</v>
      </c>
      <c r="O4">
        <f>step3_validation[[#This Row],[AI_FAC2]]</f>
        <v>5</v>
      </c>
      <c r="P4">
        <f t="shared" si="8"/>
        <v>0.44444444444444442</v>
      </c>
      <c r="Q4">
        <f>[1]!survey_responses[[#This Row],[So với trước đây, tôi thấy cách tính thuế và các bậc thuế trong phương án mới đơn giản, dễ hiểu và dễ thực hiện hơn. - HUMAN-FAC2]]</f>
        <v>5</v>
      </c>
      <c r="R4">
        <f t="shared" si="9"/>
        <v>0.44444444444444442</v>
      </c>
      <c r="S4" s="32">
        <f t="shared" si="10"/>
        <v>0.5</v>
      </c>
      <c r="T4" s="32">
        <f t="shared" si="11"/>
        <v>0.38888888888888884</v>
      </c>
      <c r="U4">
        <f>step3_validation[[#This Row],[AI_TRU1]]</f>
        <v>7</v>
      </c>
      <c r="V4">
        <f t="shared" si="12"/>
        <v>0.66666666666666663</v>
      </c>
      <c r="W4">
        <f>[1]!survey_responses[[#This Row],[Tôi tin rằng Nhà nước, cơ quan thuế sẽ thực thi chính sách mới một cách khách quan, công tâm và đối xử bình đẳng với mọi người nộp thuế.  - HUMAN-TRU1]]</f>
        <v>4</v>
      </c>
      <c r="X4">
        <f t="shared" si="13"/>
        <v>0.33333333333333331</v>
      </c>
      <c r="Y4">
        <f>step3_validation[[#This Row],[AI_TRU2]]</f>
        <v>6</v>
      </c>
      <c r="Z4">
        <f t="shared" si="14"/>
        <v>0.55555555555555558</v>
      </c>
      <c r="AA4">
        <f>[1]!survey_responses[[#This Row],[Tôi thấy mức thuế tôi phải đóng theo phương án mới là công bằng (người thu nhập như tôi đóng mức này là hợp lý). - HUMAN-TRU2]]</f>
        <v>4</v>
      </c>
      <c r="AB4">
        <f t="shared" si="15"/>
        <v>0.33333333333333331</v>
      </c>
      <c r="AC4">
        <f>step3_validation[[#This Row],[AI_TRU3]]</f>
        <v>7</v>
      </c>
      <c r="AD4">
        <f t="shared" si="16"/>
        <v>0.66666666666666663</v>
      </c>
      <c r="AE4">
        <f>[1]!survey_responses[[#This Row],[Tôi tin tưởng số tiền thuế tôi đóng sẽ được Nhà nước sử dụng hiệu quả để cải thiện dịch vụ công (y tế, đường xá...). - HUMAN-TRU3]]</f>
        <v>4</v>
      </c>
      <c r="AF4">
        <f t="shared" si="17"/>
        <v>0.33333333333333331</v>
      </c>
      <c r="AG4">
        <f>step3_validation[[#This Row],[AI_TRU4]]</f>
        <v>5</v>
      </c>
      <c r="AH4">
        <f t="shared" si="18"/>
        <v>0.44444444444444442</v>
      </c>
      <c r="AI4">
        <f>[1]!survey_responses[[#This Row],[Tôi thấy Nhà nước đã giải thích rõ ràng, minh bạch về lý do và mục tiêu của việc sửa đổi thuế lần này. - HUMAN-TRU4]]</f>
        <v>10</v>
      </c>
      <c r="AJ4">
        <f t="shared" si="19"/>
        <v>1</v>
      </c>
      <c r="AK4" s="32">
        <f t="shared" si="20"/>
        <v>0.58333333333333326</v>
      </c>
      <c r="AL4" s="32">
        <f t="shared" si="21"/>
        <v>0.5</v>
      </c>
      <c r="AM4" s="7">
        <f t="shared" si="22"/>
        <v>0.60185185185185186</v>
      </c>
      <c r="AN4" s="7">
        <f t="shared" si="23"/>
        <v>0.46296296296296297</v>
      </c>
      <c r="AO4">
        <f>step3_validation[[#This Row],[AI_OUT1]]</f>
        <v>6</v>
      </c>
      <c r="AP4">
        <f t="shared" si="24"/>
        <v>0.55555555555555558</v>
      </c>
      <c r="AQ4">
        <f>[1]!survey_responses[[#This Row],[Sau khi xem xét các quyền lợi và nghĩa vụ, bạn có ủng hộ và tuân thủ chính sách mới hiện nay? - HUMAN-OUT1]]</f>
        <v>4</v>
      </c>
      <c r="AR4">
        <f t="shared" si="25"/>
        <v>0.33333333333333331</v>
      </c>
      <c r="AS4" s="32">
        <f t="shared" si="26"/>
        <v>2</v>
      </c>
    </row>
    <row r="5" spans="1:45" x14ac:dyDescent="0.45">
      <c r="A5">
        <f>step3_validation[[#This Row],[AI_ENF1]]</f>
        <v>7</v>
      </c>
      <c r="B5">
        <f t="shared" si="0"/>
        <v>0.66666666666666663</v>
      </c>
      <c r="C5">
        <f>[1]!survey_responses[[#This Row],[Tôi tin rằng với các quy định quản lý thuế hiện nay, hành vi gian lận hoặc trốn thuế sẽ dễ dàng bị phát hiện và xử lý nghiêm. - HUMAN-ENF1]]</f>
        <v>10</v>
      </c>
      <c r="D5">
        <f t="shared" si="1"/>
        <v>1</v>
      </c>
      <c r="E5">
        <f>step3_validation[[#This Row],[AI_ENF2]]</f>
        <v>6</v>
      </c>
      <c r="F5">
        <f t="shared" si="2"/>
        <v>0.55555555555555558</v>
      </c>
      <c r="G5">
        <f>[1]!survey_responses[[#This Row],[Tôi tin rằng Nhà nước, cơ quan thuế có đủ khả năng và công nghệ để phát hiện, xử lý nghiêm các hành vi trốn thuế. - HUMAN-ENF2]]</f>
        <v>10</v>
      </c>
      <c r="H5">
        <f t="shared" si="3"/>
        <v>1</v>
      </c>
      <c r="I5" s="32">
        <f t="shared" si="4"/>
        <v>0.61111111111111116</v>
      </c>
      <c r="J5" s="32">
        <f t="shared" si="5"/>
        <v>1</v>
      </c>
      <c r="K5">
        <f>step3_validation[[#This Row],[AI_FAC1]]</f>
        <v>8</v>
      </c>
      <c r="L5">
        <f t="shared" si="6"/>
        <v>0.77777777777777779</v>
      </c>
      <c r="M5">
        <f>[1]!survey_responses[[#This Row],[Các thủ tục khai báo thuế VÀ/HOẶC quy trình làm việc với cơ quan thuế đơn giản, tiện lợi, nhanh chóng hơn so với trước đây. - HUMAN-FAC1]]</f>
        <v>8</v>
      </c>
      <c r="N5">
        <f t="shared" si="7"/>
        <v>0.77777777777777779</v>
      </c>
      <c r="O5">
        <f>step3_validation[[#This Row],[AI_FAC2]]</f>
        <v>5</v>
      </c>
      <c r="P5">
        <f t="shared" si="8"/>
        <v>0.44444444444444442</v>
      </c>
      <c r="Q5">
        <f>[1]!survey_responses[[#This Row],[So với trước đây, tôi thấy cách tính thuế và các bậc thuế trong phương án mới đơn giản, dễ hiểu và dễ thực hiện hơn. - HUMAN-FAC2]]</f>
        <v>9</v>
      </c>
      <c r="R5">
        <f t="shared" si="9"/>
        <v>0.88888888888888884</v>
      </c>
      <c r="S5" s="32">
        <f t="shared" si="10"/>
        <v>0.61111111111111116</v>
      </c>
      <c r="T5" s="32">
        <f t="shared" si="11"/>
        <v>0.83333333333333326</v>
      </c>
      <c r="U5">
        <f>step3_validation[[#This Row],[AI_TRU1]]</f>
        <v>8</v>
      </c>
      <c r="V5">
        <f t="shared" si="12"/>
        <v>0.77777777777777779</v>
      </c>
      <c r="W5">
        <f>[1]!survey_responses[[#This Row],[Tôi tin rằng Nhà nước, cơ quan thuế sẽ thực thi chính sách mới một cách khách quan, công tâm và đối xử bình đẳng với mọi người nộp thuế.  - HUMAN-TRU1]]</f>
        <v>9</v>
      </c>
      <c r="X5">
        <f t="shared" si="13"/>
        <v>0.88888888888888884</v>
      </c>
      <c r="Y5">
        <f>step3_validation[[#This Row],[AI_TRU2]]</f>
        <v>7</v>
      </c>
      <c r="Z5">
        <f t="shared" si="14"/>
        <v>0.66666666666666663</v>
      </c>
      <c r="AA5">
        <f>[1]!survey_responses[[#This Row],[Tôi thấy mức thuế tôi phải đóng theo phương án mới là công bằng (người thu nhập như tôi đóng mức này là hợp lý). - HUMAN-TRU2]]</f>
        <v>7</v>
      </c>
      <c r="AB5">
        <f t="shared" si="15"/>
        <v>0.66666666666666663</v>
      </c>
      <c r="AC5">
        <f>step3_validation[[#This Row],[AI_TRU3]]</f>
        <v>6</v>
      </c>
      <c r="AD5">
        <f t="shared" si="16"/>
        <v>0.55555555555555558</v>
      </c>
      <c r="AE5">
        <f>[1]!survey_responses[[#This Row],[Tôi tin tưởng số tiền thuế tôi đóng sẽ được Nhà nước sử dụng hiệu quả để cải thiện dịch vụ công (y tế, đường xá...). - HUMAN-TRU3]]</f>
        <v>10</v>
      </c>
      <c r="AF5">
        <f t="shared" si="17"/>
        <v>1</v>
      </c>
      <c r="AG5">
        <f>step3_validation[[#This Row],[AI_TRU4]]</f>
        <v>5</v>
      </c>
      <c r="AH5">
        <f t="shared" si="18"/>
        <v>0.44444444444444442</v>
      </c>
      <c r="AI5">
        <f>[1]!survey_responses[[#This Row],[Tôi thấy Nhà nước đã giải thích rõ ràng, minh bạch về lý do và mục tiêu của việc sửa đổi thuế lần này. - HUMAN-TRU4]]</f>
        <v>7</v>
      </c>
      <c r="AJ5">
        <f t="shared" si="19"/>
        <v>0.66666666666666663</v>
      </c>
      <c r="AK5" s="32">
        <f t="shared" si="20"/>
        <v>0.61111111111111116</v>
      </c>
      <c r="AL5" s="32">
        <f t="shared" si="21"/>
        <v>0.80555555555555547</v>
      </c>
      <c r="AM5" s="7">
        <f t="shared" si="22"/>
        <v>0.61111111111111116</v>
      </c>
      <c r="AN5" s="7">
        <f t="shared" si="23"/>
        <v>0.87962962962962965</v>
      </c>
      <c r="AO5">
        <f>step3_validation[[#This Row],[AI_OUT1]]</f>
        <v>8</v>
      </c>
      <c r="AP5">
        <f t="shared" si="24"/>
        <v>0.77777777777777779</v>
      </c>
      <c r="AQ5">
        <f>[1]!survey_responses[[#This Row],[Sau khi xem xét các quyền lợi và nghĩa vụ, bạn có ủng hộ và tuân thủ chính sách mới hiện nay? - HUMAN-OUT1]]</f>
        <v>10</v>
      </c>
      <c r="AR5">
        <f t="shared" si="25"/>
        <v>1</v>
      </c>
      <c r="AS5" s="32">
        <f t="shared" si="26"/>
        <v>2</v>
      </c>
    </row>
    <row r="6" spans="1:45" x14ac:dyDescent="0.45">
      <c r="A6">
        <f>step3_validation[[#This Row],[AI_ENF1]]</f>
        <v>8</v>
      </c>
      <c r="B6">
        <f t="shared" si="0"/>
        <v>0.77777777777777779</v>
      </c>
      <c r="C6">
        <f>[1]!survey_responses[[#This Row],[Tôi tin rằng với các quy định quản lý thuế hiện nay, hành vi gian lận hoặc trốn thuế sẽ dễ dàng bị phát hiện và xử lý nghiêm. - HUMAN-ENF1]]</f>
        <v>9</v>
      </c>
      <c r="D6">
        <f t="shared" si="1"/>
        <v>0.88888888888888884</v>
      </c>
      <c r="E6">
        <f>step3_validation[[#This Row],[AI_ENF2]]</f>
        <v>7</v>
      </c>
      <c r="F6">
        <f t="shared" si="2"/>
        <v>0.66666666666666663</v>
      </c>
      <c r="G6">
        <f>[1]!survey_responses[[#This Row],[Tôi tin rằng Nhà nước, cơ quan thuế có đủ khả năng và công nghệ để phát hiện, xử lý nghiêm các hành vi trốn thuế. - HUMAN-ENF2]]</f>
        <v>9</v>
      </c>
      <c r="H6">
        <f t="shared" si="3"/>
        <v>0.88888888888888884</v>
      </c>
      <c r="I6" s="32">
        <f t="shared" si="4"/>
        <v>0.72222222222222221</v>
      </c>
      <c r="J6" s="32">
        <f t="shared" si="5"/>
        <v>0.88888888888888884</v>
      </c>
      <c r="K6">
        <f>step3_validation[[#This Row],[AI_FAC1]]</f>
        <v>6</v>
      </c>
      <c r="L6">
        <f t="shared" si="6"/>
        <v>0.55555555555555558</v>
      </c>
      <c r="M6">
        <f>[1]!survey_responses[[#This Row],[Các thủ tục khai báo thuế VÀ/HOẶC quy trình làm việc với cơ quan thuế đơn giản, tiện lợi, nhanh chóng hơn so với trước đây. - HUMAN-FAC1]]</f>
        <v>10</v>
      </c>
      <c r="N6">
        <f t="shared" si="7"/>
        <v>1</v>
      </c>
      <c r="O6">
        <f>step3_validation[[#This Row],[AI_FAC2]]</f>
        <v>8</v>
      </c>
      <c r="P6">
        <f t="shared" si="8"/>
        <v>0.77777777777777779</v>
      </c>
      <c r="Q6">
        <f>[1]!survey_responses[[#This Row],[So với trước đây, tôi thấy cách tính thuế và các bậc thuế trong phương án mới đơn giản, dễ hiểu và dễ thực hiện hơn. - HUMAN-FAC2]]</f>
        <v>9</v>
      </c>
      <c r="R6">
        <f t="shared" si="9"/>
        <v>0.88888888888888884</v>
      </c>
      <c r="S6" s="32">
        <f t="shared" si="10"/>
        <v>0.66666666666666674</v>
      </c>
      <c r="T6" s="32">
        <f t="shared" si="11"/>
        <v>0.94444444444444442</v>
      </c>
      <c r="U6">
        <f>step3_validation[[#This Row],[AI_TRU1]]</f>
        <v>7</v>
      </c>
      <c r="V6">
        <f t="shared" si="12"/>
        <v>0.66666666666666663</v>
      </c>
      <c r="W6">
        <f>[1]!survey_responses[[#This Row],[Tôi tin rằng Nhà nước, cơ quan thuế sẽ thực thi chính sách mới một cách khách quan, công tâm và đối xử bình đẳng với mọi người nộp thuế.  - HUMAN-TRU1]]</f>
        <v>9</v>
      </c>
      <c r="X6">
        <f t="shared" si="13"/>
        <v>0.88888888888888884</v>
      </c>
      <c r="Y6">
        <f>step3_validation[[#This Row],[AI_TRU2]]</f>
        <v>8</v>
      </c>
      <c r="Z6">
        <f t="shared" si="14"/>
        <v>0.77777777777777779</v>
      </c>
      <c r="AA6">
        <f>[1]!survey_responses[[#This Row],[Tôi thấy mức thuế tôi phải đóng theo phương án mới là công bằng (người thu nhập như tôi đóng mức này là hợp lý). - HUMAN-TRU2]]</f>
        <v>9</v>
      </c>
      <c r="AB6">
        <f t="shared" si="15"/>
        <v>0.88888888888888884</v>
      </c>
      <c r="AC6">
        <f>step3_validation[[#This Row],[AI_TRU3]]</f>
        <v>7</v>
      </c>
      <c r="AD6">
        <f t="shared" si="16"/>
        <v>0.66666666666666663</v>
      </c>
      <c r="AE6">
        <f>[1]!survey_responses[[#This Row],[Tôi tin tưởng số tiền thuế tôi đóng sẽ được Nhà nước sử dụng hiệu quả để cải thiện dịch vụ công (y tế, đường xá...). - HUMAN-TRU3]]</f>
        <v>9</v>
      </c>
      <c r="AF6">
        <f t="shared" si="17"/>
        <v>0.88888888888888884</v>
      </c>
      <c r="AG6">
        <f>step3_validation[[#This Row],[AI_TRU4]]</f>
        <v>6</v>
      </c>
      <c r="AH6">
        <f t="shared" si="18"/>
        <v>0.55555555555555558</v>
      </c>
      <c r="AI6">
        <f>[1]!survey_responses[[#This Row],[Tôi thấy Nhà nước đã giải thích rõ ràng, minh bạch về lý do và mục tiêu của việc sửa đổi thuế lần này. - HUMAN-TRU4]]</f>
        <v>9</v>
      </c>
      <c r="AJ6">
        <f t="shared" si="19"/>
        <v>0.88888888888888884</v>
      </c>
      <c r="AK6" s="32">
        <f t="shared" si="20"/>
        <v>0.66666666666666674</v>
      </c>
      <c r="AL6" s="32">
        <f t="shared" si="21"/>
        <v>0.88888888888888884</v>
      </c>
      <c r="AM6" s="7">
        <f t="shared" si="22"/>
        <v>0.68518518518518512</v>
      </c>
      <c r="AN6" s="7">
        <f t="shared" si="23"/>
        <v>0.90740740740740744</v>
      </c>
      <c r="AO6">
        <f>step3_validation[[#This Row],[AI_OUT1]]</f>
        <v>9</v>
      </c>
      <c r="AP6">
        <f t="shared" si="24"/>
        <v>0.88888888888888884</v>
      </c>
      <c r="AQ6">
        <f>[1]!survey_responses[[#This Row],[Sau khi xem xét các quyền lợi và nghĩa vụ, bạn có ủng hộ và tuân thủ chính sách mới hiện nay? - HUMAN-OUT1]]</f>
        <v>9</v>
      </c>
      <c r="AR6">
        <f t="shared" si="25"/>
        <v>0.88888888888888884</v>
      </c>
      <c r="AS6" s="32">
        <f t="shared" si="26"/>
        <v>0</v>
      </c>
    </row>
    <row r="7" spans="1:45" x14ac:dyDescent="0.45">
      <c r="A7">
        <f>step3_validation[[#This Row],[AI_ENF1]]</f>
        <v>8</v>
      </c>
      <c r="B7">
        <f t="shared" si="0"/>
        <v>0.77777777777777779</v>
      </c>
      <c r="C7">
        <f>[1]!survey_responses[[#This Row],[Tôi tin rằng với các quy định quản lý thuế hiện nay, hành vi gian lận hoặc trốn thuế sẽ dễ dàng bị phát hiện và xử lý nghiêm. - HUMAN-ENF1]]</f>
        <v>8</v>
      </c>
      <c r="D7">
        <f t="shared" si="1"/>
        <v>0.77777777777777779</v>
      </c>
      <c r="E7">
        <f>step3_validation[[#This Row],[AI_ENF2]]</f>
        <v>7</v>
      </c>
      <c r="F7">
        <f t="shared" si="2"/>
        <v>0.66666666666666663</v>
      </c>
      <c r="G7">
        <f>[1]!survey_responses[[#This Row],[Tôi tin rằng Nhà nước, cơ quan thuế có đủ khả năng và công nghệ để phát hiện, xử lý nghiêm các hành vi trốn thuế. - HUMAN-ENF2]]</f>
        <v>8</v>
      </c>
      <c r="H7">
        <f t="shared" si="3"/>
        <v>0.77777777777777779</v>
      </c>
      <c r="I7" s="32">
        <f t="shared" si="4"/>
        <v>0.72222222222222221</v>
      </c>
      <c r="J7" s="32">
        <f t="shared" si="5"/>
        <v>0.77777777777777779</v>
      </c>
      <c r="K7">
        <f>step3_validation[[#This Row],[AI_FAC1]]</f>
        <v>9</v>
      </c>
      <c r="L7">
        <f t="shared" si="6"/>
        <v>0.88888888888888884</v>
      </c>
      <c r="M7">
        <f>[1]!survey_responses[[#This Row],[Các thủ tục khai báo thuế VÀ/HOẶC quy trình làm việc với cơ quan thuế đơn giản, tiện lợi, nhanh chóng hơn so với trước đây. - HUMAN-FAC1]]</f>
        <v>5</v>
      </c>
      <c r="N7">
        <f t="shared" si="7"/>
        <v>0.44444444444444442</v>
      </c>
      <c r="O7">
        <f>step3_validation[[#This Row],[AI_FAC2]]</f>
        <v>7</v>
      </c>
      <c r="P7">
        <f t="shared" si="8"/>
        <v>0.66666666666666663</v>
      </c>
      <c r="Q7">
        <f>[1]!survey_responses[[#This Row],[So với trước đây, tôi thấy cách tính thuế và các bậc thuế trong phương án mới đơn giản, dễ hiểu và dễ thực hiện hơn. - HUMAN-FAC2]]</f>
        <v>8</v>
      </c>
      <c r="R7">
        <f t="shared" si="9"/>
        <v>0.77777777777777779</v>
      </c>
      <c r="S7" s="32">
        <f t="shared" si="10"/>
        <v>0.77777777777777768</v>
      </c>
      <c r="T7" s="32">
        <f t="shared" si="11"/>
        <v>0.61111111111111116</v>
      </c>
      <c r="U7">
        <f>step3_validation[[#This Row],[AI_TRU1]]</f>
        <v>8</v>
      </c>
      <c r="V7">
        <f t="shared" si="12"/>
        <v>0.77777777777777779</v>
      </c>
      <c r="W7">
        <f>[1]!survey_responses[[#This Row],[Tôi tin rằng Nhà nước, cơ quan thuế sẽ thực thi chính sách mới một cách khách quan, công tâm và đối xử bình đẳng với mọi người nộp thuế.  - HUMAN-TRU1]]</f>
        <v>6</v>
      </c>
      <c r="X7">
        <f t="shared" si="13"/>
        <v>0.55555555555555558</v>
      </c>
      <c r="Y7">
        <f>step3_validation[[#This Row],[AI_TRU2]]</f>
        <v>7</v>
      </c>
      <c r="Z7">
        <f t="shared" si="14"/>
        <v>0.66666666666666663</v>
      </c>
      <c r="AA7">
        <f>[1]!survey_responses[[#This Row],[Tôi thấy mức thuế tôi phải đóng theo phương án mới là công bằng (người thu nhập như tôi đóng mức này là hợp lý). - HUMAN-TRU2]]</f>
        <v>6</v>
      </c>
      <c r="AB7">
        <f t="shared" si="15"/>
        <v>0.55555555555555558</v>
      </c>
      <c r="AC7">
        <f>step3_validation[[#This Row],[AI_TRU3]]</f>
        <v>6</v>
      </c>
      <c r="AD7">
        <f t="shared" si="16"/>
        <v>0.55555555555555558</v>
      </c>
      <c r="AE7">
        <f>[1]!survey_responses[[#This Row],[Tôi tin tưởng số tiền thuế tôi đóng sẽ được Nhà nước sử dụng hiệu quả để cải thiện dịch vụ công (y tế, đường xá...). - HUMAN-TRU3]]</f>
        <v>4</v>
      </c>
      <c r="AF7">
        <f t="shared" si="17"/>
        <v>0.33333333333333331</v>
      </c>
      <c r="AG7">
        <f>step3_validation[[#This Row],[AI_TRU4]]</f>
        <v>7</v>
      </c>
      <c r="AH7">
        <f t="shared" si="18"/>
        <v>0.66666666666666663</v>
      </c>
      <c r="AI7">
        <f>[1]!survey_responses[[#This Row],[Tôi thấy Nhà nước đã giải thích rõ ràng, minh bạch về lý do và mục tiêu của việc sửa đổi thuế lần này. - HUMAN-TRU4]]</f>
        <v>5</v>
      </c>
      <c r="AJ7">
        <f t="shared" si="19"/>
        <v>0.44444444444444442</v>
      </c>
      <c r="AK7" s="32">
        <f t="shared" si="20"/>
        <v>0.66666666666666663</v>
      </c>
      <c r="AL7" s="32">
        <f t="shared" si="21"/>
        <v>0.47222222222222221</v>
      </c>
      <c r="AM7" s="7">
        <f t="shared" si="22"/>
        <v>0.72222222222222221</v>
      </c>
      <c r="AN7" s="7">
        <f t="shared" si="23"/>
        <v>0.62037037037037035</v>
      </c>
      <c r="AO7">
        <f>step3_validation[[#This Row],[AI_OUT1]]</f>
        <v>8</v>
      </c>
      <c r="AP7">
        <f t="shared" si="24"/>
        <v>0.77777777777777779</v>
      </c>
      <c r="AQ7">
        <f>[1]!survey_responses[[#This Row],[Sau khi xem xét các quyền lợi và nghĩa vụ, bạn có ủng hộ và tuân thủ chính sách mới hiện nay? - HUMAN-OUT1]]</f>
        <v>6</v>
      </c>
      <c r="AR7">
        <f t="shared" si="25"/>
        <v>0.55555555555555558</v>
      </c>
      <c r="AS7" s="32">
        <f t="shared" si="26"/>
        <v>2</v>
      </c>
    </row>
    <row r="8" spans="1:45" x14ac:dyDescent="0.45">
      <c r="A8">
        <f>step3_validation[[#This Row],[AI_ENF1]]</f>
        <v>5</v>
      </c>
      <c r="B8">
        <f t="shared" si="0"/>
        <v>0.44444444444444442</v>
      </c>
      <c r="C8">
        <f>[1]!survey_responses[[#This Row],[Tôi tin rằng với các quy định quản lý thuế hiện nay, hành vi gian lận hoặc trốn thuế sẽ dễ dàng bị phát hiện và xử lý nghiêm. - HUMAN-ENF1]]</f>
        <v>5</v>
      </c>
      <c r="D8">
        <f t="shared" si="1"/>
        <v>0.44444444444444442</v>
      </c>
      <c r="E8">
        <f>step3_validation[[#This Row],[AI_ENF2]]</f>
        <v>6</v>
      </c>
      <c r="F8">
        <f t="shared" si="2"/>
        <v>0.55555555555555558</v>
      </c>
      <c r="G8">
        <f>[1]!survey_responses[[#This Row],[Tôi tin rằng Nhà nước, cơ quan thuế có đủ khả năng và công nghệ để phát hiện, xử lý nghiêm các hành vi trốn thuế. - HUMAN-ENF2]]</f>
        <v>4</v>
      </c>
      <c r="H8">
        <f t="shared" si="3"/>
        <v>0.33333333333333331</v>
      </c>
      <c r="I8" s="32">
        <f t="shared" si="4"/>
        <v>0.5</v>
      </c>
      <c r="J8" s="32">
        <f t="shared" si="5"/>
        <v>0.38888888888888884</v>
      </c>
      <c r="K8">
        <f>step3_validation[[#This Row],[AI_FAC1]]</f>
        <v>8</v>
      </c>
      <c r="L8">
        <f t="shared" si="6"/>
        <v>0.77777777777777779</v>
      </c>
      <c r="M8">
        <f>[1]!survey_responses[[#This Row],[Các thủ tục khai báo thuế VÀ/HOẶC quy trình làm việc với cơ quan thuế đơn giản, tiện lợi, nhanh chóng hơn so với trước đây. - HUMAN-FAC1]]</f>
        <v>4</v>
      </c>
      <c r="N8">
        <f t="shared" si="7"/>
        <v>0.33333333333333331</v>
      </c>
      <c r="O8">
        <f>step3_validation[[#This Row],[AI_FAC2]]</f>
        <v>9</v>
      </c>
      <c r="P8">
        <f t="shared" si="8"/>
        <v>0.88888888888888884</v>
      </c>
      <c r="Q8">
        <f>[1]!survey_responses[[#This Row],[So với trước đây, tôi thấy cách tính thuế và các bậc thuế trong phương án mới đơn giản, dễ hiểu và dễ thực hiện hơn. - HUMAN-FAC2]]</f>
        <v>6</v>
      </c>
      <c r="R8">
        <f t="shared" si="9"/>
        <v>0.55555555555555558</v>
      </c>
      <c r="S8" s="32">
        <f t="shared" si="10"/>
        <v>0.83333333333333326</v>
      </c>
      <c r="T8" s="32">
        <f t="shared" si="11"/>
        <v>0.44444444444444442</v>
      </c>
      <c r="U8">
        <f>step3_validation[[#This Row],[AI_TRU1]]</f>
        <v>7</v>
      </c>
      <c r="V8">
        <f t="shared" si="12"/>
        <v>0.66666666666666663</v>
      </c>
      <c r="W8">
        <f>[1]!survey_responses[[#This Row],[Tôi tin rằng Nhà nước, cơ quan thuế sẽ thực thi chính sách mới một cách khách quan, công tâm và đối xử bình đẳng với mọi người nộp thuế.  - HUMAN-TRU1]]</f>
        <v>6</v>
      </c>
      <c r="X8">
        <f t="shared" si="13"/>
        <v>0.55555555555555558</v>
      </c>
      <c r="Y8">
        <f>step3_validation[[#This Row],[AI_TRU2]]</f>
        <v>6</v>
      </c>
      <c r="Z8">
        <f t="shared" si="14"/>
        <v>0.55555555555555558</v>
      </c>
      <c r="AA8">
        <f>[1]!survey_responses[[#This Row],[Tôi thấy mức thuế tôi phải đóng theo phương án mới là công bằng (người thu nhập như tôi đóng mức này là hợp lý). - HUMAN-TRU2]]</f>
        <v>7</v>
      </c>
      <c r="AB8">
        <f t="shared" si="15"/>
        <v>0.66666666666666663</v>
      </c>
      <c r="AC8">
        <f>step3_validation[[#This Row],[AI_TRU3]]</f>
        <v>7</v>
      </c>
      <c r="AD8">
        <f t="shared" si="16"/>
        <v>0.66666666666666663</v>
      </c>
      <c r="AE8">
        <f>[1]!survey_responses[[#This Row],[Tôi tin tưởng số tiền thuế tôi đóng sẽ được Nhà nước sử dụng hiệu quả để cải thiện dịch vụ công (y tế, đường xá...). - HUMAN-TRU3]]</f>
        <v>2</v>
      </c>
      <c r="AF8">
        <f t="shared" si="17"/>
        <v>0.1111111111111111</v>
      </c>
      <c r="AG8">
        <f>step3_validation[[#This Row],[AI_TRU4]]</f>
        <v>6</v>
      </c>
      <c r="AH8">
        <f t="shared" si="18"/>
        <v>0.55555555555555558</v>
      </c>
      <c r="AI8">
        <f>[1]!survey_responses[[#This Row],[Tôi thấy Nhà nước đã giải thích rõ ràng, minh bạch về lý do và mục tiêu của việc sửa đổi thuế lần này. - HUMAN-TRU4]]</f>
        <v>4</v>
      </c>
      <c r="AJ8">
        <f t="shared" si="19"/>
        <v>0.33333333333333331</v>
      </c>
      <c r="AK8" s="32">
        <f t="shared" si="20"/>
        <v>0.61111111111111116</v>
      </c>
      <c r="AL8" s="32">
        <f t="shared" si="21"/>
        <v>0.41666666666666669</v>
      </c>
      <c r="AM8" s="7">
        <f t="shared" si="22"/>
        <v>0.64814814814814814</v>
      </c>
      <c r="AN8" s="7">
        <f t="shared" si="23"/>
        <v>0.41666666666666669</v>
      </c>
      <c r="AO8">
        <f>step3_validation[[#This Row],[AI_OUT1]]</f>
        <v>5</v>
      </c>
      <c r="AP8">
        <f t="shared" si="24"/>
        <v>0.44444444444444442</v>
      </c>
      <c r="AQ8">
        <f>[1]!survey_responses[[#This Row],[Sau khi xem xét các quyền lợi và nghĩa vụ, bạn có ủng hộ và tuân thủ chính sách mới hiện nay? - HUMAN-OUT1]]</f>
        <v>4</v>
      </c>
      <c r="AR8">
        <f t="shared" si="25"/>
        <v>0.33333333333333331</v>
      </c>
      <c r="AS8" s="32">
        <f t="shared" si="26"/>
        <v>1</v>
      </c>
    </row>
    <row r="9" spans="1:45" x14ac:dyDescent="0.45">
      <c r="A9">
        <f>step3_validation[[#This Row],[AI_ENF1]]</f>
        <v>7</v>
      </c>
      <c r="B9">
        <f t="shared" si="0"/>
        <v>0.66666666666666663</v>
      </c>
      <c r="C9">
        <f>[1]!survey_responses[[#This Row],[Tôi tin rằng với các quy định quản lý thuế hiện nay, hành vi gian lận hoặc trốn thuế sẽ dễ dàng bị phát hiện và xử lý nghiêm. - HUMAN-ENF1]]</f>
        <v>1</v>
      </c>
      <c r="D9">
        <f t="shared" si="1"/>
        <v>0</v>
      </c>
      <c r="E9">
        <f>step3_validation[[#This Row],[AI_ENF2]]</f>
        <v>8</v>
      </c>
      <c r="F9">
        <f t="shared" si="2"/>
        <v>0.77777777777777779</v>
      </c>
      <c r="G9">
        <f>[1]!survey_responses[[#This Row],[Tôi tin rằng Nhà nước, cơ quan thuế có đủ khả năng và công nghệ để phát hiện, xử lý nghiêm các hành vi trốn thuế. - HUMAN-ENF2]]</f>
        <v>1</v>
      </c>
      <c r="H9">
        <f t="shared" si="3"/>
        <v>0</v>
      </c>
      <c r="I9" s="32">
        <f t="shared" si="4"/>
        <v>0.72222222222222221</v>
      </c>
      <c r="J9" s="32">
        <f t="shared" si="5"/>
        <v>0</v>
      </c>
      <c r="K9">
        <f>step3_validation[[#This Row],[AI_FAC1]]</f>
        <v>9</v>
      </c>
      <c r="L9">
        <f t="shared" si="6"/>
        <v>0.88888888888888884</v>
      </c>
      <c r="M9">
        <f>[1]!survey_responses[[#This Row],[Các thủ tục khai báo thuế VÀ/HOẶC quy trình làm việc với cơ quan thuế đơn giản, tiện lợi, nhanh chóng hơn so với trước đây. - HUMAN-FAC1]]</f>
        <v>2</v>
      </c>
      <c r="N9">
        <f t="shared" si="7"/>
        <v>0.1111111111111111</v>
      </c>
      <c r="O9">
        <f>step3_validation[[#This Row],[AI_FAC2]]</f>
        <v>8</v>
      </c>
      <c r="P9">
        <f t="shared" si="8"/>
        <v>0.77777777777777779</v>
      </c>
      <c r="Q9">
        <f>[1]!survey_responses[[#This Row],[So với trước đây, tôi thấy cách tính thuế và các bậc thuế trong phương án mới đơn giản, dễ hiểu và dễ thực hiện hơn. - HUMAN-FAC2]]</f>
        <v>3</v>
      </c>
      <c r="R9">
        <f t="shared" si="9"/>
        <v>0.22222222222222221</v>
      </c>
      <c r="S9" s="32">
        <f t="shared" si="10"/>
        <v>0.83333333333333326</v>
      </c>
      <c r="T9" s="32">
        <f t="shared" si="11"/>
        <v>0.16666666666666666</v>
      </c>
      <c r="U9">
        <f>step3_validation[[#This Row],[AI_TRU1]]</f>
        <v>9</v>
      </c>
      <c r="V9">
        <f t="shared" si="12"/>
        <v>0.88888888888888884</v>
      </c>
      <c r="W9">
        <f>[1]!survey_responses[[#This Row],[Tôi tin rằng Nhà nước, cơ quan thuế sẽ thực thi chính sách mới một cách khách quan, công tâm và đối xử bình đẳng với mọi người nộp thuế.  - HUMAN-TRU1]]</f>
        <v>6</v>
      </c>
      <c r="X9">
        <f t="shared" si="13"/>
        <v>0.55555555555555558</v>
      </c>
      <c r="Y9">
        <f>step3_validation[[#This Row],[AI_TRU2]]</f>
        <v>8</v>
      </c>
      <c r="Z9">
        <f t="shared" si="14"/>
        <v>0.77777777777777779</v>
      </c>
      <c r="AA9">
        <f>[1]!survey_responses[[#This Row],[Tôi thấy mức thuế tôi phải đóng theo phương án mới là công bằng (người thu nhập như tôi đóng mức này là hợp lý). - HUMAN-TRU2]]</f>
        <v>2</v>
      </c>
      <c r="AB9">
        <f t="shared" si="15"/>
        <v>0.1111111111111111</v>
      </c>
      <c r="AC9">
        <f>step3_validation[[#This Row],[AI_TRU3]]</f>
        <v>7</v>
      </c>
      <c r="AD9">
        <f t="shared" si="16"/>
        <v>0.66666666666666663</v>
      </c>
      <c r="AE9">
        <f>[1]!survey_responses[[#This Row],[Tôi tin tưởng số tiền thuế tôi đóng sẽ được Nhà nước sử dụng hiệu quả để cải thiện dịch vụ công (y tế, đường xá...). - HUMAN-TRU3]]</f>
        <v>7</v>
      </c>
      <c r="AF9">
        <f t="shared" si="17"/>
        <v>0.66666666666666663</v>
      </c>
      <c r="AG9">
        <f>step3_validation[[#This Row],[AI_TRU4]]</f>
        <v>6</v>
      </c>
      <c r="AH9">
        <f t="shared" si="18"/>
        <v>0.55555555555555558</v>
      </c>
      <c r="AI9">
        <f>[1]!survey_responses[[#This Row],[Tôi thấy Nhà nước đã giải thích rõ ràng, minh bạch về lý do và mục tiêu của việc sửa đổi thuế lần này. - HUMAN-TRU4]]</f>
        <v>3</v>
      </c>
      <c r="AJ9">
        <f t="shared" si="19"/>
        <v>0.22222222222222221</v>
      </c>
      <c r="AK9" s="32">
        <f t="shared" si="20"/>
        <v>0.7222222222222221</v>
      </c>
      <c r="AL9" s="32">
        <f t="shared" si="21"/>
        <v>0.38888888888888895</v>
      </c>
      <c r="AM9" s="7">
        <f t="shared" si="22"/>
        <v>0.75925925925925919</v>
      </c>
      <c r="AN9" s="7">
        <f t="shared" si="23"/>
        <v>0.1851851851851852</v>
      </c>
      <c r="AO9">
        <f>step3_validation[[#This Row],[AI_OUT1]]</f>
        <v>9</v>
      </c>
      <c r="AP9">
        <f t="shared" si="24"/>
        <v>0.88888888888888884</v>
      </c>
      <c r="AQ9">
        <f>[1]!survey_responses[[#This Row],[Sau khi xem xét các quyền lợi và nghĩa vụ, bạn có ủng hộ và tuân thủ chính sách mới hiện nay? - HUMAN-OUT1]]</f>
        <v>3</v>
      </c>
      <c r="AR9">
        <f t="shared" si="25"/>
        <v>0.22222222222222221</v>
      </c>
      <c r="AS9" s="32">
        <f t="shared" si="26"/>
        <v>6</v>
      </c>
    </row>
    <row r="10" spans="1:45" x14ac:dyDescent="0.45">
      <c r="A10">
        <f>step3_validation[[#This Row],[AI_ENF1]]</f>
        <v>7</v>
      </c>
      <c r="B10">
        <f t="shared" si="0"/>
        <v>0.66666666666666663</v>
      </c>
      <c r="C10">
        <f>[1]!survey_responses[[#This Row],[Tôi tin rằng với các quy định quản lý thuế hiện nay, hành vi gian lận hoặc trốn thuế sẽ dễ dàng bị phát hiện và xử lý nghiêm. - HUMAN-ENF1]]</f>
        <v>10</v>
      </c>
      <c r="D10">
        <f t="shared" si="1"/>
        <v>1</v>
      </c>
      <c r="E10">
        <f>step3_validation[[#This Row],[AI_ENF2]]</f>
        <v>6</v>
      </c>
      <c r="F10">
        <f t="shared" si="2"/>
        <v>0.55555555555555558</v>
      </c>
      <c r="G10">
        <f>[1]!survey_responses[[#This Row],[Tôi tin rằng Nhà nước, cơ quan thuế có đủ khả năng và công nghệ để phát hiện, xử lý nghiêm các hành vi trốn thuế. - HUMAN-ENF2]]</f>
        <v>10</v>
      </c>
      <c r="H10">
        <f t="shared" si="3"/>
        <v>1</v>
      </c>
      <c r="I10" s="32">
        <f t="shared" si="4"/>
        <v>0.61111111111111116</v>
      </c>
      <c r="J10" s="32">
        <f t="shared" si="5"/>
        <v>1</v>
      </c>
      <c r="K10">
        <f>step3_validation[[#This Row],[AI_FAC1]]</f>
        <v>8</v>
      </c>
      <c r="L10">
        <f t="shared" si="6"/>
        <v>0.77777777777777779</v>
      </c>
      <c r="M10">
        <f>[1]!survey_responses[[#This Row],[Các thủ tục khai báo thuế VÀ/HOẶC quy trình làm việc với cơ quan thuế đơn giản, tiện lợi, nhanh chóng hơn so với trước đây. - HUMAN-FAC1]]</f>
        <v>8</v>
      </c>
      <c r="N10">
        <f t="shared" si="7"/>
        <v>0.77777777777777779</v>
      </c>
      <c r="O10">
        <f>step3_validation[[#This Row],[AI_FAC2]]</f>
        <v>9</v>
      </c>
      <c r="P10">
        <f t="shared" si="8"/>
        <v>0.88888888888888884</v>
      </c>
      <c r="Q10">
        <f>[1]!survey_responses[[#This Row],[So với trước đây, tôi thấy cách tính thuế và các bậc thuế trong phương án mới đơn giản, dễ hiểu và dễ thực hiện hơn. - HUMAN-FAC2]]</f>
        <v>7</v>
      </c>
      <c r="R10">
        <f t="shared" si="9"/>
        <v>0.66666666666666663</v>
      </c>
      <c r="S10" s="32">
        <f t="shared" si="10"/>
        <v>0.83333333333333326</v>
      </c>
      <c r="T10" s="32">
        <f t="shared" si="11"/>
        <v>0.72222222222222221</v>
      </c>
      <c r="U10">
        <f>step3_validation[[#This Row],[AI_TRU1]]</f>
        <v>7</v>
      </c>
      <c r="V10">
        <f t="shared" si="12"/>
        <v>0.66666666666666663</v>
      </c>
      <c r="W10">
        <f>[1]!survey_responses[[#This Row],[Tôi tin rằng Nhà nước, cơ quan thuế sẽ thực thi chính sách mới một cách khách quan, công tâm và đối xử bình đẳng với mọi người nộp thuế.  - HUMAN-TRU1]]</f>
        <v>7</v>
      </c>
      <c r="X10">
        <f t="shared" si="13"/>
        <v>0.66666666666666663</v>
      </c>
      <c r="Y10">
        <f>step3_validation[[#This Row],[AI_TRU2]]</f>
        <v>7</v>
      </c>
      <c r="Z10">
        <f t="shared" si="14"/>
        <v>0.66666666666666663</v>
      </c>
      <c r="AA10">
        <f>[1]!survey_responses[[#This Row],[Tôi thấy mức thuế tôi phải đóng theo phương án mới là công bằng (người thu nhập như tôi đóng mức này là hợp lý). - HUMAN-TRU2]]</f>
        <v>5</v>
      </c>
      <c r="AB10">
        <f t="shared" si="15"/>
        <v>0.44444444444444442</v>
      </c>
      <c r="AC10">
        <f>step3_validation[[#This Row],[AI_TRU3]]</f>
        <v>6</v>
      </c>
      <c r="AD10">
        <f t="shared" si="16"/>
        <v>0.55555555555555558</v>
      </c>
      <c r="AE10">
        <f>[1]!survey_responses[[#This Row],[Tôi tin tưởng số tiền thuế tôi đóng sẽ được Nhà nước sử dụng hiệu quả để cải thiện dịch vụ công (y tế, đường xá...). - HUMAN-TRU3]]</f>
        <v>5</v>
      </c>
      <c r="AF10">
        <f t="shared" si="17"/>
        <v>0.44444444444444442</v>
      </c>
      <c r="AG10">
        <f>step3_validation[[#This Row],[AI_TRU4]]</f>
        <v>7</v>
      </c>
      <c r="AH10">
        <f t="shared" si="18"/>
        <v>0.66666666666666663</v>
      </c>
      <c r="AI10">
        <f>[1]!survey_responses[[#This Row],[Tôi thấy Nhà nước đã giải thích rõ ràng, minh bạch về lý do và mục tiêu của việc sửa đổi thuế lần này. - HUMAN-TRU4]]</f>
        <v>9</v>
      </c>
      <c r="AJ10">
        <f t="shared" si="19"/>
        <v>0.88888888888888884</v>
      </c>
      <c r="AK10" s="32">
        <f t="shared" si="20"/>
        <v>0.63888888888888884</v>
      </c>
      <c r="AL10" s="32">
        <f t="shared" si="21"/>
        <v>0.61111111111111116</v>
      </c>
      <c r="AM10" s="7">
        <f t="shared" si="22"/>
        <v>0.69444444444444431</v>
      </c>
      <c r="AN10" s="7">
        <f t="shared" si="23"/>
        <v>0.77777777777777779</v>
      </c>
      <c r="AO10">
        <f>step3_validation[[#This Row],[AI_OUT1]]</f>
        <v>8</v>
      </c>
      <c r="AP10">
        <f t="shared" si="24"/>
        <v>0.77777777777777779</v>
      </c>
      <c r="AQ10">
        <f>[1]!survey_responses[[#This Row],[Sau khi xem xét các quyền lợi và nghĩa vụ, bạn có ủng hộ và tuân thủ chính sách mới hiện nay? - HUMAN-OUT1]]</f>
        <v>8</v>
      </c>
      <c r="AR10">
        <f t="shared" si="25"/>
        <v>0.77777777777777779</v>
      </c>
      <c r="AS10" s="32">
        <f t="shared" si="26"/>
        <v>0</v>
      </c>
    </row>
    <row r="11" spans="1:45" x14ac:dyDescent="0.45">
      <c r="A11">
        <f>step3_validation[[#This Row],[AI_ENF1]]</f>
        <v>7</v>
      </c>
      <c r="B11">
        <f t="shared" si="0"/>
        <v>0.66666666666666663</v>
      </c>
      <c r="C11">
        <f>[1]!survey_responses[[#This Row],[Tôi tin rằng với các quy định quản lý thuế hiện nay, hành vi gian lận hoặc trốn thuế sẽ dễ dàng bị phát hiện và xử lý nghiêm. - HUMAN-ENF1]]</f>
        <v>7</v>
      </c>
      <c r="D11">
        <f t="shared" si="1"/>
        <v>0.66666666666666663</v>
      </c>
      <c r="E11">
        <f>step3_validation[[#This Row],[AI_ENF2]]</f>
        <v>6</v>
      </c>
      <c r="F11">
        <f t="shared" si="2"/>
        <v>0.55555555555555558</v>
      </c>
      <c r="G11">
        <f>[1]!survey_responses[[#This Row],[Tôi tin rằng Nhà nước, cơ quan thuế có đủ khả năng và công nghệ để phát hiện, xử lý nghiêm các hành vi trốn thuế. - HUMAN-ENF2]]</f>
        <v>10</v>
      </c>
      <c r="H11">
        <f t="shared" si="3"/>
        <v>1</v>
      </c>
      <c r="I11" s="32">
        <f t="shared" si="4"/>
        <v>0.61111111111111116</v>
      </c>
      <c r="J11" s="32">
        <f t="shared" si="5"/>
        <v>0.83333333333333326</v>
      </c>
      <c r="K11">
        <f>step3_validation[[#This Row],[AI_FAC1]]</f>
        <v>8</v>
      </c>
      <c r="L11">
        <f t="shared" si="6"/>
        <v>0.77777777777777779</v>
      </c>
      <c r="M11">
        <f>[1]!survey_responses[[#This Row],[Các thủ tục khai báo thuế VÀ/HOẶC quy trình làm việc với cơ quan thuế đơn giản, tiện lợi, nhanh chóng hơn so với trước đây. - HUMAN-FAC1]]</f>
        <v>1</v>
      </c>
      <c r="N11">
        <f t="shared" si="7"/>
        <v>0</v>
      </c>
      <c r="O11">
        <f>step3_validation[[#This Row],[AI_FAC2]]</f>
        <v>5</v>
      </c>
      <c r="P11">
        <f t="shared" si="8"/>
        <v>0.44444444444444442</v>
      </c>
      <c r="Q11">
        <f>[1]!survey_responses[[#This Row],[So với trước đây, tôi thấy cách tính thuế và các bậc thuế trong phương án mới đơn giản, dễ hiểu và dễ thực hiện hơn. - HUMAN-FAC2]]</f>
        <v>5</v>
      </c>
      <c r="R11">
        <f t="shared" si="9"/>
        <v>0.44444444444444442</v>
      </c>
      <c r="S11" s="32">
        <f t="shared" si="10"/>
        <v>0.61111111111111116</v>
      </c>
      <c r="T11" s="32">
        <f t="shared" si="11"/>
        <v>0.22222222222222221</v>
      </c>
      <c r="U11">
        <f>step3_validation[[#This Row],[AI_TRU1]]</f>
        <v>9</v>
      </c>
      <c r="V11">
        <f t="shared" si="12"/>
        <v>0.88888888888888884</v>
      </c>
      <c r="W11">
        <f>[1]!survey_responses[[#This Row],[Tôi tin rằng Nhà nước, cơ quan thuế sẽ thực thi chính sách mới một cách khách quan, công tâm và đối xử bình đẳng với mọi người nộp thuế.  - HUMAN-TRU1]]</f>
        <v>8</v>
      </c>
      <c r="X11">
        <f t="shared" si="13"/>
        <v>0.77777777777777779</v>
      </c>
      <c r="Y11">
        <f>step3_validation[[#This Row],[AI_TRU2]]</f>
        <v>7</v>
      </c>
      <c r="Z11">
        <f t="shared" si="14"/>
        <v>0.66666666666666663</v>
      </c>
      <c r="AA11">
        <f>[1]!survey_responses[[#This Row],[Tôi thấy mức thuế tôi phải đóng theo phương án mới là công bằng (người thu nhập như tôi đóng mức này là hợp lý). - HUMAN-TRU2]]</f>
        <v>5</v>
      </c>
      <c r="AB11">
        <f t="shared" si="15"/>
        <v>0.44444444444444442</v>
      </c>
      <c r="AC11">
        <f>step3_validation[[#This Row],[AI_TRU3]]</f>
        <v>6</v>
      </c>
      <c r="AD11">
        <f t="shared" si="16"/>
        <v>0.55555555555555558</v>
      </c>
      <c r="AE11">
        <f>[1]!survey_responses[[#This Row],[Tôi tin tưởng số tiền thuế tôi đóng sẽ được Nhà nước sử dụng hiệu quả để cải thiện dịch vụ công (y tế, đường xá...). - HUMAN-TRU3]]</f>
        <v>5</v>
      </c>
      <c r="AF11">
        <f t="shared" si="17"/>
        <v>0.44444444444444442</v>
      </c>
      <c r="AG11">
        <f>step3_validation[[#This Row],[AI_TRU4]]</f>
        <v>8</v>
      </c>
      <c r="AH11">
        <f t="shared" si="18"/>
        <v>0.77777777777777779</v>
      </c>
      <c r="AI11">
        <f>[1]!survey_responses[[#This Row],[Tôi thấy Nhà nước đã giải thích rõ ràng, minh bạch về lý do và mục tiêu của việc sửa đổi thuế lần này. - HUMAN-TRU4]]</f>
        <v>5</v>
      </c>
      <c r="AJ11">
        <f t="shared" si="19"/>
        <v>0.44444444444444442</v>
      </c>
      <c r="AK11" s="32">
        <f t="shared" si="20"/>
        <v>0.7222222222222221</v>
      </c>
      <c r="AL11" s="32">
        <f t="shared" si="21"/>
        <v>0.52777777777777779</v>
      </c>
      <c r="AM11" s="7">
        <f t="shared" si="22"/>
        <v>0.64814814814814814</v>
      </c>
      <c r="AN11" s="7">
        <f t="shared" si="23"/>
        <v>0.52777777777777768</v>
      </c>
      <c r="AO11">
        <f>step3_validation[[#This Row],[AI_OUT1]]</f>
        <v>9</v>
      </c>
      <c r="AP11">
        <f t="shared" si="24"/>
        <v>0.88888888888888884</v>
      </c>
      <c r="AQ11">
        <f>[1]!survey_responses[[#This Row],[Sau khi xem xét các quyền lợi và nghĩa vụ, bạn có ủng hộ và tuân thủ chính sách mới hiện nay? - HUMAN-OUT1]]</f>
        <v>10</v>
      </c>
      <c r="AR11">
        <f t="shared" si="25"/>
        <v>1</v>
      </c>
      <c r="AS11" s="32">
        <f t="shared" si="26"/>
        <v>1</v>
      </c>
    </row>
    <row r="12" spans="1:45" x14ac:dyDescent="0.45">
      <c r="A12">
        <f>step3_validation[[#This Row],[AI_ENF1]]</f>
        <v>7</v>
      </c>
      <c r="B12">
        <f t="shared" si="0"/>
        <v>0.66666666666666663</v>
      </c>
      <c r="C12">
        <f>[1]!survey_responses[[#This Row],[Tôi tin rằng với các quy định quản lý thuế hiện nay, hành vi gian lận hoặc trốn thuế sẽ dễ dàng bị phát hiện và xử lý nghiêm. - HUMAN-ENF1]]</f>
        <v>10</v>
      </c>
      <c r="D12">
        <f t="shared" si="1"/>
        <v>1</v>
      </c>
      <c r="E12">
        <f>step3_validation[[#This Row],[AI_ENF2]]</f>
        <v>6</v>
      </c>
      <c r="F12">
        <f t="shared" si="2"/>
        <v>0.55555555555555558</v>
      </c>
      <c r="G12">
        <f>[1]!survey_responses[[#This Row],[Tôi tin rằng Nhà nước, cơ quan thuế có đủ khả năng và công nghệ để phát hiện, xử lý nghiêm các hành vi trốn thuế. - HUMAN-ENF2]]</f>
        <v>3</v>
      </c>
      <c r="H12">
        <f t="shared" si="3"/>
        <v>0.22222222222222221</v>
      </c>
      <c r="I12" s="32">
        <f t="shared" si="4"/>
        <v>0.61111111111111116</v>
      </c>
      <c r="J12" s="32">
        <f t="shared" si="5"/>
        <v>0.61111111111111116</v>
      </c>
      <c r="K12">
        <f>step3_validation[[#This Row],[AI_FAC1]]</f>
        <v>5</v>
      </c>
      <c r="L12">
        <f t="shared" si="6"/>
        <v>0.44444444444444442</v>
      </c>
      <c r="M12">
        <f>[1]!survey_responses[[#This Row],[Các thủ tục khai báo thuế VÀ/HOẶC quy trình làm việc với cơ quan thuế đơn giản, tiện lợi, nhanh chóng hơn so với trước đây. - HUMAN-FAC1]]</f>
        <v>1</v>
      </c>
      <c r="N12">
        <f t="shared" si="7"/>
        <v>0</v>
      </c>
      <c r="O12">
        <f>step3_validation[[#This Row],[AI_FAC2]]</f>
        <v>8</v>
      </c>
      <c r="P12">
        <f t="shared" si="8"/>
        <v>0.77777777777777779</v>
      </c>
      <c r="Q12">
        <f>[1]!survey_responses[[#This Row],[So với trước đây, tôi thấy cách tính thuế và các bậc thuế trong phương án mới đơn giản, dễ hiểu và dễ thực hiện hơn. - HUMAN-FAC2]]</f>
        <v>7</v>
      </c>
      <c r="R12">
        <f t="shared" si="9"/>
        <v>0.66666666666666663</v>
      </c>
      <c r="S12" s="32">
        <f t="shared" si="10"/>
        <v>0.61111111111111116</v>
      </c>
      <c r="T12" s="32">
        <f t="shared" si="11"/>
        <v>0.33333333333333331</v>
      </c>
      <c r="U12">
        <f>step3_validation[[#This Row],[AI_TRU1]]</f>
        <v>6</v>
      </c>
      <c r="V12">
        <f t="shared" si="12"/>
        <v>0.55555555555555558</v>
      </c>
      <c r="W12">
        <f>[1]!survey_responses[[#This Row],[Tôi tin rằng Nhà nước, cơ quan thuế sẽ thực thi chính sách mới một cách khách quan, công tâm và đối xử bình đẳng với mọi người nộp thuế.  - HUMAN-TRU1]]</f>
        <v>1</v>
      </c>
      <c r="X12">
        <f t="shared" si="13"/>
        <v>0</v>
      </c>
      <c r="Y12">
        <f>step3_validation[[#This Row],[AI_TRU2]]</f>
        <v>7</v>
      </c>
      <c r="Z12">
        <f t="shared" si="14"/>
        <v>0.66666666666666663</v>
      </c>
      <c r="AA12">
        <f>[1]!survey_responses[[#This Row],[Tôi thấy mức thuế tôi phải đóng theo phương án mới là công bằng (người thu nhập như tôi đóng mức này là hợp lý). - HUMAN-TRU2]]</f>
        <v>5</v>
      </c>
      <c r="AB12">
        <f t="shared" si="15"/>
        <v>0.44444444444444442</v>
      </c>
      <c r="AC12">
        <f>step3_validation[[#This Row],[AI_TRU3]]</f>
        <v>6</v>
      </c>
      <c r="AD12">
        <f t="shared" si="16"/>
        <v>0.55555555555555558</v>
      </c>
      <c r="AE12">
        <f>[1]!survey_responses[[#This Row],[Tôi tin tưởng số tiền thuế tôi đóng sẽ được Nhà nước sử dụng hiệu quả để cải thiện dịch vụ công (y tế, đường xá...). - HUMAN-TRU3]]</f>
        <v>1</v>
      </c>
      <c r="AF12">
        <f t="shared" si="17"/>
        <v>0</v>
      </c>
      <c r="AG12">
        <f>step3_validation[[#This Row],[AI_TRU4]]</f>
        <v>5</v>
      </c>
      <c r="AH12">
        <f t="shared" si="18"/>
        <v>0.44444444444444442</v>
      </c>
      <c r="AI12">
        <f>[1]!survey_responses[[#This Row],[Tôi thấy Nhà nước đã giải thích rõ ràng, minh bạch về lý do và mục tiêu của việc sửa đổi thuế lần này. - HUMAN-TRU4]]</f>
        <v>8</v>
      </c>
      <c r="AJ12">
        <f t="shared" si="19"/>
        <v>0.77777777777777779</v>
      </c>
      <c r="AK12" s="32">
        <f t="shared" si="20"/>
        <v>0.55555555555555558</v>
      </c>
      <c r="AL12" s="32">
        <f t="shared" si="21"/>
        <v>0.30555555555555558</v>
      </c>
      <c r="AM12" s="7">
        <f t="shared" si="22"/>
        <v>0.59259259259259267</v>
      </c>
      <c r="AN12" s="7">
        <f t="shared" si="23"/>
        <v>0.41666666666666669</v>
      </c>
      <c r="AO12">
        <f>step3_validation[[#This Row],[AI_OUT1]]</f>
        <v>4</v>
      </c>
      <c r="AP12">
        <f t="shared" si="24"/>
        <v>0.33333333333333331</v>
      </c>
      <c r="AQ12">
        <f>[1]!survey_responses[[#This Row],[Sau khi xem xét các quyền lợi và nghĩa vụ, bạn có ủng hộ và tuân thủ chính sách mới hiện nay? - HUMAN-OUT1]]</f>
        <v>6</v>
      </c>
      <c r="AR12">
        <f t="shared" si="25"/>
        <v>0.55555555555555558</v>
      </c>
      <c r="AS12" s="32">
        <f t="shared" si="26"/>
        <v>2</v>
      </c>
    </row>
    <row r="13" spans="1:45" x14ac:dyDescent="0.45">
      <c r="A13">
        <f>step3_validation[[#This Row],[AI_ENF1]]</f>
        <v>7</v>
      </c>
      <c r="B13">
        <f t="shared" si="0"/>
        <v>0.66666666666666663</v>
      </c>
      <c r="C13">
        <f>[1]!survey_responses[[#This Row],[Tôi tin rằng với các quy định quản lý thuế hiện nay, hành vi gian lận hoặc trốn thuế sẽ dễ dàng bị phát hiện và xử lý nghiêm. - HUMAN-ENF1]]</f>
        <v>5</v>
      </c>
      <c r="D13">
        <f t="shared" si="1"/>
        <v>0.44444444444444442</v>
      </c>
      <c r="E13">
        <f>step3_validation[[#This Row],[AI_ENF2]]</f>
        <v>8</v>
      </c>
      <c r="F13">
        <f t="shared" si="2"/>
        <v>0.77777777777777779</v>
      </c>
      <c r="G13">
        <f>[1]!survey_responses[[#This Row],[Tôi tin rằng Nhà nước, cơ quan thuế có đủ khả năng và công nghệ để phát hiện, xử lý nghiêm các hành vi trốn thuế. - HUMAN-ENF2]]</f>
        <v>8</v>
      </c>
      <c r="H13">
        <f t="shared" si="3"/>
        <v>0.77777777777777779</v>
      </c>
      <c r="I13" s="32">
        <f t="shared" si="4"/>
        <v>0.72222222222222221</v>
      </c>
      <c r="J13" s="32">
        <f t="shared" si="5"/>
        <v>0.61111111111111116</v>
      </c>
      <c r="K13">
        <f>step3_validation[[#This Row],[AI_FAC1]]</f>
        <v>6</v>
      </c>
      <c r="L13">
        <f t="shared" si="6"/>
        <v>0.55555555555555558</v>
      </c>
      <c r="M13">
        <f>[1]!survey_responses[[#This Row],[Các thủ tục khai báo thuế VÀ/HOẶC quy trình làm việc với cơ quan thuế đơn giản, tiện lợi, nhanh chóng hơn so với trước đây. - HUMAN-FAC1]]</f>
        <v>5</v>
      </c>
      <c r="N13">
        <f t="shared" si="7"/>
        <v>0.44444444444444442</v>
      </c>
      <c r="O13">
        <f>step3_validation[[#This Row],[AI_FAC2]]</f>
        <v>7</v>
      </c>
      <c r="P13">
        <f t="shared" si="8"/>
        <v>0.66666666666666663</v>
      </c>
      <c r="Q13">
        <f>[1]!survey_responses[[#This Row],[So với trước đây, tôi thấy cách tính thuế và các bậc thuế trong phương án mới đơn giản, dễ hiểu và dễ thực hiện hơn. - HUMAN-FAC2]]</f>
        <v>5</v>
      </c>
      <c r="R13">
        <f t="shared" si="9"/>
        <v>0.44444444444444442</v>
      </c>
      <c r="S13" s="32">
        <f t="shared" si="10"/>
        <v>0.61111111111111116</v>
      </c>
      <c r="T13" s="32">
        <f t="shared" si="11"/>
        <v>0.44444444444444442</v>
      </c>
      <c r="U13">
        <f>step3_validation[[#This Row],[AI_TRU1]]</f>
        <v>6</v>
      </c>
      <c r="V13">
        <f t="shared" si="12"/>
        <v>0.55555555555555558</v>
      </c>
      <c r="W13">
        <f>[1]!survey_responses[[#This Row],[Tôi tin rằng Nhà nước, cơ quan thuế sẽ thực thi chính sách mới một cách khách quan, công tâm và đối xử bình đẳng với mọi người nộp thuế.  - HUMAN-TRU1]]</f>
        <v>6</v>
      </c>
      <c r="X13">
        <f t="shared" si="13"/>
        <v>0.55555555555555558</v>
      </c>
      <c r="Y13">
        <f>step3_validation[[#This Row],[AI_TRU2]]</f>
        <v>7</v>
      </c>
      <c r="Z13">
        <f t="shared" si="14"/>
        <v>0.66666666666666663</v>
      </c>
      <c r="AA13">
        <f>[1]!survey_responses[[#This Row],[Tôi thấy mức thuế tôi phải đóng theo phương án mới là công bằng (người thu nhập như tôi đóng mức này là hợp lý). - HUMAN-TRU2]]</f>
        <v>5</v>
      </c>
      <c r="AB13">
        <f t="shared" si="15"/>
        <v>0.44444444444444442</v>
      </c>
      <c r="AC13">
        <f>step3_validation[[#This Row],[AI_TRU3]]</f>
        <v>6</v>
      </c>
      <c r="AD13">
        <f t="shared" si="16"/>
        <v>0.55555555555555558</v>
      </c>
      <c r="AE13">
        <f>[1]!survey_responses[[#This Row],[Tôi tin tưởng số tiền thuế tôi đóng sẽ được Nhà nước sử dụng hiệu quả để cải thiện dịch vụ công (y tế, đường xá...). - HUMAN-TRU3]]</f>
        <v>5</v>
      </c>
      <c r="AF13">
        <f t="shared" si="17"/>
        <v>0.44444444444444442</v>
      </c>
      <c r="AG13">
        <f>step3_validation[[#This Row],[AI_TRU4]]</f>
        <v>6</v>
      </c>
      <c r="AH13">
        <f t="shared" si="18"/>
        <v>0.55555555555555558</v>
      </c>
      <c r="AI13">
        <f>[1]!survey_responses[[#This Row],[Tôi thấy Nhà nước đã giải thích rõ ràng, minh bạch về lý do và mục tiêu của việc sửa đổi thuế lần này. - HUMAN-TRU4]]</f>
        <v>5</v>
      </c>
      <c r="AJ13">
        <f t="shared" si="19"/>
        <v>0.44444444444444442</v>
      </c>
      <c r="AK13" s="32">
        <f t="shared" si="20"/>
        <v>0.58333333333333337</v>
      </c>
      <c r="AL13" s="32">
        <f t="shared" si="21"/>
        <v>0.47222222222222221</v>
      </c>
      <c r="AM13" s="7">
        <f t="shared" si="22"/>
        <v>0.63888888888888895</v>
      </c>
      <c r="AN13" s="7">
        <f t="shared" si="23"/>
        <v>0.50925925925925919</v>
      </c>
      <c r="AO13">
        <f>step3_validation[[#This Row],[AI_OUT1]]</f>
        <v>6</v>
      </c>
      <c r="AP13">
        <f t="shared" si="24"/>
        <v>0.55555555555555558</v>
      </c>
      <c r="AQ13">
        <f>[1]!survey_responses[[#This Row],[Sau khi xem xét các quyền lợi và nghĩa vụ, bạn có ủng hộ và tuân thủ chính sách mới hiện nay? - HUMAN-OUT1]]</f>
        <v>5</v>
      </c>
      <c r="AR13">
        <f t="shared" si="25"/>
        <v>0.44444444444444442</v>
      </c>
      <c r="AS13" s="32">
        <f t="shared" si="26"/>
        <v>1</v>
      </c>
    </row>
    <row r="14" spans="1:45" x14ac:dyDescent="0.45">
      <c r="A14">
        <f>step3_validation[[#This Row],[AI_ENF1]]</f>
        <v>8</v>
      </c>
      <c r="B14">
        <f t="shared" si="0"/>
        <v>0.77777777777777779</v>
      </c>
      <c r="C14">
        <f>[1]!survey_responses[[#This Row],[Tôi tin rằng với các quy định quản lý thuế hiện nay, hành vi gian lận hoặc trốn thuế sẽ dễ dàng bị phát hiện và xử lý nghiêm. - HUMAN-ENF1]]</f>
        <v>8</v>
      </c>
      <c r="D14">
        <f t="shared" si="1"/>
        <v>0.77777777777777779</v>
      </c>
      <c r="E14">
        <f>step3_validation[[#This Row],[AI_ENF2]]</f>
        <v>9</v>
      </c>
      <c r="F14">
        <f t="shared" si="2"/>
        <v>0.88888888888888884</v>
      </c>
      <c r="G14">
        <f>[1]!survey_responses[[#This Row],[Tôi tin rằng Nhà nước, cơ quan thuế có đủ khả năng và công nghệ để phát hiện, xử lý nghiêm các hành vi trốn thuế. - HUMAN-ENF2]]</f>
        <v>7</v>
      </c>
      <c r="H14">
        <f t="shared" si="3"/>
        <v>0.66666666666666663</v>
      </c>
      <c r="I14" s="32">
        <f t="shared" si="4"/>
        <v>0.83333333333333326</v>
      </c>
      <c r="J14" s="32">
        <f t="shared" si="5"/>
        <v>0.72222222222222221</v>
      </c>
      <c r="K14">
        <f>step3_validation[[#This Row],[AI_FAC1]]</f>
        <v>7</v>
      </c>
      <c r="L14">
        <f t="shared" si="6"/>
        <v>0.66666666666666663</v>
      </c>
      <c r="M14">
        <f>[1]!survey_responses[[#This Row],[Các thủ tục khai báo thuế VÀ/HOẶC quy trình làm việc với cơ quan thuế đơn giản, tiện lợi, nhanh chóng hơn so với trước đây. - HUMAN-FAC1]]</f>
        <v>7</v>
      </c>
      <c r="N14">
        <f t="shared" si="7"/>
        <v>0.66666666666666663</v>
      </c>
      <c r="O14">
        <f>step3_validation[[#This Row],[AI_FAC2]]</f>
        <v>8</v>
      </c>
      <c r="P14">
        <f t="shared" si="8"/>
        <v>0.77777777777777779</v>
      </c>
      <c r="Q14">
        <f>[1]!survey_responses[[#This Row],[So với trước đây, tôi thấy cách tính thuế và các bậc thuế trong phương án mới đơn giản, dễ hiểu và dễ thực hiện hơn. - HUMAN-FAC2]]</f>
        <v>7</v>
      </c>
      <c r="R14">
        <f t="shared" si="9"/>
        <v>0.66666666666666663</v>
      </c>
      <c r="S14" s="32">
        <f t="shared" si="10"/>
        <v>0.72222222222222221</v>
      </c>
      <c r="T14" s="32">
        <f t="shared" si="11"/>
        <v>0.66666666666666663</v>
      </c>
      <c r="U14">
        <f>step3_validation[[#This Row],[AI_TRU1]]</f>
        <v>6</v>
      </c>
      <c r="V14">
        <f t="shared" si="12"/>
        <v>0.55555555555555558</v>
      </c>
      <c r="W14">
        <f>[1]!survey_responses[[#This Row],[Tôi tin rằng Nhà nước, cơ quan thuế sẽ thực thi chính sách mới một cách khách quan, công tâm và đối xử bình đẳng với mọi người nộp thuế.  - HUMAN-TRU1]]</f>
        <v>7</v>
      </c>
      <c r="X14">
        <f t="shared" si="13"/>
        <v>0.66666666666666663</v>
      </c>
      <c r="Y14">
        <f>step3_validation[[#This Row],[AI_TRU2]]</f>
        <v>7</v>
      </c>
      <c r="Z14">
        <f t="shared" si="14"/>
        <v>0.66666666666666663</v>
      </c>
      <c r="AA14">
        <f>[1]!survey_responses[[#This Row],[Tôi thấy mức thuế tôi phải đóng theo phương án mới là công bằng (người thu nhập như tôi đóng mức này là hợp lý). - HUMAN-TRU2]]</f>
        <v>8</v>
      </c>
      <c r="AB14">
        <f t="shared" si="15"/>
        <v>0.77777777777777779</v>
      </c>
      <c r="AC14">
        <f>step3_validation[[#This Row],[AI_TRU3]]</f>
        <v>6</v>
      </c>
      <c r="AD14">
        <f t="shared" si="16"/>
        <v>0.55555555555555558</v>
      </c>
      <c r="AE14">
        <f>[1]!survey_responses[[#This Row],[Tôi tin tưởng số tiền thuế tôi đóng sẽ được Nhà nước sử dụng hiệu quả để cải thiện dịch vụ công (y tế, đường xá...). - HUMAN-TRU3]]</f>
        <v>7</v>
      </c>
      <c r="AF14">
        <f t="shared" si="17"/>
        <v>0.66666666666666663</v>
      </c>
      <c r="AG14">
        <f>step3_validation[[#This Row],[AI_TRU4]]</f>
        <v>8</v>
      </c>
      <c r="AH14">
        <f t="shared" si="18"/>
        <v>0.77777777777777779</v>
      </c>
      <c r="AI14">
        <f>[1]!survey_responses[[#This Row],[Tôi thấy Nhà nước đã giải thích rõ ràng, minh bạch về lý do và mục tiêu của việc sửa đổi thuế lần này. - HUMAN-TRU4]]</f>
        <v>7</v>
      </c>
      <c r="AJ14">
        <f t="shared" si="19"/>
        <v>0.66666666666666663</v>
      </c>
      <c r="AK14" s="32">
        <f t="shared" si="20"/>
        <v>0.63888888888888895</v>
      </c>
      <c r="AL14" s="32">
        <f t="shared" si="21"/>
        <v>0.69444444444444442</v>
      </c>
      <c r="AM14" s="7">
        <f t="shared" si="22"/>
        <v>0.7314814814814814</v>
      </c>
      <c r="AN14" s="7">
        <f t="shared" si="23"/>
        <v>0.69444444444444431</v>
      </c>
      <c r="AO14">
        <f>step3_validation[[#This Row],[AI_OUT1]]</f>
        <v>7</v>
      </c>
      <c r="AP14">
        <f t="shared" si="24"/>
        <v>0.66666666666666663</v>
      </c>
      <c r="AQ14">
        <f>[1]!survey_responses[[#This Row],[Sau khi xem xét các quyền lợi và nghĩa vụ, bạn có ủng hộ và tuân thủ chính sách mới hiện nay? - HUMAN-OUT1]]</f>
        <v>7</v>
      </c>
      <c r="AR14">
        <f t="shared" si="25"/>
        <v>0.66666666666666663</v>
      </c>
      <c r="AS14" s="32">
        <f t="shared" si="26"/>
        <v>0</v>
      </c>
    </row>
    <row r="15" spans="1:45" x14ac:dyDescent="0.45">
      <c r="A15">
        <f>step3_validation[[#This Row],[AI_ENF1]]</f>
        <v>8</v>
      </c>
      <c r="B15">
        <f t="shared" si="0"/>
        <v>0.77777777777777779</v>
      </c>
      <c r="C15">
        <f>[1]!survey_responses[[#This Row],[Tôi tin rằng với các quy định quản lý thuế hiện nay, hành vi gian lận hoặc trốn thuế sẽ dễ dàng bị phát hiện và xử lý nghiêm. - HUMAN-ENF1]]</f>
        <v>10</v>
      </c>
      <c r="D15">
        <f t="shared" si="1"/>
        <v>1</v>
      </c>
      <c r="E15">
        <f>step3_validation[[#This Row],[AI_ENF2]]</f>
        <v>7</v>
      </c>
      <c r="F15">
        <f t="shared" si="2"/>
        <v>0.66666666666666663</v>
      </c>
      <c r="G15">
        <f>[1]!survey_responses[[#This Row],[Tôi tin rằng Nhà nước, cơ quan thuế có đủ khả năng và công nghệ để phát hiện, xử lý nghiêm các hành vi trốn thuế. - HUMAN-ENF2]]</f>
        <v>10</v>
      </c>
      <c r="H15">
        <f t="shared" si="3"/>
        <v>1</v>
      </c>
      <c r="I15" s="32">
        <f t="shared" si="4"/>
        <v>0.72222222222222221</v>
      </c>
      <c r="J15" s="32">
        <f t="shared" si="5"/>
        <v>1</v>
      </c>
      <c r="K15">
        <f>step3_validation[[#This Row],[AI_FAC1]]</f>
        <v>6</v>
      </c>
      <c r="L15">
        <f t="shared" si="6"/>
        <v>0.55555555555555558</v>
      </c>
      <c r="M15">
        <f>[1]!survey_responses[[#This Row],[Các thủ tục khai báo thuế VÀ/HOẶC quy trình làm việc với cơ quan thuế đơn giản, tiện lợi, nhanh chóng hơn so với trước đây. - HUMAN-FAC1]]</f>
        <v>8</v>
      </c>
      <c r="N15">
        <f t="shared" si="7"/>
        <v>0.77777777777777779</v>
      </c>
      <c r="O15">
        <f>step3_validation[[#This Row],[AI_FAC2]]</f>
        <v>6</v>
      </c>
      <c r="P15">
        <f t="shared" si="8"/>
        <v>0.55555555555555558</v>
      </c>
      <c r="Q15">
        <f>[1]!survey_responses[[#This Row],[So với trước đây, tôi thấy cách tính thuế và các bậc thuế trong phương án mới đơn giản, dễ hiểu và dễ thực hiện hơn. - HUMAN-FAC2]]</f>
        <v>8</v>
      </c>
      <c r="R15">
        <f t="shared" si="9"/>
        <v>0.77777777777777779</v>
      </c>
      <c r="S15" s="32">
        <f t="shared" si="10"/>
        <v>0.55555555555555558</v>
      </c>
      <c r="T15" s="32">
        <f t="shared" si="11"/>
        <v>0.77777777777777779</v>
      </c>
      <c r="U15">
        <f>step3_validation[[#This Row],[AI_TRU1]]</f>
        <v>7</v>
      </c>
      <c r="V15">
        <f t="shared" si="12"/>
        <v>0.66666666666666663</v>
      </c>
      <c r="W15">
        <f>[1]!survey_responses[[#This Row],[Tôi tin rằng Nhà nước, cơ quan thuế sẽ thực thi chính sách mới một cách khách quan, công tâm và đối xử bình đẳng với mọi người nộp thuế.  - HUMAN-TRU1]]</f>
        <v>8</v>
      </c>
      <c r="X15">
        <f t="shared" si="13"/>
        <v>0.77777777777777779</v>
      </c>
      <c r="Y15">
        <f>step3_validation[[#This Row],[AI_TRU2]]</f>
        <v>6</v>
      </c>
      <c r="Z15">
        <f t="shared" si="14"/>
        <v>0.55555555555555558</v>
      </c>
      <c r="AA15">
        <f>[1]!survey_responses[[#This Row],[Tôi thấy mức thuế tôi phải đóng theo phương án mới là công bằng (người thu nhập như tôi đóng mức này là hợp lý). - HUMAN-TRU2]]</f>
        <v>6</v>
      </c>
      <c r="AB15">
        <f t="shared" si="15"/>
        <v>0.55555555555555558</v>
      </c>
      <c r="AC15">
        <f>step3_validation[[#This Row],[AI_TRU3]]</f>
        <v>5</v>
      </c>
      <c r="AD15">
        <f t="shared" si="16"/>
        <v>0.44444444444444442</v>
      </c>
      <c r="AE15">
        <f>[1]!survey_responses[[#This Row],[Tôi tin tưởng số tiền thuế tôi đóng sẽ được Nhà nước sử dụng hiệu quả để cải thiện dịch vụ công (y tế, đường xá...). - HUMAN-TRU3]]</f>
        <v>6</v>
      </c>
      <c r="AF15">
        <f t="shared" si="17"/>
        <v>0.55555555555555558</v>
      </c>
      <c r="AG15">
        <f>step3_validation[[#This Row],[AI_TRU4]]</f>
        <v>6</v>
      </c>
      <c r="AH15">
        <f t="shared" si="18"/>
        <v>0.55555555555555558</v>
      </c>
      <c r="AI15">
        <f>[1]!survey_responses[[#This Row],[Tôi thấy Nhà nước đã giải thích rõ ràng, minh bạch về lý do và mục tiêu của việc sửa đổi thuế lần này. - HUMAN-TRU4]]</f>
        <v>5</v>
      </c>
      <c r="AJ15">
        <f t="shared" si="19"/>
        <v>0.44444444444444442</v>
      </c>
      <c r="AK15" s="32">
        <f t="shared" si="20"/>
        <v>0.55555555555555558</v>
      </c>
      <c r="AL15" s="32">
        <f t="shared" si="21"/>
        <v>0.58333333333333337</v>
      </c>
      <c r="AM15" s="7">
        <f t="shared" si="22"/>
        <v>0.61111111111111105</v>
      </c>
      <c r="AN15" s="7">
        <f t="shared" si="23"/>
        <v>0.78703703703703709</v>
      </c>
      <c r="AO15">
        <f>step3_validation[[#This Row],[AI_OUT1]]</f>
        <v>7</v>
      </c>
      <c r="AP15">
        <f t="shared" si="24"/>
        <v>0.66666666666666663</v>
      </c>
      <c r="AQ15">
        <f>[1]!survey_responses[[#This Row],[Sau khi xem xét các quyền lợi và nghĩa vụ, bạn có ủng hộ và tuân thủ chính sách mới hiện nay? - HUMAN-OUT1]]</f>
        <v>5</v>
      </c>
      <c r="AR15">
        <f t="shared" si="25"/>
        <v>0.44444444444444442</v>
      </c>
      <c r="AS15" s="32">
        <f t="shared" si="26"/>
        <v>2</v>
      </c>
    </row>
    <row r="16" spans="1:45" x14ac:dyDescent="0.45">
      <c r="A16">
        <f>step3_validation[[#This Row],[AI_ENF1]]</f>
        <v>8</v>
      </c>
      <c r="B16">
        <f t="shared" si="0"/>
        <v>0.77777777777777779</v>
      </c>
      <c r="C16">
        <f>[1]!survey_responses[[#This Row],[Tôi tin rằng với các quy định quản lý thuế hiện nay, hành vi gian lận hoặc trốn thuế sẽ dễ dàng bị phát hiện và xử lý nghiêm. - HUMAN-ENF1]]</f>
        <v>7</v>
      </c>
      <c r="D16">
        <f t="shared" si="1"/>
        <v>0.66666666666666663</v>
      </c>
      <c r="E16">
        <f>step3_validation[[#This Row],[AI_ENF2]]</f>
        <v>7</v>
      </c>
      <c r="F16">
        <f t="shared" si="2"/>
        <v>0.66666666666666663</v>
      </c>
      <c r="G16">
        <f>[1]!survey_responses[[#This Row],[Tôi tin rằng Nhà nước, cơ quan thuế có đủ khả năng và công nghệ để phát hiện, xử lý nghiêm các hành vi trốn thuế. - HUMAN-ENF2]]</f>
        <v>9</v>
      </c>
      <c r="H16">
        <f t="shared" si="3"/>
        <v>0.88888888888888884</v>
      </c>
      <c r="I16" s="32">
        <f t="shared" si="4"/>
        <v>0.72222222222222221</v>
      </c>
      <c r="J16" s="32">
        <f t="shared" si="5"/>
        <v>0.77777777777777768</v>
      </c>
      <c r="K16">
        <f>step3_validation[[#This Row],[AI_FAC1]]</f>
        <v>9</v>
      </c>
      <c r="L16">
        <f t="shared" si="6"/>
        <v>0.88888888888888884</v>
      </c>
      <c r="M16">
        <f>[1]!survey_responses[[#This Row],[Các thủ tục khai báo thuế VÀ/HOẶC quy trình làm việc với cơ quan thuế đơn giản, tiện lợi, nhanh chóng hơn so với trước đây. - HUMAN-FAC1]]</f>
        <v>3</v>
      </c>
      <c r="N16">
        <f t="shared" si="7"/>
        <v>0.22222222222222221</v>
      </c>
      <c r="O16">
        <f>step3_validation[[#This Row],[AI_FAC2]]</f>
        <v>7</v>
      </c>
      <c r="P16">
        <f t="shared" si="8"/>
        <v>0.66666666666666663</v>
      </c>
      <c r="Q16">
        <f>[1]!survey_responses[[#This Row],[So với trước đây, tôi thấy cách tính thuế và các bậc thuế trong phương án mới đơn giản, dễ hiểu và dễ thực hiện hơn. - HUMAN-FAC2]]</f>
        <v>6</v>
      </c>
      <c r="R16">
        <f t="shared" si="9"/>
        <v>0.55555555555555558</v>
      </c>
      <c r="S16" s="32">
        <f t="shared" si="10"/>
        <v>0.77777777777777768</v>
      </c>
      <c r="T16" s="32">
        <f t="shared" si="11"/>
        <v>0.3888888888888889</v>
      </c>
      <c r="U16">
        <f>step3_validation[[#This Row],[AI_TRU1]]</f>
        <v>8</v>
      </c>
      <c r="V16">
        <f t="shared" si="12"/>
        <v>0.77777777777777779</v>
      </c>
      <c r="W16">
        <f>[1]!survey_responses[[#This Row],[Tôi tin rằng Nhà nước, cơ quan thuế sẽ thực thi chính sách mới một cách khách quan, công tâm và đối xử bình đẳng với mọi người nộp thuế.  - HUMAN-TRU1]]</f>
        <v>1</v>
      </c>
      <c r="X16">
        <f t="shared" si="13"/>
        <v>0</v>
      </c>
      <c r="Y16">
        <f>step3_validation[[#This Row],[AI_TRU2]]</f>
        <v>6</v>
      </c>
      <c r="Z16">
        <f t="shared" si="14"/>
        <v>0.55555555555555558</v>
      </c>
      <c r="AA16">
        <f>[1]!survey_responses[[#This Row],[Tôi thấy mức thuế tôi phải đóng theo phương án mới là công bằng (người thu nhập như tôi đóng mức này là hợp lý). - HUMAN-TRU2]]</f>
        <v>1</v>
      </c>
      <c r="AB16">
        <f t="shared" si="15"/>
        <v>0</v>
      </c>
      <c r="AC16">
        <f>step3_validation[[#This Row],[AI_TRU3]]</f>
        <v>7</v>
      </c>
      <c r="AD16">
        <f t="shared" si="16"/>
        <v>0.66666666666666663</v>
      </c>
      <c r="AE16">
        <f>[1]!survey_responses[[#This Row],[Tôi tin tưởng số tiền thuế tôi đóng sẽ được Nhà nước sử dụng hiệu quả để cải thiện dịch vụ công (y tế, đường xá...). - HUMAN-TRU3]]</f>
        <v>1</v>
      </c>
      <c r="AF16">
        <f t="shared" si="17"/>
        <v>0</v>
      </c>
      <c r="AG16">
        <f>step3_validation[[#This Row],[AI_TRU4]]</f>
        <v>6</v>
      </c>
      <c r="AH16">
        <f t="shared" si="18"/>
        <v>0.55555555555555558</v>
      </c>
      <c r="AI16">
        <f>[1]!survey_responses[[#This Row],[Tôi thấy Nhà nước đã giải thích rõ ràng, minh bạch về lý do và mục tiêu của việc sửa đổi thuế lần này. - HUMAN-TRU4]]</f>
        <v>1</v>
      </c>
      <c r="AJ16">
        <f t="shared" si="19"/>
        <v>0</v>
      </c>
      <c r="AK16" s="32">
        <f t="shared" si="20"/>
        <v>0.63888888888888884</v>
      </c>
      <c r="AL16" s="32">
        <f t="shared" si="21"/>
        <v>0</v>
      </c>
      <c r="AM16" s="7">
        <f t="shared" si="22"/>
        <v>0.71296296296296291</v>
      </c>
      <c r="AN16" s="7">
        <f t="shared" si="23"/>
        <v>0.38888888888888884</v>
      </c>
      <c r="AO16">
        <f>step3_validation[[#This Row],[AI_OUT1]]</f>
        <v>7</v>
      </c>
      <c r="AP16">
        <f t="shared" si="24"/>
        <v>0.66666666666666663</v>
      </c>
      <c r="AQ16">
        <f>[1]!survey_responses[[#This Row],[Sau khi xem xét các quyền lợi và nghĩa vụ, bạn có ủng hộ và tuân thủ chính sách mới hiện nay? - HUMAN-OUT1]]</f>
        <v>1</v>
      </c>
      <c r="AR16">
        <f t="shared" si="25"/>
        <v>0</v>
      </c>
      <c r="AS16" s="32">
        <f t="shared" si="26"/>
        <v>6</v>
      </c>
    </row>
    <row r="17" spans="1:45" x14ac:dyDescent="0.45">
      <c r="A17">
        <f>step3_validation[[#This Row],[AI_ENF1]]</f>
        <v>6</v>
      </c>
      <c r="B17">
        <f t="shared" si="0"/>
        <v>0.55555555555555558</v>
      </c>
      <c r="C17">
        <f>[1]!survey_responses[[#This Row],[Tôi tin rằng với các quy định quản lý thuế hiện nay, hành vi gian lận hoặc trốn thuế sẽ dễ dàng bị phát hiện và xử lý nghiêm. - HUMAN-ENF1]]</f>
        <v>8</v>
      </c>
      <c r="D17">
        <f t="shared" si="1"/>
        <v>0.77777777777777779</v>
      </c>
      <c r="E17">
        <f>step3_validation[[#This Row],[AI_ENF2]]</f>
        <v>7</v>
      </c>
      <c r="F17">
        <f t="shared" si="2"/>
        <v>0.66666666666666663</v>
      </c>
      <c r="G17">
        <f>[1]!survey_responses[[#This Row],[Tôi tin rằng Nhà nước, cơ quan thuế có đủ khả năng và công nghệ để phát hiện, xử lý nghiêm các hành vi trốn thuế. - HUMAN-ENF2]]</f>
        <v>8</v>
      </c>
      <c r="H17">
        <f t="shared" si="3"/>
        <v>0.77777777777777779</v>
      </c>
      <c r="I17" s="32">
        <f t="shared" si="4"/>
        <v>0.61111111111111116</v>
      </c>
      <c r="J17" s="32">
        <f t="shared" si="5"/>
        <v>0.77777777777777779</v>
      </c>
      <c r="K17">
        <f>step3_validation[[#This Row],[AI_FAC1]]</f>
        <v>5</v>
      </c>
      <c r="L17">
        <f t="shared" si="6"/>
        <v>0.44444444444444442</v>
      </c>
      <c r="M17">
        <f>[1]!survey_responses[[#This Row],[Các thủ tục khai báo thuế VÀ/HOẶC quy trình làm việc với cơ quan thuế đơn giản, tiện lợi, nhanh chóng hơn so với trước đây. - HUMAN-FAC1]]</f>
        <v>8</v>
      </c>
      <c r="N17">
        <f t="shared" si="7"/>
        <v>0.77777777777777779</v>
      </c>
      <c r="O17">
        <f>step3_validation[[#This Row],[AI_FAC2]]</f>
        <v>8</v>
      </c>
      <c r="P17">
        <f t="shared" si="8"/>
        <v>0.77777777777777779</v>
      </c>
      <c r="Q17">
        <f>[1]!survey_responses[[#This Row],[So với trước đây, tôi thấy cách tính thuế và các bậc thuế trong phương án mới đơn giản, dễ hiểu và dễ thực hiện hơn. - HUMAN-FAC2]]</f>
        <v>9</v>
      </c>
      <c r="R17">
        <f t="shared" si="9"/>
        <v>0.88888888888888884</v>
      </c>
      <c r="S17" s="32">
        <f t="shared" si="10"/>
        <v>0.61111111111111116</v>
      </c>
      <c r="T17" s="32">
        <f t="shared" si="11"/>
        <v>0.83333333333333326</v>
      </c>
      <c r="U17">
        <f>step3_validation[[#This Row],[AI_TRU1]]</f>
        <v>4</v>
      </c>
      <c r="V17">
        <f t="shared" si="12"/>
        <v>0.33333333333333331</v>
      </c>
      <c r="W17">
        <f>[1]!survey_responses[[#This Row],[Tôi tin rằng Nhà nước, cơ quan thuế sẽ thực thi chính sách mới một cách khách quan, công tâm và đối xử bình đẳng với mọi người nộp thuế.  - HUMAN-TRU1]]</f>
        <v>7</v>
      </c>
      <c r="X17">
        <f t="shared" si="13"/>
        <v>0.66666666666666663</v>
      </c>
      <c r="Y17">
        <f>step3_validation[[#This Row],[AI_TRU2]]</f>
        <v>6</v>
      </c>
      <c r="Z17">
        <f t="shared" si="14"/>
        <v>0.55555555555555558</v>
      </c>
      <c r="AA17">
        <f>[1]!survey_responses[[#This Row],[Tôi thấy mức thuế tôi phải đóng theo phương án mới là công bằng (người thu nhập như tôi đóng mức này là hợp lý). - HUMAN-TRU2]]</f>
        <v>7</v>
      </c>
      <c r="AB17">
        <f t="shared" si="15"/>
        <v>0.66666666666666663</v>
      </c>
      <c r="AC17">
        <f>step3_validation[[#This Row],[AI_TRU3]]</f>
        <v>5</v>
      </c>
      <c r="AD17">
        <f t="shared" si="16"/>
        <v>0.44444444444444442</v>
      </c>
      <c r="AE17">
        <f>[1]!survey_responses[[#This Row],[Tôi tin tưởng số tiền thuế tôi đóng sẽ được Nhà nước sử dụng hiệu quả để cải thiện dịch vụ công (y tế, đường xá...). - HUMAN-TRU3]]</f>
        <v>9</v>
      </c>
      <c r="AF17">
        <f t="shared" si="17"/>
        <v>0.88888888888888884</v>
      </c>
      <c r="AG17">
        <f>step3_validation[[#This Row],[AI_TRU4]]</f>
        <v>3</v>
      </c>
      <c r="AH17">
        <f t="shared" si="18"/>
        <v>0.22222222222222221</v>
      </c>
      <c r="AI17">
        <f>[1]!survey_responses[[#This Row],[Tôi thấy Nhà nước đã giải thích rõ ràng, minh bạch về lý do và mục tiêu của việc sửa đổi thuế lần này. - HUMAN-TRU4]]</f>
        <v>8</v>
      </c>
      <c r="AJ17">
        <f t="shared" si="19"/>
        <v>0.77777777777777779</v>
      </c>
      <c r="AK17" s="32">
        <f t="shared" si="20"/>
        <v>0.38888888888888884</v>
      </c>
      <c r="AL17" s="32">
        <f t="shared" si="21"/>
        <v>0.75</v>
      </c>
      <c r="AM17" s="7">
        <f t="shared" si="22"/>
        <v>0.53703703703703709</v>
      </c>
      <c r="AN17" s="7">
        <f t="shared" si="23"/>
        <v>0.78703703703703709</v>
      </c>
      <c r="AO17">
        <f>step3_validation[[#This Row],[AI_OUT1]]</f>
        <v>7</v>
      </c>
      <c r="AP17">
        <f t="shared" si="24"/>
        <v>0.66666666666666663</v>
      </c>
      <c r="AQ17">
        <f>[1]!survey_responses[[#This Row],[Sau khi xem xét các quyền lợi và nghĩa vụ, bạn có ủng hộ và tuân thủ chính sách mới hiện nay? - HUMAN-OUT1]]</f>
        <v>7</v>
      </c>
      <c r="AR17">
        <f t="shared" si="25"/>
        <v>0.66666666666666663</v>
      </c>
      <c r="AS17" s="32">
        <f t="shared" si="26"/>
        <v>0</v>
      </c>
    </row>
    <row r="18" spans="1:45" x14ac:dyDescent="0.45">
      <c r="A18">
        <f>step3_validation[[#This Row],[AI_ENF1]]</f>
        <v>7</v>
      </c>
      <c r="B18">
        <f t="shared" si="0"/>
        <v>0.66666666666666663</v>
      </c>
      <c r="C18">
        <f>[1]!survey_responses[[#This Row],[Tôi tin rằng với các quy định quản lý thuế hiện nay, hành vi gian lận hoặc trốn thuế sẽ dễ dàng bị phát hiện và xử lý nghiêm. - HUMAN-ENF1]]</f>
        <v>6</v>
      </c>
      <c r="D18">
        <f t="shared" si="1"/>
        <v>0.55555555555555558</v>
      </c>
      <c r="E18">
        <f>step3_validation[[#This Row],[AI_ENF2]]</f>
        <v>8</v>
      </c>
      <c r="F18">
        <f t="shared" si="2"/>
        <v>0.77777777777777779</v>
      </c>
      <c r="G18">
        <f>[1]!survey_responses[[#This Row],[Tôi tin rằng Nhà nước, cơ quan thuế có đủ khả năng và công nghệ để phát hiện, xử lý nghiêm các hành vi trốn thuế. - HUMAN-ENF2]]</f>
        <v>7</v>
      </c>
      <c r="H18">
        <f t="shared" si="3"/>
        <v>0.66666666666666663</v>
      </c>
      <c r="I18" s="32">
        <f t="shared" si="4"/>
        <v>0.72222222222222221</v>
      </c>
      <c r="J18" s="32">
        <f t="shared" si="5"/>
        <v>0.61111111111111116</v>
      </c>
      <c r="K18">
        <f>step3_validation[[#This Row],[AI_FAC1]]</f>
        <v>9</v>
      </c>
      <c r="L18">
        <f t="shared" si="6"/>
        <v>0.88888888888888884</v>
      </c>
      <c r="M18">
        <f>[1]!survey_responses[[#This Row],[Các thủ tục khai báo thuế VÀ/HOẶC quy trình làm việc với cơ quan thuế đơn giản, tiện lợi, nhanh chóng hơn so với trước đây. - HUMAN-FAC1]]</f>
        <v>5</v>
      </c>
      <c r="N18">
        <f t="shared" si="7"/>
        <v>0.44444444444444442</v>
      </c>
      <c r="O18">
        <f>step3_validation[[#This Row],[AI_FAC2]]</f>
        <v>7</v>
      </c>
      <c r="P18">
        <f t="shared" si="8"/>
        <v>0.66666666666666663</v>
      </c>
      <c r="Q18">
        <f>[1]!survey_responses[[#This Row],[So với trước đây, tôi thấy cách tính thuế và các bậc thuế trong phương án mới đơn giản, dễ hiểu và dễ thực hiện hơn. - HUMAN-FAC2]]</f>
        <v>5</v>
      </c>
      <c r="R18">
        <f t="shared" si="9"/>
        <v>0.44444444444444442</v>
      </c>
      <c r="S18" s="32">
        <f t="shared" si="10"/>
        <v>0.77777777777777768</v>
      </c>
      <c r="T18" s="32">
        <f t="shared" si="11"/>
        <v>0.44444444444444442</v>
      </c>
      <c r="U18">
        <f>step3_validation[[#This Row],[AI_TRU1]]</f>
        <v>8</v>
      </c>
      <c r="V18">
        <f t="shared" si="12"/>
        <v>0.77777777777777779</v>
      </c>
      <c r="W18">
        <f>[1]!survey_responses[[#This Row],[Tôi tin rằng Nhà nước, cơ quan thuế sẽ thực thi chính sách mới một cách khách quan, công tâm và đối xử bình đẳng với mọi người nộp thuế.  - HUMAN-TRU1]]</f>
        <v>6</v>
      </c>
      <c r="X18">
        <f t="shared" si="13"/>
        <v>0.55555555555555558</v>
      </c>
      <c r="Y18">
        <f>step3_validation[[#This Row],[AI_TRU2]]</f>
        <v>7</v>
      </c>
      <c r="Z18">
        <f t="shared" si="14"/>
        <v>0.66666666666666663</v>
      </c>
      <c r="AA18">
        <f>[1]!survey_responses[[#This Row],[Tôi thấy mức thuế tôi phải đóng theo phương án mới là công bằng (người thu nhập như tôi đóng mức này là hợp lý). - HUMAN-TRU2]]</f>
        <v>7</v>
      </c>
      <c r="AB18">
        <f t="shared" si="15"/>
        <v>0.66666666666666663</v>
      </c>
      <c r="AC18">
        <f>step3_validation[[#This Row],[AI_TRU3]]</f>
        <v>6</v>
      </c>
      <c r="AD18">
        <f t="shared" si="16"/>
        <v>0.55555555555555558</v>
      </c>
      <c r="AE18">
        <f>[1]!survey_responses[[#This Row],[Tôi tin tưởng số tiền thuế tôi đóng sẽ được Nhà nước sử dụng hiệu quả để cải thiện dịch vụ công (y tế, đường xá...). - HUMAN-TRU3]]</f>
        <v>3</v>
      </c>
      <c r="AF18">
        <f t="shared" si="17"/>
        <v>0.22222222222222221</v>
      </c>
      <c r="AG18">
        <f>step3_validation[[#This Row],[AI_TRU4]]</f>
        <v>8</v>
      </c>
      <c r="AH18">
        <f t="shared" si="18"/>
        <v>0.77777777777777779</v>
      </c>
      <c r="AI18">
        <f>[1]!survey_responses[[#This Row],[Tôi thấy Nhà nước đã giải thích rõ ràng, minh bạch về lý do và mục tiêu của việc sửa đổi thuế lần này. - HUMAN-TRU4]]</f>
        <v>4</v>
      </c>
      <c r="AJ18">
        <f t="shared" si="19"/>
        <v>0.33333333333333331</v>
      </c>
      <c r="AK18" s="32">
        <f t="shared" si="20"/>
        <v>0.69444444444444442</v>
      </c>
      <c r="AL18" s="32">
        <f t="shared" si="21"/>
        <v>0.44444444444444448</v>
      </c>
      <c r="AM18" s="7">
        <f t="shared" si="22"/>
        <v>0.73148148148148151</v>
      </c>
      <c r="AN18" s="7">
        <f t="shared" si="23"/>
        <v>0.5</v>
      </c>
      <c r="AO18">
        <f>step3_validation[[#This Row],[AI_OUT1]]</f>
        <v>7</v>
      </c>
      <c r="AP18">
        <f t="shared" si="24"/>
        <v>0.66666666666666663</v>
      </c>
      <c r="AQ18">
        <f>[1]!survey_responses[[#This Row],[Sau khi xem xét các quyền lợi và nghĩa vụ, bạn có ủng hộ và tuân thủ chính sách mới hiện nay? - HUMAN-OUT1]]</f>
        <v>5</v>
      </c>
      <c r="AR18">
        <f t="shared" si="25"/>
        <v>0.44444444444444442</v>
      </c>
      <c r="AS18" s="32">
        <f t="shared" si="26"/>
        <v>2</v>
      </c>
    </row>
    <row r="19" spans="1:45" x14ac:dyDescent="0.45">
      <c r="A19">
        <f>step3_validation[[#This Row],[AI_ENF1]]</f>
        <v>7</v>
      </c>
      <c r="B19">
        <f t="shared" si="0"/>
        <v>0.66666666666666663</v>
      </c>
      <c r="C19">
        <f>[1]!survey_responses[[#This Row],[Tôi tin rằng với các quy định quản lý thuế hiện nay, hành vi gian lận hoặc trốn thuế sẽ dễ dàng bị phát hiện và xử lý nghiêm. - HUMAN-ENF1]]</f>
        <v>6</v>
      </c>
      <c r="D19">
        <f t="shared" si="1"/>
        <v>0.55555555555555558</v>
      </c>
      <c r="E19">
        <f>step3_validation[[#This Row],[AI_ENF2]]</f>
        <v>8</v>
      </c>
      <c r="F19">
        <f t="shared" si="2"/>
        <v>0.77777777777777779</v>
      </c>
      <c r="G19">
        <f>[1]!survey_responses[[#This Row],[Tôi tin rằng Nhà nước, cơ quan thuế có đủ khả năng và công nghệ để phát hiện, xử lý nghiêm các hành vi trốn thuế. - HUMAN-ENF2]]</f>
        <v>8</v>
      </c>
      <c r="H19">
        <f t="shared" si="3"/>
        <v>0.77777777777777779</v>
      </c>
      <c r="I19" s="32">
        <f t="shared" si="4"/>
        <v>0.72222222222222221</v>
      </c>
      <c r="J19" s="32">
        <f t="shared" si="5"/>
        <v>0.66666666666666674</v>
      </c>
      <c r="K19">
        <f>step3_validation[[#This Row],[AI_FAC1]]</f>
        <v>6</v>
      </c>
      <c r="L19">
        <f t="shared" si="6"/>
        <v>0.55555555555555558</v>
      </c>
      <c r="M19">
        <f>[1]!survey_responses[[#This Row],[Các thủ tục khai báo thuế VÀ/HOẶC quy trình làm việc với cơ quan thuế đơn giản, tiện lợi, nhanh chóng hơn so với trước đây. - HUMAN-FAC1]]</f>
        <v>7</v>
      </c>
      <c r="N19">
        <f t="shared" si="7"/>
        <v>0.66666666666666663</v>
      </c>
      <c r="O19">
        <f>step3_validation[[#This Row],[AI_FAC2]]</f>
        <v>8</v>
      </c>
      <c r="P19">
        <f t="shared" si="8"/>
        <v>0.77777777777777779</v>
      </c>
      <c r="Q19">
        <f>[1]!survey_responses[[#This Row],[So với trước đây, tôi thấy cách tính thuế và các bậc thuế trong phương án mới đơn giản, dễ hiểu và dễ thực hiện hơn. - HUMAN-FAC2]]</f>
        <v>8</v>
      </c>
      <c r="R19">
        <f t="shared" si="9"/>
        <v>0.77777777777777779</v>
      </c>
      <c r="S19" s="32">
        <f t="shared" si="10"/>
        <v>0.66666666666666674</v>
      </c>
      <c r="T19" s="32">
        <f t="shared" si="11"/>
        <v>0.72222222222222221</v>
      </c>
      <c r="U19">
        <f>step3_validation[[#This Row],[AI_TRU1]]</f>
        <v>7</v>
      </c>
      <c r="V19">
        <f t="shared" si="12"/>
        <v>0.66666666666666663</v>
      </c>
      <c r="W19">
        <f>[1]!survey_responses[[#This Row],[Tôi tin rằng Nhà nước, cơ quan thuế sẽ thực thi chính sách mới một cách khách quan, công tâm và đối xử bình đẳng với mọi người nộp thuế.  - HUMAN-TRU1]]</f>
        <v>8</v>
      </c>
      <c r="X19">
        <f t="shared" si="13"/>
        <v>0.77777777777777779</v>
      </c>
      <c r="Y19">
        <f>step3_validation[[#This Row],[AI_TRU2]]</f>
        <v>9</v>
      </c>
      <c r="Z19">
        <f t="shared" si="14"/>
        <v>0.88888888888888884</v>
      </c>
      <c r="AA19">
        <f>[1]!survey_responses[[#This Row],[Tôi thấy mức thuế tôi phải đóng theo phương án mới là công bằng (người thu nhập như tôi đóng mức này là hợp lý). - HUMAN-TRU2]]</f>
        <v>7</v>
      </c>
      <c r="AB19">
        <f t="shared" si="15"/>
        <v>0.66666666666666663</v>
      </c>
      <c r="AC19">
        <f>step3_validation[[#This Row],[AI_TRU3]]</f>
        <v>7</v>
      </c>
      <c r="AD19">
        <f t="shared" si="16"/>
        <v>0.66666666666666663</v>
      </c>
      <c r="AE19">
        <f>[1]!survey_responses[[#This Row],[Tôi tin tưởng số tiền thuế tôi đóng sẽ được Nhà nước sử dụng hiệu quả để cải thiện dịch vụ công (y tế, đường xá...). - HUMAN-TRU3]]</f>
        <v>7</v>
      </c>
      <c r="AF19">
        <f t="shared" si="17"/>
        <v>0.66666666666666663</v>
      </c>
      <c r="AG19">
        <f>step3_validation[[#This Row],[AI_TRU4]]</f>
        <v>8</v>
      </c>
      <c r="AH19">
        <f t="shared" si="18"/>
        <v>0.77777777777777779</v>
      </c>
      <c r="AI19">
        <f>[1]!survey_responses[[#This Row],[Tôi thấy Nhà nước đã giải thích rõ ràng, minh bạch về lý do và mục tiêu của việc sửa đổi thuế lần này. - HUMAN-TRU4]]</f>
        <v>6</v>
      </c>
      <c r="AJ19">
        <f t="shared" si="19"/>
        <v>0.55555555555555558</v>
      </c>
      <c r="AK19" s="32">
        <f t="shared" si="20"/>
        <v>0.74999999999999989</v>
      </c>
      <c r="AL19" s="32">
        <f t="shared" si="21"/>
        <v>0.66666666666666674</v>
      </c>
      <c r="AM19" s="7">
        <f t="shared" si="22"/>
        <v>0.71296296296296291</v>
      </c>
      <c r="AN19" s="7">
        <f t="shared" si="23"/>
        <v>0.68518518518518512</v>
      </c>
      <c r="AO19">
        <f>step3_validation[[#This Row],[AI_OUT1]]</f>
        <v>9</v>
      </c>
      <c r="AP19">
        <f t="shared" si="24"/>
        <v>0.88888888888888884</v>
      </c>
      <c r="AQ19">
        <f>[1]!survey_responses[[#This Row],[Sau khi xem xét các quyền lợi và nghĩa vụ, bạn có ủng hộ và tuân thủ chính sách mới hiện nay? - HUMAN-OUT1]]</f>
        <v>8</v>
      </c>
      <c r="AR19">
        <f t="shared" si="25"/>
        <v>0.77777777777777779</v>
      </c>
      <c r="AS19" s="32">
        <f t="shared" si="26"/>
        <v>1</v>
      </c>
    </row>
    <row r="20" spans="1:45" x14ac:dyDescent="0.45">
      <c r="A20">
        <f>step3_validation[[#This Row],[AI_ENF1]]</f>
        <v>9</v>
      </c>
      <c r="B20">
        <f t="shared" si="0"/>
        <v>0.88888888888888884</v>
      </c>
      <c r="C20">
        <f>[1]!survey_responses[[#This Row],[Tôi tin rằng với các quy định quản lý thuế hiện nay, hành vi gian lận hoặc trốn thuế sẽ dễ dàng bị phát hiện và xử lý nghiêm. - HUMAN-ENF1]]</f>
        <v>10</v>
      </c>
      <c r="D20">
        <f t="shared" si="1"/>
        <v>1</v>
      </c>
      <c r="E20">
        <f>step3_validation[[#This Row],[AI_ENF2]]</f>
        <v>8</v>
      </c>
      <c r="F20">
        <f t="shared" si="2"/>
        <v>0.77777777777777779</v>
      </c>
      <c r="G20">
        <f>[1]!survey_responses[[#This Row],[Tôi tin rằng Nhà nước, cơ quan thuế có đủ khả năng và công nghệ để phát hiện, xử lý nghiêm các hành vi trốn thuế. - HUMAN-ENF2]]</f>
        <v>10</v>
      </c>
      <c r="H20">
        <f t="shared" si="3"/>
        <v>1</v>
      </c>
      <c r="I20" s="32">
        <f t="shared" si="4"/>
        <v>0.83333333333333326</v>
      </c>
      <c r="J20" s="32">
        <f t="shared" si="5"/>
        <v>1</v>
      </c>
      <c r="K20">
        <f>step3_validation[[#This Row],[AI_FAC1]]</f>
        <v>9</v>
      </c>
      <c r="L20">
        <f t="shared" si="6"/>
        <v>0.88888888888888884</v>
      </c>
      <c r="M20">
        <f>[1]!survey_responses[[#This Row],[Các thủ tục khai báo thuế VÀ/HOẶC quy trình làm việc với cơ quan thuế đơn giản, tiện lợi, nhanh chóng hơn so với trước đây. - HUMAN-FAC1]]</f>
        <v>5</v>
      </c>
      <c r="N20">
        <f t="shared" si="7"/>
        <v>0.44444444444444442</v>
      </c>
      <c r="O20">
        <f>step3_validation[[#This Row],[AI_FAC2]]</f>
        <v>8</v>
      </c>
      <c r="P20">
        <f t="shared" si="8"/>
        <v>0.77777777777777779</v>
      </c>
      <c r="Q20">
        <f>[1]!survey_responses[[#This Row],[So với trước đây, tôi thấy cách tính thuế và các bậc thuế trong phương án mới đơn giản, dễ hiểu và dễ thực hiện hơn. - HUMAN-FAC2]]</f>
        <v>5</v>
      </c>
      <c r="R20">
        <f t="shared" si="9"/>
        <v>0.44444444444444442</v>
      </c>
      <c r="S20" s="32">
        <f t="shared" si="10"/>
        <v>0.83333333333333326</v>
      </c>
      <c r="T20" s="32">
        <f t="shared" si="11"/>
        <v>0.44444444444444442</v>
      </c>
      <c r="U20">
        <f>step3_validation[[#This Row],[AI_TRU1]]</f>
        <v>9</v>
      </c>
      <c r="V20">
        <f t="shared" si="12"/>
        <v>0.88888888888888884</v>
      </c>
      <c r="W20">
        <f>[1]!survey_responses[[#This Row],[Tôi tin rằng Nhà nước, cơ quan thuế sẽ thực thi chính sách mới một cách khách quan, công tâm và đối xử bình đẳng với mọi người nộp thuế.  - HUMAN-TRU1]]</f>
        <v>5</v>
      </c>
      <c r="X20">
        <f t="shared" si="13"/>
        <v>0.44444444444444442</v>
      </c>
      <c r="Y20">
        <f>step3_validation[[#This Row],[AI_TRU2]]</f>
        <v>8</v>
      </c>
      <c r="Z20">
        <f t="shared" si="14"/>
        <v>0.77777777777777779</v>
      </c>
      <c r="AA20">
        <f>[1]!survey_responses[[#This Row],[Tôi thấy mức thuế tôi phải đóng theo phương án mới là công bằng (người thu nhập như tôi đóng mức này là hợp lý). - HUMAN-TRU2]]</f>
        <v>3</v>
      </c>
      <c r="AB20">
        <f t="shared" si="15"/>
        <v>0.22222222222222221</v>
      </c>
      <c r="AC20">
        <f>step3_validation[[#This Row],[AI_TRU3]]</f>
        <v>9</v>
      </c>
      <c r="AD20">
        <f t="shared" si="16"/>
        <v>0.88888888888888884</v>
      </c>
      <c r="AE20">
        <f>[1]!survey_responses[[#This Row],[Tôi tin tưởng số tiền thuế tôi đóng sẽ được Nhà nước sử dụng hiệu quả để cải thiện dịch vụ công (y tế, đường xá...). - HUMAN-TRU3]]</f>
        <v>2</v>
      </c>
      <c r="AF20">
        <f t="shared" si="17"/>
        <v>0.1111111111111111</v>
      </c>
      <c r="AG20">
        <f>step3_validation[[#This Row],[AI_TRU4]]</f>
        <v>8</v>
      </c>
      <c r="AH20">
        <f t="shared" si="18"/>
        <v>0.77777777777777779</v>
      </c>
      <c r="AI20">
        <f>[1]!survey_responses[[#This Row],[Tôi thấy Nhà nước đã giải thích rõ ràng, minh bạch về lý do và mục tiêu của việc sửa đổi thuế lần này. - HUMAN-TRU4]]</f>
        <v>5</v>
      </c>
      <c r="AJ20">
        <f t="shared" si="19"/>
        <v>0.44444444444444442</v>
      </c>
      <c r="AK20" s="32">
        <f t="shared" si="20"/>
        <v>0.83333333333333326</v>
      </c>
      <c r="AL20" s="32">
        <f t="shared" si="21"/>
        <v>0.30555555555555552</v>
      </c>
      <c r="AM20" s="7">
        <f t="shared" si="22"/>
        <v>0.83333333333333337</v>
      </c>
      <c r="AN20" s="7">
        <f t="shared" si="23"/>
        <v>0.58333333333333337</v>
      </c>
      <c r="AO20">
        <f>step3_validation[[#This Row],[AI_OUT1]]</f>
        <v>7</v>
      </c>
      <c r="AP20">
        <f t="shared" si="24"/>
        <v>0.66666666666666663</v>
      </c>
      <c r="AQ20">
        <f>[1]!survey_responses[[#This Row],[Sau khi xem xét các quyền lợi và nghĩa vụ, bạn có ủng hộ và tuân thủ chính sách mới hiện nay? - HUMAN-OUT1]]</f>
        <v>8</v>
      </c>
      <c r="AR20">
        <f t="shared" si="25"/>
        <v>0.77777777777777779</v>
      </c>
      <c r="AS20" s="32">
        <f t="shared" si="26"/>
        <v>1</v>
      </c>
    </row>
    <row r="21" spans="1:45" x14ac:dyDescent="0.45">
      <c r="A21">
        <f>step3_validation[[#This Row],[AI_ENF1]]</f>
        <v>7</v>
      </c>
      <c r="B21">
        <f t="shared" si="0"/>
        <v>0.66666666666666663</v>
      </c>
      <c r="C21">
        <f>[1]!survey_responses[[#This Row],[Tôi tin rằng với các quy định quản lý thuế hiện nay, hành vi gian lận hoặc trốn thuế sẽ dễ dàng bị phát hiện và xử lý nghiêm. - HUMAN-ENF1]]</f>
        <v>9</v>
      </c>
      <c r="D21">
        <f t="shared" si="1"/>
        <v>0.88888888888888884</v>
      </c>
      <c r="E21">
        <f>step3_validation[[#This Row],[AI_ENF2]]</f>
        <v>8</v>
      </c>
      <c r="F21">
        <f t="shared" si="2"/>
        <v>0.77777777777777779</v>
      </c>
      <c r="G21">
        <f>[1]!survey_responses[[#This Row],[Tôi tin rằng Nhà nước, cơ quan thuế có đủ khả năng và công nghệ để phát hiện, xử lý nghiêm các hành vi trốn thuế. - HUMAN-ENF2]]</f>
        <v>9</v>
      </c>
      <c r="H21">
        <f t="shared" si="3"/>
        <v>0.88888888888888884</v>
      </c>
      <c r="I21" s="32">
        <f t="shared" si="4"/>
        <v>0.72222222222222221</v>
      </c>
      <c r="J21" s="32">
        <f t="shared" si="5"/>
        <v>0.88888888888888884</v>
      </c>
      <c r="K21">
        <f>step3_validation[[#This Row],[AI_FAC1]]</f>
        <v>6</v>
      </c>
      <c r="L21">
        <f t="shared" si="6"/>
        <v>0.55555555555555558</v>
      </c>
      <c r="M21">
        <f>[1]!survey_responses[[#This Row],[Các thủ tục khai báo thuế VÀ/HOẶC quy trình làm việc với cơ quan thuế đơn giản, tiện lợi, nhanh chóng hơn so với trước đây. - HUMAN-FAC1]]</f>
        <v>7</v>
      </c>
      <c r="N21">
        <f t="shared" si="7"/>
        <v>0.66666666666666663</v>
      </c>
      <c r="O21">
        <f>step3_validation[[#This Row],[AI_FAC2]]</f>
        <v>8</v>
      </c>
      <c r="P21">
        <f t="shared" si="8"/>
        <v>0.77777777777777779</v>
      </c>
      <c r="Q21">
        <f>[1]!survey_responses[[#This Row],[So với trước đây, tôi thấy cách tính thuế và các bậc thuế trong phương án mới đơn giản, dễ hiểu và dễ thực hiện hơn. - HUMAN-FAC2]]</f>
        <v>9</v>
      </c>
      <c r="R21">
        <f t="shared" si="9"/>
        <v>0.88888888888888884</v>
      </c>
      <c r="S21" s="32">
        <f t="shared" si="10"/>
        <v>0.66666666666666674</v>
      </c>
      <c r="T21" s="32">
        <f t="shared" si="11"/>
        <v>0.77777777777777768</v>
      </c>
      <c r="U21">
        <f>step3_validation[[#This Row],[AI_TRU1]]</f>
        <v>7</v>
      </c>
      <c r="V21">
        <f t="shared" si="12"/>
        <v>0.66666666666666663</v>
      </c>
      <c r="W21">
        <f>[1]!survey_responses[[#This Row],[Tôi tin rằng Nhà nước, cơ quan thuế sẽ thực thi chính sách mới một cách khách quan, công tâm và đối xử bình đẳng với mọi người nộp thuế.  - HUMAN-TRU1]]</f>
        <v>7</v>
      </c>
      <c r="X21">
        <f t="shared" si="13"/>
        <v>0.66666666666666663</v>
      </c>
      <c r="Y21">
        <f>step3_validation[[#This Row],[AI_TRU2]]</f>
        <v>6</v>
      </c>
      <c r="Z21">
        <f t="shared" si="14"/>
        <v>0.55555555555555558</v>
      </c>
      <c r="AA21">
        <f>[1]!survey_responses[[#This Row],[Tôi thấy mức thuế tôi phải đóng theo phương án mới là công bằng (người thu nhập như tôi đóng mức này là hợp lý). - HUMAN-TRU2]]</f>
        <v>8</v>
      </c>
      <c r="AB21">
        <f t="shared" si="15"/>
        <v>0.77777777777777779</v>
      </c>
      <c r="AC21">
        <f>step3_validation[[#This Row],[AI_TRU3]]</f>
        <v>7</v>
      </c>
      <c r="AD21">
        <f t="shared" si="16"/>
        <v>0.66666666666666663</v>
      </c>
      <c r="AE21">
        <f>[1]!survey_responses[[#This Row],[Tôi tin tưởng số tiền thuế tôi đóng sẽ được Nhà nước sử dụng hiệu quả để cải thiện dịch vụ công (y tế, đường xá...). - HUMAN-TRU3]]</f>
        <v>5</v>
      </c>
      <c r="AF21">
        <f t="shared" si="17"/>
        <v>0.44444444444444442</v>
      </c>
      <c r="AG21">
        <f>step3_validation[[#This Row],[AI_TRU4]]</f>
        <v>6</v>
      </c>
      <c r="AH21">
        <f t="shared" si="18"/>
        <v>0.55555555555555558</v>
      </c>
      <c r="AI21">
        <f>[1]!survey_responses[[#This Row],[Tôi thấy Nhà nước đã giải thích rõ ràng, minh bạch về lý do và mục tiêu của việc sửa đổi thuế lần này. - HUMAN-TRU4]]</f>
        <v>5</v>
      </c>
      <c r="AJ21">
        <f t="shared" si="19"/>
        <v>0.44444444444444442</v>
      </c>
      <c r="AK21" s="32">
        <f t="shared" si="20"/>
        <v>0.61111111111111116</v>
      </c>
      <c r="AL21" s="32">
        <f t="shared" si="21"/>
        <v>0.58333333333333326</v>
      </c>
      <c r="AM21" s="7">
        <f t="shared" si="22"/>
        <v>0.66666666666666663</v>
      </c>
      <c r="AN21" s="7">
        <f t="shared" si="23"/>
        <v>0.75</v>
      </c>
      <c r="AO21">
        <f>step3_validation[[#This Row],[AI_OUT1]]</f>
        <v>5</v>
      </c>
      <c r="AP21">
        <f t="shared" si="24"/>
        <v>0.44444444444444442</v>
      </c>
      <c r="AQ21">
        <f>[1]!survey_responses[[#This Row],[Sau khi xem xét các quyền lợi và nghĩa vụ, bạn có ủng hộ và tuân thủ chính sách mới hiện nay? - HUMAN-OUT1]]</f>
        <v>6</v>
      </c>
      <c r="AR21">
        <f t="shared" si="25"/>
        <v>0.55555555555555558</v>
      </c>
      <c r="AS21" s="32">
        <f t="shared" si="26"/>
        <v>1</v>
      </c>
    </row>
    <row r="22" spans="1:45" x14ac:dyDescent="0.45">
      <c r="A22">
        <f>step3_validation[[#This Row],[AI_ENF1]]</f>
        <v>7</v>
      </c>
      <c r="B22">
        <f t="shared" si="0"/>
        <v>0.66666666666666663</v>
      </c>
      <c r="C22">
        <f>[1]!survey_responses[[#This Row],[Tôi tin rằng với các quy định quản lý thuế hiện nay, hành vi gian lận hoặc trốn thuế sẽ dễ dàng bị phát hiện và xử lý nghiêm. - HUMAN-ENF1]]</f>
        <v>10</v>
      </c>
      <c r="D22">
        <f t="shared" si="1"/>
        <v>1</v>
      </c>
      <c r="E22">
        <f>step3_validation[[#This Row],[AI_ENF2]]</f>
        <v>8</v>
      </c>
      <c r="F22">
        <f t="shared" si="2"/>
        <v>0.77777777777777779</v>
      </c>
      <c r="G22">
        <f>[1]!survey_responses[[#This Row],[Tôi tin rằng Nhà nước, cơ quan thuế có đủ khả năng và công nghệ để phát hiện, xử lý nghiêm các hành vi trốn thuế. - HUMAN-ENF2]]</f>
        <v>10</v>
      </c>
      <c r="H22">
        <f t="shared" si="3"/>
        <v>1</v>
      </c>
      <c r="I22" s="32">
        <f t="shared" si="4"/>
        <v>0.72222222222222221</v>
      </c>
      <c r="J22" s="32">
        <f t="shared" si="5"/>
        <v>1</v>
      </c>
      <c r="K22">
        <f>step3_validation[[#This Row],[AI_FAC1]]</f>
        <v>6</v>
      </c>
      <c r="L22">
        <f t="shared" si="6"/>
        <v>0.55555555555555558</v>
      </c>
      <c r="M22">
        <f>[1]!survey_responses[[#This Row],[Các thủ tục khai báo thuế VÀ/HOẶC quy trình làm việc với cơ quan thuế đơn giản, tiện lợi, nhanh chóng hơn so với trước đây. - HUMAN-FAC1]]</f>
        <v>8</v>
      </c>
      <c r="N22">
        <f t="shared" si="7"/>
        <v>0.77777777777777779</v>
      </c>
      <c r="O22">
        <f>step3_validation[[#This Row],[AI_FAC2]]</f>
        <v>8</v>
      </c>
      <c r="P22">
        <f t="shared" si="8"/>
        <v>0.77777777777777779</v>
      </c>
      <c r="Q22">
        <f>[1]!survey_responses[[#This Row],[So với trước đây, tôi thấy cách tính thuế và các bậc thuế trong phương án mới đơn giản, dễ hiểu và dễ thực hiện hơn. - HUMAN-FAC2]]</f>
        <v>7</v>
      </c>
      <c r="R22">
        <f t="shared" si="9"/>
        <v>0.66666666666666663</v>
      </c>
      <c r="S22" s="32">
        <f t="shared" si="10"/>
        <v>0.66666666666666674</v>
      </c>
      <c r="T22" s="32">
        <f t="shared" si="11"/>
        <v>0.72222222222222221</v>
      </c>
      <c r="U22">
        <f>step3_validation[[#This Row],[AI_TRU1]]</f>
        <v>9</v>
      </c>
      <c r="V22">
        <f t="shared" si="12"/>
        <v>0.88888888888888884</v>
      </c>
      <c r="W22">
        <f>[1]!survey_responses[[#This Row],[Tôi tin rằng Nhà nước, cơ quan thuế sẽ thực thi chính sách mới một cách khách quan, công tâm và đối xử bình đẳng với mọi người nộp thuế.  - HUMAN-TRU1]]</f>
        <v>7</v>
      </c>
      <c r="X22">
        <f t="shared" si="13"/>
        <v>0.66666666666666663</v>
      </c>
      <c r="Y22">
        <f>step3_validation[[#This Row],[AI_TRU2]]</f>
        <v>7</v>
      </c>
      <c r="Z22">
        <f t="shared" si="14"/>
        <v>0.66666666666666663</v>
      </c>
      <c r="AA22">
        <f>[1]!survey_responses[[#This Row],[Tôi thấy mức thuế tôi phải đóng theo phương án mới là công bằng (người thu nhập như tôi đóng mức này là hợp lý). - HUMAN-TRU2]]</f>
        <v>7</v>
      </c>
      <c r="AB22">
        <f t="shared" si="15"/>
        <v>0.66666666666666663</v>
      </c>
      <c r="AC22">
        <f>step3_validation[[#This Row],[AI_TRU3]]</f>
        <v>6</v>
      </c>
      <c r="AD22">
        <f t="shared" si="16"/>
        <v>0.55555555555555558</v>
      </c>
      <c r="AE22">
        <f>[1]!survey_responses[[#This Row],[Tôi tin tưởng số tiền thuế tôi đóng sẽ được Nhà nước sử dụng hiệu quả để cải thiện dịch vụ công (y tế, đường xá...). - HUMAN-TRU3]]</f>
        <v>2</v>
      </c>
      <c r="AF22">
        <f t="shared" si="17"/>
        <v>0.1111111111111111</v>
      </c>
      <c r="AG22">
        <f>step3_validation[[#This Row],[AI_TRU4]]</f>
        <v>7</v>
      </c>
      <c r="AH22">
        <f t="shared" si="18"/>
        <v>0.66666666666666663</v>
      </c>
      <c r="AI22">
        <f>[1]!survey_responses[[#This Row],[Tôi thấy Nhà nước đã giải thích rõ ràng, minh bạch về lý do và mục tiêu của việc sửa đổi thuế lần này. - HUMAN-TRU4]]</f>
        <v>3</v>
      </c>
      <c r="AJ22">
        <f t="shared" si="19"/>
        <v>0.22222222222222221</v>
      </c>
      <c r="AK22" s="32">
        <f t="shared" si="20"/>
        <v>0.69444444444444431</v>
      </c>
      <c r="AL22" s="32">
        <f t="shared" si="21"/>
        <v>0.41666666666666663</v>
      </c>
      <c r="AM22" s="7">
        <f t="shared" si="22"/>
        <v>0.69444444444444431</v>
      </c>
      <c r="AN22" s="7">
        <f t="shared" si="23"/>
        <v>0.71296296296296291</v>
      </c>
      <c r="AO22">
        <f>step3_validation[[#This Row],[AI_OUT1]]</f>
        <v>8</v>
      </c>
      <c r="AP22">
        <f t="shared" si="24"/>
        <v>0.77777777777777779</v>
      </c>
      <c r="AQ22">
        <f>[1]!survey_responses[[#This Row],[Sau khi xem xét các quyền lợi và nghĩa vụ, bạn có ủng hộ và tuân thủ chính sách mới hiện nay? - HUMAN-OUT1]]</f>
        <v>3</v>
      </c>
      <c r="AR22">
        <f t="shared" si="25"/>
        <v>0.22222222222222221</v>
      </c>
      <c r="AS22" s="32">
        <f t="shared" si="26"/>
        <v>5</v>
      </c>
    </row>
    <row r="23" spans="1:45" x14ac:dyDescent="0.45">
      <c r="A23">
        <f>step3_validation[[#This Row],[AI_ENF1]]</f>
        <v>8</v>
      </c>
      <c r="B23">
        <f t="shared" si="0"/>
        <v>0.77777777777777779</v>
      </c>
      <c r="C23">
        <f>[1]!survey_responses[[#This Row],[Tôi tin rằng với các quy định quản lý thuế hiện nay, hành vi gian lận hoặc trốn thuế sẽ dễ dàng bị phát hiện và xử lý nghiêm. - HUMAN-ENF1]]</f>
        <v>8</v>
      </c>
      <c r="D23">
        <f t="shared" si="1"/>
        <v>0.77777777777777779</v>
      </c>
      <c r="E23">
        <f>step3_validation[[#This Row],[AI_ENF2]]</f>
        <v>8</v>
      </c>
      <c r="F23">
        <f t="shared" si="2"/>
        <v>0.77777777777777779</v>
      </c>
      <c r="G23">
        <f>[1]!survey_responses[[#This Row],[Tôi tin rằng Nhà nước, cơ quan thuế có đủ khả năng và công nghệ để phát hiện, xử lý nghiêm các hành vi trốn thuế. - HUMAN-ENF2]]</f>
        <v>8</v>
      </c>
      <c r="H23">
        <f t="shared" si="3"/>
        <v>0.77777777777777779</v>
      </c>
      <c r="I23" s="32">
        <f t="shared" si="4"/>
        <v>0.77777777777777779</v>
      </c>
      <c r="J23" s="32">
        <f t="shared" si="5"/>
        <v>0.77777777777777779</v>
      </c>
      <c r="K23">
        <f>step3_validation[[#This Row],[AI_FAC1]]</f>
        <v>8</v>
      </c>
      <c r="L23">
        <f t="shared" si="6"/>
        <v>0.77777777777777779</v>
      </c>
      <c r="M23">
        <f>[1]!survey_responses[[#This Row],[Các thủ tục khai báo thuế VÀ/HOẶC quy trình làm việc với cơ quan thuế đơn giản, tiện lợi, nhanh chóng hơn so với trước đây. - HUMAN-FAC1]]</f>
        <v>5</v>
      </c>
      <c r="N23">
        <f t="shared" si="7"/>
        <v>0.44444444444444442</v>
      </c>
      <c r="O23">
        <f>step3_validation[[#This Row],[AI_FAC2]]</f>
        <v>7</v>
      </c>
      <c r="P23">
        <f t="shared" si="8"/>
        <v>0.66666666666666663</v>
      </c>
      <c r="Q23">
        <f>[1]!survey_responses[[#This Row],[So với trước đây, tôi thấy cách tính thuế và các bậc thuế trong phương án mới đơn giản, dễ hiểu và dễ thực hiện hơn. - HUMAN-FAC2]]</f>
        <v>8</v>
      </c>
      <c r="R23">
        <f t="shared" si="9"/>
        <v>0.77777777777777779</v>
      </c>
      <c r="S23" s="32">
        <f t="shared" si="10"/>
        <v>0.72222222222222221</v>
      </c>
      <c r="T23" s="32">
        <f t="shared" si="11"/>
        <v>0.61111111111111116</v>
      </c>
      <c r="U23">
        <f>step3_validation[[#This Row],[AI_TRU1]]</f>
        <v>8</v>
      </c>
      <c r="V23">
        <f t="shared" si="12"/>
        <v>0.77777777777777779</v>
      </c>
      <c r="W23">
        <f>[1]!survey_responses[[#This Row],[Tôi tin rằng Nhà nước, cơ quan thuế sẽ thực thi chính sách mới một cách khách quan, công tâm và đối xử bình đẳng với mọi người nộp thuế.  - HUMAN-TRU1]]</f>
        <v>8</v>
      </c>
      <c r="X23">
        <f t="shared" si="13"/>
        <v>0.77777777777777779</v>
      </c>
      <c r="Y23">
        <f>step3_validation[[#This Row],[AI_TRU2]]</f>
        <v>7</v>
      </c>
      <c r="Z23">
        <f t="shared" si="14"/>
        <v>0.66666666666666663</v>
      </c>
      <c r="AA23">
        <f>[1]!survey_responses[[#This Row],[Tôi thấy mức thuế tôi phải đóng theo phương án mới là công bằng (người thu nhập như tôi đóng mức này là hợp lý). - HUMAN-TRU2]]</f>
        <v>8</v>
      </c>
      <c r="AB23">
        <f t="shared" si="15"/>
        <v>0.77777777777777779</v>
      </c>
      <c r="AC23">
        <f>step3_validation[[#This Row],[AI_TRU3]]</f>
        <v>8</v>
      </c>
      <c r="AD23">
        <f t="shared" si="16"/>
        <v>0.77777777777777779</v>
      </c>
      <c r="AE23">
        <f>[1]!survey_responses[[#This Row],[Tôi tin tưởng số tiền thuế tôi đóng sẽ được Nhà nước sử dụng hiệu quả để cải thiện dịch vụ công (y tế, đường xá...). - HUMAN-TRU3]]</f>
        <v>8</v>
      </c>
      <c r="AF23">
        <f t="shared" si="17"/>
        <v>0.77777777777777779</v>
      </c>
      <c r="AG23">
        <f>step3_validation[[#This Row],[AI_TRU4]]</f>
        <v>7</v>
      </c>
      <c r="AH23">
        <f t="shared" si="18"/>
        <v>0.66666666666666663</v>
      </c>
      <c r="AI23">
        <f>[1]!survey_responses[[#This Row],[Tôi thấy Nhà nước đã giải thích rõ ràng, minh bạch về lý do và mục tiêu của việc sửa đổi thuế lần này. - HUMAN-TRU4]]</f>
        <v>8</v>
      </c>
      <c r="AJ23">
        <f t="shared" si="19"/>
        <v>0.77777777777777779</v>
      </c>
      <c r="AK23" s="32">
        <f t="shared" si="20"/>
        <v>0.72222222222222221</v>
      </c>
      <c r="AL23" s="32">
        <f t="shared" si="21"/>
        <v>0.77777777777777779</v>
      </c>
      <c r="AM23" s="7">
        <f t="shared" si="22"/>
        <v>0.74074074074074081</v>
      </c>
      <c r="AN23" s="7">
        <f t="shared" si="23"/>
        <v>0.72222222222222221</v>
      </c>
      <c r="AO23">
        <f>step3_validation[[#This Row],[AI_OUT1]]</f>
        <v>8</v>
      </c>
      <c r="AP23">
        <f t="shared" si="24"/>
        <v>0.77777777777777779</v>
      </c>
      <c r="AQ23">
        <f>[1]!survey_responses[[#This Row],[Sau khi xem xét các quyền lợi và nghĩa vụ, bạn có ủng hộ và tuân thủ chính sách mới hiện nay? - HUMAN-OUT1]]</f>
        <v>8</v>
      </c>
      <c r="AR23">
        <f t="shared" si="25"/>
        <v>0.77777777777777779</v>
      </c>
      <c r="AS23" s="32">
        <f t="shared" si="26"/>
        <v>0</v>
      </c>
    </row>
    <row r="24" spans="1:45" x14ac:dyDescent="0.45">
      <c r="A24">
        <f>step3_validation[[#This Row],[AI_ENF1]]</f>
        <v>8</v>
      </c>
      <c r="B24">
        <f t="shared" si="0"/>
        <v>0.77777777777777779</v>
      </c>
      <c r="C24">
        <f>[1]!survey_responses[[#This Row],[Tôi tin rằng với các quy định quản lý thuế hiện nay, hành vi gian lận hoặc trốn thuế sẽ dễ dàng bị phát hiện và xử lý nghiêm. - HUMAN-ENF1]]</f>
        <v>5</v>
      </c>
      <c r="D24">
        <f t="shared" si="1"/>
        <v>0.44444444444444442</v>
      </c>
      <c r="E24">
        <f>step3_validation[[#This Row],[AI_ENF2]]</f>
        <v>7</v>
      </c>
      <c r="F24">
        <f t="shared" si="2"/>
        <v>0.66666666666666663</v>
      </c>
      <c r="G24">
        <f>[1]!survey_responses[[#This Row],[Tôi tin rằng Nhà nước, cơ quan thuế có đủ khả năng và công nghệ để phát hiện, xử lý nghiêm các hành vi trốn thuế. - HUMAN-ENF2]]</f>
        <v>5</v>
      </c>
      <c r="H24">
        <f t="shared" si="3"/>
        <v>0.44444444444444442</v>
      </c>
      <c r="I24" s="32">
        <f t="shared" si="4"/>
        <v>0.72222222222222221</v>
      </c>
      <c r="J24" s="32">
        <f t="shared" si="5"/>
        <v>0.44444444444444442</v>
      </c>
      <c r="K24">
        <f>step3_validation[[#This Row],[AI_FAC1]]</f>
        <v>6</v>
      </c>
      <c r="L24">
        <f t="shared" si="6"/>
        <v>0.55555555555555558</v>
      </c>
      <c r="M24">
        <f>[1]!survey_responses[[#This Row],[Các thủ tục khai báo thuế VÀ/HOẶC quy trình làm việc với cơ quan thuế đơn giản, tiện lợi, nhanh chóng hơn so với trước đây. - HUMAN-FAC1]]</f>
        <v>5</v>
      </c>
      <c r="N24">
        <f t="shared" si="7"/>
        <v>0.44444444444444442</v>
      </c>
      <c r="O24">
        <f>step3_validation[[#This Row],[AI_FAC2]]</f>
        <v>5</v>
      </c>
      <c r="P24">
        <f t="shared" si="8"/>
        <v>0.44444444444444442</v>
      </c>
      <c r="Q24">
        <f>[1]!survey_responses[[#This Row],[So với trước đây, tôi thấy cách tính thuế và các bậc thuế trong phương án mới đơn giản, dễ hiểu và dễ thực hiện hơn. - HUMAN-FAC2]]</f>
        <v>5</v>
      </c>
      <c r="R24">
        <f t="shared" si="9"/>
        <v>0.44444444444444442</v>
      </c>
      <c r="S24" s="32">
        <f t="shared" si="10"/>
        <v>0.5</v>
      </c>
      <c r="T24" s="32">
        <f t="shared" si="11"/>
        <v>0.44444444444444442</v>
      </c>
      <c r="U24">
        <f>step3_validation[[#This Row],[AI_TRU1]]</f>
        <v>7</v>
      </c>
      <c r="V24">
        <f t="shared" si="12"/>
        <v>0.66666666666666663</v>
      </c>
      <c r="W24">
        <f>[1]!survey_responses[[#This Row],[Tôi tin rằng Nhà nước, cơ quan thuế sẽ thực thi chính sách mới một cách khách quan, công tâm và đối xử bình đẳng với mọi người nộp thuế.  - HUMAN-TRU1]]</f>
        <v>5</v>
      </c>
      <c r="X24">
        <f t="shared" si="13"/>
        <v>0.44444444444444442</v>
      </c>
      <c r="Y24">
        <f>step3_validation[[#This Row],[AI_TRU2]]</f>
        <v>6</v>
      </c>
      <c r="Z24">
        <f t="shared" si="14"/>
        <v>0.55555555555555558</v>
      </c>
      <c r="AA24">
        <f>[1]!survey_responses[[#This Row],[Tôi thấy mức thuế tôi phải đóng theo phương án mới là công bằng (người thu nhập như tôi đóng mức này là hợp lý). - HUMAN-TRU2]]</f>
        <v>5</v>
      </c>
      <c r="AB24">
        <f t="shared" si="15"/>
        <v>0.44444444444444442</v>
      </c>
      <c r="AC24">
        <f>step3_validation[[#This Row],[AI_TRU3]]</f>
        <v>7</v>
      </c>
      <c r="AD24">
        <f t="shared" si="16"/>
        <v>0.66666666666666663</v>
      </c>
      <c r="AE24">
        <f>[1]!survey_responses[[#This Row],[Tôi tin tưởng số tiền thuế tôi đóng sẽ được Nhà nước sử dụng hiệu quả để cải thiện dịch vụ công (y tế, đường xá...). - HUMAN-TRU3]]</f>
        <v>5</v>
      </c>
      <c r="AF24">
        <f t="shared" si="17"/>
        <v>0.44444444444444442</v>
      </c>
      <c r="AG24">
        <f>step3_validation[[#This Row],[AI_TRU4]]</f>
        <v>6</v>
      </c>
      <c r="AH24">
        <f t="shared" si="18"/>
        <v>0.55555555555555558</v>
      </c>
      <c r="AI24">
        <f>[1]!survey_responses[[#This Row],[Tôi thấy Nhà nước đã giải thích rõ ràng, minh bạch về lý do và mục tiêu của việc sửa đổi thuế lần này. - HUMAN-TRU4]]</f>
        <v>5</v>
      </c>
      <c r="AJ24">
        <f t="shared" si="19"/>
        <v>0.44444444444444442</v>
      </c>
      <c r="AK24" s="32">
        <f t="shared" si="20"/>
        <v>0.61111111111111116</v>
      </c>
      <c r="AL24" s="32">
        <f t="shared" si="21"/>
        <v>0.44444444444444442</v>
      </c>
      <c r="AM24" s="7">
        <f t="shared" si="22"/>
        <v>0.61111111111111116</v>
      </c>
      <c r="AN24" s="7">
        <f t="shared" si="23"/>
        <v>0.44444444444444442</v>
      </c>
      <c r="AO24">
        <f>step3_validation[[#This Row],[AI_OUT1]]</f>
        <v>6</v>
      </c>
      <c r="AP24">
        <f t="shared" si="24"/>
        <v>0.55555555555555558</v>
      </c>
      <c r="AQ24">
        <f>[1]!survey_responses[[#This Row],[Sau khi xem xét các quyền lợi và nghĩa vụ, bạn có ủng hộ và tuân thủ chính sách mới hiện nay? - HUMAN-OUT1]]</f>
        <v>5</v>
      </c>
      <c r="AR24">
        <f t="shared" si="25"/>
        <v>0.44444444444444442</v>
      </c>
      <c r="AS24" s="32">
        <f t="shared" si="26"/>
        <v>1</v>
      </c>
    </row>
    <row r="25" spans="1:45" x14ac:dyDescent="0.45">
      <c r="A25">
        <f>step3_validation[[#This Row],[AI_ENF1]]</f>
        <v>7</v>
      </c>
      <c r="B25">
        <f t="shared" si="0"/>
        <v>0.66666666666666663</v>
      </c>
      <c r="C25">
        <f>[1]!survey_responses[[#This Row],[Tôi tin rằng với các quy định quản lý thuế hiện nay, hành vi gian lận hoặc trốn thuế sẽ dễ dàng bị phát hiện và xử lý nghiêm. - HUMAN-ENF1]]</f>
        <v>9</v>
      </c>
      <c r="D25">
        <f t="shared" si="1"/>
        <v>0.88888888888888884</v>
      </c>
      <c r="E25">
        <f>step3_validation[[#This Row],[AI_ENF2]]</f>
        <v>8</v>
      </c>
      <c r="F25">
        <f t="shared" si="2"/>
        <v>0.77777777777777779</v>
      </c>
      <c r="G25">
        <f>[1]!survey_responses[[#This Row],[Tôi tin rằng Nhà nước, cơ quan thuế có đủ khả năng và công nghệ để phát hiện, xử lý nghiêm các hành vi trốn thuế. - HUMAN-ENF2]]</f>
        <v>8</v>
      </c>
      <c r="H25">
        <f t="shared" si="3"/>
        <v>0.77777777777777779</v>
      </c>
      <c r="I25" s="32">
        <f t="shared" si="4"/>
        <v>0.72222222222222221</v>
      </c>
      <c r="J25" s="32">
        <f t="shared" si="5"/>
        <v>0.83333333333333326</v>
      </c>
      <c r="K25">
        <f>step3_validation[[#This Row],[AI_FAC1]]</f>
        <v>6</v>
      </c>
      <c r="L25">
        <f t="shared" si="6"/>
        <v>0.55555555555555558</v>
      </c>
      <c r="M25">
        <f>[1]!survey_responses[[#This Row],[Các thủ tục khai báo thuế VÀ/HOẶC quy trình làm việc với cơ quan thuế đơn giản, tiện lợi, nhanh chóng hơn so với trước đây. - HUMAN-FAC1]]</f>
        <v>6</v>
      </c>
      <c r="N25">
        <f t="shared" si="7"/>
        <v>0.55555555555555558</v>
      </c>
      <c r="O25">
        <f>step3_validation[[#This Row],[AI_FAC2]]</f>
        <v>5</v>
      </c>
      <c r="P25">
        <f t="shared" si="8"/>
        <v>0.44444444444444442</v>
      </c>
      <c r="Q25">
        <f>[1]!survey_responses[[#This Row],[So với trước đây, tôi thấy cách tính thuế và các bậc thuế trong phương án mới đơn giản, dễ hiểu và dễ thực hiện hơn. - HUMAN-FAC2]]</f>
        <v>9</v>
      </c>
      <c r="R25">
        <f t="shared" si="9"/>
        <v>0.88888888888888884</v>
      </c>
      <c r="S25" s="32">
        <f t="shared" si="10"/>
        <v>0.5</v>
      </c>
      <c r="T25" s="32">
        <f t="shared" si="11"/>
        <v>0.72222222222222221</v>
      </c>
      <c r="U25">
        <f>step3_validation[[#This Row],[AI_TRU1]]</f>
        <v>7</v>
      </c>
      <c r="V25">
        <f t="shared" si="12"/>
        <v>0.66666666666666663</v>
      </c>
      <c r="W25">
        <f>[1]!survey_responses[[#This Row],[Tôi tin rằng Nhà nước, cơ quan thuế sẽ thực thi chính sách mới một cách khách quan, công tâm và đối xử bình đẳng với mọi người nộp thuế.  - HUMAN-TRU1]]</f>
        <v>8</v>
      </c>
      <c r="X25">
        <f t="shared" si="13"/>
        <v>0.77777777777777779</v>
      </c>
      <c r="Y25">
        <f>step3_validation[[#This Row],[AI_TRU2]]</f>
        <v>6</v>
      </c>
      <c r="Z25">
        <f t="shared" si="14"/>
        <v>0.55555555555555558</v>
      </c>
      <c r="AA25">
        <f>[1]!survey_responses[[#This Row],[Tôi thấy mức thuế tôi phải đóng theo phương án mới là công bằng (người thu nhập như tôi đóng mức này là hợp lý). - HUMAN-TRU2]]</f>
        <v>10</v>
      </c>
      <c r="AB25">
        <f t="shared" si="15"/>
        <v>1</v>
      </c>
      <c r="AC25">
        <f>step3_validation[[#This Row],[AI_TRU3]]</f>
        <v>7</v>
      </c>
      <c r="AD25">
        <f t="shared" si="16"/>
        <v>0.66666666666666663</v>
      </c>
      <c r="AE25">
        <f>[1]!survey_responses[[#This Row],[Tôi tin tưởng số tiền thuế tôi đóng sẽ được Nhà nước sử dụng hiệu quả để cải thiện dịch vụ công (y tế, đường xá...). - HUMAN-TRU3]]</f>
        <v>6</v>
      </c>
      <c r="AF25">
        <f t="shared" si="17"/>
        <v>0.55555555555555558</v>
      </c>
      <c r="AG25">
        <f>step3_validation[[#This Row],[AI_TRU4]]</f>
        <v>5</v>
      </c>
      <c r="AH25">
        <f t="shared" si="18"/>
        <v>0.44444444444444442</v>
      </c>
      <c r="AI25">
        <f>[1]!survey_responses[[#This Row],[Tôi thấy Nhà nước đã giải thích rõ ràng, minh bạch về lý do và mục tiêu của việc sửa đổi thuế lần này. - HUMAN-TRU4]]</f>
        <v>6</v>
      </c>
      <c r="AJ25">
        <f t="shared" si="19"/>
        <v>0.55555555555555558</v>
      </c>
      <c r="AK25" s="32">
        <f t="shared" si="20"/>
        <v>0.58333333333333326</v>
      </c>
      <c r="AL25" s="32">
        <f t="shared" si="21"/>
        <v>0.7222222222222221</v>
      </c>
      <c r="AM25" s="7">
        <f t="shared" si="22"/>
        <v>0.60185185185185186</v>
      </c>
      <c r="AN25" s="7">
        <f t="shared" si="23"/>
        <v>0.75925925925925919</v>
      </c>
      <c r="AO25">
        <f>step3_validation[[#This Row],[AI_OUT1]]</f>
        <v>6</v>
      </c>
      <c r="AP25">
        <f t="shared" si="24"/>
        <v>0.55555555555555558</v>
      </c>
      <c r="AQ25">
        <f>[1]!survey_responses[[#This Row],[Sau khi xem xét các quyền lợi và nghĩa vụ, bạn có ủng hộ và tuân thủ chính sách mới hiện nay? - HUMAN-OUT1]]</f>
        <v>8</v>
      </c>
      <c r="AR25">
        <f t="shared" si="25"/>
        <v>0.77777777777777779</v>
      </c>
      <c r="AS25" s="32">
        <f t="shared" si="26"/>
        <v>2</v>
      </c>
    </row>
    <row r="26" spans="1:45" x14ac:dyDescent="0.45">
      <c r="A26">
        <f>step3_validation[[#This Row],[AI_ENF1]]</f>
        <v>7</v>
      </c>
      <c r="B26">
        <f t="shared" si="0"/>
        <v>0.66666666666666663</v>
      </c>
      <c r="C26">
        <f>[1]!survey_responses[[#This Row],[Tôi tin rằng với các quy định quản lý thuế hiện nay, hành vi gian lận hoặc trốn thuế sẽ dễ dàng bị phát hiện và xử lý nghiêm. - HUMAN-ENF1]]</f>
        <v>6</v>
      </c>
      <c r="D26">
        <f t="shared" si="1"/>
        <v>0.55555555555555558</v>
      </c>
      <c r="E26">
        <f>step3_validation[[#This Row],[AI_ENF2]]</f>
        <v>8</v>
      </c>
      <c r="F26">
        <f t="shared" si="2"/>
        <v>0.77777777777777779</v>
      </c>
      <c r="G26">
        <f>[1]!survey_responses[[#This Row],[Tôi tin rằng Nhà nước, cơ quan thuế có đủ khả năng và công nghệ để phát hiện, xử lý nghiêm các hành vi trốn thuế. - HUMAN-ENF2]]</f>
        <v>7</v>
      </c>
      <c r="H26">
        <f t="shared" si="3"/>
        <v>0.66666666666666663</v>
      </c>
      <c r="I26" s="32">
        <f t="shared" si="4"/>
        <v>0.72222222222222221</v>
      </c>
      <c r="J26" s="32">
        <f t="shared" si="5"/>
        <v>0.61111111111111116</v>
      </c>
      <c r="K26">
        <f>step3_validation[[#This Row],[AI_FAC1]]</f>
        <v>9</v>
      </c>
      <c r="L26">
        <f t="shared" si="6"/>
        <v>0.88888888888888884</v>
      </c>
      <c r="M26">
        <f>[1]!survey_responses[[#This Row],[Các thủ tục khai báo thuế VÀ/HOẶC quy trình làm việc với cơ quan thuế đơn giản, tiện lợi, nhanh chóng hơn so với trước đây. - HUMAN-FAC1]]</f>
        <v>5</v>
      </c>
      <c r="N26">
        <f t="shared" si="7"/>
        <v>0.44444444444444442</v>
      </c>
      <c r="O26">
        <f>step3_validation[[#This Row],[AI_FAC2]]</f>
        <v>7</v>
      </c>
      <c r="P26">
        <f t="shared" si="8"/>
        <v>0.66666666666666663</v>
      </c>
      <c r="Q26">
        <f>[1]!survey_responses[[#This Row],[So với trước đây, tôi thấy cách tính thuế và các bậc thuế trong phương án mới đơn giản, dễ hiểu và dễ thực hiện hơn. - HUMAN-FAC2]]</f>
        <v>6</v>
      </c>
      <c r="R26">
        <f t="shared" si="9"/>
        <v>0.55555555555555558</v>
      </c>
      <c r="S26" s="32">
        <f t="shared" si="10"/>
        <v>0.77777777777777768</v>
      </c>
      <c r="T26" s="32">
        <f t="shared" si="11"/>
        <v>0.5</v>
      </c>
      <c r="U26">
        <f>step3_validation[[#This Row],[AI_TRU1]]</f>
        <v>8</v>
      </c>
      <c r="V26">
        <f t="shared" si="12"/>
        <v>0.77777777777777779</v>
      </c>
      <c r="W26">
        <f>[1]!survey_responses[[#This Row],[Tôi tin rằng Nhà nước, cơ quan thuế sẽ thực thi chính sách mới một cách khách quan, công tâm và đối xử bình đẳng với mọi người nộp thuế.  - HUMAN-TRU1]]</f>
        <v>7</v>
      </c>
      <c r="X26">
        <f t="shared" si="13"/>
        <v>0.66666666666666663</v>
      </c>
      <c r="Y26">
        <f>step3_validation[[#This Row],[AI_TRU2]]</f>
        <v>6</v>
      </c>
      <c r="Z26">
        <f t="shared" si="14"/>
        <v>0.55555555555555558</v>
      </c>
      <c r="AA26">
        <f>[1]!survey_responses[[#This Row],[Tôi thấy mức thuế tôi phải đóng theo phương án mới là công bằng (người thu nhập như tôi đóng mức này là hợp lý). - HUMAN-TRU2]]</f>
        <v>7</v>
      </c>
      <c r="AB26">
        <f t="shared" si="15"/>
        <v>0.66666666666666663</v>
      </c>
      <c r="AC26">
        <f>step3_validation[[#This Row],[AI_TRU3]]</f>
        <v>7</v>
      </c>
      <c r="AD26">
        <f t="shared" si="16"/>
        <v>0.66666666666666663</v>
      </c>
      <c r="AE26">
        <f>[1]!survey_responses[[#This Row],[Tôi tin tưởng số tiền thuế tôi đóng sẽ được Nhà nước sử dụng hiệu quả để cải thiện dịch vụ công (y tế, đường xá...). - HUMAN-TRU3]]</f>
        <v>3</v>
      </c>
      <c r="AF26">
        <f t="shared" si="17"/>
        <v>0.22222222222222221</v>
      </c>
      <c r="AG26">
        <f>step3_validation[[#This Row],[AI_TRU4]]</f>
        <v>5</v>
      </c>
      <c r="AH26">
        <f t="shared" si="18"/>
        <v>0.44444444444444442</v>
      </c>
      <c r="AI26">
        <f>[1]!survey_responses[[#This Row],[Tôi thấy Nhà nước đã giải thích rõ ràng, minh bạch về lý do và mục tiêu của việc sửa đổi thuế lần này. - HUMAN-TRU4]]</f>
        <v>3</v>
      </c>
      <c r="AJ26">
        <f t="shared" si="19"/>
        <v>0.22222222222222221</v>
      </c>
      <c r="AK26" s="32">
        <f t="shared" si="20"/>
        <v>0.61111111111111116</v>
      </c>
      <c r="AL26" s="32">
        <f t="shared" si="21"/>
        <v>0.44444444444444442</v>
      </c>
      <c r="AM26" s="7">
        <f t="shared" si="22"/>
        <v>0.70370370370370372</v>
      </c>
      <c r="AN26" s="7">
        <f t="shared" si="23"/>
        <v>0.51851851851851849</v>
      </c>
      <c r="AO26">
        <f>step3_validation[[#This Row],[AI_OUT1]]</f>
        <v>8</v>
      </c>
      <c r="AP26">
        <f t="shared" si="24"/>
        <v>0.77777777777777779</v>
      </c>
      <c r="AQ26">
        <f>[1]!survey_responses[[#This Row],[Sau khi xem xét các quyền lợi và nghĩa vụ, bạn có ủng hộ và tuân thủ chính sách mới hiện nay? - HUMAN-OUT1]]</f>
        <v>5</v>
      </c>
      <c r="AR26">
        <f t="shared" si="25"/>
        <v>0.44444444444444442</v>
      </c>
      <c r="AS26" s="32">
        <f t="shared" si="26"/>
        <v>3</v>
      </c>
    </row>
    <row r="27" spans="1:45" x14ac:dyDescent="0.45">
      <c r="A27">
        <f>step3_validation[[#This Row],[AI_ENF1]]</f>
        <v>8</v>
      </c>
      <c r="B27">
        <f t="shared" si="0"/>
        <v>0.77777777777777779</v>
      </c>
      <c r="C27">
        <f>[1]!survey_responses[[#This Row],[Tôi tin rằng với các quy định quản lý thuế hiện nay, hành vi gian lận hoặc trốn thuế sẽ dễ dàng bị phát hiện và xử lý nghiêm. - HUMAN-ENF1]]</f>
        <v>10</v>
      </c>
      <c r="D27">
        <f t="shared" si="1"/>
        <v>1</v>
      </c>
      <c r="E27">
        <f>step3_validation[[#This Row],[AI_ENF2]]</f>
        <v>9</v>
      </c>
      <c r="F27">
        <f t="shared" si="2"/>
        <v>0.88888888888888884</v>
      </c>
      <c r="G27">
        <f>[1]!survey_responses[[#This Row],[Tôi tin rằng Nhà nước, cơ quan thuế có đủ khả năng và công nghệ để phát hiện, xử lý nghiêm các hành vi trốn thuế. - HUMAN-ENF2]]</f>
        <v>10</v>
      </c>
      <c r="H27">
        <f t="shared" si="3"/>
        <v>1</v>
      </c>
      <c r="I27" s="32">
        <f t="shared" si="4"/>
        <v>0.83333333333333326</v>
      </c>
      <c r="J27" s="32">
        <f t="shared" si="5"/>
        <v>1</v>
      </c>
      <c r="K27">
        <f>step3_validation[[#This Row],[AI_FAC1]]</f>
        <v>8</v>
      </c>
      <c r="L27">
        <f t="shared" si="6"/>
        <v>0.77777777777777779</v>
      </c>
      <c r="M27">
        <f>[1]!survey_responses[[#This Row],[Các thủ tục khai báo thuế VÀ/HOẶC quy trình làm việc với cơ quan thuế đơn giản, tiện lợi, nhanh chóng hơn so với trước đây. - HUMAN-FAC1]]</f>
        <v>10</v>
      </c>
      <c r="N27">
        <f t="shared" si="7"/>
        <v>1</v>
      </c>
      <c r="O27">
        <f>step3_validation[[#This Row],[AI_FAC2]]</f>
        <v>7</v>
      </c>
      <c r="P27">
        <f t="shared" si="8"/>
        <v>0.66666666666666663</v>
      </c>
      <c r="Q27">
        <f>[1]!survey_responses[[#This Row],[So với trước đây, tôi thấy cách tính thuế và các bậc thuế trong phương án mới đơn giản, dễ hiểu và dễ thực hiện hơn. - HUMAN-FAC2]]</f>
        <v>6</v>
      </c>
      <c r="R27">
        <f t="shared" si="9"/>
        <v>0.55555555555555558</v>
      </c>
      <c r="S27" s="32">
        <f t="shared" si="10"/>
        <v>0.72222222222222221</v>
      </c>
      <c r="T27" s="32">
        <f t="shared" si="11"/>
        <v>0.77777777777777779</v>
      </c>
      <c r="U27">
        <f>step3_validation[[#This Row],[AI_TRU1]]</f>
        <v>8</v>
      </c>
      <c r="V27">
        <f t="shared" si="12"/>
        <v>0.77777777777777779</v>
      </c>
      <c r="W27">
        <f>[1]!survey_responses[[#This Row],[Tôi tin rằng Nhà nước, cơ quan thuế sẽ thực thi chính sách mới một cách khách quan, công tâm và đối xử bình đẳng với mọi người nộp thuế.  - HUMAN-TRU1]]</f>
        <v>6</v>
      </c>
      <c r="X27">
        <f t="shared" si="13"/>
        <v>0.55555555555555558</v>
      </c>
      <c r="Y27">
        <f>step3_validation[[#This Row],[AI_TRU2]]</f>
        <v>6</v>
      </c>
      <c r="Z27">
        <f t="shared" si="14"/>
        <v>0.55555555555555558</v>
      </c>
      <c r="AA27">
        <f>[1]!survey_responses[[#This Row],[Tôi thấy mức thuế tôi phải đóng theo phương án mới là công bằng (người thu nhập như tôi đóng mức này là hợp lý). - HUMAN-TRU2]]</f>
        <v>10</v>
      </c>
      <c r="AB27">
        <f t="shared" si="15"/>
        <v>1</v>
      </c>
      <c r="AC27">
        <f>step3_validation[[#This Row],[AI_TRU3]]</f>
        <v>7</v>
      </c>
      <c r="AD27">
        <f t="shared" si="16"/>
        <v>0.66666666666666663</v>
      </c>
      <c r="AE27">
        <f>[1]!survey_responses[[#This Row],[Tôi tin tưởng số tiền thuế tôi đóng sẽ được Nhà nước sử dụng hiệu quả để cải thiện dịch vụ công (y tế, đường xá...). - HUMAN-TRU3]]</f>
        <v>1</v>
      </c>
      <c r="AF27">
        <f t="shared" si="17"/>
        <v>0</v>
      </c>
      <c r="AG27">
        <f>step3_validation[[#This Row],[AI_TRU4]]</f>
        <v>6</v>
      </c>
      <c r="AH27">
        <f t="shared" si="18"/>
        <v>0.55555555555555558</v>
      </c>
      <c r="AI27">
        <f>[1]!survey_responses[[#This Row],[Tôi thấy Nhà nước đã giải thích rõ ràng, minh bạch về lý do và mục tiêu của việc sửa đổi thuế lần này. - HUMAN-TRU4]]</f>
        <v>4</v>
      </c>
      <c r="AJ27">
        <f t="shared" si="19"/>
        <v>0.33333333333333331</v>
      </c>
      <c r="AK27" s="32">
        <f t="shared" si="20"/>
        <v>0.63888888888888884</v>
      </c>
      <c r="AL27" s="32">
        <f t="shared" si="21"/>
        <v>0.47222222222222221</v>
      </c>
      <c r="AM27" s="7">
        <f t="shared" si="22"/>
        <v>0.7314814814814814</v>
      </c>
      <c r="AN27" s="7">
        <f t="shared" si="23"/>
        <v>0.75</v>
      </c>
      <c r="AO27">
        <f>step3_validation[[#This Row],[AI_OUT1]]</f>
        <v>7</v>
      </c>
      <c r="AP27">
        <f t="shared" si="24"/>
        <v>0.66666666666666663</v>
      </c>
      <c r="AQ27">
        <f>[1]!survey_responses[[#This Row],[Sau khi xem xét các quyền lợi và nghĩa vụ, bạn có ủng hộ và tuân thủ chính sách mới hiện nay? - HUMAN-OUT1]]</f>
        <v>10</v>
      </c>
      <c r="AR27">
        <f t="shared" si="25"/>
        <v>1</v>
      </c>
      <c r="AS27" s="32">
        <f t="shared" si="26"/>
        <v>3</v>
      </c>
    </row>
    <row r="28" spans="1:45" x14ac:dyDescent="0.45">
      <c r="A28">
        <f>step3_validation[[#This Row],[AI_ENF1]]</f>
        <v>8</v>
      </c>
      <c r="B28">
        <f t="shared" si="0"/>
        <v>0.77777777777777779</v>
      </c>
      <c r="C28">
        <f>[1]!survey_responses[[#This Row],[Tôi tin rằng với các quy định quản lý thuế hiện nay, hành vi gian lận hoặc trốn thuế sẽ dễ dàng bị phát hiện và xử lý nghiêm. - HUMAN-ENF1]]</f>
        <v>1</v>
      </c>
      <c r="D28">
        <f t="shared" si="1"/>
        <v>0</v>
      </c>
      <c r="E28">
        <f>step3_validation[[#This Row],[AI_ENF2]]</f>
        <v>8</v>
      </c>
      <c r="F28">
        <f t="shared" si="2"/>
        <v>0.77777777777777779</v>
      </c>
      <c r="G28">
        <f>[1]!survey_responses[[#This Row],[Tôi tin rằng Nhà nước, cơ quan thuế có đủ khả năng và công nghệ để phát hiện, xử lý nghiêm các hành vi trốn thuế. - HUMAN-ENF2]]</f>
        <v>1</v>
      </c>
      <c r="H28">
        <f t="shared" si="3"/>
        <v>0</v>
      </c>
      <c r="I28" s="32">
        <f t="shared" si="4"/>
        <v>0.77777777777777779</v>
      </c>
      <c r="J28" s="32">
        <f t="shared" si="5"/>
        <v>0</v>
      </c>
      <c r="K28">
        <f>step3_validation[[#This Row],[AI_FAC1]]</f>
        <v>7</v>
      </c>
      <c r="L28">
        <f t="shared" si="6"/>
        <v>0.66666666666666663</v>
      </c>
      <c r="M28">
        <f>[1]!survey_responses[[#This Row],[Các thủ tục khai báo thuế VÀ/HOẶC quy trình làm việc với cơ quan thuế đơn giản, tiện lợi, nhanh chóng hơn so với trước đây. - HUMAN-FAC1]]</f>
        <v>1</v>
      </c>
      <c r="N28">
        <f t="shared" si="7"/>
        <v>0</v>
      </c>
      <c r="O28">
        <f>step3_validation[[#This Row],[AI_FAC2]]</f>
        <v>8</v>
      </c>
      <c r="P28">
        <f t="shared" si="8"/>
        <v>0.77777777777777779</v>
      </c>
      <c r="Q28">
        <f>[1]!survey_responses[[#This Row],[So với trước đây, tôi thấy cách tính thuế và các bậc thuế trong phương án mới đơn giản, dễ hiểu và dễ thực hiện hơn. - HUMAN-FAC2]]</f>
        <v>1</v>
      </c>
      <c r="R28">
        <f t="shared" si="9"/>
        <v>0</v>
      </c>
      <c r="S28" s="32">
        <f t="shared" si="10"/>
        <v>0.72222222222222221</v>
      </c>
      <c r="T28" s="32">
        <f t="shared" si="11"/>
        <v>0</v>
      </c>
      <c r="U28">
        <f>step3_validation[[#This Row],[AI_TRU1]]</f>
        <v>7</v>
      </c>
      <c r="V28">
        <f t="shared" si="12"/>
        <v>0.66666666666666663</v>
      </c>
      <c r="W28">
        <f>[1]!survey_responses[[#This Row],[Tôi tin rằng Nhà nước, cơ quan thuế sẽ thực thi chính sách mới một cách khách quan, công tâm và đối xử bình đẳng với mọi người nộp thuế.  - HUMAN-TRU1]]</f>
        <v>1</v>
      </c>
      <c r="X28">
        <f t="shared" si="13"/>
        <v>0</v>
      </c>
      <c r="Y28">
        <f>step3_validation[[#This Row],[AI_TRU2]]</f>
        <v>8</v>
      </c>
      <c r="Z28">
        <f t="shared" si="14"/>
        <v>0.77777777777777779</v>
      </c>
      <c r="AA28">
        <f>[1]!survey_responses[[#This Row],[Tôi thấy mức thuế tôi phải đóng theo phương án mới là công bằng (người thu nhập như tôi đóng mức này là hợp lý). - HUMAN-TRU2]]</f>
        <v>1</v>
      </c>
      <c r="AB28">
        <f t="shared" si="15"/>
        <v>0</v>
      </c>
      <c r="AC28">
        <f>step3_validation[[#This Row],[AI_TRU3]]</f>
        <v>6</v>
      </c>
      <c r="AD28">
        <f t="shared" si="16"/>
        <v>0.55555555555555558</v>
      </c>
      <c r="AE28">
        <f>[1]!survey_responses[[#This Row],[Tôi tin tưởng số tiền thuế tôi đóng sẽ được Nhà nước sử dụng hiệu quả để cải thiện dịch vụ công (y tế, đường xá...). - HUMAN-TRU3]]</f>
        <v>1</v>
      </c>
      <c r="AF28">
        <f t="shared" si="17"/>
        <v>0</v>
      </c>
      <c r="AG28">
        <f>step3_validation[[#This Row],[AI_TRU4]]</f>
        <v>7</v>
      </c>
      <c r="AH28">
        <f t="shared" si="18"/>
        <v>0.66666666666666663</v>
      </c>
      <c r="AI28">
        <f>[1]!survey_responses[[#This Row],[Tôi thấy Nhà nước đã giải thích rõ ràng, minh bạch về lý do và mục tiêu của việc sửa đổi thuế lần này. - HUMAN-TRU4]]</f>
        <v>1</v>
      </c>
      <c r="AJ28">
        <f t="shared" si="19"/>
        <v>0</v>
      </c>
      <c r="AK28" s="32">
        <f t="shared" si="20"/>
        <v>0.66666666666666663</v>
      </c>
      <c r="AL28" s="32">
        <f t="shared" si="21"/>
        <v>0</v>
      </c>
      <c r="AM28" s="7">
        <f t="shared" si="22"/>
        <v>0.72222222222222221</v>
      </c>
      <c r="AN28" s="7">
        <f t="shared" si="23"/>
        <v>0</v>
      </c>
      <c r="AO28">
        <f>step3_validation[[#This Row],[AI_OUT1]]</f>
        <v>7</v>
      </c>
      <c r="AP28">
        <f t="shared" si="24"/>
        <v>0.66666666666666663</v>
      </c>
      <c r="AQ28">
        <f>[1]!survey_responses[[#This Row],[Sau khi xem xét các quyền lợi và nghĩa vụ, bạn có ủng hộ và tuân thủ chính sách mới hiện nay? - HUMAN-OUT1]]</f>
        <v>1</v>
      </c>
      <c r="AR28">
        <f t="shared" si="25"/>
        <v>0</v>
      </c>
      <c r="AS28" s="32">
        <f t="shared" si="26"/>
        <v>6</v>
      </c>
    </row>
    <row r="29" spans="1:45" x14ac:dyDescent="0.45">
      <c r="A29">
        <f>step3_validation[[#This Row],[AI_ENF1]]</f>
        <v>8</v>
      </c>
      <c r="B29">
        <f t="shared" si="0"/>
        <v>0.77777777777777779</v>
      </c>
      <c r="C29">
        <f>[1]!survey_responses[[#This Row],[Tôi tin rằng với các quy định quản lý thuế hiện nay, hành vi gian lận hoặc trốn thuế sẽ dễ dàng bị phát hiện và xử lý nghiêm. - HUMAN-ENF1]]</f>
        <v>1</v>
      </c>
      <c r="D29">
        <f t="shared" si="1"/>
        <v>0</v>
      </c>
      <c r="E29">
        <f>step3_validation[[#This Row],[AI_ENF2]]</f>
        <v>7</v>
      </c>
      <c r="F29">
        <f t="shared" si="2"/>
        <v>0.66666666666666663</v>
      </c>
      <c r="G29">
        <f>[1]!survey_responses[[#This Row],[Tôi tin rằng Nhà nước, cơ quan thuế có đủ khả năng và công nghệ để phát hiện, xử lý nghiêm các hành vi trốn thuế. - HUMAN-ENF2]]</f>
        <v>1</v>
      </c>
      <c r="H29">
        <f t="shared" si="3"/>
        <v>0</v>
      </c>
      <c r="I29" s="32">
        <f t="shared" si="4"/>
        <v>0.72222222222222221</v>
      </c>
      <c r="J29" s="32">
        <f t="shared" si="5"/>
        <v>0</v>
      </c>
      <c r="K29">
        <f>step3_validation[[#This Row],[AI_FAC1]]</f>
        <v>9</v>
      </c>
      <c r="L29">
        <f t="shared" si="6"/>
        <v>0.88888888888888884</v>
      </c>
      <c r="M29">
        <f>[1]!survey_responses[[#This Row],[Các thủ tục khai báo thuế VÀ/HOẶC quy trình làm việc với cơ quan thuế đơn giản, tiện lợi, nhanh chóng hơn so với trước đây. - HUMAN-FAC1]]</f>
        <v>1</v>
      </c>
      <c r="N29">
        <f t="shared" si="7"/>
        <v>0</v>
      </c>
      <c r="O29">
        <f>step3_validation[[#This Row],[AI_FAC2]]</f>
        <v>8</v>
      </c>
      <c r="P29">
        <f t="shared" si="8"/>
        <v>0.77777777777777779</v>
      </c>
      <c r="Q29">
        <f>[1]!survey_responses[[#This Row],[So với trước đây, tôi thấy cách tính thuế và các bậc thuế trong phương án mới đơn giản, dễ hiểu và dễ thực hiện hơn. - HUMAN-FAC2]]</f>
        <v>1</v>
      </c>
      <c r="R29">
        <f t="shared" si="9"/>
        <v>0</v>
      </c>
      <c r="S29" s="32">
        <f t="shared" si="10"/>
        <v>0.83333333333333326</v>
      </c>
      <c r="T29" s="32">
        <f t="shared" si="11"/>
        <v>0</v>
      </c>
      <c r="U29">
        <f>step3_validation[[#This Row],[AI_TRU1]]</f>
        <v>7</v>
      </c>
      <c r="V29">
        <f t="shared" si="12"/>
        <v>0.66666666666666663</v>
      </c>
      <c r="W29">
        <f>[1]!survey_responses[[#This Row],[Tôi tin rằng Nhà nước, cơ quan thuế sẽ thực thi chính sách mới một cách khách quan, công tâm và đối xử bình đẳng với mọi người nộp thuế.  - HUMAN-TRU1]]</f>
        <v>1</v>
      </c>
      <c r="X29">
        <f t="shared" si="13"/>
        <v>0</v>
      </c>
      <c r="Y29">
        <f>step3_validation[[#This Row],[AI_TRU2]]</f>
        <v>8</v>
      </c>
      <c r="Z29">
        <f t="shared" si="14"/>
        <v>0.77777777777777779</v>
      </c>
      <c r="AA29">
        <f>[1]!survey_responses[[#This Row],[Tôi thấy mức thuế tôi phải đóng theo phương án mới là công bằng (người thu nhập như tôi đóng mức này là hợp lý). - HUMAN-TRU2]]</f>
        <v>1</v>
      </c>
      <c r="AB29">
        <f t="shared" si="15"/>
        <v>0</v>
      </c>
      <c r="AC29">
        <f>step3_validation[[#This Row],[AI_TRU3]]</f>
        <v>7</v>
      </c>
      <c r="AD29">
        <f t="shared" si="16"/>
        <v>0.66666666666666663</v>
      </c>
      <c r="AE29">
        <f>[1]!survey_responses[[#This Row],[Tôi tin tưởng số tiền thuế tôi đóng sẽ được Nhà nước sử dụng hiệu quả để cải thiện dịch vụ công (y tế, đường xá...). - HUMAN-TRU3]]</f>
        <v>1</v>
      </c>
      <c r="AF29">
        <f t="shared" si="17"/>
        <v>0</v>
      </c>
      <c r="AG29">
        <f>step3_validation[[#This Row],[AI_TRU4]]</f>
        <v>6</v>
      </c>
      <c r="AH29">
        <f t="shared" si="18"/>
        <v>0.55555555555555558</v>
      </c>
      <c r="AI29">
        <f>[1]!survey_responses[[#This Row],[Tôi thấy Nhà nước đã giải thích rõ ràng, minh bạch về lý do và mục tiêu của việc sửa đổi thuế lần này. - HUMAN-TRU4]]</f>
        <v>1</v>
      </c>
      <c r="AJ29">
        <f t="shared" si="19"/>
        <v>0</v>
      </c>
      <c r="AK29" s="32">
        <f t="shared" si="20"/>
        <v>0.66666666666666674</v>
      </c>
      <c r="AL29" s="32">
        <f t="shared" si="21"/>
        <v>0</v>
      </c>
      <c r="AM29" s="7">
        <f t="shared" si="22"/>
        <v>0.74074074074074081</v>
      </c>
      <c r="AN29" s="7">
        <f t="shared" si="23"/>
        <v>0</v>
      </c>
      <c r="AO29">
        <f>step3_validation[[#This Row],[AI_OUT1]]</f>
        <v>8</v>
      </c>
      <c r="AP29">
        <f t="shared" si="24"/>
        <v>0.77777777777777779</v>
      </c>
      <c r="AQ29">
        <f>[1]!survey_responses[[#This Row],[Sau khi xem xét các quyền lợi và nghĩa vụ, bạn có ủng hộ và tuân thủ chính sách mới hiện nay? - HUMAN-OUT1]]</f>
        <v>1</v>
      </c>
      <c r="AR29">
        <f t="shared" si="25"/>
        <v>0</v>
      </c>
      <c r="AS29" s="32">
        <f t="shared" si="26"/>
        <v>7</v>
      </c>
    </row>
    <row r="30" spans="1:45" x14ac:dyDescent="0.45">
      <c r="A30">
        <f>step3_validation[[#This Row],[AI_ENF1]]</f>
        <v>7</v>
      </c>
      <c r="B30">
        <f t="shared" si="0"/>
        <v>0.66666666666666663</v>
      </c>
      <c r="C30">
        <f>[1]!survey_responses[[#This Row],[Tôi tin rằng với các quy định quản lý thuế hiện nay, hành vi gian lận hoặc trốn thuế sẽ dễ dàng bị phát hiện và xử lý nghiêm. - HUMAN-ENF1]]</f>
        <v>10</v>
      </c>
      <c r="D30">
        <f t="shared" si="1"/>
        <v>1</v>
      </c>
      <c r="E30">
        <f>step3_validation[[#This Row],[AI_ENF2]]</f>
        <v>6</v>
      </c>
      <c r="F30">
        <f t="shared" si="2"/>
        <v>0.55555555555555558</v>
      </c>
      <c r="G30">
        <f>[1]!survey_responses[[#This Row],[Tôi tin rằng Nhà nước, cơ quan thuế có đủ khả năng và công nghệ để phát hiện, xử lý nghiêm các hành vi trốn thuế. - HUMAN-ENF2]]</f>
        <v>10</v>
      </c>
      <c r="H30">
        <f t="shared" si="3"/>
        <v>1</v>
      </c>
      <c r="I30" s="32">
        <f t="shared" si="4"/>
        <v>0.61111111111111116</v>
      </c>
      <c r="J30" s="32">
        <f t="shared" si="5"/>
        <v>1</v>
      </c>
      <c r="K30">
        <f>step3_validation[[#This Row],[AI_FAC1]]</f>
        <v>8</v>
      </c>
      <c r="L30">
        <f t="shared" si="6"/>
        <v>0.77777777777777779</v>
      </c>
      <c r="M30">
        <f>[1]!survey_responses[[#This Row],[Các thủ tục khai báo thuế VÀ/HOẶC quy trình làm việc với cơ quan thuế đơn giản, tiện lợi, nhanh chóng hơn so với trước đây. - HUMAN-FAC1]]</f>
        <v>9</v>
      </c>
      <c r="N30">
        <f t="shared" si="7"/>
        <v>0.88888888888888884</v>
      </c>
      <c r="O30">
        <f>step3_validation[[#This Row],[AI_FAC2]]</f>
        <v>7</v>
      </c>
      <c r="P30">
        <f t="shared" si="8"/>
        <v>0.66666666666666663</v>
      </c>
      <c r="Q30">
        <f>[1]!survey_responses[[#This Row],[So với trước đây, tôi thấy cách tính thuế và các bậc thuế trong phương án mới đơn giản, dễ hiểu và dễ thực hiện hơn. - HUMAN-FAC2]]</f>
        <v>10</v>
      </c>
      <c r="R30">
        <f t="shared" si="9"/>
        <v>1</v>
      </c>
      <c r="S30" s="32">
        <f t="shared" si="10"/>
        <v>0.72222222222222221</v>
      </c>
      <c r="T30" s="32">
        <f t="shared" si="11"/>
        <v>0.94444444444444442</v>
      </c>
      <c r="U30">
        <f>step3_validation[[#This Row],[AI_TRU1]]</f>
        <v>6</v>
      </c>
      <c r="V30">
        <f t="shared" si="12"/>
        <v>0.55555555555555558</v>
      </c>
      <c r="W30">
        <f>[1]!survey_responses[[#This Row],[Tôi tin rằng Nhà nước, cơ quan thuế sẽ thực thi chính sách mới một cách khách quan, công tâm và đối xử bình đẳng với mọi người nộp thuế.  - HUMAN-TRU1]]</f>
        <v>10</v>
      </c>
      <c r="X30">
        <f t="shared" si="13"/>
        <v>1</v>
      </c>
      <c r="Y30">
        <f>step3_validation[[#This Row],[AI_TRU2]]</f>
        <v>7</v>
      </c>
      <c r="Z30">
        <f t="shared" si="14"/>
        <v>0.66666666666666663</v>
      </c>
      <c r="AA30">
        <f>[1]!survey_responses[[#This Row],[Tôi thấy mức thuế tôi phải đóng theo phương án mới là công bằng (người thu nhập như tôi đóng mức này là hợp lý). - HUMAN-TRU2]]</f>
        <v>9</v>
      </c>
      <c r="AB30">
        <f t="shared" si="15"/>
        <v>0.88888888888888884</v>
      </c>
      <c r="AC30">
        <f>step3_validation[[#This Row],[AI_TRU3]]</f>
        <v>5</v>
      </c>
      <c r="AD30">
        <f t="shared" si="16"/>
        <v>0.44444444444444442</v>
      </c>
      <c r="AE30">
        <f>[1]!survey_responses[[#This Row],[Tôi tin tưởng số tiền thuế tôi đóng sẽ được Nhà nước sử dụng hiệu quả để cải thiện dịch vụ công (y tế, đường xá...). - HUMAN-TRU3]]</f>
        <v>10</v>
      </c>
      <c r="AF30">
        <f t="shared" si="17"/>
        <v>1</v>
      </c>
      <c r="AG30">
        <f>step3_validation[[#This Row],[AI_TRU4]]</f>
        <v>6</v>
      </c>
      <c r="AH30">
        <f t="shared" si="18"/>
        <v>0.55555555555555558</v>
      </c>
      <c r="AI30">
        <f>[1]!survey_responses[[#This Row],[Tôi thấy Nhà nước đã giải thích rõ ràng, minh bạch về lý do và mục tiêu của việc sửa đổi thuế lần này. - HUMAN-TRU4]]</f>
        <v>10</v>
      </c>
      <c r="AJ30">
        <f t="shared" si="19"/>
        <v>1</v>
      </c>
      <c r="AK30" s="32">
        <f t="shared" si="20"/>
        <v>0.55555555555555558</v>
      </c>
      <c r="AL30" s="32">
        <f t="shared" si="21"/>
        <v>0.97222222222222221</v>
      </c>
      <c r="AM30" s="7">
        <f t="shared" si="22"/>
        <v>0.62962962962962965</v>
      </c>
      <c r="AN30" s="7">
        <f t="shared" si="23"/>
        <v>0.97222222222222221</v>
      </c>
      <c r="AO30">
        <f>step3_validation[[#This Row],[AI_OUT1]]</f>
        <v>4</v>
      </c>
      <c r="AP30">
        <f t="shared" si="24"/>
        <v>0.33333333333333331</v>
      </c>
      <c r="AQ30">
        <f>[1]!survey_responses[[#This Row],[Sau khi xem xét các quyền lợi và nghĩa vụ, bạn có ủng hộ và tuân thủ chính sách mới hiện nay? - HUMAN-OUT1]]</f>
        <v>10</v>
      </c>
      <c r="AR30">
        <f t="shared" si="25"/>
        <v>1</v>
      </c>
      <c r="AS30" s="32">
        <f t="shared" si="26"/>
        <v>6</v>
      </c>
    </row>
    <row r="31" spans="1:45" x14ac:dyDescent="0.45">
      <c r="A31">
        <f>step3_validation[[#This Row],[AI_ENF1]]</f>
        <v>8</v>
      </c>
      <c r="B31">
        <f t="shared" si="0"/>
        <v>0.77777777777777779</v>
      </c>
      <c r="C31">
        <f>[1]!survey_responses[[#This Row],[Tôi tin rằng với các quy định quản lý thuế hiện nay, hành vi gian lận hoặc trốn thuế sẽ dễ dàng bị phát hiện và xử lý nghiêm. - HUMAN-ENF1]]</f>
        <v>10</v>
      </c>
      <c r="D31">
        <f t="shared" si="1"/>
        <v>1</v>
      </c>
      <c r="E31">
        <f>step3_validation[[#This Row],[AI_ENF2]]</f>
        <v>7</v>
      </c>
      <c r="F31">
        <f t="shared" si="2"/>
        <v>0.66666666666666663</v>
      </c>
      <c r="G31">
        <f>[1]!survey_responses[[#This Row],[Tôi tin rằng Nhà nước, cơ quan thuế có đủ khả năng và công nghệ để phát hiện, xử lý nghiêm các hành vi trốn thuế. - HUMAN-ENF2]]</f>
        <v>10</v>
      </c>
      <c r="H31">
        <f t="shared" si="3"/>
        <v>1</v>
      </c>
      <c r="I31" s="32">
        <f t="shared" si="4"/>
        <v>0.72222222222222221</v>
      </c>
      <c r="J31" s="32">
        <f t="shared" si="5"/>
        <v>1</v>
      </c>
      <c r="K31">
        <f>step3_validation[[#This Row],[AI_FAC1]]</f>
        <v>9</v>
      </c>
      <c r="L31">
        <f t="shared" si="6"/>
        <v>0.88888888888888884</v>
      </c>
      <c r="M31">
        <f>[1]!survey_responses[[#This Row],[Các thủ tục khai báo thuế VÀ/HOẶC quy trình làm việc với cơ quan thuế đơn giản, tiện lợi, nhanh chóng hơn so với trước đây. - HUMAN-FAC1]]</f>
        <v>9</v>
      </c>
      <c r="N31">
        <f t="shared" si="7"/>
        <v>0.88888888888888884</v>
      </c>
      <c r="O31">
        <f>step3_validation[[#This Row],[AI_FAC2]]</f>
        <v>8</v>
      </c>
      <c r="P31">
        <f t="shared" si="8"/>
        <v>0.77777777777777779</v>
      </c>
      <c r="Q31">
        <f>[1]!survey_responses[[#This Row],[So với trước đây, tôi thấy cách tính thuế và các bậc thuế trong phương án mới đơn giản, dễ hiểu và dễ thực hiện hơn. - HUMAN-FAC2]]</f>
        <v>10</v>
      </c>
      <c r="R31">
        <f t="shared" si="9"/>
        <v>1</v>
      </c>
      <c r="S31" s="32">
        <f t="shared" si="10"/>
        <v>0.83333333333333326</v>
      </c>
      <c r="T31" s="32">
        <f t="shared" si="11"/>
        <v>0.94444444444444442</v>
      </c>
      <c r="U31">
        <f>step3_validation[[#This Row],[AI_TRU1]]</f>
        <v>7</v>
      </c>
      <c r="V31">
        <f t="shared" si="12"/>
        <v>0.66666666666666663</v>
      </c>
      <c r="W31">
        <f>[1]!survey_responses[[#This Row],[Tôi tin rằng Nhà nước, cơ quan thuế sẽ thực thi chính sách mới một cách khách quan, công tâm và đối xử bình đẳng với mọi người nộp thuế.  - HUMAN-TRU1]]</f>
        <v>10</v>
      </c>
      <c r="X31">
        <f t="shared" si="13"/>
        <v>1</v>
      </c>
      <c r="Y31">
        <f>step3_validation[[#This Row],[AI_TRU2]]</f>
        <v>6</v>
      </c>
      <c r="Z31">
        <f t="shared" si="14"/>
        <v>0.55555555555555558</v>
      </c>
      <c r="AA31">
        <f>[1]!survey_responses[[#This Row],[Tôi thấy mức thuế tôi phải đóng theo phương án mới là công bằng (người thu nhập như tôi đóng mức này là hợp lý). - HUMAN-TRU2]]</f>
        <v>10</v>
      </c>
      <c r="AB31">
        <f t="shared" si="15"/>
        <v>1</v>
      </c>
      <c r="AC31">
        <f>step3_validation[[#This Row],[AI_TRU3]]</f>
        <v>7</v>
      </c>
      <c r="AD31">
        <f t="shared" si="16"/>
        <v>0.66666666666666663</v>
      </c>
      <c r="AE31">
        <f>[1]!survey_responses[[#This Row],[Tôi tin tưởng số tiền thuế tôi đóng sẽ được Nhà nước sử dụng hiệu quả để cải thiện dịch vụ công (y tế, đường xá...). - HUMAN-TRU3]]</f>
        <v>10</v>
      </c>
      <c r="AF31">
        <f t="shared" si="17"/>
        <v>1</v>
      </c>
      <c r="AG31">
        <f>step3_validation[[#This Row],[AI_TRU4]]</f>
        <v>6</v>
      </c>
      <c r="AH31">
        <f t="shared" si="18"/>
        <v>0.55555555555555558</v>
      </c>
      <c r="AI31">
        <f>[1]!survey_responses[[#This Row],[Tôi thấy Nhà nước đã giải thích rõ ràng, minh bạch về lý do và mục tiêu của việc sửa đổi thuế lần này. - HUMAN-TRU4]]</f>
        <v>10</v>
      </c>
      <c r="AJ31">
        <f t="shared" si="19"/>
        <v>1</v>
      </c>
      <c r="AK31" s="32">
        <f t="shared" si="20"/>
        <v>0.61111111111111116</v>
      </c>
      <c r="AL31" s="32">
        <f t="shared" si="21"/>
        <v>1</v>
      </c>
      <c r="AM31" s="7">
        <f t="shared" si="22"/>
        <v>0.72222222222222221</v>
      </c>
      <c r="AN31" s="7">
        <f t="shared" si="23"/>
        <v>0.98148148148148151</v>
      </c>
      <c r="AO31">
        <f>step3_validation[[#This Row],[AI_OUT1]]</f>
        <v>7</v>
      </c>
      <c r="AP31">
        <f t="shared" si="24"/>
        <v>0.66666666666666663</v>
      </c>
      <c r="AQ31">
        <f>[1]!survey_responses[[#This Row],[Sau khi xem xét các quyền lợi và nghĩa vụ, bạn có ủng hộ và tuân thủ chính sách mới hiện nay? - HUMAN-OUT1]]</f>
        <v>10</v>
      </c>
      <c r="AR31">
        <f t="shared" si="25"/>
        <v>1</v>
      </c>
      <c r="AS31" s="32">
        <f t="shared" si="26"/>
        <v>3</v>
      </c>
    </row>
    <row r="32" spans="1:45" x14ac:dyDescent="0.45">
      <c r="A32">
        <f>step3_validation[[#This Row],[AI_ENF1]]</f>
        <v>6</v>
      </c>
      <c r="B32">
        <f t="shared" si="0"/>
        <v>0.55555555555555558</v>
      </c>
      <c r="C32">
        <f>[1]!survey_responses[[#This Row],[Tôi tin rằng với các quy định quản lý thuế hiện nay, hành vi gian lận hoặc trốn thuế sẽ dễ dàng bị phát hiện và xử lý nghiêm. - HUMAN-ENF1]]</f>
        <v>10</v>
      </c>
      <c r="D32">
        <f t="shared" si="1"/>
        <v>1</v>
      </c>
      <c r="E32">
        <f>step3_validation[[#This Row],[AI_ENF2]]</f>
        <v>7</v>
      </c>
      <c r="F32">
        <f t="shared" si="2"/>
        <v>0.66666666666666663</v>
      </c>
      <c r="G32">
        <f>[1]!survey_responses[[#This Row],[Tôi tin rằng Nhà nước, cơ quan thuế có đủ khả năng và công nghệ để phát hiện, xử lý nghiêm các hành vi trốn thuế. - HUMAN-ENF2]]</f>
        <v>7</v>
      </c>
      <c r="H32">
        <f t="shared" si="3"/>
        <v>0.66666666666666663</v>
      </c>
      <c r="I32" s="32">
        <f t="shared" si="4"/>
        <v>0.61111111111111116</v>
      </c>
      <c r="J32" s="32">
        <f t="shared" si="5"/>
        <v>0.83333333333333326</v>
      </c>
      <c r="K32">
        <f>step3_validation[[#This Row],[AI_FAC1]]</f>
        <v>8</v>
      </c>
      <c r="L32">
        <f t="shared" si="6"/>
        <v>0.77777777777777779</v>
      </c>
      <c r="M32">
        <f>[1]!survey_responses[[#This Row],[Các thủ tục khai báo thuế VÀ/HOẶC quy trình làm việc với cơ quan thuế đơn giản, tiện lợi, nhanh chóng hơn so với trước đây. - HUMAN-FAC1]]</f>
        <v>10</v>
      </c>
      <c r="N32">
        <f t="shared" si="7"/>
        <v>1</v>
      </c>
      <c r="O32">
        <f>step3_validation[[#This Row],[AI_FAC2]]</f>
        <v>9</v>
      </c>
      <c r="P32">
        <f t="shared" si="8"/>
        <v>0.88888888888888884</v>
      </c>
      <c r="Q32">
        <f>[1]!survey_responses[[#This Row],[So với trước đây, tôi thấy cách tính thuế và các bậc thuế trong phương án mới đơn giản, dễ hiểu và dễ thực hiện hơn. - HUMAN-FAC2]]</f>
        <v>7</v>
      </c>
      <c r="R32">
        <f t="shared" si="9"/>
        <v>0.66666666666666663</v>
      </c>
      <c r="S32" s="32">
        <f t="shared" si="10"/>
        <v>0.83333333333333326</v>
      </c>
      <c r="T32" s="32">
        <f t="shared" si="11"/>
        <v>0.83333333333333326</v>
      </c>
      <c r="U32">
        <f>step3_validation[[#This Row],[AI_TRU1]]</f>
        <v>7</v>
      </c>
      <c r="V32">
        <f t="shared" si="12"/>
        <v>0.66666666666666663</v>
      </c>
      <c r="W32">
        <f>[1]!survey_responses[[#This Row],[Tôi tin rằng Nhà nước, cơ quan thuế sẽ thực thi chính sách mới một cách khách quan, công tâm và đối xử bình đẳng với mọi người nộp thuế.  - HUMAN-TRU1]]</f>
        <v>10</v>
      </c>
      <c r="X32">
        <f t="shared" si="13"/>
        <v>1</v>
      </c>
      <c r="Y32">
        <f>step3_validation[[#This Row],[AI_TRU2]]</f>
        <v>6</v>
      </c>
      <c r="Z32">
        <f t="shared" si="14"/>
        <v>0.55555555555555558</v>
      </c>
      <c r="AA32">
        <f>[1]!survey_responses[[#This Row],[Tôi thấy mức thuế tôi phải đóng theo phương án mới là công bằng (người thu nhập như tôi đóng mức này là hợp lý). - HUMAN-TRU2]]</f>
        <v>10</v>
      </c>
      <c r="AB32">
        <f t="shared" si="15"/>
        <v>1</v>
      </c>
      <c r="AC32">
        <f>step3_validation[[#This Row],[AI_TRU3]]</f>
        <v>8</v>
      </c>
      <c r="AD32">
        <f t="shared" si="16"/>
        <v>0.77777777777777779</v>
      </c>
      <c r="AE32">
        <f>[1]!survey_responses[[#This Row],[Tôi tin tưởng số tiền thuế tôi đóng sẽ được Nhà nước sử dụng hiệu quả để cải thiện dịch vụ công (y tế, đường xá...). - HUMAN-TRU3]]</f>
        <v>3</v>
      </c>
      <c r="AF32">
        <f t="shared" si="17"/>
        <v>0.22222222222222221</v>
      </c>
      <c r="AG32">
        <f>step3_validation[[#This Row],[AI_TRU4]]</f>
        <v>5</v>
      </c>
      <c r="AH32">
        <f t="shared" si="18"/>
        <v>0.44444444444444442</v>
      </c>
      <c r="AI32">
        <f>[1]!survey_responses[[#This Row],[Tôi thấy Nhà nước đã giải thích rõ ràng, minh bạch về lý do và mục tiêu của việc sửa đổi thuế lần này. - HUMAN-TRU4]]</f>
        <v>5</v>
      </c>
      <c r="AJ32">
        <f t="shared" si="19"/>
        <v>0.44444444444444442</v>
      </c>
      <c r="AK32" s="32">
        <f t="shared" si="20"/>
        <v>0.61111111111111116</v>
      </c>
      <c r="AL32" s="32">
        <f t="shared" si="21"/>
        <v>0.66666666666666674</v>
      </c>
      <c r="AM32" s="7">
        <f t="shared" si="22"/>
        <v>0.68518518518518512</v>
      </c>
      <c r="AN32" s="7">
        <f t="shared" si="23"/>
        <v>0.77777777777777768</v>
      </c>
      <c r="AO32">
        <f>step3_validation[[#This Row],[AI_OUT1]]</f>
        <v>7</v>
      </c>
      <c r="AP32">
        <f t="shared" si="24"/>
        <v>0.66666666666666663</v>
      </c>
      <c r="AQ32">
        <f>[1]!survey_responses[[#This Row],[Sau khi xem xét các quyền lợi và nghĩa vụ, bạn có ủng hộ và tuân thủ chính sách mới hiện nay? - HUMAN-OUT1]]</f>
        <v>8</v>
      </c>
      <c r="AR32">
        <f t="shared" si="25"/>
        <v>0.77777777777777779</v>
      </c>
      <c r="AS32" s="32">
        <f t="shared" si="26"/>
        <v>1</v>
      </c>
    </row>
    <row r="33" spans="1:45" x14ac:dyDescent="0.45">
      <c r="A33">
        <f>step3_validation[[#This Row],[AI_ENF1]]</f>
        <v>7</v>
      </c>
      <c r="B33">
        <f t="shared" si="0"/>
        <v>0.66666666666666663</v>
      </c>
      <c r="C33">
        <f>[1]!survey_responses[[#This Row],[Tôi tin rằng với các quy định quản lý thuế hiện nay, hành vi gian lận hoặc trốn thuế sẽ dễ dàng bị phát hiện và xử lý nghiêm. - HUMAN-ENF1]]</f>
        <v>5</v>
      </c>
      <c r="D33">
        <f t="shared" si="1"/>
        <v>0.44444444444444442</v>
      </c>
      <c r="E33">
        <f>step3_validation[[#This Row],[AI_ENF2]]</f>
        <v>8</v>
      </c>
      <c r="F33">
        <f t="shared" si="2"/>
        <v>0.77777777777777779</v>
      </c>
      <c r="G33">
        <f>[1]!survey_responses[[#This Row],[Tôi tin rằng Nhà nước, cơ quan thuế có đủ khả năng và công nghệ để phát hiện, xử lý nghiêm các hành vi trốn thuế. - HUMAN-ENF2]]</f>
        <v>5</v>
      </c>
      <c r="H33">
        <f t="shared" si="3"/>
        <v>0.44444444444444442</v>
      </c>
      <c r="I33" s="32">
        <f t="shared" si="4"/>
        <v>0.72222222222222221</v>
      </c>
      <c r="J33" s="32">
        <f t="shared" si="5"/>
        <v>0.44444444444444442</v>
      </c>
      <c r="K33">
        <f>step3_validation[[#This Row],[AI_FAC1]]</f>
        <v>9</v>
      </c>
      <c r="L33">
        <f t="shared" si="6"/>
        <v>0.88888888888888884</v>
      </c>
      <c r="M33">
        <f>[1]!survey_responses[[#This Row],[Các thủ tục khai báo thuế VÀ/HOẶC quy trình làm việc với cơ quan thuế đơn giản, tiện lợi, nhanh chóng hơn so với trước đây. - HUMAN-FAC1]]</f>
        <v>5</v>
      </c>
      <c r="N33">
        <f t="shared" si="7"/>
        <v>0.44444444444444442</v>
      </c>
      <c r="O33">
        <f>step3_validation[[#This Row],[AI_FAC2]]</f>
        <v>8</v>
      </c>
      <c r="P33">
        <f t="shared" si="8"/>
        <v>0.77777777777777779</v>
      </c>
      <c r="Q33">
        <f>[1]!survey_responses[[#This Row],[So với trước đây, tôi thấy cách tính thuế và các bậc thuế trong phương án mới đơn giản, dễ hiểu và dễ thực hiện hơn. - HUMAN-FAC2]]</f>
        <v>5</v>
      </c>
      <c r="R33">
        <f t="shared" si="9"/>
        <v>0.44444444444444442</v>
      </c>
      <c r="S33" s="32">
        <f t="shared" si="10"/>
        <v>0.83333333333333326</v>
      </c>
      <c r="T33" s="32">
        <f t="shared" si="11"/>
        <v>0.44444444444444442</v>
      </c>
      <c r="U33">
        <f>step3_validation[[#This Row],[AI_TRU1]]</f>
        <v>7</v>
      </c>
      <c r="V33">
        <f t="shared" si="12"/>
        <v>0.66666666666666663</v>
      </c>
      <c r="W33">
        <f>[1]!survey_responses[[#This Row],[Tôi tin rằng Nhà nước, cơ quan thuế sẽ thực thi chính sách mới một cách khách quan, công tâm và đối xử bình đẳng với mọi người nộp thuế.  - HUMAN-TRU1]]</f>
        <v>5</v>
      </c>
      <c r="X33">
        <f t="shared" si="13"/>
        <v>0.44444444444444442</v>
      </c>
      <c r="Y33">
        <f>step3_validation[[#This Row],[AI_TRU2]]</f>
        <v>8</v>
      </c>
      <c r="Z33">
        <f t="shared" si="14"/>
        <v>0.77777777777777779</v>
      </c>
      <c r="AA33">
        <f>[1]!survey_responses[[#This Row],[Tôi thấy mức thuế tôi phải đóng theo phương án mới là công bằng (người thu nhập như tôi đóng mức này là hợp lý). - HUMAN-TRU2]]</f>
        <v>5</v>
      </c>
      <c r="AB33">
        <f t="shared" si="15"/>
        <v>0.44444444444444442</v>
      </c>
      <c r="AC33">
        <f>step3_validation[[#This Row],[AI_TRU3]]</f>
        <v>7</v>
      </c>
      <c r="AD33">
        <f t="shared" si="16"/>
        <v>0.66666666666666663</v>
      </c>
      <c r="AE33">
        <f>[1]!survey_responses[[#This Row],[Tôi tin tưởng số tiền thuế tôi đóng sẽ được Nhà nước sử dụng hiệu quả để cải thiện dịch vụ công (y tế, đường xá...). - HUMAN-TRU3]]</f>
        <v>5</v>
      </c>
      <c r="AF33">
        <f t="shared" si="17"/>
        <v>0.44444444444444442</v>
      </c>
      <c r="AG33">
        <f>step3_validation[[#This Row],[AI_TRU4]]</f>
        <v>6</v>
      </c>
      <c r="AH33">
        <f t="shared" si="18"/>
        <v>0.55555555555555558</v>
      </c>
      <c r="AI33">
        <f>[1]!survey_responses[[#This Row],[Tôi thấy Nhà nước đã giải thích rõ ràng, minh bạch về lý do và mục tiêu của việc sửa đổi thuế lần này. - HUMAN-TRU4]]</f>
        <v>5</v>
      </c>
      <c r="AJ33">
        <f t="shared" si="19"/>
        <v>0.44444444444444442</v>
      </c>
      <c r="AK33" s="32">
        <f t="shared" si="20"/>
        <v>0.66666666666666674</v>
      </c>
      <c r="AL33" s="32">
        <f t="shared" si="21"/>
        <v>0.44444444444444442</v>
      </c>
      <c r="AM33" s="7">
        <f t="shared" si="22"/>
        <v>0.74074074074074081</v>
      </c>
      <c r="AN33" s="7">
        <f t="shared" si="23"/>
        <v>0.44444444444444442</v>
      </c>
      <c r="AO33">
        <f>step3_validation[[#This Row],[AI_OUT1]]</f>
        <v>8</v>
      </c>
      <c r="AP33">
        <f t="shared" si="24"/>
        <v>0.77777777777777779</v>
      </c>
      <c r="AQ33">
        <f>[1]!survey_responses[[#This Row],[Sau khi xem xét các quyền lợi và nghĩa vụ, bạn có ủng hộ và tuân thủ chính sách mới hiện nay? - HUMAN-OUT1]]</f>
        <v>5</v>
      </c>
      <c r="AR33">
        <f t="shared" si="25"/>
        <v>0.44444444444444442</v>
      </c>
      <c r="AS33" s="32">
        <f t="shared" si="26"/>
        <v>3</v>
      </c>
    </row>
    <row r="34" spans="1:45" x14ac:dyDescent="0.45">
      <c r="A34">
        <f>step3_validation[[#This Row],[AI_ENF1]]</f>
        <v>7</v>
      </c>
      <c r="B34">
        <f t="shared" si="0"/>
        <v>0.66666666666666663</v>
      </c>
      <c r="C34">
        <f>[1]!survey_responses[[#This Row],[Tôi tin rằng với các quy định quản lý thuế hiện nay, hành vi gian lận hoặc trốn thuế sẽ dễ dàng bị phát hiện và xử lý nghiêm. - HUMAN-ENF1]]</f>
        <v>8</v>
      </c>
      <c r="D34">
        <f t="shared" si="1"/>
        <v>0.77777777777777779</v>
      </c>
      <c r="E34">
        <f>step3_validation[[#This Row],[AI_ENF2]]</f>
        <v>6</v>
      </c>
      <c r="F34">
        <f t="shared" si="2"/>
        <v>0.55555555555555558</v>
      </c>
      <c r="G34">
        <f>[1]!survey_responses[[#This Row],[Tôi tin rằng Nhà nước, cơ quan thuế có đủ khả năng và công nghệ để phát hiện, xử lý nghiêm các hành vi trốn thuế. - HUMAN-ENF2]]</f>
        <v>9</v>
      </c>
      <c r="H34">
        <f t="shared" si="3"/>
        <v>0.88888888888888884</v>
      </c>
      <c r="I34" s="32">
        <f t="shared" si="4"/>
        <v>0.61111111111111116</v>
      </c>
      <c r="J34" s="32">
        <f t="shared" si="5"/>
        <v>0.83333333333333326</v>
      </c>
      <c r="K34">
        <f>step3_validation[[#This Row],[AI_FAC1]]</f>
        <v>8</v>
      </c>
      <c r="L34">
        <f t="shared" si="6"/>
        <v>0.77777777777777779</v>
      </c>
      <c r="M34">
        <f>[1]!survey_responses[[#This Row],[Các thủ tục khai báo thuế VÀ/HOẶC quy trình làm việc với cơ quan thuế đơn giản, tiện lợi, nhanh chóng hơn so với trước đây. - HUMAN-FAC1]]</f>
        <v>7</v>
      </c>
      <c r="N34">
        <f t="shared" si="7"/>
        <v>0.66666666666666663</v>
      </c>
      <c r="O34">
        <f>step3_validation[[#This Row],[AI_FAC2]]</f>
        <v>9</v>
      </c>
      <c r="P34">
        <f t="shared" si="8"/>
        <v>0.88888888888888884</v>
      </c>
      <c r="Q34">
        <f>[1]!survey_responses[[#This Row],[So với trước đây, tôi thấy cách tính thuế và các bậc thuế trong phương án mới đơn giản, dễ hiểu và dễ thực hiện hơn. - HUMAN-FAC2]]</f>
        <v>8</v>
      </c>
      <c r="R34">
        <f t="shared" si="9"/>
        <v>0.77777777777777779</v>
      </c>
      <c r="S34" s="32">
        <f t="shared" si="10"/>
        <v>0.83333333333333326</v>
      </c>
      <c r="T34" s="32">
        <f t="shared" si="11"/>
        <v>0.72222222222222221</v>
      </c>
      <c r="U34">
        <f>step3_validation[[#This Row],[AI_TRU1]]</f>
        <v>6</v>
      </c>
      <c r="V34">
        <f t="shared" si="12"/>
        <v>0.55555555555555558</v>
      </c>
      <c r="W34">
        <f>[1]!survey_responses[[#This Row],[Tôi tin rằng Nhà nước, cơ quan thuế sẽ thực thi chính sách mới một cách khách quan, công tâm và đối xử bình đẳng với mọi người nộp thuế.  - HUMAN-TRU1]]</f>
        <v>8</v>
      </c>
      <c r="X34">
        <f t="shared" si="13"/>
        <v>0.77777777777777779</v>
      </c>
      <c r="Y34">
        <f>step3_validation[[#This Row],[AI_TRU2]]</f>
        <v>7</v>
      </c>
      <c r="Z34">
        <f t="shared" si="14"/>
        <v>0.66666666666666663</v>
      </c>
      <c r="AA34">
        <f>[1]!survey_responses[[#This Row],[Tôi thấy mức thuế tôi phải đóng theo phương án mới là công bằng (người thu nhập như tôi đóng mức này là hợp lý). - HUMAN-TRU2]]</f>
        <v>8</v>
      </c>
      <c r="AB34">
        <f t="shared" si="15"/>
        <v>0.77777777777777779</v>
      </c>
      <c r="AC34">
        <f>step3_validation[[#This Row],[AI_TRU3]]</f>
        <v>6</v>
      </c>
      <c r="AD34">
        <f t="shared" si="16"/>
        <v>0.55555555555555558</v>
      </c>
      <c r="AE34">
        <f>[1]!survey_responses[[#This Row],[Tôi tin tưởng số tiền thuế tôi đóng sẽ được Nhà nước sử dụng hiệu quả để cải thiện dịch vụ công (y tế, đường xá...). - HUMAN-TRU3]]</f>
        <v>3</v>
      </c>
      <c r="AF34">
        <f t="shared" si="17"/>
        <v>0.22222222222222221</v>
      </c>
      <c r="AG34">
        <f>step3_validation[[#This Row],[AI_TRU4]]</f>
        <v>7</v>
      </c>
      <c r="AH34">
        <f t="shared" si="18"/>
        <v>0.66666666666666663</v>
      </c>
      <c r="AI34">
        <f>[1]!survey_responses[[#This Row],[Tôi thấy Nhà nước đã giải thích rõ ràng, minh bạch về lý do và mục tiêu của việc sửa đổi thuế lần này. - HUMAN-TRU4]]</f>
        <v>6</v>
      </c>
      <c r="AJ34">
        <f t="shared" si="19"/>
        <v>0.55555555555555558</v>
      </c>
      <c r="AK34" s="32">
        <f t="shared" si="20"/>
        <v>0.61111111111111116</v>
      </c>
      <c r="AL34" s="32">
        <f t="shared" si="21"/>
        <v>0.58333333333333326</v>
      </c>
      <c r="AM34" s="7">
        <f t="shared" si="22"/>
        <v>0.68518518518518512</v>
      </c>
      <c r="AN34" s="7">
        <f t="shared" si="23"/>
        <v>0.7129629629629628</v>
      </c>
      <c r="AO34">
        <f>step3_validation[[#This Row],[AI_OUT1]]</f>
        <v>5</v>
      </c>
      <c r="AP34">
        <f t="shared" si="24"/>
        <v>0.44444444444444442</v>
      </c>
      <c r="AQ34">
        <f>[1]!survey_responses[[#This Row],[Sau khi xem xét các quyền lợi và nghĩa vụ, bạn có ủng hộ và tuân thủ chính sách mới hiện nay? - HUMAN-OUT1]]</f>
        <v>7</v>
      </c>
      <c r="AR34">
        <f t="shared" si="25"/>
        <v>0.66666666666666663</v>
      </c>
      <c r="AS34" s="32">
        <f t="shared" si="26"/>
        <v>2</v>
      </c>
    </row>
    <row r="35" spans="1:45" x14ac:dyDescent="0.45">
      <c r="A35">
        <f>step3_validation[[#This Row],[AI_ENF1]]</f>
        <v>8</v>
      </c>
      <c r="B35">
        <f t="shared" si="0"/>
        <v>0.77777777777777779</v>
      </c>
      <c r="C35">
        <f>[1]!survey_responses[[#This Row],[Tôi tin rằng với các quy định quản lý thuế hiện nay, hành vi gian lận hoặc trốn thuế sẽ dễ dàng bị phát hiện và xử lý nghiêm. - HUMAN-ENF1]]</f>
        <v>10</v>
      </c>
      <c r="D35">
        <f t="shared" si="1"/>
        <v>1</v>
      </c>
      <c r="E35">
        <f>step3_validation[[#This Row],[AI_ENF2]]</f>
        <v>9</v>
      </c>
      <c r="F35">
        <f t="shared" si="2"/>
        <v>0.88888888888888884</v>
      </c>
      <c r="G35">
        <f>[1]!survey_responses[[#This Row],[Tôi tin rằng Nhà nước, cơ quan thuế có đủ khả năng và công nghệ để phát hiện, xử lý nghiêm các hành vi trốn thuế. - HUMAN-ENF2]]</f>
        <v>10</v>
      </c>
      <c r="H35">
        <f t="shared" si="3"/>
        <v>1</v>
      </c>
      <c r="I35" s="32">
        <f t="shared" si="4"/>
        <v>0.83333333333333326</v>
      </c>
      <c r="J35" s="32">
        <f t="shared" si="5"/>
        <v>1</v>
      </c>
      <c r="K35">
        <f>step3_validation[[#This Row],[AI_FAC1]]</f>
        <v>7</v>
      </c>
      <c r="L35">
        <f t="shared" si="6"/>
        <v>0.66666666666666663</v>
      </c>
      <c r="M35">
        <f>[1]!survey_responses[[#This Row],[Các thủ tục khai báo thuế VÀ/HOẶC quy trình làm việc với cơ quan thuế đơn giản, tiện lợi, nhanh chóng hơn so với trước đây. - HUMAN-FAC1]]</f>
        <v>10</v>
      </c>
      <c r="N35">
        <f t="shared" si="7"/>
        <v>1</v>
      </c>
      <c r="O35">
        <f>step3_validation[[#This Row],[AI_FAC2]]</f>
        <v>8</v>
      </c>
      <c r="P35">
        <f t="shared" si="8"/>
        <v>0.77777777777777779</v>
      </c>
      <c r="Q35">
        <f>[1]!survey_responses[[#This Row],[So với trước đây, tôi thấy cách tính thuế và các bậc thuế trong phương án mới đơn giản, dễ hiểu và dễ thực hiện hơn. - HUMAN-FAC2]]</f>
        <v>10</v>
      </c>
      <c r="R35">
        <f t="shared" si="9"/>
        <v>1</v>
      </c>
      <c r="S35" s="32">
        <f t="shared" si="10"/>
        <v>0.72222222222222221</v>
      </c>
      <c r="T35" s="32">
        <f t="shared" si="11"/>
        <v>1</v>
      </c>
      <c r="U35">
        <f>step3_validation[[#This Row],[AI_TRU1]]</f>
        <v>8</v>
      </c>
      <c r="V35">
        <f t="shared" si="12"/>
        <v>0.77777777777777779</v>
      </c>
      <c r="W35">
        <f>[1]!survey_responses[[#This Row],[Tôi tin rằng Nhà nước, cơ quan thuế sẽ thực thi chính sách mới một cách khách quan, công tâm và đối xử bình đẳng với mọi người nộp thuế.  - HUMAN-TRU1]]</f>
        <v>10</v>
      </c>
      <c r="X35">
        <f t="shared" si="13"/>
        <v>1</v>
      </c>
      <c r="Y35">
        <f>step3_validation[[#This Row],[AI_TRU2]]</f>
        <v>9</v>
      </c>
      <c r="Z35">
        <f t="shared" si="14"/>
        <v>0.88888888888888884</v>
      </c>
      <c r="AA35">
        <f>[1]!survey_responses[[#This Row],[Tôi thấy mức thuế tôi phải đóng theo phương án mới là công bằng (người thu nhập như tôi đóng mức này là hợp lý). - HUMAN-TRU2]]</f>
        <v>10</v>
      </c>
      <c r="AB35">
        <f t="shared" si="15"/>
        <v>1</v>
      </c>
      <c r="AC35">
        <f>step3_validation[[#This Row],[AI_TRU3]]</f>
        <v>8</v>
      </c>
      <c r="AD35">
        <f t="shared" si="16"/>
        <v>0.77777777777777779</v>
      </c>
      <c r="AE35">
        <f>[1]!survey_responses[[#This Row],[Tôi tin tưởng số tiền thuế tôi đóng sẽ được Nhà nước sử dụng hiệu quả để cải thiện dịch vụ công (y tế, đường xá...). - HUMAN-TRU3]]</f>
        <v>10</v>
      </c>
      <c r="AF35">
        <f t="shared" si="17"/>
        <v>1</v>
      </c>
      <c r="AG35">
        <f>step3_validation[[#This Row],[AI_TRU4]]</f>
        <v>8</v>
      </c>
      <c r="AH35">
        <f t="shared" si="18"/>
        <v>0.77777777777777779</v>
      </c>
      <c r="AI35">
        <f>[1]!survey_responses[[#This Row],[Tôi thấy Nhà nước đã giải thích rõ ràng, minh bạch về lý do và mục tiêu của việc sửa đổi thuế lần này. - HUMAN-TRU4]]</f>
        <v>10</v>
      </c>
      <c r="AJ35">
        <f t="shared" si="19"/>
        <v>1</v>
      </c>
      <c r="AK35" s="32">
        <f t="shared" si="20"/>
        <v>0.80555555555555547</v>
      </c>
      <c r="AL35" s="32">
        <f t="shared" si="21"/>
        <v>1</v>
      </c>
      <c r="AM35" s="7">
        <f t="shared" si="22"/>
        <v>0.78703703703703687</v>
      </c>
      <c r="AN35" s="7">
        <f t="shared" si="23"/>
        <v>1</v>
      </c>
      <c r="AO35">
        <f>step3_validation[[#This Row],[AI_OUT1]]</f>
        <v>9</v>
      </c>
      <c r="AP35">
        <f t="shared" si="24"/>
        <v>0.88888888888888884</v>
      </c>
      <c r="AQ35">
        <f>[1]!survey_responses[[#This Row],[Sau khi xem xét các quyền lợi và nghĩa vụ, bạn có ủng hộ và tuân thủ chính sách mới hiện nay? - HUMAN-OUT1]]</f>
        <v>10</v>
      </c>
      <c r="AR35">
        <f t="shared" si="25"/>
        <v>1</v>
      </c>
      <c r="AS35" s="32">
        <f t="shared" si="26"/>
        <v>1</v>
      </c>
    </row>
    <row r="36" spans="1:45" x14ac:dyDescent="0.45">
      <c r="A36">
        <f>step3_validation[[#This Row],[AI_ENF1]]</f>
        <v>5</v>
      </c>
      <c r="B36">
        <f t="shared" si="0"/>
        <v>0.44444444444444442</v>
      </c>
      <c r="C36">
        <f>[1]!survey_responses[[#This Row],[Tôi tin rằng với các quy định quản lý thuế hiện nay, hành vi gian lận hoặc trốn thuế sẽ dễ dàng bị phát hiện và xử lý nghiêm. - HUMAN-ENF1]]</f>
        <v>10</v>
      </c>
      <c r="D36">
        <f t="shared" si="1"/>
        <v>1</v>
      </c>
      <c r="E36">
        <f>step3_validation[[#This Row],[AI_ENF2]]</f>
        <v>6</v>
      </c>
      <c r="F36">
        <f t="shared" si="2"/>
        <v>0.55555555555555558</v>
      </c>
      <c r="G36">
        <f>[1]!survey_responses[[#This Row],[Tôi tin rằng Nhà nước, cơ quan thuế có đủ khả năng và công nghệ để phát hiện, xử lý nghiêm các hành vi trốn thuế. - HUMAN-ENF2]]</f>
        <v>10</v>
      </c>
      <c r="H36">
        <f t="shared" si="3"/>
        <v>1</v>
      </c>
      <c r="I36" s="32">
        <f t="shared" si="4"/>
        <v>0.5</v>
      </c>
      <c r="J36" s="32">
        <f t="shared" si="5"/>
        <v>1</v>
      </c>
      <c r="K36">
        <f>step3_validation[[#This Row],[AI_FAC1]]</f>
        <v>8</v>
      </c>
      <c r="L36">
        <f t="shared" si="6"/>
        <v>0.77777777777777779</v>
      </c>
      <c r="M36">
        <f>[1]!survey_responses[[#This Row],[Các thủ tục khai báo thuế VÀ/HOẶC quy trình làm việc với cơ quan thuế đơn giản, tiện lợi, nhanh chóng hơn so với trước đây. - HUMAN-FAC1]]</f>
        <v>10</v>
      </c>
      <c r="N36">
        <f t="shared" si="7"/>
        <v>1</v>
      </c>
      <c r="O36">
        <f>step3_validation[[#This Row],[AI_FAC2]]</f>
        <v>7</v>
      </c>
      <c r="P36">
        <f t="shared" si="8"/>
        <v>0.66666666666666663</v>
      </c>
      <c r="Q36">
        <f>[1]!survey_responses[[#This Row],[So với trước đây, tôi thấy cách tính thuế và các bậc thuế trong phương án mới đơn giản, dễ hiểu và dễ thực hiện hơn. - HUMAN-FAC2]]</f>
        <v>10</v>
      </c>
      <c r="R36">
        <f t="shared" si="9"/>
        <v>1</v>
      </c>
      <c r="S36" s="32">
        <f t="shared" si="10"/>
        <v>0.72222222222222221</v>
      </c>
      <c r="T36" s="32">
        <f t="shared" si="11"/>
        <v>1</v>
      </c>
      <c r="U36">
        <f>step3_validation[[#This Row],[AI_TRU1]]</f>
        <v>8</v>
      </c>
      <c r="V36">
        <f t="shared" si="12"/>
        <v>0.77777777777777779</v>
      </c>
      <c r="W36">
        <f>[1]!survey_responses[[#This Row],[Tôi tin rằng Nhà nước, cơ quan thuế sẽ thực thi chính sách mới một cách khách quan, công tâm và đối xử bình đẳng với mọi người nộp thuế.  - HUMAN-TRU1]]</f>
        <v>10</v>
      </c>
      <c r="X36">
        <f t="shared" si="13"/>
        <v>1</v>
      </c>
      <c r="Y36">
        <f>step3_validation[[#This Row],[AI_TRU2]]</f>
        <v>6</v>
      </c>
      <c r="Z36">
        <f t="shared" si="14"/>
        <v>0.55555555555555558</v>
      </c>
      <c r="AA36">
        <f>[1]!survey_responses[[#This Row],[Tôi thấy mức thuế tôi phải đóng theo phương án mới là công bằng (người thu nhập như tôi đóng mức này là hợp lý). - HUMAN-TRU2]]</f>
        <v>10</v>
      </c>
      <c r="AB36">
        <f t="shared" si="15"/>
        <v>1</v>
      </c>
      <c r="AC36">
        <f>step3_validation[[#This Row],[AI_TRU3]]</f>
        <v>5</v>
      </c>
      <c r="AD36">
        <f t="shared" si="16"/>
        <v>0.44444444444444442</v>
      </c>
      <c r="AE36">
        <f>[1]!survey_responses[[#This Row],[Tôi tin tưởng số tiền thuế tôi đóng sẽ được Nhà nước sử dụng hiệu quả để cải thiện dịch vụ công (y tế, đường xá...). - HUMAN-TRU3]]</f>
        <v>10</v>
      </c>
      <c r="AF36">
        <f t="shared" si="17"/>
        <v>1</v>
      </c>
      <c r="AG36">
        <f>step3_validation[[#This Row],[AI_TRU4]]</f>
        <v>6</v>
      </c>
      <c r="AH36">
        <f t="shared" si="18"/>
        <v>0.55555555555555558</v>
      </c>
      <c r="AI36">
        <f>[1]!survey_responses[[#This Row],[Tôi thấy Nhà nước đã giải thích rõ ràng, minh bạch về lý do và mục tiêu của việc sửa đổi thuế lần này. - HUMAN-TRU4]]</f>
        <v>10</v>
      </c>
      <c r="AJ36">
        <f t="shared" si="19"/>
        <v>1</v>
      </c>
      <c r="AK36" s="32">
        <f t="shared" si="20"/>
        <v>0.58333333333333337</v>
      </c>
      <c r="AL36" s="32">
        <f t="shared" si="21"/>
        <v>1</v>
      </c>
      <c r="AM36" s="7">
        <f t="shared" si="22"/>
        <v>0.60185185185185197</v>
      </c>
      <c r="AN36" s="7">
        <f t="shared" si="23"/>
        <v>1</v>
      </c>
      <c r="AO36">
        <f>step3_validation[[#This Row],[AI_OUT1]]</f>
        <v>7</v>
      </c>
      <c r="AP36">
        <f t="shared" si="24"/>
        <v>0.66666666666666663</v>
      </c>
      <c r="AQ36">
        <f>[1]!survey_responses[[#This Row],[Sau khi xem xét các quyền lợi và nghĩa vụ, bạn có ủng hộ và tuân thủ chính sách mới hiện nay? - HUMAN-OUT1]]</f>
        <v>10</v>
      </c>
      <c r="AR36">
        <f t="shared" si="25"/>
        <v>1</v>
      </c>
      <c r="AS36" s="32">
        <f t="shared" si="26"/>
        <v>3</v>
      </c>
    </row>
    <row r="37" spans="1:45" x14ac:dyDescent="0.45">
      <c r="A37">
        <f>step3_validation[[#This Row],[AI_ENF1]]</f>
        <v>8</v>
      </c>
      <c r="B37">
        <f t="shared" si="0"/>
        <v>0.77777777777777779</v>
      </c>
      <c r="C37">
        <f>[1]!survey_responses[[#This Row],[Tôi tin rằng với các quy định quản lý thuế hiện nay, hành vi gian lận hoặc trốn thuế sẽ dễ dàng bị phát hiện và xử lý nghiêm. - HUMAN-ENF1]]</f>
        <v>10</v>
      </c>
      <c r="D37">
        <f t="shared" si="1"/>
        <v>1</v>
      </c>
      <c r="E37">
        <f>step3_validation[[#This Row],[AI_ENF2]]</f>
        <v>8</v>
      </c>
      <c r="F37">
        <f t="shared" si="2"/>
        <v>0.77777777777777779</v>
      </c>
      <c r="G37">
        <f>[1]!survey_responses[[#This Row],[Tôi tin rằng Nhà nước, cơ quan thuế có đủ khả năng và công nghệ để phát hiện, xử lý nghiêm các hành vi trốn thuế. - HUMAN-ENF2]]</f>
        <v>9</v>
      </c>
      <c r="H37">
        <f t="shared" si="3"/>
        <v>0.88888888888888884</v>
      </c>
      <c r="I37" s="32">
        <f t="shared" si="4"/>
        <v>0.77777777777777779</v>
      </c>
      <c r="J37" s="32">
        <f t="shared" si="5"/>
        <v>0.94444444444444442</v>
      </c>
      <c r="K37">
        <f>step3_validation[[#This Row],[AI_FAC1]]</f>
        <v>7</v>
      </c>
      <c r="L37">
        <f t="shared" si="6"/>
        <v>0.66666666666666663</v>
      </c>
      <c r="M37">
        <f>[1]!survey_responses[[#This Row],[Các thủ tục khai báo thuế VÀ/HOẶC quy trình làm việc với cơ quan thuế đơn giản, tiện lợi, nhanh chóng hơn so với trước đây. - HUMAN-FAC1]]</f>
        <v>10</v>
      </c>
      <c r="N37">
        <f t="shared" si="7"/>
        <v>1</v>
      </c>
      <c r="O37">
        <f>step3_validation[[#This Row],[AI_FAC2]]</f>
        <v>6</v>
      </c>
      <c r="P37">
        <f t="shared" si="8"/>
        <v>0.55555555555555558</v>
      </c>
      <c r="Q37">
        <f>[1]!survey_responses[[#This Row],[So với trước đây, tôi thấy cách tính thuế và các bậc thuế trong phương án mới đơn giản, dễ hiểu và dễ thực hiện hơn. - HUMAN-FAC2]]</f>
        <v>8</v>
      </c>
      <c r="R37">
        <f t="shared" si="9"/>
        <v>0.77777777777777779</v>
      </c>
      <c r="S37" s="32">
        <f t="shared" si="10"/>
        <v>0.61111111111111116</v>
      </c>
      <c r="T37" s="32">
        <f t="shared" si="11"/>
        <v>0.88888888888888884</v>
      </c>
      <c r="U37">
        <f>step3_validation[[#This Row],[AI_TRU1]]</f>
        <v>7</v>
      </c>
      <c r="V37">
        <f t="shared" si="12"/>
        <v>0.66666666666666663</v>
      </c>
      <c r="W37">
        <f>[1]!survey_responses[[#This Row],[Tôi tin rằng Nhà nước, cơ quan thuế sẽ thực thi chính sách mới một cách khách quan, công tâm và đối xử bình đẳng với mọi người nộp thuế.  - HUMAN-TRU1]]</f>
        <v>10</v>
      </c>
      <c r="X37">
        <f t="shared" si="13"/>
        <v>1</v>
      </c>
      <c r="Y37">
        <f>step3_validation[[#This Row],[AI_TRU2]]</f>
        <v>5</v>
      </c>
      <c r="Z37">
        <f t="shared" si="14"/>
        <v>0.44444444444444442</v>
      </c>
      <c r="AA37">
        <f>[1]!survey_responses[[#This Row],[Tôi thấy mức thuế tôi phải đóng theo phương án mới là công bằng (người thu nhập như tôi đóng mức này là hợp lý). - HUMAN-TRU2]]</f>
        <v>9</v>
      </c>
      <c r="AB37">
        <f t="shared" si="15"/>
        <v>0.88888888888888884</v>
      </c>
      <c r="AC37">
        <f>step3_validation[[#This Row],[AI_TRU3]]</f>
        <v>6</v>
      </c>
      <c r="AD37">
        <f t="shared" si="16"/>
        <v>0.55555555555555558</v>
      </c>
      <c r="AE37">
        <f>[1]!survey_responses[[#This Row],[Tôi tin tưởng số tiền thuế tôi đóng sẽ được Nhà nước sử dụng hiệu quả để cải thiện dịch vụ công (y tế, đường xá...). - HUMAN-TRU3]]</f>
        <v>10</v>
      </c>
      <c r="AF37">
        <f t="shared" si="17"/>
        <v>1</v>
      </c>
      <c r="AG37">
        <f>step3_validation[[#This Row],[AI_TRU4]]</f>
        <v>3</v>
      </c>
      <c r="AH37">
        <f t="shared" si="18"/>
        <v>0.22222222222222221</v>
      </c>
      <c r="AI37">
        <f>[1]!survey_responses[[#This Row],[Tôi thấy Nhà nước đã giải thích rõ ràng, minh bạch về lý do và mục tiêu của việc sửa đổi thuế lần này. - HUMAN-TRU4]]</f>
        <v>10</v>
      </c>
      <c r="AJ37">
        <f t="shared" si="19"/>
        <v>1</v>
      </c>
      <c r="AK37" s="32">
        <f t="shared" si="20"/>
        <v>0.47222222222222221</v>
      </c>
      <c r="AL37" s="32">
        <f t="shared" si="21"/>
        <v>0.97222222222222221</v>
      </c>
      <c r="AM37" s="7">
        <f t="shared" si="22"/>
        <v>0.62037037037037035</v>
      </c>
      <c r="AN37" s="7">
        <f t="shared" si="23"/>
        <v>0.93518518518518512</v>
      </c>
      <c r="AO37">
        <f>step3_validation[[#This Row],[AI_OUT1]]</f>
        <v>7</v>
      </c>
      <c r="AP37">
        <f t="shared" si="24"/>
        <v>0.66666666666666663</v>
      </c>
      <c r="AQ37">
        <f>[1]!survey_responses[[#This Row],[Sau khi xem xét các quyền lợi và nghĩa vụ, bạn có ủng hộ và tuân thủ chính sách mới hiện nay? - HUMAN-OUT1]]</f>
        <v>10</v>
      </c>
      <c r="AR37">
        <f t="shared" si="25"/>
        <v>1</v>
      </c>
      <c r="AS37" s="32">
        <f t="shared" si="26"/>
        <v>3</v>
      </c>
    </row>
    <row r="38" spans="1:45" x14ac:dyDescent="0.45">
      <c r="A38">
        <f>step3_validation[[#This Row],[AI_ENF1]]</f>
        <v>7</v>
      </c>
      <c r="B38">
        <f t="shared" si="0"/>
        <v>0.66666666666666663</v>
      </c>
      <c r="C38">
        <f>[1]!survey_responses[[#This Row],[Tôi tin rằng với các quy định quản lý thuế hiện nay, hành vi gian lận hoặc trốn thuế sẽ dễ dàng bị phát hiện và xử lý nghiêm. - HUMAN-ENF1]]</f>
        <v>10</v>
      </c>
      <c r="D38">
        <f t="shared" si="1"/>
        <v>1</v>
      </c>
      <c r="E38">
        <f>step3_validation[[#This Row],[AI_ENF2]]</f>
        <v>6</v>
      </c>
      <c r="F38">
        <f t="shared" si="2"/>
        <v>0.55555555555555558</v>
      </c>
      <c r="G38">
        <f>[1]!survey_responses[[#This Row],[Tôi tin rằng Nhà nước, cơ quan thuế có đủ khả năng và công nghệ để phát hiện, xử lý nghiêm các hành vi trốn thuế. - HUMAN-ENF2]]</f>
        <v>10</v>
      </c>
      <c r="H38">
        <f t="shared" si="3"/>
        <v>1</v>
      </c>
      <c r="I38" s="32">
        <f t="shared" si="4"/>
        <v>0.61111111111111116</v>
      </c>
      <c r="J38" s="32">
        <f t="shared" si="5"/>
        <v>1</v>
      </c>
      <c r="K38">
        <f>step3_validation[[#This Row],[AI_FAC1]]</f>
        <v>8</v>
      </c>
      <c r="L38">
        <f t="shared" si="6"/>
        <v>0.77777777777777779</v>
      </c>
      <c r="M38">
        <f>[1]!survey_responses[[#This Row],[Các thủ tục khai báo thuế VÀ/HOẶC quy trình làm việc với cơ quan thuế đơn giản, tiện lợi, nhanh chóng hơn so với trước đây. - HUMAN-FAC1]]</f>
        <v>10</v>
      </c>
      <c r="N38">
        <f t="shared" si="7"/>
        <v>1</v>
      </c>
      <c r="O38">
        <f>step3_validation[[#This Row],[AI_FAC2]]</f>
        <v>7</v>
      </c>
      <c r="P38">
        <f t="shared" si="8"/>
        <v>0.66666666666666663</v>
      </c>
      <c r="Q38">
        <f>[1]!survey_responses[[#This Row],[So với trước đây, tôi thấy cách tính thuế và các bậc thuế trong phương án mới đơn giản, dễ hiểu và dễ thực hiện hơn. - HUMAN-FAC2]]</f>
        <v>10</v>
      </c>
      <c r="R38">
        <f t="shared" si="9"/>
        <v>1</v>
      </c>
      <c r="S38" s="32">
        <f t="shared" si="10"/>
        <v>0.72222222222222221</v>
      </c>
      <c r="T38" s="32">
        <f t="shared" si="11"/>
        <v>1</v>
      </c>
      <c r="U38">
        <f>step3_validation[[#This Row],[AI_TRU1]]</f>
        <v>6</v>
      </c>
      <c r="V38">
        <f t="shared" si="12"/>
        <v>0.55555555555555558</v>
      </c>
      <c r="W38">
        <f>[1]!survey_responses[[#This Row],[Tôi tin rằng Nhà nước, cơ quan thuế sẽ thực thi chính sách mới một cách khách quan, công tâm và đối xử bình đẳng với mọi người nộp thuế.  - HUMAN-TRU1]]</f>
        <v>9</v>
      </c>
      <c r="X38">
        <f t="shared" si="13"/>
        <v>0.88888888888888884</v>
      </c>
      <c r="Y38">
        <f>step3_validation[[#This Row],[AI_TRU2]]</f>
        <v>8</v>
      </c>
      <c r="Z38">
        <f t="shared" si="14"/>
        <v>0.77777777777777779</v>
      </c>
      <c r="AA38">
        <f>[1]!survey_responses[[#This Row],[Tôi thấy mức thuế tôi phải đóng theo phương án mới là công bằng (người thu nhập như tôi đóng mức này là hợp lý). - HUMAN-TRU2]]</f>
        <v>9</v>
      </c>
      <c r="AB38">
        <f t="shared" si="15"/>
        <v>0.88888888888888884</v>
      </c>
      <c r="AC38">
        <f>step3_validation[[#This Row],[AI_TRU3]]</f>
        <v>5</v>
      </c>
      <c r="AD38">
        <f t="shared" si="16"/>
        <v>0.44444444444444442</v>
      </c>
      <c r="AE38">
        <f>[1]!survey_responses[[#This Row],[Tôi tin tưởng số tiền thuế tôi đóng sẽ được Nhà nước sử dụng hiệu quả để cải thiện dịch vụ công (y tế, đường xá...). - HUMAN-TRU3]]</f>
        <v>9</v>
      </c>
      <c r="AF38">
        <f t="shared" si="17"/>
        <v>0.88888888888888884</v>
      </c>
      <c r="AG38">
        <f>step3_validation[[#This Row],[AI_TRU4]]</f>
        <v>6</v>
      </c>
      <c r="AH38">
        <f t="shared" si="18"/>
        <v>0.55555555555555558</v>
      </c>
      <c r="AI38">
        <f>[1]!survey_responses[[#This Row],[Tôi thấy Nhà nước đã giải thích rõ ràng, minh bạch về lý do và mục tiêu của việc sửa đổi thuế lần này. - HUMAN-TRU4]]</f>
        <v>9</v>
      </c>
      <c r="AJ38">
        <f t="shared" si="19"/>
        <v>0.88888888888888884</v>
      </c>
      <c r="AK38" s="32">
        <f t="shared" si="20"/>
        <v>0.58333333333333337</v>
      </c>
      <c r="AL38" s="32">
        <f t="shared" si="21"/>
        <v>0.88888888888888884</v>
      </c>
      <c r="AM38" s="7">
        <f t="shared" si="22"/>
        <v>0.63888888888888895</v>
      </c>
      <c r="AN38" s="7">
        <f t="shared" si="23"/>
        <v>0.96296296296296291</v>
      </c>
      <c r="AO38">
        <f>step3_validation[[#This Row],[AI_OUT1]]</f>
        <v>7</v>
      </c>
      <c r="AP38">
        <f t="shared" si="24"/>
        <v>0.66666666666666663</v>
      </c>
      <c r="AQ38">
        <f>[1]!survey_responses[[#This Row],[Sau khi xem xét các quyền lợi và nghĩa vụ, bạn có ủng hộ và tuân thủ chính sách mới hiện nay? - HUMAN-OUT1]]</f>
        <v>8</v>
      </c>
      <c r="AR38">
        <f t="shared" si="25"/>
        <v>0.77777777777777779</v>
      </c>
      <c r="AS38" s="32">
        <f t="shared" si="26"/>
        <v>1</v>
      </c>
    </row>
    <row r="39" spans="1:45" x14ac:dyDescent="0.45">
      <c r="A39">
        <f>step3_validation[[#This Row],[AI_ENF1]]</f>
        <v>4</v>
      </c>
      <c r="B39">
        <f t="shared" si="0"/>
        <v>0.33333333333333331</v>
      </c>
      <c r="C39">
        <f>[1]!survey_responses[[#This Row],[Tôi tin rằng với các quy định quản lý thuế hiện nay, hành vi gian lận hoặc trốn thuế sẽ dễ dàng bị phát hiện và xử lý nghiêm. - HUMAN-ENF1]]</f>
        <v>8</v>
      </c>
      <c r="D39">
        <f t="shared" si="1"/>
        <v>0.77777777777777779</v>
      </c>
      <c r="E39">
        <f>step3_validation[[#This Row],[AI_ENF2]]</f>
        <v>5</v>
      </c>
      <c r="F39">
        <f t="shared" si="2"/>
        <v>0.44444444444444442</v>
      </c>
      <c r="G39">
        <f>[1]!survey_responses[[#This Row],[Tôi tin rằng Nhà nước, cơ quan thuế có đủ khả năng và công nghệ để phát hiện, xử lý nghiêm các hành vi trốn thuế. - HUMAN-ENF2]]</f>
        <v>8</v>
      </c>
      <c r="H39">
        <f t="shared" si="3"/>
        <v>0.77777777777777779</v>
      </c>
      <c r="I39" s="32">
        <f t="shared" si="4"/>
        <v>0.38888888888888884</v>
      </c>
      <c r="J39" s="32">
        <f t="shared" si="5"/>
        <v>0.77777777777777779</v>
      </c>
      <c r="K39">
        <f>step3_validation[[#This Row],[AI_FAC1]]</f>
        <v>8</v>
      </c>
      <c r="L39">
        <f t="shared" si="6"/>
        <v>0.77777777777777779</v>
      </c>
      <c r="M39">
        <f>[1]!survey_responses[[#This Row],[Các thủ tục khai báo thuế VÀ/HOẶC quy trình làm việc với cơ quan thuế đơn giản, tiện lợi, nhanh chóng hơn so với trước đây. - HUMAN-FAC1]]</f>
        <v>8</v>
      </c>
      <c r="N39">
        <f t="shared" si="7"/>
        <v>0.77777777777777779</v>
      </c>
      <c r="O39">
        <f>step3_validation[[#This Row],[AI_FAC2]]</f>
        <v>7</v>
      </c>
      <c r="P39">
        <f t="shared" si="8"/>
        <v>0.66666666666666663</v>
      </c>
      <c r="Q39">
        <f>[1]!survey_responses[[#This Row],[So với trước đây, tôi thấy cách tính thuế và các bậc thuế trong phương án mới đơn giản, dễ hiểu và dễ thực hiện hơn. - HUMAN-FAC2]]</f>
        <v>8</v>
      </c>
      <c r="R39">
        <f t="shared" si="9"/>
        <v>0.77777777777777779</v>
      </c>
      <c r="S39" s="32">
        <f t="shared" si="10"/>
        <v>0.72222222222222221</v>
      </c>
      <c r="T39" s="32">
        <f t="shared" si="11"/>
        <v>0.77777777777777779</v>
      </c>
      <c r="U39">
        <f>step3_validation[[#This Row],[AI_TRU1]]</f>
        <v>6</v>
      </c>
      <c r="V39">
        <f t="shared" si="12"/>
        <v>0.55555555555555558</v>
      </c>
      <c r="W39">
        <f>[1]!survey_responses[[#This Row],[Tôi tin rằng Nhà nước, cơ quan thuế sẽ thực thi chính sách mới một cách khách quan, công tâm và đối xử bình đẳng với mọi người nộp thuế.  - HUMAN-TRU1]]</f>
        <v>8</v>
      </c>
      <c r="X39">
        <f t="shared" si="13"/>
        <v>0.77777777777777779</v>
      </c>
      <c r="Y39">
        <f>step3_validation[[#This Row],[AI_TRU2]]</f>
        <v>5</v>
      </c>
      <c r="Z39">
        <f t="shared" si="14"/>
        <v>0.44444444444444442</v>
      </c>
      <c r="AA39">
        <f>[1]!survey_responses[[#This Row],[Tôi thấy mức thuế tôi phải đóng theo phương án mới là công bằng (người thu nhập như tôi đóng mức này là hợp lý). - HUMAN-TRU2]]</f>
        <v>8</v>
      </c>
      <c r="AB39">
        <f t="shared" si="15"/>
        <v>0.77777777777777779</v>
      </c>
      <c r="AC39">
        <f>step3_validation[[#This Row],[AI_TRU3]]</f>
        <v>4</v>
      </c>
      <c r="AD39">
        <f t="shared" si="16"/>
        <v>0.33333333333333331</v>
      </c>
      <c r="AE39">
        <f>[1]!survey_responses[[#This Row],[Tôi tin tưởng số tiền thuế tôi đóng sẽ được Nhà nước sử dụng hiệu quả để cải thiện dịch vụ công (y tế, đường xá...). - HUMAN-TRU3]]</f>
        <v>8</v>
      </c>
      <c r="AF39">
        <f t="shared" si="17"/>
        <v>0.77777777777777779</v>
      </c>
      <c r="AG39">
        <f>step3_validation[[#This Row],[AI_TRU4]]</f>
        <v>5</v>
      </c>
      <c r="AH39">
        <f t="shared" si="18"/>
        <v>0.44444444444444442</v>
      </c>
      <c r="AI39">
        <f>[1]!survey_responses[[#This Row],[Tôi thấy Nhà nước đã giải thích rõ ràng, minh bạch về lý do và mục tiêu của việc sửa đổi thuế lần này. - HUMAN-TRU4]]</f>
        <v>8</v>
      </c>
      <c r="AJ39">
        <f t="shared" si="19"/>
        <v>0.77777777777777779</v>
      </c>
      <c r="AK39" s="32">
        <f t="shared" si="20"/>
        <v>0.44444444444444442</v>
      </c>
      <c r="AL39" s="32">
        <f t="shared" si="21"/>
        <v>0.77777777777777779</v>
      </c>
      <c r="AM39" s="7">
        <f t="shared" si="22"/>
        <v>0.51851851851851849</v>
      </c>
      <c r="AN39" s="7">
        <f t="shared" si="23"/>
        <v>0.77777777777777779</v>
      </c>
      <c r="AO39">
        <f>step3_validation[[#This Row],[AI_OUT1]]</f>
        <v>6</v>
      </c>
      <c r="AP39">
        <f t="shared" si="24"/>
        <v>0.55555555555555558</v>
      </c>
      <c r="AQ39">
        <f>[1]!survey_responses[[#This Row],[Sau khi xem xét các quyền lợi và nghĩa vụ, bạn có ủng hộ và tuân thủ chính sách mới hiện nay? - HUMAN-OUT1]]</f>
        <v>8</v>
      </c>
      <c r="AR39">
        <f t="shared" si="25"/>
        <v>0.77777777777777779</v>
      </c>
      <c r="AS39" s="32">
        <f t="shared" si="26"/>
        <v>2</v>
      </c>
    </row>
    <row r="40" spans="1:45" x14ac:dyDescent="0.45">
      <c r="A40">
        <f>step3_validation[[#This Row],[AI_ENF1]]</f>
        <v>7</v>
      </c>
      <c r="B40">
        <f t="shared" si="0"/>
        <v>0.66666666666666663</v>
      </c>
      <c r="C40">
        <f>[1]!survey_responses[[#This Row],[Tôi tin rằng với các quy định quản lý thuế hiện nay, hành vi gian lận hoặc trốn thuế sẽ dễ dàng bị phát hiện và xử lý nghiêm. - HUMAN-ENF1]]</f>
        <v>10</v>
      </c>
      <c r="D40">
        <f t="shared" si="1"/>
        <v>1</v>
      </c>
      <c r="E40">
        <f>step3_validation[[#This Row],[AI_ENF2]]</f>
        <v>6</v>
      </c>
      <c r="F40">
        <f t="shared" si="2"/>
        <v>0.55555555555555558</v>
      </c>
      <c r="G40">
        <f>[1]!survey_responses[[#This Row],[Tôi tin rằng Nhà nước, cơ quan thuế có đủ khả năng và công nghệ để phát hiện, xử lý nghiêm các hành vi trốn thuế. - HUMAN-ENF2]]</f>
        <v>10</v>
      </c>
      <c r="H40">
        <f t="shared" si="3"/>
        <v>1</v>
      </c>
      <c r="I40" s="32">
        <f t="shared" si="4"/>
        <v>0.61111111111111116</v>
      </c>
      <c r="J40" s="32">
        <f t="shared" si="5"/>
        <v>1</v>
      </c>
      <c r="K40">
        <f>step3_validation[[#This Row],[AI_FAC1]]</f>
        <v>8</v>
      </c>
      <c r="L40">
        <f t="shared" si="6"/>
        <v>0.77777777777777779</v>
      </c>
      <c r="M40">
        <f>[1]!survey_responses[[#This Row],[Các thủ tục khai báo thuế VÀ/HOẶC quy trình làm việc với cơ quan thuế đơn giản, tiện lợi, nhanh chóng hơn so với trước đây. - HUMAN-FAC1]]</f>
        <v>10</v>
      </c>
      <c r="N40">
        <f t="shared" si="7"/>
        <v>1</v>
      </c>
      <c r="O40">
        <f>step3_validation[[#This Row],[AI_FAC2]]</f>
        <v>9</v>
      </c>
      <c r="P40">
        <f t="shared" si="8"/>
        <v>0.88888888888888884</v>
      </c>
      <c r="Q40">
        <f>[1]!survey_responses[[#This Row],[So với trước đây, tôi thấy cách tính thuế và các bậc thuế trong phương án mới đơn giản, dễ hiểu và dễ thực hiện hơn. - HUMAN-FAC2]]</f>
        <v>10</v>
      </c>
      <c r="R40">
        <f t="shared" si="9"/>
        <v>1</v>
      </c>
      <c r="S40" s="32">
        <f t="shared" si="10"/>
        <v>0.83333333333333326</v>
      </c>
      <c r="T40" s="32">
        <f t="shared" si="11"/>
        <v>1</v>
      </c>
      <c r="U40">
        <f>step3_validation[[#This Row],[AI_TRU1]]</f>
        <v>7</v>
      </c>
      <c r="V40">
        <f t="shared" si="12"/>
        <v>0.66666666666666663</v>
      </c>
      <c r="W40">
        <f>[1]!survey_responses[[#This Row],[Tôi tin rằng Nhà nước, cơ quan thuế sẽ thực thi chính sách mới một cách khách quan, công tâm và đối xử bình đẳng với mọi người nộp thuế.  - HUMAN-TRU1]]</f>
        <v>10</v>
      </c>
      <c r="X40">
        <f t="shared" si="13"/>
        <v>1</v>
      </c>
      <c r="Y40">
        <f>step3_validation[[#This Row],[AI_TRU2]]</f>
        <v>6</v>
      </c>
      <c r="Z40">
        <f t="shared" si="14"/>
        <v>0.55555555555555558</v>
      </c>
      <c r="AA40">
        <f>[1]!survey_responses[[#This Row],[Tôi thấy mức thuế tôi phải đóng theo phương án mới là công bằng (người thu nhập như tôi đóng mức này là hợp lý). - HUMAN-TRU2]]</f>
        <v>10</v>
      </c>
      <c r="AB40">
        <f t="shared" si="15"/>
        <v>1</v>
      </c>
      <c r="AC40">
        <f>step3_validation[[#This Row],[AI_TRU3]]</f>
        <v>7</v>
      </c>
      <c r="AD40">
        <f t="shared" si="16"/>
        <v>0.66666666666666663</v>
      </c>
      <c r="AE40">
        <f>[1]!survey_responses[[#This Row],[Tôi tin tưởng số tiền thuế tôi đóng sẽ được Nhà nước sử dụng hiệu quả để cải thiện dịch vụ công (y tế, đường xá...). - HUMAN-TRU3]]</f>
        <v>10</v>
      </c>
      <c r="AF40">
        <f t="shared" si="17"/>
        <v>1</v>
      </c>
      <c r="AG40">
        <f>step3_validation[[#This Row],[AI_TRU4]]</f>
        <v>5</v>
      </c>
      <c r="AH40">
        <f t="shared" si="18"/>
        <v>0.44444444444444442</v>
      </c>
      <c r="AI40">
        <f>[1]!survey_responses[[#This Row],[Tôi thấy Nhà nước đã giải thích rõ ràng, minh bạch về lý do và mục tiêu của việc sửa đổi thuế lần này. - HUMAN-TRU4]]</f>
        <v>10</v>
      </c>
      <c r="AJ40">
        <f t="shared" si="19"/>
        <v>1</v>
      </c>
      <c r="AK40" s="32">
        <f t="shared" si="20"/>
        <v>0.58333333333333326</v>
      </c>
      <c r="AL40" s="32">
        <f t="shared" si="21"/>
        <v>1</v>
      </c>
      <c r="AM40" s="7">
        <f t="shared" si="22"/>
        <v>0.67592592592592593</v>
      </c>
      <c r="AN40" s="7">
        <f t="shared" si="23"/>
        <v>1</v>
      </c>
      <c r="AO40">
        <f>step3_validation[[#This Row],[AI_OUT1]]</f>
        <v>8</v>
      </c>
      <c r="AP40">
        <f t="shared" si="24"/>
        <v>0.77777777777777779</v>
      </c>
      <c r="AQ40">
        <f>[1]!survey_responses[[#This Row],[Sau khi xem xét các quyền lợi và nghĩa vụ, bạn có ủng hộ và tuân thủ chính sách mới hiện nay? - HUMAN-OUT1]]</f>
        <v>10</v>
      </c>
      <c r="AR40">
        <f t="shared" si="25"/>
        <v>1</v>
      </c>
      <c r="AS40" s="32">
        <f t="shared" si="26"/>
        <v>2</v>
      </c>
    </row>
    <row r="41" spans="1:45" x14ac:dyDescent="0.45">
      <c r="A41">
        <f>step3_validation[[#This Row],[AI_ENF1]]</f>
        <v>8</v>
      </c>
      <c r="B41">
        <f t="shared" si="0"/>
        <v>0.77777777777777779</v>
      </c>
      <c r="C41">
        <f>[1]!survey_responses[[#This Row],[Tôi tin rằng với các quy định quản lý thuế hiện nay, hành vi gian lận hoặc trốn thuế sẽ dễ dàng bị phát hiện và xử lý nghiêm. - HUMAN-ENF1]]</f>
        <v>8</v>
      </c>
      <c r="D41">
        <f t="shared" si="1"/>
        <v>0.77777777777777779</v>
      </c>
      <c r="E41">
        <f>step3_validation[[#This Row],[AI_ENF2]]</f>
        <v>9</v>
      </c>
      <c r="F41">
        <f t="shared" si="2"/>
        <v>0.88888888888888884</v>
      </c>
      <c r="G41">
        <f>[1]!survey_responses[[#This Row],[Tôi tin rằng Nhà nước, cơ quan thuế có đủ khả năng và công nghệ để phát hiện, xử lý nghiêm các hành vi trốn thuế. - HUMAN-ENF2]]</f>
        <v>8</v>
      </c>
      <c r="H41">
        <f t="shared" si="3"/>
        <v>0.77777777777777779</v>
      </c>
      <c r="I41" s="32">
        <f t="shared" si="4"/>
        <v>0.83333333333333326</v>
      </c>
      <c r="J41" s="32">
        <f t="shared" si="5"/>
        <v>0.77777777777777779</v>
      </c>
      <c r="K41">
        <f>step3_validation[[#This Row],[AI_FAC1]]</f>
        <v>8</v>
      </c>
      <c r="L41">
        <f t="shared" si="6"/>
        <v>0.77777777777777779</v>
      </c>
      <c r="M41">
        <f>[1]!survey_responses[[#This Row],[Các thủ tục khai báo thuế VÀ/HOẶC quy trình làm việc với cơ quan thuế đơn giản, tiện lợi, nhanh chóng hơn so với trước đây. - HUMAN-FAC1]]</f>
        <v>6</v>
      </c>
      <c r="N41">
        <f t="shared" si="7"/>
        <v>0.55555555555555558</v>
      </c>
      <c r="O41">
        <f>step3_validation[[#This Row],[AI_FAC2]]</f>
        <v>7</v>
      </c>
      <c r="P41">
        <f t="shared" si="8"/>
        <v>0.66666666666666663</v>
      </c>
      <c r="Q41">
        <f>[1]!survey_responses[[#This Row],[So với trước đây, tôi thấy cách tính thuế và các bậc thuế trong phương án mới đơn giản, dễ hiểu và dễ thực hiện hơn. - HUMAN-FAC2]]</f>
        <v>8</v>
      </c>
      <c r="R41">
        <f t="shared" si="9"/>
        <v>0.77777777777777779</v>
      </c>
      <c r="S41" s="32">
        <f t="shared" si="10"/>
        <v>0.72222222222222221</v>
      </c>
      <c r="T41" s="32">
        <f t="shared" si="11"/>
        <v>0.66666666666666674</v>
      </c>
      <c r="U41">
        <f>step3_validation[[#This Row],[AI_TRU1]]</f>
        <v>8</v>
      </c>
      <c r="V41">
        <f t="shared" si="12"/>
        <v>0.77777777777777779</v>
      </c>
      <c r="W41">
        <f>[1]!survey_responses[[#This Row],[Tôi tin rằng Nhà nước, cơ quan thuế sẽ thực thi chính sách mới một cách khách quan, công tâm và đối xử bình đẳng với mọi người nộp thuế.  - HUMAN-TRU1]]</f>
        <v>7</v>
      </c>
      <c r="X41">
        <f t="shared" si="13"/>
        <v>0.66666666666666663</v>
      </c>
      <c r="Y41">
        <f>step3_validation[[#This Row],[AI_TRU2]]</f>
        <v>7</v>
      </c>
      <c r="Z41">
        <f t="shared" si="14"/>
        <v>0.66666666666666663</v>
      </c>
      <c r="AA41">
        <f>[1]!survey_responses[[#This Row],[Tôi thấy mức thuế tôi phải đóng theo phương án mới là công bằng (người thu nhập như tôi đóng mức này là hợp lý). - HUMAN-TRU2]]</f>
        <v>8</v>
      </c>
      <c r="AB41">
        <f t="shared" si="15"/>
        <v>0.77777777777777779</v>
      </c>
      <c r="AC41">
        <f>step3_validation[[#This Row],[AI_TRU3]]</f>
        <v>8</v>
      </c>
      <c r="AD41">
        <f t="shared" si="16"/>
        <v>0.77777777777777779</v>
      </c>
      <c r="AE41">
        <f>[1]!survey_responses[[#This Row],[Tôi tin tưởng số tiền thuế tôi đóng sẽ được Nhà nước sử dụng hiệu quả để cải thiện dịch vụ công (y tế, đường xá...). - HUMAN-TRU3]]</f>
        <v>5</v>
      </c>
      <c r="AF41">
        <f t="shared" si="17"/>
        <v>0.44444444444444442</v>
      </c>
      <c r="AG41">
        <f>step3_validation[[#This Row],[AI_TRU4]]</f>
        <v>6</v>
      </c>
      <c r="AH41">
        <f t="shared" si="18"/>
        <v>0.55555555555555558</v>
      </c>
      <c r="AI41">
        <f>[1]!survey_responses[[#This Row],[Tôi thấy Nhà nước đã giải thích rõ ràng, minh bạch về lý do và mục tiêu của việc sửa đổi thuế lần này. - HUMAN-TRU4]]</f>
        <v>6</v>
      </c>
      <c r="AJ41">
        <f t="shared" si="19"/>
        <v>0.55555555555555558</v>
      </c>
      <c r="AK41" s="32">
        <f t="shared" si="20"/>
        <v>0.69444444444444442</v>
      </c>
      <c r="AL41" s="32">
        <f t="shared" si="21"/>
        <v>0.61111111111111116</v>
      </c>
      <c r="AM41" s="7">
        <f t="shared" si="22"/>
        <v>0.75</v>
      </c>
      <c r="AN41" s="7">
        <f t="shared" si="23"/>
        <v>0.68518518518518523</v>
      </c>
      <c r="AO41">
        <f>step3_validation[[#This Row],[AI_OUT1]]</f>
        <v>7</v>
      </c>
      <c r="AP41">
        <f t="shared" si="24"/>
        <v>0.66666666666666663</v>
      </c>
      <c r="AQ41">
        <f>[1]!survey_responses[[#This Row],[Sau khi xem xét các quyền lợi và nghĩa vụ, bạn có ủng hộ và tuân thủ chính sách mới hiện nay? - HUMAN-OUT1]]</f>
        <v>7</v>
      </c>
      <c r="AR41">
        <f t="shared" si="25"/>
        <v>0.66666666666666663</v>
      </c>
      <c r="AS41" s="32">
        <f t="shared" si="26"/>
        <v>0</v>
      </c>
    </row>
    <row r="42" spans="1:45" x14ac:dyDescent="0.45">
      <c r="A42">
        <f>step3_validation[[#This Row],[AI_ENF1]]</f>
        <v>7</v>
      </c>
      <c r="B42">
        <f t="shared" si="0"/>
        <v>0.66666666666666663</v>
      </c>
      <c r="C42">
        <f>[1]!survey_responses[[#This Row],[Tôi tin rằng với các quy định quản lý thuế hiện nay, hành vi gian lận hoặc trốn thuế sẽ dễ dàng bị phát hiện và xử lý nghiêm. - HUMAN-ENF1]]</f>
        <v>9</v>
      </c>
      <c r="D42">
        <f t="shared" si="1"/>
        <v>0.88888888888888884</v>
      </c>
      <c r="E42">
        <f>step3_validation[[#This Row],[AI_ENF2]]</f>
        <v>6</v>
      </c>
      <c r="F42">
        <f t="shared" si="2"/>
        <v>0.55555555555555558</v>
      </c>
      <c r="G42">
        <f>[1]!survey_responses[[#This Row],[Tôi tin rằng Nhà nước, cơ quan thuế có đủ khả năng và công nghệ để phát hiện, xử lý nghiêm các hành vi trốn thuế. - HUMAN-ENF2]]</f>
        <v>8</v>
      </c>
      <c r="H42">
        <f t="shared" si="3"/>
        <v>0.77777777777777779</v>
      </c>
      <c r="I42" s="32">
        <f t="shared" si="4"/>
        <v>0.61111111111111116</v>
      </c>
      <c r="J42" s="32">
        <f t="shared" si="5"/>
        <v>0.83333333333333326</v>
      </c>
      <c r="K42">
        <f>step3_validation[[#This Row],[AI_FAC1]]</f>
        <v>8</v>
      </c>
      <c r="L42">
        <f t="shared" si="6"/>
        <v>0.77777777777777779</v>
      </c>
      <c r="M42">
        <f>[1]!survey_responses[[#This Row],[Các thủ tục khai báo thuế VÀ/HOẶC quy trình làm việc với cơ quan thuế đơn giản, tiện lợi, nhanh chóng hơn so với trước đây. - HUMAN-FAC1]]</f>
        <v>7</v>
      </c>
      <c r="N42">
        <f t="shared" si="7"/>
        <v>0.66666666666666663</v>
      </c>
      <c r="O42">
        <f>step3_validation[[#This Row],[AI_FAC2]]</f>
        <v>9</v>
      </c>
      <c r="P42">
        <f t="shared" si="8"/>
        <v>0.88888888888888884</v>
      </c>
      <c r="Q42">
        <f>[1]!survey_responses[[#This Row],[So với trước đây, tôi thấy cách tính thuế và các bậc thuế trong phương án mới đơn giản, dễ hiểu và dễ thực hiện hơn. - HUMAN-FAC2]]</f>
        <v>8</v>
      </c>
      <c r="R42">
        <f t="shared" si="9"/>
        <v>0.77777777777777779</v>
      </c>
      <c r="S42" s="32">
        <f t="shared" si="10"/>
        <v>0.83333333333333326</v>
      </c>
      <c r="T42" s="32">
        <f t="shared" si="11"/>
        <v>0.72222222222222221</v>
      </c>
      <c r="U42">
        <f>step3_validation[[#This Row],[AI_TRU1]]</f>
        <v>8</v>
      </c>
      <c r="V42">
        <f t="shared" si="12"/>
        <v>0.77777777777777779</v>
      </c>
      <c r="W42">
        <f>[1]!survey_responses[[#This Row],[Tôi tin rằng Nhà nước, cơ quan thuế sẽ thực thi chính sách mới một cách khách quan, công tâm và đối xử bình đẳng với mọi người nộp thuế.  - HUMAN-TRU1]]</f>
        <v>7</v>
      </c>
      <c r="X42">
        <f t="shared" si="13"/>
        <v>0.66666666666666663</v>
      </c>
      <c r="Y42">
        <f>step3_validation[[#This Row],[AI_TRU2]]</f>
        <v>7</v>
      </c>
      <c r="Z42">
        <f t="shared" si="14"/>
        <v>0.66666666666666663</v>
      </c>
      <c r="AA42">
        <f>[1]!survey_responses[[#This Row],[Tôi thấy mức thuế tôi phải đóng theo phương án mới là công bằng (người thu nhập như tôi đóng mức này là hợp lý). - HUMAN-TRU2]]</f>
        <v>4</v>
      </c>
      <c r="AB42">
        <f t="shared" si="15"/>
        <v>0.33333333333333331</v>
      </c>
      <c r="AC42">
        <f>step3_validation[[#This Row],[AI_TRU3]]</f>
        <v>8</v>
      </c>
      <c r="AD42">
        <f t="shared" si="16"/>
        <v>0.77777777777777779</v>
      </c>
      <c r="AE42">
        <f>[1]!survey_responses[[#This Row],[Tôi tin tưởng số tiền thuế tôi đóng sẽ được Nhà nước sử dụng hiệu quả để cải thiện dịch vụ công (y tế, đường xá...). - HUMAN-TRU3]]</f>
        <v>2</v>
      </c>
      <c r="AF42">
        <f t="shared" si="17"/>
        <v>0.1111111111111111</v>
      </c>
      <c r="AG42">
        <f>step3_validation[[#This Row],[AI_TRU4]]</f>
        <v>6</v>
      </c>
      <c r="AH42">
        <f t="shared" si="18"/>
        <v>0.55555555555555558</v>
      </c>
      <c r="AI42">
        <f>[1]!survey_responses[[#This Row],[Tôi thấy Nhà nước đã giải thích rõ ràng, minh bạch về lý do và mục tiêu của việc sửa đổi thuế lần này. - HUMAN-TRU4]]</f>
        <v>8</v>
      </c>
      <c r="AJ42">
        <f t="shared" si="19"/>
        <v>0.77777777777777779</v>
      </c>
      <c r="AK42" s="32">
        <f t="shared" si="20"/>
        <v>0.69444444444444442</v>
      </c>
      <c r="AL42" s="32">
        <f t="shared" si="21"/>
        <v>0.47222222222222221</v>
      </c>
      <c r="AM42" s="7">
        <f t="shared" si="22"/>
        <v>0.71296296296296291</v>
      </c>
      <c r="AN42" s="7">
        <f t="shared" si="23"/>
        <v>0.67592592592592593</v>
      </c>
      <c r="AO42">
        <f>step3_validation[[#This Row],[AI_OUT1]]</f>
        <v>8</v>
      </c>
      <c r="AP42">
        <f t="shared" si="24"/>
        <v>0.77777777777777779</v>
      </c>
      <c r="AQ42">
        <f>[1]!survey_responses[[#This Row],[Sau khi xem xét các quyền lợi và nghĩa vụ, bạn có ủng hộ và tuân thủ chính sách mới hiện nay? - HUMAN-OUT1]]</f>
        <v>8</v>
      </c>
      <c r="AR42">
        <f t="shared" si="25"/>
        <v>0.77777777777777779</v>
      </c>
      <c r="AS42" s="32">
        <f t="shared" si="26"/>
        <v>0</v>
      </c>
    </row>
    <row r="43" spans="1:45" x14ac:dyDescent="0.45">
      <c r="A43">
        <f>step3_validation[[#This Row],[AI_ENF1]]</f>
        <v>6</v>
      </c>
      <c r="B43">
        <f t="shared" si="0"/>
        <v>0.55555555555555558</v>
      </c>
      <c r="C43">
        <f>[1]!survey_responses[[#This Row],[Tôi tin rằng với các quy định quản lý thuế hiện nay, hành vi gian lận hoặc trốn thuế sẽ dễ dàng bị phát hiện và xử lý nghiêm. - HUMAN-ENF1]]</f>
        <v>10</v>
      </c>
      <c r="D43">
        <f t="shared" si="1"/>
        <v>1</v>
      </c>
      <c r="E43">
        <f>step3_validation[[#This Row],[AI_ENF2]]</f>
        <v>7</v>
      </c>
      <c r="F43">
        <f t="shared" si="2"/>
        <v>0.66666666666666663</v>
      </c>
      <c r="G43">
        <f>[1]!survey_responses[[#This Row],[Tôi tin rằng Nhà nước, cơ quan thuế có đủ khả năng và công nghệ để phát hiện, xử lý nghiêm các hành vi trốn thuế. - HUMAN-ENF2]]</f>
        <v>10</v>
      </c>
      <c r="H43">
        <f t="shared" si="3"/>
        <v>1</v>
      </c>
      <c r="I43" s="32">
        <f t="shared" si="4"/>
        <v>0.61111111111111116</v>
      </c>
      <c r="J43" s="32">
        <f t="shared" si="5"/>
        <v>1</v>
      </c>
      <c r="K43">
        <f>step3_validation[[#This Row],[AI_FAC1]]</f>
        <v>5</v>
      </c>
      <c r="L43">
        <f t="shared" si="6"/>
        <v>0.44444444444444442</v>
      </c>
      <c r="M43">
        <f>[1]!survey_responses[[#This Row],[Các thủ tục khai báo thuế VÀ/HOẶC quy trình làm việc với cơ quan thuế đơn giản, tiện lợi, nhanh chóng hơn so với trước đây. - HUMAN-FAC1]]</f>
        <v>9</v>
      </c>
      <c r="N43">
        <f t="shared" si="7"/>
        <v>0.88888888888888884</v>
      </c>
      <c r="O43">
        <f>step3_validation[[#This Row],[AI_FAC2]]</f>
        <v>7</v>
      </c>
      <c r="P43">
        <f t="shared" si="8"/>
        <v>0.66666666666666663</v>
      </c>
      <c r="Q43">
        <f>[1]!survey_responses[[#This Row],[So với trước đây, tôi thấy cách tính thuế và các bậc thuế trong phương án mới đơn giản, dễ hiểu và dễ thực hiện hơn. - HUMAN-FAC2]]</f>
        <v>8</v>
      </c>
      <c r="R43">
        <f t="shared" si="9"/>
        <v>0.77777777777777779</v>
      </c>
      <c r="S43" s="32">
        <f t="shared" si="10"/>
        <v>0.55555555555555558</v>
      </c>
      <c r="T43" s="32">
        <f t="shared" si="11"/>
        <v>0.83333333333333326</v>
      </c>
      <c r="U43">
        <f>step3_validation[[#This Row],[AI_TRU1]]</f>
        <v>8</v>
      </c>
      <c r="V43">
        <f t="shared" si="12"/>
        <v>0.77777777777777779</v>
      </c>
      <c r="W43">
        <f>[1]!survey_responses[[#This Row],[Tôi tin rằng Nhà nước, cơ quan thuế sẽ thực thi chính sách mới một cách khách quan, công tâm và đối xử bình đẳng với mọi người nộp thuế.  - HUMAN-TRU1]]</f>
        <v>7</v>
      </c>
      <c r="X43">
        <f t="shared" si="13"/>
        <v>0.66666666666666663</v>
      </c>
      <c r="Y43">
        <f>step3_validation[[#This Row],[AI_TRU2]]</f>
        <v>6</v>
      </c>
      <c r="Z43">
        <f t="shared" si="14"/>
        <v>0.55555555555555558</v>
      </c>
      <c r="AA43">
        <f>[1]!survey_responses[[#This Row],[Tôi thấy mức thuế tôi phải đóng theo phương án mới là công bằng (người thu nhập như tôi đóng mức này là hợp lý). - HUMAN-TRU2]]</f>
        <v>9</v>
      </c>
      <c r="AB43">
        <f t="shared" si="15"/>
        <v>0.88888888888888884</v>
      </c>
      <c r="AC43">
        <f>step3_validation[[#This Row],[AI_TRU3]]</f>
        <v>7</v>
      </c>
      <c r="AD43">
        <f t="shared" si="16"/>
        <v>0.66666666666666663</v>
      </c>
      <c r="AE43">
        <f>[1]!survey_responses[[#This Row],[Tôi tin tưởng số tiền thuế tôi đóng sẽ được Nhà nước sử dụng hiệu quả để cải thiện dịch vụ công (y tế, đường xá...). - HUMAN-TRU3]]</f>
        <v>9</v>
      </c>
      <c r="AF43">
        <f t="shared" si="17"/>
        <v>0.88888888888888884</v>
      </c>
      <c r="AG43">
        <f>step3_validation[[#This Row],[AI_TRU4]]</f>
        <v>5</v>
      </c>
      <c r="AH43">
        <f t="shared" si="18"/>
        <v>0.44444444444444442</v>
      </c>
      <c r="AI43">
        <f>[1]!survey_responses[[#This Row],[Tôi thấy Nhà nước đã giải thích rõ ràng, minh bạch về lý do và mục tiêu của việc sửa đổi thuế lần này. - HUMAN-TRU4]]</f>
        <v>8</v>
      </c>
      <c r="AJ43">
        <f t="shared" si="19"/>
        <v>0.77777777777777779</v>
      </c>
      <c r="AK43" s="32">
        <f t="shared" si="20"/>
        <v>0.61111111111111116</v>
      </c>
      <c r="AL43" s="32">
        <f t="shared" si="21"/>
        <v>0.80555555555555547</v>
      </c>
      <c r="AM43" s="7">
        <f t="shared" si="22"/>
        <v>0.59259259259259267</v>
      </c>
      <c r="AN43" s="7">
        <f t="shared" si="23"/>
        <v>0.87962962962962965</v>
      </c>
      <c r="AO43">
        <f>step3_validation[[#This Row],[AI_OUT1]]</f>
        <v>7</v>
      </c>
      <c r="AP43">
        <f t="shared" si="24"/>
        <v>0.66666666666666663</v>
      </c>
      <c r="AQ43">
        <f>[1]!survey_responses[[#This Row],[Sau khi xem xét các quyền lợi và nghĩa vụ, bạn có ủng hộ và tuân thủ chính sách mới hiện nay? - HUMAN-OUT1]]</f>
        <v>8</v>
      </c>
      <c r="AR43">
        <f t="shared" si="25"/>
        <v>0.77777777777777779</v>
      </c>
      <c r="AS43" s="32">
        <f t="shared" si="26"/>
        <v>1</v>
      </c>
    </row>
    <row r="44" spans="1:45" x14ac:dyDescent="0.45">
      <c r="A44">
        <f>step3_validation[[#This Row],[AI_ENF1]]</f>
        <v>7</v>
      </c>
      <c r="B44">
        <f t="shared" si="0"/>
        <v>0.66666666666666663</v>
      </c>
      <c r="C44">
        <f>[1]!survey_responses[[#This Row],[Tôi tin rằng với các quy định quản lý thuế hiện nay, hành vi gian lận hoặc trốn thuế sẽ dễ dàng bị phát hiện và xử lý nghiêm. - HUMAN-ENF1]]</f>
        <v>6</v>
      </c>
      <c r="D44">
        <f t="shared" si="1"/>
        <v>0.55555555555555558</v>
      </c>
      <c r="E44">
        <f>step3_validation[[#This Row],[AI_ENF2]]</f>
        <v>8</v>
      </c>
      <c r="F44">
        <f t="shared" si="2"/>
        <v>0.77777777777777779</v>
      </c>
      <c r="G44">
        <f>[1]!survey_responses[[#This Row],[Tôi tin rằng Nhà nước, cơ quan thuế có đủ khả năng và công nghệ để phát hiện, xử lý nghiêm các hành vi trốn thuế. - HUMAN-ENF2]]</f>
        <v>6</v>
      </c>
      <c r="H44">
        <f t="shared" si="3"/>
        <v>0.55555555555555558</v>
      </c>
      <c r="I44" s="32">
        <f t="shared" si="4"/>
        <v>0.72222222222222221</v>
      </c>
      <c r="J44" s="32">
        <f t="shared" si="5"/>
        <v>0.55555555555555558</v>
      </c>
      <c r="K44">
        <f>step3_validation[[#This Row],[AI_FAC1]]</f>
        <v>9</v>
      </c>
      <c r="L44">
        <f t="shared" si="6"/>
        <v>0.88888888888888884</v>
      </c>
      <c r="M44">
        <f>[1]!survey_responses[[#This Row],[Các thủ tục khai báo thuế VÀ/HOẶC quy trình làm việc với cơ quan thuế đơn giản, tiện lợi, nhanh chóng hơn so với trước đây. - HUMAN-FAC1]]</f>
        <v>8</v>
      </c>
      <c r="N44">
        <f t="shared" si="7"/>
        <v>0.77777777777777779</v>
      </c>
      <c r="O44">
        <f>step3_validation[[#This Row],[AI_FAC2]]</f>
        <v>8</v>
      </c>
      <c r="P44">
        <f t="shared" si="8"/>
        <v>0.77777777777777779</v>
      </c>
      <c r="Q44">
        <f>[1]!survey_responses[[#This Row],[So với trước đây, tôi thấy cách tính thuế và các bậc thuế trong phương án mới đơn giản, dễ hiểu và dễ thực hiện hơn. - HUMAN-FAC2]]</f>
        <v>10</v>
      </c>
      <c r="R44">
        <f t="shared" si="9"/>
        <v>1</v>
      </c>
      <c r="S44" s="32">
        <f t="shared" si="10"/>
        <v>0.83333333333333326</v>
      </c>
      <c r="T44" s="32">
        <f t="shared" si="11"/>
        <v>0.88888888888888884</v>
      </c>
      <c r="U44">
        <f>step3_validation[[#This Row],[AI_TRU1]]</f>
        <v>7</v>
      </c>
      <c r="V44">
        <f t="shared" si="12"/>
        <v>0.66666666666666663</v>
      </c>
      <c r="W44">
        <f>[1]!survey_responses[[#This Row],[Tôi tin rằng Nhà nước, cơ quan thuế sẽ thực thi chính sách mới một cách khách quan, công tâm và đối xử bình đẳng với mọi người nộp thuế.  - HUMAN-TRU1]]</f>
        <v>9</v>
      </c>
      <c r="X44">
        <f t="shared" si="13"/>
        <v>0.88888888888888884</v>
      </c>
      <c r="Y44">
        <f>step3_validation[[#This Row],[AI_TRU2]]</f>
        <v>8</v>
      </c>
      <c r="Z44">
        <f t="shared" si="14"/>
        <v>0.77777777777777779</v>
      </c>
      <c r="AA44">
        <f>[1]!survey_responses[[#This Row],[Tôi thấy mức thuế tôi phải đóng theo phương án mới là công bằng (người thu nhập như tôi đóng mức này là hợp lý). - HUMAN-TRU2]]</f>
        <v>1</v>
      </c>
      <c r="AB44">
        <f t="shared" si="15"/>
        <v>0</v>
      </c>
      <c r="AC44">
        <f>step3_validation[[#This Row],[AI_TRU3]]</f>
        <v>7</v>
      </c>
      <c r="AD44">
        <f t="shared" si="16"/>
        <v>0.66666666666666663</v>
      </c>
      <c r="AE44">
        <f>[1]!survey_responses[[#This Row],[Tôi tin tưởng số tiền thuế tôi đóng sẽ được Nhà nước sử dụng hiệu quả để cải thiện dịch vụ công (y tế, đường xá...). - HUMAN-TRU3]]</f>
        <v>7</v>
      </c>
      <c r="AF44">
        <f t="shared" si="17"/>
        <v>0.66666666666666663</v>
      </c>
      <c r="AG44">
        <f>step3_validation[[#This Row],[AI_TRU4]]</f>
        <v>5</v>
      </c>
      <c r="AH44">
        <f t="shared" si="18"/>
        <v>0.44444444444444442</v>
      </c>
      <c r="AI44">
        <f>[1]!survey_responses[[#This Row],[Tôi thấy Nhà nước đã giải thích rõ ràng, minh bạch về lý do và mục tiêu của việc sửa đổi thuế lần này. - HUMAN-TRU4]]</f>
        <v>7</v>
      </c>
      <c r="AJ44">
        <f t="shared" si="19"/>
        <v>0.66666666666666663</v>
      </c>
      <c r="AK44" s="32">
        <f t="shared" si="20"/>
        <v>0.63888888888888884</v>
      </c>
      <c r="AL44" s="32">
        <f t="shared" si="21"/>
        <v>0.55555555555555547</v>
      </c>
      <c r="AM44" s="7">
        <f t="shared" si="22"/>
        <v>0.7314814814814814</v>
      </c>
      <c r="AN44" s="7">
        <f t="shared" si="23"/>
        <v>0.66666666666666663</v>
      </c>
      <c r="AO44">
        <f>step3_validation[[#This Row],[AI_OUT1]]</f>
        <v>8</v>
      </c>
      <c r="AP44">
        <f t="shared" si="24"/>
        <v>0.77777777777777779</v>
      </c>
      <c r="AQ44">
        <f>[1]!survey_responses[[#This Row],[Sau khi xem xét các quyền lợi và nghĩa vụ, bạn có ủng hộ và tuân thủ chính sách mới hiện nay? - HUMAN-OUT1]]</f>
        <v>8</v>
      </c>
      <c r="AR44">
        <f t="shared" si="25"/>
        <v>0.77777777777777779</v>
      </c>
      <c r="AS44" s="32">
        <f t="shared" si="26"/>
        <v>0</v>
      </c>
    </row>
    <row r="45" spans="1:45" x14ac:dyDescent="0.45">
      <c r="A45">
        <f>step3_validation[[#This Row],[AI_ENF1]]</f>
        <v>6</v>
      </c>
      <c r="B45">
        <f t="shared" si="0"/>
        <v>0.55555555555555558</v>
      </c>
      <c r="C45">
        <f>[1]!survey_responses[[#This Row],[Tôi tin rằng với các quy định quản lý thuế hiện nay, hành vi gian lận hoặc trốn thuế sẽ dễ dàng bị phát hiện và xử lý nghiêm. - HUMAN-ENF1]]</f>
        <v>8</v>
      </c>
      <c r="D45">
        <f t="shared" si="1"/>
        <v>0.77777777777777779</v>
      </c>
      <c r="E45">
        <f>step3_validation[[#This Row],[AI_ENF2]]</f>
        <v>7</v>
      </c>
      <c r="F45">
        <f t="shared" si="2"/>
        <v>0.66666666666666663</v>
      </c>
      <c r="G45">
        <f>[1]!survey_responses[[#This Row],[Tôi tin rằng Nhà nước, cơ quan thuế có đủ khả năng và công nghệ để phát hiện, xử lý nghiêm các hành vi trốn thuế. - HUMAN-ENF2]]</f>
        <v>8</v>
      </c>
      <c r="H45">
        <f t="shared" si="3"/>
        <v>0.77777777777777779</v>
      </c>
      <c r="I45" s="32">
        <f t="shared" si="4"/>
        <v>0.61111111111111116</v>
      </c>
      <c r="J45" s="32">
        <f t="shared" si="5"/>
        <v>0.77777777777777779</v>
      </c>
      <c r="K45">
        <f>step3_validation[[#This Row],[AI_FAC1]]</f>
        <v>4</v>
      </c>
      <c r="L45">
        <f t="shared" si="6"/>
        <v>0.33333333333333331</v>
      </c>
      <c r="M45">
        <f>[1]!survey_responses[[#This Row],[Các thủ tục khai báo thuế VÀ/HOẶC quy trình làm việc với cơ quan thuế đơn giản, tiện lợi, nhanh chóng hơn so với trước đây. - HUMAN-FAC1]]</f>
        <v>8</v>
      </c>
      <c r="N45">
        <f t="shared" si="7"/>
        <v>0.77777777777777779</v>
      </c>
      <c r="O45">
        <f>step3_validation[[#This Row],[AI_FAC2]]</f>
        <v>5</v>
      </c>
      <c r="P45">
        <f t="shared" si="8"/>
        <v>0.44444444444444442</v>
      </c>
      <c r="Q45">
        <f>[1]!survey_responses[[#This Row],[So với trước đây, tôi thấy cách tính thuế và các bậc thuế trong phương án mới đơn giản, dễ hiểu và dễ thực hiện hơn. - HUMAN-FAC2]]</f>
        <v>8</v>
      </c>
      <c r="R45">
        <f t="shared" si="9"/>
        <v>0.77777777777777779</v>
      </c>
      <c r="S45" s="32">
        <f t="shared" si="10"/>
        <v>0.38888888888888884</v>
      </c>
      <c r="T45" s="32">
        <f t="shared" si="11"/>
        <v>0.77777777777777779</v>
      </c>
      <c r="U45">
        <f>step3_validation[[#This Row],[AI_TRU1]]</f>
        <v>8</v>
      </c>
      <c r="V45">
        <f t="shared" si="12"/>
        <v>0.77777777777777779</v>
      </c>
      <c r="W45">
        <f>[1]!survey_responses[[#This Row],[Tôi tin rằng Nhà nước, cơ quan thuế sẽ thực thi chính sách mới một cách khách quan, công tâm và đối xử bình đẳng với mọi người nộp thuế.  - HUMAN-TRU1]]</f>
        <v>8</v>
      </c>
      <c r="X45">
        <f t="shared" si="13"/>
        <v>0.77777777777777779</v>
      </c>
      <c r="Y45">
        <f>step3_validation[[#This Row],[AI_TRU2]]</f>
        <v>7</v>
      </c>
      <c r="Z45">
        <f t="shared" si="14"/>
        <v>0.66666666666666663</v>
      </c>
      <c r="AA45">
        <f>[1]!survey_responses[[#This Row],[Tôi thấy mức thuế tôi phải đóng theo phương án mới là công bằng (người thu nhập như tôi đóng mức này là hợp lý). - HUMAN-TRU2]]</f>
        <v>8</v>
      </c>
      <c r="AB45">
        <f t="shared" si="15"/>
        <v>0.77777777777777779</v>
      </c>
      <c r="AC45">
        <f>step3_validation[[#This Row],[AI_TRU3]]</f>
        <v>6</v>
      </c>
      <c r="AD45">
        <f t="shared" si="16"/>
        <v>0.55555555555555558</v>
      </c>
      <c r="AE45">
        <f>[1]!survey_responses[[#This Row],[Tôi tin tưởng số tiền thuế tôi đóng sẽ được Nhà nước sử dụng hiệu quả để cải thiện dịch vụ công (y tế, đường xá...). - HUMAN-TRU3]]</f>
        <v>9</v>
      </c>
      <c r="AF45">
        <f t="shared" si="17"/>
        <v>0.88888888888888884</v>
      </c>
      <c r="AG45">
        <f>step3_validation[[#This Row],[AI_TRU4]]</f>
        <v>7</v>
      </c>
      <c r="AH45">
        <f t="shared" si="18"/>
        <v>0.66666666666666663</v>
      </c>
      <c r="AI45">
        <f>[1]!survey_responses[[#This Row],[Tôi thấy Nhà nước đã giải thích rõ ràng, minh bạch về lý do và mục tiêu của việc sửa đổi thuế lần này. - HUMAN-TRU4]]</f>
        <v>5</v>
      </c>
      <c r="AJ45">
        <f t="shared" si="19"/>
        <v>0.44444444444444442</v>
      </c>
      <c r="AK45" s="32">
        <f t="shared" si="20"/>
        <v>0.66666666666666663</v>
      </c>
      <c r="AL45" s="32">
        <f t="shared" si="21"/>
        <v>0.72222222222222232</v>
      </c>
      <c r="AM45" s="7">
        <f t="shared" si="22"/>
        <v>0.55555555555555547</v>
      </c>
      <c r="AN45" s="7">
        <f t="shared" si="23"/>
        <v>0.75925925925925919</v>
      </c>
      <c r="AO45">
        <f>step3_validation[[#This Row],[AI_OUT1]]</f>
        <v>6</v>
      </c>
      <c r="AP45">
        <f t="shared" si="24"/>
        <v>0.55555555555555558</v>
      </c>
      <c r="AQ45">
        <f>[1]!survey_responses[[#This Row],[Sau khi xem xét các quyền lợi và nghĩa vụ, bạn có ủng hộ và tuân thủ chính sách mới hiện nay? - HUMAN-OUT1]]</f>
        <v>9</v>
      </c>
      <c r="AR45">
        <f t="shared" si="25"/>
        <v>0.88888888888888884</v>
      </c>
      <c r="AS45" s="32">
        <f t="shared" si="26"/>
        <v>3</v>
      </c>
    </row>
    <row r="46" spans="1:45" x14ac:dyDescent="0.45">
      <c r="A46">
        <f>step3_validation[[#This Row],[AI_ENF1]]</f>
        <v>7</v>
      </c>
      <c r="B46">
        <f t="shared" si="0"/>
        <v>0.66666666666666663</v>
      </c>
      <c r="C46">
        <f>[1]!survey_responses[[#This Row],[Tôi tin rằng với các quy định quản lý thuế hiện nay, hành vi gian lận hoặc trốn thuế sẽ dễ dàng bị phát hiện và xử lý nghiêm. - HUMAN-ENF1]]</f>
        <v>10</v>
      </c>
      <c r="D46">
        <f t="shared" si="1"/>
        <v>1</v>
      </c>
      <c r="E46">
        <f>step3_validation[[#This Row],[AI_ENF2]]</f>
        <v>6</v>
      </c>
      <c r="F46">
        <f t="shared" si="2"/>
        <v>0.55555555555555558</v>
      </c>
      <c r="G46">
        <f>[1]!survey_responses[[#This Row],[Tôi tin rằng Nhà nước, cơ quan thuế có đủ khả năng và công nghệ để phát hiện, xử lý nghiêm các hành vi trốn thuế. - HUMAN-ENF2]]</f>
        <v>10</v>
      </c>
      <c r="H46">
        <f t="shared" si="3"/>
        <v>1</v>
      </c>
      <c r="I46" s="32">
        <f t="shared" si="4"/>
        <v>0.61111111111111116</v>
      </c>
      <c r="J46" s="32">
        <f t="shared" si="5"/>
        <v>1</v>
      </c>
      <c r="K46">
        <f>step3_validation[[#This Row],[AI_FAC1]]</f>
        <v>8</v>
      </c>
      <c r="L46">
        <f t="shared" si="6"/>
        <v>0.77777777777777779</v>
      </c>
      <c r="M46">
        <f>[1]!survey_responses[[#This Row],[Các thủ tục khai báo thuế VÀ/HOẶC quy trình làm việc với cơ quan thuế đơn giản, tiện lợi, nhanh chóng hơn so với trước đây. - HUMAN-FAC1]]</f>
        <v>10</v>
      </c>
      <c r="N46">
        <f t="shared" si="7"/>
        <v>1</v>
      </c>
      <c r="O46">
        <f>step3_validation[[#This Row],[AI_FAC2]]</f>
        <v>9</v>
      </c>
      <c r="P46">
        <f t="shared" si="8"/>
        <v>0.88888888888888884</v>
      </c>
      <c r="Q46">
        <f>[1]!survey_responses[[#This Row],[So với trước đây, tôi thấy cách tính thuế và các bậc thuế trong phương án mới đơn giản, dễ hiểu và dễ thực hiện hơn. - HUMAN-FAC2]]</f>
        <v>9</v>
      </c>
      <c r="R46">
        <f t="shared" si="9"/>
        <v>0.88888888888888884</v>
      </c>
      <c r="S46" s="32">
        <f t="shared" si="10"/>
        <v>0.83333333333333326</v>
      </c>
      <c r="T46" s="32">
        <f t="shared" si="11"/>
        <v>0.94444444444444442</v>
      </c>
      <c r="U46">
        <f>step3_validation[[#This Row],[AI_TRU1]]</f>
        <v>7</v>
      </c>
      <c r="V46">
        <f t="shared" si="12"/>
        <v>0.66666666666666663</v>
      </c>
      <c r="W46">
        <f>[1]!survey_responses[[#This Row],[Tôi tin rằng Nhà nước, cơ quan thuế sẽ thực thi chính sách mới một cách khách quan, công tâm và đối xử bình đẳng với mọi người nộp thuế.  - HUMAN-TRU1]]</f>
        <v>10</v>
      </c>
      <c r="X46">
        <f t="shared" si="13"/>
        <v>1</v>
      </c>
      <c r="Y46">
        <f>step3_validation[[#This Row],[AI_TRU2]]</f>
        <v>8</v>
      </c>
      <c r="Z46">
        <f t="shared" si="14"/>
        <v>0.77777777777777779</v>
      </c>
      <c r="AA46">
        <f>[1]!survey_responses[[#This Row],[Tôi thấy mức thuế tôi phải đóng theo phương án mới là công bằng (người thu nhập như tôi đóng mức này là hợp lý). - HUMAN-TRU2]]</f>
        <v>10</v>
      </c>
      <c r="AB46">
        <f t="shared" si="15"/>
        <v>1</v>
      </c>
      <c r="AC46">
        <f>step3_validation[[#This Row],[AI_TRU3]]</f>
        <v>7</v>
      </c>
      <c r="AD46">
        <f t="shared" si="16"/>
        <v>0.66666666666666663</v>
      </c>
      <c r="AE46">
        <f>[1]!survey_responses[[#This Row],[Tôi tin tưởng số tiền thuế tôi đóng sẽ được Nhà nước sử dụng hiệu quả để cải thiện dịch vụ công (y tế, đường xá...). - HUMAN-TRU3]]</f>
        <v>10</v>
      </c>
      <c r="AF46">
        <f t="shared" si="17"/>
        <v>1</v>
      </c>
      <c r="AG46">
        <f>step3_validation[[#This Row],[AI_TRU4]]</f>
        <v>6</v>
      </c>
      <c r="AH46">
        <f t="shared" si="18"/>
        <v>0.55555555555555558</v>
      </c>
      <c r="AI46">
        <f>[1]!survey_responses[[#This Row],[Tôi thấy Nhà nước đã giải thích rõ ràng, minh bạch về lý do và mục tiêu của việc sửa đổi thuế lần này. - HUMAN-TRU4]]</f>
        <v>10</v>
      </c>
      <c r="AJ46">
        <f t="shared" si="19"/>
        <v>1</v>
      </c>
      <c r="AK46" s="32">
        <f t="shared" si="20"/>
        <v>0.66666666666666674</v>
      </c>
      <c r="AL46" s="32">
        <f t="shared" si="21"/>
        <v>1</v>
      </c>
      <c r="AM46" s="7">
        <f t="shared" si="22"/>
        <v>0.70370370370370372</v>
      </c>
      <c r="AN46" s="7">
        <f t="shared" si="23"/>
        <v>0.98148148148148151</v>
      </c>
      <c r="AO46">
        <f>step3_validation[[#This Row],[AI_OUT1]]</f>
        <v>8</v>
      </c>
      <c r="AP46">
        <f t="shared" si="24"/>
        <v>0.77777777777777779</v>
      </c>
      <c r="AQ46">
        <f>[1]!survey_responses[[#This Row],[Sau khi xem xét các quyền lợi và nghĩa vụ, bạn có ủng hộ và tuân thủ chính sách mới hiện nay? - HUMAN-OUT1]]</f>
        <v>10</v>
      </c>
      <c r="AR46">
        <f t="shared" si="25"/>
        <v>1</v>
      </c>
      <c r="AS46" s="32">
        <f t="shared" si="26"/>
        <v>2</v>
      </c>
    </row>
    <row r="47" spans="1:45" x14ac:dyDescent="0.45">
      <c r="A47">
        <f>step3_validation[[#This Row],[AI_ENF1]]</f>
        <v>8</v>
      </c>
      <c r="B47">
        <f t="shared" si="0"/>
        <v>0.77777777777777779</v>
      </c>
      <c r="C47">
        <f>[1]!survey_responses[[#This Row],[Tôi tin rằng với các quy định quản lý thuế hiện nay, hành vi gian lận hoặc trốn thuế sẽ dễ dàng bị phát hiện và xử lý nghiêm. - HUMAN-ENF1]]</f>
        <v>1</v>
      </c>
      <c r="D47">
        <f t="shared" si="1"/>
        <v>0</v>
      </c>
      <c r="E47">
        <f>step3_validation[[#This Row],[AI_ENF2]]</f>
        <v>7</v>
      </c>
      <c r="F47">
        <f t="shared" si="2"/>
        <v>0.66666666666666663</v>
      </c>
      <c r="G47">
        <f>[1]!survey_responses[[#This Row],[Tôi tin rằng Nhà nước, cơ quan thuế có đủ khả năng và công nghệ để phát hiện, xử lý nghiêm các hành vi trốn thuế. - HUMAN-ENF2]]</f>
        <v>1</v>
      </c>
      <c r="H47">
        <f t="shared" si="3"/>
        <v>0</v>
      </c>
      <c r="I47" s="32">
        <f t="shared" si="4"/>
        <v>0.72222222222222221</v>
      </c>
      <c r="J47" s="32">
        <f t="shared" si="5"/>
        <v>0</v>
      </c>
      <c r="K47">
        <f>step3_validation[[#This Row],[AI_FAC1]]</f>
        <v>9</v>
      </c>
      <c r="L47">
        <f t="shared" si="6"/>
        <v>0.88888888888888884</v>
      </c>
      <c r="M47">
        <f>[1]!survey_responses[[#This Row],[Các thủ tục khai báo thuế VÀ/HOẶC quy trình làm việc với cơ quan thuế đơn giản, tiện lợi, nhanh chóng hơn so với trước đây. - HUMAN-FAC1]]</f>
        <v>2</v>
      </c>
      <c r="N47">
        <f t="shared" si="7"/>
        <v>0.1111111111111111</v>
      </c>
      <c r="O47">
        <f>step3_validation[[#This Row],[AI_FAC2]]</f>
        <v>8</v>
      </c>
      <c r="P47">
        <f t="shared" si="8"/>
        <v>0.77777777777777779</v>
      </c>
      <c r="Q47">
        <f>[1]!survey_responses[[#This Row],[So với trước đây, tôi thấy cách tính thuế và các bậc thuế trong phương án mới đơn giản, dễ hiểu và dễ thực hiện hơn. - HUMAN-FAC2]]</f>
        <v>1</v>
      </c>
      <c r="R47">
        <f t="shared" si="9"/>
        <v>0</v>
      </c>
      <c r="S47" s="32">
        <f t="shared" si="10"/>
        <v>0.83333333333333326</v>
      </c>
      <c r="T47" s="32">
        <f t="shared" si="11"/>
        <v>5.5555555555555552E-2</v>
      </c>
      <c r="U47">
        <f>step3_validation[[#This Row],[AI_TRU1]]</f>
        <v>7</v>
      </c>
      <c r="V47">
        <f t="shared" si="12"/>
        <v>0.66666666666666663</v>
      </c>
      <c r="W47">
        <f>[1]!survey_responses[[#This Row],[Tôi tin rằng Nhà nước, cơ quan thuế sẽ thực thi chính sách mới một cách khách quan, công tâm và đối xử bình đẳng với mọi người nộp thuế.  - HUMAN-TRU1]]</f>
        <v>1</v>
      </c>
      <c r="X47">
        <f t="shared" si="13"/>
        <v>0</v>
      </c>
      <c r="Y47">
        <f>step3_validation[[#This Row],[AI_TRU2]]</f>
        <v>6</v>
      </c>
      <c r="Z47">
        <f t="shared" si="14"/>
        <v>0.55555555555555558</v>
      </c>
      <c r="AA47">
        <f>[1]!survey_responses[[#This Row],[Tôi thấy mức thuế tôi phải đóng theo phương án mới là công bằng (người thu nhập như tôi đóng mức này là hợp lý). - HUMAN-TRU2]]</f>
        <v>1</v>
      </c>
      <c r="AB47">
        <f t="shared" si="15"/>
        <v>0</v>
      </c>
      <c r="AC47">
        <f>step3_validation[[#This Row],[AI_TRU3]]</f>
        <v>5</v>
      </c>
      <c r="AD47">
        <f t="shared" si="16"/>
        <v>0.44444444444444442</v>
      </c>
      <c r="AE47">
        <f>[1]!survey_responses[[#This Row],[Tôi tin tưởng số tiền thuế tôi đóng sẽ được Nhà nước sử dụng hiệu quả để cải thiện dịch vụ công (y tế, đường xá...). - HUMAN-TRU3]]</f>
        <v>1</v>
      </c>
      <c r="AF47">
        <f t="shared" si="17"/>
        <v>0</v>
      </c>
      <c r="AG47">
        <f>step3_validation[[#This Row],[AI_TRU4]]</f>
        <v>4</v>
      </c>
      <c r="AH47">
        <f t="shared" si="18"/>
        <v>0.33333333333333331</v>
      </c>
      <c r="AI47">
        <f>[1]!survey_responses[[#This Row],[Tôi thấy Nhà nước đã giải thích rõ ràng, minh bạch về lý do và mục tiêu của việc sửa đổi thuế lần này. - HUMAN-TRU4]]</f>
        <v>1</v>
      </c>
      <c r="AJ47">
        <f t="shared" si="19"/>
        <v>0</v>
      </c>
      <c r="AK47" s="32">
        <f t="shared" si="20"/>
        <v>0.5</v>
      </c>
      <c r="AL47" s="32">
        <f t="shared" si="21"/>
        <v>0</v>
      </c>
      <c r="AM47" s="7">
        <f t="shared" si="22"/>
        <v>0.68518518518518512</v>
      </c>
      <c r="AN47" s="7">
        <f t="shared" si="23"/>
        <v>1.8518518518518517E-2</v>
      </c>
      <c r="AO47">
        <f>step3_validation[[#This Row],[AI_OUT1]]</f>
        <v>6</v>
      </c>
      <c r="AP47">
        <f t="shared" si="24"/>
        <v>0.55555555555555558</v>
      </c>
      <c r="AQ47">
        <f>[1]!survey_responses[[#This Row],[Sau khi xem xét các quyền lợi và nghĩa vụ, bạn có ủng hộ và tuân thủ chính sách mới hiện nay? - HUMAN-OUT1]]</f>
        <v>1</v>
      </c>
      <c r="AR47">
        <f t="shared" si="25"/>
        <v>0</v>
      </c>
      <c r="AS47" s="32">
        <f t="shared" si="26"/>
        <v>5</v>
      </c>
    </row>
    <row r="48" spans="1:45" x14ac:dyDescent="0.45">
      <c r="A48">
        <f>step3_validation[[#This Row],[AI_ENF1]]</f>
        <v>8</v>
      </c>
      <c r="B48">
        <f t="shared" si="0"/>
        <v>0.77777777777777779</v>
      </c>
      <c r="C48">
        <f>[1]!survey_responses[[#This Row],[Tôi tin rằng với các quy định quản lý thuế hiện nay, hành vi gian lận hoặc trốn thuế sẽ dễ dàng bị phát hiện và xử lý nghiêm. - HUMAN-ENF1]]</f>
        <v>8</v>
      </c>
      <c r="D48">
        <f t="shared" si="1"/>
        <v>0.77777777777777779</v>
      </c>
      <c r="E48">
        <f>step3_validation[[#This Row],[AI_ENF2]]</f>
        <v>7</v>
      </c>
      <c r="F48">
        <f t="shared" si="2"/>
        <v>0.66666666666666663</v>
      </c>
      <c r="G48">
        <f>[1]!survey_responses[[#This Row],[Tôi tin rằng Nhà nước, cơ quan thuế có đủ khả năng và công nghệ để phát hiện, xử lý nghiêm các hành vi trốn thuế. - HUMAN-ENF2]]</f>
        <v>8</v>
      </c>
      <c r="H48">
        <f t="shared" si="3"/>
        <v>0.77777777777777779</v>
      </c>
      <c r="I48" s="32">
        <f t="shared" si="4"/>
        <v>0.72222222222222221</v>
      </c>
      <c r="J48" s="32">
        <f t="shared" si="5"/>
        <v>0.77777777777777779</v>
      </c>
      <c r="K48">
        <f>step3_validation[[#This Row],[AI_FAC1]]</f>
        <v>9</v>
      </c>
      <c r="L48">
        <f t="shared" si="6"/>
        <v>0.88888888888888884</v>
      </c>
      <c r="M48">
        <f>[1]!survey_responses[[#This Row],[Các thủ tục khai báo thuế VÀ/HOẶC quy trình làm việc với cơ quan thuế đơn giản, tiện lợi, nhanh chóng hơn so với trước đây. - HUMAN-FAC1]]</f>
        <v>8</v>
      </c>
      <c r="N48">
        <f t="shared" si="7"/>
        <v>0.77777777777777779</v>
      </c>
      <c r="O48">
        <f>step3_validation[[#This Row],[AI_FAC2]]</f>
        <v>8</v>
      </c>
      <c r="P48">
        <f t="shared" si="8"/>
        <v>0.77777777777777779</v>
      </c>
      <c r="Q48">
        <f>[1]!survey_responses[[#This Row],[So với trước đây, tôi thấy cách tính thuế và các bậc thuế trong phương án mới đơn giản, dễ hiểu và dễ thực hiện hơn. - HUMAN-FAC2]]</f>
        <v>7</v>
      </c>
      <c r="R48">
        <f t="shared" si="9"/>
        <v>0.66666666666666663</v>
      </c>
      <c r="S48" s="32">
        <f t="shared" si="10"/>
        <v>0.83333333333333326</v>
      </c>
      <c r="T48" s="32">
        <f t="shared" si="11"/>
        <v>0.72222222222222221</v>
      </c>
      <c r="U48">
        <f>step3_validation[[#This Row],[AI_TRU1]]</f>
        <v>7</v>
      </c>
      <c r="V48">
        <f t="shared" si="12"/>
        <v>0.66666666666666663</v>
      </c>
      <c r="W48">
        <f>[1]!survey_responses[[#This Row],[Tôi tin rằng Nhà nước, cơ quan thuế sẽ thực thi chính sách mới một cách khách quan, công tâm và đối xử bình đẳng với mọi người nộp thuế.  - HUMAN-TRU1]]</f>
        <v>6</v>
      </c>
      <c r="X48">
        <f t="shared" si="13"/>
        <v>0.55555555555555558</v>
      </c>
      <c r="Y48">
        <f>step3_validation[[#This Row],[AI_TRU2]]</f>
        <v>8</v>
      </c>
      <c r="Z48">
        <f t="shared" si="14"/>
        <v>0.77777777777777779</v>
      </c>
      <c r="AA48">
        <f>[1]!survey_responses[[#This Row],[Tôi thấy mức thuế tôi phải đóng theo phương án mới là công bằng (người thu nhập như tôi đóng mức này là hợp lý). - HUMAN-TRU2]]</f>
        <v>8</v>
      </c>
      <c r="AB48">
        <f t="shared" si="15"/>
        <v>0.77777777777777779</v>
      </c>
      <c r="AC48">
        <f>step3_validation[[#This Row],[AI_TRU3]]</f>
        <v>7</v>
      </c>
      <c r="AD48">
        <f t="shared" si="16"/>
        <v>0.66666666666666663</v>
      </c>
      <c r="AE48">
        <f>[1]!survey_responses[[#This Row],[Tôi tin tưởng số tiền thuế tôi đóng sẽ được Nhà nước sử dụng hiệu quả để cải thiện dịch vụ công (y tế, đường xá...). - HUMAN-TRU3]]</f>
        <v>8</v>
      </c>
      <c r="AF48">
        <f t="shared" si="17"/>
        <v>0.77777777777777779</v>
      </c>
      <c r="AG48">
        <f>step3_validation[[#This Row],[AI_TRU4]]</f>
        <v>6</v>
      </c>
      <c r="AH48">
        <f t="shared" si="18"/>
        <v>0.55555555555555558</v>
      </c>
      <c r="AI48">
        <f>[1]!survey_responses[[#This Row],[Tôi thấy Nhà nước đã giải thích rõ ràng, minh bạch về lý do và mục tiêu của việc sửa đổi thuế lần này. - HUMAN-TRU4]]</f>
        <v>9</v>
      </c>
      <c r="AJ48">
        <f t="shared" si="19"/>
        <v>0.88888888888888884</v>
      </c>
      <c r="AK48" s="32">
        <f t="shared" si="20"/>
        <v>0.66666666666666674</v>
      </c>
      <c r="AL48" s="32">
        <f t="shared" si="21"/>
        <v>0.75</v>
      </c>
      <c r="AM48" s="7">
        <f t="shared" si="22"/>
        <v>0.74074074074074081</v>
      </c>
      <c r="AN48" s="7">
        <f t="shared" si="23"/>
        <v>0.75</v>
      </c>
      <c r="AO48">
        <f>step3_validation[[#This Row],[AI_OUT1]]</f>
        <v>8</v>
      </c>
      <c r="AP48">
        <f t="shared" si="24"/>
        <v>0.77777777777777779</v>
      </c>
      <c r="AQ48">
        <f>[1]!survey_responses[[#This Row],[Sau khi xem xét các quyền lợi và nghĩa vụ, bạn có ủng hộ và tuân thủ chính sách mới hiện nay? - HUMAN-OUT1]]</f>
        <v>8</v>
      </c>
      <c r="AR48">
        <f t="shared" si="25"/>
        <v>0.77777777777777779</v>
      </c>
      <c r="AS48" s="32">
        <f t="shared" si="26"/>
        <v>0</v>
      </c>
    </row>
    <row r="49" spans="1:45" x14ac:dyDescent="0.45">
      <c r="A49">
        <f>step3_validation[[#This Row],[AI_ENF1]]</f>
        <v>7</v>
      </c>
      <c r="B49">
        <f t="shared" si="0"/>
        <v>0.66666666666666663</v>
      </c>
      <c r="C49">
        <f>[1]!survey_responses[[#This Row],[Tôi tin rằng với các quy định quản lý thuế hiện nay, hành vi gian lận hoặc trốn thuế sẽ dễ dàng bị phát hiện và xử lý nghiêm. - HUMAN-ENF1]]</f>
        <v>10</v>
      </c>
      <c r="D49">
        <f t="shared" si="1"/>
        <v>1</v>
      </c>
      <c r="E49">
        <f>step3_validation[[#This Row],[AI_ENF2]]</f>
        <v>8</v>
      </c>
      <c r="F49">
        <f t="shared" si="2"/>
        <v>0.77777777777777779</v>
      </c>
      <c r="G49">
        <f>[1]!survey_responses[[#This Row],[Tôi tin rằng Nhà nước, cơ quan thuế có đủ khả năng và công nghệ để phát hiện, xử lý nghiêm các hành vi trốn thuế. - HUMAN-ENF2]]</f>
        <v>10</v>
      </c>
      <c r="H49">
        <f t="shared" si="3"/>
        <v>1</v>
      </c>
      <c r="I49" s="32">
        <f t="shared" si="4"/>
        <v>0.72222222222222221</v>
      </c>
      <c r="J49" s="32">
        <f t="shared" si="5"/>
        <v>1</v>
      </c>
      <c r="K49">
        <f>step3_validation[[#This Row],[AI_FAC1]]</f>
        <v>9</v>
      </c>
      <c r="L49">
        <f t="shared" si="6"/>
        <v>0.88888888888888884</v>
      </c>
      <c r="M49">
        <f>[1]!survey_responses[[#This Row],[Các thủ tục khai báo thuế VÀ/HOẶC quy trình làm việc với cơ quan thuế đơn giản, tiện lợi, nhanh chóng hơn so với trước đây. - HUMAN-FAC1]]</f>
        <v>10</v>
      </c>
      <c r="N49">
        <f t="shared" si="7"/>
        <v>1</v>
      </c>
      <c r="O49">
        <f>step3_validation[[#This Row],[AI_FAC2]]</f>
        <v>8</v>
      </c>
      <c r="P49">
        <f t="shared" si="8"/>
        <v>0.77777777777777779</v>
      </c>
      <c r="Q49">
        <f>[1]!survey_responses[[#This Row],[So với trước đây, tôi thấy cách tính thuế và các bậc thuế trong phương án mới đơn giản, dễ hiểu và dễ thực hiện hơn. - HUMAN-FAC2]]</f>
        <v>10</v>
      </c>
      <c r="R49">
        <f t="shared" si="9"/>
        <v>1</v>
      </c>
      <c r="S49" s="32">
        <f t="shared" si="10"/>
        <v>0.83333333333333326</v>
      </c>
      <c r="T49" s="32">
        <f t="shared" si="11"/>
        <v>1</v>
      </c>
      <c r="U49">
        <f>step3_validation[[#This Row],[AI_TRU1]]</f>
        <v>7</v>
      </c>
      <c r="V49">
        <f t="shared" si="12"/>
        <v>0.66666666666666663</v>
      </c>
      <c r="W49">
        <f>[1]!survey_responses[[#This Row],[Tôi tin rằng Nhà nước, cơ quan thuế sẽ thực thi chính sách mới một cách khách quan, công tâm và đối xử bình đẳng với mọi người nộp thuế.  - HUMAN-TRU1]]</f>
        <v>10</v>
      </c>
      <c r="X49">
        <f t="shared" si="13"/>
        <v>1</v>
      </c>
      <c r="Y49">
        <f>step3_validation[[#This Row],[AI_TRU2]]</f>
        <v>6</v>
      </c>
      <c r="Z49">
        <f t="shared" si="14"/>
        <v>0.55555555555555558</v>
      </c>
      <c r="AA49">
        <f>[1]!survey_responses[[#This Row],[Tôi thấy mức thuế tôi phải đóng theo phương án mới là công bằng (người thu nhập như tôi đóng mức này là hợp lý). - HUMAN-TRU2]]</f>
        <v>10</v>
      </c>
      <c r="AB49">
        <f t="shared" si="15"/>
        <v>1</v>
      </c>
      <c r="AC49">
        <f>step3_validation[[#This Row],[AI_TRU3]]</f>
        <v>7</v>
      </c>
      <c r="AD49">
        <f t="shared" si="16"/>
        <v>0.66666666666666663</v>
      </c>
      <c r="AE49">
        <f>[1]!survey_responses[[#This Row],[Tôi tin tưởng số tiền thuế tôi đóng sẽ được Nhà nước sử dụng hiệu quả để cải thiện dịch vụ công (y tế, đường xá...). - HUMAN-TRU3]]</f>
        <v>10</v>
      </c>
      <c r="AF49">
        <f t="shared" si="17"/>
        <v>1</v>
      </c>
      <c r="AG49">
        <f>step3_validation[[#This Row],[AI_TRU4]]</f>
        <v>6</v>
      </c>
      <c r="AH49">
        <f t="shared" si="18"/>
        <v>0.55555555555555558</v>
      </c>
      <c r="AI49">
        <f>[1]!survey_responses[[#This Row],[Tôi thấy Nhà nước đã giải thích rõ ràng, minh bạch về lý do và mục tiêu của việc sửa đổi thuế lần này. - HUMAN-TRU4]]</f>
        <v>10</v>
      </c>
      <c r="AJ49">
        <f t="shared" si="19"/>
        <v>1</v>
      </c>
      <c r="AK49" s="32">
        <f t="shared" si="20"/>
        <v>0.61111111111111116</v>
      </c>
      <c r="AL49" s="32">
        <f t="shared" si="21"/>
        <v>1</v>
      </c>
      <c r="AM49" s="7">
        <f t="shared" si="22"/>
        <v>0.72222222222222221</v>
      </c>
      <c r="AN49" s="7">
        <f t="shared" si="23"/>
        <v>1</v>
      </c>
      <c r="AO49">
        <f>step3_validation[[#This Row],[AI_OUT1]]</f>
        <v>8</v>
      </c>
      <c r="AP49">
        <f t="shared" si="24"/>
        <v>0.77777777777777779</v>
      </c>
      <c r="AQ49">
        <f>[1]!survey_responses[[#This Row],[Sau khi xem xét các quyền lợi và nghĩa vụ, bạn có ủng hộ và tuân thủ chính sách mới hiện nay? - HUMAN-OUT1]]</f>
        <v>10</v>
      </c>
      <c r="AR49">
        <f t="shared" si="25"/>
        <v>1</v>
      </c>
      <c r="AS49" s="32">
        <f t="shared" si="26"/>
        <v>2</v>
      </c>
    </row>
    <row r="50" spans="1:45" x14ac:dyDescent="0.45">
      <c r="A50">
        <f>step3_validation[[#This Row],[AI_ENF1]]</f>
        <v>7</v>
      </c>
      <c r="B50">
        <f t="shared" si="0"/>
        <v>0.66666666666666663</v>
      </c>
      <c r="C50">
        <f>[1]!survey_responses[[#This Row],[Tôi tin rằng với các quy định quản lý thuế hiện nay, hành vi gian lận hoặc trốn thuế sẽ dễ dàng bị phát hiện và xử lý nghiêm. - HUMAN-ENF1]]</f>
        <v>8</v>
      </c>
      <c r="D50">
        <f t="shared" si="1"/>
        <v>0.77777777777777779</v>
      </c>
      <c r="E50">
        <f>step3_validation[[#This Row],[AI_ENF2]]</f>
        <v>8</v>
      </c>
      <c r="F50">
        <f t="shared" si="2"/>
        <v>0.77777777777777779</v>
      </c>
      <c r="G50">
        <f>[1]!survey_responses[[#This Row],[Tôi tin rằng Nhà nước, cơ quan thuế có đủ khả năng và công nghệ để phát hiện, xử lý nghiêm các hành vi trốn thuế. - HUMAN-ENF2]]</f>
        <v>8</v>
      </c>
      <c r="H50">
        <f t="shared" si="3"/>
        <v>0.77777777777777779</v>
      </c>
      <c r="I50" s="32">
        <f t="shared" si="4"/>
        <v>0.72222222222222221</v>
      </c>
      <c r="J50" s="32">
        <f t="shared" si="5"/>
        <v>0.77777777777777779</v>
      </c>
      <c r="K50">
        <f>step3_validation[[#This Row],[AI_FAC1]]</f>
        <v>9</v>
      </c>
      <c r="L50">
        <f t="shared" si="6"/>
        <v>0.88888888888888884</v>
      </c>
      <c r="M50">
        <f>[1]!survey_responses[[#This Row],[Các thủ tục khai báo thuế VÀ/HOẶC quy trình làm việc với cơ quan thuế đơn giản, tiện lợi, nhanh chóng hơn so với trước đây. - HUMAN-FAC1]]</f>
        <v>7</v>
      </c>
      <c r="N50">
        <f t="shared" si="7"/>
        <v>0.66666666666666663</v>
      </c>
      <c r="O50">
        <f>step3_validation[[#This Row],[AI_FAC2]]</f>
        <v>9</v>
      </c>
      <c r="P50">
        <f t="shared" si="8"/>
        <v>0.88888888888888884</v>
      </c>
      <c r="Q50">
        <f>[1]!survey_responses[[#This Row],[So với trước đây, tôi thấy cách tính thuế và các bậc thuế trong phương án mới đơn giản, dễ hiểu và dễ thực hiện hơn. - HUMAN-FAC2]]</f>
        <v>8</v>
      </c>
      <c r="R50">
        <f t="shared" si="9"/>
        <v>0.77777777777777779</v>
      </c>
      <c r="S50" s="32">
        <f t="shared" si="10"/>
        <v>0.88888888888888884</v>
      </c>
      <c r="T50" s="32">
        <f t="shared" si="11"/>
        <v>0.72222222222222221</v>
      </c>
      <c r="U50">
        <f>step3_validation[[#This Row],[AI_TRU1]]</f>
        <v>7</v>
      </c>
      <c r="V50">
        <f t="shared" si="12"/>
        <v>0.66666666666666663</v>
      </c>
      <c r="W50">
        <f>[1]!survey_responses[[#This Row],[Tôi tin rằng Nhà nước, cơ quan thuế sẽ thực thi chính sách mới một cách khách quan, công tâm và đối xử bình đẳng với mọi người nộp thuế.  - HUMAN-TRU1]]</f>
        <v>6</v>
      </c>
      <c r="X50">
        <f t="shared" si="13"/>
        <v>0.55555555555555558</v>
      </c>
      <c r="Y50">
        <f>step3_validation[[#This Row],[AI_TRU2]]</f>
        <v>8</v>
      </c>
      <c r="Z50">
        <f t="shared" si="14"/>
        <v>0.77777777777777779</v>
      </c>
      <c r="AA50">
        <f>[1]!survey_responses[[#This Row],[Tôi thấy mức thuế tôi phải đóng theo phương án mới là công bằng (người thu nhập như tôi đóng mức này là hợp lý). - HUMAN-TRU2]]</f>
        <v>8</v>
      </c>
      <c r="AB50">
        <f t="shared" si="15"/>
        <v>0.77777777777777779</v>
      </c>
      <c r="AC50">
        <f>step3_validation[[#This Row],[AI_TRU3]]</f>
        <v>7</v>
      </c>
      <c r="AD50">
        <f t="shared" si="16"/>
        <v>0.66666666666666663</v>
      </c>
      <c r="AE50">
        <f>[1]!survey_responses[[#This Row],[Tôi tin tưởng số tiền thuế tôi đóng sẽ được Nhà nước sử dụng hiệu quả để cải thiện dịch vụ công (y tế, đường xá...). - HUMAN-TRU3]]</f>
        <v>6</v>
      </c>
      <c r="AF50">
        <f t="shared" si="17"/>
        <v>0.55555555555555558</v>
      </c>
      <c r="AG50">
        <f>step3_validation[[#This Row],[AI_TRU4]]</f>
        <v>8</v>
      </c>
      <c r="AH50">
        <f t="shared" si="18"/>
        <v>0.77777777777777779</v>
      </c>
      <c r="AI50">
        <f>[1]!survey_responses[[#This Row],[Tôi thấy Nhà nước đã giải thích rõ ràng, minh bạch về lý do và mục tiêu của việc sửa đổi thuế lần này. - HUMAN-TRU4]]</f>
        <v>5</v>
      </c>
      <c r="AJ50">
        <f t="shared" si="19"/>
        <v>0.44444444444444442</v>
      </c>
      <c r="AK50" s="32">
        <f t="shared" si="20"/>
        <v>0.72222222222222221</v>
      </c>
      <c r="AL50" s="32">
        <f t="shared" si="21"/>
        <v>0.58333333333333337</v>
      </c>
      <c r="AM50" s="7">
        <f t="shared" si="22"/>
        <v>0.77777777777777779</v>
      </c>
      <c r="AN50" s="7">
        <f t="shared" si="23"/>
        <v>0.69444444444444453</v>
      </c>
      <c r="AO50">
        <f>step3_validation[[#This Row],[AI_OUT1]]</f>
        <v>9</v>
      </c>
      <c r="AP50">
        <f t="shared" si="24"/>
        <v>0.88888888888888884</v>
      </c>
      <c r="AQ50">
        <f>[1]!survey_responses[[#This Row],[Sau khi xem xét các quyền lợi và nghĩa vụ, bạn có ủng hộ và tuân thủ chính sách mới hiện nay? - HUMAN-OUT1]]</f>
        <v>8</v>
      </c>
      <c r="AR50">
        <f t="shared" si="25"/>
        <v>0.77777777777777779</v>
      </c>
      <c r="AS50" s="32">
        <f t="shared" si="26"/>
        <v>1</v>
      </c>
    </row>
    <row r="51" spans="1:45" x14ac:dyDescent="0.45">
      <c r="A51">
        <f>step3_validation[[#This Row],[AI_ENF1]]</f>
        <v>7</v>
      </c>
      <c r="B51">
        <f t="shared" si="0"/>
        <v>0.66666666666666663</v>
      </c>
      <c r="C51">
        <f>[1]!survey_responses[[#This Row],[Tôi tin rằng với các quy định quản lý thuế hiện nay, hành vi gian lận hoặc trốn thuế sẽ dễ dàng bị phát hiện và xử lý nghiêm. - HUMAN-ENF1]]</f>
        <v>10</v>
      </c>
      <c r="D51">
        <f t="shared" si="1"/>
        <v>1</v>
      </c>
      <c r="E51">
        <f>step3_validation[[#This Row],[AI_ENF2]]</f>
        <v>8</v>
      </c>
      <c r="F51">
        <f t="shared" si="2"/>
        <v>0.77777777777777779</v>
      </c>
      <c r="G51">
        <f>[1]!survey_responses[[#This Row],[Tôi tin rằng Nhà nước, cơ quan thuế có đủ khả năng và công nghệ để phát hiện, xử lý nghiêm các hành vi trốn thuế. - HUMAN-ENF2]]</f>
        <v>10</v>
      </c>
      <c r="H51">
        <f t="shared" si="3"/>
        <v>1</v>
      </c>
      <c r="I51" s="32">
        <f t="shared" si="4"/>
        <v>0.72222222222222221</v>
      </c>
      <c r="J51" s="32">
        <f t="shared" si="5"/>
        <v>1</v>
      </c>
      <c r="K51">
        <f>step3_validation[[#This Row],[AI_FAC1]]</f>
        <v>6</v>
      </c>
      <c r="L51">
        <f t="shared" si="6"/>
        <v>0.55555555555555558</v>
      </c>
      <c r="M51">
        <f>[1]!survey_responses[[#This Row],[Các thủ tục khai báo thuế VÀ/HOẶC quy trình làm việc với cơ quan thuế đơn giản, tiện lợi, nhanh chóng hơn so với trước đây. - HUMAN-FAC1]]</f>
        <v>10</v>
      </c>
      <c r="N51">
        <f t="shared" si="7"/>
        <v>1</v>
      </c>
      <c r="O51">
        <f>step3_validation[[#This Row],[AI_FAC2]]</f>
        <v>9</v>
      </c>
      <c r="P51">
        <f t="shared" si="8"/>
        <v>0.88888888888888884</v>
      </c>
      <c r="Q51">
        <f>[1]!survey_responses[[#This Row],[So với trước đây, tôi thấy cách tính thuế và các bậc thuế trong phương án mới đơn giản, dễ hiểu và dễ thực hiện hơn. - HUMAN-FAC2]]</f>
        <v>8</v>
      </c>
      <c r="R51">
        <f t="shared" si="9"/>
        <v>0.77777777777777779</v>
      </c>
      <c r="S51" s="32">
        <f t="shared" si="10"/>
        <v>0.72222222222222221</v>
      </c>
      <c r="T51" s="32">
        <f t="shared" si="11"/>
        <v>0.88888888888888884</v>
      </c>
      <c r="U51">
        <f>step3_validation[[#This Row],[AI_TRU1]]</f>
        <v>7</v>
      </c>
      <c r="V51">
        <f t="shared" si="12"/>
        <v>0.66666666666666663</v>
      </c>
      <c r="W51">
        <f>[1]!survey_responses[[#This Row],[Tôi tin rằng Nhà nước, cơ quan thuế sẽ thực thi chính sách mới một cách khách quan, công tâm và đối xử bình đẳng với mọi người nộp thuế.  - HUMAN-TRU1]]</f>
        <v>8</v>
      </c>
      <c r="X51">
        <f t="shared" si="13"/>
        <v>0.77777777777777779</v>
      </c>
      <c r="Y51">
        <f>step3_validation[[#This Row],[AI_TRU2]]</f>
        <v>6</v>
      </c>
      <c r="Z51">
        <f t="shared" si="14"/>
        <v>0.55555555555555558</v>
      </c>
      <c r="AA51">
        <f>[1]!survey_responses[[#This Row],[Tôi thấy mức thuế tôi phải đóng theo phương án mới là công bằng (người thu nhập như tôi đóng mức này là hợp lý). - HUMAN-TRU2]]</f>
        <v>8</v>
      </c>
      <c r="AB51">
        <f t="shared" si="15"/>
        <v>0.77777777777777779</v>
      </c>
      <c r="AC51">
        <f>step3_validation[[#This Row],[AI_TRU3]]</f>
        <v>6</v>
      </c>
      <c r="AD51">
        <f t="shared" si="16"/>
        <v>0.55555555555555558</v>
      </c>
      <c r="AE51">
        <f>[1]!survey_responses[[#This Row],[Tôi tin tưởng số tiền thuế tôi đóng sẽ được Nhà nước sử dụng hiệu quả để cải thiện dịch vụ công (y tế, đường xá...). - HUMAN-TRU3]]</f>
        <v>8</v>
      </c>
      <c r="AF51">
        <f t="shared" si="17"/>
        <v>0.77777777777777779</v>
      </c>
      <c r="AG51">
        <f>step3_validation[[#This Row],[AI_TRU4]]</f>
        <v>7</v>
      </c>
      <c r="AH51">
        <f t="shared" si="18"/>
        <v>0.66666666666666663</v>
      </c>
      <c r="AI51">
        <f>[1]!survey_responses[[#This Row],[Tôi thấy Nhà nước đã giải thích rõ ràng, minh bạch về lý do và mục tiêu của việc sửa đổi thuế lần này. - HUMAN-TRU4]]</f>
        <v>8</v>
      </c>
      <c r="AJ51">
        <f t="shared" si="19"/>
        <v>0.77777777777777779</v>
      </c>
      <c r="AK51" s="32">
        <f t="shared" si="20"/>
        <v>0.61111111111111116</v>
      </c>
      <c r="AL51" s="32">
        <f t="shared" si="21"/>
        <v>0.77777777777777779</v>
      </c>
      <c r="AM51" s="7">
        <f t="shared" si="22"/>
        <v>0.68518518518518512</v>
      </c>
      <c r="AN51" s="7">
        <f t="shared" si="23"/>
        <v>0.88888888888888884</v>
      </c>
      <c r="AO51">
        <f>step3_validation[[#This Row],[AI_OUT1]]</f>
        <v>8</v>
      </c>
      <c r="AP51">
        <f t="shared" si="24"/>
        <v>0.77777777777777779</v>
      </c>
      <c r="AQ51">
        <f>[1]!survey_responses[[#This Row],[Sau khi xem xét các quyền lợi và nghĩa vụ, bạn có ủng hộ và tuân thủ chính sách mới hiện nay? - HUMAN-OUT1]]</f>
        <v>8</v>
      </c>
      <c r="AR51">
        <f t="shared" si="25"/>
        <v>0.77777777777777779</v>
      </c>
      <c r="AS51" s="32">
        <f t="shared" si="26"/>
        <v>0</v>
      </c>
    </row>
    <row r="52" spans="1:45" x14ac:dyDescent="0.45">
      <c r="A52">
        <f>step3_validation[[#This Row],[AI_ENF1]]</f>
        <v>4</v>
      </c>
      <c r="B52">
        <f t="shared" si="0"/>
        <v>0.33333333333333331</v>
      </c>
      <c r="C52">
        <f>[1]!survey_responses[[#This Row],[Tôi tin rằng với các quy định quản lý thuế hiện nay, hành vi gian lận hoặc trốn thuế sẽ dễ dàng bị phát hiện và xử lý nghiêm. - HUMAN-ENF1]]</f>
        <v>10</v>
      </c>
      <c r="D52">
        <f t="shared" si="1"/>
        <v>1</v>
      </c>
      <c r="E52">
        <f>step3_validation[[#This Row],[AI_ENF2]]</f>
        <v>5</v>
      </c>
      <c r="F52">
        <f t="shared" si="2"/>
        <v>0.44444444444444442</v>
      </c>
      <c r="G52">
        <f>[1]!survey_responses[[#This Row],[Tôi tin rằng Nhà nước, cơ quan thuế có đủ khả năng và công nghệ để phát hiện, xử lý nghiêm các hành vi trốn thuế. - HUMAN-ENF2]]</f>
        <v>10</v>
      </c>
      <c r="H52">
        <f t="shared" si="3"/>
        <v>1</v>
      </c>
      <c r="I52" s="32">
        <f t="shared" si="4"/>
        <v>0.38888888888888884</v>
      </c>
      <c r="J52" s="32">
        <f t="shared" si="5"/>
        <v>1</v>
      </c>
      <c r="K52">
        <f>step3_validation[[#This Row],[AI_FAC1]]</f>
        <v>6</v>
      </c>
      <c r="L52">
        <f t="shared" si="6"/>
        <v>0.55555555555555558</v>
      </c>
      <c r="M52">
        <f>[1]!survey_responses[[#This Row],[Các thủ tục khai báo thuế VÀ/HOẶC quy trình làm việc với cơ quan thuế đơn giản, tiện lợi, nhanh chóng hơn so với trước đây. - HUMAN-FAC1]]</f>
        <v>10</v>
      </c>
      <c r="N52">
        <f t="shared" si="7"/>
        <v>1</v>
      </c>
      <c r="O52">
        <f>step3_validation[[#This Row],[AI_FAC2]]</f>
        <v>8</v>
      </c>
      <c r="P52">
        <f t="shared" si="8"/>
        <v>0.77777777777777779</v>
      </c>
      <c r="Q52">
        <f>[1]!survey_responses[[#This Row],[So với trước đây, tôi thấy cách tính thuế và các bậc thuế trong phương án mới đơn giản, dễ hiểu và dễ thực hiện hơn. - HUMAN-FAC2]]</f>
        <v>10</v>
      </c>
      <c r="R52">
        <f t="shared" si="9"/>
        <v>1</v>
      </c>
      <c r="S52" s="32">
        <f t="shared" si="10"/>
        <v>0.66666666666666674</v>
      </c>
      <c r="T52" s="32">
        <f t="shared" si="11"/>
        <v>1</v>
      </c>
      <c r="U52">
        <f>step3_validation[[#This Row],[AI_TRU1]]</f>
        <v>3</v>
      </c>
      <c r="V52">
        <f t="shared" si="12"/>
        <v>0.22222222222222221</v>
      </c>
      <c r="W52">
        <f>[1]!survey_responses[[#This Row],[Tôi tin rằng Nhà nước, cơ quan thuế sẽ thực thi chính sách mới một cách khách quan, công tâm và đối xử bình đẳng với mọi người nộp thuế.  - HUMAN-TRU1]]</f>
        <v>10</v>
      </c>
      <c r="X52">
        <f t="shared" si="13"/>
        <v>1</v>
      </c>
      <c r="Y52">
        <f>step3_validation[[#This Row],[AI_TRU2]]</f>
        <v>7</v>
      </c>
      <c r="Z52">
        <f t="shared" si="14"/>
        <v>0.66666666666666663</v>
      </c>
      <c r="AA52">
        <f>[1]!survey_responses[[#This Row],[Tôi thấy mức thuế tôi phải đóng theo phương án mới là công bằng (người thu nhập như tôi đóng mức này là hợp lý). - HUMAN-TRU2]]</f>
        <v>10</v>
      </c>
      <c r="AB52">
        <f t="shared" si="15"/>
        <v>1</v>
      </c>
      <c r="AC52">
        <f>step3_validation[[#This Row],[AI_TRU3]]</f>
        <v>4</v>
      </c>
      <c r="AD52">
        <f t="shared" si="16"/>
        <v>0.33333333333333331</v>
      </c>
      <c r="AE52">
        <f>[1]!survey_responses[[#This Row],[Tôi tin tưởng số tiền thuế tôi đóng sẽ được Nhà nước sử dụng hiệu quả để cải thiện dịch vụ công (y tế, đường xá...). - HUMAN-TRU3]]</f>
        <v>10</v>
      </c>
      <c r="AF52">
        <f t="shared" si="17"/>
        <v>1</v>
      </c>
      <c r="AG52">
        <f>step3_validation[[#This Row],[AI_TRU4]]</f>
        <v>5</v>
      </c>
      <c r="AH52">
        <f t="shared" si="18"/>
        <v>0.44444444444444442</v>
      </c>
      <c r="AI52">
        <f>[1]!survey_responses[[#This Row],[Tôi thấy Nhà nước đã giải thích rõ ràng, minh bạch về lý do và mục tiêu của việc sửa đổi thuế lần này. - HUMAN-TRU4]]</f>
        <v>10</v>
      </c>
      <c r="AJ52">
        <f t="shared" si="19"/>
        <v>1</v>
      </c>
      <c r="AK52" s="32">
        <f t="shared" si="20"/>
        <v>0.41666666666666663</v>
      </c>
      <c r="AL52" s="32">
        <f t="shared" si="21"/>
        <v>1</v>
      </c>
      <c r="AM52" s="7">
        <f t="shared" si="22"/>
        <v>0.49074074074074076</v>
      </c>
      <c r="AN52" s="7">
        <f t="shared" si="23"/>
        <v>1</v>
      </c>
      <c r="AO52">
        <f>step3_validation[[#This Row],[AI_OUT1]]</f>
        <v>6</v>
      </c>
      <c r="AP52">
        <f t="shared" si="24"/>
        <v>0.55555555555555558</v>
      </c>
      <c r="AQ52">
        <f>[1]!survey_responses[[#This Row],[Sau khi xem xét các quyền lợi và nghĩa vụ, bạn có ủng hộ và tuân thủ chính sách mới hiện nay? - HUMAN-OUT1]]</f>
        <v>10</v>
      </c>
      <c r="AR52">
        <f t="shared" si="25"/>
        <v>1</v>
      </c>
      <c r="AS52" s="32">
        <f t="shared" si="26"/>
        <v>4</v>
      </c>
    </row>
    <row r="53" spans="1:45" x14ac:dyDescent="0.45">
      <c r="A53">
        <f>step3_validation[[#This Row],[AI_ENF1]]</f>
        <v>7</v>
      </c>
      <c r="B53">
        <f t="shared" si="0"/>
        <v>0.66666666666666663</v>
      </c>
      <c r="C53">
        <f>[1]!survey_responses[[#This Row],[Tôi tin rằng với các quy định quản lý thuế hiện nay, hành vi gian lận hoặc trốn thuế sẽ dễ dàng bị phát hiện và xử lý nghiêm. - HUMAN-ENF1]]</f>
        <v>10</v>
      </c>
      <c r="D53">
        <f t="shared" si="1"/>
        <v>1</v>
      </c>
      <c r="E53">
        <f>step3_validation[[#This Row],[AI_ENF2]]</f>
        <v>6</v>
      </c>
      <c r="F53">
        <f t="shared" si="2"/>
        <v>0.55555555555555558</v>
      </c>
      <c r="G53">
        <f>[1]!survey_responses[[#This Row],[Tôi tin rằng Nhà nước, cơ quan thuế có đủ khả năng và công nghệ để phát hiện, xử lý nghiêm các hành vi trốn thuế. - HUMAN-ENF2]]</f>
        <v>10</v>
      </c>
      <c r="H53">
        <f t="shared" si="3"/>
        <v>1</v>
      </c>
      <c r="I53" s="32">
        <f t="shared" si="4"/>
        <v>0.61111111111111116</v>
      </c>
      <c r="J53" s="32">
        <f t="shared" si="5"/>
        <v>1</v>
      </c>
      <c r="K53">
        <f>step3_validation[[#This Row],[AI_FAC1]]</f>
        <v>8</v>
      </c>
      <c r="L53">
        <f t="shared" si="6"/>
        <v>0.77777777777777779</v>
      </c>
      <c r="M53">
        <f>[1]!survey_responses[[#This Row],[Các thủ tục khai báo thuế VÀ/HOẶC quy trình làm việc với cơ quan thuế đơn giản, tiện lợi, nhanh chóng hơn so với trước đây. - HUMAN-FAC1]]</f>
        <v>10</v>
      </c>
      <c r="N53">
        <f t="shared" si="7"/>
        <v>1</v>
      </c>
      <c r="O53">
        <f>step3_validation[[#This Row],[AI_FAC2]]</f>
        <v>7</v>
      </c>
      <c r="P53">
        <f t="shared" si="8"/>
        <v>0.66666666666666663</v>
      </c>
      <c r="Q53">
        <f>[1]!survey_responses[[#This Row],[So với trước đây, tôi thấy cách tính thuế và các bậc thuế trong phương án mới đơn giản, dễ hiểu và dễ thực hiện hơn. - HUMAN-FAC2]]</f>
        <v>10</v>
      </c>
      <c r="R53">
        <f t="shared" si="9"/>
        <v>1</v>
      </c>
      <c r="S53" s="32">
        <f t="shared" si="10"/>
        <v>0.72222222222222221</v>
      </c>
      <c r="T53" s="32">
        <f t="shared" si="11"/>
        <v>1</v>
      </c>
      <c r="U53">
        <f>step3_validation[[#This Row],[AI_TRU1]]</f>
        <v>6</v>
      </c>
      <c r="V53">
        <f t="shared" si="12"/>
        <v>0.55555555555555558</v>
      </c>
      <c r="W53">
        <f>[1]!survey_responses[[#This Row],[Tôi tin rằng Nhà nước, cơ quan thuế sẽ thực thi chính sách mới một cách khách quan, công tâm và đối xử bình đẳng với mọi người nộp thuế.  - HUMAN-TRU1]]</f>
        <v>10</v>
      </c>
      <c r="X53">
        <f t="shared" si="13"/>
        <v>1</v>
      </c>
      <c r="Y53">
        <f>step3_validation[[#This Row],[AI_TRU2]]</f>
        <v>7</v>
      </c>
      <c r="Z53">
        <f t="shared" si="14"/>
        <v>0.66666666666666663</v>
      </c>
      <c r="AA53">
        <f>[1]!survey_responses[[#This Row],[Tôi thấy mức thuế tôi phải đóng theo phương án mới là công bằng (người thu nhập như tôi đóng mức này là hợp lý). - HUMAN-TRU2]]</f>
        <v>10</v>
      </c>
      <c r="AB53">
        <f t="shared" si="15"/>
        <v>1</v>
      </c>
      <c r="AC53">
        <f>step3_validation[[#This Row],[AI_TRU3]]</f>
        <v>6</v>
      </c>
      <c r="AD53">
        <f t="shared" si="16"/>
        <v>0.55555555555555558</v>
      </c>
      <c r="AE53">
        <f>[1]!survey_responses[[#This Row],[Tôi tin tưởng số tiền thuế tôi đóng sẽ được Nhà nước sử dụng hiệu quả để cải thiện dịch vụ công (y tế, đường xá...). - HUMAN-TRU3]]</f>
        <v>10</v>
      </c>
      <c r="AF53">
        <f t="shared" si="17"/>
        <v>1</v>
      </c>
      <c r="AG53">
        <f>step3_validation[[#This Row],[AI_TRU4]]</f>
        <v>7</v>
      </c>
      <c r="AH53">
        <f t="shared" si="18"/>
        <v>0.66666666666666663</v>
      </c>
      <c r="AI53">
        <f>[1]!survey_responses[[#This Row],[Tôi thấy Nhà nước đã giải thích rõ ràng, minh bạch về lý do và mục tiêu của việc sửa đổi thuế lần này. - HUMAN-TRU4]]</f>
        <v>10</v>
      </c>
      <c r="AJ53">
        <f t="shared" si="19"/>
        <v>1</v>
      </c>
      <c r="AK53" s="32">
        <f t="shared" si="20"/>
        <v>0.61111111111111116</v>
      </c>
      <c r="AL53" s="32">
        <f t="shared" si="21"/>
        <v>1</v>
      </c>
      <c r="AM53" s="7">
        <f t="shared" si="22"/>
        <v>0.64814814814814825</v>
      </c>
      <c r="AN53" s="7">
        <f t="shared" si="23"/>
        <v>1</v>
      </c>
      <c r="AO53">
        <f>step3_validation[[#This Row],[AI_OUT1]]</f>
        <v>6</v>
      </c>
      <c r="AP53">
        <f t="shared" si="24"/>
        <v>0.55555555555555558</v>
      </c>
      <c r="AQ53">
        <f>[1]!survey_responses[[#This Row],[Sau khi xem xét các quyền lợi và nghĩa vụ, bạn có ủng hộ và tuân thủ chính sách mới hiện nay? - HUMAN-OUT1]]</f>
        <v>8</v>
      </c>
      <c r="AR53">
        <f t="shared" si="25"/>
        <v>0.77777777777777779</v>
      </c>
      <c r="AS53" s="32">
        <f t="shared" si="26"/>
        <v>2</v>
      </c>
    </row>
    <row r="54" spans="1:45" x14ac:dyDescent="0.45">
      <c r="A54">
        <f>step3_validation[[#This Row],[AI_ENF1]]</f>
        <v>7</v>
      </c>
      <c r="B54">
        <f t="shared" si="0"/>
        <v>0.66666666666666663</v>
      </c>
      <c r="C54">
        <f>[1]!survey_responses[[#This Row],[Tôi tin rằng với các quy định quản lý thuế hiện nay, hành vi gian lận hoặc trốn thuế sẽ dễ dàng bị phát hiện và xử lý nghiêm. - HUMAN-ENF1]]</f>
        <v>10</v>
      </c>
      <c r="D54">
        <f t="shared" si="1"/>
        <v>1</v>
      </c>
      <c r="E54">
        <f>step3_validation[[#This Row],[AI_ENF2]]</f>
        <v>8</v>
      </c>
      <c r="F54">
        <f t="shared" si="2"/>
        <v>0.77777777777777779</v>
      </c>
      <c r="G54">
        <f>[1]!survey_responses[[#This Row],[Tôi tin rằng Nhà nước, cơ quan thuế có đủ khả năng và công nghệ để phát hiện, xử lý nghiêm các hành vi trốn thuế. - HUMAN-ENF2]]</f>
        <v>10</v>
      </c>
      <c r="H54">
        <f t="shared" si="3"/>
        <v>1</v>
      </c>
      <c r="I54" s="32">
        <f t="shared" si="4"/>
        <v>0.72222222222222221</v>
      </c>
      <c r="J54" s="32">
        <f t="shared" si="5"/>
        <v>1</v>
      </c>
      <c r="K54">
        <f>step3_validation[[#This Row],[AI_FAC1]]</f>
        <v>9</v>
      </c>
      <c r="L54">
        <f t="shared" si="6"/>
        <v>0.88888888888888884</v>
      </c>
      <c r="M54">
        <f>[1]!survey_responses[[#This Row],[Các thủ tục khai báo thuế VÀ/HOẶC quy trình làm việc với cơ quan thuế đơn giản, tiện lợi, nhanh chóng hơn so với trước đây. - HUMAN-FAC1]]</f>
        <v>10</v>
      </c>
      <c r="N54">
        <f t="shared" si="7"/>
        <v>1</v>
      </c>
      <c r="O54">
        <f>step3_validation[[#This Row],[AI_FAC2]]</f>
        <v>8</v>
      </c>
      <c r="P54">
        <f t="shared" si="8"/>
        <v>0.77777777777777779</v>
      </c>
      <c r="Q54">
        <f>[1]!survey_responses[[#This Row],[So với trước đây, tôi thấy cách tính thuế và các bậc thuế trong phương án mới đơn giản, dễ hiểu và dễ thực hiện hơn. - HUMAN-FAC2]]</f>
        <v>10</v>
      </c>
      <c r="R54">
        <f t="shared" si="9"/>
        <v>1</v>
      </c>
      <c r="S54" s="32">
        <f t="shared" si="10"/>
        <v>0.83333333333333326</v>
      </c>
      <c r="T54" s="32">
        <f t="shared" si="11"/>
        <v>1</v>
      </c>
      <c r="U54">
        <f>step3_validation[[#This Row],[AI_TRU1]]</f>
        <v>7</v>
      </c>
      <c r="V54">
        <f t="shared" si="12"/>
        <v>0.66666666666666663</v>
      </c>
      <c r="W54">
        <f>[1]!survey_responses[[#This Row],[Tôi tin rằng Nhà nước, cơ quan thuế sẽ thực thi chính sách mới một cách khách quan, công tâm và đối xử bình đẳng với mọi người nộp thuế.  - HUMAN-TRU1]]</f>
        <v>10</v>
      </c>
      <c r="X54">
        <f t="shared" si="13"/>
        <v>1</v>
      </c>
      <c r="Y54">
        <f>step3_validation[[#This Row],[AI_TRU2]]</f>
        <v>8</v>
      </c>
      <c r="Z54">
        <f t="shared" si="14"/>
        <v>0.77777777777777779</v>
      </c>
      <c r="AA54">
        <f>[1]!survey_responses[[#This Row],[Tôi thấy mức thuế tôi phải đóng theo phương án mới là công bằng (người thu nhập như tôi đóng mức này là hợp lý). - HUMAN-TRU2]]</f>
        <v>10</v>
      </c>
      <c r="AB54">
        <f t="shared" si="15"/>
        <v>1</v>
      </c>
      <c r="AC54">
        <f>step3_validation[[#This Row],[AI_TRU3]]</f>
        <v>7</v>
      </c>
      <c r="AD54">
        <f t="shared" si="16"/>
        <v>0.66666666666666663</v>
      </c>
      <c r="AE54">
        <f>[1]!survey_responses[[#This Row],[Tôi tin tưởng số tiền thuế tôi đóng sẽ được Nhà nước sử dụng hiệu quả để cải thiện dịch vụ công (y tế, đường xá...). - HUMAN-TRU3]]</f>
        <v>10</v>
      </c>
      <c r="AF54">
        <f t="shared" si="17"/>
        <v>1</v>
      </c>
      <c r="AG54">
        <f>step3_validation[[#This Row],[AI_TRU4]]</f>
        <v>8</v>
      </c>
      <c r="AH54">
        <f t="shared" si="18"/>
        <v>0.77777777777777779</v>
      </c>
      <c r="AI54">
        <f>[1]!survey_responses[[#This Row],[Tôi thấy Nhà nước đã giải thích rõ ràng, minh bạch về lý do và mục tiêu của việc sửa đổi thuế lần này. - HUMAN-TRU4]]</f>
        <v>10</v>
      </c>
      <c r="AJ54">
        <f t="shared" si="19"/>
        <v>1</v>
      </c>
      <c r="AK54" s="32">
        <f t="shared" si="20"/>
        <v>0.72222222222222221</v>
      </c>
      <c r="AL54" s="32">
        <f t="shared" si="21"/>
        <v>1</v>
      </c>
      <c r="AM54" s="7">
        <f t="shared" si="22"/>
        <v>0.75925925925925919</v>
      </c>
      <c r="AN54" s="7">
        <f t="shared" si="23"/>
        <v>1</v>
      </c>
      <c r="AO54">
        <f>step3_validation[[#This Row],[AI_OUT1]]</f>
        <v>9</v>
      </c>
      <c r="AP54">
        <f t="shared" si="24"/>
        <v>0.88888888888888884</v>
      </c>
      <c r="AQ54">
        <f>[1]!survey_responses[[#This Row],[Sau khi xem xét các quyền lợi và nghĩa vụ, bạn có ủng hộ và tuân thủ chính sách mới hiện nay? - HUMAN-OUT1]]</f>
        <v>10</v>
      </c>
      <c r="AR54">
        <f t="shared" si="25"/>
        <v>1</v>
      </c>
      <c r="AS54" s="32">
        <f t="shared" si="26"/>
        <v>1</v>
      </c>
    </row>
    <row r="55" spans="1:45" x14ac:dyDescent="0.45">
      <c r="A55">
        <f>step3_validation[[#This Row],[AI_ENF1]]</f>
        <v>7</v>
      </c>
      <c r="B55">
        <f t="shared" si="0"/>
        <v>0.66666666666666663</v>
      </c>
      <c r="C55">
        <f>[1]!survey_responses[[#This Row],[Tôi tin rằng với các quy định quản lý thuế hiện nay, hành vi gian lận hoặc trốn thuế sẽ dễ dàng bị phát hiện và xử lý nghiêm. - HUMAN-ENF1]]</f>
        <v>8</v>
      </c>
      <c r="D55">
        <f t="shared" si="1"/>
        <v>0.77777777777777779</v>
      </c>
      <c r="E55">
        <f>step3_validation[[#This Row],[AI_ENF2]]</f>
        <v>8</v>
      </c>
      <c r="F55">
        <f t="shared" si="2"/>
        <v>0.77777777777777779</v>
      </c>
      <c r="G55">
        <f>[1]!survey_responses[[#This Row],[Tôi tin rằng Nhà nước, cơ quan thuế có đủ khả năng và công nghệ để phát hiện, xử lý nghiêm các hành vi trốn thuế. - HUMAN-ENF2]]</f>
        <v>7</v>
      </c>
      <c r="H55">
        <f t="shared" si="3"/>
        <v>0.66666666666666663</v>
      </c>
      <c r="I55" s="32">
        <f t="shared" si="4"/>
        <v>0.72222222222222221</v>
      </c>
      <c r="J55" s="32">
        <f t="shared" si="5"/>
        <v>0.72222222222222221</v>
      </c>
      <c r="K55">
        <f>step3_validation[[#This Row],[AI_FAC1]]</f>
        <v>6</v>
      </c>
      <c r="L55">
        <f t="shared" si="6"/>
        <v>0.55555555555555558</v>
      </c>
      <c r="M55">
        <f>[1]!survey_responses[[#This Row],[Các thủ tục khai báo thuế VÀ/HOẶC quy trình làm việc với cơ quan thuế đơn giản, tiện lợi, nhanh chóng hơn so với trước đây. - HUMAN-FAC1]]</f>
        <v>7</v>
      </c>
      <c r="N55">
        <f t="shared" si="7"/>
        <v>0.66666666666666663</v>
      </c>
      <c r="O55">
        <f>step3_validation[[#This Row],[AI_FAC2]]</f>
        <v>5</v>
      </c>
      <c r="P55">
        <f t="shared" si="8"/>
        <v>0.44444444444444442</v>
      </c>
      <c r="Q55">
        <f>[1]!survey_responses[[#This Row],[So với trước đây, tôi thấy cách tính thuế và các bậc thuế trong phương án mới đơn giản, dễ hiểu và dễ thực hiện hơn. - HUMAN-FAC2]]</f>
        <v>8</v>
      </c>
      <c r="R55">
        <f t="shared" si="9"/>
        <v>0.77777777777777779</v>
      </c>
      <c r="S55" s="32">
        <f t="shared" si="10"/>
        <v>0.5</v>
      </c>
      <c r="T55" s="32">
        <f t="shared" si="11"/>
        <v>0.72222222222222221</v>
      </c>
      <c r="U55">
        <f>step3_validation[[#This Row],[AI_TRU1]]</f>
        <v>4</v>
      </c>
      <c r="V55">
        <f t="shared" si="12"/>
        <v>0.33333333333333331</v>
      </c>
      <c r="W55">
        <f>[1]!survey_responses[[#This Row],[Tôi tin rằng Nhà nước, cơ quan thuế sẽ thực thi chính sách mới một cách khách quan, công tâm và đối xử bình đẳng với mọi người nộp thuế.  - HUMAN-TRU1]]</f>
        <v>7</v>
      </c>
      <c r="X55">
        <f t="shared" si="13"/>
        <v>0.66666666666666663</v>
      </c>
      <c r="Y55">
        <f>step3_validation[[#This Row],[AI_TRU2]]</f>
        <v>6</v>
      </c>
      <c r="Z55">
        <f t="shared" si="14"/>
        <v>0.55555555555555558</v>
      </c>
      <c r="AA55">
        <f>[1]!survey_responses[[#This Row],[Tôi thấy mức thuế tôi phải đóng theo phương án mới là công bằng (người thu nhập như tôi đóng mức này là hợp lý). - HUMAN-TRU2]]</f>
        <v>8</v>
      </c>
      <c r="AB55">
        <f t="shared" si="15"/>
        <v>0.77777777777777779</v>
      </c>
      <c r="AC55">
        <f>step3_validation[[#This Row],[AI_TRU3]]</f>
        <v>5</v>
      </c>
      <c r="AD55">
        <f t="shared" si="16"/>
        <v>0.44444444444444442</v>
      </c>
      <c r="AE55">
        <f>[1]!survey_responses[[#This Row],[Tôi tin tưởng số tiền thuế tôi đóng sẽ được Nhà nước sử dụng hiệu quả để cải thiện dịch vụ công (y tế, đường xá...). - HUMAN-TRU3]]</f>
        <v>7</v>
      </c>
      <c r="AF55">
        <f t="shared" si="17"/>
        <v>0.66666666666666663</v>
      </c>
      <c r="AG55">
        <f>step3_validation[[#This Row],[AI_TRU4]]</f>
        <v>4</v>
      </c>
      <c r="AH55">
        <f t="shared" si="18"/>
        <v>0.33333333333333331</v>
      </c>
      <c r="AI55">
        <f>[1]!survey_responses[[#This Row],[Tôi thấy Nhà nước đã giải thích rõ ràng, minh bạch về lý do và mục tiêu của việc sửa đổi thuế lần này. - HUMAN-TRU4]]</f>
        <v>7</v>
      </c>
      <c r="AJ55">
        <f t="shared" si="19"/>
        <v>0.66666666666666663</v>
      </c>
      <c r="AK55" s="32">
        <f t="shared" si="20"/>
        <v>0.41666666666666663</v>
      </c>
      <c r="AL55" s="32">
        <f t="shared" si="21"/>
        <v>0.69444444444444442</v>
      </c>
      <c r="AM55" s="7">
        <f t="shared" si="22"/>
        <v>0.54629629629629628</v>
      </c>
      <c r="AN55" s="7">
        <f t="shared" si="23"/>
        <v>0.71296296296296291</v>
      </c>
      <c r="AO55">
        <f>step3_validation[[#This Row],[AI_OUT1]]</f>
        <v>5</v>
      </c>
      <c r="AP55">
        <f t="shared" si="24"/>
        <v>0.44444444444444442</v>
      </c>
      <c r="AQ55">
        <f>[1]!survey_responses[[#This Row],[Sau khi xem xét các quyền lợi và nghĩa vụ, bạn có ủng hộ và tuân thủ chính sách mới hiện nay? - HUMAN-OUT1]]</f>
        <v>8</v>
      </c>
      <c r="AR55">
        <f t="shared" si="25"/>
        <v>0.77777777777777779</v>
      </c>
      <c r="AS55" s="32">
        <f t="shared" si="26"/>
        <v>3</v>
      </c>
    </row>
    <row r="56" spans="1:45" x14ac:dyDescent="0.45">
      <c r="A56">
        <f>step3_validation[[#This Row],[AI_ENF1]]</f>
        <v>6</v>
      </c>
      <c r="B56">
        <f t="shared" si="0"/>
        <v>0.55555555555555558</v>
      </c>
      <c r="C56">
        <f>[1]!survey_responses[[#This Row],[Tôi tin rằng với các quy định quản lý thuế hiện nay, hành vi gian lận hoặc trốn thuế sẽ dễ dàng bị phát hiện và xử lý nghiêm. - HUMAN-ENF1]]</f>
        <v>10</v>
      </c>
      <c r="D56">
        <f t="shared" si="1"/>
        <v>1</v>
      </c>
      <c r="E56">
        <f>step3_validation[[#This Row],[AI_ENF2]]</f>
        <v>7</v>
      </c>
      <c r="F56">
        <f t="shared" si="2"/>
        <v>0.66666666666666663</v>
      </c>
      <c r="G56">
        <f>[1]!survey_responses[[#This Row],[Tôi tin rằng Nhà nước, cơ quan thuế có đủ khả năng và công nghệ để phát hiện, xử lý nghiêm các hành vi trốn thuế. - HUMAN-ENF2]]</f>
        <v>9</v>
      </c>
      <c r="H56">
        <f t="shared" si="3"/>
        <v>0.88888888888888884</v>
      </c>
      <c r="I56" s="32">
        <f t="shared" si="4"/>
        <v>0.61111111111111116</v>
      </c>
      <c r="J56" s="32">
        <f t="shared" si="5"/>
        <v>0.94444444444444442</v>
      </c>
      <c r="K56">
        <f>step3_validation[[#This Row],[AI_FAC1]]</f>
        <v>8</v>
      </c>
      <c r="L56">
        <f t="shared" si="6"/>
        <v>0.77777777777777779</v>
      </c>
      <c r="M56">
        <f>[1]!survey_responses[[#This Row],[Các thủ tục khai báo thuế VÀ/HOẶC quy trình làm việc với cơ quan thuế đơn giản, tiện lợi, nhanh chóng hơn so với trước đây. - HUMAN-FAC1]]</f>
        <v>3</v>
      </c>
      <c r="N56">
        <f t="shared" si="7"/>
        <v>0.22222222222222221</v>
      </c>
      <c r="O56">
        <f>step3_validation[[#This Row],[AI_FAC2]]</f>
        <v>9</v>
      </c>
      <c r="P56">
        <f t="shared" si="8"/>
        <v>0.88888888888888884</v>
      </c>
      <c r="Q56">
        <f>[1]!survey_responses[[#This Row],[So với trước đây, tôi thấy cách tính thuế và các bậc thuế trong phương án mới đơn giản, dễ hiểu và dễ thực hiện hơn. - HUMAN-FAC2]]</f>
        <v>4</v>
      </c>
      <c r="R56">
        <f t="shared" si="9"/>
        <v>0.33333333333333331</v>
      </c>
      <c r="S56" s="32">
        <f t="shared" si="10"/>
        <v>0.83333333333333326</v>
      </c>
      <c r="T56" s="32">
        <f t="shared" si="11"/>
        <v>0.27777777777777779</v>
      </c>
      <c r="U56">
        <f>step3_validation[[#This Row],[AI_TRU1]]</f>
        <v>7</v>
      </c>
      <c r="V56">
        <f t="shared" si="12"/>
        <v>0.66666666666666663</v>
      </c>
      <c r="W56">
        <f>[1]!survey_responses[[#This Row],[Tôi tin rằng Nhà nước, cơ quan thuế sẽ thực thi chính sách mới một cách khách quan, công tâm và đối xử bình đẳng với mọi người nộp thuế.  - HUMAN-TRU1]]</f>
        <v>3</v>
      </c>
      <c r="X56">
        <f t="shared" si="13"/>
        <v>0.22222222222222221</v>
      </c>
      <c r="Y56">
        <f>step3_validation[[#This Row],[AI_TRU2]]</f>
        <v>8</v>
      </c>
      <c r="Z56">
        <f t="shared" si="14"/>
        <v>0.77777777777777779</v>
      </c>
      <c r="AA56">
        <f>[1]!survey_responses[[#This Row],[Tôi thấy mức thuế tôi phải đóng theo phương án mới là công bằng (người thu nhập như tôi đóng mức này là hợp lý). - HUMAN-TRU2]]</f>
        <v>3</v>
      </c>
      <c r="AB56">
        <f t="shared" si="15"/>
        <v>0.22222222222222221</v>
      </c>
      <c r="AC56">
        <f>step3_validation[[#This Row],[AI_TRU3]]</f>
        <v>7</v>
      </c>
      <c r="AD56">
        <f t="shared" si="16"/>
        <v>0.66666666666666663</v>
      </c>
      <c r="AE56">
        <f>[1]!survey_responses[[#This Row],[Tôi tin tưởng số tiền thuế tôi đóng sẽ được Nhà nước sử dụng hiệu quả để cải thiện dịch vụ công (y tế, đường xá...). - HUMAN-TRU3]]</f>
        <v>1</v>
      </c>
      <c r="AF56">
        <f t="shared" si="17"/>
        <v>0</v>
      </c>
      <c r="AG56">
        <f>step3_validation[[#This Row],[AI_TRU4]]</f>
        <v>6</v>
      </c>
      <c r="AH56">
        <f t="shared" si="18"/>
        <v>0.55555555555555558</v>
      </c>
      <c r="AI56">
        <f>[1]!survey_responses[[#This Row],[Tôi thấy Nhà nước đã giải thích rõ ràng, minh bạch về lý do và mục tiêu của việc sửa đổi thuế lần này. - HUMAN-TRU4]]</f>
        <v>1</v>
      </c>
      <c r="AJ56">
        <f t="shared" si="19"/>
        <v>0</v>
      </c>
      <c r="AK56" s="32">
        <f t="shared" si="20"/>
        <v>0.66666666666666674</v>
      </c>
      <c r="AL56" s="32">
        <f t="shared" si="21"/>
        <v>0.1111111111111111</v>
      </c>
      <c r="AM56" s="7">
        <f t="shared" si="22"/>
        <v>0.70370370370370372</v>
      </c>
      <c r="AN56" s="7">
        <f t="shared" si="23"/>
        <v>0.44444444444444448</v>
      </c>
      <c r="AO56">
        <f>step3_validation[[#This Row],[AI_OUT1]]</f>
        <v>7</v>
      </c>
      <c r="AP56">
        <f t="shared" si="24"/>
        <v>0.66666666666666663</v>
      </c>
      <c r="AQ56">
        <f>[1]!survey_responses[[#This Row],[Sau khi xem xét các quyền lợi và nghĩa vụ, bạn có ủng hộ và tuân thủ chính sách mới hiện nay? - HUMAN-OUT1]]</f>
        <v>3</v>
      </c>
      <c r="AR56">
        <f t="shared" si="25"/>
        <v>0.22222222222222221</v>
      </c>
      <c r="AS56" s="32">
        <f t="shared" si="26"/>
        <v>4</v>
      </c>
    </row>
    <row r="57" spans="1:45" x14ac:dyDescent="0.45">
      <c r="A57">
        <f>step3_validation[[#This Row],[AI_ENF1]]</f>
        <v>7</v>
      </c>
      <c r="B57">
        <f t="shared" si="0"/>
        <v>0.66666666666666663</v>
      </c>
      <c r="C57">
        <f>[1]!survey_responses[[#This Row],[Tôi tin rằng với các quy định quản lý thuế hiện nay, hành vi gian lận hoặc trốn thuế sẽ dễ dàng bị phát hiện và xử lý nghiêm. - HUMAN-ENF1]]</f>
        <v>10</v>
      </c>
      <c r="D57">
        <f t="shared" si="1"/>
        <v>1</v>
      </c>
      <c r="E57">
        <f>step3_validation[[#This Row],[AI_ENF2]]</f>
        <v>6</v>
      </c>
      <c r="F57">
        <f t="shared" si="2"/>
        <v>0.55555555555555558</v>
      </c>
      <c r="G57">
        <f>[1]!survey_responses[[#This Row],[Tôi tin rằng Nhà nước, cơ quan thuế có đủ khả năng và công nghệ để phát hiện, xử lý nghiêm các hành vi trốn thuế. - HUMAN-ENF2]]</f>
        <v>10</v>
      </c>
      <c r="H57">
        <f t="shared" si="3"/>
        <v>1</v>
      </c>
      <c r="I57" s="32">
        <f t="shared" si="4"/>
        <v>0.61111111111111116</v>
      </c>
      <c r="J57" s="32">
        <f t="shared" si="5"/>
        <v>1</v>
      </c>
      <c r="K57">
        <f>step3_validation[[#This Row],[AI_FAC1]]</f>
        <v>8</v>
      </c>
      <c r="L57">
        <f t="shared" si="6"/>
        <v>0.77777777777777779</v>
      </c>
      <c r="M57">
        <f>[1]!survey_responses[[#This Row],[Các thủ tục khai báo thuế VÀ/HOẶC quy trình làm việc với cơ quan thuế đơn giản, tiện lợi, nhanh chóng hơn so với trước đây. - HUMAN-FAC1]]</f>
        <v>9</v>
      </c>
      <c r="N57">
        <f t="shared" si="7"/>
        <v>0.88888888888888884</v>
      </c>
      <c r="O57">
        <f>step3_validation[[#This Row],[AI_FAC2]]</f>
        <v>9</v>
      </c>
      <c r="P57">
        <f t="shared" si="8"/>
        <v>0.88888888888888884</v>
      </c>
      <c r="Q57">
        <f>[1]!survey_responses[[#This Row],[So với trước đây, tôi thấy cách tính thuế và các bậc thuế trong phương án mới đơn giản, dễ hiểu và dễ thực hiện hơn. - HUMAN-FAC2]]</f>
        <v>10</v>
      </c>
      <c r="R57">
        <f t="shared" si="9"/>
        <v>1</v>
      </c>
      <c r="S57" s="32">
        <f t="shared" si="10"/>
        <v>0.83333333333333326</v>
      </c>
      <c r="T57" s="32">
        <f t="shared" si="11"/>
        <v>0.94444444444444442</v>
      </c>
      <c r="U57">
        <f>step3_validation[[#This Row],[AI_TRU1]]</f>
        <v>7</v>
      </c>
      <c r="V57">
        <f t="shared" si="12"/>
        <v>0.66666666666666663</v>
      </c>
      <c r="W57">
        <f>[1]!survey_responses[[#This Row],[Tôi tin rằng Nhà nước, cơ quan thuế sẽ thực thi chính sách mới một cách khách quan, công tâm và đối xử bình đẳng với mọi người nộp thuế.  - HUMAN-TRU1]]</f>
        <v>9</v>
      </c>
      <c r="X57">
        <f t="shared" si="13"/>
        <v>0.88888888888888884</v>
      </c>
      <c r="Y57">
        <f>step3_validation[[#This Row],[AI_TRU2]]</f>
        <v>7</v>
      </c>
      <c r="Z57">
        <f t="shared" si="14"/>
        <v>0.66666666666666663</v>
      </c>
      <c r="AA57">
        <f>[1]!survey_responses[[#This Row],[Tôi thấy mức thuế tôi phải đóng theo phương án mới là công bằng (người thu nhập như tôi đóng mức này là hợp lý). - HUMAN-TRU2]]</f>
        <v>10</v>
      </c>
      <c r="AB57">
        <f t="shared" si="15"/>
        <v>1</v>
      </c>
      <c r="AC57">
        <f>step3_validation[[#This Row],[AI_TRU3]]</f>
        <v>6</v>
      </c>
      <c r="AD57">
        <f t="shared" si="16"/>
        <v>0.55555555555555558</v>
      </c>
      <c r="AE57">
        <f>[1]!survey_responses[[#This Row],[Tôi tin tưởng số tiền thuế tôi đóng sẽ được Nhà nước sử dụng hiệu quả để cải thiện dịch vụ công (y tế, đường xá...). - HUMAN-TRU3]]</f>
        <v>9</v>
      </c>
      <c r="AF57">
        <f t="shared" si="17"/>
        <v>0.88888888888888884</v>
      </c>
      <c r="AG57">
        <f>step3_validation[[#This Row],[AI_TRU4]]</f>
        <v>5</v>
      </c>
      <c r="AH57">
        <f t="shared" si="18"/>
        <v>0.44444444444444442</v>
      </c>
      <c r="AI57">
        <f>[1]!survey_responses[[#This Row],[Tôi thấy Nhà nước đã giải thích rõ ràng, minh bạch về lý do và mục tiêu của việc sửa đổi thuế lần này. - HUMAN-TRU4]]</f>
        <v>10</v>
      </c>
      <c r="AJ57">
        <f t="shared" si="19"/>
        <v>1</v>
      </c>
      <c r="AK57" s="32">
        <f t="shared" si="20"/>
        <v>0.58333333333333326</v>
      </c>
      <c r="AL57" s="32">
        <f t="shared" si="21"/>
        <v>0.94444444444444442</v>
      </c>
      <c r="AM57" s="7">
        <f t="shared" si="22"/>
        <v>0.67592592592592593</v>
      </c>
      <c r="AN57" s="7">
        <f t="shared" si="23"/>
        <v>0.96296296296296291</v>
      </c>
      <c r="AO57">
        <f>step3_validation[[#This Row],[AI_OUT1]]</f>
        <v>7</v>
      </c>
      <c r="AP57">
        <f t="shared" si="24"/>
        <v>0.66666666666666663</v>
      </c>
      <c r="AQ57">
        <f>[1]!survey_responses[[#This Row],[Sau khi xem xét các quyền lợi và nghĩa vụ, bạn có ủng hộ và tuân thủ chính sách mới hiện nay? - HUMAN-OUT1]]</f>
        <v>9</v>
      </c>
      <c r="AR57">
        <f t="shared" si="25"/>
        <v>0.88888888888888884</v>
      </c>
      <c r="AS57" s="32">
        <f t="shared" si="26"/>
        <v>2</v>
      </c>
    </row>
    <row r="58" spans="1:45" x14ac:dyDescent="0.45">
      <c r="A58">
        <f>step3_validation[[#This Row],[AI_ENF1]]</f>
        <v>7</v>
      </c>
      <c r="B58">
        <f t="shared" si="0"/>
        <v>0.66666666666666663</v>
      </c>
      <c r="C58">
        <f>[1]!survey_responses[[#This Row],[Tôi tin rằng với các quy định quản lý thuế hiện nay, hành vi gian lận hoặc trốn thuế sẽ dễ dàng bị phát hiện và xử lý nghiêm. - HUMAN-ENF1]]</f>
        <v>10</v>
      </c>
      <c r="D58">
        <f t="shared" si="1"/>
        <v>1</v>
      </c>
      <c r="E58">
        <f>step3_validation[[#This Row],[AI_ENF2]]</f>
        <v>8</v>
      </c>
      <c r="F58">
        <f t="shared" si="2"/>
        <v>0.77777777777777779</v>
      </c>
      <c r="G58">
        <f>[1]!survey_responses[[#This Row],[Tôi tin rằng Nhà nước, cơ quan thuế có đủ khả năng và công nghệ để phát hiện, xử lý nghiêm các hành vi trốn thuế. - HUMAN-ENF2]]</f>
        <v>10</v>
      </c>
      <c r="H58">
        <f t="shared" si="3"/>
        <v>1</v>
      </c>
      <c r="I58" s="32">
        <f t="shared" si="4"/>
        <v>0.72222222222222221</v>
      </c>
      <c r="J58" s="32">
        <f t="shared" si="5"/>
        <v>1</v>
      </c>
      <c r="K58">
        <f>step3_validation[[#This Row],[AI_FAC1]]</f>
        <v>6</v>
      </c>
      <c r="L58">
        <f t="shared" si="6"/>
        <v>0.55555555555555558</v>
      </c>
      <c r="M58">
        <f>[1]!survey_responses[[#This Row],[Các thủ tục khai báo thuế VÀ/HOẶC quy trình làm việc với cơ quan thuế đơn giản, tiện lợi, nhanh chóng hơn so với trước đây. - HUMAN-FAC1]]</f>
        <v>1</v>
      </c>
      <c r="N58">
        <f t="shared" si="7"/>
        <v>0</v>
      </c>
      <c r="O58">
        <f>step3_validation[[#This Row],[AI_FAC2]]</f>
        <v>7</v>
      </c>
      <c r="P58">
        <f t="shared" si="8"/>
        <v>0.66666666666666663</v>
      </c>
      <c r="Q58">
        <f>[1]!survey_responses[[#This Row],[So với trước đây, tôi thấy cách tính thuế và các bậc thuế trong phương án mới đơn giản, dễ hiểu và dễ thực hiện hơn. - HUMAN-FAC2]]</f>
        <v>5</v>
      </c>
      <c r="R58">
        <f t="shared" si="9"/>
        <v>0.44444444444444442</v>
      </c>
      <c r="S58" s="32">
        <f t="shared" si="10"/>
        <v>0.61111111111111116</v>
      </c>
      <c r="T58" s="32">
        <f t="shared" si="11"/>
        <v>0.22222222222222221</v>
      </c>
      <c r="U58">
        <f>step3_validation[[#This Row],[AI_TRU1]]</f>
        <v>8</v>
      </c>
      <c r="V58">
        <f t="shared" si="12"/>
        <v>0.77777777777777779</v>
      </c>
      <c r="W58">
        <f>[1]!survey_responses[[#This Row],[Tôi tin rằng Nhà nước, cơ quan thuế sẽ thực thi chính sách mới một cách khách quan, công tâm và đối xử bình đẳng với mọi người nộp thuế.  - HUMAN-TRU1]]</f>
        <v>7</v>
      </c>
      <c r="X58">
        <f t="shared" si="13"/>
        <v>0.66666666666666663</v>
      </c>
      <c r="Y58">
        <f>step3_validation[[#This Row],[AI_TRU2]]</f>
        <v>7</v>
      </c>
      <c r="Z58">
        <f t="shared" si="14"/>
        <v>0.66666666666666663</v>
      </c>
      <c r="AA58">
        <f>[1]!survey_responses[[#This Row],[Tôi thấy mức thuế tôi phải đóng theo phương án mới là công bằng (người thu nhập như tôi đóng mức này là hợp lý). - HUMAN-TRU2]]</f>
        <v>10</v>
      </c>
      <c r="AB58">
        <f t="shared" si="15"/>
        <v>1</v>
      </c>
      <c r="AC58">
        <f>step3_validation[[#This Row],[AI_TRU3]]</f>
        <v>6</v>
      </c>
      <c r="AD58">
        <f t="shared" si="16"/>
        <v>0.55555555555555558</v>
      </c>
      <c r="AE58">
        <f>[1]!survey_responses[[#This Row],[Tôi tin tưởng số tiền thuế tôi đóng sẽ được Nhà nước sử dụng hiệu quả để cải thiện dịch vụ công (y tế, đường xá...). - HUMAN-TRU3]]</f>
        <v>9</v>
      </c>
      <c r="AF58">
        <f t="shared" si="17"/>
        <v>0.88888888888888884</v>
      </c>
      <c r="AG58">
        <f>step3_validation[[#This Row],[AI_TRU4]]</f>
        <v>7</v>
      </c>
      <c r="AH58">
        <f t="shared" si="18"/>
        <v>0.66666666666666663</v>
      </c>
      <c r="AI58">
        <f>[1]!survey_responses[[#This Row],[Tôi thấy Nhà nước đã giải thích rõ ràng, minh bạch về lý do và mục tiêu của việc sửa đổi thuế lần này. - HUMAN-TRU4]]</f>
        <v>9</v>
      </c>
      <c r="AJ58">
        <f t="shared" si="19"/>
        <v>0.88888888888888884</v>
      </c>
      <c r="AK58" s="32">
        <f t="shared" si="20"/>
        <v>0.66666666666666663</v>
      </c>
      <c r="AL58" s="32">
        <f t="shared" si="21"/>
        <v>0.86111111111111105</v>
      </c>
      <c r="AM58" s="7">
        <f t="shared" si="22"/>
        <v>0.66666666666666663</v>
      </c>
      <c r="AN58" s="7">
        <f t="shared" si="23"/>
        <v>0.69444444444444453</v>
      </c>
      <c r="AO58">
        <f>step3_validation[[#This Row],[AI_OUT1]]</f>
        <v>8</v>
      </c>
      <c r="AP58">
        <f t="shared" si="24"/>
        <v>0.77777777777777779</v>
      </c>
      <c r="AQ58">
        <f>[1]!survey_responses[[#This Row],[Sau khi xem xét các quyền lợi và nghĩa vụ, bạn có ủng hộ và tuân thủ chính sách mới hiện nay? - HUMAN-OUT1]]</f>
        <v>10</v>
      </c>
      <c r="AR58">
        <f t="shared" si="25"/>
        <v>1</v>
      </c>
      <c r="AS58" s="32">
        <f t="shared" si="26"/>
        <v>2</v>
      </c>
    </row>
    <row r="59" spans="1:45" x14ac:dyDescent="0.45">
      <c r="A59">
        <f>step3_validation[[#This Row],[AI_ENF1]]</f>
        <v>7</v>
      </c>
      <c r="B59">
        <f t="shared" si="0"/>
        <v>0.66666666666666663</v>
      </c>
      <c r="C59">
        <f>[1]!survey_responses[[#This Row],[Tôi tin rằng với các quy định quản lý thuế hiện nay, hành vi gian lận hoặc trốn thuế sẽ dễ dàng bị phát hiện và xử lý nghiêm. - HUMAN-ENF1]]</f>
        <v>5</v>
      </c>
      <c r="D59">
        <f t="shared" si="1"/>
        <v>0.44444444444444442</v>
      </c>
      <c r="E59">
        <f>step3_validation[[#This Row],[AI_ENF2]]</f>
        <v>8</v>
      </c>
      <c r="F59">
        <f t="shared" si="2"/>
        <v>0.77777777777777779</v>
      </c>
      <c r="G59">
        <f>[1]!survey_responses[[#This Row],[Tôi tin rằng Nhà nước, cơ quan thuế có đủ khả năng và công nghệ để phát hiện, xử lý nghiêm các hành vi trốn thuế. - HUMAN-ENF2]]</f>
        <v>5</v>
      </c>
      <c r="H59">
        <f t="shared" si="3"/>
        <v>0.44444444444444442</v>
      </c>
      <c r="I59" s="32">
        <f t="shared" si="4"/>
        <v>0.72222222222222221</v>
      </c>
      <c r="J59" s="32">
        <f t="shared" si="5"/>
        <v>0.44444444444444442</v>
      </c>
      <c r="K59">
        <f>step3_validation[[#This Row],[AI_FAC1]]</f>
        <v>6</v>
      </c>
      <c r="L59">
        <f t="shared" si="6"/>
        <v>0.55555555555555558</v>
      </c>
      <c r="M59">
        <f>[1]!survey_responses[[#This Row],[Các thủ tục khai báo thuế VÀ/HOẶC quy trình làm việc với cơ quan thuế đơn giản, tiện lợi, nhanh chóng hơn so với trước đây. - HUMAN-FAC1]]</f>
        <v>4</v>
      </c>
      <c r="N59">
        <f t="shared" si="7"/>
        <v>0.33333333333333331</v>
      </c>
      <c r="O59">
        <f>step3_validation[[#This Row],[AI_FAC2]]</f>
        <v>8</v>
      </c>
      <c r="P59">
        <f t="shared" si="8"/>
        <v>0.77777777777777779</v>
      </c>
      <c r="Q59">
        <f>[1]!survey_responses[[#This Row],[So với trước đây, tôi thấy cách tính thuế và các bậc thuế trong phương án mới đơn giản, dễ hiểu và dễ thực hiện hơn. - HUMAN-FAC2]]</f>
        <v>8</v>
      </c>
      <c r="R59">
        <f t="shared" si="9"/>
        <v>0.77777777777777779</v>
      </c>
      <c r="S59" s="32">
        <f t="shared" si="10"/>
        <v>0.66666666666666674</v>
      </c>
      <c r="T59" s="32">
        <f t="shared" si="11"/>
        <v>0.55555555555555558</v>
      </c>
      <c r="U59">
        <f>step3_validation[[#This Row],[AI_TRU1]]</f>
        <v>9</v>
      </c>
      <c r="V59">
        <f t="shared" si="12"/>
        <v>0.88888888888888884</v>
      </c>
      <c r="W59">
        <f>[1]!survey_responses[[#This Row],[Tôi tin rằng Nhà nước, cơ quan thuế sẽ thực thi chính sách mới một cách khách quan, công tâm và đối xử bình đẳng với mọi người nộp thuế.  - HUMAN-TRU1]]</f>
        <v>5</v>
      </c>
      <c r="X59">
        <f t="shared" si="13"/>
        <v>0.44444444444444442</v>
      </c>
      <c r="Y59">
        <f>step3_validation[[#This Row],[AI_TRU2]]</f>
        <v>8</v>
      </c>
      <c r="Z59">
        <f t="shared" si="14"/>
        <v>0.77777777777777779</v>
      </c>
      <c r="AA59">
        <f>[1]!survey_responses[[#This Row],[Tôi thấy mức thuế tôi phải đóng theo phương án mới là công bằng (người thu nhập như tôi đóng mức này là hợp lý). - HUMAN-TRU2]]</f>
        <v>7</v>
      </c>
      <c r="AB59">
        <f t="shared" si="15"/>
        <v>0.66666666666666663</v>
      </c>
      <c r="AC59">
        <f>step3_validation[[#This Row],[AI_TRU3]]</f>
        <v>9</v>
      </c>
      <c r="AD59">
        <f t="shared" si="16"/>
        <v>0.88888888888888884</v>
      </c>
      <c r="AE59">
        <f>[1]!survey_responses[[#This Row],[Tôi tin tưởng số tiền thuế tôi đóng sẽ được Nhà nước sử dụng hiệu quả để cải thiện dịch vụ công (y tế, đường xá...). - HUMAN-TRU3]]</f>
        <v>7</v>
      </c>
      <c r="AF59">
        <f t="shared" si="17"/>
        <v>0.66666666666666663</v>
      </c>
      <c r="AG59">
        <f>step3_validation[[#This Row],[AI_TRU4]]</f>
        <v>7</v>
      </c>
      <c r="AH59">
        <f t="shared" si="18"/>
        <v>0.66666666666666663</v>
      </c>
      <c r="AI59">
        <f>[1]!survey_responses[[#This Row],[Tôi thấy Nhà nước đã giải thích rõ ràng, minh bạch về lý do và mục tiêu của việc sửa đổi thuế lần này. - HUMAN-TRU4]]</f>
        <v>7</v>
      </c>
      <c r="AJ59">
        <f t="shared" si="19"/>
        <v>0.66666666666666663</v>
      </c>
      <c r="AK59" s="32">
        <f t="shared" si="20"/>
        <v>0.80555555555555547</v>
      </c>
      <c r="AL59" s="32">
        <f t="shared" si="21"/>
        <v>0.61111111111111105</v>
      </c>
      <c r="AM59" s="7">
        <f t="shared" si="22"/>
        <v>0.7314814814814814</v>
      </c>
      <c r="AN59" s="7">
        <f t="shared" si="23"/>
        <v>0.53703703703703709</v>
      </c>
      <c r="AO59">
        <f>step3_validation[[#This Row],[AI_OUT1]]</f>
        <v>9</v>
      </c>
      <c r="AP59">
        <f t="shared" si="24"/>
        <v>0.88888888888888884</v>
      </c>
      <c r="AQ59">
        <f>[1]!survey_responses[[#This Row],[Sau khi xem xét các quyền lợi và nghĩa vụ, bạn có ủng hộ và tuân thủ chính sách mới hiện nay? - HUMAN-OUT1]]</f>
        <v>7</v>
      </c>
      <c r="AR59">
        <f t="shared" si="25"/>
        <v>0.66666666666666663</v>
      </c>
      <c r="AS59" s="32">
        <f t="shared" si="26"/>
        <v>2</v>
      </c>
    </row>
    <row r="60" spans="1:45" x14ac:dyDescent="0.45">
      <c r="A60">
        <f>step3_validation[[#This Row],[AI_ENF1]]</f>
        <v>7</v>
      </c>
      <c r="B60">
        <f t="shared" si="0"/>
        <v>0.66666666666666663</v>
      </c>
      <c r="C60">
        <f>[1]!survey_responses[[#This Row],[Tôi tin rằng với các quy định quản lý thuế hiện nay, hành vi gian lận hoặc trốn thuế sẽ dễ dàng bị phát hiện và xử lý nghiêm. - HUMAN-ENF1]]</f>
        <v>9</v>
      </c>
      <c r="D60">
        <f t="shared" si="1"/>
        <v>0.88888888888888884</v>
      </c>
      <c r="E60">
        <f>step3_validation[[#This Row],[AI_ENF2]]</f>
        <v>8</v>
      </c>
      <c r="F60">
        <f t="shared" si="2"/>
        <v>0.77777777777777779</v>
      </c>
      <c r="G60">
        <f>[1]!survey_responses[[#This Row],[Tôi tin rằng Nhà nước, cơ quan thuế có đủ khả năng và công nghệ để phát hiện, xử lý nghiêm các hành vi trốn thuế. - HUMAN-ENF2]]</f>
        <v>9</v>
      </c>
      <c r="H60">
        <f t="shared" si="3"/>
        <v>0.88888888888888884</v>
      </c>
      <c r="I60" s="32">
        <f t="shared" si="4"/>
        <v>0.72222222222222221</v>
      </c>
      <c r="J60" s="32">
        <f t="shared" si="5"/>
        <v>0.88888888888888884</v>
      </c>
      <c r="K60">
        <f>step3_validation[[#This Row],[AI_FAC1]]</f>
        <v>6</v>
      </c>
      <c r="L60">
        <f t="shared" si="6"/>
        <v>0.55555555555555558</v>
      </c>
      <c r="M60">
        <f>[1]!survey_responses[[#This Row],[Các thủ tục khai báo thuế VÀ/HOẶC quy trình làm việc với cơ quan thuế đơn giản, tiện lợi, nhanh chóng hơn so với trước đây. - HUMAN-FAC1]]</f>
        <v>9</v>
      </c>
      <c r="N60">
        <f t="shared" si="7"/>
        <v>0.88888888888888884</v>
      </c>
      <c r="O60">
        <f>step3_validation[[#This Row],[AI_FAC2]]</f>
        <v>8</v>
      </c>
      <c r="P60">
        <f t="shared" si="8"/>
        <v>0.77777777777777779</v>
      </c>
      <c r="Q60">
        <f>[1]!survey_responses[[#This Row],[So với trước đây, tôi thấy cách tính thuế và các bậc thuế trong phương án mới đơn giản, dễ hiểu và dễ thực hiện hơn. - HUMAN-FAC2]]</f>
        <v>7</v>
      </c>
      <c r="R60">
        <f t="shared" si="9"/>
        <v>0.66666666666666663</v>
      </c>
      <c r="S60" s="32">
        <f t="shared" si="10"/>
        <v>0.66666666666666674</v>
      </c>
      <c r="T60" s="32">
        <f t="shared" si="11"/>
        <v>0.77777777777777768</v>
      </c>
      <c r="U60">
        <f>step3_validation[[#This Row],[AI_TRU1]]</f>
        <v>7</v>
      </c>
      <c r="V60">
        <f t="shared" si="12"/>
        <v>0.66666666666666663</v>
      </c>
      <c r="W60">
        <f>[1]!survey_responses[[#This Row],[Tôi tin rằng Nhà nước, cơ quan thuế sẽ thực thi chính sách mới một cách khách quan, công tâm và đối xử bình đẳng với mọi người nộp thuế.  - HUMAN-TRU1]]</f>
        <v>7</v>
      </c>
      <c r="X60">
        <f t="shared" si="13"/>
        <v>0.66666666666666663</v>
      </c>
      <c r="Y60">
        <f>step3_validation[[#This Row],[AI_TRU2]]</f>
        <v>8</v>
      </c>
      <c r="Z60">
        <f t="shared" si="14"/>
        <v>0.77777777777777779</v>
      </c>
      <c r="AA60">
        <f>[1]!survey_responses[[#This Row],[Tôi thấy mức thuế tôi phải đóng theo phương án mới là công bằng (người thu nhập như tôi đóng mức này là hợp lý). - HUMAN-TRU2]]</f>
        <v>8</v>
      </c>
      <c r="AB60">
        <f t="shared" si="15"/>
        <v>0.77777777777777779</v>
      </c>
      <c r="AC60">
        <f>step3_validation[[#This Row],[AI_TRU3]]</f>
        <v>6</v>
      </c>
      <c r="AD60">
        <f t="shared" si="16"/>
        <v>0.55555555555555558</v>
      </c>
      <c r="AE60">
        <f>[1]!survey_responses[[#This Row],[Tôi tin tưởng số tiền thuế tôi đóng sẽ được Nhà nước sử dụng hiệu quả để cải thiện dịch vụ công (y tế, đường xá...). - HUMAN-TRU3]]</f>
        <v>8</v>
      </c>
      <c r="AF60">
        <f t="shared" si="17"/>
        <v>0.77777777777777779</v>
      </c>
      <c r="AG60">
        <f>step3_validation[[#This Row],[AI_TRU4]]</f>
        <v>7</v>
      </c>
      <c r="AH60">
        <f t="shared" si="18"/>
        <v>0.66666666666666663</v>
      </c>
      <c r="AI60">
        <f>[1]!survey_responses[[#This Row],[Tôi thấy Nhà nước đã giải thích rõ ràng, minh bạch về lý do và mục tiêu của việc sửa đổi thuế lần này. - HUMAN-TRU4]]</f>
        <v>6</v>
      </c>
      <c r="AJ60">
        <f t="shared" si="19"/>
        <v>0.55555555555555558</v>
      </c>
      <c r="AK60" s="32">
        <f t="shared" si="20"/>
        <v>0.66666666666666663</v>
      </c>
      <c r="AL60" s="32">
        <f t="shared" si="21"/>
        <v>0.69444444444444442</v>
      </c>
      <c r="AM60" s="7">
        <f t="shared" si="22"/>
        <v>0.68518518518518512</v>
      </c>
      <c r="AN60" s="7">
        <f t="shared" si="23"/>
        <v>0.78703703703703687</v>
      </c>
      <c r="AO60">
        <f>step3_validation[[#This Row],[AI_OUT1]]</f>
        <v>6</v>
      </c>
      <c r="AP60">
        <f t="shared" si="24"/>
        <v>0.55555555555555558</v>
      </c>
      <c r="AQ60">
        <f>[1]!survey_responses[[#This Row],[Sau khi xem xét các quyền lợi và nghĩa vụ, bạn có ủng hộ và tuân thủ chính sách mới hiện nay? - HUMAN-OUT1]]</f>
        <v>5</v>
      </c>
      <c r="AR60">
        <f t="shared" si="25"/>
        <v>0.44444444444444442</v>
      </c>
      <c r="AS60" s="32">
        <f t="shared" si="26"/>
        <v>1</v>
      </c>
    </row>
    <row r="61" spans="1:45" x14ac:dyDescent="0.45">
      <c r="A61">
        <f>step3_validation[[#This Row],[AI_ENF1]]</f>
        <v>7</v>
      </c>
      <c r="B61">
        <f t="shared" si="0"/>
        <v>0.66666666666666663</v>
      </c>
      <c r="C61">
        <f>[1]!survey_responses[[#This Row],[Tôi tin rằng với các quy định quản lý thuế hiện nay, hành vi gian lận hoặc trốn thuế sẽ dễ dàng bị phát hiện và xử lý nghiêm. - HUMAN-ENF1]]</f>
        <v>5</v>
      </c>
      <c r="D61">
        <f t="shared" si="1"/>
        <v>0.44444444444444442</v>
      </c>
      <c r="E61">
        <f>step3_validation[[#This Row],[AI_ENF2]]</f>
        <v>6</v>
      </c>
      <c r="F61">
        <f t="shared" si="2"/>
        <v>0.55555555555555558</v>
      </c>
      <c r="G61">
        <f>[1]!survey_responses[[#This Row],[Tôi tin rằng Nhà nước, cơ quan thuế có đủ khả năng và công nghệ để phát hiện, xử lý nghiêm các hành vi trốn thuế. - HUMAN-ENF2]]</f>
        <v>5</v>
      </c>
      <c r="H61">
        <f t="shared" si="3"/>
        <v>0.44444444444444442</v>
      </c>
      <c r="I61" s="32">
        <f t="shared" si="4"/>
        <v>0.61111111111111116</v>
      </c>
      <c r="J61" s="32">
        <f t="shared" si="5"/>
        <v>0.44444444444444442</v>
      </c>
      <c r="K61">
        <f>step3_validation[[#This Row],[AI_FAC1]]</f>
        <v>8</v>
      </c>
      <c r="L61">
        <f t="shared" si="6"/>
        <v>0.77777777777777779</v>
      </c>
      <c r="M61">
        <f>[1]!survey_responses[[#This Row],[Các thủ tục khai báo thuế VÀ/HOẶC quy trình làm việc với cơ quan thuế đơn giản, tiện lợi, nhanh chóng hơn so với trước đây. - HUMAN-FAC1]]</f>
        <v>5</v>
      </c>
      <c r="N61">
        <f t="shared" si="7"/>
        <v>0.44444444444444442</v>
      </c>
      <c r="O61">
        <f>step3_validation[[#This Row],[AI_FAC2]]</f>
        <v>9</v>
      </c>
      <c r="P61">
        <f t="shared" si="8"/>
        <v>0.88888888888888884</v>
      </c>
      <c r="Q61">
        <f>[1]!survey_responses[[#This Row],[So với trước đây, tôi thấy cách tính thuế và các bậc thuế trong phương án mới đơn giản, dễ hiểu và dễ thực hiện hơn. - HUMAN-FAC2]]</f>
        <v>5</v>
      </c>
      <c r="R61">
        <f t="shared" si="9"/>
        <v>0.44444444444444442</v>
      </c>
      <c r="S61" s="32">
        <f t="shared" si="10"/>
        <v>0.83333333333333326</v>
      </c>
      <c r="T61" s="32">
        <f t="shared" si="11"/>
        <v>0.44444444444444442</v>
      </c>
      <c r="U61">
        <f>step3_validation[[#This Row],[AI_TRU1]]</f>
        <v>7</v>
      </c>
      <c r="V61">
        <f t="shared" si="12"/>
        <v>0.66666666666666663</v>
      </c>
      <c r="W61">
        <f>[1]!survey_responses[[#This Row],[Tôi tin rằng Nhà nước, cơ quan thuế sẽ thực thi chính sách mới một cách khách quan, công tâm và đối xử bình đẳng với mọi người nộp thuế.  - HUMAN-TRU1]]</f>
        <v>5</v>
      </c>
      <c r="X61">
        <f t="shared" si="13"/>
        <v>0.44444444444444442</v>
      </c>
      <c r="Y61">
        <f>step3_validation[[#This Row],[AI_TRU2]]</f>
        <v>8</v>
      </c>
      <c r="Z61">
        <f t="shared" si="14"/>
        <v>0.77777777777777779</v>
      </c>
      <c r="AA61">
        <f>[1]!survey_responses[[#This Row],[Tôi thấy mức thuế tôi phải đóng theo phương án mới là công bằng (người thu nhập như tôi đóng mức này là hợp lý). - HUMAN-TRU2]]</f>
        <v>8</v>
      </c>
      <c r="AB61">
        <f t="shared" si="15"/>
        <v>0.77777777777777779</v>
      </c>
      <c r="AC61">
        <f>step3_validation[[#This Row],[AI_TRU3]]</f>
        <v>6</v>
      </c>
      <c r="AD61">
        <f t="shared" si="16"/>
        <v>0.55555555555555558</v>
      </c>
      <c r="AE61">
        <f>[1]!survey_responses[[#This Row],[Tôi tin tưởng số tiền thuế tôi đóng sẽ được Nhà nước sử dụng hiệu quả để cải thiện dịch vụ công (y tế, đường xá...). - HUMAN-TRU3]]</f>
        <v>4</v>
      </c>
      <c r="AF61">
        <f t="shared" si="17"/>
        <v>0.33333333333333331</v>
      </c>
      <c r="AG61">
        <f>step3_validation[[#This Row],[AI_TRU4]]</f>
        <v>7</v>
      </c>
      <c r="AH61">
        <f t="shared" si="18"/>
        <v>0.66666666666666663</v>
      </c>
      <c r="AI61">
        <f>[1]!survey_responses[[#This Row],[Tôi thấy Nhà nước đã giải thích rõ ràng, minh bạch về lý do và mục tiêu của việc sửa đổi thuế lần này. - HUMAN-TRU4]]</f>
        <v>5</v>
      </c>
      <c r="AJ61">
        <f t="shared" si="19"/>
        <v>0.44444444444444442</v>
      </c>
      <c r="AK61" s="32">
        <f t="shared" si="20"/>
        <v>0.66666666666666663</v>
      </c>
      <c r="AL61" s="32">
        <f t="shared" si="21"/>
        <v>0.5</v>
      </c>
      <c r="AM61" s="7">
        <f t="shared" si="22"/>
        <v>0.70370370370370372</v>
      </c>
      <c r="AN61" s="7">
        <f t="shared" si="23"/>
        <v>0.46296296296296297</v>
      </c>
      <c r="AO61">
        <f>step3_validation[[#This Row],[AI_OUT1]]</f>
        <v>8</v>
      </c>
      <c r="AP61">
        <f t="shared" si="24"/>
        <v>0.77777777777777779</v>
      </c>
      <c r="AQ61">
        <f>[1]!survey_responses[[#This Row],[Sau khi xem xét các quyền lợi và nghĩa vụ, bạn có ủng hộ và tuân thủ chính sách mới hiện nay? - HUMAN-OUT1]]</f>
        <v>5</v>
      </c>
      <c r="AR61">
        <f t="shared" si="25"/>
        <v>0.44444444444444442</v>
      </c>
      <c r="AS61" s="32">
        <f t="shared" si="26"/>
        <v>3</v>
      </c>
    </row>
    <row r="62" spans="1:45" x14ac:dyDescent="0.45">
      <c r="A62">
        <f>step3_validation[[#This Row],[AI_ENF1]]</f>
        <v>8</v>
      </c>
      <c r="B62">
        <f t="shared" si="0"/>
        <v>0.77777777777777779</v>
      </c>
      <c r="C62">
        <f>[1]!survey_responses[[#This Row],[Tôi tin rằng với các quy định quản lý thuế hiện nay, hành vi gian lận hoặc trốn thuế sẽ dễ dàng bị phát hiện và xử lý nghiêm. - HUMAN-ENF1]]</f>
        <v>8</v>
      </c>
      <c r="D62">
        <f t="shared" si="1"/>
        <v>0.77777777777777779</v>
      </c>
      <c r="E62">
        <f>step3_validation[[#This Row],[AI_ENF2]]</f>
        <v>9</v>
      </c>
      <c r="F62">
        <f t="shared" si="2"/>
        <v>0.88888888888888884</v>
      </c>
      <c r="G62">
        <f>[1]!survey_responses[[#This Row],[Tôi tin rằng Nhà nước, cơ quan thuế có đủ khả năng và công nghệ để phát hiện, xử lý nghiêm các hành vi trốn thuế. - HUMAN-ENF2]]</f>
        <v>9</v>
      </c>
      <c r="H62">
        <f t="shared" si="3"/>
        <v>0.88888888888888884</v>
      </c>
      <c r="I62" s="32">
        <f t="shared" si="4"/>
        <v>0.83333333333333326</v>
      </c>
      <c r="J62" s="32">
        <f t="shared" si="5"/>
        <v>0.83333333333333326</v>
      </c>
      <c r="K62">
        <f>step3_validation[[#This Row],[AI_FAC1]]</f>
        <v>8</v>
      </c>
      <c r="L62">
        <f t="shared" si="6"/>
        <v>0.77777777777777779</v>
      </c>
      <c r="M62">
        <f>[1]!survey_responses[[#This Row],[Các thủ tục khai báo thuế VÀ/HOẶC quy trình làm việc với cơ quan thuế đơn giản, tiện lợi, nhanh chóng hơn so với trước đây. - HUMAN-FAC1]]</f>
        <v>9</v>
      </c>
      <c r="N62">
        <f t="shared" si="7"/>
        <v>0.88888888888888884</v>
      </c>
      <c r="O62">
        <f>step3_validation[[#This Row],[AI_FAC2]]</f>
        <v>7</v>
      </c>
      <c r="P62">
        <f t="shared" si="8"/>
        <v>0.66666666666666663</v>
      </c>
      <c r="Q62">
        <f>[1]!survey_responses[[#This Row],[So với trước đây, tôi thấy cách tính thuế và các bậc thuế trong phương án mới đơn giản, dễ hiểu và dễ thực hiện hơn. - HUMAN-FAC2]]</f>
        <v>9</v>
      </c>
      <c r="R62">
        <f t="shared" si="9"/>
        <v>0.88888888888888884</v>
      </c>
      <c r="S62" s="32">
        <f t="shared" si="10"/>
        <v>0.72222222222222221</v>
      </c>
      <c r="T62" s="32">
        <f t="shared" si="11"/>
        <v>0.88888888888888884</v>
      </c>
      <c r="U62">
        <f>step3_validation[[#This Row],[AI_TRU1]]</f>
        <v>8</v>
      </c>
      <c r="V62">
        <f t="shared" si="12"/>
        <v>0.77777777777777779</v>
      </c>
      <c r="W62">
        <f>[1]!survey_responses[[#This Row],[Tôi tin rằng Nhà nước, cơ quan thuế sẽ thực thi chính sách mới một cách khách quan, công tâm và đối xử bình đẳng với mọi người nộp thuế.  - HUMAN-TRU1]]</f>
        <v>9</v>
      </c>
      <c r="X62">
        <f t="shared" si="13"/>
        <v>0.88888888888888884</v>
      </c>
      <c r="Y62">
        <f>step3_validation[[#This Row],[AI_TRU2]]</f>
        <v>6</v>
      </c>
      <c r="Z62">
        <f t="shared" si="14"/>
        <v>0.55555555555555558</v>
      </c>
      <c r="AA62">
        <f>[1]!survey_responses[[#This Row],[Tôi thấy mức thuế tôi phải đóng theo phương án mới là công bằng (người thu nhập như tôi đóng mức này là hợp lý). - HUMAN-TRU2]]</f>
        <v>8</v>
      </c>
      <c r="AB62">
        <f t="shared" si="15"/>
        <v>0.77777777777777779</v>
      </c>
      <c r="AC62">
        <f>step3_validation[[#This Row],[AI_TRU3]]</f>
        <v>7</v>
      </c>
      <c r="AD62">
        <f t="shared" si="16"/>
        <v>0.66666666666666663</v>
      </c>
      <c r="AE62">
        <f>[1]!survey_responses[[#This Row],[Tôi tin tưởng số tiền thuế tôi đóng sẽ được Nhà nước sử dụng hiệu quả để cải thiện dịch vụ công (y tế, đường xá...). - HUMAN-TRU3]]</f>
        <v>8</v>
      </c>
      <c r="AF62">
        <f t="shared" si="17"/>
        <v>0.77777777777777779</v>
      </c>
      <c r="AG62">
        <f>step3_validation[[#This Row],[AI_TRU4]]</f>
        <v>6</v>
      </c>
      <c r="AH62">
        <f t="shared" si="18"/>
        <v>0.55555555555555558</v>
      </c>
      <c r="AI62">
        <f>[1]!survey_responses[[#This Row],[Tôi thấy Nhà nước đã giải thích rõ ràng, minh bạch về lý do và mục tiêu của việc sửa đổi thuế lần này. - HUMAN-TRU4]]</f>
        <v>8</v>
      </c>
      <c r="AJ62">
        <f t="shared" si="19"/>
        <v>0.77777777777777779</v>
      </c>
      <c r="AK62" s="32">
        <f t="shared" si="20"/>
        <v>0.63888888888888884</v>
      </c>
      <c r="AL62" s="32">
        <f t="shared" si="21"/>
        <v>0.80555555555555547</v>
      </c>
      <c r="AM62" s="7">
        <f t="shared" si="22"/>
        <v>0.7314814814814814</v>
      </c>
      <c r="AN62" s="7">
        <f t="shared" si="23"/>
        <v>0.84259259259259256</v>
      </c>
      <c r="AO62">
        <f>step3_validation[[#This Row],[AI_OUT1]]</f>
        <v>7</v>
      </c>
      <c r="AP62">
        <f t="shared" si="24"/>
        <v>0.66666666666666663</v>
      </c>
      <c r="AQ62">
        <f>[1]!survey_responses[[#This Row],[Sau khi xem xét các quyền lợi và nghĩa vụ, bạn có ủng hộ và tuân thủ chính sách mới hiện nay? - HUMAN-OUT1]]</f>
        <v>9</v>
      </c>
      <c r="AR62">
        <f t="shared" si="25"/>
        <v>0.88888888888888884</v>
      </c>
      <c r="AS62" s="32">
        <f t="shared" si="26"/>
        <v>2</v>
      </c>
    </row>
    <row r="63" spans="1:45" x14ac:dyDescent="0.45">
      <c r="A63">
        <f>step3_validation[[#This Row],[AI_ENF1]]</f>
        <v>8</v>
      </c>
      <c r="B63">
        <f t="shared" si="0"/>
        <v>0.77777777777777779</v>
      </c>
      <c r="C63">
        <f>[1]!survey_responses[[#This Row],[Tôi tin rằng với các quy định quản lý thuế hiện nay, hành vi gian lận hoặc trốn thuế sẽ dễ dàng bị phát hiện và xử lý nghiêm. - HUMAN-ENF1]]</f>
        <v>9</v>
      </c>
      <c r="D63">
        <f t="shared" si="1"/>
        <v>0.88888888888888884</v>
      </c>
      <c r="E63">
        <f>step3_validation[[#This Row],[AI_ENF2]]</f>
        <v>9</v>
      </c>
      <c r="F63">
        <f t="shared" si="2"/>
        <v>0.88888888888888884</v>
      </c>
      <c r="G63">
        <f>[1]!survey_responses[[#This Row],[Tôi tin rằng Nhà nước, cơ quan thuế có đủ khả năng và công nghệ để phát hiện, xử lý nghiêm các hành vi trốn thuế. - HUMAN-ENF2]]</f>
        <v>9</v>
      </c>
      <c r="H63">
        <f t="shared" si="3"/>
        <v>0.88888888888888884</v>
      </c>
      <c r="I63" s="32">
        <f t="shared" si="4"/>
        <v>0.83333333333333326</v>
      </c>
      <c r="J63" s="32">
        <f t="shared" si="5"/>
        <v>0.88888888888888884</v>
      </c>
      <c r="K63">
        <f>step3_validation[[#This Row],[AI_FAC1]]</f>
        <v>7</v>
      </c>
      <c r="L63">
        <f t="shared" si="6"/>
        <v>0.66666666666666663</v>
      </c>
      <c r="M63">
        <f>[1]!survey_responses[[#This Row],[Các thủ tục khai báo thuế VÀ/HOẶC quy trình làm việc với cơ quan thuế đơn giản, tiện lợi, nhanh chóng hơn so với trước đây. - HUMAN-FAC1]]</f>
        <v>7</v>
      </c>
      <c r="N63">
        <f t="shared" si="7"/>
        <v>0.66666666666666663</v>
      </c>
      <c r="O63">
        <f>step3_validation[[#This Row],[AI_FAC2]]</f>
        <v>8</v>
      </c>
      <c r="P63">
        <f t="shared" si="8"/>
        <v>0.77777777777777779</v>
      </c>
      <c r="Q63">
        <f>[1]!survey_responses[[#This Row],[So với trước đây, tôi thấy cách tính thuế và các bậc thuế trong phương án mới đơn giản, dễ hiểu và dễ thực hiện hơn. - HUMAN-FAC2]]</f>
        <v>6</v>
      </c>
      <c r="R63">
        <f t="shared" si="9"/>
        <v>0.55555555555555558</v>
      </c>
      <c r="S63" s="32">
        <f t="shared" si="10"/>
        <v>0.72222222222222221</v>
      </c>
      <c r="T63" s="32">
        <f t="shared" si="11"/>
        <v>0.61111111111111116</v>
      </c>
      <c r="U63">
        <f>step3_validation[[#This Row],[AI_TRU1]]</f>
        <v>7</v>
      </c>
      <c r="V63">
        <f t="shared" si="12"/>
        <v>0.66666666666666663</v>
      </c>
      <c r="W63">
        <f>[1]!survey_responses[[#This Row],[Tôi tin rằng Nhà nước, cơ quan thuế sẽ thực thi chính sách mới một cách khách quan, công tâm và đối xử bình đẳng với mọi người nộp thuế.  - HUMAN-TRU1]]</f>
        <v>7</v>
      </c>
      <c r="X63">
        <f t="shared" si="13"/>
        <v>0.66666666666666663</v>
      </c>
      <c r="Y63">
        <f>step3_validation[[#This Row],[AI_TRU2]]</f>
        <v>8</v>
      </c>
      <c r="Z63">
        <f t="shared" si="14"/>
        <v>0.77777777777777779</v>
      </c>
      <c r="AA63">
        <f>[1]!survey_responses[[#This Row],[Tôi thấy mức thuế tôi phải đóng theo phương án mới là công bằng (người thu nhập như tôi đóng mức này là hợp lý). - HUMAN-TRU2]]</f>
        <v>5</v>
      </c>
      <c r="AB63">
        <f t="shared" si="15"/>
        <v>0.44444444444444442</v>
      </c>
      <c r="AC63">
        <f>step3_validation[[#This Row],[AI_TRU3]]</f>
        <v>7</v>
      </c>
      <c r="AD63">
        <f t="shared" si="16"/>
        <v>0.66666666666666663</v>
      </c>
      <c r="AE63">
        <f>[1]!survey_responses[[#This Row],[Tôi tin tưởng số tiền thuế tôi đóng sẽ được Nhà nước sử dụng hiệu quả để cải thiện dịch vụ công (y tế, đường xá...). - HUMAN-TRU3]]</f>
        <v>6</v>
      </c>
      <c r="AF63">
        <f t="shared" si="17"/>
        <v>0.55555555555555558</v>
      </c>
      <c r="AG63">
        <f>step3_validation[[#This Row],[AI_TRU4]]</f>
        <v>8</v>
      </c>
      <c r="AH63">
        <f t="shared" si="18"/>
        <v>0.77777777777777779</v>
      </c>
      <c r="AI63">
        <f>[1]!survey_responses[[#This Row],[Tôi thấy Nhà nước đã giải thích rõ ràng, minh bạch về lý do và mục tiêu của việc sửa đổi thuế lần này. - HUMAN-TRU4]]</f>
        <v>8</v>
      </c>
      <c r="AJ63">
        <f t="shared" si="19"/>
        <v>0.77777777777777779</v>
      </c>
      <c r="AK63" s="32">
        <f t="shared" si="20"/>
        <v>0.72222222222222221</v>
      </c>
      <c r="AL63" s="32">
        <f t="shared" si="21"/>
        <v>0.61111111111111116</v>
      </c>
      <c r="AM63" s="7">
        <f t="shared" si="22"/>
        <v>0.75925925925925919</v>
      </c>
      <c r="AN63" s="7">
        <f t="shared" si="23"/>
        <v>0.70370370370370372</v>
      </c>
      <c r="AO63">
        <f>step3_validation[[#This Row],[AI_OUT1]]</f>
        <v>9</v>
      </c>
      <c r="AP63">
        <f t="shared" si="24"/>
        <v>0.88888888888888884</v>
      </c>
      <c r="AQ63">
        <f>[1]!survey_responses[[#This Row],[Sau khi xem xét các quyền lợi và nghĩa vụ, bạn có ủng hộ và tuân thủ chính sách mới hiện nay? - HUMAN-OUT1]]</f>
        <v>5</v>
      </c>
      <c r="AR63">
        <f t="shared" si="25"/>
        <v>0.44444444444444442</v>
      </c>
      <c r="AS63" s="32">
        <f t="shared" si="26"/>
        <v>4</v>
      </c>
    </row>
    <row r="64" spans="1:45" x14ac:dyDescent="0.45">
      <c r="A64">
        <f>step3_validation[[#This Row],[AI_ENF1]]</f>
        <v>6</v>
      </c>
      <c r="B64">
        <f t="shared" si="0"/>
        <v>0.55555555555555558</v>
      </c>
      <c r="C64">
        <f>[1]!survey_responses[[#This Row],[Tôi tin rằng với các quy định quản lý thuế hiện nay, hành vi gian lận hoặc trốn thuế sẽ dễ dàng bị phát hiện và xử lý nghiêm. - HUMAN-ENF1]]</f>
        <v>9</v>
      </c>
      <c r="D64">
        <f t="shared" si="1"/>
        <v>0.88888888888888884</v>
      </c>
      <c r="E64">
        <f>step3_validation[[#This Row],[AI_ENF2]]</f>
        <v>7</v>
      </c>
      <c r="F64">
        <f t="shared" si="2"/>
        <v>0.66666666666666663</v>
      </c>
      <c r="G64">
        <f>[1]!survey_responses[[#This Row],[Tôi tin rằng Nhà nước, cơ quan thuế có đủ khả năng và công nghệ để phát hiện, xử lý nghiêm các hành vi trốn thuế. - HUMAN-ENF2]]</f>
        <v>9</v>
      </c>
      <c r="H64">
        <f t="shared" si="3"/>
        <v>0.88888888888888884</v>
      </c>
      <c r="I64" s="32">
        <f t="shared" si="4"/>
        <v>0.61111111111111116</v>
      </c>
      <c r="J64" s="32">
        <f t="shared" si="5"/>
        <v>0.88888888888888884</v>
      </c>
      <c r="K64">
        <f>step3_validation[[#This Row],[AI_FAC1]]</f>
        <v>8</v>
      </c>
      <c r="L64">
        <f t="shared" si="6"/>
        <v>0.77777777777777779</v>
      </c>
      <c r="M64">
        <f>[1]!survey_responses[[#This Row],[Các thủ tục khai báo thuế VÀ/HOẶC quy trình làm việc với cơ quan thuế đơn giản, tiện lợi, nhanh chóng hơn so với trước đây. - HUMAN-FAC1]]</f>
        <v>9</v>
      </c>
      <c r="N64">
        <f t="shared" si="7"/>
        <v>0.88888888888888884</v>
      </c>
      <c r="O64">
        <f>step3_validation[[#This Row],[AI_FAC2]]</f>
        <v>9</v>
      </c>
      <c r="P64">
        <f t="shared" si="8"/>
        <v>0.88888888888888884</v>
      </c>
      <c r="Q64">
        <f>[1]!survey_responses[[#This Row],[So với trước đây, tôi thấy cách tính thuế và các bậc thuế trong phương án mới đơn giản, dễ hiểu và dễ thực hiện hơn. - HUMAN-FAC2]]</f>
        <v>9</v>
      </c>
      <c r="R64">
        <f t="shared" si="9"/>
        <v>0.88888888888888884</v>
      </c>
      <c r="S64" s="32">
        <f t="shared" si="10"/>
        <v>0.83333333333333326</v>
      </c>
      <c r="T64" s="32">
        <f t="shared" si="11"/>
        <v>0.88888888888888884</v>
      </c>
      <c r="U64">
        <f>step3_validation[[#This Row],[AI_TRU1]]</f>
        <v>7</v>
      </c>
      <c r="V64">
        <f t="shared" si="12"/>
        <v>0.66666666666666663</v>
      </c>
      <c r="W64">
        <f>[1]!survey_responses[[#This Row],[Tôi tin rằng Nhà nước, cơ quan thuế sẽ thực thi chính sách mới một cách khách quan, công tâm và đối xử bình đẳng với mọi người nộp thuế.  - HUMAN-TRU1]]</f>
        <v>8</v>
      </c>
      <c r="X64">
        <f t="shared" si="13"/>
        <v>0.77777777777777779</v>
      </c>
      <c r="Y64">
        <f>step3_validation[[#This Row],[AI_TRU2]]</f>
        <v>8</v>
      </c>
      <c r="Z64">
        <f t="shared" si="14"/>
        <v>0.77777777777777779</v>
      </c>
      <c r="AA64">
        <f>[1]!survey_responses[[#This Row],[Tôi thấy mức thuế tôi phải đóng theo phương án mới là công bằng (người thu nhập như tôi đóng mức này là hợp lý). - HUMAN-TRU2]]</f>
        <v>9</v>
      </c>
      <c r="AB64">
        <f t="shared" si="15"/>
        <v>0.88888888888888884</v>
      </c>
      <c r="AC64">
        <f>step3_validation[[#This Row],[AI_TRU3]]</f>
        <v>5</v>
      </c>
      <c r="AD64">
        <f t="shared" si="16"/>
        <v>0.44444444444444442</v>
      </c>
      <c r="AE64">
        <f>[1]!survey_responses[[#This Row],[Tôi tin tưởng số tiền thuế tôi đóng sẽ được Nhà nước sử dụng hiệu quả để cải thiện dịch vụ công (y tế, đường xá...). - HUMAN-TRU3]]</f>
        <v>9</v>
      </c>
      <c r="AF64">
        <f t="shared" si="17"/>
        <v>0.88888888888888884</v>
      </c>
      <c r="AG64">
        <f>step3_validation[[#This Row],[AI_TRU4]]</f>
        <v>6</v>
      </c>
      <c r="AH64">
        <f t="shared" si="18"/>
        <v>0.55555555555555558</v>
      </c>
      <c r="AI64">
        <f>[1]!survey_responses[[#This Row],[Tôi thấy Nhà nước đã giải thích rõ ràng, minh bạch về lý do và mục tiêu của việc sửa đổi thuế lần này. - HUMAN-TRU4]]</f>
        <v>8</v>
      </c>
      <c r="AJ64">
        <f t="shared" si="19"/>
        <v>0.77777777777777779</v>
      </c>
      <c r="AK64" s="32">
        <f t="shared" si="20"/>
        <v>0.61111111111111116</v>
      </c>
      <c r="AL64" s="32">
        <f t="shared" si="21"/>
        <v>0.83333333333333326</v>
      </c>
      <c r="AM64" s="7">
        <f t="shared" si="22"/>
        <v>0.68518518518518512</v>
      </c>
      <c r="AN64" s="7">
        <f t="shared" si="23"/>
        <v>0.87037037037037024</v>
      </c>
      <c r="AO64">
        <f>step3_validation[[#This Row],[AI_OUT1]]</f>
        <v>8</v>
      </c>
      <c r="AP64">
        <f t="shared" si="24"/>
        <v>0.77777777777777779</v>
      </c>
      <c r="AQ64">
        <f>[1]!survey_responses[[#This Row],[Sau khi xem xét các quyền lợi và nghĩa vụ, bạn có ủng hộ và tuân thủ chính sách mới hiện nay? - HUMAN-OUT1]]</f>
        <v>7</v>
      </c>
      <c r="AR64">
        <f t="shared" si="25"/>
        <v>0.66666666666666663</v>
      </c>
      <c r="AS64" s="32">
        <f t="shared" si="26"/>
        <v>1</v>
      </c>
    </row>
    <row r="65" spans="1:45" x14ac:dyDescent="0.45">
      <c r="A65">
        <f>step3_validation[[#This Row],[AI_ENF1]]</f>
        <v>6</v>
      </c>
      <c r="B65">
        <f t="shared" si="0"/>
        <v>0.55555555555555558</v>
      </c>
      <c r="C65">
        <f>[1]!survey_responses[[#This Row],[Tôi tin rằng với các quy định quản lý thuế hiện nay, hành vi gian lận hoặc trốn thuế sẽ dễ dàng bị phát hiện và xử lý nghiêm. - HUMAN-ENF1]]</f>
        <v>9</v>
      </c>
      <c r="D65">
        <f t="shared" si="1"/>
        <v>0.88888888888888884</v>
      </c>
      <c r="E65">
        <f>step3_validation[[#This Row],[AI_ENF2]]</f>
        <v>7</v>
      </c>
      <c r="F65">
        <f t="shared" si="2"/>
        <v>0.66666666666666663</v>
      </c>
      <c r="G65">
        <f>[1]!survey_responses[[#This Row],[Tôi tin rằng Nhà nước, cơ quan thuế có đủ khả năng và công nghệ để phát hiện, xử lý nghiêm các hành vi trốn thuế. - HUMAN-ENF2]]</f>
        <v>10</v>
      </c>
      <c r="H65">
        <f t="shared" si="3"/>
        <v>1</v>
      </c>
      <c r="I65" s="32">
        <f t="shared" si="4"/>
        <v>0.61111111111111116</v>
      </c>
      <c r="J65" s="32">
        <f t="shared" si="5"/>
        <v>0.94444444444444442</v>
      </c>
      <c r="K65">
        <f>step3_validation[[#This Row],[AI_FAC1]]</f>
        <v>8</v>
      </c>
      <c r="L65">
        <f t="shared" si="6"/>
        <v>0.77777777777777779</v>
      </c>
      <c r="M65">
        <f>[1]!survey_responses[[#This Row],[Các thủ tục khai báo thuế VÀ/HOẶC quy trình làm việc với cơ quan thuế đơn giản, tiện lợi, nhanh chóng hơn so với trước đây. - HUMAN-FAC1]]</f>
        <v>9</v>
      </c>
      <c r="N65">
        <f t="shared" si="7"/>
        <v>0.88888888888888884</v>
      </c>
      <c r="O65">
        <f>step3_validation[[#This Row],[AI_FAC2]]</f>
        <v>9</v>
      </c>
      <c r="P65">
        <f t="shared" si="8"/>
        <v>0.88888888888888884</v>
      </c>
      <c r="Q65">
        <f>[1]!survey_responses[[#This Row],[So với trước đây, tôi thấy cách tính thuế và các bậc thuế trong phương án mới đơn giản, dễ hiểu và dễ thực hiện hơn. - HUMAN-FAC2]]</f>
        <v>10</v>
      </c>
      <c r="R65">
        <f t="shared" si="9"/>
        <v>1</v>
      </c>
      <c r="S65" s="32">
        <f t="shared" si="10"/>
        <v>0.83333333333333326</v>
      </c>
      <c r="T65" s="32">
        <f t="shared" si="11"/>
        <v>0.94444444444444442</v>
      </c>
      <c r="U65">
        <f>step3_validation[[#This Row],[AI_TRU1]]</f>
        <v>7</v>
      </c>
      <c r="V65">
        <f t="shared" si="12"/>
        <v>0.66666666666666663</v>
      </c>
      <c r="W65">
        <f>[1]!survey_responses[[#This Row],[Tôi tin rằng Nhà nước, cơ quan thuế sẽ thực thi chính sách mới một cách khách quan, công tâm và đối xử bình đẳng với mọi người nộp thuế.  - HUMAN-TRU1]]</f>
        <v>10</v>
      </c>
      <c r="X65">
        <f t="shared" si="13"/>
        <v>1</v>
      </c>
      <c r="Y65">
        <f>step3_validation[[#This Row],[AI_TRU2]]</f>
        <v>8</v>
      </c>
      <c r="Z65">
        <f t="shared" si="14"/>
        <v>0.77777777777777779</v>
      </c>
      <c r="AA65">
        <f>[1]!survey_responses[[#This Row],[Tôi thấy mức thuế tôi phải đóng theo phương án mới là công bằng (người thu nhập như tôi đóng mức này là hợp lý). - HUMAN-TRU2]]</f>
        <v>5</v>
      </c>
      <c r="AB65">
        <f t="shared" si="15"/>
        <v>0.44444444444444442</v>
      </c>
      <c r="AC65">
        <f>step3_validation[[#This Row],[AI_TRU3]]</f>
        <v>7</v>
      </c>
      <c r="AD65">
        <f t="shared" si="16"/>
        <v>0.66666666666666663</v>
      </c>
      <c r="AE65">
        <f>[1]!survey_responses[[#This Row],[Tôi tin tưởng số tiền thuế tôi đóng sẽ được Nhà nước sử dụng hiệu quả để cải thiện dịch vụ công (y tế, đường xá...). - HUMAN-TRU3]]</f>
        <v>10</v>
      </c>
      <c r="AF65">
        <f t="shared" si="17"/>
        <v>1</v>
      </c>
      <c r="AG65">
        <f>step3_validation[[#This Row],[AI_TRU4]]</f>
        <v>5</v>
      </c>
      <c r="AH65">
        <f t="shared" si="18"/>
        <v>0.44444444444444442</v>
      </c>
      <c r="AI65">
        <f>[1]!survey_responses[[#This Row],[Tôi thấy Nhà nước đã giải thích rõ ràng, minh bạch về lý do và mục tiêu của việc sửa đổi thuế lần này. - HUMAN-TRU4]]</f>
        <v>7</v>
      </c>
      <c r="AJ65">
        <f t="shared" si="19"/>
        <v>0.66666666666666663</v>
      </c>
      <c r="AK65" s="32">
        <f t="shared" si="20"/>
        <v>0.63888888888888884</v>
      </c>
      <c r="AL65" s="32">
        <f t="shared" si="21"/>
        <v>0.77777777777777779</v>
      </c>
      <c r="AM65" s="7">
        <f t="shared" si="22"/>
        <v>0.69444444444444431</v>
      </c>
      <c r="AN65" s="7">
        <f t="shared" si="23"/>
        <v>0.88888888888888884</v>
      </c>
      <c r="AO65">
        <f>step3_validation[[#This Row],[AI_OUT1]]</f>
        <v>7</v>
      </c>
      <c r="AP65">
        <f t="shared" si="24"/>
        <v>0.66666666666666663</v>
      </c>
      <c r="AQ65">
        <f>[1]!survey_responses[[#This Row],[Sau khi xem xét các quyền lợi và nghĩa vụ, bạn có ủng hộ và tuân thủ chính sách mới hiện nay? - HUMAN-OUT1]]</f>
        <v>9</v>
      </c>
      <c r="AR65">
        <f t="shared" si="25"/>
        <v>0.88888888888888884</v>
      </c>
      <c r="AS65" s="32">
        <f t="shared" si="26"/>
        <v>2</v>
      </c>
    </row>
    <row r="66" spans="1:45" x14ac:dyDescent="0.45">
      <c r="A66">
        <f>step3_validation[[#This Row],[AI_ENF1]]</f>
        <v>7</v>
      </c>
      <c r="B66">
        <f t="shared" si="0"/>
        <v>0.66666666666666663</v>
      </c>
      <c r="C66">
        <f>[1]!survey_responses[[#This Row],[Tôi tin rằng với các quy định quản lý thuế hiện nay, hành vi gian lận hoặc trốn thuế sẽ dễ dàng bị phát hiện và xử lý nghiêm. - HUMAN-ENF1]]</f>
        <v>10</v>
      </c>
      <c r="D66">
        <f t="shared" si="1"/>
        <v>1</v>
      </c>
      <c r="E66">
        <f>step3_validation[[#This Row],[AI_ENF2]]</f>
        <v>8</v>
      </c>
      <c r="F66">
        <f t="shared" si="2"/>
        <v>0.77777777777777779</v>
      </c>
      <c r="G66">
        <f>[1]!survey_responses[[#This Row],[Tôi tin rằng Nhà nước, cơ quan thuế có đủ khả năng và công nghệ để phát hiện, xử lý nghiêm các hành vi trốn thuế. - HUMAN-ENF2]]</f>
        <v>10</v>
      </c>
      <c r="H66">
        <f t="shared" si="3"/>
        <v>1</v>
      </c>
      <c r="I66" s="32">
        <f t="shared" si="4"/>
        <v>0.72222222222222221</v>
      </c>
      <c r="J66" s="32">
        <f t="shared" si="5"/>
        <v>1</v>
      </c>
      <c r="K66">
        <f>step3_validation[[#This Row],[AI_FAC1]]</f>
        <v>6</v>
      </c>
      <c r="L66">
        <f t="shared" si="6"/>
        <v>0.55555555555555558</v>
      </c>
      <c r="M66">
        <f>[1]!survey_responses[[#This Row],[Các thủ tục khai báo thuế VÀ/HOẶC quy trình làm việc với cơ quan thuế đơn giản, tiện lợi, nhanh chóng hơn so với trước đây. - HUMAN-FAC1]]</f>
        <v>10</v>
      </c>
      <c r="N66">
        <f t="shared" si="7"/>
        <v>1</v>
      </c>
      <c r="O66">
        <f>step3_validation[[#This Row],[AI_FAC2]]</f>
        <v>8</v>
      </c>
      <c r="P66">
        <f t="shared" si="8"/>
        <v>0.77777777777777779</v>
      </c>
      <c r="Q66">
        <f>[1]!survey_responses[[#This Row],[So với trước đây, tôi thấy cách tính thuế và các bậc thuế trong phương án mới đơn giản, dễ hiểu và dễ thực hiện hơn. - HUMAN-FAC2]]</f>
        <v>10</v>
      </c>
      <c r="R66">
        <f t="shared" si="9"/>
        <v>1</v>
      </c>
      <c r="S66" s="32">
        <f t="shared" si="10"/>
        <v>0.66666666666666674</v>
      </c>
      <c r="T66" s="32">
        <f t="shared" si="11"/>
        <v>1</v>
      </c>
      <c r="U66">
        <f>step3_validation[[#This Row],[AI_TRU1]]</f>
        <v>7</v>
      </c>
      <c r="V66">
        <f t="shared" si="12"/>
        <v>0.66666666666666663</v>
      </c>
      <c r="W66">
        <f>[1]!survey_responses[[#This Row],[Tôi tin rằng Nhà nước, cơ quan thuế sẽ thực thi chính sách mới một cách khách quan, công tâm và đối xử bình đẳng với mọi người nộp thuế.  - HUMAN-TRU1]]</f>
        <v>10</v>
      </c>
      <c r="X66">
        <f t="shared" si="13"/>
        <v>1</v>
      </c>
      <c r="Y66">
        <f>step3_validation[[#This Row],[AI_TRU2]]</f>
        <v>6</v>
      </c>
      <c r="Z66">
        <f t="shared" si="14"/>
        <v>0.55555555555555558</v>
      </c>
      <c r="AA66">
        <f>[1]!survey_responses[[#This Row],[Tôi thấy mức thuế tôi phải đóng theo phương án mới là công bằng (người thu nhập như tôi đóng mức này là hợp lý). - HUMAN-TRU2]]</f>
        <v>10</v>
      </c>
      <c r="AB66">
        <f t="shared" si="15"/>
        <v>1</v>
      </c>
      <c r="AC66">
        <f>step3_validation[[#This Row],[AI_TRU3]]</f>
        <v>5</v>
      </c>
      <c r="AD66">
        <f t="shared" si="16"/>
        <v>0.44444444444444442</v>
      </c>
      <c r="AE66">
        <f>[1]!survey_responses[[#This Row],[Tôi tin tưởng số tiền thuế tôi đóng sẽ được Nhà nước sử dụng hiệu quả để cải thiện dịch vụ công (y tế, đường xá...). - HUMAN-TRU3]]</f>
        <v>10</v>
      </c>
      <c r="AF66">
        <f t="shared" si="17"/>
        <v>1</v>
      </c>
      <c r="AG66">
        <f>step3_validation[[#This Row],[AI_TRU4]]</f>
        <v>7</v>
      </c>
      <c r="AH66">
        <f t="shared" si="18"/>
        <v>0.66666666666666663</v>
      </c>
      <c r="AI66">
        <f>[1]!survey_responses[[#This Row],[Tôi thấy Nhà nước đã giải thích rõ ràng, minh bạch về lý do và mục tiêu của việc sửa đổi thuế lần này. - HUMAN-TRU4]]</f>
        <v>10</v>
      </c>
      <c r="AJ66">
        <f t="shared" si="19"/>
        <v>1</v>
      </c>
      <c r="AK66" s="32">
        <f t="shared" si="20"/>
        <v>0.58333333333333337</v>
      </c>
      <c r="AL66" s="32">
        <f t="shared" si="21"/>
        <v>1</v>
      </c>
      <c r="AM66" s="7">
        <f t="shared" si="22"/>
        <v>0.65740740740740744</v>
      </c>
      <c r="AN66" s="7">
        <f t="shared" si="23"/>
        <v>1</v>
      </c>
      <c r="AO66">
        <f>step3_validation[[#This Row],[AI_OUT1]]</f>
        <v>6</v>
      </c>
      <c r="AP66">
        <f t="shared" si="24"/>
        <v>0.55555555555555558</v>
      </c>
      <c r="AQ66">
        <f>[1]!survey_responses[[#This Row],[Sau khi xem xét các quyền lợi và nghĩa vụ, bạn có ủng hộ và tuân thủ chính sách mới hiện nay? - HUMAN-OUT1]]</f>
        <v>10</v>
      </c>
      <c r="AR66">
        <f t="shared" si="25"/>
        <v>1</v>
      </c>
      <c r="AS66" s="32">
        <f t="shared" si="26"/>
        <v>4</v>
      </c>
    </row>
    <row r="67" spans="1:45" x14ac:dyDescent="0.45">
      <c r="A67">
        <f>step3_validation[[#This Row],[AI_ENF1]]</f>
        <v>7</v>
      </c>
      <c r="B67">
        <f t="shared" ref="B67:B130" si="27">(A67-1)/9</f>
        <v>0.66666666666666663</v>
      </c>
      <c r="C67">
        <f>[1]!survey_responses[[#This Row],[Tôi tin rằng với các quy định quản lý thuế hiện nay, hành vi gian lận hoặc trốn thuế sẽ dễ dàng bị phát hiện và xử lý nghiêm. - HUMAN-ENF1]]</f>
        <v>7</v>
      </c>
      <c r="D67">
        <f t="shared" ref="D67:D130" si="28">(C67-1)/9</f>
        <v>0.66666666666666663</v>
      </c>
      <c r="E67">
        <f>step3_validation[[#This Row],[AI_ENF2]]</f>
        <v>8</v>
      </c>
      <c r="F67">
        <f t="shared" ref="F67:F130" si="29">(E67-1)/9</f>
        <v>0.77777777777777779</v>
      </c>
      <c r="G67">
        <f>[1]!survey_responses[[#This Row],[Tôi tin rằng Nhà nước, cơ quan thuế có đủ khả năng và công nghệ để phát hiện, xử lý nghiêm các hành vi trốn thuế. - HUMAN-ENF2]]</f>
        <v>5</v>
      </c>
      <c r="H67">
        <f t="shared" ref="H67:H130" si="30">(G67-1)/9</f>
        <v>0.44444444444444442</v>
      </c>
      <c r="I67" s="32">
        <f t="shared" ref="I67:I130" si="31">AVERAGE(B67,F67)</f>
        <v>0.72222222222222221</v>
      </c>
      <c r="J67" s="32">
        <f t="shared" ref="J67:J130" si="32">AVERAGE(D67,H67)</f>
        <v>0.55555555555555558</v>
      </c>
      <c r="K67">
        <f>step3_validation[[#This Row],[AI_FAC1]]</f>
        <v>9</v>
      </c>
      <c r="L67">
        <f t="shared" ref="L67:L130" si="33">(K67-1)/9</f>
        <v>0.88888888888888884</v>
      </c>
      <c r="M67">
        <f>[1]!survey_responses[[#This Row],[Các thủ tục khai báo thuế VÀ/HOẶC quy trình làm việc với cơ quan thuế đơn giản, tiện lợi, nhanh chóng hơn so với trước đây. - HUMAN-FAC1]]</f>
        <v>3</v>
      </c>
      <c r="N67">
        <f t="shared" ref="N67:N130" si="34">(M67-1)/9</f>
        <v>0.22222222222222221</v>
      </c>
      <c r="O67">
        <f>step3_validation[[#This Row],[AI_FAC2]]</f>
        <v>8</v>
      </c>
      <c r="P67">
        <f t="shared" ref="P67:P130" si="35">(O67-1)/9</f>
        <v>0.77777777777777779</v>
      </c>
      <c r="Q67">
        <f>[1]!survey_responses[[#This Row],[So với trước đây, tôi thấy cách tính thuế và các bậc thuế trong phương án mới đơn giản, dễ hiểu và dễ thực hiện hơn. - HUMAN-FAC2]]</f>
        <v>5</v>
      </c>
      <c r="R67">
        <f t="shared" ref="R67:R130" si="36">(Q67-1)/9</f>
        <v>0.44444444444444442</v>
      </c>
      <c r="S67" s="32">
        <f t="shared" ref="S67:S130" si="37">AVERAGE(L67,P67)</f>
        <v>0.83333333333333326</v>
      </c>
      <c r="T67" s="32">
        <f t="shared" ref="T67:T130" si="38">AVERAGE(N67,R67)</f>
        <v>0.33333333333333331</v>
      </c>
      <c r="U67">
        <f>step3_validation[[#This Row],[AI_TRU1]]</f>
        <v>8</v>
      </c>
      <c r="V67">
        <f t="shared" ref="V67:V130" si="39">(U67-1)/9</f>
        <v>0.77777777777777779</v>
      </c>
      <c r="W67">
        <f>[1]!survey_responses[[#This Row],[Tôi tin rằng Nhà nước, cơ quan thuế sẽ thực thi chính sách mới một cách khách quan, công tâm và đối xử bình đẳng với mọi người nộp thuế.  - HUMAN-TRU1]]</f>
        <v>4</v>
      </c>
      <c r="X67">
        <f t="shared" ref="X67:X130" si="40">(W67-1)/9</f>
        <v>0.33333333333333331</v>
      </c>
      <c r="Y67">
        <f>step3_validation[[#This Row],[AI_TRU2]]</f>
        <v>7</v>
      </c>
      <c r="Z67">
        <f t="shared" ref="Z67:Z130" si="41">(Y67-1)/9</f>
        <v>0.66666666666666663</v>
      </c>
      <c r="AA67">
        <f>[1]!survey_responses[[#This Row],[Tôi thấy mức thuế tôi phải đóng theo phương án mới là công bằng (người thu nhập như tôi đóng mức này là hợp lý). - HUMAN-TRU2]]</f>
        <v>3</v>
      </c>
      <c r="AB67">
        <f t="shared" ref="AB67:AB130" si="42">(AA67-1)/9</f>
        <v>0.22222222222222221</v>
      </c>
      <c r="AC67">
        <f>step3_validation[[#This Row],[AI_TRU3]]</f>
        <v>7</v>
      </c>
      <c r="AD67">
        <f t="shared" ref="AD67:AD130" si="43">(AC67-1)/9</f>
        <v>0.66666666666666663</v>
      </c>
      <c r="AE67">
        <f>[1]!survey_responses[[#This Row],[Tôi tin tưởng số tiền thuế tôi đóng sẽ được Nhà nước sử dụng hiệu quả để cải thiện dịch vụ công (y tế, đường xá...). - HUMAN-TRU3]]</f>
        <v>5</v>
      </c>
      <c r="AF67">
        <f t="shared" ref="AF67:AF130" si="44">(AE67-1)/9</f>
        <v>0.44444444444444442</v>
      </c>
      <c r="AG67">
        <f>step3_validation[[#This Row],[AI_TRU4]]</f>
        <v>7</v>
      </c>
      <c r="AH67">
        <f t="shared" ref="AH67:AH130" si="45">(AG67-1)/9</f>
        <v>0.66666666666666663</v>
      </c>
      <c r="AI67">
        <f>[1]!survey_responses[[#This Row],[Tôi thấy Nhà nước đã giải thích rõ ràng, minh bạch về lý do và mục tiêu của việc sửa đổi thuế lần này. - HUMAN-TRU4]]</f>
        <v>6</v>
      </c>
      <c r="AJ67">
        <f t="shared" ref="AJ67:AJ130" si="46">(AI67-1)/9</f>
        <v>0.55555555555555558</v>
      </c>
      <c r="AK67" s="32">
        <f t="shared" ref="AK67:AK130" si="47">AVERAGE(V67,Z67,AD67,AH67)</f>
        <v>0.69444444444444442</v>
      </c>
      <c r="AL67" s="32">
        <f t="shared" ref="AL67:AL130" si="48">AVERAGE(X67,AB67,AF67,AJ67)</f>
        <v>0.3888888888888889</v>
      </c>
      <c r="AM67" s="7">
        <f t="shared" ref="AM67:AM130" si="49">(I67+S67+AK67)/3</f>
        <v>0.75</v>
      </c>
      <c r="AN67" s="7">
        <f t="shared" ref="AN67:AN130" si="50">(J67+T67+AL67)/3</f>
        <v>0.42592592592592587</v>
      </c>
      <c r="AO67">
        <f>step3_validation[[#This Row],[AI_OUT1]]</f>
        <v>8</v>
      </c>
      <c r="AP67">
        <f t="shared" ref="AP67:AP130" si="51">(AO67-1)/9</f>
        <v>0.77777777777777779</v>
      </c>
      <c r="AQ67">
        <f>[1]!survey_responses[[#This Row],[Sau khi xem xét các quyền lợi và nghĩa vụ, bạn có ủng hộ và tuân thủ chính sách mới hiện nay? - HUMAN-OUT1]]</f>
        <v>6</v>
      </c>
      <c r="AR67">
        <f t="shared" ref="AR67:AR130" si="52">(AQ67-1)/9</f>
        <v>0.55555555555555558</v>
      </c>
      <c r="AS67" s="32">
        <f t="shared" ref="AS67:AS130" si="53">ABS(AQ67-AO67)</f>
        <v>2</v>
      </c>
    </row>
    <row r="68" spans="1:45" x14ac:dyDescent="0.45">
      <c r="A68">
        <f>step3_validation[[#This Row],[AI_ENF1]]</f>
        <v>8</v>
      </c>
      <c r="B68">
        <f t="shared" si="27"/>
        <v>0.77777777777777779</v>
      </c>
      <c r="C68">
        <f>[1]!survey_responses[[#This Row],[Tôi tin rằng với các quy định quản lý thuế hiện nay, hành vi gian lận hoặc trốn thuế sẽ dễ dàng bị phát hiện và xử lý nghiêm. - HUMAN-ENF1]]</f>
        <v>5</v>
      </c>
      <c r="D68">
        <f t="shared" si="28"/>
        <v>0.44444444444444442</v>
      </c>
      <c r="E68">
        <f>step3_validation[[#This Row],[AI_ENF2]]</f>
        <v>9</v>
      </c>
      <c r="F68">
        <f t="shared" si="29"/>
        <v>0.88888888888888884</v>
      </c>
      <c r="G68">
        <f>[1]!survey_responses[[#This Row],[Tôi tin rằng Nhà nước, cơ quan thuế có đủ khả năng và công nghệ để phát hiện, xử lý nghiêm các hành vi trốn thuế. - HUMAN-ENF2]]</f>
        <v>5</v>
      </c>
      <c r="H68">
        <f t="shared" si="30"/>
        <v>0.44444444444444442</v>
      </c>
      <c r="I68" s="32">
        <f t="shared" si="31"/>
        <v>0.83333333333333326</v>
      </c>
      <c r="J68" s="32">
        <f t="shared" si="32"/>
        <v>0.44444444444444442</v>
      </c>
      <c r="K68">
        <f>step3_validation[[#This Row],[AI_FAC1]]</f>
        <v>8</v>
      </c>
      <c r="L68">
        <f t="shared" si="33"/>
        <v>0.77777777777777779</v>
      </c>
      <c r="M68">
        <f>[1]!survey_responses[[#This Row],[Các thủ tục khai báo thuế VÀ/HOẶC quy trình làm việc với cơ quan thuế đơn giản, tiện lợi, nhanh chóng hơn so với trước đây. - HUMAN-FAC1]]</f>
        <v>4</v>
      </c>
      <c r="N68">
        <f t="shared" si="34"/>
        <v>0.33333333333333331</v>
      </c>
      <c r="O68">
        <f>step3_validation[[#This Row],[AI_FAC2]]</f>
        <v>7</v>
      </c>
      <c r="P68">
        <f t="shared" si="35"/>
        <v>0.66666666666666663</v>
      </c>
      <c r="Q68">
        <f>[1]!survey_responses[[#This Row],[So với trước đây, tôi thấy cách tính thuế và các bậc thuế trong phương án mới đơn giản, dễ hiểu và dễ thực hiện hơn. - HUMAN-FAC2]]</f>
        <v>4</v>
      </c>
      <c r="R68">
        <f t="shared" si="36"/>
        <v>0.33333333333333331</v>
      </c>
      <c r="S68" s="32">
        <f t="shared" si="37"/>
        <v>0.72222222222222221</v>
      </c>
      <c r="T68" s="32">
        <f t="shared" si="38"/>
        <v>0.33333333333333331</v>
      </c>
      <c r="U68">
        <f>step3_validation[[#This Row],[AI_TRU1]]</f>
        <v>8</v>
      </c>
      <c r="V68">
        <f t="shared" si="39"/>
        <v>0.77777777777777779</v>
      </c>
      <c r="W68">
        <f>[1]!survey_responses[[#This Row],[Tôi tin rằng Nhà nước, cơ quan thuế sẽ thực thi chính sách mới một cách khách quan, công tâm và đối xử bình đẳng với mọi người nộp thuế.  - HUMAN-TRU1]]</f>
        <v>2</v>
      </c>
      <c r="X68">
        <f t="shared" si="40"/>
        <v>0.1111111111111111</v>
      </c>
      <c r="Y68">
        <f>step3_validation[[#This Row],[AI_TRU2]]</f>
        <v>5</v>
      </c>
      <c r="Z68">
        <f t="shared" si="41"/>
        <v>0.44444444444444442</v>
      </c>
      <c r="AA68">
        <f>[1]!survey_responses[[#This Row],[Tôi thấy mức thuế tôi phải đóng theo phương án mới là công bằng (người thu nhập như tôi đóng mức này là hợp lý). - HUMAN-TRU2]]</f>
        <v>3</v>
      </c>
      <c r="AB68">
        <f t="shared" si="42"/>
        <v>0.22222222222222221</v>
      </c>
      <c r="AC68">
        <f>step3_validation[[#This Row],[AI_TRU3]]</f>
        <v>7</v>
      </c>
      <c r="AD68">
        <f t="shared" si="43"/>
        <v>0.66666666666666663</v>
      </c>
      <c r="AE68">
        <f>[1]!survey_responses[[#This Row],[Tôi tin tưởng số tiền thuế tôi đóng sẽ được Nhà nước sử dụng hiệu quả để cải thiện dịch vụ công (y tế, đường xá...). - HUMAN-TRU3]]</f>
        <v>2</v>
      </c>
      <c r="AF68">
        <f t="shared" si="44"/>
        <v>0.1111111111111111</v>
      </c>
      <c r="AG68">
        <f>step3_validation[[#This Row],[AI_TRU4]]</f>
        <v>5</v>
      </c>
      <c r="AH68">
        <f t="shared" si="45"/>
        <v>0.44444444444444442</v>
      </c>
      <c r="AI68">
        <f>[1]!survey_responses[[#This Row],[Tôi thấy Nhà nước đã giải thích rõ ràng, minh bạch về lý do và mục tiêu của việc sửa đổi thuế lần này. - HUMAN-TRU4]]</f>
        <v>3</v>
      </c>
      <c r="AJ68">
        <f t="shared" si="46"/>
        <v>0.22222222222222221</v>
      </c>
      <c r="AK68" s="32">
        <f t="shared" si="47"/>
        <v>0.58333333333333326</v>
      </c>
      <c r="AL68" s="32">
        <f t="shared" si="48"/>
        <v>0.16666666666666666</v>
      </c>
      <c r="AM68" s="7">
        <f t="shared" si="49"/>
        <v>0.7129629629629628</v>
      </c>
      <c r="AN68" s="7">
        <f t="shared" si="50"/>
        <v>0.31481481481481477</v>
      </c>
      <c r="AO68">
        <f>step3_validation[[#This Row],[AI_OUT1]]</f>
        <v>6</v>
      </c>
      <c r="AP68">
        <f t="shared" si="51"/>
        <v>0.55555555555555558</v>
      </c>
      <c r="AQ68">
        <f>[1]!survey_responses[[#This Row],[Sau khi xem xét các quyền lợi và nghĩa vụ, bạn có ủng hộ và tuân thủ chính sách mới hiện nay? - HUMAN-OUT1]]</f>
        <v>3</v>
      </c>
      <c r="AR68">
        <f t="shared" si="52"/>
        <v>0.22222222222222221</v>
      </c>
      <c r="AS68" s="32">
        <f t="shared" si="53"/>
        <v>3</v>
      </c>
    </row>
    <row r="69" spans="1:45" x14ac:dyDescent="0.45">
      <c r="A69">
        <f>step3_validation[[#This Row],[AI_ENF1]]</f>
        <v>7</v>
      </c>
      <c r="B69">
        <f t="shared" si="27"/>
        <v>0.66666666666666663</v>
      </c>
      <c r="C69">
        <f>[1]!survey_responses[[#This Row],[Tôi tin rằng với các quy định quản lý thuế hiện nay, hành vi gian lận hoặc trốn thuế sẽ dễ dàng bị phát hiện và xử lý nghiêm. - HUMAN-ENF1]]</f>
        <v>4</v>
      </c>
      <c r="D69">
        <f t="shared" si="28"/>
        <v>0.33333333333333331</v>
      </c>
      <c r="E69">
        <f>step3_validation[[#This Row],[AI_ENF2]]</f>
        <v>8</v>
      </c>
      <c r="F69">
        <f t="shared" si="29"/>
        <v>0.77777777777777779</v>
      </c>
      <c r="G69">
        <f>[1]!survey_responses[[#This Row],[Tôi tin rằng Nhà nước, cơ quan thuế có đủ khả năng và công nghệ để phát hiện, xử lý nghiêm các hành vi trốn thuế. - HUMAN-ENF2]]</f>
        <v>3</v>
      </c>
      <c r="H69">
        <f t="shared" si="30"/>
        <v>0.22222222222222221</v>
      </c>
      <c r="I69" s="32">
        <f t="shared" si="31"/>
        <v>0.72222222222222221</v>
      </c>
      <c r="J69" s="32">
        <f t="shared" si="32"/>
        <v>0.27777777777777779</v>
      </c>
      <c r="K69">
        <f>step3_validation[[#This Row],[AI_FAC1]]</f>
        <v>9</v>
      </c>
      <c r="L69">
        <f t="shared" si="33"/>
        <v>0.88888888888888884</v>
      </c>
      <c r="M69">
        <f>[1]!survey_responses[[#This Row],[Các thủ tục khai báo thuế VÀ/HOẶC quy trình làm việc với cơ quan thuế đơn giản, tiện lợi, nhanh chóng hơn so với trước đây. - HUMAN-FAC1]]</f>
        <v>1</v>
      </c>
      <c r="N69">
        <f t="shared" si="34"/>
        <v>0</v>
      </c>
      <c r="O69">
        <f>step3_validation[[#This Row],[AI_FAC2]]</f>
        <v>8</v>
      </c>
      <c r="P69">
        <f t="shared" si="35"/>
        <v>0.77777777777777779</v>
      </c>
      <c r="Q69">
        <f>[1]!survey_responses[[#This Row],[So với trước đây, tôi thấy cách tính thuế và các bậc thuế trong phương án mới đơn giản, dễ hiểu và dễ thực hiện hơn. - HUMAN-FAC2]]</f>
        <v>5</v>
      </c>
      <c r="R69">
        <f t="shared" si="36"/>
        <v>0.44444444444444442</v>
      </c>
      <c r="S69" s="32">
        <f t="shared" si="37"/>
        <v>0.83333333333333326</v>
      </c>
      <c r="T69" s="32">
        <f t="shared" si="38"/>
        <v>0.22222222222222221</v>
      </c>
      <c r="U69">
        <f>step3_validation[[#This Row],[AI_TRU1]]</f>
        <v>7</v>
      </c>
      <c r="V69">
        <f t="shared" si="39"/>
        <v>0.66666666666666663</v>
      </c>
      <c r="W69">
        <f>[1]!survey_responses[[#This Row],[Tôi tin rằng Nhà nước, cơ quan thuế sẽ thực thi chính sách mới một cách khách quan, công tâm và đối xử bình đẳng với mọi người nộp thuế.  - HUMAN-TRU1]]</f>
        <v>4</v>
      </c>
      <c r="X69">
        <f t="shared" si="40"/>
        <v>0.33333333333333331</v>
      </c>
      <c r="Y69">
        <f>step3_validation[[#This Row],[AI_TRU2]]</f>
        <v>6</v>
      </c>
      <c r="Z69">
        <f t="shared" si="41"/>
        <v>0.55555555555555558</v>
      </c>
      <c r="AA69">
        <f>[1]!survey_responses[[#This Row],[Tôi thấy mức thuế tôi phải đóng theo phương án mới là công bằng (người thu nhập như tôi đóng mức này là hợp lý). - HUMAN-TRU2]]</f>
        <v>3</v>
      </c>
      <c r="AB69">
        <f t="shared" si="42"/>
        <v>0.22222222222222221</v>
      </c>
      <c r="AC69">
        <f>step3_validation[[#This Row],[AI_TRU3]]</f>
        <v>5</v>
      </c>
      <c r="AD69">
        <f t="shared" si="43"/>
        <v>0.44444444444444442</v>
      </c>
      <c r="AE69">
        <f>[1]!survey_responses[[#This Row],[Tôi tin tưởng số tiền thuế tôi đóng sẽ được Nhà nước sử dụng hiệu quả để cải thiện dịch vụ công (y tế, đường xá...). - HUMAN-TRU3]]</f>
        <v>1</v>
      </c>
      <c r="AF69">
        <f t="shared" si="44"/>
        <v>0</v>
      </c>
      <c r="AG69">
        <f>step3_validation[[#This Row],[AI_TRU4]]</f>
        <v>4</v>
      </c>
      <c r="AH69">
        <f t="shared" si="45"/>
        <v>0.33333333333333331</v>
      </c>
      <c r="AI69">
        <f>[1]!survey_responses[[#This Row],[Tôi thấy Nhà nước đã giải thích rõ ràng, minh bạch về lý do và mục tiêu của việc sửa đổi thuế lần này. - HUMAN-TRU4]]</f>
        <v>3</v>
      </c>
      <c r="AJ69">
        <f t="shared" si="46"/>
        <v>0.22222222222222221</v>
      </c>
      <c r="AK69" s="32">
        <f t="shared" si="47"/>
        <v>0.5</v>
      </c>
      <c r="AL69" s="32">
        <f t="shared" si="48"/>
        <v>0.19444444444444445</v>
      </c>
      <c r="AM69" s="7">
        <f t="shared" si="49"/>
        <v>0.68518518518518512</v>
      </c>
      <c r="AN69" s="7">
        <f t="shared" si="50"/>
        <v>0.23148148148148148</v>
      </c>
      <c r="AO69">
        <f>step3_validation[[#This Row],[AI_OUT1]]</f>
        <v>8</v>
      </c>
      <c r="AP69">
        <f t="shared" si="51"/>
        <v>0.77777777777777779</v>
      </c>
      <c r="AQ69">
        <f>[1]!survey_responses[[#This Row],[Sau khi xem xét các quyền lợi và nghĩa vụ, bạn có ủng hộ và tuân thủ chính sách mới hiện nay? - HUMAN-OUT1]]</f>
        <v>5</v>
      </c>
      <c r="AR69">
        <f t="shared" si="52"/>
        <v>0.44444444444444442</v>
      </c>
      <c r="AS69" s="32">
        <f t="shared" si="53"/>
        <v>3</v>
      </c>
    </row>
    <row r="70" spans="1:45" x14ac:dyDescent="0.45">
      <c r="A70">
        <f>step3_validation[[#This Row],[AI_ENF1]]</f>
        <v>8</v>
      </c>
      <c r="B70">
        <f t="shared" si="27"/>
        <v>0.77777777777777779</v>
      </c>
      <c r="C70">
        <f>[1]!survey_responses[[#This Row],[Tôi tin rằng với các quy định quản lý thuế hiện nay, hành vi gian lận hoặc trốn thuế sẽ dễ dàng bị phát hiện và xử lý nghiêm. - HUMAN-ENF1]]</f>
        <v>7</v>
      </c>
      <c r="D70">
        <f t="shared" si="28"/>
        <v>0.66666666666666663</v>
      </c>
      <c r="E70">
        <f>step3_validation[[#This Row],[AI_ENF2]]</f>
        <v>9</v>
      </c>
      <c r="F70">
        <f t="shared" si="29"/>
        <v>0.88888888888888884</v>
      </c>
      <c r="G70">
        <f>[1]!survey_responses[[#This Row],[Tôi tin rằng Nhà nước, cơ quan thuế có đủ khả năng và công nghệ để phát hiện, xử lý nghiêm các hành vi trốn thuế. - HUMAN-ENF2]]</f>
        <v>7</v>
      </c>
      <c r="H70">
        <f t="shared" si="30"/>
        <v>0.66666666666666663</v>
      </c>
      <c r="I70" s="32">
        <f t="shared" si="31"/>
        <v>0.83333333333333326</v>
      </c>
      <c r="J70" s="32">
        <f t="shared" si="32"/>
        <v>0.66666666666666663</v>
      </c>
      <c r="K70">
        <f>step3_validation[[#This Row],[AI_FAC1]]</f>
        <v>7</v>
      </c>
      <c r="L70">
        <f t="shared" si="33"/>
        <v>0.66666666666666663</v>
      </c>
      <c r="M70">
        <f>[1]!survey_responses[[#This Row],[Các thủ tục khai báo thuế VÀ/HOẶC quy trình làm việc với cơ quan thuế đơn giản, tiện lợi, nhanh chóng hơn so với trước đây. - HUMAN-FAC1]]</f>
        <v>8</v>
      </c>
      <c r="N70">
        <f t="shared" si="34"/>
        <v>0.77777777777777779</v>
      </c>
      <c r="O70">
        <f>step3_validation[[#This Row],[AI_FAC2]]</f>
        <v>9</v>
      </c>
      <c r="P70">
        <f t="shared" si="35"/>
        <v>0.88888888888888884</v>
      </c>
      <c r="Q70">
        <f>[1]!survey_responses[[#This Row],[So với trước đây, tôi thấy cách tính thuế và các bậc thuế trong phương án mới đơn giản, dễ hiểu và dễ thực hiện hơn. - HUMAN-FAC2]]</f>
        <v>9</v>
      </c>
      <c r="R70">
        <f t="shared" si="36"/>
        <v>0.88888888888888884</v>
      </c>
      <c r="S70" s="32">
        <f t="shared" si="37"/>
        <v>0.77777777777777768</v>
      </c>
      <c r="T70" s="32">
        <f t="shared" si="38"/>
        <v>0.83333333333333326</v>
      </c>
      <c r="U70">
        <f>step3_validation[[#This Row],[AI_TRU1]]</f>
        <v>6</v>
      </c>
      <c r="V70">
        <f t="shared" si="39"/>
        <v>0.55555555555555558</v>
      </c>
      <c r="W70">
        <f>[1]!survey_responses[[#This Row],[Tôi tin rằng Nhà nước, cơ quan thuế sẽ thực thi chính sách mới một cách khách quan, công tâm và đối xử bình đẳng với mọi người nộp thuế.  - HUMAN-TRU1]]</f>
        <v>8</v>
      </c>
      <c r="X70">
        <f t="shared" si="40"/>
        <v>0.77777777777777779</v>
      </c>
      <c r="Y70">
        <f>step3_validation[[#This Row],[AI_TRU2]]</f>
        <v>8</v>
      </c>
      <c r="Z70">
        <f t="shared" si="41"/>
        <v>0.77777777777777779</v>
      </c>
      <c r="AA70">
        <f>[1]!survey_responses[[#This Row],[Tôi thấy mức thuế tôi phải đóng theo phương án mới là công bằng (người thu nhập như tôi đóng mức này là hợp lý). - HUMAN-TRU2]]</f>
        <v>10</v>
      </c>
      <c r="AB70">
        <f t="shared" si="42"/>
        <v>1</v>
      </c>
      <c r="AC70">
        <f>step3_validation[[#This Row],[AI_TRU3]]</f>
        <v>6</v>
      </c>
      <c r="AD70">
        <f t="shared" si="43"/>
        <v>0.55555555555555558</v>
      </c>
      <c r="AE70">
        <f>[1]!survey_responses[[#This Row],[Tôi tin tưởng số tiền thuế tôi đóng sẽ được Nhà nước sử dụng hiệu quả để cải thiện dịch vụ công (y tế, đường xá...). - HUMAN-TRU3]]</f>
        <v>9</v>
      </c>
      <c r="AF70">
        <f t="shared" si="44"/>
        <v>0.88888888888888884</v>
      </c>
      <c r="AG70">
        <f>step3_validation[[#This Row],[AI_TRU4]]</f>
        <v>7</v>
      </c>
      <c r="AH70">
        <f t="shared" si="45"/>
        <v>0.66666666666666663</v>
      </c>
      <c r="AI70">
        <f>[1]!survey_responses[[#This Row],[Tôi thấy Nhà nước đã giải thích rõ ràng, minh bạch về lý do và mục tiêu của việc sửa đổi thuế lần này. - HUMAN-TRU4]]</f>
        <v>9</v>
      </c>
      <c r="AJ70">
        <f t="shared" si="46"/>
        <v>0.88888888888888884</v>
      </c>
      <c r="AK70" s="32">
        <f t="shared" si="47"/>
        <v>0.63888888888888895</v>
      </c>
      <c r="AL70" s="32">
        <f t="shared" si="48"/>
        <v>0.88888888888888884</v>
      </c>
      <c r="AM70" s="7">
        <f t="shared" si="49"/>
        <v>0.75</v>
      </c>
      <c r="AN70" s="7">
        <f t="shared" si="50"/>
        <v>0.79629629629629628</v>
      </c>
      <c r="AO70">
        <f>step3_validation[[#This Row],[AI_OUT1]]</f>
        <v>8</v>
      </c>
      <c r="AP70">
        <f t="shared" si="51"/>
        <v>0.77777777777777779</v>
      </c>
      <c r="AQ70">
        <f>[1]!survey_responses[[#This Row],[Sau khi xem xét các quyền lợi và nghĩa vụ, bạn có ủng hộ và tuân thủ chính sách mới hiện nay? - HUMAN-OUT1]]</f>
        <v>9</v>
      </c>
      <c r="AR70">
        <f t="shared" si="52"/>
        <v>0.88888888888888884</v>
      </c>
      <c r="AS70" s="32">
        <f t="shared" si="53"/>
        <v>1</v>
      </c>
    </row>
    <row r="71" spans="1:45" x14ac:dyDescent="0.45">
      <c r="A71">
        <f>step3_validation[[#This Row],[AI_ENF1]]</f>
        <v>7</v>
      </c>
      <c r="B71">
        <f t="shared" si="27"/>
        <v>0.66666666666666663</v>
      </c>
      <c r="C71">
        <f>[1]!survey_responses[[#This Row],[Tôi tin rằng với các quy định quản lý thuế hiện nay, hành vi gian lận hoặc trốn thuế sẽ dễ dàng bị phát hiện và xử lý nghiêm. - HUMAN-ENF1]]</f>
        <v>6</v>
      </c>
      <c r="D71">
        <f t="shared" si="28"/>
        <v>0.55555555555555558</v>
      </c>
      <c r="E71">
        <f>step3_validation[[#This Row],[AI_ENF2]]</f>
        <v>8</v>
      </c>
      <c r="F71">
        <f t="shared" si="29"/>
        <v>0.77777777777777779</v>
      </c>
      <c r="G71">
        <f>[1]!survey_responses[[#This Row],[Tôi tin rằng Nhà nước, cơ quan thuế có đủ khả năng và công nghệ để phát hiện, xử lý nghiêm các hành vi trốn thuế. - HUMAN-ENF2]]</f>
        <v>6</v>
      </c>
      <c r="H71">
        <f t="shared" si="30"/>
        <v>0.55555555555555558</v>
      </c>
      <c r="I71" s="32">
        <f t="shared" si="31"/>
        <v>0.72222222222222221</v>
      </c>
      <c r="J71" s="32">
        <f t="shared" si="32"/>
        <v>0.55555555555555558</v>
      </c>
      <c r="K71">
        <f>step3_validation[[#This Row],[AI_FAC1]]</f>
        <v>9</v>
      </c>
      <c r="L71">
        <f t="shared" si="33"/>
        <v>0.88888888888888884</v>
      </c>
      <c r="M71">
        <f>[1]!survey_responses[[#This Row],[Các thủ tục khai báo thuế VÀ/HOẶC quy trình làm việc với cơ quan thuế đơn giản, tiện lợi, nhanh chóng hơn so với trước đây. - HUMAN-FAC1]]</f>
        <v>5</v>
      </c>
      <c r="N71">
        <f t="shared" si="34"/>
        <v>0.44444444444444442</v>
      </c>
      <c r="O71">
        <f>step3_validation[[#This Row],[AI_FAC2]]</f>
        <v>8</v>
      </c>
      <c r="P71">
        <f t="shared" si="35"/>
        <v>0.77777777777777779</v>
      </c>
      <c r="Q71">
        <f>[1]!survey_responses[[#This Row],[So với trước đây, tôi thấy cách tính thuế và các bậc thuế trong phương án mới đơn giản, dễ hiểu và dễ thực hiện hơn. - HUMAN-FAC2]]</f>
        <v>5</v>
      </c>
      <c r="R71">
        <f t="shared" si="36"/>
        <v>0.44444444444444442</v>
      </c>
      <c r="S71" s="32">
        <f t="shared" si="37"/>
        <v>0.83333333333333326</v>
      </c>
      <c r="T71" s="32">
        <f t="shared" si="38"/>
        <v>0.44444444444444442</v>
      </c>
      <c r="U71">
        <f>step3_validation[[#This Row],[AI_TRU1]]</f>
        <v>6</v>
      </c>
      <c r="V71">
        <f t="shared" si="39"/>
        <v>0.55555555555555558</v>
      </c>
      <c r="W71">
        <f>[1]!survey_responses[[#This Row],[Tôi tin rằng Nhà nước, cơ quan thuế sẽ thực thi chính sách mới một cách khách quan, công tâm và đối xử bình đẳng với mọi người nộp thuế.  - HUMAN-TRU1]]</f>
        <v>5</v>
      </c>
      <c r="X71">
        <f t="shared" si="40"/>
        <v>0.44444444444444442</v>
      </c>
      <c r="Y71">
        <f>step3_validation[[#This Row],[AI_TRU2]]</f>
        <v>7</v>
      </c>
      <c r="Z71">
        <f t="shared" si="41"/>
        <v>0.66666666666666663</v>
      </c>
      <c r="AA71">
        <f>[1]!survey_responses[[#This Row],[Tôi thấy mức thuế tôi phải đóng theo phương án mới là công bằng (người thu nhập như tôi đóng mức này là hợp lý). - HUMAN-TRU2]]</f>
        <v>1</v>
      </c>
      <c r="AB71">
        <f t="shared" si="42"/>
        <v>0</v>
      </c>
      <c r="AC71">
        <f>step3_validation[[#This Row],[AI_TRU3]]</f>
        <v>6</v>
      </c>
      <c r="AD71">
        <f t="shared" si="43"/>
        <v>0.55555555555555558</v>
      </c>
      <c r="AE71">
        <f>[1]!survey_responses[[#This Row],[Tôi tin tưởng số tiền thuế tôi đóng sẽ được Nhà nước sử dụng hiệu quả để cải thiện dịch vụ công (y tế, đường xá...). - HUMAN-TRU3]]</f>
        <v>5</v>
      </c>
      <c r="AF71">
        <f t="shared" si="44"/>
        <v>0.44444444444444442</v>
      </c>
      <c r="AG71">
        <f>step3_validation[[#This Row],[AI_TRU4]]</f>
        <v>8</v>
      </c>
      <c r="AH71">
        <f t="shared" si="45"/>
        <v>0.77777777777777779</v>
      </c>
      <c r="AI71">
        <f>[1]!survey_responses[[#This Row],[Tôi thấy Nhà nước đã giải thích rõ ràng, minh bạch về lý do và mục tiêu của việc sửa đổi thuế lần này. - HUMAN-TRU4]]</f>
        <v>5</v>
      </c>
      <c r="AJ71">
        <f t="shared" si="46"/>
        <v>0.44444444444444442</v>
      </c>
      <c r="AK71" s="32">
        <f t="shared" si="47"/>
        <v>0.63888888888888895</v>
      </c>
      <c r="AL71" s="32">
        <f t="shared" si="48"/>
        <v>0.33333333333333331</v>
      </c>
      <c r="AM71" s="7">
        <f t="shared" si="49"/>
        <v>0.7314814814814814</v>
      </c>
      <c r="AN71" s="7">
        <f t="shared" si="50"/>
        <v>0.44444444444444442</v>
      </c>
      <c r="AO71">
        <f>step3_validation[[#This Row],[AI_OUT1]]</f>
        <v>7</v>
      </c>
      <c r="AP71">
        <f t="shared" si="51"/>
        <v>0.66666666666666663</v>
      </c>
      <c r="AQ71">
        <f>[1]!survey_responses[[#This Row],[Sau khi xem xét các quyền lợi và nghĩa vụ, bạn có ủng hộ và tuân thủ chính sách mới hiện nay? - HUMAN-OUT1]]</f>
        <v>5</v>
      </c>
      <c r="AR71">
        <f t="shared" si="52"/>
        <v>0.44444444444444442</v>
      </c>
      <c r="AS71" s="32">
        <f t="shared" si="53"/>
        <v>2</v>
      </c>
    </row>
    <row r="72" spans="1:45" x14ac:dyDescent="0.45">
      <c r="A72">
        <f>step3_validation[[#This Row],[AI_ENF1]]</f>
        <v>7</v>
      </c>
      <c r="B72">
        <f t="shared" si="27"/>
        <v>0.66666666666666663</v>
      </c>
      <c r="C72">
        <f>[1]!survey_responses[[#This Row],[Tôi tin rằng với các quy định quản lý thuế hiện nay, hành vi gian lận hoặc trốn thuế sẽ dễ dàng bị phát hiện và xử lý nghiêm. - HUMAN-ENF1]]</f>
        <v>3</v>
      </c>
      <c r="D72">
        <f t="shared" si="28"/>
        <v>0.22222222222222221</v>
      </c>
      <c r="E72">
        <f>step3_validation[[#This Row],[AI_ENF2]]</f>
        <v>8</v>
      </c>
      <c r="F72">
        <f t="shared" si="29"/>
        <v>0.77777777777777779</v>
      </c>
      <c r="G72">
        <f>[1]!survey_responses[[#This Row],[Tôi tin rằng Nhà nước, cơ quan thuế có đủ khả năng và công nghệ để phát hiện, xử lý nghiêm các hành vi trốn thuế. - HUMAN-ENF2]]</f>
        <v>3</v>
      </c>
      <c r="H72">
        <f t="shared" si="30"/>
        <v>0.22222222222222221</v>
      </c>
      <c r="I72" s="32">
        <f t="shared" si="31"/>
        <v>0.72222222222222221</v>
      </c>
      <c r="J72" s="32">
        <f t="shared" si="32"/>
        <v>0.22222222222222221</v>
      </c>
      <c r="K72">
        <f>step3_validation[[#This Row],[AI_FAC1]]</f>
        <v>6</v>
      </c>
      <c r="L72">
        <f t="shared" si="33"/>
        <v>0.55555555555555558</v>
      </c>
      <c r="M72">
        <f>[1]!survey_responses[[#This Row],[Các thủ tục khai báo thuế VÀ/HOẶC quy trình làm việc với cơ quan thuế đơn giản, tiện lợi, nhanh chóng hơn so với trước đây. - HUMAN-FAC1]]</f>
        <v>3</v>
      </c>
      <c r="N72">
        <f t="shared" si="34"/>
        <v>0.22222222222222221</v>
      </c>
      <c r="O72">
        <f>step3_validation[[#This Row],[AI_FAC2]]</f>
        <v>8</v>
      </c>
      <c r="P72">
        <f t="shared" si="35"/>
        <v>0.77777777777777779</v>
      </c>
      <c r="Q72">
        <f>[1]!survey_responses[[#This Row],[So với trước đây, tôi thấy cách tính thuế và các bậc thuế trong phương án mới đơn giản, dễ hiểu và dễ thực hiện hơn. - HUMAN-FAC2]]</f>
        <v>5</v>
      </c>
      <c r="R72">
        <f t="shared" si="36"/>
        <v>0.44444444444444442</v>
      </c>
      <c r="S72" s="32">
        <f t="shared" si="37"/>
        <v>0.66666666666666674</v>
      </c>
      <c r="T72" s="32">
        <f t="shared" si="38"/>
        <v>0.33333333333333331</v>
      </c>
      <c r="U72">
        <f>step3_validation[[#This Row],[AI_TRU1]]</f>
        <v>7</v>
      </c>
      <c r="V72">
        <f t="shared" si="39"/>
        <v>0.66666666666666663</v>
      </c>
      <c r="W72">
        <f>[1]!survey_responses[[#This Row],[Tôi tin rằng Nhà nước, cơ quan thuế sẽ thực thi chính sách mới một cách khách quan, công tâm và đối xử bình đẳng với mọi người nộp thuế.  - HUMAN-TRU1]]</f>
        <v>3</v>
      </c>
      <c r="X72">
        <f t="shared" si="40"/>
        <v>0.22222222222222221</v>
      </c>
      <c r="Y72">
        <f>step3_validation[[#This Row],[AI_TRU2]]</f>
        <v>8</v>
      </c>
      <c r="Z72">
        <f t="shared" si="41"/>
        <v>0.77777777777777779</v>
      </c>
      <c r="AA72">
        <f>[1]!survey_responses[[#This Row],[Tôi thấy mức thuế tôi phải đóng theo phương án mới là công bằng (người thu nhập như tôi đóng mức này là hợp lý). - HUMAN-TRU2]]</f>
        <v>3</v>
      </c>
      <c r="AB72">
        <f t="shared" si="42"/>
        <v>0.22222222222222221</v>
      </c>
      <c r="AC72">
        <f>step3_validation[[#This Row],[AI_TRU3]]</f>
        <v>6</v>
      </c>
      <c r="AD72">
        <f t="shared" si="43"/>
        <v>0.55555555555555558</v>
      </c>
      <c r="AE72">
        <f>[1]!survey_responses[[#This Row],[Tôi tin tưởng số tiền thuế tôi đóng sẽ được Nhà nước sử dụng hiệu quả để cải thiện dịch vụ công (y tế, đường xá...). - HUMAN-TRU3]]</f>
        <v>3</v>
      </c>
      <c r="AF72">
        <f t="shared" si="44"/>
        <v>0.22222222222222221</v>
      </c>
      <c r="AG72">
        <f>step3_validation[[#This Row],[AI_TRU4]]</f>
        <v>5</v>
      </c>
      <c r="AH72">
        <f t="shared" si="45"/>
        <v>0.44444444444444442</v>
      </c>
      <c r="AI72">
        <f>[1]!survey_responses[[#This Row],[Tôi thấy Nhà nước đã giải thích rõ ràng, minh bạch về lý do và mục tiêu của việc sửa đổi thuế lần này. - HUMAN-TRU4]]</f>
        <v>3</v>
      </c>
      <c r="AJ72">
        <f t="shared" si="46"/>
        <v>0.22222222222222221</v>
      </c>
      <c r="AK72" s="32">
        <f t="shared" si="47"/>
        <v>0.61111111111111116</v>
      </c>
      <c r="AL72" s="32">
        <f t="shared" si="48"/>
        <v>0.22222222222222221</v>
      </c>
      <c r="AM72" s="7">
        <f t="shared" si="49"/>
        <v>0.66666666666666663</v>
      </c>
      <c r="AN72" s="7">
        <f t="shared" si="50"/>
        <v>0.25925925925925924</v>
      </c>
      <c r="AO72">
        <f>step3_validation[[#This Row],[AI_OUT1]]</f>
        <v>7</v>
      </c>
      <c r="AP72">
        <f t="shared" si="51"/>
        <v>0.66666666666666663</v>
      </c>
      <c r="AQ72">
        <f>[1]!survey_responses[[#This Row],[Sau khi xem xét các quyền lợi và nghĩa vụ, bạn có ủng hộ và tuân thủ chính sách mới hiện nay? - HUMAN-OUT1]]</f>
        <v>4</v>
      </c>
      <c r="AR72">
        <f t="shared" si="52"/>
        <v>0.33333333333333331</v>
      </c>
      <c r="AS72" s="32">
        <f t="shared" si="53"/>
        <v>3</v>
      </c>
    </row>
    <row r="73" spans="1:45" x14ac:dyDescent="0.45">
      <c r="A73">
        <f>step3_validation[[#This Row],[AI_ENF1]]</f>
        <v>6</v>
      </c>
      <c r="B73">
        <f t="shared" si="27"/>
        <v>0.55555555555555558</v>
      </c>
      <c r="C73">
        <f>[1]!survey_responses[[#This Row],[Tôi tin rằng với các quy định quản lý thuế hiện nay, hành vi gian lận hoặc trốn thuế sẽ dễ dàng bị phát hiện và xử lý nghiêm. - HUMAN-ENF1]]</f>
        <v>8</v>
      </c>
      <c r="D73">
        <f t="shared" si="28"/>
        <v>0.77777777777777779</v>
      </c>
      <c r="E73">
        <f>step3_validation[[#This Row],[AI_ENF2]]</f>
        <v>7</v>
      </c>
      <c r="F73">
        <f t="shared" si="29"/>
        <v>0.66666666666666663</v>
      </c>
      <c r="G73">
        <f>[1]!survey_responses[[#This Row],[Tôi tin rằng Nhà nước, cơ quan thuế có đủ khả năng và công nghệ để phát hiện, xử lý nghiêm các hành vi trốn thuế. - HUMAN-ENF2]]</f>
        <v>8</v>
      </c>
      <c r="H73">
        <f t="shared" si="30"/>
        <v>0.77777777777777779</v>
      </c>
      <c r="I73" s="32">
        <f t="shared" si="31"/>
        <v>0.61111111111111116</v>
      </c>
      <c r="J73" s="32">
        <f t="shared" si="32"/>
        <v>0.77777777777777779</v>
      </c>
      <c r="K73">
        <f>step3_validation[[#This Row],[AI_FAC1]]</f>
        <v>8</v>
      </c>
      <c r="L73">
        <f t="shared" si="33"/>
        <v>0.77777777777777779</v>
      </c>
      <c r="M73">
        <f>[1]!survey_responses[[#This Row],[Các thủ tục khai báo thuế VÀ/HOẶC quy trình làm việc với cơ quan thuế đơn giản, tiện lợi, nhanh chóng hơn so với trước đây. - HUMAN-FAC1]]</f>
        <v>4</v>
      </c>
      <c r="N73">
        <f t="shared" si="34"/>
        <v>0.33333333333333331</v>
      </c>
      <c r="O73">
        <f>step3_validation[[#This Row],[AI_FAC2]]</f>
        <v>9</v>
      </c>
      <c r="P73">
        <f t="shared" si="35"/>
        <v>0.88888888888888884</v>
      </c>
      <c r="Q73">
        <f>[1]!survey_responses[[#This Row],[So với trước đây, tôi thấy cách tính thuế và các bậc thuế trong phương án mới đơn giản, dễ hiểu và dễ thực hiện hơn. - HUMAN-FAC2]]</f>
        <v>2</v>
      </c>
      <c r="R73">
        <f t="shared" si="36"/>
        <v>0.1111111111111111</v>
      </c>
      <c r="S73" s="32">
        <f t="shared" si="37"/>
        <v>0.83333333333333326</v>
      </c>
      <c r="T73" s="32">
        <f t="shared" si="38"/>
        <v>0.22222222222222221</v>
      </c>
      <c r="U73">
        <f>step3_validation[[#This Row],[AI_TRU1]]</f>
        <v>6</v>
      </c>
      <c r="V73">
        <f t="shared" si="39"/>
        <v>0.55555555555555558</v>
      </c>
      <c r="W73">
        <f>[1]!survey_responses[[#This Row],[Tôi tin rằng Nhà nước, cơ quan thuế sẽ thực thi chính sách mới một cách khách quan, công tâm và đối xử bình đẳng với mọi người nộp thuế.  - HUMAN-TRU1]]</f>
        <v>6</v>
      </c>
      <c r="X73">
        <f t="shared" si="40"/>
        <v>0.55555555555555558</v>
      </c>
      <c r="Y73">
        <f>step3_validation[[#This Row],[AI_TRU2]]</f>
        <v>7</v>
      </c>
      <c r="Z73">
        <f t="shared" si="41"/>
        <v>0.66666666666666663</v>
      </c>
      <c r="AA73">
        <f>[1]!survey_responses[[#This Row],[Tôi thấy mức thuế tôi phải đóng theo phương án mới là công bằng (người thu nhập như tôi đóng mức này là hợp lý). - HUMAN-TRU2]]</f>
        <v>3</v>
      </c>
      <c r="AB73">
        <f t="shared" si="42"/>
        <v>0.22222222222222221</v>
      </c>
      <c r="AC73">
        <f>step3_validation[[#This Row],[AI_TRU3]]</f>
        <v>6</v>
      </c>
      <c r="AD73">
        <f t="shared" si="43"/>
        <v>0.55555555555555558</v>
      </c>
      <c r="AE73">
        <f>[1]!survey_responses[[#This Row],[Tôi tin tưởng số tiền thuế tôi đóng sẽ được Nhà nước sử dụng hiệu quả để cải thiện dịch vụ công (y tế, đường xá...). - HUMAN-TRU3]]</f>
        <v>8</v>
      </c>
      <c r="AF73">
        <f t="shared" si="44"/>
        <v>0.77777777777777779</v>
      </c>
      <c r="AG73">
        <f>step3_validation[[#This Row],[AI_TRU4]]</f>
        <v>7</v>
      </c>
      <c r="AH73">
        <f t="shared" si="45"/>
        <v>0.66666666666666663</v>
      </c>
      <c r="AI73">
        <f>[1]!survey_responses[[#This Row],[Tôi thấy Nhà nước đã giải thích rõ ràng, minh bạch về lý do và mục tiêu của việc sửa đổi thuế lần này. - HUMAN-TRU4]]</f>
        <v>4</v>
      </c>
      <c r="AJ73">
        <f t="shared" si="46"/>
        <v>0.33333333333333331</v>
      </c>
      <c r="AK73" s="32">
        <f t="shared" si="47"/>
        <v>0.61111111111111116</v>
      </c>
      <c r="AL73" s="32">
        <f t="shared" si="48"/>
        <v>0.47222222222222221</v>
      </c>
      <c r="AM73" s="7">
        <f t="shared" si="49"/>
        <v>0.68518518518518512</v>
      </c>
      <c r="AN73" s="7">
        <f t="shared" si="50"/>
        <v>0.49074074074074076</v>
      </c>
      <c r="AO73">
        <f>step3_validation[[#This Row],[AI_OUT1]]</f>
        <v>6</v>
      </c>
      <c r="AP73">
        <f t="shared" si="51"/>
        <v>0.55555555555555558</v>
      </c>
      <c r="AQ73">
        <f>[1]!survey_responses[[#This Row],[Sau khi xem xét các quyền lợi và nghĩa vụ, bạn có ủng hộ và tuân thủ chính sách mới hiện nay? - HUMAN-OUT1]]</f>
        <v>8</v>
      </c>
      <c r="AR73">
        <f t="shared" si="52"/>
        <v>0.77777777777777779</v>
      </c>
      <c r="AS73" s="32">
        <f t="shared" si="53"/>
        <v>2</v>
      </c>
    </row>
    <row r="74" spans="1:45" x14ac:dyDescent="0.45">
      <c r="A74">
        <f>step3_validation[[#This Row],[AI_ENF1]]</f>
        <v>6</v>
      </c>
      <c r="B74">
        <f t="shared" si="27"/>
        <v>0.55555555555555558</v>
      </c>
      <c r="C74">
        <f>[1]!survey_responses[[#This Row],[Tôi tin rằng với các quy định quản lý thuế hiện nay, hành vi gian lận hoặc trốn thuế sẽ dễ dàng bị phát hiện và xử lý nghiêm. - HUMAN-ENF1]]</f>
        <v>5</v>
      </c>
      <c r="D74">
        <f t="shared" si="28"/>
        <v>0.44444444444444442</v>
      </c>
      <c r="E74">
        <f>step3_validation[[#This Row],[AI_ENF2]]</f>
        <v>7</v>
      </c>
      <c r="F74">
        <f t="shared" si="29"/>
        <v>0.66666666666666663</v>
      </c>
      <c r="G74">
        <f>[1]!survey_responses[[#This Row],[Tôi tin rằng Nhà nước, cơ quan thuế có đủ khả năng và công nghệ để phát hiện, xử lý nghiêm các hành vi trốn thuế. - HUMAN-ENF2]]</f>
        <v>5</v>
      </c>
      <c r="H74">
        <f t="shared" si="30"/>
        <v>0.44444444444444442</v>
      </c>
      <c r="I74" s="32">
        <f t="shared" si="31"/>
        <v>0.61111111111111116</v>
      </c>
      <c r="J74" s="32">
        <f t="shared" si="32"/>
        <v>0.44444444444444442</v>
      </c>
      <c r="K74">
        <f>step3_validation[[#This Row],[AI_FAC1]]</f>
        <v>8</v>
      </c>
      <c r="L74">
        <f t="shared" si="33"/>
        <v>0.77777777777777779</v>
      </c>
      <c r="M74">
        <f>[1]!survey_responses[[#This Row],[Các thủ tục khai báo thuế VÀ/HOẶC quy trình làm việc với cơ quan thuế đơn giản, tiện lợi, nhanh chóng hơn so với trước đây. - HUMAN-FAC1]]</f>
        <v>5</v>
      </c>
      <c r="N74">
        <f t="shared" si="34"/>
        <v>0.44444444444444442</v>
      </c>
      <c r="O74">
        <f>step3_validation[[#This Row],[AI_FAC2]]</f>
        <v>9</v>
      </c>
      <c r="P74">
        <f t="shared" si="35"/>
        <v>0.88888888888888884</v>
      </c>
      <c r="Q74">
        <f>[1]!survey_responses[[#This Row],[So với trước đây, tôi thấy cách tính thuế và các bậc thuế trong phương án mới đơn giản, dễ hiểu và dễ thực hiện hơn. - HUMAN-FAC2]]</f>
        <v>5</v>
      </c>
      <c r="R74">
        <f t="shared" si="36"/>
        <v>0.44444444444444442</v>
      </c>
      <c r="S74" s="32">
        <f t="shared" si="37"/>
        <v>0.83333333333333326</v>
      </c>
      <c r="T74" s="32">
        <f t="shared" si="38"/>
        <v>0.44444444444444442</v>
      </c>
      <c r="U74">
        <f>step3_validation[[#This Row],[AI_TRU1]]</f>
        <v>8</v>
      </c>
      <c r="V74">
        <f t="shared" si="39"/>
        <v>0.77777777777777779</v>
      </c>
      <c r="W74">
        <f>[1]!survey_responses[[#This Row],[Tôi tin rằng Nhà nước, cơ quan thuế sẽ thực thi chính sách mới một cách khách quan, công tâm và đối xử bình đẳng với mọi người nộp thuế.  - HUMAN-TRU1]]</f>
        <v>5</v>
      </c>
      <c r="X74">
        <f t="shared" si="40"/>
        <v>0.44444444444444442</v>
      </c>
      <c r="Y74">
        <f>step3_validation[[#This Row],[AI_TRU2]]</f>
        <v>6</v>
      </c>
      <c r="Z74">
        <f t="shared" si="41"/>
        <v>0.55555555555555558</v>
      </c>
      <c r="AA74">
        <f>[1]!survey_responses[[#This Row],[Tôi thấy mức thuế tôi phải đóng theo phương án mới là công bằng (người thu nhập như tôi đóng mức này là hợp lý). - HUMAN-TRU2]]</f>
        <v>10</v>
      </c>
      <c r="AB74">
        <f t="shared" si="42"/>
        <v>1</v>
      </c>
      <c r="AC74">
        <f>step3_validation[[#This Row],[AI_TRU3]]</f>
        <v>7</v>
      </c>
      <c r="AD74">
        <f t="shared" si="43"/>
        <v>0.66666666666666663</v>
      </c>
      <c r="AE74">
        <f>[1]!survey_responses[[#This Row],[Tôi tin tưởng số tiền thuế tôi đóng sẽ được Nhà nước sử dụng hiệu quả để cải thiện dịch vụ công (y tế, đường xá...). - HUMAN-TRU3]]</f>
        <v>5</v>
      </c>
      <c r="AF74">
        <f t="shared" si="44"/>
        <v>0.44444444444444442</v>
      </c>
      <c r="AG74">
        <f>step3_validation[[#This Row],[AI_TRU4]]</f>
        <v>6</v>
      </c>
      <c r="AH74">
        <f t="shared" si="45"/>
        <v>0.55555555555555558</v>
      </c>
      <c r="AI74">
        <f>[1]!survey_responses[[#This Row],[Tôi thấy Nhà nước đã giải thích rõ ràng, minh bạch về lý do và mục tiêu của việc sửa đổi thuế lần này. - HUMAN-TRU4]]</f>
        <v>5</v>
      </c>
      <c r="AJ74">
        <f t="shared" si="46"/>
        <v>0.44444444444444442</v>
      </c>
      <c r="AK74" s="32">
        <f t="shared" si="47"/>
        <v>0.63888888888888884</v>
      </c>
      <c r="AL74" s="32">
        <f t="shared" si="48"/>
        <v>0.58333333333333326</v>
      </c>
      <c r="AM74" s="7">
        <f t="shared" si="49"/>
        <v>0.69444444444444431</v>
      </c>
      <c r="AN74" s="7">
        <f t="shared" si="50"/>
        <v>0.4907407407407407</v>
      </c>
      <c r="AO74">
        <f>step3_validation[[#This Row],[AI_OUT1]]</f>
        <v>7</v>
      </c>
      <c r="AP74">
        <f t="shared" si="51"/>
        <v>0.66666666666666663</v>
      </c>
      <c r="AQ74">
        <f>[1]!survey_responses[[#This Row],[Sau khi xem xét các quyền lợi và nghĩa vụ, bạn có ủng hộ và tuân thủ chính sách mới hiện nay? - HUMAN-OUT1]]</f>
        <v>10</v>
      </c>
      <c r="AR74">
        <f t="shared" si="52"/>
        <v>1</v>
      </c>
      <c r="AS74" s="32">
        <f t="shared" si="53"/>
        <v>3</v>
      </c>
    </row>
    <row r="75" spans="1:45" x14ac:dyDescent="0.45">
      <c r="A75">
        <f>step3_validation[[#This Row],[AI_ENF1]]</f>
        <v>8</v>
      </c>
      <c r="B75">
        <f t="shared" si="27"/>
        <v>0.77777777777777779</v>
      </c>
      <c r="C75">
        <f>[1]!survey_responses[[#This Row],[Tôi tin rằng với các quy định quản lý thuế hiện nay, hành vi gian lận hoặc trốn thuế sẽ dễ dàng bị phát hiện và xử lý nghiêm. - HUMAN-ENF1]]</f>
        <v>5</v>
      </c>
      <c r="D75">
        <f t="shared" si="28"/>
        <v>0.44444444444444442</v>
      </c>
      <c r="E75">
        <f>step3_validation[[#This Row],[AI_ENF2]]</f>
        <v>9</v>
      </c>
      <c r="F75">
        <f t="shared" si="29"/>
        <v>0.88888888888888884</v>
      </c>
      <c r="G75">
        <f>[1]!survey_responses[[#This Row],[Tôi tin rằng Nhà nước, cơ quan thuế có đủ khả năng và công nghệ để phát hiện, xử lý nghiêm các hành vi trốn thuế. - HUMAN-ENF2]]</f>
        <v>10</v>
      </c>
      <c r="H75">
        <f t="shared" si="30"/>
        <v>1</v>
      </c>
      <c r="I75" s="32">
        <f t="shared" si="31"/>
        <v>0.83333333333333326</v>
      </c>
      <c r="J75" s="32">
        <f t="shared" si="32"/>
        <v>0.72222222222222221</v>
      </c>
      <c r="K75">
        <f>step3_validation[[#This Row],[AI_FAC1]]</f>
        <v>7</v>
      </c>
      <c r="L75">
        <f t="shared" si="33"/>
        <v>0.66666666666666663</v>
      </c>
      <c r="M75">
        <f>[1]!survey_responses[[#This Row],[Các thủ tục khai báo thuế VÀ/HOẶC quy trình làm việc với cơ quan thuế đơn giản, tiện lợi, nhanh chóng hơn so với trước đây. - HUMAN-FAC1]]</f>
        <v>2</v>
      </c>
      <c r="N75">
        <f t="shared" si="34"/>
        <v>0.1111111111111111</v>
      </c>
      <c r="O75">
        <f>step3_validation[[#This Row],[AI_FAC2]]</f>
        <v>8</v>
      </c>
      <c r="P75">
        <f t="shared" si="35"/>
        <v>0.77777777777777779</v>
      </c>
      <c r="Q75">
        <f>[1]!survey_responses[[#This Row],[So với trước đây, tôi thấy cách tính thuế và các bậc thuế trong phương án mới đơn giản, dễ hiểu và dễ thực hiện hơn. - HUMAN-FAC2]]</f>
        <v>8</v>
      </c>
      <c r="R75">
        <f t="shared" si="36"/>
        <v>0.77777777777777779</v>
      </c>
      <c r="S75" s="32">
        <f t="shared" si="37"/>
        <v>0.72222222222222221</v>
      </c>
      <c r="T75" s="32">
        <f t="shared" si="38"/>
        <v>0.44444444444444442</v>
      </c>
      <c r="U75">
        <f>step3_validation[[#This Row],[AI_TRU1]]</f>
        <v>9</v>
      </c>
      <c r="V75">
        <f t="shared" si="39"/>
        <v>0.88888888888888884</v>
      </c>
      <c r="W75">
        <f>[1]!survey_responses[[#This Row],[Tôi tin rằng Nhà nước, cơ quan thuế sẽ thực thi chính sách mới một cách khách quan, công tâm và đối xử bình đẳng với mọi người nộp thuế.  - HUMAN-TRU1]]</f>
        <v>5</v>
      </c>
      <c r="X75">
        <f t="shared" si="40"/>
        <v>0.44444444444444442</v>
      </c>
      <c r="Y75">
        <f>step3_validation[[#This Row],[AI_TRU2]]</f>
        <v>7</v>
      </c>
      <c r="Z75">
        <f t="shared" si="41"/>
        <v>0.66666666666666663</v>
      </c>
      <c r="AA75">
        <f>[1]!survey_responses[[#This Row],[Tôi thấy mức thuế tôi phải đóng theo phương án mới là công bằng (người thu nhập như tôi đóng mức này là hợp lý). - HUMAN-TRU2]]</f>
        <v>5</v>
      </c>
      <c r="AB75">
        <f t="shared" si="42"/>
        <v>0.44444444444444442</v>
      </c>
      <c r="AC75">
        <f>step3_validation[[#This Row],[AI_TRU3]]</f>
        <v>8</v>
      </c>
      <c r="AD75">
        <f t="shared" si="43"/>
        <v>0.77777777777777779</v>
      </c>
      <c r="AE75">
        <f>[1]!survey_responses[[#This Row],[Tôi tin tưởng số tiền thuế tôi đóng sẽ được Nhà nước sử dụng hiệu quả để cải thiện dịch vụ công (y tế, đường xá...). - HUMAN-TRU3]]</f>
        <v>1</v>
      </c>
      <c r="AF75">
        <f t="shared" si="44"/>
        <v>0</v>
      </c>
      <c r="AG75">
        <f>step3_validation[[#This Row],[AI_TRU4]]</f>
        <v>6</v>
      </c>
      <c r="AH75">
        <f t="shared" si="45"/>
        <v>0.55555555555555558</v>
      </c>
      <c r="AI75">
        <f>[1]!survey_responses[[#This Row],[Tôi thấy Nhà nước đã giải thích rõ ràng, minh bạch về lý do và mục tiêu của việc sửa đổi thuế lần này. - HUMAN-TRU4]]</f>
        <v>4</v>
      </c>
      <c r="AJ75">
        <f t="shared" si="46"/>
        <v>0.33333333333333331</v>
      </c>
      <c r="AK75" s="32">
        <f t="shared" si="47"/>
        <v>0.7222222222222221</v>
      </c>
      <c r="AL75" s="32">
        <f t="shared" si="48"/>
        <v>0.30555555555555552</v>
      </c>
      <c r="AM75" s="7">
        <f t="shared" si="49"/>
        <v>0.75925925925925919</v>
      </c>
      <c r="AN75" s="7">
        <f t="shared" si="50"/>
        <v>0.4907407407407407</v>
      </c>
      <c r="AO75">
        <f>step3_validation[[#This Row],[AI_OUT1]]</f>
        <v>8</v>
      </c>
      <c r="AP75">
        <f t="shared" si="51"/>
        <v>0.77777777777777779</v>
      </c>
      <c r="AQ75">
        <f>[1]!survey_responses[[#This Row],[Sau khi xem xét các quyền lợi và nghĩa vụ, bạn có ủng hộ và tuân thủ chính sách mới hiện nay? - HUMAN-OUT1]]</f>
        <v>5</v>
      </c>
      <c r="AR75">
        <f t="shared" si="52"/>
        <v>0.44444444444444442</v>
      </c>
      <c r="AS75" s="32">
        <f t="shared" si="53"/>
        <v>3</v>
      </c>
    </row>
    <row r="76" spans="1:45" x14ac:dyDescent="0.45">
      <c r="A76">
        <f>step3_validation[[#This Row],[AI_ENF1]]</f>
        <v>7</v>
      </c>
      <c r="B76">
        <f t="shared" si="27"/>
        <v>0.66666666666666663</v>
      </c>
      <c r="C76">
        <f>[1]!survey_responses[[#This Row],[Tôi tin rằng với các quy định quản lý thuế hiện nay, hành vi gian lận hoặc trốn thuế sẽ dễ dàng bị phát hiện và xử lý nghiêm. - HUMAN-ENF1]]</f>
        <v>8</v>
      </c>
      <c r="D76">
        <f t="shared" si="28"/>
        <v>0.77777777777777779</v>
      </c>
      <c r="E76">
        <f>step3_validation[[#This Row],[AI_ENF2]]</f>
        <v>8</v>
      </c>
      <c r="F76">
        <f t="shared" si="29"/>
        <v>0.77777777777777779</v>
      </c>
      <c r="G76">
        <f>[1]!survey_responses[[#This Row],[Tôi tin rằng Nhà nước, cơ quan thuế có đủ khả năng và công nghệ để phát hiện, xử lý nghiêm các hành vi trốn thuế. - HUMAN-ENF2]]</f>
        <v>9</v>
      </c>
      <c r="H76">
        <f t="shared" si="30"/>
        <v>0.88888888888888884</v>
      </c>
      <c r="I76" s="32">
        <f t="shared" si="31"/>
        <v>0.72222222222222221</v>
      </c>
      <c r="J76" s="32">
        <f t="shared" si="32"/>
        <v>0.83333333333333326</v>
      </c>
      <c r="K76">
        <f>step3_validation[[#This Row],[AI_FAC1]]</f>
        <v>6</v>
      </c>
      <c r="L76">
        <f t="shared" si="33"/>
        <v>0.55555555555555558</v>
      </c>
      <c r="M76">
        <f>[1]!survey_responses[[#This Row],[Các thủ tục khai báo thuế VÀ/HOẶC quy trình làm việc với cơ quan thuế đơn giản, tiện lợi, nhanh chóng hơn so với trước đây. - HUMAN-FAC1]]</f>
        <v>9</v>
      </c>
      <c r="N76">
        <f t="shared" si="34"/>
        <v>0.88888888888888884</v>
      </c>
      <c r="O76">
        <f>step3_validation[[#This Row],[AI_FAC2]]</f>
        <v>9</v>
      </c>
      <c r="P76">
        <f t="shared" si="35"/>
        <v>0.88888888888888884</v>
      </c>
      <c r="Q76">
        <f>[1]!survey_responses[[#This Row],[So với trước đây, tôi thấy cách tính thuế và các bậc thuế trong phương án mới đơn giản, dễ hiểu và dễ thực hiện hơn. - HUMAN-FAC2]]</f>
        <v>9</v>
      </c>
      <c r="R76">
        <f t="shared" si="36"/>
        <v>0.88888888888888884</v>
      </c>
      <c r="S76" s="32">
        <f t="shared" si="37"/>
        <v>0.72222222222222221</v>
      </c>
      <c r="T76" s="32">
        <f t="shared" si="38"/>
        <v>0.88888888888888884</v>
      </c>
      <c r="U76">
        <f>step3_validation[[#This Row],[AI_TRU1]]</f>
        <v>8</v>
      </c>
      <c r="V76">
        <f t="shared" si="39"/>
        <v>0.77777777777777779</v>
      </c>
      <c r="W76">
        <f>[1]!survey_responses[[#This Row],[Tôi tin rằng Nhà nước, cơ quan thuế sẽ thực thi chính sách mới một cách khách quan, công tâm và đối xử bình đẳng với mọi người nộp thuế.  - HUMAN-TRU1]]</f>
        <v>3</v>
      </c>
      <c r="X76">
        <f t="shared" si="40"/>
        <v>0.22222222222222221</v>
      </c>
      <c r="Y76">
        <f>step3_validation[[#This Row],[AI_TRU2]]</f>
        <v>7</v>
      </c>
      <c r="Z76">
        <f t="shared" si="41"/>
        <v>0.66666666666666663</v>
      </c>
      <c r="AA76">
        <f>[1]!survey_responses[[#This Row],[Tôi thấy mức thuế tôi phải đóng theo phương án mới là công bằng (người thu nhập như tôi đóng mức này là hợp lý). - HUMAN-TRU2]]</f>
        <v>3</v>
      </c>
      <c r="AB76">
        <f t="shared" si="42"/>
        <v>0.22222222222222221</v>
      </c>
      <c r="AC76">
        <f>step3_validation[[#This Row],[AI_TRU3]]</f>
        <v>8</v>
      </c>
      <c r="AD76">
        <f t="shared" si="43"/>
        <v>0.77777777777777779</v>
      </c>
      <c r="AE76">
        <f>[1]!survey_responses[[#This Row],[Tôi tin tưởng số tiền thuế tôi đóng sẽ được Nhà nước sử dụng hiệu quả để cải thiện dịch vụ công (y tế, đường xá...). - HUMAN-TRU3]]</f>
        <v>2</v>
      </c>
      <c r="AF76">
        <f t="shared" si="44"/>
        <v>0.1111111111111111</v>
      </c>
      <c r="AG76">
        <f>step3_validation[[#This Row],[AI_TRU4]]</f>
        <v>7</v>
      </c>
      <c r="AH76">
        <f t="shared" si="45"/>
        <v>0.66666666666666663</v>
      </c>
      <c r="AI76">
        <f>[1]!survey_responses[[#This Row],[Tôi thấy Nhà nước đã giải thích rõ ràng, minh bạch về lý do và mục tiêu của việc sửa đổi thuế lần này. - HUMAN-TRU4]]</f>
        <v>2</v>
      </c>
      <c r="AJ76">
        <f t="shared" si="46"/>
        <v>0.1111111111111111</v>
      </c>
      <c r="AK76" s="32">
        <f t="shared" si="47"/>
        <v>0.72222222222222221</v>
      </c>
      <c r="AL76" s="32">
        <f t="shared" si="48"/>
        <v>0.16666666666666669</v>
      </c>
      <c r="AM76" s="7">
        <f t="shared" si="49"/>
        <v>0.72222222222222221</v>
      </c>
      <c r="AN76" s="7">
        <f t="shared" si="50"/>
        <v>0.62962962962962965</v>
      </c>
      <c r="AO76">
        <f>step3_validation[[#This Row],[AI_OUT1]]</f>
        <v>9</v>
      </c>
      <c r="AP76">
        <f t="shared" si="51"/>
        <v>0.88888888888888884</v>
      </c>
      <c r="AQ76">
        <f>[1]!survey_responses[[#This Row],[Sau khi xem xét các quyền lợi và nghĩa vụ, bạn có ủng hộ và tuân thủ chính sách mới hiện nay? - HUMAN-OUT1]]</f>
        <v>6</v>
      </c>
      <c r="AR76">
        <f t="shared" si="52"/>
        <v>0.55555555555555558</v>
      </c>
      <c r="AS76" s="32">
        <f t="shared" si="53"/>
        <v>3</v>
      </c>
    </row>
    <row r="77" spans="1:45" x14ac:dyDescent="0.45">
      <c r="A77">
        <f>step3_validation[[#This Row],[AI_ENF1]]</f>
        <v>8</v>
      </c>
      <c r="B77">
        <f t="shared" si="27"/>
        <v>0.77777777777777779</v>
      </c>
      <c r="C77">
        <f>[1]!survey_responses[[#This Row],[Tôi tin rằng với các quy định quản lý thuế hiện nay, hành vi gian lận hoặc trốn thuế sẽ dễ dàng bị phát hiện và xử lý nghiêm. - HUMAN-ENF1]]</f>
        <v>5</v>
      </c>
      <c r="D77">
        <f t="shared" si="28"/>
        <v>0.44444444444444442</v>
      </c>
      <c r="E77">
        <f>step3_validation[[#This Row],[AI_ENF2]]</f>
        <v>7</v>
      </c>
      <c r="F77">
        <f t="shared" si="29"/>
        <v>0.66666666666666663</v>
      </c>
      <c r="G77">
        <f>[1]!survey_responses[[#This Row],[Tôi tin rằng Nhà nước, cơ quan thuế có đủ khả năng và công nghệ để phát hiện, xử lý nghiêm các hành vi trốn thuế. - HUMAN-ENF2]]</f>
        <v>5</v>
      </c>
      <c r="H77">
        <f t="shared" si="30"/>
        <v>0.44444444444444442</v>
      </c>
      <c r="I77" s="32">
        <f t="shared" si="31"/>
        <v>0.72222222222222221</v>
      </c>
      <c r="J77" s="32">
        <f t="shared" si="32"/>
        <v>0.44444444444444442</v>
      </c>
      <c r="K77">
        <f>step3_validation[[#This Row],[AI_FAC1]]</f>
        <v>9</v>
      </c>
      <c r="L77">
        <f t="shared" si="33"/>
        <v>0.88888888888888884</v>
      </c>
      <c r="M77">
        <f>[1]!survey_responses[[#This Row],[Các thủ tục khai báo thuế VÀ/HOẶC quy trình làm việc với cơ quan thuế đơn giản, tiện lợi, nhanh chóng hơn so với trước đây. - HUMAN-FAC1]]</f>
        <v>5</v>
      </c>
      <c r="N77">
        <f t="shared" si="34"/>
        <v>0.44444444444444442</v>
      </c>
      <c r="O77">
        <f>step3_validation[[#This Row],[AI_FAC2]]</f>
        <v>8</v>
      </c>
      <c r="P77">
        <f t="shared" si="35"/>
        <v>0.77777777777777779</v>
      </c>
      <c r="Q77">
        <f>[1]!survey_responses[[#This Row],[So với trước đây, tôi thấy cách tính thuế và các bậc thuế trong phương án mới đơn giản, dễ hiểu và dễ thực hiện hơn. - HUMAN-FAC2]]</f>
        <v>5</v>
      </c>
      <c r="R77">
        <f t="shared" si="36"/>
        <v>0.44444444444444442</v>
      </c>
      <c r="S77" s="32">
        <f t="shared" si="37"/>
        <v>0.83333333333333326</v>
      </c>
      <c r="T77" s="32">
        <f t="shared" si="38"/>
        <v>0.44444444444444442</v>
      </c>
      <c r="U77">
        <f>step3_validation[[#This Row],[AI_TRU1]]</f>
        <v>6</v>
      </c>
      <c r="V77">
        <f t="shared" si="39"/>
        <v>0.55555555555555558</v>
      </c>
      <c r="W77">
        <f>[1]!survey_responses[[#This Row],[Tôi tin rằng Nhà nước, cơ quan thuế sẽ thực thi chính sách mới một cách khách quan, công tâm và đối xử bình đẳng với mọi người nộp thuế.  - HUMAN-TRU1]]</f>
        <v>5</v>
      </c>
      <c r="X77">
        <f t="shared" si="40"/>
        <v>0.44444444444444442</v>
      </c>
      <c r="Y77">
        <f>step3_validation[[#This Row],[AI_TRU2]]</f>
        <v>5</v>
      </c>
      <c r="Z77">
        <f t="shared" si="41"/>
        <v>0.44444444444444442</v>
      </c>
      <c r="AA77">
        <f>[1]!survey_responses[[#This Row],[Tôi thấy mức thuế tôi phải đóng theo phương án mới là công bằng (người thu nhập như tôi đóng mức này là hợp lý). - HUMAN-TRU2]]</f>
        <v>5</v>
      </c>
      <c r="AB77">
        <f t="shared" si="42"/>
        <v>0.44444444444444442</v>
      </c>
      <c r="AC77">
        <f>step3_validation[[#This Row],[AI_TRU3]]</f>
        <v>4</v>
      </c>
      <c r="AD77">
        <f t="shared" si="43"/>
        <v>0.33333333333333331</v>
      </c>
      <c r="AE77">
        <f>[1]!survey_responses[[#This Row],[Tôi tin tưởng số tiền thuế tôi đóng sẽ được Nhà nước sử dụng hiệu quả để cải thiện dịch vụ công (y tế, đường xá...). - HUMAN-TRU3]]</f>
        <v>5</v>
      </c>
      <c r="AF77">
        <f t="shared" si="44"/>
        <v>0.44444444444444442</v>
      </c>
      <c r="AG77">
        <f>step3_validation[[#This Row],[AI_TRU4]]</f>
        <v>3</v>
      </c>
      <c r="AH77">
        <f t="shared" si="45"/>
        <v>0.22222222222222221</v>
      </c>
      <c r="AI77">
        <f>[1]!survey_responses[[#This Row],[Tôi thấy Nhà nước đã giải thích rõ ràng, minh bạch về lý do và mục tiêu của việc sửa đổi thuế lần này. - HUMAN-TRU4]]</f>
        <v>5</v>
      </c>
      <c r="AJ77">
        <f t="shared" si="46"/>
        <v>0.44444444444444442</v>
      </c>
      <c r="AK77" s="32">
        <f t="shared" si="47"/>
        <v>0.38888888888888884</v>
      </c>
      <c r="AL77" s="32">
        <f t="shared" si="48"/>
        <v>0.44444444444444442</v>
      </c>
      <c r="AM77" s="7">
        <f t="shared" si="49"/>
        <v>0.64814814814814803</v>
      </c>
      <c r="AN77" s="7">
        <f t="shared" si="50"/>
        <v>0.44444444444444442</v>
      </c>
      <c r="AO77">
        <f>step3_validation[[#This Row],[AI_OUT1]]</f>
        <v>5</v>
      </c>
      <c r="AP77">
        <f t="shared" si="51"/>
        <v>0.44444444444444442</v>
      </c>
      <c r="AQ77">
        <f>[1]!survey_responses[[#This Row],[Sau khi xem xét các quyền lợi và nghĩa vụ, bạn có ủng hộ và tuân thủ chính sách mới hiện nay? - HUMAN-OUT1]]</f>
        <v>5</v>
      </c>
      <c r="AR77">
        <f t="shared" si="52"/>
        <v>0.44444444444444442</v>
      </c>
      <c r="AS77" s="32">
        <f t="shared" si="53"/>
        <v>0</v>
      </c>
    </row>
    <row r="78" spans="1:45" x14ac:dyDescent="0.45">
      <c r="A78">
        <f>step3_validation[[#This Row],[AI_ENF1]]</f>
        <v>6</v>
      </c>
      <c r="B78">
        <f t="shared" si="27"/>
        <v>0.55555555555555558</v>
      </c>
      <c r="C78">
        <f>[1]!survey_responses[[#This Row],[Tôi tin rằng với các quy định quản lý thuế hiện nay, hành vi gian lận hoặc trốn thuế sẽ dễ dàng bị phát hiện và xử lý nghiêm. - HUMAN-ENF1]]</f>
        <v>8</v>
      </c>
      <c r="D78">
        <f t="shared" si="28"/>
        <v>0.77777777777777779</v>
      </c>
      <c r="E78">
        <f>step3_validation[[#This Row],[AI_ENF2]]</f>
        <v>7</v>
      </c>
      <c r="F78">
        <f t="shared" si="29"/>
        <v>0.66666666666666663</v>
      </c>
      <c r="G78">
        <f>[1]!survey_responses[[#This Row],[Tôi tin rằng Nhà nước, cơ quan thuế có đủ khả năng và công nghệ để phát hiện, xử lý nghiêm các hành vi trốn thuế. - HUMAN-ENF2]]</f>
        <v>8</v>
      </c>
      <c r="H78">
        <f t="shared" si="30"/>
        <v>0.77777777777777779</v>
      </c>
      <c r="I78" s="32">
        <f t="shared" si="31"/>
        <v>0.61111111111111116</v>
      </c>
      <c r="J78" s="32">
        <f t="shared" si="32"/>
        <v>0.77777777777777779</v>
      </c>
      <c r="K78">
        <f>step3_validation[[#This Row],[AI_FAC1]]</f>
        <v>8</v>
      </c>
      <c r="L78">
        <f t="shared" si="33"/>
        <v>0.77777777777777779</v>
      </c>
      <c r="M78">
        <f>[1]!survey_responses[[#This Row],[Các thủ tục khai báo thuế VÀ/HOẶC quy trình làm việc với cơ quan thuế đơn giản, tiện lợi, nhanh chóng hơn so với trước đây. - HUMAN-FAC1]]</f>
        <v>8</v>
      </c>
      <c r="N78">
        <f t="shared" si="34"/>
        <v>0.77777777777777779</v>
      </c>
      <c r="O78">
        <f>step3_validation[[#This Row],[AI_FAC2]]</f>
        <v>7</v>
      </c>
      <c r="P78">
        <f t="shared" si="35"/>
        <v>0.66666666666666663</v>
      </c>
      <c r="Q78">
        <f>[1]!survey_responses[[#This Row],[So với trước đây, tôi thấy cách tính thuế và các bậc thuế trong phương án mới đơn giản, dễ hiểu và dễ thực hiện hơn. - HUMAN-FAC2]]</f>
        <v>8</v>
      </c>
      <c r="R78">
        <f t="shared" si="36"/>
        <v>0.77777777777777779</v>
      </c>
      <c r="S78" s="32">
        <f t="shared" si="37"/>
        <v>0.72222222222222221</v>
      </c>
      <c r="T78" s="32">
        <f t="shared" si="38"/>
        <v>0.77777777777777779</v>
      </c>
      <c r="U78">
        <f>step3_validation[[#This Row],[AI_TRU1]]</f>
        <v>8</v>
      </c>
      <c r="V78">
        <f t="shared" si="39"/>
        <v>0.77777777777777779</v>
      </c>
      <c r="W78">
        <f>[1]!survey_responses[[#This Row],[Tôi tin rằng Nhà nước, cơ quan thuế sẽ thực thi chính sách mới một cách khách quan, công tâm và đối xử bình đẳng với mọi người nộp thuế.  - HUMAN-TRU1]]</f>
        <v>9</v>
      </c>
      <c r="X78">
        <f t="shared" si="40"/>
        <v>0.88888888888888884</v>
      </c>
      <c r="Y78">
        <f>step3_validation[[#This Row],[AI_TRU2]]</f>
        <v>6</v>
      </c>
      <c r="Z78">
        <f t="shared" si="41"/>
        <v>0.55555555555555558</v>
      </c>
      <c r="AA78">
        <f>[1]!survey_responses[[#This Row],[Tôi thấy mức thuế tôi phải đóng theo phương án mới là công bằng (người thu nhập như tôi đóng mức này là hợp lý). - HUMAN-TRU2]]</f>
        <v>7</v>
      </c>
      <c r="AB78">
        <f t="shared" si="42"/>
        <v>0.66666666666666663</v>
      </c>
      <c r="AC78">
        <f>step3_validation[[#This Row],[AI_TRU3]]</f>
        <v>5</v>
      </c>
      <c r="AD78">
        <f t="shared" si="43"/>
        <v>0.44444444444444442</v>
      </c>
      <c r="AE78">
        <f>[1]!survey_responses[[#This Row],[Tôi tin tưởng số tiền thuế tôi đóng sẽ được Nhà nước sử dụng hiệu quả để cải thiện dịch vụ công (y tế, đường xá...). - HUMAN-TRU3]]</f>
        <v>9</v>
      </c>
      <c r="AF78">
        <f t="shared" si="44"/>
        <v>0.88888888888888884</v>
      </c>
      <c r="AG78">
        <f>step3_validation[[#This Row],[AI_TRU4]]</f>
        <v>6</v>
      </c>
      <c r="AH78">
        <f t="shared" si="45"/>
        <v>0.55555555555555558</v>
      </c>
      <c r="AI78">
        <f>[1]!survey_responses[[#This Row],[Tôi thấy Nhà nước đã giải thích rõ ràng, minh bạch về lý do và mục tiêu của việc sửa đổi thuế lần này. - HUMAN-TRU4]]</f>
        <v>10</v>
      </c>
      <c r="AJ78">
        <f t="shared" si="46"/>
        <v>1</v>
      </c>
      <c r="AK78" s="32">
        <f t="shared" si="47"/>
        <v>0.58333333333333337</v>
      </c>
      <c r="AL78" s="32">
        <f t="shared" si="48"/>
        <v>0.86111111111111105</v>
      </c>
      <c r="AM78" s="7">
        <f t="shared" si="49"/>
        <v>0.63888888888888895</v>
      </c>
      <c r="AN78" s="7">
        <f t="shared" si="50"/>
        <v>0.80555555555555547</v>
      </c>
      <c r="AO78">
        <f>step3_validation[[#This Row],[AI_OUT1]]</f>
        <v>7</v>
      </c>
      <c r="AP78">
        <f t="shared" si="51"/>
        <v>0.66666666666666663</v>
      </c>
      <c r="AQ78">
        <f>[1]!survey_responses[[#This Row],[Sau khi xem xét các quyền lợi và nghĩa vụ, bạn có ủng hộ và tuân thủ chính sách mới hiện nay? - HUMAN-OUT1]]</f>
        <v>8</v>
      </c>
      <c r="AR78">
        <f t="shared" si="52"/>
        <v>0.77777777777777779</v>
      </c>
      <c r="AS78" s="32">
        <f t="shared" si="53"/>
        <v>1</v>
      </c>
    </row>
    <row r="79" spans="1:45" x14ac:dyDescent="0.45">
      <c r="A79">
        <f>step3_validation[[#This Row],[AI_ENF1]]</f>
        <v>6</v>
      </c>
      <c r="B79">
        <f t="shared" si="27"/>
        <v>0.55555555555555558</v>
      </c>
      <c r="C79">
        <f>[1]!survey_responses[[#This Row],[Tôi tin rằng với các quy định quản lý thuế hiện nay, hành vi gian lận hoặc trốn thuế sẽ dễ dàng bị phát hiện và xử lý nghiêm. - HUMAN-ENF1]]</f>
        <v>8</v>
      </c>
      <c r="D79">
        <f t="shared" si="28"/>
        <v>0.77777777777777779</v>
      </c>
      <c r="E79">
        <f>step3_validation[[#This Row],[AI_ENF2]]</f>
        <v>7</v>
      </c>
      <c r="F79">
        <f t="shared" si="29"/>
        <v>0.66666666666666663</v>
      </c>
      <c r="G79">
        <f>[1]!survey_responses[[#This Row],[Tôi tin rằng Nhà nước, cơ quan thuế có đủ khả năng và công nghệ để phát hiện, xử lý nghiêm các hành vi trốn thuế. - HUMAN-ENF2]]</f>
        <v>7</v>
      </c>
      <c r="H79">
        <f t="shared" si="30"/>
        <v>0.66666666666666663</v>
      </c>
      <c r="I79" s="32">
        <f t="shared" si="31"/>
        <v>0.61111111111111116</v>
      </c>
      <c r="J79" s="32">
        <f t="shared" si="32"/>
        <v>0.72222222222222221</v>
      </c>
      <c r="K79">
        <f>step3_validation[[#This Row],[AI_FAC1]]</f>
        <v>5</v>
      </c>
      <c r="L79">
        <f t="shared" si="33"/>
        <v>0.44444444444444442</v>
      </c>
      <c r="M79">
        <f>[1]!survey_responses[[#This Row],[Các thủ tục khai báo thuế VÀ/HOẶC quy trình làm việc với cơ quan thuế đơn giản, tiện lợi, nhanh chóng hơn so với trước đây. - HUMAN-FAC1]]</f>
        <v>9</v>
      </c>
      <c r="N79">
        <f t="shared" si="34"/>
        <v>0.88888888888888884</v>
      </c>
      <c r="O79">
        <f>step3_validation[[#This Row],[AI_FAC2]]</f>
        <v>6</v>
      </c>
      <c r="P79">
        <f t="shared" si="35"/>
        <v>0.55555555555555558</v>
      </c>
      <c r="Q79">
        <f>[1]!survey_responses[[#This Row],[So với trước đây, tôi thấy cách tính thuế và các bậc thuế trong phương án mới đơn giản, dễ hiểu và dễ thực hiện hơn. - HUMAN-FAC2]]</f>
        <v>8</v>
      </c>
      <c r="R79">
        <f t="shared" si="36"/>
        <v>0.77777777777777779</v>
      </c>
      <c r="S79" s="32">
        <f t="shared" si="37"/>
        <v>0.5</v>
      </c>
      <c r="T79" s="32">
        <f t="shared" si="38"/>
        <v>0.83333333333333326</v>
      </c>
      <c r="U79">
        <f>step3_validation[[#This Row],[AI_TRU1]]</f>
        <v>7</v>
      </c>
      <c r="V79">
        <f t="shared" si="39"/>
        <v>0.66666666666666663</v>
      </c>
      <c r="W79">
        <f>[1]!survey_responses[[#This Row],[Tôi tin rằng Nhà nước, cơ quan thuế sẽ thực thi chính sách mới một cách khách quan, công tâm và đối xử bình đẳng với mọi người nộp thuế.  - HUMAN-TRU1]]</f>
        <v>8</v>
      </c>
      <c r="X79">
        <f t="shared" si="40"/>
        <v>0.77777777777777779</v>
      </c>
      <c r="Y79">
        <f>step3_validation[[#This Row],[AI_TRU2]]</f>
        <v>8</v>
      </c>
      <c r="Z79">
        <f t="shared" si="41"/>
        <v>0.77777777777777779</v>
      </c>
      <c r="AA79">
        <f>[1]!survey_responses[[#This Row],[Tôi thấy mức thuế tôi phải đóng theo phương án mới là công bằng (người thu nhập như tôi đóng mức này là hợp lý). - HUMAN-TRU2]]</f>
        <v>8</v>
      </c>
      <c r="AB79">
        <f t="shared" si="42"/>
        <v>0.77777777777777779</v>
      </c>
      <c r="AC79">
        <f>step3_validation[[#This Row],[AI_TRU3]]</f>
        <v>7</v>
      </c>
      <c r="AD79">
        <f t="shared" si="43"/>
        <v>0.66666666666666663</v>
      </c>
      <c r="AE79">
        <f>[1]!survey_responses[[#This Row],[Tôi tin tưởng số tiền thuế tôi đóng sẽ được Nhà nước sử dụng hiệu quả để cải thiện dịch vụ công (y tế, đường xá...). - HUMAN-TRU3]]</f>
        <v>6</v>
      </c>
      <c r="AF79">
        <f t="shared" si="44"/>
        <v>0.55555555555555558</v>
      </c>
      <c r="AG79">
        <f>step3_validation[[#This Row],[AI_TRU4]]</f>
        <v>8</v>
      </c>
      <c r="AH79">
        <f t="shared" si="45"/>
        <v>0.77777777777777779</v>
      </c>
      <c r="AI79">
        <f>[1]!survey_responses[[#This Row],[Tôi thấy Nhà nước đã giải thích rõ ràng, minh bạch về lý do và mục tiêu của việc sửa đổi thuế lần này. - HUMAN-TRU4]]</f>
        <v>6</v>
      </c>
      <c r="AJ79">
        <f t="shared" si="46"/>
        <v>0.55555555555555558</v>
      </c>
      <c r="AK79" s="32">
        <f t="shared" si="47"/>
        <v>0.72222222222222221</v>
      </c>
      <c r="AL79" s="32">
        <f t="shared" si="48"/>
        <v>0.66666666666666674</v>
      </c>
      <c r="AM79" s="7">
        <f t="shared" si="49"/>
        <v>0.61111111111111116</v>
      </c>
      <c r="AN79" s="7">
        <f t="shared" si="50"/>
        <v>0.74074074074074081</v>
      </c>
      <c r="AO79">
        <f>step3_validation[[#This Row],[AI_OUT1]]</f>
        <v>7</v>
      </c>
      <c r="AP79">
        <f t="shared" si="51"/>
        <v>0.66666666666666663</v>
      </c>
      <c r="AQ79">
        <f>[1]!survey_responses[[#This Row],[Sau khi xem xét các quyền lợi và nghĩa vụ, bạn có ủng hộ và tuân thủ chính sách mới hiện nay? - HUMAN-OUT1]]</f>
        <v>7</v>
      </c>
      <c r="AR79">
        <f t="shared" si="52"/>
        <v>0.66666666666666663</v>
      </c>
      <c r="AS79" s="32">
        <f t="shared" si="53"/>
        <v>0</v>
      </c>
    </row>
    <row r="80" spans="1:45" x14ac:dyDescent="0.45">
      <c r="A80">
        <f>step3_validation[[#This Row],[AI_ENF1]]</f>
        <v>7</v>
      </c>
      <c r="B80">
        <f t="shared" si="27"/>
        <v>0.66666666666666663</v>
      </c>
      <c r="C80">
        <f>[1]!survey_responses[[#This Row],[Tôi tin rằng với các quy định quản lý thuế hiện nay, hành vi gian lận hoặc trốn thuế sẽ dễ dàng bị phát hiện và xử lý nghiêm. - HUMAN-ENF1]]</f>
        <v>6</v>
      </c>
      <c r="D80">
        <f t="shared" si="28"/>
        <v>0.55555555555555558</v>
      </c>
      <c r="E80">
        <f>step3_validation[[#This Row],[AI_ENF2]]</f>
        <v>7</v>
      </c>
      <c r="F80">
        <f t="shared" si="29"/>
        <v>0.66666666666666663</v>
      </c>
      <c r="G80">
        <f>[1]!survey_responses[[#This Row],[Tôi tin rằng Nhà nước, cơ quan thuế có đủ khả năng và công nghệ để phát hiện, xử lý nghiêm các hành vi trốn thuế. - HUMAN-ENF2]]</f>
        <v>2</v>
      </c>
      <c r="H80">
        <f t="shared" si="30"/>
        <v>0.1111111111111111</v>
      </c>
      <c r="I80" s="32">
        <f t="shared" si="31"/>
        <v>0.66666666666666663</v>
      </c>
      <c r="J80" s="32">
        <f t="shared" si="32"/>
        <v>0.33333333333333337</v>
      </c>
      <c r="K80">
        <f>step3_validation[[#This Row],[AI_FAC1]]</f>
        <v>6</v>
      </c>
      <c r="L80">
        <f t="shared" si="33"/>
        <v>0.55555555555555558</v>
      </c>
      <c r="M80">
        <f>[1]!survey_responses[[#This Row],[Các thủ tục khai báo thuế VÀ/HOẶC quy trình làm việc với cơ quan thuế đơn giản, tiện lợi, nhanh chóng hơn so với trước đây. - HUMAN-FAC1]]</f>
        <v>3</v>
      </c>
      <c r="N80">
        <f t="shared" si="34"/>
        <v>0.22222222222222221</v>
      </c>
      <c r="O80">
        <f>step3_validation[[#This Row],[AI_FAC2]]</f>
        <v>6</v>
      </c>
      <c r="P80">
        <f t="shared" si="35"/>
        <v>0.55555555555555558</v>
      </c>
      <c r="Q80">
        <f>[1]!survey_responses[[#This Row],[So với trước đây, tôi thấy cách tính thuế và các bậc thuế trong phương án mới đơn giản, dễ hiểu và dễ thực hiện hơn. - HUMAN-FAC2]]</f>
        <v>2</v>
      </c>
      <c r="R80">
        <f t="shared" si="36"/>
        <v>0.1111111111111111</v>
      </c>
      <c r="S80" s="32">
        <f t="shared" si="37"/>
        <v>0.55555555555555558</v>
      </c>
      <c r="T80" s="32">
        <f t="shared" si="38"/>
        <v>0.16666666666666666</v>
      </c>
      <c r="U80">
        <f>step3_validation[[#This Row],[AI_TRU1]]</f>
        <v>7</v>
      </c>
      <c r="V80">
        <f t="shared" si="39"/>
        <v>0.66666666666666663</v>
      </c>
      <c r="W80">
        <f>[1]!survey_responses[[#This Row],[Tôi tin rằng Nhà nước, cơ quan thuế sẽ thực thi chính sách mới một cách khách quan, công tâm và đối xử bình đẳng với mọi người nộp thuế.  - HUMAN-TRU1]]</f>
        <v>3</v>
      </c>
      <c r="X80">
        <f t="shared" si="40"/>
        <v>0.22222222222222221</v>
      </c>
      <c r="Y80">
        <f>step3_validation[[#This Row],[AI_TRU2]]</f>
        <v>8</v>
      </c>
      <c r="Z80">
        <f t="shared" si="41"/>
        <v>0.77777777777777779</v>
      </c>
      <c r="AA80">
        <f>[1]!survey_responses[[#This Row],[Tôi thấy mức thuế tôi phải đóng theo phương án mới là công bằng (người thu nhập như tôi đóng mức này là hợp lý). - HUMAN-TRU2]]</f>
        <v>7</v>
      </c>
      <c r="AB80">
        <f t="shared" si="42"/>
        <v>0.66666666666666663</v>
      </c>
      <c r="AC80">
        <f>step3_validation[[#This Row],[AI_TRU3]]</f>
        <v>6</v>
      </c>
      <c r="AD80">
        <f t="shared" si="43"/>
        <v>0.55555555555555558</v>
      </c>
      <c r="AE80">
        <f>[1]!survey_responses[[#This Row],[Tôi tin tưởng số tiền thuế tôi đóng sẽ được Nhà nước sử dụng hiệu quả để cải thiện dịch vụ công (y tế, đường xá...). - HUMAN-TRU3]]</f>
        <v>5</v>
      </c>
      <c r="AF80">
        <f t="shared" si="44"/>
        <v>0.44444444444444442</v>
      </c>
      <c r="AG80">
        <f>step3_validation[[#This Row],[AI_TRU4]]</f>
        <v>5</v>
      </c>
      <c r="AH80">
        <f t="shared" si="45"/>
        <v>0.44444444444444442</v>
      </c>
      <c r="AI80">
        <f>[1]!survey_responses[[#This Row],[Tôi thấy Nhà nước đã giải thích rõ ràng, minh bạch về lý do và mục tiêu của việc sửa đổi thuế lần này. - HUMAN-TRU4]]</f>
        <v>5</v>
      </c>
      <c r="AJ80">
        <f t="shared" si="46"/>
        <v>0.44444444444444442</v>
      </c>
      <c r="AK80" s="32">
        <f t="shared" si="47"/>
        <v>0.61111111111111116</v>
      </c>
      <c r="AL80" s="32">
        <f t="shared" si="48"/>
        <v>0.44444444444444442</v>
      </c>
      <c r="AM80" s="7">
        <f t="shared" si="49"/>
        <v>0.61111111111111116</v>
      </c>
      <c r="AN80" s="7">
        <f t="shared" si="50"/>
        <v>0.31481481481481483</v>
      </c>
      <c r="AO80">
        <f>step3_validation[[#This Row],[AI_OUT1]]</f>
        <v>6</v>
      </c>
      <c r="AP80">
        <f t="shared" si="51"/>
        <v>0.55555555555555558</v>
      </c>
      <c r="AQ80">
        <f>[1]!survey_responses[[#This Row],[Sau khi xem xét các quyền lợi và nghĩa vụ, bạn có ủng hộ và tuân thủ chính sách mới hiện nay? - HUMAN-OUT1]]</f>
        <v>7</v>
      </c>
      <c r="AR80">
        <f t="shared" si="52"/>
        <v>0.66666666666666663</v>
      </c>
      <c r="AS80" s="32">
        <f t="shared" si="53"/>
        <v>1</v>
      </c>
    </row>
    <row r="81" spans="1:45" x14ac:dyDescent="0.45">
      <c r="A81">
        <f>step3_validation[[#This Row],[AI_ENF1]]</f>
        <v>7</v>
      </c>
      <c r="B81">
        <f t="shared" si="27"/>
        <v>0.66666666666666663</v>
      </c>
      <c r="C81">
        <f>[1]!survey_responses[[#This Row],[Tôi tin rằng với các quy định quản lý thuế hiện nay, hành vi gian lận hoặc trốn thuế sẽ dễ dàng bị phát hiện và xử lý nghiêm. - HUMAN-ENF1]]</f>
        <v>8</v>
      </c>
      <c r="D81">
        <f t="shared" si="28"/>
        <v>0.77777777777777779</v>
      </c>
      <c r="E81">
        <f>step3_validation[[#This Row],[AI_ENF2]]</f>
        <v>8</v>
      </c>
      <c r="F81">
        <f t="shared" si="29"/>
        <v>0.77777777777777779</v>
      </c>
      <c r="G81">
        <f>[1]!survey_responses[[#This Row],[Tôi tin rằng Nhà nước, cơ quan thuế có đủ khả năng và công nghệ để phát hiện, xử lý nghiêm các hành vi trốn thuế. - HUMAN-ENF2]]</f>
        <v>8</v>
      </c>
      <c r="H81">
        <f t="shared" si="30"/>
        <v>0.77777777777777779</v>
      </c>
      <c r="I81" s="32">
        <f t="shared" si="31"/>
        <v>0.72222222222222221</v>
      </c>
      <c r="J81" s="32">
        <f t="shared" si="32"/>
        <v>0.77777777777777779</v>
      </c>
      <c r="K81">
        <f>step3_validation[[#This Row],[AI_FAC1]]</f>
        <v>6</v>
      </c>
      <c r="L81">
        <f t="shared" si="33"/>
        <v>0.55555555555555558</v>
      </c>
      <c r="M81">
        <f>[1]!survey_responses[[#This Row],[Các thủ tục khai báo thuế VÀ/HOẶC quy trình làm việc với cơ quan thuế đơn giản, tiện lợi, nhanh chóng hơn so với trước đây. - HUMAN-FAC1]]</f>
        <v>8</v>
      </c>
      <c r="N81">
        <f t="shared" si="34"/>
        <v>0.77777777777777779</v>
      </c>
      <c r="O81">
        <f>step3_validation[[#This Row],[AI_FAC2]]</f>
        <v>8</v>
      </c>
      <c r="P81">
        <f t="shared" si="35"/>
        <v>0.77777777777777779</v>
      </c>
      <c r="Q81">
        <f>[1]!survey_responses[[#This Row],[So với trước đây, tôi thấy cách tính thuế và các bậc thuế trong phương án mới đơn giản, dễ hiểu và dễ thực hiện hơn. - HUMAN-FAC2]]</f>
        <v>8</v>
      </c>
      <c r="R81">
        <f t="shared" si="36"/>
        <v>0.77777777777777779</v>
      </c>
      <c r="S81" s="32">
        <f t="shared" si="37"/>
        <v>0.66666666666666674</v>
      </c>
      <c r="T81" s="32">
        <f t="shared" si="38"/>
        <v>0.77777777777777779</v>
      </c>
      <c r="U81">
        <f>step3_validation[[#This Row],[AI_TRU1]]</f>
        <v>5</v>
      </c>
      <c r="V81">
        <f t="shared" si="39"/>
        <v>0.44444444444444442</v>
      </c>
      <c r="W81">
        <f>[1]!survey_responses[[#This Row],[Tôi tin rằng Nhà nước, cơ quan thuế sẽ thực thi chính sách mới một cách khách quan, công tâm và đối xử bình đẳng với mọi người nộp thuế.  - HUMAN-TRU1]]</f>
        <v>8</v>
      </c>
      <c r="X81">
        <f t="shared" si="40"/>
        <v>0.77777777777777779</v>
      </c>
      <c r="Y81">
        <f>step3_validation[[#This Row],[AI_TRU2]]</f>
        <v>7</v>
      </c>
      <c r="Z81">
        <f t="shared" si="41"/>
        <v>0.66666666666666663</v>
      </c>
      <c r="AA81">
        <f>[1]!survey_responses[[#This Row],[Tôi thấy mức thuế tôi phải đóng theo phương án mới là công bằng (người thu nhập như tôi đóng mức này là hợp lý). - HUMAN-TRU2]]</f>
        <v>8</v>
      </c>
      <c r="AB81">
        <f t="shared" si="42"/>
        <v>0.77777777777777779</v>
      </c>
      <c r="AC81">
        <f>step3_validation[[#This Row],[AI_TRU3]]</f>
        <v>6</v>
      </c>
      <c r="AD81">
        <f t="shared" si="43"/>
        <v>0.55555555555555558</v>
      </c>
      <c r="AE81">
        <f>[1]!survey_responses[[#This Row],[Tôi tin tưởng số tiền thuế tôi đóng sẽ được Nhà nước sử dụng hiệu quả để cải thiện dịch vụ công (y tế, đường xá...). - HUMAN-TRU3]]</f>
        <v>8</v>
      </c>
      <c r="AF81">
        <f t="shared" si="44"/>
        <v>0.77777777777777779</v>
      </c>
      <c r="AG81">
        <f>step3_validation[[#This Row],[AI_TRU4]]</f>
        <v>7</v>
      </c>
      <c r="AH81">
        <f t="shared" si="45"/>
        <v>0.66666666666666663</v>
      </c>
      <c r="AI81">
        <f>[1]!survey_responses[[#This Row],[Tôi thấy Nhà nước đã giải thích rõ ràng, minh bạch về lý do và mục tiêu của việc sửa đổi thuế lần này. - HUMAN-TRU4]]</f>
        <v>8</v>
      </c>
      <c r="AJ81">
        <f t="shared" si="46"/>
        <v>0.77777777777777779</v>
      </c>
      <c r="AK81" s="32">
        <f t="shared" si="47"/>
        <v>0.58333333333333337</v>
      </c>
      <c r="AL81" s="32">
        <f t="shared" si="48"/>
        <v>0.77777777777777779</v>
      </c>
      <c r="AM81" s="7">
        <f t="shared" si="49"/>
        <v>0.65740740740740744</v>
      </c>
      <c r="AN81" s="7">
        <f t="shared" si="50"/>
        <v>0.77777777777777779</v>
      </c>
      <c r="AO81">
        <f>step3_validation[[#This Row],[AI_OUT1]]</f>
        <v>5</v>
      </c>
      <c r="AP81">
        <f t="shared" si="51"/>
        <v>0.44444444444444442</v>
      </c>
      <c r="AQ81">
        <f>[1]!survey_responses[[#This Row],[Sau khi xem xét các quyền lợi và nghĩa vụ, bạn có ủng hộ và tuân thủ chính sách mới hiện nay? - HUMAN-OUT1]]</f>
        <v>8</v>
      </c>
      <c r="AR81">
        <f t="shared" si="52"/>
        <v>0.77777777777777779</v>
      </c>
      <c r="AS81" s="32">
        <f t="shared" si="53"/>
        <v>3</v>
      </c>
    </row>
    <row r="82" spans="1:45" x14ac:dyDescent="0.45">
      <c r="A82">
        <f>step3_validation[[#This Row],[AI_ENF1]]</f>
        <v>7</v>
      </c>
      <c r="B82">
        <f t="shared" si="27"/>
        <v>0.66666666666666663</v>
      </c>
      <c r="C82">
        <f>[1]!survey_responses[[#This Row],[Tôi tin rằng với các quy định quản lý thuế hiện nay, hành vi gian lận hoặc trốn thuế sẽ dễ dàng bị phát hiện và xử lý nghiêm. - HUMAN-ENF1]]</f>
        <v>7</v>
      </c>
      <c r="D82">
        <f t="shared" si="28"/>
        <v>0.66666666666666663</v>
      </c>
      <c r="E82">
        <f>step3_validation[[#This Row],[AI_ENF2]]</f>
        <v>8</v>
      </c>
      <c r="F82">
        <f t="shared" si="29"/>
        <v>0.77777777777777779</v>
      </c>
      <c r="G82">
        <f>[1]!survey_responses[[#This Row],[Tôi tin rằng Nhà nước, cơ quan thuế có đủ khả năng và công nghệ để phát hiện, xử lý nghiêm các hành vi trốn thuế. - HUMAN-ENF2]]</f>
        <v>7</v>
      </c>
      <c r="H82">
        <f t="shared" si="30"/>
        <v>0.66666666666666663</v>
      </c>
      <c r="I82" s="32">
        <f t="shared" si="31"/>
        <v>0.72222222222222221</v>
      </c>
      <c r="J82" s="32">
        <f t="shared" si="32"/>
        <v>0.66666666666666663</v>
      </c>
      <c r="K82">
        <f>step3_validation[[#This Row],[AI_FAC1]]</f>
        <v>6</v>
      </c>
      <c r="L82">
        <f t="shared" si="33"/>
        <v>0.55555555555555558</v>
      </c>
      <c r="M82">
        <f>[1]!survey_responses[[#This Row],[Các thủ tục khai báo thuế VÀ/HOẶC quy trình làm việc với cơ quan thuế đơn giản, tiện lợi, nhanh chóng hơn so với trước đây. - HUMAN-FAC1]]</f>
        <v>5</v>
      </c>
      <c r="N82">
        <f t="shared" si="34"/>
        <v>0.44444444444444442</v>
      </c>
      <c r="O82">
        <f>step3_validation[[#This Row],[AI_FAC2]]</f>
        <v>9</v>
      </c>
      <c r="P82">
        <f t="shared" si="35"/>
        <v>0.88888888888888884</v>
      </c>
      <c r="Q82">
        <f>[1]!survey_responses[[#This Row],[So với trước đây, tôi thấy cách tính thuế và các bậc thuế trong phương án mới đơn giản, dễ hiểu và dễ thực hiện hơn. - HUMAN-FAC2]]</f>
        <v>5</v>
      </c>
      <c r="R82">
        <f t="shared" si="36"/>
        <v>0.44444444444444442</v>
      </c>
      <c r="S82" s="32">
        <f t="shared" si="37"/>
        <v>0.72222222222222221</v>
      </c>
      <c r="T82" s="32">
        <f t="shared" si="38"/>
        <v>0.44444444444444442</v>
      </c>
      <c r="U82">
        <f>step3_validation[[#This Row],[AI_TRU1]]</f>
        <v>7</v>
      </c>
      <c r="V82">
        <f t="shared" si="39"/>
        <v>0.66666666666666663</v>
      </c>
      <c r="W82">
        <f>[1]!survey_responses[[#This Row],[Tôi tin rằng Nhà nước, cơ quan thuế sẽ thực thi chính sách mới một cách khách quan, công tâm và đối xử bình đẳng với mọi người nộp thuế.  - HUMAN-TRU1]]</f>
        <v>6</v>
      </c>
      <c r="X82">
        <f t="shared" si="40"/>
        <v>0.55555555555555558</v>
      </c>
      <c r="Y82">
        <f>step3_validation[[#This Row],[AI_TRU2]]</f>
        <v>8</v>
      </c>
      <c r="Z82">
        <f t="shared" si="41"/>
        <v>0.77777777777777779</v>
      </c>
      <c r="AA82">
        <f>[1]!survey_responses[[#This Row],[Tôi thấy mức thuế tôi phải đóng theo phương án mới là công bằng (người thu nhập như tôi đóng mức này là hợp lý). - HUMAN-TRU2]]</f>
        <v>5</v>
      </c>
      <c r="AB82">
        <f t="shared" si="42"/>
        <v>0.44444444444444442</v>
      </c>
      <c r="AC82">
        <f>step3_validation[[#This Row],[AI_TRU3]]</f>
        <v>7</v>
      </c>
      <c r="AD82">
        <f t="shared" si="43"/>
        <v>0.66666666666666663</v>
      </c>
      <c r="AE82">
        <f>[1]!survey_responses[[#This Row],[Tôi tin tưởng số tiền thuế tôi đóng sẽ được Nhà nước sử dụng hiệu quả để cải thiện dịch vụ công (y tế, đường xá...). - HUMAN-TRU3]]</f>
        <v>8</v>
      </c>
      <c r="AF82">
        <f t="shared" si="44"/>
        <v>0.77777777777777779</v>
      </c>
      <c r="AG82">
        <f>step3_validation[[#This Row],[AI_TRU4]]</f>
        <v>6</v>
      </c>
      <c r="AH82">
        <f t="shared" si="45"/>
        <v>0.55555555555555558</v>
      </c>
      <c r="AI82">
        <f>[1]!survey_responses[[#This Row],[Tôi thấy Nhà nước đã giải thích rõ ràng, minh bạch về lý do và mục tiêu của việc sửa đổi thuế lần này. - HUMAN-TRU4]]</f>
        <v>6</v>
      </c>
      <c r="AJ82">
        <f t="shared" si="46"/>
        <v>0.55555555555555558</v>
      </c>
      <c r="AK82" s="32">
        <f t="shared" si="47"/>
        <v>0.66666666666666674</v>
      </c>
      <c r="AL82" s="32">
        <f t="shared" si="48"/>
        <v>0.58333333333333326</v>
      </c>
      <c r="AM82" s="7">
        <f t="shared" si="49"/>
        <v>0.70370370370370372</v>
      </c>
      <c r="AN82" s="7">
        <f t="shared" si="50"/>
        <v>0.56481481481481477</v>
      </c>
      <c r="AO82">
        <f>step3_validation[[#This Row],[AI_OUT1]]</f>
        <v>7</v>
      </c>
      <c r="AP82">
        <f t="shared" si="51"/>
        <v>0.66666666666666663</v>
      </c>
      <c r="AQ82">
        <f>[1]!survey_responses[[#This Row],[Sau khi xem xét các quyền lợi và nghĩa vụ, bạn có ủng hộ và tuân thủ chính sách mới hiện nay? - HUMAN-OUT1]]</f>
        <v>8</v>
      </c>
      <c r="AR82">
        <f t="shared" si="52"/>
        <v>0.77777777777777779</v>
      </c>
      <c r="AS82" s="32">
        <f t="shared" si="53"/>
        <v>1</v>
      </c>
    </row>
    <row r="83" spans="1:45" x14ac:dyDescent="0.45">
      <c r="A83">
        <f>step3_validation[[#This Row],[AI_ENF1]]</f>
        <v>7</v>
      </c>
      <c r="B83">
        <f t="shared" si="27"/>
        <v>0.66666666666666663</v>
      </c>
      <c r="C83">
        <f>[1]!survey_responses[[#This Row],[Tôi tin rằng với các quy định quản lý thuế hiện nay, hành vi gian lận hoặc trốn thuế sẽ dễ dàng bị phát hiện và xử lý nghiêm. - HUMAN-ENF1]]</f>
        <v>8</v>
      </c>
      <c r="D83">
        <f t="shared" si="28"/>
        <v>0.77777777777777779</v>
      </c>
      <c r="E83">
        <f>step3_validation[[#This Row],[AI_ENF2]]</f>
        <v>8</v>
      </c>
      <c r="F83">
        <f t="shared" si="29"/>
        <v>0.77777777777777779</v>
      </c>
      <c r="G83">
        <f>[1]!survey_responses[[#This Row],[Tôi tin rằng Nhà nước, cơ quan thuế có đủ khả năng và công nghệ để phát hiện, xử lý nghiêm các hành vi trốn thuế. - HUMAN-ENF2]]</f>
        <v>9</v>
      </c>
      <c r="H83">
        <f t="shared" si="30"/>
        <v>0.88888888888888884</v>
      </c>
      <c r="I83" s="32">
        <f t="shared" si="31"/>
        <v>0.72222222222222221</v>
      </c>
      <c r="J83" s="32">
        <f t="shared" si="32"/>
        <v>0.83333333333333326</v>
      </c>
      <c r="K83">
        <f>step3_validation[[#This Row],[AI_FAC1]]</f>
        <v>6</v>
      </c>
      <c r="L83">
        <f t="shared" si="33"/>
        <v>0.55555555555555558</v>
      </c>
      <c r="M83">
        <f>[1]!survey_responses[[#This Row],[Các thủ tục khai báo thuế VÀ/HOẶC quy trình làm việc với cơ quan thuế đơn giản, tiện lợi, nhanh chóng hơn so với trước đây. - HUMAN-FAC1]]</f>
        <v>5</v>
      </c>
      <c r="N83">
        <f t="shared" si="34"/>
        <v>0.44444444444444442</v>
      </c>
      <c r="O83">
        <f>step3_validation[[#This Row],[AI_FAC2]]</f>
        <v>9</v>
      </c>
      <c r="P83">
        <f t="shared" si="35"/>
        <v>0.88888888888888884</v>
      </c>
      <c r="Q83">
        <f>[1]!survey_responses[[#This Row],[So với trước đây, tôi thấy cách tính thuế và các bậc thuế trong phương án mới đơn giản, dễ hiểu và dễ thực hiện hơn. - HUMAN-FAC2]]</f>
        <v>5</v>
      </c>
      <c r="R83">
        <f t="shared" si="36"/>
        <v>0.44444444444444442</v>
      </c>
      <c r="S83" s="32">
        <f t="shared" si="37"/>
        <v>0.72222222222222221</v>
      </c>
      <c r="T83" s="32">
        <f t="shared" si="38"/>
        <v>0.44444444444444442</v>
      </c>
      <c r="U83">
        <f>step3_validation[[#This Row],[AI_TRU1]]</f>
        <v>8</v>
      </c>
      <c r="V83">
        <f t="shared" si="39"/>
        <v>0.77777777777777779</v>
      </c>
      <c r="W83">
        <f>[1]!survey_responses[[#This Row],[Tôi tin rằng Nhà nước, cơ quan thuế sẽ thực thi chính sách mới một cách khách quan, công tâm và đối xử bình đẳng với mọi người nộp thuế.  - HUMAN-TRU1]]</f>
        <v>5</v>
      </c>
      <c r="X83">
        <f t="shared" si="40"/>
        <v>0.44444444444444442</v>
      </c>
      <c r="Y83">
        <f>step3_validation[[#This Row],[AI_TRU2]]</f>
        <v>7</v>
      </c>
      <c r="Z83">
        <f t="shared" si="41"/>
        <v>0.66666666666666663</v>
      </c>
      <c r="AA83">
        <f>[1]!survey_responses[[#This Row],[Tôi thấy mức thuế tôi phải đóng theo phương án mới là công bằng (người thu nhập như tôi đóng mức này là hợp lý). - HUMAN-TRU2]]</f>
        <v>5</v>
      </c>
      <c r="AB83">
        <f t="shared" si="42"/>
        <v>0.44444444444444442</v>
      </c>
      <c r="AC83">
        <f>step3_validation[[#This Row],[AI_TRU3]]</f>
        <v>6</v>
      </c>
      <c r="AD83">
        <f t="shared" si="43"/>
        <v>0.55555555555555558</v>
      </c>
      <c r="AE83">
        <f>[1]!survey_responses[[#This Row],[Tôi tin tưởng số tiền thuế tôi đóng sẽ được Nhà nước sử dụng hiệu quả để cải thiện dịch vụ công (y tế, đường xá...). - HUMAN-TRU3]]</f>
        <v>1</v>
      </c>
      <c r="AF83">
        <f t="shared" si="44"/>
        <v>0</v>
      </c>
      <c r="AG83">
        <f>step3_validation[[#This Row],[AI_TRU4]]</f>
        <v>8</v>
      </c>
      <c r="AH83">
        <f t="shared" si="45"/>
        <v>0.77777777777777779</v>
      </c>
      <c r="AI83">
        <f>[1]!survey_responses[[#This Row],[Tôi thấy Nhà nước đã giải thích rõ ràng, minh bạch về lý do và mục tiêu của việc sửa đổi thuế lần này. - HUMAN-TRU4]]</f>
        <v>5</v>
      </c>
      <c r="AJ83">
        <f t="shared" si="46"/>
        <v>0.44444444444444442</v>
      </c>
      <c r="AK83" s="32">
        <f t="shared" si="47"/>
        <v>0.69444444444444442</v>
      </c>
      <c r="AL83" s="32">
        <f t="shared" si="48"/>
        <v>0.33333333333333331</v>
      </c>
      <c r="AM83" s="7">
        <f t="shared" si="49"/>
        <v>0.71296296296296291</v>
      </c>
      <c r="AN83" s="7">
        <f t="shared" si="50"/>
        <v>0.53703703703703698</v>
      </c>
      <c r="AO83">
        <f>step3_validation[[#This Row],[AI_OUT1]]</f>
        <v>9</v>
      </c>
      <c r="AP83">
        <f t="shared" si="51"/>
        <v>0.88888888888888884</v>
      </c>
      <c r="AQ83">
        <f>[1]!survey_responses[[#This Row],[Sau khi xem xét các quyền lợi và nghĩa vụ, bạn có ủng hộ và tuân thủ chính sách mới hiện nay? - HUMAN-OUT1]]</f>
        <v>5</v>
      </c>
      <c r="AR83">
        <f t="shared" si="52"/>
        <v>0.44444444444444442</v>
      </c>
      <c r="AS83" s="32">
        <f t="shared" si="53"/>
        <v>4</v>
      </c>
    </row>
    <row r="84" spans="1:45" x14ac:dyDescent="0.45">
      <c r="A84">
        <f>step3_validation[[#This Row],[AI_ENF1]]</f>
        <v>7</v>
      </c>
      <c r="B84">
        <f t="shared" si="27"/>
        <v>0.66666666666666663</v>
      </c>
      <c r="C84">
        <f>[1]!survey_responses[[#This Row],[Tôi tin rằng với các quy định quản lý thuế hiện nay, hành vi gian lận hoặc trốn thuế sẽ dễ dàng bị phát hiện và xử lý nghiêm. - HUMAN-ENF1]]</f>
        <v>10</v>
      </c>
      <c r="D84">
        <f t="shared" si="28"/>
        <v>1</v>
      </c>
      <c r="E84">
        <f>step3_validation[[#This Row],[AI_ENF2]]</f>
        <v>6</v>
      </c>
      <c r="F84">
        <f t="shared" si="29"/>
        <v>0.55555555555555558</v>
      </c>
      <c r="G84">
        <f>[1]!survey_responses[[#This Row],[Tôi tin rằng Nhà nước, cơ quan thuế có đủ khả năng và công nghệ để phát hiện, xử lý nghiêm các hành vi trốn thuế. - HUMAN-ENF2]]</f>
        <v>8</v>
      </c>
      <c r="H84">
        <f t="shared" si="30"/>
        <v>0.77777777777777779</v>
      </c>
      <c r="I84" s="32">
        <f t="shared" si="31"/>
        <v>0.61111111111111116</v>
      </c>
      <c r="J84" s="32">
        <f t="shared" si="32"/>
        <v>0.88888888888888884</v>
      </c>
      <c r="K84">
        <f>step3_validation[[#This Row],[AI_FAC1]]</f>
        <v>9</v>
      </c>
      <c r="L84">
        <f t="shared" si="33"/>
        <v>0.88888888888888884</v>
      </c>
      <c r="M84">
        <f>[1]!survey_responses[[#This Row],[Các thủ tục khai báo thuế VÀ/HOẶC quy trình làm việc với cơ quan thuế đơn giản, tiện lợi, nhanh chóng hơn so với trước đây. - HUMAN-FAC1]]</f>
        <v>8</v>
      </c>
      <c r="N84">
        <f t="shared" si="34"/>
        <v>0.77777777777777779</v>
      </c>
      <c r="O84">
        <f>step3_validation[[#This Row],[AI_FAC2]]</f>
        <v>8</v>
      </c>
      <c r="P84">
        <f t="shared" si="35"/>
        <v>0.77777777777777779</v>
      </c>
      <c r="Q84">
        <f>[1]!survey_responses[[#This Row],[So với trước đây, tôi thấy cách tính thuế và các bậc thuế trong phương án mới đơn giản, dễ hiểu và dễ thực hiện hơn. - HUMAN-FAC2]]</f>
        <v>7</v>
      </c>
      <c r="R84">
        <f t="shared" si="36"/>
        <v>0.66666666666666663</v>
      </c>
      <c r="S84" s="32">
        <f t="shared" si="37"/>
        <v>0.83333333333333326</v>
      </c>
      <c r="T84" s="32">
        <f t="shared" si="38"/>
        <v>0.72222222222222221</v>
      </c>
      <c r="U84">
        <f>step3_validation[[#This Row],[AI_TRU1]]</f>
        <v>7</v>
      </c>
      <c r="V84">
        <f t="shared" si="39"/>
        <v>0.66666666666666663</v>
      </c>
      <c r="W84">
        <f>[1]!survey_responses[[#This Row],[Tôi tin rằng Nhà nước, cơ quan thuế sẽ thực thi chính sách mới một cách khách quan, công tâm và đối xử bình đẳng với mọi người nộp thuế.  - HUMAN-TRU1]]</f>
        <v>7</v>
      </c>
      <c r="X84">
        <f t="shared" si="40"/>
        <v>0.66666666666666663</v>
      </c>
      <c r="Y84">
        <f>step3_validation[[#This Row],[AI_TRU2]]</f>
        <v>8</v>
      </c>
      <c r="Z84">
        <f t="shared" si="41"/>
        <v>0.77777777777777779</v>
      </c>
      <c r="AA84">
        <f>[1]!survey_responses[[#This Row],[Tôi thấy mức thuế tôi phải đóng theo phương án mới là công bằng (người thu nhập như tôi đóng mức này là hợp lý). - HUMAN-TRU2]]</f>
        <v>6</v>
      </c>
      <c r="AB84">
        <f t="shared" si="42"/>
        <v>0.55555555555555558</v>
      </c>
      <c r="AC84">
        <f>step3_validation[[#This Row],[AI_TRU3]]</f>
        <v>6</v>
      </c>
      <c r="AD84">
        <f t="shared" si="43"/>
        <v>0.55555555555555558</v>
      </c>
      <c r="AE84">
        <f>[1]!survey_responses[[#This Row],[Tôi tin tưởng số tiền thuế tôi đóng sẽ được Nhà nước sử dụng hiệu quả để cải thiện dịch vụ công (y tế, đường xá...). - HUMAN-TRU3]]</f>
        <v>7</v>
      </c>
      <c r="AF84">
        <f t="shared" si="44"/>
        <v>0.66666666666666663</v>
      </c>
      <c r="AG84">
        <f>step3_validation[[#This Row],[AI_TRU4]]</f>
        <v>5</v>
      </c>
      <c r="AH84">
        <f t="shared" si="45"/>
        <v>0.44444444444444442</v>
      </c>
      <c r="AI84">
        <f>[1]!survey_responses[[#This Row],[Tôi thấy Nhà nước đã giải thích rõ ràng, minh bạch về lý do và mục tiêu của việc sửa đổi thuế lần này. - HUMAN-TRU4]]</f>
        <v>6</v>
      </c>
      <c r="AJ84">
        <f t="shared" si="46"/>
        <v>0.55555555555555558</v>
      </c>
      <c r="AK84" s="32">
        <f t="shared" si="47"/>
        <v>0.61111111111111116</v>
      </c>
      <c r="AL84" s="32">
        <f t="shared" si="48"/>
        <v>0.61111111111111116</v>
      </c>
      <c r="AM84" s="7">
        <f t="shared" si="49"/>
        <v>0.68518518518518512</v>
      </c>
      <c r="AN84" s="7">
        <f t="shared" si="50"/>
        <v>0.74074074074074081</v>
      </c>
      <c r="AO84">
        <f>step3_validation[[#This Row],[AI_OUT1]]</f>
        <v>8</v>
      </c>
      <c r="AP84">
        <f t="shared" si="51"/>
        <v>0.77777777777777779</v>
      </c>
      <c r="AQ84">
        <f>[1]!survey_responses[[#This Row],[Sau khi xem xét các quyền lợi và nghĩa vụ, bạn có ủng hộ và tuân thủ chính sách mới hiện nay? - HUMAN-OUT1]]</f>
        <v>8</v>
      </c>
      <c r="AR84">
        <f t="shared" si="52"/>
        <v>0.77777777777777779</v>
      </c>
      <c r="AS84" s="32">
        <f t="shared" si="53"/>
        <v>0</v>
      </c>
    </row>
    <row r="85" spans="1:45" x14ac:dyDescent="0.45">
      <c r="A85">
        <f>step3_validation[[#This Row],[AI_ENF1]]</f>
        <v>7</v>
      </c>
      <c r="B85">
        <f t="shared" si="27"/>
        <v>0.66666666666666663</v>
      </c>
      <c r="C85">
        <f>[1]!survey_responses[[#This Row],[Tôi tin rằng với các quy định quản lý thuế hiện nay, hành vi gian lận hoặc trốn thuế sẽ dễ dàng bị phát hiện và xử lý nghiêm. - HUMAN-ENF1]]</f>
        <v>6</v>
      </c>
      <c r="D85">
        <f t="shared" si="28"/>
        <v>0.55555555555555558</v>
      </c>
      <c r="E85">
        <f>step3_validation[[#This Row],[AI_ENF2]]</f>
        <v>8</v>
      </c>
      <c r="F85">
        <f t="shared" si="29"/>
        <v>0.77777777777777779</v>
      </c>
      <c r="G85">
        <f>[1]!survey_responses[[#This Row],[Tôi tin rằng Nhà nước, cơ quan thuế có đủ khả năng và công nghệ để phát hiện, xử lý nghiêm các hành vi trốn thuế. - HUMAN-ENF2]]</f>
        <v>7</v>
      </c>
      <c r="H85">
        <f t="shared" si="30"/>
        <v>0.66666666666666663</v>
      </c>
      <c r="I85" s="32">
        <f t="shared" si="31"/>
        <v>0.72222222222222221</v>
      </c>
      <c r="J85" s="32">
        <f t="shared" si="32"/>
        <v>0.61111111111111116</v>
      </c>
      <c r="K85">
        <f>step3_validation[[#This Row],[AI_FAC1]]</f>
        <v>6</v>
      </c>
      <c r="L85">
        <f t="shared" si="33"/>
        <v>0.55555555555555558</v>
      </c>
      <c r="M85">
        <f>[1]!survey_responses[[#This Row],[Các thủ tục khai báo thuế VÀ/HOẶC quy trình làm việc với cơ quan thuế đơn giản, tiện lợi, nhanh chóng hơn so với trước đây. - HUMAN-FAC1]]</f>
        <v>5</v>
      </c>
      <c r="N85">
        <f t="shared" si="34"/>
        <v>0.44444444444444442</v>
      </c>
      <c r="O85">
        <f>step3_validation[[#This Row],[AI_FAC2]]</f>
        <v>7</v>
      </c>
      <c r="P85">
        <f t="shared" si="35"/>
        <v>0.66666666666666663</v>
      </c>
      <c r="Q85">
        <f>[1]!survey_responses[[#This Row],[So với trước đây, tôi thấy cách tính thuế và các bậc thuế trong phương án mới đơn giản, dễ hiểu và dễ thực hiện hơn. - HUMAN-FAC2]]</f>
        <v>5</v>
      </c>
      <c r="R85">
        <f t="shared" si="36"/>
        <v>0.44444444444444442</v>
      </c>
      <c r="S85" s="32">
        <f t="shared" si="37"/>
        <v>0.61111111111111116</v>
      </c>
      <c r="T85" s="32">
        <f t="shared" si="38"/>
        <v>0.44444444444444442</v>
      </c>
      <c r="U85">
        <f>step3_validation[[#This Row],[AI_TRU1]]</f>
        <v>8</v>
      </c>
      <c r="V85">
        <f t="shared" si="39"/>
        <v>0.77777777777777779</v>
      </c>
      <c r="W85">
        <f>[1]!survey_responses[[#This Row],[Tôi tin rằng Nhà nước, cơ quan thuế sẽ thực thi chính sách mới một cách khách quan, công tâm và đối xử bình đẳng với mọi người nộp thuế.  - HUMAN-TRU1]]</f>
        <v>5</v>
      </c>
      <c r="X85">
        <f t="shared" si="40"/>
        <v>0.44444444444444442</v>
      </c>
      <c r="Y85">
        <f>step3_validation[[#This Row],[AI_TRU2]]</f>
        <v>9</v>
      </c>
      <c r="Z85">
        <f t="shared" si="41"/>
        <v>0.88888888888888884</v>
      </c>
      <c r="AA85">
        <f>[1]!survey_responses[[#This Row],[Tôi thấy mức thuế tôi phải đóng theo phương án mới là công bằng (người thu nhập như tôi đóng mức này là hợp lý). - HUMAN-TRU2]]</f>
        <v>5</v>
      </c>
      <c r="AB85">
        <f t="shared" si="42"/>
        <v>0.44444444444444442</v>
      </c>
      <c r="AC85">
        <f>step3_validation[[#This Row],[AI_TRU3]]</f>
        <v>6</v>
      </c>
      <c r="AD85">
        <f t="shared" si="43"/>
        <v>0.55555555555555558</v>
      </c>
      <c r="AE85">
        <f>[1]!survey_responses[[#This Row],[Tôi tin tưởng số tiền thuế tôi đóng sẽ được Nhà nước sử dụng hiệu quả để cải thiện dịch vụ công (y tế, đường xá...). - HUMAN-TRU3]]</f>
        <v>5</v>
      </c>
      <c r="AF85">
        <f t="shared" si="44"/>
        <v>0.44444444444444442</v>
      </c>
      <c r="AG85">
        <f>step3_validation[[#This Row],[AI_TRU4]]</f>
        <v>5</v>
      </c>
      <c r="AH85">
        <f t="shared" si="45"/>
        <v>0.44444444444444442</v>
      </c>
      <c r="AI85">
        <f>[1]!survey_responses[[#This Row],[Tôi thấy Nhà nước đã giải thích rõ ràng, minh bạch về lý do và mục tiêu của việc sửa đổi thuế lần này. - HUMAN-TRU4]]</f>
        <v>5</v>
      </c>
      <c r="AJ85">
        <f t="shared" si="46"/>
        <v>0.44444444444444442</v>
      </c>
      <c r="AK85" s="32">
        <f t="shared" si="47"/>
        <v>0.66666666666666674</v>
      </c>
      <c r="AL85" s="32">
        <f t="shared" si="48"/>
        <v>0.44444444444444442</v>
      </c>
      <c r="AM85" s="7">
        <f t="shared" si="49"/>
        <v>0.66666666666666663</v>
      </c>
      <c r="AN85" s="7">
        <f t="shared" si="50"/>
        <v>0.5</v>
      </c>
      <c r="AO85">
        <f>step3_validation[[#This Row],[AI_OUT1]]</f>
        <v>7</v>
      </c>
      <c r="AP85">
        <f t="shared" si="51"/>
        <v>0.66666666666666663</v>
      </c>
      <c r="AQ85">
        <f>[1]!survey_responses[[#This Row],[Sau khi xem xét các quyền lợi và nghĩa vụ, bạn có ủng hộ và tuân thủ chính sách mới hiện nay? - HUMAN-OUT1]]</f>
        <v>5</v>
      </c>
      <c r="AR85">
        <f t="shared" si="52"/>
        <v>0.44444444444444442</v>
      </c>
      <c r="AS85" s="32">
        <f t="shared" si="53"/>
        <v>2</v>
      </c>
    </row>
    <row r="86" spans="1:45" x14ac:dyDescent="0.45">
      <c r="A86">
        <f>step3_validation[[#This Row],[AI_ENF1]]</f>
        <v>6</v>
      </c>
      <c r="B86">
        <f t="shared" si="27"/>
        <v>0.55555555555555558</v>
      </c>
      <c r="C86">
        <f>[1]!survey_responses[[#This Row],[Tôi tin rằng với các quy định quản lý thuế hiện nay, hành vi gian lận hoặc trốn thuế sẽ dễ dàng bị phát hiện và xử lý nghiêm. - HUMAN-ENF1]]</f>
        <v>9</v>
      </c>
      <c r="D86">
        <f t="shared" si="28"/>
        <v>0.88888888888888884</v>
      </c>
      <c r="E86">
        <f>step3_validation[[#This Row],[AI_ENF2]]</f>
        <v>7</v>
      </c>
      <c r="F86">
        <f t="shared" si="29"/>
        <v>0.66666666666666663</v>
      </c>
      <c r="G86">
        <f>[1]!survey_responses[[#This Row],[Tôi tin rằng Nhà nước, cơ quan thuế có đủ khả năng và công nghệ để phát hiện, xử lý nghiêm các hành vi trốn thuế. - HUMAN-ENF2]]</f>
        <v>9</v>
      </c>
      <c r="H86">
        <f t="shared" si="30"/>
        <v>0.88888888888888884</v>
      </c>
      <c r="I86" s="32">
        <f t="shared" si="31"/>
        <v>0.61111111111111116</v>
      </c>
      <c r="J86" s="32">
        <f t="shared" si="32"/>
        <v>0.88888888888888884</v>
      </c>
      <c r="K86">
        <f>step3_validation[[#This Row],[AI_FAC1]]</f>
        <v>8</v>
      </c>
      <c r="L86">
        <f t="shared" si="33"/>
        <v>0.77777777777777779</v>
      </c>
      <c r="M86">
        <f>[1]!survey_responses[[#This Row],[Các thủ tục khai báo thuế VÀ/HOẶC quy trình làm việc với cơ quan thuế đơn giản, tiện lợi, nhanh chóng hơn so với trước đây. - HUMAN-FAC1]]</f>
        <v>8</v>
      </c>
      <c r="N86">
        <f t="shared" si="34"/>
        <v>0.77777777777777779</v>
      </c>
      <c r="O86">
        <f>step3_validation[[#This Row],[AI_FAC2]]</f>
        <v>9</v>
      </c>
      <c r="P86">
        <f t="shared" si="35"/>
        <v>0.88888888888888884</v>
      </c>
      <c r="Q86">
        <f>[1]!survey_responses[[#This Row],[So với trước đây, tôi thấy cách tính thuế và các bậc thuế trong phương án mới đơn giản, dễ hiểu và dễ thực hiện hơn. - HUMAN-FAC2]]</f>
        <v>9</v>
      </c>
      <c r="R86">
        <f t="shared" si="36"/>
        <v>0.88888888888888884</v>
      </c>
      <c r="S86" s="32">
        <f t="shared" si="37"/>
        <v>0.83333333333333326</v>
      </c>
      <c r="T86" s="32">
        <f t="shared" si="38"/>
        <v>0.83333333333333326</v>
      </c>
      <c r="U86">
        <f>step3_validation[[#This Row],[AI_TRU1]]</f>
        <v>7</v>
      </c>
      <c r="V86">
        <f t="shared" si="39"/>
        <v>0.66666666666666663</v>
      </c>
      <c r="W86">
        <f>[1]!survey_responses[[#This Row],[Tôi tin rằng Nhà nước, cơ quan thuế sẽ thực thi chính sách mới một cách khách quan, công tâm và đối xử bình đẳng với mọi người nộp thuế.  - HUMAN-TRU1]]</f>
        <v>9</v>
      </c>
      <c r="X86">
        <f t="shared" si="40"/>
        <v>0.88888888888888884</v>
      </c>
      <c r="Y86">
        <f>step3_validation[[#This Row],[AI_TRU2]]</f>
        <v>6</v>
      </c>
      <c r="Z86">
        <f t="shared" si="41"/>
        <v>0.55555555555555558</v>
      </c>
      <c r="AA86">
        <f>[1]!survey_responses[[#This Row],[Tôi thấy mức thuế tôi phải đóng theo phương án mới là công bằng (người thu nhập như tôi đóng mức này là hợp lý). - HUMAN-TRU2]]</f>
        <v>9</v>
      </c>
      <c r="AB86">
        <f t="shared" si="42"/>
        <v>0.88888888888888884</v>
      </c>
      <c r="AC86">
        <f>step3_validation[[#This Row],[AI_TRU3]]</f>
        <v>7</v>
      </c>
      <c r="AD86">
        <f t="shared" si="43"/>
        <v>0.66666666666666663</v>
      </c>
      <c r="AE86">
        <f>[1]!survey_responses[[#This Row],[Tôi tin tưởng số tiền thuế tôi đóng sẽ được Nhà nước sử dụng hiệu quả để cải thiện dịch vụ công (y tế, đường xá...). - HUMAN-TRU3]]</f>
        <v>7</v>
      </c>
      <c r="AF86">
        <f t="shared" si="44"/>
        <v>0.66666666666666663</v>
      </c>
      <c r="AG86">
        <f>step3_validation[[#This Row],[AI_TRU4]]</f>
        <v>5</v>
      </c>
      <c r="AH86">
        <f t="shared" si="45"/>
        <v>0.44444444444444442</v>
      </c>
      <c r="AI86">
        <f>[1]!survey_responses[[#This Row],[Tôi thấy Nhà nước đã giải thích rõ ràng, minh bạch về lý do và mục tiêu của việc sửa đổi thuế lần này. - HUMAN-TRU4]]</f>
        <v>8</v>
      </c>
      <c r="AJ86">
        <f t="shared" si="46"/>
        <v>0.77777777777777779</v>
      </c>
      <c r="AK86" s="32">
        <f t="shared" si="47"/>
        <v>0.58333333333333326</v>
      </c>
      <c r="AL86" s="32">
        <f t="shared" si="48"/>
        <v>0.80555555555555547</v>
      </c>
      <c r="AM86" s="7">
        <f t="shared" si="49"/>
        <v>0.67592592592592593</v>
      </c>
      <c r="AN86" s="7">
        <f t="shared" si="50"/>
        <v>0.84259259259259256</v>
      </c>
      <c r="AO86">
        <f>step3_validation[[#This Row],[AI_OUT1]]</f>
        <v>7</v>
      </c>
      <c r="AP86">
        <f t="shared" si="51"/>
        <v>0.66666666666666663</v>
      </c>
      <c r="AQ86">
        <f>[1]!survey_responses[[#This Row],[Sau khi xem xét các quyền lợi và nghĩa vụ, bạn có ủng hộ và tuân thủ chính sách mới hiện nay? - HUMAN-OUT1]]</f>
        <v>8</v>
      </c>
      <c r="AR86">
        <f t="shared" si="52"/>
        <v>0.77777777777777779</v>
      </c>
      <c r="AS86" s="32">
        <f t="shared" si="53"/>
        <v>1</v>
      </c>
    </row>
    <row r="87" spans="1:45" x14ac:dyDescent="0.45">
      <c r="A87">
        <f>step3_validation[[#This Row],[AI_ENF1]]</f>
        <v>7</v>
      </c>
      <c r="B87">
        <f t="shared" si="27"/>
        <v>0.66666666666666663</v>
      </c>
      <c r="C87">
        <f>[1]!survey_responses[[#This Row],[Tôi tin rằng với các quy định quản lý thuế hiện nay, hành vi gian lận hoặc trốn thuế sẽ dễ dàng bị phát hiện và xử lý nghiêm. - HUMAN-ENF1]]</f>
        <v>5</v>
      </c>
      <c r="D87">
        <f t="shared" si="28"/>
        <v>0.44444444444444442</v>
      </c>
      <c r="E87">
        <f>step3_validation[[#This Row],[AI_ENF2]]</f>
        <v>6</v>
      </c>
      <c r="F87">
        <f t="shared" si="29"/>
        <v>0.55555555555555558</v>
      </c>
      <c r="G87">
        <f>[1]!survey_responses[[#This Row],[Tôi tin rằng Nhà nước, cơ quan thuế có đủ khả năng và công nghệ để phát hiện, xử lý nghiêm các hành vi trốn thuế. - HUMAN-ENF2]]</f>
        <v>5</v>
      </c>
      <c r="H87">
        <f t="shared" si="30"/>
        <v>0.44444444444444442</v>
      </c>
      <c r="I87" s="32">
        <f t="shared" si="31"/>
        <v>0.61111111111111116</v>
      </c>
      <c r="J87" s="32">
        <f t="shared" si="32"/>
        <v>0.44444444444444442</v>
      </c>
      <c r="K87">
        <f>step3_validation[[#This Row],[AI_FAC1]]</f>
        <v>8</v>
      </c>
      <c r="L87">
        <f t="shared" si="33"/>
        <v>0.77777777777777779</v>
      </c>
      <c r="M87">
        <f>[1]!survey_responses[[#This Row],[Các thủ tục khai báo thuế VÀ/HOẶC quy trình làm việc với cơ quan thuế đơn giản, tiện lợi, nhanh chóng hơn so với trước đây. - HUMAN-FAC1]]</f>
        <v>10</v>
      </c>
      <c r="N87">
        <f t="shared" si="34"/>
        <v>1</v>
      </c>
      <c r="O87">
        <f>step3_validation[[#This Row],[AI_FAC2]]</f>
        <v>7</v>
      </c>
      <c r="P87">
        <f t="shared" si="35"/>
        <v>0.66666666666666663</v>
      </c>
      <c r="Q87">
        <f>[1]!survey_responses[[#This Row],[So với trước đây, tôi thấy cách tính thuế và các bậc thuế trong phương án mới đơn giản, dễ hiểu và dễ thực hiện hơn. - HUMAN-FAC2]]</f>
        <v>4</v>
      </c>
      <c r="R87">
        <f t="shared" si="36"/>
        <v>0.33333333333333331</v>
      </c>
      <c r="S87" s="32">
        <f t="shared" si="37"/>
        <v>0.72222222222222221</v>
      </c>
      <c r="T87" s="32">
        <f t="shared" si="38"/>
        <v>0.66666666666666663</v>
      </c>
      <c r="U87">
        <f>step3_validation[[#This Row],[AI_TRU1]]</f>
        <v>6</v>
      </c>
      <c r="V87">
        <f t="shared" si="39"/>
        <v>0.55555555555555558</v>
      </c>
      <c r="W87">
        <f>[1]!survey_responses[[#This Row],[Tôi tin rằng Nhà nước, cơ quan thuế sẽ thực thi chính sách mới một cách khách quan, công tâm và đối xử bình đẳng với mọi người nộp thuế.  - HUMAN-TRU1]]</f>
        <v>4</v>
      </c>
      <c r="X87">
        <f t="shared" si="40"/>
        <v>0.33333333333333331</v>
      </c>
      <c r="Y87">
        <f>step3_validation[[#This Row],[AI_TRU2]]</f>
        <v>5</v>
      </c>
      <c r="Z87">
        <f t="shared" si="41"/>
        <v>0.44444444444444442</v>
      </c>
      <c r="AA87">
        <f>[1]!survey_responses[[#This Row],[Tôi thấy mức thuế tôi phải đóng theo phương án mới là công bằng (người thu nhập như tôi đóng mức này là hợp lý). - HUMAN-TRU2]]</f>
        <v>5</v>
      </c>
      <c r="AB87">
        <f t="shared" si="42"/>
        <v>0.44444444444444442</v>
      </c>
      <c r="AC87">
        <f>step3_validation[[#This Row],[AI_TRU3]]</f>
        <v>7</v>
      </c>
      <c r="AD87">
        <f t="shared" si="43"/>
        <v>0.66666666666666663</v>
      </c>
      <c r="AE87">
        <f>[1]!survey_responses[[#This Row],[Tôi tin tưởng số tiền thuế tôi đóng sẽ được Nhà nước sử dụng hiệu quả để cải thiện dịch vụ công (y tế, đường xá...). - HUMAN-TRU3]]</f>
        <v>5</v>
      </c>
      <c r="AF87">
        <f t="shared" si="44"/>
        <v>0.44444444444444442</v>
      </c>
      <c r="AG87">
        <f>step3_validation[[#This Row],[AI_TRU4]]</f>
        <v>5</v>
      </c>
      <c r="AH87">
        <f t="shared" si="45"/>
        <v>0.44444444444444442</v>
      </c>
      <c r="AI87">
        <f>[1]!survey_responses[[#This Row],[Tôi thấy Nhà nước đã giải thích rõ ràng, minh bạch về lý do và mục tiêu của việc sửa đổi thuế lần này. - HUMAN-TRU4]]</f>
        <v>8</v>
      </c>
      <c r="AJ87">
        <f t="shared" si="46"/>
        <v>0.77777777777777779</v>
      </c>
      <c r="AK87" s="32">
        <f t="shared" si="47"/>
        <v>0.52777777777777768</v>
      </c>
      <c r="AL87" s="32">
        <f t="shared" si="48"/>
        <v>0.5</v>
      </c>
      <c r="AM87" s="7">
        <f t="shared" si="49"/>
        <v>0.62037037037037035</v>
      </c>
      <c r="AN87" s="7">
        <f t="shared" si="50"/>
        <v>0.53703703703703709</v>
      </c>
      <c r="AO87">
        <f>step3_validation[[#This Row],[AI_OUT1]]</f>
        <v>6</v>
      </c>
      <c r="AP87">
        <f t="shared" si="51"/>
        <v>0.55555555555555558</v>
      </c>
      <c r="AQ87">
        <f>[1]!survey_responses[[#This Row],[Sau khi xem xét các quyền lợi và nghĩa vụ, bạn có ủng hộ và tuân thủ chính sách mới hiện nay? - HUMAN-OUT1]]</f>
        <v>8</v>
      </c>
      <c r="AR87">
        <f t="shared" si="52"/>
        <v>0.77777777777777779</v>
      </c>
      <c r="AS87" s="32">
        <f t="shared" si="53"/>
        <v>2</v>
      </c>
    </row>
    <row r="88" spans="1:45" x14ac:dyDescent="0.45">
      <c r="A88">
        <f>step3_validation[[#This Row],[AI_ENF1]]</f>
        <v>7</v>
      </c>
      <c r="B88">
        <f t="shared" si="27"/>
        <v>0.66666666666666663</v>
      </c>
      <c r="C88">
        <f>[1]!survey_responses[[#This Row],[Tôi tin rằng với các quy định quản lý thuế hiện nay, hành vi gian lận hoặc trốn thuế sẽ dễ dàng bị phát hiện và xử lý nghiêm. - HUMAN-ENF1]]</f>
        <v>10</v>
      </c>
      <c r="D88">
        <f t="shared" si="28"/>
        <v>1</v>
      </c>
      <c r="E88">
        <f>step3_validation[[#This Row],[AI_ENF2]]</f>
        <v>8</v>
      </c>
      <c r="F88">
        <f t="shared" si="29"/>
        <v>0.77777777777777779</v>
      </c>
      <c r="G88">
        <f>[1]!survey_responses[[#This Row],[Tôi tin rằng Nhà nước, cơ quan thuế có đủ khả năng và công nghệ để phát hiện, xử lý nghiêm các hành vi trốn thuế. - HUMAN-ENF2]]</f>
        <v>9</v>
      </c>
      <c r="H88">
        <f t="shared" si="30"/>
        <v>0.88888888888888884</v>
      </c>
      <c r="I88" s="32">
        <f t="shared" si="31"/>
        <v>0.72222222222222221</v>
      </c>
      <c r="J88" s="32">
        <f t="shared" si="32"/>
        <v>0.94444444444444442</v>
      </c>
      <c r="K88">
        <f>step3_validation[[#This Row],[AI_FAC1]]</f>
        <v>5</v>
      </c>
      <c r="L88">
        <f t="shared" si="33"/>
        <v>0.44444444444444442</v>
      </c>
      <c r="M88">
        <f>[1]!survey_responses[[#This Row],[Các thủ tục khai báo thuế VÀ/HOẶC quy trình làm việc với cơ quan thuế đơn giản, tiện lợi, nhanh chóng hơn so với trước đây. - HUMAN-FAC1]]</f>
        <v>9</v>
      </c>
      <c r="N88">
        <f t="shared" si="34"/>
        <v>0.88888888888888884</v>
      </c>
      <c r="O88">
        <f>step3_validation[[#This Row],[AI_FAC2]]</f>
        <v>6</v>
      </c>
      <c r="P88">
        <f t="shared" si="35"/>
        <v>0.55555555555555558</v>
      </c>
      <c r="Q88">
        <f>[1]!survey_responses[[#This Row],[So với trước đây, tôi thấy cách tính thuế và các bậc thuế trong phương án mới đơn giản, dễ hiểu và dễ thực hiện hơn. - HUMAN-FAC2]]</f>
        <v>9</v>
      </c>
      <c r="R88">
        <f t="shared" si="36"/>
        <v>0.88888888888888884</v>
      </c>
      <c r="S88" s="32">
        <f t="shared" si="37"/>
        <v>0.5</v>
      </c>
      <c r="T88" s="32">
        <f t="shared" si="38"/>
        <v>0.88888888888888884</v>
      </c>
      <c r="U88">
        <f>step3_validation[[#This Row],[AI_TRU1]]</f>
        <v>7</v>
      </c>
      <c r="V88">
        <f t="shared" si="39"/>
        <v>0.66666666666666663</v>
      </c>
      <c r="W88">
        <f>[1]!survey_responses[[#This Row],[Tôi tin rằng Nhà nước, cơ quan thuế sẽ thực thi chính sách mới một cách khách quan, công tâm và đối xử bình đẳng với mọi người nộp thuế.  - HUMAN-TRU1]]</f>
        <v>9</v>
      </c>
      <c r="X88">
        <f t="shared" si="40"/>
        <v>0.88888888888888884</v>
      </c>
      <c r="Y88">
        <f>step3_validation[[#This Row],[AI_TRU2]]</f>
        <v>8</v>
      </c>
      <c r="Z88">
        <f t="shared" si="41"/>
        <v>0.77777777777777779</v>
      </c>
      <c r="AA88">
        <f>[1]!survey_responses[[#This Row],[Tôi thấy mức thuế tôi phải đóng theo phương án mới là công bằng (người thu nhập như tôi đóng mức này là hợp lý). - HUMAN-TRU2]]</f>
        <v>9</v>
      </c>
      <c r="AB88">
        <f t="shared" si="42"/>
        <v>0.88888888888888884</v>
      </c>
      <c r="AC88">
        <f>step3_validation[[#This Row],[AI_TRU3]]</f>
        <v>6</v>
      </c>
      <c r="AD88">
        <f t="shared" si="43"/>
        <v>0.55555555555555558</v>
      </c>
      <c r="AE88">
        <f>[1]!survey_responses[[#This Row],[Tôi tin tưởng số tiền thuế tôi đóng sẽ được Nhà nước sử dụng hiệu quả để cải thiện dịch vụ công (y tế, đường xá...). - HUMAN-TRU3]]</f>
        <v>10</v>
      </c>
      <c r="AF88">
        <f t="shared" si="44"/>
        <v>1</v>
      </c>
      <c r="AG88">
        <f>step3_validation[[#This Row],[AI_TRU4]]</f>
        <v>7</v>
      </c>
      <c r="AH88">
        <f t="shared" si="45"/>
        <v>0.66666666666666663</v>
      </c>
      <c r="AI88">
        <f>[1]!survey_responses[[#This Row],[Tôi thấy Nhà nước đã giải thích rõ ràng, minh bạch về lý do và mục tiêu của việc sửa đổi thuế lần này. - HUMAN-TRU4]]</f>
        <v>9</v>
      </c>
      <c r="AJ88">
        <f t="shared" si="46"/>
        <v>0.88888888888888884</v>
      </c>
      <c r="AK88" s="32">
        <f t="shared" si="47"/>
        <v>0.66666666666666663</v>
      </c>
      <c r="AL88" s="32">
        <f t="shared" si="48"/>
        <v>0.91666666666666663</v>
      </c>
      <c r="AM88" s="7">
        <f t="shared" si="49"/>
        <v>0.62962962962962965</v>
      </c>
      <c r="AN88" s="7">
        <f t="shared" si="50"/>
        <v>0.91666666666666663</v>
      </c>
      <c r="AO88">
        <f>step3_validation[[#This Row],[AI_OUT1]]</f>
        <v>6</v>
      </c>
      <c r="AP88">
        <f t="shared" si="51"/>
        <v>0.55555555555555558</v>
      </c>
      <c r="AQ88">
        <f>[1]!survey_responses[[#This Row],[Sau khi xem xét các quyền lợi và nghĩa vụ, bạn có ủng hộ và tuân thủ chính sách mới hiện nay? - HUMAN-OUT1]]</f>
        <v>10</v>
      </c>
      <c r="AR88">
        <f t="shared" si="52"/>
        <v>1</v>
      </c>
      <c r="AS88" s="32">
        <f t="shared" si="53"/>
        <v>4</v>
      </c>
    </row>
    <row r="89" spans="1:45" x14ac:dyDescent="0.45">
      <c r="A89">
        <f>step3_validation[[#This Row],[AI_ENF1]]</f>
        <v>7</v>
      </c>
      <c r="B89">
        <f t="shared" si="27"/>
        <v>0.66666666666666663</v>
      </c>
      <c r="C89">
        <f>[1]!survey_responses[[#This Row],[Tôi tin rằng với các quy định quản lý thuế hiện nay, hành vi gian lận hoặc trốn thuế sẽ dễ dàng bị phát hiện và xử lý nghiêm. - HUMAN-ENF1]]</f>
        <v>10</v>
      </c>
      <c r="D89">
        <f t="shared" si="28"/>
        <v>1</v>
      </c>
      <c r="E89">
        <f>step3_validation[[#This Row],[AI_ENF2]]</f>
        <v>6</v>
      </c>
      <c r="F89">
        <f t="shared" si="29"/>
        <v>0.55555555555555558</v>
      </c>
      <c r="G89">
        <f>[1]!survey_responses[[#This Row],[Tôi tin rằng Nhà nước, cơ quan thuế có đủ khả năng và công nghệ để phát hiện, xử lý nghiêm các hành vi trốn thuế. - HUMAN-ENF2]]</f>
        <v>10</v>
      </c>
      <c r="H89">
        <f t="shared" si="30"/>
        <v>1</v>
      </c>
      <c r="I89" s="32">
        <f t="shared" si="31"/>
        <v>0.61111111111111116</v>
      </c>
      <c r="J89" s="32">
        <f t="shared" si="32"/>
        <v>1</v>
      </c>
      <c r="K89">
        <f>step3_validation[[#This Row],[AI_FAC1]]</f>
        <v>8</v>
      </c>
      <c r="L89">
        <f t="shared" si="33"/>
        <v>0.77777777777777779</v>
      </c>
      <c r="M89">
        <f>[1]!survey_responses[[#This Row],[Các thủ tục khai báo thuế VÀ/HOẶC quy trình làm việc với cơ quan thuế đơn giản, tiện lợi, nhanh chóng hơn so với trước đây. - HUMAN-FAC1]]</f>
        <v>10</v>
      </c>
      <c r="N89">
        <f t="shared" si="34"/>
        <v>1</v>
      </c>
      <c r="O89">
        <f>step3_validation[[#This Row],[AI_FAC2]]</f>
        <v>9</v>
      </c>
      <c r="P89">
        <f t="shared" si="35"/>
        <v>0.88888888888888884</v>
      </c>
      <c r="Q89">
        <f>[1]!survey_responses[[#This Row],[So với trước đây, tôi thấy cách tính thuế và các bậc thuế trong phương án mới đơn giản, dễ hiểu và dễ thực hiện hơn. - HUMAN-FAC2]]</f>
        <v>10</v>
      </c>
      <c r="R89">
        <f t="shared" si="36"/>
        <v>1</v>
      </c>
      <c r="S89" s="32">
        <f t="shared" si="37"/>
        <v>0.83333333333333326</v>
      </c>
      <c r="T89" s="32">
        <f t="shared" si="38"/>
        <v>1</v>
      </c>
      <c r="U89">
        <f>step3_validation[[#This Row],[AI_TRU1]]</f>
        <v>7</v>
      </c>
      <c r="V89">
        <f t="shared" si="39"/>
        <v>0.66666666666666663</v>
      </c>
      <c r="W89">
        <f>[1]!survey_responses[[#This Row],[Tôi tin rằng Nhà nước, cơ quan thuế sẽ thực thi chính sách mới một cách khách quan, công tâm và đối xử bình đẳng với mọi người nộp thuế.  - HUMAN-TRU1]]</f>
        <v>10</v>
      </c>
      <c r="X89">
        <f t="shared" si="40"/>
        <v>1</v>
      </c>
      <c r="Y89">
        <f>step3_validation[[#This Row],[AI_TRU2]]</f>
        <v>8</v>
      </c>
      <c r="Z89">
        <f t="shared" si="41"/>
        <v>0.77777777777777779</v>
      </c>
      <c r="AA89">
        <f>[1]!survey_responses[[#This Row],[Tôi thấy mức thuế tôi phải đóng theo phương án mới là công bằng (người thu nhập như tôi đóng mức này là hợp lý). - HUMAN-TRU2]]</f>
        <v>10</v>
      </c>
      <c r="AB89">
        <f t="shared" si="42"/>
        <v>1</v>
      </c>
      <c r="AC89">
        <f>step3_validation[[#This Row],[AI_TRU3]]</f>
        <v>6</v>
      </c>
      <c r="AD89">
        <f t="shared" si="43"/>
        <v>0.55555555555555558</v>
      </c>
      <c r="AE89">
        <f>[1]!survey_responses[[#This Row],[Tôi tin tưởng số tiền thuế tôi đóng sẽ được Nhà nước sử dụng hiệu quả để cải thiện dịch vụ công (y tế, đường xá...). - HUMAN-TRU3]]</f>
        <v>10</v>
      </c>
      <c r="AF89">
        <f t="shared" si="44"/>
        <v>1</v>
      </c>
      <c r="AG89">
        <f>step3_validation[[#This Row],[AI_TRU4]]</f>
        <v>7</v>
      </c>
      <c r="AH89">
        <f t="shared" si="45"/>
        <v>0.66666666666666663</v>
      </c>
      <c r="AI89">
        <f>[1]!survey_responses[[#This Row],[Tôi thấy Nhà nước đã giải thích rõ ràng, minh bạch về lý do và mục tiêu của việc sửa đổi thuế lần này. - HUMAN-TRU4]]</f>
        <v>10</v>
      </c>
      <c r="AJ89">
        <f t="shared" si="46"/>
        <v>1</v>
      </c>
      <c r="AK89" s="32">
        <f t="shared" si="47"/>
        <v>0.66666666666666663</v>
      </c>
      <c r="AL89" s="32">
        <f t="shared" si="48"/>
        <v>1</v>
      </c>
      <c r="AM89" s="7">
        <f t="shared" si="49"/>
        <v>0.70370370370370372</v>
      </c>
      <c r="AN89" s="7">
        <f t="shared" si="50"/>
        <v>1</v>
      </c>
      <c r="AO89">
        <f>step3_validation[[#This Row],[AI_OUT1]]</f>
        <v>9</v>
      </c>
      <c r="AP89">
        <f t="shared" si="51"/>
        <v>0.88888888888888884</v>
      </c>
      <c r="AQ89">
        <f>[1]!survey_responses[[#This Row],[Sau khi xem xét các quyền lợi và nghĩa vụ, bạn có ủng hộ và tuân thủ chính sách mới hiện nay? - HUMAN-OUT1]]</f>
        <v>10</v>
      </c>
      <c r="AR89">
        <f t="shared" si="52"/>
        <v>1</v>
      </c>
      <c r="AS89" s="32">
        <f t="shared" si="53"/>
        <v>1</v>
      </c>
    </row>
    <row r="90" spans="1:45" x14ac:dyDescent="0.45">
      <c r="A90">
        <f>step3_validation[[#This Row],[AI_ENF1]]</f>
        <v>7</v>
      </c>
      <c r="B90">
        <f t="shared" si="27"/>
        <v>0.66666666666666663</v>
      </c>
      <c r="C90">
        <f>[1]!survey_responses[[#This Row],[Tôi tin rằng với các quy định quản lý thuế hiện nay, hành vi gian lận hoặc trốn thuế sẽ dễ dàng bị phát hiện và xử lý nghiêm. - HUMAN-ENF1]]</f>
        <v>10</v>
      </c>
      <c r="D90">
        <f t="shared" si="28"/>
        <v>1</v>
      </c>
      <c r="E90">
        <f>step3_validation[[#This Row],[AI_ENF2]]</f>
        <v>8</v>
      </c>
      <c r="F90">
        <f t="shared" si="29"/>
        <v>0.77777777777777779</v>
      </c>
      <c r="G90">
        <f>[1]!survey_responses[[#This Row],[Tôi tin rằng Nhà nước, cơ quan thuế có đủ khả năng và công nghệ để phát hiện, xử lý nghiêm các hành vi trốn thuế. - HUMAN-ENF2]]</f>
        <v>9</v>
      </c>
      <c r="H90">
        <f t="shared" si="30"/>
        <v>0.88888888888888884</v>
      </c>
      <c r="I90" s="32">
        <f t="shared" si="31"/>
        <v>0.72222222222222221</v>
      </c>
      <c r="J90" s="32">
        <f t="shared" si="32"/>
        <v>0.94444444444444442</v>
      </c>
      <c r="K90">
        <f>step3_validation[[#This Row],[AI_FAC1]]</f>
        <v>9</v>
      </c>
      <c r="L90">
        <f t="shared" si="33"/>
        <v>0.88888888888888884</v>
      </c>
      <c r="M90">
        <f>[1]!survey_responses[[#This Row],[Các thủ tục khai báo thuế VÀ/HOẶC quy trình làm việc với cơ quan thuế đơn giản, tiện lợi, nhanh chóng hơn so với trước đây. - HUMAN-FAC1]]</f>
        <v>9</v>
      </c>
      <c r="N90">
        <f t="shared" si="34"/>
        <v>0.88888888888888884</v>
      </c>
      <c r="O90">
        <f>step3_validation[[#This Row],[AI_FAC2]]</f>
        <v>8</v>
      </c>
      <c r="P90">
        <f t="shared" si="35"/>
        <v>0.77777777777777779</v>
      </c>
      <c r="Q90">
        <f>[1]!survey_responses[[#This Row],[So với trước đây, tôi thấy cách tính thuế và các bậc thuế trong phương án mới đơn giản, dễ hiểu và dễ thực hiện hơn. - HUMAN-FAC2]]</f>
        <v>9</v>
      </c>
      <c r="R90">
        <f t="shared" si="36"/>
        <v>0.88888888888888884</v>
      </c>
      <c r="S90" s="32">
        <f t="shared" si="37"/>
        <v>0.83333333333333326</v>
      </c>
      <c r="T90" s="32">
        <f t="shared" si="38"/>
        <v>0.88888888888888884</v>
      </c>
      <c r="U90">
        <f>step3_validation[[#This Row],[AI_TRU1]]</f>
        <v>6</v>
      </c>
      <c r="V90">
        <f t="shared" si="39"/>
        <v>0.55555555555555558</v>
      </c>
      <c r="W90">
        <f>[1]!survey_responses[[#This Row],[Tôi tin rằng Nhà nước, cơ quan thuế sẽ thực thi chính sách mới một cách khách quan, công tâm và đối xử bình đẳng với mọi người nộp thuế.  - HUMAN-TRU1]]</f>
        <v>10</v>
      </c>
      <c r="X90">
        <f t="shared" si="40"/>
        <v>1</v>
      </c>
      <c r="Y90">
        <f>step3_validation[[#This Row],[AI_TRU2]]</f>
        <v>7</v>
      </c>
      <c r="Z90">
        <f t="shared" si="41"/>
        <v>0.66666666666666663</v>
      </c>
      <c r="AA90">
        <f>[1]!survey_responses[[#This Row],[Tôi thấy mức thuế tôi phải đóng theo phương án mới là công bằng (người thu nhập như tôi đóng mức này là hợp lý). - HUMAN-TRU2]]</f>
        <v>9</v>
      </c>
      <c r="AB90">
        <f t="shared" si="42"/>
        <v>0.88888888888888884</v>
      </c>
      <c r="AC90">
        <f>step3_validation[[#This Row],[AI_TRU3]]</f>
        <v>6</v>
      </c>
      <c r="AD90">
        <f t="shared" si="43"/>
        <v>0.55555555555555558</v>
      </c>
      <c r="AE90">
        <f>[1]!survey_responses[[#This Row],[Tôi tin tưởng số tiền thuế tôi đóng sẽ được Nhà nước sử dụng hiệu quả để cải thiện dịch vụ công (y tế, đường xá...). - HUMAN-TRU3]]</f>
        <v>9</v>
      </c>
      <c r="AF90">
        <f t="shared" si="44"/>
        <v>0.88888888888888884</v>
      </c>
      <c r="AG90">
        <f>step3_validation[[#This Row],[AI_TRU4]]</f>
        <v>5</v>
      </c>
      <c r="AH90">
        <f t="shared" si="45"/>
        <v>0.44444444444444442</v>
      </c>
      <c r="AI90">
        <f>[1]!survey_responses[[#This Row],[Tôi thấy Nhà nước đã giải thích rõ ràng, minh bạch về lý do và mục tiêu của việc sửa đổi thuế lần này. - HUMAN-TRU4]]</f>
        <v>8</v>
      </c>
      <c r="AJ90">
        <f t="shared" si="46"/>
        <v>0.77777777777777779</v>
      </c>
      <c r="AK90" s="32">
        <f t="shared" si="47"/>
        <v>0.55555555555555558</v>
      </c>
      <c r="AL90" s="32">
        <f t="shared" si="48"/>
        <v>0.88888888888888884</v>
      </c>
      <c r="AM90" s="7">
        <f t="shared" si="49"/>
        <v>0.70370370370370361</v>
      </c>
      <c r="AN90" s="7">
        <f t="shared" si="50"/>
        <v>0.90740740740740744</v>
      </c>
      <c r="AO90">
        <f>step3_validation[[#This Row],[AI_OUT1]]</f>
        <v>7</v>
      </c>
      <c r="AP90">
        <f t="shared" si="51"/>
        <v>0.66666666666666663</v>
      </c>
      <c r="AQ90">
        <f>[1]!survey_responses[[#This Row],[Sau khi xem xét các quyền lợi và nghĩa vụ, bạn có ủng hộ và tuân thủ chính sách mới hiện nay? - HUMAN-OUT1]]</f>
        <v>9</v>
      </c>
      <c r="AR90">
        <f t="shared" si="52"/>
        <v>0.88888888888888884</v>
      </c>
      <c r="AS90" s="32">
        <f t="shared" si="53"/>
        <v>2</v>
      </c>
    </row>
    <row r="91" spans="1:45" x14ac:dyDescent="0.45">
      <c r="A91">
        <f>step3_validation[[#This Row],[AI_ENF1]]</f>
        <v>8</v>
      </c>
      <c r="B91">
        <f t="shared" si="27"/>
        <v>0.77777777777777779</v>
      </c>
      <c r="C91">
        <f>[1]!survey_responses[[#This Row],[Tôi tin rằng với các quy định quản lý thuế hiện nay, hành vi gian lận hoặc trốn thuế sẽ dễ dàng bị phát hiện và xử lý nghiêm. - HUMAN-ENF1]]</f>
        <v>6</v>
      </c>
      <c r="D91">
        <f t="shared" si="28"/>
        <v>0.55555555555555558</v>
      </c>
      <c r="E91">
        <f>step3_validation[[#This Row],[AI_ENF2]]</f>
        <v>7</v>
      </c>
      <c r="F91">
        <f t="shared" si="29"/>
        <v>0.66666666666666663</v>
      </c>
      <c r="G91">
        <f>[1]!survey_responses[[#This Row],[Tôi tin rằng Nhà nước, cơ quan thuế có đủ khả năng và công nghệ để phát hiện, xử lý nghiêm các hành vi trốn thuế. - HUMAN-ENF2]]</f>
        <v>10</v>
      </c>
      <c r="H91">
        <f t="shared" si="30"/>
        <v>1</v>
      </c>
      <c r="I91" s="32">
        <f t="shared" si="31"/>
        <v>0.72222222222222221</v>
      </c>
      <c r="J91" s="32">
        <f t="shared" si="32"/>
        <v>0.77777777777777779</v>
      </c>
      <c r="K91">
        <f>step3_validation[[#This Row],[AI_FAC1]]</f>
        <v>9</v>
      </c>
      <c r="L91">
        <f t="shared" si="33"/>
        <v>0.88888888888888884</v>
      </c>
      <c r="M91">
        <f>[1]!survey_responses[[#This Row],[Các thủ tục khai báo thuế VÀ/HOẶC quy trình làm việc với cơ quan thuế đơn giản, tiện lợi, nhanh chóng hơn so với trước đây. - HUMAN-FAC1]]</f>
        <v>8</v>
      </c>
      <c r="N91">
        <f t="shared" si="34"/>
        <v>0.77777777777777779</v>
      </c>
      <c r="O91">
        <f>step3_validation[[#This Row],[AI_FAC2]]</f>
        <v>7</v>
      </c>
      <c r="P91">
        <f t="shared" si="35"/>
        <v>0.66666666666666663</v>
      </c>
      <c r="Q91">
        <f>[1]!survey_responses[[#This Row],[So với trước đây, tôi thấy cách tính thuế và các bậc thuế trong phương án mới đơn giản, dễ hiểu và dễ thực hiện hơn. - HUMAN-FAC2]]</f>
        <v>9</v>
      </c>
      <c r="R91">
        <f t="shared" si="36"/>
        <v>0.88888888888888884</v>
      </c>
      <c r="S91" s="32">
        <f t="shared" si="37"/>
        <v>0.77777777777777768</v>
      </c>
      <c r="T91" s="32">
        <f t="shared" si="38"/>
        <v>0.83333333333333326</v>
      </c>
      <c r="U91">
        <f>step3_validation[[#This Row],[AI_TRU1]]</f>
        <v>8</v>
      </c>
      <c r="V91">
        <f t="shared" si="39"/>
        <v>0.77777777777777779</v>
      </c>
      <c r="W91">
        <f>[1]!survey_responses[[#This Row],[Tôi tin rằng Nhà nước, cơ quan thuế sẽ thực thi chính sách mới một cách khách quan, công tâm và đối xử bình đẳng với mọi người nộp thuế.  - HUMAN-TRU1]]</f>
        <v>9</v>
      </c>
      <c r="X91">
        <f t="shared" si="40"/>
        <v>0.88888888888888884</v>
      </c>
      <c r="Y91">
        <f>step3_validation[[#This Row],[AI_TRU2]]</f>
        <v>6</v>
      </c>
      <c r="Z91">
        <f t="shared" si="41"/>
        <v>0.55555555555555558</v>
      </c>
      <c r="AA91">
        <f>[1]!survey_responses[[#This Row],[Tôi thấy mức thuế tôi phải đóng theo phương án mới là công bằng (người thu nhập như tôi đóng mức này là hợp lý). - HUMAN-TRU2]]</f>
        <v>9</v>
      </c>
      <c r="AB91">
        <f t="shared" si="42"/>
        <v>0.88888888888888884</v>
      </c>
      <c r="AC91">
        <f>step3_validation[[#This Row],[AI_TRU3]]</f>
        <v>7</v>
      </c>
      <c r="AD91">
        <f t="shared" si="43"/>
        <v>0.66666666666666663</v>
      </c>
      <c r="AE91">
        <f>[1]!survey_responses[[#This Row],[Tôi tin tưởng số tiền thuế tôi đóng sẽ được Nhà nước sử dụng hiệu quả để cải thiện dịch vụ công (y tế, đường xá...). - HUMAN-TRU3]]</f>
        <v>8</v>
      </c>
      <c r="AF91">
        <f t="shared" si="44"/>
        <v>0.77777777777777779</v>
      </c>
      <c r="AG91">
        <f>step3_validation[[#This Row],[AI_TRU4]]</f>
        <v>5</v>
      </c>
      <c r="AH91">
        <f t="shared" si="45"/>
        <v>0.44444444444444442</v>
      </c>
      <c r="AI91">
        <f>[1]!survey_responses[[#This Row],[Tôi thấy Nhà nước đã giải thích rõ ràng, minh bạch về lý do và mục tiêu của việc sửa đổi thuế lần này. - HUMAN-TRU4]]</f>
        <v>8</v>
      </c>
      <c r="AJ91">
        <f t="shared" si="46"/>
        <v>0.77777777777777779</v>
      </c>
      <c r="AK91" s="32">
        <f t="shared" si="47"/>
        <v>0.61111111111111116</v>
      </c>
      <c r="AL91" s="32">
        <f t="shared" si="48"/>
        <v>0.83333333333333326</v>
      </c>
      <c r="AM91" s="7">
        <f t="shared" si="49"/>
        <v>0.70370370370370372</v>
      </c>
      <c r="AN91" s="7">
        <f t="shared" si="50"/>
        <v>0.81481481481481488</v>
      </c>
      <c r="AO91">
        <f>step3_validation[[#This Row],[AI_OUT1]]</f>
        <v>7</v>
      </c>
      <c r="AP91">
        <f t="shared" si="51"/>
        <v>0.66666666666666663</v>
      </c>
      <c r="AQ91">
        <f>[1]!survey_responses[[#This Row],[Sau khi xem xét các quyền lợi và nghĩa vụ, bạn có ủng hộ và tuân thủ chính sách mới hiện nay? - HUMAN-OUT1]]</f>
        <v>9</v>
      </c>
      <c r="AR91">
        <f t="shared" si="52"/>
        <v>0.88888888888888884</v>
      </c>
      <c r="AS91" s="32">
        <f t="shared" si="53"/>
        <v>2</v>
      </c>
    </row>
    <row r="92" spans="1:45" x14ac:dyDescent="0.45">
      <c r="A92">
        <f>step3_validation[[#This Row],[AI_ENF1]]</f>
        <v>7</v>
      </c>
      <c r="B92">
        <f t="shared" si="27"/>
        <v>0.66666666666666663</v>
      </c>
      <c r="C92">
        <f>[1]!survey_responses[[#This Row],[Tôi tin rằng với các quy định quản lý thuế hiện nay, hành vi gian lận hoặc trốn thuế sẽ dễ dàng bị phát hiện và xử lý nghiêm. - HUMAN-ENF1]]</f>
        <v>10</v>
      </c>
      <c r="D92">
        <f t="shared" si="28"/>
        <v>1</v>
      </c>
      <c r="E92">
        <f>step3_validation[[#This Row],[AI_ENF2]]</f>
        <v>8</v>
      </c>
      <c r="F92">
        <f t="shared" si="29"/>
        <v>0.77777777777777779</v>
      </c>
      <c r="G92">
        <f>[1]!survey_responses[[#This Row],[Tôi tin rằng Nhà nước, cơ quan thuế có đủ khả năng và công nghệ để phát hiện, xử lý nghiêm các hành vi trốn thuế. - HUMAN-ENF2]]</f>
        <v>9</v>
      </c>
      <c r="H92">
        <f t="shared" si="30"/>
        <v>0.88888888888888884</v>
      </c>
      <c r="I92" s="32">
        <f t="shared" si="31"/>
        <v>0.72222222222222221</v>
      </c>
      <c r="J92" s="32">
        <f t="shared" si="32"/>
        <v>0.94444444444444442</v>
      </c>
      <c r="K92">
        <f>step3_validation[[#This Row],[AI_FAC1]]</f>
        <v>9</v>
      </c>
      <c r="L92">
        <f t="shared" si="33"/>
        <v>0.88888888888888884</v>
      </c>
      <c r="M92">
        <f>[1]!survey_responses[[#This Row],[Các thủ tục khai báo thuế VÀ/HOẶC quy trình làm việc với cơ quan thuế đơn giản, tiện lợi, nhanh chóng hơn so với trước đây. - HUMAN-FAC1]]</f>
        <v>9</v>
      </c>
      <c r="N92">
        <f t="shared" si="34"/>
        <v>0.88888888888888884</v>
      </c>
      <c r="O92">
        <f>step3_validation[[#This Row],[AI_FAC2]]</f>
        <v>8</v>
      </c>
      <c r="P92">
        <f t="shared" si="35"/>
        <v>0.77777777777777779</v>
      </c>
      <c r="Q92">
        <f>[1]!survey_responses[[#This Row],[So với trước đây, tôi thấy cách tính thuế và các bậc thuế trong phương án mới đơn giản, dễ hiểu và dễ thực hiện hơn. - HUMAN-FAC2]]</f>
        <v>9</v>
      </c>
      <c r="R92">
        <f t="shared" si="36"/>
        <v>0.88888888888888884</v>
      </c>
      <c r="S92" s="32">
        <f t="shared" si="37"/>
        <v>0.83333333333333326</v>
      </c>
      <c r="T92" s="32">
        <f t="shared" si="38"/>
        <v>0.88888888888888884</v>
      </c>
      <c r="U92">
        <f>step3_validation[[#This Row],[AI_TRU1]]</f>
        <v>7</v>
      </c>
      <c r="V92">
        <f t="shared" si="39"/>
        <v>0.66666666666666663</v>
      </c>
      <c r="W92">
        <f>[1]!survey_responses[[#This Row],[Tôi tin rằng Nhà nước, cơ quan thuế sẽ thực thi chính sách mới một cách khách quan, công tâm và đối xử bình đẳng với mọi người nộp thuế.  - HUMAN-TRU1]]</f>
        <v>10</v>
      </c>
      <c r="X92">
        <f t="shared" si="40"/>
        <v>1</v>
      </c>
      <c r="Y92">
        <f>step3_validation[[#This Row],[AI_TRU2]]</f>
        <v>6</v>
      </c>
      <c r="Z92">
        <f t="shared" si="41"/>
        <v>0.55555555555555558</v>
      </c>
      <c r="AA92">
        <f>[1]!survey_responses[[#This Row],[Tôi thấy mức thuế tôi phải đóng theo phương án mới là công bằng (người thu nhập như tôi đóng mức này là hợp lý). - HUMAN-TRU2]]</f>
        <v>9</v>
      </c>
      <c r="AB92">
        <f t="shared" si="42"/>
        <v>0.88888888888888884</v>
      </c>
      <c r="AC92">
        <f>step3_validation[[#This Row],[AI_TRU3]]</f>
        <v>7</v>
      </c>
      <c r="AD92">
        <f t="shared" si="43"/>
        <v>0.66666666666666663</v>
      </c>
      <c r="AE92">
        <f>[1]!survey_responses[[#This Row],[Tôi tin tưởng số tiền thuế tôi đóng sẽ được Nhà nước sử dụng hiệu quả để cải thiện dịch vụ công (y tế, đường xá...). - HUMAN-TRU3]]</f>
        <v>8</v>
      </c>
      <c r="AF92">
        <f t="shared" si="44"/>
        <v>0.77777777777777779</v>
      </c>
      <c r="AG92">
        <f>step3_validation[[#This Row],[AI_TRU4]]</f>
        <v>5</v>
      </c>
      <c r="AH92">
        <f t="shared" si="45"/>
        <v>0.44444444444444442</v>
      </c>
      <c r="AI92">
        <f>[1]!survey_responses[[#This Row],[Tôi thấy Nhà nước đã giải thích rõ ràng, minh bạch về lý do và mục tiêu của việc sửa đổi thuế lần này. - HUMAN-TRU4]]</f>
        <v>8</v>
      </c>
      <c r="AJ92">
        <f t="shared" si="46"/>
        <v>0.77777777777777779</v>
      </c>
      <c r="AK92" s="32">
        <f t="shared" si="47"/>
        <v>0.58333333333333326</v>
      </c>
      <c r="AL92" s="32">
        <f t="shared" si="48"/>
        <v>0.86111111111111105</v>
      </c>
      <c r="AM92" s="7">
        <f t="shared" si="49"/>
        <v>0.7129629629629628</v>
      </c>
      <c r="AN92" s="7">
        <f t="shared" si="50"/>
        <v>0.89814814814814803</v>
      </c>
      <c r="AO92">
        <f>step3_validation[[#This Row],[AI_OUT1]]</f>
        <v>6</v>
      </c>
      <c r="AP92">
        <f t="shared" si="51"/>
        <v>0.55555555555555558</v>
      </c>
      <c r="AQ92">
        <f>[1]!survey_responses[[#This Row],[Sau khi xem xét các quyền lợi và nghĩa vụ, bạn có ủng hộ và tuân thủ chính sách mới hiện nay? - HUMAN-OUT1]]</f>
        <v>10</v>
      </c>
      <c r="AR92">
        <f t="shared" si="52"/>
        <v>1</v>
      </c>
      <c r="AS92" s="32">
        <f t="shared" si="53"/>
        <v>4</v>
      </c>
    </row>
    <row r="93" spans="1:45" x14ac:dyDescent="0.45">
      <c r="A93">
        <f>step3_validation[[#This Row],[AI_ENF1]]</f>
        <v>7</v>
      </c>
      <c r="B93">
        <f t="shared" si="27"/>
        <v>0.66666666666666663</v>
      </c>
      <c r="C93">
        <f>[1]!survey_responses[[#This Row],[Tôi tin rằng với các quy định quản lý thuế hiện nay, hành vi gian lận hoặc trốn thuế sẽ dễ dàng bị phát hiện và xử lý nghiêm. - HUMAN-ENF1]]</f>
        <v>10</v>
      </c>
      <c r="D93">
        <f t="shared" si="28"/>
        <v>1</v>
      </c>
      <c r="E93">
        <f>step3_validation[[#This Row],[AI_ENF2]]</f>
        <v>8</v>
      </c>
      <c r="F93">
        <f t="shared" si="29"/>
        <v>0.77777777777777779</v>
      </c>
      <c r="G93">
        <f>[1]!survey_responses[[#This Row],[Tôi tin rằng Nhà nước, cơ quan thuế có đủ khả năng và công nghệ để phát hiện, xử lý nghiêm các hành vi trốn thuế. - HUMAN-ENF2]]</f>
        <v>10</v>
      </c>
      <c r="H93">
        <f t="shared" si="30"/>
        <v>1</v>
      </c>
      <c r="I93" s="32">
        <f t="shared" si="31"/>
        <v>0.72222222222222221</v>
      </c>
      <c r="J93" s="32">
        <f t="shared" si="32"/>
        <v>1</v>
      </c>
      <c r="K93">
        <f>step3_validation[[#This Row],[AI_FAC1]]</f>
        <v>6</v>
      </c>
      <c r="L93">
        <f t="shared" si="33"/>
        <v>0.55555555555555558</v>
      </c>
      <c r="M93">
        <f>[1]!survey_responses[[#This Row],[Các thủ tục khai báo thuế VÀ/HOẶC quy trình làm việc với cơ quan thuế đơn giản, tiện lợi, nhanh chóng hơn so với trước đây. - HUMAN-FAC1]]</f>
        <v>10</v>
      </c>
      <c r="N93">
        <f t="shared" si="34"/>
        <v>1</v>
      </c>
      <c r="O93">
        <f>step3_validation[[#This Row],[AI_FAC2]]</f>
        <v>8</v>
      </c>
      <c r="P93">
        <f t="shared" si="35"/>
        <v>0.77777777777777779</v>
      </c>
      <c r="Q93">
        <f>[1]!survey_responses[[#This Row],[So với trước đây, tôi thấy cách tính thuế và các bậc thuế trong phương án mới đơn giản, dễ hiểu và dễ thực hiện hơn. - HUMAN-FAC2]]</f>
        <v>10</v>
      </c>
      <c r="R93">
        <f t="shared" si="36"/>
        <v>1</v>
      </c>
      <c r="S93" s="32">
        <f t="shared" si="37"/>
        <v>0.66666666666666674</v>
      </c>
      <c r="T93" s="32">
        <f t="shared" si="38"/>
        <v>1</v>
      </c>
      <c r="U93">
        <f>step3_validation[[#This Row],[AI_TRU1]]</f>
        <v>7</v>
      </c>
      <c r="V93">
        <f t="shared" si="39"/>
        <v>0.66666666666666663</v>
      </c>
      <c r="W93">
        <f>[1]!survey_responses[[#This Row],[Tôi tin rằng Nhà nước, cơ quan thuế sẽ thực thi chính sách mới một cách khách quan, công tâm và đối xử bình đẳng với mọi người nộp thuế.  - HUMAN-TRU1]]</f>
        <v>10</v>
      </c>
      <c r="X93">
        <f t="shared" si="40"/>
        <v>1</v>
      </c>
      <c r="Y93">
        <f>step3_validation[[#This Row],[AI_TRU2]]</f>
        <v>6</v>
      </c>
      <c r="Z93">
        <f t="shared" si="41"/>
        <v>0.55555555555555558</v>
      </c>
      <c r="AA93">
        <f>[1]!survey_responses[[#This Row],[Tôi thấy mức thuế tôi phải đóng theo phương án mới là công bằng (người thu nhập như tôi đóng mức này là hợp lý). - HUMAN-TRU2]]</f>
        <v>1</v>
      </c>
      <c r="AB93">
        <f t="shared" si="42"/>
        <v>0</v>
      </c>
      <c r="AC93">
        <f>step3_validation[[#This Row],[AI_TRU3]]</f>
        <v>5</v>
      </c>
      <c r="AD93">
        <f t="shared" si="43"/>
        <v>0.44444444444444442</v>
      </c>
      <c r="AE93">
        <f>[1]!survey_responses[[#This Row],[Tôi tin tưởng số tiền thuế tôi đóng sẽ được Nhà nước sử dụng hiệu quả để cải thiện dịch vụ công (y tế, đường xá...). - HUMAN-TRU3]]</f>
        <v>10</v>
      </c>
      <c r="AF93">
        <f t="shared" si="44"/>
        <v>1</v>
      </c>
      <c r="AG93">
        <f>step3_validation[[#This Row],[AI_TRU4]]</f>
        <v>7</v>
      </c>
      <c r="AH93">
        <f t="shared" si="45"/>
        <v>0.66666666666666663</v>
      </c>
      <c r="AI93">
        <f>[1]!survey_responses[[#This Row],[Tôi thấy Nhà nước đã giải thích rõ ràng, minh bạch về lý do và mục tiêu của việc sửa đổi thuế lần này. - HUMAN-TRU4]]</f>
        <v>10</v>
      </c>
      <c r="AJ93">
        <f t="shared" si="46"/>
        <v>1</v>
      </c>
      <c r="AK93" s="32">
        <f t="shared" si="47"/>
        <v>0.58333333333333337</v>
      </c>
      <c r="AL93" s="32">
        <f t="shared" si="48"/>
        <v>0.75</v>
      </c>
      <c r="AM93" s="7">
        <f t="shared" si="49"/>
        <v>0.65740740740740744</v>
      </c>
      <c r="AN93" s="7">
        <f t="shared" si="50"/>
        <v>0.91666666666666663</v>
      </c>
      <c r="AO93">
        <f>step3_validation[[#This Row],[AI_OUT1]]</f>
        <v>6</v>
      </c>
      <c r="AP93">
        <f t="shared" si="51"/>
        <v>0.55555555555555558</v>
      </c>
      <c r="AQ93">
        <f>[1]!survey_responses[[#This Row],[Sau khi xem xét các quyền lợi và nghĩa vụ, bạn có ủng hộ và tuân thủ chính sách mới hiện nay? - HUMAN-OUT1]]</f>
        <v>10</v>
      </c>
      <c r="AR93">
        <f t="shared" si="52"/>
        <v>1</v>
      </c>
      <c r="AS93" s="32">
        <f t="shared" si="53"/>
        <v>4</v>
      </c>
    </row>
    <row r="94" spans="1:45" x14ac:dyDescent="0.45">
      <c r="A94">
        <f>step3_validation[[#This Row],[AI_ENF1]]</f>
        <v>8</v>
      </c>
      <c r="B94">
        <f t="shared" si="27"/>
        <v>0.77777777777777779</v>
      </c>
      <c r="C94">
        <f>[1]!survey_responses[[#This Row],[Tôi tin rằng với các quy định quản lý thuế hiện nay, hành vi gian lận hoặc trốn thuế sẽ dễ dàng bị phát hiện và xử lý nghiêm. - HUMAN-ENF1]]</f>
        <v>5</v>
      </c>
      <c r="D94">
        <f t="shared" si="28"/>
        <v>0.44444444444444442</v>
      </c>
      <c r="E94">
        <f>step3_validation[[#This Row],[AI_ENF2]]</f>
        <v>9</v>
      </c>
      <c r="F94">
        <f t="shared" si="29"/>
        <v>0.88888888888888884</v>
      </c>
      <c r="G94">
        <f>[1]!survey_responses[[#This Row],[Tôi tin rằng Nhà nước, cơ quan thuế có đủ khả năng và công nghệ để phát hiện, xử lý nghiêm các hành vi trốn thuế. - HUMAN-ENF2]]</f>
        <v>8</v>
      </c>
      <c r="H94">
        <f t="shared" si="30"/>
        <v>0.77777777777777779</v>
      </c>
      <c r="I94" s="32">
        <f t="shared" si="31"/>
        <v>0.83333333333333326</v>
      </c>
      <c r="J94" s="32">
        <f t="shared" si="32"/>
        <v>0.61111111111111116</v>
      </c>
      <c r="K94">
        <f>step3_validation[[#This Row],[AI_FAC1]]</f>
        <v>7</v>
      </c>
      <c r="L94">
        <f t="shared" si="33"/>
        <v>0.66666666666666663</v>
      </c>
      <c r="M94">
        <f>[1]!survey_responses[[#This Row],[Các thủ tục khai báo thuế VÀ/HOẶC quy trình làm việc với cơ quan thuế đơn giản, tiện lợi, nhanh chóng hơn so với trước đây. - HUMAN-FAC1]]</f>
        <v>4</v>
      </c>
      <c r="N94">
        <f t="shared" si="34"/>
        <v>0.33333333333333331</v>
      </c>
      <c r="O94">
        <f>step3_validation[[#This Row],[AI_FAC2]]</f>
        <v>8</v>
      </c>
      <c r="P94">
        <f t="shared" si="35"/>
        <v>0.77777777777777779</v>
      </c>
      <c r="Q94">
        <f>[1]!survey_responses[[#This Row],[So với trước đây, tôi thấy cách tính thuế và các bậc thuế trong phương án mới đơn giản, dễ hiểu và dễ thực hiện hơn. - HUMAN-FAC2]]</f>
        <v>9</v>
      </c>
      <c r="R94">
        <f t="shared" si="36"/>
        <v>0.88888888888888884</v>
      </c>
      <c r="S94" s="32">
        <f t="shared" si="37"/>
        <v>0.72222222222222221</v>
      </c>
      <c r="T94" s="32">
        <f t="shared" si="38"/>
        <v>0.61111111111111105</v>
      </c>
      <c r="U94">
        <f>step3_validation[[#This Row],[AI_TRU1]]</f>
        <v>7</v>
      </c>
      <c r="V94">
        <f t="shared" si="39"/>
        <v>0.66666666666666663</v>
      </c>
      <c r="W94">
        <f>[1]!survey_responses[[#This Row],[Tôi tin rằng Nhà nước, cơ quan thuế sẽ thực thi chính sách mới một cách khách quan, công tâm và đối xử bình đẳng với mọi người nộp thuế.  - HUMAN-TRU1]]</f>
        <v>7</v>
      </c>
      <c r="X94">
        <f t="shared" si="40"/>
        <v>0.66666666666666663</v>
      </c>
      <c r="Y94">
        <f>step3_validation[[#This Row],[AI_TRU2]]</f>
        <v>6</v>
      </c>
      <c r="Z94">
        <f t="shared" si="41"/>
        <v>0.55555555555555558</v>
      </c>
      <c r="AA94">
        <f>[1]!survey_responses[[#This Row],[Tôi thấy mức thuế tôi phải đóng theo phương án mới là công bằng (người thu nhập như tôi đóng mức này là hợp lý). - HUMAN-TRU2]]</f>
        <v>5</v>
      </c>
      <c r="AB94">
        <f t="shared" si="42"/>
        <v>0.44444444444444442</v>
      </c>
      <c r="AC94">
        <f>step3_validation[[#This Row],[AI_TRU3]]</f>
        <v>5</v>
      </c>
      <c r="AD94">
        <f t="shared" si="43"/>
        <v>0.44444444444444442</v>
      </c>
      <c r="AE94">
        <f>[1]!survey_responses[[#This Row],[Tôi tin tưởng số tiền thuế tôi đóng sẽ được Nhà nước sử dụng hiệu quả để cải thiện dịch vụ công (y tế, đường xá...). - HUMAN-TRU3]]</f>
        <v>7</v>
      </c>
      <c r="AF94">
        <f t="shared" si="44"/>
        <v>0.66666666666666663</v>
      </c>
      <c r="AG94">
        <f>step3_validation[[#This Row],[AI_TRU4]]</f>
        <v>6</v>
      </c>
      <c r="AH94">
        <f t="shared" si="45"/>
        <v>0.55555555555555558</v>
      </c>
      <c r="AI94">
        <f>[1]!survey_responses[[#This Row],[Tôi thấy Nhà nước đã giải thích rõ ràng, minh bạch về lý do và mục tiêu của việc sửa đổi thuế lần này. - HUMAN-TRU4]]</f>
        <v>8</v>
      </c>
      <c r="AJ94">
        <f t="shared" si="46"/>
        <v>0.77777777777777779</v>
      </c>
      <c r="AK94" s="32">
        <f t="shared" si="47"/>
        <v>0.55555555555555558</v>
      </c>
      <c r="AL94" s="32">
        <f t="shared" si="48"/>
        <v>0.63888888888888884</v>
      </c>
      <c r="AM94" s="7">
        <f t="shared" si="49"/>
        <v>0.70370370370370361</v>
      </c>
      <c r="AN94" s="7">
        <f t="shared" si="50"/>
        <v>0.62037037037037035</v>
      </c>
      <c r="AO94">
        <f>step3_validation[[#This Row],[AI_OUT1]]</f>
        <v>7</v>
      </c>
      <c r="AP94">
        <f t="shared" si="51"/>
        <v>0.66666666666666663</v>
      </c>
      <c r="AQ94">
        <f>[1]!survey_responses[[#This Row],[Sau khi xem xét các quyền lợi và nghĩa vụ, bạn có ủng hộ và tuân thủ chính sách mới hiện nay? - HUMAN-OUT1]]</f>
        <v>10</v>
      </c>
      <c r="AR94">
        <f t="shared" si="52"/>
        <v>1</v>
      </c>
      <c r="AS94" s="32">
        <f t="shared" si="53"/>
        <v>3</v>
      </c>
    </row>
    <row r="95" spans="1:45" x14ac:dyDescent="0.45">
      <c r="A95">
        <f>step3_validation[[#This Row],[AI_ENF1]]</f>
        <v>6</v>
      </c>
      <c r="B95">
        <f t="shared" si="27"/>
        <v>0.55555555555555558</v>
      </c>
      <c r="C95">
        <f>[1]!survey_responses[[#This Row],[Tôi tin rằng với các quy định quản lý thuế hiện nay, hành vi gian lận hoặc trốn thuế sẽ dễ dàng bị phát hiện và xử lý nghiêm. - HUMAN-ENF1]]</f>
        <v>9</v>
      </c>
      <c r="D95">
        <f t="shared" si="28"/>
        <v>0.88888888888888884</v>
      </c>
      <c r="E95">
        <f>step3_validation[[#This Row],[AI_ENF2]]</f>
        <v>7</v>
      </c>
      <c r="F95">
        <f t="shared" si="29"/>
        <v>0.66666666666666663</v>
      </c>
      <c r="G95">
        <f>[1]!survey_responses[[#This Row],[Tôi tin rằng Nhà nước, cơ quan thuế có đủ khả năng và công nghệ để phát hiện, xử lý nghiêm các hành vi trốn thuế. - HUMAN-ENF2]]</f>
        <v>7</v>
      </c>
      <c r="H95">
        <f t="shared" si="30"/>
        <v>0.66666666666666663</v>
      </c>
      <c r="I95" s="32">
        <f t="shared" si="31"/>
        <v>0.61111111111111116</v>
      </c>
      <c r="J95" s="32">
        <f t="shared" si="32"/>
        <v>0.77777777777777768</v>
      </c>
      <c r="K95">
        <f>step3_validation[[#This Row],[AI_FAC1]]</f>
        <v>8</v>
      </c>
      <c r="L95">
        <f t="shared" si="33"/>
        <v>0.77777777777777779</v>
      </c>
      <c r="M95">
        <f>[1]!survey_responses[[#This Row],[Các thủ tục khai báo thuế VÀ/HOẶC quy trình làm việc với cơ quan thuế đơn giản, tiện lợi, nhanh chóng hơn so với trước đây. - HUMAN-FAC1]]</f>
        <v>5</v>
      </c>
      <c r="N95">
        <f t="shared" si="34"/>
        <v>0.44444444444444442</v>
      </c>
      <c r="O95">
        <f>step3_validation[[#This Row],[AI_FAC2]]</f>
        <v>7</v>
      </c>
      <c r="P95">
        <f t="shared" si="35"/>
        <v>0.66666666666666663</v>
      </c>
      <c r="Q95">
        <f>[1]!survey_responses[[#This Row],[So với trước đây, tôi thấy cách tính thuế và các bậc thuế trong phương án mới đơn giản, dễ hiểu và dễ thực hiện hơn. - HUMAN-FAC2]]</f>
        <v>7</v>
      </c>
      <c r="R95">
        <f t="shared" si="36"/>
        <v>0.66666666666666663</v>
      </c>
      <c r="S95" s="32">
        <f t="shared" si="37"/>
        <v>0.72222222222222221</v>
      </c>
      <c r="T95" s="32">
        <f t="shared" si="38"/>
        <v>0.55555555555555558</v>
      </c>
      <c r="U95">
        <f>step3_validation[[#This Row],[AI_TRU1]]</f>
        <v>7</v>
      </c>
      <c r="V95">
        <f t="shared" si="39"/>
        <v>0.66666666666666663</v>
      </c>
      <c r="W95">
        <f>[1]!survey_responses[[#This Row],[Tôi tin rằng Nhà nước, cơ quan thuế sẽ thực thi chính sách mới một cách khách quan, công tâm và đối xử bình đẳng với mọi người nộp thuế.  - HUMAN-TRU1]]</f>
        <v>5</v>
      </c>
      <c r="X95">
        <f t="shared" si="40"/>
        <v>0.44444444444444442</v>
      </c>
      <c r="Y95">
        <f>step3_validation[[#This Row],[AI_TRU2]]</f>
        <v>6</v>
      </c>
      <c r="Z95">
        <f t="shared" si="41"/>
        <v>0.55555555555555558</v>
      </c>
      <c r="AA95">
        <f>[1]!survey_responses[[#This Row],[Tôi thấy mức thuế tôi phải đóng theo phương án mới là công bằng (người thu nhập như tôi đóng mức này là hợp lý). - HUMAN-TRU2]]</f>
        <v>8</v>
      </c>
      <c r="AB95">
        <f t="shared" si="42"/>
        <v>0.77777777777777779</v>
      </c>
      <c r="AC95">
        <f>step3_validation[[#This Row],[AI_TRU3]]</f>
        <v>7</v>
      </c>
      <c r="AD95">
        <f t="shared" si="43"/>
        <v>0.66666666666666663</v>
      </c>
      <c r="AE95">
        <f>[1]!survey_responses[[#This Row],[Tôi tin tưởng số tiền thuế tôi đóng sẽ được Nhà nước sử dụng hiệu quả để cải thiện dịch vụ công (y tế, đường xá...). - HUMAN-TRU3]]</f>
        <v>5</v>
      </c>
      <c r="AF95">
        <f t="shared" si="44"/>
        <v>0.44444444444444442</v>
      </c>
      <c r="AG95">
        <f>step3_validation[[#This Row],[AI_TRU4]]</f>
        <v>5</v>
      </c>
      <c r="AH95">
        <f t="shared" si="45"/>
        <v>0.44444444444444442</v>
      </c>
      <c r="AI95">
        <f>[1]!survey_responses[[#This Row],[Tôi thấy Nhà nước đã giải thích rõ ràng, minh bạch về lý do và mục tiêu của việc sửa đổi thuế lần này. - HUMAN-TRU4]]</f>
        <v>5</v>
      </c>
      <c r="AJ95">
        <f t="shared" si="46"/>
        <v>0.44444444444444442</v>
      </c>
      <c r="AK95" s="32">
        <f t="shared" si="47"/>
        <v>0.58333333333333326</v>
      </c>
      <c r="AL95" s="32">
        <f t="shared" si="48"/>
        <v>0.52777777777777779</v>
      </c>
      <c r="AM95" s="7">
        <f t="shared" si="49"/>
        <v>0.63888888888888895</v>
      </c>
      <c r="AN95" s="7">
        <f t="shared" si="50"/>
        <v>0.62037037037037035</v>
      </c>
      <c r="AO95">
        <f>step3_validation[[#This Row],[AI_OUT1]]</f>
        <v>6</v>
      </c>
      <c r="AP95">
        <f t="shared" si="51"/>
        <v>0.55555555555555558</v>
      </c>
      <c r="AQ95">
        <f>[1]!survey_responses[[#This Row],[Sau khi xem xét các quyền lợi và nghĩa vụ, bạn có ủng hộ và tuân thủ chính sách mới hiện nay? - HUMAN-OUT1]]</f>
        <v>7</v>
      </c>
      <c r="AR95">
        <f t="shared" si="52"/>
        <v>0.66666666666666663</v>
      </c>
      <c r="AS95" s="32">
        <f t="shared" si="53"/>
        <v>1</v>
      </c>
    </row>
    <row r="96" spans="1:45" x14ac:dyDescent="0.45">
      <c r="A96">
        <f>step3_validation[[#This Row],[AI_ENF1]]</f>
        <v>7</v>
      </c>
      <c r="B96">
        <f t="shared" si="27"/>
        <v>0.66666666666666663</v>
      </c>
      <c r="C96">
        <f>[1]!survey_responses[[#This Row],[Tôi tin rằng với các quy định quản lý thuế hiện nay, hành vi gian lận hoặc trốn thuế sẽ dễ dàng bị phát hiện và xử lý nghiêm. - HUMAN-ENF1]]</f>
        <v>4</v>
      </c>
      <c r="D96">
        <f t="shared" si="28"/>
        <v>0.33333333333333331</v>
      </c>
      <c r="E96">
        <f>step3_validation[[#This Row],[AI_ENF2]]</f>
        <v>6</v>
      </c>
      <c r="F96">
        <f t="shared" si="29"/>
        <v>0.55555555555555558</v>
      </c>
      <c r="G96">
        <f>[1]!survey_responses[[#This Row],[Tôi tin rằng Nhà nước, cơ quan thuế có đủ khả năng và công nghệ để phát hiện, xử lý nghiêm các hành vi trốn thuế. - HUMAN-ENF2]]</f>
        <v>6</v>
      </c>
      <c r="H96">
        <f t="shared" si="30"/>
        <v>0.55555555555555558</v>
      </c>
      <c r="I96" s="32">
        <f t="shared" si="31"/>
        <v>0.61111111111111116</v>
      </c>
      <c r="J96" s="32">
        <f t="shared" si="32"/>
        <v>0.44444444444444442</v>
      </c>
      <c r="K96">
        <f>step3_validation[[#This Row],[AI_FAC1]]</f>
        <v>5</v>
      </c>
      <c r="L96">
        <f t="shared" si="33"/>
        <v>0.44444444444444442</v>
      </c>
      <c r="M96">
        <f>[1]!survey_responses[[#This Row],[Các thủ tục khai báo thuế VÀ/HOẶC quy trình làm việc với cơ quan thuế đơn giản, tiện lợi, nhanh chóng hơn so với trước đây. - HUMAN-FAC1]]</f>
        <v>5</v>
      </c>
      <c r="N96">
        <f t="shared" si="34"/>
        <v>0.44444444444444442</v>
      </c>
      <c r="O96">
        <f>step3_validation[[#This Row],[AI_FAC2]]</f>
        <v>4</v>
      </c>
      <c r="P96">
        <f t="shared" si="35"/>
        <v>0.33333333333333331</v>
      </c>
      <c r="Q96">
        <f>[1]!survey_responses[[#This Row],[So với trước đây, tôi thấy cách tính thuế và các bậc thuế trong phương án mới đơn giản, dễ hiểu và dễ thực hiện hơn. - HUMAN-FAC2]]</f>
        <v>5</v>
      </c>
      <c r="R96">
        <f t="shared" si="36"/>
        <v>0.44444444444444442</v>
      </c>
      <c r="S96" s="32">
        <f t="shared" si="37"/>
        <v>0.38888888888888884</v>
      </c>
      <c r="T96" s="32">
        <f t="shared" si="38"/>
        <v>0.44444444444444442</v>
      </c>
      <c r="U96">
        <f>step3_validation[[#This Row],[AI_TRU1]]</f>
        <v>6</v>
      </c>
      <c r="V96">
        <f t="shared" si="39"/>
        <v>0.55555555555555558</v>
      </c>
      <c r="W96">
        <f>[1]!survey_responses[[#This Row],[Tôi tin rằng Nhà nước, cơ quan thuế sẽ thực thi chính sách mới một cách khách quan, công tâm và đối xử bình đẳng với mọi người nộp thuế.  - HUMAN-TRU1]]</f>
        <v>4</v>
      </c>
      <c r="X96">
        <f t="shared" si="40"/>
        <v>0.33333333333333331</v>
      </c>
      <c r="Y96">
        <f>step3_validation[[#This Row],[AI_TRU2]]</f>
        <v>7</v>
      </c>
      <c r="Z96">
        <f t="shared" si="41"/>
        <v>0.66666666666666663</v>
      </c>
      <c r="AA96">
        <f>[1]!survey_responses[[#This Row],[Tôi thấy mức thuế tôi phải đóng theo phương án mới là công bằng (người thu nhập như tôi đóng mức này là hợp lý). - HUMAN-TRU2]]</f>
        <v>4</v>
      </c>
      <c r="AB96">
        <f t="shared" si="42"/>
        <v>0.33333333333333331</v>
      </c>
      <c r="AC96">
        <f>step3_validation[[#This Row],[AI_TRU3]]</f>
        <v>5</v>
      </c>
      <c r="AD96">
        <f t="shared" si="43"/>
        <v>0.44444444444444442</v>
      </c>
      <c r="AE96">
        <f>[1]!survey_responses[[#This Row],[Tôi tin tưởng số tiền thuế tôi đóng sẽ được Nhà nước sử dụng hiệu quả để cải thiện dịch vụ công (y tế, đường xá...). - HUMAN-TRU3]]</f>
        <v>3</v>
      </c>
      <c r="AF96">
        <f t="shared" si="44"/>
        <v>0.22222222222222221</v>
      </c>
      <c r="AG96">
        <f>step3_validation[[#This Row],[AI_TRU4]]</f>
        <v>6</v>
      </c>
      <c r="AH96">
        <f t="shared" si="45"/>
        <v>0.55555555555555558</v>
      </c>
      <c r="AI96">
        <f>[1]!survey_responses[[#This Row],[Tôi thấy Nhà nước đã giải thích rõ ràng, minh bạch về lý do và mục tiêu của việc sửa đổi thuế lần này. - HUMAN-TRU4]]</f>
        <v>4</v>
      </c>
      <c r="AJ96">
        <f t="shared" si="46"/>
        <v>0.33333333333333331</v>
      </c>
      <c r="AK96" s="32">
        <f t="shared" si="47"/>
        <v>0.55555555555555558</v>
      </c>
      <c r="AL96" s="32">
        <f t="shared" si="48"/>
        <v>0.30555555555555552</v>
      </c>
      <c r="AM96" s="7">
        <f t="shared" si="49"/>
        <v>0.51851851851851849</v>
      </c>
      <c r="AN96" s="7">
        <f t="shared" si="50"/>
        <v>0.39814814814814814</v>
      </c>
      <c r="AO96">
        <f>step3_validation[[#This Row],[AI_OUT1]]</f>
        <v>5</v>
      </c>
      <c r="AP96">
        <f t="shared" si="51"/>
        <v>0.44444444444444442</v>
      </c>
      <c r="AQ96">
        <f>[1]!survey_responses[[#This Row],[Sau khi xem xét các quyền lợi và nghĩa vụ, bạn có ủng hộ và tuân thủ chính sách mới hiện nay? - HUMAN-OUT1]]</f>
        <v>3</v>
      </c>
      <c r="AR96">
        <f t="shared" si="52"/>
        <v>0.22222222222222221</v>
      </c>
      <c r="AS96" s="32">
        <f t="shared" si="53"/>
        <v>2</v>
      </c>
    </row>
    <row r="97" spans="1:45" x14ac:dyDescent="0.45">
      <c r="A97">
        <f>step3_validation[[#This Row],[AI_ENF1]]</f>
        <v>6</v>
      </c>
      <c r="B97">
        <f t="shared" si="27"/>
        <v>0.55555555555555558</v>
      </c>
      <c r="C97">
        <f>[1]!survey_responses[[#This Row],[Tôi tin rằng với các quy định quản lý thuế hiện nay, hành vi gian lận hoặc trốn thuế sẽ dễ dàng bị phát hiện và xử lý nghiêm. - HUMAN-ENF1]]</f>
        <v>8</v>
      </c>
      <c r="D97">
        <f t="shared" si="28"/>
        <v>0.77777777777777779</v>
      </c>
      <c r="E97">
        <f>step3_validation[[#This Row],[AI_ENF2]]</f>
        <v>7</v>
      </c>
      <c r="F97">
        <f t="shared" si="29"/>
        <v>0.66666666666666663</v>
      </c>
      <c r="G97">
        <f>[1]!survey_responses[[#This Row],[Tôi tin rằng Nhà nước, cơ quan thuế có đủ khả năng và công nghệ để phát hiện, xử lý nghiêm các hành vi trốn thuế. - HUMAN-ENF2]]</f>
        <v>7</v>
      </c>
      <c r="H97">
        <f t="shared" si="30"/>
        <v>0.66666666666666663</v>
      </c>
      <c r="I97" s="32">
        <f t="shared" si="31"/>
        <v>0.61111111111111116</v>
      </c>
      <c r="J97" s="32">
        <f t="shared" si="32"/>
        <v>0.72222222222222221</v>
      </c>
      <c r="K97">
        <f>step3_validation[[#This Row],[AI_FAC1]]</f>
        <v>8</v>
      </c>
      <c r="L97">
        <f t="shared" si="33"/>
        <v>0.77777777777777779</v>
      </c>
      <c r="M97">
        <f>[1]!survey_responses[[#This Row],[Các thủ tục khai báo thuế VÀ/HOẶC quy trình làm việc với cơ quan thuế đơn giản, tiện lợi, nhanh chóng hơn so với trước đây. - HUMAN-FAC1]]</f>
        <v>5</v>
      </c>
      <c r="N97">
        <f t="shared" si="34"/>
        <v>0.44444444444444442</v>
      </c>
      <c r="O97">
        <f>step3_validation[[#This Row],[AI_FAC2]]</f>
        <v>9</v>
      </c>
      <c r="P97">
        <f t="shared" si="35"/>
        <v>0.88888888888888884</v>
      </c>
      <c r="Q97">
        <f>[1]!survey_responses[[#This Row],[So với trước đây, tôi thấy cách tính thuế và các bậc thuế trong phương án mới đơn giản, dễ hiểu và dễ thực hiện hơn. - HUMAN-FAC2]]</f>
        <v>7</v>
      </c>
      <c r="R97">
        <f t="shared" si="36"/>
        <v>0.66666666666666663</v>
      </c>
      <c r="S97" s="32">
        <f t="shared" si="37"/>
        <v>0.83333333333333326</v>
      </c>
      <c r="T97" s="32">
        <f t="shared" si="38"/>
        <v>0.55555555555555558</v>
      </c>
      <c r="U97">
        <f>step3_validation[[#This Row],[AI_TRU1]]</f>
        <v>7</v>
      </c>
      <c r="V97">
        <f t="shared" si="39"/>
        <v>0.66666666666666663</v>
      </c>
      <c r="W97">
        <f>[1]!survey_responses[[#This Row],[Tôi tin rằng Nhà nước, cơ quan thuế sẽ thực thi chính sách mới một cách khách quan, công tâm và đối xử bình đẳng với mọi người nộp thuế.  - HUMAN-TRU1]]</f>
        <v>7</v>
      </c>
      <c r="X97">
        <f t="shared" si="40"/>
        <v>0.66666666666666663</v>
      </c>
      <c r="Y97">
        <f>step3_validation[[#This Row],[AI_TRU2]]</f>
        <v>8</v>
      </c>
      <c r="Z97">
        <f t="shared" si="41"/>
        <v>0.77777777777777779</v>
      </c>
      <c r="AA97">
        <f>[1]!survey_responses[[#This Row],[Tôi thấy mức thuế tôi phải đóng theo phương án mới là công bằng (người thu nhập như tôi đóng mức này là hợp lý). - HUMAN-TRU2]]</f>
        <v>5</v>
      </c>
      <c r="AB97">
        <f t="shared" si="42"/>
        <v>0.44444444444444442</v>
      </c>
      <c r="AC97">
        <f>step3_validation[[#This Row],[AI_TRU3]]</f>
        <v>7</v>
      </c>
      <c r="AD97">
        <f t="shared" si="43"/>
        <v>0.66666666666666663</v>
      </c>
      <c r="AE97">
        <f>[1]!survey_responses[[#This Row],[Tôi tin tưởng số tiền thuế tôi đóng sẽ được Nhà nước sử dụng hiệu quả để cải thiện dịch vụ công (y tế, đường xá...). - HUMAN-TRU3]]</f>
        <v>5</v>
      </c>
      <c r="AF97">
        <f t="shared" si="44"/>
        <v>0.44444444444444442</v>
      </c>
      <c r="AG97">
        <f>step3_validation[[#This Row],[AI_TRU4]]</f>
        <v>6</v>
      </c>
      <c r="AH97">
        <f t="shared" si="45"/>
        <v>0.55555555555555558</v>
      </c>
      <c r="AI97">
        <f>[1]!survey_responses[[#This Row],[Tôi thấy Nhà nước đã giải thích rõ ràng, minh bạch về lý do và mục tiêu của việc sửa đổi thuế lần này. - HUMAN-TRU4]]</f>
        <v>7</v>
      </c>
      <c r="AJ97">
        <f t="shared" si="46"/>
        <v>0.66666666666666663</v>
      </c>
      <c r="AK97" s="32">
        <f t="shared" si="47"/>
        <v>0.66666666666666674</v>
      </c>
      <c r="AL97" s="32">
        <f t="shared" si="48"/>
        <v>0.55555555555555558</v>
      </c>
      <c r="AM97" s="7">
        <f t="shared" si="49"/>
        <v>0.70370370370370372</v>
      </c>
      <c r="AN97" s="7">
        <f t="shared" si="50"/>
        <v>0.61111111111111105</v>
      </c>
      <c r="AO97">
        <f>step3_validation[[#This Row],[AI_OUT1]]</f>
        <v>8</v>
      </c>
      <c r="AP97">
        <f t="shared" si="51"/>
        <v>0.77777777777777779</v>
      </c>
      <c r="AQ97">
        <f>[1]!survey_responses[[#This Row],[Sau khi xem xét các quyền lợi và nghĩa vụ, bạn có ủng hộ và tuân thủ chính sách mới hiện nay? - HUMAN-OUT1]]</f>
        <v>7</v>
      </c>
      <c r="AR97">
        <f t="shared" si="52"/>
        <v>0.66666666666666663</v>
      </c>
      <c r="AS97" s="32">
        <f t="shared" si="53"/>
        <v>1</v>
      </c>
    </row>
    <row r="98" spans="1:45" x14ac:dyDescent="0.45">
      <c r="A98">
        <f>step3_validation[[#This Row],[AI_ENF1]]</f>
        <v>8</v>
      </c>
      <c r="B98">
        <f t="shared" si="27"/>
        <v>0.77777777777777779</v>
      </c>
      <c r="C98">
        <f>[1]!survey_responses[[#This Row],[Tôi tin rằng với các quy định quản lý thuế hiện nay, hành vi gian lận hoặc trốn thuế sẽ dễ dàng bị phát hiện và xử lý nghiêm. - HUMAN-ENF1]]</f>
        <v>6</v>
      </c>
      <c r="D98">
        <f t="shared" si="28"/>
        <v>0.55555555555555558</v>
      </c>
      <c r="E98">
        <f>step3_validation[[#This Row],[AI_ENF2]]</f>
        <v>9</v>
      </c>
      <c r="F98">
        <f t="shared" si="29"/>
        <v>0.88888888888888884</v>
      </c>
      <c r="G98">
        <f>[1]!survey_responses[[#This Row],[Tôi tin rằng Nhà nước, cơ quan thuế có đủ khả năng và công nghệ để phát hiện, xử lý nghiêm các hành vi trốn thuế. - HUMAN-ENF2]]</f>
        <v>6</v>
      </c>
      <c r="H98">
        <f t="shared" si="30"/>
        <v>0.55555555555555558</v>
      </c>
      <c r="I98" s="32">
        <f t="shared" si="31"/>
        <v>0.83333333333333326</v>
      </c>
      <c r="J98" s="32">
        <f t="shared" si="32"/>
        <v>0.55555555555555558</v>
      </c>
      <c r="K98">
        <f>step3_validation[[#This Row],[AI_FAC1]]</f>
        <v>7</v>
      </c>
      <c r="L98">
        <f t="shared" si="33"/>
        <v>0.66666666666666663</v>
      </c>
      <c r="M98">
        <f>[1]!survey_responses[[#This Row],[Các thủ tục khai báo thuế VÀ/HOẶC quy trình làm việc với cơ quan thuế đơn giản, tiện lợi, nhanh chóng hơn so với trước đây. - HUMAN-FAC1]]</f>
        <v>5</v>
      </c>
      <c r="N98">
        <f t="shared" si="34"/>
        <v>0.44444444444444442</v>
      </c>
      <c r="O98">
        <f>step3_validation[[#This Row],[AI_FAC2]]</f>
        <v>8</v>
      </c>
      <c r="P98">
        <f t="shared" si="35"/>
        <v>0.77777777777777779</v>
      </c>
      <c r="Q98">
        <f>[1]!survey_responses[[#This Row],[So với trước đây, tôi thấy cách tính thuế và các bậc thuế trong phương án mới đơn giản, dễ hiểu và dễ thực hiện hơn. - HUMAN-FAC2]]</f>
        <v>5</v>
      </c>
      <c r="R98">
        <f t="shared" si="36"/>
        <v>0.44444444444444442</v>
      </c>
      <c r="S98" s="32">
        <f t="shared" si="37"/>
        <v>0.72222222222222221</v>
      </c>
      <c r="T98" s="32">
        <f t="shared" si="38"/>
        <v>0.44444444444444442</v>
      </c>
      <c r="U98">
        <f>step3_validation[[#This Row],[AI_TRU1]]</f>
        <v>7</v>
      </c>
      <c r="V98">
        <f t="shared" si="39"/>
        <v>0.66666666666666663</v>
      </c>
      <c r="W98">
        <f>[1]!survey_responses[[#This Row],[Tôi tin rằng Nhà nước, cơ quan thuế sẽ thực thi chính sách mới một cách khách quan, công tâm và đối xử bình đẳng với mọi người nộp thuế.  - HUMAN-TRU1]]</f>
        <v>5</v>
      </c>
      <c r="X98">
        <f t="shared" si="40"/>
        <v>0.44444444444444442</v>
      </c>
      <c r="Y98">
        <f>step3_validation[[#This Row],[AI_TRU2]]</f>
        <v>8</v>
      </c>
      <c r="Z98">
        <f t="shared" si="41"/>
        <v>0.77777777777777779</v>
      </c>
      <c r="AA98">
        <f>[1]!survey_responses[[#This Row],[Tôi thấy mức thuế tôi phải đóng theo phương án mới là công bằng (người thu nhập như tôi đóng mức này là hợp lý). - HUMAN-TRU2]]</f>
        <v>5</v>
      </c>
      <c r="AB98">
        <f t="shared" si="42"/>
        <v>0.44444444444444442</v>
      </c>
      <c r="AC98">
        <f>step3_validation[[#This Row],[AI_TRU3]]</f>
        <v>7</v>
      </c>
      <c r="AD98">
        <f t="shared" si="43"/>
        <v>0.66666666666666663</v>
      </c>
      <c r="AE98">
        <f>[1]!survey_responses[[#This Row],[Tôi tin tưởng số tiền thuế tôi đóng sẽ được Nhà nước sử dụng hiệu quả để cải thiện dịch vụ công (y tế, đường xá...). - HUMAN-TRU3]]</f>
        <v>5</v>
      </c>
      <c r="AF98">
        <f t="shared" si="44"/>
        <v>0.44444444444444442</v>
      </c>
      <c r="AG98">
        <f>step3_validation[[#This Row],[AI_TRU4]]</f>
        <v>8</v>
      </c>
      <c r="AH98">
        <f t="shared" si="45"/>
        <v>0.77777777777777779</v>
      </c>
      <c r="AI98">
        <f>[1]!survey_responses[[#This Row],[Tôi thấy Nhà nước đã giải thích rõ ràng, minh bạch về lý do và mục tiêu của việc sửa đổi thuế lần này. - HUMAN-TRU4]]</f>
        <v>5</v>
      </c>
      <c r="AJ98">
        <f t="shared" si="46"/>
        <v>0.44444444444444442</v>
      </c>
      <c r="AK98" s="32">
        <f t="shared" si="47"/>
        <v>0.72222222222222221</v>
      </c>
      <c r="AL98" s="32">
        <f t="shared" si="48"/>
        <v>0.44444444444444442</v>
      </c>
      <c r="AM98" s="7">
        <f t="shared" si="49"/>
        <v>0.75925925925925919</v>
      </c>
      <c r="AN98" s="7">
        <f t="shared" si="50"/>
        <v>0.48148148148148145</v>
      </c>
      <c r="AO98">
        <f>step3_validation[[#This Row],[AI_OUT1]]</f>
        <v>9</v>
      </c>
      <c r="AP98">
        <f t="shared" si="51"/>
        <v>0.88888888888888884</v>
      </c>
      <c r="AQ98">
        <f>[1]!survey_responses[[#This Row],[Sau khi xem xét các quyền lợi và nghĩa vụ, bạn có ủng hộ và tuân thủ chính sách mới hiện nay? - HUMAN-OUT1]]</f>
        <v>5</v>
      </c>
      <c r="AR98">
        <f t="shared" si="52"/>
        <v>0.44444444444444442</v>
      </c>
      <c r="AS98" s="32">
        <f t="shared" si="53"/>
        <v>4</v>
      </c>
    </row>
    <row r="99" spans="1:45" x14ac:dyDescent="0.45">
      <c r="A99">
        <f>step3_validation[[#This Row],[AI_ENF1]]</f>
        <v>8</v>
      </c>
      <c r="B99">
        <f t="shared" si="27"/>
        <v>0.77777777777777779</v>
      </c>
      <c r="C99">
        <f>[1]!survey_responses[[#This Row],[Tôi tin rằng với các quy định quản lý thuế hiện nay, hành vi gian lận hoặc trốn thuế sẽ dễ dàng bị phát hiện và xử lý nghiêm. - HUMAN-ENF1]]</f>
        <v>8</v>
      </c>
      <c r="D99">
        <f t="shared" si="28"/>
        <v>0.77777777777777779</v>
      </c>
      <c r="E99">
        <f>step3_validation[[#This Row],[AI_ENF2]]</f>
        <v>9</v>
      </c>
      <c r="F99">
        <f t="shared" si="29"/>
        <v>0.88888888888888884</v>
      </c>
      <c r="G99">
        <f>[1]!survey_responses[[#This Row],[Tôi tin rằng Nhà nước, cơ quan thuế có đủ khả năng và công nghệ để phát hiện, xử lý nghiêm các hành vi trốn thuế. - HUMAN-ENF2]]</f>
        <v>8</v>
      </c>
      <c r="H99">
        <f t="shared" si="30"/>
        <v>0.77777777777777779</v>
      </c>
      <c r="I99" s="32">
        <f t="shared" si="31"/>
        <v>0.83333333333333326</v>
      </c>
      <c r="J99" s="32">
        <f t="shared" si="32"/>
        <v>0.77777777777777779</v>
      </c>
      <c r="K99">
        <f>step3_validation[[#This Row],[AI_FAC1]]</f>
        <v>7</v>
      </c>
      <c r="L99">
        <f t="shared" si="33"/>
        <v>0.66666666666666663</v>
      </c>
      <c r="M99">
        <f>[1]!survey_responses[[#This Row],[Các thủ tục khai báo thuế VÀ/HOẶC quy trình làm việc với cơ quan thuế đơn giản, tiện lợi, nhanh chóng hơn so với trước đây. - HUMAN-FAC1]]</f>
        <v>5</v>
      </c>
      <c r="N99">
        <f t="shared" si="34"/>
        <v>0.44444444444444442</v>
      </c>
      <c r="O99">
        <f>step3_validation[[#This Row],[AI_FAC2]]</f>
        <v>8</v>
      </c>
      <c r="P99">
        <f t="shared" si="35"/>
        <v>0.77777777777777779</v>
      </c>
      <c r="Q99">
        <f>[1]!survey_responses[[#This Row],[So với trước đây, tôi thấy cách tính thuế và các bậc thuế trong phương án mới đơn giản, dễ hiểu và dễ thực hiện hơn. - HUMAN-FAC2]]</f>
        <v>8</v>
      </c>
      <c r="R99">
        <f t="shared" si="36"/>
        <v>0.77777777777777779</v>
      </c>
      <c r="S99" s="32">
        <f t="shared" si="37"/>
        <v>0.72222222222222221</v>
      </c>
      <c r="T99" s="32">
        <f t="shared" si="38"/>
        <v>0.61111111111111116</v>
      </c>
      <c r="U99">
        <f>step3_validation[[#This Row],[AI_TRU1]]</f>
        <v>9</v>
      </c>
      <c r="V99">
        <f t="shared" si="39"/>
        <v>0.88888888888888884</v>
      </c>
      <c r="W99">
        <f>[1]!survey_responses[[#This Row],[Tôi tin rằng Nhà nước, cơ quan thuế sẽ thực thi chính sách mới một cách khách quan, công tâm và đối xử bình đẳng với mọi người nộp thuế.  - HUMAN-TRU1]]</f>
        <v>6</v>
      </c>
      <c r="X99">
        <f t="shared" si="40"/>
        <v>0.55555555555555558</v>
      </c>
      <c r="Y99">
        <f>step3_validation[[#This Row],[AI_TRU2]]</f>
        <v>7</v>
      </c>
      <c r="Z99">
        <f t="shared" si="41"/>
        <v>0.66666666666666663</v>
      </c>
      <c r="AA99">
        <f>[1]!survey_responses[[#This Row],[Tôi thấy mức thuế tôi phải đóng theo phương án mới là công bằng (người thu nhập như tôi đóng mức này là hợp lý). - HUMAN-TRU2]]</f>
        <v>9</v>
      </c>
      <c r="AB99">
        <f t="shared" si="42"/>
        <v>0.88888888888888884</v>
      </c>
      <c r="AC99">
        <f>step3_validation[[#This Row],[AI_TRU3]]</f>
        <v>8</v>
      </c>
      <c r="AD99">
        <f t="shared" si="43"/>
        <v>0.77777777777777779</v>
      </c>
      <c r="AE99">
        <f>[1]!survey_responses[[#This Row],[Tôi tin tưởng số tiền thuế tôi đóng sẽ được Nhà nước sử dụng hiệu quả để cải thiện dịch vụ công (y tế, đường xá...). - HUMAN-TRU3]]</f>
        <v>5</v>
      </c>
      <c r="AF99">
        <f t="shared" si="44"/>
        <v>0.44444444444444442</v>
      </c>
      <c r="AG99">
        <f>step3_validation[[#This Row],[AI_TRU4]]</f>
        <v>6</v>
      </c>
      <c r="AH99">
        <f t="shared" si="45"/>
        <v>0.55555555555555558</v>
      </c>
      <c r="AI99">
        <f>[1]!survey_responses[[#This Row],[Tôi thấy Nhà nước đã giải thích rõ ràng, minh bạch về lý do và mục tiêu của việc sửa đổi thuế lần này. - HUMAN-TRU4]]</f>
        <v>7</v>
      </c>
      <c r="AJ99">
        <f t="shared" si="46"/>
        <v>0.66666666666666663</v>
      </c>
      <c r="AK99" s="32">
        <f t="shared" si="47"/>
        <v>0.7222222222222221</v>
      </c>
      <c r="AL99" s="32">
        <f t="shared" si="48"/>
        <v>0.63888888888888884</v>
      </c>
      <c r="AM99" s="7">
        <f t="shared" si="49"/>
        <v>0.75925925925925919</v>
      </c>
      <c r="AN99" s="7">
        <f t="shared" si="50"/>
        <v>0.67592592592592593</v>
      </c>
      <c r="AO99">
        <f>step3_validation[[#This Row],[AI_OUT1]]</f>
        <v>7</v>
      </c>
      <c r="AP99">
        <f t="shared" si="51"/>
        <v>0.66666666666666663</v>
      </c>
      <c r="AQ99">
        <f>[1]!survey_responses[[#This Row],[Sau khi xem xét các quyền lợi và nghĩa vụ, bạn có ủng hộ và tuân thủ chính sách mới hiện nay? - HUMAN-OUT1]]</f>
        <v>8</v>
      </c>
      <c r="AR99">
        <f t="shared" si="52"/>
        <v>0.77777777777777779</v>
      </c>
      <c r="AS99" s="32">
        <f t="shared" si="53"/>
        <v>1</v>
      </c>
    </row>
    <row r="100" spans="1:45" x14ac:dyDescent="0.45">
      <c r="A100">
        <f>step3_validation[[#This Row],[AI_ENF1]]</f>
        <v>7</v>
      </c>
      <c r="B100">
        <f t="shared" si="27"/>
        <v>0.66666666666666663</v>
      </c>
      <c r="C100">
        <f>[1]!survey_responses[[#This Row],[Tôi tin rằng với các quy định quản lý thuế hiện nay, hành vi gian lận hoặc trốn thuế sẽ dễ dàng bị phát hiện và xử lý nghiêm. - HUMAN-ENF1]]</f>
        <v>6</v>
      </c>
      <c r="D100">
        <f t="shared" si="28"/>
        <v>0.55555555555555558</v>
      </c>
      <c r="E100">
        <f>step3_validation[[#This Row],[AI_ENF2]]</f>
        <v>6</v>
      </c>
      <c r="F100">
        <f t="shared" si="29"/>
        <v>0.55555555555555558</v>
      </c>
      <c r="G100">
        <f>[1]!survey_responses[[#This Row],[Tôi tin rằng Nhà nước, cơ quan thuế có đủ khả năng và công nghệ để phát hiện, xử lý nghiêm các hành vi trốn thuế. - HUMAN-ENF2]]</f>
        <v>6</v>
      </c>
      <c r="H100">
        <f t="shared" si="30"/>
        <v>0.55555555555555558</v>
      </c>
      <c r="I100" s="32">
        <f t="shared" si="31"/>
        <v>0.61111111111111116</v>
      </c>
      <c r="J100" s="32">
        <f t="shared" si="32"/>
        <v>0.55555555555555558</v>
      </c>
      <c r="K100">
        <f>step3_validation[[#This Row],[AI_FAC1]]</f>
        <v>8</v>
      </c>
      <c r="L100">
        <f t="shared" si="33"/>
        <v>0.77777777777777779</v>
      </c>
      <c r="M100">
        <f>[1]!survey_responses[[#This Row],[Các thủ tục khai báo thuế VÀ/HOẶC quy trình làm việc với cơ quan thuế đơn giản, tiện lợi, nhanh chóng hơn so với trước đây. - HUMAN-FAC1]]</f>
        <v>3</v>
      </c>
      <c r="N100">
        <f t="shared" si="34"/>
        <v>0.22222222222222221</v>
      </c>
      <c r="O100">
        <f>step3_validation[[#This Row],[AI_FAC2]]</f>
        <v>9</v>
      </c>
      <c r="P100">
        <f t="shared" si="35"/>
        <v>0.88888888888888884</v>
      </c>
      <c r="Q100">
        <f>[1]!survey_responses[[#This Row],[So với trước đây, tôi thấy cách tính thuế và các bậc thuế trong phương án mới đơn giản, dễ hiểu và dễ thực hiện hơn. - HUMAN-FAC2]]</f>
        <v>6</v>
      </c>
      <c r="R100">
        <f t="shared" si="36"/>
        <v>0.55555555555555558</v>
      </c>
      <c r="S100" s="32">
        <f t="shared" si="37"/>
        <v>0.83333333333333326</v>
      </c>
      <c r="T100" s="32">
        <f t="shared" si="38"/>
        <v>0.3888888888888889</v>
      </c>
      <c r="U100">
        <f>step3_validation[[#This Row],[AI_TRU1]]</f>
        <v>7</v>
      </c>
      <c r="V100">
        <f t="shared" si="39"/>
        <v>0.66666666666666663</v>
      </c>
      <c r="W100">
        <f>[1]!survey_responses[[#This Row],[Tôi tin rằng Nhà nước, cơ quan thuế sẽ thực thi chính sách mới một cách khách quan, công tâm và đối xử bình đẳng với mọi người nộp thuế.  - HUMAN-TRU1]]</f>
        <v>5</v>
      </c>
      <c r="X100">
        <f t="shared" si="40"/>
        <v>0.44444444444444442</v>
      </c>
      <c r="Y100">
        <f>step3_validation[[#This Row],[AI_TRU2]]</f>
        <v>8</v>
      </c>
      <c r="Z100">
        <f t="shared" si="41"/>
        <v>0.77777777777777779</v>
      </c>
      <c r="AA100">
        <f>[1]!survey_responses[[#This Row],[Tôi thấy mức thuế tôi phải đóng theo phương án mới là công bằng (người thu nhập như tôi đóng mức này là hợp lý). - HUMAN-TRU2]]</f>
        <v>6</v>
      </c>
      <c r="AB100">
        <f t="shared" si="42"/>
        <v>0.55555555555555558</v>
      </c>
      <c r="AC100">
        <f>step3_validation[[#This Row],[AI_TRU3]]</f>
        <v>7</v>
      </c>
      <c r="AD100">
        <f t="shared" si="43"/>
        <v>0.66666666666666663</v>
      </c>
      <c r="AE100">
        <f>[1]!survey_responses[[#This Row],[Tôi tin tưởng số tiền thuế tôi đóng sẽ được Nhà nước sử dụng hiệu quả để cải thiện dịch vụ công (y tế, đường xá...). - HUMAN-TRU3]]</f>
        <v>5</v>
      </c>
      <c r="AF100">
        <f t="shared" si="44"/>
        <v>0.44444444444444442</v>
      </c>
      <c r="AG100">
        <f>step3_validation[[#This Row],[AI_TRU4]]</f>
        <v>6</v>
      </c>
      <c r="AH100">
        <f t="shared" si="45"/>
        <v>0.55555555555555558</v>
      </c>
      <c r="AI100">
        <f>[1]!survey_responses[[#This Row],[Tôi thấy Nhà nước đã giải thích rõ ràng, minh bạch về lý do và mục tiêu của việc sửa đổi thuế lần này. - HUMAN-TRU4]]</f>
        <v>6</v>
      </c>
      <c r="AJ100">
        <f t="shared" si="46"/>
        <v>0.55555555555555558</v>
      </c>
      <c r="AK100" s="32">
        <f t="shared" si="47"/>
        <v>0.66666666666666674</v>
      </c>
      <c r="AL100" s="32">
        <f t="shared" si="48"/>
        <v>0.5</v>
      </c>
      <c r="AM100" s="7">
        <f t="shared" si="49"/>
        <v>0.70370370370370372</v>
      </c>
      <c r="AN100" s="7">
        <f t="shared" si="50"/>
        <v>0.48148148148148145</v>
      </c>
      <c r="AO100">
        <f>step3_validation[[#This Row],[AI_OUT1]]</f>
        <v>8</v>
      </c>
      <c r="AP100">
        <f t="shared" si="51"/>
        <v>0.77777777777777779</v>
      </c>
      <c r="AQ100">
        <f>[1]!survey_responses[[#This Row],[Sau khi xem xét các quyền lợi và nghĩa vụ, bạn có ủng hộ và tuân thủ chính sách mới hiện nay? - HUMAN-OUT1]]</f>
        <v>6</v>
      </c>
      <c r="AR100">
        <f t="shared" si="52"/>
        <v>0.55555555555555558</v>
      </c>
      <c r="AS100" s="32">
        <f t="shared" si="53"/>
        <v>2</v>
      </c>
    </row>
    <row r="101" spans="1:45" x14ac:dyDescent="0.45">
      <c r="A101">
        <f>step3_validation[[#This Row],[AI_ENF1]]</f>
        <v>7</v>
      </c>
      <c r="B101">
        <f t="shared" si="27"/>
        <v>0.66666666666666663</v>
      </c>
      <c r="C101">
        <f>[1]!survey_responses[[#This Row],[Tôi tin rằng với các quy định quản lý thuế hiện nay, hành vi gian lận hoặc trốn thuế sẽ dễ dàng bị phát hiện và xử lý nghiêm. - HUMAN-ENF1]]</f>
        <v>8</v>
      </c>
      <c r="D101">
        <f t="shared" si="28"/>
        <v>0.77777777777777779</v>
      </c>
      <c r="E101">
        <f>step3_validation[[#This Row],[AI_ENF2]]</f>
        <v>8</v>
      </c>
      <c r="F101">
        <f t="shared" si="29"/>
        <v>0.77777777777777779</v>
      </c>
      <c r="G101">
        <f>[1]!survey_responses[[#This Row],[Tôi tin rằng Nhà nước, cơ quan thuế có đủ khả năng và công nghệ để phát hiện, xử lý nghiêm các hành vi trốn thuế. - HUMAN-ENF2]]</f>
        <v>8</v>
      </c>
      <c r="H101">
        <f t="shared" si="30"/>
        <v>0.77777777777777779</v>
      </c>
      <c r="I101" s="32">
        <f t="shared" si="31"/>
        <v>0.72222222222222221</v>
      </c>
      <c r="J101" s="32">
        <f t="shared" si="32"/>
        <v>0.77777777777777779</v>
      </c>
      <c r="K101">
        <f>step3_validation[[#This Row],[AI_FAC1]]</f>
        <v>9</v>
      </c>
      <c r="L101">
        <f t="shared" si="33"/>
        <v>0.88888888888888884</v>
      </c>
      <c r="M101">
        <f>[1]!survey_responses[[#This Row],[Các thủ tục khai báo thuế VÀ/HOẶC quy trình làm việc với cơ quan thuế đơn giản, tiện lợi, nhanh chóng hơn so với trước đây. - HUMAN-FAC1]]</f>
        <v>8</v>
      </c>
      <c r="N101">
        <f t="shared" si="34"/>
        <v>0.77777777777777779</v>
      </c>
      <c r="O101">
        <f>step3_validation[[#This Row],[AI_FAC2]]</f>
        <v>8</v>
      </c>
      <c r="P101">
        <f t="shared" si="35"/>
        <v>0.77777777777777779</v>
      </c>
      <c r="Q101">
        <f>[1]!survey_responses[[#This Row],[So với trước đây, tôi thấy cách tính thuế và các bậc thuế trong phương án mới đơn giản, dễ hiểu và dễ thực hiện hơn. - HUMAN-FAC2]]</f>
        <v>10</v>
      </c>
      <c r="R101">
        <f t="shared" si="36"/>
        <v>1</v>
      </c>
      <c r="S101" s="32">
        <f t="shared" si="37"/>
        <v>0.83333333333333326</v>
      </c>
      <c r="T101" s="32">
        <f t="shared" si="38"/>
        <v>0.88888888888888884</v>
      </c>
      <c r="U101">
        <f>step3_validation[[#This Row],[AI_TRU1]]</f>
        <v>7</v>
      </c>
      <c r="V101">
        <f t="shared" si="39"/>
        <v>0.66666666666666663</v>
      </c>
      <c r="W101">
        <f>[1]!survey_responses[[#This Row],[Tôi tin rằng Nhà nước, cơ quan thuế sẽ thực thi chính sách mới một cách khách quan, công tâm và đối xử bình đẳng với mọi người nộp thuế.  - HUMAN-TRU1]]</f>
        <v>10</v>
      </c>
      <c r="X101">
        <f t="shared" si="40"/>
        <v>1</v>
      </c>
      <c r="Y101">
        <f>step3_validation[[#This Row],[AI_TRU2]]</f>
        <v>8</v>
      </c>
      <c r="Z101">
        <f t="shared" si="41"/>
        <v>0.77777777777777779</v>
      </c>
      <c r="AA101">
        <f>[1]!survey_responses[[#This Row],[Tôi thấy mức thuế tôi phải đóng theo phương án mới là công bằng (người thu nhập như tôi đóng mức này là hợp lý). - HUMAN-TRU2]]</f>
        <v>10</v>
      </c>
      <c r="AB101">
        <f t="shared" si="42"/>
        <v>1</v>
      </c>
      <c r="AC101">
        <f>step3_validation[[#This Row],[AI_TRU3]]</f>
        <v>7</v>
      </c>
      <c r="AD101">
        <f t="shared" si="43"/>
        <v>0.66666666666666663</v>
      </c>
      <c r="AE101">
        <f>[1]!survey_responses[[#This Row],[Tôi tin tưởng số tiền thuế tôi đóng sẽ được Nhà nước sử dụng hiệu quả để cải thiện dịch vụ công (y tế, đường xá...). - HUMAN-TRU3]]</f>
        <v>10</v>
      </c>
      <c r="AF101">
        <f t="shared" si="44"/>
        <v>1</v>
      </c>
      <c r="AG101">
        <f>step3_validation[[#This Row],[AI_TRU4]]</f>
        <v>6</v>
      </c>
      <c r="AH101">
        <f t="shared" si="45"/>
        <v>0.55555555555555558</v>
      </c>
      <c r="AI101">
        <f>[1]!survey_responses[[#This Row],[Tôi thấy Nhà nước đã giải thích rõ ràng, minh bạch về lý do và mục tiêu của việc sửa đổi thuế lần này. - HUMAN-TRU4]]</f>
        <v>10</v>
      </c>
      <c r="AJ101">
        <f t="shared" si="46"/>
        <v>1</v>
      </c>
      <c r="AK101" s="32">
        <f t="shared" si="47"/>
        <v>0.66666666666666674</v>
      </c>
      <c r="AL101" s="32">
        <f t="shared" si="48"/>
        <v>1</v>
      </c>
      <c r="AM101" s="7">
        <f t="shared" si="49"/>
        <v>0.74074074074074081</v>
      </c>
      <c r="AN101" s="7">
        <f t="shared" si="50"/>
        <v>0.88888888888888884</v>
      </c>
      <c r="AO101">
        <f>step3_validation[[#This Row],[AI_OUT1]]</f>
        <v>8</v>
      </c>
      <c r="AP101">
        <f t="shared" si="51"/>
        <v>0.77777777777777779</v>
      </c>
      <c r="AQ101">
        <f>[1]!survey_responses[[#This Row],[Sau khi xem xét các quyền lợi và nghĩa vụ, bạn có ủng hộ và tuân thủ chính sách mới hiện nay? - HUMAN-OUT1]]</f>
        <v>10</v>
      </c>
      <c r="AR101">
        <f t="shared" si="52"/>
        <v>1</v>
      </c>
      <c r="AS101" s="32">
        <f t="shared" si="53"/>
        <v>2</v>
      </c>
    </row>
    <row r="102" spans="1:45" x14ac:dyDescent="0.45">
      <c r="A102">
        <f>step3_validation[[#This Row],[AI_ENF1]]</f>
        <v>8</v>
      </c>
      <c r="B102">
        <f t="shared" si="27"/>
        <v>0.77777777777777779</v>
      </c>
      <c r="C102">
        <f>[1]!survey_responses[[#This Row],[Tôi tin rằng với các quy định quản lý thuế hiện nay, hành vi gian lận hoặc trốn thuế sẽ dễ dàng bị phát hiện và xử lý nghiêm. - HUMAN-ENF1]]</f>
        <v>8</v>
      </c>
      <c r="D102">
        <f t="shared" si="28"/>
        <v>0.77777777777777779</v>
      </c>
      <c r="E102">
        <f>step3_validation[[#This Row],[AI_ENF2]]</f>
        <v>9</v>
      </c>
      <c r="F102">
        <f t="shared" si="29"/>
        <v>0.88888888888888884</v>
      </c>
      <c r="G102">
        <f>[1]!survey_responses[[#This Row],[Tôi tin rằng Nhà nước, cơ quan thuế có đủ khả năng và công nghệ để phát hiện, xử lý nghiêm các hành vi trốn thuế. - HUMAN-ENF2]]</f>
        <v>8</v>
      </c>
      <c r="H102">
        <f t="shared" si="30"/>
        <v>0.77777777777777779</v>
      </c>
      <c r="I102" s="32">
        <f t="shared" si="31"/>
        <v>0.83333333333333326</v>
      </c>
      <c r="J102" s="32">
        <f t="shared" si="32"/>
        <v>0.77777777777777779</v>
      </c>
      <c r="K102">
        <f>step3_validation[[#This Row],[AI_FAC1]]</f>
        <v>8</v>
      </c>
      <c r="L102">
        <f t="shared" si="33"/>
        <v>0.77777777777777779</v>
      </c>
      <c r="M102">
        <f>[1]!survey_responses[[#This Row],[Các thủ tục khai báo thuế VÀ/HOẶC quy trình làm việc với cơ quan thuế đơn giản, tiện lợi, nhanh chóng hơn so với trước đây. - HUMAN-FAC1]]</f>
        <v>7</v>
      </c>
      <c r="N102">
        <f t="shared" si="34"/>
        <v>0.66666666666666663</v>
      </c>
      <c r="O102">
        <f>step3_validation[[#This Row],[AI_FAC2]]</f>
        <v>9</v>
      </c>
      <c r="P102">
        <f t="shared" si="35"/>
        <v>0.88888888888888884</v>
      </c>
      <c r="Q102">
        <f>[1]!survey_responses[[#This Row],[So với trước đây, tôi thấy cách tính thuế và các bậc thuế trong phương án mới đơn giản, dễ hiểu và dễ thực hiện hơn. - HUMAN-FAC2]]</f>
        <v>8</v>
      </c>
      <c r="R102">
        <f t="shared" si="36"/>
        <v>0.77777777777777779</v>
      </c>
      <c r="S102" s="32">
        <f t="shared" si="37"/>
        <v>0.83333333333333326</v>
      </c>
      <c r="T102" s="32">
        <f t="shared" si="38"/>
        <v>0.72222222222222221</v>
      </c>
      <c r="U102">
        <f>step3_validation[[#This Row],[AI_TRU1]]</f>
        <v>8</v>
      </c>
      <c r="V102">
        <f t="shared" si="39"/>
        <v>0.77777777777777779</v>
      </c>
      <c r="W102">
        <f>[1]!survey_responses[[#This Row],[Tôi tin rằng Nhà nước, cơ quan thuế sẽ thực thi chính sách mới một cách khách quan, công tâm và đối xử bình đẳng với mọi người nộp thuế.  - HUMAN-TRU1]]</f>
        <v>8</v>
      </c>
      <c r="X102">
        <f t="shared" si="40"/>
        <v>0.77777777777777779</v>
      </c>
      <c r="Y102">
        <f>step3_validation[[#This Row],[AI_TRU2]]</f>
        <v>7</v>
      </c>
      <c r="Z102">
        <f t="shared" si="41"/>
        <v>0.66666666666666663</v>
      </c>
      <c r="AA102">
        <f>[1]!survey_responses[[#This Row],[Tôi thấy mức thuế tôi phải đóng theo phương án mới là công bằng (người thu nhập như tôi đóng mức này là hợp lý). - HUMAN-TRU2]]</f>
        <v>7</v>
      </c>
      <c r="AB102">
        <f t="shared" si="42"/>
        <v>0.66666666666666663</v>
      </c>
      <c r="AC102">
        <f>step3_validation[[#This Row],[AI_TRU3]]</f>
        <v>8</v>
      </c>
      <c r="AD102">
        <f t="shared" si="43"/>
        <v>0.77777777777777779</v>
      </c>
      <c r="AE102">
        <f>[1]!survey_responses[[#This Row],[Tôi tin tưởng số tiền thuế tôi đóng sẽ được Nhà nước sử dụng hiệu quả để cải thiện dịch vụ công (y tế, đường xá...). - HUMAN-TRU3]]</f>
        <v>7</v>
      </c>
      <c r="AF102">
        <f t="shared" si="44"/>
        <v>0.66666666666666663</v>
      </c>
      <c r="AG102">
        <f>step3_validation[[#This Row],[AI_TRU4]]</f>
        <v>7</v>
      </c>
      <c r="AH102">
        <f t="shared" si="45"/>
        <v>0.66666666666666663</v>
      </c>
      <c r="AI102">
        <f>[1]!survey_responses[[#This Row],[Tôi thấy Nhà nước đã giải thích rõ ràng, minh bạch về lý do và mục tiêu của việc sửa đổi thuế lần này. - HUMAN-TRU4]]</f>
        <v>7</v>
      </c>
      <c r="AJ102">
        <f t="shared" si="46"/>
        <v>0.66666666666666663</v>
      </c>
      <c r="AK102" s="32">
        <f t="shared" si="47"/>
        <v>0.72222222222222221</v>
      </c>
      <c r="AL102" s="32">
        <f t="shared" si="48"/>
        <v>0.69444444444444442</v>
      </c>
      <c r="AM102" s="7">
        <f t="shared" si="49"/>
        <v>0.79629629629629628</v>
      </c>
      <c r="AN102" s="7">
        <f t="shared" si="50"/>
        <v>0.73148148148148151</v>
      </c>
      <c r="AO102">
        <f>step3_validation[[#This Row],[AI_OUT1]]</f>
        <v>8</v>
      </c>
      <c r="AP102">
        <f t="shared" si="51"/>
        <v>0.77777777777777779</v>
      </c>
      <c r="AQ102">
        <f>[1]!survey_responses[[#This Row],[Sau khi xem xét các quyền lợi và nghĩa vụ, bạn có ủng hộ và tuân thủ chính sách mới hiện nay? - HUMAN-OUT1]]</f>
        <v>8</v>
      </c>
      <c r="AR102">
        <f t="shared" si="52"/>
        <v>0.77777777777777779</v>
      </c>
      <c r="AS102" s="32">
        <f t="shared" si="53"/>
        <v>0</v>
      </c>
    </row>
    <row r="103" spans="1:45" x14ac:dyDescent="0.45">
      <c r="A103">
        <f>step3_validation[[#This Row],[AI_ENF1]]</f>
        <v>7</v>
      </c>
      <c r="B103">
        <f t="shared" si="27"/>
        <v>0.66666666666666663</v>
      </c>
      <c r="C103">
        <f>[1]!survey_responses[[#This Row],[Tôi tin rằng với các quy định quản lý thuế hiện nay, hành vi gian lận hoặc trốn thuế sẽ dễ dàng bị phát hiện và xử lý nghiêm. - HUMAN-ENF1]]</f>
        <v>5</v>
      </c>
      <c r="D103">
        <f t="shared" si="28"/>
        <v>0.44444444444444442</v>
      </c>
      <c r="E103">
        <f>step3_validation[[#This Row],[AI_ENF2]]</f>
        <v>8</v>
      </c>
      <c r="F103">
        <f t="shared" si="29"/>
        <v>0.77777777777777779</v>
      </c>
      <c r="G103">
        <f>[1]!survey_responses[[#This Row],[Tôi tin rằng Nhà nước, cơ quan thuế có đủ khả năng và công nghệ để phát hiện, xử lý nghiêm các hành vi trốn thuế. - HUMAN-ENF2]]</f>
        <v>5</v>
      </c>
      <c r="H103">
        <f t="shared" si="30"/>
        <v>0.44444444444444442</v>
      </c>
      <c r="I103" s="32">
        <f t="shared" si="31"/>
        <v>0.72222222222222221</v>
      </c>
      <c r="J103" s="32">
        <f t="shared" si="32"/>
        <v>0.44444444444444442</v>
      </c>
      <c r="K103">
        <f>step3_validation[[#This Row],[AI_FAC1]]</f>
        <v>9</v>
      </c>
      <c r="L103">
        <f t="shared" si="33"/>
        <v>0.88888888888888884</v>
      </c>
      <c r="M103">
        <f>[1]!survey_responses[[#This Row],[Các thủ tục khai báo thuế VÀ/HOẶC quy trình làm việc với cơ quan thuế đơn giản, tiện lợi, nhanh chóng hơn so với trước đây. - HUMAN-FAC1]]</f>
        <v>5</v>
      </c>
      <c r="N103">
        <f t="shared" si="34"/>
        <v>0.44444444444444442</v>
      </c>
      <c r="O103">
        <f>step3_validation[[#This Row],[AI_FAC2]]</f>
        <v>8</v>
      </c>
      <c r="P103">
        <f t="shared" si="35"/>
        <v>0.77777777777777779</v>
      </c>
      <c r="Q103">
        <f>[1]!survey_responses[[#This Row],[So với trước đây, tôi thấy cách tính thuế và các bậc thuế trong phương án mới đơn giản, dễ hiểu và dễ thực hiện hơn. - HUMAN-FAC2]]</f>
        <v>5</v>
      </c>
      <c r="R103">
        <f t="shared" si="36"/>
        <v>0.44444444444444442</v>
      </c>
      <c r="S103" s="32">
        <f t="shared" si="37"/>
        <v>0.83333333333333326</v>
      </c>
      <c r="T103" s="32">
        <f t="shared" si="38"/>
        <v>0.44444444444444442</v>
      </c>
      <c r="U103">
        <f>step3_validation[[#This Row],[AI_TRU1]]</f>
        <v>7</v>
      </c>
      <c r="V103">
        <f t="shared" si="39"/>
        <v>0.66666666666666663</v>
      </c>
      <c r="W103">
        <f>[1]!survey_responses[[#This Row],[Tôi tin rằng Nhà nước, cơ quan thuế sẽ thực thi chính sách mới một cách khách quan, công tâm và đối xử bình đẳng với mọi người nộp thuế.  - HUMAN-TRU1]]</f>
        <v>5</v>
      </c>
      <c r="X103">
        <f t="shared" si="40"/>
        <v>0.44444444444444442</v>
      </c>
      <c r="Y103">
        <f>step3_validation[[#This Row],[AI_TRU2]]</f>
        <v>8</v>
      </c>
      <c r="Z103">
        <f t="shared" si="41"/>
        <v>0.77777777777777779</v>
      </c>
      <c r="AA103">
        <f>[1]!survey_responses[[#This Row],[Tôi thấy mức thuế tôi phải đóng theo phương án mới là công bằng (người thu nhập như tôi đóng mức này là hợp lý). - HUMAN-TRU2]]</f>
        <v>5</v>
      </c>
      <c r="AB103">
        <f t="shared" si="42"/>
        <v>0.44444444444444442</v>
      </c>
      <c r="AC103">
        <f>step3_validation[[#This Row],[AI_TRU3]]</f>
        <v>7</v>
      </c>
      <c r="AD103">
        <f t="shared" si="43"/>
        <v>0.66666666666666663</v>
      </c>
      <c r="AE103">
        <f>[1]!survey_responses[[#This Row],[Tôi tin tưởng số tiền thuế tôi đóng sẽ được Nhà nước sử dụng hiệu quả để cải thiện dịch vụ công (y tế, đường xá...). - HUMAN-TRU3]]</f>
        <v>5</v>
      </c>
      <c r="AF103">
        <f t="shared" si="44"/>
        <v>0.44444444444444442</v>
      </c>
      <c r="AG103">
        <f>step3_validation[[#This Row],[AI_TRU4]]</f>
        <v>6</v>
      </c>
      <c r="AH103">
        <f t="shared" si="45"/>
        <v>0.55555555555555558</v>
      </c>
      <c r="AI103">
        <f>[1]!survey_responses[[#This Row],[Tôi thấy Nhà nước đã giải thích rõ ràng, minh bạch về lý do và mục tiêu của việc sửa đổi thuế lần này. - HUMAN-TRU4]]</f>
        <v>5</v>
      </c>
      <c r="AJ103">
        <f t="shared" si="46"/>
        <v>0.44444444444444442</v>
      </c>
      <c r="AK103" s="32">
        <f t="shared" si="47"/>
        <v>0.66666666666666674</v>
      </c>
      <c r="AL103" s="32">
        <f t="shared" si="48"/>
        <v>0.44444444444444442</v>
      </c>
      <c r="AM103" s="7">
        <f t="shared" si="49"/>
        <v>0.74074074074074081</v>
      </c>
      <c r="AN103" s="7">
        <f t="shared" si="50"/>
        <v>0.44444444444444442</v>
      </c>
      <c r="AO103">
        <f>step3_validation[[#This Row],[AI_OUT1]]</f>
        <v>8</v>
      </c>
      <c r="AP103">
        <f t="shared" si="51"/>
        <v>0.77777777777777779</v>
      </c>
      <c r="AQ103">
        <f>[1]!survey_responses[[#This Row],[Sau khi xem xét các quyền lợi và nghĩa vụ, bạn có ủng hộ và tuân thủ chính sách mới hiện nay? - HUMAN-OUT1]]</f>
        <v>5</v>
      </c>
      <c r="AR103">
        <f t="shared" si="52"/>
        <v>0.44444444444444442</v>
      </c>
      <c r="AS103" s="32">
        <f t="shared" si="53"/>
        <v>3</v>
      </c>
    </row>
    <row r="104" spans="1:45" x14ac:dyDescent="0.45">
      <c r="A104">
        <f>step3_validation[[#This Row],[AI_ENF1]]</f>
        <v>7</v>
      </c>
      <c r="B104">
        <f t="shared" si="27"/>
        <v>0.66666666666666663</v>
      </c>
      <c r="C104">
        <f>[1]!survey_responses[[#This Row],[Tôi tin rằng với các quy định quản lý thuế hiện nay, hành vi gian lận hoặc trốn thuế sẽ dễ dàng bị phát hiện và xử lý nghiêm. - HUMAN-ENF1]]</f>
        <v>8</v>
      </c>
      <c r="D104">
        <f t="shared" si="28"/>
        <v>0.77777777777777779</v>
      </c>
      <c r="E104">
        <f>step3_validation[[#This Row],[AI_ENF2]]</f>
        <v>6</v>
      </c>
      <c r="F104">
        <f t="shared" si="29"/>
        <v>0.55555555555555558</v>
      </c>
      <c r="G104">
        <f>[1]!survey_responses[[#This Row],[Tôi tin rằng Nhà nước, cơ quan thuế có đủ khả năng và công nghệ để phát hiện, xử lý nghiêm các hành vi trốn thuế. - HUMAN-ENF2]]</f>
        <v>8</v>
      </c>
      <c r="H104">
        <f t="shared" si="30"/>
        <v>0.77777777777777779</v>
      </c>
      <c r="I104" s="32">
        <f t="shared" si="31"/>
        <v>0.61111111111111116</v>
      </c>
      <c r="J104" s="32">
        <f t="shared" si="32"/>
        <v>0.77777777777777779</v>
      </c>
      <c r="K104">
        <f>step3_validation[[#This Row],[AI_FAC1]]</f>
        <v>8</v>
      </c>
      <c r="L104">
        <f t="shared" si="33"/>
        <v>0.77777777777777779</v>
      </c>
      <c r="M104">
        <f>[1]!survey_responses[[#This Row],[Các thủ tục khai báo thuế VÀ/HOẶC quy trình làm việc với cơ quan thuế đơn giản, tiện lợi, nhanh chóng hơn so với trước đây. - HUMAN-FAC1]]</f>
        <v>5</v>
      </c>
      <c r="N104">
        <f t="shared" si="34"/>
        <v>0.44444444444444442</v>
      </c>
      <c r="O104">
        <f>step3_validation[[#This Row],[AI_FAC2]]</f>
        <v>7</v>
      </c>
      <c r="P104">
        <f t="shared" si="35"/>
        <v>0.66666666666666663</v>
      </c>
      <c r="Q104">
        <f>[1]!survey_responses[[#This Row],[So với trước đây, tôi thấy cách tính thuế và các bậc thuế trong phương án mới đơn giản, dễ hiểu và dễ thực hiện hơn. - HUMAN-FAC2]]</f>
        <v>8</v>
      </c>
      <c r="R104">
        <f t="shared" si="36"/>
        <v>0.77777777777777779</v>
      </c>
      <c r="S104" s="32">
        <f t="shared" si="37"/>
        <v>0.72222222222222221</v>
      </c>
      <c r="T104" s="32">
        <f t="shared" si="38"/>
        <v>0.61111111111111116</v>
      </c>
      <c r="U104">
        <f>step3_validation[[#This Row],[AI_TRU1]]</f>
        <v>6</v>
      </c>
      <c r="V104">
        <f t="shared" si="39"/>
        <v>0.55555555555555558</v>
      </c>
      <c r="W104">
        <f>[1]!survey_responses[[#This Row],[Tôi tin rằng Nhà nước, cơ quan thuế sẽ thực thi chính sách mới một cách khách quan, công tâm và đối xử bình đẳng với mọi người nộp thuế.  - HUMAN-TRU1]]</f>
        <v>5</v>
      </c>
      <c r="X104">
        <f t="shared" si="40"/>
        <v>0.44444444444444442</v>
      </c>
      <c r="Y104">
        <f>step3_validation[[#This Row],[AI_TRU2]]</f>
        <v>7</v>
      </c>
      <c r="Z104">
        <f t="shared" si="41"/>
        <v>0.66666666666666663</v>
      </c>
      <c r="AA104">
        <f>[1]!survey_responses[[#This Row],[Tôi thấy mức thuế tôi phải đóng theo phương án mới là công bằng (người thu nhập như tôi đóng mức này là hợp lý). - HUMAN-TRU2]]</f>
        <v>5</v>
      </c>
      <c r="AB104">
        <f t="shared" si="42"/>
        <v>0.44444444444444442</v>
      </c>
      <c r="AC104">
        <f>step3_validation[[#This Row],[AI_TRU3]]</f>
        <v>6</v>
      </c>
      <c r="AD104">
        <f t="shared" si="43"/>
        <v>0.55555555555555558</v>
      </c>
      <c r="AE104">
        <f>[1]!survey_responses[[#This Row],[Tôi tin tưởng số tiền thuế tôi đóng sẽ được Nhà nước sử dụng hiệu quả để cải thiện dịch vụ công (y tế, đường xá...). - HUMAN-TRU3]]</f>
        <v>6</v>
      </c>
      <c r="AF104">
        <f t="shared" si="44"/>
        <v>0.55555555555555558</v>
      </c>
      <c r="AG104">
        <f>step3_validation[[#This Row],[AI_TRU4]]</f>
        <v>6</v>
      </c>
      <c r="AH104">
        <f t="shared" si="45"/>
        <v>0.55555555555555558</v>
      </c>
      <c r="AI104">
        <f>[1]!survey_responses[[#This Row],[Tôi thấy Nhà nước đã giải thích rõ ràng, minh bạch về lý do và mục tiêu của việc sửa đổi thuế lần này. - HUMAN-TRU4]]</f>
        <v>6</v>
      </c>
      <c r="AJ104">
        <f t="shared" si="46"/>
        <v>0.55555555555555558</v>
      </c>
      <c r="AK104" s="32">
        <f t="shared" si="47"/>
        <v>0.58333333333333337</v>
      </c>
      <c r="AL104" s="32">
        <f t="shared" si="48"/>
        <v>0.5</v>
      </c>
      <c r="AM104" s="7">
        <f t="shared" si="49"/>
        <v>0.63888888888888895</v>
      </c>
      <c r="AN104" s="7">
        <f t="shared" si="50"/>
        <v>0.62962962962962965</v>
      </c>
      <c r="AO104">
        <f>step3_validation[[#This Row],[AI_OUT1]]</f>
        <v>6</v>
      </c>
      <c r="AP104">
        <f t="shared" si="51"/>
        <v>0.55555555555555558</v>
      </c>
      <c r="AQ104">
        <f>[1]!survey_responses[[#This Row],[Sau khi xem xét các quyền lợi và nghĩa vụ, bạn có ủng hộ và tuân thủ chính sách mới hiện nay? - HUMAN-OUT1]]</f>
        <v>5</v>
      </c>
      <c r="AR104">
        <f t="shared" si="52"/>
        <v>0.44444444444444442</v>
      </c>
      <c r="AS104" s="32">
        <f t="shared" si="53"/>
        <v>1</v>
      </c>
    </row>
    <row r="105" spans="1:45" x14ac:dyDescent="0.45">
      <c r="A105">
        <f>step3_validation[[#This Row],[AI_ENF1]]</f>
        <v>5</v>
      </c>
      <c r="B105">
        <f t="shared" si="27"/>
        <v>0.44444444444444442</v>
      </c>
      <c r="C105">
        <f>[1]!survey_responses[[#This Row],[Tôi tin rằng với các quy định quản lý thuế hiện nay, hành vi gian lận hoặc trốn thuế sẽ dễ dàng bị phát hiện và xử lý nghiêm. - HUMAN-ENF1]]</f>
        <v>6</v>
      </c>
      <c r="D105">
        <f t="shared" si="28"/>
        <v>0.55555555555555558</v>
      </c>
      <c r="E105">
        <f>step3_validation[[#This Row],[AI_ENF2]]</f>
        <v>6</v>
      </c>
      <c r="F105">
        <f t="shared" si="29"/>
        <v>0.55555555555555558</v>
      </c>
      <c r="G105">
        <f>[1]!survey_responses[[#This Row],[Tôi tin rằng Nhà nước, cơ quan thuế có đủ khả năng và công nghệ để phát hiện, xử lý nghiêm các hành vi trốn thuế. - HUMAN-ENF2]]</f>
        <v>7</v>
      </c>
      <c r="H105">
        <f t="shared" si="30"/>
        <v>0.66666666666666663</v>
      </c>
      <c r="I105" s="32">
        <f t="shared" si="31"/>
        <v>0.5</v>
      </c>
      <c r="J105" s="32">
        <f t="shared" si="32"/>
        <v>0.61111111111111116</v>
      </c>
      <c r="K105">
        <f>step3_validation[[#This Row],[AI_FAC1]]</f>
        <v>7</v>
      </c>
      <c r="L105">
        <f t="shared" si="33"/>
        <v>0.66666666666666663</v>
      </c>
      <c r="M105">
        <f>[1]!survey_responses[[#This Row],[Các thủ tục khai báo thuế VÀ/HOẶC quy trình làm việc với cơ quan thuế đơn giản, tiện lợi, nhanh chóng hơn so với trước đây. - HUMAN-FAC1]]</f>
        <v>6</v>
      </c>
      <c r="N105">
        <f t="shared" si="34"/>
        <v>0.55555555555555558</v>
      </c>
      <c r="O105">
        <f>step3_validation[[#This Row],[AI_FAC2]]</f>
        <v>8</v>
      </c>
      <c r="P105">
        <f t="shared" si="35"/>
        <v>0.77777777777777779</v>
      </c>
      <c r="Q105">
        <f>[1]!survey_responses[[#This Row],[So với trước đây, tôi thấy cách tính thuế và các bậc thuế trong phương án mới đơn giản, dễ hiểu và dễ thực hiện hơn. - HUMAN-FAC2]]</f>
        <v>8</v>
      </c>
      <c r="R105">
        <f t="shared" si="36"/>
        <v>0.77777777777777779</v>
      </c>
      <c r="S105" s="32">
        <f t="shared" si="37"/>
        <v>0.72222222222222221</v>
      </c>
      <c r="T105" s="32">
        <f t="shared" si="38"/>
        <v>0.66666666666666674</v>
      </c>
      <c r="U105">
        <f>step3_validation[[#This Row],[AI_TRU1]]</f>
        <v>4</v>
      </c>
      <c r="V105">
        <f t="shared" si="39"/>
        <v>0.33333333333333331</v>
      </c>
      <c r="W105">
        <f>[1]!survey_responses[[#This Row],[Tôi tin rằng Nhà nước, cơ quan thuế sẽ thực thi chính sách mới một cách khách quan, công tâm và đối xử bình đẳng với mọi người nộp thuế.  - HUMAN-TRU1]]</f>
        <v>6</v>
      </c>
      <c r="X105">
        <f t="shared" si="40"/>
        <v>0.55555555555555558</v>
      </c>
      <c r="Y105">
        <f>step3_validation[[#This Row],[AI_TRU2]]</f>
        <v>6</v>
      </c>
      <c r="Z105">
        <f t="shared" si="41"/>
        <v>0.55555555555555558</v>
      </c>
      <c r="AA105">
        <f>[1]!survey_responses[[#This Row],[Tôi thấy mức thuế tôi phải đóng theo phương án mới là công bằng (người thu nhập như tôi đóng mức này là hợp lý). - HUMAN-TRU2]]</f>
        <v>7</v>
      </c>
      <c r="AB105">
        <f t="shared" si="42"/>
        <v>0.66666666666666663</v>
      </c>
      <c r="AC105">
        <f>step3_validation[[#This Row],[AI_TRU3]]</f>
        <v>5</v>
      </c>
      <c r="AD105">
        <f t="shared" si="43"/>
        <v>0.44444444444444442</v>
      </c>
      <c r="AE105">
        <f>[1]!survey_responses[[#This Row],[Tôi tin tưởng số tiền thuế tôi đóng sẽ được Nhà nước sử dụng hiệu quả để cải thiện dịch vụ công (y tế, đường xá...). - HUMAN-TRU3]]</f>
        <v>6</v>
      </c>
      <c r="AF105">
        <f t="shared" si="44"/>
        <v>0.55555555555555558</v>
      </c>
      <c r="AG105">
        <f>step3_validation[[#This Row],[AI_TRU4]]</f>
        <v>5</v>
      </c>
      <c r="AH105">
        <f t="shared" si="45"/>
        <v>0.44444444444444442</v>
      </c>
      <c r="AI105">
        <f>[1]!survey_responses[[#This Row],[Tôi thấy Nhà nước đã giải thích rõ ràng, minh bạch về lý do và mục tiêu của việc sửa đổi thuế lần này. - HUMAN-TRU4]]</f>
        <v>6</v>
      </c>
      <c r="AJ105">
        <f t="shared" si="46"/>
        <v>0.55555555555555558</v>
      </c>
      <c r="AK105" s="32">
        <f t="shared" si="47"/>
        <v>0.44444444444444442</v>
      </c>
      <c r="AL105" s="32">
        <f t="shared" si="48"/>
        <v>0.58333333333333337</v>
      </c>
      <c r="AM105" s="7">
        <f t="shared" si="49"/>
        <v>0.55555555555555558</v>
      </c>
      <c r="AN105" s="7">
        <f t="shared" si="50"/>
        <v>0.62037037037037035</v>
      </c>
      <c r="AO105">
        <f>step3_validation[[#This Row],[AI_OUT1]]</f>
        <v>6</v>
      </c>
      <c r="AP105">
        <f t="shared" si="51"/>
        <v>0.55555555555555558</v>
      </c>
      <c r="AQ105">
        <f>[1]!survey_responses[[#This Row],[Sau khi xem xét các quyền lợi và nghĩa vụ, bạn có ủng hộ và tuân thủ chính sách mới hiện nay? - HUMAN-OUT1]]</f>
        <v>7</v>
      </c>
      <c r="AR105">
        <f t="shared" si="52"/>
        <v>0.66666666666666663</v>
      </c>
      <c r="AS105" s="32">
        <f t="shared" si="53"/>
        <v>1</v>
      </c>
    </row>
    <row r="106" spans="1:45" x14ac:dyDescent="0.45">
      <c r="A106">
        <f>step3_validation[[#This Row],[AI_ENF1]]</f>
        <v>7</v>
      </c>
      <c r="B106">
        <f t="shared" si="27"/>
        <v>0.66666666666666663</v>
      </c>
      <c r="C106">
        <f>[1]!survey_responses[[#This Row],[Tôi tin rằng với các quy định quản lý thuế hiện nay, hành vi gian lận hoặc trốn thuế sẽ dễ dàng bị phát hiện và xử lý nghiêm. - HUMAN-ENF1]]</f>
        <v>9</v>
      </c>
      <c r="D106">
        <f t="shared" si="28"/>
        <v>0.88888888888888884</v>
      </c>
      <c r="E106">
        <f>step3_validation[[#This Row],[AI_ENF2]]</f>
        <v>8</v>
      </c>
      <c r="F106">
        <f t="shared" si="29"/>
        <v>0.77777777777777779</v>
      </c>
      <c r="G106">
        <f>[1]!survey_responses[[#This Row],[Tôi tin rằng Nhà nước, cơ quan thuế có đủ khả năng và công nghệ để phát hiện, xử lý nghiêm các hành vi trốn thuế. - HUMAN-ENF2]]</f>
        <v>10</v>
      </c>
      <c r="H106">
        <f t="shared" si="30"/>
        <v>1</v>
      </c>
      <c r="I106" s="32">
        <f t="shared" si="31"/>
        <v>0.72222222222222221</v>
      </c>
      <c r="J106" s="32">
        <f t="shared" si="32"/>
        <v>0.94444444444444442</v>
      </c>
      <c r="K106">
        <f>step3_validation[[#This Row],[AI_FAC1]]</f>
        <v>9</v>
      </c>
      <c r="L106">
        <f t="shared" si="33"/>
        <v>0.88888888888888884</v>
      </c>
      <c r="M106">
        <f>[1]!survey_responses[[#This Row],[Các thủ tục khai báo thuế VÀ/HOẶC quy trình làm việc với cơ quan thuế đơn giản, tiện lợi, nhanh chóng hơn so với trước đây. - HUMAN-FAC1]]</f>
        <v>8</v>
      </c>
      <c r="N106">
        <f t="shared" si="34"/>
        <v>0.77777777777777779</v>
      </c>
      <c r="O106">
        <f>step3_validation[[#This Row],[AI_FAC2]]</f>
        <v>7</v>
      </c>
      <c r="P106">
        <f t="shared" si="35"/>
        <v>0.66666666666666663</v>
      </c>
      <c r="Q106">
        <f>[1]!survey_responses[[#This Row],[So với trước đây, tôi thấy cách tính thuế và các bậc thuế trong phương án mới đơn giản, dễ hiểu và dễ thực hiện hơn. - HUMAN-FAC2]]</f>
        <v>8</v>
      </c>
      <c r="R106">
        <f t="shared" si="36"/>
        <v>0.77777777777777779</v>
      </c>
      <c r="S106" s="32">
        <f t="shared" si="37"/>
        <v>0.77777777777777768</v>
      </c>
      <c r="T106" s="32">
        <f t="shared" si="38"/>
        <v>0.77777777777777779</v>
      </c>
      <c r="U106">
        <f>step3_validation[[#This Row],[AI_TRU1]]</f>
        <v>6</v>
      </c>
      <c r="V106">
        <f t="shared" si="39"/>
        <v>0.55555555555555558</v>
      </c>
      <c r="W106">
        <f>[1]!survey_responses[[#This Row],[Tôi tin rằng Nhà nước, cơ quan thuế sẽ thực thi chính sách mới một cách khách quan, công tâm và đối xử bình đẳng với mọi người nộp thuế.  - HUMAN-TRU1]]</f>
        <v>9</v>
      </c>
      <c r="X106">
        <f t="shared" si="40"/>
        <v>0.88888888888888884</v>
      </c>
      <c r="Y106">
        <f>step3_validation[[#This Row],[AI_TRU2]]</f>
        <v>6</v>
      </c>
      <c r="Z106">
        <f t="shared" si="41"/>
        <v>0.55555555555555558</v>
      </c>
      <c r="AA106">
        <f>[1]!survey_responses[[#This Row],[Tôi thấy mức thuế tôi phải đóng theo phương án mới là công bằng (người thu nhập như tôi đóng mức này là hợp lý). - HUMAN-TRU2]]</f>
        <v>9</v>
      </c>
      <c r="AB106">
        <f t="shared" si="42"/>
        <v>0.88888888888888884</v>
      </c>
      <c r="AC106">
        <f>step3_validation[[#This Row],[AI_TRU3]]</f>
        <v>6</v>
      </c>
      <c r="AD106">
        <f t="shared" si="43"/>
        <v>0.55555555555555558</v>
      </c>
      <c r="AE106">
        <f>[1]!survey_responses[[#This Row],[Tôi tin tưởng số tiền thuế tôi đóng sẽ được Nhà nước sử dụng hiệu quả để cải thiện dịch vụ công (y tế, đường xá...). - HUMAN-TRU3]]</f>
        <v>8</v>
      </c>
      <c r="AF106">
        <f t="shared" si="44"/>
        <v>0.77777777777777779</v>
      </c>
      <c r="AG106">
        <f>step3_validation[[#This Row],[AI_TRU4]]</f>
        <v>7</v>
      </c>
      <c r="AH106">
        <f t="shared" si="45"/>
        <v>0.66666666666666663</v>
      </c>
      <c r="AI106">
        <f>[1]!survey_responses[[#This Row],[Tôi thấy Nhà nước đã giải thích rõ ràng, minh bạch về lý do và mục tiêu của việc sửa đổi thuế lần này. - HUMAN-TRU4]]</f>
        <v>6</v>
      </c>
      <c r="AJ106">
        <f t="shared" si="46"/>
        <v>0.55555555555555558</v>
      </c>
      <c r="AK106" s="32">
        <f t="shared" si="47"/>
        <v>0.58333333333333337</v>
      </c>
      <c r="AL106" s="32">
        <f t="shared" si="48"/>
        <v>0.77777777777777768</v>
      </c>
      <c r="AM106" s="7">
        <f t="shared" si="49"/>
        <v>0.69444444444444453</v>
      </c>
      <c r="AN106" s="7">
        <f t="shared" si="50"/>
        <v>0.83333333333333337</v>
      </c>
      <c r="AO106">
        <f>step3_validation[[#This Row],[AI_OUT1]]</f>
        <v>8</v>
      </c>
      <c r="AP106">
        <f t="shared" si="51"/>
        <v>0.77777777777777779</v>
      </c>
      <c r="AQ106">
        <f>[1]!survey_responses[[#This Row],[Sau khi xem xét các quyền lợi và nghĩa vụ, bạn có ủng hộ và tuân thủ chính sách mới hiện nay? - HUMAN-OUT1]]</f>
        <v>9</v>
      </c>
      <c r="AR106">
        <f t="shared" si="52"/>
        <v>0.88888888888888884</v>
      </c>
      <c r="AS106" s="32">
        <f t="shared" si="53"/>
        <v>1</v>
      </c>
    </row>
    <row r="107" spans="1:45" x14ac:dyDescent="0.45">
      <c r="A107">
        <f>step3_validation[[#This Row],[AI_ENF1]]</f>
        <v>7</v>
      </c>
      <c r="B107">
        <f t="shared" si="27"/>
        <v>0.66666666666666663</v>
      </c>
      <c r="C107">
        <f>[1]!survey_responses[[#This Row],[Tôi tin rằng với các quy định quản lý thuế hiện nay, hành vi gian lận hoặc trốn thuế sẽ dễ dàng bị phát hiện và xử lý nghiêm. - HUMAN-ENF1]]</f>
        <v>10</v>
      </c>
      <c r="D107">
        <f t="shared" si="28"/>
        <v>1</v>
      </c>
      <c r="E107">
        <f>step3_validation[[#This Row],[AI_ENF2]]</f>
        <v>8</v>
      </c>
      <c r="F107">
        <f t="shared" si="29"/>
        <v>0.77777777777777779</v>
      </c>
      <c r="G107">
        <f>[1]!survey_responses[[#This Row],[Tôi tin rằng Nhà nước, cơ quan thuế có đủ khả năng và công nghệ để phát hiện, xử lý nghiêm các hành vi trốn thuế. - HUMAN-ENF2]]</f>
        <v>5</v>
      </c>
      <c r="H107">
        <f t="shared" si="30"/>
        <v>0.44444444444444442</v>
      </c>
      <c r="I107" s="32">
        <f t="shared" si="31"/>
        <v>0.72222222222222221</v>
      </c>
      <c r="J107" s="32">
        <f t="shared" si="32"/>
        <v>0.72222222222222221</v>
      </c>
      <c r="K107">
        <f>step3_validation[[#This Row],[AI_FAC1]]</f>
        <v>6</v>
      </c>
      <c r="L107">
        <f t="shared" si="33"/>
        <v>0.55555555555555558</v>
      </c>
      <c r="M107">
        <f>[1]!survey_responses[[#This Row],[Các thủ tục khai báo thuế VÀ/HOẶC quy trình làm việc với cơ quan thuế đơn giản, tiện lợi, nhanh chóng hơn so với trước đây. - HUMAN-FAC1]]</f>
        <v>8</v>
      </c>
      <c r="N107">
        <f t="shared" si="34"/>
        <v>0.77777777777777779</v>
      </c>
      <c r="O107">
        <f>step3_validation[[#This Row],[AI_FAC2]]</f>
        <v>7</v>
      </c>
      <c r="P107">
        <f t="shared" si="35"/>
        <v>0.66666666666666663</v>
      </c>
      <c r="Q107">
        <f>[1]!survey_responses[[#This Row],[So với trước đây, tôi thấy cách tính thuế và các bậc thuế trong phương án mới đơn giản, dễ hiểu và dễ thực hiện hơn. - HUMAN-FAC2]]</f>
        <v>8</v>
      </c>
      <c r="R107">
        <f t="shared" si="36"/>
        <v>0.77777777777777779</v>
      </c>
      <c r="S107" s="32">
        <f t="shared" si="37"/>
        <v>0.61111111111111116</v>
      </c>
      <c r="T107" s="32">
        <f t="shared" si="38"/>
        <v>0.77777777777777779</v>
      </c>
      <c r="U107">
        <f>step3_validation[[#This Row],[AI_TRU1]]</f>
        <v>8</v>
      </c>
      <c r="V107">
        <f t="shared" si="39"/>
        <v>0.77777777777777779</v>
      </c>
      <c r="W107">
        <f>[1]!survey_responses[[#This Row],[Tôi tin rằng Nhà nước, cơ quan thuế sẽ thực thi chính sách mới một cách khách quan, công tâm và đối xử bình đẳng với mọi người nộp thuế.  - HUMAN-TRU1]]</f>
        <v>10</v>
      </c>
      <c r="X107">
        <f t="shared" si="40"/>
        <v>1</v>
      </c>
      <c r="Y107">
        <f>step3_validation[[#This Row],[AI_TRU2]]</f>
        <v>9</v>
      </c>
      <c r="Z107">
        <f t="shared" si="41"/>
        <v>0.88888888888888884</v>
      </c>
      <c r="AA107">
        <f>[1]!survey_responses[[#This Row],[Tôi thấy mức thuế tôi phải đóng theo phương án mới là công bằng (người thu nhập như tôi đóng mức này là hợp lý). - HUMAN-TRU2]]</f>
        <v>10</v>
      </c>
      <c r="AB107">
        <f t="shared" si="42"/>
        <v>1</v>
      </c>
      <c r="AC107">
        <f>step3_validation[[#This Row],[AI_TRU3]]</f>
        <v>8</v>
      </c>
      <c r="AD107">
        <f t="shared" si="43"/>
        <v>0.77777777777777779</v>
      </c>
      <c r="AE107">
        <f>[1]!survey_responses[[#This Row],[Tôi tin tưởng số tiền thuế tôi đóng sẽ được Nhà nước sử dụng hiệu quả để cải thiện dịch vụ công (y tế, đường xá...). - HUMAN-TRU3]]</f>
        <v>10</v>
      </c>
      <c r="AF107">
        <f t="shared" si="44"/>
        <v>1</v>
      </c>
      <c r="AG107">
        <f>step3_validation[[#This Row],[AI_TRU4]]</f>
        <v>7</v>
      </c>
      <c r="AH107">
        <f t="shared" si="45"/>
        <v>0.66666666666666663</v>
      </c>
      <c r="AI107">
        <f>[1]!survey_responses[[#This Row],[Tôi thấy Nhà nước đã giải thích rõ ràng, minh bạch về lý do và mục tiêu của việc sửa đổi thuế lần này. - HUMAN-TRU4]]</f>
        <v>10</v>
      </c>
      <c r="AJ107">
        <f t="shared" si="46"/>
        <v>1</v>
      </c>
      <c r="AK107" s="32">
        <f t="shared" si="47"/>
        <v>0.77777777777777768</v>
      </c>
      <c r="AL107" s="32">
        <f t="shared" si="48"/>
        <v>1</v>
      </c>
      <c r="AM107" s="7">
        <f t="shared" si="49"/>
        <v>0.70370370370370372</v>
      </c>
      <c r="AN107" s="7">
        <f t="shared" si="50"/>
        <v>0.83333333333333337</v>
      </c>
      <c r="AO107">
        <f>step3_validation[[#This Row],[AI_OUT1]]</f>
        <v>8</v>
      </c>
      <c r="AP107">
        <f t="shared" si="51"/>
        <v>0.77777777777777779</v>
      </c>
      <c r="AQ107">
        <f>[1]!survey_responses[[#This Row],[Sau khi xem xét các quyền lợi và nghĩa vụ, bạn có ủng hộ và tuân thủ chính sách mới hiện nay? - HUMAN-OUT1]]</f>
        <v>10</v>
      </c>
      <c r="AR107">
        <f t="shared" si="52"/>
        <v>1</v>
      </c>
      <c r="AS107" s="32">
        <f t="shared" si="53"/>
        <v>2</v>
      </c>
    </row>
    <row r="108" spans="1:45" x14ac:dyDescent="0.45">
      <c r="A108">
        <f>step3_validation[[#This Row],[AI_ENF1]]</f>
        <v>7</v>
      </c>
      <c r="B108">
        <f t="shared" si="27"/>
        <v>0.66666666666666663</v>
      </c>
      <c r="C108">
        <f>[1]!survey_responses[[#This Row],[Tôi tin rằng với các quy định quản lý thuế hiện nay, hành vi gian lận hoặc trốn thuế sẽ dễ dàng bị phát hiện và xử lý nghiêm. - HUMAN-ENF1]]</f>
        <v>7</v>
      </c>
      <c r="D108">
        <f t="shared" si="28"/>
        <v>0.66666666666666663</v>
      </c>
      <c r="E108">
        <f>step3_validation[[#This Row],[AI_ENF2]]</f>
        <v>8</v>
      </c>
      <c r="F108">
        <f t="shared" si="29"/>
        <v>0.77777777777777779</v>
      </c>
      <c r="G108">
        <f>[1]!survey_responses[[#This Row],[Tôi tin rằng Nhà nước, cơ quan thuế có đủ khả năng và công nghệ để phát hiện, xử lý nghiêm các hành vi trốn thuế. - HUMAN-ENF2]]</f>
        <v>7</v>
      </c>
      <c r="H108">
        <f t="shared" si="30"/>
        <v>0.66666666666666663</v>
      </c>
      <c r="I108" s="32">
        <f t="shared" si="31"/>
        <v>0.72222222222222221</v>
      </c>
      <c r="J108" s="32">
        <f t="shared" si="32"/>
        <v>0.66666666666666663</v>
      </c>
      <c r="K108">
        <f>step3_validation[[#This Row],[AI_FAC1]]</f>
        <v>8</v>
      </c>
      <c r="L108">
        <f t="shared" si="33"/>
        <v>0.77777777777777779</v>
      </c>
      <c r="M108">
        <f>[1]!survey_responses[[#This Row],[Các thủ tục khai báo thuế VÀ/HOẶC quy trình làm việc với cơ quan thuế đơn giản, tiện lợi, nhanh chóng hơn so với trước đây. - HUMAN-FAC1]]</f>
        <v>7</v>
      </c>
      <c r="N108">
        <f t="shared" si="34"/>
        <v>0.66666666666666663</v>
      </c>
      <c r="O108">
        <f>step3_validation[[#This Row],[AI_FAC2]]</f>
        <v>9</v>
      </c>
      <c r="P108">
        <f t="shared" si="35"/>
        <v>0.88888888888888884</v>
      </c>
      <c r="Q108">
        <f>[1]!survey_responses[[#This Row],[So với trước đây, tôi thấy cách tính thuế và các bậc thuế trong phương án mới đơn giản, dễ hiểu và dễ thực hiện hơn. - HUMAN-FAC2]]</f>
        <v>7</v>
      </c>
      <c r="R108">
        <f t="shared" si="36"/>
        <v>0.66666666666666663</v>
      </c>
      <c r="S108" s="32">
        <f t="shared" si="37"/>
        <v>0.83333333333333326</v>
      </c>
      <c r="T108" s="32">
        <f t="shared" si="38"/>
        <v>0.66666666666666663</v>
      </c>
      <c r="U108">
        <f>step3_validation[[#This Row],[AI_TRU1]]</f>
        <v>7</v>
      </c>
      <c r="V108">
        <f t="shared" si="39"/>
        <v>0.66666666666666663</v>
      </c>
      <c r="W108">
        <f>[1]!survey_responses[[#This Row],[Tôi tin rằng Nhà nước, cơ quan thuế sẽ thực thi chính sách mới một cách khách quan, công tâm và đối xử bình đẳng với mọi người nộp thuế.  - HUMAN-TRU1]]</f>
        <v>7</v>
      </c>
      <c r="X108">
        <f t="shared" si="40"/>
        <v>0.66666666666666663</v>
      </c>
      <c r="Y108">
        <f>step3_validation[[#This Row],[AI_TRU2]]</f>
        <v>6</v>
      </c>
      <c r="Z108">
        <f t="shared" si="41"/>
        <v>0.55555555555555558</v>
      </c>
      <c r="AA108">
        <f>[1]!survey_responses[[#This Row],[Tôi thấy mức thuế tôi phải đóng theo phương án mới là công bằng (người thu nhập như tôi đóng mức này là hợp lý). - HUMAN-TRU2]]</f>
        <v>7</v>
      </c>
      <c r="AB108">
        <f t="shared" si="42"/>
        <v>0.66666666666666663</v>
      </c>
      <c r="AC108">
        <f>step3_validation[[#This Row],[AI_TRU3]]</f>
        <v>7</v>
      </c>
      <c r="AD108">
        <f t="shared" si="43"/>
        <v>0.66666666666666663</v>
      </c>
      <c r="AE108">
        <f>[1]!survey_responses[[#This Row],[Tôi tin tưởng số tiền thuế tôi đóng sẽ được Nhà nước sử dụng hiệu quả để cải thiện dịch vụ công (y tế, đường xá...). - HUMAN-TRU3]]</f>
        <v>7</v>
      </c>
      <c r="AF108">
        <f t="shared" si="44"/>
        <v>0.66666666666666663</v>
      </c>
      <c r="AG108">
        <f>step3_validation[[#This Row],[AI_TRU4]]</f>
        <v>6</v>
      </c>
      <c r="AH108">
        <f t="shared" si="45"/>
        <v>0.55555555555555558</v>
      </c>
      <c r="AI108">
        <f>[1]!survey_responses[[#This Row],[Tôi thấy Nhà nước đã giải thích rõ ràng, minh bạch về lý do và mục tiêu của việc sửa đổi thuế lần này. - HUMAN-TRU4]]</f>
        <v>7</v>
      </c>
      <c r="AJ108">
        <f t="shared" si="46"/>
        <v>0.66666666666666663</v>
      </c>
      <c r="AK108" s="32">
        <f t="shared" si="47"/>
        <v>0.61111111111111116</v>
      </c>
      <c r="AL108" s="32">
        <f t="shared" si="48"/>
        <v>0.66666666666666663</v>
      </c>
      <c r="AM108" s="7">
        <f t="shared" si="49"/>
        <v>0.72222222222222221</v>
      </c>
      <c r="AN108" s="7">
        <f t="shared" si="50"/>
        <v>0.66666666666666663</v>
      </c>
      <c r="AO108">
        <f>step3_validation[[#This Row],[AI_OUT1]]</f>
        <v>7</v>
      </c>
      <c r="AP108">
        <f t="shared" si="51"/>
        <v>0.66666666666666663</v>
      </c>
      <c r="AQ108">
        <f>[1]!survey_responses[[#This Row],[Sau khi xem xét các quyền lợi và nghĩa vụ, bạn có ủng hộ và tuân thủ chính sách mới hiện nay? - HUMAN-OUT1]]</f>
        <v>8</v>
      </c>
      <c r="AR108">
        <f t="shared" si="52"/>
        <v>0.77777777777777779</v>
      </c>
      <c r="AS108" s="32">
        <f t="shared" si="53"/>
        <v>1</v>
      </c>
    </row>
    <row r="109" spans="1:45" x14ac:dyDescent="0.45">
      <c r="A109">
        <f>step3_validation[[#This Row],[AI_ENF1]]</f>
        <v>8</v>
      </c>
      <c r="B109">
        <f t="shared" si="27"/>
        <v>0.77777777777777779</v>
      </c>
      <c r="C109">
        <f>[1]!survey_responses[[#This Row],[Tôi tin rằng với các quy định quản lý thuế hiện nay, hành vi gian lận hoặc trốn thuế sẽ dễ dàng bị phát hiện và xử lý nghiêm. - HUMAN-ENF1]]</f>
        <v>5</v>
      </c>
      <c r="D109">
        <f t="shared" si="28"/>
        <v>0.44444444444444442</v>
      </c>
      <c r="E109">
        <f>step3_validation[[#This Row],[AI_ENF2]]</f>
        <v>7</v>
      </c>
      <c r="F109">
        <f t="shared" si="29"/>
        <v>0.66666666666666663</v>
      </c>
      <c r="G109">
        <f>[1]!survey_responses[[#This Row],[Tôi tin rằng Nhà nước, cơ quan thuế có đủ khả năng và công nghệ để phát hiện, xử lý nghiêm các hành vi trốn thuế. - HUMAN-ENF2]]</f>
        <v>10</v>
      </c>
      <c r="H109">
        <f t="shared" si="30"/>
        <v>1</v>
      </c>
      <c r="I109" s="32">
        <f t="shared" si="31"/>
        <v>0.72222222222222221</v>
      </c>
      <c r="J109" s="32">
        <f t="shared" si="32"/>
        <v>0.72222222222222221</v>
      </c>
      <c r="K109">
        <f>step3_validation[[#This Row],[AI_FAC1]]</f>
        <v>9</v>
      </c>
      <c r="L109">
        <f t="shared" si="33"/>
        <v>0.88888888888888884</v>
      </c>
      <c r="M109">
        <f>[1]!survey_responses[[#This Row],[Các thủ tục khai báo thuế VÀ/HOẶC quy trình làm việc với cơ quan thuế đơn giản, tiện lợi, nhanh chóng hơn so với trước đây. - HUMAN-FAC1]]</f>
        <v>5</v>
      </c>
      <c r="N109">
        <f t="shared" si="34"/>
        <v>0.44444444444444442</v>
      </c>
      <c r="O109">
        <f>step3_validation[[#This Row],[AI_FAC2]]</f>
        <v>8</v>
      </c>
      <c r="P109">
        <f t="shared" si="35"/>
        <v>0.77777777777777779</v>
      </c>
      <c r="Q109">
        <f>[1]!survey_responses[[#This Row],[So với trước đây, tôi thấy cách tính thuế và các bậc thuế trong phương án mới đơn giản, dễ hiểu và dễ thực hiện hơn. - HUMAN-FAC2]]</f>
        <v>5</v>
      </c>
      <c r="R109">
        <f t="shared" si="36"/>
        <v>0.44444444444444442</v>
      </c>
      <c r="S109" s="32">
        <f t="shared" si="37"/>
        <v>0.83333333333333326</v>
      </c>
      <c r="T109" s="32">
        <f t="shared" si="38"/>
        <v>0.44444444444444442</v>
      </c>
      <c r="U109">
        <f>step3_validation[[#This Row],[AI_TRU1]]</f>
        <v>9</v>
      </c>
      <c r="V109">
        <f t="shared" si="39"/>
        <v>0.88888888888888884</v>
      </c>
      <c r="W109">
        <f>[1]!survey_responses[[#This Row],[Tôi tin rằng Nhà nước, cơ quan thuế sẽ thực thi chính sách mới một cách khách quan, công tâm và đối xử bình đẳng với mọi người nộp thuế.  - HUMAN-TRU1]]</f>
        <v>5</v>
      </c>
      <c r="X109">
        <f t="shared" si="40"/>
        <v>0.44444444444444442</v>
      </c>
      <c r="Y109">
        <f>step3_validation[[#This Row],[AI_TRU2]]</f>
        <v>8</v>
      </c>
      <c r="Z109">
        <f t="shared" si="41"/>
        <v>0.77777777777777779</v>
      </c>
      <c r="AA109">
        <f>[1]!survey_responses[[#This Row],[Tôi thấy mức thuế tôi phải đóng theo phương án mới là công bằng (người thu nhập như tôi đóng mức này là hợp lý). - HUMAN-TRU2]]</f>
        <v>5</v>
      </c>
      <c r="AB109">
        <f t="shared" si="42"/>
        <v>0.44444444444444442</v>
      </c>
      <c r="AC109">
        <f>step3_validation[[#This Row],[AI_TRU3]]</f>
        <v>9</v>
      </c>
      <c r="AD109">
        <f t="shared" si="43"/>
        <v>0.88888888888888884</v>
      </c>
      <c r="AE109">
        <f>[1]!survey_responses[[#This Row],[Tôi tin tưởng số tiền thuế tôi đóng sẽ được Nhà nước sử dụng hiệu quả để cải thiện dịch vụ công (y tế, đường xá...). - HUMAN-TRU3]]</f>
        <v>8</v>
      </c>
      <c r="AF109">
        <f t="shared" si="44"/>
        <v>0.77777777777777779</v>
      </c>
      <c r="AG109">
        <f>step3_validation[[#This Row],[AI_TRU4]]</f>
        <v>7</v>
      </c>
      <c r="AH109">
        <f t="shared" si="45"/>
        <v>0.66666666666666663</v>
      </c>
      <c r="AI109">
        <f>[1]!survey_responses[[#This Row],[Tôi thấy Nhà nước đã giải thích rõ ràng, minh bạch về lý do và mục tiêu của việc sửa đổi thuế lần này. - HUMAN-TRU4]]</f>
        <v>5</v>
      </c>
      <c r="AJ109">
        <f t="shared" si="46"/>
        <v>0.44444444444444442</v>
      </c>
      <c r="AK109" s="32">
        <f t="shared" si="47"/>
        <v>0.80555555555555547</v>
      </c>
      <c r="AL109" s="32">
        <f t="shared" si="48"/>
        <v>0.52777777777777768</v>
      </c>
      <c r="AM109" s="7">
        <f t="shared" si="49"/>
        <v>0.78703703703703687</v>
      </c>
      <c r="AN109" s="7">
        <f t="shared" si="50"/>
        <v>0.56481481481481477</v>
      </c>
      <c r="AO109">
        <f>step3_validation[[#This Row],[AI_OUT1]]</f>
        <v>6</v>
      </c>
      <c r="AP109">
        <f t="shared" si="51"/>
        <v>0.55555555555555558</v>
      </c>
      <c r="AQ109">
        <f>[1]!survey_responses[[#This Row],[Sau khi xem xét các quyền lợi và nghĩa vụ, bạn có ủng hộ và tuân thủ chính sách mới hiện nay? - HUMAN-OUT1]]</f>
        <v>6</v>
      </c>
      <c r="AR109">
        <f t="shared" si="52"/>
        <v>0.55555555555555558</v>
      </c>
      <c r="AS109" s="32">
        <f t="shared" si="53"/>
        <v>0</v>
      </c>
    </row>
    <row r="110" spans="1:45" x14ac:dyDescent="0.45">
      <c r="A110">
        <f>step3_validation[[#This Row],[AI_ENF1]]</f>
        <v>6</v>
      </c>
      <c r="B110">
        <f t="shared" si="27"/>
        <v>0.55555555555555558</v>
      </c>
      <c r="C110">
        <f>[1]!survey_responses[[#This Row],[Tôi tin rằng với các quy định quản lý thuế hiện nay, hành vi gian lận hoặc trốn thuế sẽ dễ dàng bị phát hiện và xử lý nghiêm. - HUMAN-ENF1]]</f>
        <v>10</v>
      </c>
      <c r="D110">
        <f t="shared" si="28"/>
        <v>1</v>
      </c>
      <c r="E110">
        <f>step3_validation[[#This Row],[AI_ENF2]]</f>
        <v>7</v>
      </c>
      <c r="F110">
        <f t="shared" si="29"/>
        <v>0.66666666666666663</v>
      </c>
      <c r="G110">
        <f>[1]!survey_responses[[#This Row],[Tôi tin rằng Nhà nước, cơ quan thuế có đủ khả năng và công nghệ để phát hiện, xử lý nghiêm các hành vi trốn thuế. - HUMAN-ENF2]]</f>
        <v>10</v>
      </c>
      <c r="H110">
        <f t="shared" si="30"/>
        <v>1</v>
      </c>
      <c r="I110" s="32">
        <f t="shared" si="31"/>
        <v>0.61111111111111116</v>
      </c>
      <c r="J110" s="32">
        <f t="shared" si="32"/>
        <v>1</v>
      </c>
      <c r="K110">
        <f>step3_validation[[#This Row],[AI_FAC1]]</f>
        <v>5</v>
      </c>
      <c r="L110">
        <f t="shared" si="33"/>
        <v>0.44444444444444442</v>
      </c>
      <c r="M110">
        <f>[1]!survey_responses[[#This Row],[Các thủ tục khai báo thuế VÀ/HOẶC quy trình làm việc với cơ quan thuế đơn giản, tiện lợi, nhanh chóng hơn so với trước đây. - HUMAN-FAC1]]</f>
        <v>10</v>
      </c>
      <c r="N110">
        <f t="shared" si="34"/>
        <v>1</v>
      </c>
      <c r="O110">
        <f>step3_validation[[#This Row],[AI_FAC2]]</f>
        <v>7</v>
      </c>
      <c r="P110">
        <f t="shared" si="35"/>
        <v>0.66666666666666663</v>
      </c>
      <c r="Q110">
        <f>[1]!survey_responses[[#This Row],[So với trước đây, tôi thấy cách tính thuế và các bậc thuế trong phương án mới đơn giản, dễ hiểu và dễ thực hiện hơn. - HUMAN-FAC2]]</f>
        <v>10</v>
      </c>
      <c r="R110">
        <f t="shared" si="36"/>
        <v>1</v>
      </c>
      <c r="S110" s="32">
        <f t="shared" si="37"/>
        <v>0.55555555555555558</v>
      </c>
      <c r="T110" s="32">
        <f t="shared" si="38"/>
        <v>1</v>
      </c>
      <c r="U110">
        <f>step3_validation[[#This Row],[AI_TRU1]]</f>
        <v>5</v>
      </c>
      <c r="V110">
        <f t="shared" si="39"/>
        <v>0.44444444444444442</v>
      </c>
      <c r="W110">
        <f>[1]!survey_responses[[#This Row],[Tôi tin rằng Nhà nước, cơ quan thuế sẽ thực thi chính sách mới một cách khách quan, công tâm và đối xử bình đẳng với mọi người nộp thuế.  - HUMAN-TRU1]]</f>
        <v>10</v>
      </c>
      <c r="X110">
        <f t="shared" si="40"/>
        <v>1</v>
      </c>
      <c r="Y110">
        <f>step3_validation[[#This Row],[AI_TRU2]]</f>
        <v>6</v>
      </c>
      <c r="Z110">
        <f t="shared" si="41"/>
        <v>0.55555555555555558</v>
      </c>
      <c r="AA110">
        <f>[1]!survey_responses[[#This Row],[Tôi thấy mức thuế tôi phải đóng theo phương án mới là công bằng (người thu nhập như tôi đóng mức này là hợp lý). - HUMAN-TRU2]]</f>
        <v>10</v>
      </c>
      <c r="AB110">
        <f t="shared" si="42"/>
        <v>1</v>
      </c>
      <c r="AC110">
        <f>step3_validation[[#This Row],[AI_TRU3]]</f>
        <v>5</v>
      </c>
      <c r="AD110">
        <f t="shared" si="43"/>
        <v>0.44444444444444442</v>
      </c>
      <c r="AE110">
        <f>[1]!survey_responses[[#This Row],[Tôi tin tưởng số tiền thuế tôi đóng sẽ được Nhà nước sử dụng hiệu quả để cải thiện dịch vụ công (y tế, đường xá...). - HUMAN-TRU3]]</f>
        <v>10</v>
      </c>
      <c r="AF110">
        <f t="shared" si="44"/>
        <v>1</v>
      </c>
      <c r="AG110">
        <f>step3_validation[[#This Row],[AI_TRU4]]</f>
        <v>6</v>
      </c>
      <c r="AH110">
        <f t="shared" si="45"/>
        <v>0.55555555555555558</v>
      </c>
      <c r="AI110">
        <f>[1]!survey_responses[[#This Row],[Tôi thấy Nhà nước đã giải thích rõ ràng, minh bạch về lý do và mục tiêu của việc sửa đổi thuế lần này. - HUMAN-TRU4]]</f>
        <v>10</v>
      </c>
      <c r="AJ110">
        <f t="shared" si="46"/>
        <v>1</v>
      </c>
      <c r="AK110" s="32">
        <f t="shared" si="47"/>
        <v>0.5</v>
      </c>
      <c r="AL110" s="32">
        <f t="shared" si="48"/>
        <v>1</v>
      </c>
      <c r="AM110" s="7">
        <f t="shared" si="49"/>
        <v>0.55555555555555558</v>
      </c>
      <c r="AN110" s="7">
        <f t="shared" si="50"/>
        <v>1</v>
      </c>
      <c r="AO110">
        <f>step3_validation[[#This Row],[AI_OUT1]]</f>
        <v>5</v>
      </c>
      <c r="AP110">
        <f t="shared" si="51"/>
        <v>0.44444444444444442</v>
      </c>
      <c r="AQ110">
        <f>[1]!survey_responses[[#This Row],[Sau khi xem xét các quyền lợi và nghĩa vụ, bạn có ủng hộ và tuân thủ chính sách mới hiện nay? - HUMAN-OUT1]]</f>
        <v>10</v>
      </c>
      <c r="AR110">
        <f t="shared" si="52"/>
        <v>1</v>
      </c>
      <c r="AS110" s="32">
        <f t="shared" si="53"/>
        <v>5</v>
      </c>
    </row>
    <row r="111" spans="1:45" x14ac:dyDescent="0.45">
      <c r="A111">
        <f>step3_validation[[#This Row],[AI_ENF1]]</f>
        <v>7</v>
      </c>
      <c r="B111">
        <f t="shared" si="27"/>
        <v>0.66666666666666663</v>
      </c>
      <c r="C111">
        <f>[1]!survey_responses[[#This Row],[Tôi tin rằng với các quy định quản lý thuế hiện nay, hành vi gian lận hoặc trốn thuế sẽ dễ dàng bị phát hiện và xử lý nghiêm. - HUMAN-ENF1]]</f>
        <v>7</v>
      </c>
      <c r="D111">
        <f t="shared" si="28"/>
        <v>0.66666666666666663</v>
      </c>
      <c r="E111">
        <f>step3_validation[[#This Row],[AI_ENF2]]</f>
        <v>6</v>
      </c>
      <c r="F111">
        <f t="shared" si="29"/>
        <v>0.55555555555555558</v>
      </c>
      <c r="G111">
        <f>[1]!survey_responses[[#This Row],[Tôi tin rằng Nhà nước, cơ quan thuế có đủ khả năng và công nghệ để phát hiện, xử lý nghiêm các hành vi trốn thuế. - HUMAN-ENF2]]</f>
        <v>6</v>
      </c>
      <c r="H111">
        <f t="shared" si="30"/>
        <v>0.55555555555555558</v>
      </c>
      <c r="I111" s="32">
        <f t="shared" si="31"/>
        <v>0.61111111111111116</v>
      </c>
      <c r="J111" s="32">
        <f t="shared" si="32"/>
        <v>0.61111111111111116</v>
      </c>
      <c r="K111">
        <f>step3_validation[[#This Row],[AI_FAC1]]</f>
        <v>8</v>
      </c>
      <c r="L111">
        <f t="shared" si="33"/>
        <v>0.77777777777777779</v>
      </c>
      <c r="M111">
        <f>[1]!survey_responses[[#This Row],[Các thủ tục khai báo thuế VÀ/HOẶC quy trình làm việc với cơ quan thuế đơn giản, tiện lợi, nhanh chóng hơn so với trước đây. - HUMAN-FAC1]]</f>
        <v>8</v>
      </c>
      <c r="N111">
        <f t="shared" si="34"/>
        <v>0.77777777777777779</v>
      </c>
      <c r="O111">
        <f>step3_validation[[#This Row],[AI_FAC2]]</f>
        <v>9</v>
      </c>
      <c r="P111">
        <f t="shared" si="35"/>
        <v>0.88888888888888884</v>
      </c>
      <c r="Q111">
        <f>[1]!survey_responses[[#This Row],[So với trước đây, tôi thấy cách tính thuế và các bậc thuế trong phương án mới đơn giản, dễ hiểu và dễ thực hiện hơn. - HUMAN-FAC2]]</f>
        <v>8</v>
      </c>
      <c r="R111">
        <f t="shared" si="36"/>
        <v>0.77777777777777779</v>
      </c>
      <c r="S111" s="32">
        <f t="shared" si="37"/>
        <v>0.83333333333333326</v>
      </c>
      <c r="T111" s="32">
        <f t="shared" si="38"/>
        <v>0.77777777777777779</v>
      </c>
      <c r="U111">
        <f>step3_validation[[#This Row],[AI_TRU1]]</f>
        <v>7</v>
      </c>
      <c r="V111">
        <f t="shared" si="39"/>
        <v>0.66666666666666663</v>
      </c>
      <c r="W111">
        <f>[1]!survey_responses[[#This Row],[Tôi tin rằng Nhà nước, cơ quan thuế sẽ thực thi chính sách mới một cách khách quan, công tâm và đối xử bình đẳng với mọi người nộp thuế.  - HUMAN-TRU1]]</f>
        <v>7</v>
      </c>
      <c r="X111">
        <f t="shared" si="40"/>
        <v>0.66666666666666663</v>
      </c>
      <c r="Y111">
        <f>step3_validation[[#This Row],[AI_TRU2]]</f>
        <v>8</v>
      </c>
      <c r="Z111">
        <f t="shared" si="41"/>
        <v>0.77777777777777779</v>
      </c>
      <c r="AA111">
        <f>[1]!survey_responses[[#This Row],[Tôi thấy mức thuế tôi phải đóng theo phương án mới là công bằng (người thu nhập như tôi đóng mức này là hợp lý). - HUMAN-TRU2]]</f>
        <v>6</v>
      </c>
      <c r="AB111">
        <f t="shared" si="42"/>
        <v>0.55555555555555558</v>
      </c>
      <c r="AC111">
        <f>step3_validation[[#This Row],[AI_TRU3]]</f>
        <v>6</v>
      </c>
      <c r="AD111">
        <f t="shared" si="43"/>
        <v>0.55555555555555558</v>
      </c>
      <c r="AE111">
        <f>[1]!survey_responses[[#This Row],[Tôi tin tưởng số tiền thuế tôi đóng sẽ được Nhà nước sử dụng hiệu quả để cải thiện dịch vụ công (y tế, đường xá...). - HUMAN-TRU3]]</f>
        <v>5</v>
      </c>
      <c r="AF111">
        <f t="shared" si="44"/>
        <v>0.44444444444444442</v>
      </c>
      <c r="AG111">
        <f>step3_validation[[#This Row],[AI_TRU4]]</f>
        <v>5</v>
      </c>
      <c r="AH111">
        <f t="shared" si="45"/>
        <v>0.44444444444444442</v>
      </c>
      <c r="AI111">
        <f>[1]!survey_responses[[#This Row],[Tôi thấy Nhà nước đã giải thích rõ ràng, minh bạch về lý do và mục tiêu của việc sửa đổi thuế lần này. - HUMAN-TRU4]]</f>
        <v>5</v>
      </c>
      <c r="AJ111">
        <f t="shared" si="46"/>
        <v>0.44444444444444442</v>
      </c>
      <c r="AK111" s="32">
        <f t="shared" si="47"/>
        <v>0.61111111111111116</v>
      </c>
      <c r="AL111" s="32">
        <f t="shared" si="48"/>
        <v>0.52777777777777779</v>
      </c>
      <c r="AM111" s="7">
        <f t="shared" si="49"/>
        <v>0.68518518518518512</v>
      </c>
      <c r="AN111" s="7">
        <f t="shared" si="50"/>
        <v>0.63888888888888884</v>
      </c>
      <c r="AO111">
        <f>step3_validation[[#This Row],[AI_OUT1]]</f>
        <v>7</v>
      </c>
      <c r="AP111">
        <f t="shared" si="51"/>
        <v>0.66666666666666663</v>
      </c>
      <c r="AQ111">
        <f>[1]!survey_responses[[#This Row],[Sau khi xem xét các quyền lợi và nghĩa vụ, bạn có ủng hộ và tuân thủ chính sách mới hiện nay? - HUMAN-OUT1]]</f>
        <v>8</v>
      </c>
      <c r="AR111">
        <f t="shared" si="52"/>
        <v>0.77777777777777779</v>
      </c>
      <c r="AS111" s="32">
        <f t="shared" si="53"/>
        <v>1</v>
      </c>
    </row>
    <row r="112" spans="1:45" x14ac:dyDescent="0.45">
      <c r="A112">
        <f>step3_validation[[#This Row],[AI_ENF1]]</f>
        <v>7</v>
      </c>
      <c r="B112">
        <f t="shared" si="27"/>
        <v>0.66666666666666663</v>
      </c>
      <c r="C112">
        <f>[1]!survey_responses[[#This Row],[Tôi tin rằng với các quy định quản lý thuế hiện nay, hành vi gian lận hoặc trốn thuế sẽ dễ dàng bị phát hiện và xử lý nghiêm. - HUMAN-ENF1]]</f>
        <v>8</v>
      </c>
      <c r="D112">
        <f t="shared" si="28"/>
        <v>0.77777777777777779</v>
      </c>
      <c r="E112">
        <f>step3_validation[[#This Row],[AI_ENF2]]</f>
        <v>6</v>
      </c>
      <c r="F112">
        <f t="shared" si="29"/>
        <v>0.55555555555555558</v>
      </c>
      <c r="G112">
        <f>[1]!survey_responses[[#This Row],[Tôi tin rằng Nhà nước, cơ quan thuế có đủ khả năng và công nghệ để phát hiện, xử lý nghiêm các hành vi trốn thuế. - HUMAN-ENF2]]</f>
        <v>8</v>
      </c>
      <c r="H112">
        <f t="shared" si="30"/>
        <v>0.77777777777777779</v>
      </c>
      <c r="I112" s="32">
        <f t="shared" si="31"/>
        <v>0.61111111111111116</v>
      </c>
      <c r="J112" s="32">
        <f t="shared" si="32"/>
        <v>0.77777777777777779</v>
      </c>
      <c r="K112">
        <f>step3_validation[[#This Row],[AI_FAC1]]</f>
        <v>8</v>
      </c>
      <c r="L112">
        <f t="shared" si="33"/>
        <v>0.77777777777777779</v>
      </c>
      <c r="M112">
        <f>[1]!survey_responses[[#This Row],[Các thủ tục khai báo thuế VÀ/HOẶC quy trình làm việc với cơ quan thuế đơn giản, tiện lợi, nhanh chóng hơn so với trước đây. - HUMAN-FAC1]]</f>
        <v>6</v>
      </c>
      <c r="N112">
        <f t="shared" si="34"/>
        <v>0.55555555555555558</v>
      </c>
      <c r="O112">
        <f>step3_validation[[#This Row],[AI_FAC2]]</f>
        <v>9</v>
      </c>
      <c r="P112">
        <f t="shared" si="35"/>
        <v>0.88888888888888884</v>
      </c>
      <c r="Q112">
        <f>[1]!survey_responses[[#This Row],[So với trước đây, tôi thấy cách tính thuế và các bậc thuế trong phương án mới đơn giản, dễ hiểu và dễ thực hiện hơn. - HUMAN-FAC2]]</f>
        <v>7</v>
      </c>
      <c r="R112">
        <f t="shared" si="36"/>
        <v>0.66666666666666663</v>
      </c>
      <c r="S112" s="32">
        <f t="shared" si="37"/>
        <v>0.83333333333333326</v>
      </c>
      <c r="T112" s="32">
        <f t="shared" si="38"/>
        <v>0.61111111111111116</v>
      </c>
      <c r="U112">
        <f>step3_validation[[#This Row],[AI_TRU1]]</f>
        <v>7</v>
      </c>
      <c r="V112">
        <f t="shared" si="39"/>
        <v>0.66666666666666663</v>
      </c>
      <c r="W112">
        <f>[1]!survey_responses[[#This Row],[Tôi tin rằng Nhà nước, cơ quan thuế sẽ thực thi chính sách mới một cách khách quan, công tâm và đối xử bình đẳng với mọi người nộp thuế.  - HUMAN-TRU1]]</f>
        <v>6</v>
      </c>
      <c r="X112">
        <f t="shared" si="40"/>
        <v>0.55555555555555558</v>
      </c>
      <c r="Y112">
        <f>step3_validation[[#This Row],[AI_TRU2]]</f>
        <v>8</v>
      </c>
      <c r="Z112">
        <f t="shared" si="41"/>
        <v>0.77777777777777779</v>
      </c>
      <c r="AA112">
        <f>[1]!survey_responses[[#This Row],[Tôi thấy mức thuế tôi phải đóng theo phương án mới là công bằng (người thu nhập như tôi đóng mức này là hợp lý). - HUMAN-TRU2]]</f>
        <v>7</v>
      </c>
      <c r="AB112">
        <f t="shared" si="42"/>
        <v>0.66666666666666663</v>
      </c>
      <c r="AC112">
        <f>step3_validation[[#This Row],[AI_TRU3]]</f>
        <v>6</v>
      </c>
      <c r="AD112">
        <f t="shared" si="43"/>
        <v>0.55555555555555558</v>
      </c>
      <c r="AE112">
        <f>[1]!survey_responses[[#This Row],[Tôi tin tưởng số tiền thuế tôi đóng sẽ được Nhà nước sử dụng hiệu quả để cải thiện dịch vụ công (y tế, đường xá...). - HUMAN-TRU3]]</f>
        <v>5</v>
      </c>
      <c r="AF112">
        <f t="shared" si="44"/>
        <v>0.44444444444444442</v>
      </c>
      <c r="AG112">
        <f>step3_validation[[#This Row],[AI_TRU4]]</f>
        <v>7</v>
      </c>
      <c r="AH112">
        <f t="shared" si="45"/>
        <v>0.66666666666666663</v>
      </c>
      <c r="AI112">
        <f>[1]!survey_responses[[#This Row],[Tôi thấy Nhà nước đã giải thích rõ ràng, minh bạch về lý do và mục tiêu của việc sửa đổi thuế lần này. - HUMAN-TRU4]]</f>
        <v>5</v>
      </c>
      <c r="AJ112">
        <f t="shared" si="46"/>
        <v>0.44444444444444442</v>
      </c>
      <c r="AK112" s="32">
        <f t="shared" si="47"/>
        <v>0.66666666666666663</v>
      </c>
      <c r="AL112" s="32">
        <f t="shared" si="48"/>
        <v>0.52777777777777779</v>
      </c>
      <c r="AM112" s="7">
        <f t="shared" si="49"/>
        <v>0.70370370370370372</v>
      </c>
      <c r="AN112" s="7">
        <f t="shared" si="50"/>
        <v>0.63888888888888884</v>
      </c>
      <c r="AO112">
        <f>step3_validation[[#This Row],[AI_OUT1]]</f>
        <v>8</v>
      </c>
      <c r="AP112">
        <f t="shared" si="51"/>
        <v>0.77777777777777779</v>
      </c>
      <c r="AQ112">
        <f>[1]!survey_responses[[#This Row],[Sau khi xem xét các quyền lợi và nghĩa vụ, bạn có ủng hộ và tuân thủ chính sách mới hiện nay? - HUMAN-OUT1]]</f>
        <v>5</v>
      </c>
      <c r="AR112">
        <f t="shared" si="52"/>
        <v>0.44444444444444442</v>
      </c>
      <c r="AS112" s="32">
        <f t="shared" si="53"/>
        <v>3</v>
      </c>
    </row>
    <row r="113" spans="1:45" x14ac:dyDescent="0.45">
      <c r="A113">
        <f>step3_validation[[#This Row],[AI_ENF1]]</f>
        <v>8</v>
      </c>
      <c r="B113">
        <f t="shared" si="27"/>
        <v>0.77777777777777779</v>
      </c>
      <c r="C113">
        <f>[1]!survey_responses[[#This Row],[Tôi tin rằng với các quy định quản lý thuế hiện nay, hành vi gian lận hoặc trốn thuế sẽ dễ dàng bị phát hiện và xử lý nghiêm. - HUMAN-ENF1]]</f>
        <v>7</v>
      </c>
      <c r="D113">
        <f t="shared" si="28"/>
        <v>0.66666666666666663</v>
      </c>
      <c r="E113">
        <f>step3_validation[[#This Row],[AI_ENF2]]</f>
        <v>7</v>
      </c>
      <c r="F113">
        <f t="shared" si="29"/>
        <v>0.66666666666666663</v>
      </c>
      <c r="G113">
        <f>[1]!survey_responses[[#This Row],[Tôi tin rằng Nhà nước, cơ quan thuế có đủ khả năng và công nghệ để phát hiện, xử lý nghiêm các hành vi trốn thuế. - HUMAN-ENF2]]</f>
        <v>8</v>
      </c>
      <c r="H113">
        <f t="shared" si="30"/>
        <v>0.77777777777777779</v>
      </c>
      <c r="I113" s="32">
        <f t="shared" si="31"/>
        <v>0.72222222222222221</v>
      </c>
      <c r="J113" s="32">
        <f t="shared" si="32"/>
        <v>0.72222222222222221</v>
      </c>
      <c r="K113">
        <f>step3_validation[[#This Row],[AI_FAC1]]</f>
        <v>9</v>
      </c>
      <c r="L113">
        <f t="shared" si="33"/>
        <v>0.88888888888888884</v>
      </c>
      <c r="M113">
        <f>[1]!survey_responses[[#This Row],[Các thủ tục khai báo thuế VÀ/HOẶC quy trình làm việc với cơ quan thuế đơn giản, tiện lợi, nhanh chóng hơn so với trước đây. - HUMAN-FAC1]]</f>
        <v>8</v>
      </c>
      <c r="N113">
        <f t="shared" si="34"/>
        <v>0.77777777777777779</v>
      </c>
      <c r="O113">
        <f>step3_validation[[#This Row],[AI_FAC2]]</f>
        <v>8</v>
      </c>
      <c r="P113">
        <f t="shared" si="35"/>
        <v>0.77777777777777779</v>
      </c>
      <c r="Q113">
        <f>[1]!survey_responses[[#This Row],[So với trước đây, tôi thấy cách tính thuế và các bậc thuế trong phương án mới đơn giản, dễ hiểu và dễ thực hiện hơn. - HUMAN-FAC2]]</f>
        <v>8</v>
      </c>
      <c r="R113">
        <f t="shared" si="36"/>
        <v>0.77777777777777779</v>
      </c>
      <c r="S113" s="32">
        <f t="shared" si="37"/>
        <v>0.83333333333333326</v>
      </c>
      <c r="T113" s="32">
        <f t="shared" si="38"/>
        <v>0.77777777777777779</v>
      </c>
      <c r="U113">
        <f>step3_validation[[#This Row],[AI_TRU1]]</f>
        <v>7</v>
      </c>
      <c r="V113">
        <f t="shared" si="39"/>
        <v>0.66666666666666663</v>
      </c>
      <c r="W113">
        <f>[1]!survey_responses[[#This Row],[Tôi tin rằng Nhà nước, cơ quan thuế sẽ thực thi chính sách mới một cách khách quan, công tâm và đối xử bình đẳng với mọi người nộp thuế.  - HUMAN-TRU1]]</f>
        <v>8</v>
      </c>
      <c r="X113">
        <f t="shared" si="40"/>
        <v>0.77777777777777779</v>
      </c>
      <c r="Y113">
        <f>step3_validation[[#This Row],[AI_TRU2]]</f>
        <v>6</v>
      </c>
      <c r="Z113">
        <f t="shared" si="41"/>
        <v>0.55555555555555558</v>
      </c>
      <c r="AA113">
        <f>[1]!survey_responses[[#This Row],[Tôi thấy mức thuế tôi phải đóng theo phương án mới là công bằng (người thu nhập như tôi đóng mức này là hợp lý). - HUMAN-TRU2]]</f>
        <v>8</v>
      </c>
      <c r="AB113">
        <f t="shared" si="42"/>
        <v>0.77777777777777779</v>
      </c>
      <c r="AC113">
        <f>step3_validation[[#This Row],[AI_TRU3]]</f>
        <v>7</v>
      </c>
      <c r="AD113">
        <f t="shared" si="43"/>
        <v>0.66666666666666663</v>
      </c>
      <c r="AE113">
        <f>[1]!survey_responses[[#This Row],[Tôi tin tưởng số tiền thuế tôi đóng sẽ được Nhà nước sử dụng hiệu quả để cải thiện dịch vụ công (y tế, đường xá...). - HUMAN-TRU3]]</f>
        <v>8</v>
      </c>
      <c r="AF113">
        <f t="shared" si="44"/>
        <v>0.77777777777777779</v>
      </c>
      <c r="AG113">
        <f>step3_validation[[#This Row],[AI_TRU4]]</f>
        <v>6</v>
      </c>
      <c r="AH113">
        <f t="shared" si="45"/>
        <v>0.55555555555555558</v>
      </c>
      <c r="AI113">
        <f>[1]!survey_responses[[#This Row],[Tôi thấy Nhà nước đã giải thích rõ ràng, minh bạch về lý do và mục tiêu của việc sửa đổi thuế lần này. - HUMAN-TRU4]]</f>
        <v>8</v>
      </c>
      <c r="AJ113">
        <f t="shared" si="46"/>
        <v>0.77777777777777779</v>
      </c>
      <c r="AK113" s="32">
        <f t="shared" si="47"/>
        <v>0.61111111111111116</v>
      </c>
      <c r="AL113" s="32">
        <f t="shared" si="48"/>
        <v>0.77777777777777779</v>
      </c>
      <c r="AM113" s="7">
        <f t="shared" si="49"/>
        <v>0.72222222222222221</v>
      </c>
      <c r="AN113" s="7">
        <f t="shared" si="50"/>
        <v>0.75925925925925919</v>
      </c>
      <c r="AO113">
        <f>step3_validation[[#This Row],[AI_OUT1]]</f>
        <v>8</v>
      </c>
      <c r="AP113">
        <f t="shared" si="51"/>
        <v>0.77777777777777779</v>
      </c>
      <c r="AQ113">
        <f>[1]!survey_responses[[#This Row],[Sau khi xem xét các quyền lợi và nghĩa vụ, bạn có ủng hộ và tuân thủ chính sách mới hiện nay? - HUMAN-OUT1]]</f>
        <v>8</v>
      </c>
      <c r="AR113">
        <f t="shared" si="52"/>
        <v>0.77777777777777779</v>
      </c>
      <c r="AS113" s="32">
        <f t="shared" si="53"/>
        <v>0</v>
      </c>
    </row>
    <row r="114" spans="1:45" x14ac:dyDescent="0.45">
      <c r="A114">
        <f>step3_validation[[#This Row],[AI_ENF1]]</f>
        <v>7</v>
      </c>
      <c r="B114">
        <f t="shared" si="27"/>
        <v>0.66666666666666663</v>
      </c>
      <c r="C114">
        <f>[1]!survey_responses[[#This Row],[Tôi tin rằng với các quy định quản lý thuế hiện nay, hành vi gian lận hoặc trốn thuế sẽ dễ dàng bị phát hiện và xử lý nghiêm. - HUMAN-ENF1]]</f>
        <v>1</v>
      </c>
      <c r="D114">
        <f t="shared" si="28"/>
        <v>0</v>
      </c>
      <c r="E114">
        <f>step3_validation[[#This Row],[AI_ENF2]]</f>
        <v>8</v>
      </c>
      <c r="F114">
        <f t="shared" si="29"/>
        <v>0.77777777777777779</v>
      </c>
      <c r="G114">
        <f>[1]!survey_responses[[#This Row],[Tôi tin rằng Nhà nước, cơ quan thuế có đủ khả năng và công nghệ để phát hiện, xử lý nghiêm các hành vi trốn thuế. - HUMAN-ENF2]]</f>
        <v>1</v>
      </c>
      <c r="H114">
        <f t="shared" si="30"/>
        <v>0</v>
      </c>
      <c r="I114" s="32">
        <f t="shared" si="31"/>
        <v>0.72222222222222221</v>
      </c>
      <c r="J114" s="32">
        <f t="shared" si="32"/>
        <v>0</v>
      </c>
      <c r="K114">
        <f>step3_validation[[#This Row],[AI_FAC1]]</f>
        <v>9</v>
      </c>
      <c r="L114">
        <f t="shared" si="33"/>
        <v>0.88888888888888884</v>
      </c>
      <c r="M114">
        <f>[1]!survey_responses[[#This Row],[Các thủ tục khai báo thuế VÀ/HOẶC quy trình làm việc với cơ quan thuế đơn giản, tiện lợi, nhanh chóng hơn so với trước đây. - HUMAN-FAC1]]</f>
        <v>1</v>
      </c>
      <c r="N114">
        <f t="shared" si="34"/>
        <v>0</v>
      </c>
      <c r="O114">
        <f>step3_validation[[#This Row],[AI_FAC2]]</f>
        <v>8</v>
      </c>
      <c r="P114">
        <f t="shared" si="35"/>
        <v>0.77777777777777779</v>
      </c>
      <c r="Q114">
        <f>[1]!survey_responses[[#This Row],[So với trước đây, tôi thấy cách tính thuế và các bậc thuế trong phương án mới đơn giản, dễ hiểu và dễ thực hiện hơn. - HUMAN-FAC2]]</f>
        <v>1</v>
      </c>
      <c r="R114">
        <f t="shared" si="36"/>
        <v>0</v>
      </c>
      <c r="S114" s="32">
        <f t="shared" si="37"/>
        <v>0.83333333333333326</v>
      </c>
      <c r="T114" s="32">
        <f t="shared" si="38"/>
        <v>0</v>
      </c>
      <c r="U114">
        <f>step3_validation[[#This Row],[AI_TRU1]]</f>
        <v>6</v>
      </c>
      <c r="V114">
        <f t="shared" si="39"/>
        <v>0.55555555555555558</v>
      </c>
      <c r="W114">
        <f>[1]!survey_responses[[#This Row],[Tôi tin rằng Nhà nước, cơ quan thuế sẽ thực thi chính sách mới một cách khách quan, công tâm và đối xử bình đẳng với mọi người nộp thuế.  - HUMAN-TRU1]]</f>
        <v>1</v>
      </c>
      <c r="X114">
        <f t="shared" si="40"/>
        <v>0</v>
      </c>
      <c r="Y114">
        <f>step3_validation[[#This Row],[AI_TRU2]]</f>
        <v>9</v>
      </c>
      <c r="Z114">
        <f t="shared" si="41"/>
        <v>0.88888888888888884</v>
      </c>
      <c r="AA114">
        <f>[1]!survey_responses[[#This Row],[Tôi thấy mức thuế tôi phải đóng theo phương án mới là công bằng (người thu nhập như tôi đóng mức này là hợp lý). - HUMAN-TRU2]]</f>
        <v>1</v>
      </c>
      <c r="AB114">
        <f t="shared" si="42"/>
        <v>0</v>
      </c>
      <c r="AC114">
        <f>step3_validation[[#This Row],[AI_TRU3]]</f>
        <v>7</v>
      </c>
      <c r="AD114">
        <f t="shared" si="43"/>
        <v>0.66666666666666663</v>
      </c>
      <c r="AE114">
        <f>[1]!survey_responses[[#This Row],[Tôi tin tưởng số tiền thuế tôi đóng sẽ được Nhà nước sử dụng hiệu quả để cải thiện dịch vụ công (y tế, đường xá...). - HUMAN-TRU3]]</f>
        <v>1</v>
      </c>
      <c r="AF114">
        <f t="shared" si="44"/>
        <v>0</v>
      </c>
      <c r="AG114">
        <f>step3_validation[[#This Row],[AI_TRU4]]</f>
        <v>5</v>
      </c>
      <c r="AH114">
        <f t="shared" si="45"/>
        <v>0.44444444444444442</v>
      </c>
      <c r="AI114">
        <f>[1]!survey_responses[[#This Row],[Tôi thấy Nhà nước đã giải thích rõ ràng, minh bạch về lý do và mục tiêu của việc sửa đổi thuế lần này. - HUMAN-TRU4]]</f>
        <v>1</v>
      </c>
      <c r="AJ114">
        <f t="shared" si="46"/>
        <v>0</v>
      </c>
      <c r="AK114" s="32">
        <f t="shared" si="47"/>
        <v>0.63888888888888884</v>
      </c>
      <c r="AL114" s="32">
        <f t="shared" si="48"/>
        <v>0</v>
      </c>
      <c r="AM114" s="7">
        <f t="shared" si="49"/>
        <v>0.7314814814814814</v>
      </c>
      <c r="AN114" s="7">
        <f t="shared" si="50"/>
        <v>0</v>
      </c>
      <c r="AO114">
        <f>step3_validation[[#This Row],[AI_OUT1]]</f>
        <v>7</v>
      </c>
      <c r="AP114">
        <f t="shared" si="51"/>
        <v>0.66666666666666663</v>
      </c>
      <c r="AQ114">
        <f>[1]!survey_responses[[#This Row],[Sau khi xem xét các quyền lợi và nghĩa vụ, bạn có ủng hộ và tuân thủ chính sách mới hiện nay? - HUMAN-OUT1]]</f>
        <v>1</v>
      </c>
      <c r="AR114">
        <f t="shared" si="52"/>
        <v>0</v>
      </c>
      <c r="AS114" s="32">
        <f t="shared" si="53"/>
        <v>6</v>
      </c>
    </row>
    <row r="115" spans="1:45" x14ac:dyDescent="0.45">
      <c r="A115">
        <f>step3_validation[[#This Row],[AI_ENF1]]</f>
        <v>7</v>
      </c>
      <c r="B115">
        <f t="shared" si="27"/>
        <v>0.66666666666666663</v>
      </c>
      <c r="C115">
        <f>[1]!survey_responses[[#This Row],[Tôi tin rằng với các quy định quản lý thuế hiện nay, hành vi gian lận hoặc trốn thuế sẽ dễ dàng bị phát hiện và xử lý nghiêm. - HUMAN-ENF1]]</f>
        <v>10</v>
      </c>
      <c r="D115">
        <f t="shared" si="28"/>
        <v>1</v>
      </c>
      <c r="E115">
        <f>step3_validation[[#This Row],[AI_ENF2]]</f>
        <v>6</v>
      </c>
      <c r="F115">
        <f t="shared" si="29"/>
        <v>0.55555555555555558</v>
      </c>
      <c r="G115">
        <f>[1]!survey_responses[[#This Row],[Tôi tin rằng Nhà nước, cơ quan thuế có đủ khả năng và công nghệ để phát hiện, xử lý nghiêm các hành vi trốn thuế. - HUMAN-ENF2]]</f>
        <v>10</v>
      </c>
      <c r="H115">
        <f t="shared" si="30"/>
        <v>1</v>
      </c>
      <c r="I115" s="32">
        <f t="shared" si="31"/>
        <v>0.61111111111111116</v>
      </c>
      <c r="J115" s="32">
        <f t="shared" si="32"/>
        <v>1</v>
      </c>
      <c r="K115">
        <f>step3_validation[[#This Row],[AI_FAC1]]</f>
        <v>8</v>
      </c>
      <c r="L115">
        <f t="shared" si="33"/>
        <v>0.77777777777777779</v>
      </c>
      <c r="M115">
        <f>[1]!survey_responses[[#This Row],[Các thủ tục khai báo thuế VÀ/HOẶC quy trình làm việc với cơ quan thuế đơn giản, tiện lợi, nhanh chóng hơn so với trước đây. - HUMAN-FAC1]]</f>
        <v>10</v>
      </c>
      <c r="N115">
        <f t="shared" si="34"/>
        <v>1</v>
      </c>
      <c r="O115">
        <f>step3_validation[[#This Row],[AI_FAC2]]</f>
        <v>9</v>
      </c>
      <c r="P115">
        <f t="shared" si="35"/>
        <v>0.88888888888888884</v>
      </c>
      <c r="Q115">
        <f>[1]!survey_responses[[#This Row],[So với trước đây, tôi thấy cách tính thuế và các bậc thuế trong phương án mới đơn giản, dễ hiểu và dễ thực hiện hơn. - HUMAN-FAC2]]</f>
        <v>10</v>
      </c>
      <c r="R115">
        <f t="shared" si="36"/>
        <v>1</v>
      </c>
      <c r="S115" s="32">
        <f t="shared" si="37"/>
        <v>0.83333333333333326</v>
      </c>
      <c r="T115" s="32">
        <f t="shared" si="38"/>
        <v>1</v>
      </c>
      <c r="U115">
        <f>step3_validation[[#This Row],[AI_TRU1]]</f>
        <v>5</v>
      </c>
      <c r="V115">
        <f t="shared" si="39"/>
        <v>0.44444444444444442</v>
      </c>
      <c r="W115">
        <f>[1]!survey_responses[[#This Row],[Tôi tin rằng Nhà nước, cơ quan thuế sẽ thực thi chính sách mới một cách khách quan, công tâm và đối xử bình đẳng với mọi người nộp thuế.  - HUMAN-TRU1]]</f>
        <v>10</v>
      </c>
      <c r="X115">
        <f t="shared" si="40"/>
        <v>1</v>
      </c>
      <c r="Y115">
        <f>step3_validation[[#This Row],[AI_TRU2]]</f>
        <v>7</v>
      </c>
      <c r="Z115">
        <f t="shared" si="41"/>
        <v>0.66666666666666663</v>
      </c>
      <c r="AA115">
        <f>[1]!survey_responses[[#This Row],[Tôi thấy mức thuế tôi phải đóng theo phương án mới là công bằng (người thu nhập như tôi đóng mức này là hợp lý). - HUMAN-TRU2]]</f>
        <v>10</v>
      </c>
      <c r="AB115">
        <f t="shared" si="42"/>
        <v>1</v>
      </c>
      <c r="AC115">
        <f>step3_validation[[#This Row],[AI_TRU3]]</f>
        <v>6</v>
      </c>
      <c r="AD115">
        <f t="shared" si="43"/>
        <v>0.55555555555555558</v>
      </c>
      <c r="AE115">
        <f>[1]!survey_responses[[#This Row],[Tôi tin tưởng số tiền thuế tôi đóng sẽ được Nhà nước sử dụng hiệu quả để cải thiện dịch vụ công (y tế, đường xá...). - HUMAN-TRU3]]</f>
        <v>10</v>
      </c>
      <c r="AF115">
        <f t="shared" si="44"/>
        <v>1</v>
      </c>
      <c r="AG115">
        <f>step3_validation[[#This Row],[AI_TRU4]]</f>
        <v>8</v>
      </c>
      <c r="AH115">
        <f t="shared" si="45"/>
        <v>0.77777777777777779</v>
      </c>
      <c r="AI115">
        <f>[1]!survey_responses[[#This Row],[Tôi thấy Nhà nước đã giải thích rõ ràng, minh bạch về lý do và mục tiêu của việc sửa đổi thuế lần này. - HUMAN-TRU4]]</f>
        <v>10</v>
      </c>
      <c r="AJ115">
        <f t="shared" si="46"/>
        <v>1</v>
      </c>
      <c r="AK115" s="32">
        <f t="shared" si="47"/>
        <v>0.61111111111111116</v>
      </c>
      <c r="AL115" s="32">
        <f t="shared" si="48"/>
        <v>1</v>
      </c>
      <c r="AM115" s="7">
        <f t="shared" si="49"/>
        <v>0.68518518518518512</v>
      </c>
      <c r="AN115" s="7">
        <f t="shared" si="50"/>
        <v>1</v>
      </c>
      <c r="AO115">
        <f>step3_validation[[#This Row],[AI_OUT1]]</f>
        <v>7</v>
      </c>
      <c r="AP115">
        <f t="shared" si="51"/>
        <v>0.66666666666666663</v>
      </c>
      <c r="AQ115">
        <f>[1]!survey_responses[[#This Row],[Sau khi xem xét các quyền lợi và nghĩa vụ, bạn có ủng hộ và tuân thủ chính sách mới hiện nay? - HUMAN-OUT1]]</f>
        <v>10</v>
      </c>
      <c r="AR115">
        <f t="shared" si="52"/>
        <v>1</v>
      </c>
      <c r="AS115" s="32">
        <f t="shared" si="53"/>
        <v>3</v>
      </c>
    </row>
    <row r="116" spans="1:45" x14ac:dyDescent="0.45">
      <c r="A116">
        <f>step3_validation[[#This Row],[AI_ENF1]]</f>
        <v>6</v>
      </c>
      <c r="B116">
        <f t="shared" si="27"/>
        <v>0.55555555555555558</v>
      </c>
      <c r="C116">
        <f>[1]!survey_responses[[#This Row],[Tôi tin rằng với các quy định quản lý thuế hiện nay, hành vi gian lận hoặc trốn thuế sẽ dễ dàng bị phát hiện và xử lý nghiêm. - HUMAN-ENF1]]</f>
        <v>1</v>
      </c>
      <c r="D116">
        <f t="shared" si="28"/>
        <v>0</v>
      </c>
      <c r="E116">
        <f>step3_validation[[#This Row],[AI_ENF2]]</f>
        <v>7</v>
      </c>
      <c r="F116">
        <f t="shared" si="29"/>
        <v>0.66666666666666663</v>
      </c>
      <c r="G116">
        <f>[1]!survey_responses[[#This Row],[Tôi tin rằng Nhà nước, cơ quan thuế có đủ khả năng và công nghệ để phát hiện, xử lý nghiêm các hành vi trốn thuế. - HUMAN-ENF2]]</f>
        <v>1</v>
      </c>
      <c r="H116">
        <f t="shared" si="30"/>
        <v>0</v>
      </c>
      <c r="I116" s="32">
        <f t="shared" si="31"/>
        <v>0.61111111111111116</v>
      </c>
      <c r="J116" s="32">
        <f t="shared" si="32"/>
        <v>0</v>
      </c>
      <c r="K116">
        <f>step3_validation[[#This Row],[AI_FAC1]]</f>
        <v>8</v>
      </c>
      <c r="L116">
        <f t="shared" si="33"/>
        <v>0.77777777777777779</v>
      </c>
      <c r="M116">
        <f>[1]!survey_responses[[#This Row],[Các thủ tục khai báo thuế VÀ/HOẶC quy trình làm việc với cơ quan thuế đơn giản, tiện lợi, nhanh chóng hơn so với trước đây. - HUMAN-FAC1]]</f>
        <v>1</v>
      </c>
      <c r="N116">
        <f t="shared" si="34"/>
        <v>0</v>
      </c>
      <c r="O116">
        <f>step3_validation[[#This Row],[AI_FAC2]]</f>
        <v>9</v>
      </c>
      <c r="P116">
        <f t="shared" si="35"/>
        <v>0.88888888888888884</v>
      </c>
      <c r="Q116">
        <f>[1]!survey_responses[[#This Row],[So với trước đây, tôi thấy cách tính thuế và các bậc thuế trong phương án mới đơn giản, dễ hiểu và dễ thực hiện hơn. - HUMAN-FAC2]]</f>
        <v>1</v>
      </c>
      <c r="R116">
        <f t="shared" si="36"/>
        <v>0</v>
      </c>
      <c r="S116" s="32">
        <f t="shared" si="37"/>
        <v>0.83333333333333326</v>
      </c>
      <c r="T116" s="32">
        <f t="shared" si="38"/>
        <v>0</v>
      </c>
      <c r="U116">
        <f>step3_validation[[#This Row],[AI_TRU1]]</f>
        <v>7</v>
      </c>
      <c r="V116">
        <f t="shared" si="39"/>
        <v>0.66666666666666663</v>
      </c>
      <c r="W116">
        <f>[1]!survey_responses[[#This Row],[Tôi tin rằng Nhà nước, cơ quan thuế sẽ thực thi chính sách mới một cách khách quan, công tâm và đối xử bình đẳng với mọi người nộp thuế.  - HUMAN-TRU1]]</f>
        <v>1</v>
      </c>
      <c r="X116">
        <f t="shared" si="40"/>
        <v>0</v>
      </c>
      <c r="Y116">
        <f>step3_validation[[#This Row],[AI_TRU2]]</f>
        <v>6</v>
      </c>
      <c r="Z116">
        <f t="shared" si="41"/>
        <v>0.55555555555555558</v>
      </c>
      <c r="AA116">
        <f>[1]!survey_responses[[#This Row],[Tôi thấy mức thuế tôi phải đóng theo phương án mới là công bằng (người thu nhập như tôi đóng mức này là hợp lý). - HUMAN-TRU2]]</f>
        <v>1</v>
      </c>
      <c r="AB116">
        <f t="shared" si="42"/>
        <v>0</v>
      </c>
      <c r="AC116">
        <f>step3_validation[[#This Row],[AI_TRU3]]</f>
        <v>5</v>
      </c>
      <c r="AD116">
        <f t="shared" si="43"/>
        <v>0.44444444444444442</v>
      </c>
      <c r="AE116">
        <f>[1]!survey_responses[[#This Row],[Tôi tin tưởng số tiền thuế tôi đóng sẽ được Nhà nước sử dụng hiệu quả để cải thiện dịch vụ công (y tế, đường xá...). - HUMAN-TRU3]]</f>
        <v>1</v>
      </c>
      <c r="AF116">
        <f t="shared" si="44"/>
        <v>0</v>
      </c>
      <c r="AG116">
        <f>step3_validation[[#This Row],[AI_TRU4]]</f>
        <v>6</v>
      </c>
      <c r="AH116">
        <f t="shared" si="45"/>
        <v>0.55555555555555558</v>
      </c>
      <c r="AI116">
        <f>[1]!survey_responses[[#This Row],[Tôi thấy Nhà nước đã giải thích rõ ràng, minh bạch về lý do và mục tiêu của việc sửa đổi thuế lần này. - HUMAN-TRU4]]</f>
        <v>1</v>
      </c>
      <c r="AJ116">
        <f t="shared" si="46"/>
        <v>0</v>
      </c>
      <c r="AK116" s="32">
        <f t="shared" si="47"/>
        <v>0.55555555555555558</v>
      </c>
      <c r="AL116" s="32">
        <f t="shared" si="48"/>
        <v>0</v>
      </c>
      <c r="AM116" s="7">
        <f t="shared" si="49"/>
        <v>0.66666666666666663</v>
      </c>
      <c r="AN116" s="7">
        <f t="shared" si="50"/>
        <v>0</v>
      </c>
      <c r="AO116">
        <f>step3_validation[[#This Row],[AI_OUT1]]</f>
        <v>7</v>
      </c>
      <c r="AP116">
        <f t="shared" si="51"/>
        <v>0.66666666666666663</v>
      </c>
      <c r="AQ116">
        <f>[1]!survey_responses[[#This Row],[Sau khi xem xét các quyền lợi và nghĩa vụ, bạn có ủng hộ và tuân thủ chính sách mới hiện nay? - HUMAN-OUT1]]</f>
        <v>1</v>
      </c>
      <c r="AR116">
        <f t="shared" si="52"/>
        <v>0</v>
      </c>
      <c r="AS116" s="32">
        <f t="shared" si="53"/>
        <v>6</v>
      </c>
    </row>
    <row r="117" spans="1:45" x14ac:dyDescent="0.45">
      <c r="A117">
        <f>step3_validation[[#This Row],[AI_ENF1]]</f>
        <v>5</v>
      </c>
      <c r="B117">
        <f t="shared" si="27"/>
        <v>0.44444444444444442</v>
      </c>
      <c r="C117">
        <f>[1]!survey_responses[[#This Row],[Tôi tin rằng với các quy định quản lý thuế hiện nay, hành vi gian lận hoặc trốn thuế sẽ dễ dàng bị phát hiện và xử lý nghiêm. - HUMAN-ENF1]]</f>
        <v>9</v>
      </c>
      <c r="D117">
        <f t="shared" si="28"/>
        <v>0.88888888888888884</v>
      </c>
      <c r="E117">
        <f>step3_validation[[#This Row],[AI_ENF2]]</f>
        <v>6</v>
      </c>
      <c r="F117">
        <f t="shared" si="29"/>
        <v>0.55555555555555558</v>
      </c>
      <c r="G117">
        <f>[1]!survey_responses[[#This Row],[Tôi tin rằng Nhà nước, cơ quan thuế có đủ khả năng và công nghệ để phát hiện, xử lý nghiêm các hành vi trốn thuế. - HUMAN-ENF2]]</f>
        <v>9</v>
      </c>
      <c r="H117">
        <f t="shared" si="30"/>
        <v>0.88888888888888884</v>
      </c>
      <c r="I117" s="32">
        <f t="shared" si="31"/>
        <v>0.5</v>
      </c>
      <c r="J117" s="32">
        <f t="shared" si="32"/>
        <v>0.88888888888888884</v>
      </c>
      <c r="K117">
        <f>step3_validation[[#This Row],[AI_FAC1]]</f>
        <v>8</v>
      </c>
      <c r="L117">
        <f t="shared" si="33"/>
        <v>0.77777777777777779</v>
      </c>
      <c r="M117">
        <f>[1]!survey_responses[[#This Row],[Các thủ tục khai báo thuế VÀ/HOẶC quy trình làm việc với cơ quan thuế đơn giản, tiện lợi, nhanh chóng hơn so với trước đây. - HUMAN-FAC1]]</f>
        <v>9</v>
      </c>
      <c r="N117">
        <f t="shared" si="34"/>
        <v>0.88888888888888884</v>
      </c>
      <c r="O117">
        <f>step3_validation[[#This Row],[AI_FAC2]]</f>
        <v>9</v>
      </c>
      <c r="P117">
        <f t="shared" si="35"/>
        <v>0.88888888888888884</v>
      </c>
      <c r="Q117">
        <f>[1]!survey_responses[[#This Row],[So với trước đây, tôi thấy cách tính thuế và các bậc thuế trong phương án mới đơn giản, dễ hiểu và dễ thực hiện hơn. - HUMAN-FAC2]]</f>
        <v>9</v>
      </c>
      <c r="R117">
        <f t="shared" si="36"/>
        <v>0.88888888888888884</v>
      </c>
      <c r="S117" s="32">
        <f t="shared" si="37"/>
        <v>0.83333333333333326</v>
      </c>
      <c r="T117" s="32">
        <f t="shared" si="38"/>
        <v>0.88888888888888884</v>
      </c>
      <c r="U117">
        <f>step3_validation[[#This Row],[AI_TRU1]]</f>
        <v>7</v>
      </c>
      <c r="V117">
        <f t="shared" si="39"/>
        <v>0.66666666666666663</v>
      </c>
      <c r="W117">
        <f>[1]!survey_responses[[#This Row],[Tôi tin rằng Nhà nước, cơ quan thuế sẽ thực thi chính sách mới một cách khách quan, công tâm và đối xử bình đẳng với mọi người nộp thuế.  - HUMAN-TRU1]]</f>
        <v>9</v>
      </c>
      <c r="X117">
        <f t="shared" si="40"/>
        <v>0.88888888888888884</v>
      </c>
      <c r="Y117">
        <f>step3_validation[[#This Row],[AI_TRU2]]</f>
        <v>6</v>
      </c>
      <c r="Z117">
        <f t="shared" si="41"/>
        <v>0.55555555555555558</v>
      </c>
      <c r="AA117">
        <f>[1]!survey_responses[[#This Row],[Tôi thấy mức thuế tôi phải đóng theo phương án mới là công bằng (người thu nhập như tôi đóng mức này là hợp lý). - HUMAN-TRU2]]</f>
        <v>9</v>
      </c>
      <c r="AB117">
        <f t="shared" si="42"/>
        <v>0.88888888888888884</v>
      </c>
      <c r="AC117">
        <f>step3_validation[[#This Row],[AI_TRU3]]</f>
        <v>5</v>
      </c>
      <c r="AD117">
        <f t="shared" si="43"/>
        <v>0.44444444444444442</v>
      </c>
      <c r="AE117">
        <f>[1]!survey_responses[[#This Row],[Tôi tin tưởng số tiền thuế tôi đóng sẽ được Nhà nước sử dụng hiệu quả để cải thiện dịch vụ công (y tế, đường xá...). - HUMAN-TRU3]]</f>
        <v>9</v>
      </c>
      <c r="AF117">
        <f t="shared" si="44"/>
        <v>0.88888888888888884</v>
      </c>
      <c r="AG117">
        <f>step3_validation[[#This Row],[AI_TRU4]]</f>
        <v>6</v>
      </c>
      <c r="AH117">
        <f t="shared" si="45"/>
        <v>0.55555555555555558</v>
      </c>
      <c r="AI117">
        <f>[1]!survey_responses[[#This Row],[Tôi thấy Nhà nước đã giải thích rõ ràng, minh bạch về lý do và mục tiêu của việc sửa đổi thuế lần này. - HUMAN-TRU4]]</f>
        <v>8</v>
      </c>
      <c r="AJ117">
        <f t="shared" si="46"/>
        <v>0.77777777777777779</v>
      </c>
      <c r="AK117" s="32">
        <f t="shared" si="47"/>
        <v>0.55555555555555558</v>
      </c>
      <c r="AL117" s="32">
        <f t="shared" si="48"/>
        <v>0.86111111111111105</v>
      </c>
      <c r="AM117" s="7">
        <f t="shared" si="49"/>
        <v>0.62962962962962965</v>
      </c>
      <c r="AN117" s="7">
        <f t="shared" si="50"/>
        <v>0.87962962962962965</v>
      </c>
      <c r="AO117">
        <f>step3_validation[[#This Row],[AI_OUT1]]</f>
        <v>7</v>
      </c>
      <c r="AP117">
        <f t="shared" si="51"/>
        <v>0.66666666666666663</v>
      </c>
      <c r="AQ117">
        <f>[1]!survey_responses[[#This Row],[Sau khi xem xét các quyền lợi và nghĩa vụ, bạn có ủng hộ và tuân thủ chính sách mới hiện nay? - HUMAN-OUT1]]</f>
        <v>9</v>
      </c>
      <c r="AR117">
        <f t="shared" si="52"/>
        <v>0.88888888888888884</v>
      </c>
      <c r="AS117" s="32">
        <f t="shared" si="53"/>
        <v>2</v>
      </c>
    </row>
    <row r="118" spans="1:45" x14ac:dyDescent="0.45">
      <c r="A118">
        <f>step3_validation[[#This Row],[AI_ENF1]]</f>
        <v>7</v>
      </c>
      <c r="B118">
        <f t="shared" si="27"/>
        <v>0.66666666666666663</v>
      </c>
      <c r="C118">
        <f>[1]!survey_responses[[#This Row],[Tôi tin rằng với các quy định quản lý thuế hiện nay, hành vi gian lận hoặc trốn thuế sẽ dễ dàng bị phát hiện và xử lý nghiêm. - HUMAN-ENF1]]</f>
        <v>8</v>
      </c>
      <c r="D118">
        <f t="shared" si="28"/>
        <v>0.77777777777777779</v>
      </c>
      <c r="E118">
        <f>step3_validation[[#This Row],[AI_ENF2]]</f>
        <v>8</v>
      </c>
      <c r="F118">
        <f t="shared" si="29"/>
        <v>0.77777777777777779</v>
      </c>
      <c r="G118">
        <f>[1]!survey_responses[[#This Row],[Tôi tin rằng Nhà nước, cơ quan thuế có đủ khả năng và công nghệ để phát hiện, xử lý nghiêm các hành vi trốn thuế. - HUMAN-ENF2]]</f>
        <v>9</v>
      </c>
      <c r="H118">
        <f t="shared" si="30"/>
        <v>0.88888888888888884</v>
      </c>
      <c r="I118" s="32">
        <f t="shared" si="31"/>
        <v>0.72222222222222221</v>
      </c>
      <c r="J118" s="32">
        <f t="shared" si="32"/>
        <v>0.83333333333333326</v>
      </c>
      <c r="K118">
        <f>step3_validation[[#This Row],[AI_FAC1]]</f>
        <v>6</v>
      </c>
      <c r="L118">
        <f t="shared" si="33"/>
        <v>0.55555555555555558</v>
      </c>
      <c r="M118">
        <f>[1]!survey_responses[[#This Row],[Các thủ tục khai báo thuế VÀ/HOẶC quy trình làm việc với cơ quan thuế đơn giản, tiện lợi, nhanh chóng hơn so với trước đây. - HUMAN-FAC1]]</f>
        <v>8</v>
      </c>
      <c r="N118">
        <f t="shared" si="34"/>
        <v>0.77777777777777779</v>
      </c>
      <c r="O118">
        <f>step3_validation[[#This Row],[AI_FAC2]]</f>
        <v>5</v>
      </c>
      <c r="P118">
        <f t="shared" si="35"/>
        <v>0.44444444444444442</v>
      </c>
      <c r="Q118">
        <f>[1]!survey_responses[[#This Row],[So với trước đây, tôi thấy cách tính thuế và các bậc thuế trong phương án mới đơn giản, dễ hiểu và dễ thực hiện hơn. - HUMAN-FAC2]]</f>
        <v>6</v>
      </c>
      <c r="R118">
        <f t="shared" si="36"/>
        <v>0.55555555555555558</v>
      </c>
      <c r="S118" s="32">
        <f t="shared" si="37"/>
        <v>0.5</v>
      </c>
      <c r="T118" s="32">
        <f t="shared" si="38"/>
        <v>0.66666666666666674</v>
      </c>
      <c r="U118">
        <f>step3_validation[[#This Row],[AI_TRU1]]</f>
        <v>6</v>
      </c>
      <c r="V118">
        <f t="shared" si="39"/>
        <v>0.55555555555555558</v>
      </c>
      <c r="W118">
        <f>[1]!survey_responses[[#This Row],[Tôi tin rằng Nhà nước, cơ quan thuế sẽ thực thi chính sách mới một cách khách quan, công tâm và đối xử bình đẳng với mọi người nộp thuế.  - HUMAN-TRU1]]</f>
        <v>8</v>
      </c>
      <c r="X118">
        <f t="shared" si="40"/>
        <v>0.77777777777777779</v>
      </c>
      <c r="Y118">
        <f>step3_validation[[#This Row],[AI_TRU2]]</f>
        <v>7</v>
      </c>
      <c r="Z118">
        <f t="shared" si="41"/>
        <v>0.66666666666666663</v>
      </c>
      <c r="AA118">
        <f>[1]!survey_responses[[#This Row],[Tôi thấy mức thuế tôi phải đóng theo phương án mới là công bằng (người thu nhập như tôi đóng mức này là hợp lý). - HUMAN-TRU2]]</f>
        <v>8</v>
      </c>
      <c r="AB118">
        <f t="shared" si="42"/>
        <v>0.77777777777777779</v>
      </c>
      <c r="AC118">
        <f>step3_validation[[#This Row],[AI_TRU3]]</f>
        <v>8</v>
      </c>
      <c r="AD118">
        <f t="shared" si="43"/>
        <v>0.77777777777777779</v>
      </c>
      <c r="AE118">
        <f>[1]!survey_responses[[#This Row],[Tôi tin tưởng số tiền thuế tôi đóng sẽ được Nhà nước sử dụng hiệu quả để cải thiện dịch vụ công (y tế, đường xá...). - HUMAN-TRU3]]</f>
        <v>8</v>
      </c>
      <c r="AF118">
        <f t="shared" si="44"/>
        <v>0.77777777777777779</v>
      </c>
      <c r="AG118">
        <f>step3_validation[[#This Row],[AI_TRU4]]</f>
        <v>6</v>
      </c>
      <c r="AH118">
        <f t="shared" si="45"/>
        <v>0.55555555555555558</v>
      </c>
      <c r="AI118">
        <f>[1]!survey_responses[[#This Row],[Tôi thấy Nhà nước đã giải thích rõ ràng, minh bạch về lý do và mục tiêu của việc sửa đổi thuế lần này. - HUMAN-TRU4]]</f>
        <v>8</v>
      </c>
      <c r="AJ118">
        <f t="shared" si="46"/>
        <v>0.77777777777777779</v>
      </c>
      <c r="AK118" s="32">
        <f t="shared" si="47"/>
        <v>0.63888888888888884</v>
      </c>
      <c r="AL118" s="32">
        <f t="shared" si="48"/>
        <v>0.77777777777777779</v>
      </c>
      <c r="AM118" s="7">
        <f t="shared" si="49"/>
        <v>0.62037037037037035</v>
      </c>
      <c r="AN118" s="7">
        <f t="shared" si="50"/>
        <v>0.75925925925925919</v>
      </c>
      <c r="AO118">
        <f>step3_validation[[#This Row],[AI_OUT1]]</f>
        <v>7</v>
      </c>
      <c r="AP118">
        <f t="shared" si="51"/>
        <v>0.66666666666666663</v>
      </c>
      <c r="AQ118">
        <f>[1]!survey_responses[[#This Row],[Sau khi xem xét các quyền lợi và nghĩa vụ, bạn có ủng hộ và tuân thủ chính sách mới hiện nay? - HUMAN-OUT1]]</f>
        <v>6</v>
      </c>
      <c r="AR118">
        <f t="shared" si="52"/>
        <v>0.55555555555555558</v>
      </c>
      <c r="AS118" s="32">
        <f t="shared" si="53"/>
        <v>1</v>
      </c>
    </row>
    <row r="119" spans="1:45" x14ac:dyDescent="0.45">
      <c r="A119">
        <f>step3_validation[[#This Row],[AI_ENF1]]</f>
        <v>7</v>
      </c>
      <c r="B119">
        <f t="shared" si="27"/>
        <v>0.66666666666666663</v>
      </c>
      <c r="C119">
        <f>[1]!survey_responses[[#This Row],[Tôi tin rằng với các quy định quản lý thuế hiện nay, hành vi gian lận hoặc trốn thuế sẽ dễ dàng bị phát hiện và xử lý nghiêm. - HUMAN-ENF1]]</f>
        <v>4</v>
      </c>
      <c r="D119">
        <f t="shared" si="28"/>
        <v>0.33333333333333331</v>
      </c>
      <c r="E119">
        <f>step3_validation[[#This Row],[AI_ENF2]]</f>
        <v>8</v>
      </c>
      <c r="F119">
        <f t="shared" si="29"/>
        <v>0.77777777777777779</v>
      </c>
      <c r="G119">
        <f>[1]!survey_responses[[#This Row],[Tôi tin rằng Nhà nước, cơ quan thuế có đủ khả năng và công nghệ để phát hiện, xử lý nghiêm các hành vi trốn thuế. - HUMAN-ENF2]]</f>
        <v>1</v>
      </c>
      <c r="H119">
        <f t="shared" si="30"/>
        <v>0</v>
      </c>
      <c r="I119" s="32">
        <f t="shared" si="31"/>
        <v>0.72222222222222221</v>
      </c>
      <c r="J119" s="32">
        <f t="shared" si="32"/>
        <v>0.16666666666666666</v>
      </c>
      <c r="K119">
        <f>step3_validation[[#This Row],[AI_FAC1]]</f>
        <v>6</v>
      </c>
      <c r="L119">
        <f t="shared" si="33"/>
        <v>0.55555555555555558</v>
      </c>
      <c r="M119">
        <f>[1]!survey_responses[[#This Row],[Các thủ tục khai báo thuế VÀ/HOẶC quy trình làm việc với cơ quan thuế đơn giản, tiện lợi, nhanh chóng hơn so với trước đây. - HUMAN-FAC1]]</f>
        <v>1</v>
      </c>
      <c r="N119">
        <f t="shared" si="34"/>
        <v>0</v>
      </c>
      <c r="O119">
        <f>step3_validation[[#This Row],[AI_FAC2]]</f>
        <v>7</v>
      </c>
      <c r="P119">
        <f t="shared" si="35"/>
        <v>0.66666666666666663</v>
      </c>
      <c r="Q119">
        <f>[1]!survey_responses[[#This Row],[So với trước đây, tôi thấy cách tính thuế và các bậc thuế trong phương án mới đơn giản, dễ hiểu và dễ thực hiện hơn. - HUMAN-FAC2]]</f>
        <v>5</v>
      </c>
      <c r="R119">
        <f t="shared" si="36"/>
        <v>0.44444444444444442</v>
      </c>
      <c r="S119" s="32">
        <f t="shared" si="37"/>
        <v>0.61111111111111116</v>
      </c>
      <c r="T119" s="32">
        <f t="shared" si="38"/>
        <v>0.22222222222222221</v>
      </c>
      <c r="U119">
        <f>step3_validation[[#This Row],[AI_TRU1]]</f>
        <v>8</v>
      </c>
      <c r="V119">
        <f t="shared" si="39"/>
        <v>0.77777777777777779</v>
      </c>
      <c r="W119">
        <f>[1]!survey_responses[[#This Row],[Tôi tin rằng Nhà nước, cơ quan thuế sẽ thực thi chính sách mới một cách khách quan, công tâm và đối xử bình đẳng với mọi người nộp thuế.  - HUMAN-TRU1]]</f>
        <v>1</v>
      </c>
      <c r="X119">
        <f t="shared" si="40"/>
        <v>0</v>
      </c>
      <c r="Y119">
        <f>step3_validation[[#This Row],[AI_TRU2]]</f>
        <v>6</v>
      </c>
      <c r="Z119">
        <f t="shared" si="41"/>
        <v>0.55555555555555558</v>
      </c>
      <c r="AA119">
        <f>[1]!survey_responses[[#This Row],[Tôi thấy mức thuế tôi phải đóng theo phương án mới là công bằng (người thu nhập như tôi đóng mức này là hợp lý). - HUMAN-TRU2]]</f>
        <v>3</v>
      </c>
      <c r="AB119">
        <f t="shared" si="42"/>
        <v>0.22222222222222221</v>
      </c>
      <c r="AC119">
        <f>step3_validation[[#This Row],[AI_TRU3]]</f>
        <v>7</v>
      </c>
      <c r="AD119">
        <f t="shared" si="43"/>
        <v>0.66666666666666663</v>
      </c>
      <c r="AE119">
        <f>[1]!survey_responses[[#This Row],[Tôi tin tưởng số tiền thuế tôi đóng sẽ được Nhà nước sử dụng hiệu quả để cải thiện dịch vụ công (y tế, đường xá...). - HUMAN-TRU3]]</f>
        <v>1</v>
      </c>
      <c r="AF119">
        <f t="shared" si="44"/>
        <v>0</v>
      </c>
      <c r="AG119">
        <f>step3_validation[[#This Row],[AI_TRU4]]</f>
        <v>6</v>
      </c>
      <c r="AH119">
        <f t="shared" si="45"/>
        <v>0.55555555555555558</v>
      </c>
      <c r="AI119">
        <f>[1]!survey_responses[[#This Row],[Tôi thấy Nhà nước đã giải thích rõ ràng, minh bạch về lý do và mục tiêu của việc sửa đổi thuế lần này. - HUMAN-TRU4]]</f>
        <v>1</v>
      </c>
      <c r="AJ119">
        <f t="shared" si="46"/>
        <v>0</v>
      </c>
      <c r="AK119" s="32">
        <f t="shared" si="47"/>
        <v>0.63888888888888884</v>
      </c>
      <c r="AL119" s="32">
        <f t="shared" si="48"/>
        <v>5.5555555555555552E-2</v>
      </c>
      <c r="AM119" s="7">
        <f t="shared" si="49"/>
        <v>0.65740740740740744</v>
      </c>
      <c r="AN119" s="7">
        <f t="shared" si="50"/>
        <v>0.14814814814814814</v>
      </c>
      <c r="AO119">
        <f>step3_validation[[#This Row],[AI_OUT1]]</f>
        <v>5</v>
      </c>
      <c r="AP119">
        <f t="shared" si="51"/>
        <v>0.44444444444444442</v>
      </c>
      <c r="AQ119">
        <f>[1]!survey_responses[[#This Row],[Sau khi xem xét các quyền lợi và nghĩa vụ, bạn có ủng hộ và tuân thủ chính sách mới hiện nay? - HUMAN-OUT1]]</f>
        <v>5</v>
      </c>
      <c r="AR119">
        <f t="shared" si="52"/>
        <v>0.44444444444444442</v>
      </c>
      <c r="AS119" s="32">
        <f t="shared" si="53"/>
        <v>0</v>
      </c>
    </row>
    <row r="120" spans="1:45" x14ac:dyDescent="0.45">
      <c r="A120">
        <f>step3_validation[[#This Row],[AI_ENF1]]</f>
        <v>5</v>
      </c>
      <c r="B120">
        <f t="shared" si="27"/>
        <v>0.44444444444444442</v>
      </c>
      <c r="C120">
        <f>[1]!survey_responses[[#This Row],[Tôi tin rằng với các quy định quản lý thuế hiện nay, hành vi gian lận hoặc trốn thuế sẽ dễ dàng bị phát hiện và xử lý nghiêm. - HUMAN-ENF1]]</f>
        <v>8</v>
      </c>
      <c r="D120">
        <f t="shared" si="28"/>
        <v>0.77777777777777779</v>
      </c>
      <c r="E120">
        <f>step3_validation[[#This Row],[AI_ENF2]]</f>
        <v>6</v>
      </c>
      <c r="F120">
        <f t="shared" si="29"/>
        <v>0.55555555555555558</v>
      </c>
      <c r="G120">
        <f>[1]!survey_responses[[#This Row],[Tôi tin rằng Nhà nước, cơ quan thuế có đủ khả năng và công nghệ để phát hiện, xử lý nghiêm các hành vi trốn thuế. - HUMAN-ENF2]]</f>
        <v>8</v>
      </c>
      <c r="H120">
        <f t="shared" si="30"/>
        <v>0.77777777777777779</v>
      </c>
      <c r="I120" s="32">
        <f t="shared" si="31"/>
        <v>0.5</v>
      </c>
      <c r="J120" s="32">
        <f t="shared" si="32"/>
        <v>0.77777777777777779</v>
      </c>
      <c r="K120">
        <f>step3_validation[[#This Row],[AI_FAC1]]</f>
        <v>8</v>
      </c>
      <c r="L120">
        <f t="shared" si="33"/>
        <v>0.77777777777777779</v>
      </c>
      <c r="M120">
        <f>[1]!survey_responses[[#This Row],[Các thủ tục khai báo thuế VÀ/HOẶC quy trình làm việc với cơ quan thuế đơn giản, tiện lợi, nhanh chóng hơn so với trước đây. - HUMAN-FAC1]]</f>
        <v>6</v>
      </c>
      <c r="N120">
        <f t="shared" si="34"/>
        <v>0.55555555555555558</v>
      </c>
      <c r="O120">
        <f>step3_validation[[#This Row],[AI_FAC2]]</f>
        <v>7</v>
      </c>
      <c r="P120">
        <f t="shared" si="35"/>
        <v>0.66666666666666663</v>
      </c>
      <c r="Q120">
        <f>[1]!survey_responses[[#This Row],[So với trước đây, tôi thấy cách tính thuế và các bậc thuế trong phương án mới đơn giản, dễ hiểu và dễ thực hiện hơn. - HUMAN-FAC2]]</f>
        <v>9</v>
      </c>
      <c r="R120">
        <f t="shared" si="36"/>
        <v>0.88888888888888884</v>
      </c>
      <c r="S120" s="32">
        <f t="shared" si="37"/>
        <v>0.72222222222222221</v>
      </c>
      <c r="T120" s="32">
        <f t="shared" si="38"/>
        <v>0.72222222222222221</v>
      </c>
      <c r="U120">
        <f>step3_validation[[#This Row],[AI_TRU1]]</f>
        <v>4</v>
      </c>
      <c r="V120">
        <f t="shared" si="39"/>
        <v>0.33333333333333331</v>
      </c>
      <c r="W120">
        <f>[1]!survey_responses[[#This Row],[Tôi tin rằng Nhà nước, cơ quan thuế sẽ thực thi chính sách mới một cách khách quan, công tâm và đối xử bình đẳng với mọi người nộp thuế.  - HUMAN-TRU1]]</f>
        <v>8</v>
      </c>
      <c r="X120">
        <f t="shared" si="40"/>
        <v>0.77777777777777779</v>
      </c>
      <c r="Y120">
        <f>step3_validation[[#This Row],[AI_TRU2]]</f>
        <v>6</v>
      </c>
      <c r="Z120">
        <f t="shared" si="41"/>
        <v>0.55555555555555558</v>
      </c>
      <c r="AA120">
        <f>[1]!survey_responses[[#This Row],[Tôi thấy mức thuế tôi phải đóng theo phương án mới là công bằng (người thu nhập như tôi đóng mức này là hợp lý). - HUMAN-TRU2]]</f>
        <v>7</v>
      </c>
      <c r="AB120">
        <f t="shared" si="42"/>
        <v>0.66666666666666663</v>
      </c>
      <c r="AC120">
        <f>step3_validation[[#This Row],[AI_TRU3]]</f>
        <v>5</v>
      </c>
      <c r="AD120">
        <f t="shared" si="43"/>
        <v>0.44444444444444442</v>
      </c>
      <c r="AE120">
        <f>[1]!survey_responses[[#This Row],[Tôi tin tưởng số tiền thuế tôi đóng sẽ được Nhà nước sử dụng hiệu quả để cải thiện dịch vụ công (y tế, đường xá...). - HUMAN-TRU3]]</f>
        <v>7</v>
      </c>
      <c r="AF120">
        <f t="shared" si="44"/>
        <v>0.66666666666666663</v>
      </c>
      <c r="AG120">
        <f>step3_validation[[#This Row],[AI_TRU4]]</f>
        <v>3</v>
      </c>
      <c r="AH120">
        <f t="shared" si="45"/>
        <v>0.22222222222222221</v>
      </c>
      <c r="AI120">
        <f>[1]!survey_responses[[#This Row],[Tôi thấy Nhà nước đã giải thích rõ ràng, minh bạch về lý do và mục tiêu của việc sửa đổi thuế lần này. - HUMAN-TRU4]]</f>
        <v>7</v>
      </c>
      <c r="AJ120">
        <f t="shared" si="46"/>
        <v>0.66666666666666663</v>
      </c>
      <c r="AK120" s="32">
        <f t="shared" si="47"/>
        <v>0.38888888888888884</v>
      </c>
      <c r="AL120" s="32">
        <f t="shared" si="48"/>
        <v>0.69444444444444442</v>
      </c>
      <c r="AM120" s="7">
        <f t="shared" si="49"/>
        <v>0.53703703703703709</v>
      </c>
      <c r="AN120" s="7">
        <f t="shared" si="50"/>
        <v>0.73148148148148151</v>
      </c>
      <c r="AO120">
        <f>step3_validation[[#This Row],[AI_OUT1]]</f>
        <v>5</v>
      </c>
      <c r="AP120">
        <f t="shared" si="51"/>
        <v>0.44444444444444442</v>
      </c>
      <c r="AQ120">
        <f>[1]!survey_responses[[#This Row],[Sau khi xem xét các quyền lợi và nghĩa vụ, bạn có ủng hộ và tuân thủ chính sách mới hiện nay? - HUMAN-OUT1]]</f>
        <v>7</v>
      </c>
      <c r="AR120">
        <f t="shared" si="52"/>
        <v>0.66666666666666663</v>
      </c>
      <c r="AS120" s="32">
        <f t="shared" si="53"/>
        <v>2</v>
      </c>
    </row>
    <row r="121" spans="1:45" x14ac:dyDescent="0.45">
      <c r="A121">
        <f>step3_validation[[#This Row],[AI_ENF1]]</f>
        <v>7</v>
      </c>
      <c r="B121">
        <f t="shared" si="27"/>
        <v>0.66666666666666663</v>
      </c>
      <c r="C121">
        <f>[1]!survey_responses[[#This Row],[Tôi tin rằng với các quy định quản lý thuế hiện nay, hành vi gian lận hoặc trốn thuế sẽ dễ dàng bị phát hiện và xử lý nghiêm. - HUMAN-ENF1]]</f>
        <v>6</v>
      </c>
      <c r="D121">
        <f t="shared" si="28"/>
        <v>0.55555555555555558</v>
      </c>
      <c r="E121">
        <f>step3_validation[[#This Row],[AI_ENF2]]</f>
        <v>6</v>
      </c>
      <c r="F121">
        <f t="shared" si="29"/>
        <v>0.55555555555555558</v>
      </c>
      <c r="G121">
        <f>[1]!survey_responses[[#This Row],[Tôi tin rằng Nhà nước, cơ quan thuế có đủ khả năng và công nghệ để phát hiện, xử lý nghiêm các hành vi trốn thuế. - HUMAN-ENF2]]</f>
        <v>6</v>
      </c>
      <c r="H121">
        <f t="shared" si="30"/>
        <v>0.55555555555555558</v>
      </c>
      <c r="I121" s="32">
        <f t="shared" si="31"/>
        <v>0.61111111111111116</v>
      </c>
      <c r="J121" s="32">
        <f t="shared" si="32"/>
        <v>0.55555555555555558</v>
      </c>
      <c r="K121">
        <f>step3_validation[[#This Row],[AI_FAC1]]</f>
        <v>8</v>
      </c>
      <c r="L121">
        <f t="shared" si="33"/>
        <v>0.77777777777777779</v>
      </c>
      <c r="M121">
        <f>[1]!survey_responses[[#This Row],[Các thủ tục khai báo thuế VÀ/HOẶC quy trình làm việc với cơ quan thuế đơn giản, tiện lợi, nhanh chóng hơn so với trước đây. - HUMAN-FAC1]]</f>
        <v>6</v>
      </c>
      <c r="N121">
        <f t="shared" si="34"/>
        <v>0.55555555555555558</v>
      </c>
      <c r="O121">
        <f>step3_validation[[#This Row],[AI_FAC2]]</f>
        <v>5</v>
      </c>
      <c r="P121">
        <f t="shared" si="35"/>
        <v>0.44444444444444442</v>
      </c>
      <c r="Q121">
        <f>[1]!survey_responses[[#This Row],[So với trước đây, tôi thấy cách tính thuế và các bậc thuế trong phương án mới đơn giản, dễ hiểu và dễ thực hiện hơn. - HUMAN-FAC2]]</f>
        <v>6</v>
      </c>
      <c r="R121">
        <f t="shared" si="36"/>
        <v>0.55555555555555558</v>
      </c>
      <c r="S121" s="32">
        <f t="shared" si="37"/>
        <v>0.61111111111111116</v>
      </c>
      <c r="T121" s="32">
        <f t="shared" si="38"/>
        <v>0.55555555555555558</v>
      </c>
      <c r="U121">
        <f>step3_validation[[#This Row],[AI_TRU1]]</f>
        <v>7</v>
      </c>
      <c r="V121">
        <f t="shared" si="39"/>
        <v>0.66666666666666663</v>
      </c>
      <c r="W121">
        <f>[1]!survey_responses[[#This Row],[Tôi tin rằng Nhà nước, cơ quan thuế sẽ thực thi chính sách mới một cách khách quan, công tâm và đối xử bình đẳng với mọi người nộp thuế.  - HUMAN-TRU1]]</f>
        <v>6</v>
      </c>
      <c r="X121">
        <f t="shared" si="40"/>
        <v>0.55555555555555558</v>
      </c>
      <c r="Y121">
        <f>step3_validation[[#This Row],[AI_TRU2]]</f>
        <v>4</v>
      </c>
      <c r="Z121">
        <f t="shared" si="41"/>
        <v>0.33333333333333331</v>
      </c>
      <c r="AA121">
        <f>[1]!survey_responses[[#This Row],[Tôi thấy mức thuế tôi phải đóng theo phương án mới là công bằng (người thu nhập như tôi đóng mức này là hợp lý). - HUMAN-TRU2]]</f>
        <v>6</v>
      </c>
      <c r="AB121">
        <f t="shared" si="42"/>
        <v>0.55555555555555558</v>
      </c>
      <c r="AC121">
        <f>step3_validation[[#This Row],[AI_TRU3]]</f>
        <v>6</v>
      </c>
      <c r="AD121">
        <f t="shared" si="43"/>
        <v>0.55555555555555558</v>
      </c>
      <c r="AE121">
        <f>[1]!survey_responses[[#This Row],[Tôi tin tưởng số tiền thuế tôi đóng sẽ được Nhà nước sử dụng hiệu quả để cải thiện dịch vụ công (y tế, đường xá...). - HUMAN-TRU3]]</f>
        <v>6</v>
      </c>
      <c r="AF121">
        <f t="shared" si="44"/>
        <v>0.55555555555555558</v>
      </c>
      <c r="AG121">
        <f>step3_validation[[#This Row],[AI_TRU4]]</f>
        <v>5</v>
      </c>
      <c r="AH121">
        <f t="shared" si="45"/>
        <v>0.44444444444444442</v>
      </c>
      <c r="AI121">
        <f>[1]!survey_responses[[#This Row],[Tôi thấy Nhà nước đã giải thích rõ ràng, minh bạch về lý do và mục tiêu của việc sửa đổi thuế lần này. - HUMAN-TRU4]]</f>
        <v>6</v>
      </c>
      <c r="AJ121">
        <f t="shared" si="46"/>
        <v>0.55555555555555558</v>
      </c>
      <c r="AK121" s="32">
        <f t="shared" si="47"/>
        <v>0.5</v>
      </c>
      <c r="AL121" s="32">
        <f t="shared" si="48"/>
        <v>0.55555555555555558</v>
      </c>
      <c r="AM121" s="7">
        <f t="shared" si="49"/>
        <v>0.57407407407407407</v>
      </c>
      <c r="AN121" s="7">
        <f t="shared" si="50"/>
        <v>0.55555555555555558</v>
      </c>
      <c r="AO121">
        <f>step3_validation[[#This Row],[AI_OUT1]]</f>
        <v>6</v>
      </c>
      <c r="AP121">
        <f t="shared" si="51"/>
        <v>0.55555555555555558</v>
      </c>
      <c r="AQ121">
        <f>[1]!survey_responses[[#This Row],[Sau khi xem xét các quyền lợi và nghĩa vụ, bạn có ủng hộ và tuân thủ chính sách mới hiện nay? - HUMAN-OUT1]]</f>
        <v>6</v>
      </c>
      <c r="AR121">
        <f t="shared" si="52"/>
        <v>0.55555555555555558</v>
      </c>
      <c r="AS121" s="32">
        <f t="shared" si="53"/>
        <v>0</v>
      </c>
    </row>
    <row r="122" spans="1:45" x14ac:dyDescent="0.45">
      <c r="A122">
        <f>step3_validation[[#This Row],[AI_ENF1]]</f>
        <v>7</v>
      </c>
      <c r="B122">
        <f t="shared" si="27"/>
        <v>0.66666666666666663</v>
      </c>
      <c r="C122">
        <f>[1]!survey_responses[[#This Row],[Tôi tin rằng với các quy định quản lý thuế hiện nay, hành vi gian lận hoặc trốn thuế sẽ dễ dàng bị phát hiện và xử lý nghiêm. - HUMAN-ENF1]]</f>
        <v>1</v>
      </c>
      <c r="D122">
        <f t="shared" si="28"/>
        <v>0</v>
      </c>
      <c r="E122">
        <f>step3_validation[[#This Row],[AI_ENF2]]</f>
        <v>6</v>
      </c>
      <c r="F122">
        <f t="shared" si="29"/>
        <v>0.55555555555555558</v>
      </c>
      <c r="G122">
        <f>[1]!survey_responses[[#This Row],[Tôi tin rằng Nhà nước, cơ quan thuế có đủ khả năng và công nghệ để phát hiện, xử lý nghiêm các hành vi trốn thuế. - HUMAN-ENF2]]</f>
        <v>1</v>
      </c>
      <c r="H122">
        <f t="shared" si="30"/>
        <v>0</v>
      </c>
      <c r="I122" s="32">
        <f t="shared" si="31"/>
        <v>0.61111111111111116</v>
      </c>
      <c r="J122" s="32">
        <f t="shared" si="32"/>
        <v>0</v>
      </c>
      <c r="K122">
        <f>step3_validation[[#This Row],[AI_FAC1]]</f>
        <v>5</v>
      </c>
      <c r="L122">
        <f t="shared" si="33"/>
        <v>0.44444444444444442</v>
      </c>
      <c r="M122">
        <f>[1]!survey_responses[[#This Row],[Các thủ tục khai báo thuế VÀ/HOẶC quy trình làm việc với cơ quan thuế đơn giản, tiện lợi, nhanh chóng hơn so với trước đây. - HUMAN-FAC1]]</f>
        <v>1</v>
      </c>
      <c r="N122">
        <f t="shared" si="34"/>
        <v>0</v>
      </c>
      <c r="O122">
        <f>step3_validation[[#This Row],[AI_FAC2]]</f>
        <v>6</v>
      </c>
      <c r="P122">
        <f t="shared" si="35"/>
        <v>0.55555555555555558</v>
      </c>
      <c r="Q122">
        <f>[1]!survey_responses[[#This Row],[So với trước đây, tôi thấy cách tính thuế và các bậc thuế trong phương án mới đơn giản, dễ hiểu và dễ thực hiện hơn. - HUMAN-FAC2]]</f>
        <v>5</v>
      </c>
      <c r="R122">
        <f t="shared" si="36"/>
        <v>0.44444444444444442</v>
      </c>
      <c r="S122" s="32">
        <f t="shared" si="37"/>
        <v>0.5</v>
      </c>
      <c r="T122" s="32">
        <f t="shared" si="38"/>
        <v>0.22222222222222221</v>
      </c>
      <c r="U122">
        <f>step3_validation[[#This Row],[AI_TRU1]]</f>
        <v>7</v>
      </c>
      <c r="V122">
        <f t="shared" si="39"/>
        <v>0.66666666666666663</v>
      </c>
      <c r="W122">
        <f>[1]!survey_responses[[#This Row],[Tôi tin rằng Nhà nước, cơ quan thuế sẽ thực thi chính sách mới một cách khách quan, công tâm và đối xử bình đẳng với mọi người nộp thuế.  - HUMAN-TRU1]]</f>
        <v>1</v>
      </c>
      <c r="X122">
        <f t="shared" si="40"/>
        <v>0</v>
      </c>
      <c r="Y122">
        <f>step3_validation[[#This Row],[AI_TRU2]]</f>
        <v>4</v>
      </c>
      <c r="Z122">
        <f t="shared" si="41"/>
        <v>0.33333333333333331</v>
      </c>
      <c r="AA122">
        <f>[1]!survey_responses[[#This Row],[Tôi thấy mức thuế tôi phải đóng theo phương án mới là công bằng (người thu nhập như tôi đóng mức này là hợp lý). - HUMAN-TRU2]]</f>
        <v>1</v>
      </c>
      <c r="AB122">
        <f t="shared" si="42"/>
        <v>0</v>
      </c>
      <c r="AC122">
        <f>step3_validation[[#This Row],[AI_TRU3]]</f>
        <v>5</v>
      </c>
      <c r="AD122">
        <f t="shared" si="43"/>
        <v>0.44444444444444442</v>
      </c>
      <c r="AE122">
        <f>[1]!survey_responses[[#This Row],[Tôi tin tưởng số tiền thuế tôi đóng sẽ được Nhà nước sử dụng hiệu quả để cải thiện dịch vụ công (y tế, đường xá...). - HUMAN-TRU3]]</f>
        <v>1</v>
      </c>
      <c r="AF122">
        <f t="shared" si="44"/>
        <v>0</v>
      </c>
      <c r="AG122">
        <f>step3_validation[[#This Row],[AI_TRU4]]</f>
        <v>3</v>
      </c>
      <c r="AH122">
        <f t="shared" si="45"/>
        <v>0.22222222222222221</v>
      </c>
      <c r="AI122">
        <f>[1]!survey_responses[[#This Row],[Tôi thấy Nhà nước đã giải thích rõ ràng, minh bạch về lý do và mục tiêu của việc sửa đổi thuế lần này. - HUMAN-TRU4]]</f>
        <v>1</v>
      </c>
      <c r="AJ122">
        <f t="shared" si="46"/>
        <v>0</v>
      </c>
      <c r="AK122" s="32">
        <f t="shared" si="47"/>
        <v>0.41666666666666663</v>
      </c>
      <c r="AL122" s="32">
        <f t="shared" si="48"/>
        <v>0</v>
      </c>
      <c r="AM122" s="7">
        <f t="shared" si="49"/>
        <v>0.50925925925925919</v>
      </c>
      <c r="AN122" s="7">
        <f t="shared" si="50"/>
        <v>7.407407407407407E-2</v>
      </c>
      <c r="AO122">
        <f>step3_validation[[#This Row],[AI_OUT1]]</f>
        <v>6</v>
      </c>
      <c r="AP122">
        <f t="shared" si="51"/>
        <v>0.55555555555555558</v>
      </c>
      <c r="AQ122">
        <f>[1]!survey_responses[[#This Row],[Sau khi xem xét các quyền lợi và nghĩa vụ, bạn có ủng hộ và tuân thủ chính sách mới hiện nay? - HUMAN-OUT1]]</f>
        <v>5</v>
      </c>
      <c r="AR122">
        <f t="shared" si="52"/>
        <v>0.44444444444444442</v>
      </c>
      <c r="AS122" s="32">
        <f t="shared" si="53"/>
        <v>1</v>
      </c>
    </row>
    <row r="123" spans="1:45" x14ac:dyDescent="0.45">
      <c r="A123">
        <f>step3_validation[[#This Row],[AI_ENF1]]</f>
        <v>8</v>
      </c>
      <c r="B123">
        <f t="shared" si="27"/>
        <v>0.77777777777777779</v>
      </c>
      <c r="C123">
        <f>[1]!survey_responses[[#This Row],[Tôi tin rằng với các quy định quản lý thuế hiện nay, hành vi gian lận hoặc trốn thuế sẽ dễ dàng bị phát hiện và xử lý nghiêm. - HUMAN-ENF1]]</f>
        <v>4</v>
      </c>
      <c r="D123">
        <f t="shared" si="28"/>
        <v>0.33333333333333331</v>
      </c>
      <c r="E123">
        <f>step3_validation[[#This Row],[AI_ENF2]]</f>
        <v>7</v>
      </c>
      <c r="F123">
        <f t="shared" si="29"/>
        <v>0.66666666666666663</v>
      </c>
      <c r="G123">
        <f>[1]!survey_responses[[#This Row],[Tôi tin rằng Nhà nước, cơ quan thuế có đủ khả năng và công nghệ để phát hiện, xử lý nghiêm các hành vi trốn thuế. - HUMAN-ENF2]]</f>
        <v>4</v>
      </c>
      <c r="H123">
        <f t="shared" si="30"/>
        <v>0.33333333333333331</v>
      </c>
      <c r="I123" s="32">
        <f t="shared" si="31"/>
        <v>0.72222222222222221</v>
      </c>
      <c r="J123" s="32">
        <f t="shared" si="32"/>
        <v>0.33333333333333331</v>
      </c>
      <c r="K123">
        <f>step3_validation[[#This Row],[AI_FAC1]]</f>
        <v>6</v>
      </c>
      <c r="L123">
        <f t="shared" si="33"/>
        <v>0.55555555555555558</v>
      </c>
      <c r="M123">
        <f>[1]!survey_responses[[#This Row],[Các thủ tục khai báo thuế VÀ/HOẶC quy trình làm việc với cơ quan thuế đơn giản, tiện lợi, nhanh chóng hơn so với trước đây. - HUMAN-FAC1]]</f>
        <v>2</v>
      </c>
      <c r="N123">
        <f t="shared" si="34"/>
        <v>0.1111111111111111</v>
      </c>
      <c r="O123">
        <f>step3_validation[[#This Row],[AI_FAC2]]</f>
        <v>7</v>
      </c>
      <c r="P123">
        <f t="shared" si="35"/>
        <v>0.66666666666666663</v>
      </c>
      <c r="Q123">
        <f>[1]!survey_responses[[#This Row],[So với trước đây, tôi thấy cách tính thuế và các bậc thuế trong phương án mới đơn giản, dễ hiểu và dễ thực hiện hơn. - HUMAN-FAC2]]</f>
        <v>5</v>
      </c>
      <c r="R123">
        <f t="shared" si="36"/>
        <v>0.44444444444444442</v>
      </c>
      <c r="S123" s="32">
        <f t="shared" si="37"/>
        <v>0.61111111111111116</v>
      </c>
      <c r="T123" s="32">
        <f t="shared" si="38"/>
        <v>0.27777777777777779</v>
      </c>
      <c r="U123">
        <f>step3_validation[[#This Row],[AI_TRU1]]</f>
        <v>8</v>
      </c>
      <c r="V123">
        <f t="shared" si="39"/>
        <v>0.77777777777777779</v>
      </c>
      <c r="W123">
        <f>[1]!survey_responses[[#This Row],[Tôi tin rằng Nhà nước, cơ quan thuế sẽ thực thi chính sách mới một cách khách quan, công tâm và đối xử bình đẳng với mọi người nộp thuế.  - HUMAN-TRU1]]</f>
        <v>1</v>
      </c>
      <c r="X123">
        <f t="shared" si="40"/>
        <v>0</v>
      </c>
      <c r="Y123">
        <f>step3_validation[[#This Row],[AI_TRU2]]</f>
        <v>6</v>
      </c>
      <c r="Z123">
        <f t="shared" si="41"/>
        <v>0.55555555555555558</v>
      </c>
      <c r="AA123">
        <f>[1]!survey_responses[[#This Row],[Tôi thấy mức thuế tôi phải đóng theo phương án mới là công bằng (người thu nhập như tôi đóng mức này là hợp lý). - HUMAN-TRU2]]</f>
        <v>1</v>
      </c>
      <c r="AB123">
        <f t="shared" si="42"/>
        <v>0</v>
      </c>
      <c r="AC123">
        <f>step3_validation[[#This Row],[AI_TRU3]]</f>
        <v>6</v>
      </c>
      <c r="AD123">
        <f t="shared" si="43"/>
        <v>0.55555555555555558</v>
      </c>
      <c r="AE123">
        <f>[1]!survey_responses[[#This Row],[Tôi tin tưởng số tiền thuế tôi đóng sẽ được Nhà nước sử dụng hiệu quả để cải thiện dịch vụ công (y tế, đường xá...). - HUMAN-TRU3]]</f>
        <v>1</v>
      </c>
      <c r="AF123">
        <f t="shared" si="44"/>
        <v>0</v>
      </c>
      <c r="AG123">
        <f>step3_validation[[#This Row],[AI_TRU4]]</f>
        <v>6</v>
      </c>
      <c r="AH123">
        <f t="shared" si="45"/>
        <v>0.55555555555555558</v>
      </c>
      <c r="AI123">
        <f>[1]!survey_responses[[#This Row],[Tôi thấy Nhà nước đã giải thích rõ ràng, minh bạch về lý do và mục tiêu của việc sửa đổi thuế lần này. - HUMAN-TRU4]]</f>
        <v>4</v>
      </c>
      <c r="AJ123">
        <f t="shared" si="46"/>
        <v>0.33333333333333331</v>
      </c>
      <c r="AK123" s="32">
        <f t="shared" si="47"/>
        <v>0.61111111111111116</v>
      </c>
      <c r="AL123" s="32">
        <f t="shared" si="48"/>
        <v>8.3333333333333329E-2</v>
      </c>
      <c r="AM123" s="7">
        <f t="shared" si="49"/>
        <v>0.64814814814814825</v>
      </c>
      <c r="AN123" s="7">
        <f t="shared" si="50"/>
        <v>0.23148148148148151</v>
      </c>
      <c r="AO123">
        <f>step3_validation[[#This Row],[AI_OUT1]]</f>
        <v>7</v>
      </c>
      <c r="AP123">
        <f t="shared" si="51"/>
        <v>0.66666666666666663</v>
      </c>
      <c r="AQ123">
        <f>[1]!survey_responses[[#This Row],[Sau khi xem xét các quyền lợi và nghĩa vụ, bạn có ủng hộ và tuân thủ chính sách mới hiện nay? - HUMAN-OUT1]]</f>
        <v>4</v>
      </c>
      <c r="AR123">
        <f t="shared" si="52"/>
        <v>0.33333333333333331</v>
      </c>
      <c r="AS123" s="32">
        <f t="shared" si="53"/>
        <v>3</v>
      </c>
    </row>
    <row r="124" spans="1:45" x14ac:dyDescent="0.45">
      <c r="A124">
        <f>step3_validation[[#This Row],[AI_ENF1]]</f>
        <v>7</v>
      </c>
      <c r="B124">
        <f t="shared" si="27"/>
        <v>0.66666666666666663</v>
      </c>
      <c r="C124">
        <f>[1]!survey_responses[[#This Row],[Tôi tin rằng với các quy định quản lý thuế hiện nay, hành vi gian lận hoặc trốn thuế sẽ dễ dàng bị phát hiện và xử lý nghiêm. - HUMAN-ENF1]]</f>
        <v>7</v>
      </c>
      <c r="D124">
        <f t="shared" si="28"/>
        <v>0.66666666666666663</v>
      </c>
      <c r="E124">
        <f>step3_validation[[#This Row],[AI_ENF2]]</f>
        <v>6</v>
      </c>
      <c r="F124">
        <f t="shared" si="29"/>
        <v>0.55555555555555558</v>
      </c>
      <c r="G124">
        <f>[1]!survey_responses[[#This Row],[Tôi tin rằng Nhà nước, cơ quan thuế có đủ khả năng và công nghệ để phát hiện, xử lý nghiêm các hành vi trốn thuế. - HUMAN-ENF2]]</f>
        <v>7</v>
      </c>
      <c r="H124">
        <f t="shared" si="30"/>
        <v>0.66666666666666663</v>
      </c>
      <c r="I124" s="32">
        <f t="shared" si="31"/>
        <v>0.61111111111111116</v>
      </c>
      <c r="J124" s="32">
        <f t="shared" si="32"/>
        <v>0.66666666666666663</v>
      </c>
      <c r="K124">
        <f>step3_validation[[#This Row],[AI_FAC1]]</f>
        <v>8</v>
      </c>
      <c r="L124">
        <f t="shared" si="33"/>
        <v>0.77777777777777779</v>
      </c>
      <c r="M124">
        <f>[1]!survey_responses[[#This Row],[Các thủ tục khai báo thuế VÀ/HOẶC quy trình làm việc với cơ quan thuế đơn giản, tiện lợi, nhanh chóng hơn so với trước đây. - HUMAN-FAC1]]</f>
        <v>7</v>
      </c>
      <c r="N124">
        <f t="shared" si="34"/>
        <v>0.66666666666666663</v>
      </c>
      <c r="O124">
        <f>step3_validation[[#This Row],[AI_FAC2]]</f>
        <v>9</v>
      </c>
      <c r="P124">
        <f t="shared" si="35"/>
        <v>0.88888888888888884</v>
      </c>
      <c r="Q124">
        <f>[1]!survey_responses[[#This Row],[So với trước đây, tôi thấy cách tính thuế và các bậc thuế trong phương án mới đơn giản, dễ hiểu và dễ thực hiện hơn. - HUMAN-FAC2]]</f>
        <v>7</v>
      </c>
      <c r="R124">
        <f t="shared" si="36"/>
        <v>0.66666666666666663</v>
      </c>
      <c r="S124" s="32">
        <f t="shared" si="37"/>
        <v>0.83333333333333326</v>
      </c>
      <c r="T124" s="32">
        <f t="shared" si="38"/>
        <v>0.66666666666666663</v>
      </c>
      <c r="U124">
        <f>step3_validation[[#This Row],[AI_TRU1]]</f>
        <v>7</v>
      </c>
      <c r="V124">
        <f t="shared" si="39"/>
        <v>0.66666666666666663</v>
      </c>
      <c r="W124">
        <f>[1]!survey_responses[[#This Row],[Tôi tin rằng Nhà nước, cơ quan thuế sẽ thực thi chính sách mới một cách khách quan, công tâm và đối xử bình đẳng với mọi người nộp thuế.  - HUMAN-TRU1]]</f>
        <v>7</v>
      </c>
      <c r="X124">
        <f t="shared" si="40"/>
        <v>0.66666666666666663</v>
      </c>
      <c r="Y124">
        <f>step3_validation[[#This Row],[AI_TRU2]]</f>
        <v>6</v>
      </c>
      <c r="Z124">
        <f t="shared" si="41"/>
        <v>0.55555555555555558</v>
      </c>
      <c r="AA124">
        <f>[1]!survey_responses[[#This Row],[Tôi thấy mức thuế tôi phải đóng theo phương án mới là công bằng (người thu nhập như tôi đóng mức này là hợp lý). - HUMAN-TRU2]]</f>
        <v>7</v>
      </c>
      <c r="AB124">
        <f t="shared" si="42"/>
        <v>0.66666666666666663</v>
      </c>
      <c r="AC124">
        <f>step3_validation[[#This Row],[AI_TRU3]]</f>
        <v>7</v>
      </c>
      <c r="AD124">
        <f t="shared" si="43"/>
        <v>0.66666666666666663</v>
      </c>
      <c r="AE124">
        <f>[1]!survey_responses[[#This Row],[Tôi tin tưởng số tiền thuế tôi đóng sẽ được Nhà nước sử dụng hiệu quả để cải thiện dịch vụ công (y tế, đường xá...). - HUMAN-TRU3]]</f>
        <v>7</v>
      </c>
      <c r="AF124">
        <f t="shared" si="44"/>
        <v>0.66666666666666663</v>
      </c>
      <c r="AG124">
        <f>step3_validation[[#This Row],[AI_TRU4]]</f>
        <v>6</v>
      </c>
      <c r="AH124">
        <f t="shared" si="45"/>
        <v>0.55555555555555558</v>
      </c>
      <c r="AI124">
        <f>[1]!survey_responses[[#This Row],[Tôi thấy Nhà nước đã giải thích rõ ràng, minh bạch về lý do và mục tiêu của việc sửa đổi thuế lần này. - HUMAN-TRU4]]</f>
        <v>7</v>
      </c>
      <c r="AJ124">
        <f t="shared" si="46"/>
        <v>0.66666666666666663</v>
      </c>
      <c r="AK124" s="32">
        <f t="shared" si="47"/>
        <v>0.61111111111111116</v>
      </c>
      <c r="AL124" s="32">
        <f t="shared" si="48"/>
        <v>0.66666666666666663</v>
      </c>
      <c r="AM124" s="7">
        <f t="shared" si="49"/>
        <v>0.68518518518518512</v>
      </c>
      <c r="AN124" s="7">
        <f t="shared" si="50"/>
        <v>0.66666666666666663</v>
      </c>
      <c r="AO124">
        <f>step3_validation[[#This Row],[AI_OUT1]]</f>
        <v>7</v>
      </c>
      <c r="AP124">
        <f t="shared" si="51"/>
        <v>0.66666666666666663</v>
      </c>
      <c r="AQ124">
        <f>[1]!survey_responses[[#This Row],[Sau khi xem xét các quyền lợi và nghĩa vụ, bạn có ủng hộ và tuân thủ chính sách mới hiện nay? - HUMAN-OUT1]]</f>
        <v>8</v>
      </c>
      <c r="AR124">
        <f t="shared" si="52"/>
        <v>0.77777777777777779</v>
      </c>
      <c r="AS124" s="32">
        <f t="shared" si="53"/>
        <v>1</v>
      </c>
    </row>
    <row r="125" spans="1:45" x14ac:dyDescent="0.45">
      <c r="A125">
        <f>step3_validation[[#This Row],[AI_ENF1]]</f>
        <v>7</v>
      </c>
      <c r="B125">
        <f t="shared" si="27"/>
        <v>0.66666666666666663</v>
      </c>
      <c r="C125">
        <f>[1]!survey_responses[[#This Row],[Tôi tin rằng với các quy định quản lý thuế hiện nay, hành vi gian lận hoặc trốn thuế sẽ dễ dàng bị phát hiện và xử lý nghiêm. - HUMAN-ENF1]]</f>
        <v>10</v>
      </c>
      <c r="D125">
        <f t="shared" si="28"/>
        <v>1</v>
      </c>
      <c r="E125">
        <f>step3_validation[[#This Row],[AI_ENF2]]</f>
        <v>8</v>
      </c>
      <c r="F125">
        <f t="shared" si="29"/>
        <v>0.77777777777777779</v>
      </c>
      <c r="G125">
        <f>[1]!survey_responses[[#This Row],[Tôi tin rằng Nhà nước, cơ quan thuế có đủ khả năng và công nghệ để phát hiện, xử lý nghiêm các hành vi trốn thuế. - HUMAN-ENF2]]</f>
        <v>9</v>
      </c>
      <c r="H125">
        <f t="shared" si="30"/>
        <v>0.88888888888888884</v>
      </c>
      <c r="I125" s="32">
        <f t="shared" si="31"/>
        <v>0.72222222222222221</v>
      </c>
      <c r="J125" s="32">
        <f t="shared" si="32"/>
        <v>0.94444444444444442</v>
      </c>
      <c r="K125">
        <f>step3_validation[[#This Row],[AI_FAC1]]</f>
        <v>9</v>
      </c>
      <c r="L125">
        <f t="shared" si="33"/>
        <v>0.88888888888888884</v>
      </c>
      <c r="M125">
        <f>[1]!survey_responses[[#This Row],[Các thủ tục khai báo thuế VÀ/HOẶC quy trình làm việc với cơ quan thuế đơn giản, tiện lợi, nhanh chóng hơn so với trước đây. - HUMAN-FAC1]]</f>
        <v>10</v>
      </c>
      <c r="N125">
        <f t="shared" si="34"/>
        <v>1</v>
      </c>
      <c r="O125">
        <f>step3_validation[[#This Row],[AI_FAC2]]</f>
        <v>8</v>
      </c>
      <c r="P125">
        <f t="shared" si="35"/>
        <v>0.77777777777777779</v>
      </c>
      <c r="Q125">
        <f>[1]!survey_responses[[#This Row],[So với trước đây, tôi thấy cách tính thuế và các bậc thuế trong phương án mới đơn giản, dễ hiểu và dễ thực hiện hơn. - HUMAN-FAC2]]</f>
        <v>10</v>
      </c>
      <c r="R125">
        <f t="shared" si="36"/>
        <v>1</v>
      </c>
      <c r="S125" s="32">
        <f t="shared" si="37"/>
        <v>0.83333333333333326</v>
      </c>
      <c r="T125" s="32">
        <f t="shared" si="38"/>
        <v>1</v>
      </c>
      <c r="U125">
        <f>step3_validation[[#This Row],[AI_TRU1]]</f>
        <v>6</v>
      </c>
      <c r="V125">
        <f t="shared" si="39"/>
        <v>0.55555555555555558</v>
      </c>
      <c r="W125">
        <f>[1]!survey_responses[[#This Row],[Tôi tin rằng Nhà nước, cơ quan thuế sẽ thực thi chính sách mới một cách khách quan, công tâm và đối xử bình đẳng với mọi người nộp thuế.  - HUMAN-TRU1]]</f>
        <v>10</v>
      </c>
      <c r="X125">
        <f t="shared" si="40"/>
        <v>1</v>
      </c>
      <c r="Y125">
        <f>step3_validation[[#This Row],[AI_TRU2]]</f>
        <v>7</v>
      </c>
      <c r="Z125">
        <f t="shared" si="41"/>
        <v>0.66666666666666663</v>
      </c>
      <c r="AA125">
        <f>[1]!survey_responses[[#This Row],[Tôi thấy mức thuế tôi phải đóng theo phương án mới là công bằng (người thu nhập như tôi đóng mức này là hợp lý). - HUMAN-TRU2]]</f>
        <v>8</v>
      </c>
      <c r="AB125">
        <f t="shared" si="42"/>
        <v>0.77777777777777779</v>
      </c>
      <c r="AC125">
        <f>step3_validation[[#This Row],[AI_TRU3]]</f>
        <v>6</v>
      </c>
      <c r="AD125">
        <f t="shared" si="43"/>
        <v>0.55555555555555558</v>
      </c>
      <c r="AE125">
        <f>[1]!survey_responses[[#This Row],[Tôi tin tưởng số tiền thuế tôi đóng sẽ được Nhà nước sử dụng hiệu quả để cải thiện dịch vụ công (y tế, đường xá...). - HUMAN-TRU3]]</f>
        <v>9</v>
      </c>
      <c r="AF125">
        <f t="shared" si="44"/>
        <v>0.88888888888888884</v>
      </c>
      <c r="AG125">
        <f>step3_validation[[#This Row],[AI_TRU4]]</f>
        <v>5</v>
      </c>
      <c r="AH125">
        <f t="shared" si="45"/>
        <v>0.44444444444444442</v>
      </c>
      <c r="AI125">
        <f>[1]!survey_responses[[#This Row],[Tôi thấy Nhà nước đã giải thích rõ ràng, minh bạch về lý do và mục tiêu của việc sửa đổi thuế lần này. - HUMAN-TRU4]]</f>
        <v>9</v>
      </c>
      <c r="AJ125">
        <f t="shared" si="46"/>
        <v>0.88888888888888884</v>
      </c>
      <c r="AK125" s="32">
        <f t="shared" si="47"/>
        <v>0.55555555555555558</v>
      </c>
      <c r="AL125" s="32">
        <f t="shared" si="48"/>
        <v>0.88888888888888884</v>
      </c>
      <c r="AM125" s="7">
        <f t="shared" si="49"/>
        <v>0.70370370370370361</v>
      </c>
      <c r="AN125" s="7">
        <f t="shared" si="50"/>
        <v>0.94444444444444431</v>
      </c>
      <c r="AO125">
        <f>step3_validation[[#This Row],[AI_OUT1]]</f>
        <v>4</v>
      </c>
      <c r="AP125">
        <f t="shared" si="51"/>
        <v>0.33333333333333331</v>
      </c>
      <c r="AQ125">
        <f>[1]!survey_responses[[#This Row],[Sau khi xem xét các quyền lợi và nghĩa vụ, bạn có ủng hộ và tuân thủ chính sách mới hiện nay? - HUMAN-OUT1]]</f>
        <v>9</v>
      </c>
      <c r="AR125">
        <f t="shared" si="52"/>
        <v>0.88888888888888884</v>
      </c>
      <c r="AS125" s="32">
        <f t="shared" si="53"/>
        <v>5</v>
      </c>
    </row>
    <row r="126" spans="1:45" x14ac:dyDescent="0.45">
      <c r="A126">
        <f>step3_validation[[#This Row],[AI_ENF1]]</f>
        <v>6</v>
      </c>
      <c r="B126">
        <f t="shared" si="27"/>
        <v>0.55555555555555558</v>
      </c>
      <c r="C126">
        <f>[1]!survey_responses[[#This Row],[Tôi tin rằng với các quy định quản lý thuế hiện nay, hành vi gian lận hoặc trốn thuế sẽ dễ dàng bị phát hiện và xử lý nghiêm. - HUMAN-ENF1]]</f>
        <v>10</v>
      </c>
      <c r="D126">
        <f t="shared" si="28"/>
        <v>1</v>
      </c>
      <c r="E126">
        <f>step3_validation[[#This Row],[AI_ENF2]]</f>
        <v>7</v>
      </c>
      <c r="F126">
        <f t="shared" si="29"/>
        <v>0.66666666666666663</v>
      </c>
      <c r="G126">
        <f>[1]!survey_responses[[#This Row],[Tôi tin rằng Nhà nước, cơ quan thuế có đủ khả năng và công nghệ để phát hiện, xử lý nghiêm các hành vi trốn thuế. - HUMAN-ENF2]]</f>
        <v>10</v>
      </c>
      <c r="H126">
        <f t="shared" si="30"/>
        <v>1</v>
      </c>
      <c r="I126" s="32">
        <f t="shared" si="31"/>
        <v>0.61111111111111116</v>
      </c>
      <c r="J126" s="32">
        <f t="shared" si="32"/>
        <v>1</v>
      </c>
      <c r="K126">
        <f>step3_validation[[#This Row],[AI_FAC1]]</f>
        <v>5</v>
      </c>
      <c r="L126">
        <f t="shared" si="33"/>
        <v>0.44444444444444442</v>
      </c>
      <c r="M126">
        <f>[1]!survey_responses[[#This Row],[Các thủ tục khai báo thuế VÀ/HOẶC quy trình làm việc với cơ quan thuế đơn giản, tiện lợi, nhanh chóng hơn so với trước đây. - HUMAN-FAC1]]</f>
        <v>10</v>
      </c>
      <c r="N126">
        <f t="shared" si="34"/>
        <v>1</v>
      </c>
      <c r="O126">
        <f>step3_validation[[#This Row],[AI_FAC2]]</f>
        <v>8</v>
      </c>
      <c r="P126">
        <f t="shared" si="35"/>
        <v>0.77777777777777779</v>
      </c>
      <c r="Q126">
        <f>[1]!survey_responses[[#This Row],[So với trước đây, tôi thấy cách tính thuế và các bậc thuế trong phương án mới đơn giản, dễ hiểu và dễ thực hiện hơn. - HUMAN-FAC2]]</f>
        <v>10</v>
      </c>
      <c r="R126">
        <f t="shared" si="36"/>
        <v>1</v>
      </c>
      <c r="S126" s="32">
        <f t="shared" si="37"/>
        <v>0.61111111111111116</v>
      </c>
      <c r="T126" s="32">
        <f t="shared" si="38"/>
        <v>1</v>
      </c>
      <c r="U126">
        <f>step3_validation[[#This Row],[AI_TRU1]]</f>
        <v>9</v>
      </c>
      <c r="V126">
        <f t="shared" si="39"/>
        <v>0.88888888888888884</v>
      </c>
      <c r="W126">
        <f>[1]!survey_responses[[#This Row],[Tôi tin rằng Nhà nước, cơ quan thuế sẽ thực thi chính sách mới một cách khách quan, công tâm và đối xử bình đẳng với mọi người nộp thuế.  - HUMAN-TRU1]]</f>
        <v>10</v>
      </c>
      <c r="X126">
        <f t="shared" si="40"/>
        <v>1</v>
      </c>
      <c r="Y126">
        <f>step3_validation[[#This Row],[AI_TRU2]]</f>
        <v>7</v>
      </c>
      <c r="Z126">
        <f t="shared" si="41"/>
        <v>0.66666666666666663</v>
      </c>
      <c r="AA126">
        <f>[1]!survey_responses[[#This Row],[Tôi thấy mức thuế tôi phải đóng theo phương án mới là công bằng (người thu nhập như tôi đóng mức này là hợp lý). - HUMAN-TRU2]]</f>
        <v>10</v>
      </c>
      <c r="AB126">
        <f t="shared" si="42"/>
        <v>1</v>
      </c>
      <c r="AC126">
        <f>step3_validation[[#This Row],[AI_TRU3]]</f>
        <v>6</v>
      </c>
      <c r="AD126">
        <f t="shared" si="43"/>
        <v>0.55555555555555558</v>
      </c>
      <c r="AE126">
        <f>[1]!survey_responses[[#This Row],[Tôi tin tưởng số tiền thuế tôi đóng sẽ được Nhà nước sử dụng hiệu quả để cải thiện dịch vụ công (y tế, đường xá...). - HUMAN-TRU3]]</f>
        <v>10</v>
      </c>
      <c r="AF126">
        <f t="shared" si="44"/>
        <v>1</v>
      </c>
      <c r="AG126">
        <f>step3_validation[[#This Row],[AI_TRU4]]</f>
        <v>8</v>
      </c>
      <c r="AH126">
        <f t="shared" si="45"/>
        <v>0.77777777777777779</v>
      </c>
      <c r="AI126">
        <f>[1]!survey_responses[[#This Row],[Tôi thấy Nhà nước đã giải thích rõ ràng, minh bạch về lý do và mục tiêu của việc sửa đổi thuế lần này. - HUMAN-TRU4]]</f>
        <v>10</v>
      </c>
      <c r="AJ126">
        <f t="shared" si="46"/>
        <v>1</v>
      </c>
      <c r="AK126" s="32">
        <f t="shared" si="47"/>
        <v>0.7222222222222221</v>
      </c>
      <c r="AL126" s="32">
        <f t="shared" si="48"/>
        <v>1</v>
      </c>
      <c r="AM126" s="7">
        <f t="shared" si="49"/>
        <v>0.64814814814814814</v>
      </c>
      <c r="AN126" s="7">
        <f t="shared" si="50"/>
        <v>1</v>
      </c>
      <c r="AO126">
        <f>step3_validation[[#This Row],[AI_OUT1]]</f>
        <v>7</v>
      </c>
      <c r="AP126">
        <f t="shared" si="51"/>
        <v>0.66666666666666663</v>
      </c>
      <c r="AQ126">
        <f>[1]!survey_responses[[#This Row],[Sau khi xem xét các quyền lợi và nghĩa vụ, bạn có ủng hộ và tuân thủ chính sách mới hiện nay? - HUMAN-OUT1]]</f>
        <v>10</v>
      </c>
      <c r="AR126">
        <f t="shared" si="52"/>
        <v>1</v>
      </c>
      <c r="AS126" s="32">
        <f t="shared" si="53"/>
        <v>3</v>
      </c>
    </row>
    <row r="127" spans="1:45" x14ac:dyDescent="0.45">
      <c r="A127">
        <f>step3_validation[[#This Row],[AI_ENF1]]</f>
        <v>6</v>
      </c>
      <c r="B127">
        <f t="shared" si="27"/>
        <v>0.55555555555555558</v>
      </c>
      <c r="C127">
        <f>[1]!survey_responses[[#This Row],[Tôi tin rằng với các quy định quản lý thuế hiện nay, hành vi gian lận hoặc trốn thuế sẽ dễ dàng bị phát hiện và xử lý nghiêm. - HUMAN-ENF1]]</f>
        <v>8</v>
      </c>
      <c r="D127">
        <f t="shared" si="28"/>
        <v>0.77777777777777779</v>
      </c>
      <c r="E127">
        <f>step3_validation[[#This Row],[AI_ENF2]]</f>
        <v>5</v>
      </c>
      <c r="F127">
        <f t="shared" si="29"/>
        <v>0.44444444444444442</v>
      </c>
      <c r="G127">
        <f>[1]!survey_responses[[#This Row],[Tôi tin rằng Nhà nước, cơ quan thuế có đủ khả năng và công nghệ để phát hiện, xử lý nghiêm các hành vi trốn thuế. - HUMAN-ENF2]]</f>
        <v>8</v>
      </c>
      <c r="H127">
        <f t="shared" si="30"/>
        <v>0.77777777777777779</v>
      </c>
      <c r="I127" s="32">
        <f t="shared" si="31"/>
        <v>0.5</v>
      </c>
      <c r="J127" s="32">
        <f t="shared" si="32"/>
        <v>0.77777777777777779</v>
      </c>
      <c r="K127">
        <f>step3_validation[[#This Row],[AI_FAC1]]</f>
        <v>7</v>
      </c>
      <c r="L127">
        <f t="shared" si="33"/>
        <v>0.66666666666666663</v>
      </c>
      <c r="M127">
        <f>[1]!survey_responses[[#This Row],[Các thủ tục khai báo thuế VÀ/HOẶC quy trình làm việc với cơ quan thuế đơn giản, tiện lợi, nhanh chóng hơn so với trước đây. - HUMAN-FAC1]]</f>
        <v>5</v>
      </c>
      <c r="N127">
        <f t="shared" si="34"/>
        <v>0.44444444444444442</v>
      </c>
      <c r="O127">
        <f>step3_validation[[#This Row],[AI_FAC2]]</f>
        <v>8</v>
      </c>
      <c r="P127">
        <f t="shared" si="35"/>
        <v>0.77777777777777779</v>
      </c>
      <c r="Q127">
        <f>[1]!survey_responses[[#This Row],[So với trước đây, tôi thấy cách tính thuế và các bậc thuế trong phương án mới đơn giản, dễ hiểu và dễ thực hiện hơn. - HUMAN-FAC2]]</f>
        <v>8</v>
      </c>
      <c r="R127">
        <f t="shared" si="36"/>
        <v>0.77777777777777779</v>
      </c>
      <c r="S127" s="32">
        <f t="shared" si="37"/>
        <v>0.72222222222222221</v>
      </c>
      <c r="T127" s="32">
        <f t="shared" si="38"/>
        <v>0.61111111111111116</v>
      </c>
      <c r="U127">
        <f>step3_validation[[#This Row],[AI_TRU1]]</f>
        <v>7</v>
      </c>
      <c r="V127">
        <f t="shared" si="39"/>
        <v>0.66666666666666663</v>
      </c>
      <c r="W127">
        <f>[1]!survey_responses[[#This Row],[Tôi tin rằng Nhà nước, cơ quan thuế sẽ thực thi chính sách mới một cách khách quan, công tâm và đối xử bình đẳng với mọi người nộp thuế.  - HUMAN-TRU1]]</f>
        <v>8</v>
      </c>
      <c r="X127">
        <f t="shared" si="40"/>
        <v>0.77777777777777779</v>
      </c>
      <c r="Y127">
        <f>step3_validation[[#This Row],[AI_TRU2]]</f>
        <v>6</v>
      </c>
      <c r="Z127">
        <f t="shared" si="41"/>
        <v>0.55555555555555558</v>
      </c>
      <c r="AA127">
        <f>[1]!survey_responses[[#This Row],[Tôi thấy mức thuế tôi phải đóng theo phương án mới là công bằng (người thu nhập như tôi đóng mức này là hợp lý). - HUMAN-TRU2]]</f>
        <v>8</v>
      </c>
      <c r="AB127">
        <f t="shared" si="42"/>
        <v>0.77777777777777779</v>
      </c>
      <c r="AC127">
        <f>step3_validation[[#This Row],[AI_TRU3]]</f>
        <v>7</v>
      </c>
      <c r="AD127">
        <f t="shared" si="43"/>
        <v>0.66666666666666663</v>
      </c>
      <c r="AE127">
        <f>[1]!survey_responses[[#This Row],[Tôi tin tưởng số tiền thuế tôi đóng sẽ được Nhà nước sử dụng hiệu quả để cải thiện dịch vụ công (y tế, đường xá...). - HUMAN-TRU3]]</f>
        <v>7</v>
      </c>
      <c r="AF127">
        <f t="shared" si="44"/>
        <v>0.66666666666666663</v>
      </c>
      <c r="AG127">
        <f>step3_validation[[#This Row],[AI_TRU4]]</f>
        <v>5</v>
      </c>
      <c r="AH127">
        <f t="shared" si="45"/>
        <v>0.44444444444444442</v>
      </c>
      <c r="AI127">
        <f>[1]!survey_responses[[#This Row],[Tôi thấy Nhà nước đã giải thích rõ ràng, minh bạch về lý do và mục tiêu của việc sửa đổi thuế lần này. - HUMAN-TRU4]]</f>
        <v>7</v>
      </c>
      <c r="AJ127">
        <f t="shared" si="46"/>
        <v>0.66666666666666663</v>
      </c>
      <c r="AK127" s="32">
        <f t="shared" si="47"/>
        <v>0.58333333333333326</v>
      </c>
      <c r="AL127" s="32">
        <f t="shared" si="48"/>
        <v>0.72222222222222221</v>
      </c>
      <c r="AM127" s="7">
        <f t="shared" si="49"/>
        <v>0.60185185185185186</v>
      </c>
      <c r="AN127" s="7">
        <f t="shared" si="50"/>
        <v>0.70370370370370372</v>
      </c>
      <c r="AO127">
        <f>step3_validation[[#This Row],[AI_OUT1]]</f>
        <v>7</v>
      </c>
      <c r="AP127">
        <f t="shared" si="51"/>
        <v>0.66666666666666663</v>
      </c>
      <c r="AQ127">
        <f>[1]!survey_responses[[#This Row],[Sau khi xem xét các quyền lợi và nghĩa vụ, bạn có ủng hộ và tuân thủ chính sách mới hiện nay? - HUMAN-OUT1]]</f>
        <v>8</v>
      </c>
      <c r="AR127">
        <f t="shared" si="52"/>
        <v>0.77777777777777779</v>
      </c>
      <c r="AS127" s="32">
        <f t="shared" si="53"/>
        <v>1</v>
      </c>
    </row>
    <row r="128" spans="1:45" x14ac:dyDescent="0.45">
      <c r="A128">
        <f>step3_validation[[#This Row],[AI_ENF1]]</f>
        <v>6</v>
      </c>
      <c r="B128">
        <f t="shared" si="27"/>
        <v>0.55555555555555558</v>
      </c>
      <c r="C128">
        <f>[1]!survey_responses[[#This Row],[Tôi tin rằng với các quy định quản lý thuế hiện nay, hành vi gian lận hoặc trốn thuế sẽ dễ dàng bị phát hiện và xử lý nghiêm. - HUMAN-ENF1]]</f>
        <v>1</v>
      </c>
      <c r="D128">
        <f t="shared" si="28"/>
        <v>0</v>
      </c>
      <c r="E128">
        <f>step3_validation[[#This Row],[AI_ENF2]]</f>
        <v>5</v>
      </c>
      <c r="F128">
        <f t="shared" si="29"/>
        <v>0.44444444444444442</v>
      </c>
      <c r="G128">
        <f>[1]!survey_responses[[#This Row],[Tôi tin rằng Nhà nước, cơ quan thuế có đủ khả năng và công nghệ để phát hiện, xử lý nghiêm các hành vi trốn thuế. - HUMAN-ENF2]]</f>
        <v>1</v>
      </c>
      <c r="H128">
        <f t="shared" si="30"/>
        <v>0</v>
      </c>
      <c r="I128" s="32">
        <f t="shared" si="31"/>
        <v>0.5</v>
      </c>
      <c r="J128" s="32">
        <f t="shared" si="32"/>
        <v>0</v>
      </c>
      <c r="K128">
        <f>step3_validation[[#This Row],[AI_FAC1]]</f>
        <v>7</v>
      </c>
      <c r="L128">
        <f t="shared" si="33"/>
        <v>0.66666666666666663</v>
      </c>
      <c r="M128">
        <f>[1]!survey_responses[[#This Row],[Các thủ tục khai báo thuế VÀ/HOẶC quy trình làm việc với cơ quan thuế đơn giản, tiện lợi, nhanh chóng hơn so với trước đây. - HUMAN-FAC1]]</f>
        <v>1</v>
      </c>
      <c r="N128">
        <f t="shared" si="34"/>
        <v>0</v>
      </c>
      <c r="O128">
        <f>step3_validation[[#This Row],[AI_FAC2]]</f>
        <v>9</v>
      </c>
      <c r="P128">
        <f t="shared" si="35"/>
        <v>0.88888888888888884</v>
      </c>
      <c r="Q128">
        <f>[1]!survey_responses[[#This Row],[So với trước đây, tôi thấy cách tính thuế và các bậc thuế trong phương án mới đơn giản, dễ hiểu và dễ thực hiện hơn. - HUMAN-FAC2]]</f>
        <v>5</v>
      </c>
      <c r="R128">
        <f t="shared" si="36"/>
        <v>0.44444444444444442</v>
      </c>
      <c r="S128" s="32">
        <f t="shared" si="37"/>
        <v>0.77777777777777768</v>
      </c>
      <c r="T128" s="32">
        <f t="shared" si="38"/>
        <v>0.22222222222222221</v>
      </c>
      <c r="U128">
        <f>step3_validation[[#This Row],[AI_TRU1]]</f>
        <v>8</v>
      </c>
      <c r="V128">
        <f t="shared" si="39"/>
        <v>0.77777777777777779</v>
      </c>
      <c r="W128">
        <f>[1]!survey_responses[[#This Row],[Tôi tin rằng Nhà nước, cơ quan thuế sẽ thực thi chính sách mới một cách khách quan, công tâm và đối xử bình đẳng với mọi người nộp thuế.  - HUMAN-TRU1]]</f>
        <v>1</v>
      </c>
      <c r="X128">
        <f t="shared" si="40"/>
        <v>0</v>
      </c>
      <c r="Y128">
        <f>step3_validation[[#This Row],[AI_TRU2]]</f>
        <v>9</v>
      </c>
      <c r="Z128">
        <f t="shared" si="41"/>
        <v>0.88888888888888884</v>
      </c>
      <c r="AA128">
        <f>[1]!survey_responses[[#This Row],[Tôi thấy mức thuế tôi phải đóng theo phương án mới là công bằng (người thu nhập như tôi đóng mức này là hợp lý). - HUMAN-TRU2]]</f>
        <v>1</v>
      </c>
      <c r="AB128">
        <f t="shared" si="42"/>
        <v>0</v>
      </c>
      <c r="AC128">
        <f>step3_validation[[#This Row],[AI_TRU3]]</f>
        <v>7</v>
      </c>
      <c r="AD128">
        <f t="shared" si="43"/>
        <v>0.66666666666666663</v>
      </c>
      <c r="AE128">
        <f>[1]!survey_responses[[#This Row],[Tôi tin tưởng số tiền thuế tôi đóng sẽ được Nhà nước sử dụng hiệu quả để cải thiện dịch vụ công (y tế, đường xá...). - HUMAN-TRU3]]</f>
        <v>1</v>
      </c>
      <c r="AF128">
        <f t="shared" si="44"/>
        <v>0</v>
      </c>
      <c r="AG128">
        <f>step3_validation[[#This Row],[AI_TRU4]]</f>
        <v>6</v>
      </c>
      <c r="AH128">
        <f t="shared" si="45"/>
        <v>0.55555555555555558</v>
      </c>
      <c r="AI128">
        <f>[1]!survey_responses[[#This Row],[Tôi thấy Nhà nước đã giải thích rõ ràng, minh bạch về lý do và mục tiêu của việc sửa đổi thuế lần này. - HUMAN-TRU4]]</f>
        <v>5</v>
      </c>
      <c r="AJ128">
        <f t="shared" si="46"/>
        <v>0.44444444444444442</v>
      </c>
      <c r="AK128" s="32">
        <f t="shared" si="47"/>
        <v>0.7222222222222221</v>
      </c>
      <c r="AL128" s="32">
        <f t="shared" si="48"/>
        <v>0.1111111111111111</v>
      </c>
      <c r="AM128" s="7">
        <f t="shared" si="49"/>
        <v>0.66666666666666663</v>
      </c>
      <c r="AN128" s="7">
        <f t="shared" si="50"/>
        <v>0.1111111111111111</v>
      </c>
      <c r="AO128">
        <f>step3_validation[[#This Row],[AI_OUT1]]</f>
        <v>8</v>
      </c>
      <c r="AP128">
        <f t="shared" si="51"/>
        <v>0.77777777777777779</v>
      </c>
      <c r="AQ128">
        <f>[1]!survey_responses[[#This Row],[Sau khi xem xét các quyền lợi và nghĩa vụ, bạn có ủng hộ và tuân thủ chính sách mới hiện nay? - HUMAN-OUT1]]</f>
        <v>5</v>
      </c>
      <c r="AR128">
        <f t="shared" si="52"/>
        <v>0.44444444444444442</v>
      </c>
      <c r="AS128" s="32">
        <f t="shared" si="53"/>
        <v>3</v>
      </c>
    </row>
    <row r="129" spans="1:45" x14ac:dyDescent="0.45">
      <c r="A129">
        <f>step3_validation[[#This Row],[AI_ENF1]]</f>
        <v>6</v>
      </c>
      <c r="B129">
        <f t="shared" si="27"/>
        <v>0.55555555555555558</v>
      </c>
      <c r="C129">
        <f>[1]!survey_responses[[#This Row],[Tôi tin rằng với các quy định quản lý thuế hiện nay, hành vi gian lận hoặc trốn thuế sẽ dễ dàng bị phát hiện và xử lý nghiêm. - HUMAN-ENF1]]</f>
        <v>6</v>
      </c>
      <c r="D129">
        <f t="shared" si="28"/>
        <v>0.55555555555555558</v>
      </c>
      <c r="E129">
        <f>step3_validation[[#This Row],[AI_ENF2]]</f>
        <v>7</v>
      </c>
      <c r="F129">
        <f t="shared" si="29"/>
        <v>0.66666666666666663</v>
      </c>
      <c r="G129">
        <f>[1]!survey_responses[[#This Row],[Tôi tin rằng Nhà nước, cơ quan thuế có đủ khả năng và công nghệ để phát hiện, xử lý nghiêm các hành vi trốn thuế. - HUMAN-ENF2]]</f>
        <v>6</v>
      </c>
      <c r="H129">
        <f t="shared" si="30"/>
        <v>0.55555555555555558</v>
      </c>
      <c r="I129" s="32">
        <f t="shared" si="31"/>
        <v>0.61111111111111116</v>
      </c>
      <c r="J129" s="32">
        <f t="shared" si="32"/>
        <v>0.55555555555555558</v>
      </c>
      <c r="K129">
        <f>step3_validation[[#This Row],[AI_FAC1]]</f>
        <v>5</v>
      </c>
      <c r="L129">
        <f t="shared" si="33"/>
        <v>0.44444444444444442</v>
      </c>
      <c r="M129">
        <f>[1]!survey_responses[[#This Row],[Các thủ tục khai báo thuế VÀ/HOẶC quy trình làm việc với cơ quan thuế đơn giản, tiện lợi, nhanh chóng hơn so với trước đây. - HUMAN-FAC1]]</f>
        <v>6</v>
      </c>
      <c r="N129">
        <f t="shared" si="34"/>
        <v>0.55555555555555558</v>
      </c>
      <c r="O129">
        <f>step3_validation[[#This Row],[AI_FAC2]]</f>
        <v>8</v>
      </c>
      <c r="P129">
        <f t="shared" si="35"/>
        <v>0.77777777777777779</v>
      </c>
      <c r="Q129">
        <f>[1]!survey_responses[[#This Row],[So với trước đây, tôi thấy cách tính thuế và các bậc thuế trong phương án mới đơn giản, dễ hiểu và dễ thực hiện hơn. - HUMAN-FAC2]]</f>
        <v>8</v>
      </c>
      <c r="R129">
        <f t="shared" si="36"/>
        <v>0.77777777777777779</v>
      </c>
      <c r="S129" s="32">
        <f t="shared" si="37"/>
        <v>0.61111111111111116</v>
      </c>
      <c r="T129" s="32">
        <f t="shared" si="38"/>
        <v>0.66666666666666674</v>
      </c>
      <c r="U129">
        <f>step3_validation[[#This Row],[AI_TRU1]]</f>
        <v>6</v>
      </c>
      <c r="V129">
        <f t="shared" si="39"/>
        <v>0.55555555555555558</v>
      </c>
      <c r="W129">
        <f>[1]!survey_responses[[#This Row],[Tôi tin rằng Nhà nước, cơ quan thuế sẽ thực thi chính sách mới một cách khách quan, công tâm và đối xử bình đẳng với mọi người nộp thuế.  - HUMAN-TRU1]]</f>
        <v>6</v>
      </c>
      <c r="X129">
        <f t="shared" si="40"/>
        <v>0.55555555555555558</v>
      </c>
      <c r="Y129">
        <f>step3_validation[[#This Row],[AI_TRU2]]</f>
        <v>5</v>
      </c>
      <c r="Z129">
        <f t="shared" si="41"/>
        <v>0.44444444444444442</v>
      </c>
      <c r="AA129">
        <f>[1]!survey_responses[[#This Row],[Tôi thấy mức thuế tôi phải đóng theo phương án mới là công bằng (người thu nhập như tôi đóng mức này là hợp lý). - HUMAN-TRU2]]</f>
        <v>3</v>
      </c>
      <c r="AB129">
        <f t="shared" si="42"/>
        <v>0.22222222222222221</v>
      </c>
      <c r="AC129">
        <f>step3_validation[[#This Row],[AI_TRU3]]</f>
        <v>4</v>
      </c>
      <c r="AD129">
        <f t="shared" si="43"/>
        <v>0.33333333333333331</v>
      </c>
      <c r="AE129">
        <f>[1]!survey_responses[[#This Row],[Tôi tin tưởng số tiền thuế tôi đóng sẽ được Nhà nước sử dụng hiệu quả để cải thiện dịch vụ công (y tế, đường xá...). - HUMAN-TRU3]]</f>
        <v>5</v>
      </c>
      <c r="AF129">
        <f t="shared" si="44"/>
        <v>0.44444444444444442</v>
      </c>
      <c r="AG129">
        <f>step3_validation[[#This Row],[AI_TRU4]]</f>
        <v>5</v>
      </c>
      <c r="AH129">
        <f t="shared" si="45"/>
        <v>0.44444444444444442</v>
      </c>
      <c r="AI129">
        <f>[1]!survey_responses[[#This Row],[Tôi thấy Nhà nước đã giải thích rõ ràng, minh bạch về lý do và mục tiêu của việc sửa đổi thuế lần này. - HUMAN-TRU4]]</f>
        <v>5</v>
      </c>
      <c r="AJ129">
        <f t="shared" si="46"/>
        <v>0.44444444444444442</v>
      </c>
      <c r="AK129" s="32">
        <f t="shared" si="47"/>
        <v>0.44444444444444442</v>
      </c>
      <c r="AL129" s="32">
        <f t="shared" si="48"/>
        <v>0.41666666666666669</v>
      </c>
      <c r="AM129" s="7">
        <f t="shared" si="49"/>
        <v>0.55555555555555558</v>
      </c>
      <c r="AN129" s="7">
        <f t="shared" si="50"/>
        <v>0.54629629629629639</v>
      </c>
      <c r="AO129">
        <f>step3_validation[[#This Row],[AI_OUT1]]</f>
        <v>7</v>
      </c>
      <c r="AP129">
        <f t="shared" si="51"/>
        <v>0.66666666666666663</v>
      </c>
      <c r="AQ129">
        <f>[1]!survey_responses[[#This Row],[Sau khi xem xét các quyền lợi và nghĩa vụ, bạn có ủng hộ và tuân thủ chính sách mới hiện nay? - HUMAN-OUT1]]</f>
        <v>4</v>
      </c>
      <c r="AR129">
        <f t="shared" si="52"/>
        <v>0.33333333333333331</v>
      </c>
      <c r="AS129" s="32">
        <f t="shared" si="53"/>
        <v>3</v>
      </c>
    </row>
    <row r="130" spans="1:45" x14ac:dyDescent="0.45">
      <c r="A130">
        <f>step3_validation[[#This Row],[AI_ENF1]]</f>
        <v>6</v>
      </c>
      <c r="B130">
        <f t="shared" si="27"/>
        <v>0.55555555555555558</v>
      </c>
      <c r="C130">
        <f>[1]!survey_responses[[#This Row],[Tôi tin rằng với các quy định quản lý thuế hiện nay, hành vi gian lận hoặc trốn thuế sẽ dễ dàng bị phát hiện và xử lý nghiêm. - HUMAN-ENF1]]</f>
        <v>6</v>
      </c>
      <c r="D130">
        <f t="shared" si="28"/>
        <v>0.55555555555555558</v>
      </c>
      <c r="E130">
        <f>step3_validation[[#This Row],[AI_ENF2]]</f>
        <v>7</v>
      </c>
      <c r="F130">
        <f t="shared" si="29"/>
        <v>0.66666666666666663</v>
      </c>
      <c r="G130">
        <f>[1]!survey_responses[[#This Row],[Tôi tin rằng Nhà nước, cơ quan thuế có đủ khả năng và công nghệ để phát hiện, xử lý nghiêm các hành vi trốn thuế. - HUMAN-ENF2]]</f>
        <v>6</v>
      </c>
      <c r="H130">
        <f t="shared" si="30"/>
        <v>0.55555555555555558</v>
      </c>
      <c r="I130" s="32">
        <f t="shared" si="31"/>
        <v>0.61111111111111116</v>
      </c>
      <c r="J130" s="32">
        <f t="shared" si="32"/>
        <v>0.55555555555555558</v>
      </c>
      <c r="K130">
        <f>step3_validation[[#This Row],[AI_FAC1]]</f>
        <v>8</v>
      </c>
      <c r="L130">
        <f t="shared" si="33"/>
        <v>0.77777777777777779</v>
      </c>
      <c r="M130">
        <f>[1]!survey_responses[[#This Row],[Các thủ tục khai báo thuế VÀ/HOẶC quy trình làm việc với cơ quan thuế đơn giản, tiện lợi, nhanh chóng hơn so với trước đây. - HUMAN-FAC1]]</f>
        <v>4</v>
      </c>
      <c r="N130">
        <f t="shared" si="34"/>
        <v>0.33333333333333331</v>
      </c>
      <c r="O130">
        <f>step3_validation[[#This Row],[AI_FAC2]]</f>
        <v>9</v>
      </c>
      <c r="P130">
        <f t="shared" si="35"/>
        <v>0.88888888888888884</v>
      </c>
      <c r="Q130">
        <f>[1]!survey_responses[[#This Row],[So với trước đây, tôi thấy cách tính thuế và các bậc thuế trong phương án mới đơn giản, dễ hiểu và dễ thực hiện hơn. - HUMAN-FAC2]]</f>
        <v>5</v>
      </c>
      <c r="R130">
        <f t="shared" si="36"/>
        <v>0.44444444444444442</v>
      </c>
      <c r="S130" s="32">
        <f t="shared" si="37"/>
        <v>0.83333333333333326</v>
      </c>
      <c r="T130" s="32">
        <f t="shared" si="38"/>
        <v>0.38888888888888884</v>
      </c>
      <c r="U130">
        <f>step3_validation[[#This Row],[AI_TRU1]]</f>
        <v>8</v>
      </c>
      <c r="V130">
        <f t="shared" si="39"/>
        <v>0.77777777777777779</v>
      </c>
      <c r="W130">
        <f>[1]!survey_responses[[#This Row],[Tôi tin rằng Nhà nước, cơ quan thuế sẽ thực thi chính sách mới một cách khách quan, công tâm và đối xử bình đẳng với mọi người nộp thuế.  - HUMAN-TRU1]]</f>
        <v>5</v>
      </c>
      <c r="X130">
        <f t="shared" si="40"/>
        <v>0.44444444444444442</v>
      </c>
      <c r="Y130">
        <f>step3_validation[[#This Row],[AI_TRU2]]</f>
        <v>7</v>
      </c>
      <c r="Z130">
        <f t="shared" si="41"/>
        <v>0.66666666666666663</v>
      </c>
      <c r="AA130">
        <f>[1]!survey_responses[[#This Row],[Tôi thấy mức thuế tôi phải đóng theo phương án mới là công bằng (người thu nhập như tôi đóng mức này là hợp lý). - HUMAN-TRU2]]</f>
        <v>1</v>
      </c>
      <c r="AB130">
        <f t="shared" si="42"/>
        <v>0</v>
      </c>
      <c r="AC130">
        <f>step3_validation[[#This Row],[AI_TRU3]]</f>
        <v>8</v>
      </c>
      <c r="AD130">
        <f t="shared" si="43"/>
        <v>0.77777777777777779</v>
      </c>
      <c r="AE130">
        <f>[1]!survey_responses[[#This Row],[Tôi tin tưởng số tiền thuế tôi đóng sẽ được Nhà nước sử dụng hiệu quả để cải thiện dịch vụ công (y tế, đường xá...). - HUMAN-TRU3]]</f>
        <v>5</v>
      </c>
      <c r="AF130">
        <f t="shared" si="44"/>
        <v>0.44444444444444442</v>
      </c>
      <c r="AG130">
        <f>step3_validation[[#This Row],[AI_TRU4]]</f>
        <v>5</v>
      </c>
      <c r="AH130">
        <f t="shared" si="45"/>
        <v>0.44444444444444442</v>
      </c>
      <c r="AI130">
        <f>[1]!survey_responses[[#This Row],[Tôi thấy Nhà nước đã giải thích rõ ràng, minh bạch về lý do và mục tiêu của việc sửa đổi thuế lần này. - HUMAN-TRU4]]</f>
        <v>4</v>
      </c>
      <c r="AJ130">
        <f t="shared" si="46"/>
        <v>0.33333333333333331</v>
      </c>
      <c r="AK130" s="32">
        <f t="shared" si="47"/>
        <v>0.66666666666666674</v>
      </c>
      <c r="AL130" s="32">
        <f t="shared" si="48"/>
        <v>0.30555555555555552</v>
      </c>
      <c r="AM130" s="7">
        <f t="shared" si="49"/>
        <v>0.70370370370370372</v>
      </c>
      <c r="AN130" s="7">
        <f t="shared" si="50"/>
        <v>0.41666666666666669</v>
      </c>
      <c r="AO130">
        <f>step3_validation[[#This Row],[AI_OUT1]]</f>
        <v>7</v>
      </c>
      <c r="AP130">
        <f t="shared" si="51"/>
        <v>0.66666666666666663</v>
      </c>
      <c r="AQ130">
        <f>[1]!survey_responses[[#This Row],[Sau khi xem xét các quyền lợi và nghĩa vụ, bạn có ủng hộ và tuân thủ chính sách mới hiện nay? - HUMAN-OUT1]]</f>
        <v>5</v>
      </c>
      <c r="AR130">
        <f t="shared" si="52"/>
        <v>0.44444444444444442</v>
      </c>
      <c r="AS130" s="32">
        <f t="shared" si="53"/>
        <v>2</v>
      </c>
    </row>
    <row r="131" spans="1:45" x14ac:dyDescent="0.45">
      <c r="A131">
        <f>step3_validation[[#This Row],[AI_ENF1]]</f>
        <v>8</v>
      </c>
      <c r="B131">
        <f t="shared" ref="B131:B194" si="54">(A131-1)/9</f>
        <v>0.77777777777777779</v>
      </c>
      <c r="C131">
        <f>[1]!survey_responses[[#This Row],[Tôi tin rằng với các quy định quản lý thuế hiện nay, hành vi gian lận hoặc trốn thuế sẽ dễ dàng bị phát hiện và xử lý nghiêm. - HUMAN-ENF1]]</f>
        <v>5</v>
      </c>
      <c r="D131">
        <f t="shared" ref="D131:D194" si="55">(C131-1)/9</f>
        <v>0.44444444444444442</v>
      </c>
      <c r="E131">
        <f>step3_validation[[#This Row],[AI_ENF2]]</f>
        <v>7</v>
      </c>
      <c r="F131">
        <f t="shared" ref="F131:F194" si="56">(E131-1)/9</f>
        <v>0.66666666666666663</v>
      </c>
      <c r="G131">
        <f>[1]!survey_responses[[#This Row],[Tôi tin rằng Nhà nước, cơ quan thuế có đủ khả năng và công nghệ để phát hiện, xử lý nghiêm các hành vi trốn thuế. - HUMAN-ENF2]]</f>
        <v>5</v>
      </c>
      <c r="H131">
        <f t="shared" ref="H131:H194" si="57">(G131-1)/9</f>
        <v>0.44444444444444442</v>
      </c>
      <c r="I131" s="32">
        <f t="shared" ref="I131:I194" si="58">AVERAGE(B131,F131)</f>
        <v>0.72222222222222221</v>
      </c>
      <c r="J131" s="32">
        <f t="shared" ref="J131:J194" si="59">AVERAGE(D131,H131)</f>
        <v>0.44444444444444442</v>
      </c>
      <c r="K131">
        <f>step3_validation[[#This Row],[AI_FAC1]]</f>
        <v>9</v>
      </c>
      <c r="L131">
        <f t="shared" ref="L131:L194" si="60">(K131-1)/9</f>
        <v>0.88888888888888884</v>
      </c>
      <c r="M131">
        <f>[1]!survey_responses[[#This Row],[Các thủ tục khai báo thuế VÀ/HOẶC quy trình làm việc với cơ quan thuế đơn giản, tiện lợi, nhanh chóng hơn so với trước đây. - HUMAN-FAC1]]</f>
        <v>1</v>
      </c>
      <c r="N131">
        <f t="shared" ref="N131:N194" si="61">(M131-1)/9</f>
        <v>0</v>
      </c>
      <c r="O131">
        <f>step3_validation[[#This Row],[AI_FAC2]]</f>
        <v>8</v>
      </c>
      <c r="P131">
        <f t="shared" ref="P131:P194" si="62">(O131-1)/9</f>
        <v>0.77777777777777779</v>
      </c>
      <c r="Q131">
        <f>[1]!survey_responses[[#This Row],[So với trước đây, tôi thấy cách tính thuế và các bậc thuế trong phương án mới đơn giản, dễ hiểu và dễ thực hiện hơn. - HUMAN-FAC2]]</f>
        <v>4</v>
      </c>
      <c r="R131">
        <f t="shared" ref="R131:R194" si="63">(Q131-1)/9</f>
        <v>0.33333333333333331</v>
      </c>
      <c r="S131" s="32">
        <f t="shared" ref="S131:S194" si="64">AVERAGE(L131,P131)</f>
        <v>0.83333333333333326</v>
      </c>
      <c r="T131" s="32">
        <f t="shared" ref="T131:T194" si="65">AVERAGE(N131,R131)</f>
        <v>0.16666666666666666</v>
      </c>
      <c r="U131">
        <f>step3_validation[[#This Row],[AI_TRU1]]</f>
        <v>7</v>
      </c>
      <c r="V131">
        <f t="shared" ref="V131:V194" si="66">(U131-1)/9</f>
        <v>0.66666666666666663</v>
      </c>
      <c r="W131">
        <f>[1]!survey_responses[[#This Row],[Tôi tin rằng Nhà nước, cơ quan thuế sẽ thực thi chính sách mới một cách khách quan, công tâm và đối xử bình đẳng với mọi người nộp thuế.  - HUMAN-TRU1]]</f>
        <v>2</v>
      </c>
      <c r="X131">
        <f t="shared" ref="X131:X194" si="67">(W131-1)/9</f>
        <v>0.1111111111111111</v>
      </c>
      <c r="Y131">
        <f>step3_validation[[#This Row],[AI_TRU2]]</f>
        <v>6</v>
      </c>
      <c r="Z131">
        <f t="shared" ref="Z131:Z194" si="68">(Y131-1)/9</f>
        <v>0.55555555555555558</v>
      </c>
      <c r="AA131">
        <f>[1]!survey_responses[[#This Row],[Tôi thấy mức thuế tôi phải đóng theo phương án mới là công bằng (người thu nhập như tôi đóng mức này là hợp lý). - HUMAN-TRU2]]</f>
        <v>1</v>
      </c>
      <c r="AB131">
        <f t="shared" ref="AB131:AB194" si="69">(AA131-1)/9</f>
        <v>0</v>
      </c>
      <c r="AC131">
        <f>step3_validation[[#This Row],[AI_TRU3]]</f>
        <v>5</v>
      </c>
      <c r="AD131">
        <f t="shared" ref="AD131:AD194" si="70">(AC131-1)/9</f>
        <v>0.44444444444444442</v>
      </c>
      <c r="AE131">
        <f>[1]!survey_responses[[#This Row],[Tôi tin tưởng số tiền thuế tôi đóng sẽ được Nhà nước sử dụng hiệu quả để cải thiện dịch vụ công (y tế, đường xá...). - HUMAN-TRU3]]</f>
        <v>1</v>
      </c>
      <c r="AF131">
        <f t="shared" ref="AF131:AF194" si="71">(AE131-1)/9</f>
        <v>0</v>
      </c>
      <c r="AG131">
        <f>step3_validation[[#This Row],[AI_TRU4]]</f>
        <v>4</v>
      </c>
      <c r="AH131">
        <f t="shared" ref="AH131:AH194" si="72">(AG131-1)/9</f>
        <v>0.33333333333333331</v>
      </c>
      <c r="AI131">
        <f>[1]!survey_responses[[#This Row],[Tôi thấy Nhà nước đã giải thích rõ ràng, minh bạch về lý do và mục tiêu của việc sửa đổi thuế lần này. - HUMAN-TRU4]]</f>
        <v>1</v>
      </c>
      <c r="AJ131">
        <f t="shared" ref="AJ131:AJ194" si="73">(AI131-1)/9</f>
        <v>0</v>
      </c>
      <c r="AK131" s="32">
        <f t="shared" ref="AK131:AK194" si="74">AVERAGE(V131,Z131,AD131,AH131)</f>
        <v>0.5</v>
      </c>
      <c r="AL131" s="32">
        <f t="shared" ref="AL131:AL194" si="75">AVERAGE(X131,AB131,AF131,AJ131)</f>
        <v>2.7777777777777776E-2</v>
      </c>
      <c r="AM131" s="7">
        <f t="shared" ref="AM131:AM194" si="76">(I131+S131+AK131)/3</f>
        <v>0.68518518518518512</v>
      </c>
      <c r="AN131" s="7">
        <f t="shared" ref="AN131:AN194" si="77">(J131+T131+AL131)/3</f>
        <v>0.21296296296296294</v>
      </c>
      <c r="AO131">
        <f>step3_validation[[#This Row],[AI_OUT1]]</f>
        <v>6</v>
      </c>
      <c r="AP131">
        <f t="shared" ref="AP131:AP194" si="78">(AO131-1)/9</f>
        <v>0.55555555555555558</v>
      </c>
      <c r="AQ131">
        <f>[1]!survey_responses[[#This Row],[Sau khi xem xét các quyền lợi và nghĩa vụ, bạn có ủng hộ và tuân thủ chính sách mới hiện nay? - HUMAN-OUT1]]</f>
        <v>5</v>
      </c>
      <c r="AR131">
        <f t="shared" ref="AR131:AR194" si="79">(AQ131-1)/9</f>
        <v>0.44444444444444442</v>
      </c>
      <c r="AS131" s="32">
        <f t="shared" ref="AS131:AS194" si="80">ABS(AQ131-AO131)</f>
        <v>1</v>
      </c>
    </row>
    <row r="132" spans="1:45" x14ac:dyDescent="0.45">
      <c r="A132">
        <f>step3_validation[[#This Row],[AI_ENF1]]</f>
        <v>7</v>
      </c>
      <c r="B132">
        <f t="shared" si="54"/>
        <v>0.66666666666666663</v>
      </c>
      <c r="C132">
        <f>[1]!survey_responses[[#This Row],[Tôi tin rằng với các quy định quản lý thuế hiện nay, hành vi gian lận hoặc trốn thuế sẽ dễ dàng bị phát hiện và xử lý nghiêm. - HUMAN-ENF1]]</f>
        <v>8</v>
      </c>
      <c r="D132">
        <f t="shared" si="55"/>
        <v>0.77777777777777779</v>
      </c>
      <c r="E132">
        <f>step3_validation[[#This Row],[AI_ENF2]]</f>
        <v>8</v>
      </c>
      <c r="F132">
        <f t="shared" si="56"/>
        <v>0.77777777777777779</v>
      </c>
      <c r="G132">
        <f>[1]!survey_responses[[#This Row],[Tôi tin rằng Nhà nước, cơ quan thuế có đủ khả năng và công nghệ để phát hiện, xử lý nghiêm các hành vi trốn thuế. - HUMAN-ENF2]]</f>
        <v>9</v>
      </c>
      <c r="H132">
        <f t="shared" si="57"/>
        <v>0.88888888888888884</v>
      </c>
      <c r="I132" s="32">
        <f t="shared" si="58"/>
        <v>0.72222222222222221</v>
      </c>
      <c r="J132" s="32">
        <f t="shared" si="59"/>
        <v>0.83333333333333326</v>
      </c>
      <c r="K132">
        <f>step3_validation[[#This Row],[AI_FAC1]]</f>
        <v>6</v>
      </c>
      <c r="L132">
        <f t="shared" si="60"/>
        <v>0.55555555555555558</v>
      </c>
      <c r="M132">
        <f>[1]!survey_responses[[#This Row],[Các thủ tục khai báo thuế VÀ/HOẶC quy trình làm việc với cơ quan thuế đơn giản, tiện lợi, nhanh chóng hơn so với trước đây. - HUMAN-FAC1]]</f>
        <v>5</v>
      </c>
      <c r="N132">
        <f t="shared" si="61"/>
        <v>0.44444444444444442</v>
      </c>
      <c r="O132">
        <f>step3_validation[[#This Row],[AI_FAC2]]</f>
        <v>8</v>
      </c>
      <c r="P132">
        <f t="shared" si="62"/>
        <v>0.77777777777777779</v>
      </c>
      <c r="Q132">
        <f>[1]!survey_responses[[#This Row],[So với trước đây, tôi thấy cách tính thuế và các bậc thuế trong phương án mới đơn giản, dễ hiểu và dễ thực hiện hơn. - HUMAN-FAC2]]</f>
        <v>5</v>
      </c>
      <c r="R132">
        <f t="shared" si="63"/>
        <v>0.44444444444444442</v>
      </c>
      <c r="S132" s="32">
        <f t="shared" si="64"/>
        <v>0.66666666666666674</v>
      </c>
      <c r="T132" s="32">
        <f t="shared" si="65"/>
        <v>0.44444444444444442</v>
      </c>
      <c r="U132">
        <f>step3_validation[[#This Row],[AI_TRU1]]</f>
        <v>7</v>
      </c>
      <c r="V132">
        <f t="shared" si="66"/>
        <v>0.66666666666666663</v>
      </c>
      <c r="W132">
        <f>[1]!survey_responses[[#This Row],[Tôi tin rằng Nhà nước, cơ quan thuế sẽ thực thi chính sách mới một cách khách quan, công tâm và đối xử bình đẳng với mọi người nộp thuế.  - HUMAN-TRU1]]</f>
        <v>5</v>
      </c>
      <c r="X132">
        <f t="shared" si="67"/>
        <v>0.44444444444444442</v>
      </c>
      <c r="Y132">
        <f>step3_validation[[#This Row],[AI_TRU2]]</f>
        <v>6</v>
      </c>
      <c r="Z132">
        <f t="shared" si="68"/>
        <v>0.55555555555555558</v>
      </c>
      <c r="AA132">
        <f>[1]!survey_responses[[#This Row],[Tôi thấy mức thuế tôi phải đóng theo phương án mới là công bằng (người thu nhập như tôi đóng mức này là hợp lý). - HUMAN-TRU2]]</f>
        <v>4</v>
      </c>
      <c r="AB132">
        <f t="shared" si="69"/>
        <v>0.33333333333333331</v>
      </c>
      <c r="AC132">
        <f>step3_validation[[#This Row],[AI_TRU3]]</f>
        <v>7</v>
      </c>
      <c r="AD132">
        <f t="shared" si="70"/>
        <v>0.66666666666666663</v>
      </c>
      <c r="AE132">
        <f>[1]!survey_responses[[#This Row],[Tôi tin tưởng số tiền thuế tôi đóng sẽ được Nhà nước sử dụng hiệu quả để cải thiện dịch vụ công (y tế, đường xá...). - HUMAN-TRU3]]</f>
        <v>5</v>
      </c>
      <c r="AF132">
        <f t="shared" si="71"/>
        <v>0.44444444444444442</v>
      </c>
      <c r="AG132">
        <f>step3_validation[[#This Row],[AI_TRU4]]</f>
        <v>5</v>
      </c>
      <c r="AH132">
        <f t="shared" si="72"/>
        <v>0.44444444444444442</v>
      </c>
      <c r="AI132">
        <f>[1]!survey_responses[[#This Row],[Tôi thấy Nhà nước đã giải thích rõ ràng, minh bạch về lý do và mục tiêu của việc sửa đổi thuế lần này. - HUMAN-TRU4]]</f>
        <v>5</v>
      </c>
      <c r="AJ132">
        <f t="shared" si="73"/>
        <v>0.44444444444444442</v>
      </c>
      <c r="AK132" s="32">
        <f t="shared" si="74"/>
        <v>0.58333333333333326</v>
      </c>
      <c r="AL132" s="32">
        <f t="shared" si="75"/>
        <v>0.41666666666666663</v>
      </c>
      <c r="AM132" s="7">
        <f t="shared" si="76"/>
        <v>0.65740740740740733</v>
      </c>
      <c r="AN132" s="7">
        <f t="shared" si="77"/>
        <v>0.56481481481481477</v>
      </c>
      <c r="AO132">
        <f>step3_validation[[#This Row],[AI_OUT1]]</f>
        <v>6</v>
      </c>
      <c r="AP132">
        <f t="shared" si="78"/>
        <v>0.55555555555555558</v>
      </c>
      <c r="AQ132">
        <f>[1]!survey_responses[[#This Row],[Sau khi xem xét các quyền lợi và nghĩa vụ, bạn có ủng hộ và tuân thủ chính sách mới hiện nay? - HUMAN-OUT1]]</f>
        <v>5</v>
      </c>
      <c r="AR132">
        <f t="shared" si="79"/>
        <v>0.44444444444444442</v>
      </c>
      <c r="AS132" s="32">
        <f t="shared" si="80"/>
        <v>1</v>
      </c>
    </row>
    <row r="133" spans="1:45" x14ac:dyDescent="0.45">
      <c r="A133">
        <f>step3_validation[[#This Row],[AI_ENF1]]</f>
        <v>7</v>
      </c>
      <c r="B133">
        <f t="shared" si="54"/>
        <v>0.66666666666666663</v>
      </c>
      <c r="C133">
        <f>[1]!survey_responses[[#This Row],[Tôi tin rằng với các quy định quản lý thuế hiện nay, hành vi gian lận hoặc trốn thuế sẽ dễ dàng bị phát hiện và xử lý nghiêm. - HUMAN-ENF1]]</f>
        <v>9</v>
      </c>
      <c r="D133">
        <f t="shared" si="55"/>
        <v>0.88888888888888884</v>
      </c>
      <c r="E133">
        <f>step3_validation[[#This Row],[AI_ENF2]]</f>
        <v>6</v>
      </c>
      <c r="F133">
        <f t="shared" si="56"/>
        <v>0.55555555555555558</v>
      </c>
      <c r="G133">
        <f>[1]!survey_responses[[#This Row],[Tôi tin rằng Nhà nước, cơ quan thuế có đủ khả năng và công nghệ để phát hiện, xử lý nghiêm các hành vi trốn thuế. - HUMAN-ENF2]]</f>
        <v>9</v>
      </c>
      <c r="H133">
        <f t="shared" si="57"/>
        <v>0.88888888888888884</v>
      </c>
      <c r="I133" s="32">
        <f t="shared" si="58"/>
        <v>0.61111111111111116</v>
      </c>
      <c r="J133" s="32">
        <f t="shared" si="59"/>
        <v>0.88888888888888884</v>
      </c>
      <c r="K133">
        <f>step3_validation[[#This Row],[AI_FAC1]]</f>
        <v>8</v>
      </c>
      <c r="L133">
        <f t="shared" si="60"/>
        <v>0.77777777777777779</v>
      </c>
      <c r="M133">
        <f>[1]!survey_responses[[#This Row],[Các thủ tục khai báo thuế VÀ/HOẶC quy trình làm việc với cơ quan thuế đơn giản, tiện lợi, nhanh chóng hơn so với trước đây. - HUMAN-FAC1]]</f>
        <v>9</v>
      </c>
      <c r="N133">
        <f t="shared" si="61"/>
        <v>0.88888888888888884</v>
      </c>
      <c r="O133">
        <f>step3_validation[[#This Row],[AI_FAC2]]</f>
        <v>9</v>
      </c>
      <c r="P133">
        <f t="shared" si="62"/>
        <v>0.88888888888888884</v>
      </c>
      <c r="Q133">
        <f>[1]!survey_responses[[#This Row],[So với trước đây, tôi thấy cách tính thuế và các bậc thuế trong phương án mới đơn giản, dễ hiểu và dễ thực hiện hơn. - HUMAN-FAC2]]</f>
        <v>9</v>
      </c>
      <c r="R133">
        <f t="shared" si="63"/>
        <v>0.88888888888888884</v>
      </c>
      <c r="S133" s="32">
        <f t="shared" si="64"/>
        <v>0.83333333333333326</v>
      </c>
      <c r="T133" s="32">
        <f t="shared" si="65"/>
        <v>0.88888888888888884</v>
      </c>
      <c r="U133">
        <f>step3_validation[[#This Row],[AI_TRU1]]</f>
        <v>4</v>
      </c>
      <c r="V133">
        <f t="shared" si="66"/>
        <v>0.33333333333333331</v>
      </c>
      <c r="W133">
        <f>[1]!survey_responses[[#This Row],[Tôi tin rằng Nhà nước, cơ quan thuế sẽ thực thi chính sách mới một cách khách quan, công tâm và đối xử bình đẳng với mọi người nộp thuế.  - HUMAN-TRU1]]</f>
        <v>7</v>
      </c>
      <c r="X133">
        <f t="shared" si="67"/>
        <v>0.66666666666666663</v>
      </c>
      <c r="Y133">
        <f>step3_validation[[#This Row],[AI_TRU2]]</f>
        <v>5</v>
      </c>
      <c r="Z133">
        <f t="shared" si="68"/>
        <v>0.44444444444444442</v>
      </c>
      <c r="AA133">
        <f>[1]!survey_responses[[#This Row],[Tôi thấy mức thuế tôi phải đóng theo phương án mới là công bằng (người thu nhập như tôi đóng mức này là hợp lý). - HUMAN-TRU2]]</f>
        <v>10</v>
      </c>
      <c r="AB133">
        <f t="shared" si="69"/>
        <v>1</v>
      </c>
      <c r="AC133">
        <f>step3_validation[[#This Row],[AI_TRU3]]</f>
        <v>3</v>
      </c>
      <c r="AD133">
        <f t="shared" si="70"/>
        <v>0.22222222222222221</v>
      </c>
      <c r="AE133">
        <f>[1]!survey_responses[[#This Row],[Tôi tin tưởng số tiền thuế tôi đóng sẽ được Nhà nước sử dụng hiệu quả để cải thiện dịch vụ công (y tế, đường xá...). - HUMAN-TRU3]]</f>
        <v>5</v>
      </c>
      <c r="AF133">
        <f t="shared" si="71"/>
        <v>0.44444444444444442</v>
      </c>
      <c r="AG133">
        <f>step3_validation[[#This Row],[AI_TRU4]]</f>
        <v>5</v>
      </c>
      <c r="AH133">
        <f t="shared" si="72"/>
        <v>0.44444444444444442</v>
      </c>
      <c r="AI133">
        <f>[1]!survey_responses[[#This Row],[Tôi thấy Nhà nước đã giải thích rõ ràng, minh bạch về lý do và mục tiêu của việc sửa đổi thuế lần này. - HUMAN-TRU4]]</f>
        <v>5</v>
      </c>
      <c r="AJ133">
        <f t="shared" si="73"/>
        <v>0.44444444444444442</v>
      </c>
      <c r="AK133" s="32">
        <f t="shared" si="74"/>
        <v>0.36111111111111105</v>
      </c>
      <c r="AL133" s="32">
        <f t="shared" si="75"/>
        <v>0.63888888888888884</v>
      </c>
      <c r="AM133" s="7">
        <f t="shared" si="76"/>
        <v>0.60185185185185175</v>
      </c>
      <c r="AN133" s="7">
        <f t="shared" si="77"/>
        <v>0.80555555555555547</v>
      </c>
      <c r="AO133">
        <f>step3_validation[[#This Row],[AI_OUT1]]</f>
        <v>6</v>
      </c>
      <c r="AP133">
        <f t="shared" si="78"/>
        <v>0.55555555555555558</v>
      </c>
      <c r="AQ133">
        <f>[1]!survey_responses[[#This Row],[Sau khi xem xét các quyền lợi và nghĩa vụ, bạn có ủng hộ và tuân thủ chính sách mới hiện nay? - HUMAN-OUT1]]</f>
        <v>9</v>
      </c>
      <c r="AR133">
        <f t="shared" si="79"/>
        <v>0.88888888888888884</v>
      </c>
      <c r="AS133" s="32">
        <f t="shared" si="80"/>
        <v>3</v>
      </c>
    </row>
    <row r="134" spans="1:45" x14ac:dyDescent="0.45">
      <c r="A134">
        <f>step3_validation[[#This Row],[AI_ENF1]]</f>
        <v>7</v>
      </c>
      <c r="B134">
        <f t="shared" si="54"/>
        <v>0.66666666666666663</v>
      </c>
      <c r="C134">
        <f>[1]!survey_responses[[#This Row],[Tôi tin rằng với các quy định quản lý thuế hiện nay, hành vi gian lận hoặc trốn thuế sẽ dễ dàng bị phát hiện và xử lý nghiêm. - HUMAN-ENF1]]</f>
        <v>5</v>
      </c>
      <c r="D134">
        <f t="shared" si="55"/>
        <v>0.44444444444444442</v>
      </c>
      <c r="E134">
        <f>step3_validation[[#This Row],[AI_ENF2]]</f>
        <v>8</v>
      </c>
      <c r="F134">
        <f t="shared" si="56"/>
        <v>0.77777777777777779</v>
      </c>
      <c r="G134">
        <f>[1]!survey_responses[[#This Row],[Tôi tin rằng Nhà nước, cơ quan thuế có đủ khả năng và công nghệ để phát hiện, xử lý nghiêm các hành vi trốn thuế. - HUMAN-ENF2]]</f>
        <v>5</v>
      </c>
      <c r="H134">
        <f t="shared" si="57"/>
        <v>0.44444444444444442</v>
      </c>
      <c r="I134" s="32">
        <f t="shared" si="58"/>
        <v>0.72222222222222221</v>
      </c>
      <c r="J134" s="32">
        <f t="shared" si="59"/>
        <v>0.44444444444444442</v>
      </c>
      <c r="K134">
        <f>step3_validation[[#This Row],[AI_FAC1]]</f>
        <v>6</v>
      </c>
      <c r="L134">
        <f t="shared" si="60"/>
        <v>0.55555555555555558</v>
      </c>
      <c r="M134">
        <f>[1]!survey_responses[[#This Row],[Các thủ tục khai báo thuế VÀ/HOẶC quy trình làm việc với cơ quan thuế đơn giản, tiện lợi, nhanh chóng hơn so với trước đây. - HUMAN-FAC1]]</f>
        <v>5</v>
      </c>
      <c r="N134">
        <f t="shared" si="61"/>
        <v>0.44444444444444442</v>
      </c>
      <c r="O134">
        <f>step3_validation[[#This Row],[AI_FAC2]]</f>
        <v>8</v>
      </c>
      <c r="P134">
        <f t="shared" si="62"/>
        <v>0.77777777777777779</v>
      </c>
      <c r="Q134">
        <f>[1]!survey_responses[[#This Row],[So với trước đây, tôi thấy cách tính thuế và các bậc thuế trong phương án mới đơn giản, dễ hiểu và dễ thực hiện hơn. - HUMAN-FAC2]]</f>
        <v>5</v>
      </c>
      <c r="R134">
        <f t="shared" si="63"/>
        <v>0.44444444444444442</v>
      </c>
      <c r="S134" s="32">
        <f t="shared" si="64"/>
        <v>0.66666666666666674</v>
      </c>
      <c r="T134" s="32">
        <f t="shared" si="65"/>
        <v>0.44444444444444442</v>
      </c>
      <c r="U134">
        <f>step3_validation[[#This Row],[AI_TRU1]]</f>
        <v>7</v>
      </c>
      <c r="V134">
        <f t="shared" si="66"/>
        <v>0.66666666666666663</v>
      </c>
      <c r="W134">
        <f>[1]!survey_responses[[#This Row],[Tôi tin rằng Nhà nước, cơ quan thuế sẽ thực thi chính sách mới một cách khách quan, công tâm và đối xử bình đẳng với mọi người nộp thuế.  - HUMAN-TRU1]]</f>
        <v>5</v>
      </c>
      <c r="X134">
        <f t="shared" si="67"/>
        <v>0.44444444444444442</v>
      </c>
      <c r="Y134">
        <f>step3_validation[[#This Row],[AI_TRU2]]</f>
        <v>6</v>
      </c>
      <c r="Z134">
        <f t="shared" si="68"/>
        <v>0.55555555555555558</v>
      </c>
      <c r="AA134">
        <f>[1]!survey_responses[[#This Row],[Tôi thấy mức thuế tôi phải đóng theo phương án mới là công bằng (người thu nhập như tôi đóng mức này là hợp lý). - HUMAN-TRU2]]</f>
        <v>5</v>
      </c>
      <c r="AB134">
        <f t="shared" si="69"/>
        <v>0.44444444444444442</v>
      </c>
      <c r="AC134">
        <f>step3_validation[[#This Row],[AI_TRU3]]</f>
        <v>5</v>
      </c>
      <c r="AD134">
        <f t="shared" si="70"/>
        <v>0.44444444444444442</v>
      </c>
      <c r="AE134">
        <f>[1]!survey_responses[[#This Row],[Tôi tin tưởng số tiền thuế tôi đóng sẽ được Nhà nước sử dụng hiệu quả để cải thiện dịch vụ công (y tế, đường xá...). - HUMAN-TRU3]]</f>
        <v>5</v>
      </c>
      <c r="AF134">
        <f t="shared" si="71"/>
        <v>0.44444444444444442</v>
      </c>
      <c r="AG134">
        <f>step3_validation[[#This Row],[AI_TRU4]]</f>
        <v>6</v>
      </c>
      <c r="AH134">
        <f t="shared" si="72"/>
        <v>0.55555555555555558</v>
      </c>
      <c r="AI134">
        <f>[1]!survey_responses[[#This Row],[Tôi thấy Nhà nước đã giải thích rõ ràng, minh bạch về lý do và mục tiêu của việc sửa đổi thuế lần này. - HUMAN-TRU4]]</f>
        <v>5</v>
      </c>
      <c r="AJ134">
        <f t="shared" si="73"/>
        <v>0.44444444444444442</v>
      </c>
      <c r="AK134" s="32">
        <f t="shared" si="74"/>
        <v>0.55555555555555558</v>
      </c>
      <c r="AL134" s="32">
        <f t="shared" si="75"/>
        <v>0.44444444444444442</v>
      </c>
      <c r="AM134" s="7">
        <f t="shared" si="76"/>
        <v>0.64814814814814814</v>
      </c>
      <c r="AN134" s="7">
        <f t="shared" si="77"/>
        <v>0.44444444444444442</v>
      </c>
      <c r="AO134">
        <f>step3_validation[[#This Row],[AI_OUT1]]</f>
        <v>7</v>
      </c>
      <c r="AP134">
        <f t="shared" si="78"/>
        <v>0.66666666666666663</v>
      </c>
      <c r="AQ134">
        <f>[1]!survey_responses[[#This Row],[Sau khi xem xét các quyền lợi và nghĩa vụ, bạn có ủng hộ và tuân thủ chính sách mới hiện nay? - HUMAN-OUT1]]</f>
        <v>5</v>
      </c>
      <c r="AR134">
        <f t="shared" si="79"/>
        <v>0.44444444444444442</v>
      </c>
      <c r="AS134" s="32">
        <f t="shared" si="80"/>
        <v>2</v>
      </c>
    </row>
    <row r="135" spans="1:45" x14ac:dyDescent="0.45">
      <c r="A135">
        <f>step3_validation[[#This Row],[AI_ENF1]]</f>
        <v>7</v>
      </c>
      <c r="B135">
        <f t="shared" si="54"/>
        <v>0.66666666666666663</v>
      </c>
      <c r="C135">
        <f>[1]!survey_responses[[#This Row],[Tôi tin rằng với các quy định quản lý thuế hiện nay, hành vi gian lận hoặc trốn thuế sẽ dễ dàng bị phát hiện và xử lý nghiêm. - HUMAN-ENF1]]</f>
        <v>9</v>
      </c>
      <c r="D135">
        <f t="shared" si="55"/>
        <v>0.88888888888888884</v>
      </c>
      <c r="E135">
        <f>step3_validation[[#This Row],[AI_ENF2]]</f>
        <v>6</v>
      </c>
      <c r="F135">
        <f t="shared" si="56"/>
        <v>0.55555555555555558</v>
      </c>
      <c r="G135">
        <f>[1]!survey_responses[[#This Row],[Tôi tin rằng Nhà nước, cơ quan thuế có đủ khả năng và công nghệ để phát hiện, xử lý nghiêm các hành vi trốn thuế. - HUMAN-ENF2]]</f>
        <v>9</v>
      </c>
      <c r="H135">
        <f t="shared" si="57"/>
        <v>0.88888888888888884</v>
      </c>
      <c r="I135" s="32">
        <f t="shared" si="58"/>
        <v>0.61111111111111116</v>
      </c>
      <c r="J135" s="32">
        <f t="shared" si="59"/>
        <v>0.88888888888888884</v>
      </c>
      <c r="K135">
        <f>step3_validation[[#This Row],[AI_FAC1]]</f>
        <v>8</v>
      </c>
      <c r="L135">
        <f t="shared" si="60"/>
        <v>0.77777777777777779</v>
      </c>
      <c r="M135">
        <f>[1]!survey_responses[[#This Row],[Các thủ tục khai báo thuế VÀ/HOẶC quy trình làm việc với cơ quan thuế đơn giản, tiện lợi, nhanh chóng hơn so với trước đây. - HUMAN-FAC1]]</f>
        <v>5</v>
      </c>
      <c r="N135">
        <f t="shared" si="61"/>
        <v>0.44444444444444442</v>
      </c>
      <c r="O135">
        <f>step3_validation[[#This Row],[AI_FAC2]]</f>
        <v>9</v>
      </c>
      <c r="P135">
        <f t="shared" si="62"/>
        <v>0.88888888888888884</v>
      </c>
      <c r="Q135">
        <f>[1]!survey_responses[[#This Row],[So với trước đây, tôi thấy cách tính thuế và các bậc thuế trong phương án mới đơn giản, dễ hiểu và dễ thực hiện hơn. - HUMAN-FAC2]]</f>
        <v>9</v>
      </c>
      <c r="R135">
        <f t="shared" si="63"/>
        <v>0.88888888888888884</v>
      </c>
      <c r="S135" s="32">
        <f t="shared" si="64"/>
        <v>0.83333333333333326</v>
      </c>
      <c r="T135" s="32">
        <f t="shared" si="65"/>
        <v>0.66666666666666663</v>
      </c>
      <c r="U135">
        <f>step3_validation[[#This Row],[AI_TRU1]]</f>
        <v>8</v>
      </c>
      <c r="V135">
        <f t="shared" si="66"/>
        <v>0.77777777777777779</v>
      </c>
      <c r="W135">
        <f>[1]!survey_responses[[#This Row],[Tôi tin rằng Nhà nước, cơ quan thuế sẽ thực thi chính sách mới một cách khách quan, công tâm và đối xử bình đẳng với mọi người nộp thuế.  - HUMAN-TRU1]]</f>
        <v>8</v>
      </c>
      <c r="X135">
        <f t="shared" si="67"/>
        <v>0.77777777777777779</v>
      </c>
      <c r="Y135">
        <f>step3_validation[[#This Row],[AI_TRU2]]</f>
        <v>9</v>
      </c>
      <c r="Z135">
        <f t="shared" si="68"/>
        <v>0.88888888888888884</v>
      </c>
      <c r="AA135">
        <f>[1]!survey_responses[[#This Row],[Tôi thấy mức thuế tôi phải đóng theo phương án mới là công bằng (người thu nhập như tôi đóng mức này là hợp lý). - HUMAN-TRU2]]</f>
        <v>10</v>
      </c>
      <c r="AB135">
        <f t="shared" si="69"/>
        <v>1</v>
      </c>
      <c r="AC135">
        <f>step3_validation[[#This Row],[AI_TRU3]]</f>
        <v>8</v>
      </c>
      <c r="AD135">
        <f t="shared" si="70"/>
        <v>0.77777777777777779</v>
      </c>
      <c r="AE135">
        <f>[1]!survey_responses[[#This Row],[Tôi tin tưởng số tiền thuế tôi đóng sẽ được Nhà nước sử dụng hiệu quả để cải thiện dịch vụ công (y tế, đường xá...). - HUMAN-TRU3]]</f>
        <v>5</v>
      </c>
      <c r="AF135">
        <f t="shared" si="71"/>
        <v>0.44444444444444442</v>
      </c>
      <c r="AG135">
        <f>step3_validation[[#This Row],[AI_TRU4]]</f>
        <v>7</v>
      </c>
      <c r="AH135">
        <f t="shared" si="72"/>
        <v>0.66666666666666663</v>
      </c>
      <c r="AI135">
        <f>[1]!survey_responses[[#This Row],[Tôi thấy Nhà nước đã giải thích rõ ràng, minh bạch về lý do và mục tiêu của việc sửa đổi thuế lần này. - HUMAN-TRU4]]</f>
        <v>5</v>
      </c>
      <c r="AJ135">
        <f t="shared" si="73"/>
        <v>0.44444444444444442</v>
      </c>
      <c r="AK135" s="32">
        <f t="shared" si="74"/>
        <v>0.77777777777777768</v>
      </c>
      <c r="AL135" s="32">
        <f t="shared" si="75"/>
        <v>0.66666666666666674</v>
      </c>
      <c r="AM135" s="7">
        <f t="shared" si="76"/>
        <v>0.74074074074074081</v>
      </c>
      <c r="AN135" s="7">
        <f t="shared" si="77"/>
        <v>0.74074074074074081</v>
      </c>
      <c r="AO135">
        <f>step3_validation[[#This Row],[AI_OUT1]]</f>
        <v>8</v>
      </c>
      <c r="AP135">
        <f t="shared" si="78"/>
        <v>0.77777777777777779</v>
      </c>
      <c r="AQ135">
        <f>[1]!survey_responses[[#This Row],[Sau khi xem xét các quyền lợi và nghĩa vụ, bạn có ủng hộ và tuân thủ chính sách mới hiện nay? - HUMAN-OUT1]]</f>
        <v>7</v>
      </c>
      <c r="AR135">
        <f t="shared" si="79"/>
        <v>0.66666666666666663</v>
      </c>
      <c r="AS135" s="32">
        <f t="shared" si="80"/>
        <v>1</v>
      </c>
    </row>
    <row r="136" spans="1:45" x14ac:dyDescent="0.45">
      <c r="A136">
        <f>step3_validation[[#This Row],[AI_ENF1]]</f>
        <v>6</v>
      </c>
      <c r="B136">
        <f t="shared" si="54"/>
        <v>0.55555555555555558</v>
      </c>
      <c r="C136">
        <f>[1]!survey_responses[[#This Row],[Tôi tin rằng với các quy định quản lý thuế hiện nay, hành vi gian lận hoặc trốn thuế sẽ dễ dàng bị phát hiện và xử lý nghiêm. - HUMAN-ENF1]]</f>
        <v>5</v>
      </c>
      <c r="D136">
        <f t="shared" si="55"/>
        <v>0.44444444444444442</v>
      </c>
      <c r="E136">
        <f>step3_validation[[#This Row],[AI_ENF2]]</f>
        <v>7</v>
      </c>
      <c r="F136">
        <f t="shared" si="56"/>
        <v>0.66666666666666663</v>
      </c>
      <c r="G136">
        <f>[1]!survey_responses[[#This Row],[Tôi tin rằng Nhà nước, cơ quan thuế có đủ khả năng và công nghệ để phát hiện, xử lý nghiêm các hành vi trốn thuế. - HUMAN-ENF2]]</f>
        <v>5</v>
      </c>
      <c r="H136">
        <f t="shared" si="57"/>
        <v>0.44444444444444442</v>
      </c>
      <c r="I136" s="32">
        <f t="shared" si="58"/>
        <v>0.61111111111111116</v>
      </c>
      <c r="J136" s="32">
        <f t="shared" si="59"/>
        <v>0.44444444444444442</v>
      </c>
      <c r="K136">
        <f>step3_validation[[#This Row],[AI_FAC1]]</f>
        <v>8</v>
      </c>
      <c r="L136">
        <f t="shared" si="60"/>
        <v>0.77777777777777779</v>
      </c>
      <c r="M136">
        <f>[1]!survey_responses[[#This Row],[Các thủ tục khai báo thuế VÀ/HOẶC quy trình làm việc với cơ quan thuế đơn giản, tiện lợi, nhanh chóng hơn so với trước đây. - HUMAN-FAC1]]</f>
        <v>5</v>
      </c>
      <c r="N136">
        <f t="shared" si="61"/>
        <v>0.44444444444444442</v>
      </c>
      <c r="O136">
        <f>step3_validation[[#This Row],[AI_FAC2]]</f>
        <v>9</v>
      </c>
      <c r="P136">
        <f t="shared" si="62"/>
        <v>0.88888888888888884</v>
      </c>
      <c r="Q136">
        <f>[1]!survey_responses[[#This Row],[So với trước đây, tôi thấy cách tính thuế và các bậc thuế trong phương án mới đơn giản, dễ hiểu và dễ thực hiện hơn. - HUMAN-FAC2]]</f>
        <v>6</v>
      </c>
      <c r="R136">
        <f t="shared" si="63"/>
        <v>0.55555555555555558</v>
      </c>
      <c r="S136" s="32">
        <f t="shared" si="64"/>
        <v>0.83333333333333326</v>
      </c>
      <c r="T136" s="32">
        <f t="shared" si="65"/>
        <v>0.5</v>
      </c>
      <c r="U136">
        <f>step3_validation[[#This Row],[AI_TRU1]]</f>
        <v>7</v>
      </c>
      <c r="V136">
        <f t="shared" si="66"/>
        <v>0.66666666666666663</v>
      </c>
      <c r="W136">
        <f>[1]!survey_responses[[#This Row],[Tôi tin rằng Nhà nước, cơ quan thuế sẽ thực thi chính sách mới một cách khách quan, công tâm và đối xử bình đẳng với mọi người nộp thuế.  - HUMAN-TRU1]]</f>
        <v>6</v>
      </c>
      <c r="X136">
        <f t="shared" si="67"/>
        <v>0.55555555555555558</v>
      </c>
      <c r="Y136">
        <f>step3_validation[[#This Row],[AI_TRU2]]</f>
        <v>6</v>
      </c>
      <c r="Z136">
        <f t="shared" si="68"/>
        <v>0.55555555555555558</v>
      </c>
      <c r="AA136">
        <f>[1]!survey_responses[[#This Row],[Tôi thấy mức thuế tôi phải đóng theo phương án mới là công bằng (người thu nhập như tôi đóng mức này là hợp lý). - HUMAN-TRU2]]</f>
        <v>6</v>
      </c>
      <c r="AB136">
        <f t="shared" si="69"/>
        <v>0.55555555555555558</v>
      </c>
      <c r="AC136">
        <f>step3_validation[[#This Row],[AI_TRU3]]</f>
        <v>5</v>
      </c>
      <c r="AD136">
        <f t="shared" si="70"/>
        <v>0.44444444444444442</v>
      </c>
      <c r="AE136">
        <f>[1]!survey_responses[[#This Row],[Tôi tin tưởng số tiền thuế tôi đóng sẽ được Nhà nước sử dụng hiệu quả để cải thiện dịch vụ công (y tế, đường xá...). - HUMAN-TRU3]]</f>
        <v>6</v>
      </c>
      <c r="AF136">
        <f t="shared" si="71"/>
        <v>0.55555555555555558</v>
      </c>
      <c r="AG136">
        <f>step3_validation[[#This Row],[AI_TRU4]]</f>
        <v>7</v>
      </c>
      <c r="AH136">
        <f t="shared" si="72"/>
        <v>0.66666666666666663</v>
      </c>
      <c r="AI136">
        <f>[1]!survey_responses[[#This Row],[Tôi thấy Nhà nước đã giải thích rõ ràng, minh bạch về lý do và mục tiêu của việc sửa đổi thuế lần này. - HUMAN-TRU4]]</f>
        <v>6</v>
      </c>
      <c r="AJ136">
        <f t="shared" si="73"/>
        <v>0.55555555555555558</v>
      </c>
      <c r="AK136" s="32">
        <f t="shared" si="74"/>
        <v>0.58333333333333337</v>
      </c>
      <c r="AL136" s="32">
        <f t="shared" si="75"/>
        <v>0.55555555555555558</v>
      </c>
      <c r="AM136" s="7">
        <f t="shared" si="76"/>
        <v>0.67592592592592593</v>
      </c>
      <c r="AN136" s="7">
        <f t="shared" si="77"/>
        <v>0.5</v>
      </c>
      <c r="AO136">
        <f>step3_validation[[#This Row],[AI_OUT1]]</f>
        <v>8</v>
      </c>
      <c r="AP136">
        <f t="shared" si="78"/>
        <v>0.77777777777777779</v>
      </c>
      <c r="AQ136">
        <f>[1]!survey_responses[[#This Row],[Sau khi xem xét các quyền lợi và nghĩa vụ, bạn có ủng hộ và tuân thủ chính sách mới hiện nay? - HUMAN-OUT1]]</f>
        <v>6</v>
      </c>
      <c r="AR136">
        <f t="shared" si="79"/>
        <v>0.55555555555555558</v>
      </c>
      <c r="AS136" s="32">
        <f t="shared" si="80"/>
        <v>2</v>
      </c>
    </row>
    <row r="137" spans="1:45" x14ac:dyDescent="0.45">
      <c r="A137">
        <f>step3_validation[[#This Row],[AI_ENF1]]</f>
        <v>7</v>
      </c>
      <c r="B137">
        <f t="shared" si="54"/>
        <v>0.66666666666666663</v>
      </c>
      <c r="C137">
        <f>[1]!survey_responses[[#This Row],[Tôi tin rằng với các quy định quản lý thuế hiện nay, hành vi gian lận hoặc trốn thuế sẽ dễ dàng bị phát hiện và xử lý nghiêm. - HUMAN-ENF1]]</f>
        <v>8</v>
      </c>
      <c r="D137">
        <f t="shared" si="55"/>
        <v>0.77777777777777779</v>
      </c>
      <c r="E137">
        <f>step3_validation[[#This Row],[AI_ENF2]]</f>
        <v>6</v>
      </c>
      <c r="F137">
        <f t="shared" si="56"/>
        <v>0.55555555555555558</v>
      </c>
      <c r="G137">
        <f>[1]!survey_responses[[#This Row],[Tôi tin rằng Nhà nước, cơ quan thuế có đủ khả năng và công nghệ để phát hiện, xử lý nghiêm các hành vi trốn thuế. - HUMAN-ENF2]]</f>
        <v>8</v>
      </c>
      <c r="H137">
        <f t="shared" si="57"/>
        <v>0.77777777777777779</v>
      </c>
      <c r="I137" s="32">
        <f t="shared" si="58"/>
        <v>0.61111111111111116</v>
      </c>
      <c r="J137" s="32">
        <f t="shared" si="59"/>
        <v>0.77777777777777779</v>
      </c>
      <c r="K137">
        <f>step3_validation[[#This Row],[AI_FAC1]]</f>
        <v>5</v>
      </c>
      <c r="L137">
        <f t="shared" si="60"/>
        <v>0.44444444444444442</v>
      </c>
      <c r="M137">
        <f>[1]!survey_responses[[#This Row],[Các thủ tục khai báo thuế VÀ/HOẶC quy trình làm việc với cơ quan thuế đơn giản, tiện lợi, nhanh chóng hơn so với trước đây. - HUMAN-FAC1]]</f>
        <v>8</v>
      </c>
      <c r="N137">
        <f t="shared" si="61"/>
        <v>0.77777777777777779</v>
      </c>
      <c r="O137">
        <f>step3_validation[[#This Row],[AI_FAC2]]</f>
        <v>7</v>
      </c>
      <c r="P137">
        <f t="shared" si="62"/>
        <v>0.66666666666666663</v>
      </c>
      <c r="Q137">
        <f>[1]!survey_responses[[#This Row],[So với trước đây, tôi thấy cách tính thuế và các bậc thuế trong phương án mới đơn giản, dễ hiểu và dễ thực hiện hơn. - HUMAN-FAC2]]</f>
        <v>8</v>
      </c>
      <c r="R137">
        <f t="shared" si="63"/>
        <v>0.77777777777777779</v>
      </c>
      <c r="S137" s="32">
        <f t="shared" si="64"/>
        <v>0.55555555555555558</v>
      </c>
      <c r="T137" s="32">
        <f t="shared" si="65"/>
        <v>0.77777777777777779</v>
      </c>
      <c r="U137">
        <f>step3_validation[[#This Row],[AI_TRU1]]</f>
        <v>6</v>
      </c>
      <c r="V137">
        <f t="shared" si="66"/>
        <v>0.55555555555555558</v>
      </c>
      <c r="W137">
        <f>[1]!survey_responses[[#This Row],[Tôi tin rằng Nhà nước, cơ quan thuế sẽ thực thi chính sách mới một cách khách quan, công tâm và đối xử bình đẳng với mọi người nộp thuế.  - HUMAN-TRU1]]</f>
        <v>10</v>
      </c>
      <c r="X137">
        <f t="shared" si="67"/>
        <v>1</v>
      </c>
      <c r="Y137">
        <f>step3_validation[[#This Row],[AI_TRU2]]</f>
        <v>4</v>
      </c>
      <c r="Z137">
        <f t="shared" si="68"/>
        <v>0.33333333333333331</v>
      </c>
      <c r="AA137">
        <f>[1]!survey_responses[[#This Row],[Tôi thấy mức thuế tôi phải đóng theo phương án mới là công bằng (người thu nhập như tôi đóng mức này là hợp lý). - HUMAN-TRU2]]</f>
        <v>10</v>
      </c>
      <c r="AB137">
        <f t="shared" si="69"/>
        <v>1</v>
      </c>
      <c r="AC137">
        <f>step3_validation[[#This Row],[AI_TRU3]]</f>
        <v>5</v>
      </c>
      <c r="AD137">
        <f t="shared" si="70"/>
        <v>0.44444444444444442</v>
      </c>
      <c r="AE137">
        <f>[1]!survey_responses[[#This Row],[Tôi tin tưởng số tiền thuế tôi đóng sẽ được Nhà nước sử dụng hiệu quả để cải thiện dịch vụ công (y tế, đường xá...). - HUMAN-TRU3]]</f>
        <v>10</v>
      </c>
      <c r="AF137">
        <f t="shared" si="71"/>
        <v>1</v>
      </c>
      <c r="AG137">
        <f>step3_validation[[#This Row],[AI_TRU4]]</f>
        <v>3</v>
      </c>
      <c r="AH137">
        <f t="shared" si="72"/>
        <v>0.22222222222222221</v>
      </c>
      <c r="AI137">
        <f>[1]!survey_responses[[#This Row],[Tôi thấy Nhà nước đã giải thích rõ ràng, minh bạch về lý do và mục tiêu của việc sửa đổi thuế lần này. - HUMAN-TRU4]]</f>
        <v>10</v>
      </c>
      <c r="AJ137">
        <f t="shared" si="73"/>
        <v>1</v>
      </c>
      <c r="AK137" s="32">
        <f t="shared" si="74"/>
        <v>0.38888888888888884</v>
      </c>
      <c r="AL137" s="32">
        <f t="shared" si="75"/>
        <v>1</v>
      </c>
      <c r="AM137" s="7">
        <f t="shared" si="76"/>
        <v>0.51851851851851849</v>
      </c>
      <c r="AN137" s="7">
        <f t="shared" si="77"/>
        <v>0.85185185185185175</v>
      </c>
      <c r="AO137">
        <f>step3_validation[[#This Row],[AI_OUT1]]</f>
        <v>5</v>
      </c>
      <c r="AP137">
        <f t="shared" si="78"/>
        <v>0.44444444444444442</v>
      </c>
      <c r="AQ137">
        <f>[1]!survey_responses[[#This Row],[Sau khi xem xét các quyền lợi và nghĩa vụ, bạn có ủng hộ và tuân thủ chính sách mới hiện nay? - HUMAN-OUT1]]</f>
        <v>10</v>
      </c>
      <c r="AR137">
        <f t="shared" si="79"/>
        <v>1</v>
      </c>
      <c r="AS137" s="32">
        <f t="shared" si="80"/>
        <v>5</v>
      </c>
    </row>
    <row r="138" spans="1:45" x14ac:dyDescent="0.45">
      <c r="A138">
        <f>step3_validation[[#This Row],[AI_ENF1]]</f>
        <v>7</v>
      </c>
      <c r="B138">
        <f t="shared" si="54"/>
        <v>0.66666666666666663</v>
      </c>
      <c r="C138">
        <f>[1]!survey_responses[[#This Row],[Tôi tin rằng với các quy định quản lý thuế hiện nay, hành vi gian lận hoặc trốn thuế sẽ dễ dàng bị phát hiện và xử lý nghiêm. - HUMAN-ENF1]]</f>
        <v>8</v>
      </c>
      <c r="D138">
        <f t="shared" si="55"/>
        <v>0.77777777777777779</v>
      </c>
      <c r="E138">
        <f>step3_validation[[#This Row],[AI_ENF2]]</f>
        <v>8</v>
      </c>
      <c r="F138">
        <f t="shared" si="56"/>
        <v>0.77777777777777779</v>
      </c>
      <c r="G138">
        <f>[1]!survey_responses[[#This Row],[Tôi tin rằng Nhà nước, cơ quan thuế có đủ khả năng và công nghệ để phát hiện, xử lý nghiêm các hành vi trốn thuế. - HUMAN-ENF2]]</f>
        <v>8</v>
      </c>
      <c r="H138">
        <f t="shared" si="57"/>
        <v>0.77777777777777779</v>
      </c>
      <c r="I138" s="32">
        <f t="shared" si="58"/>
        <v>0.72222222222222221</v>
      </c>
      <c r="J138" s="32">
        <f t="shared" si="59"/>
        <v>0.77777777777777779</v>
      </c>
      <c r="K138">
        <f>step3_validation[[#This Row],[AI_FAC1]]</f>
        <v>9</v>
      </c>
      <c r="L138">
        <f t="shared" si="60"/>
        <v>0.88888888888888884</v>
      </c>
      <c r="M138">
        <f>[1]!survey_responses[[#This Row],[Các thủ tục khai báo thuế VÀ/HOẶC quy trình làm việc với cơ quan thuế đơn giản, tiện lợi, nhanh chóng hơn so với trước đây. - HUMAN-FAC1]]</f>
        <v>8</v>
      </c>
      <c r="N138">
        <f t="shared" si="61"/>
        <v>0.77777777777777779</v>
      </c>
      <c r="O138">
        <f>step3_validation[[#This Row],[AI_FAC2]]</f>
        <v>8</v>
      </c>
      <c r="P138">
        <f t="shared" si="62"/>
        <v>0.77777777777777779</v>
      </c>
      <c r="Q138">
        <f>[1]!survey_responses[[#This Row],[So với trước đây, tôi thấy cách tính thuế và các bậc thuế trong phương án mới đơn giản, dễ hiểu và dễ thực hiện hơn. - HUMAN-FAC2]]</f>
        <v>8</v>
      </c>
      <c r="R138">
        <f t="shared" si="63"/>
        <v>0.77777777777777779</v>
      </c>
      <c r="S138" s="32">
        <f t="shared" si="64"/>
        <v>0.83333333333333326</v>
      </c>
      <c r="T138" s="32">
        <f t="shared" si="65"/>
        <v>0.77777777777777779</v>
      </c>
      <c r="U138">
        <f>step3_validation[[#This Row],[AI_TRU1]]</f>
        <v>9</v>
      </c>
      <c r="V138">
        <f t="shared" si="66"/>
        <v>0.88888888888888884</v>
      </c>
      <c r="W138">
        <f>[1]!survey_responses[[#This Row],[Tôi tin rằng Nhà nước, cơ quan thuế sẽ thực thi chính sách mới một cách khách quan, công tâm và đối xử bình đẳng với mọi người nộp thuế.  - HUMAN-TRU1]]</f>
        <v>8</v>
      </c>
      <c r="X138">
        <f t="shared" si="67"/>
        <v>0.77777777777777779</v>
      </c>
      <c r="Y138">
        <f>step3_validation[[#This Row],[AI_TRU2]]</f>
        <v>8</v>
      </c>
      <c r="Z138">
        <f t="shared" si="68"/>
        <v>0.77777777777777779</v>
      </c>
      <c r="AA138">
        <f>[1]!survey_responses[[#This Row],[Tôi thấy mức thuế tôi phải đóng theo phương án mới là công bằng (người thu nhập như tôi đóng mức này là hợp lý). - HUMAN-TRU2]]</f>
        <v>8</v>
      </c>
      <c r="AB138">
        <f t="shared" si="69"/>
        <v>0.77777777777777779</v>
      </c>
      <c r="AC138">
        <f>step3_validation[[#This Row],[AI_TRU3]]</f>
        <v>9</v>
      </c>
      <c r="AD138">
        <f t="shared" si="70"/>
        <v>0.88888888888888884</v>
      </c>
      <c r="AE138">
        <f>[1]!survey_responses[[#This Row],[Tôi tin tưởng số tiền thuế tôi đóng sẽ được Nhà nước sử dụng hiệu quả để cải thiện dịch vụ công (y tế, đường xá...). - HUMAN-TRU3]]</f>
        <v>5</v>
      </c>
      <c r="AF138">
        <f t="shared" si="71"/>
        <v>0.44444444444444442</v>
      </c>
      <c r="AG138">
        <f>step3_validation[[#This Row],[AI_TRU4]]</f>
        <v>7</v>
      </c>
      <c r="AH138">
        <f t="shared" si="72"/>
        <v>0.66666666666666663</v>
      </c>
      <c r="AI138">
        <f>[1]!survey_responses[[#This Row],[Tôi thấy Nhà nước đã giải thích rõ ràng, minh bạch về lý do và mục tiêu của việc sửa đổi thuế lần này. - HUMAN-TRU4]]</f>
        <v>7</v>
      </c>
      <c r="AJ138">
        <f t="shared" si="73"/>
        <v>0.66666666666666663</v>
      </c>
      <c r="AK138" s="32">
        <f t="shared" si="74"/>
        <v>0.80555555555555547</v>
      </c>
      <c r="AL138" s="32">
        <f t="shared" si="75"/>
        <v>0.66666666666666663</v>
      </c>
      <c r="AM138" s="7">
        <f t="shared" si="76"/>
        <v>0.78703703703703687</v>
      </c>
      <c r="AN138" s="7">
        <f t="shared" si="77"/>
        <v>0.74074074074074081</v>
      </c>
      <c r="AO138">
        <f>step3_validation[[#This Row],[AI_OUT1]]</f>
        <v>8</v>
      </c>
      <c r="AP138">
        <f t="shared" si="78"/>
        <v>0.77777777777777779</v>
      </c>
      <c r="AQ138">
        <f>[1]!survey_responses[[#This Row],[Sau khi xem xét các quyền lợi và nghĩa vụ, bạn có ủng hộ và tuân thủ chính sách mới hiện nay? - HUMAN-OUT1]]</f>
        <v>8</v>
      </c>
      <c r="AR138">
        <f t="shared" si="79"/>
        <v>0.77777777777777779</v>
      </c>
      <c r="AS138" s="32">
        <f t="shared" si="80"/>
        <v>0</v>
      </c>
    </row>
    <row r="139" spans="1:45" x14ac:dyDescent="0.45">
      <c r="A139">
        <f>step3_validation[[#This Row],[AI_ENF1]]</f>
        <v>7</v>
      </c>
      <c r="B139">
        <f t="shared" si="54"/>
        <v>0.66666666666666663</v>
      </c>
      <c r="C139">
        <f>[1]!survey_responses[[#This Row],[Tôi tin rằng với các quy định quản lý thuế hiện nay, hành vi gian lận hoặc trốn thuế sẽ dễ dàng bị phát hiện và xử lý nghiêm. - HUMAN-ENF1]]</f>
        <v>8</v>
      </c>
      <c r="D139">
        <f t="shared" si="55"/>
        <v>0.77777777777777779</v>
      </c>
      <c r="E139">
        <f>step3_validation[[#This Row],[AI_ENF2]]</f>
        <v>8</v>
      </c>
      <c r="F139">
        <f t="shared" si="56"/>
        <v>0.77777777777777779</v>
      </c>
      <c r="G139">
        <f>[1]!survey_responses[[#This Row],[Tôi tin rằng Nhà nước, cơ quan thuế có đủ khả năng và công nghệ để phát hiện, xử lý nghiêm các hành vi trốn thuế. - HUMAN-ENF2]]</f>
        <v>9</v>
      </c>
      <c r="H139">
        <f t="shared" si="57"/>
        <v>0.88888888888888884</v>
      </c>
      <c r="I139" s="32">
        <f t="shared" si="58"/>
        <v>0.72222222222222221</v>
      </c>
      <c r="J139" s="32">
        <f t="shared" si="59"/>
        <v>0.83333333333333326</v>
      </c>
      <c r="K139">
        <f>step3_validation[[#This Row],[AI_FAC1]]</f>
        <v>9</v>
      </c>
      <c r="L139">
        <f t="shared" si="60"/>
        <v>0.88888888888888884</v>
      </c>
      <c r="M139">
        <f>[1]!survey_responses[[#This Row],[Các thủ tục khai báo thuế VÀ/HOẶC quy trình làm việc với cơ quan thuế đơn giản, tiện lợi, nhanh chóng hơn so với trước đây. - HUMAN-FAC1]]</f>
        <v>7</v>
      </c>
      <c r="N139">
        <f t="shared" si="61"/>
        <v>0.66666666666666663</v>
      </c>
      <c r="O139">
        <f>step3_validation[[#This Row],[AI_FAC2]]</f>
        <v>8</v>
      </c>
      <c r="P139">
        <f t="shared" si="62"/>
        <v>0.77777777777777779</v>
      </c>
      <c r="Q139">
        <f>[1]!survey_responses[[#This Row],[So với trước đây, tôi thấy cách tính thuế và các bậc thuế trong phương án mới đơn giản, dễ hiểu và dễ thực hiện hơn. - HUMAN-FAC2]]</f>
        <v>7</v>
      </c>
      <c r="R139">
        <f t="shared" si="63"/>
        <v>0.66666666666666663</v>
      </c>
      <c r="S139" s="32">
        <f t="shared" si="64"/>
        <v>0.83333333333333326</v>
      </c>
      <c r="T139" s="32">
        <f t="shared" si="65"/>
        <v>0.66666666666666663</v>
      </c>
      <c r="U139">
        <f>step3_validation[[#This Row],[AI_TRU1]]</f>
        <v>7</v>
      </c>
      <c r="V139">
        <f t="shared" si="66"/>
        <v>0.66666666666666663</v>
      </c>
      <c r="W139">
        <f>[1]!survey_responses[[#This Row],[Tôi tin rằng Nhà nước, cơ quan thuế sẽ thực thi chính sách mới một cách khách quan, công tâm và đối xử bình đẳng với mọi người nộp thuế.  - HUMAN-TRU1]]</f>
        <v>6</v>
      </c>
      <c r="X139">
        <f t="shared" si="67"/>
        <v>0.55555555555555558</v>
      </c>
      <c r="Y139">
        <f>step3_validation[[#This Row],[AI_TRU2]]</f>
        <v>8</v>
      </c>
      <c r="Z139">
        <f t="shared" si="68"/>
        <v>0.77777777777777779</v>
      </c>
      <c r="AA139">
        <f>[1]!survey_responses[[#This Row],[Tôi thấy mức thuế tôi phải đóng theo phương án mới là công bằng (người thu nhập như tôi đóng mức này là hợp lý). - HUMAN-TRU2]]</f>
        <v>6</v>
      </c>
      <c r="AB139">
        <f t="shared" si="69"/>
        <v>0.55555555555555558</v>
      </c>
      <c r="AC139">
        <f>step3_validation[[#This Row],[AI_TRU3]]</f>
        <v>7</v>
      </c>
      <c r="AD139">
        <f t="shared" si="70"/>
        <v>0.66666666666666663</v>
      </c>
      <c r="AE139">
        <f>[1]!survey_responses[[#This Row],[Tôi tin tưởng số tiền thuế tôi đóng sẽ được Nhà nước sử dụng hiệu quả để cải thiện dịch vụ công (y tế, đường xá...). - HUMAN-TRU3]]</f>
        <v>2</v>
      </c>
      <c r="AF139">
        <f t="shared" si="71"/>
        <v>0.1111111111111111</v>
      </c>
      <c r="AG139">
        <f>step3_validation[[#This Row],[AI_TRU4]]</f>
        <v>6</v>
      </c>
      <c r="AH139">
        <f t="shared" si="72"/>
        <v>0.55555555555555558</v>
      </c>
      <c r="AI139">
        <f>[1]!survey_responses[[#This Row],[Tôi thấy Nhà nước đã giải thích rõ ràng, minh bạch về lý do và mục tiêu của việc sửa đổi thuế lần này. - HUMAN-TRU4]]</f>
        <v>5</v>
      </c>
      <c r="AJ139">
        <f t="shared" si="73"/>
        <v>0.44444444444444442</v>
      </c>
      <c r="AK139" s="32">
        <f t="shared" si="74"/>
        <v>0.66666666666666674</v>
      </c>
      <c r="AL139" s="32">
        <f t="shared" si="75"/>
        <v>0.41666666666666669</v>
      </c>
      <c r="AM139" s="7">
        <f t="shared" si="76"/>
        <v>0.74074074074074081</v>
      </c>
      <c r="AN139" s="7">
        <f t="shared" si="77"/>
        <v>0.63888888888888895</v>
      </c>
      <c r="AO139">
        <f>step3_validation[[#This Row],[AI_OUT1]]</f>
        <v>7</v>
      </c>
      <c r="AP139">
        <f t="shared" si="78"/>
        <v>0.66666666666666663</v>
      </c>
      <c r="AQ139">
        <f>[1]!survey_responses[[#This Row],[Sau khi xem xét các quyền lợi và nghĩa vụ, bạn có ủng hộ và tuân thủ chính sách mới hiện nay? - HUMAN-OUT1]]</f>
        <v>6</v>
      </c>
      <c r="AR139">
        <f t="shared" si="79"/>
        <v>0.55555555555555558</v>
      </c>
      <c r="AS139" s="32">
        <f t="shared" si="80"/>
        <v>1</v>
      </c>
    </row>
    <row r="140" spans="1:45" x14ac:dyDescent="0.45">
      <c r="A140">
        <f>step3_validation[[#This Row],[AI_ENF1]]</f>
        <v>8</v>
      </c>
      <c r="B140">
        <f t="shared" si="54"/>
        <v>0.77777777777777779</v>
      </c>
      <c r="C140">
        <f>[1]!survey_responses[[#This Row],[Tôi tin rằng với các quy định quản lý thuế hiện nay, hành vi gian lận hoặc trốn thuế sẽ dễ dàng bị phát hiện và xử lý nghiêm. - HUMAN-ENF1]]</f>
        <v>5</v>
      </c>
      <c r="D140">
        <f t="shared" si="55"/>
        <v>0.44444444444444442</v>
      </c>
      <c r="E140">
        <f>step3_validation[[#This Row],[AI_ENF2]]</f>
        <v>7</v>
      </c>
      <c r="F140">
        <f t="shared" si="56"/>
        <v>0.66666666666666663</v>
      </c>
      <c r="G140">
        <f>[1]!survey_responses[[#This Row],[Tôi tin rằng Nhà nước, cơ quan thuế có đủ khả năng và công nghệ để phát hiện, xử lý nghiêm các hành vi trốn thuế. - HUMAN-ENF2]]</f>
        <v>4</v>
      </c>
      <c r="H140">
        <f t="shared" si="57"/>
        <v>0.33333333333333331</v>
      </c>
      <c r="I140" s="32">
        <f t="shared" si="58"/>
        <v>0.72222222222222221</v>
      </c>
      <c r="J140" s="32">
        <f t="shared" si="59"/>
        <v>0.38888888888888884</v>
      </c>
      <c r="K140">
        <f>step3_validation[[#This Row],[AI_FAC1]]</f>
        <v>6</v>
      </c>
      <c r="L140">
        <f t="shared" si="60"/>
        <v>0.55555555555555558</v>
      </c>
      <c r="M140">
        <f>[1]!survey_responses[[#This Row],[Các thủ tục khai báo thuế VÀ/HOẶC quy trình làm việc với cơ quan thuế đơn giản, tiện lợi, nhanh chóng hơn so với trước đây. - HUMAN-FAC1]]</f>
        <v>7</v>
      </c>
      <c r="N140">
        <f t="shared" si="61"/>
        <v>0.66666666666666663</v>
      </c>
      <c r="O140">
        <f>step3_validation[[#This Row],[AI_FAC2]]</f>
        <v>5</v>
      </c>
      <c r="P140">
        <f t="shared" si="62"/>
        <v>0.44444444444444442</v>
      </c>
      <c r="Q140">
        <f>[1]!survey_responses[[#This Row],[So với trước đây, tôi thấy cách tính thuế và các bậc thuế trong phương án mới đơn giản, dễ hiểu và dễ thực hiện hơn. - HUMAN-FAC2]]</f>
        <v>6</v>
      </c>
      <c r="R140">
        <f t="shared" si="63"/>
        <v>0.55555555555555558</v>
      </c>
      <c r="S140" s="32">
        <f t="shared" si="64"/>
        <v>0.5</v>
      </c>
      <c r="T140" s="32">
        <f t="shared" si="65"/>
        <v>0.61111111111111116</v>
      </c>
      <c r="U140">
        <f>step3_validation[[#This Row],[AI_TRU1]]</f>
        <v>8</v>
      </c>
      <c r="V140">
        <f t="shared" si="66"/>
        <v>0.77777777777777779</v>
      </c>
      <c r="W140">
        <f>[1]!survey_responses[[#This Row],[Tôi tin rằng Nhà nước, cơ quan thuế sẽ thực thi chính sách mới một cách khách quan, công tâm và đối xử bình đẳng với mọi người nộp thuế.  - HUMAN-TRU1]]</f>
        <v>3</v>
      </c>
      <c r="X140">
        <f t="shared" si="67"/>
        <v>0.22222222222222221</v>
      </c>
      <c r="Y140">
        <f>step3_validation[[#This Row],[AI_TRU2]]</f>
        <v>7</v>
      </c>
      <c r="Z140">
        <f t="shared" si="68"/>
        <v>0.66666666666666663</v>
      </c>
      <c r="AA140">
        <f>[1]!survey_responses[[#This Row],[Tôi thấy mức thuế tôi phải đóng theo phương án mới là công bằng (người thu nhập như tôi đóng mức này là hợp lý). - HUMAN-TRU2]]</f>
        <v>4</v>
      </c>
      <c r="AB140">
        <f t="shared" si="69"/>
        <v>0.33333333333333331</v>
      </c>
      <c r="AC140">
        <f>step3_validation[[#This Row],[AI_TRU3]]</f>
        <v>6</v>
      </c>
      <c r="AD140">
        <f t="shared" si="70"/>
        <v>0.55555555555555558</v>
      </c>
      <c r="AE140">
        <f>[1]!survey_responses[[#This Row],[Tôi tin tưởng số tiền thuế tôi đóng sẽ được Nhà nước sử dụng hiệu quả để cải thiện dịch vụ công (y tế, đường xá...). - HUMAN-TRU3]]</f>
        <v>4</v>
      </c>
      <c r="AF140">
        <f t="shared" si="71"/>
        <v>0.33333333333333331</v>
      </c>
      <c r="AG140">
        <f>step3_validation[[#This Row],[AI_TRU4]]</f>
        <v>5</v>
      </c>
      <c r="AH140">
        <f t="shared" si="72"/>
        <v>0.44444444444444442</v>
      </c>
      <c r="AI140">
        <f>[1]!survey_responses[[#This Row],[Tôi thấy Nhà nước đã giải thích rõ ràng, minh bạch về lý do và mục tiêu của việc sửa đổi thuế lần này. - HUMAN-TRU4]]</f>
        <v>5</v>
      </c>
      <c r="AJ140">
        <f t="shared" si="73"/>
        <v>0.44444444444444442</v>
      </c>
      <c r="AK140" s="32">
        <f t="shared" si="74"/>
        <v>0.61111111111111116</v>
      </c>
      <c r="AL140" s="32">
        <f t="shared" si="75"/>
        <v>0.33333333333333331</v>
      </c>
      <c r="AM140" s="7">
        <f t="shared" si="76"/>
        <v>0.61111111111111116</v>
      </c>
      <c r="AN140" s="7">
        <f t="shared" si="77"/>
        <v>0.44444444444444442</v>
      </c>
      <c r="AO140">
        <f>step3_validation[[#This Row],[AI_OUT1]]</f>
        <v>8</v>
      </c>
      <c r="AP140">
        <f t="shared" si="78"/>
        <v>0.77777777777777779</v>
      </c>
      <c r="AQ140">
        <f>[1]!survey_responses[[#This Row],[Sau khi xem xét các quyền lợi và nghĩa vụ, bạn có ủng hộ và tuân thủ chính sách mới hiện nay? - HUMAN-OUT1]]</f>
        <v>5</v>
      </c>
      <c r="AR140">
        <f t="shared" si="79"/>
        <v>0.44444444444444442</v>
      </c>
      <c r="AS140" s="32">
        <f t="shared" si="80"/>
        <v>3</v>
      </c>
    </row>
    <row r="141" spans="1:45" x14ac:dyDescent="0.45">
      <c r="A141">
        <f>step3_validation[[#This Row],[AI_ENF1]]</f>
        <v>6</v>
      </c>
      <c r="B141">
        <f t="shared" si="54"/>
        <v>0.55555555555555558</v>
      </c>
      <c r="C141">
        <f>[1]!survey_responses[[#This Row],[Tôi tin rằng với các quy định quản lý thuế hiện nay, hành vi gian lận hoặc trốn thuế sẽ dễ dàng bị phát hiện và xử lý nghiêm. - HUMAN-ENF1]]</f>
        <v>10</v>
      </c>
      <c r="D141">
        <f t="shared" si="55"/>
        <v>1</v>
      </c>
      <c r="E141">
        <f>step3_validation[[#This Row],[AI_ENF2]]</f>
        <v>7</v>
      </c>
      <c r="F141">
        <f t="shared" si="56"/>
        <v>0.66666666666666663</v>
      </c>
      <c r="G141">
        <f>[1]!survey_responses[[#This Row],[Tôi tin rằng Nhà nước, cơ quan thuế có đủ khả năng và công nghệ để phát hiện, xử lý nghiêm các hành vi trốn thuế. - HUMAN-ENF2]]</f>
        <v>9</v>
      </c>
      <c r="H141">
        <f t="shared" si="57"/>
        <v>0.88888888888888884</v>
      </c>
      <c r="I141" s="32">
        <f t="shared" si="58"/>
        <v>0.61111111111111116</v>
      </c>
      <c r="J141" s="32">
        <f t="shared" si="59"/>
        <v>0.94444444444444442</v>
      </c>
      <c r="K141">
        <f>step3_validation[[#This Row],[AI_FAC1]]</f>
        <v>8</v>
      </c>
      <c r="L141">
        <f t="shared" si="60"/>
        <v>0.77777777777777779</v>
      </c>
      <c r="M141">
        <f>[1]!survey_responses[[#This Row],[Các thủ tục khai báo thuế VÀ/HOẶC quy trình làm việc với cơ quan thuế đơn giản, tiện lợi, nhanh chóng hơn so với trước đây. - HUMAN-FAC1]]</f>
        <v>9</v>
      </c>
      <c r="N141">
        <f t="shared" si="61"/>
        <v>0.88888888888888884</v>
      </c>
      <c r="O141">
        <f>step3_validation[[#This Row],[AI_FAC2]]</f>
        <v>9</v>
      </c>
      <c r="P141">
        <f t="shared" si="62"/>
        <v>0.88888888888888884</v>
      </c>
      <c r="Q141">
        <f>[1]!survey_responses[[#This Row],[So với trước đây, tôi thấy cách tính thuế và các bậc thuế trong phương án mới đơn giản, dễ hiểu và dễ thực hiện hơn. - HUMAN-FAC2]]</f>
        <v>9</v>
      </c>
      <c r="R141">
        <f t="shared" si="63"/>
        <v>0.88888888888888884</v>
      </c>
      <c r="S141" s="32">
        <f t="shared" si="64"/>
        <v>0.83333333333333326</v>
      </c>
      <c r="T141" s="32">
        <f t="shared" si="65"/>
        <v>0.88888888888888884</v>
      </c>
      <c r="U141">
        <f>step3_validation[[#This Row],[AI_TRU1]]</f>
        <v>7</v>
      </c>
      <c r="V141">
        <f t="shared" si="66"/>
        <v>0.66666666666666663</v>
      </c>
      <c r="W141">
        <f>[1]!survey_responses[[#This Row],[Tôi tin rằng Nhà nước, cơ quan thuế sẽ thực thi chính sách mới một cách khách quan, công tâm và đối xử bình đẳng với mọi người nộp thuế.  - HUMAN-TRU1]]</f>
        <v>8</v>
      </c>
      <c r="X141">
        <f t="shared" si="67"/>
        <v>0.77777777777777779</v>
      </c>
      <c r="Y141">
        <f>step3_validation[[#This Row],[AI_TRU2]]</f>
        <v>6</v>
      </c>
      <c r="Z141">
        <f t="shared" si="68"/>
        <v>0.55555555555555558</v>
      </c>
      <c r="AA141">
        <f>[1]!survey_responses[[#This Row],[Tôi thấy mức thuế tôi phải đóng theo phương án mới là công bằng (người thu nhập như tôi đóng mức này là hợp lý). - HUMAN-TRU2]]</f>
        <v>8</v>
      </c>
      <c r="AB141">
        <f t="shared" si="69"/>
        <v>0.77777777777777779</v>
      </c>
      <c r="AC141">
        <f>step3_validation[[#This Row],[AI_TRU3]]</f>
        <v>5</v>
      </c>
      <c r="AD141">
        <f t="shared" si="70"/>
        <v>0.44444444444444442</v>
      </c>
      <c r="AE141">
        <f>[1]!survey_responses[[#This Row],[Tôi tin tưởng số tiền thuế tôi đóng sẽ được Nhà nước sử dụng hiệu quả để cải thiện dịch vụ công (y tế, đường xá...). - HUMAN-TRU3]]</f>
        <v>8</v>
      </c>
      <c r="AF141">
        <f t="shared" si="71"/>
        <v>0.77777777777777779</v>
      </c>
      <c r="AG141">
        <f>step3_validation[[#This Row],[AI_TRU4]]</f>
        <v>7</v>
      </c>
      <c r="AH141">
        <f t="shared" si="72"/>
        <v>0.66666666666666663</v>
      </c>
      <c r="AI141">
        <f>[1]!survey_responses[[#This Row],[Tôi thấy Nhà nước đã giải thích rõ ràng, minh bạch về lý do và mục tiêu của việc sửa đổi thuế lần này. - HUMAN-TRU4]]</f>
        <v>8</v>
      </c>
      <c r="AJ141">
        <f t="shared" si="73"/>
        <v>0.77777777777777779</v>
      </c>
      <c r="AK141" s="32">
        <f t="shared" si="74"/>
        <v>0.58333333333333337</v>
      </c>
      <c r="AL141" s="32">
        <f t="shared" si="75"/>
        <v>0.77777777777777779</v>
      </c>
      <c r="AM141" s="7">
        <f t="shared" si="76"/>
        <v>0.67592592592592593</v>
      </c>
      <c r="AN141" s="7">
        <f t="shared" si="77"/>
        <v>0.87037037037037035</v>
      </c>
      <c r="AO141">
        <f>step3_validation[[#This Row],[AI_OUT1]]</f>
        <v>7</v>
      </c>
      <c r="AP141">
        <f t="shared" si="78"/>
        <v>0.66666666666666663</v>
      </c>
      <c r="AQ141">
        <f>[1]!survey_responses[[#This Row],[Sau khi xem xét các quyền lợi và nghĩa vụ, bạn có ủng hộ và tuân thủ chính sách mới hiện nay? - HUMAN-OUT1]]</f>
        <v>10</v>
      </c>
      <c r="AR141">
        <f t="shared" si="79"/>
        <v>1</v>
      </c>
      <c r="AS141" s="32">
        <f t="shared" si="80"/>
        <v>3</v>
      </c>
    </row>
    <row r="142" spans="1:45" x14ac:dyDescent="0.45">
      <c r="A142">
        <f>step3_validation[[#This Row],[AI_ENF1]]</f>
        <v>7</v>
      </c>
      <c r="B142">
        <f t="shared" si="54"/>
        <v>0.66666666666666663</v>
      </c>
      <c r="C142">
        <f>[1]!survey_responses[[#This Row],[Tôi tin rằng với các quy định quản lý thuế hiện nay, hành vi gian lận hoặc trốn thuế sẽ dễ dàng bị phát hiện và xử lý nghiêm. - HUMAN-ENF1]]</f>
        <v>8</v>
      </c>
      <c r="D142">
        <f t="shared" si="55"/>
        <v>0.77777777777777779</v>
      </c>
      <c r="E142">
        <f>step3_validation[[#This Row],[AI_ENF2]]</f>
        <v>8</v>
      </c>
      <c r="F142">
        <f t="shared" si="56"/>
        <v>0.77777777777777779</v>
      </c>
      <c r="G142">
        <f>[1]!survey_responses[[#This Row],[Tôi tin rằng Nhà nước, cơ quan thuế có đủ khả năng và công nghệ để phát hiện, xử lý nghiêm các hành vi trốn thuế. - HUMAN-ENF2]]</f>
        <v>7</v>
      </c>
      <c r="H142">
        <f t="shared" si="57"/>
        <v>0.66666666666666663</v>
      </c>
      <c r="I142" s="32">
        <f t="shared" si="58"/>
        <v>0.72222222222222221</v>
      </c>
      <c r="J142" s="32">
        <f t="shared" si="59"/>
        <v>0.72222222222222221</v>
      </c>
      <c r="K142">
        <f>step3_validation[[#This Row],[AI_FAC1]]</f>
        <v>6</v>
      </c>
      <c r="L142">
        <f t="shared" si="60"/>
        <v>0.55555555555555558</v>
      </c>
      <c r="M142">
        <f>[1]!survey_responses[[#This Row],[Các thủ tục khai báo thuế VÀ/HOẶC quy trình làm việc với cơ quan thuế đơn giản, tiện lợi, nhanh chóng hơn so với trước đây. - HUMAN-FAC1]]</f>
        <v>6</v>
      </c>
      <c r="N142">
        <f t="shared" si="61"/>
        <v>0.55555555555555558</v>
      </c>
      <c r="O142">
        <f>step3_validation[[#This Row],[AI_FAC2]]</f>
        <v>8</v>
      </c>
      <c r="P142">
        <f t="shared" si="62"/>
        <v>0.77777777777777779</v>
      </c>
      <c r="Q142">
        <f>[1]!survey_responses[[#This Row],[So với trước đây, tôi thấy cách tính thuế và các bậc thuế trong phương án mới đơn giản, dễ hiểu và dễ thực hiện hơn. - HUMAN-FAC2]]</f>
        <v>6</v>
      </c>
      <c r="R142">
        <f t="shared" si="63"/>
        <v>0.55555555555555558</v>
      </c>
      <c r="S142" s="32">
        <f t="shared" si="64"/>
        <v>0.66666666666666674</v>
      </c>
      <c r="T142" s="32">
        <f t="shared" si="65"/>
        <v>0.55555555555555558</v>
      </c>
      <c r="U142">
        <f>step3_validation[[#This Row],[AI_TRU1]]</f>
        <v>7</v>
      </c>
      <c r="V142">
        <f t="shared" si="66"/>
        <v>0.66666666666666663</v>
      </c>
      <c r="W142">
        <f>[1]!survey_responses[[#This Row],[Tôi tin rằng Nhà nước, cơ quan thuế sẽ thực thi chính sách mới một cách khách quan, công tâm và đối xử bình đẳng với mọi người nộp thuế.  - HUMAN-TRU1]]</f>
        <v>5</v>
      </c>
      <c r="X142">
        <f t="shared" si="67"/>
        <v>0.44444444444444442</v>
      </c>
      <c r="Y142">
        <f>step3_validation[[#This Row],[AI_TRU2]]</f>
        <v>6</v>
      </c>
      <c r="Z142">
        <f t="shared" si="68"/>
        <v>0.55555555555555558</v>
      </c>
      <c r="AA142">
        <f>[1]!survey_responses[[#This Row],[Tôi thấy mức thuế tôi phải đóng theo phương án mới là công bằng (người thu nhập như tôi đóng mức này là hợp lý). - HUMAN-TRU2]]</f>
        <v>5</v>
      </c>
      <c r="AB142">
        <f t="shared" si="69"/>
        <v>0.44444444444444442</v>
      </c>
      <c r="AC142">
        <f>step3_validation[[#This Row],[AI_TRU3]]</f>
        <v>7</v>
      </c>
      <c r="AD142">
        <f t="shared" si="70"/>
        <v>0.66666666666666663</v>
      </c>
      <c r="AE142">
        <f>[1]!survey_responses[[#This Row],[Tôi tin tưởng số tiền thuế tôi đóng sẽ được Nhà nước sử dụng hiệu quả để cải thiện dịch vụ công (y tế, đường xá...). - HUMAN-TRU3]]</f>
        <v>3</v>
      </c>
      <c r="AF142">
        <f t="shared" si="71"/>
        <v>0.22222222222222221</v>
      </c>
      <c r="AG142">
        <f>step3_validation[[#This Row],[AI_TRU4]]</f>
        <v>6</v>
      </c>
      <c r="AH142">
        <f t="shared" si="72"/>
        <v>0.55555555555555558</v>
      </c>
      <c r="AI142">
        <f>[1]!survey_responses[[#This Row],[Tôi thấy Nhà nước đã giải thích rõ ràng, minh bạch về lý do và mục tiêu của việc sửa đổi thuế lần này. - HUMAN-TRU4]]</f>
        <v>3</v>
      </c>
      <c r="AJ142">
        <f t="shared" si="73"/>
        <v>0.22222222222222221</v>
      </c>
      <c r="AK142" s="32">
        <f t="shared" si="74"/>
        <v>0.61111111111111116</v>
      </c>
      <c r="AL142" s="32">
        <f t="shared" si="75"/>
        <v>0.33333333333333337</v>
      </c>
      <c r="AM142" s="7">
        <f t="shared" si="76"/>
        <v>0.66666666666666663</v>
      </c>
      <c r="AN142" s="7">
        <f t="shared" si="77"/>
        <v>0.53703703703703709</v>
      </c>
      <c r="AO142">
        <f>step3_validation[[#This Row],[AI_OUT1]]</f>
        <v>8</v>
      </c>
      <c r="AP142">
        <f t="shared" si="78"/>
        <v>0.77777777777777779</v>
      </c>
      <c r="AQ142">
        <f>[1]!survey_responses[[#This Row],[Sau khi xem xét các quyền lợi và nghĩa vụ, bạn có ủng hộ và tuân thủ chính sách mới hiện nay? - HUMAN-OUT1]]</f>
        <v>5</v>
      </c>
      <c r="AR142">
        <f t="shared" si="79"/>
        <v>0.44444444444444442</v>
      </c>
      <c r="AS142" s="32">
        <f t="shared" si="80"/>
        <v>3</v>
      </c>
    </row>
    <row r="143" spans="1:45" x14ac:dyDescent="0.45">
      <c r="A143">
        <f>step3_validation[[#This Row],[AI_ENF1]]</f>
        <v>7</v>
      </c>
      <c r="B143">
        <f t="shared" si="54"/>
        <v>0.66666666666666663</v>
      </c>
      <c r="C143">
        <f>[1]!survey_responses[[#This Row],[Tôi tin rằng với các quy định quản lý thuế hiện nay, hành vi gian lận hoặc trốn thuế sẽ dễ dàng bị phát hiện và xử lý nghiêm. - HUMAN-ENF1]]</f>
        <v>5</v>
      </c>
      <c r="D143">
        <f t="shared" si="55"/>
        <v>0.44444444444444442</v>
      </c>
      <c r="E143">
        <f>step3_validation[[#This Row],[AI_ENF2]]</f>
        <v>8</v>
      </c>
      <c r="F143">
        <f t="shared" si="56"/>
        <v>0.77777777777777779</v>
      </c>
      <c r="G143">
        <f>[1]!survey_responses[[#This Row],[Tôi tin rằng Nhà nước, cơ quan thuế có đủ khả năng và công nghệ để phát hiện, xử lý nghiêm các hành vi trốn thuế. - HUMAN-ENF2]]</f>
        <v>6</v>
      </c>
      <c r="H143">
        <f t="shared" si="57"/>
        <v>0.55555555555555558</v>
      </c>
      <c r="I143" s="32">
        <f t="shared" si="58"/>
        <v>0.72222222222222221</v>
      </c>
      <c r="J143" s="32">
        <f t="shared" si="59"/>
        <v>0.5</v>
      </c>
      <c r="K143">
        <f>step3_validation[[#This Row],[AI_FAC1]]</f>
        <v>9</v>
      </c>
      <c r="L143">
        <f t="shared" si="60"/>
        <v>0.88888888888888884</v>
      </c>
      <c r="M143">
        <f>[1]!survey_responses[[#This Row],[Các thủ tục khai báo thuế VÀ/HOẶC quy trình làm việc với cơ quan thuế đơn giản, tiện lợi, nhanh chóng hơn so với trước đây. - HUMAN-FAC1]]</f>
        <v>5</v>
      </c>
      <c r="N143">
        <f t="shared" si="61"/>
        <v>0.44444444444444442</v>
      </c>
      <c r="O143">
        <f>step3_validation[[#This Row],[AI_FAC2]]</f>
        <v>8</v>
      </c>
      <c r="P143">
        <f t="shared" si="62"/>
        <v>0.77777777777777779</v>
      </c>
      <c r="Q143">
        <f>[1]!survey_responses[[#This Row],[So với trước đây, tôi thấy cách tính thuế và các bậc thuế trong phương án mới đơn giản, dễ hiểu và dễ thực hiện hơn. - HUMAN-FAC2]]</f>
        <v>7</v>
      </c>
      <c r="R143">
        <f t="shared" si="63"/>
        <v>0.66666666666666663</v>
      </c>
      <c r="S143" s="32">
        <f t="shared" si="64"/>
        <v>0.83333333333333326</v>
      </c>
      <c r="T143" s="32">
        <f t="shared" si="65"/>
        <v>0.55555555555555558</v>
      </c>
      <c r="U143">
        <f>step3_validation[[#This Row],[AI_TRU1]]</f>
        <v>7</v>
      </c>
      <c r="V143">
        <f t="shared" si="66"/>
        <v>0.66666666666666663</v>
      </c>
      <c r="W143">
        <f>[1]!survey_responses[[#This Row],[Tôi tin rằng Nhà nước, cơ quan thuế sẽ thực thi chính sách mới một cách khách quan, công tâm và đối xử bình đẳng với mọi người nộp thuế.  - HUMAN-TRU1]]</f>
        <v>6</v>
      </c>
      <c r="X143">
        <f t="shared" si="67"/>
        <v>0.55555555555555558</v>
      </c>
      <c r="Y143">
        <f>step3_validation[[#This Row],[AI_TRU2]]</f>
        <v>6</v>
      </c>
      <c r="Z143">
        <f t="shared" si="68"/>
        <v>0.55555555555555558</v>
      </c>
      <c r="AA143">
        <f>[1]!survey_responses[[#This Row],[Tôi thấy mức thuế tôi phải đóng theo phương án mới là công bằng (người thu nhập như tôi đóng mức này là hợp lý). - HUMAN-TRU2]]</f>
        <v>6</v>
      </c>
      <c r="AB143">
        <f t="shared" si="69"/>
        <v>0.55555555555555558</v>
      </c>
      <c r="AC143">
        <f>step3_validation[[#This Row],[AI_TRU3]]</f>
        <v>5</v>
      </c>
      <c r="AD143">
        <f t="shared" si="70"/>
        <v>0.44444444444444442</v>
      </c>
      <c r="AE143">
        <f>[1]!survey_responses[[#This Row],[Tôi tin tưởng số tiền thuế tôi đóng sẽ được Nhà nước sử dụng hiệu quả để cải thiện dịch vụ công (y tế, đường xá...). - HUMAN-TRU3]]</f>
        <v>6</v>
      </c>
      <c r="AF143">
        <f t="shared" si="71"/>
        <v>0.55555555555555558</v>
      </c>
      <c r="AG143">
        <f>step3_validation[[#This Row],[AI_TRU4]]</f>
        <v>7</v>
      </c>
      <c r="AH143">
        <f t="shared" si="72"/>
        <v>0.66666666666666663</v>
      </c>
      <c r="AI143">
        <f>[1]!survey_responses[[#This Row],[Tôi thấy Nhà nước đã giải thích rõ ràng, minh bạch về lý do và mục tiêu của việc sửa đổi thuế lần này. - HUMAN-TRU4]]</f>
        <v>7</v>
      </c>
      <c r="AJ143">
        <f t="shared" si="73"/>
        <v>0.66666666666666663</v>
      </c>
      <c r="AK143" s="32">
        <f t="shared" si="74"/>
        <v>0.58333333333333337</v>
      </c>
      <c r="AL143" s="32">
        <f t="shared" si="75"/>
        <v>0.58333333333333337</v>
      </c>
      <c r="AM143" s="7">
        <f t="shared" si="76"/>
        <v>0.71296296296296291</v>
      </c>
      <c r="AN143" s="7">
        <f t="shared" si="77"/>
        <v>0.54629629629629628</v>
      </c>
      <c r="AO143">
        <f>step3_validation[[#This Row],[AI_OUT1]]</f>
        <v>6</v>
      </c>
      <c r="AP143">
        <f t="shared" si="78"/>
        <v>0.55555555555555558</v>
      </c>
      <c r="AQ143">
        <f>[1]!survey_responses[[#This Row],[Sau khi xem xét các quyền lợi và nghĩa vụ, bạn có ủng hộ và tuân thủ chính sách mới hiện nay? - HUMAN-OUT1]]</f>
        <v>7</v>
      </c>
      <c r="AR143">
        <f t="shared" si="79"/>
        <v>0.66666666666666663</v>
      </c>
      <c r="AS143" s="32">
        <f t="shared" si="80"/>
        <v>1</v>
      </c>
    </row>
    <row r="144" spans="1:45" x14ac:dyDescent="0.45">
      <c r="A144">
        <f>step3_validation[[#This Row],[AI_ENF1]]</f>
        <v>7</v>
      </c>
      <c r="B144">
        <f t="shared" si="54"/>
        <v>0.66666666666666663</v>
      </c>
      <c r="C144">
        <f>[1]!survey_responses[[#This Row],[Tôi tin rằng với các quy định quản lý thuế hiện nay, hành vi gian lận hoặc trốn thuế sẽ dễ dàng bị phát hiện và xử lý nghiêm. - HUMAN-ENF1]]</f>
        <v>1</v>
      </c>
      <c r="D144">
        <f t="shared" si="55"/>
        <v>0</v>
      </c>
      <c r="E144">
        <f>step3_validation[[#This Row],[AI_ENF2]]</f>
        <v>6</v>
      </c>
      <c r="F144">
        <f t="shared" si="56"/>
        <v>0.55555555555555558</v>
      </c>
      <c r="G144">
        <f>[1]!survey_responses[[#This Row],[Tôi tin rằng Nhà nước, cơ quan thuế có đủ khả năng và công nghệ để phát hiện, xử lý nghiêm các hành vi trốn thuế. - HUMAN-ENF2]]</f>
        <v>1</v>
      </c>
      <c r="H144">
        <f t="shared" si="57"/>
        <v>0</v>
      </c>
      <c r="I144" s="32">
        <f t="shared" si="58"/>
        <v>0.61111111111111116</v>
      </c>
      <c r="J144" s="32">
        <f t="shared" si="59"/>
        <v>0</v>
      </c>
      <c r="K144">
        <f>step3_validation[[#This Row],[AI_FAC1]]</f>
        <v>8</v>
      </c>
      <c r="L144">
        <f t="shared" si="60"/>
        <v>0.77777777777777779</v>
      </c>
      <c r="M144">
        <f>[1]!survey_responses[[#This Row],[Các thủ tục khai báo thuế VÀ/HOẶC quy trình làm việc với cơ quan thuế đơn giản, tiện lợi, nhanh chóng hơn so với trước đây. - HUMAN-FAC1]]</f>
        <v>8</v>
      </c>
      <c r="N144">
        <f t="shared" si="61"/>
        <v>0.77777777777777779</v>
      </c>
      <c r="O144">
        <f>step3_validation[[#This Row],[AI_FAC2]]</f>
        <v>7</v>
      </c>
      <c r="P144">
        <f t="shared" si="62"/>
        <v>0.66666666666666663</v>
      </c>
      <c r="Q144">
        <f>[1]!survey_responses[[#This Row],[So với trước đây, tôi thấy cách tính thuế và các bậc thuế trong phương án mới đơn giản, dễ hiểu và dễ thực hiện hơn. - HUMAN-FAC2]]</f>
        <v>8</v>
      </c>
      <c r="R144">
        <f t="shared" si="63"/>
        <v>0.77777777777777779</v>
      </c>
      <c r="S144" s="32">
        <f t="shared" si="64"/>
        <v>0.72222222222222221</v>
      </c>
      <c r="T144" s="32">
        <f t="shared" si="65"/>
        <v>0.77777777777777779</v>
      </c>
      <c r="U144">
        <f>step3_validation[[#This Row],[AI_TRU1]]</f>
        <v>5</v>
      </c>
      <c r="V144">
        <f t="shared" si="66"/>
        <v>0.44444444444444442</v>
      </c>
      <c r="W144">
        <f>[1]!survey_responses[[#This Row],[Tôi tin rằng Nhà nước, cơ quan thuế sẽ thực thi chính sách mới một cách khách quan, công tâm và đối xử bình đẳng với mọi người nộp thuế.  - HUMAN-TRU1]]</f>
        <v>8</v>
      </c>
      <c r="X144">
        <f t="shared" si="67"/>
        <v>0.77777777777777779</v>
      </c>
      <c r="Y144">
        <f>step3_validation[[#This Row],[AI_TRU2]]</f>
        <v>6</v>
      </c>
      <c r="Z144">
        <f t="shared" si="68"/>
        <v>0.55555555555555558</v>
      </c>
      <c r="AA144">
        <f>[1]!survey_responses[[#This Row],[Tôi thấy mức thuế tôi phải đóng theo phương án mới là công bằng (người thu nhập như tôi đóng mức này là hợp lý). - HUMAN-TRU2]]</f>
        <v>8</v>
      </c>
      <c r="AB144">
        <f t="shared" si="69"/>
        <v>0.77777777777777779</v>
      </c>
      <c r="AC144">
        <f>step3_validation[[#This Row],[AI_TRU3]]</f>
        <v>4</v>
      </c>
      <c r="AD144">
        <f t="shared" si="70"/>
        <v>0.33333333333333331</v>
      </c>
      <c r="AE144">
        <f>[1]!survey_responses[[#This Row],[Tôi tin tưởng số tiền thuế tôi đóng sẽ được Nhà nước sử dụng hiệu quả để cải thiện dịch vụ công (y tế, đường xá...). - HUMAN-TRU3]]</f>
        <v>8</v>
      </c>
      <c r="AF144">
        <f t="shared" si="71"/>
        <v>0.77777777777777779</v>
      </c>
      <c r="AG144">
        <f>step3_validation[[#This Row],[AI_TRU4]]</f>
        <v>5</v>
      </c>
      <c r="AH144">
        <f t="shared" si="72"/>
        <v>0.44444444444444442</v>
      </c>
      <c r="AI144">
        <f>[1]!survey_responses[[#This Row],[Tôi thấy Nhà nước đã giải thích rõ ràng, minh bạch về lý do và mục tiêu của việc sửa đổi thuế lần này. - HUMAN-TRU4]]</f>
        <v>8</v>
      </c>
      <c r="AJ144">
        <f t="shared" si="73"/>
        <v>0.77777777777777779</v>
      </c>
      <c r="AK144" s="32">
        <f t="shared" si="74"/>
        <v>0.44444444444444442</v>
      </c>
      <c r="AL144" s="32">
        <f t="shared" si="75"/>
        <v>0.77777777777777779</v>
      </c>
      <c r="AM144" s="7">
        <f t="shared" si="76"/>
        <v>0.59259259259259267</v>
      </c>
      <c r="AN144" s="7">
        <f t="shared" si="77"/>
        <v>0.51851851851851849</v>
      </c>
      <c r="AO144">
        <f>step3_validation[[#This Row],[AI_OUT1]]</f>
        <v>6</v>
      </c>
      <c r="AP144">
        <f t="shared" si="78"/>
        <v>0.55555555555555558</v>
      </c>
      <c r="AQ144">
        <f>[1]!survey_responses[[#This Row],[Sau khi xem xét các quyền lợi và nghĩa vụ, bạn có ủng hộ và tuân thủ chính sách mới hiện nay? - HUMAN-OUT1]]</f>
        <v>8</v>
      </c>
      <c r="AR144">
        <f t="shared" si="79"/>
        <v>0.77777777777777779</v>
      </c>
      <c r="AS144" s="32">
        <f t="shared" si="80"/>
        <v>2</v>
      </c>
    </row>
    <row r="145" spans="1:45" x14ac:dyDescent="0.45">
      <c r="A145">
        <f>step3_validation[[#This Row],[AI_ENF1]]</f>
        <v>7</v>
      </c>
      <c r="B145">
        <f t="shared" si="54"/>
        <v>0.66666666666666663</v>
      </c>
      <c r="C145">
        <f>[1]!survey_responses[[#This Row],[Tôi tin rằng với các quy định quản lý thuế hiện nay, hành vi gian lận hoặc trốn thuế sẽ dễ dàng bị phát hiện và xử lý nghiêm. - HUMAN-ENF1]]</f>
        <v>9</v>
      </c>
      <c r="D145">
        <f t="shared" si="55"/>
        <v>0.88888888888888884</v>
      </c>
      <c r="E145">
        <f>step3_validation[[#This Row],[AI_ENF2]]</f>
        <v>8</v>
      </c>
      <c r="F145">
        <f t="shared" si="56"/>
        <v>0.77777777777777779</v>
      </c>
      <c r="G145">
        <f>[1]!survey_responses[[#This Row],[Tôi tin rằng Nhà nước, cơ quan thuế có đủ khả năng và công nghệ để phát hiện, xử lý nghiêm các hành vi trốn thuế. - HUMAN-ENF2]]</f>
        <v>9</v>
      </c>
      <c r="H145">
        <f t="shared" si="57"/>
        <v>0.88888888888888884</v>
      </c>
      <c r="I145" s="32">
        <f t="shared" si="58"/>
        <v>0.72222222222222221</v>
      </c>
      <c r="J145" s="32">
        <f t="shared" si="59"/>
        <v>0.88888888888888884</v>
      </c>
      <c r="K145">
        <f>step3_validation[[#This Row],[AI_FAC1]]</f>
        <v>9</v>
      </c>
      <c r="L145">
        <f t="shared" si="60"/>
        <v>0.88888888888888884</v>
      </c>
      <c r="M145">
        <f>[1]!survey_responses[[#This Row],[Các thủ tục khai báo thuế VÀ/HOẶC quy trình làm việc với cơ quan thuế đơn giản, tiện lợi, nhanh chóng hơn so với trước đây. - HUMAN-FAC1]]</f>
        <v>9</v>
      </c>
      <c r="N145">
        <f t="shared" si="61"/>
        <v>0.88888888888888884</v>
      </c>
      <c r="O145">
        <f>step3_validation[[#This Row],[AI_FAC2]]</f>
        <v>8</v>
      </c>
      <c r="P145">
        <f t="shared" si="62"/>
        <v>0.77777777777777779</v>
      </c>
      <c r="Q145">
        <f>[1]!survey_responses[[#This Row],[So với trước đây, tôi thấy cách tính thuế và các bậc thuế trong phương án mới đơn giản, dễ hiểu và dễ thực hiện hơn. - HUMAN-FAC2]]</f>
        <v>9</v>
      </c>
      <c r="R145">
        <f t="shared" si="63"/>
        <v>0.88888888888888884</v>
      </c>
      <c r="S145" s="32">
        <f t="shared" si="64"/>
        <v>0.83333333333333326</v>
      </c>
      <c r="T145" s="32">
        <f t="shared" si="65"/>
        <v>0.88888888888888884</v>
      </c>
      <c r="U145">
        <f>step3_validation[[#This Row],[AI_TRU1]]</f>
        <v>7</v>
      </c>
      <c r="V145">
        <f t="shared" si="66"/>
        <v>0.66666666666666663</v>
      </c>
      <c r="W145">
        <f>[1]!survey_responses[[#This Row],[Tôi tin rằng Nhà nước, cơ quan thuế sẽ thực thi chính sách mới một cách khách quan, công tâm và đối xử bình đẳng với mọi người nộp thuế.  - HUMAN-TRU1]]</f>
        <v>10</v>
      </c>
      <c r="X145">
        <f t="shared" si="67"/>
        <v>1</v>
      </c>
      <c r="Y145">
        <f>step3_validation[[#This Row],[AI_TRU2]]</f>
        <v>8</v>
      </c>
      <c r="Z145">
        <f t="shared" si="68"/>
        <v>0.77777777777777779</v>
      </c>
      <c r="AA145">
        <f>[1]!survey_responses[[#This Row],[Tôi thấy mức thuế tôi phải đóng theo phương án mới là công bằng (người thu nhập như tôi đóng mức này là hợp lý). - HUMAN-TRU2]]</f>
        <v>5</v>
      </c>
      <c r="AB145">
        <f t="shared" si="69"/>
        <v>0.44444444444444442</v>
      </c>
      <c r="AC145">
        <f>step3_validation[[#This Row],[AI_TRU3]]</f>
        <v>6</v>
      </c>
      <c r="AD145">
        <f t="shared" si="70"/>
        <v>0.55555555555555558</v>
      </c>
      <c r="AE145">
        <f>[1]!survey_responses[[#This Row],[Tôi tin tưởng số tiền thuế tôi đóng sẽ được Nhà nước sử dụng hiệu quả để cải thiện dịch vụ công (y tế, đường xá...). - HUMAN-TRU3]]</f>
        <v>9</v>
      </c>
      <c r="AF145">
        <f t="shared" si="71"/>
        <v>0.88888888888888884</v>
      </c>
      <c r="AG145">
        <f>step3_validation[[#This Row],[AI_TRU4]]</f>
        <v>5</v>
      </c>
      <c r="AH145">
        <f t="shared" si="72"/>
        <v>0.44444444444444442</v>
      </c>
      <c r="AI145">
        <f>[1]!survey_responses[[#This Row],[Tôi thấy Nhà nước đã giải thích rõ ràng, minh bạch về lý do và mục tiêu của việc sửa đổi thuế lần này. - HUMAN-TRU4]]</f>
        <v>9</v>
      </c>
      <c r="AJ145">
        <f t="shared" si="73"/>
        <v>0.88888888888888884</v>
      </c>
      <c r="AK145" s="32">
        <f t="shared" si="74"/>
        <v>0.61111111111111116</v>
      </c>
      <c r="AL145" s="32">
        <f t="shared" si="75"/>
        <v>0.80555555555555547</v>
      </c>
      <c r="AM145" s="7">
        <f t="shared" si="76"/>
        <v>0.72222222222222221</v>
      </c>
      <c r="AN145" s="7">
        <f t="shared" si="77"/>
        <v>0.86111111111111105</v>
      </c>
      <c r="AO145">
        <f>step3_validation[[#This Row],[AI_OUT1]]</f>
        <v>7</v>
      </c>
      <c r="AP145">
        <f t="shared" si="78"/>
        <v>0.66666666666666663</v>
      </c>
      <c r="AQ145">
        <f>[1]!survey_responses[[#This Row],[Sau khi xem xét các quyền lợi và nghĩa vụ, bạn có ủng hộ và tuân thủ chính sách mới hiện nay? - HUMAN-OUT1]]</f>
        <v>10</v>
      </c>
      <c r="AR145">
        <f t="shared" si="79"/>
        <v>1</v>
      </c>
      <c r="AS145" s="32">
        <f t="shared" si="80"/>
        <v>3</v>
      </c>
    </row>
    <row r="146" spans="1:45" x14ac:dyDescent="0.45">
      <c r="A146">
        <f>step3_validation[[#This Row],[AI_ENF1]]</f>
        <v>7</v>
      </c>
      <c r="B146">
        <f t="shared" si="54"/>
        <v>0.66666666666666663</v>
      </c>
      <c r="C146">
        <f>[1]!survey_responses[[#This Row],[Tôi tin rằng với các quy định quản lý thuế hiện nay, hành vi gian lận hoặc trốn thuế sẽ dễ dàng bị phát hiện và xử lý nghiêm. - HUMAN-ENF1]]</f>
        <v>10</v>
      </c>
      <c r="D146">
        <f t="shared" si="55"/>
        <v>1</v>
      </c>
      <c r="E146">
        <f>step3_validation[[#This Row],[AI_ENF2]]</f>
        <v>6</v>
      </c>
      <c r="F146">
        <f t="shared" si="56"/>
        <v>0.55555555555555558</v>
      </c>
      <c r="G146">
        <f>[1]!survey_responses[[#This Row],[Tôi tin rằng Nhà nước, cơ quan thuế có đủ khả năng và công nghệ để phát hiện, xử lý nghiêm các hành vi trốn thuế. - HUMAN-ENF2]]</f>
        <v>10</v>
      </c>
      <c r="H146">
        <f t="shared" si="57"/>
        <v>1</v>
      </c>
      <c r="I146" s="32">
        <f t="shared" si="58"/>
        <v>0.61111111111111116</v>
      </c>
      <c r="J146" s="32">
        <f t="shared" si="59"/>
        <v>1</v>
      </c>
      <c r="K146">
        <f>step3_validation[[#This Row],[AI_FAC1]]</f>
        <v>8</v>
      </c>
      <c r="L146">
        <f t="shared" si="60"/>
        <v>0.77777777777777779</v>
      </c>
      <c r="M146">
        <f>[1]!survey_responses[[#This Row],[Các thủ tục khai báo thuế VÀ/HOẶC quy trình làm việc với cơ quan thuế đơn giản, tiện lợi, nhanh chóng hơn so với trước đây. - HUMAN-FAC1]]</f>
        <v>9</v>
      </c>
      <c r="N146">
        <f t="shared" si="61"/>
        <v>0.88888888888888884</v>
      </c>
      <c r="O146">
        <f>step3_validation[[#This Row],[AI_FAC2]]</f>
        <v>9</v>
      </c>
      <c r="P146">
        <f t="shared" si="62"/>
        <v>0.88888888888888884</v>
      </c>
      <c r="Q146">
        <f>[1]!survey_responses[[#This Row],[So với trước đây, tôi thấy cách tính thuế và các bậc thuế trong phương án mới đơn giản, dễ hiểu và dễ thực hiện hơn. - HUMAN-FAC2]]</f>
        <v>6</v>
      </c>
      <c r="R146">
        <f t="shared" si="63"/>
        <v>0.55555555555555558</v>
      </c>
      <c r="S146" s="32">
        <f t="shared" si="64"/>
        <v>0.83333333333333326</v>
      </c>
      <c r="T146" s="32">
        <f t="shared" si="65"/>
        <v>0.72222222222222221</v>
      </c>
      <c r="U146">
        <f>step3_validation[[#This Row],[AI_TRU1]]</f>
        <v>8</v>
      </c>
      <c r="V146">
        <f t="shared" si="66"/>
        <v>0.77777777777777779</v>
      </c>
      <c r="W146">
        <f>[1]!survey_responses[[#This Row],[Tôi tin rằng Nhà nước, cơ quan thuế sẽ thực thi chính sách mới một cách khách quan, công tâm và đối xử bình đẳng với mọi người nộp thuế.  - HUMAN-TRU1]]</f>
        <v>6</v>
      </c>
      <c r="X146">
        <f t="shared" si="67"/>
        <v>0.55555555555555558</v>
      </c>
      <c r="Y146">
        <f>step3_validation[[#This Row],[AI_TRU2]]</f>
        <v>7</v>
      </c>
      <c r="Z146">
        <f t="shared" si="68"/>
        <v>0.66666666666666663</v>
      </c>
      <c r="AA146">
        <f>[1]!survey_responses[[#This Row],[Tôi thấy mức thuế tôi phải đóng theo phương án mới là công bằng (người thu nhập như tôi đóng mức này là hợp lý). - HUMAN-TRU2]]</f>
        <v>3</v>
      </c>
      <c r="AB146">
        <f t="shared" si="69"/>
        <v>0.22222222222222221</v>
      </c>
      <c r="AC146">
        <f>step3_validation[[#This Row],[AI_TRU3]]</f>
        <v>8</v>
      </c>
      <c r="AD146">
        <f t="shared" si="70"/>
        <v>0.77777777777777779</v>
      </c>
      <c r="AE146">
        <f>[1]!survey_responses[[#This Row],[Tôi tin tưởng số tiền thuế tôi đóng sẽ được Nhà nước sử dụng hiệu quả để cải thiện dịch vụ công (y tế, đường xá...). - HUMAN-TRU3]]</f>
        <v>5</v>
      </c>
      <c r="AF146">
        <f t="shared" si="71"/>
        <v>0.44444444444444442</v>
      </c>
      <c r="AG146">
        <f>step3_validation[[#This Row],[AI_TRU4]]</f>
        <v>5</v>
      </c>
      <c r="AH146">
        <f t="shared" si="72"/>
        <v>0.44444444444444442</v>
      </c>
      <c r="AI146">
        <f>[1]!survey_responses[[#This Row],[Tôi thấy Nhà nước đã giải thích rõ ràng, minh bạch về lý do và mục tiêu của việc sửa đổi thuế lần này. - HUMAN-TRU4]]</f>
        <v>5</v>
      </c>
      <c r="AJ146">
        <f t="shared" si="73"/>
        <v>0.44444444444444442</v>
      </c>
      <c r="AK146" s="32">
        <f t="shared" si="74"/>
        <v>0.66666666666666674</v>
      </c>
      <c r="AL146" s="32">
        <f t="shared" si="75"/>
        <v>0.41666666666666669</v>
      </c>
      <c r="AM146" s="7">
        <f t="shared" si="76"/>
        <v>0.70370370370370372</v>
      </c>
      <c r="AN146" s="7">
        <f t="shared" si="77"/>
        <v>0.71296296296296291</v>
      </c>
      <c r="AO146">
        <f>step3_validation[[#This Row],[AI_OUT1]]</f>
        <v>7</v>
      </c>
      <c r="AP146">
        <f t="shared" si="78"/>
        <v>0.66666666666666663</v>
      </c>
      <c r="AQ146">
        <f>[1]!survey_responses[[#This Row],[Sau khi xem xét các quyền lợi và nghĩa vụ, bạn có ủng hộ và tuân thủ chính sách mới hiện nay? - HUMAN-OUT1]]</f>
        <v>1</v>
      </c>
      <c r="AR146">
        <f t="shared" si="79"/>
        <v>0</v>
      </c>
      <c r="AS146" s="32">
        <f t="shared" si="80"/>
        <v>6</v>
      </c>
    </row>
    <row r="147" spans="1:45" x14ac:dyDescent="0.45">
      <c r="A147">
        <f>step3_validation[[#This Row],[AI_ENF1]]</f>
        <v>8</v>
      </c>
      <c r="B147">
        <f t="shared" si="54"/>
        <v>0.77777777777777779</v>
      </c>
      <c r="C147">
        <f>[1]!survey_responses[[#This Row],[Tôi tin rằng với các quy định quản lý thuế hiện nay, hành vi gian lận hoặc trốn thuế sẽ dễ dàng bị phát hiện và xử lý nghiêm. - HUMAN-ENF1]]</f>
        <v>8</v>
      </c>
      <c r="D147">
        <f t="shared" si="55"/>
        <v>0.77777777777777779</v>
      </c>
      <c r="E147">
        <f>step3_validation[[#This Row],[AI_ENF2]]</f>
        <v>9</v>
      </c>
      <c r="F147">
        <f t="shared" si="56"/>
        <v>0.88888888888888884</v>
      </c>
      <c r="G147">
        <f>[1]!survey_responses[[#This Row],[Tôi tin rằng Nhà nước, cơ quan thuế có đủ khả năng và công nghệ để phát hiện, xử lý nghiêm các hành vi trốn thuế. - HUMAN-ENF2]]</f>
        <v>8</v>
      </c>
      <c r="H147">
        <f t="shared" si="57"/>
        <v>0.77777777777777779</v>
      </c>
      <c r="I147" s="32">
        <f t="shared" si="58"/>
        <v>0.83333333333333326</v>
      </c>
      <c r="J147" s="32">
        <f t="shared" si="59"/>
        <v>0.77777777777777779</v>
      </c>
      <c r="K147">
        <f>step3_validation[[#This Row],[AI_FAC1]]</f>
        <v>7</v>
      </c>
      <c r="L147">
        <f t="shared" si="60"/>
        <v>0.66666666666666663</v>
      </c>
      <c r="M147">
        <f>[1]!survey_responses[[#This Row],[Các thủ tục khai báo thuế VÀ/HOẶC quy trình làm việc với cơ quan thuế đơn giản, tiện lợi, nhanh chóng hơn so với trước đây. - HUMAN-FAC1]]</f>
        <v>5</v>
      </c>
      <c r="N147">
        <f t="shared" si="61"/>
        <v>0.44444444444444442</v>
      </c>
      <c r="O147">
        <f>step3_validation[[#This Row],[AI_FAC2]]</f>
        <v>6</v>
      </c>
      <c r="P147">
        <f t="shared" si="62"/>
        <v>0.55555555555555558</v>
      </c>
      <c r="Q147">
        <f>[1]!survey_responses[[#This Row],[So với trước đây, tôi thấy cách tính thuế và các bậc thuế trong phương án mới đơn giản, dễ hiểu và dễ thực hiện hơn. - HUMAN-FAC2]]</f>
        <v>5</v>
      </c>
      <c r="R147">
        <f t="shared" si="63"/>
        <v>0.44444444444444442</v>
      </c>
      <c r="S147" s="32">
        <f t="shared" si="64"/>
        <v>0.61111111111111116</v>
      </c>
      <c r="T147" s="32">
        <f t="shared" si="65"/>
        <v>0.44444444444444442</v>
      </c>
      <c r="U147">
        <f>step3_validation[[#This Row],[AI_TRU1]]</f>
        <v>8</v>
      </c>
      <c r="V147">
        <f t="shared" si="66"/>
        <v>0.77777777777777779</v>
      </c>
      <c r="W147">
        <f>[1]!survey_responses[[#This Row],[Tôi tin rằng Nhà nước, cơ quan thuế sẽ thực thi chính sách mới một cách khách quan, công tâm và đối xử bình đẳng với mọi người nộp thuế.  - HUMAN-TRU1]]</f>
        <v>5</v>
      </c>
      <c r="X147">
        <f t="shared" si="67"/>
        <v>0.44444444444444442</v>
      </c>
      <c r="Y147">
        <f>step3_validation[[#This Row],[AI_TRU2]]</f>
        <v>7</v>
      </c>
      <c r="Z147">
        <f t="shared" si="68"/>
        <v>0.66666666666666663</v>
      </c>
      <c r="AA147">
        <f>[1]!survey_responses[[#This Row],[Tôi thấy mức thuế tôi phải đóng theo phương án mới là công bằng (người thu nhập như tôi đóng mức này là hợp lý). - HUMAN-TRU2]]</f>
        <v>3</v>
      </c>
      <c r="AB147">
        <f t="shared" si="69"/>
        <v>0.22222222222222221</v>
      </c>
      <c r="AC147">
        <f>step3_validation[[#This Row],[AI_TRU3]]</f>
        <v>6</v>
      </c>
      <c r="AD147">
        <f t="shared" si="70"/>
        <v>0.55555555555555558</v>
      </c>
      <c r="AE147">
        <f>[1]!survey_responses[[#This Row],[Tôi tin tưởng số tiền thuế tôi đóng sẽ được Nhà nước sử dụng hiệu quả để cải thiện dịch vụ công (y tế, đường xá...). - HUMAN-TRU3]]</f>
        <v>5</v>
      </c>
      <c r="AF147">
        <f t="shared" si="71"/>
        <v>0.44444444444444442</v>
      </c>
      <c r="AG147">
        <f>step3_validation[[#This Row],[AI_TRU4]]</f>
        <v>5</v>
      </c>
      <c r="AH147">
        <f t="shared" si="72"/>
        <v>0.44444444444444442</v>
      </c>
      <c r="AI147">
        <f>[1]!survey_responses[[#This Row],[Tôi thấy Nhà nước đã giải thích rõ ràng, minh bạch về lý do và mục tiêu của việc sửa đổi thuế lần này. - HUMAN-TRU4]]</f>
        <v>5</v>
      </c>
      <c r="AJ147">
        <f t="shared" si="73"/>
        <v>0.44444444444444442</v>
      </c>
      <c r="AK147" s="32">
        <f t="shared" si="74"/>
        <v>0.61111111111111116</v>
      </c>
      <c r="AL147" s="32">
        <f t="shared" si="75"/>
        <v>0.3888888888888889</v>
      </c>
      <c r="AM147" s="7">
        <f t="shared" si="76"/>
        <v>0.68518518518518512</v>
      </c>
      <c r="AN147" s="7">
        <f t="shared" si="77"/>
        <v>0.53703703703703709</v>
      </c>
      <c r="AO147">
        <f>step3_validation[[#This Row],[AI_OUT1]]</f>
        <v>7</v>
      </c>
      <c r="AP147">
        <f t="shared" si="78"/>
        <v>0.66666666666666663</v>
      </c>
      <c r="AQ147">
        <f>[1]!survey_responses[[#This Row],[Sau khi xem xét các quyền lợi và nghĩa vụ, bạn có ủng hộ và tuân thủ chính sách mới hiện nay? - HUMAN-OUT1]]</f>
        <v>5</v>
      </c>
      <c r="AR147">
        <f t="shared" si="79"/>
        <v>0.44444444444444442</v>
      </c>
      <c r="AS147" s="32">
        <f t="shared" si="80"/>
        <v>2</v>
      </c>
    </row>
    <row r="148" spans="1:45" x14ac:dyDescent="0.45">
      <c r="A148">
        <f>step3_validation[[#This Row],[AI_ENF1]]</f>
        <v>8</v>
      </c>
      <c r="B148">
        <f t="shared" si="54"/>
        <v>0.77777777777777779</v>
      </c>
      <c r="C148">
        <f>[1]!survey_responses[[#This Row],[Tôi tin rằng với các quy định quản lý thuế hiện nay, hành vi gian lận hoặc trốn thuế sẽ dễ dàng bị phát hiện và xử lý nghiêm. - HUMAN-ENF1]]</f>
        <v>7</v>
      </c>
      <c r="D148">
        <f t="shared" si="55"/>
        <v>0.66666666666666663</v>
      </c>
      <c r="E148">
        <f>step3_validation[[#This Row],[AI_ENF2]]</f>
        <v>9</v>
      </c>
      <c r="F148">
        <f t="shared" si="56"/>
        <v>0.88888888888888884</v>
      </c>
      <c r="G148">
        <f>[1]!survey_responses[[#This Row],[Tôi tin rằng Nhà nước, cơ quan thuế có đủ khả năng và công nghệ để phát hiện, xử lý nghiêm các hành vi trốn thuế. - HUMAN-ENF2]]</f>
        <v>7</v>
      </c>
      <c r="H148">
        <f t="shared" si="57"/>
        <v>0.66666666666666663</v>
      </c>
      <c r="I148" s="32">
        <f t="shared" si="58"/>
        <v>0.83333333333333326</v>
      </c>
      <c r="J148" s="32">
        <f t="shared" si="59"/>
        <v>0.66666666666666663</v>
      </c>
      <c r="K148">
        <f>step3_validation[[#This Row],[AI_FAC1]]</f>
        <v>8</v>
      </c>
      <c r="L148">
        <f t="shared" si="60"/>
        <v>0.77777777777777779</v>
      </c>
      <c r="M148">
        <f>[1]!survey_responses[[#This Row],[Các thủ tục khai báo thuế VÀ/HOẶC quy trình làm việc với cơ quan thuế đơn giản, tiện lợi, nhanh chóng hơn so với trước đây. - HUMAN-FAC1]]</f>
        <v>1</v>
      </c>
      <c r="N148">
        <f t="shared" si="61"/>
        <v>0</v>
      </c>
      <c r="O148">
        <f>step3_validation[[#This Row],[AI_FAC2]]</f>
        <v>7</v>
      </c>
      <c r="P148">
        <f t="shared" si="62"/>
        <v>0.66666666666666663</v>
      </c>
      <c r="Q148">
        <f>[1]!survey_responses[[#This Row],[So với trước đây, tôi thấy cách tính thuế và các bậc thuế trong phương án mới đơn giản, dễ hiểu và dễ thực hiện hơn. - HUMAN-FAC2]]</f>
        <v>6</v>
      </c>
      <c r="R148">
        <f t="shared" si="63"/>
        <v>0.55555555555555558</v>
      </c>
      <c r="S148" s="32">
        <f t="shared" si="64"/>
        <v>0.72222222222222221</v>
      </c>
      <c r="T148" s="32">
        <f t="shared" si="65"/>
        <v>0.27777777777777779</v>
      </c>
      <c r="U148">
        <f>step3_validation[[#This Row],[AI_TRU1]]</f>
        <v>8</v>
      </c>
      <c r="V148">
        <f t="shared" si="66"/>
        <v>0.77777777777777779</v>
      </c>
      <c r="W148">
        <f>[1]!survey_responses[[#This Row],[Tôi tin rằng Nhà nước, cơ quan thuế sẽ thực thi chính sách mới một cách khách quan, công tâm và đối xử bình đẳng với mọi người nộp thuế.  - HUMAN-TRU1]]</f>
        <v>3</v>
      </c>
      <c r="X148">
        <f t="shared" si="67"/>
        <v>0.22222222222222221</v>
      </c>
      <c r="Y148">
        <f>step3_validation[[#This Row],[AI_TRU2]]</f>
        <v>7</v>
      </c>
      <c r="Z148">
        <f t="shared" si="68"/>
        <v>0.66666666666666663</v>
      </c>
      <c r="AA148">
        <f>[1]!survey_responses[[#This Row],[Tôi thấy mức thuế tôi phải đóng theo phương án mới là công bằng (người thu nhập như tôi đóng mức này là hợp lý). - HUMAN-TRU2]]</f>
        <v>5</v>
      </c>
      <c r="AB148">
        <f t="shared" si="69"/>
        <v>0.44444444444444442</v>
      </c>
      <c r="AC148">
        <f>step3_validation[[#This Row],[AI_TRU3]]</f>
        <v>8</v>
      </c>
      <c r="AD148">
        <f t="shared" si="70"/>
        <v>0.77777777777777779</v>
      </c>
      <c r="AE148">
        <f>[1]!survey_responses[[#This Row],[Tôi tin tưởng số tiền thuế tôi đóng sẽ được Nhà nước sử dụng hiệu quả để cải thiện dịch vụ công (y tế, đường xá...). - HUMAN-TRU3]]</f>
        <v>1</v>
      </c>
      <c r="AF148">
        <f t="shared" si="71"/>
        <v>0</v>
      </c>
      <c r="AG148">
        <f>step3_validation[[#This Row],[AI_TRU4]]</f>
        <v>7</v>
      </c>
      <c r="AH148">
        <f t="shared" si="72"/>
        <v>0.66666666666666663</v>
      </c>
      <c r="AI148">
        <f>[1]!survey_responses[[#This Row],[Tôi thấy Nhà nước đã giải thích rõ ràng, minh bạch về lý do và mục tiêu của việc sửa đổi thuế lần này. - HUMAN-TRU4]]</f>
        <v>4</v>
      </c>
      <c r="AJ148">
        <f t="shared" si="73"/>
        <v>0.33333333333333331</v>
      </c>
      <c r="AK148" s="32">
        <f t="shared" si="74"/>
        <v>0.72222222222222221</v>
      </c>
      <c r="AL148" s="32">
        <f t="shared" si="75"/>
        <v>0.25</v>
      </c>
      <c r="AM148" s="7">
        <f t="shared" si="76"/>
        <v>0.75925925925925919</v>
      </c>
      <c r="AN148" s="7">
        <f t="shared" si="77"/>
        <v>0.39814814814814814</v>
      </c>
      <c r="AO148">
        <f>step3_validation[[#This Row],[AI_OUT1]]</f>
        <v>8</v>
      </c>
      <c r="AP148">
        <f t="shared" si="78"/>
        <v>0.77777777777777779</v>
      </c>
      <c r="AQ148">
        <f>[1]!survey_responses[[#This Row],[Sau khi xem xét các quyền lợi và nghĩa vụ, bạn có ủng hộ và tuân thủ chính sách mới hiện nay? - HUMAN-OUT1]]</f>
        <v>5</v>
      </c>
      <c r="AR148">
        <f t="shared" si="79"/>
        <v>0.44444444444444442</v>
      </c>
      <c r="AS148" s="32">
        <f t="shared" si="80"/>
        <v>3</v>
      </c>
    </row>
    <row r="149" spans="1:45" x14ac:dyDescent="0.45">
      <c r="A149">
        <f>step3_validation[[#This Row],[AI_ENF1]]</f>
        <v>8</v>
      </c>
      <c r="B149">
        <f t="shared" si="54"/>
        <v>0.77777777777777779</v>
      </c>
      <c r="C149">
        <f>[1]!survey_responses[[#This Row],[Tôi tin rằng với các quy định quản lý thuế hiện nay, hành vi gian lận hoặc trốn thuế sẽ dễ dàng bị phát hiện và xử lý nghiêm. - HUMAN-ENF1]]</f>
        <v>6</v>
      </c>
      <c r="D149">
        <f t="shared" si="55"/>
        <v>0.55555555555555558</v>
      </c>
      <c r="E149">
        <f>step3_validation[[#This Row],[AI_ENF2]]</f>
        <v>7</v>
      </c>
      <c r="F149">
        <f t="shared" si="56"/>
        <v>0.66666666666666663</v>
      </c>
      <c r="G149">
        <f>[1]!survey_responses[[#This Row],[Tôi tin rằng Nhà nước, cơ quan thuế có đủ khả năng và công nghệ để phát hiện, xử lý nghiêm các hành vi trốn thuế. - HUMAN-ENF2]]</f>
        <v>6</v>
      </c>
      <c r="H149">
        <f t="shared" si="57"/>
        <v>0.55555555555555558</v>
      </c>
      <c r="I149" s="32">
        <f t="shared" si="58"/>
        <v>0.72222222222222221</v>
      </c>
      <c r="J149" s="32">
        <f t="shared" si="59"/>
        <v>0.55555555555555558</v>
      </c>
      <c r="K149">
        <f>step3_validation[[#This Row],[AI_FAC1]]</f>
        <v>9</v>
      </c>
      <c r="L149">
        <f t="shared" si="60"/>
        <v>0.88888888888888884</v>
      </c>
      <c r="M149">
        <f>[1]!survey_responses[[#This Row],[Các thủ tục khai báo thuế VÀ/HOẶC quy trình làm việc với cơ quan thuế đơn giản, tiện lợi, nhanh chóng hơn so với trước đây. - HUMAN-FAC1]]</f>
        <v>5</v>
      </c>
      <c r="N149">
        <f t="shared" si="61"/>
        <v>0.44444444444444442</v>
      </c>
      <c r="O149">
        <f>step3_validation[[#This Row],[AI_FAC2]]</f>
        <v>8</v>
      </c>
      <c r="P149">
        <f t="shared" si="62"/>
        <v>0.77777777777777779</v>
      </c>
      <c r="Q149">
        <f>[1]!survey_responses[[#This Row],[So với trước đây, tôi thấy cách tính thuế và các bậc thuế trong phương án mới đơn giản, dễ hiểu và dễ thực hiện hơn. - HUMAN-FAC2]]</f>
        <v>7</v>
      </c>
      <c r="R149">
        <f t="shared" si="63"/>
        <v>0.66666666666666663</v>
      </c>
      <c r="S149" s="32">
        <f t="shared" si="64"/>
        <v>0.83333333333333326</v>
      </c>
      <c r="T149" s="32">
        <f t="shared" si="65"/>
        <v>0.55555555555555558</v>
      </c>
      <c r="U149">
        <f>step3_validation[[#This Row],[AI_TRU1]]</f>
        <v>7</v>
      </c>
      <c r="V149">
        <f t="shared" si="66"/>
        <v>0.66666666666666663</v>
      </c>
      <c r="W149">
        <f>[1]!survey_responses[[#This Row],[Tôi tin rằng Nhà nước, cơ quan thuế sẽ thực thi chính sách mới một cách khách quan, công tâm và đối xử bình đẳng với mọi người nộp thuế.  - HUMAN-TRU1]]</f>
        <v>5</v>
      </c>
      <c r="X149">
        <f t="shared" si="67"/>
        <v>0.44444444444444442</v>
      </c>
      <c r="Y149">
        <f>step3_validation[[#This Row],[AI_TRU2]]</f>
        <v>8</v>
      </c>
      <c r="Z149">
        <f t="shared" si="68"/>
        <v>0.77777777777777779</v>
      </c>
      <c r="AA149">
        <f>[1]!survey_responses[[#This Row],[Tôi thấy mức thuế tôi phải đóng theo phương án mới là công bằng (người thu nhập như tôi đóng mức này là hợp lý). - HUMAN-TRU2]]</f>
        <v>7</v>
      </c>
      <c r="AB149">
        <f t="shared" si="69"/>
        <v>0.66666666666666663</v>
      </c>
      <c r="AC149">
        <f>step3_validation[[#This Row],[AI_TRU3]]</f>
        <v>7</v>
      </c>
      <c r="AD149">
        <f t="shared" si="70"/>
        <v>0.66666666666666663</v>
      </c>
      <c r="AE149">
        <f>[1]!survey_responses[[#This Row],[Tôi tin tưởng số tiền thuế tôi đóng sẽ được Nhà nước sử dụng hiệu quả để cải thiện dịch vụ công (y tế, đường xá...). - HUMAN-TRU3]]</f>
        <v>5</v>
      </c>
      <c r="AF149">
        <f t="shared" si="71"/>
        <v>0.44444444444444442</v>
      </c>
      <c r="AG149">
        <f>step3_validation[[#This Row],[AI_TRU4]]</f>
        <v>8</v>
      </c>
      <c r="AH149">
        <f t="shared" si="72"/>
        <v>0.77777777777777779</v>
      </c>
      <c r="AI149">
        <f>[1]!survey_responses[[#This Row],[Tôi thấy Nhà nước đã giải thích rõ ràng, minh bạch về lý do và mục tiêu của việc sửa đổi thuế lần này. - HUMAN-TRU4]]</f>
        <v>6</v>
      </c>
      <c r="AJ149">
        <f t="shared" si="73"/>
        <v>0.55555555555555558</v>
      </c>
      <c r="AK149" s="32">
        <f t="shared" si="74"/>
        <v>0.72222222222222221</v>
      </c>
      <c r="AL149" s="32">
        <f t="shared" si="75"/>
        <v>0.52777777777777779</v>
      </c>
      <c r="AM149" s="7">
        <f t="shared" si="76"/>
        <v>0.75925925925925919</v>
      </c>
      <c r="AN149" s="7">
        <f t="shared" si="77"/>
        <v>0.54629629629629628</v>
      </c>
      <c r="AO149">
        <f>step3_validation[[#This Row],[AI_OUT1]]</f>
        <v>9</v>
      </c>
      <c r="AP149">
        <f t="shared" si="78"/>
        <v>0.88888888888888884</v>
      </c>
      <c r="AQ149">
        <f>[1]!survey_responses[[#This Row],[Sau khi xem xét các quyền lợi và nghĩa vụ, bạn có ủng hộ và tuân thủ chính sách mới hiện nay? - HUMAN-OUT1]]</f>
        <v>7</v>
      </c>
      <c r="AR149">
        <f t="shared" si="79"/>
        <v>0.66666666666666663</v>
      </c>
      <c r="AS149" s="32">
        <f t="shared" si="80"/>
        <v>2</v>
      </c>
    </row>
    <row r="150" spans="1:45" x14ac:dyDescent="0.45">
      <c r="A150">
        <f>step3_validation[[#This Row],[AI_ENF1]]</f>
        <v>7</v>
      </c>
      <c r="B150">
        <f t="shared" si="54"/>
        <v>0.66666666666666663</v>
      </c>
      <c r="C150">
        <f>[1]!survey_responses[[#This Row],[Tôi tin rằng với các quy định quản lý thuế hiện nay, hành vi gian lận hoặc trốn thuế sẽ dễ dàng bị phát hiện và xử lý nghiêm. - HUMAN-ENF1]]</f>
        <v>10</v>
      </c>
      <c r="D150">
        <f t="shared" si="55"/>
        <v>1</v>
      </c>
      <c r="E150">
        <f>step3_validation[[#This Row],[AI_ENF2]]</f>
        <v>8</v>
      </c>
      <c r="F150">
        <f t="shared" si="56"/>
        <v>0.77777777777777779</v>
      </c>
      <c r="G150">
        <f>[1]!survey_responses[[#This Row],[Tôi tin rằng Nhà nước, cơ quan thuế có đủ khả năng và công nghệ để phát hiện, xử lý nghiêm các hành vi trốn thuế. - HUMAN-ENF2]]</f>
        <v>10</v>
      </c>
      <c r="H150">
        <f t="shared" si="57"/>
        <v>1</v>
      </c>
      <c r="I150" s="32">
        <f t="shared" si="58"/>
        <v>0.72222222222222221</v>
      </c>
      <c r="J150" s="32">
        <f t="shared" si="59"/>
        <v>1</v>
      </c>
      <c r="K150">
        <f>step3_validation[[#This Row],[AI_FAC1]]</f>
        <v>9</v>
      </c>
      <c r="L150">
        <f t="shared" si="60"/>
        <v>0.88888888888888884</v>
      </c>
      <c r="M150">
        <f>[1]!survey_responses[[#This Row],[Các thủ tục khai báo thuế VÀ/HOẶC quy trình làm việc với cơ quan thuế đơn giản, tiện lợi, nhanh chóng hơn so với trước đây. - HUMAN-FAC1]]</f>
        <v>7</v>
      </c>
      <c r="N150">
        <f t="shared" si="61"/>
        <v>0.66666666666666663</v>
      </c>
      <c r="O150">
        <f>step3_validation[[#This Row],[AI_FAC2]]</f>
        <v>8</v>
      </c>
      <c r="P150">
        <f t="shared" si="62"/>
        <v>0.77777777777777779</v>
      </c>
      <c r="Q150">
        <f>[1]!survey_responses[[#This Row],[So với trước đây, tôi thấy cách tính thuế và các bậc thuế trong phương án mới đơn giản, dễ hiểu và dễ thực hiện hơn. - HUMAN-FAC2]]</f>
        <v>8</v>
      </c>
      <c r="R150">
        <f t="shared" si="63"/>
        <v>0.77777777777777779</v>
      </c>
      <c r="S150" s="32">
        <f t="shared" si="64"/>
        <v>0.83333333333333326</v>
      </c>
      <c r="T150" s="32">
        <f t="shared" si="65"/>
        <v>0.72222222222222221</v>
      </c>
      <c r="U150">
        <f>step3_validation[[#This Row],[AI_TRU1]]</f>
        <v>7</v>
      </c>
      <c r="V150">
        <f t="shared" si="66"/>
        <v>0.66666666666666663</v>
      </c>
      <c r="W150">
        <f>[1]!survey_responses[[#This Row],[Tôi tin rằng Nhà nước, cơ quan thuế sẽ thực thi chính sách mới một cách khách quan, công tâm và đối xử bình đẳng với mọi người nộp thuế.  - HUMAN-TRU1]]</f>
        <v>8</v>
      </c>
      <c r="X150">
        <f t="shared" si="67"/>
        <v>0.77777777777777779</v>
      </c>
      <c r="Y150">
        <f>step3_validation[[#This Row],[AI_TRU2]]</f>
        <v>8</v>
      </c>
      <c r="Z150">
        <f t="shared" si="68"/>
        <v>0.77777777777777779</v>
      </c>
      <c r="AA150">
        <f>[1]!survey_responses[[#This Row],[Tôi thấy mức thuế tôi phải đóng theo phương án mới là công bằng (người thu nhập như tôi đóng mức này là hợp lý). - HUMAN-TRU2]]</f>
        <v>4</v>
      </c>
      <c r="AB150">
        <f t="shared" si="69"/>
        <v>0.33333333333333331</v>
      </c>
      <c r="AC150">
        <f>step3_validation[[#This Row],[AI_TRU3]]</f>
        <v>7</v>
      </c>
      <c r="AD150">
        <f t="shared" si="70"/>
        <v>0.66666666666666663</v>
      </c>
      <c r="AE150">
        <f>[1]!survey_responses[[#This Row],[Tôi tin tưởng số tiền thuế tôi đóng sẽ được Nhà nước sử dụng hiệu quả để cải thiện dịch vụ công (y tế, đường xá...). - HUMAN-TRU3]]</f>
        <v>1</v>
      </c>
      <c r="AF150">
        <f t="shared" si="71"/>
        <v>0</v>
      </c>
      <c r="AG150">
        <f>step3_validation[[#This Row],[AI_TRU4]]</f>
        <v>6</v>
      </c>
      <c r="AH150">
        <f t="shared" si="72"/>
        <v>0.55555555555555558</v>
      </c>
      <c r="AI150">
        <f>[1]!survey_responses[[#This Row],[Tôi thấy Nhà nước đã giải thích rõ ràng, minh bạch về lý do và mục tiêu của việc sửa đổi thuế lần này. - HUMAN-TRU4]]</f>
        <v>3</v>
      </c>
      <c r="AJ150">
        <f t="shared" si="73"/>
        <v>0.22222222222222221</v>
      </c>
      <c r="AK150" s="32">
        <f t="shared" si="74"/>
        <v>0.66666666666666674</v>
      </c>
      <c r="AL150" s="32">
        <f t="shared" si="75"/>
        <v>0.33333333333333337</v>
      </c>
      <c r="AM150" s="7">
        <f t="shared" si="76"/>
        <v>0.74074074074074081</v>
      </c>
      <c r="AN150" s="7">
        <f t="shared" si="77"/>
        <v>0.68518518518518523</v>
      </c>
      <c r="AO150">
        <f>step3_validation[[#This Row],[AI_OUT1]]</f>
        <v>7</v>
      </c>
      <c r="AP150">
        <f t="shared" si="78"/>
        <v>0.66666666666666663</v>
      </c>
      <c r="AQ150">
        <f>[1]!survey_responses[[#This Row],[Sau khi xem xét các quyền lợi và nghĩa vụ, bạn có ủng hộ và tuân thủ chính sách mới hiện nay? - HUMAN-OUT1]]</f>
        <v>6</v>
      </c>
      <c r="AR150">
        <f t="shared" si="79"/>
        <v>0.55555555555555558</v>
      </c>
      <c r="AS150" s="32">
        <f t="shared" si="80"/>
        <v>1</v>
      </c>
    </row>
    <row r="151" spans="1:45" x14ac:dyDescent="0.45">
      <c r="A151">
        <f>step3_validation[[#This Row],[AI_ENF1]]</f>
        <v>8</v>
      </c>
      <c r="B151">
        <f t="shared" si="54"/>
        <v>0.77777777777777779</v>
      </c>
      <c r="C151">
        <f>[1]!survey_responses[[#This Row],[Tôi tin rằng với các quy định quản lý thuế hiện nay, hành vi gian lận hoặc trốn thuế sẽ dễ dàng bị phát hiện và xử lý nghiêm. - HUMAN-ENF1]]</f>
        <v>7</v>
      </c>
      <c r="D151">
        <f t="shared" si="55"/>
        <v>0.66666666666666663</v>
      </c>
      <c r="E151">
        <f>step3_validation[[#This Row],[AI_ENF2]]</f>
        <v>9</v>
      </c>
      <c r="F151">
        <f t="shared" si="56"/>
        <v>0.88888888888888884</v>
      </c>
      <c r="G151">
        <f>[1]!survey_responses[[#This Row],[Tôi tin rằng Nhà nước, cơ quan thuế có đủ khả năng và công nghệ để phát hiện, xử lý nghiêm các hành vi trốn thuế. - HUMAN-ENF2]]</f>
        <v>10</v>
      </c>
      <c r="H151">
        <f t="shared" si="57"/>
        <v>1</v>
      </c>
      <c r="I151" s="32">
        <f t="shared" si="58"/>
        <v>0.83333333333333326</v>
      </c>
      <c r="J151" s="32">
        <f t="shared" si="59"/>
        <v>0.83333333333333326</v>
      </c>
      <c r="K151">
        <f>step3_validation[[#This Row],[AI_FAC1]]</f>
        <v>6</v>
      </c>
      <c r="L151">
        <f t="shared" si="60"/>
        <v>0.55555555555555558</v>
      </c>
      <c r="M151">
        <f>[1]!survey_responses[[#This Row],[Các thủ tục khai báo thuế VÀ/HOẶC quy trình làm việc với cơ quan thuế đơn giản, tiện lợi, nhanh chóng hơn so với trước đây. - HUMAN-FAC1]]</f>
        <v>5</v>
      </c>
      <c r="N151">
        <f t="shared" si="61"/>
        <v>0.44444444444444442</v>
      </c>
      <c r="O151">
        <f>step3_validation[[#This Row],[AI_FAC2]]</f>
        <v>8</v>
      </c>
      <c r="P151">
        <f t="shared" si="62"/>
        <v>0.77777777777777779</v>
      </c>
      <c r="Q151">
        <f>[1]!survey_responses[[#This Row],[So với trước đây, tôi thấy cách tính thuế và các bậc thuế trong phương án mới đơn giản, dễ hiểu và dễ thực hiện hơn. - HUMAN-FAC2]]</f>
        <v>7</v>
      </c>
      <c r="R151">
        <f t="shared" si="63"/>
        <v>0.66666666666666663</v>
      </c>
      <c r="S151" s="32">
        <f t="shared" si="64"/>
        <v>0.66666666666666674</v>
      </c>
      <c r="T151" s="32">
        <f t="shared" si="65"/>
        <v>0.55555555555555558</v>
      </c>
      <c r="U151">
        <f>step3_validation[[#This Row],[AI_TRU1]]</f>
        <v>7</v>
      </c>
      <c r="V151">
        <f t="shared" si="66"/>
        <v>0.66666666666666663</v>
      </c>
      <c r="W151">
        <f>[1]!survey_responses[[#This Row],[Tôi tin rằng Nhà nước, cơ quan thuế sẽ thực thi chính sách mới một cách khách quan, công tâm và đối xử bình đẳng với mọi người nộp thuế.  - HUMAN-TRU1]]</f>
        <v>7</v>
      </c>
      <c r="X151">
        <f t="shared" si="67"/>
        <v>0.66666666666666663</v>
      </c>
      <c r="Y151">
        <f>step3_validation[[#This Row],[AI_TRU2]]</f>
        <v>8</v>
      </c>
      <c r="Z151">
        <f t="shared" si="68"/>
        <v>0.77777777777777779</v>
      </c>
      <c r="AA151">
        <f>[1]!survey_responses[[#This Row],[Tôi thấy mức thuế tôi phải đóng theo phương án mới là công bằng (người thu nhập như tôi đóng mức này là hợp lý). - HUMAN-TRU2]]</f>
        <v>7</v>
      </c>
      <c r="AB151">
        <f t="shared" si="69"/>
        <v>0.66666666666666663</v>
      </c>
      <c r="AC151">
        <f>step3_validation[[#This Row],[AI_TRU3]]</f>
        <v>7</v>
      </c>
      <c r="AD151">
        <f t="shared" si="70"/>
        <v>0.66666666666666663</v>
      </c>
      <c r="AE151">
        <f>[1]!survey_responses[[#This Row],[Tôi tin tưởng số tiền thuế tôi đóng sẽ được Nhà nước sử dụng hiệu quả để cải thiện dịch vụ công (y tế, đường xá...). - HUMAN-TRU3]]</f>
        <v>7</v>
      </c>
      <c r="AF151">
        <f t="shared" si="71"/>
        <v>0.66666666666666663</v>
      </c>
      <c r="AG151">
        <f>step3_validation[[#This Row],[AI_TRU4]]</f>
        <v>6</v>
      </c>
      <c r="AH151">
        <f t="shared" si="72"/>
        <v>0.55555555555555558</v>
      </c>
      <c r="AI151">
        <f>[1]!survey_responses[[#This Row],[Tôi thấy Nhà nước đã giải thích rõ ràng, minh bạch về lý do và mục tiêu của việc sửa đổi thuế lần này. - HUMAN-TRU4]]</f>
        <v>7</v>
      </c>
      <c r="AJ151">
        <f t="shared" si="73"/>
        <v>0.66666666666666663</v>
      </c>
      <c r="AK151" s="32">
        <f t="shared" si="74"/>
        <v>0.66666666666666674</v>
      </c>
      <c r="AL151" s="32">
        <f t="shared" si="75"/>
        <v>0.66666666666666663</v>
      </c>
      <c r="AM151" s="7">
        <f t="shared" si="76"/>
        <v>0.72222222222222232</v>
      </c>
      <c r="AN151" s="7">
        <f t="shared" si="77"/>
        <v>0.68518518518518512</v>
      </c>
      <c r="AO151">
        <f>step3_validation[[#This Row],[AI_OUT1]]</f>
        <v>7</v>
      </c>
      <c r="AP151">
        <f t="shared" si="78"/>
        <v>0.66666666666666663</v>
      </c>
      <c r="AQ151">
        <f>[1]!survey_responses[[#This Row],[Sau khi xem xét các quyền lợi và nghĩa vụ, bạn có ủng hộ và tuân thủ chính sách mới hiện nay? - HUMAN-OUT1]]</f>
        <v>10</v>
      </c>
      <c r="AR151">
        <f t="shared" si="79"/>
        <v>1</v>
      </c>
      <c r="AS151" s="32">
        <f t="shared" si="80"/>
        <v>3</v>
      </c>
    </row>
    <row r="152" spans="1:45" x14ac:dyDescent="0.45">
      <c r="A152">
        <f>step3_validation[[#This Row],[AI_ENF1]]</f>
        <v>8</v>
      </c>
      <c r="B152">
        <f t="shared" si="54"/>
        <v>0.77777777777777779</v>
      </c>
      <c r="C152">
        <f>[1]!survey_responses[[#This Row],[Tôi tin rằng với các quy định quản lý thuế hiện nay, hành vi gian lận hoặc trốn thuế sẽ dễ dàng bị phát hiện và xử lý nghiêm. - HUMAN-ENF1]]</f>
        <v>8</v>
      </c>
      <c r="D152">
        <f t="shared" si="55"/>
        <v>0.77777777777777779</v>
      </c>
      <c r="E152">
        <f>step3_validation[[#This Row],[AI_ENF2]]</f>
        <v>9</v>
      </c>
      <c r="F152">
        <f t="shared" si="56"/>
        <v>0.88888888888888884</v>
      </c>
      <c r="G152">
        <f>[1]!survey_responses[[#This Row],[Tôi tin rằng Nhà nước, cơ quan thuế có đủ khả năng và công nghệ để phát hiện, xử lý nghiêm các hành vi trốn thuế. - HUMAN-ENF2]]</f>
        <v>8</v>
      </c>
      <c r="H152">
        <f t="shared" si="57"/>
        <v>0.77777777777777779</v>
      </c>
      <c r="I152" s="32">
        <f t="shared" si="58"/>
        <v>0.83333333333333326</v>
      </c>
      <c r="J152" s="32">
        <f t="shared" si="59"/>
        <v>0.77777777777777779</v>
      </c>
      <c r="K152">
        <f>step3_validation[[#This Row],[AI_FAC1]]</f>
        <v>7</v>
      </c>
      <c r="L152">
        <f t="shared" si="60"/>
        <v>0.66666666666666663</v>
      </c>
      <c r="M152">
        <f>[1]!survey_responses[[#This Row],[Các thủ tục khai báo thuế VÀ/HOẶC quy trình làm việc với cơ quan thuế đơn giản, tiện lợi, nhanh chóng hơn so với trước đây. - HUMAN-FAC1]]</f>
        <v>8</v>
      </c>
      <c r="N152">
        <f t="shared" si="61"/>
        <v>0.77777777777777779</v>
      </c>
      <c r="O152">
        <f>step3_validation[[#This Row],[AI_FAC2]]</f>
        <v>8</v>
      </c>
      <c r="P152">
        <f t="shared" si="62"/>
        <v>0.77777777777777779</v>
      </c>
      <c r="Q152">
        <f>[1]!survey_responses[[#This Row],[So với trước đây, tôi thấy cách tính thuế và các bậc thuế trong phương án mới đơn giản, dễ hiểu và dễ thực hiện hơn. - HUMAN-FAC2]]</f>
        <v>8</v>
      </c>
      <c r="R152">
        <f t="shared" si="63"/>
        <v>0.77777777777777779</v>
      </c>
      <c r="S152" s="32">
        <f t="shared" si="64"/>
        <v>0.72222222222222221</v>
      </c>
      <c r="T152" s="32">
        <f t="shared" si="65"/>
        <v>0.77777777777777779</v>
      </c>
      <c r="U152">
        <f>step3_validation[[#This Row],[AI_TRU1]]</f>
        <v>7</v>
      </c>
      <c r="V152">
        <f t="shared" si="66"/>
        <v>0.66666666666666663</v>
      </c>
      <c r="W152">
        <f>[1]!survey_responses[[#This Row],[Tôi tin rằng Nhà nước, cơ quan thuế sẽ thực thi chính sách mới một cách khách quan, công tâm và đối xử bình đẳng với mọi người nộp thuế.  - HUMAN-TRU1]]</f>
        <v>8</v>
      </c>
      <c r="X152">
        <f t="shared" si="67"/>
        <v>0.77777777777777779</v>
      </c>
      <c r="Y152">
        <f>step3_validation[[#This Row],[AI_TRU2]]</f>
        <v>8</v>
      </c>
      <c r="Z152">
        <f t="shared" si="68"/>
        <v>0.77777777777777779</v>
      </c>
      <c r="AA152">
        <f>[1]!survey_responses[[#This Row],[Tôi thấy mức thuế tôi phải đóng theo phương án mới là công bằng (người thu nhập như tôi đóng mức này là hợp lý). - HUMAN-TRU2]]</f>
        <v>8</v>
      </c>
      <c r="AB152">
        <f t="shared" si="69"/>
        <v>0.77777777777777779</v>
      </c>
      <c r="AC152">
        <f>step3_validation[[#This Row],[AI_TRU3]]</f>
        <v>6</v>
      </c>
      <c r="AD152">
        <f t="shared" si="70"/>
        <v>0.55555555555555558</v>
      </c>
      <c r="AE152">
        <f>[1]!survey_responses[[#This Row],[Tôi tin tưởng số tiền thuế tôi đóng sẽ được Nhà nước sử dụng hiệu quả để cải thiện dịch vụ công (y tế, đường xá...). - HUMAN-TRU3]]</f>
        <v>8</v>
      </c>
      <c r="AF152">
        <f t="shared" si="71"/>
        <v>0.77777777777777779</v>
      </c>
      <c r="AG152">
        <f>step3_validation[[#This Row],[AI_TRU4]]</f>
        <v>7</v>
      </c>
      <c r="AH152">
        <f t="shared" si="72"/>
        <v>0.66666666666666663</v>
      </c>
      <c r="AI152">
        <f>[1]!survey_responses[[#This Row],[Tôi thấy Nhà nước đã giải thích rõ ràng, minh bạch về lý do và mục tiêu của việc sửa đổi thuế lần này. - HUMAN-TRU4]]</f>
        <v>8</v>
      </c>
      <c r="AJ152">
        <f t="shared" si="73"/>
        <v>0.77777777777777779</v>
      </c>
      <c r="AK152" s="32">
        <f t="shared" si="74"/>
        <v>0.66666666666666663</v>
      </c>
      <c r="AL152" s="32">
        <f t="shared" si="75"/>
        <v>0.77777777777777779</v>
      </c>
      <c r="AM152" s="7">
        <f t="shared" si="76"/>
        <v>0.74074074074074059</v>
      </c>
      <c r="AN152" s="7">
        <f t="shared" si="77"/>
        <v>0.77777777777777779</v>
      </c>
      <c r="AO152">
        <f>step3_validation[[#This Row],[AI_OUT1]]</f>
        <v>8</v>
      </c>
      <c r="AP152">
        <f t="shared" si="78"/>
        <v>0.77777777777777779</v>
      </c>
      <c r="AQ152">
        <f>[1]!survey_responses[[#This Row],[Sau khi xem xét các quyền lợi và nghĩa vụ, bạn có ủng hộ và tuân thủ chính sách mới hiện nay? - HUMAN-OUT1]]</f>
        <v>8</v>
      </c>
      <c r="AR152">
        <f t="shared" si="79"/>
        <v>0.77777777777777779</v>
      </c>
      <c r="AS152" s="32">
        <f t="shared" si="80"/>
        <v>0</v>
      </c>
    </row>
    <row r="153" spans="1:45" x14ac:dyDescent="0.45">
      <c r="A153">
        <f>step3_validation[[#This Row],[AI_ENF1]]</f>
        <v>8</v>
      </c>
      <c r="B153">
        <f t="shared" si="54"/>
        <v>0.77777777777777779</v>
      </c>
      <c r="C153">
        <f>[1]!survey_responses[[#This Row],[Tôi tin rằng với các quy định quản lý thuế hiện nay, hành vi gian lận hoặc trốn thuế sẽ dễ dàng bị phát hiện và xử lý nghiêm. - HUMAN-ENF1]]</f>
        <v>10</v>
      </c>
      <c r="D153">
        <f t="shared" si="55"/>
        <v>1</v>
      </c>
      <c r="E153">
        <f>step3_validation[[#This Row],[AI_ENF2]]</f>
        <v>9</v>
      </c>
      <c r="F153">
        <f t="shared" si="56"/>
        <v>0.88888888888888884</v>
      </c>
      <c r="G153">
        <f>[1]!survey_responses[[#This Row],[Tôi tin rằng Nhà nước, cơ quan thuế có đủ khả năng và công nghệ để phát hiện, xử lý nghiêm các hành vi trốn thuế. - HUMAN-ENF2]]</f>
        <v>10</v>
      </c>
      <c r="H153">
        <f t="shared" si="57"/>
        <v>1</v>
      </c>
      <c r="I153" s="32">
        <f t="shared" si="58"/>
        <v>0.83333333333333326</v>
      </c>
      <c r="J153" s="32">
        <f t="shared" si="59"/>
        <v>1</v>
      </c>
      <c r="K153">
        <f>step3_validation[[#This Row],[AI_FAC1]]</f>
        <v>7</v>
      </c>
      <c r="L153">
        <f t="shared" si="60"/>
        <v>0.66666666666666663</v>
      </c>
      <c r="M153">
        <f>[1]!survey_responses[[#This Row],[Các thủ tục khai báo thuế VÀ/HOẶC quy trình làm việc với cơ quan thuế đơn giản, tiện lợi, nhanh chóng hơn so với trước đây. - HUMAN-FAC1]]</f>
        <v>10</v>
      </c>
      <c r="N153">
        <f t="shared" si="61"/>
        <v>1</v>
      </c>
      <c r="O153">
        <f>step3_validation[[#This Row],[AI_FAC2]]</f>
        <v>8</v>
      </c>
      <c r="P153">
        <f t="shared" si="62"/>
        <v>0.77777777777777779</v>
      </c>
      <c r="Q153">
        <f>[1]!survey_responses[[#This Row],[So với trước đây, tôi thấy cách tính thuế và các bậc thuế trong phương án mới đơn giản, dễ hiểu và dễ thực hiện hơn. - HUMAN-FAC2]]</f>
        <v>10</v>
      </c>
      <c r="R153">
        <f t="shared" si="63"/>
        <v>1</v>
      </c>
      <c r="S153" s="32">
        <f t="shared" si="64"/>
        <v>0.72222222222222221</v>
      </c>
      <c r="T153" s="32">
        <f t="shared" si="65"/>
        <v>1</v>
      </c>
      <c r="U153">
        <f>step3_validation[[#This Row],[AI_TRU1]]</f>
        <v>7</v>
      </c>
      <c r="V153">
        <f t="shared" si="66"/>
        <v>0.66666666666666663</v>
      </c>
      <c r="W153">
        <f>[1]!survey_responses[[#This Row],[Tôi tin rằng Nhà nước, cơ quan thuế sẽ thực thi chính sách mới một cách khách quan, công tâm và đối xử bình đẳng với mọi người nộp thuế.  - HUMAN-TRU1]]</f>
        <v>10</v>
      </c>
      <c r="X153">
        <f t="shared" si="67"/>
        <v>1</v>
      </c>
      <c r="Y153">
        <f>step3_validation[[#This Row],[AI_TRU2]]</f>
        <v>8</v>
      </c>
      <c r="Z153">
        <f t="shared" si="68"/>
        <v>0.77777777777777779</v>
      </c>
      <c r="AA153">
        <f>[1]!survey_responses[[#This Row],[Tôi thấy mức thuế tôi phải đóng theo phương án mới là công bằng (người thu nhập như tôi đóng mức này là hợp lý). - HUMAN-TRU2]]</f>
        <v>10</v>
      </c>
      <c r="AB153">
        <f t="shared" si="69"/>
        <v>1</v>
      </c>
      <c r="AC153">
        <f>step3_validation[[#This Row],[AI_TRU3]]</f>
        <v>7</v>
      </c>
      <c r="AD153">
        <f t="shared" si="70"/>
        <v>0.66666666666666663</v>
      </c>
      <c r="AE153">
        <f>[1]!survey_responses[[#This Row],[Tôi tin tưởng số tiền thuế tôi đóng sẽ được Nhà nước sử dụng hiệu quả để cải thiện dịch vụ công (y tế, đường xá...). - HUMAN-TRU3]]</f>
        <v>10</v>
      </c>
      <c r="AF153">
        <f t="shared" si="71"/>
        <v>1</v>
      </c>
      <c r="AG153">
        <f>step3_validation[[#This Row],[AI_TRU4]]</f>
        <v>8</v>
      </c>
      <c r="AH153">
        <f t="shared" si="72"/>
        <v>0.77777777777777779</v>
      </c>
      <c r="AI153">
        <f>[1]!survey_responses[[#This Row],[Tôi thấy Nhà nước đã giải thích rõ ràng, minh bạch về lý do và mục tiêu của việc sửa đổi thuế lần này. - HUMAN-TRU4]]</f>
        <v>10</v>
      </c>
      <c r="AJ153">
        <f t="shared" si="73"/>
        <v>1</v>
      </c>
      <c r="AK153" s="32">
        <f t="shared" si="74"/>
        <v>0.72222222222222221</v>
      </c>
      <c r="AL153" s="32">
        <f t="shared" si="75"/>
        <v>1</v>
      </c>
      <c r="AM153" s="7">
        <f t="shared" si="76"/>
        <v>0.75925925925925919</v>
      </c>
      <c r="AN153" s="7">
        <f t="shared" si="77"/>
        <v>1</v>
      </c>
      <c r="AO153">
        <f>step3_validation[[#This Row],[AI_OUT1]]</f>
        <v>7</v>
      </c>
      <c r="AP153">
        <f t="shared" si="78"/>
        <v>0.66666666666666663</v>
      </c>
      <c r="AQ153">
        <f>[1]!survey_responses[[#This Row],[Sau khi xem xét các quyền lợi và nghĩa vụ, bạn có ủng hộ và tuân thủ chính sách mới hiện nay? - HUMAN-OUT1]]</f>
        <v>10</v>
      </c>
      <c r="AR153">
        <f t="shared" si="79"/>
        <v>1</v>
      </c>
      <c r="AS153" s="32">
        <f t="shared" si="80"/>
        <v>3</v>
      </c>
    </row>
    <row r="154" spans="1:45" x14ac:dyDescent="0.45">
      <c r="A154">
        <f>step3_validation[[#This Row],[AI_ENF1]]</f>
        <v>7</v>
      </c>
      <c r="B154">
        <f t="shared" si="54"/>
        <v>0.66666666666666663</v>
      </c>
      <c r="C154">
        <f>[1]!survey_responses[[#This Row],[Tôi tin rằng với các quy định quản lý thuế hiện nay, hành vi gian lận hoặc trốn thuế sẽ dễ dàng bị phát hiện và xử lý nghiêm. - HUMAN-ENF1]]</f>
        <v>7</v>
      </c>
      <c r="D154">
        <f t="shared" si="55"/>
        <v>0.66666666666666663</v>
      </c>
      <c r="E154">
        <f>step3_validation[[#This Row],[AI_ENF2]]</f>
        <v>8</v>
      </c>
      <c r="F154">
        <f t="shared" si="56"/>
        <v>0.77777777777777779</v>
      </c>
      <c r="G154">
        <f>[1]!survey_responses[[#This Row],[Tôi tin rằng Nhà nước, cơ quan thuế có đủ khả năng và công nghệ để phát hiện, xử lý nghiêm các hành vi trốn thuế. - HUMAN-ENF2]]</f>
        <v>7</v>
      </c>
      <c r="H154">
        <f t="shared" si="57"/>
        <v>0.66666666666666663</v>
      </c>
      <c r="I154" s="32">
        <f t="shared" si="58"/>
        <v>0.72222222222222221</v>
      </c>
      <c r="J154" s="32">
        <f t="shared" si="59"/>
        <v>0.66666666666666663</v>
      </c>
      <c r="K154">
        <f>step3_validation[[#This Row],[AI_FAC1]]</f>
        <v>9</v>
      </c>
      <c r="L154">
        <f t="shared" si="60"/>
        <v>0.88888888888888884</v>
      </c>
      <c r="M154">
        <f>[1]!survey_responses[[#This Row],[Các thủ tục khai báo thuế VÀ/HOẶC quy trình làm việc với cơ quan thuế đơn giản, tiện lợi, nhanh chóng hơn so với trước đây. - HUMAN-FAC1]]</f>
        <v>5</v>
      </c>
      <c r="N154">
        <f t="shared" si="61"/>
        <v>0.44444444444444442</v>
      </c>
      <c r="O154">
        <f>step3_validation[[#This Row],[AI_FAC2]]</f>
        <v>8</v>
      </c>
      <c r="P154">
        <f t="shared" si="62"/>
        <v>0.77777777777777779</v>
      </c>
      <c r="Q154">
        <f>[1]!survey_responses[[#This Row],[So với trước đây, tôi thấy cách tính thuế và các bậc thuế trong phương án mới đơn giản, dễ hiểu và dễ thực hiện hơn. - HUMAN-FAC2]]</f>
        <v>7</v>
      </c>
      <c r="R154">
        <f t="shared" si="63"/>
        <v>0.66666666666666663</v>
      </c>
      <c r="S154" s="32">
        <f t="shared" si="64"/>
        <v>0.83333333333333326</v>
      </c>
      <c r="T154" s="32">
        <f t="shared" si="65"/>
        <v>0.55555555555555558</v>
      </c>
      <c r="U154">
        <f>step3_validation[[#This Row],[AI_TRU1]]</f>
        <v>6</v>
      </c>
      <c r="V154">
        <f t="shared" si="66"/>
        <v>0.55555555555555558</v>
      </c>
      <c r="W154">
        <f>[1]!survey_responses[[#This Row],[Tôi tin rằng Nhà nước, cơ quan thuế sẽ thực thi chính sách mới một cách khách quan, công tâm và đối xử bình đẳng với mọi người nộp thuế.  - HUMAN-TRU1]]</f>
        <v>7</v>
      </c>
      <c r="X154">
        <f t="shared" si="67"/>
        <v>0.66666666666666663</v>
      </c>
      <c r="Y154">
        <f>step3_validation[[#This Row],[AI_TRU2]]</f>
        <v>7</v>
      </c>
      <c r="Z154">
        <f t="shared" si="68"/>
        <v>0.66666666666666663</v>
      </c>
      <c r="AA154">
        <f>[1]!survey_responses[[#This Row],[Tôi thấy mức thuế tôi phải đóng theo phương án mới là công bằng (người thu nhập như tôi đóng mức này là hợp lý). - HUMAN-TRU2]]</f>
        <v>7</v>
      </c>
      <c r="AB154">
        <f t="shared" si="69"/>
        <v>0.66666666666666663</v>
      </c>
      <c r="AC154">
        <f>step3_validation[[#This Row],[AI_TRU3]]</f>
        <v>6</v>
      </c>
      <c r="AD154">
        <f t="shared" si="70"/>
        <v>0.55555555555555558</v>
      </c>
      <c r="AE154">
        <f>[1]!survey_responses[[#This Row],[Tôi tin tưởng số tiền thuế tôi đóng sẽ được Nhà nước sử dụng hiệu quả để cải thiện dịch vụ công (y tế, đường xá...). - HUMAN-TRU3]]</f>
        <v>7</v>
      </c>
      <c r="AF154">
        <f t="shared" si="71"/>
        <v>0.66666666666666663</v>
      </c>
      <c r="AG154">
        <f>step3_validation[[#This Row],[AI_TRU4]]</f>
        <v>5</v>
      </c>
      <c r="AH154">
        <f t="shared" si="72"/>
        <v>0.44444444444444442</v>
      </c>
      <c r="AI154">
        <f>[1]!survey_responses[[#This Row],[Tôi thấy Nhà nước đã giải thích rõ ràng, minh bạch về lý do và mục tiêu của việc sửa đổi thuế lần này. - HUMAN-TRU4]]</f>
        <v>7</v>
      </c>
      <c r="AJ154">
        <f t="shared" si="73"/>
        <v>0.66666666666666663</v>
      </c>
      <c r="AK154" s="32">
        <f t="shared" si="74"/>
        <v>0.55555555555555558</v>
      </c>
      <c r="AL154" s="32">
        <f t="shared" si="75"/>
        <v>0.66666666666666663</v>
      </c>
      <c r="AM154" s="7">
        <f t="shared" si="76"/>
        <v>0.70370370370370361</v>
      </c>
      <c r="AN154" s="7">
        <f t="shared" si="77"/>
        <v>0.62962962962962965</v>
      </c>
      <c r="AO154">
        <f>step3_validation[[#This Row],[AI_OUT1]]</f>
        <v>7</v>
      </c>
      <c r="AP154">
        <f t="shared" si="78"/>
        <v>0.66666666666666663</v>
      </c>
      <c r="AQ154">
        <f>[1]!survey_responses[[#This Row],[Sau khi xem xét các quyền lợi và nghĩa vụ, bạn có ủng hộ và tuân thủ chính sách mới hiện nay? - HUMAN-OUT1]]</f>
        <v>7</v>
      </c>
      <c r="AR154">
        <f t="shared" si="79"/>
        <v>0.66666666666666663</v>
      </c>
      <c r="AS154" s="32">
        <f t="shared" si="80"/>
        <v>0</v>
      </c>
    </row>
    <row r="155" spans="1:45" x14ac:dyDescent="0.45">
      <c r="A155">
        <f>step3_validation[[#This Row],[AI_ENF1]]</f>
        <v>8</v>
      </c>
      <c r="B155">
        <f t="shared" si="54"/>
        <v>0.77777777777777779</v>
      </c>
      <c r="C155">
        <f>[1]!survey_responses[[#This Row],[Tôi tin rằng với các quy định quản lý thuế hiện nay, hành vi gian lận hoặc trốn thuế sẽ dễ dàng bị phát hiện và xử lý nghiêm. - HUMAN-ENF1]]</f>
        <v>7</v>
      </c>
      <c r="D155">
        <f t="shared" si="55"/>
        <v>0.66666666666666663</v>
      </c>
      <c r="E155">
        <f>step3_validation[[#This Row],[AI_ENF2]]</f>
        <v>7</v>
      </c>
      <c r="F155">
        <f t="shared" si="56"/>
        <v>0.66666666666666663</v>
      </c>
      <c r="G155">
        <f>[1]!survey_responses[[#This Row],[Tôi tin rằng Nhà nước, cơ quan thuế có đủ khả năng và công nghệ để phát hiện, xử lý nghiêm các hành vi trốn thuế. - HUMAN-ENF2]]</f>
        <v>8</v>
      </c>
      <c r="H155">
        <f t="shared" si="57"/>
        <v>0.77777777777777779</v>
      </c>
      <c r="I155" s="32">
        <f t="shared" si="58"/>
        <v>0.72222222222222221</v>
      </c>
      <c r="J155" s="32">
        <f t="shared" si="59"/>
        <v>0.72222222222222221</v>
      </c>
      <c r="K155">
        <f>step3_validation[[#This Row],[AI_FAC1]]</f>
        <v>8</v>
      </c>
      <c r="L155">
        <f t="shared" si="60"/>
        <v>0.77777777777777779</v>
      </c>
      <c r="M155">
        <f>[1]!survey_responses[[#This Row],[Các thủ tục khai báo thuế VÀ/HOẶC quy trình làm việc với cơ quan thuế đơn giản, tiện lợi, nhanh chóng hơn so với trước đây. - HUMAN-FAC1]]</f>
        <v>8</v>
      </c>
      <c r="N155">
        <f t="shared" si="61"/>
        <v>0.77777777777777779</v>
      </c>
      <c r="O155">
        <f>step3_validation[[#This Row],[AI_FAC2]]</f>
        <v>9</v>
      </c>
      <c r="P155">
        <f t="shared" si="62"/>
        <v>0.88888888888888884</v>
      </c>
      <c r="Q155">
        <f>[1]!survey_responses[[#This Row],[So với trước đây, tôi thấy cách tính thuế và các bậc thuế trong phương án mới đơn giản, dễ hiểu và dễ thực hiện hơn. - HUMAN-FAC2]]</f>
        <v>8</v>
      </c>
      <c r="R155">
        <f t="shared" si="63"/>
        <v>0.77777777777777779</v>
      </c>
      <c r="S155" s="32">
        <f t="shared" si="64"/>
        <v>0.83333333333333326</v>
      </c>
      <c r="T155" s="32">
        <f t="shared" si="65"/>
        <v>0.77777777777777779</v>
      </c>
      <c r="U155">
        <f>step3_validation[[#This Row],[AI_TRU1]]</f>
        <v>8</v>
      </c>
      <c r="V155">
        <f t="shared" si="66"/>
        <v>0.77777777777777779</v>
      </c>
      <c r="W155">
        <f>[1]!survey_responses[[#This Row],[Tôi tin rằng Nhà nước, cơ quan thuế sẽ thực thi chính sách mới một cách khách quan, công tâm và đối xử bình đẳng với mọi người nộp thuế.  - HUMAN-TRU1]]</f>
        <v>6</v>
      </c>
      <c r="X155">
        <f t="shared" si="67"/>
        <v>0.55555555555555558</v>
      </c>
      <c r="Y155">
        <f>step3_validation[[#This Row],[AI_TRU2]]</f>
        <v>9</v>
      </c>
      <c r="Z155">
        <f t="shared" si="68"/>
        <v>0.88888888888888884</v>
      </c>
      <c r="AA155">
        <f>[1]!survey_responses[[#This Row],[Tôi thấy mức thuế tôi phải đóng theo phương án mới là công bằng (người thu nhập như tôi đóng mức này là hợp lý). - HUMAN-TRU2]]</f>
        <v>8</v>
      </c>
      <c r="AB155">
        <f t="shared" si="69"/>
        <v>0.77777777777777779</v>
      </c>
      <c r="AC155">
        <f>step3_validation[[#This Row],[AI_TRU3]]</f>
        <v>8</v>
      </c>
      <c r="AD155">
        <f t="shared" si="70"/>
        <v>0.77777777777777779</v>
      </c>
      <c r="AE155">
        <f>[1]!survey_responses[[#This Row],[Tôi tin tưởng số tiền thuế tôi đóng sẽ được Nhà nước sử dụng hiệu quả để cải thiện dịch vụ công (y tế, đường xá...). - HUMAN-TRU3]]</f>
        <v>5</v>
      </c>
      <c r="AF155">
        <f t="shared" si="71"/>
        <v>0.44444444444444442</v>
      </c>
      <c r="AG155">
        <f>step3_validation[[#This Row],[AI_TRU4]]</f>
        <v>7</v>
      </c>
      <c r="AH155">
        <f t="shared" si="72"/>
        <v>0.66666666666666663</v>
      </c>
      <c r="AI155">
        <f>[1]!survey_responses[[#This Row],[Tôi thấy Nhà nước đã giải thích rõ ràng, minh bạch về lý do và mục tiêu của việc sửa đổi thuế lần này. - HUMAN-TRU4]]</f>
        <v>8</v>
      </c>
      <c r="AJ155">
        <f t="shared" si="73"/>
        <v>0.77777777777777779</v>
      </c>
      <c r="AK155" s="32">
        <f t="shared" si="74"/>
        <v>0.77777777777777768</v>
      </c>
      <c r="AL155" s="32">
        <f t="shared" si="75"/>
        <v>0.63888888888888895</v>
      </c>
      <c r="AM155" s="7">
        <f t="shared" si="76"/>
        <v>0.77777777777777768</v>
      </c>
      <c r="AN155" s="7">
        <f t="shared" si="77"/>
        <v>0.71296296296296291</v>
      </c>
      <c r="AO155">
        <f>step3_validation[[#This Row],[AI_OUT1]]</f>
        <v>8</v>
      </c>
      <c r="AP155">
        <f t="shared" si="78"/>
        <v>0.77777777777777779</v>
      </c>
      <c r="AQ155">
        <f>[1]!survey_responses[[#This Row],[Sau khi xem xét các quyền lợi và nghĩa vụ, bạn có ủng hộ và tuân thủ chính sách mới hiện nay? - HUMAN-OUT1]]</f>
        <v>8</v>
      </c>
      <c r="AR155">
        <f t="shared" si="79"/>
        <v>0.77777777777777779</v>
      </c>
      <c r="AS155" s="32">
        <f t="shared" si="80"/>
        <v>0</v>
      </c>
    </row>
    <row r="156" spans="1:45" x14ac:dyDescent="0.45">
      <c r="A156">
        <f>step3_validation[[#This Row],[AI_ENF1]]</f>
        <v>7</v>
      </c>
      <c r="B156">
        <f t="shared" si="54"/>
        <v>0.66666666666666663</v>
      </c>
      <c r="C156">
        <f>[1]!survey_responses[[#This Row],[Tôi tin rằng với các quy định quản lý thuế hiện nay, hành vi gian lận hoặc trốn thuế sẽ dễ dàng bị phát hiện và xử lý nghiêm. - HUMAN-ENF1]]</f>
        <v>10</v>
      </c>
      <c r="D156">
        <f t="shared" si="55"/>
        <v>1</v>
      </c>
      <c r="E156">
        <f>step3_validation[[#This Row],[AI_ENF2]]</f>
        <v>6</v>
      </c>
      <c r="F156">
        <f t="shared" si="56"/>
        <v>0.55555555555555558</v>
      </c>
      <c r="G156">
        <f>[1]!survey_responses[[#This Row],[Tôi tin rằng Nhà nước, cơ quan thuế có đủ khả năng và công nghệ để phát hiện, xử lý nghiêm các hành vi trốn thuế. - HUMAN-ENF2]]</f>
        <v>10</v>
      </c>
      <c r="H156">
        <f t="shared" si="57"/>
        <v>1</v>
      </c>
      <c r="I156" s="32">
        <f t="shared" si="58"/>
        <v>0.61111111111111116</v>
      </c>
      <c r="J156" s="32">
        <f t="shared" si="59"/>
        <v>1</v>
      </c>
      <c r="K156">
        <f>step3_validation[[#This Row],[AI_FAC1]]</f>
        <v>8</v>
      </c>
      <c r="L156">
        <f t="shared" si="60"/>
        <v>0.77777777777777779</v>
      </c>
      <c r="M156">
        <f>[1]!survey_responses[[#This Row],[Các thủ tục khai báo thuế VÀ/HOẶC quy trình làm việc với cơ quan thuế đơn giản, tiện lợi, nhanh chóng hơn so với trước đây. - HUMAN-FAC1]]</f>
        <v>10</v>
      </c>
      <c r="N156">
        <f t="shared" si="61"/>
        <v>1</v>
      </c>
      <c r="O156">
        <f>step3_validation[[#This Row],[AI_FAC2]]</f>
        <v>9</v>
      </c>
      <c r="P156">
        <f t="shared" si="62"/>
        <v>0.88888888888888884</v>
      </c>
      <c r="Q156">
        <f>[1]!survey_responses[[#This Row],[So với trước đây, tôi thấy cách tính thuế và các bậc thuế trong phương án mới đơn giản, dễ hiểu và dễ thực hiện hơn. - HUMAN-FAC2]]</f>
        <v>10</v>
      </c>
      <c r="R156">
        <f t="shared" si="63"/>
        <v>1</v>
      </c>
      <c r="S156" s="32">
        <f t="shared" si="64"/>
        <v>0.83333333333333326</v>
      </c>
      <c r="T156" s="32">
        <f t="shared" si="65"/>
        <v>1</v>
      </c>
      <c r="U156">
        <f>step3_validation[[#This Row],[AI_TRU1]]</f>
        <v>7</v>
      </c>
      <c r="V156">
        <f t="shared" si="66"/>
        <v>0.66666666666666663</v>
      </c>
      <c r="W156">
        <f>[1]!survey_responses[[#This Row],[Tôi tin rằng Nhà nước, cơ quan thuế sẽ thực thi chính sách mới một cách khách quan, công tâm và đối xử bình đẳng với mọi người nộp thuế.  - HUMAN-TRU1]]</f>
        <v>10</v>
      </c>
      <c r="X156">
        <f t="shared" si="67"/>
        <v>1</v>
      </c>
      <c r="Y156">
        <f>step3_validation[[#This Row],[AI_TRU2]]</f>
        <v>8</v>
      </c>
      <c r="Z156">
        <f t="shared" si="68"/>
        <v>0.77777777777777779</v>
      </c>
      <c r="AA156">
        <f>[1]!survey_responses[[#This Row],[Tôi thấy mức thuế tôi phải đóng theo phương án mới là công bằng (người thu nhập như tôi đóng mức này là hợp lý). - HUMAN-TRU2]]</f>
        <v>10</v>
      </c>
      <c r="AB156">
        <f t="shared" si="69"/>
        <v>1</v>
      </c>
      <c r="AC156">
        <f>step3_validation[[#This Row],[AI_TRU3]]</f>
        <v>6</v>
      </c>
      <c r="AD156">
        <f t="shared" si="70"/>
        <v>0.55555555555555558</v>
      </c>
      <c r="AE156">
        <f>[1]!survey_responses[[#This Row],[Tôi tin tưởng số tiền thuế tôi đóng sẽ được Nhà nước sử dụng hiệu quả để cải thiện dịch vụ công (y tế, đường xá...). - HUMAN-TRU3]]</f>
        <v>10</v>
      </c>
      <c r="AF156">
        <f t="shared" si="71"/>
        <v>1</v>
      </c>
      <c r="AG156">
        <f>step3_validation[[#This Row],[AI_TRU4]]</f>
        <v>7</v>
      </c>
      <c r="AH156">
        <f t="shared" si="72"/>
        <v>0.66666666666666663</v>
      </c>
      <c r="AI156">
        <f>[1]!survey_responses[[#This Row],[Tôi thấy Nhà nước đã giải thích rõ ràng, minh bạch về lý do và mục tiêu của việc sửa đổi thuế lần này. - HUMAN-TRU4]]</f>
        <v>10</v>
      </c>
      <c r="AJ156">
        <f t="shared" si="73"/>
        <v>1</v>
      </c>
      <c r="AK156" s="32">
        <f t="shared" si="74"/>
        <v>0.66666666666666663</v>
      </c>
      <c r="AL156" s="32">
        <f t="shared" si="75"/>
        <v>1</v>
      </c>
      <c r="AM156" s="7">
        <f t="shared" si="76"/>
        <v>0.70370370370370372</v>
      </c>
      <c r="AN156" s="7">
        <f t="shared" si="77"/>
        <v>1</v>
      </c>
      <c r="AO156">
        <f>step3_validation[[#This Row],[AI_OUT1]]</f>
        <v>8</v>
      </c>
      <c r="AP156">
        <f t="shared" si="78"/>
        <v>0.77777777777777779</v>
      </c>
      <c r="AQ156">
        <f>[1]!survey_responses[[#This Row],[Sau khi xem xét các quyền lợi và nghĩa vụ, bạn có ủng hộ và tuân thủ chính sách mới hiện nay? - HUMAN-OUT1]]</f>
        <v>10</v>
      </c>
      <c r="AR156">
        <f t="shared" si="79"/>
        <v>1</v>
      </c>
      <c r="AS156" s="32">
        <f t="shared" si="80"/>
        <v>2</v>
      </c>
    </row>
    <row r="157" spans="1:45" x14ac:dyDescent="0.45">
      <c r="A157">
        <f>step3_validation[[#This Row],[AI_ENF1]]</f>
        <v>8</v>
      </c>
      <c r="B157">
        <f t="shared" si="54"/>
        <v>0.77777777777777779</v>
      </c>
      <c r="C157">
        <f>[1]!survey_responses[[#This Row],[Tôi tin rằng với các quy định quản lý thuế hiện nay, hành vi gian lận hoặc trốn thuế sẽ dễ dàng bị phát hiện và xử lý nghiêm. - HUMAN-ENF1]]</f>
        <v>10</v>
      </c>
      <c r="D157">
        <f t="shared" si="55"/>
        <v>1</v>
      </c>
      <c r="E157">
        <f>step3_validation[[#This Row],[AI_ENF2]]</f>
        <v>9</v>
      </c>
      <c r="F157">
        <f t="shared" si="56"/>
        <v>0.88888888888888884</v>
      </c>
      <c r="G157">
        <f>[1]!survey_responses[[#This Row],[Tôi tin rằng Nhà nước, cơ quan thuế có đủ khả năng và công nghệ để phát hiện, xử lý nghiêm các hành vi trốn thuế. - HUMAN-ENF2]]</f>
        <v>10</v>
      </c>
      <c r="H157">
        <f t="shared" si="57"/>
        <v>1</v>
      </c>
      <c r="I157" s="32">
        <f t="shared" si="58"/>
        <v>0.83333333333333326</v>
      </c>
      <c r="J157" s="32">
        <f t="shared" si="59"/>
        <v>1</v>
      </c>
      <c r="K157">
        <f>step3_validation[[#This Row],[AI_FAC1]]</f>
        <v>8</v>
      </c>
      <c r="L157">
        <f t="shared" si="60"/>
        <v>0.77777777777777779</v>
      </c>
      <c r="M157">
        <f>[1]!survey_responses[[#This Row],[Các thủ tục khai báo thuế VÀ/HOẶC quy trình làm việc với cơ quan thuế đơn giản, tiện lợi, nhanh chóng hơn so với trước đây. - HUMAN-FAC1]]</f>
        <v>10</v>
      </c>
      <c r="N157">
        <f t="shared" si="61"/>
        <v>1</v>
      </c>
      <c r="O157">
        <f>step3_validation[[#This Row],[AI_FAC2]]</f>
        <v>8</v>
      </c>
      <c r="P157">
        <f t="shared" si="62"/>
        <v>0.77777777777777779</v>
      </c>
      <c r="Q157">
        <f>[1]!survey_responses[[#This Row],[So với trước đây, tôi thấy cách tính thuế và các bậc thuế trong phương án mới đơn giản, dễ hiểu và dễ thực hiện hơn. - HUMAN-FAC2]]</f>
        <v>10</v>
      </c>
      <c r="R157">
        <f t="shared" si="63"/>
        <v>1</v>
      </c>
      <c r="S157" s="32">
        <f t="shared" si="64"/>
        <v>0.77777777777777779</v>
      </c>
      <c r="T157" s="32">
        <f t="shared" si="65"/>
        <v>1</v>
      </c>
      <c r="U157">
        <f>step3_validation[[#This Row],[AI_TRU1]]</f>
        <v>7</v>
      </c>
      <c r="V157">
        <f t="shared" si="66"/>
        <v>0.66666666666666663</v>
      </c>
      <c r="W157">
        <f>[1]!survey_responses[[#This Row],[Tôi tin rằng Nhà nước, cơ quan thuế sẽ thực thi chính sách mới một cách khách quan, công tâm và đối xử bình đẳng với mọi người nộp thuế.  - HUMAN-TRU1]]</f>
        <v>10</v>
      </c>
      <c r="X157">
        <f t="shared" si="67"/>
        <v>1</v>
      </c>
      <c r="Y157">
        <f>step3_validation[[#This Row],[AI_TRU2]]</f>
        <v>7</v>
      </c>
      <c r="Z157">
        <f t="shared" si="68"/>
        <v>0.66666666666666663</v>
      </c>
      <c r="AA157">
        <f>[1]!survey_responses[[#This Row],[Tôi thấy mức thuế tôi phải đóng theo phương án mới là công bằng (người thu nhập như tôi đóng mức này là hợp lý). - HUMAN-TRU2]]</f>
        <v>10</v>
      </c>
      <c r="AB157">
        <f t="shared" si="69"/>
        <v>1</v>
      </c>
      <c r="AC157">
        <f>step3_validation[[#This Row],[AI_TRU3]]</f>
        <v>6</v>
      </c>
      <c r="AD157">
        <f t="shared" si="70"/>
        <v>0.55555555555555558</v>
      </c>
      <c r="AE157">
        <f>[1]!survey_responses[[#This Row],[Tôi tin tưởng số tiền thuế tôi đóng sẽ được Nhà nước sử dụng hiệu quả để cải thiện dịch vụ công (y tế, đường xá...). - HUMAN-TRU3]]</f>
        <v>10</v>
      </c>
      <c r="AF157">
        <f t="shared" si="71"/>
        <v>1</v>
      </c>
      <c r="AG157">
        <f>step3_validation[[#This Row],[AI_TRU4]]</f>
        <v>5</v>
      </c>
      <c r="AH157">
        <f t="shared" si="72"/>
        <v>0.44444444444444442</v>
      </c>
      <c r="AI157">
        <f>[1]!survey_responses[[#This Row],[Tôi thấy Nhà nước đã giải thích rõ ràng, minh bạch về lý do và mục tiêu của việc sửa đổi thuế lần này. - HUMAN-TRU4]]</f>
        <v>10</v>
      </c>
      <c r="AJ157">
        <f t="shared" si="73"/>
        <v>1</v>
      </c>
      <c r="AK157" s="32">
        <f t="shared" si="74"/>
        <v>0.58333333333333326</v>
      </c>
      <c r="AL157" s="32">
        <f t="shared" si="75"/>
        <v>1</v>
      </c>
      <c r="AM157" s="7">
        <f t="shared" si="76"/>
        <v>0.73148148148148151</v>
      </c>
      <c r="AN157" s="7">
        <f t="shared" si="77"/>
        <v>1</v>
      </c>
      <c r="AO157">
        <f>step3_validation[[#This Row],[AI_OUT1]]</f>
        <v>7</v>
      </c>
      <c r="AP157">
        <f t="shared" si="78"/>
        <v>0.66666666666666663</v>
      </c>
      <c r="AQ157">
        <f>[1]!survey_responses[[#This Row],[Sau khi xem xét các quyền lợi và nghĩa vụ, bạn có ủng hộ và tuân thủ chính sách mới hiện nay? - HUMAN-OUT1]]</f>
        <v>10</v>
      </c>
      <c r="AR157">
        <f t="shared" si="79"/>
        <v>1</v>
      </c>
      <c r="AS157" s="32">
        <f t="shared" si="80"/>
        <v>3</v>
      </c>
    </row>
    <row r="158" spans="1:45" x14ac:dyDescent="0.45">
      <c r="A158">
        <f>step3_validation[[#This Row],[AI_ENF1]]</f>
        <v>8</v>
      </c>
      <c r="B158">
        <f t="shared" si="54"/>
        <v>0.77777777777777779</v>
      </c>
      <c r="C158">
        <f>[1]!survey_responses[[#This Row],[Tôi tin rằng với các quy định quản lý thuế hiện nay, hành vi gian lận hoặc trốn thuế sẽ dễ dàng bị phát hiện và xử lý nghiêm. - HUMAN-ENF1]]</f>
        <v>10</v>
      </c>
      <c r="D158">
        <f t="shared" si="55"/>
        <v>1</v>
      </c>
      <c r="E158">
        <f>step3_validation[[#This Row],[AI_ENF2]]</f>
        <v>9</v>
      </c>
      <c r="F158">
        <f t="shared" si="56"/>
        <v>0.88888888888888884</v>
      </c>
      <c r="G158">
        <f>[1]!survey_responses[[#This Row],[Tôi tin rằng Nhà nước, cơ quan thuế có đủ khả năng và công nghệ để phát hiện, xử lý nghiêm các hành vi trốn thuế. - HUMAN-ENF2]]</f>
        <v>10</v>
      </c>
      <c r="H158">
        <f t="shared" si="57"/>
        <v>1</v>
      </c>
      <c r="I158" s="32">
        <f t="shared" si="58"/>
        <v>0.83333333333333326</v>
      </c>
      <c r="J158" s="32">
        <f t="shared" si="59"/>
        <v>1</v>
      </c>
      <c r="K158">
        <f>step3_validation[[#This Row],[AI_FAC1]]</f>
        <v>8</v>
      </c>
      <c r="L158">
        <f t="shared" si="60"/>
        <v>0.77777777777777779</v>
      </c>
      <c r="M158">
        <f>[1]!survey_responses[[#This Row],[Các thủ tục khai báo thuế VÀ/HOẶC quy trình làm việc với cơ quan thuế đơn giản, tiện lợi, nhanh chóng hơn so với trước đây. - HUMAN-FAC1]]</f>
        <v>1</v>
      </c>
      <c r="N158">
        <f t="shared" si="61"/>
        <v>0</v>
      </c>
      <c r="O158">
        <f>step3_validation[[#This Row],[AI_FAC2]]</f>
        <v>7</v>
      </c>
      <c r="P158">
        <f t="shared" si="62"/>
        <v>0.66666666666666663</v>
      </c>
      <c r="Q158">
        <f>[1]!survey_responses[[#This Row],[So với trước đây, tôi thấy cách tính thuế và các bậc thuế trong phương án mới đơn giản, dễ hiểu và dễ thực hiện hơn. - HUMAN-FAC2]]</f>
        <v>10</v>
      </c>
      <c r="R158">
        <f t="shared" si="63"/>
        <v>1</v>
      </c>
      <c r="S158" s="32">
        <f t="shared" si="64"/>
        <v>0.72222222222222221</v>
      </c>
      <c r="T158" s="32">
        <f t="shared" si="65"/>
        <v>0.5</v>
      </c>
      <c r="U158">
        <f>step3_validation[[#This Row],[AI_TRU1]]</f>
        <v>8</v>
      </c>
      <c r="V158">
        <f t="shared" si="66"/>
        <v>0.77777777777777779</v>
      </c>
      <c r="W158">
        <f>[1]!survey_responses[[#This Row],[Tôi tin rằng Nhà nước, cơ quan thuế sẽ thực thi chính sách mới một cách khách quan, công tâm và đối xử bình đẳng với mọi người nộp thuế.  - HUMAN-TRU1]]</f>
        <v>1</v>
      </c>
      <c r="X158">
        <f t="shared" si="67"/>
        <v>0</v>
      </c>
      <c r="Y158">
        <f>step3_validation[[#This Row],[AI_TRU2]]</f>
        <v>9</v>
      </c>
      <c r="Z158">
        <f t="shared" si="68"/>
        <v>0.88888888888888884</v>
      </c>
      <c r="AA158">
        <f>[1]!survey_responses[[#This Row],[Tôi thấy mức thuế tôi phải đóng theo phương án mới là công bằng (người thu nhập như tôi đóng mức này là hợp lý). - HUMAN-TRU2]]</f>
        <v>1</v>
      </c>
      <c r="AB158">
        <f t="shared" si="69"/>
        <v>0</v>
      </c>
      <c r="AC158">
        <f>step3_validation[[#This Row],[AI_TRU3]]</f>
        <v>8</v>
      </c>
      <c r="AD158">
        <f t="shared" si="70"/>
        <v>0.77777777777777779</v>
      </c>
      <c r="AE158">
        <f>[1]!survey_responses[[#This Row],[Tôi tin tưởng số tiền thuế tôi đóng sẽ được Nhà nước sử dụng hiệu quả để cải thiện dịch vụ công (y tế, đường xá...). - HUMAN-TRU3]]</f>
        <v>1</v>
      </c>
      <c r="AF158">
        <f t="shared" si="71"/>
        <v>0</v>
      </c>
      <c r="AG158">
        <f>step3_validation[[#This Row],[AI_TRU4]]</f>
        <v>9</v>
      </c>
      <c r="AH158">
        <f t="shared" si="72"/>
        <v>0.88888888888888884</v>
      </c>
      <c r="AI158">
        <f>[1]!survey_responses[[#This Row],[Tôi thấy Nhà nước đã giải thích rõ ràng, minh bạch về lý do và mục tiêu của việc sửa đổi thuế lần này. - HUMAN-TRU4]]</f>
        <v>1</v>
      </c>
      <c r="AJ158">
        <f t="shared" si="73"/>
        <v>0</v>
      </c>
      <c r="AK158" s="32">
        <f t="shared" si="74"/>
        <v>0.83333333333333326</v>
      </c>
      <c r="AL158" s="32">
        <f t="shared" si="75"/>
        <v>0</v>
      </c>
      <c r="AM158" s="7">
        <f t="shared" si="76"/>
        <v>0.79629629629629617</v>
      </c>
      <c r="AN158" s="7">
        <f t="shared" si="77"/>
        <v>0.5</v>
      </c>
      <c r="AO158">
        <f>step3_validation[[#This Row],[AI_OUT1]]</f>
        <v>8</v>
      </c>
      <c r="AP158">
        <f t="shared" si="78"/>
        <v>0.77777777777777779</v>
      </c>
      <c r="AQ158">
        <f>[1]!survey_responses[[#This Row],[Sau khi xem xét các quyền lợi và nghĩa vụ, bạn có ủng hộ và tuân thủ chính sách mới hiện nay? - HUMAN-OUT1]]</f>
        <v>6</v>
      </c>
      <c r="AR158">
        <f t="shared" si="79"/>
        <v>0.55555555555555558</v>
      </c>
      <c r="AS158" s="32">
        <f t="shared" si="80"/>
        <v>2</v>
      </c>
    </row>
    <row r="159" spans="1:45" x14ac:dyDescent="0.45">
      <c r="A159">
        <f>step3_validation[[#This Row],[AI_ENF1]]</f>
        <v>7</v>
      </c>
      <c r="B159">
        <f t="shared" si="54"/>
        <v>0.66666666666666663</v>
      </c>
      <c r="C159">
        <f>[1]!survey_responses[[#This Row],[Tôi tin rằng với các quy định quản lý thuế hiện nay, hành vi gian lận hoặc trốn thuế sẽ dễ dàng bị phát hiện và xử lý nghiêm. - HUMAN-ENF1]]</f>
        <v>7</v>
      </c>
      <c r="D159">
        <f t="shared" si="55"/>
        <v>0.66666666666666663</v>
      </c>
      <c r="E159">
        <f>step3_validation[[#This Row],[AI_ENF2]]</f>
        <v>8</v>
      </c>
      <c r="F159">
        <f t="shared" si="56"/>
        <v>0.77777777777777779</v>
      </c>
      <c r="G159">
        <f>[1]!survey_responses[[#This Row],[Tôi tin rằng Nhà nước, cơ quan thuế có đủ khả năng và công nghệ để phát hiện, xử lý nghiêm các hành vi trốn thuế. - HUMAN-ENF2]]</f>
        <v>8</v>
      </c>
      <c r="H159">
        <f t="shared" si="57"/>
        <v>0.77777777777777779</v>
      </c>
      <c r="I159" s="32">
        <f t="shared" si="58"/>
        <v>0.72222222222222221</v>
      </c>
      <c r="J159" s="32">
        <f t="shared" si="59"/>
        <v>0.72222222222222221</v>
      </c>
      <c r="K159">
        <f>step3_validation[[#This Row],[AI_FAC1]]</f>
        <v>9</v>
      </c>
      <c r="L159">
        <f t="shared" si="60"/>
        <v>0.88888888888888884</v>
      </c>
      <c r="M159">
        <f>[1]!survey_responses[[#This Row],[Các thủ tục khai báo thuế VÀ/HOẶC quy trình làm việc với cơ quan thuế đơn giản, tiện lợi, nhanh chóng hơn so với trước đây. - HUMAN-FAC1]]</f>
        <v>6</v>
      </c>
      <c r="N159">
        <f t="shared" si="61"/>
        <v>0.55555555555555558</v>
      </c>
      <c r="O159">
        <f>step3_validation[[#This Row],[AI_FAC2]]</f>
        <v>8</v>
      </c>
      <c r="P159">
        <f t="shared" si="62"/>
        <v>0.77777777777777779</v>
      </c>
      <c r="Q159">
        <f>[1]!survey_responses[[#This Row],[So với trước đây, tôi thấy cách tính thuế và các bậc thuế trong phương án mới đơn giản, dễ hiểu và dễ thực hiện hơn. - HUMAN-FAC2]]</f>
        <v>6</v>
      </c>
      <c r="R159">
        <f t="shared" si="63"/>
        <v>0.55555555555555558</v>
      </c>
      <c r="S159" s="32">
        <f t="shared" si="64"/>
        <v>0.83333333333333326</v>
      </c>
      <c r="T159" s="32">
        <f t="shared" si="65"/>
        <v>0.55555555555555558</v>
      </c>
      <c r="U159">
        <f>step3_validation[[#This Row],[AI_TRU1]]</f>
        <v>7</v>
      </c>
      <c r="V159">
        <f t="shared" si="66"/>
        <v>0.66666666666666663</v>
      </c>
      <c r="W159">
        <f>[1]!survey_responses[[#This Row],[Tôi tin rằng Nhà nước, cơ quan thuế sẽ thực thi chính sách mới một cách khách quan, công tâm và đối xử bình đẳng với mọi người nộp thuế.  - HUMAN-TRU1]]</f>
        <v>7</v>
      </c>
      <c r="X159">
        <f t="shared" si="67"/>
        <v>0.66666666666666663</v>
      </c>
      <c r="Y159">
        <f>step3_validation[[#This Row],[AI_TRU2]]</f>
        <v>8</v>
      </c>
      <c r="Z159">
        <f t="shared" si="68"/>
        <v>0.77777777777777779</v>
      </c>
      <c r="AA159">
        <f>[1]!survey_responses[[#This Row],[Tôi thấy mức thuế tôi phải đóng theo phương án mới là công bằng (người thu nhập như tôi đóng mức này là hợp lý). - HUMAN-TRU2]]</f>
        <v>5</v>
      </c>
      <c r="AB159">
        <f t="shared" si="69"/>
        <v>0.44444444444444442</v>
      </c>
      <c r="AC159">
        <f>step3_validation[[#This Row],[AI_TRU3]]</f>
        <v>7</v>
      </c>
      <c r="AD159">
        <f t="shared" si="70"/>
        <v>0.66666666666666663</v>
      </c>
      <c r="AE159">
        <f>[1]!survey_responses[[#This Row],[Tôi tin tưởng số tiền thuế tôi đóng sẽ được Nhà nước sử dụng hiệu quả để cải thiện dịch vụ công (y tế, đường xá...). - HUMAN-TRU3]]</f>
        <v>6</v>
      </c>
      <c r="AF159">
        <f t="shared" si="71"/>
        <v>0.55555555555555558</v>
      </c>
      <c r="AG159">
        <f>step3_validation[[#This Row],[AI_TRU4]]</f>
        <v>8</v>
      </c>
      <c r="AH159">
        <f t="shared" si="72"/>
        <v>0.77777777777777779</v>
      </c>
      <c r="AI159">
        <f>[1]!survey_responses[[#This Row],[Tôi thấy Nhà nước đã giải thích rõ ràng, minh bạch về lý do và mục tiêu của việc sửa đổi thuế lần này. - HUMAN-TRU4]]</f>
        <v>7</v>
      </c>
      <c r="AJ159">
        <f t="shared" si="73"/>
        <v>0.66666666666666663</v>
      </c>
      <c r="AK159" s="32">
        <f t="shared" si="74"/>
        <v>0.72222222222222221</v>
      </c>
      <c r="AL159" s="32">
        <f t="shared" si="75"/>
        <v>0.58333333333333337</v>
      </c>
      <c r="AM159" s="7">
        <f t="shared" si="76"/>
        <v>0.75925925925925919</v>
      </c>
      <c r="AN159" s="7">
        <f t="shared" si="77"/>
        <v>0.62037037037037035</v>
      </c>
      <c r="AO159">
        <f>step3_validation[[#This Row],[AI_OUT1]]</f>
        <v>7</v>
      </c>
      <c r="AP159">
        <f t="shared" si="78"/>
        <v>0.66666666666666663</v>
      </c>
      <c r="AQ159">
        <f>[1]!survey_responses[[#This Row],[Sau khi xem xét các quyền lợi và nghĩa vụ, bạn có ủng hộ và tuân thủ chính sách mới hiện nay? - HUMAN-OUT1]]</f>
        <v>7</v>
      </c>
      <c r="AR159">
        <f t="shared" si="79"/>
        <v>0.66666666666666663</v>
      </c>
      <c r="AS159" s="32">
        <f t="shared" si="80"/>
        <v>0</v>
      </c>
    </row>
    <row r="160" spans="1:45" x14ac:dyDescent="0.45">
      <c r="A160">
        <f>step3_validation[[#This Row],[AI_ENF1]]</f>
        <v>7</v>
      </c>
      <c r="B160">
        <f t="shared" si="54"/>
        <v>0.66666666666666663</v>
      </c>
      <c r="C160">
        <f>[1]!survey_responses[[#This Row],[Tôi tin rằng với các quy định quản lý thuế hiện nay, hành vi gian lận hoặc trốn thuế sẽ dễ dàng bị phát hiện và xử lý nghiêm. - HUMAN-ENF1]]</f>
        <v>2</v>
      </c>
      <c r="D160">
        <f t="shared" si="55"/>
        <v>0.1111111111111111</v>
      </c>
      <c r="E160">
        <f>step3_validation[[#This Row],[AI_ENF2]]</f>
        <v>6</v>
      </c>
      <c r="F160">
        <f t="shared" si="56"/>
        <v>0.55555555555555558</v>
      </c>
      <c r="G160">
        <f>[1]!survey_responses[[#This Row],[Tôi tin rằng Nhà nước, cơ quan thuế có đủ khả năng và công nghệ để phát hiện, xử lý nghiêm các hành vi trốn thuế. - HUMAN-ENF2]]</f>
        <v>7</v>
      </c>
      <c r="H160">
        <f t="shared" si="57"/>
        <v>0.66666666666666663</v>
      </c>
      <c r="I160" s="32">
        <f t="shared" si="58"/>
        <v>0.61111111111111116</v>
      </c>
      <c r="J160" s="32">
        <f t="shared" si="59"/>
        <v>0.38888888888888884</v>
      </c>
      <c r="K160">
        <f>step3_validation[[#This Row],[AI_FAC1]]</f>
        <v>8</v>
      </c>
      <c r="L160">
        <f t="shared" si="60"/>
        <v>0.77777777777777779</v>
      </c>
      <c r="M160">
        <f>[1]!survey_responses[[#This Row],[Các thủ tục khai báo thuế VÀ/HOẶC quy trình làm việc với cơ quan thuế đơn giản, tiện lợi, nhanh chóng hơn so với trước đây. - HUMAN-FAC1]]</f>
        <v>10</v>
      </c>
      <c r="N160">
        <f t="shared" si="61"/>
        <v>1</v>
      </c>
      <c r="O160">
        <f>step3_validation[[#This Row],[AI_FAC2]]</f>
        <v>9</v>
      </c>
      <c r="P160">
        <f t="shared" si="62"/>
        <v>0.88888888888888884</v>
      </c>
      <c r="Q160">
        <f>[1]!survey_responses[[#This Row],[So với trước đây, tôi thấy cách tính thuế và các bậc thuế trong phương án mới đơn giản, dễ hiểu và dễ thực hiện hơn. - HUMAN-FAC2]]</f>
        <v>2</v>
      </c>
      <c r="R160">
        <f t="shared" si="63"/>
        <v>0.1111111111111111</v>
      </c>
      <c r="S160" s="32">
        <f t="shared" si="64"/>
        <v>0.83333333333333326</v>
      </c>
      <c r="T160" s="32">
        <f t="shared" si="65"/>
        <v>0.55555555555555558</v>
      </c>
      <c r="U160">
        <f>step3_validation[[#This Row],[AI_TRU1]]</f>
        <v>8</v>
      </c>
      <c r="V160">
        <f t="shared" si="66"/>
        <v>0.77777777777777779</v>
      </c>
      <c r="W160">
        <f>[1]!survey_responses[[#This Row],[Tôi tin rằng Nhà nước, cơ quan thuế sẽ thực thi chính sách mới một cách khách quan, công tâm và đối xử bình đẳng với mọi người nộp thuế.  - HUMAN-TRU1]]</f>
        <v>10</v>
      </c>
      <c r="X160">
        <f t="shared" si="67"/>
        <v>1</v>
      </c>
      <c r="Y160">
        <f>step3_validation[[#This Row],[AI_TRU2]]</f>
        <v>7</v>
      </c>
      <c r="Z160">
        <f t="shared" si="68"/>
        <v>0.66666666666666663</v>
      </c>
      <c r="AA160">
        <f>[1]!survey_responses[[#This Row],[Tôi thấy mức thuế tôi phải đóng theo phương án mới là công bằng (người thu nhập như tôi đóng mức này là hợp lý). - HUMAN-TRU2]]</f>
        <v>5</v>
      </c>
      <c r="AB160">
        <f t="shared" si="69"/>
        <v>0.44444444444444442</v>
      </c>
      <c r="AC160">
        <f>step3_validation[[#This Row],[AI_TRU3]]</f>
        <v>6</v>
      </c>
      <c r="AD160">
        <f t="shared" si="70"/>
        <v>0.55555555555555558</v>
      </c>
      <c r="AE160">
        <f>[1]!survey_responses[[#This Row],[Tôi tin tưởng số tiền thuế tôi đóng sẽ được Nhà nước sử dụng hiệu quả để cải thiện dịch vụ công (y tế, đường xá...). - HUMAN-TRU3]]</f>
        <v>10</v>
      </c>
      <c r="AF160">
        <f t="shared" si="71"/>
        <v>1</v>
      </c>
      <c r="AG160">
        <f>step3_validation[[#This Row],[AI_TRU4]]</f>
        <v>8</v>
      </c>
      <c r="AH160">
        <f t="shared" si="72"/>
        <v>0.77777777777777779</v>
      </c>
      <c r="AI160">
        <f>[1]!survey_responses[[#This Row],[Tôi thấy Nhà nước đã giải thích rõ ràng, minh bạch về lý do và mục tiêu của việc sửa đổi thuế lần này. - HUMAN-TRU4]]</f>
        <v>3</v>
      </c>
      <c r="AJ160">
        <f t="shared" si="73"/>
        <v>0.22222222222222221</v>
      </c>
      <c r="AK160" s="32">
        <f t="shared" si="74"/>
        <v>0.69444444444444442</v>
      </c>
      <c r="AL160" s="32">
        <f t="shared" si="75"/>
        <v>0.66666666666666674</v>
      </c>
      <c r="AM160" s="7">
        <f t="shared" si="76"/>
        <v>0.71296296296296291</v>
      </c>
      <c r="AN160" s="7">
        <f t="shared" si="77"/>
        <v>0.53703703703703709</v>
      </c>
      <c r="AO160">
        <f>step3_validation[[#This Row],[AI_OUT1]]</f>
        <v>7</v>
      </c>
      <c r="AP160">
        <f t="shared" si="78"/>
        <v>0.66666666666666663</v>
      </c>
      <c r="AQ160">
        <f>[1]!survey_responses[[#This Row],[Sau khi xem xét các quyền lợi và nghĩa vụ, bạn có ủng hộ và tuân thủ chính sách mới hiện nay? - HUMAN-OUT1]]</f>
        <v>3</v>
      </c>
      <c r="AR160">
        <f t="shared" si="79"/>
        <v>0.22222222222222221</v>
      </c>
      <c r="AS160" s="32">
        <f t="shared" si="80"/>
        <v>4</v>
      </c>
    </row>
    <row r="161" spans="1:45" x14ac:dyDescent="0.45">
      <c r="A161">
        <f>step3_validation[[#This Row],[AI_ENF1]]</f>
        <v>7</v>
      </c>
      <c r="B161">
        <f t="shared" si="54"/>
        <v>0.66666666666666663</v>
      </c>
      <c r="C161">
        <f>[1]!survey_responses[[#This Row],[Tôi tin rằng với các quy định quản lý thuế hiện nay, hành vi gian lận hoặc trốn thuế sẽ dễ dàng bị phát hiện và xử lý nghiêm. - HUMAN-ENF1]]</f>
        <v>9</v>
      </c>
      <c r="D161">
        <f t="shared" si="55"/>
        <v>0.88888888888888884</v>
      </c>
      <c r="E161">
        <f>step3_validation[[#This Row],[AI_ENF2]]</f>
        <v>8</v>
      </c>
      <c r="F161">
        <f t="shared" si="56"/>
        <v>0.77777777777777779</v>
      </c>
      <c r="G161">
        <f>[1]!survey_responses[[#This Row],[Tôi tin rằng Nhà nước, cơ quan thuế có đủ khả năng và công nghệ để phát hiện, xử lý nghiêm các hành vi trốn thuế. - HUMAN-ENF2]]</f>
        <v>9</v>
      </c>
      <c r="H161">
        <f t="shared" si="57"/>
        <v>0.88888888888888884</v>
      </c>
      <c r="I161" s="32">
        <f t="shared" si="58"/>
        <v>0.72222222222222221</v>
      </c>
      <c r="J161" s="32">
        <f t="shared" si="59"/>
        <v>0.88888888888888884</v>
      </c>
      <c r="K161">
        <f>step3_validation[[#This Row],[AI_FAC1]]</f>
        <v>6</v>
      </c>
      <c r="L161">
        <f t="shared" si="60"/>
        <v>0.55555555555555558</v>
      </c>
      <c r="M161">
        <f>[1]!survey_responses[[#This Row],[Các thủ tục khai báo thuế VÀ/HOẶC quy trình làm việc với cơ quan thuế đơn giản, tiện lợi, nhanh chóng hơn so với trước đây. - HUMAN-FAC1]]</f>
        <v>10</v>
      </c>
      <c r="N161">
        <f t="shared" si="61"/>
        <v>1</v>
      </c>
      <c r="O161">
        <f>step3_validation[[#This Row],[AI_FAC2]]</f>
        <v>8</v>
      </c>
      <c r="P161">
        <f t="shared" si="62"/>
        <v>0.77777777777777779</v>
      </c>
      <c r="Q161">
        <f>[1]!survey_responses[[#This Row],[So với trước đây, tôi thấy cách tính thuế và các bậc thuế trong phương án mới đơn giản, dễ hiểu và dễ thực hiện hơn. - HUMAN-FAC2]]</f>
        <v>2</v>
      </c>
      <c r="R161">
        <f t="shared" si="63"/>
        <v>0.1111111111111111</v>
      </c>
      <c r="S161" s="32">
        <f t="shared" si="64"/>
        <v>0.66666666666666674</v>
      </c>
      <c r="T161" s="32">
        <f t="shared" si="65"/>
        <v>0.55555555555555558</v>
      </c>
      <c r="U161">
        <f>step3_validation[[#This Row],[AI_TRU1]]</f>
        <v>7</v>
      </c>
      <c r="V161">
        <f t="shared" si="66"/>
        <v>0.66666666666666663</v>
      </c>
      <c r="W161">
        <f>[1]!survey_responses[[#This Row],[Tôi tin rằng Nhà nước, cơ quan thuế sẽ thực thi chính sách mới một cách khách quan, công tâm và đối xử bình đẳng với mọi người nộp thuế.  - HUMAN-TRU1]]</f>
        <v>9</v>
      </c>
      <c r="X161">
        <f t="shared" si="67"/>
        <v>0.88888888888888884</v>
      </c>
      <c r="Y161">
        <f>step3_validation[[#This Row],[AI_TRU2]]</f>
        <v>6</v>
      </c>
      <c r="Z161">
        <f t="shared" si="68"/>
        <v>0.55555555555555558</v>
      </c>
      <c r="AA161">
        <f>[1]!survey_responses[[#This Row],[Tôi thấy mức thuế tôi phải đóng theo phương án mới là công bằng (người thu nhập như tôi đóng mức này là hợp lý). - HUMAN-TRU2]]</f>
        <v>9</v>
      </c>
      <c r="AB161">
        <f t="shared" si="69"/>
        <v>0.88888888888888884</v>
      </c>
      <c r="AC161">
        <f>step3_validation[[#This Row],[AI_TRU3]]</f>
        <v>7</v>
      </c>
      <c r="AD161">
        <f t="shared" si="70"/>
        <v>0.66666666666666663</v>
      </c>
      <c r="AE161">
        <f>[1]!survey_responses[[#This Row],[Tôi tin tưởng số tiền thuế tôi đóng sẽ được Nhà nước sử dụng hiệu quả để cải thiện dịch vụ công (y tế, đường xá...). - HUMAN-TRU3]]</f>
        <v>6</v>
      </c>
      <c r="AF161">
        <f t="shared" si="71"/>
        <v>0.55555555555555558</v>
      </c>
      <c r="AG161">
        <f>step3_validation[[#This Row],[AI_TRU4]]</f>
        <v>5</v>
      </c>
      <c r="AH161">
        <f t="shared" si="72"/>
        <v>0.44444444444444442</v>
      </c>
      <c r="AI161">
        <f>[1]!survey_responses[[#This Row],[Tôi thấy Nhà nước đã giải thích rõ ràng, minh bạch về lý do và mục tiêu của việc sửa đổi thuế lần này. - HUMAN-TRU4]]</f>
        <v>8</v>
      </c>
      <c r="AJ161">
        <f t="shared" si="73"/>
        <v>0.77777777777777779</v>
      </c>
      <c r="AK161" s="32">
        <f t="shared" si="74"/>
        <v>0.58333333333333326</v>
      </c>
      <c r="AL161" s="32">
        <f t="shared" si="75"/>
        <v>0.77777777777777768</v>
      </c>
      <c r="AM161" s="7">
        <f t="shared" si="76"/>
        <v>0.65740740740740733</v>
      </c>
      <c r="AN161" s="7">
        <f t="shared" si="77"/>
        <v>0.74074074074074081</v>
      </c>
      <c r="AO161">
        <f>step3_validation[[#This Row],[AI_OUT1]]</f>
        <v>6</v>
      </c>
      <c r="AP161">
        <f t="shared" si="78"/>
        <v>0.55555555555555558</v>
      </c>
      <c r="AQ161">
        <f>[1]!survey_responses[[#This Row],[Sau khi xem xét các quyền lợi và nghĩa vụ, bạn có ủng hộ và tuân thủ chính sách mới hiện nay? - HUMAN-OUT1]]</f>
        <v>10</v>
      </c>
      <c r="AR161">
        <f t="shared" si="79"/>
        <v>1</v>
      </c>
      <c r="AS161" s="32">
        <f t="shared" si="80"/>
        <v>4</v>
      </c>
    </row>
    <row r="162" spans="1:45" x14ac:dyDescent="0.45">
      <c r="A162">
        <f>step3_validation[[#This Row],[AI_ENF1]]</f>
        <v>7</v>
      </c>
      <c r="B162">
        <f t="shared" si="54"/>
        <v>0.66666666666666663</v>
      </c>
      <c r="C162">
        <f>[1]!survey_responses[[#This Row],[Tôi tin rằng với các quy định quản lý thuế hiện nay, hành vi gian lận hoặc trốn thuế sẽ dễ dàng bị phát hiện và xử lý nghiêm. - HUMAN-ENF1]]</f>
        <v>7</v>
      </c>
      <c r="D162">
        <f t="shared" si="55"/>
        <v>0.66666666666666663</v>
      </c>
      <c r="E162">
        <f>step3_validation[[#This Row],[AI_ENF2]]</f>
        <v>6</v>
      </c>
      <c r="F162">
        <f t="shared" si="56"/>
        <v>0.55555555555555558</v>
      </c>
      <c r="G162">
        <f>[1]!survey_responses[[#This Row],[Tôi tin rằng Nhà nước, cơ quan thuế có đủ khả năng và công nghệ để phát hiện, xử lý nghiêm các hành vi trốn thuế. - HUMAN-ENF2]]</f>
        <v>5</v>
      </c>
      <c r="H162">
        <f t="shared" si="57"/>
        <v>0.44444444444444442</v>
      </c>
      <c r="I162" s="32">
        <f t="shared" si="58"/>
        <v>0.61111111111111116</v>
      </c>
      <c r="J162" s="32">
        <f t="shared" si="59"/>
        <v>0.55555555555555558</v>
      </c>
      <c r="K162">
        <f>step3_validation[[#This Row],[AI_FAC1]]</f>
        <v>8</v>
      </c>
      <c r="L162">
        <f t="shared" si="60"/>
        <v>0.77777777777777779</v>
      </c>
      <c r="M162">
        <f>[1]!survey_responses[[#This Row],[Các thủ tục khai báo thuế VÀ/HOẶC quy trình làm việc với cơ quan thuế đơn giản, tiện lợi, nhanh chóng hơn so với trước đây. - HUMAN-FAC1]]</f>
        <v>7</v>
      </c>
      <c r="N162">
        <f t="shared" si="61"/>
        <v>0.66666666666666663</v>
      </c>
      <c r="O162">
        <f>step3_validation[[#This Row],[AI_FAC2]]</f>
        <v>7</v>
      </c>
      <c r="P162">
        <f t="shared" si="62"/>
        <v>0.66666666666666663</v>
      </c>
      <c r="Q162">
        <f>[1]!survey_responses[[#This Row],[So với trước đây, tôi thấy cách tính thuế và các bậc thuế trong phương án mới đơn giản, dễ hiểu và dễ thực hiện hơn. - HUMAN-FAC2]]</f>
        <v>5</v>
      </c>
      <c r="R162">
        <f t="shared" si="63"/>
        <v>0.44444444444444442</v>
      </c>
      <c r="S162" s="32">
        <f t="shared" si="64"/>
        <v>0.72222222222222221</v>
      </c>
      <c r="T162" s="32">
        <f t="shared" si="65"/>
        <v>0.55555555555555558</v>
      </c>
      <c r="U162">
        <f>step3_validation[[#This Row],[AI_TRU1]]</f>
        <v>5</v>
      </c>
      <c r="V162">
        <f t="shared" si="66"/>
        <v>0.44444444444444442</v>
      </c>
      <c r="W162">
        <f>[1]!survey_responses[[#This Row],[Tôi tin rằng Nhà nước, cơ quan thuế sẽ thực thi chính sách mới một cách khách quan, công tâm và đối xử bình đẳng với mọi người nộp thuế.  - HUMAN-TRU1]]</f>
        <v>3</v>
      </c>
      <c r="X162">
        <f t="shared" si="67"/>
        <v>0.22222222222222221</v>
      </c>
      <c r="Y162">
        <f>step3_validation[[#This Row],[AI_TRU2]]</f>
        <v>6</v>
      </c>
      <c r="Z162">
        <f t="shared" si="68"/>
        <v>0.55555555555555558</v>
      </c>
      <c r="AA162">
        <f>[1]!survey_responses[[#This Row],[Tôi thấy mức thuế tôi phải đóng theo phương án mới là công bằng (người thu nhập như tôi đóng mức này là hợp lý). - HUMAN-TRU2]]</f>
        <v>4</v>
      </c>
      <c r="AB162">
        <f t="shared" si="69"/>
        <v>0.33333333333333331</v>
      </c>
      <c r="AC162">
        <f>step3_validation[[#This Row],[AI_TRU3]]</f>
        <v>7</v>
      </c>
      <c r="AD162">
        <f t="shared" si="70"/>
        <v>0.66666666666666663</v>
      </c>
      <c r="AE162">
        <f>[1]!survey_responses[[#This Row],[Tôi tin tưởng số tiền thuế tôi đóng sẽ được Nhà nước sử dụng hiệu quả để cải thiện dịch vụ công (y tế, đường xá...). - HUMAN-TRU3]]</f>
        <v>1</v>
      </c>
      <c r="AF162">
        <f t="shared" si="71"/>
        <v>0</v>
      </c>
      <c r="AG162">
        <f>step3_validation[[#This Row],[AI_TRU4]]</f>
        <v>5</v>
      </c>
      <c r="AH162">
        <f t="shared" si="72"/>
        <v>0.44444444444444442</v>
      </c>
      <c r="AI162">
        <f>[1]!survey_responses[[#This Row],[Tôi thấy Nhà nước đã giải thích rõ ràng, minh bạch về lý do và mục tiêu của việc sửa đổi thuế lần này. - HUMAN-TRU4]]</f>
        <v>5</v>
      </c>
      <c r="AJ162">
        <f t="shared" si="73"/>
        <v>0.44444444444444442</v>
      </c>
      <c r="AK162" s="32">
        <f t="shared" si="74"/>
        <v>0.52777777777777768</v>
      </c>
      <c r="AL162" s="32">
        <f t="shared" si="75"/>
        <v>0.25</v>
      </c>
      <c r="AM162" s="7">
        <f t="shared" si="76"/>
        <v>0.62037037037037035</v>
      </c>
      <c r="AN162" s="7">
        <f t="shared" si="77"/>
        <v>0.45370370370370372</v>
      </c>
      <c r="AO162">
        <f>step3_validation[[#This Row],[AI_OUT1]]</f>
        <v>6</v>
      </c>
      <c r="AP162">
        <f t="shared" si="78"/>
        <v>0.55555555555555558</v>
      </c>
      <c r="AQ162">
        <f>[1]!survey_responses[[#This Row],[Sau khi xem xét các quyền lợi và nghĩa vụ, bạn có ủng hộ và tuân thủ chính sách mới hiện nay? - HUMAN-OUT1]]</f>
        <v>5</v>
      </c>
      <c r="AR162">
        <f t="shared" si="79"/>
        <v>0.44444444444444442</v>
      </c>
      <c r="AS162" s="32">
        <f t="shared" si="80"/>
        <v>1</v>
      </c>
    </row>
    <row r="163" spans="1:45" x14ac:dyDescent="0.45">
      <c r="A163">
        <f>step3_validation[[#This Row],[AI_ENF1]]</f>
        <v>7</v>
      </c>
      <c r="B163">
        <f t="shared" si="54"/>
        <v>0.66666666666666663</v>
      </c>
      <c r="C163">
        <f>[1]!survey_responses[[#This Row],[Tôi tin rằng với các quy định quản lý thuế hiện nay, hành vi gian lận hoặc trốn thuế sẽ dễ dàng bị phát hiện và xử lý nghiêm. - HUMAN-ENF1]]</f>
        <v>3</v>
      </c>
      <c r="D163">
        <f t="shared" si="55"/>
        <v>0.22222222222222221</v>
      </c>
      <c r="E163">
        <f>step3_validation[[#This Row],[AI_ENF2]]</f>
        <v>6</v>
      </c>
      <c r="F163">
        <f t="shared" si="56"/>
        <v>0.55555555555555558</v>
      </c>
      <c r="G163">
        <f>[1]!survey_responses[[#This Row],[Tôi tin rằng Nhà nước, cơ quan thuế có đủ khả năng và công nghệ để phát hiện, xử lý nghiêm các hành vi trốn thuế. - HUMAN-ENF2]]</f>
        <v>8</v>
      </c>
      <c r="H163">
        <f t="shared" si="57"/>
        <v>0.77777777777777779</v>
      </c>
      <c r="I163" s="32">
        <f t="shared" si="58"/>
        <v>0.61111111111111116</v>
      </c>
      <c r="J163" s="32">
        <f t="shared" si="59"/>
        <v>0.5</v>
      </c>
      <c r="K163">
        <f>step3_validation[[#This Row],[AI_FAC1]]</f>
        <v>8</v>
      </c>
      <c r="L163">
        <f t="shared" si="60"/>
        <v>0.77777777777777779</v>
      </c>
      <c r="M163">
        <f>[1]!survey_responses[[#This Row],[Các thủ tục khai báo thuế VÀ/HOẶC quy trình làm việc với cơ quan thuế đơn giản, tiện lợi, nhanh chóng hơn so với trước đây. - HUMAN-FAC1]]</f>
        <v>4</v>
      </c>
      <c r="N163">
        <f t="shared" si="61"/>
        <v>0.33333333333333331</v>
      </c>
      <c r="O163">
        <f>step3_validation[[#This Row],[AI_FAC2]]</f>
        <v>7</v>
      </c>
      <c r="P163">
        <f t="shared" si="62"/>
        <v>0.66666666666666663</v>
      </c>
      <c r="Q163">
        <f>[1]!survey_responses[[#This Row],[So với trước đây, tôi thấy cách tính thuế và các bậc thuế trong phương án mới đơn giản, dễ hiểu và dễ thực hiện hơn. - HUMAN-FAC2]]</f>
        <v>5</v>
      </c>
      <c r="R163">
        <f t="shared" si="63"/>
        <v>0.44444444444444442</v>
      </c>
      <c r="S163" s="32">
        <f t="shared" si="64"/>
        <v>0.72222222222222221</v>
      </c>
      <c r="T163" s="32">
        <f t="shared" si="65"/>
        <v>0.38888888888888884</v>
      </c>
      <c r="U163">
        <f>step3_validation[[#This Row],[AI_TRU1]]</f>
        <v>8</v>
      </c>
      <c r="V163">
        <f t="shared" si="66"/>
        <v>0.77777777777777779</v>
      </c>
      <c r="W163">
        <f>[1]!survey_responses[[#This Row],[Tôi tin rằng Nhà nước, cơ quan thuế sẽ thực thi chính sách mới một cách khách quan, công tâm và đối xử bình đẳng với mọi người nộp thuế.  - HUMAN-TRU1]]</f>
        <v>5</v>
      </c>
      <c r="X163">
        <f t="shared" si="67"/>
        <v>0.44444444444444442</v>
      </c>
      <c r="Y163">
        <f>step3_validation[[#This Row],[AI_TRU2]]</f>
        <v>5</v>
      </c>
      <c r="Z163">
        <f t="shared" si="68"/>
        <v>0.44444444444444442</v>
      </c>
      <c r="AA163">
        <f>[1]!survey_responses[[#This Row],[Tôi thấy mức thuế tôi phải đóng theo phương án mới là công bằng (người thu nhập như tôi đóng mức này là hợp lý). - HUMAN-TRU2]]</f>
        <v>5</v>
      </c>
      <c r="AB163">
        <f t="shared" si="69"/>
        <v>0.44444444444444442</v>
      </c>
      <c r="AC163">
        <f>step3_validation[[#This Row],[AI_TRU3]]</f>
        <v>7</v>
      </c>
      <c r="AD163">
        <f t="shared" si="70"/>
        <v>0.66666666666666663</v>
      </c>
      <c r="AE163">
        <f>[1]!survey_responses[[#This Row],[Tôi tin tưởng số tiền thuế tôi đóng sẽ được Nhà nước sử dụng hiệu quả để cải thiện dịch vụ công (y tế, đường xá...). - HUMAN-TRU3]]</f>
        <v>5</v>
      </c>
      <c r="AF163">
        <f t="shared" si="71"/>
        <v>0.44444444444444442</v>
      </c>
      <c r="AG163">
        <f>step3_validation[[#This Row],[AI_TRU4]]</f>
        <v>6</v>
      </c>
      <c r="AH163">
        <f t="shared" si="72"/>
        <v>0.55555555555555558</v>
      </c>
      <c r="AI163">
        <f>[1]!survey_responses[[#This Row],[Tôi thấy Nhà nước đã giải thích rõ ràng, minh bạch về lý do và mục tiêu của việc sửa đổi thuế lần này. - HUMAN-TRU4]]</f>
        <v>5</v>
      </c>
      <c r="AJ163">
        <f t="shared" si="73"/>
        <v>0.44444444444444442</v>
      </c>
      <c r="AK163" s="32">
        <f t="shared" si="74"/>
        <v>0.61111111111111116</v>
      </c>
      <c r="AL163" s="32">
        <f t="shared" si="75"/>
        <v>0.44444444444444442</v>
      </c>
      <c r="AM163" s="7">
        <f t="shared" si="76"/>
        <v>0.64814814814814825</v>
      </c>
      <c r="AN163" s="7">
        <f t="shared" si="77"/>
        <v>0.44444444444444442</v>
      </c>
      <c r="AO163">
        <f>step3_validation[[#This Row],[AI_OUT1]]</f>
        <v>8</v>
      </c>
      <c r="AP163">
        <f t="shared" si="78"/>
        <v>0.77777777777777779</v>
      </c>
      <c r="AQ163">
        <f>[1]!survey_responses[[#This Row],[Sau khi xem xét các quyền lợi và nghĩa vụ, bạn có ủng hộ và tuân thủ chính sách mới hiện nay? - HUMAN-OUT1]]</f>
        <v>5</v>
      </c>
      <c r="AR163">
        <f t="shared" si="79"/>
        <v>0.44444444444444442</v>
      </c>
      <c r="AS163" s="32">
        <f t="shared" si="80"/>
        <v>3</v>
      </c>
    </row>
    <row r="164" spans="1:45" x14ac:dyDescent="0.45">
      <c r="A164">
        <f>step3_validation[[#This Row],[AI_ENF1]]</f>
        <v>7</v>
      </c>
      <c r="B164">
        <f t="shared" si="54"/>
        <v>0.66666666666666663</v>
      </c>
      <c r="C164">
        <f>[1]!survey_responses[[#This Row],[Tôi tin rằng với các quy định quản lý thuế hiện nay, hành vi gian lận hoặc trốn thuế sẽ dễ dàng bị phát hiện và xử lý nghiêm. - HUMAN-ENF1]]</f>
        <v>10</v>
      </c>
      <c r="D164">
        <f t="shared" si="55"/>
        <v>1</v>
      </c>
      <c r="E164">
        <f>step3_validation[[#This Row],[AI_ENF2]]</f>
        <v>8</v>
      </c>
      <c r="F164">
        <f t="shared" si="56"/>
        <v>0.77777777777777779</v>
      </c>
      <c r="G164">
        <f>[1]!survey_responses[[#This Row],[Tôi tin rằng Nhà nước, cơ quan thuế có đủ khả năng và công nghệ để phát hiện, xử lý nghiêm các hành vi trốn thuế. - HUMAN-ENF2]]</f>
        <v>10</v>
      </c>
      <c r="H164">
        <f t="shared" si="57"/>
        <v>1</v>
      </c>
      <c r="I164" s="32">
        <f t="shared" si="58"/>
        <v>0.72222222222222221</v>
      </c>
      <c r="J164" s="32">
        <f t="shared" si="59"/>
        <v>1</v>
      </c>
      <c r="K164">
        <f>step3_validation[[#This Row],[AI_FAC1]]</f>
        <v>8</v>
      </c>
      <c r="L164">
        <f t="shared" si="60"/>
        <v>0.77777777777777779</v>
      </c>
      <c r="M164">
        <f>[1]!survey_responses[[#This Row],[Các thủ tục khai báo thuế VÀ/HOẶC quy trình làm việc với cơ quan thuế đơn giản, tiện lợi, nhanh chóng hơn so với trước đây. - HUMAN-FAC1]]</f>
        <v>10</v>
      </c>
      <c r="N164">
        <f t="shared" si="61"/>
        <v>1</v>
      </c>
      <c r="O164">
        <f>step3_validation[[#This Row],[AI_FAC2]]</f>
        <v>8</v>
      </c>
      <c r="P164">
        <f t="shared" si="62"/>
        <v>0.77777777777777779</v>
      </c>
      <c r="Q164">
        <f>[1]!survey_responses[[#This Row],[So với trước đây, tôi thấy cách tính thuế và các bậc thuế trong phương án mới đơn giản, dễ hiểu và dễ thực hiện hơn. - HUMAN-FAC2]]</f>
        <v>10</v>
      </c>
      <c r="R164">
        <f t="shared" si="63"/>
        <v>1</v>
      </c>
      <c r="S164" s="32">
        <f t="shared" si="64"/>
        <v>0.77777777777777779</v>
      </c>
      <c r="T164" s="32">
        <f t="shared" si="65"/>
        <v>1</v>
      </c>
      <c r="U164">
        <f>step3_validation[[#This Row],[AI_TRU1]]</f>
        <v>6</v>
      </c>
      <c r="V164">
        <f t="shared" si="66"/>
        <v>0.55555555555555558</v>
      </c>
      <c r="W164">
        <f>[1]!survey_responses[[#This Row],[Tôi tin rằng Nhà nước, cơ quan thuế sẽ thực thi chính sách mới một cách khách quan, công tâm và đối xử bình đẳng với mọi người nộp thuế.  - HUMAN-TRU1]]</f>
        <v>10</v>
      </c>
      <c r="X164">
        <f t="shared" si="67"/>
        <v>1</v>
      </c>
      <c r="Y164">
        <f>step3_validation[[#This Row],[AI_TRU2]]</f>
        <v>7</v>
      </c>
      <c r="Z164">
        <f t="shared" si="68"/>
        <v>0.66666666666666663</v>
      </c>
      <c r="AA164">
        <f>[1]!survey_responses[[#This Row],[Tôi thấy mức thuế tôi phải đóng theo phương án mới là công bằng (người thu nhập như tôi đóng mức này là hợp lý). - HUMAN-TRU2]]</f>
        <v>10</v>
      </c>
      <c r="AB164">
        <f t="shared" si="69"/>
        <v>1</v>
      </c>
      <c r="AC164">
        <f>step3_validation[[#This Row],[AI_TRU3]]</f>
        <v>6</v>
      </c>
      <c r="AD164">
        <f t="shared" si="70"/>
        <v>0.55555555555555558</v>
      </c>
      <c r="AE164">
        <f>[1]!survey_responses[[#This Row],[Tôi tin tưởng số tiền thuế tôi đóng sẽ được Nhà nước sử dụng hiệu quả để cải thiện dịch vụ công (y tế, đường xá...). - HUMAN-TRU3]]</f>
        <v>10</v>
      </c>
      <c r="AF164">
        <f t="shared" si="71"/>
        <v>1</v>
      </c>
      <c r="AG164">
        <f>step3_validation[[#This Row],[AI_TRU4]]</f>
        <v>7</v>
      </c>
      <c r="AH164">
        <f t="shared" si="72"/>
        <v>0.66666666666666663</v>
      </c>
      <c r="AI164">
        <f>[1]!survey_responses[[#This Row],[Tôi thấy Nhà nước đã giải thích rõ ràng, minh bạch về lý do và mục tiêu của việc sửa đổi thuế lần này. - HUMAN-TRU4]]</f>
        <v>10</v>
      </c>
      <c r="AJ164">
        <f t="shared" si="73"/>
        <v>1</v>
      </c>
      <c r="AK164" s="32">
        <f t="shared" si="74"/>
        <v>0.61111111111111116</v>
      </c>
      <c r="AL164" s="32">
        <f t="shared" si="75"/>
        <v>1</v>
      </c>
      <c r="AM164" s="7">
        <f t="shared" si="76"/>
        <v>0.70370370370370372</v>
      </c>
      <c r="AN164" s="7">
        <f t="shared" si="77"/>
        <v>1</v>
      </c>
      <c r="AO164">
        <f>step3_validation[[#This Row],[AI_OUT1]]</f>
        <v>6</v>
      </c>
      <c r="AP164">
        <f t="shared" si="78"/>
        <v>0.55555555555555558</v>
      </c>
      <c r="AQ164">
        <f>[1]!survey_responses[[#This Row],[Sau khi xem xét các quyền lợi và nghĩa vụ, bạn có ủng hộ và tuân thủ chính sách mới hiện nay? - HUMAN-OUT1]]</f>
        <v>10</v>
      </c>
      <c r="AR164">
        <f t="shared" si="79"/>
        <v>1</v>
      </c>
      <c r="AS164" s="32">
        <f t="shared" si="80"/>
        <v>4</v>
      </c>
    </row>
    <row r="165" spans="1:45" x14ac:dyDescent="0.45">
      <c r="A165">
        <f>step3_validation[[#This Row],[AI_ENF1]]</f>
        <v>8</v>
      </c>
      <c r="B165">
        <f t="shared" si="54"/>
        <v>0.77777777777777779</v>
      </c>
      <c r="C165">
        <f>[1]!survey_responses[[#This Row],[Tôi tin rằng với các quy định quản lý thuế hiện nay, hành vi gian lận hoặc trốn thuế sẽ dễ dàng bị phát hiện và xử lý nghiêm. - HUMAN-ENF1]]</f>
        <v>8</v>
      </c>
      <c r="D165">
        <f t="shared" si="55"/>
        <v>0.77777777777777779</v>
      </c>
      <c r="E165">
        <f>step3_validation[[#This Row],[AI_ENF2]]</f>
        <v>7</v>
      </c>
      <c r="F165">
        <f t="shared" si="56"/>
        <v>0.66666666666666663</v>
      </c>
      <c r="G165">
        <f>[1]!survey_responses[[#This Row],[Tôi tin rằng Nhà nước, cơ quan thuế có đủ khả năng và công nghệ để phát hiện, xử lý nghiêm các hành vi trốn thuế. - HUMAN-ENF2]]</f>
        <v>9</v>
      </c>
      <c r="H165">
        <f t="shared" si="57"/>
        <v>0.88888888888888884</v>
      </c>
      <c r="I165" s="32">
        <f t="shared" si="58"/>
        <v>0.72222222222222221</v>
      </c>
      <c r="J165" s="32">
        <f t="shared" si="59"/>
        <v>0.83333333333333326</v>
      </c>
      <c r="K165">
        <f>step3_validation[[#This Row],[AI_FAC1]]</f>
        <v>6</v>
      </c>
      <c r="L165">
        <f t="shared" si="60"/>
        <v>0.55555555555555558</v>
      </c>
      <c r="M165">
        <f>[1]!survey_responses[[#This Row],[Các thủ tục khai báo thuế VÀ/HOẶC quy trình làm việc với cơ quan thuế đơn giản, tiện lợi, nhanh chóng hơn so với trước đây. - HUMAN-FAC1]]</f>
        <v>9</v>
      </c>
      <c r="N165">
        <f t="shared" si="61"/>
        <v>0.88888888888888884</v>
      </c>
      <c r="O165">
        <f>step3_validation[[#This Row],[AI_FAC2]]</f>
        <v>7</v>
      </c>
      <c r="P165">
        <f t="shared" si="62"/>
        <v>0.66666666666666663</v>
      </c>
      <c r="Q165">
        <f>[1]!survey_responses[[#This Row],[So với trước đây, tôi thấy cách tính thuế và các bậc thuế trong phương án mới đơn giản, dễ hiểu và dễ thực hiện hơn. - HUMAN-FAC2]]</f>
        <v>9</v>
      </c>
      <c r="R165">
        <f t="shared" si="63"/>
        <v>0.88888888888888884</v>
      </c>
      <c r="S165" s="32">
        <f t="shared" si="64"/>
        <v>0.61111111111111116</v>
      </c>
      <c r="T165" s="32">
        <f t="shared" si="65"/>
        <v>0.88888888888888884</v>
      </c>
      <c r="U165">
        <f>step3_validation[[#This Row],[AI_TRU1]]</f>
        <v>8</v>
      </c>
      <c r="V165">
        <f t="shared" si="66"/>
        <v>0.77777777777777779</v>
      </c>
      <c r="W165">
        <f>[1]!survey_responses[[#This Row],[Tôi tin rằng Nhà nước, cơ quan thuế sẽ thực thi chính sách mới một cách khách quan, công tâm và đối xử bình đẳng với mọi người nộp thuế.  - HUMAN-TRU1]]</f>
        <v>5</v>
      </c>
      <c r="X165">
        <f t="shared" si="67"/>
        <v>0.44444444444444442</v>
      </c>
      <c r="Y165">
        <f>step3_validation[[#This Row],[AI_TRU2]]</f>
        <v>7</v>
      </c>
      <c r="Z165">
        <f t="shared" si="68"/>
        <v>0.66666666666666663</v>
      </c>
      <c r="AA165">
        <f>[1]!survey_responses[[#This Row],[Tôi thấy mức thuế tôi phải đóng theo phương án mới là công bằng (người thu nhập như tôi đóng mức này là hợp lý). - HUMAN-TRU2]]</f>
        <v>7</v>
      </c>
      <c r="AB165">
        <f t="shared" si="69"/>
        <v>0.66666666666666663</v>
      </c>
      <c r="AC165">
        <f>step3_validation[[#This Row],[AI_TRU3]]</f>
        <v>6</v>
      </c>
      <c r="AD165">
        <f t="shared" si="70"/>
        <v>0.55555555555555558</v>
      </c>
      <c r="AE165">
        <f>[1]!survey_responses[[#This Row],[Tôi tin tưởng số tiền thuế tôi đóng sẽ được Nhà nước sử dụng hiệu quả để cải thiện dịch vụ công (y tế, đường xá...). - HUMAN-TRU3]]</f>
        <v>5</v>
      </c>
      <c r="AF165">
        <f t="shared" si="71"/>
        <v>0.44444444444444442</v>
      </c>
      <c r="AG165">
        <f>step3_validation[[#This Row],[AI_TRU4]]</f>
        <v>7</v>
      </c>
      <c r="AH165">
        <f t="shared" si="72"/>
        <v>0.66666666666666663</v>
      </c>
      <c r="AI165">
        <f>[1]!survey_responses[[#This Row],[Tôi thấy Nhà nước đã giải thích rõ ràng, minh bạch về lý do và mục tiêu của việc sửa đổi thuế lần này. - HUMAN-TRU4]]</f>
        <v>7</v>
      </c>
      <c r="AJ165">
        <f t="shared" si="73"/>
        <v>0.66666666666666663</v>
      </c>
      <c r="AK165" s="32">
        <f t="shared" si="74"/>
        <v>0.66666666666666663</v>
      </c>
      <c r="AL165" s="32">
        <f t="shared" si="75"/>
        <v>0.55555555555555558</v>
      </c>
      <c r="AM165" s="7">
        <f t="shared" si="76"/>
        <v>0.66666666666666663</v>
      </c>
      <c r="AN165" s="7">
        <f t="shared" si="77"/>
        <v>0.75925925925925919</v>
      </c>
      <c r="AO165">
        <f>step3_validation[[#This Row],[AI_OUT1]]</f>
        <v>8</v>
      </c>
      <c r="AP165">
        <f t="shared" si="78"/>
        <v>0.77777777777777779</v>
      </c>
      <c r="AQ165">
        <f>[1]!survey_responses[[#This Row],[Sau khi xem xét các quyền lợi và nghĩa vụ, bạn có ủng hộ và tuân thủ chính sách mới hiện nay? - HUMAN-OUT1]]</f>
        <v>7</v>
      </c>
      <c r="AR165">
        <f t="shared" si="79"/>
        <v>0.66666666666666663</v>
      </c>
      <c r="AS165" s="32">
        <f t="shared" si="80"/>
        <v>1</v>
      </c>
    </row>
    <row r="166" spans="1:45" x14ac:dyDescent="0.45">
      <c r="A166">
        <f>step3_validation[[#This Row],[AI_ENF1]]</f>
        <v>8</v>
      </c>
      <c r="B166">
        <f t="shared" si="54"/>
        <v>0.77777777777777779</v>
      </c>
      <c r="C166">
        <f>[1]!survey_responses[[#This Row],[Tôi tin rằng với các quy định quản lý thuế hiện nay, hành vi gian lận hoặc trốn thuế sẽ dễ dàng bị phát hiện và xử lý nghiêm. - HUMAN-ENF1]]</f>
        <v>5</v>
      </c>
      <c r="D166">
        <f t="shared" si="55"/>
        <v>0.44444444444444442</v>
      </c>
      <c r="E166">
        <f>step3_validation[[#This Row],[AI_ENF2]]</f>
        <v>7</v>
      </c>
      <c r="F166">
        <f t="shared" si="56"/>
        <v>0.66666666666666663</v>
      </c>
      <c r="G166">
        <f>[1]!survey_responses[[#This Row],[Tôi tin rằng Nhà nước, cơ quan thuế có đủ khả năng và công nghệ để phát hiện, xử lý nghiêm các hành vi trốn thuế. - HUMAN-ENF2]]</f>
        <v>5</v>
      </c>
      <c r="H166">
        <f t="shared" si="57"/>
        <v>0.44444444444444442</v>
      </c>
      <c r="I166" s="32">
        <f t="shared" si="58"/>
        <v>0.72222222222222221</v>
      </c>
      <c r="J166" s="32">
        <f t="shared" si="59"/>
        <v>0.44444444444444442</v>
      </c>
      <c r="K166">
        <f>step3_validation[[#This Row],[AI_FAC1]]</f>
        <v>9</v>
      </c>
      <c r="L166">
        <f t="shared" si="60"/>
        <v>0.88888888888888884</v>
      </c>
      <c r="M166">
        <f>[1]!survey_responses[[#This Row],[Các thủ tục khai báo thuế VÀ/HOẶC quy trình làm việc với cơ quan thuế đơn giản, tiện lợi, nhanh chóng hơn so với trước đây. - HUMAN-FAC1]]</f>
        <v>6</v>
      </c>
      <c r="N166">
        <f t="shared" si="61"/>
        <v>0.55555555555555558</v>
      </c>
      <c r="O166">
        <f>step3_validation[[#This Row],[AI_FAC2]]</f>
        <v>8</v>
      </c>
      <c r="P166">
        <f t="shared" si="62"/>
        <v>0.77777777777777779</v>
      </c>
      <c r="Q166">
        <f>[1]!survey_responses[[#This Row],[So với trước đây, tôi thấy cách tính thuế và các bậc thuế trong phương án mới đơn giản, dễ hiểu và dễ thực hiện hơn. - HUMAN-FAC2]]</f>
        <v>6</v>
      </c>
      <c r="R166">
        <f t="shared" si="63"/>
        <v>0.55555555555555558</v>
      </c>
      <c r="S166" s="32">
        <f t="shared" si="64"/>
        <v>0.83333333333333326</v>
      </c>
      <c r="T166" s="32">
        <f t="shared" si="65"/>
        <v>0.55555555555555558</v>
      </c>
      <c r="U166">
        <f>step3_validation[[#This Row],[AI_TRU1]]</f>
        <v>8</v>
      </c>
      <c r="V166">
        <f t="shared" si="66"/>
        <v>0.77777777777777779</v>
      </c>
      <c r="W166">
        <f>[1]!survey_responses[[#This Row],[Tôi tin rằng Nhà nước, cơ quan thuế sẽ thực thi chính sách mới một cách khách quan, công tâm và đối xử bình đẳng với mọi người nộp thuế.  - HUMAN-TRU1]]</f>
        <v>6</v>
      </c>
      <c r="X166">
        <f t="shared" si="67"/>
        <v>0.55555555555555558</v>
      </c>
      <c r="Y166">
        <f>step3_validation[[#This Row],[AI_TRU2]]</f>
        <v>7</v>
      </c>
      <c r="Z166">
        <f t="shared" si="68"/>
        <v>0.66666666666666663</v>
      </c>
      <c r="AA166">
        <f>[1]!survey_responses[[#This Row],[Tôi thấy mức thuế tôi phải đóng theo phương án mới là công bằng (người thu nhập như tôi đóng mức này là hợp lý). - HUMAN-TRU2]]</f>
        <v>6</v>
      </c>
      <c r="AB166">
        <f t="shared" si="69"/>
        <v>0.55555555555555558</v>
      </c>
      <c r="AC166">
        <f>step3_validation[[#This Row],[AI_TRU3]]</f>
        <v>6</v>
      </c>
      <c r="AD166">
        <f t="shared" si="70"/>
        <v>0.55555555555555558</v>
      </c>
      <c r="AE166">
        <f>[1]!survey_responses[[#This Row],[Tôi tin tưởng số tiền thuế tôi đóng sẽ được Nhà nước sử dụng hiệu quả để cải thiện dịch vụ công (y tế, đường xá...). - HUMAN-TRU3]]</f>
        <v>5</v>
      </c>
      <c r="AF166">
        <f t="shared" si="71"/>
        <v>0.44444444444444442</v>
      </c>
      <c r="AG166">
        <f>step3_validation[[#This Row],[AI_TRU4]]</f>
        <v>5</v>
      </c>
      <c r="AH166">
        <f t="shared" si="72"/>
        <v>0.44444444444444442</v>
      </c>
      <c r="AI166">
        <f>[1]!survey_responses[[#This Row],[Tôi thấy Nhà nước đã giải thích rõ ràng, minh bạch về lý do và mục tiêu của việc sửa đổi thuế lần này. - HUMAN-TRU4]]</f>
        <v>7</v>
      </c>
      <c r="AJ166">
        <f t="shared" si="73"/>
        <v>0.66666666666666663</v>
      </c>
      <c r="AK166" s="32">
        <f t="shared" si="74"/>
        <v>0.61111111111111116</v>
      </c>
      <c r="AL166" s="32">
        <f t="shared" si="75"/>
        <v>0.55555555555555558</v>
      </c>
      <c r="AM166" s="7">
        <f t="shared" si="76"/>
        <v>0.72222222222222221</v>
      </c>
      <c r="AN166" s="7">
        <f t="shared" si="77"/>
        <v>0.51851851851851849</v>
      </c>
      <c r="AO166">
        <f>step3_validation[[#This Row],[AI_OUT1]]</f>
        <v>7</v>
      </c>
      <c r="AP166">
        <f t="shared" si="78"/>
        <v>0.66666666666666663</v>
      </c>
      <c r="AQ166">
        <f>[1]!survey_responses[[#This Row],[Sau khi xem xét các quyền lợi và nghĩa vụ, bạn có ủng hộ và tuân thủ chính sách mới hiện nay? - HUMAN-OUT1]]</f>
        <v>8</v>
      </c>
      <c r="AR166">
        <f t="shared" si="79"/>
        <v>0.77777777777777779</v>
      </c>
      <c r="AS166" s="32">
        <f t="shared" si="80"/>
        <v>1</v>
      </c>
    </row>
    <row r="167" spans="1:45" x14ac:dyDescent="0.45">
      <c r="A167">
        <f>step3_validation[[#This Row],[AI_ENF1]]</f>
        <v>7</v>
      </c>
      <c r="B167">
        <f t="shared" si="54"/>
        <v>0.66666666666666663</v>
      </c>
      <c r="C167">
        <f>[1]!survey_responses[[#This Row],[Tôi tin rằng với các quy định quản lý thuế hiện nay, hành vi gian lận hoặc trốn thuế sẽ dễ dàng bị phát hiện và xử lý nghiêm. - HUMAN-ENF1]]</f>
        <v>10</v>
      </c>
      <c r="D167">
        <f t="shared" si="55"/>
        <v>1</v>
      </c>
      <c r="E167">
        <f>step3_validation[[#This Row],[AI_ENF2]]</f>
        <v>6</v>
      </c>
      <c r="F167">
        <f t="shared" si="56"/>
        <v>0.55555555555555558</v>
      </c>
      <c r="G167">
        <f>[1]!survey_responses[[#This Row],[Tôi tin rằng Nhà nước, cơ quan thuế có đủ khả năng và công nghệ để phát hiện, xử lý nghiêm các hành vi trốn thuế. - HUMAN-ENF2]]</f>
        <v>8</v>
      </c>
      <c r="H167">
        <f t="shared" si="57"/>
        <v>0.77777777777777779</v>
      </c>
      <c r="I167" s="32">
        <f t="shared" si="58"/>
        <v>0.61111111111111116</v>
      </c>
      <c r="J167" s="32">
        <f t="shared" si="59"/>
        <v>0.88888888888888884</v>
      </c>
      <c r="K167">
        <f>step3_validation[[#This Row],[AI_FAC1]]</f>
        <v>8</v>
      </c>
      <c r="L167">
        <f t="shared" si="60"/>
        <v>0.77777777777777779</v>
      </c>
      <c r="M167">
        <f>[1]!survey_responses[[#This Row],[Các thủ tục khai báo thuế VÀ/HOẶC quy trình làm việc với cơ quan thuế đơn giản, tiện lợi, nhanh chóng hơn so với trước đây. - HUMAN-FAC1]]</f>
        <v>10</v>
      </c>
      <c r="N167">
        <f t="shared" si="61"/>
        <v>1</v>
      </c>
      <c r="O167">
        <f>step3_validation[[#This Row],[AI_FAC2]]</f>
        <v>9</v>
      </c>
      <c r="P167">
        <f t="shared" si="62"/>
        <v>0.88888888888888884</v>
      </c>
      <c r="Q167">
        <f>[1]!survey_responses[[#This Row],[So với trước đây, tôi thấy cách tính thuế và các bậc thuế trong phương án mới đơn giản, dễ hiểu và dễ thực hiện hơn. - HUMAN-FAC2]]</f>
        <v>10</v>
      </c>
      <c r="R167">
        <f t="shared" si="63"/>
        <v>1</v>
      </c>
      <c r="S167" s="32">
        <f t="shared" si="64"/>
        <v>0.83333333333333326</v>
      </c>
      <c r="T167" s="32">
        <f t="shared" si="65"/>
        <v>1</v>
      </c>
      <c r="U167">
        <f>step3_validation[[#This Row],[AI_TRU1]]</f>
        <v>7</v>
      </c>
      <c r="V167">
        <f t="shared" si="66"/>
        <v>0.66666666666666663</v>
      </c>
      <c r="W167">
        <f>[1]!survey_responses[[#This Row],[Tôi tin rằng Nhà nước, cơ quan thuế sẽ thực thi chính sách mới một cách khách quan, công tâm và đối xử bình đẳng với mọi người nộp thuế.  - HUMAN-TRU1]]</f>
        <v>10</v>
      </c>
      <c r="X167">
        <f t="shared" si="67"/>
        <v>1</v>
      </c>
      <c r="Y167">
        <f>step3_validation[[#This Row],[AI_TRU2]]</f>
        <v>8</v>
      </c>
      <c r="Z167">
        <f t="shared" si="68"/>
        <v>0.77777777777777779</v>
      </c>
      <c r="AA167">
        <f>[1]!survey_responses[[#This Row],[Tôi thấy mức thuế tôi phải đóng theo phương án mới là công bằng (người thu nhập như tôi đóng mức này là hợp lý). - HUMAN-TRU2]]</f>
        <v>10</v>
      </c>
      <c r="AB167">
        <f t="shared" si="69"/>
        <v>1</v>
      </c>
      <c r="AC167">
        <f>step3_validation[[#This Row],[AI_TRU3]]</f>
        <v>6</v>
      </c>
      <c r="AD167">
        <f t="shared" si="70"/>
        <v>0.55555555555555558</v>
      </c>
      <c r="AE167">
        <f>[1]!survey_responses[[#This Row],[Tôi tin tưởng số tiền thuế tôi đóng sẽ được Nhà nước sử dụng hiệu quả để cải thiện dịch vụ công (y tế, đường xá...). - HUMAN-TRU3]]</f>
        <v>10</v>
      </c>
      <c r="AF167">
        <f t="shared" si="71"/>
        <v>1</v>
      </c>
      <c r="AG167">
        <f>step3_validation[[#This Row],[AI_TRU4]]</f>
        <v>7</v>
      </c>
      <c r="AH167">
        <f t="shared" si="72"/>
        <v>0.66666666666666663</v>
      </c>
      <c r="AI167">
        <f>[1]!survey_responses[[#This Row],[Tôi thấy Nhà nước đã giải thích rõ ràng, minh bạch về lý do và mục tiêu của việc sửa đổi thuế lần này. - HUMAN-TRU4]]</f>
        <v>10</v>
      </c>
      <c r="AJ167">
        <f t="shared" si="73"/>
        <v>1</v>
      </c>
      <c r="AK167" s="32">
        <f t="shared" si="74"/>
        <v>0.66666666666666663</v>
      </c>
      <c r="AL167" s="32">
        <f t="shared" si="75"/>
        <v>1</v>
      </c>
      <c r="AM167" s="7">
        <f t="shared" si="76"/>
        <v>0.70370370370370372</v>
      </c>
      <c r="AN167" s="7">
        <f t="shared" si="77"/>
        <v>0.96296296296296291</v>
      </c>
      <c r="AO167">
        <f>step3_validation[[#This Row],[AI_OUT1]]</f>
        <v>8</v>
      </c>
      <c r="AP167">
        <f t="shared" si="78"/>
        <v>0.77777777777777779</v>
      </c>
      <c r="AQ167">
        <f>[1]!survey_responses[[#This Row],[Sau khi xem xét các quyền lợi và nghĩa vụ, bạn có ủng hộ và tuân thủ chính sách mới hiện nay? - HUMAN-OUT1]]</f>
        <v>8</v>
      </c>
      <c r="AR167">
        <f t="shared" si="79"/>
        <v>0.77777777777777779</v>
      </c>
      <c r="AS167" s="32">
        <f t="shared" si="80"/>
        <v>0</v>
      </c>
    </row>
    <row r="168" spans="1:45" x14ac:dyDescent="0.45">
      <c r="A168">
        <f>step3_validation[[#This Row],[AI_ENF1]]</f>
        <v>7</v>
      </c>
      <c r="B168">
        <f t="shared" si="54"/>
        <v>0.66666666666666663</v>
      </c>
      <c r="C168">
        <f>[1]!survey_responses[[#This Row],[Tôi tin rằng với các quy định quản lý thuế hiện nay, hành vi gian lận hoặc trốn thuế sẽ dễ dàng bị phát hiện và xử lý nghiêm. - HUMAN-ENF1]]</f>
        <v>5</v>
      </c>
      <c r="D168">
        <f t="shared" si="55"/>
        <v>0.44444444444444442</v>
      </c>
      <c r="E168">
        <f>step3_validation[[#This Row],[AI_ENF2]]</f>
        <v>6</v>
      </c>
      <c r="F168">
        <f t="shared" si="56"/>
        <v>0.55555555555555558</v>
      </c>
      <c r="G168">
        <f>[1]!survey_responses[[#This Row],[Tôi tin rằng Nhà nước, cơ quan thuế có đủ khả năng và công nghệ để phát hiện, xử lý nghiêm các hành vi trốn thuế. - HUMAN-ENF2]]</f>
        <v>8</v>
      </c>
      <c r="H168">
        <f t="shared" si="57"/>
        <v>0.77777777777777779</v>
      </c>
      <c r="I168" s="32">
        <f t="shared" si="58"/>
        <v>0.61111111111111116</v>
      </c>
      <c r="J168" s="32">
        <f t="shared" si="59"/>
        <v>0.61111111111111116</v>
      </c>
      <c r="K168">
        <f>step3_validation[[#This Row],[AI_FAC1]]</f>
        <v>8</v>
      </c>
      <c r="L168">
        <f t="shared" si="60"/>
        <v>0.77777777777777779</v>
      </c>
      <c r="M168">
        <f>[1]!survey_responses[[#This Row],[Các thủ tục khai báo thuế VÀ/HOẶC quy trình làm việc với cơ quan thuế đơn giản, tiện lợi, nhanh chóng hơn so với trước đây. - HUMAN-FAC1]]</f>
        <v>5</v>
      </c>
      <c r="N168">
        <f t="shared" si="61"/>
        <v>0.44444444444444442</v>
      </c>
      <c r="O168">
        <f>step3_validation[[#This Row],[AI_FAC2]]</f>
        <v>7</v>
      </c>
      <c r="P168">
        <f t="shared" si="62"/>
        <v>0.66666666666666663</v>
      </c>
      <c r="Q168">
        <f>[1]!survey_responses[[#This Row],[So với trước đây, tôi thấy cách tính thuế và các bậc thuế trong phương án mới đơn giản, dễ hiểu và dễ thực hiện hơn. - HUMAN-FAC2]]</f>
        <v>8</v>
      </c>
      <c r="R168">
        <f t="shared" si="63"/>
        <v>0.77777777777777779</v>
      </c>
      <c r="S168" s="32">
        <f t="shared" si="64"/>
        <v>0.72222222222222221</v>
      </c>
      <c r="T168" s="32">
        <f t="shared" si="65"/>
        <v>0.61111111111111116</v>
      </c>
      <c r="U168">
        <f>step3_validation[[#This Row],[AI_TRU1]]</f>
        <v>6</v>
      </c>
      <c r="V168">
        <f t="shared" si="66"/>
        <v>0.55555555555555558</v>
      </c>
      <c r="W168">
        <f>[1]!survey_responses[[#This Row],[Tôi tin rằng Nhà nước, cơ quan thuế sẽ thực thi chính sách mới một cách khách quan, công tâm và đối xử bình đẳng với mọi người nộp thuế.  - HUMAN-TRU1]]</f>
        <v>4</v>
      </c>
      <c r="X168">
        <f t="shared" si="67"/>
        <v>0.33333333333333331</v>
      </c>
      <c r="Y168">
        <f>step3_validation[[#This Row],[AI_TRU2]]</f>
        <v>5</v>
      </c>
      <c r="Z168">
        <f t="shared" si="68"/>
        <v>0.44444444444444442</v>
      </c>
      <c r="AA168">
        <f>[1]!survey_responses[[#This Row],[Tôi thấy mức thuế tôi phải đóng theo phương án mới là công bằng (người thu nhập như tôi đóng mức này là hợp lý). - HUMAN-TRU2]]</f>
        <v>5</v>
      </c>
      <c r="AB168">
        <f t="shared" si="69"/>
        <v>0.44444444444444442</v>
      </c>
      <c r="AC168">
        <f>step3_validation[[#This Row],[AI_TRU3]]</f>
        <v>6</v>
      </c>
      <c r="AD168">
        <f t="shared" si="70"/>
        <v>0.55555555555555558</v>
      </c>
      <c r="AE168">
        <f>[1]!survey_responses[[#This Row],[Tôi tin tưởng số tiền thuế tôi đóng sẽ được Nhà nước sử dụng hiệu quả để cải thiện dịch vụ công (y tế, đường xá...). - HUMAN-TRU3]]</f>
        <v>1</v>
      </c>
      <c r="AF168">
        <f t="shared" si="71"/>
        <v>0</v>
      </c>
      <c r="AG168">
        <f>step3_validation[[#This Row],[AI_TRU4]]</f>
        <v>5</v>
      </c>
      <c r="AH168">
        <f t="shared" si="72"/>
        <v>0.44444444444444442</v>
      </c>
      <c r="AI168">
        <f>[1]!survey_responses[[#This Row],[Tôi thấy Nhà nước đã giải thích rõ ràng, minh bạch về lý do và mục tiêu của việc sửa đổi thuế lần này. - HUMAN-TRU4]]</f>
        <v>5</v>
      </c>
      <c r="AJ168">
        <f t="shared" si="73"/>
        <v>0.44444444444444442</v>
      </c>
      <c r="AK168" s="32">
        <f t="shared" si="74"/>
        <v>0.5</v>
      </c>
      <c r="AL168" s="32">
        <f t="shared" si="75"/>
        <v>0.30555555555555552</v>
      </c>
      <c r="AM168" s="7">
        <f t="shared" si="76"/>
        <v>0.61111111111111116</v>
      </c>
      <c r="AN168" s="7">
        <f t="shared" si="77"/>
        <v>0.5092592592592593</v>
      </c>
      <c r="AO168">
        <f>step3_validation[[#This Row],[AI_OUT1]]</f>
        <v>7</v>
      </c>
      <c r="AP168">
        <f t="shared" si="78"/>
        <v>0.66666666666666663</v>
      </c>
      <c r="AQ168">
        <f>[1]!survey_responses[[#This Row],[Sau khi xem xét các quyền lợi và nghĩa vụ, bạn có ủng hộ và tuân thủ chính sách mới hiện nay? - HUMAN-OUT1]]</f>
        <v>5</v>
      </c>
      <c r="AR168">
        <f t="shared" si="79"/>
        <v>0.44444444444444442</v>
      </c>
      <c r="AS168" s="32">
        <f t="shared" si="80"/>
        <v>2</v>
      </c>
    </row>
    <row r="169" spans="1:45" x14ac:dyDescent="0.45">
      <c r="A169">
        <f>step3_validation[[#This Row],[AI_ENF1]]</f>
        <v>8</v>
      </c>
      <c r="B169">
        <f t="shared" si="54"/>
        <v>0.77777777777777779</v>
      </c>
      <c r="C169">
        <f>[1]!survey_responses[[#This Row],[Tôi tin rằng với các quy định quản lý thuế hiện nay, hành vi gian lận hoặc trốn thuế sẽ dễ dàng bị phát hiện và xử lý nghiêm. - HUMAN-ENF1]]</f>
        <v>7</v>
      </c>
      <c r="D169">
        <f t="shared" si="55"/>
        <v>0.66666666666666663</v>
      </c>
      <c r="E169">
        <f>step3_validation[[#This Row],[AI_ENF2]]</f>
        <v>7</v>
      </c>
      <c r="F169">
        <f t="shared" si="56"/>
        <v>0.66666666666666663</v>
      </c>
      <c r="G169">
        <f>[1]!survey_responses[[#This Row],[Tôi tin rằng Nhà nước, cơ quan thuế có đủ khả năng và công nghệ để phát hiện, xử lý nghiêm các hành vi trốn thuế. - HUMAN-ENF2]]</f>
        <v>7</v>
      </c>
      <c r="H169">
        <f t="shared" si="57"/>
        <v>0.66666666666666663</v>
      </c>
      <c r="I169" s="32">
        <f t="shared" si="58"/>
        <v>0.72222222222222221</v>
      </c>
      <c r="J169" s="32">
        <f t="shared" si="59"/>
        <v>0.66666666666666663</v>
      </c>
      <c r="K169">
        <f>step3_validation[[#This Row],[AI_FAC1]]</f>
        <v>9</v>
      </c>
      <c r="L169">
        <f t="shared" si="60"/>
        <v>0.88888888888888884</v>
      </c>
      <c r="M169">
        <f>[1]!survey_responses[[#This Row],[Các thủ tục khai báo thuế VÀ/HOẶC quy trình làm việc với cơ quan thuế đơn giản, tiện lợi, nhanh chóng hơn so với trước đây. - HUMAN-FAC1]]</f>
        <v>8</v>
      </c>
      <c r="N169">
        <f t="shared" si="61"/>
        <v>0.77777777777777779</v>
      </c>
      <c r="O169">
        <f>step3_validation[[#This Row],[AI_FAC2]]</f>
        <v>8</v>
      </c>
      <c r="P169">
        <f t="shared" si="62"/>
        <v>0.77777777777777779</v>
      </c>
      <c r="Q169">
        <f>[1]!survey_responses[[#This Row],[So với trước đây, tôi thấy cách tính thuế và các bậc thuế trong phương án mới đơn giản, dễ hiểu và dễ thực hiện hơn. - HUMAN-FAC2]]</f>
        <v>8</v>
      </c>
      <c r="R169">
        <f t="shared" si="63"/>
        <v>0.77777777777777779</v>
      </c>
      <c r="S169" s="32">
        <f t="shared" si="64"/>
        <v>0.83333333333333326</v>
      </c>
      <c r="T169" s="32">
        <f t="shared" si="65"/>
        <v>0.77777777777777779</v>
      </c>
      <c r="U169">
        <f>step3_validation[[#This Row],[AI_TRU1]]</f>
        <v>7</v>
      </c>
      <c r="V169">
        <f t="shared" si="66"/>
        <v>0.66666666666666663</v>
      </c>
      <c r="W169">
        <f>[1]!survey_responses[[#This Row],[Tôi tin rằng Nhà nước, cơ quan thuế sẽ thực thi chính sách mới một cách khách quan, công tâm và đối xử bình đẳng với mọi người nộp thuế.  - HUMAN-TRU1]]</f>
        <v>7</v>
      </c>
      <c r="X169">
        <f t="shared" si="67"/>
        <v>0.66666666666666663</v>
      </c>
      <c r="Y169">
        <f>step3_validation[[#This Row],[AI_TRU2]]</f>
        <v>8</v>
      </c>
      <c r="Z169">
        <f t="shared" si="68"/>
        <v>0.77777777777777779</v>
      </c>
      <c r="AA169">
        <f>[1]!survey_responses[[#This Row],[Tôi thấy mức thuế tôi phải đóng theo phương án mới là công bằng (người thu nhập như tôi đóng mức này là hợp lý). - HUMAN-TRU2]]</f>
        <v>8</v>
      </c>
      <c r="AB169">
        <f t="shared" si="69"/>
        <v>0.77777777777777779</v>
      </c>
      <c r="AC169">
        <f>step3_validation[[#This Row],[AI_TRU3]]</f>
        <v>7</v>
      </c>
      <c r="AD169">
        <f t="shared" si="70"/>
        <v>0.66666666666666663</v>
      </c>
      <c r="AE169">
        <f>[1]!survey_responses[[#This Row],[Tôi tin tưởng số tiền thuế tôi đóng sẽ được Nhà nước sử dụng hiệu quả để cải thiện dịch vụ công (y tế, đường xá...). - HUMAN-TRU3]]</f>
        <v>8</v>
      </c>
      <c r="AF169">
        <f t="shared" si="71"/>
        <v>0.77777777777777779</v>
      </c>
      <c r="AG169">
        <f>step3_validation[[#This Row],[AI_TRU4]]</f>
        <v>5</v>
      </c>
      <c r="AH169">
        <f t="shared" si="72"/>
        <v>0.44444444444444442</v>
      </c>
      <c r="AI169">
        <f>[1]!survey_responses[[#This Row],[Tôi thấy Nhà nước đã giải thích rõ ràng, minh bạch về lý do và mục tiêu của việc sửa đổi thuế lần này. - HUMAN-TRU4]]</f>
        <v>8</v>
      </c>
      <c r="AJ169">
        <f t="shared" si="73"/>
        <v>0.77777777777777779</v>
      </c>
      <c r="AK169" s="32">
        <f t="shared" si="74"/>
        <v>0.63888888888888884</v>
      </c>
      <c r="AL169" s="32">
        <f t="shared" si="75"/>
        <v>0.75</v>
      </c>
      <c r="AM169" s="7">
        <f t="shared" si="76"/>
        <v>0.7314814814814814</v>
      </c>
      <c r="AN169" s="7">
        <f t="shared" si="77"/>
        <v>0.73148148148148151</v>
      </c>
      <c r="AO169">
        <f>step3_validation[[#This Row],[AI_OUT1]]</f>
        <v>6</v>
      </c>
      <c r="AP169">
        <f t="shared" si="78"/>
        <v>0.55555555555555558</v>
      </c>
      <c r="AQ169">
        <f>[1]!survey_responses[[#This Row],[Sau khi xem xét các quyền lợi và nghĩa vụ, bạn có ủng hộ và tuân thủ chính sách mới hiện nay? - HUMAN-OUT1]]</f>
        <v>9</v>
      </c>
      <c r="AR169">
        <f t="shared" si="79"/>
        <v>0.88888888888888884</v>
      </c>
      <c r="AS169" s="32">
        <f t="shared" si="80"/>
        <v>3</v>
      </c>
    </row>
    <row r="170" spans="1:45" x14ac:dyDescent="0.45">
      <c r="A170">
        <f>step3_validation[[#This Row],[AI_ENF1]]</f>
        <v>8</v>
      </c>
      <c r="B170">
        <f t="shared" si="54"/>
        <v>0.77777777777777779</v>
      </c>
      <c r="C170">
        <f>[1]!survey_responses[[#This Row],[Tôi tin rằng với các quy định quản lý thuế hiện nay, hành vi gian lận hoặc trốn thuế sẽ dễ dàng bị phát hiện và xử lý nghiêm. - HUMAN-ENF1]]</f>
        <v>8</v>
      </c>
      <c r="D170">
        <f t="shared" si="55"/>
        <v>0.77777777777777779</v>
      </c>
      <c r="E170">
        <f>step3_validation[[#This Row],[AI_ENF2]]</f>
        <v>7</v>
      </c>
      <c r="F170">
        <f t="shared" si="56"/>
        <v>0.66666666666666663</v>
      </c>
      <c r="G170">
        <f>[1]!survey_responses[[#This Row],[Tôi tin rằng Nhà nước, cơ quan thuế có đủ khả năng và công nghệ để phát hiện, xử lý nghiêm các hành vi trốn thuế. - HUMAN-ENF2]]</f>
        <v>8</v>
      </c>
      <c r="H170">
        <f t="shared" si="57"/>
        <v>0.77777777777777779</v>
      </c>
      <c r="I170" s="32">
        <f t="shared" si="58"/>
        <v>0.72222222222222221</v>
      </c>
      <c r="J170" s="32">
        <f t="shared" si="59"/>
        <v>0.77777777777777779</v>
      </c>
      <c r="K170">
        <f>step3_validation[[#This Row],[AI_FAC1]]</f>
        <v>9</v>
      </c>
      <c r="L170">
        <f t="shared" si="60"/>
        <v>0.88888888888888884</v>
      </c>
      <c r="M170">
        <f>[1]!survey_responses[[#This Row],[Các thủ tục khai báo thuế VÀ/HOẶC quy trình làm việc với cơ quan thuế đơn giản, tiện lợi, nhanh chóng hơn so với trước đây. - HUMAN-FAC1]]</f>
        <v>7</v>
      </c>
      <c r="N170">
        <f t="shared" si="61"/>
        <v>0.66666666666666663</v>
      </c>
      <c r="O170">
        <f>step3_validation[[#This Row],[AI_FAC2]]</f>
        <v>8</v>
      </c>
      <c r="P170">
        <f t="shared" si="62"/>
        <v>0.77777777777777779</v>
      </c>
      <c r="Q170">
        <f>[1]!survey_responses[[#This Row],[So với trước đây, tôi thấy cách tính thuế và các bậc thuế trong phương án mới đơn giản, dễ hiểu và dễ thực hiện hơn. - HUMAN-FAC2]]</f>
        <v>8</v>
      </c>
      <c r="R170">
        <f t="shared" si="63"/>
        <v>0.77777777777777779</v>
      </c>
      <c r="S170" s="32">
        <f t="shared" si="64"/>
        <v>0.83333333333333326</v>
      </c>
      <c r="T170" s="32">
        <f t="shared" si="65"/>
        <v>0.72222222222222221</v>
      </c>
      <c r="U170">
        <f>step3_validation[[#This Row],[AI_TRU1]]</f>
        <v>7</v>
      </c>
      <c r="V170">
        <f t="shared" si="66"/>
        <v>0.66666666666666663</v>
      </c>
      <c r="W170">
        <f>[1]!survey_responses[[#This Row],[Tôi tin rằng Nhà nước, cơ quan thuế sẽ thực thi chính sách mới một cách khách quan, công tâm và đối xử bình đẳng với mọi người nộp thuế.  - HUMAN-TRU1]]</f>
        <v>7</v>
      </c>
      <c r="X170">
        <f t="shared" si="67"/>
        <v>0.66666666666666663</v>
      </c>
      <c r="Y170">
        <f>step3_validation[[#This Row],[AI_TRU2]]</f>
        <v>8</v>
      </c>
      <c r="Z170">
        <f t="shared" si="68"/>
        <v>0.77777777777777779</v>
      </c>
      <c r="AA170">
        <f>[1]!survey_responses[[#This Row],[Tôi thấy mức thuế tôi phải đóng theo phương án mới là công bằng (người thu nhập như tôi đóng mức này là hợp lý). - HUMAN-TRU2]]</f>
        <v>7</v>
      </c>
      <c r="AB170">
        <f t="shared" si="69"/>
        <v>0.66666666666666663</v>
      </c>
      <c r="AC170">
        <f>step3_validation[[#This Row],[AI_TRU3]]</f>
        <v>6</v>
      </c>
      <c r="AD170">
        <f t="shared" si="70"/>
        <v>0.55555555555555558</v>
      </c>
      <c r="AE170">
        <f>[1]!survey_responses[[#This Row],[Tôi tin tưởng số tiền thuế tôi đóng sẽ được Nhà nước sử dụng hiệu quả để cải thiện dịch vụ công (y tế, đường xá...). - HUMAN-TRU3]]</f>
        <v>7</v>
      </c>
      <c r="AF170">
        <f t="shared" si="71"/>
        <v>0.66666666666666663</v>
      </c>
      <c r="AG170">
        <f>step3_validation[[#This Row],[AI_TRU4]]</f>
        <v>7</v>
      </c>
      <c r="AH170">
        <f t="shared" si="72"/>
        <v>0.66666666666666663</v>
      </c>
      <c r="AI170">
        <f>[1]!survey_responses[[#This Row],[Tôi thấy Nhà nước đã giải thích rõ ràng, minh bạch về lý do và mục tiêu của việc sửa đổi thuế lần này. - HUMAN-TRU4]]</f>
        <v>8</v>
      </c>
      <c r="AJ170">
        <f t="shared" si="73"/>
        <v>0.77777777777777779</v>
      </c>
      <c r="AK170" s="32">
        <f t="shared" si="74"/>
        <v>0.66666666666666663</v>
      </c>
      <c r="AL170" s="32">
        <f t="shared" si="75"/>
        <v>0.69444444444444442</v>
      </c>
      <c r="AM170" s="7">
        <f t="shared" si="76"/>
        <v>0.74074074074074059</v>
      </c>
      <c r="AN170" s="7">
        <f t="shared" si="77"/>
        <v>0.73148148148148151</v>
      </c>
      <c r="AO170">
        <f>step3_validation[[#This Row],[AI_OUT1]]</f>
        <v>6</v>
      </c>
      <c r="AP170">
        <f t="shared" si="78"/>
        <v>0.55555555555555558</v>
      </c>
      <c r="AQ170">
        <f>[1]!survey_responses[[#This Row],[Sau khi xem xét các quyền lợi và nghĩa vụ, bạn có ủng hộ và tuân thủ chính sách mới hiện nay? - HUMAN-OUT1]]</f>
        <v>8</v>
      </c>
      <c r="AR170">
        <f t="shared" si="79"/>
        <v>0.77777777777777779</v>
      </c>
      <c r="AS170" s="32">
        <f t="shared" si="80"/>
        <v>2</v>
      </c>
    </row>
    <row r="171" spans="1:45" x14ac:dyDescent="0.45">
      <c r="A171">
        <f>step3_validation[[#This Row],[AI_ENF1]]</f>
        <v>7</v>
      </c>
      <c r="B171">
        <f t="shared" si="54"/>
        <v>0.66666666666666663</v>
      </c>
      <c r="C171">
        <f>[1]!survey_responses[[#This Row],[Tôi tin rằng với các quy định quản lý thuế hiện nay, hành vi gian lận hoặc trốn thuế sẽ dễ dàng bị phát hiện và xử lý nghiêm. - HUMAN-ENF1]]</f>
        <v>5</v>
      </c>
      <c r="D171">
        <f t="shared" si="55"/>
        <v>0.44444444444444442</v>
      </c>
      <c r="E171">
        <f>step3_validation[[#This Row],[AI_ENF2]]</f>
        <v>6</v>
      </c>
      <c r="F171">
        <f t="shared" si="56"/>
        <v>0.55555555555555558</v>
      </c>
      <c r="G171">
        <f>[1]!survey_responses[[#This Row],[Tôi tin rằng Nhà nước, cơ quan thuế có đủ khả năng và công nghệ để phát hiện, xử lý nghiêm các hành vi trốn thuế. - HUMAN-ENF2]]</f>
        <v>8</v>
      </c>
      <c r="H171">
        <f t="shared" si="57"/>
        <v>0.77777777777777779</v>
      </c>
      <c r="I171" s="32">
        <f t="shared" si="58"/>
        <v>0.61111111111111116</v>
      </c>
      <c r="J171" s="32">
        <f t="shared" si="59"/>
        <v>0.61111111111111116</v>
      </c>
      <c r="K171">
        <f>step3_validation[[#This Row],[AI_FAC1]]</f>
        <v>5</v>
      </c>
      <c r="L171">
        <f t="shared" si="60"/>
        <v>0.44444444444444442</v>
      </c>
      <c r="M171">
        <f>[1]!survey_responses[[#This Row],[Các thủ tục khai báo thuế VÀ/HOẶC quy trình làm việc với cơ quan thuế đơn giản, tiện lợi, nhanh chóng hơn so với trước đây. - HUMAN-FAC1]]</f>
        <v>7</v>
      </c>
      <c r="N171">
        <f t="shared" si="61"/>
        <v>0.66666666666666663</v>
      </c>
      <c r="O171">
        <f>step3_validation[[#This Row],[AI_FAC2]]</f>
        <v>8</v>
      </c>
      <c r="P171">
        <f t="shared" si="62"/>
        <v>0.77777777777777779</v>
      </c>
      <c r="Q171">
        <f>[1]!survey_responses[[#This Row],[So với trước đây, tôi thấy cách tính thuế và các bậc thuế trong phương án mới đơn giản, dễ hiểu và dễ thực hiện hơn. - HUMAN-FAC2]]</f>
        <v>8</v>
      </c>
      <c r="R171">
        <f t="shared" si="63"/>
        <v>0.77777777777777779</v>
      </c>
      <c r="S171" s="32">
        <f t="shared" si="64"/>
        <v>0.61111111111111116</v>
      </c>
      <c r="T171" s="32">
        <f t="shared" si="65"/>
        <v>0.72222222222222221</v>
      </c>
      <c r="U171">
        <f>step3_validation[[#This Row],[AI_TRU1]]</f>
        <v>6</v>
      </c>
      <c r="V171">
        <f t="shared" si="66"/>
        <v>0.55555555555555558</v>
      </c>
      <c r="W171">
        <f>[1]!survey_responses[[#This Row],[Tôi tin rằng Nhà nước, cơ quan thuế sẽ thực thi chính sách mới một cách khách quan, công tâm và đối xử bình đẳng với mọi người nộp thuế.  - HUMAN-TRU1]]</f>
        <v>1</v>
      </c>
      <c r="X171">
        <f t="shared" si="67"/>
        <v>0</v>
      </c>
      <c r="Y171">
        <f>step3_validation[[#This Row],[AI_TRU2]]</f>
        <v>8</v>
      </c>
      <c r="Z171">
        <f t="shared" si="68"/>
        <v>0.77777777777777779</v>
      </c>
      <c r="AA171">
        <f>[1]!survey_responses[[#This Row],[Tôi thấy mức thuế tôi phải đóng theo phương án mới là công bằng (người thu nhập như tôi đóng mức này là hợp lý). - HUMAN-TRU2]]</f>
        <v>2</v>
      </c>
      <c r="AB171">
        <f t="shared" si="69"/>
        <v>0.1111111111111111</v>
      </c>
      <c r="AC171">
        <f>step3_validation[[#This Row],[AI_TRU3]]</f>
        <v>7</v>
      </c>
      <c r="AD171">
        <f t="shared" si="70"/>
        <v>0.66666666666666663</v>
      </c>
      <c r="AE171">
        <f>[1]!survey_responses[[#This Row],[Tôi tin tưởng số tiền thuế tôi đóng sẽ được Nhà nước sử dụng hiệu quả để cải thiện dịch vụ công (y tế, đường xá...). - HUMAN-TRU3]]</f>
        <v>3</v>
      </c>
      <c r="AF171">
        <f t="shared" si="71"/>
        <v>0.22222222222222221</v>
      </c>
      <c r="AG171">
        <f>step3_validation[[#This Row],[AI_TRU4]]</f>
        <v>5</v>
      </c>
      <c r="AH171">
        <f t="shared" si="72"/>
        <v>0.44444444444444442</v>
      </c>
      <c r="AI171">
        <f>[1]!survey_responses[[#This Row],[Tôi thấy Nhà nước đã giải thích rõ ràng, minh bạch về lý do và mục tiêu của việc sửa đổi thuế lần này. - HUMAN-TRU4]]</f>
        <v>3</v>
      </c>
      <c r="AJ171">
        <f t="shared" si="73"/>
        <v>0.22222222222222221</v>
      </c>
      <c r="AK171" s="32">
        <f t="shared" si="74"/>
        <v>0.61111111111111116</v>
      </c>
      <c r="AL171" s="32">
        <f t="shared" si="75"/>
        <v>0.1388888888888889</v>
      </c>
      <c r="AM171" s="7">
        <f t="shared" si="76"/>
        <v>0.61111111111111116</v>
      </c>
      <c r="AN171" s="7">
        <f t="shared" si="77"/>
        <v>0.49074074074074076</v>
      </c>
      <c r="AO171">
        <f>step3_validation[[#This Row],[AI_OUT1]]</f>
        <v>8</v>
      </c>
      <c r="AP171">
        <f t="shared" si="78"/>
        <v>0.77777777777777779</v>
      </c>
      <c r="AQ171">
        <f>[1]!survey_responses[[#This Row],[Sau khi xem xét các quyền lợi và nghĩa vụ, bạn có ủng hộ và tuân thủ chính sách mới hiện nay? - HUMAN-OUT1]]</f>
        <v>7</v>
      </c>
      <c r="AR171">
        <f t="shared" si="79"/>
        <v>0.66666666666666663</v>
      </c>
      <c r="AS171" s="32">
        <f t="shared" si="80"/>
        <v>1</v>
      </c>
    </row>
    <row r="172" spans="1:45" x14ac:dyDescent="0.45">
      <c r="A172">
        <f>step3_validation[[#This Row],[AI_ENF1]]</f>
        <v>8</v>
      </c>
      <c r="B172">
        <f t="shared" si="54"/>
        <v>0.77777777777777779</v>
      </c>
      <c r="C172">
        <f>[1]!survey_responses[[#This Row],[Tôi tin rằng với các quy định quản lý thuế hiện nay, hành vi gian lận hoặc trốn thuế sẽ dễ dàng bị phát hiện và xử lý nghiêm. - HUMAN-ENF1]]</f>
        <v>6</v>
      </c>
      <c r="D172">
        <f t="shared" si="55"/>
        <v>0.55555555555555558</v>
      </c>
      <c r="E172">
        <f>step3_validation[[#This Row],[AI_ENF2]]</f>
        <v>7</v>
      </c>
      <c r="F172">
        <f t="shared" si="56"/>
        <v>0.66666666666666663</v>
      </c>
      <c r="G172">
        <f>[1]!survey_responses[[#This Row],[Tôi tin rằng Nhà nước, cơ quan thuế có đủ khả năng và công nghệ để phát hiện, xử lý nghiêm các hành vi trốn thuế. - HUMAN-ENF2]]</f>
        <v>7</v>
      </c>
      <c r="H172">
        <f t="shared" si="57"/>
        <v>0.66666666666666663</v>
      </c>
      <c r="I172" s="32">
        <f t="shared" si="58"/>
        <v>0.72222222222222221</v>
      </c>
      <c r="J172" s="32">
        <f t="shared" si="59"/>
        <v>0.61111111111111116</v>
      </c>
      <c r="K172">
        <f>step3_validation[[#This Row],[AI_FAC1]]</f>
        <v>6</v>
      </c>
      <c r="L172">
        <f t="shared" si="60"/>
        <v>0.55555555555555558</v>
      </c>
      <c r="M172">
        <f>[1]!survey_responses[[#This Row],[Các thủ tục khai báo thuế VÀ/HOẶC quy trình làm việc với cơ quan thuế đơn giản, tiện lợi, nhanh chóng hơn so với trước đây. - HUMAN-FAC1]]</f>
        <v>5</v>
      </c>
      <c r="N172">
        <f t="shared" si="61"/>
        <v>0.44444444444444442</v>
      </c>
      <c r="O172">
        <f>step3_validation[[#This Row],[AI_FAC2]]</f>
        <v>7</v>
      </c>
      <c r="P172">
        <f t="shared" si="62"/>
        <v>0.66666666666666663</v>
      </c>
      <c r="Q172">
        <f>[1]!survey_responses[[#This Row],[So với trước đây, tôi thấy cách tính thuế và các bậc thuế trong phương án mới đơn giản, dễ hiểu và dễ thực hiện hơn. - HUMAN-FAC2]]</f>
        <v>7</v>
      </c>
      <c r="R172">
        <f t="shared" si="63"/>
        <v>0.66666666666666663</v>
      </c>
      <c r="S172" s="32">
        <f t="shared" si="64"/>
        <v>0.61111111111111116</v>
      </c>
      <c r="T172" s="32">
        <f t="shared" si="65"/>
        <v>0.55555555555555558</v>
      </c>
      <c r="U172">
        <f>step3_validation[[#This Row],[AI_TRU1]]</f>
        <v>8</v>
      </c>
      <c r="V172">
        <f t="shared" si="66"/>
        <v>0.77777777777777779</v>
      </c>
      <c r="W172">
        <f>[1]!survey_responses[[#This Row],[Tôi tin rằng Nhà nước, cơ quan thuế sẽ thực thi chính sách mới một cách khách quan, công tâm và đối xử bình đẳng với mọi người nộp thuế.  - HUMAN-TRU1]]</f>
        <v>7</v>
      </c>
      <c r="X172">
        <f t="shared" si="67"/>
        <v>0.66666666666666663</v>
      </c>
      <c r="Y172">
        <f>step3_validation[[#This Row],[AI_TRU2]]</f>
        <v>6</v>
      </c>
      <c r="Z172">
        <f t="shared" si="68"/>
        <v>0.55555555555555558</v>
      </c>
      <c r="AA172">
        <f>[1]!survey_responses[[#This Row],[Tôi thấy mức thuế tôi phải đóng theo phương án mới là công bằng (người thu nhập như tôi đóng mức này là hợp lý). - HUMAN-TRU2]]</f>
        <v>7</v>
      </c>
      <c r="AB172">
        <f t="shared" si="69"/>
        <v>0.66666666666666663</v>
      </c>
      <c r="AC172">
        <f>step3_validation[[#This Row],[AI_TRU3]]</f>
        <v>7</v>
      </c>
      <c r="AD172">
        <f t="shared" si="70"/>
        <v>0.66666666666666663</v>
      </c>
      <c r="AE172">
        <f>[1]!survey_responses[[#This Row],[Tôi tin tưởng số tiền thuế tôi đóng sẽ được Nhà nước sử dụng hiệu quả để cải thiện dịch vụ công (y tế, đường xá...). - HUMAN-TRU3]]</f>
        <v>5</v>
      </c>
      <c r="AF172">
        <f t="shared" si="71"/>
        <v>0.44444444444444442</v>
      </c>
      <c r="AG172">
        <f>step3_validation[[#This Row],[AI_TRU4]]</f>
        <v>5</v>
      </c>
      <c r="AH172">
        <f t="shared" si="72"/>
        <v>0.44444444444444442</v>
      </c>
      <c r="AI172">
        <f>[1]!survey_responses[[#This Row],[Tôi thấy Nhà nước đã giải thích rõ ràng, minh bạch về lý do và mục tiêu của việc sửa đổi thuế lần này. - HUMAN-TRU4]]</f>
        <v>7</v>
      </c>
      <c r="AJ172">
        <f t="shared" si="73"/>
        <v>0.66666666666666663</v>
      </c>
      <c r="AK172" s="32">
        <f t="shared" si="74"/>
        <v>0.61111111111111116</v>
      </c>
      <c r="AL172" s="32">
        <f t="shared" si="75"/>
        <v>0.61111111111111105</v>
      </c>
      <c r="AM172" s="7">
        <f t="shared" si="76"/>
        <v>0.64814814814814825</v>
      </c>
      <c r="AN172" s="7">
        <f t="shared" si="77"/>
        <v>0.59259259259259256</v>
      </c>
      <c r="AO172">
        <f>step3_validation[[#This Row],[AI_OUT1]]</f>
        <v>7</v>
      </c>
      <c r="AP172">
        <f t="shared" si="78"/>
        <v>0.66666666666666663</v>
      </c>
      <c r="AQ172">
        <f>[1]!survey_responses[[#This Row],[Sau khi xem xét các quyền lợi và nghĩa vụ, bạn có ủng hộ và tuân thủ chính sách mới hiện nay? - HUMAN-OUT1]]</f>
        <v>7</v>
      </c>
      <c r="AR172">
        <f t="shared" si="79"/>
        <v>0.66666666666666663</v>
      </c>
      <c r="AS172" s="32">
        <f t="shared" si="80"/>
        <v>0</v>
      </c>
    </row>
    <row r="173" spans="1:45" x14ac:dyDescent="0.45">
      <c r="A173">
        <f>step3_validation[[#This Row],[AI_ENF1]]</f>
        <v>6</v>
      </c>
      <c r="B173">
        <f t="shared" si="54"/>
        <v>0.55555555555555558</v>
      </c>
      <c r="C173">
        <f>[1]!survey_responses[[#This Row],[Tôi tin rằng với các quy định quản lý thuế hiện nay, hành vi gian lận hoặc trốn thuế sẽ dễ dàng bị phát hiện và xử lý nghiêm. - HUMAN-ENF1]]</f>
        <v>8</v>
      </c>
      <c r="D173">
        <f t="shared" si="55"/>
        <v>0.77777777777777779</v>
      </c>
      <c r="E173">
        <f>step3_validation[[#This Row],[AI_ENF2]]</f>
        <v>7</v>
      </c>
      <c r="F173">
        <f t="shared" si="56"/>
        <v>0.66666666666666663</v>
      </c>
      <c r="G173">
        <f>[1]!survey_responses[[#This Row],[Tôi tin rằng Nhà nước, cơ quan thuế có đủ khả năng và công nghệ để phát hiện, xử lý nghiêm các hành vi trốn thuế. - HUMAN-ENF2]]</f>
        <v>8</v>
      </c>
      <c r="H173">
        <f t="shared" si="57"/>
        <v>0.77777777777777779</v>
      </c>
      <c r="I173" s="32">
        <f t="shared" si="58"/>
        <v>0.61111111111111116</v>
      </c>
      <c r="J173" s="32">
        <f t="shared" si="59"/>
        <v>0.77777777777777779</v>
      </c>
      <c r="K173">
        <f>step3_validation[[#This Row],[AI_FAC1]]</f>
        <v>8</v>
      </c>
      <c r="L173">
        <f t="shared" si="60"/>
        <v>0.77777777777777779</v>
      </c>
      <c r="M173">
        <f>[1]!survey_responses[[#This Row],[Các thủ tục khai báo thuế VÀ/HOẶC quy trình làm việc với cơ quan thuế đơn giản, tiện lợi, nhanh chóng hơn so với trước đây. - HUMAN-FAC1]]</f>
        <v>8</v>
      </c>
      <c r="N173">
        <f t="shared" si="61"/>
        <v>0.77777777777777779</v>
      </c>
      <c r="O173">
        <f>step3_validation[[#This Row],[AI_FAC2]]</f>
        <v>7</v>
      </c>
      <c r="P173">
        <f t="shared" si="62"/>
        <v>0.66666666666666663</v>
      </c>
      <c r="Q173">
        <f>[1]!survey_responses[[#This Row],[So với trước đây, tôi thấy cách tính thuế và các bậc thuế trong phương án mới đơn giản, dễ hiểu và dễ thực hiện hơn. - HUMAN-FAC2]]</f>
        <v>9</v>
      </c>
      <c r="R173">
        <f t="shared" si="63"/>
        <v>0.88888888888888884</v>
      </c>
      <c r="S173" s="32">
        <f t="shared" si="64"/>
        <v>0.72222222222222221</v>
      </c>
      <c r="T173" s="32">
        <f t="shared" si="65"/>
        <v>0.83333333333333326</v>
      </c>
      <c r="U173">
        <f>step3_validation[[#This Row],[AI_TRU1]]</f>
        <v>8</v>
      </c>
      <c r="V173">
        <f t="shared" si="66"/>
        <v>0.77777777777777779</v>
      </c>
      <c r="W173">
        <f>[1]!survey_responses[[#This Row],[Tôi tin rằng Nhà nước, cơ quan thuế sẽ thực thi chính sách mới một cách khách quan, công tâm và đối xử bình đẳng với mọi người nộp thuế.  - HUMAN-TRU1]]</f>
        <v>9</v>
      </c>
      <c r="X173">
        <f t="shared" si="67"/>
        <v>0.88888888888888884</v>
      </c>
      <c r="Y173">
        <f>step3_validation[[#This Row],[AI_TRU2]]</f>
        <v>7</v>
      </c>
      <c r="Z173">
        <f t="shared" si="68"/>
        <v>0.66666666666666663</v>
      </c>
      <c r="AA173">
        <f>[1]!survey_responses[[#This Row],[Tôi thấy mức thuế tôi phải đóng theo phương án mới là công bằng (người thu nhập như tôi đóng mức này là hợp lý). - HUMAN-TRU2]]</f>
        <v>5</v>
      </c>
      <c r="AB173">
        <f t="shared" si="69"/>
        <v>0.44444444444444442</v>
      </c>
      <c r="AC173">
        <f>step3_validation[[#This Row],[AI_TRU3]]</f>
        <v>8</v>
      </c>
      <c r="AD173">
        <f t="shared" si="70"/>
        <v>0.77777777777777779</v>
      </c>
      <c r="AE173">
        <f>[1]!survey_responses[[#This Row],[Tôi tin tưởng số tiền thuế tôi đóng sẽ được Nhà nước sử dụng hiệu quả để cải thiện dịch vụ công (y tế, đường xá...). - HUMAN-TRU3]]</f>
        <v>5</v>
      </c>
      <c r="AF173">
        <f t="shared" si="71"/>
        <v>0.44444444444444442</v>
      </c>
      <c r="AG173">
        <f>step3_validation[[#This Row],[AI_TRU4]]</f>
        <v>7</v>
      </c>
      <c r="AH173">
        <f t="shared" si="72"/>
        <v>0.66666666666666663</v>
      </c>
      <c r="AI173">
        <f>[1]!survey_responses[[#This Row],[Tôi thấy Nhà nước đã giải thích rõ ràng, minh bạch về lý do và mục tiêu của việc sửa đổi thuế lần này. - HUMAN-TRU4]]</f>
        <v>8</v>
      </c>
      <c r="AJ173">
        <f t="shared" si="73"/>
        <v>0.77777777777777779</v>
      </c>
      <c r="AK173" s="32">
        <f t="shared" si="74"/>
        <v>0.72222222222222221</v>
      </c>
      <c r="AL173" s="32">
        <f t="shared" si="75"/>
        <v>0.63888888888888884</v>
      </c>
      <c r="AM173" s="7">
        <f t="shared" si="76"/>
        <v>0.68518518518518523</v>
      </c>
      <c r="AN173" s="7">
        <f t="shared" si="77"/>
        <v>0.75</v>
      </c>
      <c r="AO173">
        <f>step3_validation[[#This Row],[AI_OUT1]]</f>
        <v>8</v>
      </c>
      <c r="AP173">
        <f t="shared" si="78"/>
        <v>0.77777777777777779</v>
      </c>
      <c r="AQ173">
        <f>[1]!survey_responses[[#This Row],[Sau khi xem xét các quyền lợi và nghĩa vụ, bạn có ủng hộ và tuân thủ chính sách mới hiện nay? - HUMAN-OUT1]]</f>
        <v>6</v>
      </c>
      <c r="AR173">
        <f t="shared" si="79"/>
        <v>0.55555555555555558</v>
      </c>
      <c r="AS173" s="32">
        <f t="shared" si="80"/>
        <v>2</v>
      </c>
    </row>
    <row r="174" spans="1:45" x14ac:dyDescent="0.45">
      <c r="A174">
        <f>step3_validation[[#This Row],[AI_ENF1]]</f>
        <v>7</v>
      </c>
      <c r="B174">
        <f t="shared" si="54"/>
        <v>0.66666666666666663</v>
      </c>
      <c r="C174">
        <f>[1]!survey_responses[[#This Row],[Tôi tin rằng với các quy định quản lý thuế hiện nay, hành vi gian lận hoặc trốn thuế sẽ dễ dàng bị phát hiện và xử lý nghiêm. - HUMAN-ENF1]]</f>
        <v>5</v>
      </c>
      <c r="D174">
        <f t="shared" si="55"/>
        <v>0.44444444444444442</v>
      </c>
      <c r="E174">
        <f>step3_validation[[#This Row],[AI_ENF2]]</f>
        <v>8</v>
      </c>
      <c r="F174">
        <f t="shared" si="56"/>
        <v>0.77777777777777779</v>
      </c>
      <c r="G174">
        <f>[1]!survey_responses[[#This Row],[Tôi tin rằng Nhà nước, cơ quan thuế có đủ khả năng và công nghệ để phát hiện, xử lý nghiêm các hành vi trốn thuế. - HUMAN-ENF2]]</f>
        <v>5</v>
      </c>
      <c r="H174">
        <f t="shared" si="57"/>
        <v>0.44444444444444442</v>
      </c>
      <c r="I174" s="32">
        <f t="shared" si="58"/>
        <v>0.72222222222222221</v>
      </c>
      <c r="J174" s="32">
        <f t="shared" si="59"/>
        <v>0.44444444444444442</v>
      </c>
      <c r="K174">
        <f>step3_validation[[#This Row],[AI_FAC1]]</f>
        <v>6</v>
      </c>
      <c r="L174">
        <f t="shared" si="60"/>
        <v>0.55555555555555558</v>
      </c>
      <c r="M174">
        <f>[1]!survey_responses[[#This Row],[Các thủ tục khai báo thuế VÀ/HOẶC quy trình làm việc với cơ quan thuế đơn giản, tiện lợi, nhanh chóng hơn so với trước đây. - HUMAN-FAC1]]</f>
        <v>4</v>
      </c>
      <c r="N174">
        <f t="shared" si="61"/>
        <v>0.33333333333333331</v>
      </c>
      <c r="O174">
        <f>step3_validation[[#This Row],[AI_FAC2]]</f>
        <v>9</v>
      </c>
      <c r="P174">
        <f t="shared" si="62"/>
        <v>0.88888888888888884</v>
      </c>
      <c r="Q174">
        <f>[1]!survey_responses[[#This Row],[So với trước đây, tôi thấy cách tính thuế và các bậc thuế trong phương án mới đơn giản, dễ hiểu và dễ thực hiện hơn. - HUMAN-FAC2]]</f>
        <v>6</v>
      </c>
      <c r="R174">
        <f t="shared" si="63"/>
        <v>0.55555555555555558</v>
      </c>
      <c r="S174" s="32">
        <f t="shared" si="64"/>
        <v>0.72222222222222221</v>
      </c>
      <c r="T174" s="32">
        <f t="shared" si="65"/>
        <v>0.44444444444444442</v>
      </c>
      <c r="U174">
        <f>step3_validation[[#This Row],[AI_TRU1]]</f>
        <v>8</v>
      </c>
      <c r="V174">
        <f t="shared" si="66"/>
        <v>0.77777777777777779</v>
      </c>
      <c r="W174">
        <f>[1]!survey_responses[[#This Row],[Tôi tin rằng Nhà nước, cơ quan thuế sẽ thực thi chính sách mới một cách khách quan, công tâm và đối xử bình đẳng với mọi người nộp thuế.  - HUMAN-TRU1]]</f>
        <v>5</v>
      </c>
      <c r="X174">
        <f t="shared" si="67"/>
        <v>0.44444444444444442</v>
      </c>
      <c r="Y174">
        <f>step3_validation[[#This Row],[AI_TRU2]]</f>
        <v>7</v>
      </c>
      <c r="Z174">
        <f t="shared" si="68"/>
        <v>0.66666666666666663</v>
      </c>
      <c r="AA174">
        <f>[1]!survey_responses[[#This Row],[Tôi thấy mức thuế tôi phải đóng theo phương án mới là công bằng (người thu nhập như tôi đóng mức này là hợp lý). - HUMAN-TRU2]]</f>
        <v>4</v>
      </c>
      <c r="AB174">
        <f t="shared" si="69"/>
        <v>0.33333333333333331</v>
      </c>
      <c r="AC174">
        <f>step3_validation[[#This Row],[AI_TRU3]]</f>
        <v>8</v>
      </c>
      <c r="AD174">
        <f t="shared" si="70"/>
        <v>0.77777777777777779</v>
      </c>
      <c r="AE174">
        <f>[1]!survey_responses[[#This Row],[Tôi tin tưởng số tiền thuế tôi đóng sẽ được Nhà nước sử dụng hiệu quả để cải thiện dịch vụ công (y tế, đường xá...). - HUMAN-TRU3]]</f>
        <v>4</v>
      </c>
      <c r="AF174">
        <f t="shared" si="71"/>
        <v>0.33333333333333331</v>
      </c>
      <c r="AG174">
        <f>step3_validation[[#This Row],[AI_TRU4]]</f>
        <v>6</v>
      </c>
      <c r="AH174">
        <f t="shared" si="72"/>
        <v>0.55555555555555558</v>
      </c>
      <c r="AI174">
        <f>[1]!survey_responses[[#This Row],[Tôi thấy Nhà nước đã giải thích rõ ràng, minh bạch về lý do và mục tiêu của việc sửa đổi thuế lần này. - HUMAN-TRU4]]</f>
        <v>5</v>
      </c>
      <c r="AJ174">
        <f t="shared" si="73"/>
        <v>0.44444444444444442</v>
      </c>
      <c r="AK174" s="32">
        <f t="shared" si="74"/>
        <v>0.69444444444444442</v>
      </c>
      <c r="AL174" s="32">
        <f t="shared" si="75"/>
        <v>0.38888888888888884</v>
      </c>
      <c r="AM174" s="7">
        <f t="shared" si="76"/>
        <v>0.71296296296296291</v>
      </c>
      <c r="AN174" s="7">
        <f t="shared" si="77"/>
        <v>0.42592592592592587</v>
      </c>
      <c r="AO174">
        <f>step3_validation[[#This Row],[AI_OUT1]]</f>
        <v>7</v>
      </c>
      <c r="AP174">
        <f t="shared" si="78"/>
        <v>0.66666666666666663</v>
      </c>
      <c r="AQ174">
        <f>[1]!survey_responses[[#This Row],[Sau khi xem xét các quyền lợi và nghĩa vụ, bạn có ủng hộ và tuân thủ chính sách mới hiện nay? - HUMAN-OUT1]]</f>
        <v>5</v>
      </c>
      <c r="AR174">
        <f t="shared" si="79"/>
        <v>0.44444444444444442</v>
      </c>
      <c r="AS174" s="32">
        <f t="shared" si="80"/>
        <v>2</v>
      </c>
    </row>
    <row r="175" spans="1:45" x14ac:dyDescent="0.45">
      <c r="A175">
        <f>step3_validation[[#This Row],[AI_ENF1]]</f>
        <v>6</v>
      </c>
      <c r="B175">
        <f t="shared" si="54"/>
        <v>0.55555555555555558</v>
      </c>
      <c r="C175">
        <f>[1]!survey_responses[[#This Row],[Tôi tin rằng với các quy định quản lý thuế hiện nay, hành vi gian lận hoặc trốn thuế sẽ dễ dàng bị phát hiện và xử lý nghiêm. - HUMAN-ENF1]]</f>
        <v>6</v>
      </c>
      <c r="D175">
        <f t="shared" si="55"/>
        <v>0.55555555555555558</v>
      </c>
      <c r="E175">
        <f>step3_validation[[#This Row],[AI_ENF2]]</f>
        <v>7</v>
      </c>
      <c r="F175">
        <f t="shared" si="56"/>
        <v>0.66666666666666663</v>
      </c>
      <c r="G175">
        <f>[1]!survey_responses[[#This Row],[Tôi tin rằng Nhà nước, cơ quan thuế có đủ khả năng và công nghệ để phát hiện, xử lý nghiêm các hành vi trốn thuế. - HUMAN-ENF2]]</f>
        <v>6</v>
      </c>
      <c r="H175">
        <f t="shared" si="57"/>
        <v>0.55555555555555558</v>
      </c>
      <c r="I175" s="32">
        <f t="shared" si="58"/>
        <v>0.61111111111111116</v>
      </c>
      <c r="J175" s="32">
        <f t="shared" si="59"/>
        <v>0.55555555555555558</v>
      </c>
      <c r="K175">
        <f>step3_validation[[#This Row],[AI_FAC1]]</f>
        <v>8</v>
      </c>
      <c r="L175">
        <f t="shared" si="60"/>
        <v>0.77777777777777779</v>
      </c>
      <c r="M175">
        <f>[1]!survey_responses[[#This Row],[Các thủ tục khai báo thuế VÀ/HOẶC quy trình làm việc với cơ quan thuế đơn giản, tiện lợi, nhanh chóng hơn so với trước đây. - HUMAN-FAC1]]</f>
        <v>6</v>
      </c>
      <c r="N175">
        <f t="shared" si="61"/>
        <v>0.55555555555555558</v>
      </c>
      <c r="O175">
        <f>step3_validation[[#This Row],[AI_FAC2]]</f>
        <v>7</v>
      </c>
      <c r="P175">
        <f t="shared" si="62"/>
        <v>0.66666666666666663</v>
      </c>
      <c r="Q175">
        <f>[1]!survey_responses[[#This Row],[So với trước đây, tôi thấy cách tính thuế và các bậc thuế trong phương án mới đơn giản, dễ hiểu và dễ thực hiện hơn. - HUMAN-FAC2]]</f>
        <v>6</v>
      </c>
      <c r="R175">
        <f t="shared" si="63"/>
        <v>0.55555555555555558</v>
      </c>
      <c r="S175" s="32">
        <f t="shared" si="64"/>
        <v>0.72222222222222221</v>
      </c>
      <c r="T175" s="32">
        <f t="shared" si="65"/>
        <v>0.55555555555555558</v>
      </c>
      <c r="U175">
        <f>step3_validation[[#This Row],[AI_TRU1]]</f>
        <v>8</v>
      </c>
      <c r="V175">
        <f t="shared" si="66"/>
        <v>0.77777777777777779</v>
      </c>
      <c r="W175">
        <f>[1]!survey_responses[[#This Row],[Tôi tin rằng Nhà nước, cơ quan thuế sẽ thực thi chính sách mới một cách khách quan, công tâm và đối xử bình đẳng với mọi người nộp thuế.  - HUMAN-TRU1]]</f>
        <v>7</v>
      </c>
      <c r="X175">
        <f t="shared" si="67"/>
        <v>0.66666666666666663</v>
      </c>
      <c r="Y175">
        <f>step3_validation[[#This Row],[AI_TRU2]]</f>
        <v>7</v>
      </c>
      <c r="Z175">
        <f t="shared" si="68"/>
        <v>0.66666666666666663</v>
      </c>
      <c r="AA175">
        <f>[1]!survey_responses[[#This Row],[Tôi thấy mức thuế tôi phải đóng theo phương án mới là công bằng (người thu nhập như tôi đóng mức này là hợp lý). - HUMAN-TRU2]]</f>
        <v>7</v>
      </c>
      <c r="AB175">
        <f t="shared" si="69"/>
        <v>0.66666666666666663</v>
      </c>
      <c r="AC175">
        <f>step3_validation[[#This Row],[AI_TRU3]]</f>
        <v>8</v>
      </c>
      <c r="AD175">
        <f t="shared" si="70"/>
        <v>0.77777777777777779</v>
      </c>
      <c r="AE175">
        <f>[1]!survey_responses[[#This Row],[Tôi tin tưởng số tiền thuế tôi đóng sẽ được Nhà nước sử dụng hiệu quả để cải thiện dịch vụ công (y tế, đường xá...). - HUMAN-TRU3]]</f>
        <v>5</v>
      </c>
      <c r="AF175">
        <f t="shared" si="71"/>
        <v>0.44444444444444442</v>
      </c>
      <c r="AG175">
        <f>step3_validation[[#This Row],[AI_TRU4]]</f>
        <v>7</v>
      </c>
      <c r="AH175">
        <f t="shared" si="72"/>
        <v>0.66666666666666663</v>
      </c>
      <c r="AI175">
        <f>[1]!survey_responses[[#This Row],[Tôi thấy Nhà nước đã giải thích rõ ràng, minh bạch về lý do và mục tiêu của việc sửa đổi thuế lần này. - HUMAN-TRU4]]</f>
        <v>7</v>
      </c>
      <c r="AJ175">
        <f t="shared" si="73"/>
        <v>0.66666666666666663</v>
      </c>
      <c r="AK175" s="32">
        <f t="shared" si="74"/>
        <v>0.72222222222222221</v>
      </c>
      <c r="AL175" s="32">
        <f t="shared" si="75"/>
        <v>0.61111111111111105</v>
      </c>
      <c r="AM175" s="7">
        <f t="shared" si="76"/>
        <v>0.68518518518518523</v>
      </c>
      <c r="AN175" s="7">
        <f t="shared" si="77"/>
        <v>0.57407407407407407</v>
      </c>
      <c r="AO175">
        <f>step3_validation[[#This Row],[AI_OUT1]]</f>
        <v>8</v>
      </c>
      <c r="AP175">
        <f t="shared" si="78"/>
        <v>0.77777777777777779</v>
      </c>
      <c r="AQ175">
        <f>[1]!survey_responses[[#This Row],[Sau khi xem xét các quyền lợi và nghĩa vụ, bạn có ủng hộ và tuân thủ chính sách mới hiện nay? - HUMAN-OUT1]]</f>
        <v>6</v>
      </c>
      <c r="AR175">
        <f t="shared" si="79"/>
        <v>0.55555555555555558</v>
      </c>
      <c r="AS175" s="32">
        <f t="shared" si="80"/>
        <v>2</v>
      </c>
    </row>
    <row r="176" spans="1:45" x14ac:dyDescent="0.45">
      <c r="A176">
        <f>step3_validation[[#This Row],[AI_ENF1]]</f>
        <v>6</v>
      </c>
      <c r="B176">
        <f t="shared" si="54"/>
        <v>0.55555555555555558</v>
      </c>
      <c r="C176">
        <f>[1]!survey_responses[[#This Row],[Tôi tin rằng với các quy định quản lý thuế hiện nay, hành vi gian lận hoặc trốn thuế sẽ dễ dàng bị phát hiện và xử lý nghiêm. - HUMAN-ENF1]]</f>
        <v>4</v>
      </c>
      <c r="D176">
        <f t="shared" si="55"/>
        <v>0.33333333333333331</v>
      </c>
      <c r="E176">
        <f>step3_validation[[#This Row],[AI_ENF2]]</f>
        <v>7</v>
      </c>
      <c r="F176">
        <f t="shared" si="56"/>
        <v>0.66666666666666663</v>
      </c>
      <c r="G176">
        <f>[1]!survey_responses[[#This Row],[Tôi tin rằng Nhà nước, cơ quan thuế có đủ khả năng và công nghệ để phát hiện, xử lý nghiêm các hành vi trốn thuế. - HUMAN-ENF2]]</f>
        <v>5</v>
      </c>
      <c r="H176">
        <f t="shared" si="57"/>
        <v>0.44444444444444442</v>
      </c>
      <c r="I176" s="32">
        <f t="shared" si="58"/>
        <v>0.61111111111111116</v>
      </c>
      <c r="J176" s="32">
        <f t="shared" si="59"/>
        <v>0.38888888888888884</v>
      </c>
      <c r="K176">
        <f>step3_validation[[#This Row],[AI_FAC1]]</f>
        <v>8</v>
      </c>
      <c r="L176">
        <f t="shared" si="60"/>
        <v>0.77777777777777779</v>
      </c>
      <c r="M176">
        <f>[1]!survey_responses[[#This Row],[Các thủ tục khai báo thuế VÀ/HOẶC quy trình làm việc với cơ quan thuế đơn giản, tiện lợi, nhanh chóng hơn so với trước đây. - HUMAN-FAC1]]</f>
        <v>4</v>
      </c>
      <c r="N176">
        <f t="shared" si="61"/>
        <v>0.33333333333333331</v>
      </c>
      <c r="O176">
        <f>step3_validation[[#This Row],[AI_FAC2]]</f>
        <v>9</v>
      </c>
      <c r="P176">
        <f t="shared" si="62"/>
        <v>0.88888888888888884</v>
      </c>
      <c r="Q176">
        <f>[1]!survey_responses[[#This Row],[So với trước đây, tôi thấy cách tính thuế và các bậc thuế trong phương án mới đơn giản, dễ hiểu và dễ thực hiện hơn. - HUMAN-FAC2]]</f>
        <v>6</v>
      </c>
      <c r="R176">
        <f t="shared" si="63"/>
        <v>0.55555555555555558</v>
      </c>
      <c r="S176" s="32">
        <f t="shared" si="64"/>
        <v>0.83333333333333326</v>
      </c>
      <c r="T176" s="32">
        <f t="shared" si="65"/>
        <v>0.44444444444444442</v>
      </c>
      <c r="U176">
        <f>step3_validation[[#This Row],[AI_TRU1]]</f>
        <v>7</v>
      </c>
      <c r="V176">
        <f t="shared" si="66"/>
        <v>0.66666666666666663</v>
      </c>
      <c r="W176">
        <f>[1]!survey_responses[[#This Row],[Tôi tin rằng Nhà nước, cơ quan thuế sẽ thực thi chính sách mới một cách khách quan, công tâm và đối xử bình đẳng với mọi người nộp thuế.  - HUMAN-TRU1]]</f>
        <v>4</v>
      </c>
      <c r="X176">
        <f t="shared" si="67"/>
        <v>0.33333333333333331</v>
      </c>
      <c r="Y176">
        <f>step3_validation[[#This Row],[AI_TRU2]]</f>
        <v>8</v>
      </c>
      <c r="Z176">
        <f t="shared" si="68"/>
        <v>0.77777777777777779</v>
      </c>
      <c r="AA176">
        <f>[1]!survey_responses[[#This Row],[Tôi thấy mức thuế tôi phải đóng theo phương án mới là công bằng (người thu nhập như tôi đóng mức này là hợp lý). - HUMAN-TRU2]]</f>
        <v>4</v>
      </c>
      <c r="AB176">
        <f t="shared" si="69"/>
        <v>0.33333333333333331</v>
      </c>
      <c r="AC176">
        <f>step3_validation[[#This Row],[AI_TRU3]]</f>
        <v>7</v>
      </c>
      <c r="AD176">
        <f t="shared" si="70"/>
        <v>0.66666666666666663</v>
      </c>
      <c r="AE176">
        <f>[1]!survey_responses[[#This Row],[Tôi tin tưởng số tiền thuế tôi đóng sẽ được Nhà nước sử dụng hiệu quả để cải thiện dịch vụ công (y tế, đường xá...). - HUMAN-TRU3]]</f>
        <v>4</v>
      </c>
      <c r="AF176">
        <f t="shared" si="71"/>
        <v>0.33333333333333331</v>
      </c>
      <c r="AG176">
        <f>step3_validation[[#This Row],[AI_TRU4]]</f>
        <v>6</v>
      </c>
      <c r="AH176">
        <f t="shared" si="72"/>
        <v>0.55555555555555558</v>
      </c>
      <c r="AI176">
        <f>[1]!survey_responses[[#This Row],[Tôi thấy Nhà nước đã giải thích rõ ràng, minh bạch về lý do và mục tiêu của việc sửa đổi thuế lần này. - HUMAN-TRU4]]</f>
        <v>5</v>
      </c>
      <c r="AJ176">
        <f t="shared" si="73"/>
        <v>0.44444444444444442</v>
      </c>
      <c r="AK176" s="32">
        <f t="shared" si="74"/>
        <v>0.66666666666666674</v>
      </c>
      <c r="AL176" s="32">
        <f t="shared" si="75"/>
        <v>0.3611111111111111</v>
      </c>
      <c r="AM176" s="7">
        <f t="shared" si="76"/>
        <v>0.70370370370370372</v>
      </c>
      <c r="AN176" s="7">
        <f t="shared" si="77"/>
        <v>0.39814814814814814</v>
      </c>
      <c r="AO176">
        <f>step3_validation[[#This Row],[AI_OUT1]]</f>
        <v>7</v>
      </c>
      <c r="AP176">
        <f t="shared" si="78"/>
        <v>0.66666666666666663</v>
      </c>
      <c r="AQ176">
        <f>[1]!survey_responses[[#This Row],[Sau khi xem xét các quyền lợi và nghĩa vụ, bạn có ủng hộ và tuân thủ chính sách mới hiện nay? - HUMAN-OUT1]]</f>
        <v>4</v>
      </c>
      <c r="AR176">
        <f t="shared" si="79"/>
        <v>0.33333333333333331</v>
      </c>
      <c r="AS176" s="32">
        <f t="shared" si="80"/>
        <v>3</v>
      </c>
    </row>
    <row r="177" spans="1:45" x14ac:dyDescent="0.45">
      <c r="A177">
        <f>step3_validation[[#This Row],[AI_ENF1]]</f>
        <v>8</v>
      </c>
      <c r="B177">
        <f t="shared" si="54"/>
        <v>0.77777777777777779</v>
      </c>
      <c r="C177">
        <f>[1]!survey_responses[[#This Row],[Tôi tin rằng với các quy định quản lý thuế hiện nay, hành vi gian lận hoặc trốn thuế sẽ dễ dàng bị phát hiện và xử lý nghiêm. - HUMAN-ENF1]]</f>
        <v>2</v>
      </c>
      <c r="D177">
        <f t="shared" si="55"/>
        <v>0.1111111111111111</v>
      </c>
      <c r="E177">
        <f>step3_validation[[#This Row],[AI_ENF2]]</f>
        <v>7</v>
      </c>
      <c r="F177">
        <f t="shared" si="56"/>
        <v>0.66666666666666663</v>
      </c>
      <c r="G177">
        <f>[1]!survey_responses[[#This Row],[Tôi tin rằng Nhà nước, cơ quan thuế có đủ khả năng và công nghệ để phát hiện, xử lý nghiêm các hành vi trốn thuế. - HUMAN-ENF2]]</f>
        <v>4</v>
      </c>
      <c r="H177">
        <f t="shared" si="57"/>
        <v>0.33333333333333331</v>
      </c>
      <c r="I177" s="32">
        <f t="shared" si="58"/>
        <v>0.72222222222222221</v>
      </c>
      <c r="J177" s="32">
        <f t="shared" si="59"/>
        <v>0.22222222222222221</v>
      </c>
      <c r="K177">
        <f>step3_validation[[#This Row],[AI_FAC1]]</f>
        <v>9</v>
      </c>
      <c r="L177">
        <f t="shared" si="60"/>
        <v>0.88888888888888884</v>
      </c>
      <c r="M177">
        <f>[1]!survey_responses[[#This Row],[Các thủ tục khai báo thuế VÀ/HOẶC quy trình làm việc với cơ quan thuế đơn giản, tiện lợi, nhanh chóng hơn so với trước đây. - HUMAN-FAC1]]</f>
        <v>3</v>
      </c>
      <c r="N177">
        <f t="shared" si="61"/>
        <v>0.22222222222222221</v>
      </c>
      <c r="O177">
        <f>step3_validation[[#This Row],[AI_FAC2]]</f>
        <v>8</v>
      </c>
      <c r="P177">
        <f t="shared" si="62"/>
        <v>0.77777777777777779</v>
      </c>
      <c r="Q177">
        <f>[1]!survey_responses[[#This Row],[So với trước đây, tôi thấy cách tính thuế và các bậc thuế trong phương án mới đơn giản, dễ hiểu và dễ thực hiện hơn. - HUMAN-FAC2]]</f>
        <v>5</v>
      </c>
      <c r="R177">
        <f t="shared" si="63"/>
        <v>0.44444444444444442</v>
      </c>
      <c r="S177" s="32">
        <f t="shared" si="64"/>
        <v>0.83333333333333326</v>
      </c>
      <c r="T177" s="32">
        <f t="shared" si="65"/>
        <v>0.33333333333333331</v>
      </c>
      <c r="U177">
        <f>step3_validation[[#This Row],[AI_TRU1]]</f>
        <v>7</v>
      </c>
      <c r="V177">
        <f t="shared" si="66"/>
        <v>0.66666666666666663</v>
      </c>
      <c r="W177">
        <f>[1]!survey_responses[[#This Row],[Tôi tin rằng Nhà nước, cơ quan thuế sẽ thực thi chính sách mới một cách khách quan, công tâm và đối xử bình đẳng với mọi người nộp thuế.  - HUMAN-TRU1]]</f>
        <v>4</v>
      </c>
      <c r="X177">
        <f t="shared" si="67"/>
        <v>0.33333333333333331</v>
      </c>
      <c r="Y177">
        <f>step3_validation[[#This Row],[AI_TRU2]]</f>
        <v>8</v>
      </c>
      <c r="Z177">
        <f t="shared" si="68"/>
        <v>0.77777777777777779</v>
      </c>
      <c r="AA177">
        <f>[1]!survey_responses[[#This Row],[Tôi thấy mức thuế tôi phải đóng theo phương án mới là công bằng (người thu nhập như tôi đóng mức này là hợp lý). - HUMAN-TRU2]]</f>
        <v>1</v>
      </c>
      <c r="AB177">
        <f t="shared" si="69"/>
        <v>0</v>
      </c>
      <c r="AC177">
        <f>step3_validation[[#This Row],[AI_TRU3]]</f>
        <v>7</v>
      </c>
      <c r="AD177">
        <f t="shared" si="70"/>
        <v>0.66666666666666663</v>
      </c>
      <c r="AE177">
        <f>[1]!survey_responses[[#This Row],[Tôi tin tưởng số tiền thuế tôi đóng sẽ được Nhà nước sử dụng hiệu quả để cải thiện dịch vụ công (y tế, đường xá...). - HUMAN-TRU3]]</f>
        <v>1</v>
      </c>
      <c r="AF177">
        <f t="shared" si="71"/>
        <v>0</v>
      </c>
      <c r="AG177">
        <f>step3_validation[[#This Row],[AI_TRU4]]</f>
        <v>8</v>
      </c>
      <c r="AH177">
        <f t="shared" si="72"/>
        <v>0.77777777777777779</v>
      </c>
      <c r="AI177">
        <f>[1]!survey_responses[[#This Row],[Tôi thấy Nhà nước đã giải thích rõ ràng, minh bạch về lý do và mục tiêu của việc sửa đổi thuế lần này. - HUMAN-TRU4]]</f>
        <v>4</v>
      </c>
      <c r="AJ177">
        <f t="shared" si="73"/>
        <v>0.33333333333333331</v>
      </c>
      <c r="AK177" s="32">
        <f t="shared" si="74"/>
        <v>0.72222222222222221</v>
      </c>
      <c r="AL177" s="32">
        <f t="shared" si="75"/>
        <v>0.16666666666666666</v>
      </c>
      <c r="AM177" s="7">
        <f t="shared" si="76"/>
        <v>0.75925925925925919</v>
      </c>
      <c r="AN177" s="7">
        <f t="shared" si="77"/>
        <v>0.24074074074074073</v>
      </c>
      <c r="AO177">
        <f>step3_validation[[#This Row],[AI_OUT1]]</f>
        <v>9</v>
      </c>
      <c r="AP177">
        <f t="shared" si="78"/>
        <v>0.88888888888888884</v>
      </c>
      <c r="AQ177">
        <f>[1]!survey_responses[[#This Row],[Sau khi xem xét các quyền lợi và nghĩa vụ, bạn có ủng hộ và tuân thủ chính sách mới hiện nay? - HUMAN-OUT1]]</f>
        <v>4</v>
      </c>
      <c r="AR177">
        <f t="shared" si="79"/>
        <v>0.33333333333333331</v>
      </c>
      <c r="AS177" s="32">
        <f t="shared" si="80"/>
        <v>5</v>
      </c>
    </row>
    <row r="178" spans="1:45" x14ac:dyDescent="0.45">
      <c r="A178">
        <f>step3_validation[[#This Row],[AI_ENF1]]</f>
        <v>7</v>
      </c>
      <c r="B178">
        <f t="shared" si="54"/>
        <v>0.66666666666666663</v>
      </c>
      <c r="C178">
        <f>[1]!survey_responses[[#This Row],[Tôi tin rằng với các quy định quản lý thuế hiện nay, hành vi gian lận hoặc trốn thuế sẽ dễ dàng bị phát hiện và xử lý nghiêm. - HUMAN-ENF1]]</f>
        <v>4</v>
      </c>
      <c r="D178">
        <f t="shared" si="55"/>
        <v>0.33333333333333331</v>
      </c>
      <c r="E178">
        <f>step3_validation[[#This Row],[AI_ENF2]]</f>
        <v>8</v>
      </c>
      <c r="F178">
        <f t="shared" si="56"/>
        <v>0.77777777777777779</v>
      </c>
      <c r="G178">
        <f>[1]!survey_responses[[#This Row],[Tôi tin rằng Nhà nước, cơ quan thuế có đủ khả năng và công nghệ để phát hiện, xử lý nghiêm các hành vi trốn thuế. - HUMAN-ENF2]]</f>
        <v>4</v>
      </c>
      <c r="H178">
        <f t="shared" si="57"/>
        <v>0.33333333333333331</v>
      </c>
      <c r="I178" s="32">
        <f t="shared" si="58"/>
        <v>0.72222222222222221</v>
      </c>
      <c r="J178" s="32">
        <f t="shared" si="59"/>
        <v>0.33333333333333331</v>
      </c>
      <c r="K178">
        <f>step3_validation[[#This Row],[AI_FAC1]]</f>
        <v>9</v>
      </c>
      <c r="L178">
        <f t="shared" si="60"/>
        <v>0.88888888888888884</v>
      </c>
      <c r="M178">
        <f>[1]!survey_responses[[#This Row],[Các thủ tục khai báo thuế VÀ/HOẶC quy trình làm việc với cơ quan thuế đơn giản, tiện lợi, nhanh chóng hơn so với trước đây. - HUMAN-FAC1]]</f>
        <v>3</v>
      </c>
      <c r="N178">
        <f t="shared" si="61"/>
        <v>0.22222222222222221</v>
      </c>
      <c r="O178">
        <f>step3_validation[[#This Row],[AI_FAC2]]</f>
        <v>7</v>
      </c>
      <c r="P178">
        <f t="shared" si="62"/>
        <v>0.66666666666666663</v>
      </c>
      <c r="Q178">
        <f>[1]!survey_responses[[#This Row],[So với trước đây, tôi thấy cách tính thuế và các bậc thuế trong phương án mới đơn giản, dễ hiểu và dễ thực hiện hơn. - HUMAN-FAC2]]</f>
        <v>5</v>
      </c>
      <c r="R178">
        <f t="shared" si="63"/>
        <v>0.44444444444444442</v>
      </c>
      <c r="S178" s="32">
        <f t="shared" si="64"/>
        <v>0.77777777777777768</v>
      </c>
      <c r="T178" s="32">
        <f t="shared" si="65"/>
        <v>0.33333333333333331</v>
      </c>
      <c r="U178">
        <f>step3_validation[[#This Row],[AI_TRU1]]</f>
        <v>9</v>
      </c>
      <c r="V178">
        <f t="shared" si="66"/>
        <v>0.88888888888888884</v>
      </c>
      <c r="W178">
        <f>[1]!survey_responses[[#This Row],[Tôi tin rằng Nhà nước, cơ quan thuế sẽ thực thi chính sách mới một cách khách quan, công tâm và đối xử bình đẳng với mọi người nộp thuế.  - HUMAN-TRU1]]</f>
        <v>3</v>
      </c>
      <c r="X178">
        <f t="shared" si="67"/>
        <v>0.22222222222222221</v>
      </c>
      <c r="Y178">
        <f>step3_validation[[#This Row],[AI_TRU2]]</f>
        <v>6</v>
      </c>
      <c r="Z178">
        <f t="shared" si="68"/>
        <v>0.55555555555555558</v>
      </c>
      <c r="AA178">
        <f>[1]!survey_responses[[#This Row],[Tôi thấy mức thuế tôi phải đóng theo phương án mới là công bằng (người thu nhập như tôi đóng mức này là hợp lý). - HUMAN-TRU2]]</f>
        <v>2</v>
      </c>
      <c r="AB178">
        <f t="shared" si="69"/>
        <v>0.1111111111111111</v>
      </c>
      <c r="AC178">
        <f>step3_validation[[#This Row],[AI_TRU3]]</f>
        <v>8</v>
      </c>
      <c r="AD178">
        <f t="shared" si="70"/>
        <v>0.77777777777777779</v>
      </c>
      <c r="AE178">
        <f>[1]!survey_responses[[#This Row],[Tôi tin tưởng số tiền thuế tôi đóng sẽ được Nhà nước sử dụng hiệu quả để cải thiện dịch vụ công (y tế, đường xá...). - HUMAN-TRU3]]</f>
        <v>1</v>
      </c>
      <c r="AF178">
        <f t="shared" si="71"/>
        <v>0</v>
      </c>
      <c r="AG178">
        <f>step3_validation[[#This Row],[AI_TRU4]]</f>
        <v>7</v>
      </c>
      <c r="AH178">
        <f t="shared" si="72"/>
        <v>0.66666666666666663</v>
      </c>
      <c r="AI178">
        <f>[1]!survey_responses[[#This Row],[Tôi thấy Nhà nước đã giải thích rõ ràng, minh bạch về lý do và mục tiêu của việc sửa đổi thuế lần này. - HUMAN-TRU4]]</f>
        <v>1</v>
      </c>
      <c r="AJ178">
        <f t="shared" si="73"/>
        <v>0</v>
      </c>
      <c r="AK178" s="32">
        <f t="shared" si="74"/>
        <v>0.72222222222222221</v>
      </c>
      <c r="AL178" s="32">
        <f t="shared" si="75"/>
        <v>8.3333333333333329E-2</v>
      </c>
      <c r="AM178" s="7">
        <f t="shared" si="76"/>
        <v>0.74074074074074081</v>
      </c>
      <c r="AN178" s="7">
        <f t="shared" si="77"/>
        <v>0.25</v>
      </c>
      <c r="AO178">
        <f>step3_validation[[#This Row],[AI_OUT1]]</f>
        <v>9</v>
      </c>
      <c r="AP178">
        <f t="shared" si="78"/>
        <v>0.88888888888888884</v>
      </c>
      <c r="AQ178">
        <f>[1]!survey_responses[[#This Row],[Sau khi xem xét các quyền lợi và nghĩa vụ, bạn có ủng hộ và tuân thủ chính sách mới hiện nay? - HUMAN-OUT1]]</f>
        <v>1</v>
      </c>
      <c r="AR178">
        <f t="shared" si="79"/>
        <v>0</v>
      </c>
      <c r="AS178" s="32">
        <f t="shared" si="80"/>
        <v>8</v>
      </c>
    </row>
    <row r="179" spans="1:45" x14ac:dyDescent="0.45">
      <c r="A179">
        <f>step3_validation[[#This Row],[AI_ENF1]]</f>
        <v>7</v>
      </c>
      <c r="B179">
        <f t="shared" si="54"/>
        <v>0.66666666666666663</v>
      </c>
      <c r="C179">
        <f>[1]!survey_responses[[#This Row],[Tôi tin rằng với các quy định quản lý thuế hiện nay, hành vi gian lận hoặc trốn thuế sẽ dễ dàng bị phát hiện và xử lý nghiêm. - HUMAN-ENF1]]</f>
        <v>6</v>
      </c>
      <c r="D179">
        <f t="shared" si="55"/>
        <v>0.55555555555555558</v>
      </c>
      <c r="E179">
        <f>step3_validation[[#This Row],[AI_ENF2]]</f>
        <v>6</v>
      </c>
      <c r="F179">
        <f t="shared" si="56"/>
        <v>0.55555555555555558</v>
      </c>
      <c r="G179">
        <f>[1]!survey_responses[[#This Row],[Tôi tin rằng Nhà nước, cơ quan thuế có đủ khả năng và công nghệ để phát hiện, xử lý nghiêm các hành vi trốn thuế. - HUMAN-ENF2]]</f>
        <v>7</v>
      </c>
      <c r="H179">
        <f t="shared" si="57"/>
        <v>0.66666666666666663</v>
      </c>
      <c r="I179" s="32">
        <f t="shared" si="58"/>
        <v>0.61111111111111116</v>
      </c>
      <c r="J179" s="32">
        <f t="shared" si="59"/>
        <v>0.61111111111111116</v>
      </c>
      <c r="K179">
        <f>step3_validation[[#This Row],[AI_FAC1]]</f>
        <v>8</v>
      </c>
      <c r="L179">
        <f t="shared" si="60"/>
        <v>0.77777777777777779</v>
      </c>
      <c r="M179">
        <f>[1]!survey_responses[[#This Row],[Các thủ tục khai báo thuế VÀ/HOẶC quy trình làm việc với cơ quan thuế đơn giản, tiện lợi, nhanh chóng hơn so với trước đây. - HUMAN-FAC1]]</f>
        <v>6</v>
      </c>
      <c r="N179">
        <f t="shared" si="61"/>
        <v>0.55555555555555558</v>
      </c>
      <c r="O179">
        <f>step3_validation[[#This Row],[AI_FAC2]]</f>
        <v>5</v>
      </c>
      <c r="P179">
        <f t="shared" si="62"/>
        <v>0.44444444444444442</v>
      </c>
      <c r="Q179">
        <f>[1]!survey_responses[[#This Row],[So với trước đây, tôi thấy cách tính thuế và các bậc thuế trong phương án mới đơn giản, dễ hiểu và dễ thực hiện hơn. - HUMAN-FAC2]]</f>
        <v>6</v>
      </c>
      <c r="R179">
        <f t="shared" si="63"/>
        <v>0.55555555555555558</v>
      </c>
      <c r="S179" s="32">
        <f t="shared" si="64"/>
        <v>0.61111111111111116</v>
      </c>
      <c r="T179" s="32">
        <f t="shared" si="65"/>
        <v>0.55555555555555558</v>
      </c>
      <c r="U179">
        <f>step3_validation[[#This Row],[AI_TRU1]]</f>
        <v>7</v>
      </c>
      <c r="V179">
        <f t="shared" si="66"/>
        <v>0.66666666666666663</v>
      </c>
      <c r="W179">
        <f>[1]!survey_responses[[#This Row],[Tôi tin rằng Nhà nước, cơ quan thuế sẽ thực thi chính sách mới một cách khách quan, công tâm và đối xử bình đẳng với mọi người nộp thuế.  - HUMAN-TRU1]]</f>
        <v>6</v>
      </c>
      <c r="X179">
        <f t="shared" si="67"/>
        <v>0.55555555555555558</v>
      </c>
      <c r="Y179">
        <f>step3_validation[[#This Row],[AI_TRU2]]</f>
        <v>4</v>
      </c>
      <c r="Z179">
        <f t="shared" si="68"/>
        <v>0.33333333333333331</v>
      </c>
      <c r="AA179">
        <f>[1]!survey_responses[[#This Row],[Tôi thấy mức thuế tôi phải đóng theo phương án mới là công bằng (người thu nhập như tôi đóng mức này là hợp lý). - HUMAN-TRU2]]</f>
        <v>7</v>
      </c>
      <c r="AB179">
        <f t="shared" si="69"/>
        <v>0.66666666666666663</v>
      </c>
      <c r="AC179">
        <f>step3_validation[[#This Row],[AI_TRU3]]</f>
        <v>6</v>
      </c>
      <c r="AD179">
        <f t="shared" si="70"/>
        <v>0.55555555555555558</v>
      </c>
      <c r="AE179">
        <f>[1]!survey_responses[[#This Row],[Tôi tin tưởng số tiền thuế tôi đóng sẽ được Nhà nước sử dụng hiệu quả để cải thiện dịch vụ công (y tế, đường xá...). - HUMAN-TRU3]]</f>
        <v>5</v>
      </c>
      <c r="AF179">
        <f t="shared" si="71"/>
        <v>0.44444444444444442</v>
      </c>
      <c r="AG179">
        <f>step3_validation[[#This Row],[AI_TRU4]]</f>
        <v>5</v>
      </c>
      <c r="AH179">
        <f t="shared" si="72"/>
        <v>0.44444444444444442</v>
      </c>
      <c r="AI179">
        <f>[1]!survey_responses[[#This Row],[Tôi thấy Nhà nước đã giải thích rõ ràng, minh bạch về lý do và mục tiêu của việc sửa đổi thuế lần này. - HUMAN-TRU4]]</f>
        <v>6</v>
      </c>
      <c r="AJ179">
        <f t="shared" si="73"/>
        <v>0.55555555555555558</v>
      </c>
      <c r="AK179" s="32">
        <f t="shared" si="74"/>
        <v>0.5</v>
      </c>
      <c r="AL179" s="32">
        <f t="shared" si="75"/>
        <v>0.55555555555555558</v>
      </c>
      <c r="AM179" s="7">
        <f t="shared" si="76"/>
        <v>0.57407407407407407</v>
      </c>
      <c r="AN179" s="7">
        <f t="shared" si="77"/>
        <v>0.57407407407407407</v>
      </c>
      <c r="AO179">
        <f>step3_validation[[#This Row],[AI_OUT1]]</f>
        <v>7</v>
      </c>
      <c r="AP179">
        <f t="shared" si="78"/>
        <v>0.66666666666666663</v>
      </c>
      <c r="AQ179">
        <f>[1]!survey_responses[[#This Row],[Sau khi xem xét các quyền lợi và nghĩa vụ, bạn có ủng hộ và tuân thủ chính sách mới hiện nay? - HUMAN-OUT1]]</f>
        <v>7</v>
      </c>
      <c r="AR179">
        <f t="shared" si="79"/>
        <v>0.66666666666666663</v>
      </c>
      <c r="AS179" s="32">
        <f t="shared" si="80"/>
        <v>0</v>
      </c>
    </row>
    <row r="180" spans="1:45" x14ac:dyDescent="0.45">
      <c r="A180">
        <f>step3_validation[[#This Row],[AI_ENF1]]</f>
        <v>6</v>
      </c>
      <c r="B180">
        <f t="shared" si="54"/>
        <v>0.55555555555555558</v>
      </c>
      <c r="C180">
        <f>[1]!survey_responses[[#This Row],[Tôi tin rằng với các quy định quản lý thuế hiện nay, hành vi gian lận hoặc trốn thuế sẽ dễ dàng bị phát hiện và xử lý nghiêm. - HUMAN-ENF1]]</f>
        <v>7</v>
      </c>
      <c r="D180">
        <f t="shared" si="55"/>
        <v>0.66666666666666663</v>
      </c>
      <c r="E180">
        <f>step3_validation[[#This Row],[AI_ENF2]]</f>
        <v>7</v>
      </c>
      <c r="F180">
        <f t="shared" si="56"/>
        <v>0.66666666666666663</v>
      </c>
      <c r="G180">
        <f>[1]!survey_responses[[#This Row],[Tôi tin rằng Nhà nước, cơ quan thuế có đủ khả năng và công nghệ để phát hiện, xử lý nghiêm các hành vi trốn thuế. - HUMAN-ENF2]]</f>
        <v>7</v>
      </c>
      <c r="H180">
        <f t="shared" si="57"/>
        <v>0.66666666666666663</v>
      </c>
      <c r="I180" s="32">
        <f t="shared" si="58"/>
        <v>0.61111111111111116</v>
      </c>
      <c r="J180" s="32">
        <f t="shared" si="59"/>
        <v>0.66666666666666663</v>
      </c>
      <c r="K180">
        <f>step3_validation[[#This Row],[AI_FAC1]]</f>
        <v>8</v>
      </c>
      <c r="L180">
        <f t="shared" si="60"/>
        <v>0.77777777777777779</v>
      </c>
      <c r="M180">
        <f>[1]!survey_responses[[#This Row],[Các thủ tục khai báo thuế VÀ/HOẶC quy trình làm việc với cơ quan thuế đơn giản, tiện lợi, nhanh chóng hơn so với trước đây. - HUMAN-FAC1]]</f>
        <v>7</v>
      </c>
      <c r="N180">
        <f t="shared" si="61"/>
        <v>0.66666666666666663</v>
      </c>
      <c r="O180">
        <f>step3_validation[[#This Row],[AI_FAC2]]</f>
        <v>7</v>
      </c>
      <c r="P180">
        <f t="shared" si="62"/>
        <v>0.66666666666666663</v>
      </c>
      <c r="Q180">
        <f>[1]!survey_responses[[#This Row],[So với trước đây, tôi thấy cách tính thuế và các bậc thuế trong phương án mới đơn giản, dễ hiểu và dễ thực hiện hơn. - HUMAN-FAC2]]</f>
        <v>8</v>
      </c>
      <c r="R180">
        <f t="shared" si="63"/>
        <v>0.77777777777777779</v>
      </c>
      <c r="S180" s="32">
        <f t="shared" si="64"/>
        <v>0.72222222222222221</v>
      </c>
      <c r="T180" s="32">
        <f t="shared" si="65"/>
        <v>0.72222222222222221</v>
      </c>
      <c r="U180">
        <f>step3_validation[[#This Row],[AI_TRU1]]</f>
        <v>6</v>
      </c>
      <c r="V180">
        <f t="shared" si="66"/>
        <v>0.55555555555555558</v>
      </c>
      <c r="W180">
        <f>[1]!survey_responses[[#This Row],[Tôi tin rằng Nhà nước, cơ quan thuế sẽ thực thi chính sách mới một cách khách quan, công tâm và đối xử bình đẳng với mọi người nộp thuế.  - HUMAN-TRU1]]</f>
        <v>7</v>
      </c>
      <c r="X180">
        <f t="shared" si="67"/>
        <v>0.66666666666666663</v>
      </c>
      <c r="Y180">
        <f>step3_validation[[#This Row],[AI_TRU2]]</f>
        <v>7</v>
      </c>
      <c r="Z180">
        <f t="shared" si="68"/>
        <v>0.66666666666666663</v>
      </c>
      <c r="AA180">
        <f>[1]!survey_responses[[#This Row],[Tôi thấy mức thuế tôi phải đóng theo phương án mới là công bằng (người thu nhập như tôi đóng mức này là hợp lý). - HUMAN-TRU2]]</f>
        <v>8</v>
      </c>
      <c r="AB180">
        <f t="shared" si="69"/>
        <v>0.77777777777777779</v>
      </c>
      <c r="AC180">
        <f>step3_validation[[#This Row],[AI_TRU3]]</f>
        <v>6</v>
      </c>
      <c r="AD180">
        <f t="shared" si="70"/>
        <v>0.55555555555555558</v>
      </c>
      <c r="AE180">
        <f>[1]!survey_responses[[#This Row],[Tôi tin tưởng số tiền thuế tôi đóng sẽ được Nhà nước sử dụng hiệu quả để cải thiện dịch vụ công (y tế, đường xá...). - HUMAN-TRU3]]</f>
        <v>7</v>
      </c>
      <c r="AF180">
        <f t="shared" si="71"/>
        <v>0.66666666666666663</v>
      </c>
      <c r="AG180">
        <f>step3_validation[[#This Row],[AI_TRU4]]</f>
        <v>6</v>
      </c>
      <c r="AH180">
        <f t="shared" si="72"/>
        <v>0.55555555555555558</v>
      </c>
      <c r="AI180">
        <f>[1]!survey_responses[[#This Row],[Tôi thấy Nhà nước đã giải thích rõ ràng, minh bạch về lý do và mục tiêu của việc sửa đổi thuế lần này. - HUMAN-TRU4]]</f>
        <v>7</v>
      </c>
      <c r="AJ180">
        <f t="shared" si="73"/>
        <v>0.66666666666666663</v>
      </c>
      <c r="AK180" s="32">
        <f t="shared" si="74"/>
        <v>0.58333333333333337</v>
      </c>
      <c r="AL180" s="32">
        <f t="shared" si="75"/>
        <v>0.69444444444444442</v>
      </c>
      <c r="AM180" s="7">
        <f t="shared" si="76"/>
        <v>0.63888888888888895</v>
      </c>
      <c r="AN180" s="7">
        <f t="shared" si="77"/>
        <v>0.69444444444444431</v>
      </c>
      <c r="AO180">
        <f>step3_validation[[#This Row],[AI_OUT1]]</f>
        <v>7</v>
      </c>
      <c r="AP180">
        <f t="shared" si="78"/>
        <v>0.66666666666666663</v>
      </c>
      <c r="AQ180">
        <f>[1]!survey_responses[[#This Row],[Sau khi xem xét các quyền lợi và nghĩa vụ, bạn có ủng hộ và tuân thủ chính sách mới hiện nay? - HUMAN-OUT1]]</f>
        <v>8</v>
      </c>
      <c r="AR180">
        <f t="shared" si="79"/>
        <v>0.77777777777777779</v>
      </c>
      <c r="AS180" s="32">
        <f t="shared" si="80"/>
        <v>1</v>
      </c>
    </row>
    <row r="181" spans="1:45" x14ac:dyDescent="0.45">
      <c r="A181">
        <f>step3_validation[[#This Row],[AI_ENF1]]</f>
        <v>8</v>
      </c>
      <c r="B181">
        <f t="shared" si="54"/>
        <v>0.77777777777777779</v>
      </c>
      <c r="C181">
        <f>[1]!survey_responses[[#This Row],[Tôi tin rằng với các quy định quản lý thuế hiện nay, hành vi gian lận hoặc trốn thuế sẽ dễ dàng bị phát hiện và xử lý nghiêm. - HUMAN-ENF1]]</f>
        <v>5</v>
      </c>
      <c r="D181">
        <f t="shared" si="55"/>
        <v>0.44444444444444442</v>
      </c>
      <c r="E181">
        <f>step3_validation[[#This Row],[AI_ENF2]]</f>
        <v>7</v>
      </c>
      <c r="F181">
        <f t="shared" si="56"/>
        <v>0.66666666666666663</v>
      </c>
      <c r="G181">
        <f>[1]!survey_responses[[#This Row],[Tôi tin rằng Nhà nước, cơ quan thuế có đủ khả năng và công nghệ để phát hiện, xử lý nghiêm các hành vi trốn thuế. - HUMAN-ENF2]]</f>
        <v>5</v>
      </c>
      <c r="H181">
        <f t="shared" si="57"/>
        <v>0.44444444444444442</v>
      </c>
      <c r="I181" s="32">
        <f t="shared" si="58"/>
        <v>0.72222222222222221</v>
      </c>
      <c r="J181" s="32">
        <f t="shared" si="59"/>
        <v>0.44444444444444442</v>
      </c>
      <c r="K181">
        <f>step3_validation[[#This Row],[AI_FAC1]]</f>
        <v>9</v>
      </c>
      <c r="L181">
        <f t="shared" si="60"/>
        <v>0.88888888888888884</v>
      </c>
      <c r="M181">
        <f>[1]!survey_responses[[#This Row],[Các thủ tục khai báo thuế VÀ/HOẶC quy trình làm việc với cơ quan thuế đơn giản, tiện lợi, nhanh chóng hơn so với trước đây. - HUMAN-FAC1]]</f>
        <v>5</v>
      </c>
      <c r="N181">
        <f t="shared" si="61"/>
        <v>0.44444444444444442</v>
      </c>
      <c r="O181">
        <f>step3_validation[[#This Row],[AI_FAC2]]</f>
        <v>8</v>
      </c>
      <c r="P181">
        <f t="shared" si="62"/>
        <v>0.77777777777777779</v>
      </c>
      <c r="Q181">
        <f>[1]!survey_responses[[#This Row],[So với trước đây, tôi thấy cách tính thuế và các bậc thuế trong phương án mới đơn giản, dễ hiểu và dễ thực hiện hơn. - HUMAN-FAC2]]</f>
        <v>7</v>
      </c>
      <c r="R181">
        <f t="shared" si="63"/>
        <v>0.66666666666666663</v>
      </c>
      <c r="S181" s="32">
        <f t="shared" si="64"/>
        <v>0.83333333333333326</v>
      </c>
      <c r="T181" s="32">
        <f t="shared" si="65"/>
        <v>0.55555555555555558</v>
      </c>
      <c r="U181">
        <f>step3_validation[[#This Row],[AI_TRU1]]</f>
        <v>7</v>
      </c>
      <c r="V181">
        <f t="shared" si="66"/>
        <v>0.66666666666666663</v>
      </c>
      <c r="W181">
        <f>[1]!survey_responses[[#This Row],[Tôi tin rằng Nhà nước, cơ quan thuế sẽ thực thi chính sách mới một cách khách quan, công tâm và đối xử bình đẳng với mọi người nộp thuế.  - HUMAN-TRU1]]</f>
        <v>5</v>
      </c>
      <c r="X181">
        <f t="shared" si="67"/>
        <v>0.44444444444444442</v>
      </c>
      <c r="Y181">
        <f>step3_validation[[#This Row],[AI_TRU2]]</f>
        <v>6</v>
      </c>
      <c r="Z181">
        <f t="shared" si="68"/>
        <v>0.55555555555555558</v>
      </c>
      <c r="AA181">
        <f>[1]!survey_responses[[#This Row],[Tôi thấy mức thuế tôi phải đóng theo phương án mới là công bằng (người thu nhập như tôi đóng mức này là hợp lý). - HUMAN-TRU2]]</f>
        <v>6</v>
      </c>
      <c r="AB181">
        <f t="shared" si="69"/>
        <v>0.55555555555555558</v>
      </c>
      <c r="AC181">
        <f>step3_validation[[#This Row],[AI_TRU3]]</f>
        <v>5</v>
      </c>
      <c r="AD181">
        <f t="shared" si="70"/>
        <v>0.44444444444444442</v>
      </c>
      <c r="AE181">
        <f>[1]!survey_responses[[#This Row],[Tôi tin tưởng số tiền thuế tôi đóng sẽ được Nhà nước sử dụng hiệu quả để cải thiện dịch vụ công (y tế, đường xá...). - HUMAN-TRU3]]</f>
        <v>5</v>
      </c>
      <c r="AF181">
        <f t="shared" si="71"/>
        <v>0.44444444444444442</v>
      </c>
      <c r="AG181">
        <f>step3_validation[[#This Row],[AI_TRU4]]</f>
        <v>7</v>
      </c>
      <c r="AH181">
        <f t="shared" si="72"/>
        <v>0.66666666666666663</v>
      </c>
      <c r="AI181">
        <f>[1]!survey_responses[[#This Row],[Tôi thấy Nhà nước đã giải thích rõ ràng, minh bạch về lý do và mục tiêu của việc sửa đổi thuế lần này. - HUMAN-TRU4]]</f>
        <v>7</v>
      </c>
      <c r="AJ181">
        <f t="shared" si="73"/>
        <v>0.66666666666666663</v>
      </c>
      <c r="AK181" s="32">
        <f t="shared" si="74"/>
        <v>0.58333333333333337</v>
      </c>
      <c r="AL181" s="32">
        <f t="shared" si="75"/>
        <v>0.52777777777777779</v>
      </c>
      <c r="AM181" s="7">
        <f t="shared" si="76"/>
        <v>0.71296296296296291</v>
      </c>
      <c r="AN181" s="7">
        <f t="shared" si="77"/>
        <v>0.50925925925925919</v>
      </c>
      <c r="AO181">
        <f>step3_validation[[#This Row],[AI_OUT1]]</f>
        <v>6</v>
      </c>
      <c r="AP181">
        <f t="shared" si="78"/>
        <v>0.55555555555555558</v>
      </c>
      <c r="AQ181">
        <f>[1]!survey_responses[[#This Row],[Sau khi xem xét các quyền lợi và nghĩa vụ, bạn có ủng hộ và tuân thủ chính sách mới hiện nay? - HUMAN-OUT1]]</f>
        <v>7</v>
      </c>
      <c r="AR181">
        <f t="shared" si="79"/>
        <v>0.66666666666666663</v>
      </c>
      <c r="AS181" s="32">
        <f t="shared" si="80"/>
        <v>1</v>
      </c>
    </row>
    <row r="182" spans="1:45" x14ac:dyDescent="0.45">
      <c r="A182">
        <f>step3_validation[[#This Row],[AI_ENF1]]</f>
        <v>8</v>
      </c>
      <c r="B182">
        <f t="shared" si="54"/>
        <v>0.77777777777777779</v>
      </c>
      <c r="C182">
        <f>[1]!survey_responses[[#This Row],[Tôi tin rằng với các quy định quản lý thuế hiện nay, hành vi gian lận hoặc trốn thuế sẽ dễ dàng bị phát hiện và xử lý nghiêm. - HUMAN-ENF1]]</f>
        <v>6</v>
      </c>
      <c r="D182">
        <f t="shared" si="55"/>
        <v>0.55555555555555558</v>
      </c>
      <c r="E182">
        <f>step3_validation[[#This Row],[AI_ENF2]]</f>
        <v>9</v>
      </c>
      <c r="F182">
        <f t="shared" si="56"/>
        <v>0.88888888888888884</v>
      </c>
      <c r="G182">
        <f>[1]!survey_responses[[#This Row],[Tôi tin rằng Nhà nước, cơ quan thuế có đủ khả năng và công nghệ để phát hiện, xử lý nghiêm các hành vi trốn thuế. - HUMAN-ENF2]]</f>
        <v>7</v>
      </c>
      <c r="H182">
        <f t="shared" si="57"/>
        <v>0.66666666666666663</v>
      </c>
      <c r="I182" s="32">
        <f t="shared" si="58"/>
        <v>0.83333333333333326</v>
      </c>
      <c r="J182" s="32">
        <f t="shared" si="59"/>
        <v>0.61111111111111116</v>
      </c>
      <c r="K182">
        <f>step3_validation[[#This Row],[AI_FAC1]]</f>
        <v>7</v>
      </c>
      <c r="L182">
        <f t="shared" si="60"/>
        <v>0.66666666666666663</v>
      </c>
      <c r="M182">
        <f>[1]!survey_responses[[#This Row],[Các thủ tục khai báo thuế VÀ/HOẶC quy trình làm việc với cơ quan thuế đơn giản, tiện lợi, nhanh chóng hơn so với trước đây. - HUMAN-FAC1]]</f>
        <v>7</v>
      </c>
      <c r="N182">
        <f t="shared" si="61"/>
        <v>0.66666666666666663</v>
      </c>
      <c r="O182">
        <f>step3_validation[[#This Row],[AI_FAC2]]</f>
        <v>6</v>
      </c>
      <c r="P182">
        <f t="shared" si="62"/>
        <v>0.55555555555555558</v>
      </c>
      <c r="Q182">
        <f>[1]!survey_responses[[#This Row],[So với trước đây, tôi thấy cách tính thuế và các bậc thuế trong phương án mới đơn giản, dễ hiểu và dễ thực hiện hơn. - HUMAN-FAC2]]</f>
        <v>8</v>
      </c>
      <c r="R182">
        <f t="shared" si="63"/>
        <v>0.77777777777777779</v>
      </c>
      <c r="S182" s="32">
        <f t="shared" si="64"/>
        <v>0.61111111111111116</v>
      </c>
      <c r="T182" s="32">
        <f t="shared" si="65"/>
        <v>0.72222222222222221</v>
      </c>
      <c r="U182">
        <f>step3_validation[[#This Row],[AI_TRU1]]</f>
        <v>8</v>
      </c>
      <c r="V182">
        <f t="shared" si="66"/>
        <v>0.77777777777777779</v>
      </c>
      <c r="W182">
        <f>[1]!survey_responses[[#This Row],[Tôi tin rằng Nhà nước, cơ quan thuế sẽ thực thi chính sách mới một cách khách quan, công tâm và đối xử bình đẳng với mọi người nộp thuế.  - HUMAN-TRU1]]</f>
        <v>8</v>
      </c>
      <c r="X182">
        <f t="shared" si="67"/>
        <v>0.77777777777777779</v>
      </c>
      <c r="Y182">
        <f>step3_validation[[#This Row],[AI_TRU2]]</f>
        <v>7</v>
      </c>
      <c r="Z182">
        <f t="shared" si="68"/>
        <v>0.66666666666666663</v>
      </c>
      <c r="AA182">
        <f>[1]!survey_responses[[#This Row],[Tôi thấy mức thuế tôi phải đóng theo phương án mới là công bằng (người thu nhập như tôi đóng mức này là hợp lý). - HUMAN-TRU2]]</f>
        <v>7</v>
      </c>
      <c r="AB182">
        <f t="shared" si="69"/>
        <v>0.66666666666666663</v>
      </c>
      <c r="AC182">
        <f>step3_validation[[#This Row],[AI_TRU3]]</f>
        <v>8</v>
      </c>
      <c r="AD182">
        <f t="shared" si="70"/>
        <v>0.77777777777777779</v>
      </c>
      <c r="AE182">
        <f>[1]!survey_responses[[#This Row],[Tôi tin tưởng số tiền thuế tôi đóng sẽ được Nhà nước sử dụng hiệu quả để cải thiện dịch vụ công (y tế, đường xá...). - HUMAN-TRU3]]</f>
        <v>5</v>
      </c>
      <c r="AF182">
        <f t="shared" si="71"/>
        <v>0.44444444444444442</v>
      </c>
      <c r="AG182">
        <f>step3_validation[[#This Row],[AI_TRU4]]</f>
        <v>7</v>
      </c>
      <c r="AH182">
        <f t="shared" si="72"/>
        <v>0.66666666666666663</v>
      </c>
      <c r="AI182">
        <f>[1]!survey_responses[[#This Row],[Tôi thấy Nhà nước đã giải thích rõ ràng, minh bạch về lý do và mục tiêu của việc sửa đổi thuế lần này. - HUMAN-TRU4]]</f>
        <v>7</v>
      </c>
      <c r="AJ182">
        <f t="shared" si="73"/>
        <v>0.66666666666666663</v>
      </c>
      <c r="AK182" s="32">
        <f t="shared" si="74"/>
        <v>0.72222222222222221</v>
      </c>
      <c r="AL182" s="32">
        <f t="shared" si="75"/>
        <v>0.63888888888888884</v>
      </c>
      <c r="AM182" s="7">
        <f t="shared" si="76"/>
        <v>0.72222222222222221</v>
      </c>
      <c r="AN182" s="7">
        <f t="shared" si="77"/>
        <v>0.65740740740740744</v>
      </c>
      <c r="AO182">
        <f>step3_validation[[#This Row],[AI_OUT1]]</f>
        <v>8</v>
      </c>
      <c r="AP182">
        <f t="shared" si="78"/>
        <v>0.77777777777777779</v>
      </c>
      <c r="AQ182">
        <f>[1]!survey_responses[[#This Row],[Sau khi xem xét các quyền lợi và nghĩa vụ, bạn có ủng hộ và tuân thủ chính sách mới hiện nay? - HUMAN-OUT1]]</f>
        <v>7</v>
      </c>
      <c r="AR182">
        <f t="shared" si="79"/>
        <v>0.66666666666666663</v>
      </c>
      <c r="AS182" s="32">
        <f t="shared" si="80"/>
        <v>1</v>
      </c>
    </row>
    <row r="183" spans="1:45" x14ac:dyDescent="0.45">
      <c r="A183">
        <f>step3_validation[[#This Row],[AI_ENF1]]</f>
        <v>5</v>
      </c>
      <c r="B183">
        <f t="shared" si="54"/>
        <v>0.44444444444444442</v>
      </c>
      <c r="C183">
        <f>[1]!survey_responses[[#This Row],[Tôi tin rằng với các quy định quản lý thuế hiện nay, hành vi gian lận hoặc trốn thuế sẽ dễ dàng bị phát hiện và xử lý nghiêm. - HUMAN-ENF1]]</f>
        <v>8</v>
      </c>
      <c r="D183">
        <f t="shared" si="55"/>
        <v>0.77777777777777779</v>
      </c>
      <c r="E183">
        <f>step3_validation[[#This Row],[AI_ENF2]]</f>
        <v>6</v>
      </c>
      <c r="F183">
        <f t="shared" si="56"/>
        <v>0.55555555555555558</v>
      </c>
      <c r="G183">
        <f>[1]!survey_responses[[#This Row],[Tôi tin rằng Nhà nước, cơ quan thuế có đủ khả năng và công nghệ để phát hiện, xử lý nghiêm các hành vi trốn thuế. - HUMAN-ENF2]]</f>
        <v>8</v>
      </c>
      <c r="H183">
        <f t="shared" si="57"/>
        <v>0.77777777777777779</v>
      </c>
      <c r="I183" s="32">
        <f t="shared" si="58"/>
        <v>0.5</v>
      </c>
      <c r="J183" s="32">
        <f t="shared" si="59"/>
        <v>0.77777777777777779</v>
      </c>
      <c r="K183">
        <f>step3_validation[[#This Row],[AI_FAC1]]</f>
        <v>7</v>
      </c>
      <c r="L183">
        <f t="shared" si="60"/>
        <v>0.66666666666666663</v>
      </c>
      <c r="M183">
        <f>[1]!survey_responses[[#This Row],[Các thủ tục khai báo thuế VÀ/HOẶC quy trình làm việc với cơ quan thuế đơn giản, tiện lợi, nhanh chóng hơn so với trước đây. - HUMAN-FAC1]]</f>
        <v>5</v>
      </c>
      <c r="N183">
        <f t="shared" si="61"/>
        <v>0.44444444444444442</v>
      </c>
      <c r="O183">
        <f>step3_validation[[#This Row],[AI_FAC2]]</f>
        <v>8</v>
      </c>
      <c r="P183">
        <f t="shared" si="62"/>
        <v>0.77777777777777779</v>
      </c>
      <c r="Q183">
        <f>[1]!survey_responses[[#This Row],[So với trước đây, tôi thấy cách tính thuế và các bậc thuế trong phương án mới đơn giản, dễ hiểu và dễ thực hiện hơn. - HUMAN-FAC2]]</f>
        <v>8</v>
      </c>
      <c r="R183">
        <f t="shared" si="63"/>
        <v>0.77777777777777779</v>
      </c>
      <c r="S183" s="32">
        <f t="shared" si="64"/>
        <v>0.72222222222222221</v>
      </c>
      <c r="T183" s="32">
        <f t="shared" si="65"/>
        <v>0.61111111111111116</v>
      </c>
      <c r="U183">
        <f>step3_validation[[#This Row],[AI_TRU1]]</f>
        <v>7</v>
      </c>
      <c r="V183">
        <f t="shared" si="66"/>
        <v>0.66666666666666663</v>
      </c>
      <c r="W183">
        <f>[1]!survey_responses[[#This Row],[Tôi tin rằng Nhà nước, cơ quan thuế sẽ thực thi chính sách mới một cách khách quan, công tâm và đối xử bình đẳng với mọi người nộp thuế.  - HUMAN-TRU1]]</f>
        <v>6</v>
      </c>
      <c r="X183">
        <f t="shared" si="67"/>
        <v>0.55555555555555558</v>
      </c>
      <c r="Y183">
        <f>step3_validation[[#This Row],[AI_TRU2]]</f>
        <v>6</v>
      </c>
      <c r="Z183">
        <f t="shared" si="68"/>
        <v>0.55555555555555558</v>
      </c>
      <c r="AA183">
        <f>[1]!survey_responses[[#This Row],[Tôi thấy mức thuế tôi phải đóng theo phương án mới là công bằng (người thu nhập như tôi đóng mức này là hợp lý). - HUMAN-TRU2]]</f>
        <v>8</v>
      </c>
      <c r="AB183">
        <f t="shared" si="69"/>
        <v>0.77777777777777779</v>
      </c>
      <c r="AC183">
        <f>step3_validation[[#This Row],[AI_TRU3]]</f>
        <v>4</v>
      </c>
      <c r="AD183">
        <f t="shared" si="70"/>
        <v>0.33333333333333331</v>
      </c>
      <c r="AE183">
        <f>[1]!survey_responses[[#This Row],[Tôi tin tưởng số tiền thuế tôi đóng sẽ được Nhà nước sử dụng hiệu quả để cải thiện dịch vụ công (y tế, đường xá...). - HUMAN-TRU3]]</f>
        <v>6</v>
      </c>
      <c r="AF183">
        <f t="shared" si="71"/>
        <v>0.55555555555555558</v>
      </c>
      <c r="AG183">
        <f>step3_validation[[#This Row],[AI_TRU4]]</f>
        <v>6</v>
      </c>
      <c r="AH183">
        <f t="shared" si="72"/>
        <v>0.55555555555555558</v>
      </c>
      <c r="AI183">
        <f>[1]!survey_responses[[#This Row],[Tôi thấy Nhà nước đã giải thích rõ ràng, minh bạch về lý do và mục tiêu của việc sửa đổi thuế lần này. - HUMAN-TRU4]]</f>
        <v>7</v>
      </c>
      <c r="AJ183">
        <f t="shared" si="73"/>
        <v>0.66666666666666663</v>
      </c>
      <c r="AK183" s="32">
        <f t="shared" si="74"/>
        <v>0.52777777777777779</v>
      </c>
      <c r="AL183" s="32">
        <f t="shared" si="75"/>
        <v>0.63888888888888895</v>
      </c>
      <c r="AM183" s="7">
        <f t="shared" si="76"/>
        <v>0.58333333333333337</v>
      </c>
      <c r="AN183" s="7">
        <f t="shared" si="77"/>
        <v>0.67592592592592593</v>
      </c>
      <c r="AO183">
        <f>step3_validation[[#This Row],[AI_OUT1]]</f>
        <v>5</v>
      </c>
      <c r="AP183">
        <f t="shared" si="78"/>
        <v>0.44444444444444442</v>
      </c>
      <c r="AQ183">
        <f>[1]!survey_responses[[#This Row],[Sau khi xem xét các quyền lợi và nghĩa vụ, bạn có ủng hộ và tuân thủ chính sách mới hiện nay? - HUMAN-OUT1]]</f>
        <v>7</v>
      </c>
      <c r="AR183">
        <f t="shared" si="79"/>
        <v>0.66666666666666663</v>
      </c>
      <c r="AS183" s="32">
        <f t="shared" si="80"/>
        <v>2</v>
      </c>
    </row>
    <row r="184" spans="1:45" x14ac:dyDescent="0.45">
      <c r="A184">
        <f>step3_validation[[#This Row],[AI_ENF1]]</f>
        <v>7</v>
      </c>
      <c r="B184">
        <f t="shared" si="54"/>
        <v>0.66666666666666663</v>
      </c>
      <c r="C184">
        <f>[1]!survey_responses[[#This Row],[Tôi tin rằng với các quy định quản lý thuế hiện nay, hành vi gian lận hoặc trốn thuế sẽ dễ dàng bị phát hiện và xử lý nghiêm. - HUMAN-ENF1]]</f>
        <v>2</v>
      </c>
      <c r="D184">
        <f t="shared" si="55"/>
        <v>0.1111111111111111</v>
      </c>
      <c r="E184">
        <f>step3_validation[[#This Row],[AI_ENF2]]</f>
        <v>8</v>
      </c>
      <c r="F184">
        <f t="shared" si="56"/>
        <v>0.77777777777777779</v>
      </c>
      <c r="G184">
        <f>[1]!survey_responses[[#This Row],[Tôi tin rằng Nhà nước, cơ quan thuế có đủ khả năng và công nghệ để phát hiện, xử lý nghiêm các hành vi trốn thuế. - HUMAN-ENF2]]</f>
        <v>5</v>
      </c>
      <c r="H184">
        <f t="shared" si="57"/>
        <v>0.44444444444444442</v>
      </c>
      <c r="I184" s="32">
        <f t="shared" si="58"/>
        <v>0.72222222222222221</v>
      </c>
      <c r="J184" s="32">
        <f t="shared" si="59"/>
        <v>0.27777777777777779</v>
      </c>
      <c r="K184">
        <f>step3_validation[[#This Row],[AI_FAC1]]</f>
        <v>6</v>
      </c>
      <c r="L184">
        <f t="shared" si="60"/>
        <v>0.55555555555555558</v>
      </c>
      <c r="M184">
        <f>[1]!survey_responses[[#This Row],[Các thủ tục khai báo thuế VÀ/HOẶC quy trình làm việc với cơ quan thuế đơn giản, tiện lợi, nhanh chóng hơn so với trước đây. - HUMAN-FAC1]]</f>
        <v>3</v>
      </c>
      <c r="N184">
        <f t="shared" si="61"/>
        <v>0.22222222222222221</v>
      </c>
      <c r="O184">
        <f>step3_validation[[#This Row],[AI_FAC2]]</f>
        <v>7</v>
      </c>
      <c r="P184">
        <f t="shared" si="62"/>
        <v>0.66666666666666663</v>
      </c>
      <c r="Q184">
        <f>[1]!survey_responses[[#This Row],[So với trước đây, tôi thấy cách tính thuế và các bậc thuế trong phương án mới đơn giản, dễ hiểu và dễ thực hiện hơn. - HUMAN-FAC2]]</f>
        <v>5</v>
      </c>
      <c r="R184">
        <f t="shared" si="63"/>
        <v>0.44444444444444442</v>
      </c>
      <c r="S184" s="32">
        <f t="shared" si="64"/>
        <v>0.61111111111111116</v>
      </c>
      <c r="T184" s="32">
        <f t="shared" si="65"/>
        <v>0.33333333333333331</v>
      </c>
      <c r="U184">
        <f>step3_validation[[#This Row],[AI_TRU1]]</f>
        <v>6</v>
      </c>
      <c r="V184">
        <f t="shared" si="66"/>
        <v>0.55555555555555558</v>
      </c>
      <c r="W184">
        <f>[1]!survey_responses[[#This Row],[Tôi tin rằng Nhà nước, cơ quan thuế sẽ thực thi chính sách mới một cách khách quan, công tâm và đối xử bình đẳng với mọi người nộp thuế.  - HUMAN-TRU1]]</f>
        <v>3</v>
      </c>
      <c r="X184">
        <f t="shared" si="67"/>
        <v>0.22222222222222221</v>
      </c>
      <c r="Y184">
        <f>step3_validation[[#This Row],[AI_TRU2]]</f>
        <v>8</v>
      </c>
      <c r="Z184">
        <f t="shared" si="68"/>
        <v>0.77777777777777779</v>
      </c>
      <c r="AA184">
        <f>[1]!survey_responses[[#This Row],[Tôi thấy mức thuế tôi phải đóng theo phương án mới là công bằng (người thu nhập như tôi đóng mức này là hợp lý). - HUMAN-TRU2]]</f>
        <v>2</v>
      </c>
      <c r="AB184">
        <f t="shared" si="69"/>
        <v>0.1111111111111111</v>
      </c>
      <c r="AC184">
        <f>step3_validation[[#This Row],[AI_TRU3]]</f>
        <v>6</v>
      </c>
      <c r="AD184">
        <f t="shared" si="70"/>
        <v>0.55555555555555558</v>
      </c>
      <c r="AE184">
        <f>[1]!survey_responses[[#This Row],[Tôi tin tưởng số tiền thuế tôi đóng sẽ được Nhà nước sử dụng hiệu quả để cải thiện dịch vụ công (y tế, đường xá...). - HUMAN-TRU3]]</f>
        <v>1</v>
      </c>
      <c r="AF184">
        <f t="shared" si="71"/>
        <v>0</v>
      </c>
      <c r="AG184">
        <f>step3_validation[[#This Row],[AI_TRU4]]</f>
        <v>5</v>
      </c>
      <c r="AH184">
        <f t="shared" si="72"/>
        <v>0.44444444444444442</v>
      </c>
      <c r="AI184">
        <f>[1]!survey_responses[[#This Row],[Tôi thấy Nhà nước đã giải thích rõ ràng, minh bạch về lý do và mục tiêu của việc sửa đổi thuế lần này. - HUMAN-TRU4]]</f>
        <v>5</v>
      </c>
      <c r="AJ184">
        <f t="shared" si="73"/>
        <v>0.44444444444444442</v>
      </c>
      <c r="AK184" s="32">
        <f t="shared" si="74"/>
        <v>0.58333333333333337</v>
      </c>
      <c r="AL184" s="32">
        <f t="shared" si="75"/>
        <v>0.19444444444444442</v>
      </c>
      <c r="AM184" s="7">
        <f t="shared" si="76"/>
        <v>0.63888888888888895</v>
      </c>
      <c r="AN184" s="7">
        <f t="shared" si="77"/>
        <v>0.26851851851851855</v>
      </c>
      <c r="AO184">
        <f>step3_validation[[#This Row],[AI_OUT1]]</f>
        <v>6</v>
      </c>
      <c r="AP184">
        <f t="shared" si="78"/>
        <v>0.55555555555555558</v>
      </c>
      <c r="AQ184">
        <f>[1]!survey_responses[[#This Row],[Sau khi xem xét các quyền lợi và nghĩa vụ, bạn có ủng hộ và tuân thủ chính sách mới hiện nay? - HUMAN-OUT1]]</f>
        <v>5</v>
      </c>
      <c r="AR184">
        <f t="shared" si="79"/>
        <v>0.44444444444444442</v>
      </c>
      <c r="AS184" s="32">
        <f t="shared" si="80"/>
        <v>1</v>
      </c>
    </row>
    <row r="185" spans="1:45" x14ac:dyDescent="0.45">
      <c r="A185">
        <f>step3_validation[[#This Row],[AI_ENF1]]</f>
        <v>8</v>
      </c>
      <c r="B185">
        <f t="shared" si="54"/>
        <v>0.77777777777777779</v>
      </c>
      <c r="C185">
        <f>[1]!survey_responses[[#This Row],[Tôi tin rằng với các quy định quản lý thuế hiện nay, hành vi gian lận hoặc trốn thuế sẽ dễ dàng bị phát hiện và xử lý nghiêm. - HUMAN-ENF1]]</f>
        <v>6</v>
      </c>
      <c r="D185">
        <f t="shared" si="55"/>
        <v>0.55555555555555558</v>
      </c>
      <c r="E185">
        <f>step3_validation[[#This Row],[AI_ENF2]]</f>
        <v>9</v>
      </c>
      <c r="F185">
        <f t="shared" si="56"/>
        <v>0.88888888888888884</v>
      </c>
      <c r="G185">
        <f>[1]!survey_responses[[#This Row],[Tôi tin rằng Nhà nước, cơ quan thuế có đủ khả năng và công nghệ để phát hiện, xử lý nghiêm các hành vi trốn thuế. - HUMAN-ENF2]]</f>
        <v>6</v>
      </c>
      <c r="H185">
        <f t="shared" si="57"/>
        <v>0.55555555555555558</v>
      </c>
      <c r="I185" s="32">
        <f t="shared" si="58"/>
        <v>0.83333333333333326</v>
      </c>
      <c r="J185" s="32">
        <f t="shared" si="59"/>
        <v>0.55555555555555558</v>
      </c>
      <c r="K185">
        <f>step3_validation[[#This Row],[AI_FAC1]]</f>
        <v>8</v>
      </c>
      <c r="L185">
        <f t="shared" si="60"/>
        <v>0.77777777777777779</v>
      </c>
      <c r="M185">
        <f>[1]!survey_responses[[#This Row],[Các thủ tục khai báo thuế VÀ/HOẶC quy trình làm việc với cơ quan thuế đơn giản, tiện lợi, nhanh chóng hơn so với trước đây. - HUMAN-FAC1]]</f>
        <v>5</v>
      </c>
      <c r="N185">
        <f t="shared" si="61"/>
        <v>0.44444444444444442</v>
      </c>
      <c r="O185">
        <f>step3_validation[[#This Row],[AI_FAC2]]</f>
        <v>9</v>
      </c>
      <c r="P185">
        <f t="shared" si="62"/>
        <v>0.88888888888888884</v>
      </c>
      <c r="Q185">
        <f>[1]!survey_responses[[#This Row],[So với trước đây, tôi thấy cách tính thuế và các bậc thuế trong phương án mới đơn giản, dễ hiểu và dễ thực hiện hơn. - HUMAN-FAC2]]</f>
        <v>9</v>
      </c>
      <c r="R185">
        <f t="shared" si="63"/>
        <v>0.88888888888888884</v>
      </c>
      <c r="S185" s="32">
        <f t="shared" si="64"/>
        <v>0.83333333333333326</v>
      </c>
      <c r="T185" s="32">
        <f t="shared" si="65"/>
        <v>0.66666666666666663</v>
      </c>
      <c r="U185">
        <f>step3_validation[[#This Row],[AI_TRU1]]</f>
        <v>8</v>
      </c>
      <c r="V185">
        <f t="shared" si="66"/>
        <v>0.77777777777777779</v>
      </c>
      <c r="W185">
        <f>[1]!survey_responses[[#This Row],[Tôi tin rằng Nhà nước, cơ quan thuế sẽ thực thi chính sách mới một cách khách quan, công tâm và đối xử bình đẳng với mọi người nộp thuế.  - HUMAN-TRU1]]</f>
        <v>7</v>
      </c>
      <c r="X185">
        <f t="shared" si="67"/>
        <v>0.66666666666666663</v>
      </c>
      <c r="Y185">
        <f>step3_validation[[#This Row],[AI_TRU2]]</f>
        <v>7</v>
      </c>
      <c r="Z185">
        <f t="shared" si="68"/>
        <v>0.66666666666666663</v>
      </c>
      <c r="AA185">
        <f>[1]!survey_responses[[#This Row],[Tôi thấy mức thuế tôi phải đóng theo phương án mới là công bằng (người thu nhập như tôi đóng mức này là hợp lý). - HUMAN-TRU2]]</f>
        <v>8</v>
      </c>
      <c r="AB185">
        <f t="shared" si="69"/>
        <v>0.77777777777777779</v>
      </c>
      <c r="AC185">
        <f>step3_validation[[#This Row],[AI_TRU3]]</f>
        <v>6</v>
      </c>
      <c r="AD185">
        <f t="shared" si="70"/>
        <v>0.55555555555555558</v>
      </c>
      <c r="AE185">
        <f>[1]!survey_responses[[#This Row],[Tôi tin tưởng số tiền thuế tôi đóng sẽ được Nhà nước sử dụng hiệu quả để cải thiện dịch vụ công (y tế, đường xá...). - HUMAN-TRU3]]</f>
        <v>5</v>
      </c>
      <c r="AF185">
        <f t="shared" si="71"/>
        <v>0.44444444444444442</v>
      </c>
      <c r="AG185">
        <f>step3_validation[[#This Row],[AI_TRU4]]</f>
        <v>7</v>
      </c>
      <c r="AH185">
        <f t="shared" si="72"/>
        <v>0.66666666666666663</v>
      </c>
      <c r="AI185">
        <f>[1]!survey_responses[[#This Row],[Tôi thấy Nhà nước đã giải thích rõ ràng, minh bạch về lý do và mục tiêu của việc sửa đổi thuế lần này. - HUMAN-TRU4]]</f>
        <v>7</v>
      </c>
      <c r="AJ185">
        <f t="shared" si="73"/>
        <v>0.66666666666666663</v>
      </c>
      <c r="AK185" s="32">
        <f t="shared" si="74"/>
        <v>0.66666666666666663</v>
      </c>
      <c r="AL185" s="32">
        <f t="shared" si="75"/>
        <v>0.63888888888888884</v>
      </c>
      <c r="AM185" s="7">
        <f t="shared" si="76"/>
        <v>0.77777777777777768</v>
      </c>
      <c r="AN185" s="7">
        <f t="shared" si="77"/>
        <v>0.62037037037037035</v>
      </c>
      <c r="AO185">
        <f>step3_validation[[#This Row],[AI_OUT1]]</f>
        <v>7</v>
      </c>
      <c r="AP185">
        <f t="shared" si="78"/>
        <v>0.66666666666666663</v>
      </c>
      <c r="AQ185">
        <f>[1]!survey_responses[[#This Row],[Sau khi xem xét các quyền lợi và nghĩa vụ, bạn có ủng hộ và tuân thủ chính sách mới hiện nay? - HUMAN-OUT1]]</f>
        <v>7</v>
      </c>
      <c r="AR185">
        <f t="shared" si="79"/>
        <v>0.66666666666666663</v>
      </c>
      <c r="AS185" s="32">
        <f t="shared" si="80"/>
        <v>0</v>
      </c>
    </row>
    <row r="186" spans="1:45" x14ac:dyDescent="0.45">
      <c r="A186">
        <f>step3_validation[[#This Row],[AI_ENF1]]</f>
        <v>7</v>
      </c>
      <c r="B186">
        <f t="shared" si="54"/>
        <v>0.66666666666666663</v>
      </c>
      <c r="C186">
        <f>[1]!survey_responses[[#This Row],[Tôi tin rằng với các quy định quản lý thuế hiện nay, hành vi gian lận hoặc trốn thuế sẽ dễ dàng bị phát hiện và xử lý nghiêm. - HUMAN-ENF1]]</f>
        <v>7</v>
      </c>
      <c r="D186">
        <f t="shared" si="55"/>
        <v>0.66666666666666663</v>
      </c>
      <c r="E186">
        <f>step3_validation[[#This Row],[AI_ENF2]]</f>
        <v>8</v>
      </c>
      <c r="F186">
        <f t="shared" si="56"/>
        <v>0.77777777777777779</v>
      </c>
      <c r="G186">
        <f>[1]!survey_responses[[#This Row],[Tôi tin rằng Nhà nước, cơ quan thuế có đủ khả năng và công nghệ để phát hiện, xử lý nghiêm các hành vi trốn thuế. - HUMAN-ENF2]]</f>
        <v>7</v>
      </c>
      <c r="H186">
        <f t="shared" si="57"/>
        <v>0.66666666666666663</v>
      </c>
      <c r="I186" s="32">
        <f t="shared" si="58"/>
        <v>0.72222222222222221</v>
      </c>
      <c r="J186" s="32">
        <f t="shared" si="59"/>
        <v>0.66666666666666663</v>
      </c>
      <c r="K186">
        <f>step3_validation[[#This Row],[AI_FAC1]]</f>
        <v>6</v>
      </c>
      <c r="L186">
        <f t="shared" si="60"/>
        <v>0.55555555555555558</v>
      </c>
      <c r="M186">
        <f>[1]!survey_responses[[#This Row],[Các thủ tục khai báo thuế VÀ/HOẶC quy trình làm việc với cơ quan thuế đơn giản, tiện lợi, nhanh chóng hơn so với trước đây. - HUMAN-FAC1]]</f>
        <v>6</v>
      </c>
      <c r="N186">
        <f t="shared" si="61"/>
        <v>0.55555555555555558</v>
      </c>
      <c r="O186">
        <f>step3_validation[[#This Row],[AI_FAC2]]</f>
        <v>7</v>
      </c>
      <c r="P186">
        <f t="shared" si="62"/>
        <v>0.66666666666666663</v>
      </c>
      <c r="Q186">
        <f>[1]!survey_responses[[#This Row],[So với trước đây, tôi thấy cách tính thuế và các bậc thuế trong phương án mới đơn giản, dễ hiểu và dễ thực hiện hơn. - HUMAN-FAC2]]</f>
        <v>8</v>
      </c>
      <c r="R186">
        <f t="shared" si="63"/>
        <v>0.77777777777777779</v>
      </c>
      <c r="S186" s="32">
        <f t="shared" si="64"/>
        <v>0.61111111111111116</v>
      </c>
      <c r="T186" s="32">
        <f t="shared" si="65"/>
        <v>0.66666666666666674</v>
      </c>
      <c r="U186">
        <f>step3_validation[[#This Row],[AI_TRU1]]</f>
        <v>6</v>
      </c>
      <c r="V186">
        <f t="shared" si="66"/>
        <v>0.55555555555555558</v>
      </c>
      <c r="W186">
        <f>[1]!survey_responses[[#This Row],[Tôi tin rằng Nhà nước, cơ quan thuế sẽ thực thi chính sách mới một cách khách quan, công tâm và đối xử bình đẳng với mọi người nộp thuế.  - HUMAN-TRU1]]</f>
        <v>5</v>
      </c>
      <c r="X186">
        <f t="shared" si="67"/>
        <v>0.44444444444444442</v>
      </c>
      <c r="Y186">
        <f>step3_validation[[#This Row],[AI_TRU2]]</f>
        <v>5</v>
      </c>
      <c r="Z186">
        <f t="shared" si="68"/>
        <v>0.44444444444444442</v>
      </c>
      <c r="AA186">
        <f>[1]!survey_responses[[#This Row],[Tôi thấy mức thuế tôi phải đóng theo phương án mới là công bằng (người thu nhập như tôi đóng mức này là hợp lý). - HUMAN-TRU2]]</f>
        <v>5</v>
      </c>
      <c r="AB186">
        <f t="shared" si="69"/>
        <v>0.44444444444444442</v>
      </c>
      <c r="AC186">
        <f>step3_validation[[#This Row],[AI_TRU3]]</f>
        <v>4</v>
      </c>
      <c r="AD186">
        <f t="shared" si="70"/>
        <v>0.33333333333333331</v>
      </c>
      <c r="AE186">
        <f>[1]!survey_responses[[#This Row],[Tôi tin tưởng số tiền thuế tôi đóng sẽ được Nhà nước sử dụng hiệu quả để cải thiện dịch vụ công (y tế, đường xá...). - HUMAN-TRU3]]</f>
        <v>5</v>
      </c>
      <c r="AF186">
        <f t="shared" si="71"/>
        <v>0.44444444444444442</v>
      </c>
      <c r="AG186">
        <f>step3_validation[[#This Row],[AI_TRU4]]</f>
        <v>5</v>
      </c>
      <c r="AH186">
        <f t="shared" si="72"/>
        <v>0.44444444444444442</v>
      </c>
      <c r="AI186">
        <f>[1]!survey_responses[[#This Row],[Tôi thấy Nhà nước đã giải thích rõ ràng, minh bạch về lý do và mục tiêu của việc sửa đổi thuế lần này. - HUMAN-TRU4]]</f>
        <v>6</v>
      </c>
      <c r="AJ186">
        <f t="shared" si="73"/>
        <v>0.55555555555555558</v>
      </c>
      <c r="AK186" s="32">
        <f t="shared" si="74"/>
        <v>0.44444444444444442</v>
      </c>
      <c r="AL186" s="32">
        <f t="shared" si="75"/>
        <v>0.47222222222222221</v>
      </c>
      <c r="AM186" s="7">
        <f t="shared" si="76"/>
        <v>0.59259259259259267</v>
      </c>
      <c r="AN186" s="7">
        <f t="shared" si="77"/>
        <v>0.60185185185185197</v>
      </c>
      <c r="AO186">
        <f>step3_validation[[#This Row],[AI_OUT1]]</f>
        <v>6</v>
      </c>
      <c r="AP186">
        <f t="shared" si="78"/>
        <v>0.55555555555555558</v>
      </c>
      <c r="AQ186">
        <f>[1]!survey_responses[[#This Row],[Sau khi xem xét các quyền lợi và nghĩa vụ, bạn có ủng hộ và tuân thủ chính sách mới hiện nay? - HUMAN-OUT1]]</f>
        <v>5</v>
      </c>
      <c r="AR186">
        <f t="shared" si="79"/>
        <v>0.44444444444444442</v>
      </c>
      <c r="AS186" s="32">
        <f t="shared" si="80"/>
        <v>1</v>
      </c>
    </row>
    <row r="187" spans="1:45" x14ac:dyDescent="0.45">
      <c r="A187">
        <f>step3_validation[[#This Row],[AI_ENF1]]</f>
        <v>7</v>
      </c>
      <c r="B187">
        <f t="shared" si="54"/>
        <v>0.66666666666666663</v>
      </c>
      <c r="C187">
        <f>[1]!survey_responses[[#This Row],[Tôi tin rằng với các quy định quản lý thuế hiện nay, hành vi gian lận hoặc trốn thuế sẽ dễ dàng bị phát hiện và xử lý nghiêm. - HUMAN-ENF1]]</f>
        <v>7</v>
      </c>
      <c r="D187">
        <f t="shared" si="55"/>
        <v>0.66666666666666663</v>
      </c>
      <c r="E187">
        <f>step3_validation[[#This Row],[AI_ENF2]]</f>
        <v>6</v>
      </c>
      <c r="F187">
        <f t="shared" si="56"/>
        <v>0.55555555555555558</v>
      </c>
      <c r="G187">
        <f>[1]!survey_responses[[#This Row],[Tôi tin rằng Nhà nước, cơ quan thuế có đủ khả năng và công nghệ để phát hiện, xử lý nghiêm các hành vi trốn thuế. - HUMAN-ENF2]]</f>
        <v>7</v>
      </c>
      <c r="H187">
        <f t="shared" si="57"/>
        <v>0.66666666666666663</v>
      </c>
      <c r="I187" s="32">
        <f t="shared" si="58"/>
        <v>0.61111111111111116</v>
      </c>
      <c r="J187" s="32">
        <f t="shared" si="59"/>
        <v>0.66666666666666663</v>
      </c>
      <c r="K187">
        <f>step3_validation[[#This Row],[AI_FAC1]]</f>
        <v>8</v>
      </c>
      <c r="L187">
        <f t="shared" si="60"/>
        <v>0.77777777777777779</v>
      </c>
      <c r="M187">
        <f>[1]!survey_responses[[#This Row],[Các thủ tục khai báo thuế VÀ/HOẶC quy trình làm việc với cơ quan thuế đơn giản, tiện lợi, nhanh chóng hơn so với trước đây. - HUMAN-FAC1]]</f>
        <v>5</v>
      </c>
      <c r="N187">
        <f t="shared" si="61"/>
        <v>0.44444444444444442</v>
      </c>
      <c r="O187">
        <f>step3_validation[[#This Row],[AI_FAC2]]</f>
        <v>7</v>
      </c>
      <c r="P187">
        <f t="shared" si="62"/>
        <v>0.66666666666666663</v>
      </c>
      <c r="Q187">
        <f>[1]!survey_responses[[#This Row],[So với trước đây, tôi thấy cách tính thuế và các bậc thuế trong phương án mới đơn giản, dễ hiểu và dễ thực hiện hơn. - HUMAN-FAC2]]</f>
        <v>7</v>
      </c>
      <c r="R187">
        <f t="shared" si="63"/>
        <v>0.66666666666666663</v>
      </c>
      <c r="S187" s="32">
        <f t="shared" si="64"/>
        <v>0.72222222222222221</v>
      </c>
      <c r="T187" s="32">
        <f t="shared" si="65"/>
        <v>0.55555555555555558</v>
      </c>
      <c r="U187">
        <f>step3_validation[[#This Row],[AI_TRU1]]</f>
        <v>8</v>
      </c>
      <c r="V187">
        <f t="shared" si="66"/>
        <v>0.77777777777777779</v>
      </c>
      <c r="W187">
        <f>[1]!survey_responses[[#This Row],[Tôi tin rằng Nhà nước, cơ quan thuế sẽ thực thi chính sách mới một cách khách quan, công tâm và đối xử bình đẳng với mọi người nộp thuế.  - HUMAN-TRU1]]</f>
        <v>5</v>
      </c>
      <c r="X187">
        <f t="shared" si="67"/>
        <v>0.44444444444444442</v>
      </c>
      <c r="Y187">
        <f>step3_validation[[#This Row],[AI_TRU2]]</f>
        <v>6</v>
      </c>
      <c r="Z187">
        <f t="shared" si="68"/>
        <v>0.55555555555555558</v>
      </c>
      <c r="AA187">
        <f>[1]!survey_responses[[#This Row],[Tôi thấy mức thuế tôi phải đóng theo phương án mới là công bằng (người thu nhập như tôi đóng mức này là hợp lý). - HUMAN-TRU2]]</f>
        <v>5</v>
      </c>
      <c r="AB187">
        <f t="shared" si="69"/>
        <v>0.44444444444444442</v>
      </c>
      <c r="AC187">
        <f>step3_validation[[#This Row],[AI_TRU3]]</f>
        <v>7</v>
      </c>
      <c r="AD187">
        <f t="shared" si="70"/>
        <v>0.66666666666666663</v>
      </c>
      <c r="AE187">
        <f>[1]!survey_responses[[#This Row],[Tôi tin tưởng số tiền thuế tôi đóng sẽ được Nhà nước sử dụng hiệu quả để cải thiện dịch vụ công (y tế, đường xá...). - HUMAN-TRU3]]</f>
        <v>5</v>
      </c>
      <c r="AF187">
        <f t="shared" si="71"/>
        <v>0.44444444444444442</v>
      </c>
      <c r="AG187">
        <f>step3_validation[[#This Row],[AI_TRU4]]</f>
        <v>5</v>
      </c>
      <c r="AH187">
        <f t="shared" si="72"/>
        <v>0.44444444444444442</v>
      </c>
      <c r="AI187">
        <f>[1]!survey_responses[[#This Row],[Tôi thấy Nhà nước đã giải thích rõ ràng, minh bạch về lý do và mục tiêu của việc sửa đổi thuế lần này. - HUMAN-TRU4]]</f>
        <v>5</v>
      </c>
      <c r="AJ187">
        <f t="shared" si="73"/>
        <v>0.44444444444444442</v>
      </c>
      <c r="AK187" s="32">
        <f t="shared" si="74"/>
        <v>0.61111111111111116</v>
      </c>
      <c r="AL187" s="32">
        <f t="shared" si="75"/>
        <v>0.44444444444444442</v>
      </c>
      <c r="AM187" s="7">
        <f t="shared" si="76"/>
        <v>0.64814814814814825</v>
      </c>
      <c r="AN187" s="7">
        <f t="shared" si="77"/>
        <v>0.55555555555555558</v>
      </c>
      <c r="AO187">
        <f>step3_validation[[#This Row],[AI_OUT1]]</f>
        <v>6</v>
      </c>
      <c r="AP187">
        <f t="shared" si="78"/>
        <v>0.55555555555555558</v>
      </c>
      <c r="AQ187">
        <f>[1]!survey_responses[[#This Row],[Sau khi xem xét các quyền lợi và nghĩa vụ, bạn có ủng hộ và tuân thủ chính sách mới hiện nay? - HUMAN-OUT1]]</f>
        <v>6</v>
      </c>
      <c r="AR187">
        <f t="shared" si="79"/>
        <v>0.55555555555555558</v>
      </c>
      <c r="AS187" s="32">
        <f t="shared" si="80"/>
        <v>0</v>
      </c>
    </row>
    <row r="188" spans="1:45" x14ac:dyDescent="0.45">
      <c r="A188">
        <f>step3_validation[[#This Row],[AI_ENF1]]</f>
        <v>7</v>
      </c>
      <c r="B188">
        <f t="shared" si="54"/>
        <v>0.66666666666666663</v>
      </c>
      <c r="C188">
        <f>[1]!survey_responses[[#This Row],[Tôi tin rằng với các quy định quản lý thuế hiện nay, hành vi gian lận hoặc trốn thuế sẽ dễ dàng bị phát hiện và xử lý nghiêm. - HUMAN-ENF1]]</f>
        <v>6</v>
      </c>
      <c r="D188">
        <f t="shared" si="55"/>
        <v>0.55555555555555558</v>
      </c>
      <c r="E188">
        <f>step3_validation[[#This Row],[AI_ENF2]]</f>
        <v>6</v>
      </c>
      <c r="F188">
        <f t="shared" si="56"/>
        <v>0.55555555555555558</v>
      </c>
      <c r="G188">
        <f>[1]!survey_responses[[#This Row],[Tôi tin rằng Nhà nước, cơ quan thuế có đủ khả năng và công nghệ để phát hiện, xử lý nghiêm các hành vi trốn thuế. - HUMAN-ENF2]]</f>
        <v>7</v>
      </c>
      <c r="H188">
        <f t="shared" si="57"/>
        <v>0.66666666666666663</v>
      </c>
      <c r="I188" s="32">
        <f t="shared" si="58"/>
        <v>0.61111111111111116</v>
      </c>
      <c r="J188" s="32">
        <f t="shared" si="59"/>
        <v>0.61111111111111116</v>
      </c>
      <c r="K188">
        <f>step3_validation[[#This Row],[AI_FAC1]]</f>
        <v>8</v>
      </c>
      <c r="L188">
        <f t="shared" si="60"/>
        <v>0.77777777777777779</v>
      </c>
      <c r="M188">
        <f>[1]!survey_responses[[#This Row],[Các thủ tục khai báo thuế VÀ/HOẶC quy trình làm việc với cơ quan thuế đơn giản, tiện lợi, nhanh chóng hơn so với trước đây. - HUMAN-FAC1]]</f>
        <v>6</v>
      </c>
      <c r="N188">
        <f t="shared" si="61"/>
        <v>0.55555555555555558</v>
      </c>
      <c r="O188">
        <f>step3_validation[[#This Row],[AI_FAC2]]</f>
        <v>9</v>
      </c>
      <c r="P188">
        <f t="shared" si="62"/>
        <v>0.88888888888888884</v>
      </c>
      <c r="Q188">
        <f>[1]!survey_responses[[#This Row],[So với trước đây, tôi thấy cách tính thuế và các bậc thuế trong phương án mới đơn giản, dễ hiểu và dễ thực hiện hơn. - HUMAN-FAC2]]</f>
        <v>7</v>
      </c>
      <c r="R188">
        <f t="shared" si="63"/>
        <v>0.66666666666666663</v>
      </c>
      <c r="S188" s="32">
        <f t="shared" si="64"/>
        <v>0.83333333333333326</v>
      </c>
      <c r="T188" s="32">
        <f t="shared" si="65"/>
        <v>0.61111111111111116</v>
      </c>
      <c r="U188">
        <f>step3_validation[[#This Row],[AI_TRU1]]</f>
        <v>7</v>
      </c>
      <c r="V188">
        <f t="shared" si="66"/>
        <v>0.66666666666666663</v>
      </c>
      <c r="W188">
        <f>[1]!survey_responses[[#This Row],[Tôi tin rằng Nhà nước, cơ quan thuế sẽ thực thi chính sách mới một cách khách quan, công tâm và đối xử bình đẳng với mọi người nộp thuế.  - HUMAN-TRU1]]</f>
        <v>6</v>
      </c>
      <c r="X188">
        <f t="shared" si="67"/>
        <v>0.55555555555555558</v>
      </c>
      <c r="Y188">
        <f>step3_validation[[#This Row],[AI_TRU2]]</f>
        <v>8</v>
      </c>
      <c r="Z188">
        <f t="shared" si="68"/>
        <v>0.77777777777777779</v>
      </c>
      <c r="AA188">
        <f>[1]!survey_responses[[#This Row],[Tôi thấy mức thuế tôi phải đóng theo phương án mới là công bằng (người thu nhập như tôi đóng mức này là hợp lý). - HUMAN-TRU2]]</f>
        <v>6</v>
      </c>
      <c r="AB188">
        <f t="shared" si="69"/>
        <v>0.55555555555555558</v>
      </c>
      <c r="AC188">
        <f>step3_validation[[#This Row],[AI_TRU3]]</f>
        <v>7</v>
      </c>
      <c r="AD188">
        <f t="shared" si="70"/>
        <v>0.66666666666666663</v>
      </c>
      <c r="AE188">
        <f>[1]!survey_responses[[#This Row],[Tôi tin tưởng số tiền thuế tôi đóng sẽ được Nhà nước sử dụng hiệu quả để cải thiện dịch vụ công (y tế, đường xá...). - HUMAN-TRU3]]</f>
        <v>5</v>
      </c>
      <c r="AF188">
        <f t="shared" si="71"/>
        <v>0.44444444444444442</v>
      </c>
      <c r="AG188">
        <f>step3_validation[[#This Row],[AI_TRU4]]</f>
        <v>6</v>
      </c>
      <c r="AH188">
        <f t="shared" si="72"/>
        <v>0.55555555555555558</v>
      </c>
      <c r="AI188">
        <f>[1]!survey_responses[[#This Row],[Tôi thấy Nhà nước đã giải thích rõ ràng, minh bạch về lý do và mục tiêu của việc sửa đổi thuế lần này. - HUMAN-TRU4]]</f>
        <v>5</v>
      </c>
      <c r="AJ188">
        <f t="shared" si="73"/>
        <v>0.44444444444444442</v>
      </c>
      <c r="AK188" s="32">
        <f t="shared" si="74"/>
        <v>0.66666666666666674</v>
      </c>
      <c r="AL188" s="32">
        <f t="shared" si="75"/>
        <v>0.5</v>
      </c>
      <c r="AM188" s="7">
        <f t="shared" si="76"/>
        <v>0.70370370370370372</v>
      </c>
      <c r="AN188" s="7">
        <f t="shared" si="77"/>
        <v>0.57407407407407407</v>
      </c>
      <c r="AO188">
        <f>step3_validation[[#This Row],[AI_OUT1]]</f>
        <v>8</v>
      </c>
      <c r="AP188">
        <f t="shared" si="78"/>
        <v>0.77777777777777779</v>
      </c>
      <c r="AQ188">
        <f>[1]!survey_responses[[#This Row],[Sau khi xem xét các quyền lợi và nghĩa vụ, bạn có ủng hộ và tuân thủ chính sách mới hiện nay? - HUMAN-OUT1]]</f>
        <v>6</v>
      </c>
      <c r="AR188">
        <f t="shared" si="79"/>
        <v>0.55555555555555558</v>
      </c>
      <c r="AS188" s="32">
        <f t="shared" si="80"/>
        <v>2</v>
      </c>
    </row>
    <row r="189" spans="1:45" x14ac:dyDescent="0.45">
      <c r="A189">
        <f>step3_validation[[#This Row],[AI_ENF1]]</f>
        <v>7</v>
      </c>
      <c r="B189">
        <f t="shared" si="54"/>
        <v>0.66666666666666663</v>
      </c>
      <c r="C189">
        <f>[1]!survey_responses[[#This Row],[Tôi tin rằng với các quy định quản lý thuế hiện nay, hành vi gian lận hoặc trốn thuế sẽ dễ dàng bị phát hiện và xử lý nghiêm. - HUMAN-ENF1]]</f>
        <v>5</v>
      </c>
      <c r="D189">
        <f t="shared" si="55"/>
        <v>0.44444444444444442</v>
      </c>
      <c r="E189">
        <f>step3_validation[[#This Row],[AI_ENF2]]</f>
        <v>6</v>
      </c>
      <c r="F189">
        <f t="shared" si="56"/>
        <v>0.55555555555555558</v>
      </c>
      <c r="G189">
        <f>[1]!survey_responses[[#This Row],[Tôi tin rằng Nhà nước, cơ quan thuế có đủ khả năng và công nghệ để phát hiện, xử lý nghiêm các hành vi trốn thuế. - HUMAN-ENF2]]</f>
        <v>5</v>
      </c>
      <c r="H189">
        <f t="shared" si="57"/>
        <v>0.44444444444444442</v>
      </c>
      <c r="I189" s="32">
        <f t="shared" si="58"/>
        <v>0.61111111111111116</v>
      </c>
      <c r="J189" s="32">
        <f t="shared" si="59"/>
        <v>0.44444444444444442</v>
      </c>
      <c r="K189">
        <f>step3_validation[[#This Row],[AI_FAC1]]</f>
        <v>8</v>
      </c>
      <c r="L189">
        <f t="shared" si="60"/>
        <v>0.77777777777777779</v>
      </c>
      <c r="M189">
        <f>[1]!survey_responses[[#This Row],[Các thủ tục khai báo thuế VÀ/HOẶC quy trình làm việc với cơ quan thuế đơn giản, tiện lợi, nhanh chóng hơn so với trước đây. - HUMAN-FAC1]]</f>
        <v>4</v>
      </c>
      <c r="N189">
        <f t="shared" si="61"/>
        <v>0.33333333333333331</v>
      </c>
      <c r="O189">
        <f>step3_validation[[#This Row],[AI_FAC2]]</f>
        <v>9</v>
      </c>
      <c r="P189">
        <f t="shared" si="62"/>
        <v>0.88888888888888884</v>
      </c>
      <c r="Q189">
        <f>[1]!survey_responses[[#This Row],[So với trước đây, tôi thấy cách tính thuế và các bậc thuế trong phương án mới đơn giản, dễ hiểu và dễ thực hiện hơn. - HUMAN-FAC2]]</f>
        <v>6</v>
      </c>
      <c r="R189">
        <f t="shared" si="63"/>
        <v>0.55555555555555558</v>
      </c>
      <c r="S189" s="32">
        <f t="shared" si="64"/>
        <v>0.83333333333333326</v>
      </c>
      <c r="T189" s="32">
        <f t="shared" si="65"/>
        <v>0.44444444444444442</v>
      </c>
      <c r="U189">
        <f>step3_validation[[#This Row],[AI_TRU1]]</f>
        <v>8</v>
      </c>
      <c r="V189">
        <f t="shared" si="66"/>
        <v>0.77777777777777779</v>
      </c>
      <c r="W189">
        <f>[1]!survey_responses[[#This Row],[Tôi tin rằng Nhà nước, cơ quan thuế sẽ thực thi chính sách mới một cách khách quan, công tâm và đối xử bình đẳng với mọi người nộp thuế.  - HUMAN-TRU1]]</f>
        <v>5</v>
      </c>
      <c r="X189">
        <f t="shared" si="67"/>
        <v>0.44444444444444442</v>
      </c>
      <c r="Y189">
        <f>step3_validation[[#This Row],[AI_TRU2]]</f>
        <v>7</v>
      </c>
      <c r="Z189">
        <f t="shared" si="68"/>
        <v>0.66666666666666663</v>
      </c>
      <c r="AA189">
        <f>[1]!survey_responses[[#This Row],[Tôi thấy mức thuế tôi phải đóng theo phương án mới là công bằng (người thu nhập như tôi đóng mức này là hợp lý). - HUMAN-TRU2]]</f>
        <v>5</v>
      </c>
      <c r="AB189">
        <f t="shared" si="69"/>
        <v>0.44444444444444442</v>
      </c>
      <c r="AC189">
        <f>step3_validation[[#This Row],[AI_TRU3]]</f>
        <v>6</v>
      </c>
      <c r="AD189">
        <f t="shared" si="70"/>
        <v>0.55555555555555558</v>
      </c>
      <c r="AE189">
        <f>[1]!survey_responses[[#This Row],[Tôi tin tưởng số tiền thuế tôi đóng sẽ được Nhà nước sử dụng hiệu quả để cải thiện dịch vụ công (y tế, đường xá...). - HUMAN-TRU3]]</f>
        <v>5</v>
      </c>
      <c r="AF189">
        <f t="shared" si="71"/>
        <v>0.44444444444444442</v>
      </c>
      <c r="AG189">
        <f>step3_validation[[#This Row],[AI_TRU4]]</f>
        <v>5</v>
      </c>
      <c r="AH189">
        <f t="shared" si="72"/>
        <v>0.44444444444444442</v>
      </c>
      <c r="AI189">
        <f>[1]!survey_responses[[#This Row],[Tôi thấy Nhà nước đã giải thích rõ ràng, minh bạch về lý do và mục tiêu của việc sửa đổi thuế lần này. - HUMAN-TRU4]]</f>
        <v>5</v>
      </c>
      <c r="AJ189">
        <f t="shared" si="73"/>
        <v>0.44444444444444442</v>
      </c>
      <c r="AK189" s="32">
        <f t="shared" si="74"/>
        <v>0.61111111111111116</v>
      </c>
      <c r="AL189" s="32">
        <f t="shared" si="75"/>
        <v>0.44444444444444442</v>
      </c>
      <c r="AM189" s="7">
        <f t="shared" si="76"/>
        <v>0.68518518518518512</v>
      </c>
      <c r="AN189" s="7">
        <f t="shared" si="77"/>
        <v>0.44444444444444442</v>
      </c>
      <c r="AO189">
        <f>step3_validation[[#This Row],[AI_OUT1]]</f>
        <v>7</v>
      </c>
      <c r="AP189">
        <f t="shared" si="78"/>
        <v>0.66666666666666663</v>
      </c>
      <c r="AQ189">
        <f>[1]!survey_responses[[#This Row],[Sau khi xem xét các quyền lợi và nghĩa vụ, bạn có ủng hộ và tuân thủ chính sách mới hiện nay? - HUMAN-OUT1]]</f>
        <v>5</v>
      </c>
      <c r="AR189">
        <f t="shared" si="79"/>
        <v>0.44444444444444442</v>
      </c>
      <c r="AS189" s="32">
        <f t="shared" si="80"/>
        <v>2</v>
      </c>
    </row>
    <row r="190" spans="1:45" x14ac:dyDescent="0.45">
      <c r="A190">
        <f>step3_validation[[#This Row],[AI_ENF1]]</f>
        <v>6</v>
      </c>
      <c r="B190">
        <f t="shared" si="54"/>
        <v>0.55555555555555558</v>
      </c>
      <c r="C190">
        <f>[1]!survey_responses[[#This Row],[Tôi tin rằng với các quy định quản lý thuế hiện nay, hành vi gian lận hoặc trốn thuế sẽ dễ dàng bị phát hiện và xử lý nghiêm. - HUMAN-ENF1]]</f>
        <v>8</v>
      </c>
      <c r="D190">
        <f t="shared" si="55"/>
        <v>0.77777777777777779</v>
      </c>
      <c r="E190">
        <f>step3_validation[[#This Row],[AI_ENF2]]</f>
        <v>7</v>
      </c>
      <c r="F190">
        <f t="shared" si="56"/>
        <v>0.66666666666666663</v>
      </c>
      <c r="G190">
        <f>[1]!survey_responses[[#This Row],[Tôi tin rằng Nhà nước, cơ quan thuế có đủ khả năng và công nghệ để phát hiện, xử lý nghiêm các hành vi trốn thuế. - HUMAN-ENF2]]</f>
        <v>8</v>
      </c>
      <c r="H190">
        <f t="shared" si="57"/>
        <v>0.77777777777777779</v>
      </c>
      <c r="I190" s="32">
        <f t="shared" si="58"/>
        <v>0.61111111111111116</v>
      </c>
      <c r="J190" s="32">
        <f t="shared" si="59"/>
        <v>0.77777777777777779</v>
      </c>
      <c r="K190">
        <f>step3_validation[[#This Row],[AI_FAC1]]</f>
        <v>5</v>
      </c>
      <c r="L190">
        <f t="shared" si="60"/>
        <v>0.44444444444444442</v>
      </c>
      <c r="M190">
        <f>[1]!survey_responses[[#This Row],[Các thủ tục khai báo thuế VÀ/HOẶC quy trình làm việc với cơ quan thuế đơn giản, tiện lợi, nhanh chóng hơn so với trước đây. - HUMAN-FAC1]]</f>
        <v>5</v>
      </c>
      <c r="N190">
        <f t="shared" si="61"/>
        <v>0.44444444444444442</v>
      </c>
      <c r="O190">
        <f>step3_validation[[#This Row],[AI_FAC2]]</f>
        <v>6</v>
      </c>
      <c r="P190">
        <f t="shared" si="62"/>
        <v>0.55555555555555558</v>
      </c>
      <c r="Q190">
        <f>[1]!survey_responses[[#This Row],[So với trước đây, tôi thấy cách tính thuế và các bậc thuế trong phương án mới đơn giản, dễ hiểu và dễ thực hiện hơn. - HUMAN-FAC2]]</f>
        <v>7</v>
      </c>
      <c r="R190">
        <f t="shared" si="63"/>
        <v>0.66666666666666663</v>
      </c>
      <c r="S190" s="32">
        <f t="shared" si="64"/>
        <v>0.5</v>
      </c>
      <c r="T190" s="32">
        <f t="shared" si="65"/>
        <v>0.55555555555555558</v>
      </c>
      <c r="U190">
        <f>step3_validation[[#This Row],[AI_TRU1]]</f>
        <v>7</v>
      </c>
      <c r="V190">
        <f t="shared" si="66"/>
        <v>0.66666666666666663</v>
      </c>
      <c r="W190">
        <f>[1]!survey_responses[[#This Row],[Tôi tin rằng Nhà nước, cơ quan thuế sẽ thực thi chính sách mới một cách khách quan, công tâm và đối xử bình đẳng với mọi người nộp thuế.  - HUMAN-TRU1]]</f>
        <v>6</v>
      </c>
      <c r="X190">
        <f t="shared" si="67"/>
        <v>0.55555555555555558</v>
      </c>
      <c r="Y190">
        <f>step3_validation[[#This Row],[AI_TRU2]]</f>
        <v>6</v>
      </c>
      <c r="Z190">
        <f t="shared" si="68"/>
        <v>0.55555555555555558</v>
      </c>
      <c r="AA190">
        <f>[1]!survey_responses[[#This Row],[Tôi thấy mức thuế tôi phải đóng theo phương án mới là công bằng (người thu nhập như tôi đóng mức này là hợp lý). - HUMAN-TRU2]]</f>
        <v>8</v>
      </c>
      <c r="AB190">
        <f t="shared" si="69"/>
        <v>0.77777777777777779</v>
      </c>
      <c r="AC190">
        <f>step3_validation[[#This Row],[AI_TRU3]]</f>
        <v>6</v>
      </c>
      <c r="AD190">
        <f t="shared" si="70"/>
        <v>0.55555555555555558</v>
      </c>
      <c r="AE190">
        <f>[1]!survey_responses[[#This Row],[Tôi tin tưởng số tiền thuế tôi đóng sẽ được Nhà nước sử dụng hiệu quả để cải thiện dịch vụ công (y tế, đường xá...). - HUMAN-TRU3]]</f>
        <v>5</v>
      </c>
      <c r="AF190">
        <f t="shared" si="71"/>
        <v>0.44444444444444442</v>
      </c>
      <c r="AG190">
        <f>step3_validation[[#This Row],[AI_TRU4]]</f>
        <v>5</v>
      </c>
      <c r="AH190">
        <f t="shared" si="72"/>
        <v>0.44444444444444442</v>
      </c>
      <c r="AI190">
        <f>[1]!survey_responses[[#This Row],[Tôi thấy Nhà nước đã giải thích rõ ràng, minh bạch về lý do và mục tiêu của việc sửa đổi thuế lần này. - HUMAN-TRU4]]</f>
        <v>7</v>
      </c>
      <c r="AJ190">
        <f t="shared" si="73"/>
        <v>0.66666666666666663</v>
      </c>
      <c r="AK190" s="32">
        <f t="shared" si="74"/>
        <v>0.55555555555555558</v>
      </c>
      <c r="AL190" s="32">
        <f t="shared" si="75"/>
        <v>0.61111111111111116</v>
      </c>
      <c r="AM190" s="7">
        <f t="shared" si="76"/>
        <v>0.55555555555555558</v>
      </c>
      <c r="AN190" s="7">
        <f t="shared" si="77"/>
        <v>0.64814814814814825</v>
      </c>
      <c r="AO190">
        <f>step3_validation[[#This Row],[AI_OUT1]]</f>
        <v>4</v>
      </c>
      <c r="AP190">
        <f t="shared" si="78"/>
        <v>0.33333333333333331</v>
      </c>
      <c r="AQ190">
        <f>[1]!survey_responses[[#This Row],[Sau khi xem xét các quyền lợi và nghĩa vụ, bạn có ủng hộ và tuân thủ chính sách mới hiện nay? - HUMAN-OUT1]]</f>
        <v>8</v>
      </c>
      <c r="AR190">
        <f t="shared" si="79"/>
        <v>0.77777777777777779</v>
      </c>
      <c r="AS190" s="32">
        <f t="shared" si="80"/>
        <v>4</v>
      </c>
    </row>
    <row r="191" spans="1:45" x14ac:dyDescent="0.45">
      <c r="A191">
        <f>step3_validation[[#This Row],[AI_ENF1]]</f>
        <v>7</v>
      </c>
      <c r="B191">
        <f t="shared" si="54"/>
        <v>0.66666666666666663</v>
      </c>
      <c r="C191">
        <f>[1]!survey_responses[[#This Row],[Tôi tin rằng với các quy định quản lý thuế hiện nay, hành vi gian lận hoặc trốn thuế sẽ dễ dàng bị phát hiện và xử lý nghiêm. - HUMAN-ENF1]]</f>
        <v>7</v>
      </c>
      <c r="D191">
        <f t="shared" si="55"/>
        <v>0.66666666666666663</v>
      </c>
      <c r="E191">
        <f>step3_validation[[#This Row],[AI_ENF2]]</f>
        <v>8</v>
      </c>
      <c r="F191">
        <f t="shared" si="56"/>
        <v>0.77777777777777779</v>
      </c>
      <c r="G191">
        <f>[1]!survey_responses[[#This Row],[Tôi tin rằng Nhà nước, cơ quan thuế có đủ khả năng và công nghệ để phát hiện, xử lý nghiêm các hành vi trốn thuế. - HUMAN-ENF2]]</f>
        <v>7</v>
      </c>
      <c r="H191">
        <f t="shared" si="57"/>
        <v>0.66666666666666663</v>
      </c>
      <c r="I191" s="32">
        <f t="shared" si="58"/>
        <v>0.72222222222222221</v>
      </c>
      <c r="J191" s="32">
        <f t="shared" si="59"/>
        <v>0.66666666666666663</v>
      </c>
      <c r="K191">
        <f>step3_validation[[#This Row],[AI_FAC1]]</f>
        <v>9</v>
      </c>
      <c r="L191">
        <f t="shared" si="60"/>
        <v>0.88888888888888884</v>
      </c>
      <c r="M191">
        <f>[1]!survey_responses[[#This Row],[Các thủ tục khai báo thuế VÀ/HOẶC quy trình làm việc với cơ quan thuế đơn giản, tiện lợi, nhanh chóng hơn so với trước đây. - HUMAN-FAC1]]</f>
        <v>7</v>
      </c>
      <c r="N191">
        <f t="shared" si="61"/>
        <v>0.66666666666666663</v>
      </c>
      <c r="O191">
        <f>step3_validation[[#This Row],[AI_FAC2]]</f>
        <v>8</v>
      </c>
      <c r="P191">
        <f t="shared" si="62"/>
        <v>0.77777777777777779</v>
      </c>
      <c r="Q191">
        <f>[1]!survey_responses[[#This Row],[So với trước đây, tôi thấy cách tính thuế và các bậc thuế trong phương án mới đơn giản, dễ hiểu và dễ thực hiện hơn. - HUMAN-FAC2]]</f>
        <v>8</v>
      </c>
      <c r="R191">
        <f t="shared" si="63"/>
        <v>0.77777777777777779</v>
      </c>
      <c r="S191" s="32">
        <f t="shared" si="64"/>
        <v>0.83333333333333326</v>
      </c>
      <c r="T191" s="32">
        <f t="shared" si="65"/>
        <v>0.72222222222222221</v>
      </c>
      <c r="U191">
        <f>step3_validation[[#This Row],[AI_TRU1]]</f>
        <v>7</v>
      </c>
      <c r="V191">
        <f t="shared" si="66"/>
        <v>0.66666666666666663</v>
      </c>
      <c r="W191">
        <f>[1]!survey_responses[[#This Row],[Tôi tin rằng Nhà nước, cơ quan thuế sẽ thực thi chính sách mới một cách khách quan, công tâm và đối xử bình đẳng với mọi người nộp thuế.  - HUMAN-TRU1]]</f>
        <v>3</v>
      </c>
      <c r="X191">
        <f t="shared" si="67"/>
        <v>0.22222222222222221</v>
      </c>
      <c r="Y191">
        <f>step3_validation[[#This Row],[AI_TRU2]]</f>
        <v>7</v>
      </c>
      <c r="Z191">
        <f t="shared" si="68"/>
        <v>0.66666666666666663</v>
      </c>
      <c r="AA191">
        <f>[1]!survey_responses[[#This Row],[Tôi thấy mức thuế tôi phải đóng theo phương án mới là công bằng (người thu nhập như tôi đóng mức này là hợp lý). - HUMAN-TRU2]]</f>
        <v>3</v>
      </c>
      <c r="AB191">
        <f t="shared" si="69"/>
        <v>0.22222222222222221</v>
      </c>
      <c r="AC191">
        <f>step3_validation[[#This Row],[AI_TRU3]]</f>
        <v>6</v>
      </c>
      <c r="AD191">
        <f t="shared" si="70"/>
        <v>0.55555555555555558</v>
      </c>
      <c r="AE191">
        <f>[1]!survey_responses[[#This Row],[Tôi tin tưởng số tiền thuế tôi đóng sẽ được Nhà nước sử dụng hiệu quả để cải thiện dịch vụ công (y tế, đường xá...). - HUMAN-TRU3]]</f>
        <v>2</v>
      </c>
      <c r="AF191">
        <f t="shared" si="71"/>
        <v>0.1111111111111111</v>
      </c>
      <c r="AG191">
        <f>step3_validation[[#This Row],[AI_TRU4]]</f>
        <v>5</v>
      </c>
      <c r="AH191">
        <f t="shared" si="72"/>
        <v>0.44444444444444442</v>
      </c>
      <c r="AI191">
        <f>[1]!survey_responses[[#This Row],[Tôi thấy Nhà nước đã giải thích rõ ràng, minh bạch về lý do và mục tiêu của việc sửa đổi thuế lần này. - HUMAN-TRU4]]</f>
        <v>3</v>
      </c>
      <c r="AJ191">
        <f t="shared" si="73"/>
        <v>0.22222222222222221</v>
      </c>
      <c r="AK191" s="32">
        <f t="shared" si="74"/>
        <v>0.58333333333333326</v>
      </c>
      <c r="AL191" s="32">
        <f t="shared" si="75"/>
        <v>0.19444444444444445</v>
      </c>
      <c r="AM191" s="7">
        <f t="shared" si="76"/>
        <v>0.7129629629629628</v>
      </c>
      <c r="AN191" s="7">
        <f t="shared" si="77"/>
        <v>0.52777777777777779</v>
      </c>
      <c r="AO191">
        <f>step3_validation[[#This Row],[AI_OUT1]]</f>
        <v>6</v>
      </c>
      <c r="AP191">
        <f t="shared" si="78"/>
        <v>0.55555555555555558</v>
      </c>
      <c r="AQ191">
        <f>[1]!survey_responses[[#This Row],[Sau khi xem xét các quyền lợi và nghĩa vụ, bạn có ủng hộ và tuân thủ chính sách mới hiện nay? - HUMAN-OUT1]]</f>
        <v>8</v>
      </c>
      <c r="AR191">
        <f t="shared" si="79"/>
        <v>0.77777777777777779</v>
      </c>
      <c r="AS191" s="32">
        <f t="shared" si="80"/>
        <v>2</v>
      </c>
    </row>
    <row r="192" spans="1:45" x14ac:dyDescent="0.45">
      <c r="A192">
        <f>step3_validation[[#This Row],[AI_ENF1]]</f>
        <v>8</v>
      </c>
      <c r="B192">
        <f t="shared" si="54"/>
        <v>0.77777777777777779</v>
      </c>
      <c r="C192">
        <f>[1]!survey_responses[[#This Row],[Tôi tin rằng với các quy định quản lý thuế hiện nay, hành vi gian lận hoặc trốn thuế sẽ dễ dàng bị phát hiện và xử lý nghiêm. - HUMAN-ENF1]]</f>
        <v>7</v>
      </c>
      <c r="D192">
        <f t="shared" si="55"/>
        <v>0.66666666666666663</v>
      </c>
      <c r="E192">
        <f>step3_validation[[#This Row],[AI_ENF2]]</f>
        <v>7</v>
      </c>
      <c r="F192">
        <f t="shared" si="56"/>
        <v>0.66666666666666663</v>
      </c>
      <c r="G192">
        <f>[1]!survey_responses[[#This Row],[Tôi tin rằng Nhà nước, cơ quan thuế có đủ khả năng và công nghệ để phát hiện, xử lý nghiêm các hành vi trốn thuế. - HUMAN-ENF2]]</f>
        <v>7</v>
      </c>
      <c r="H192">
        <f t="shared" si="57"/>
        <v>0.66666666666666663</v>
      </c>
      <c r="I192" s="32">
        <f t="shared" si="58"/>
        <v>0.72222222222222221</v>
      </c>
      <c r="J192" s="32">
        <f t="shared" si="59"/>
        <v>0.66666666666666663</v>
      </c>
      <c r="K192">
        <f>step3_validation[[#This Row],[AI_FAC1]]</f>
        <v>9</v>
      </c>
      <c r="L192">
        <f t="shared" si="60"/>
        <v>0.88888888888888884</v>
      </c>
      <c r="M192">
        <f>[1]!survey_responses[[#This Row],[Các thủ tục khai báo thuế VÀ/HOẶC quy trình làm việc với cơ quan thuế đơn giản, tiện lợi, nhanh chóng hơn so với trước đây. - HUMAN-FAC1]]</f>
        <v>6</v>
      </c>
      <c r="N192">
        <f t="shared" si="61"/>
        <v>0.55555555555555558</v>
      </c>
      <c r="O192">
        <f>step3_validation[[#This Row],[AI_FAC2]]</f>
        <v>8</v>
      </c>
      <c r="P192">
        <f t="shared" si="62"/>
        <v>0.77777777777777779</v>
      </c>
      <c r="Q192">
        <f>[1]!survey_responses[[#This Row],[So với trước đây, tôi thấy cách tính thuế và các bậc thuế trong phương án mới đơn giản, dễ hiểu và dễ thực hiện hơn. - HUMAN-FAC2]]</f>
        <v>8</v>
      </c>
      <c r="R192">
        <f t="shared" si="63"/>
        <v>0.77777777777777779</v>
      </c>
      <c r="S192" s="32">
        <f t="shared" si="64"/>
        <v>0.83333333333333326</v>
      </c>
      <c r="T192" s="32">
        <f t="shared" si="65"/>
        <v>0.66666666666666674</v>
      </c>
      <c r="U192">
        <f>step3_validation[[#This Row],[AI_TRU1]]</f>
        <v>7</v>
      </c>
      <c r="V192">
        <f t="shared" si="66"/>
        <v>0.66666666666666663</v>
      </c>
      <c r="W192">
        <f>[1]!survey_responses[[#This Row],[Tôi tin rằng Nhà nước, cơ quan thuế sẽ thực thi chính sách mới một cách khách quan, công tâm và đối xử bình đẳng với mọi người nộp thuế.  - HUMAN-TRU1]]</f>
        <v>7</v>
      </c>
      <c r="X192">
        <f t="shared" si="67"/>
        <v>0.66666666666666663</v>
      </c>
      <c r="Y192">
        <f>step3_validation[[#This Row],[AI_TRU2]]</f>
        <v>8</v>
      </c>
      <c r="Z192">
        <f t="shared" si="68"/>
        <v>0.77777777777777779</v>
      </c>
      <c r="AA192">
        <f>[1]!survey_responses[[#This Row],[Tôi thấy mức thuế tôi phải đóng theo phương án mới là công bằng (người thu nhập như tôi đóng mức này là hợp lý). - HUMAN-TRU2]]</f>
        <v>8</v>
      </c>
      <c r="AB192">
        <f t="shared" si="69"/>
        <v>0.77777777777777779</v>
      </c>
      <c r="AC192">
        <f>step3_validation[[#This Row],[AI_TRU3]]</f>
        <v>7</v>
      </c>
      <c r="AD192">
        <f t="shared" si="70"/>
        <v>0.66666666666666663</v>
      </c>
      <c r="AE192">
        <f>[1]!survey_responses[[#This Row],[Tôi tin tưởng số tiền thuế tôi đóng sẽ được Nhà nước sử dụng hiệu quả để cải thiện dịch vụ công (y tế, đường xá...). - HUMAN-TRU3]]</f>
        <v>7</v>
      </c>
      <c r="AF192">
        <f t="shared" si="71"/>
        <v>0.66666666666666663</v>
      </c>
      <c r="AG192">
        <f>step3_validation[[#This Row],[AI_TRU4]]</f>
        <v>6</v>
      </c>
      <c r="AH192">
        <f t="shared" si="72"/>
        <v>0.55555555555555558</v>
      </c>
      <c r="AI192">
        <f>[1]!survey_responses[[#This Row],[Tôi thấy Nhà nước đã giải thích rõ ràng, minh bạch về lý do và mục tiêu của việc sửa đổi thuế lần này. - HUMAN-TRU4]]</f>
        <v>7</v>
      </c>
      <c r="AJ192">
        <f t="shared" si="73"/>
        <v>0.66666666666666663</v>
      </c>
      <c r="AK192" s="32">
        <f t="shared" si="74"/>
        <v>0.66666666666666674</v>
      </c>
      <c r="AL192" s="32">
        <f t="shared" si="75"/>
        <v>0.69444444444444442</v>
      </c>
      <c r="AM192" s="7">
        <f t="shared" si="76"/>
        <v>0.74074074074074081</v>
      </c>
      <c r="AN192" s="7">
        <f t="shared" si="77"/>
        <v>0.67592592592592593</v>
      </c>
      <c r="AO192">
        <f>step3_validation[[#This Row],[AI_OUT1]]</f>
        <v>8</v>
      </c>
      <c r="AP192">
        <f t="shared" si="78"/>
        <v>0.77777777777777779</v>
      </c>
      <c r="AQ192">
        <f>[1]!survey_responses[[#This Row],[Sau khi xem xét các quyền lợi và nghĩa vụ, bạn có ủng hộ và tuân thủ chính sách mới hiện nay? - HUMAN-OUT1]]</f>
        <v>7</v>
      </c>
      <c r="AR192">
        <f t="shared" si="79"/>
        <v>0.66666666666666663</v>
      </c>
      <c r="AS192" s="32">
        <f t="shared" si="80"/>
        <v>1</v>
      </c>
    </row>
    <row r="193" spans="1:45" x14ac:dyDescent="0.45">
      <c r="A193">
        <f>step3_validation[[#This Row],[AI_ENF1]]</f>
        <v>8</v>
      </c>
      <c r="B193">
        <f t="shared" si="54"/>
        <v>0.77777777777777779</v>
      </c>
      <c r="C193">
        <f>[1]!survey_responses[[#This Row],[Tôi tin rằng với các quy định quản lý thuế hiện nay, hành vi gian lận hoặc trốn thuế sẽ dễ dàng bị phát hiện và xử lý nghiêm. - HUMAN-ENF1]]</f>
        <v>8</v>
      </c>
      <c r="D193">
        <f t="shared" si="55"/>
        <v>0.77777777777777779</v>
      </c>
      <c r="E193">
        <f>step3_validation[[#This Row],[AI_ENF2]]</f>
        <v>7</v>
      </c>
      <c r="F193">
        <f t="shared" si="56"/>
        <v>0.66666666666666663</v>
      </c>
      <c r="G193">
        <f>[1]!survey_responses[[#This Row],[Tôi tin rằng Nhà nước, cơ quan thuế có đủ khả năng và công nghệ để phát hiện, xử lý nghiêm các hành vi trốn thuế. - HUMAN-ENF2]]</f>
        <v>8</v>
      </c>
      <c r="H193">
        <f t="shared" si="57"/>
        <v>0.77777777777777779</v>
      </c>
      <c r="I193" s="32">
        <f t="shared" si="58"/>
        <v>0.72222222222222221</v>
      </c>
      <c r="J193" s="32">
        <f t="shared" si="59"/>
        <v>0.77777777777777779</v>
      </c>
      <c r="K193">
        <f>step3_validation[[#This Row],[AI_FAC1]]</f>
        <v>9</v>
      </c>
      <c r="L193">
        <f t="shared" si="60"/>
        <v>0.88888888888888884</v>
      </c>
      <c r="M193">
        <f>[1]!survey_responses[[#This Row],[Các thủ tục khai báo thuế VÀ/HOẶC quy trình làm việc với cơ quan thuế đơn giản, tiện lợi, nhanh chóng hơn so với trước đây. - HUMAN-FAC1]]</f>
        <v>9</v>
      </c>
      <c r="N193">
        <f t="shared" si="61"/>
        <v>0.88888888888888884</v>
      </c>
      <c r="O193">
        <f>step3_validation[[#This Row],[AI_FAC2]]</f>
        <v>8</v>
      </c>
      <c r="P193">
        <f t="shared" si="62"/>
        <v>0.77777777777777779</v>
      </c>
      <c r="Q193">
        <f>[1]!survey_responses[[#This Row],[So với trước đây, tôi thấy cách tính thuế và các bậc thuế trong phương án mới đơn giản, dễ hiểu và dễ thực hiện hơn. - HUMAN-FAC2]]</f>
        <v>9</v>
      </c>
      <c r="R193">
        <f t="shared" si="63"/>
        <v>0.88888888888888884</v>
      </c>
      <c r="S193" s="32">
        <f t="shared" si="64"/>
        <v>0.83333333333333326</v>
      </c>
      <c r="T193" s="32">
        <f t="shared" si="65"/>
        <v>0.88888888888888884</v>
      </c>
      <c r="U193">
        <f>step3_validation[[#This Row],[AI_TRU1]]</f>
        <v>7</v>
      </c>
      <c r="V193">
        <f t="shared" si="66"/>
        <v>0.66666666666666663</v>
      </c>
      <c r="W193">
        <f>[1]!survey_responses[[#This Row],[Tôi tin rằng Nhà nước, cơ quan thuế sẽ thực thi chính sách mới một cách khách quan, công tâm và đối xử bình đẳng với mọi người nộp thuế.  - HUMAN-TRU1]]</f>
        <v>9</v>
      </c>
      <c r="X193">
        <f t="shared" si="67"/>
        <v>0.88888888888888884</v>
      </c>
      <c r="Y193">
        <f>step3_validation[[#This Row],[AI_TRU2]]</f>
        <v>5</v>
      </c>
      <c r="Z193">
        <f t="shared" si="68"/>
        <v>0.44444444444444442</v>
      </c>
      <c r="AA193">
        <f>[1]!survey_responses[[#This Row],[Tôi thấy mức thuế tôi phải đóng theo phương án mới là công bằng (người thu nhập như tôi đóng mức này là hợp lý). - HUMAN-TRU2]]</f>
        <v>9</v>
      </c>
      <c r="AB193">
        <f t="shared" si="69"/>
        <v>0.88888888888888884</v>
      </c>
      <c r="AC193">
        <f>step3_validation[[#This Row],[AI_TRU3]]</f>
        <v>6</v>
      </c>
      <c r="AD193">
        <f t="shared" si="70"/>
        <v>0.55555555555555558</v>
      </c>
      <c r="AE193">
        <f>[1]!survey_responses[[#This Row],[Tôi tin tưởng số tiền thuế tôi đóng sẽ được Nhà nước sử dụng hiệu quả để cải thiện dịch vụ công (y tế, đường xá...). - HUMAN-TRU3]]</f>
        <v>8</v>
      </c>
      <c r="AF193">
        <f t="shared" si="71"/>
        <v>0.77777777777777779</v>
      </c>
      <c r="AG193">
        <f>step3_validation[[#This Row],[AI_TRU4]]</f>
        <v>4</v>
      </c>
      <c r="AH193">
        <f t="shared" si="72"/>
        <v>0.33333333333333331</v>
      </c>
      <c r="AI193">
        <f>[1]!survey_responses[[#This Row],[Tôi thấy Nhà nước đã giải thích rõ ràng, minh bạch về lý do và mục tiêu của việc sửa đổi thuế lần này. - HUMAN-TRU4]]</f>
        <v>8</v>
      </c>
      <c r="AJ193">
        <f t="shared" si="73"/>
        <v>0.77777777777777779</v>
      </c>
      <c r="AK193" s="32">
        <f t="shared" si="74"/>
        <v>0.5</v>
      </c>
      <c r="AL193" s="32">
        <f t="shared" si="75"/>
        <v>0.83333333333333326</v>
      </c>
      <c r="AM193" s="7">
        <f t="shared" si="76"/>
        <v>0.68518518518518512</v>
      </c>
      <c r="AN193" s="7">
        <f t="shared" si="77"/>
        <v>0.83333333333333337</v>
      </c>
      <c r="AO193">
        <f>step3_validation[[#This Row],[AI_OUT1]]</f>
        <v>7</v>
      </c>
      <c r="AP193">
        <f t="shared" si="78"/>
        <v>0.66666666666666663</v>
      </c>
      <c r="AQ193">
        <f>[1]!survey_responses[[#This Row],[Sau khi xem xét các quyền lợi và nghĩa vụ, bạn có ủng hộ và tuân thủ chính sách mới hiện nay? - HUMAN-OUT1]]</f>
        <v>9</v>
      </c>
      <c r="AR193">
        <f t="shared" si="79"/>
        <v>0.88888888888888884</v>
      </c>
      <c r="AS193" s="32">
        <f t="shared" si="80"/>
        <v>2</v>
      </c>
    </row>
    <row r="194" spans="1:45" x14ac:dyDescent="0.45">
      <c r="A194">
        <f>step3_validation[[#This Row],[AI_ENF1]]</f>
        <v>8</v>
      </c>
      <c r="B194">
        <f t="shared" si="54"/>
        <v>0.77777777777777779</v>
      </c>
      <c r="C194">
        <f>[1]!survey_responses[[#This Row],[Tôi tin rằng với các quy định quản lý thuế hiện nay, hành vi gian lận hoặc trốn thuế sẽ dễ dàng bị phát hiện và xử lý nghiêm. - HUMAN-ENF1]]</f>
        <v>1</v>
      </c>
      <c r="D194">
        <f t="shared" si="55"/>
        <v>0</v>
      </c>
      <c r="E194">
        <f>step3_validation[[#This Row],[AI_ENF2]]</f>
        <v>9</v>
      </c>
      <c r="F194">
        <f t="shared" si="56"/>
        <v>0.88888888888888884</v>
      </c>
      <c r="G194">
        <f>[1]!survey_responses[[#This Row],[Tôi tin rằng Nhà nước, cơ quan thuế có đủ khả năng và công nghệ để phát hiện, xử lý nghiêm các hành vi trốn thuế. - HUMAN-ENF2]]</f>
        <v>1</v>
      </c>
      <c r="H194">
        <f t="shared" si="57"/>
        <v>0</v>
      </c>
      <c r="I194" s="32">
        <f t="shared" si="58"/>
        <v>0.83333333333333326</v>
      </c>
      <c r="J194" s="32">
        <f t="shared" si="59"/>
        <v>0</v>
      </c>
      <c r="K194">
        <f>step3_validation[[#This Row],[AI_FAC1]]</f>
        <v>8</v>
      </c>
      <c r="L194">
        <f t="shared" si="60"/>
        <v>0.77777777777777779</v>
      </c>
      <c r="M194">
        <f>[1]!survey_responses[[#This Row],[Các thủ tục khai báo thuế VÀ/HOẶC quy trình làm việc với cơ quan thuế đơn giản, tiện lợi, nhanh chóng hơn so với trước đây. - HUMAN-FAC1]]</f>
        <v>7</v>
      </c>
      <c r="N194">
        <f t="shared" si="61"/>
        <v>0.66666666666666663</v>
      </c>
      <c r="O194">
        <f>step3_validation[[#This Row],[AI_FAC2]]</f>
        <v>9</v>
      </c>
      <c r="P194">
        <f t="shared" si="62"/>
        <v>0.88888888888888884</v>
      </c>
      <c r="Q194">
        <f>[1]!survey_responses[[#This Row],[So với trước đây, tôi thấy cách tính thuế và các bậc thuế trong phương án mới đơn giản, dễ hiểu và dễ thực hiện hơn. - HUMAN-FAC2]]</f>
        <v>5</v>
      </c>
      <c r="R194">
        <f t="shared" si="63"/>
        <v>0.44444444444444442</v>
      </c>
      <c r="S194" s="32">
        <f t="shared" si="64"/>
        <v>0.83333333333333326</v>
      </c>
      <c r="T194" s="32">
        <f t="shared" si="65"/>
        <v>0.55555555555555558</v>
      </c>
      <c r="U194">
        <f>step3_validation[[#This Row],[AI_TRU1]]</f>
        <v>8</v>
      </c>
      <c r="V194">
        <f t="shared" si="66"/>
        <v>0.77777777777777779</v>
      </c>
      <c r="W194">
        <f>[1]!survey_responses[[#This Row],[Tôi tin rằng Nhà nước, cơ quan thuế sẽ thực thi chính sách mới một cách khách quan, công tâm và đối xử bình đẳng với mọi người nộp thuế.  - HUMAN-TRU1]]</f>
        <v>5</v>
      </c>
      <c r="X194">
        <f t="shared" si="67"/>
        <v>0.44444444444444442</v>
      </c>
      <c r="Y194">
        <f>step3_validation[[#This Row],[AI_TRU2]]</f>
        <v>7</v>
      </c>
      <c r="Z194">
        <f t="shared" si="68"/>
        <v>0.66666666666666663</v>
      </c>
      <c r="AA194">
        <f>[1]!survey_responses[[#This Row],[Tôi thấy mức thuế tôi phải đóng theo phương án mới là công bằng (người thu nhập như tôi đóng mức này là hợp lý). - HUMAN-TRU2]]</f>
        <v>7</v>
      </c>
      <c r="AB194">
        <f t="shared" si="69"/>
        <v>0.66666666666666663</v>
      </c>
      <c r="AC194">
        <f>step3_validation[[#This Row],[AI_TRU3]]</f>
        <v>8</v>
      </c>
      <c r="AD194">
        <f t="shared" si="70"/>
        <v>0.77777777777777779</v>
      </c>
      <c r="AE194">
        <f>[1]!survey_responses[[#This Row],[Tôi tin tưởng số tiền thuế tôi đóng sẽ được Nhà nước sử dụng hiệu quả để cải thiện dịch vụ công (y tế, đường xá...). - HUMAN-TRU3]]</f>
        <v>2</v>
      </c>
      <c r="AF194">
        <f t="shared" si="71"/>
        <v>0.1111111111111111</v>
      </c>
      <c r="AG194">
        <f>step3_validation[[#This Row],[AI_TRU4]]</f>
        <v>7</v>
      </c>
      <c r="AH194">
        <f t="shared" si="72"/>
        <v>0.66666666666666663</v>
      </c>
      <c r="AI194">
        <f>[1]!survey_responses[[#This Row],[Tôi thấy Nhà nước đã giải thích rõ ràng, minh bạch về lý do và mục tiêu của việc sửa đổi thuế lần này. - HUMAN-TRU4]]</f>
        <v>5</v>
      </c>
      <c r="AJ194">
        <f t="shared" si="73"/>
        <v>0.44444444444444442</v>
      </c>
      <c r="AK194" s="32">
        <f t="shared" si="74"/>
        <v>0.72222222222222221</v>
      </c>
      <c r="AL194" s="32">
        <f t="shared" si="75"/>
        <v>0.41666666666666669</v>
      </c>
      <c r="AM194" s="7">
        <f t="shared" si="76"/>
        <v>0.79629629629629628</v>
      </c>
      <c r="AN194" s="7">
        <f t="shared" si="77"/>
        <v>0.32407407407407413</v>
      </c>
      <c r="AO194">
        <f>step3_validation[[#This Row],[AI_OUT1]]</f>
        <v>6</v>
      </c>
      <c r="AP194">
        <f t="shared" si="78"/>
        <v>0.55555555555555558</v>
      </c>
      <c r="AQ194">
        <f>[1]!survey_responses[[#This Row],[Sau khi xem xét các quyền lợi và nghĩa vụ, bạn có ủng hộ và tuân thủ chính sách mới hiện nay? - HUMAN-OUT1]]</f>
        <v>5</v>
      </c>
      <c r="AR194">
        <f t="shared" si="79"/>
        <v>0.44444444444444442</v>
      </c>
      <c r="AS194" s="32">
        <f t="shared" si="80"/>
        <v>1</v>
      </c>
    </row>
    <row r="195" spans="1:45" x14ac:dyDescent="0.45">
      <c r="A195">
        <f>step3_validation[[#This Row],[AI_ENF1]]</f>
        <v>6</v>
      </c>
      <c r="B195">
        <f t="shared" ref="B195:B258" si="81">(A195-1)/9</f>
        <v>0.55555555555555558</v>
      </c>
      <c r="C195">
        <f>[1]!survey_responses[[#This Row],[Tôi tin rằng với các quy định quản lý thuế hiện nay, hành vi gian lận hoặc trốn thuế sẽ dễ dàng bị phát hiện và xử lý nghiêm. - HUMAN-ENF1]]</f>
        <v>10</v>
      </c>
      <c r="D195">
        <f t="shared" ref="D195:D258" si="82">(C195-1)/9</f>
        <v>1</v>
      </c>
      <c r="E195">
        <f>step3_validation[[#This Row],[AI_ENF2]]</f>
        <v>5</v>
      </c>
      <c r="F195">
        <f t="shared" ref="F195:F258" si="83">(E195-1)/9</f>
        <v>0.44444444444444442</v>
      </c>
      <c r="G195">
        <f>[1]!survey_responses[[#This Row],[Tôi tin rằng Nhà nước, cơ quan thuế có đủ khả năng và công nghệ để phát hiện, xử lý nghiêm các hành vi trốn thuế. - HUMAN-ENF2]]</f>
        <v>10</v>
      </c>
      <c r="H195">
        <f t="shared" ref="H195:H258" si="84">(G195-1)/9</f>
        <v>1</v>
      </c>
      <c r="I195" s="32">
        <f t="shared" ref="I195:I258" si="85">AVERAGE(B195,F195)</f>
        <v>0.5</v>
      </c>
      <c r="J195" s="32">
        <f t="shared" ref="J195:J258" si="86">AVERAGE(D195,H195)</f>
        <v>1</v>
      </c>
      <c r="K195">
        <f>step3_validation[[#This Row],[AI_FAC1]]</f>
        <v>7</v>
      </c>
      <c r="L195">
        <f t="shared" ref="L195:L258" si="87">(K195-1)/9</f>
        <v>0.66666666666666663</v>
      </c>
      <c r="M195">
        <f>[1]!survey_responses[[#This Row],[Các thủ tục khai báo thuế VÀ/HOẶC quy trình làm việc với cơ quan thuế đơn giản, tiện lợi, nhanh chóng hơn so với trước đây. - HUMAN-FAC1]]</f>
        <v>6</v>
      </c>
      <c r="N195">
        <f t="shared" ref="N195:N258" si="88">(M195-1)/9</f>
        <v>0.55555555555555558</v>
      </c>
      <c r="O195">
        <f>step3_validation[[#This Row],[AI_FAC2]]</f>
        <v>8</v>
      </c>
      <c r="P195">
        <f t="shared" ref="P195:P258" si="89">(O195-1)/9</f>
        <v>0.77777777777777779</v>
      </c>
      <c r="Q195">
        <f>[1]!survey_responses[[#This Row],[So với trước đây, tôi thấy cách tính thuế và các bậc thuế trong phương án mới đơn giản, dễ hiểu và dễ thực hiện hơn. - HUMAN-FAC2]]</f>
        <v>4</v>
      </c>
      <c r="R195">
        <f t="shared" ref="R195:R258" si="90">(Q195-1)/9</f>
        <v>0.33333333333333331</v>
      </c>
      <c r="S195" s="32">
        <f t="shared" ref="S195:S258" si="91">AVERAGE(L195,P195)</f>
        <v>0.72222222222222221</v>
      </c>
      <c r="T195" s="32">
        <f t="shared" ref="T195:T258" si="92">AVERAGE(N195,R195)</f>
        <v>0.44444444444444442</v>
      </c>
      <c r="U195">
        <f>step3_validation[[#This Row],[AI_TRU1]]</f>
        <v>4</v>
      </c>
      <c r="V195">
        <f t="shared" ref="V195:V258" si="93">(U195-1)/9</f>
        <v>0.33333333333333331</v>
      </c>
      <c r="W195">
        <f>[1]!survey_responses[[#This Row],[Tôi tin rằng Nhà nước, cơ quan thuế sẽ thực thi chính sách mới một cách khách quan, công tâm và đối xử bình đẳng với mọi người nộp thuế.  - HUMAN-TRU1]]</f>
        <v>8</v>
      </c>
      <c r="X195">
        <f t="shared" ref="X195:X258" si="94">(W195-1)/9</f>
        <v>0.77777777777777779</v>
      </c>
      <c r="Y195">
        <f>step3_validation[[#This Row],[AI_TRU2]]</f>
        <v>5</v>
      </c>
      <c r="Z195">
        <f t="shared" ref="Z195:Z258" si="95">(Y195-1)/9</f>
        <v>0.44444444444444442</v>
      </c>
      <c r="AA195">
        <f>[1]!survey_responses[[#This Row],[Tôi thấy mức thuế tôi phải đóng theo phương án mới là công bằng (người thu nhập như tôi đóng mức này là hợp lý). - HUMAN-TRU2]]</f>
        <v>3</v>
      </c>
      <c r="AB195">
        <f t="shared" ref="AB195:AB258" si="96">(AA195-1)/9</f>
        <v>0.22222222222222221</v>
      </c>
      <c r="AC195">
        <f>step3_validation[[#This Row],[AI_TRU3]]</f>
        <v>4</v>
      </c>
      <c r="AD195">
        <f t="shared" ref="AD195:AD258" si="97">(AC195-1)/9</f>
        <v>0.33333333333333331</v>
      </c>
      <c r="AE195">
        <f>[1]!survey_responses[[#This Row],[Tôi tin tưởng số tiền thuế tôi đóng sẽ được Nhà nước sử dụng hiệu quả để cải thiện dịch vụ công (y tế, đường xá...). - HUMAN-TRU3]]</f>
        <v>10</v>
      </c>
      <c r="AF195">
        <f t="shared" ref="AF195:AF258" si="98">(AE195-1)/9</f>
        <v>1</v>
      </c>
      <c r="AG195">
        <f>step3_validation[[#This Row],[AI_TRU4]]</f>
        <v>6</v>
      </c>
      <c r="AH195">
        <f t="shared" ref="AH195:AH258" si="99">(AG195-1)/9</f>
        <v>0.55555555555555558</v>
      </c>
      <c r="AI195">
        <f>[1]!survey_responses[[#This Row],[Tôi thấy Nhà nước đã giải thích rõ ràng, minh bạch về lý do và mục tiêu của việc sửa đổi thuế lần này. - HUMAN-TRU4]]</f>
        <v>10</v>
      </c>
      <c r="AJ195">
        <f t="shared" ref="AJ195:AJ258" si="100">(AI195-1)/9</f>
        <v>1</v>
      </c>
      <c r="AK195" s="32">
        <f t="shared" ref="AK195:AK258" si="101">AVERAGE(V195,Z195,AD195,AH195)</f>
        <v>0.41666666666666663</v>
      </c>
      <c r="AL195" s="32">
        <f t="shared" ref="AL195:AL258" si="102">AVERAGE(X195,AB195,AF195,AJ195)</f>
        <v>0.75</v>
      </c>
      <c r="AM195" s="7">
        <f t="shared" ref="AM195:AM258" si="103">(I195+S195+AK195)/3</f>
        <v>0.54629629629629628</v>
      </c>
      <c r="AN195" s="7">
        <f t="shared" ref="AN195:AN258" si="104">(J195+T195+AL195)/3</f>
        <v>0.73148148148148151</v>
      </c>
      <c r="AO195">
        <f>step3_validation[[#This Row],[AI_OUT1]]</f>
        <v>5</v>
      </c>
      <c r="AP195">
        <f t="shared" ref="AP195:AP258" si="105">(AO195-1)/9</f>
        <v>0.44444444444444442</v>
      </c>
      <c r="AQ195">
        <f>[1]!survey_responses[[#This Row],[Sau khi xem xét các quyền lợi và nghĩa vụ, bạn có ủng hộ và tuân thủ chính sách mới hiện nay? - HUMAN-OUT1]]</f>
        <v>10</v>
      </c>
      <c r="AR195">
        <f t="shared" ref="AR195:AR258" si="106">(AQ195-1)/9</f>
        <v>1</v>
      </c>
      <c r="AS195" s="32">
        <f t="shared" ref="AS195:AS258" si="107">ABS(AQ195-AO195)</f>
        <v>5</v>
      </c>
    </row>
    <row r="196" spans="1:45" x14ac:dyDescent="0.45">
      <c r="A196">
        <f>step3_validation[[#This Row],[AI_ENF1]]</f>
        <v>5</v>
      </c>
      <c r="B196">
        <f t="shared" si="81"/>
        <v>0.44444444444444442</v>
      </c>
      <c r="C196">
        <f>[1]!survey_responses[[#This Row],[Tôi tin rằng với các quy định quản lý thuế hiện nay, hành vi gian lận hoặc trốn thuế sẽ dễ dàng bị phát hiện và xử lý nghiêm. - HUMAN-ENF1]]</f>
        <v>9</v>
      </c>
      <c r="D196">
        <f t="shared" si="82"/>
        <v>0.88888888888888884</v>
      </c>
      <c r="E196">
        <f>step3_validation[[#This Row],[AI_ENF2]]</f>
        <v>6</v>
      </c>
      <c r="F196">
        <f t="shared" si="83"/>
        <v>0.55555555555555558</v>
      </c>
      <c r="G196">
        <f>[1]!survey_responses[[#This Row],[Tôi tin rằng Nhà nước, cơ quan thuế có đủ khả năng và công nghệ để phát hiện, xử lý nghiêm các hành vi trốn thuế. - HUMAN-ENF2]]</f>
        <v>9</v>
      </c>
      <c r="H196">
        <f t="shared" si="84"/>
        <v>0.88888888888888884</v>
      </c>
      <c r="I196" s="32">
        <f t="shared" si="85"/>
        <v>0.5</v>
      </c>
      <c r="J196" s="32">
        <f t="shared" si="86"/>
        <v>0.88888888888888884</v>
      </c>
      <c r="K196">
        <f>step3_validation[[#This Row],[AI_FAC1]]</f>
        <v>8</v>
      </c>
      <c r="L196">
        <f t="shared" si="87"/>
        <v>0.77777777777777779</v>
      </c>
      <c r="M196">
        <f>[1]!survey_responses[[#This Row],[Các thủ tục khai báo thuế VÀ/HOẶC quy trình làm việc với cơ quan thuế đơn giản, tiện lợi, nhanh chóng hơn so với trước đây. - HUMAN-FAC1]]</f>
        <v>5</v>
      </c>
      <c r="N196">
        <f t="shared" si="88"/>
        <v>0.44444444444444442</v>
      </c>
      <c r="O196">
        <f>step3_validation[[#This Row],[AI_FAC2]]</f>
        <v>7</v>
      </c>
      <c r="P196">
        <f t="shared" si="89"/>
        <v>0.66666666666666663</v>
      </c>
      <c r="Q196">
        <f>[1]!survey_responses[[#This Row],[So với trước đây, tôi thấy cách tính thuế và các bậc thuế trong phương án mới đơn giản, dễ hiểu và dễ thực hiện hơn. - HUMAN-FAC2]]</f>
        <v>5</v>
      </c>
      <c r="R196">
        <f t="shared" si="90"/>
        <v>0.44444444444444442</v>
      </c>
      <c r="S196" s="32">
        <f t="shared" si="91"/>
        <v>0.72222222222222221</v>
      </c>
      <c r="T196" s="32">
        <f t="shared" si="92"/>
        <v>0.44444444444444442</v>
      </c>
      <c r="U196">
        <f>step3_validation[[#This Row],[AI_TRU1]]</f>
        <v>8</v>
      </c>
      <c r="V196">
        <f t="shared" si="93"/>
        <v>0.77777777777777779</v>
      </c>
      <c r="W196">
        <f>[1]!survey_responses[[#This Row],[Tôi tin rằng Nhà nước, cơ quan thuế sẽ thực thi chính sách mới một cách khách quan, công tâm và đối xử bình đẳng với mọi người nộp thuế.  - HUMAN-TRU1]]</f>
        <v>7</v>
      </c>
      <c r="X196">
        <f t="shared" si="94"/>
        <v>0.66666666666666663</v>
      </c>
      <c r="Y196">
        <f>step3_validation[[#This Row],[AI_TRU2]]</f>
        <v>6</v>
      </c>
      <c r="Z196">
        <f t="shared" si="95"/>
        <v>0.55555555555555558</v>
      </c>
      <c r="AA196">
        <f>[1]!survey_responses[[#This Row],[Tôi thấy mức thuế tôi phải đóng theo phương án mới là công bằng (người thu nhập như tôi đóng mức này là hợp lý). - HUMAN-TRU2]]</f>
        <v>7</v>
      </c>
      <c r="AB196">
        <f t="shared" si="96"/>
        <v>0.66666666666666663</v>
      </c>
      <c r="AC196">
        <f>step3_validation[[#This Row],[AI_TRU3]]</f>
        <v>7</v>
      </c>
      <c r="AD196">
        <f t="shared" si="97"/>
        <v>0.66666666666666663</v>
      </c>
      <c r="AE196">
        <f>[1]!survey_responses[[#This Row],[Tôi tin tưởng số tiền thuế tôi đóng sẽ được Nhà nước sử dụng hiệu quả để cải thiện dịch vụ công (y tế, đường xá...). - HUMAN-TRU3]]</f>
        <v>8</v>
      </c>
      <c r="AF196">
        <f t="shared" si="98"/>
        <v>0.77777777777777779</v>
      </c>
      <c r="AG196">
        <f>step3_validation[[#This Row],[AI_TRU4]]</f>
        <v>5</v>
      </c>
      <c r="AH196">
        <f t="shared" si="99"/>
        <v>0.44444444444444442</v>
      </c>
      <c r="AI196">
        <f>[1]!survey_responses[[#This Row],[Tôi thấy Nhà nước đã giải thích rõ ràng, minh bạch về lý do và mục tiêu của việc sửa đổi thuế lần này. - HUMAN-TRU4]]</f>
        <v>8</v>
      </c>
      <c r="AJ196">
        <f t="shared" si="100"/>
        <v>0.77777777777777779</v>
      </c>
      <c r="AK196" s="32">
        <f t="shared" si="101"/>
        <v>0.61111111111111116</v>
      </c>
      <c r="AL196" s="32">
        <f t="shared" si="102"/>
        <v>0.72222222222222221</v>
      </c>
      <c r="AM196" s="7">
        <f t="shared" si="103"/>
        <v>0.61111111111111116</v>
      </c>
      <c r="AN196" s="7">
        <f t="shared" si="104"/>
        <v>0.68518518518518512</v>
      </c>
      <c r="AO196">
        <f>step3_validation[[#This Row],[AI_OUT1]]</f>
        <v>7</v>
      </c>
      <c r="AP196">
        <f t="shared" si="105"/>
        <v>0.66666666666666663</v>
      </c>
      <c r="AQ196">
        <f>[1]!survey_responses[[#This Row],[Sau khi xem xét các quyền lợi và nghĩa vụ, bạn có ủng hộ và tuân thủ chính sách mới hiện nay? - HUMAN-OUT1]]</f>
        <v>8</v>
      </c>
      <c r="AR196">
        <f t="shared" si="106"/>
        <v>0.77777777777777779</v>
      </c>
      <c r="AS196" s="32">
        <f t="shared" si="107"/>
        <v>1</v>
      </c>
    </row>
    <row r="197" spans="1:45" x14ac:dyDescent="0.45">
      <c r="A197">
        <f>step3_validation[[#This Row],[AI_ENF1]]</f>
        <v>6</v>
      </c>
      <c r="B197">
        <f t="shared" si="81"/>
        <v>0.55555555555555558</v>
      </c>
      <c r="C197">
        <f>[1]!survey_responses[[#This Row],[Tôi tin rằng với các quy định quản lý thuế hiện nay, hành vi gian lận hoặc trốn thuế sẽ dễ dàng bị phát hiện và xử lý nghiêm. - HUMAN-ENF1]]</f>
        <v>9</v>
      </c>
      <c r="D197">
        <f t="shared" si="82"/>
        <v>0.88888888888888884</v>
      </c>
      <c r="E197">
        <f>step3_validation[[#This Row],[AI_ENF2]]</f>
        <v>8</v>
      </c>
      <c r="F197">
        <f t="shared" si="83"/>
        <v>0.77777777777777779</v>
      </c>
      <c r="G197">
        <f>[1]!survey_responses[[#This Row],[Tôi tin rằng Nhà nước, cơ quan thuế có đủ khả năng và công nghệ để phát hiện, xử lý nghiêm các hành vi trốn thuế. - HUMAN-ENF2]]</f>
        <v>9</v>
      </c>
      <c r="H197">
        <f t="shared" si="84"/>
        <v>0.88888888888888884</v>
      </c>
      <c r="I197" s="32">
        <f t="shared" si="85"/>
        <v>0.66666666666666674</v>
      </c>
      <c r="J197" s="32">
        <f t="shared" si="86"/>
        <v>0.88888888888888884</v>
      </c>
      <c r="K197">
        <f>step3_validation[[#This Row],[AI_FAC1]]</f>
        <v>9</v>
      </c>
      <c r="L197">
        <f t="shared" si="87"/>
        <v>0.88888888888888884</v>
      </c>
      <c r="M197">
        <f>[1]!survey_responses[[#This Row],[Các thủ tục khai báo thuế VÀ/HOẶC quy trình làm việc với cơ quan thuế đơn giản, tiện lợi, nhanh chóng hơn so với trước đây. - HUMAN-FAC1]]</f>
        <v>9</v>
      </c>
      <c r="N197">
        <f t="shared" si="88"/>
        <v>0.88888888888888884</v>
      </c>
      <c r="O197">
        <f>step3_validation[[#This Row],[AI_FAC2]]</f>
        <v>8</v>
      </c>
      <c r="P197">
        <f t="shared" si="89"/>
        <v>0.77777777777777779</v>
      </c>
      <c r="Q197">
        <f>[1]!survey_responses[[#This Row],[So với trước đây, tôi thấy cách tính thuế và các bậc thuế trong phương án mới đơn giản, dễ hiểu và dễ thực hiện hơn. - HUMAN-FAC2]]</f>
        <v>9</v>
      </c>
      <c r="R197">
        <f t="shared" si="90"/>
        <v>0.88888888888888884</v>
      </c>
      <c r="S197" s="32">
        <f t="shared" si="91"/>
        <v>0.83333333333333326</v>
      </c>
      <c r="T197" s="32">
        <f t="shared" si="92"/>
        <v>0.88888888888888884</v>
      </c>
      <c r="U197">
        <f>step3_validation[[#This Row],[AI_TRU1]]</f>
        <v>7</v>
      </c>
      <c r="V197">
        <f t="shared" si="93"/>
        <v>0.66666666666666663</v>
      </c>
      <c r="W197">
        <f>[1]!survey_responses[[#This Row],[Tôi tin rằng Nhà nước, cơ quan thuế sẽ thực thi chính sách mới một cách khách quan, công tâm và đối xử bình đẳng với mọi người nộp thuế.  - HUMAN-TRU1]]</f>
        <v>9</v>
      </c>
      <c r="X197">
        <f t="shared" si="94"/>
        <v>0.88888888888888884</v>
      </c>
      <c r="Y197">
        <f>step3_validation[[#This Row],[AI_TRU2]]</f>
        <v>6</v>
      </c>
      <c r="Z197">
        <f t="shared" si="95"/>
        <v>0.55555555555555558</v>
      </c>
      <c r="AA197">
        <f>[1]!survey_responses[[#This Row],[Tôi thấy mức thuế tôi phải đóng theo phương án mới là công bằng (người thu nhập như tôi đóng mức này là hợp lý). - HUMAN-TRU2]]</f>
        <v>9</v>
      </c>
      <c r="AB197">
        <f t="shared" si="96"/>
        <v>0.88888888888888884</v>
      </c>
      <c r="AC197">
        <f>step3_validation[[#This Row],[AI_TRU3]]</f>
        <v>7</v>
      </c>
      <c r="AD197">
        <f t="shared" si="97"/>
        <v>0.66666666666666663</v>
      </c>
      <c r="AE197">
        <f>[1]!survey_responses[[#This Row],[Tôi tin tưởng số tiền thuế tôi đóng sẽ được Nhà nước sử dụng hiệu quả để cải thiện dịch vụ công (y tế, đường xá...). - HUMAN-TRU3]]</f>
        <v>9</v>
      </c>
      <c r="AF197">
        <f t="shared" si="98"/>
        <v>0.88888888888888884</v>
      </c>
      <c r="AG197">
        <f>step3_validation[[#This Row],[AI_TRU4]]</f>
        <v>6</v>
      </c>
      <c r="AH197">
        <f t="shared" si="99"/>
        <v>0.55555555555555558</v>
      </c>
      <c r="AI197">
        <f>[1]!survey_responses[[#This Row],[Tôi thấy Nhà nước đã giải thích rõ ràng, minh bạch về lý do và mục tiêu của việc sửa đổi thuế lần này. - HUMAN-TRU4]]</f>
        <v>9</v>
      </c>
      <c r="AJ197">
        <f t="shared" si="100"/>
        <v>0.88888888888888884</v>
      </c>
      <c r="AK197" s="32">
        <f t="shared" si="101"/>
        <v>0.61111111111111116</v>
      </c>
      <c r="AL197" s="32">
        <f t="shared" si="102"/>
        <v>0.88888888888888884</v>
      </c>
      <c r="AM197" s="7">
        <f t="shared" si="103"/>
        <v>0.70370370370370372</v>
      </c>
      <c r="AN197" s="7">
        <f t="shared" si="104"/>
        <v>0.88888888888888884</v>
      </c>
      <c r="AO197">
        <f>step3_validation[[#This Row],[AI_OUT1]]</f>
        <v>7</v>
      </c>
      <c r="AP197">
        <f t="shared" si="105"/>
        <v>0.66666666666666663</v>
      </c>
      <c r="AQ197">
        <f>[1]!survey_responses[[#This Row],[Sau khi xem xét các quyền lợi và nghĩa vụ, bạn có ủng hộ và tuân thủ chính sách mới hiện nay? - HUMAN-OUT1]]</f>
        <v>9</v>
      </c>
      <c r="AR197">
        <f t="shared" si="106"/>
        <v>0.88888888888888884</v>
      </c>
      <c r="AS197" s="32">
        <f t="shared" si="107"/>
        <v>2</v>
      </c>
    </row>
    <row r="198" spans="1:45" x14ac:dyDescent="0.45">
      <c r="A198">
        <f>step3_validation[[#This Row],[AI_ENF1]]</f>
        <v>7</v>
      </c>
      <c r="B198">
        <f t="shared" si="81"/>
        <v>0.66666666666666663</v>
      </c>
      <c r="C198">
        <f>[1]!survey_responses[[#This Row],[Tôi tin rằng với các quy định quản lý thuế hiện nay, hành vi gian lận hoặc trốn thuế sẽ dễ dàng bị phát hiện và xử lý nghiêm. - HUMAN-ENF1]]</f>
        <v>9</v>
      </c>
      <c r="D198">
        <f t="shared" si="82"/>
        <v>0.88888888888888884</v>
      </c>
      <c r="E198">
        <f>step3_validation[[#This Row],[AI_ENF2]]</f>
        <v>6</v>
      </c>
      <c r="F198">
        <f t="shared" si="83"/>
        <v>0.55555555555555558</v>
      </c>
      <c r="G198">
        <f>[1]!survey_responses[[#This Row],[Tôi tin rằng Nhà nước, cơ quan thuế có đủ khả năng và công nghệ để phát hiện, xử lý nghiêm các hành vi trốn thuế. - HUMAN-ENF2]]</f>
        <v>10</v>
      </c>
      <c r="H198">
        <f t="shared" si="84"/>
        <v>1</v>
      </c>
      <c r="I198" s="32">
        <f t="shared" si="85"/>
        <v>0.61111111111111116</v>
      </c>
      <c r="J198" s="32">
        <f t="shared" si="86"/>
        <v>0.94444444444444442</v>
      </c>
      <c r="K198">
        <f>step3_validation[[#This Row],[AI_FAC1]]</f>
        <v>8</v>
      </c>
      <c r="L198">
        <f t="shared" si="87"/>
        <v>0.77777777777777779</v>
      </c>
      <c r="M198">
        <f>[1]!survey_responses[[#This Row],[Các thủ tục khai báo thuế VÀ/HOẶC quy trình làm việc với cơ quan thuế đơn giản, tiện lợi, nhanh chóng hơn so với trước đây. - HUMAN-FAC1]]</f>
        <v>10</v>
      </c>
      <c r="N198">
        <f t="shared" si="88"/>
        <v>1</v>
      </c>
      <c r="O198">
        <f>step3_validation[[#This Row],[AI_FAC2]]</f>
        <v>9</v>
      </c>
      <c r="P198">
        <f t="shared" si="89"/>
        <v>0.88888888888888884</v>
      </c>
      <c r="Q198">
        <f>[1]!survey_responses[[#This Row],[So với trước đây, tôi thấy cách tính thuế và các bậc thuế trong phương án mới đơn giản, dễ hiểu và dễ thực hiện hơn. - HUMAN-FAC2]]</f>
        <v>9</v>
      </c>
      <c r="R198">
        <f t="shared" si="90"/>
        <v>0.88888888888888884</v>
      </c>
      <c r="S198" s="32">
        <f t="shared" si="91"/>
        <v>0.83333333333333326</v>
      </c>
      <c r="T198" s="32">
        <f t="shared" si="92"/>
        <v>0.94444444444444442</v>
      </c>
      <c r="U198">
        <f>step3_validation[[#This Row],[AI_TRU1]]</f>
        <v>8</v>
      </c>
      <c r="V198">
        <f t="shared" si="93"/>
        <v>0.77777777777777779</v>
      </c>
      <c r="W198">
        <f>[1]!survey_responses[[#This Row],[Tôi tin rằng Nhà nước, cơ quan thuế sẽ thực thi chính sách mới một cách khách quan, công tâm và đối xử bình đẳng với mọi người nộp thuế.  - HUMAN-TRU1]]</f>
        <v>10</v>
      </c>
      <c r="X198">
        <f t="shared" si="94"/>
        <v>1</v>
      </c>
      <c r="Y198">
        <f>step3_validation[[#This Row],[AI_TRU2]]</f>
        <v>7</v>
      </c>
      <c r="Z198">
        <f t="shared" si="95"/>
        <v>0.66666666666666663</v>
      </c>
      <c r="AA198">
        <f>[1]!survey_responses[[#This Row],[Tôi thấy mức thuế tôi phải đóng theo phương án mới là công bằng (người thu nhập như tôi đóng mức này là hợp lý). - HUMAN-TRU2]]</f>
        <v>10</v>
      </c>
      <c r="AB198">
        <f t="shared" si="96"/>
        <v>1</v>
      </c>
      <c r="AC198">
        <f>step3_validation[[#This Row],[AI_TRU3]]</f>
        <v>6</v>
      </c>
      <c r="AD198">
        <f t="shared" si="97"/>
        <v>0.55555555555555558</v>
      </c>
      <c r="AE198">
        <f>[1]!survey_responses[[#This Row],[Tôi tin tưởng số tiền thuế tôi đóng sẽ được Nhà nước sử dụng hiệu quả để cải thiện dịch vụ công (y tế, đường xá...). - HUMAN-TRU3]]</f>
        <v>10</v>
      </c>
      <c r="AF198">
        <f t="shared" si="98"/>
        <v>1</v>
      </c>
      <c r="AG198">
        <f>step3_validation[[#This Row],[AI_TRU4]]</f>
        <v>5</v>
      </c>
      <c r="AH198">
        <f t="shared" si="99"/>
        <v>0.44444444444444442</v>
      </c>
      <c r="AI198">
        <f>[1]!survey_responses[[#This Row],[Tôi thấy Nhà nước đã giải thích rõ ràng, minh bạch về lý do và mục tiêu của việc sửa đổi thuế lần này. - HUMAN-TRU4]]</f>
        <v>9</v>
      </c>
      <c r="AJ198">
        <f t="shared" si="100"/>
        <v>0.88888888888888884</v>
      </c>
      <c r="AK198" s="32">
        <f t="shared" si="101"/>
        <v>0.61111111111111116</v>
      </c>
      <c r="AL198" s="32">
        <f t="shared" si="102"/>
        <v>0.97222222222222221</v>
      </c>
      <c r="AM198" s="7">
        <f t="shared" si="103"/>
        <v>0.68518518518518512</v>
      </c>
      <c r="AN198" s="7">
        <f t="shared" si="104"/>
        <v>0.95370370370370372</v>
      </c>
      <c r="AO198">
        <f>step3_validation[[#This Row],[AI_OUT1]]</f>
        <v>7</v>
      </c>
      <c r="AP198">
        <f t="shared" si="105"/>
        <v>0.66666666666666663</v>
      </c>
      <c r="AQ198">
        <f>[1]!survey_responses[[#This Row],[Sau khi xem xét các quyền lợi và nghĩa vụ, bạn có ủng hộ và tuân thủ chính sách mới hiện nay? - HUMAN-OUT1]]</f>
        <v>10</v>
      </c>
      <c r="AR198">
        <f t="shared" si="106"/>
        <v>1</v>
      </c>
      <c r="AS198" s="32">
        <f t="shared" si="107"/>
        <v>3</v>
      </c>
    </row>
    <row r="199" spans="1:45" x14ac:dyDescent="0.45">
      <c r="A199">
        <f>step3_validation[[#This Row],[AI_ENF1]]</f>
        <v>7</v>
      </c>
      <c r="B199">
        <f t="shared" si="81"/>
        <v>0.66666666666666663</v>
      </c>
      <c r="C199">
        <f>[1]!survey_responses[[#This Row],[Tôi tin rằng với các quy định quản lý thuế hiện nay, hành vi gian lận hoặc trốn thuế sẽ dễ dàng bị phát hiện và xử lý nghiêm. - HUMAN-ENF1]]</f>
        <v>5</v>
      </c>
      <c r="D199">
        <f t="shared" si="82"/>
        <v>0.44444444444444442</v>
      </c>
      <c r="E199">
        <f>step3_validation[[#This Row],[AI_ENF2]]</f>
        <v>8</v>
      </c>
      <c r="F199">
        <f t="shared" si="83"/>
        <v>0.77777777777777779</v>
      </c>
      <c r="G199">
        <f>[1]!survey_responses[[#This Row],[Tôi tin rằng Nhà nước, cơ quan thuế có đủ khả năng và công nghệ để phát hiện, xử lý nghiêm các hành vi trốn thuế. - HUMAN-ENF2]]</f>
        <v>5</v>
      </c>
      <c r="H199">
        <f t="shared" si="84"/>
        <v>0.44444444444444442</v>
      </c>
      <c r="I199" s="32">
        <f t="shared" si="85"/>
        <v>0.72222222222222221</v>
      </c>
      <c r="J199" s="32">
        <f t="shared" si="86"/>
        <v>0.44444444444444442</v>
      </c>
      <c r="K199">
        <f>step3_validation[[#This Row],[AI_FAC1]]</f>
        <v>6</v>
      </c>
      <c r="L199">
        <f t="shared" si="87"/>
        <v>0.55555555555555558</v>
      </c>
      <c r="M199">
        <f>[1]!survey_responses[[#This Row],[Các thủ tục khai báo thuế VÀ/HOẶC quy trình làm việc với cơ quan thuế đơn giản, tiện lợi, nhanh chóng hơn so với trước đây. - HUMAN-FAC1]]</f>
        <v>5</v>
      </c>
      <c r="N199">
        <f t="shared" si="88"/>
        <v>0.44444444444444442</v>
      </c>
      <c r="O199">
        <f>step3_validation[[#This Row],[AI_FAC2]]</f>
        <v>8</v>
      </c>
      <c r="P199">
        <f t="shared" si="89"/>
        <v>0.77777777777777779</v>
      </c>
      <c r="Q199">
        <f>[1]!survey_responses[[#This Row],[So với trước đây, tôi thấy cách tính thuế và các bậc thuế trong phương án mới đơn giản, dễ hiểu và dễ thực hiện hơn. - HUMAN-FAC2]]</f>
        <v>5</v>
      </c>
      <c r="R199">
        <f t="shared" si="90"/>
        <v>0.44444444444444442</v>
      </c>
      <c r="S199" s="32">
        <f t="shared" si="91"/>
        <v>0.66666666666666674</v>
      </c>
      <c r="T199" s="32">
        <f t="shared" si="92"/>
        <v>0.44444444444444442</v>
      </c>
      <c r="U199">
        <f>step3_validation[[#This Row],[AI_TRU1]]</f>
        <v>7</v>
      </c>
      <c r="V199">
        <f t="shared" si="93"/>
        <v>0.66666666666666663</v>
      </c>
      <c r="W199">
        <f>[1]!survey_responses[[#This Row],[Tôi tin rằng Nhà nước, cơ quan thuế sẽ thực thi chính sách mới một cách khách quan, công tâm và đối xử bình đẳng với mọi người nộp thuế.  - HUMAN-TRU1]]</f>
        <v>5</v>
      </c>
      <c r="X199">
        <f t="shared" si="94"/>
        <v>0.44444444444444442</v>
      </c>
      <c r="Y199">
        <f>step3_validation[[#This Row],[AI_TRU2]]</f>
        <v>6</v>
      </c>
      <c r="Z199">
        <f t="shared" si="95"/>
        <v>0.55555555555555558</v>
      </c>
      <c r="AA199">
        <f>[1]!survey_responses[[#This Row],[Tôi thấy mức thuế tôi phải đóng theo phương án mới là công bằng (người thu nhập như tôi đóng mức này là hợp lý). - HUMAN-TRU2]]</f>
        <v>5</v>
      </c>
      <c r="AB199">
        <f t="shared" si="96"/>
        <v>0.44444444444444442</v>
      </c>
      <c r="AC199">
        <f>step3_validation[[#This Row],[AI_TRU3]]</f>
        <v>7</v>
      </c>
      <c r="AD199">
        <f t="shared" si="97"/>
        <v>0.66666666666666663</v>
      </c>
      <c r="AE199">
        <f>[1]!survey_responses[[#This Row],[Tôi tin tưởng số tiền thuế tôi đóng sẽ được Nhà nước sử dụng hiệu quả để cải thiện dịch vụ công (y tế, đường xá...). - HUMAN-TRU3]]</f>
        <v>5</v>
      </c>
      <c r="AF199">
        <f t="shared" si="98"/>
        <v>0.44444444444444442</v>
      </c>
      <c r="AG199">
        <f>step3_validation[[#This Row],[AI_TRU4]]</f>
        <v>6</v>
      </c>
      <c r="AH199">
        <f t="shared" si="99"/>
        <v>0.55555555555555558</v>
      </c>
      <c r="AI199">
        <f>[1]!survey_responses[[#This Row],[Tôi thấy Nhà nước đã giải thích rõ ràng, minh bạch về lý do và mục tiêu của việc sửa đổi thuế lần này. - HUMAN-TRU4]]</f>
        <v>4</v>
      </c>
      <c r="AJ199">
        <f t="shared" si="100"/>
        <v>0.33333333333333331</v>
      </c>
      <c r="AK199" s="32">
        <f t="shared" si="101"/>
        <v>0.61111111111111116</v>
      </c>
      <c r="AL199" s="32">
        <f t="shared" si="102"/>
        <v>0.41666666666666663</v>
      </c>
      <c r="AM199" s="7">
        <f t="shared" si="103"/>
        <v>0.66666666666666663</v>
      </c>
      <c r="AN199" s="7">
        <f t="shared" si="104"/>
        <v>0.43518518518518512</v>
      </c>
      <c r="AO199">
        <f>step3_validation[[#This Row],[AI_OUT1]]</f>
        <v>7</v>
      </c>
      <c r="AP199">
        <f t="shared" si="105"/>
        <v>0.66666666666666663</v>
      </c>
      <c r="AQ199">
        <f>[1]!survey_responses[[#This Row],[Sau khi xem xét các quyền lợi và nghĩa vụ, bạn có ủng hộ và tuân thủ chính sách mới hiện nay? - HUMAN-OUT1]]</f>
        <v>5</v>
      </c>
      <c r="AR199">
        <f t="shared" si="106"/>
        <v>0.44444444444444442</v>
      </c>
      <c r="AS199" s="32">
        <f t="shared" si="107"/>
        <v>2</v>
      </c>
    </row>
    <row r="200" spans="1:45" x14ac:dyDescent="0.45">
      <c r="A200">
        <f>step3_validation[[#This Row],[AI_ENF1]]</f>
        <v>7</v>
      </c>
      <c r="B200">
        <f t="shared" si="81"/>
        <v>0.66666666666666663</v>
      </c>
      <c r="C200">
        <f>[1]!survey_responses[[#This Row],[Tôi tin rằng với các quy định quản lý thuế hiện nay, hành vi gian lận hoặc trốn thuế sẽ dễ dàng bị phát hiện và xử lý nghiêm. - HUMAN-ENF1]]</f>
        <v>9</v>
      </c>
      <c r="D200">
        <f t="shared" si="82"/>
        <v>0.88888888888888884</v>
      </c>
      <c r="E200">
        <f>step3_validation[[#This Row],[AI_ENF2]]</f>
        <v>6</v>
      </c>
      <c r="F200">
        <f t="shared" si="83"/>
        <v>0.55555555555555558</v>
      </c>
      <c r="G200">
        <f>[1]!survey_responses[[#This Row],[Tôi tin rằng Nhà nước, cơ quan thuế có đủ khả năng và công nghệ để phát hiện, xử lý nghiêm các hành vi trốn thuế. - HUMAN-ENF2]]</f>
        <v>8</v>
      </c>
      <c r="H200">
        <f t="shared" si="84"/>
        <v>0.77777777777777779</v>
      </c>
      <c r="I200" s="32">
        <f t="shared" si="85"/>
        <v>0.61111111111111116</v>
      </c>
      <c r="J200" s="32">
        <f t="shared" si="86"/>
        <v>0.83333333333333326</v>
      </c>
      <c r="K200">
        <f>step3_validation[[#This Row],[AI_FAC1]]</f>
        <v>5</v>
      </c>
      <c r="L200">
        <f t="shared" si="87"/>
        <v>0.44444444444444442</v>
      </c>
      <c r="M200">
        <f>[1]!survey_responses[[#This Row],[Các thủ tục khai báo thuế VÀ/HOẶC quy trình làm việc với cơ quan thuế đơn giản, tiện lợi, nhanh chóng hơn so với trước đây. - HUMAN-FAC1]]</f>
        <v>9</v>
      </c>
      <c r="N200">
        <f t="shared" si="88"/>
        <v>0.88888888888888884</v>
      </c>
      <c r="O200">
        <f>step3_validation[[#This Row],[AI_FAC2]]</f>
        <v>8</v>
      </c>
      <c r="P200">
        <f t="shared" si="89"/>
        <v>0.77777777777777779</v>
      </c>
      <c r="Q200">
        <f>[1]!survey_responses[[#This Row],[So với trước đây, tôi thấy cách tính thuế và các bậc thuế trong phương án mới đơn giản, dễ hiểu và dễ thực hiện hơn. - HUMAN-FAC2]]</f>
        <v>9</v>
      </c>
      <c r="R200">
        <f t="shared" si="90"/>
        <v>0.88888888888888884</v>
      </c>
      <c r="S200" s="32">
        <f t="shared" si="91"/>
        <v>0.61111111111111116</v>
      </c>
      <c r="T200" s="32">
        <f t="shared" si="92"/>
        <v>0.88888888888888884</v>
      </c>
      <c r="U200">
        <f>step3_validation[[#This Row],[AI_TRU1]]</f>
        <v>6</v>
      </c>
      <c r="V200">
        <f t="shared" si="93"/>
        <v>0.55555555555555558</v>
      </c>
      <c r="W200">
        <f>[1]!survey_responses[[#This Row],[Tôi tin rằng Nhà nước, cơ quan thuế sẽ thực thi chính sách mới một cách khách quan, công tâm và đối xử bình đẳng với mọi người nộp thuế.  - HUMAN-TRU1]]</f>
        <v>8</v>
      </c>
      <c r="X200">
        <f t="shared" si="94"/>
        <v>0.77777777777777779</v>
      </c>
      <c r="Y200">
        <f>step3_validation[[#This Row],[AI_TRU2]]</f>
        <v>7</v>
      </c>
      <c r="Z200">
        <f t="shared" si="95"/>
        <v>0.66666666666666663</v>
      </c>
      <c r="AA200">
        <f>[1]!survey_responses[[#This Row],[Tôi thấy mức thuế tôi phải đóng theo phương án mới là công bằng (người thu nhập như tôi đóng mức này là hợp lý). - HUMAN-TRU2]]</f>
        <v>9</v>
      </c>
      <c r="AB200">
        <f t="shared" si="96"/>
        <v>0.88888888888888884</v>
      </c>
      <c r="AC200">
        <f>step3_validation[[#This Row],[AI_TRU3]]</f>
        <v>5</v>
      </c>
      <c r="AD200">
        <f t="shared" si="97"/>
        <v>0.44444444444444442</v>
      </c>
      <c r="AE200">
        <f>[1]!survey_responses[[#This Row],[Tôi tin tưởng số tiền thuế tôi đóng sẽ được Nhà nước sử dụng hiệu quả để cải thiện dịch vụ công (y tế, đường xá...). - HUMAN-TRU3]]</f>
        <v>10</v>
      </c>
      <c r="AF200">
        <f t="shared" si="98"/>
        <v>1</v>
      </c>
      <c r="AG200">
        <f>step3_validation[[#This Row],[AI_TRU4]]</f>
        <v>6</v>
      </c>
      <c r="AH200">
        <f t="shared" si="99"/>
        <v>0.55555555555555558</v>
      </c>
      <c r="AI200">
        <f>[1]!survey_responses[[#This Row],[Tôi thấy Nhà nước đã giải thích rõ ràng, minh bạch về lý do và mục tiêu của việc sửa đổi thuế lần này. - HUMAN-TRU4]]</f>
        <v>9</v>
      </c>
      <c r="AJ200">
        <f t="shared" si="100"/>
        <v>0.88888888888888884</v>
      </c>
      <c r="AK200" s="32">
        <f t="shared" si="101"/>
        <v>0.55555555555555558</v>
      </c>
      <c r="AL200" s="32">
        <f t="shared" si="102"/>
        <v>0.88888888888888884</v>
      </c>
      <c r="AM200" s="7">
        <f t="shared" si="103"/>
        <v>0.59259259259259267</v>
      </c>
      <c r="AN200" s="7">
        <f t="shared" si="104"/>
        <v>0.87037037037037024</v>
      </c>
      <c r="AO200">
        <f>step3_validation[[#This Row],[AI_OUT1]]</f>
        <v>7</v>
      </c>
      <c r="AP200">
        <f t="shared" si="105"/>
        <v>0.66666666666666663</v>
      </c>
      <c r="AQ200">
        <f>[1]!survey_responses[[#This Row],[Sau khi xem xét các quyền lợi và nghĩa vụ, bạn có ủng hộ và tuân thủ chính sách mới hiện nay? - HUMAN-OUT1]]</f>
        <v>10</v>
      </c>
      <c r="AR200">
        <f t="shared" si="106"/>
        <v>1</v>
      </c>
      <c r="AS200" s="32">
        <f t="shared" si="107"/>
        <v>3</v>
      </c>
    </row>
    <row r="201" spans="1:45" x14ac:dyDescent="0.45">
      <c r="A201">
        <f>step3_validation[[#This Row],[AI_ENF1]]</f>
        <v>8</v>
      </c>
      <c r="B201">
        <f t="shared" si="81"/>
        <v>0.77777777777777779</v>
      </c>
      <c r="C201">
        <f>[1]!survey_responses[[#This Row],[Tôi tin rằng với các quy định quản lý thuế hiện nay, hành vi gian lận hoặc trốn thuế sẽ dễ dàng bị phát hiện và xử lý nghiêm. - HUMAN-ENF1]]</f>
        <v>4</v>
      </c>
      <c r="D201">
        <f t="shared" si="82"/>
        <v>0.33333333333333331</v>
      </c>
      <c r="E201">
        <f>step3_validation[[#This Row],[AI_ENF2]]</f>
        <v>9</v>
      </c>
      <c r="F201">
        <f t="shared" si="83"/>
        <v>0.88888888888888884</v>
      </c>
      <c r="G201">
        <f>[1]!survey_responses[[#This Row],[Tôi tin rằng Nhà nước, cơ quan thuế có đủ khả năng và công nghệ để phát hiện, xử lý nghiêm các hành vi trốn thuế. - HUMAN-ENF2]]</f>
        <v>4</v>
      </c>
      <c r="H201">
        <f t="shared" si="84"/>
        <v>0.33333333333333331</v>
      </c>
      <c r="I201" s="32">
        <f t="shared" si="85"/>
        <v>0.83333333333333326</v>
      </c>
      <c r="J201" s="32">
        <f t="shared" si="86"/>
        <v>0.33333333333333331</v>
      </c>
      <c r="K201">
        <f>step3_validation[[#This Row],[AI_FAC1]]</f>
        <v>8</v>
      </c>
      <c r="L201">
        <f t="shared" si="87"/>
        <v>0.77777777777777779</v>
      </c>
      <c r="M201">
        <f>[1]!survey_responses[[#This Row],[Các thủ tục khai báo thuế VÀ/HOẶC quy trình làm việc với cơ quan thuế đơn giản, tiện lợi, nhanh chóng hơn so với trước đây. - HUMAN-FAC1]]</f>
        <v>3</v>
      </c>
      <c r="N201">
        <f t="shared" si="88"/>
        <v>0.22222222222222221</v>
      </c>
      <c r="O201">
        <f>step3_validation[[#This Row],[AI_FAC2]]</f>
        <v>7</v>
      </c>
      <c r="P201">
        <f t="shared" si="89"/>
        <v>0.66666666666666663</v>
      </c>
      <c r="Q201">
        <f>[1]!survey_responses[[#This Row],[So với trước đây, tôi thấy cách tính thuế và các bậc thuế trong phương án mới đơn giản, dễ hiểu và dễ thực hiện hơn. - HUMAN-FAC2]]</f>
        <v>5</v>
      </c>
      <c r="R201">
        <f t="shared" si="90"/>
        <v>0.44444444444444442</v>
      </c>
      <c r="S201" s="32">
        <f t="shared" si="91"/>
        <v>0.72222222222222221</v>
      </c>
      <c r="T201" s="32">
        <f t="shared" si="92"/>
        <v>0.33333333333333331</v>
      </c>
      <c r="U201">
        <f>step3_validation[[#This Row],[AI_TRU1]]</f>
        <v>8</v>
      </c>
      <c r="V201">
        <f t="shared" si="93"/>
        <v>0.77777777777777779</v>
      </c>
      <c r="W201">
        <f>[1]!survey_responses[[#This Row],[Tôi tin rằng Nhà nước, cơ quan thuế sẽ thực thi chính sách mới một cách khách quan, công tâm và đối xử bình đẳng với mọi người nộp thuế.  - HUMAN-TRU1]]</f>
        <v>4</v>
      </c>
      <c r="X201">
        <f t="shared" si="94"/>
        <v>0.33333333333333331</v>
      </c>
      <c r="Y201">
        <f>step3_validation[[#This Row],[AI_TRU2]]</f>
        <v>6</v>
      </c>
      <c r="Z201">
        <f t="shared" si="95"/>
        <v>0.55555555555555558</v>
      </c>
      <c r="AA201">
        <f>[1]!survey_responses[[#This Row],[Tôi thấy mức thuế tôi phải đóng theo phương án mới là công bằng (người thu nhập như tôi đóng mức này là hợp lý). - HUMAN-TRU2]]</f>
        <v>5</v>
      </c>
      <c r="AB201">
        <f t="shared" si="96"/>
        <v>0.44444444444444442</v>
      </c>
      <c r="AC201">
        <f>step3_validation[[#This Row],[AI_TRU3]]</f>
        <v>5</v>
      </c>
      <c r="AD201">
        <f t="shared" si="97"/>
        <v>0.44444444444444442</v>
      </c>
      <c r="AE201">
        <f>[1]!survey_responses[[#This Row],[Tôi tin tưởng số tiền thuế tôi đóng sẽ được Nhà nước sử dụng hiệu quả để cải thiện dịch vụ công (y tế, đường xá...). - HUMAN-TRU3]]</f>
        <v>1</v>
      </c>
      <c r="AF201">
        <f t="shared" si="98"/>
        <v>0</v>
      </c>
      <c r="AG201">
        <f>step3_validation[[#This Row],[AI_TRU4]]</f>
        <v>6</v>
      </c>
      <c r="AH201">
        <f t="shared" si="99"/>
        <v>0.55555555555555558</v>
      </c>
      <c r="AI201">
        <f>[1]!survey_responses[[#This Row],[Tôi thấy Nhà nước đã giải thích rõ ràng, minh bạch về lý do và mục tiêu của việc sửa đổi thuế lần này. - HUMAN-TRU4]]</f>
        <v>5</v>
      </c>
      <c r="AJ201">
        <f t="shared" si="100"/>
        <v>0.44444444444444442</v>
      </c>
      <c r="AK201" s="32">
        <f t="shared" si="101"/>
        <v>0.58333333333333337</v>
      </c>
      <c r="AL201" s="32">
        <f t="shared" si="102"/>
        <v>0.30555555555555552</v>
      </c>
      <c r="AM201" s="7">
        <f t="shared" si="103"/>
        <v>0.71296296296296291</v>
      </c>
      <c r="AN201" s="7">
        <f t="shared" si="104"/>
        <v>0.32407407407407401</v>
      </c>
      <c r="AO201">
        <f>step3_validation[[#This Row],[AI_OUT1]]</f>
        <v>7</v>
      </c>
      <c r="AP201">
        <f t="shared" si="105"/>
        <v>0.66666666666666663</v>
      </c>
      <c r="AQ201">
        <f>[1]!survey_responses[[#This Row],[Sau khi xem xét các quyền lợi và nghĩa vụ, bạn có ủng hộ và tuân thủ chính sách mới hiện nay? - HUMAN-OUT1]]</f>
        <v>5</v>
      </c>
      <c r="AR201">
        <f t="shared" si="106"/>
        <v>0.44444444444444442</v>
      </c>
      <c r="AS201" s="32">
        <f t="shared" si="107"/>
        <v>2</v>
      </c>
    </row>
    <row r="202" spans="1:45" x14ac:dyDescent="0.45">
      <c r="A202">
        <f>step3_validation[[#This Row],[AI_ENF1]]</f>
        <v>8</v>
      </c>
      <c r="B202">
        <f t="shared" si="81"/>
        <v>0.77777777777777779</v>
      </c>
      <c r="C202">
        <f>[1]!survey_responses[[#This Row],[Tôi tin rằng với các quy định quản lý thuế hiện nay, hành vi gian lận hoặc trốn thuế sẽ dễ dàng bị phát hiện và xử lý nghiêm. - HUMAN-ENF1]]</f>
        <v>5</v>
      </c>
      <c r="D202">
        <f t="shared" si="82"/>
        <v>0.44444444444444442</v>
      </c>
      <c r="E202">
        <f>step3_validation[[#This Row],[AI_ENF2]]</f>
        <v>7</v>
      </c>
      <c r="F202">
        <f t="shared" si="83"/>
        <v>0.66666666666666663</v>
      </c>
      <c r="G202">
        <f>[1]!survey_responses[[#This Row],[Tôi tin rằng Nhà nước, cơ quan thuế có đủ khả năng và công nghệ để phát hiện, xử lý nghiêm các hành vi trốn thuế. - HUMAN-ENF2]]</f>
        <v>5</v>
      </c>
      <c r="H202">
        <f t="shared" si="84"/>
        <v>0.44444444444444442</v>
      </c>
      <c r="I202" s="32">
        <f t="shared" si="85"/>
        <v>0.72222222222222221</v>
      </c>
      <c r="J202" s="32">
        <f t="shared" si="86"/>
        <v>0.44444444444444442</v>
      </c>
      <c r="K202">
        <f>step3_validation[[#This Row],[AI_FAC1]]</f>
        <v>9</v>
      </c>
      <c r="L202">
        <f t="shared" si="87"/>
        <v>0.88888888888888884</v>
      </c>
      <c r="M202">
        <f>[1]!survey_responses[[#This Row],[Các thủ tục khai báo thuế VÀ/HOẶC quy trình làm việc với cơ quan thuế đơn giản, tiện lợi, nhanh chóng hơn so với trước đây. - HUMAN-FAC1]]</f>
        <v>1</v>
      </c>
      <c r="N202">
        <f t="shared" si="88"/>
        <v>0</v>
      </c>
      <c r="O202">
        <f>step3_validation[[#This Row],[AI_FAC2]]</f>
        <v>8</v>
      </c>
      <c r="P202">
        <f t="shared" si="89"/>
        <v>0.77777777777777779</v>
      </c>
      <c r="Q202">
        <f>[1]!survey_responses[[#This Row],[So với trước đây, tôi thấy cách tính thuế và các bậc thuế trong phương án mới đơn giản, dễ hiểu và dễ thực hiện hơn. - HUMAN-FAC2]]</f>
        <v>5</v>
      </c>
      <c r="R202">
        <f t="shared" si="90"/>
        <v>0.44444444444444442</v>
      </c>
      <c r="S202" s="32">
        <f t="shared" si="91"/>
        <v>0.83333333333333326</v>
      </c>
      <c r="T202" s="32">
        <f t="shared" si="92"/>
        <v>0.22222222222222221</v>
      </c>
      <c r="U202">
        <f>step3_validation[[#This Row],[AI_TRU1]]</f>
        <v>7</v>
      </c>
      <c r="V202">
        <f t="shared" si="93"/>
        <v>0.66666666666666663</v>
      </c>
      <c r="W202">
        <f>[1]!survey_responses[[#This Row],[Tôi tin rằng Nhà nước, cơ quan thuế sẽ thực thi chính sách mới một cách khách quan, công tâm và đối xử bình đẳng với mọi người nộp thuế.  - HUMAN-TRU1]]</f>
        <v>4</v>
      </c>
      <c r="X202">
        <f t="shared" si="94"/>
        <v>0.33333333333333331</v>
      </c>
      <c r="Y202">
        <f>step3_validation[[#This Row],[AI_TRU2]]</f>
        <v>8</v>
      </c>
      <c r="Z202">
        <f t="shared" si="95"/>
        <v>0.77777777777777779</v>
      </c>
      <c r="AA202">
        <f>[1]!survey_responses[[#This Row],[Tôi thấy mức thuế tôi phải đóng theo phương án mới là công bằng (người thu nhập như tôi đóng mức này là hợp lý). - HUMAN-TRU2]]</f>
        <v>2</v>
      </c>
      <c r="AB202">
        <f t="shared" si="96"/>
        <v>0.1111111111111111</v>
      </c>
      <c r="AC202">
        <f>step3_validation[[#This Row],[AI_TRU3]]</f>
        <v>7</v>
      </c>
      <c r="AD202">
        <f t="shared" si="97"/>
        <v>0.66666666666666663</v>
      </c>
      <c r="AE202">
        <f>[1]!survey_responses[[#This Row],[Tôi tin tưởng số tiền thuế tôi đóng sẽ được Nhà nước sử dụng hiệu quả để cải thiện dịch vụ công (y tế, đường xá...). - HUMAN-TRU3]]</f>
        <v>2</v>
      </c>
      <c r="AF202">
        <f t="shared" si="98"/>
        <v>0.1111111111111111</v>
      </c>
      <c r="AG202">
        <f>step3_validation[[#This Row],[AI_TRU4]]</f>
        <v>6</v>
      </c>
      <c r="AH202">
        <f t="shared" si="99"/>
        <v>0.55555555555555558</v>
      </c>
      <c r="AI202">
        <f>[1]!survey_responses[[#This Row],[Tôi thấy Nhà nước đã giải thích rõ ràng, minh bạch về lý do và mục tiêu của việc sửa đổi thuế lần này. - HUMAN-TRU4]]</f>
        <v>5</v>
      </c>
      <c r="AJ202">
        <f t="shared" si="100"/>
        <v>0.44444444444444442</v>
      </c>
      <c r="AK202" s="32">
        <f t="shared" si="101"/>
        <v>0.66666666666666674</v>
      </c>
      <c r="AL202" s="32">
        <f t="shared" si="102"/>
        <v>0.25</v>
      </c>
      <c r="AM202" s="7">
        <f t="shared" si="103"/>
        <v>0.74074074074074081</v>
      </c>
      <c r="AN202" s="7">
        <f t="shared" si="104"/>
        <v>0.30555555555555552</v>
      </c>
      <c r="AO202">
        <f>step3_validation[[#This Row],[AI_OUT1]]</f>
        <v>7</v>
      </c>
      <c r="AP202">
        <f t="shared" si="105"/>
        <v>0.66666666666666663</v>
      </c>
      <c r="AQ202">
        <f>[1]!survey_responses[[#This Row],[Sau khi xem xét các quyền lợi và nghĩa vụ, bạn có ủng hộ và tuân thủ chính sách mới hiện nay? - HUMAN-OUT1]]</f>
        <v>4</v>
      </c>
      <c r="AR202">
        <f t="shared" si="106"/>
        <v>0.33333333333333331</v>
      </c>
      <c r="AS202" s="32">
        <f t="shared" si="107"/>
        <v>3</v>
      </c>
    </row>
    <row r="203" spans="1:45" x14ac:dyDescent="0.45">
      <c r="A203">
        <f>step3_validation[[#This Row],[AI_ENF1]]</f>
        <v>7</v>
      </c>
      <c r="B203">
        <f t="shared" si="81"/>
        <v>0.66666666666666663</v>
      </c>
      <c r="C203">
        <f>[1]!survey_responses[[#This Row],[Tôi tin rằng với các quy định quản lý thuế hiện nay, hành vi gian lận hoặc trốn thuế sẽ dễ dàng bị phát hiện và xử lý nghiêm. - HUMAN-ENF1]]</f>
        <v>6</v>
      </c>
      <c r="D203">
        <f t="shared" si="82"/>
        <v>0.55555555555555558</v>
      </c>
      <c r="E203">
        <f>step3_validation[[#This Row],[AI_ENF2]]</f>
        <v>6</v>
      </c>
      <c r="F203">
        <f t="shared" si="83"/>
        <v>0.55555555555555558</v>
      </c>
      <c r="G203">
        <f>[1]!survey_responses[[#This Row],[Tôi tin rằng Nhà nước, cơ quan thuế có đủ khả năng và công nghệ để phát hiện, xử lý nghiêm các hành vi trốn thuế. - HUMAN-ENF2]]</f>
        <v>8</v>
      </c>
      <c r="H203">
        <f t="shared" si="84"/>
        <v>0.77777777777777779</v>
      </c>
      <c r="I203" s="32">
        <f t="shared" si="85"/>
        <v>0.61111111111111116</v>
      </c>
      <c r="J203" s="32">
        <f t="shared" si="86"/>
        <v>0.66666666666666674</v>
      </c>
      <c r="K203">
        <f>step3_validation[[#This Row],[AI_FAC1]]</f>
        <v>5</v>
      </c>
      <c r="L203">
        <f t="shared" si="87"/>
        <v>0.44444444444444442</v>
      </c>
      <c r="M203">
        <f>[1]!survey_responses[[#This Row],[Các thủ tục khai báo thuế VÀ/HOẶC quy trình làm việc với cơ quan thuế đơn giản, tiện lợi, nhanh chóng hơn so với trước đây. - HUMAN-FAC1]]</f>
        <v>8</v>
      </c>
      <c r="N203">
        <f t="shared" si="88"/>
        <v>0.77777777777777779</v>
      </c>
      <c r="O203">
        <f>step3_validation[[#This Row],[AI_FAC2]]</f>
        <v>7</v>
      </c>
      <c r="P203">
        <f t="shared" si="89"/>
        <v>0.66666666666666663</v>
      </c>
      <c r="Q203">
        <f>[1]!survey_responses[[#This Row],[So với trước đây, tôi thấy cách tính thuế và các bậc thuế trong phương án mới đơn giản, dễ hiểu và dễ thực hiện hơn. - HUMAN-FAC2]]</f>
        <v>9</v>
      </c>
      <c r="R203">
        <f t="shared" si="90"/>
        <v>0.88888888888888884</v>
      </c>
      <c r="S203" s="32">
        <f t="shared" si="91"/>
        <v>0.55555555555555558</v>
      </c>
      <c r="T203" s="32">
        <f t="shared" si="92"/>
        <v>0.83333333333333326</v>
      </c>
      <c r="U203">
        <f>step3_validation[[#This Row],[AI_TRU1]]</f>
        <v>8</v>
      </c>
      <c r="V203">
        <f t="shared" si="93"/>
        <v>0.77777777777777779</v>
      </c>
      <c r="W203">
        <f>[1]!survey_responses[[#This Row],[Tôi tin rằng Nhà nước, cơ quan thuế sẽ thực thi chính sách mới một cách khách quan, công tâm và đối xử bình đẳng với mọi người nộp thuế.  - HUMAN-TRU1]]</f>
        <v>7</v>
      </c>
      <c r="X203">
        <f t="shared" si="94"/>
        <v>0.66666666666666663</v>
      </c>
      <c r="Y203">
        <f>step3_validation[[#This Row],[AI_TRU2]]</f>
        <v>6</v>
      </c>
      <c r="Z203">
        <f t="shared" si="95"/>
        <v>0.55555555555555558</v>
      </c>
      <c r="AA203">
        <f>[1]!survey_responses[[#This Row],[Tôi thấy mức thuế tôi phải đóng theo phương án mới là công bằng (người thu nhập như tôi đóng mức này là hợp lý). - HUMAN-TRU2]]</f>
        <v>7</v>
      </c>
      <c r="AB203">
        <f t="shared" si="96"/>
        <v>0.66666666666666663</v>
      </c>
      <c r="AC203">
        <f>step3_validation[[#This Row],[AI_TRU3]]</f>
        <v>5</v>
      </c>
      <c r="AD203">
        <f t="shared" si="97"/>
        <v>0.44444444444444442</v>
      </c>
      <c r="AE203">
        <f>[1]!survey_responses[[#This Row],[Tôi tin tưởng số tiền thuế tôi đóng sẽ được Nhà nước sử dụng hiệu quả để cải thiện dịch vụ công (y tế, đường xá...). - HUMAN-TRU3]]</f>
        <v>7</v>
      </c>
      <c r="AF203">
        <f t="shared" si="98"/>
        <v>0.66666666666666663</v>
      </c>
      <c r="AG203">
        <f>step3_validation[[#This Row],[AI_TRU4]]</f>
        <v>6</v>
      </c>
      <c r="AH203">
        <f t="shared" si="99"/>
        <v>0.55555555555555558</v>
      </c>
      <c r="AI203">
        <f>[1]!survey_responses[[#This Row],[Tôi thấy Nhà nước đã giải thích rõ ràng, minh bạch về lý do và mục tiêu của việc sửa đổi thuế lần này. - HUMAN-TRU4]]</f>
        <v>8</v>
      </c>
      <c r="AJ203">
        <f t="shared" si="100"/>
        <v>0.77777777777777779</v>
      </c>
      <c r="AK203" s="32">
        <f t="shared" si="101"/>
        <v>0.58333333333333337</v>
      </c>
      <c r="AL203" s="32">
        <f t="shared" si="102"/>
        <v>0.69444444444444442</v>
      </c>
      <c r="AM203" s="7">
        <f t="shared" si="103"/>
        <v>0.58333333333333337</v>
      </c>
      <c r="AN203" s="7">
        <f t="shared" si="104"/>
        <v>0.73148148148148151</v>
      </c>
      <c r="AO203">
        <f>step3_validation[[#This Row],[AI_OUT1]]</f>
        <v>7</v>
      </c>
      <c r="AP203">
        <f t="shared" si="105"/>
        <v>0.66666666666666663</v>
      </c>
      <c r="AQ203">
        <f>[1]!survey_responses[[#This Row],[Sau khi xem xét các quyền lợi và nghĩa vụ, bạn có ủng hộ và tuân thủ chính sách mới hiện nay? - HUMAN-OUT1]]</f>
        <v>8</v>
      </c>
      <c r="AR203">
        <f t="shared" si="106"/>
        <v>0.77777777777777779</v>
      </c>
      <c r="AS203" s="32">
        <f t="shared" si="107"/>
        <v>1</v>
      </c>
    </row>
    <row r="204" spans="1:45" x14ac:dyDescent="0.45">
      <c r="A204">
        <f>step3_validation[[#This Row],[AI_ENF1]]</f>
        <v>7</v>
      </c>
      <c r="B204">
        <f t="shared" si="81"/>
        <v>0.66666666666666663</v>
      </c>
      <c r="C204">
        <f>[1]!survey_responses[[#This Row],[Tôi tin rằng với các quy định quản lý thuế hiện nay, hành vi gian lận hoặc trốn thuế sẽ dễ dàng bị phát hiện và xử lý nghiêm. - HUMAN-ENF1]]</f>
        <v>5</v>
      </c>
      <c r="D204">
        <f t="shared" si="82"/>
        <v>0.44444444444444442</v>
      </c>
      <c r="E204">
        <f>step3_validation[[#This Row],[AI_ENF2]]</f>
        <v>8</v>
      </c>
      <c r="F204">
        <f t="shared" si="83"/>
        <v>0.77777777777777779</v>
      </c>
      <c r="G204">
        <f>[1]!survey_responses[[#This Row],[Tôi tin rằng Nhà nước, cơ quan thuế có đủ khả năng và công nghệ để phát hiện, xử lý nghiêm các hành vi trốn thuế. - HUMAN-ENF2]]</f>
        <v>5</v>
      </c>
      <c r="H204">
        <f t="shared" si="84"/>
        <v>0.44444444444444442</v>
      </c>
      <c r="I204" s="32">
        <f t="shared" si="85"/>
        <v>0.72222222222222221</v>
      </c>
      <c r="J204" s="32">
        <f t="shared" si="86"/>
        <v>0.44444444444444442</v>
      </c>
      <c r="K204">
        <f>step3_validation[[#This Row],[AI_FAC1]]</f>
        <v>6</v>
      </c>
      <c r="L204">
        <f t="shared" si="87"/>
        <v>0.55555555555555558</v>
      </c>
      <c r="M204">
        <f>[1]!survey_responses[[#This Row],[Các thủ tục khai báo thuế VÀ/HOẶC quy trình làm việc với cơ quan thuế đơn giản, tiện lợi, nhanh chóng hơn so với trước đây. - HUMAN-FAC1]]</f>
        <v>5</v>
      </c>
      <c r="N204">
        <f t="shared" si="88"/>
        <v>0.44444444444444442</v>
      </c>
      <c r="O204">
        <f>step3_validation[[#This Row],[AI_FAC2]]</f>
        <v>8</v>
      </c>
      <c r="P204">
        <f t="shared" si="89"/>
        <v>0.77777777777777779</v>
      </c>
      <c r="Q204">
        <f>[1]!survey_responses[[#This Row],[So với trước đây, tôi thấy cách tính thuế và các bậc thuế trong phương án mới đơn giản, dễ hiểu và dễ thực hiện hơn. - HUMAN-FAC2]]</f>
        <v>5</v>
      </c>
      <c r="R204">
        <f t="shared" si="90"/>
        <v>0.44444444444444442</v>
      </c>
      <c r="S204" s="32">
        <f t="shared" si="91"/>
        <v>0.66666666666666674</v>
      </c>
      <c r="T204" s="32">
        <f t="shared" si="92"/>
        <v>0.44444444444444442</v>
      </c>
      <c r="U204">
        <f>step3_validation[[#This Row],[AI_TRU1]]</f>
        <v>6</v>
      </c>
      <c r="V204">
        <f t="shared" si="93"/>
        <v>0.55555555555555558</v>
      </c>
      <c r="W204">
        <f>[1]!survey_responses[[#This Row],[Tôi tin rằng Nhà nước, cơ quan thuế sẽ thực thi chính sách mới một cách khách quan, công tâm và đối xử bình đẳng với mọi người nộp thuế.  - HUMAN-TRU1]]</f>
        <v>5</v>
      </c>
      <c r="X204">
        <f t="shared" si="94"/>
        <v>0.44444444444444442</v>
      </c>
      <c r="Y204">
        <f>step3_validation[[#This Row],[AI_TRU2]]</f>
        <v>7</v>
      </c>
      <c r="Z204">
        <f t="shared" si="95"/>
        <v>0.66666666666666663</v>
      </c>
      <c r="AA204">
        <f>[1]!survey_responses[[#This Row],[Tôi thấy mức thuế tôi phải đóng theo phương án mới là công bằng (người thu nhập như tôi đóng mức này là hợp lý). - HUMAN-TRU2]]</f>
        <v>5</v>
      </c>
      <c r="AB204">
        <f t="shared" si="96"/>
        <v>0.44444444444444442</v>
      </c>
      <c r="AC204">
        <f>step3_validation[[#This Row],[AI_TRU3]]</f>
        <v>6</v>
      </c>
      <c r="AD204">
        <f t="shared" si="97"/>
        <v>0.55555555555555558</v>
      </c>
      <c r="AE204">
        <f>[1]!survey_responses[[#This Row],[Tôi tin tưởng số tiền thuế tôi đóng sẽ được Nhà nước sử dụng hiệu quả để cải thiện dịch vụ công (y tế, đường xá...). - HUMAN-TRU3]]</f>
        <v>5</v>
      </c>
      <c r="AF204">
        <f t="shared" si="98"/>
        <v>0.44444444444444442</v>
      </c>
      <c r="AG204">
        <f>step3_validation[[#This Row],[AI_TRU4]]</f>
        <v>7</v>
      </c>
      <c r="AH204">
        <f t="shared" si="99"/>
        <v>0.66666666666666663</v>
      </c>
      <c r="AI204">
        <f>[1]!survey_responses[[#This Row],[Tôi thấy Nhà nước đã giải thích rõ ràng, minh bạch về lý do và mục tiêu của việc sửa đổi thuế lần này. - HUMAN-TRU4]]</f>
        <v>5</v>
      </c>
      <c r="AJ204">
        <f t="shared" si="100"/>
        <v>0.44444444444444442</v>
      </c>
      <c r="AK204" s="32">
        <f t="shared" si="101"/>
        <v>0.61111111111111116</v>
      </c>
      <c r="AL204" s="32">
        <f t="shared" si="102"/>
        <v>0.44444444444444442</v>
      </c>
      <c r="AM204" s="7">
        <f t="shared" si="103"/>
        <v>0.66666666666666663</v>
      </c>
      <c r="AN204" s="7">
        <f t="shared" si="104"/>
        <v>0.44444444444444442</v>
      </c>
      <c r="AO204">
        <f>step3_validation[[#This Row],[AI_OUT1]]</f>
        <v>8</v>
      </c>
      <c r="AP204">
        <f t="shared" si="105"/>
        <v>0.77777777777777779</v>
      </c>
      <c r="AQ204">
        <f>[1]!survey_responses[[#This Row],[Sau khi xem xét các quyền lợi và nghĩa vụ, bạn có ủng hộ và tuân thủ chính sách mới hiện nay? - HUMAN-OUT1]]</f>
        <v>5</v>
      </c>
      <c r="AR204">
        <f t="shared" si="106"/>
        <v>0.44444444444444442</v>
      </c>
      <c r="AS204" s="32">
        <f t="shared" si="107"/>
        <v>3</v>
      </c>
    </row>
    <row r="205" spans="1:45" x14ac:dyDescent="0.45">
      <c r="A205">
        <f>step3_validation[[#This Row],[AI_ENF1]]</f>
        <v>8</v>
      </c>
      <c r="B205">
        <f t="shared" si="81"/>
        <v>0.77777777777777779</v>
      </c>
      <c r="C205">
        <f>[1]!survey_responses[[#This Row],[Tôi tin rằng với các quy định quản lý thuế hiện nay, hành vi gian lận hoặc trốn thuế sẽ dễ dàng bị phát hiện và xử lý nghiêm. - HUMAN-ENF1]]</f>
        <v>7</v>
      </c>
      <c r="D205">
        <f t="shared" si="82"/>
        <v>0.66666666666666663</v>
      </c>
      <c r="E205">
        <f>step3_validation[[#This Row],[AI_ENF2]]</f>
        <v>7</v>
      </c>
      <c r="F205">
        <f t="shared" si="83"/>
        <v>0.66666666666666663</v>
      </c>
      <c r="G205">
        <f>[1]!survey_responses[[#This Row],[Tôi tin rằng Nhà nước, cơ quan thuế có đủ khả năng và công nghệ để phát hiện, xử lý nghiêm các hành vi trốn thuế. - HUMAN-ENF2]]</f>
        <v>7</v>
      </c>
      <c r="H205">
        <f t="shared" si="84"/>
        <v>0.66666666666666663</v>
      </c>
      <c r="I205" s="32">
        <f t="shared" si="85"/>
        <v>0.72222222222222221</v>
      </c>
      <c r="J205" s="32">
        <f t="shared" si="86"/>
        <v>0.66666666666666663</v>
      </c>
      <c r="K205">
        <f>step3_validation[[#This Row],[AI_FAC1]]</f>
        <v>9</v>
      </c>
      <c r="L205">
        <f t="shared" si="87"/>
        <v>0.88888888888888884</v>
      </c>
      <c r="M205">
        <f>[1]!survey_responses[[#This Row],[Các thủ tục khai báo thuế VÀ/HOẶC quy trình làm việc với cơ quan thuế đơn giản, tiện lợi, nhanh chóng hơn so với trước đây. - HUMAN-FAC1]]</f>
        <v>7</v>
      </c>
      <c r="N205">
        <f t="shared" si="88"/>
        <v>0.66666666666666663</v>
      </c>
      <c r="O205">
        <f>step3_validation[[#This Row],[AI_FAC2]]</f>
        <v>8</v>
      </c>
      <c r="P205">
        <f t="shared" si="89"/>
        <v>0.77777777777777779</v>
      </c>
      <c r="Q205">
        <f>[1]!survey_responses[[#This Row],[So với trước đây, tôi thấy cách tính thuế và các bậc thuế trong phương án mới đơn giản, dễ hiểu và dễ thực hiện hơn. - HUMAN-FAC2]]</f>
        <v>8</v>
      </c>
      <c r="R205">
        <f t="shared" si="90"/>
        <v>0.77777777777777779</v>
      </c>
      <c r="S205" s="32">
        <f t="shared" si="91"/>
        <v>0.83333333333333326</v>
      </c>
      <c r="T205" s="32">
        <f t="shared" si="92"/>
        <v>0.72222222222222221</v>
      </c>
      <c r="U205">
        <f>step3_validation[[#This Row],[AI_TRU1]]</f>
        <v>7</v>
      </c>
      <c r="V205">
        <f t="shared" si="93"/>
        <v>0.66666666666666663</v>
      </c>
      <c r="W205">
        <f>[1]!survey_responses[[#This Row],[Tôi tin rằng Nhà nước, cơ quan thuế sẽ thực thi chính sách mới một cách khách quan, công tâm và đối xử bình đẳng với mọi người nộp thuế.  - HUMAN-TRU1]]</f>
        <v>7</v>
      </c>
      <c r="X205">
        <f t="shared" si="94"/>
        <v>0.66666666666666663</v>
      </c>
      <c r="Y205">
        <f>step3_validation[[#This Row],[AI_TRU2]]</f>
        <v>6</v>
      </c>
      <c r="Z205">
        <f t="shared" si="95"/>
        <v>0.55555555555555558</v>
      </c>
      <c r="AA205">
        <f>[1]!survey_responses[[#This Row],[Tôi thấy mức thuế tôi phải đóng theo phương án mới là công bằng (người thu nhập như tôi đóng mức này là hợp lý). - HUMAN-TRU2]]</f>
        <v>7</v>
      </c>
      <c r="AB205">
        <f t="shared" si="96"/>
        <v>0.66666666666666663</v>
      </c>
      <c r="AC205">
        <f>step3_validation[[#This Row],[AI_TRU3]]</f>
        <v>7</v>
      </c>
      <c r="AD205">
        <f t="shared" si="97"/>
        <v>0.66666666666666663</v>
      </c>
      <c r="AE205">
        <f>[1]!survey_responses[[#This Row],[Tôi tin tưởng số tiền thuế tôi đóng sẽ được Nhà nước sử dụng hiệu quả để cải thiện dịch vụ công (y tế, đường xá...). - HUMAN-TRU3]]</f>
        <v>7</v>
      </c>
      <c r="AF205">
        <f t="shared" si="98"/>
        <v>0.66666666666666663</v>
      </c>
      <c r="AG205">
        <f>step3_validation[[#This Row],[AI_TRU4]]</f>
        <v>5</v>
      </c>
      <c r="AH205">
        <f t="shared" si="99"/>
        <v>0.44444444444444442</v>
      </c>
      <c r="AI205">
        <f>[1]!survey_responses[[#This Row],[Tôi thấy Nhà nước đã giải thích rõ ràng, minh bạch về lý do và mục tiêu của việc sửa đổi thuế lần này. - HUMAN-TRU4]]</f>
        <v>7</v>
      </c>
      <c r="AJ205">
        <f t="shared" si="100"/>
        <v>0.66666666666666663</v>
      </c>
      <c r="AK205" s="32">
        <f t="shared" si="101"/>
        <v>0.58333333333333326</v>
      </c>
      <c r="AL205" s="32">
        <f t="shared" si="102"/>
        <v>0.66666666666666663</v>
      </c>
      <c r="AM205" s="7">
        <f t="shared" si="103"/>
        <v>0.7129629629629628</v>
      </c>
      <c r="AN205" s="7">
        <f t="shared" si="104"/>
        <v>0.68518518518518512</v>
      </c>
      <c r="AO205">
        <f>step3_validation[[#This Row],[AI_OUT1]]</f>
        <v>8</v>
      </c>
      <c r="AP205">
        <f t="shared" si="105"/>
        <v>0.77777777777777779</v>
      </c>
      <c r="AQ205">
        <f>[1]!survey_responses[[#This Row],[Sau khi xem xét các quyền lợi và nghĩa vụ, bạn có ủng hộ và tuân thủ chính sách mới hiện nay? - HUMAN-OUT1]]</f>
        <v>7</v>
      </c>
      <c r="AR205">
        <f t="shared" si="106"/>
        <v>0.66666666666666663</v>
      </c>
      <c r="AS205" s="32">
        <f t="shared" si="107"/>
        <v>1</v>
      </c>
    </row>
    <row r="206" spans="1:45" x14ac:dyDescent="0.45">
      <c r="A206">
        <f>step3_validation[[#This Row],[AI_ENF1]]</f>
        <v>8</v>
      </c>
      <c r="B206">
        <f t="shared" si="81"/>
        <v>0.77777777777777779</v>
      </c>
      <c r="C206">
        <f>[1]!survey_responses[[#This Row],[Tôi tin rằng với các quy định quản lý thuế hiện nay, hành vi gian lận hoặc trốn thuế sẽ dễ dàng bị phát hiện và xử lý nghiêm. - HUMAN-ENF1]]</f>
        <v>3</v>
      </c>
      <c r="D206">
        <f t="shared" si="82"/>
        <v>0.22222222222222221</v>
      </c>
      <c r="E206">
        <f>step3_validation[[#This Row],[AI_ENF2]]</f>
        <v>9</v>
      </c>
      <c r="F206">
        <f t="shared" si="83"/>
        <v>0.88888888888888884</v>
      </c>
      <c r="G206">
        <f>[1]!survey_responses[[#This Row],[Tôi tin rằng Nhà nước, cơ quan thuế có đủ khả năng và công nghệ để phát hiện, xử lý nghiêm các hành vi trốn thuế. - HUMAN-ENF2]]</f>
        <v>1</v>
      </c>
      <c r="H206">
        <f t="shared" si="84"/>
        <v>0</v>
      </c>
      <c r="I206" s="32">
        <f t="shared" si="85"/>
        <v>0.83333333333333326</v>
      </c>
      <c r="J206" s="32">
        <f t="shared" si="86"/>
        <v>0.1111111111111111</v>
      </c>
      <c r="K206">
        <f>step3_validation[[#This Row],[AI_FAC1]]</f>
        <v>8</v>
      </c>
      <c r="L206">
        <f t="shared" si="87"/>
        <v>0.77777777777777779</v>
      </c>
      <c r="M206">
        <f>[1]!survey_responses[[#This Row],[Các thủ tục khai báo thuế VÀ/HOẶC quy trình làm việc với cơ quan thuế đơn giản, tiện lợi, nhanh chóng hơn so với trước đây. - HUMAN-FAC1]]</f>
        <v>1</v>
      </c>
      <c r="N206">
        <f t="shared" si="88"/>
        <v>0</v>
      </c>
      <c r="O206">
        <f>step3_validation[[#This Row],[AI_FAC2]]</f>
        <v>7</v>
      </c>
      <c r="P206">
        <f t="shared" si="89"/>
        <v>0.66666666666666663</v>
      </c>
      <c r="Q206">
        <f>[1]!survey_responses[[#This Row],[So với trước đây, tôi thấy cách tính thuế và các bậc thuế trong phương án mới đơn giản, dễ hiểu và dễ thực hiện hơn. - HUMAN-FAC2]]</f>
        <v>5</v>
      </c>
      <c r="R206">
        <f t="shared" si="90"/>
        <v>0.44444444444444442</v>
      </c>
      <c r="S206" s="32">
        <f t="shared" si="91"/>
        <v>0.72222222222222221</v>
      </c>
      <c r="T206" s="32">
        <f t="shared" si="92"/>
        <v>0.22222222222222221</v>
      </c>
      <c r="U206">
        <f>step3_validation[[#This Row],[AI_TRU1]]</f>
        <v>8</v>
      </c>
      <c r="V206">
        <f t="shared" si="93"/>
        <v>0.77777777777777779</v>
      </c>
      <c r="W206">
        <f>[1]!survey_responses[[#This Row],[Tôi tin rằng Nhà nước, cơ quan thuế sẽ thực thi chính sách mới một cách khách quan, công tâm và đối xử bình đẳng với mọi người nộp thuế.  - HUMAN-TRU1]]</f>
        <v>1</v>
      </c>
      <c r="X206">
        <f t="shared" si="94"/>
        <v>0</v>
      </c>
      <c r="Y206">
        <f>step3_validation[[#This Row],[AI_TRU2]]</f>
        <v>6</v>
      </c>
      <c r="Z206">
        <f t="shared" si="95"/>
        <v>0.55555555555555558</v>
      </c>
      <c r="AA206">
        <f>[1]!survey_responses[[#This Row],[Tôi thấy mức thuế tôi phải đóng theo phương án mới là công bằng (người thu nhập như tôi đóng mức này là hợp lý). - HUMAN-TRU2]]</f>
        <v>1</v>
      </c>
      <c r="AB206">
        <f t="shared" si="96"/>
        <v>0</v>
      </c>
      <c r="AC206">
        <f>step3_validation[[#This Row],[AI_TRU3]]</f>
        <v>7</v>
      </c>
      <c r="AD206">
        <f t="shared" si="97"/>
        <v>0.66666666666666663</v>
      </c>
      <c r="AE206">
        <f>[1]!survey_responses[[#This Row],[Tôi tin tưởng số tiền thuế tôi đóng sẽ được Nhà nước sử dụng hiệu quả để cải thiện dịch vụ công (y tế, đường xá...). - HUMAN-TRU3]]</f>
        <v>1</v>
      </c>
      <c r="AF206">
        <f t="shared" si="98"/>
        <v>0</v>
      </c>
      <c r="AG206">
        <f>step3_validation[[#This Row],[AI_TRU4]]</f>
        <v>5</v>
      </c>
      <c r="AH206">
        <f t="shared" si="99"/>
        <v>0.44444444444444442</v>
      </c>
      <c r="AI206">
        <f>[1]!survey_responses[[#This Row],[Tôi thấy Nhà nước đã giải thích rõ ràng, minh bạch về lý do và mục tiêu của việc sửa đổi thuế lần này. - HUMAN-TRU4]]</f>
        <v>4</v>
      </c>
      <c r="AJ206">
        <f t="shared" si="100"/>
        <v>0.33333333333333331</v>
      </c>
      <c r="AK206" s="32">
        <f t="shared" si="101"/>
        <v>0.61111111111111116</v>
      </c>
      <c r="AL206" s="32">
        <f t="shared" si="102"/>
        <v>8.3333333333333329E-2</v>
      </c>
      <c r="AM206" s="7">
        <f t="shared" si="103"/>
        <v>0.72222222222222221</v>
      </c>
      <c r="AN206" s="7">
        <f t="shared" si="104"/>
        <v>0.13888888888888887</v>
      </c>
      <c r="AO206">
        <f>step3_validation[[#This Row],[AI_OUT1]]</f>
        <v>7</v>
      </c>
      <c r="AP206">
        <f t="shared" si="105"/>
        <v>0.66666666666666663</v>
      </c>
      <c r="AQ206">
        <f>[1]!survey_responses[[#This Row],[Sau khi xem xét các quyền lợi và nghĩa vụ, bạn có ủng hộ và tuân thủ chính sách mới hiện nay? - HUMAN-OUT1]]</f>
        <v>5</v>
      </c>
      <c r="AR206">
        <f t="shared" si="106"/>
        <v>0.44444444444444442</v>
      </c>
      <c r="AS206" s="32">
        <f t="shared" si="107"/>
        <v>2</v>
      </c>
    </row>
    <row r="207" spans="1:45" x14ac:dyDescent="0.45">
      <c r="A207">
        <f>step3_validation[[#This Row],[AI_ENF1]]</f>
        <v>7</v>
      </c>
      <c r="B207">
        <f t="shared" si="81"/>
        <v>0.66666666666666663</v>
      </c>
      <c r="C207">
        <f>[1]!survey_responses[[#This Row],[Tôi tin rằng với các quy định quản lý thuế hiện nay, hành vi gian lận hoặc trốn thuế sẽ dễ dàng bị phát hiện và xử lý nghiêm. - HUMAN-ENF1]]</f>
        <v>8</v>
      </c>
      <c r="D207">
        <f t="shared" si="82"/>
        <v>0.77777777777777779</v>
      </c>
      <c r="E207">
        <f>step3_validation[[#This Row],[AI_ENF2]]</f>
        <v>6</v>
      </c>
      <c r="F207">
        <f t="shared" si="83"/>
        <v>0.55555555555555558</v>
      </c>
      <c r="G207">
        <f>[1]!survey_responses[[#This Row],[Tôi tin rằng Nhà nước, cơ quan thuế có đủ khả năng và công nghệ để phát hiện, xử lý nghiêm các hành vi trốn thuế. - HUMAN-ENF2]]</f>
        <v>8</v>
      </c>
      <c r="H207">
        <f t="shared" si="84"/>
        <v>0.77777777777777779</v>
      </c>
      <c r="I207" s="32">
        <f t="shared" si="85"/>
        <v>0.61111111111111116</v>
      </c>
      <c r="J207" s="32">
        <f t="shared" si="86"/>
        <v>0.77777777777777779</v>
      </c>
      <c r="K207">
        <f>step3_validation[[#This Row],[AI_FAC1]]</f>
        <v>9</v>
      </c>
      <c r="L207">
        <f t="shared" si="87"/>
        <v>0.88888888888888884</v>
      </c>
      <c r="M207">
        <f>[1]!survey_responses[[#This Row],[Các thủ tục khai báo thuế VÀ/HOẶC quy trình làm việc với cơ quan thuế đơn giản, tiện lợi, nhanh chóng hơn so với trước đây. - HUMAN-FAC1]]</f>
        <v>5</v>
      </c>
      <c r="N207">
        <f t="shared" si="88"/>
        <v>0.44444444444444442</v>
      </c>
      <c r="O207">
        <f>step3_validation[[#This Row],[AI_FAC2]]</f>
        <v>8</v>
      </c>
      <c r="P207">
        <f t="shared" si="89"/>
        <v>0.77777777777777779</v>
      </c>
      <c r="Q207">
        <f>[1]!survey_responses[[#This Row],[So với trước đây, tôi thấy cách tính thuế và các bậc thuế trong phương án mới đơn giản, dễ hiểu và dễ thực hiện hơn. - HUMAN-FAC2]]</f>
        <v>7</v>
      </c>
      <c r="R207">
        <f t="shared" si="90"/>
        <v>0.66666666666666663</v>
      </c>
      <c r="S207" s="32">
        <f t="shared" si="91"/>
        <v>0.83333333333333326</v>
      </c>
      <c r="T207" s="32">
        <f t="shared" si="92"/>
        <v>0.55555555555555558</v>
      </c>
      <c r="U207">
        <f>step3_validation[[#This Row],[AI_TRU1]]</f>
        <v>6</v>
      </c>
      <c r="V207">
        <f t="shared" si="93"/>
        <v>0.55555555555555558</v>
      </c>
      <c r="W207">
        <f>[1]!survey_responses[[#This Row],[Tôi tin rằng Nhà nước, cơ quan thuế sẽ thực thi chính sách mới một cách khách quan, công tâm và đối xử bình đẳng với mọi người nộp thuế.  - HUMAN-TRU1]]</f>
        <v>7</v>
      </c>
      <c r="X207">
        <f t="shared" si="94"/>
        <v>0.66666666666666663</v>
      </c>
      <c r="Y207">
        <f>step3_validation[[#This Row],[AI_TRU2]]</f>
        <v>6</v>
      </c>
      <c r="Z207">
        <f t="shared" si="95"/>
        <v>0.55555555555555558</v>
      </c>
      <c r="AA207">
        <f>[1]!survey_responses[[#This Row],[Tôi thấy mức thuế tôi phải đóng theo phương án mới là công bằng (người thu nhập như tôi đóng mức này là hợp lý). - HUMAN-TRU2]]</f>
        <v>6</v>
      </c>
      <c r="AB207">
        <f t="shared" si="96"/>
        <v>0.55555555555555558</v>
      </c>
      <c r="AC207">
        <f>step3_validation[[#This Row],[AI_TRU3]]</f>
        <v>6</v>
      </c>
      <c r="AD207">
        <f t="shared" si="97"/>
        <v>0.55555555555555558</v>
      </c>
      <c r="AE207">
        <f>[1]!survey_responses[[#This Row],[Tôi tin tưởng số tiền thuế tôi đóng sẽ được Nhà nước sử dụng hiệu quả để cải thiện dịch vụ công (y tế, đường xá...). - HUMAN-TRU3]]</f>
        <v>6</v>
      </c>
      <c r="AF207">
        <f t="shared" si="98"/>
        <v>0.55555555555555558</v>
      </c>
      <c r="AG207">
        <f>step3_validation[[#This Row],[AI_TRU4]]</f>
        <v>6</v>
      </c>
      <c r="AH207">
        <f t="shared" si="99"/>
        <v>0.55555555555555558</v>
      </c>
      <c r="AI207">
        <f>[1]!survey_responses[[#This Row],[Tôi thấy Nhà nước đã giải thích rõ ràng, minh bạch về lý do và mục tiêu của việc sửa đổi thuế lần này. - HUMAN-TRU4]]</f>
        <v>7</v>
      </c>
      <c r="AJ207">
        <f t="shared" si="100"/>
        <v>0.66666666666666663</v>
      </c>
      <c r="AK207" s="32">
        <f t="shared" si="101"/>
        <v>0.55555555555555558</v>
      </c>
      <c r="AL207" s="32">
        <f t="shared" si="102"/>
        <v>0.61111111111111116</v>
      </c>
      <c r="AM207" s="7">
        <f t="shared" si="103"/>
        <v>0.66666666666666663</v>
      </c>
      <c r="AN207" s="7">
        <f t="shared" si="104"/>
        <v>0.64814814814814825</v>
      </c>
      <c r="AO207">
        <f>step3_validation[[#This Row],[AI_OUT1]]</f>
        <v>6</v>
      </c>
      <c r="AP207">
        <f t="shared" si="105"/>
        <v>0.55555555555555558</v>
      </c>
      <c r="AQ207">
        <f>[1]!survey_responses[[#This Row],[Sau khi xem xét các quyền lợi và nghĩa vụ, bạn có ủng hộ và tuân thủ chính sách mới hiện nay? - HUMAN-OUT1]]</f>
        <v>7</v>
      </c>
      <c r="AR207">
        <f t="shared" si="106"/>
        <v>0.66666666666666663</v>
      </c>
      <c r="AS207" s="32">
        <f t="shared" si="107"/>
        <v>1</v>
      </c>
    </row>
    <row r="208" spans="1:45" x14ac:dyDescent="0.45">
      <c r="A208">
        <f>step3_validation[[#This Row],[AI_ENF1]]</f>
        <v>8</v>
      </c>
      <c r="B208">
        <f t="shared" si="81"/>
        <v>0.77777777777777779</v>
      </c>
      <c r="C208">
        <f>[1]!survey_responses[[#This Row],[Tôi tin rằng với các quy định quản lý thuế hiện nay, hành vi gian lận hoặc trốn thuế sẽ dễ dàng bị phát hiện và xử lý nghiêm. - HUMAN-ENF1]]</f>
        <v>4</v>
      </c>
      <c r="D208">
        <f t="shared" si="82"/>
        <v>0.33333333333333331</v>
      </c>
      <c r="E208">
        <f>step3_validation[[#This Row],[AI_ENF2]]</f>
        <v>7</v>
      </c>
      <c r="F208">
        <f t="shared" si="83"/>
        <v>0.66666666666666663</v>
      </c>
      <c r="G208">
        <f>[1]!survey_responses[[#This Row],[Tôi tin rằng Nhà nước, cơ quan thuế có đủ khả năng và công nghệ để phát hiện, xử lý nghiêm các hành vi trốn thuế. - HUMAN-ENF2]]</f>
        <v>3</v>
      </c>
      <c r="H208">
        <f t="shared" si="84"/>
        <v>0.22222222222222221</v>
      </c>
      <c r="I208" s="32">
        <f t="shared" si="85"/>
        <v>0.72222222222222221</v>
      </c>
      <c r="J208" s="32">
        <f t="shared" si="86"/>
        <v>0.27777777777777779</v>
      </c>
      <c r="K208">
        <f>step3_validation[[#This Row],[AI_FAC1]]</f>
        <v>9</v>
      </c>
      <c r="L208">
        <f t="shared" si="87"/>
        <v>0.88888888888888884</v>
      </c>
      <c r="M208">
        <f>[1]!survey_responses[[#This Row],[Các thủ tục khai báo thuế VÀ/HOẶC quy trình làm việc với cơ quan thuế đơn giản, tiện lợi, nhanh chóng hơn so với trước đây. - HUMAN-FAC1]]</f>
        <v>1</v>
      </c>
      <c r="N208">
        <f t="shared" si="88"/>
        <v>0</v>
      </c>
      <c r="O208">
        <f>step3_validation[[#This Row],[AI_FAC2]]</f>
        <v>8</v>
      </c>
      <c r="P208">
        <f t="shared" si="89"/>
        <v>0.77777777777777779</v>
      </c>
      <c r="Q208">
        <f>[1]!survey_responses[[#This Row],[So với trước đây, tôi thấy cách tính thuế và các bậc thuế trong phương án mới đơn giản, dễ hiểu và dễ thực hiện hơn. - HUMAN-FAC2]]</f>
        <v>2</v>
      </c>
      <c r="R208">
        <f t="shared" si="90"/>
        <v>0.1111111111111111</v>
      </c>
      <c r="S208" s="32">
        <f t="shared" si="91"/>
        <v>0.83333333333333326</v>
      </c>
      <c r="T208" s="32">
        <f t="shared" si="92"/>
        <v>5.5555555555555552E-2</v>
      </c>
      <c r="U208">
        <f>step3_validation[[#This Row],[AI_TRU1]]</f>
        <v>7</v>
      </c>
      <c r="V208">
        <f t="shared" si="93"/>
        <v>0.66666666666666663</v>
      </c>
      <c r="W208">
        <f>[1]!survey_responses[[#This Row],[Tôi tin rằng Nhà nước, cơ quan thuế sẽ thực thi chính sách mới một cách khách quan, công tâm và đối xử bình đẳng với mọi người nộp thuế.  - HUMAN-TRU1]]</f>
        <v>1</v>
      </c>
      <c r="X208">
        <f t="shared" si="94"/>
        <v>0</v>
      </c>
      <c r="Y208">
        <f>step3_validation[[#This Row],[AI_TRU2]]</f>
        <v>8</v>
      </c>
      <c r="Z208">
        <f t="shared" si="95"/>
        <v>0.77777777777777779</v>
      </c>
      <c r="AA208">
        <f>[1]!survey_responses[[#This Row],[Tôi thấy mức thuế tôi phải đóng theo phương án mới là công bằng (người thu nhập như tôi đóng mức này là hợp lý). - HUMAN-TRU2]]</f>
        <v>1</v>
      </c>
      <c r="AB208">
        <f t="shared" si="96"/>
        <v>0</v>
      </c>
      <c r="AC208">
        <f>step3_validation[[#This Row],[AI_TRU3]]</f>
        <v>7</v>
      </c>
      <c r="AD208">
        <f t="shared" si="97"/>
        <v>0.66666666666666663</v>
      </c>
      <c r="AE208">
        <f>[1]!survey_responses[[#This Row],[Tôi tin tưởng số tiền thuế tôi đóng sẽ được Nhà nước sử dụng hiệu quả để cải thiện dịch vụ công (y tế, đường xá...). - HUMAN-TRU3]]</f>
        <v>1</v>
      </c>
      <c r="AF208">
        <f t="shared" si="98"/>
        <v>0</v>
      </c>
      <c r="AG208">
        <f>step3_validation[[#This Row],[AI_TRU4]]</f>
        <v>6</v>
      </c>
      <c r="AH208">
        <f t="shared" si="99"/>
        <v>0.55555555555555558</v>
      </c>
      <c r="AI208">
        <f>[1]!survey_responses[[#This Row],[Tôi thấy Nhà nước đã giải thích rõ ràng, minh bạch về lý do và mục tiêu của việc sửa đổi thuế lần này. - HUMAN-TRU4]]</f>
        <v>4</v>
      </c>
      <c r="AJ208">
        <f t="shared" si="100"/>
        <v>0.33333333333333331</v>
      </c>
      <c r="AK208" s="32">
        <f t="shared" si="101"/>
        <v>0.66666666666666674</v>
      </c>
      <c r="AL208" s="32">
        <f t="shared" si="102"/>
        <v>8.3333333333333329E-2</v>
      </c>
      <c r="AM208" s="7">
        <f t="shared" si="103"/>
        <v>0.74074074074074081</v>
      </c>
      <c r="AN208" s="7">
        <f t="shared" si="104"/>
        <v>0.1388888888888889</v>
      </c>
      <c r="AO208">
        <f>step3_validation[[#This Row],[AI_OUT1]]</f>
        <v>7</v>
      </c>
      <c r="AP208">
        <f t="shared" si="105"/>
        <v>0.66666666666666663</v>
      </c>
      <c r="AQ208">
        <f>[1]!survey_responses[[#This Row],[Sau khi xem xét các quyền lợi và nghĩa vụ, bạn có ủng hộ và tuân thủ chính sách mới hiện nay? - HUMAN-OUT1]]</f>
        <v>2</v>
      </c>
      <c r="AR208">
        <f t="shared" si="106"/>
        <v>0.1111111111111111</v>
      </c>
      <c r="AS208" s="32">
        <f t="shared" si="107"/>
        <v>5</v>
      </c>
    </row>
    <row r="209" spans="1:45" x14ac:dyDescent="0.45">
      <c r="A209">
        <f>step3_validation[[#This Row],[AI_ENF1]]</f>
        <v>7</v>
      </c>
      <c r="B209">
        <f t="shared" si="81"/>
        <v>0.66666666666666663</v>
      </c>
      <c r="C209">
        <f>[1]!survey_responses[[#This Row],[Tôi tin rằng với các quy định quản lý thuế hiện nay, hành vi gian lận hoặc trốn thuế sẽ dễ dàng bị phát hiện và xử lý nghiêm. - HUMAN-ENF1]]</f>
        <v>7</v>
      </c>
      <c r="D209">
        <f t="shared" si="82"/>
        <v>0.66666666666666663</v>
      </c>
      <c r="E209">
        <f>step3_validation[[#This Row],[AI_ENF2]]</f>
        <v>8</v>
      </c>
      <c r="F209">
        <f t="shared" si="83"/>
        <v>0.77777777777777779</v>
      </c>
      <c r="G209">
        <f>[1]!survey_responses[[#This Row],[Tôi tin rằng Nhà nước, cơ quan thuế có đủ khả năng và công nghệ để phát hiện, xử lý nghiêm các hành vi trốn thuế. - HUMAN-ENF2]]</f>
        <v>8</v>
      </c>
      <c r="H209">
        <f t="shared" si="84"/>
        <v>0.77777777777777779</v>
      </c>
      <c r="I209" s="32">
        <f t="shared" si="85"/>
        <v>0.72222222222222221</v>
      </c>
      <c r="J209" s="32">
        <f t="shared" si="86"/>
        <v>0.72222222222222221</v>
      </c>
      <c r="K209">
        <f>step3_validation[[#This Row],[AI_FAC1]]</f>
        <v>6</v>
      </c>
      <c r="L209">
        <f t="shared" si="87"/>
        <v>0.55555555555555558</v>
      </c>
      <c r="M209">
        <f>[1]!survey_responses[[#This Row],[Các thủ tục khai báo thuế VÀ/HOẶC quy trình làm việc với cơ quan thuế đơn giản, tiện lợi, nhanh chóng hơn so với trước đây. - HUMAN-FAC1]]</f>
        <v>6</v>
      </c>
      <c r="N209">
        <f t="shared" si="88"/>
        <v>0.55555555555555558</v>
      </c>
      <c r="O209">
        <f>step3_validation[[#This Row],[AI_FAC2]]</f>
        <v>5</v>
      </c>
      <c r="P209">
        <f t="shared" si="89"/>
        <v>0.44444444444444442</v>
      </c>
      <c r="Q209">
        <f>[1]!survey_responses[[#This Row],[So với trước đây, tôi thấy cách tính thuế và các bậc thuế trong phương án mới đơn giản, dễ hiểu và dễ thực hiện hơn. - HUMAN-FAC2]]</f>
        <v>7</v>
      </c>
      <c r="R209">
        <f t="shared" si="90"/>
        <v>0.66666666666666663</v>
      </c>
      <c r="S209" s="32">
        <f t="shared" si="91"/>
        <v>0.5</v>
      </c>
      <c r="T209" s="32">
        <f t="shared" si="92"/>
        <v>0.61111111111111116</v>
      </c>
      <c r="U209">
        <f>step3_validation[[#This Row],[AI_TRU1]]</f>
        <v>7</v>
      </c>
      <c r="V209">
        <f t="shared" si="93"/>
        <v>0.66666666666666663</v>
      </c>
      <c r="W209">
        <f>[1]!survey_responses[[#This Row],[Tôi tin rằng Nhà nước, cơ quan thuế sẽ thực thi chính sách mới một cách khách quan, công tâm và đối xử bình đẳng với mọi người nộp thuế.  - HUMAN-TRU1]]</f>
        <v>6</v>
      </c>
      <c r="X209">
        <f t="shared" si="94"/>
        <v>0.55555555555555558</v>
      </c>
      <c r="Y209">
        <f>step3_validation[[#This Row],[AI_TRU2]]</f>
        <v>8</v>
      </c>
      <c r="Z209">
        <f t="shared" si="95"/>
        <v>0.77777777777777779</v>
      </c>
      <c r="AA209">
        <f>[1]!survey_responses[[#This Row],[Tôi thấy mức thuế tôi phải đóng theo phương án mới là công bằng (người thu nhập như tôi đóng mức này là hợp lý). - HUMAN-TRU2]]</f>
        <v>7</v>
      </c>
      <c r="AB209">
        <f t="shared" si="96"/>
        <v>0.66666666666666663</v>
      </c>
      <c r="AC209">
        <f>step3_validation[[#This Row],[AI_TRU3]]</f>
        <v>6</v>
      </c>
      <c r="AD209">
        <f t="shared" si="97"/>
        <v>0.55555555555555558</v>
      </c>
      <c r="AE209">
        <f>[1]!survey_responses[[#This Row],[Tôi tin tưởng số tiền thuế tôi đóng sẽ được Nhà nước sử dụng hiệu quả để cải thiện dịch vụ công (y tế, đường xá...). - HUMAN-TRU3]]</f>
        <v>6</v>
      </c>
      <c r="AF209">
        <f t="shared" si="98"/>
        <v>0.55555555555555558</v>
      </c>
      <c r="AG209">
        <f>step3_validation[[#This Row],[AI_TRU4]]</f>
        <v>7</v>
      </c>
      <c r="AH209">
        <f t="shared" si="99"/>
        <v>0.66666666666666663</v>
      </c>
      <c r="AI209">
        <f>[1]!survey_responses[[#This Row],[Tôi thấy Nhà nước đã giải thích rõ ràng, minh bạch về lý do và mục tiêu của việc sửa đổi thuế lần này. - HUMAN-TRU4]]</f>
        <v>6</v>
      </c>
      <c r="AJ209">
        <f t="shared" si="100"/>
        <v>0.55555555555555558</v>
      </c>
      <c r="AK209" s="32">
        <f t="shared" si="101"/>
        <v>0.66666666666666663</v>
      </c>
      <c r="AL209" s="32">
        <f t="shared" si="102"/>
        <v>0.58333333333333337</v>
      </c>
      <c r="AM209" s="7">
        <f t="shared" si="103"/>
        <v>0.62962962962962965</v>
      </c>
      <c r="AN209" s="7">
        <f t="shared" si="104"/>
        <v>0.63888888888888895</v>
      </c>
      <c r="AO209">
        <f>step3_validation[[#This Row],[AI_OUT1]]</f>
        <v>6</v>
      </c>
      <c r="AP209">
        <f t="shared" si="105"/>
        <v>0.55555555555555558</v>
      </c>
      <c r="AQ209">
        <f>[1]!survey_responses[[#This Row],[Sau khi xem xét các quyền lợi và nghĩa vụ, bạn có ủng hộ và tuân thủ chính sách mới hiện nay? - HUMAN-OUT1]]</f>
        <v>6</v>
      </c>
      <c r="AR209">
        <f t="shared" si="106"/>
        <v>0.55555555555555558</v>
      </c>
      <c r="AS209" s="32">
        <f t="shared" si="107"/>
        <v>0</v>
      </c>
    </row>
    <row r="210" spans="1:45" x14ac:dyDescent="0.45">
      <c r="A210">
        <f>step3_validation[[#This Row],[AI_ENF1]]</f>
        <v>7</v>
      </c>
      <c r="B210">
        <f t="shared" si="81"/>
        <v>0.66666666666666663</v>
      </c>
      <c r="C210">
        <f>[1]!survey_responses[[#This Row],[Tôi tin rằng với các quy định quản lý thuế hiện nay, hành vi gian lận hoặc trốn thuế sẽ dễ dàng bị phát hiện và xử lý nghiêm. - HUMAN-ENF1]]</f>
        <v>6</v>
      </c>
      <c r="D210">
        <f t="shared" si="82"/>
        <v>0.55555555555555558</v>
      </c>
      <c r="E210">
        <f>step3_validation[[#This Row],[AI_ENF2]]</f>
        <v>6</v>
      </c>
      <c r="F210">
        <f t="shared" si="83"/>
        <v>0.55555555555555558</v>
      </c>
      <c r="G210">
        <f>[1]!survey_responses[[#This Row],[Tôi tin rằng Nhà nước, cơ quan thuế có đủ khả năng và công nghệ để phát hiện, xử lý nghiêm các hành vi trốn thuế. - HUMAN-ENF2]]</f>
        <v>6</v>
      </c>
      <c r="H210">
        <f t="shared" si="84"/>
        <v>0.55555555555555558</v>
      </c>
      <c r="I210" s="32">
        <f t="shared" si="85"/>
        <v>0.61111111111111116</v>
      </c>
      <c r="J210" s="32">
        <f t="shared" si="86"/>
        <v>0.55555555555555558</v>
      </c>
      <c r="K210">
        <f>step3_validation[[#This Row],[AI_FAC1]]</f>
        <v>8</v>
      </c>
      <c r="L210">
        <f t="shared" si="87"/>
        <v>0.77777777777777779</v>
      </c>
      <c r="M210">
        <f>[1]!survey_responses[[#This Row],[Các thủ tục khai báo thuế VÀ/HOẶC quy trình làm việc với cơ quan thuế đơn giản, tiện lợi, nhanh chóng hơn so với trước đây. - HUMAN-FAC1]]</f>
        <v>6</v>
      </c>
      <c r="N210">
        <f t="shared" si="88"/>
        <v>0.55555555555555558</v>
      </c>
      <c r="O210">
        <f>step3_validation[[#This Row],[AI_FAC2]]</f>
        <v>7</v>
      </c>
      <c r="P210">
        <f t="shared" si="89"/>
        <v>0.66666666666666663</v>
      </c>
      <c r="Q210">
        <f>[1]!survey_responses[[#This Row],[So với trước đây, tôi thấy cách tính thuế và các bậc thuế trong phương án mới đơn giản, dễ hiểu và dễ thực hiện hơn. - HUMAN-FAC2]]</f>
        <v>6</v>
      </c>
      <c r="R210">
        <f t="shared" si="90"/>
        <v>0.55555555555555558</v>
      </c>
      <c r="S210" s="32">
        <f t="shared" si="91"/>
        <v>0.72222222222222221</v>
      </c>
      <c r="T210" s="32">
        <f t="shared" si="92"/>
        <v>0.55555555555555558</v>
      </c>
      <c r="U210">
        <f>step3_validation[[#This Row],[AI_TRU1]]</f>
        <v>6</v>
      </c>
      <c r="V210">
        <f t="shared" si="93"/>
        <v>0.55555555555555558</v>
      </c>
      <c r="W210">
        <f>[1]!survey_responses[[#This Row],[Tôi tin rằng Nhà nước, cơ quan thuế sẽ thực thi chính sách mới một cách khách quan, công tâm và đối xử bình đẳng với mọi người nộp thuế.  - HUMAN-TRU1]]</f>
        <v>6</v>
      </c>
      <c r="X210">
        <f t="shared" si="94"/>
        <v>0.55555555555555558</v>
      </c>
      <c r="Y210">
        <f>step3_validation[[#This Row],[AI_TRU2]]</f>
        <v>7</v>
      </c>
      <c r="Z210">
        <f t="shared" si="95"/>
        <v>0.66666666666666663</v>
      </c>
      <c r="AA210">
        <f>[1]!survey_responses[[#This Row],[Tôi thấy mức thuế tôi phải đóng theo phương án mới là công bằng (người thu nhập như tôi đóng mức này là hợp lý). - HUMAN-TRU2]]</f>
        <v>5</v>
      </c>
      <c r="AB210">
        <f t="shared" si="96"/>
        <v>0.44444444444444442</v>
      </c>
      <c r="AC210">
        <f>step3_validation[[#This Row],[AI_TRU3]]</f>
        <v>6</v>
      </c>
      <c r="AD210">
        <f t="shared" si="97"/>
        <v>0.55555555555555558</v>
      </c>
      <c r="AE210">
        <f>[1]!survey_responses[[#This Row],[Tôi tin tưởng số tiền thuế tôi đóng sẽ được Nhà nước sử dụng hiệu quả để cải thiện dịch vụ công (y tế, đường xá...). - HUMAN-TRU3]]</f>
        <v>6</v>
      </c>
      <c r="AF210">
        <f t="shared" si="98"/>
        <v>0.55555555555555558</v>
      </c>
      <c r="AG210">
        <f>step3_validation[[#This Row],[AI_TRU4]]</f>
        <v>5</v>
      </c>
      <c r="AH210">
        <f t="shared" si="99"/>
        <v>0.44444444444444442</v>
      </c>
      <c r="AI210">
        <f>[1]!survey_responses[[#This Row],[Tôi thấy Nhà nước đã giải thích rõ ràng, minh bạch về lý do và mục tiêu của việc sửa đổi thuế lần này. - HUMAN-TRU4]]</f>
        <v>6</v>
      </c>
      <c r="AJ210">
        <f t="shared" si="100"/>
        <v>0.55555555555555558</v>
      </c>
      <c r="AK210" s="32">
        <f t="shared" si="101"/>
        <v>0.55555555555555558</v>
      </c>
      <c r="AL210" s="32">
        <f t="shared" si="102"/>
        <v>0.52777777777777779</v>
      </c>
      <c r="AM210" s="7">
        <f t="shared" si="103"/>
        <v>0.62962962962962965</v>
      </c>
      <c r="AN210" s="7">
        <f t="shared" si="104"/>
        <v>0.54629629629629628</v>
      </c>
      <c r="AO210">
        <f>step3_validation[[#This Row],[AI_OUT1]]</f>
        <v>4</v>
      </c>
      <c r="AP210">
        <f t="shared" si="105"/>
        <v>0.33333333333333331</v>
      </c>
      <c r="AQ210">
        <f>[1]!survey_responses[[#This Row],[Sau khi xem xét các quyền lợi và nghĩa vụ, bạn có ủng hộ và tuân thủ chính sách mới hiện nay? - HUMAN-OUT1]]</f>
        <v>6</v>
      </c>
      <c r="AR210">
        <f t="shared" si="106"/>
        <v>0.55555555555555558</v>
      </c>
      <c r="AS210" s="32">
        <f t="shared" si="107"/>
        <v>2</v>
      </c>
    </row>
    <row r="211" spans="1:45" x14ac:dyDescent="0.45">
      <c r="A211">
        <f>step3_validation[[#This Row],[AI_ENF1]]</f>
        <v>9</v>
      </c>
      <c r="B211">
        <f t="shared" si="81"/>
        <v>0.88888888888888884</v>
      </c>
      <c r="C211">
        <f>[1]!survey_responses[[#This Row],[Tôi tin rằng với các quy định quản lý thuế hiện nay, hành vi gian lận hoặc trốn thuế sẽ dễ dàng bị phát hiện và xử lý nghiêm. - HUMAN-ENF1]]</f>
        <v>7</v>
      </c>
      <c r="D211">
        <f t="shared" si="82"/>
        <v>0.66666666666666663</v>
      </c>
      <c r="E211">
        <f>step3_validation[[#This Row],[AI_ENF2]]</f>
        <v>8</v>
      </c>
      <c r="F211">
        <f t="shared" si="83"/>
        <v>0.77777777777777779</v>
      </c>
      <c r="G211">
        <f>[1]!survey_responses[[#This Row],[Tôi tin rằng Nhà nước, cơ quan thuế có đủ khả năng và công nghệ để phát hiện, xử lý nghiêm các hành vi trốn thuế. - HUMAN-ENF2]]</f>
        <v>7</v>
      </c>
      <c r="H211">
        <f t="shared" si="84"/>
        <v>0.66666666666666663</v>
      </c>
      <c r="I211" s="32">
        <f t="shared" si="85"/>
        <v>0.83333333333333326</v>
      </c>
      <c r="J211" s="32">
        <f t="shared" si="86"/>
        <v>0.66666666666666663</v>
      </c>
      <c r="K211">
        <f>step3_validation[[#This Row],[AI_FAC1]]</f>
        <v>7</v>
      </c>
      <c r="L211">
        <f t="shared" si="87"/>
        <v>0.66666666666666663</v>
      </c>
      <c r="M211">
        <f>[1]!survey_responses[[#This Row],[Các thủ tục khai báo thuế VÀ/HOẶC quy trình làm việc với cơ quan thuế đơn giản, tiện lợi, nhanh chóng hơn so với trước đây. - HUMAN-FAC1]]</f>
        <v>8</v>
      </c>
      <c r="N211">
        <f t="shared" si="88"/>
        <v>0.77777777777777779</v>
      </c>
      <c r="O211">
        <f>step3_validation[[#This Row],[AI_FAC2]]</f>
        <v>8</v>
      </c>
      <c r="P211">
        <f t="shared" si="89"/>
        <v>0.77777777777777779</v>
      </c>
      <c r="Q211">
        <f>[1]!survey_responses[[#This Row],[So với trước đây, tôi thấy cách tính thuế và các bậc thuế trong phương án mới đơn giản, dễ hiểu và dễ thực hiện hơn. - HUMAN-FAC2]]</f>
        <v>8</v>
      </c>
      <c r="R211">
        <f t="shared" si="90"/>
        <v>0.77777777777777779</v>
      </c>
      <c r="S211" s="32">
        <f t="shared" si="91"/>
        <v>0.72222222222222221</v>
      </c>
      <c r="T211" s="32">
        <f t="shared" si="92"/>
        <v>0.77777777777777779</v>
      </c>
      <c r="U211">
        <f>step3_validation[[#This Row],[AI_TRU1]]</f>
        <v>7</v>
      </c>
      <c r="V211">
        <f t="shared" si="93"/>
        <v>0.66666666666666663</v>
      </c>
      <c r="W211">
        <f>[1]!survey_responses[[#This Row],[Tôi tin rằng Nhà nước, cơ quan thuế sẽ thực thi chính sách mới một cách khách quan, công tâm và đối xử bình đẳng với mọi người nộp thuế.  - HUMAN-TRU1]]</f>
        <v>8</v>
      </c>
      <c r="X211">
        <f t="shared" si="94"/>
        <v>0.77777777777777779</v>
      </c>
      <c r="Y211">
        <f>step3_validation[[#This Row],[AI_TRU2]]</f>
        <v>8</v>
      </c>
      <c r="Z211">
        <f t="shared" si="95"/>
        <v>0.77777777777777779</v>
      </c>
      <c r="AA211">
        <f>[1]!survey_responses[[#This Row],[Tôi thấy mức thuế tôi phải đóng theo phương án mới là công bằng (người thu nhập như tôi đóng mức này là hợp lý). - HUMAN-TRU2]]</f>
        <v>9</v>
      </c>
      <c r="AB211">
        <f t="shared" si="96"/>
        <v>0.88888888888888884</v>
      </c>
      <c r="AC211">
        <f>step3_validation[[#This Row],[AI_TRU3]]</f>
        <v>7</v>
      </c>
      <c r="AD211">
        <f t="shared" si="97"/>
        <v>0.66666666666666663</v>
      </c>
      <c r="AE211">
        <f>[1]!survey_responses[[#This Row],[Tôi tin tưởng số tiền thuế tôi đóng sẽ được Nhà nước sử dụng hiệu quả để cải thiện dịch vụ công (y tế, đường xá...). - HUMAN-TRU3]]</f>
        <v>8</v>
      </c>
      <c r="AF211">
        <f t="shared" si="98"/>
        <v>0.77777777777777779</v>
      </c>
      <c r="AG211">
        <f>step3_validation[[#This Row],[AI_TRU4]]</f>
        <v>8</v>
      </c>
      <c r="AH211">
        <f t="shared" si="99"/>
        <v>0.77777777777777779</v>
      </c>
      <c r="AI211">
        <f>[1]!survey_responses[[#This Row],[Tôi thấy Nhà nước đã giải thích rõ ràng, minh bạch về lý do và mục tiêu của việc sửa đổi thuế lần này. - HUMAN-TRU4]]</f>
        <v>8</v>
      </c>
      <c r="AJ211">
        <f t="shared" si="100"/>
        <v>0.77777777777777779</v>
      </c>
      <c r="AK211" s="32">
        <f t="shared" si="101"/>
        <v>0.72222222222222221</v>
      </c>
      <c r="AL211" s="32">
        <f t="shared" si="102"/>
        <v>0.80555555555555547</v>
      </c>
      <c r="AM211" s="7">
        <f t="shared" si="103"/>
        <v>0.75925925925925919</v>
      </c>
      <c r="AN211" s="7">
        <f t="shared" si="104"/>
        <v>0.75</v>
      </c>
      <c r="AO211">
        <f>step3_validation[[#This Row],[AI_OUT1]]</f>
        <v>9</v>
      </c>
      <c r="AP211">
        <f t="shared" si="105"/>
        <v>0.88888888888888884</v>
      </c>
      <c r="AQ211">
        <f>[1]!survey_responses[[#This Row],[Sau khi xem xét các quyền lợi và nghĩa vụ, bạn có ủng hộ và tuân thủ chính sách mới hiện nay? - HUMAN-OUT1]]</f>
        <v>8</v>
      </c>
      <c r="AR211">
        <f t="shared" si="106"/>
        <v>0.77777777777777779</v>
      </c>
      <c r="AS211" s="32">
        <f t="shared" si="107"/>
        <v>1</v>
      </c>
    </row>
    <row r="212" spans="1:45" x14ac:dyDescent="0.45">
      <c r="A212">
        <f>step3_validation[[#This Row],[AI_ENF1]]</f>
        <v>5</v>
      </c>
      <c r="B212">
        <f t="shared" si="81"/>
        <v>0.44444444444444442</v>
      </c>
      <c r="C212">
        <f>[1]!survey_responses[[#This Row],[Tôi tin rằng với các quy định quản lý thuế hiện nay, hành vi gian lận hoặc trốn thuế sẽ dễ dàng bị phát hiện và xử lý nghiêm. - HUMAN-ENF1]]</f>
        <v>7</v>
      </c>
      <c r="D212">
        <f t="shared" si="82"/>
        <v>0.66666666666666663</v>
      </c>
      <c r="E212">
        <f>step3_validation[[#This Row],[AI_ENF2]]</f>
        <v>6</v>
      </c>
      <c r="F212">
        <f t="shared" si="83"/>
        <v>0.55555555555555558</v>
      </c>
      <c r="G212">
        <f>[1]!survey_responses[[#This Row],[Tôi tin rằng Nhà nước, cơ quan thuế có đủ khả năng và công nghệ để phát hiện, xử lý nghiêm các hành vi trốn thuế. - HUMAN-ENF2]]</f>
        <v>7</v>
      </c>
      <c r="H212">
        <f t="shared" si="84"/>
        <v>0.66666666666666663</v>
      </c>
      <c r="I212" s="32">
        <f t="shared" si="85"/>
        <v>0.5</v>
      </c>
      <c r="J212" s="32">
        <f t="shared" si="86"/>
        <v>0.66666666666666663</v>
      </c>
      <c r="K212">
        <f>step3_validation[[#This Row],[AI_FAC1]]</f>
        <v>8</v>
      </c>
      <c r="L212">
        <f t="shared" si="87"/>
        <v>0.77777777777777779</v>
      </c>
      <c r="M212">
        <f>[1]!survey_responses[[#This Row],[Các thủ tục khai báo thuế VÀ/HOẶC quy trình làm việc với cơ quan thuế đơn giản, tiện lợi, nhanh chóng hơn so với trước đây. - HUMAN-FAC1]]</f>
        <v>7</v>
      </c>
      <c r="N212">
        <f t="shared" si="88"/>
        <v>0.66666666666666663</v>
      </c>
      <c r="O212">
        <f>step3_validation[[#This Row],[AI_FAC2]]</f>
        <v>9</v>
      </c>
      <c r="P212">
        <f t="shared" si="89"/>
        <v>0.88888888888888884</v>
      </c>
      <c r="Q212">
        <f>[1]!survey_responses[[#This Row],[So với trước đây, tôi thấy cách tính thuế và các bậc thuế trong phương án mới đơn giản, dễ hiểu và dễ thực hiện hơn. - HUMAN-FAC2]]</f>
        <v>7</v>
      </c>
      <c r="R212">
        <f t="shared" si="90"/>
        <v>0.66666666666666663</v>
      </c>
      <c r="S212" s="32">
        <f t="shared" si="91"/>
        <v>0.83333333333333326</v>
      </c>
      <c r="T212" s="32">
        <f t="shared" si="92"/>
        <v>0.66666666666666663</v>
      </c>
      <c r="U212">
        <f>step3_validation[[#This Row],[AI_TRU1]]</f>
        <v>7</v>
      </c>
      <c r="V212">
        <f t="shared" si="93"/>
        <v>0.66666666666666663</v>
      </c>
      <c r="W212">
        <f>[1]!survey_responses[[#This Row],[Tôi tin rằng Nhà nước, cơ quan thuế sẽ thực thi chính sách mới một cách khách quan, công tâm và đối xử bình đẳng với mọi người nộp thuế.  - HUMAN-TRU1]]</f>
        <v>7</v>
      </c>
      <c r="X212">
        <f t="shared" si="94"/>
        <v>0.66666666666666663</v>
      </c>
      <c r="Y212">
        <f>step3_validation[[#This Row],[AI_TRU2]]</f>
        <v>8</v>
      </c>
      <c r="Z212">
        <f t="shared" si="95"/>
        <v>0.77777777777777779</v>
      </c>
      <c r="AA212">
        <f>[1]!survey_responses[[#This Row],[Tôi thấy mức thuế tôi phải đóng theo phương án mới là công bằng (người thu nhập như tôi đóng mức này là hợp lý). - HUMAN-TRU2]]</f>
        <v>7</v>
      </c>
      <c r="AB212">
        <f t="shared" si="96"/>
        <v>0.66666666666666663</v>
      </c>
      <c r="AC212">
        <f>step3_validation[[#This Row],[AI_TRU3]]</f>
        <v>7</v>
      </c>
      <c r="AD212">
        <f t="shared" si="97"/>
        <v>0.66666666666666663</v>
      </c>
      <c r="AE212">
        <f>[1]!survey_responses[[#This Row],[Tôi tin tưởng số tiền thuế tôi đóng sẽ được Nhà nước sử dụng hiệu quả để cải thiện dịch vụ công (y tế, đường xá...). - HUMAN-TRU3]]</f>
        <v>7</v>
      </c>
      <c r="AF212">
        <f t="shared" si="98"/>
        <v>0.66666666666666663</v>
      </c>
      <c r="AG212">
        <f>step3_validation[[#This Row],[AI_TRU4]]</f>
        <v>6</v>
      </c>
      <c r="AH212">
        <f t="shared" si="99"/>
        <v>0.55555555555555558</v>
      </c>
      <c r="AI212">
        <f>[1]!survey_responses[[#This Row],[Tôi thấy Nhà nước đã giải thích rõ ràng, minh bạch về lý do và mục tiêu của việc sửa đổi thuế lần này. - HUMAN-TRU4]]</f>
        <v>7</v>
      </c>
      <c r="AJ212">
        <f t="shared" si="100"/>
        <v>0.66666666666666663</v>
      </c>
      <c r="AK212" s="32">
        <f t="shared" si="101"/>
        <v>0.66666666666666674</v>
      </c>
      <c r="AL212" s="32">
        <f t="shared" si="102"/>
        <v>0.66666666666666663</v>
      </c>
      <c r="AM212" s="7">
        <f t="shared" si="103"/>
        <v>0.66666666666666663</v>
      </c>
      <c r="AN212" s="7">
        <f t="shared" si="104"/>
        <v>0.66666666666666663</v>
      </c>
      <c r="AO212">
        <f>step3_validation[[#This Row],[AI_OUT1]]</f>
        <v>7</v>
      </c>
      <c r="AP212">
        <f t="shared" si="105"/>
        <v>0.66666666666666663</v>
      </c>
      <c r="AQ212">
        <f>[1]!survey_responses[[#This Row],[Sau khi xem xét các quyền lợi và nghĩa vụ, bạn có ủng hộ và tuân thủ chính sách mới hiện nay? - HUMAN-OUT1]]</f>
        <v>7</v>
      </c>
      <c r="AR212">
        <f t="shared" si="106"/>
        <v>0.66666666666666663</v>
      </c>
      <c r="AS212" s="32">
        <f t="shared" si="107"/>
        <v>0</v>
      </c>
    </row>
    <row r="213" spans="1:45" x14ac:dyDescent="0.45">
      <c r="A213">
        <f>step3_validation[[#This Row],[AI_ENF1]]</f>
        <v>8</v>
      </c>
      <c r="B213">
        <f t="shared" si="81"/>
        <v>0.77777777777777779</v>
      </c>
      <c r="C213">
        <f>[1]!survey_responses[[#This Row],[Tôi tin rằng với các quy định quản lý thuế hiện nay, hành vi gian lận hoặc trốn thuế sẽ dễ dàng bị phát hiện và xử lý nghiêm. - HUMAN-ENF1]]</f>
        <v>5</v>
      </c>
      <c r="D213">
        <f t="shared" si="82"/>
        <v>0.44444444444444442</v>
      </c>
      <c r="E213">
        <f>step3_validation[[#This Row],[AI_ENF2]]</f>
        <v>7</v>
      </c>
      <c r="F213">
        <f t="shared" si="83"/>
        <v>0.66666666666666663</v>
      </c>
      <c r="G213">
        <f>[1]!survey_responses[[#This Row],[Tôi tin rằng Nhà nước, cơ quan thuế có đủ khả năng và công nghệ để phát hiện, xử lý nghiêm các hành vi trốn thuế. - HUMAN-ENF2]]</f>
        <v>5</v>
      </c>
      <c r="H213">
        <f t="shared" si="84"/>
        <v>0.44444444444444442</v>
      </c>
      <c r="I213" s="32">
        <f t="shared" si="85"/>
        <v>0.72222222222222221</v>
      </c>
      <c r="J213" s="32">
        <f t="shared" si="86"/>
        <v>0.44444444444444442</v>
      </c>
      <c r="K213">
        <f>step3_validation[[#This Row],[AI_FAC1]]</f>
        <v>9</v>
      </c>
      <c r="L213">
        <f t="shared" si="87"/>
        <v>0.88888888888888884</v>
      </c>
      <c r="M213">
        <f>[1]!survey_responses[[#This Row],[Các thủ tục khai báo thuế VÀ/HOẶC quy trình làm việc với cơ quan thuế đơn giản, tiện lợi, nhanh chóng hơn so với trước đây. - HUMAN-FAC1]]</f>
        <v>1</v>
      </c>
      <c r="N213">
        <f t="shared" si="88"/>
        <v>0</v>
      </c>
      <c r="O213">
        <f>step3_validation[[#This Row],[AI_FAC2]]</f>
        <v>8</v>
      </c>
      <c r="P213">
        <f t="shared" si="89"/>
        <v>0.77777777777777779</v>
      </c>
      <c r="Q213">
        <f>[1]!survey_responses[[#This Row],[So với trước đây, tôi thấy cách tính thuế và các bậc thuế trong phương án mới đơn giản, dễ hiểu và dễ thực hiện hơn. - HUMAN-FAC2]]</f>
        <v>5</v>
      </c>
      <c r="R213">
        <f t="shared" si="90"/>
        <v>0.44444444444444442</v>
      </c>
      <c r="S213" s="32">
        <f t="shared" si="91"/>
        <v>0.83333333333333326</v>
      </c>
      <c r="T213" s="32">
        <f t="shared" si="92"/>
        <v>0.22222222222222221</v>
      </c>
      <c r="U213">
        <f>step3_validation[[#This Row],[AI_TRU1]]</f>
        <v>7</v>
      </c>
      <c r="V213">
        <f t="shared" si="93"/>
        <v>0.66666666666666663</v>
      </c>
      <c r="W213">
        <f>[1]!survey_responses[[#This Row],[Tôi tin rằng Nhà nước, cơ quan thuế sẽ thực thi chính sách mới một cách khách quan, công tâm và đối xử bình đẳng với mọi người nộp thuế.  - HUMAN-TRU1]]</f>
        <v>5</v>
      </c>
      <c r="X213">
        <f t="shared" si="94"/>
        <v>0.44444444444444442</v>
      </c>
      <c r="Y213">
        <f>step3_validation[[#This Row],[AI_TRU2]]</f>
        <v>8</v>
      </c>
      <c r="Z213">
        <f t="shared" si="95"/>
        <v>0.77777777777777779</v>
      </c>
      <c r="AA213">
        <f>[1]!survey_responses[[#This Row],[Tôi thấy mức thuế tôi phải đóng theo phương án mới là công bằng (người thu nhập như tôi đóng mức này là hợp lý). - HUMAN-TRU2]]</f>
        <v>5</v>
      </c>
      <c r="AB213">
        <f t="shared" si="96"/>
        <v>0.44444444444444442</v>
      </c>
      <c r="AC213">
        <f>step3_validation[[#This Row],[AI_TRU3]]</f>
        <v>7</v>
      </c>
      <c r="AD213">
        <f t="shared" si="97"/>
        <v>0.66666666666666663</v>
      </c>
      <c r="AE213">
        <f>[1]!survey_responses[[#This Row],[Tôi tin tưởng số tiền thuế tôi đóng sẽ được Nhà nước sử dụng hiệu quả để cải thiện dịch vụ công (y tế, đường xá...). - HUMAN-TRU3]]</f>
        <v>4</v>
      </c>
      <c r="AF213">
        <f t="shared" si="98"/>
        <v>0.33333333333333331</v>
      </c>
      <c r="AG213">
        <f>step3_validation[[#This Row],[AI_TRU4]]</f>
        <v>6</v>
      </c>
      <c r="AH213">
        <f t="shared" si="99"/>
        <v>0.55555555555555558</v>
      </c>
      <c r="AI213">
        <f>[1]!survey_responses[[#This Row],[Tôi thấy Nhà nước đã giải thích rõ ràng, minh bạch về lý do và mục tiêu của việc sửa đổi thuế lần này. - HUMAN-TRU4]]</f>
        <v>5</v>
      </c>
      <c r="AJ213">
        <f t="shared" si="100"/>
        <v>0.44444444444444442</v>
      </c>
      <c r="AK213" s="32">
        <f t="shared" si="101"/>
        <v>0.66666666666666674</v>
      </c>
      <c r="AL213" s="32">
        <f t="shared" si="102"/>
        <v>0.41666666666666663</v>
      </c>
      <c r="AM213" s="7">
        <f t="shared" si="103"/>
        <v>0.74074074074074081</v>
      </c>
      <c r="AN213" s="7">
        <f t="shared" si="104"/>
        <v>0.3611111111111111</v>
      </c>
      <c r="AO213">
        <f>step3_validation[[#This Row],[AI_OUT1]]</f>
        <v>8</v>
      </c>
      <c r="AP213">
        <f t="shared" si="105"/>
        <v>0.77777777777777779</v>
      </c>
      <c r="AQ213">
        <f>[1]!survey_responses[[#This Row],[Sau khi xem xét các quyền lợi và nghĩa vụ, bạn có ủng hộ và tuân thủ chính sách mới hiện nay? - HUMAN-OUT1]]</f>
        <v>5</v>
      </c>
      <c r="AR213">
        <f t="shared" si="106"/>
        <v>0.44444444444444442</v>
      </c>
      <c r="AS213" s="32">
        <f t="shared" si="107"/>
        <v>3</v>
      </c>
    </row>
    <row r="214" spans="1:45" x14ac:dyDescent="0.45">
      <c r="A214">
        <f>step3_validation[[#This Row],[AI_ENF1]]</f>
        <v>6</v>
      </c>
      <c r="B214">
        <f t="shared" si="81"/>
        <v>0.55555555555555558</v>
      </c>
      <c r="C214">
        <f>[1]!survey_responses[[#This Row],[Tôi tin rằng với các quy định quản lý thuế hiện nay, hành vi gian lận hoặc trốn thuế sẽ dễ dàng bị phát hiện và xử lý nghiêm. - HUMAN-ENF1]]</f>
        <v>7</v>
      </c>
      <c r="D214">
        <f t="shared" si="82"/>
        <v>0.66666666666666663</v>
      </c>
      <c r="E214">
        <f>step3_validation[[#This Row],[AI_ENF2]]</f>
        <v>7</v>
      </c>
      <c r="F214">
        <f t="shared" si="83"/>
        <v>0.66666666666666663</v>
      </c>
      <c r="G214">
        <f>[1]!survey_responses[[#This Row],[Tôi tin rằng Nhà nước, cơ quan thuế có đủ khả năng và công nghệ để phát hiện, xử lý nghiêm các hành vi trốn thuế. - HUMAN-ENF2]]</f>
        <v>8</v>
      </c>
      <c r="H214">
        <f t="shared" si="84"/>
        <v>0.77777777777777779</v>
      </c>
      <c r="I214" s="32">
        <f t="shared" si="85"/>
        <v>0.61111111111111116</v>
      </c>
      <c r="J214" s="32">
        <f t="shared" si="86"/>
        <v>0.72222222222222221</v>
      </c>
      <c r="K214">
        <f>step3_validation[[#This Row],[AI_FAC1]]</f>
        <v>8</v>
      </c>
      <c r="L214">
        <f t="shared" si="87"/>
        <v>0.77777777777777779</v>
      </c>
      <c r="M214">
        <f>[1]!survey_responses[[#This Row],[Các thủ tục khai báo thuế VÀ/HOẶC quy trình làm việc với cơ quan thuế đơn giản, tiện lợi, nhanh chóng hơn so với trước đây. - HUMAN-FAC1]]</f>
        <v>8</v>
      </c>
      <c r="N214">
        <f t="shared" si="88"/>
        <v>0.77777777777777779</v>
      </c>
      <c r="O214">
        <f>step3_validation[[#This Row],[AI_FAC2]]</f>
        <v>9</v>
      </c>
      <c r="P214">
        <f t="shared" si="89"/>
        <v>0.88888888888888884</v>
      </c>
      <c r="Q214">
        <f>[1]!survey_responses[[#This Row],[So với trước đây, tôi thấy cách tính thuế và các bậc thuế trong phương án mới đơn giản, dễ hiểu và dễ thực hiện hơn. - HUMAN-FAC2]]</f>
        <v>8</v>
      </c>
      <c r="R214">
        <f t="shared" si="90"/>
        <v>0.77777777777777779</v>
      </c>
      <c r="S214" s="32">
        <f t="shared" si="91"/>
        <v>0.83333333333333326</v>
      </c>
      <c r="T214" s="32">
        <f t="shared" si="92"/>
        <v>0.77777777777777779</v>
      </c>
      <c r="U214">
        <f>step3_validation[[#This Row],[AI_TRU1]]</f>
        <v>8</v>
      </c>
      <c r="V214">
        <f t="shared" si="93"/>
        <v>0.77777777777777779</v>
      </c>
      <c r="W214">
        <f>[1]!survey_responses[[#This Row],[Tôi tin rằng Nhà nước, cơ quan thuế sẽ thực thi chính sách mới một cách khách quan, công tâm và đối xử bình đẳng với mọi người nộp thuế.  - HUMAN-TRU1]]</f>
        <v>8</v>
      </c>
      <c r="X214">
        <f t="shared" si="94"/>
        <v>0.77777777777777779</v>
      </c>
      <c r="Y214">
        <f>step3_validation[[#This Row],[AI_TRU2]]</f>
        <v>7</v>
      </c>
      <c r="Z214">
        <f t="shared" si="95"/>
        <v>0.66666666666666663</v>
      </c>
      <c r="AA214">
        <f>[1]!survey_responses[[#This Row],[Tôi thấy mức thuế tôi phải đóng theo phương án mới là công bằng (người thu nhập như tôi đóng mức này là hợp lý). - HUMAN-TRU2]]</f>
        <v>8</v>
      </c>
      <c r="AB214">
        <f t="shared" si="96"/>
        <v>0.77777777777777779</v>
      </c>
      <c r="AC214">
        <f>step3_validation[[#This Row],[AI_TRU3]]</f>
        <v>8</v>
      </c>
      <c r="AD214">
        <f t="shared" si="97"/>
        <v>0.77777777777777779</v>
      </c>
      <c r="AE214">
        <f>[1]!survey_responses[[#This Row],[Tôi tin tưởng số tiền thuế tôi đóng sẽ được Nhà nước sử dụng hiệu quả để cải thiện dịch vụ công (y tế, đường xá...). - HUMAN-TRU3]]</f>
        <v>8</v>
      </c>
      <c r="AF214">
        <f t="shared" si="98"/>
        <v>0.77777777777777779</v>
      </c>
      <c r="AG214">
        <f>step3_validation[[#This Row],[AI_TRU4]]</f>
        <v>5</v>
      </c>
      <c r="AH214">
        <f t="shared" si="99"/>
        <v>0.44444444444444442</v>
      </c>
      <c r="AI214">
        <f>[1]!survey_responses[[#This Row],[Tôi thấy Nhà nước đã giải thích rõ ràng, minh bạch về lý do và mục tiêu của việc sửa đổi thuế lần này. - HUMAN-TRU4]]</f>
        <v>8</v>
      </c>
      <c r="AJ214">
        <f t="shared" si="100"/>
        <v>0.77777777777777779</v>
      </c>
      <c r="AK214" s="32">
        <f t="shared" si="101"/>
        <v>0.66666666666666674</v>
      </c>
      <c r="AL214" s="32">
        <f t="shared" si="102"/>
        <v>0.77777777777777779</v>
      </c>
      <c r="AM214" s="7">
        <f t="shared" si="103"/>
        <v>0.70370370370370372</v>
      </c>
      <c r="AN214" s="7">
        <f t="shared" si="104"/>
        <v>0.75925925925925919</v>
      </c>
      <c r="AO214">
        <f>step3_validation[[#This Row],[AI_OUT1]]</f>
        <v>7</v>
      </c>
      <c r="AP214">
        <f t="shared" si="105"/>
        <v>0.66666666666666663</v>
      </c>
      <c r="AQ214">
        <f>[1]!survey_responses[[#This Row],[Sau khi xem xét các quyền lợi và nghĩa vụ, bạn có ủng hộ và tuân thủ chính sách mới hiện nay? - HUMAN-OUT1]]</f>
        <v>8</v>
      </c>
      <c r="AR214">
        <f t="shared" si="106"/>
        <v>0.77777777777777779</v>
      </c>
      <c r="AS214" s="32">
        <f t="shared" si="107"/>
        <v>1</v>
      </c>
    </row>
    <row r="215" spans="1:45" x14ac:dyDescent="0.45">
      <c r="A215">
        <f>step3_validation[[#This Row],[AI_ENF1]]</f>
        <v>7</v>
      </c>
      <c r="B215">
        <f t="shared" si="81"/>
        <v>0.66666666666666663</v>
      </c>
      <c r="C215">
        <f>[1]!survey_responses[[#This Row],[Tôi tin rằng với các quy định quản lý thuế hiện nay, hành vi gian lận hoặc trốn thuế sẽ dễ dàng bị phát hiện và xử lý nghiêm. - HUMAN-ENF1]]</f>
        <v>9</v>
      </c>
      <c r="D215">
        <f t="shared" si="82"/>
        <v>0.88888888888888884</v>
      </c>
      <c r="E215">
        <f>step3_validation[[#This Row],[AI_ENF2]]</f>
        <v>8</v>
      </c>
      <c r="F215">
        <f t="shared" si="83"/>
        <v>0.77777777777777779</v>
      </c>
      <c r="G215">
        <f>[1]!survey_responses[[#This Row],[Tôi tin rằng Nhà nước, cơ quan thuế có đủ khả năng và công nghệ để phát hiện, xử lý nghiêm các hành vi trốn thuế. - HUMAN-ENF2]]</f>
        <v>9</v>
      </c>
      <c r="H215">
        <f t="shared" si="84"/>
        <v>0.88888888888888884</v>
      </c>
      <c r="I215" s="32">
        <f t="shared" si="85"/>
        <v>0.72222222222222221</v>
      </c>
      <c r="J215" s="32">
        <f t="shared" si="86"/>
        <v>0.88888888888888884</v>
      </c>
      <c r="K215">
        <f>step3_validation[[#This Row],[AI_FAC1]]</f>
        <v>6</v>
      </c>
      <c r="L215">
        <f t="shared" si="87"/>
        <v>0.55555555555555558</v>
      </c>
      <c r="M215">
        <f>[1]!survey_responses[[#This Row],[Các thủ tục khai báo thuế VÀ/HOẶC quy trình làm việc với cơ quan thuế đơn giản, tiện lợi, nhanh chóng hơn so với trước đây. - HUMAN-FAC1]]</f>
        <v>9</v>
      </c>
      <c r="N215">
        <f t="shared" si="88"/>
        <v>0.88888888888888884</v>
      </c>
      <c r="O215">
        <f>step3_validation[[#This Row],[AI_FAC2]]</f>
        <v>5</v>
      </c>
      <c r="P215">
        <f t="shared" si="89"/>
        <v>0.44444444444444442</v>
      </c>
      <c r="Q215">
        <f>[1]!survey_responses[[#This Row],[So với trước đây, tôi thấy cách tính thuế và các bậc thuế trong phương án mới đơn giản, dễ hiểu và dễ thực hiện hơn. - HUMAN-FAC2]]</f>
        <v>9</v>
      </c>
      <c r="R215">
        <f t="shared" si="90"/>
        <v>0.88888888888888884</v>
      </c>
      <c r="S215" s="32">
        <f t="shared" si="91"/>
        <v>0.5</v>
      </c>
      <c r="T215" s="32">
        <f t="shared" si="92"/>
        <v>0.88888888888888884</v>
      </c>
      <c r="U215">
        <f>step3_validation[[#This Row],[AI_TRU1]]</f>
        <v>4</v>
      </c>
      <c r="V215">
        <f t="shared" si="93"/>
        <v>0.33333333333333331</v>
      </c>
      <c r="W215">
        <f>[1]!survey_responses[[#This Row],[Tôi tin rằng Nhà nước, cơ quan thuế sẽ thực thi chính sách mới một cách khách quan, công tâm và đối xử bình đẳng với mọi người nộp thuế.  - HUMAN-TRU1]]</f>
        <v>9</v>
      </c>
      <c r="X215">
        <f t="shared" si="94"/>
        <v>0.88888888888888884</v>
      </c>
      <c r="Y215">
        <f>step3_validation[[#This Row],[AI_TRU2]]</f>
        <v>7</v>
      </c>
      <c r="Z215">
        <f t="shared" si="95"/>
        <v>0.66666666666666663</v>
      </c>
      <c r="AA215">
        <f>[1]!survey_responses[[#This Row],[Tôi thấy mức thuế tôi phải đóng theo phương án mới là công bằng (người thu nhập như tôi đóng mức này là hợp lý). - HUMAN-TRU2]]</f>
        <v>9</v>
      </c>
      <c r="AB215">
        <f t="shared" si="96"/>
        <v>0.88888888888888884</v>
      </c>
      <c r="AC215">
        <f>step3_validation[[#This Row],[AI_TRU3]]</f>
        <v>6</v>
      </c>
      <c r="AD215">
        <f t="shared" si="97"/>
        <v>0.55555555555555558</v>
      </c>
      <c r="AE215">
        <f>[1]!survey_responses[[#This Row],[Tôi tin tưởng số tiền thuế tôi đóng sẽ được Nhà nước sử dụng hiệu quả để cải thiện dịch vụ công (y tế, đường xá...). - HUMAN-TRU3]]</f>
        <v>9</v>
      </c>
      <c r="AF215">
        <f t="shared" si="98"/>
        <v>0.88888888888888884</v>
      </c>
      <c r="AG215">
        <f>step3_validation[[#This Row],[AI_TRU4]]</f>
        <v>5</v>
      </c>
      <c r="AH215">
        <f t="shared" si="99"/>
        <v>0.44444444444444442</v>
      </c>
      <c r="AI215">
        <f>[1]!survey_responses[[#This Row],[Tôi thấy Nhà nước đã giải thích rõ ràng, minh bạch về lý do và mục tiêu của việc sửa đổi thuế lần này. - HUMAN-TRU4]]</f>
        <v>9</v>
      </c>
      <c r="AJ215">
        <f t="shared" si="100"/>
        <v>0.88888888888888884</v>
      </c>
      <c r="AK215" s="32">
        <f t="shared" si="101"/>
        <v>0.5</v>
      </c>
      <c r="AL215" s="32">
        <f t="shared" si="102"/>
        <v>0.88888888888888884</v>
      </c>
      <c r="AM215" s="7">
        <f t="shared" si="103"/>
        <v>0.57407407407407407</v>
      </c>
      <c r="AN215" s="7">
        <f t="shared" si="104"/>
        <v>0.88888888888888884</v>
      </c>
      <c r="AO215">
        <f>step3_validation[[#This Row],[AI_OUT1]]</f>
        <v>4</v>
      </c>
      <c r="AP215">
        <f t="shared" si="105"/>
        <v>0.33333333333333331</v>
      </c>
      <c r="AQ215">
        <f>[1]!survey_responses[[#This Row],[Sau khi xem xét các quyền lợi và nghĩa vụ, bạn có ủng hộ và tuân thủ chính sách mới hiện nay? - HUMAN-OUT1]]</f>
        <v>9</v>
      </c>
      <c r="AR215">
        <f t="shared" si="106"/>
        <v>0.88888888888888884</v>
      </c>
      <c r="AS215" s="32">
        <f t="shared" si="107"/>
        <v>5</v>
      </c>
    </row>
    <row r="216" spans="1:45" x14ac:dyDescent="0.45">
      <c r="A216">
        <f>step3_validation[[#This Row],[AI_ENF1]]</f>
        <v>5</v>
      </c>
      <c r="B216">
        <f t="shared" si="81"/>
        <v>0.44444444444444442</v>
      </c>
      <c r="C216">
        <f>[1]!survey_responses[[#This Row],[Tôi tin rằng với các quy định quản lý thuế hiện nay, hành vi gian lận hoặc trốn thuế sẽ dễ dàng bị phát hiện và xử lý nghiêm. - HUMAN-ENF1]]</f>
        <v>5</v>
      </c>
      <c r="D216">
        <f t="shared" si="82"/>
        <v>0.44444444444444442</v>
      </c>
      <c r="E216">
        <f>step3_validation[[#This Row],[AI_ENF2]]</f>
        <v>6</v>
      </c>
      <c r="F216">
        <f t="shared" si="83"/>
        <v>0.55555555555555558</v>
      </c>
      <c r="G216">
        <f>[1]!survey_responses[[#This Row],[Tôi tin rằng Nhà nước, cơ quan thuế có đủ khả năng và công nghệ để phát hiện, xử lý nghiêm các hành vi trốn thuế. - HUMAN-ENF2]]</f>
        <v>5</v>
      </c>
      <c r="H216">
        <f t="shared" si="84"/>
        <v>0.44444444444444442</v>
      </c>
      <c r="I216" s="32">
        <f t="shared" si="85"/>
        <v>0.5</v>
      </c>
      <c r="J216" s="32">
        <f t="shared" si="86"/>
        <v>0.44444444444444442</v>
      </c>
      <c r="K216">
        <f>step3_validation[[#This Row],[AI_FAC1]]</f>
        <v>7</v>
      </c>
      <c r="L216">
        <f t="shared" si="87"/>
        <v>0.66666666666666663</v>
      </c>
      <c r="M216">
        <f>[1]!survey_responses[[#This Row],[Các thủ tục khai báo thuế VÀ/HOẶC quy trình làm việc với cơ quan thuế đơn giản, tiện lợi, nhanh chóng hơn so với trước đây. - HUMAN-FAC1]]</f>
        <v>5</v>
      </c>
      <c r="N216">
        <f t="shared" si="88"/>
        <v>0.44444444444444442</v>
      </c>
      <c r="O216">
        <f>step3_validation[[#This Row],[AI_FAC2]]</f>
        <v>6</v>
      </c>
      <c r="P216">
        <f t="shared" si="89"/>
        <v>0.55555555555555558</v>
      </c>
      <c r="Q216">
        <f>[1]!survey_responses[[#This Row],[So với trước đây, tôi thấy cách tính thuế và các bậc thuế trong phương án mới đơn giản, dễ hiểu và dễ thực hiện hơn. - HUMAN-FAC2]]</f>
        <v>5</v>
      </c>
      <c r="R216">
        <f t="shared" si="90"/>
        <v>0.44444444444444442</v>
      </c>
      <c r="S216" s="32">
        <f t="shared" si="91"/>
        <v>0.61111111111111116</v>
      </c>
      <c r="T216" s="32">
        <f t="shared" si="92"/>
        <v>0.44444444444444442</v>
      </c>
      <c r="U216">
        <f>step3_validation[[#This Row],[AI_TRU1]]</f>
        <v>7</v>
      </c>
      <c r="V216">
        <f t="shared" si="93"/>
        <v>0.66666666666666663</v>
      </c>
      <c r="W216">
        <f>[1]!survey_responses[[#This Row],[Tôi tin rằng Nhà nước, cơ quan thuế sẽ thực thi chính sách mới một cách khách quan, công tâm và đối xử bình đẳng với mọi người nộp thuế.  - HUMAN-TRU1]]</f>
        <v>5</v>
      </c>
      <c r="X216">
        <f t="shared" si="94"/>
        <v>0.44444444444444442</v>
      </c>
      <c r="Y216">
        <f>step3_validation[[#This Row],[AI_TRU2]]</f>
        <v>6</v>
      </c>
      <c r="Z216">
        <f t="shared" si="95"/>
        <v>0.55555555555555558</v>
      </c>
      <c r="AA216">
        <f>[1]!survey_responses[[#This Row],[Tôi thấy mức thuế tôi phải đóng theo phương án mới là công bằng (người thu nhập như tôi đóng mức này là hợp lý). - HUMAN-TRU2]]</f>
        <v>5</v>
      </c>
      <c r="AB216">
        <f t="shared" si="96"/>
        <v>0.44444444444444442</v>
      </c>
      <c r="AC216">
        <f>step3_validation[[#This Row],[AI_TRU3]]</f>
        <v>5</v>
      </c>
      <c r="AD216">
        <f t="shared" si="97"/>
        <v>0.44444444444444442</v>
      </c>
      <c r="AE216">
        <f>[1]!survey_responses[[#This Row],[Tôi tin tưởng số tiền thuế tôi đóng sẽ được Nhà nước sử dụng hiệu quả để cải thiện dịch vụ công (y tế, đường xá...). - HUMAN-TRU3]]</f>
        <v>5</v>
      </c>
      <c r="AF216">
        <f t="shared" si="98"/>
        <v>0.44444444444444442</v>
      </c>
      <c r="AG216">
        <f>step3_validation[[#This Row],[AI_TRU4]]</f>
        <v>6</v>
      </c>
      <c r="AH216">
        <f t="shared" si="99"/>
        <v>0.55555555555555558</v>
      </c>
      <c r="AI216">
        <f>[1]!survey_responses[[#This Row],[Tôi thấy Nhà nước đã giải thích rõ ràng, minh bạch về lý do và mục tiêu của việc sửa đổi thuế lần này. - HUMAN-TRU4]]</f>
        <v>5</v>
      </c>
      <c r="AJ216">
        <f t="shared" si="100"/>
        <v>0.44444444444444442</v>
      </c>
      <c r="AK216" s="32">
        <f t="shared" si="101"/>
        <v>0.55555555555555558</v>
      </c>
      <c r="AL216" s="32">
        <f t="shared" si="102"/>
        <v>0.44444444444444442</v>
      </c>
      <c r="AM216" s="7">
        <f t="shared" si="103"/>
        <v>0.55555555555555558</v>
      </c>
      <c r="AN216" s="7">
        <f t="shared" si="104"/>
        <v>0.44444444444444442</v>
      </c>
      <c r="AO216">
        <f>step3_validation[[#This Row],[AI_OUT1]]</f>
        <v>7</v>
      </c>
      <c r="AP216">
        <f t="shared" si="105"/>
        <v>0.66666666666666663</v>
      </c>
      <c r="AQ216">
        <f>[1]!survey_responses[[#This Row],[Sau khi xem xét các quyền lợi và nghĩa vụ, bạn có ủng hộ và tuân thủ chính sách mới hiện nay? - HUMAN-OUT1]]</f>
        <v>5</v>
      </c>
      <c r="AR216">
        <f t="shared" si="106"/>
        <v>0.44444444444444442</v>
      </c>
      <c r="AS216" s="32">
        <f t="shared" si="107"/>
        <v>2</v>
      </c>
    </row>
    <row r="217" spans="1:45" x14ac:dyDescent="0.45">
      <c r="A217">
        <f>step3_validation[[#This Row],[AI_ENF1]]</f>
        <v>7</v>
      </c>
      <c r="B217">
        <f t="shared" si="81"/>
        <v>0.66666666666666663</v>
      </c>
      <c r="C217">
        <f>[1]!survey_responses[[#This Row],[Tôi tin rằng với các quy định quản lý thuế hiện nay, hành vi gian lận hoặc trốn thuế sẽ dễ dàng bị phát hiện và xử lý nghiêm. - HUMAN-ENF1]]</f>
        <v>6</v>
      </c>
      <c r="D217">
        <f t="shared" si="82"/>
        <v>0.55555555555555558</v>
      </c>
      <c r="E217">
        <f>step3_validation[[#This Row],[AI_ENF2]]</f>
        <v>6</v>
      </c>
      <c r="F217">
        <f t="shared" si="83"/>
        <v>0.55555555555555558</v>
      </c>
      <c r="G217">
        <f>[1]!survey_responses[[#This Row],[Tôi tin rằng Nhà nước, cơ quan thuế có đủ khả năng và công nghệ để phát hiện, xử lý nghiêm các hành vi trốn thuế. - HUMAN-ENF2]]</f>
        <v>7</v>
      </c>
      <c r="H217">
        <f t="shared" si="84"/>
        <v>0.66666666666666663</v>
      </c>
      <c r="I217" s="32">
        <f t="shared" si="85"/>
        <v>0.61111111111111116</v>
      </c>
      <c r="J217" s="32">
        <f t="shared" si="86"/>
        <v>0.61111111111111116</v>
      </c>
      <c r="K217">
        <f>step3_validation[[#This Row],[AI_FAC1]]</f>
        <v>8</v>
      </c>
      <c r="L217">
        <f t="shared" si="87"/>
        <v>0.77777777777777779</v>
      </c>
      <c r="M217">
        <f>[1]!survey_responses[[#This Row],[Các thủ tục khai báo thuế VÀ/HOẶC quy trình làm việc với cơ quan thuế đơn giản, tiện lợi, nhanh chóng hơn so với trước đây. - HUMAN-FAC1]]</f>
        <v>7</v>
      </c>
      <c r="N217">
        <f t="shared" si="88"/>
        <v>0.66666666666666663</v>
      </c>
      <c r="O217">
        <f>step3_validation[[#This Row],[AI_FAC2]]</f>
        <v>7</v>
      </c>
      <c r="P217">
        <f t="shared" si="89"/>
        <v>0.66666666666666663</v>
      </c>
      <c r="Q217">
        <f>[1]!survey_responses[[#This Row],[So với trước đây, tôi thấy cách tính thuế và các bậc thuế trong phương án mới đơn giản, dễ hiểu và dễ thực hiện hơn. - HUMAN-FAC2]]</f>
        <v>7</v>
      </c>
      <c r="R217">
        <f t="shared" si="90"/>
        <v>0.66666666666666663</v>
      </c>
      <c r="S217" s="32">
        <f t="shared" si="91"/>
        <v>0.72222222222222221</v>
      </c>
      <c r="T217" s="32">
        <f t="shared" si="92"/>
        <v>0.66666666666666663</v>
      </c>
      <c r="U217">
        <f>step3_validation[[#This Row],[AI_TRU1]]</f>
        <v>8</v>
      </c>
      <c r="V217">
        <f t="shared" si="93"/>
        <v>0.77777777777777779</v>
      </c>
      <c r="W217">
        <f>[1]!survey_responses[[#This Row],[Tôi tin rằng Nhà nước, cơ quan thuế sẽ thực thi chính sách mới một cách khách quan, công tâm và đối xử bình đẳng với mọi người nộp thuế.  - HUMAN-TRU1]]</f>
        <v>6</v>
      </c>
      <c r="X217">
        <f t="shared" si="94"/>
        <v>0.55555555555555558</v>
      </c>
      <c r="Y217">
        <f>step3_validation[[#This Row],[AI_TRU2]]</f>
        <v>7</v>
      </c>
      <c r="Z217">
        <f t="shared" si="95"/>
        <v>0.66666666666666663</v>
      </c>
      <c r="AA217">
        <f>[1]!survey_responses[[#This Row],[Tôi thấy mức thuế tôi phải đóng theo phương án mới là công bằng (người thu nhập như tôi đóng mức này là hợp lý). - HUMAN-TRU2]]</f>
        <v>7</v>
      </c>
      <c r="AB217">
        <f t="shared" si="96"/>
        <v>0.66666666666666663</v>
      </c>
      <c r="AC217">
        <f>step3_validation[[#This Row],[AI_TRU3]]</f>
        <v>8</v>
      </c>
      <c r="AD217">
        <f t="shared" si="97"/>
        <v>0.77777777777777779</v>
      </c>
      <c r="AE217">
        <f>[1]!survey_responses[[#This Row],[Tôi tin tưởng số tiền thuế tôi đóng sẽ được Nhà nước sử dụng hiệu quả để cải thiện dịch vụ công (y tế, đường xá...). - HUMAN-TRU3]]</f>
        <v>7</v>
      </c>
      <c r="AF217">
        <f t="shared" si="98"/>
        <v>0.66666666666666663</v>
      </c>
      <c r="AG217">
        <f>step3_validation[[#This Row],[AI_TRU4]]</f>
        <v>6</v>
      </c>
      <c r="AH217">
        <f t="shared" si="99"/>
        <v>0.55555555555555558</v>
      </c>
      <c r="AI217">
        <f>[1]!survey_responses[[#This Row],[Tôi thấy Nhà nước đã giải thích rõ ràng, minh bạch về lý do và mục tiêu của việc sửa đổi thuế lần này. - HUMAN-TRU4]]</f>
        <v>7</v>
      </c>
      <c r="AJ217">
        <f t="shared" si="100"/>
        <v>0.66666666666666663</v>
      </c>
      <c r="AK217" s="32">
        <f t="shared" si="101"/>
        <v>0.69444444444444442</v>
      </c>
      <c r="AL217" s="32">
        <f t="shared" si="102"/>
        <v>0.63888888888888884</v>
      </c>
      <c r="AM217" s="7">
        <f t="shared" si="103"/>
        <v>0.67592592592592593</v>
      </c>
      <c r="AN217" s="7">
        <f t="shared" si="104"/>
        <v>0.63888888888888884</v>
      </c>
      <c r="AO217">
        <f>step3_validation[[#This Row],[AI_OUT1]]</f>
        <v>7</v>
      </c>
      <c r="AP217">
        <f t="shared" si="105"/>
        <v>0.66666666666666663</v>
      </c>
      <c r="AQ217">
        <f>[1]!survey_responses[[#This Row],[Sau khi xem xét các quyền lợi và nghĩa vụ, bạn có ủng hộ và tuân thủ chính sách mới hiện nay? - HUMAN-OUT1]]</f>
        <v>7</v>
      </c>
      <c r="AR217">
        <f t="shared" si="106"/>
        <v>0.66666666666666663</v>
      </c>
      <c r="AS217" s="32">
        <f t="shared" si="107"/>
        <v>0</v>
      </c>
    </row>
    <row r="218" spans="1:45" x14ac:dyDescent="0.45">
      <c r="A218">
        <f>step3_validation[[#This Row],[AI_ENF1]]</f>
        <v>6</v>
      </c>
      <c r="B218">
        <f t="shared" si="81"/>
        <v>0.55555555555555558</v>
      </c>
      <c r="C218">
        <f>[1]!survey_responses[[#This Row],[Tôi tin rằng với các quy định quản lý thuế hiện nay, hành vi gian lận hoặc trốn thuế sẽ dễ dàng bị phát hiện và xử lý nghiêm. - HUMAN-ENF1]]</f>
        <v>5</v>
      </c>
      <c r="D218">
        <f t="shared" si="82"/>
        <v>0.44444444444444442</v>
      </c>
      <c r="E218">
        <f>step3_validation[[#This Row],[AI_ENF2]]</f>
        <v>7</v>
      </c>
      <c r="F218">
        <f t="shared" si="83"/>
        <v>0.66666666666666663</v>
      </c>
      <c r="G218">
        <f>[1]!survey_responses[[#This Row],[Tôi tin rằng Nhà nước, cơ quan thuế có đủ khả năng và công nghệ để phát hiện, xử lý nghiêm các hành vi trốn thuế. - HUMAN-ENF2]]</f>
        <v>5</v>
      </c>
      <c r="H218">
        <f t="shared" si="84"/>
        <v>0.44444444444444442</v>
      </c>
      <c r="I218" s="32">
        <f t="shared" si="85"/>
        <v>0.61111111111111116</v>
      </c>
      <c r="J218" s="32">
        <f t="shared" si="86"/>
        <v>0.44444444444444442</v>
      </c>
      <c r="K218">
        <f>step3_validation[[#This Row],[AI_FAC1]]</f>
        <v>8</v>
      </c>
      <c r="L218">
        <f t="shared" si="87"/>
        <v>0.77777777777777779</v>
      </c>
      <c r="M218">
        <f>[1]!survey_responses[[#This Row],[Các thủ tục khai báo thuế VÀ/HOẶC quy trình làm việc với cơ quan thuế đơn giản, tiện lợi, nhanh chóng hơn so với trước đây. - HUMAN-FAC1]]</f>
        <v>5</v>
      </c>
      <c r="N218">
        <f t="shared" si="88"/>
        <v>0.44444444444444442</v>
      </c>
      <c r="O218">
        <f>step3_validation[[#This Row],[AI_FAC2]]</f>
        <v>6</v>
      </c>
      <c r="P218">
        <f t="shared" si="89"/>
        <v>0.55555555555555558</v>
      </c>
      <c r="Q218">
        <f>[1]!survey_responses[[#This Row],[So với trước đây, tôi thấy cách tính thuế và các bậc thuế trong phương án mới đơn giản, dễ hiểu và dễ thực hiện hơn. - HUMAN-FAC2]]</f>
        <v>6</v>
      </c>
      <c r="R218">
        <f t="shared" si="90"/>
        <v>0.55555555555555558</v>
      </c>
      <c r="S218" s="32">
        <f t="shared" si="91"/>
        <v>0.66666666666666674</v>
      </c>
      <c r="T218" s="32">
        <f t="shared" si="92"/>
        <v>0.5</v>
      </c>
      <c r="U218">
        <f>step3_validation[[#This Row],[AI_TRU1]]</f>
        <v>7</v>
      </c>
      <c r="V218">
        <f t="shared" si="93"/>
        <v>0.66666666666666663</v>
      </c>
      <c r="W218">
        <f>[1]!survey_responses[[#This Row],[Tôi tin rằng Nhà nước, cơ quan thuế sẽ thực thi chính sách mới một cách khách quan, công tâm và đối xử bình đẳng với mọi người nộp thuế.  - HUMAN-TRU1]]</f>
        <v>5</v>
      </c>
      <c r="X218">
        <f t="shared" si="94"/>
        <v>0.44444444444444442</v>
      </c>
      <c r="Y218">
        <f>step3_validation[[#This Row],[AI_TRU2]]</f>
        <v>6</v>
      </c>
      <c r="Z218">
        <f t="shared" si="95"/>
        <v>0.55555555555555558</v>
      </c>
      <c r="AA218">
        <f>[1]!survey_responses[[#This Row],[Tôi thấy mức thuế tôi phải đóng theo phương án mới là công bằng (người thu nhập như tôi đóng mức này là hợp lý). - HUMAN-TRU2]]</f>
        <v>5</v>
      </c>
      <c r="AB218">
        <f t="shared" si="96"/>
        <v>0.44444444444444442</v>
      </c>
      <c r="AC218">
        <f>step3_validation[[#This Row],[AI_TRU3]]</f>
        <v>7</v>
      </c>
      <c r="AD218">
        <f t="shared" si="97"/>
        <v>0.66666666666666663</v>
      </c>
      <c r="AE218">
        <f>[1]!survey_responses[[#This Row],[Tôi tin tưởng số tiền thuế tôi đóng sẽ được Nhà nước sử dụng hiệu quả để cải thiện dịch vụ công (y tế, đường xá...). - HUMAN-TRU3]]</f>
        <v>5</v>
      </c>
      <c r="AF218">
        <f t="shared" si="98"/>
        <v>0.44444444444444442</v>
      </c>
      <c r="AG218">
        <f>step3_validation[[#This Row],[AI_TRU4]]</f>
        <v>5</v>
      </c>
      <c r="AH218">
        <f t="shared" si="99"/>
        <v>0.44444444444444442</v>
      </c>
      <c r="AI218">
        <f>[1]!survey_responses[[#This Row],[Tôi thấy Nhà nước đã giải thích rõ ràng, minh bạch về lý do và mục tiêu của việc sửa đổi thuế lần này. - HUMAN-TRU4]]</f>
        <v>5</v>
      </c>
      <c r="AJ218">
        <f t="shared" si="100"/>
        <v>0.44444444444444442</v>
      </c>
      <c r="AK218" s="32">
        <f t="shared" si="101"/>
        <v>0.58333333333333326</v>
      </c>
      <c r="AL218" s="32">
        <f t="shared" si="102"/>
        <v>0.44444444444444442</v>
      </c>
      <c r="AM218" s="7">
        <f t="shared" si="103"/>
        <v>0.62037037037037035</v>
      </c>
      <c r="AN218" s="7">
        <f t="shared" si="104"/>
        <v>0.46296296296296297</v>
      </c>
      <c r="AO218">
        <f>step3_validation[[#This Row],[AI_OUT1]]</f>
        <v>6</v>
      </c>
      <c r="AP218">
        <f t="shared" si="105"/>
        <v>0.55555555555555558</v>
      </c>
      <c r="AQ218">
        <f>[1]!survey_responses[[#This Row],[Sau khi xem xét các quyền lợi và nghĩa vụ, bạn có ủng hộ và tuân thủ chính sách mới hiện nay? - HUMAN-OUT1]]</f>
        <v>5</v>
      </c>
      <c r="AR218">
        <f t="shared" si="106"/>
        <v>0.44444444444444442</v>
      </c>
      <c r="AS218" s="32">
        <f t="shared" si="107"/>
        <v>1</v>
      </c>
    </row>
    <row r="219" spans="1:45" x14ac:dyDescent="0.45">
      <c r="A219">
        <f>step3_validation[[#This Row],[AI_ENF1]]</f>
        <v>7</v>
      </c>
      <c r="B219">
        <f t="shared" si="81"/>
        <v>0.66666666666666663</v>
      </c>
      <c r="C219">
        <f>[1]!survey_responses[[#This Row],[Tôi tin rằng với các quy định quản lý thuế hiện nay, hành vi gian lận hoặc trốn thuế sẽ dễ dàng bị phát hiện và xử lý nghiêm. - HUMAN-ENF1]]</f>
        <v>6</v>
      </c>
      <c r="D219">
        <f t="shared" si="82"/>
        <v>0.55555555555555558</v>
      </c>
      <c r="E219">
        <f>step3_validation[[#This Row],[AI_ENF2]]</f>
        <v>8</v>
      </c>
      <c r="F219">
        <f t="shared" si="83"/>
        <v>0.77777777777777779</v>
      </c>
      <c r="G219">
        <f>[1]!survey_responses[[#This Row],[Tôi tin rằng Nhà nước, cơ quan thuế có đủ khả năng và công nghệ để phát hiện, xử lý nghiêm các hành vi trốn thuế. - HUMAN-ENF2]]</f>
        <v>7</v>
      </c>
      <c r="H219">
        <f t="shared" si="84"/>
        <v>0.66666666666666663</v>
      </c>
      <c r="I219" s="32">
        <f t="shared" si="85"/>
        <v>0.72222222222222221</v>
      </c>
      <c r="J219" s="32">
        <f t="shared" si="86"/>
        <v>0.61111111111111116</v>
      </c>
      <c r="K219">
        <f>step3_validation[[#This Row],[AI_FAC1]]</f>
        <v>6</v>
      </c>
      <c r="L219">
        <f t="shared" si="87"/>
        <v>0.55555555555555558</v>
      </c>
      <c r="M219">
        <f>[1]!survey_responses[[#This Row],[Các thủ tục khai báo thuế VÀ/HOẶC quy trình làm việc với cơ quan thuế đơn giản, tiện lợi, nhanh chóng hơn so với trước đây. - HUMAN-FAC1]]</f>
        <v>7</v>
      </c>
      <c r="N219">
        <f t="shared" si="88"/>
        <v>0.66666666666666663</v>
      </c>
      <c r="O219">
        <f>step3_validation[[#This Row],[AI_FAC2]]</f>
        <v>5</v>
      </c>
      <c r="P219">
        <f t="shared" si="89"/>
        <v>0.44444444444444442</v>
      </c>
      <c r="Q219">
        <f>[1]!survey_responses[[#This Row],[So với trước đây, tôi thấy cách tính thuế và các bậc thuế trong phương án mới đơn giản, dễ hiểu và dễ thực hiện hơn. - HUMAN-FAC2]]</f>
        <v>7</v>
      </c>
      <c r="R219">
        <f t="shared" si="90"/>
        <v>0.66666666666666663</v>
      </c>
      <c r="S219" s="32">
        <f t="shared" si="91"/>
        <v>0.5</v>
      </c>
      <c r="T219" s="32">
        <f t="shared" si="92"/>
        <v>0.66666666666666663</v>
      </c>
      <c r="U219">
        <f>step3_validation[[#This Row],[AI_TRU1]]</f>
        <v>7</v>
      </c>
      <c r="V219">
        <f t="shared" si="93"/>
        <v>0.66666666666666663</v>
      </c>
      <c r="W219">
        <f>[1]!survey_responses[[#This Row],[Tôi tin rằng Nhà nước, cơ quan thuế sẽ thực thi chính sách mới một cách khách quan, công tâm và đối xử bình đẳng với mọi người nộp thuế.  - HUMAN-TRU1]]</f>
        <v>7</v>
      </c>
      <c r="X219">
        <f t="shared" si="94"/>
        <v>0.66666666666666663</v>
      </c>
      <c r="Y219">
        <f>step3_validation[[#This Row],[AI_TRU2]]</f>
        <v>6</v>
      </c>
      <c r="Z219">
        <f t="shared" si="95"/>
        <v>0.55555555555555558</v>
      </c>
      <c r="AA219">
        <f>[1]!survey_responses[[#This Row],[Tôi thấy mức thuế tôi phải đóng theo phương án mới là công bằng (người thu nhập như tôi đóng mức này là hợp lý). - HUMAN-TRU2]]</f>
        <v>7</v>
      </c>
      <c r="AB219">
        <f t="shared" si="96"/>
        <v>0.66666666666666663</v>
      </c>
      <c r="AC219">
        <f>step3_validation[[#This Row],[AI_TRU3]]</f>
        <v>7</v>
      </c>
      <c r="AD219">
        <f t="shared" si="97"/>
        <v>0.66666666666666663</v>
      </c>
      <c r="AE219">
        <f>[1]!survey_responses[[#This Row],[Tôi tin tưởng số tiền thuế tôi đóng sẽ được Nhà nước sử dụng hiệu quả để cải thiện dịch vụ công (y tế, đường xá...). - HUMAN-TRU3]]</f>
        <v>7</v>
      </c>
      <c r="AF219">
        <f t="shared" si="98"/>
        <v>0.66666666666666663</v>
      </c>
      <c r="AG219">
        <f>step3_validation[[#This Row],[AI_TRU4]]</f>
        <v>6</v>
      </c>
      <c r="AH219">
        <f t="shared" si="99"/>
        <v>0.55555555555555558</v>
      </c>
      <c r="AI219">
        <f>[1]!survey_responses[[#This Row],[Tôi thấy Nhà nước đã giải thích rõ ràng, minh bạch về lý do và mục tiêu của việc sửa đổi thuế lần này. - HUMAN-TRU4]]</f>
        <v>7</v>
      </c>
      <c r="AJ219">
        <f t="shared" si="100"/>
        <v>0.66666666666666663</v>
      </c>
      <c r="AK219" s="32">
        <f t="shared" si="101"/>
        <v>0.61111111111111116</v>
      </c>
      <c r="AL219" s="32">
        <f t="shared" si="102"/>
        <v>0.66666666666666663</v>
      </c>
      <c r="AM219" s="7">
        <f t="shared" si="103"/>
        <v>0.61111111111111116</v>
      </c>
      <c r="AN219" s="7">
        <f t="shared" si="104"/>
        <v>0.64814814814814803</v>
      </c>
      <c r="AO219">
        <f>step3_validation[[#This Row],[AI_OUT1]]</f>
        <v>7</v>
      </c>
      <c r="AP219">
        <f t="shared" si="105"/>
        <v>0.66666666666666663</v>
      </c>
      <c r="AQ219">
        <f>[1]!survey_responses[[#This Row],[Sau khi xem xét các quyền lợi và nghĩa vụ, bạn có ủng hộ và tuân thủ chính sách mới hiện nay? - HUMAN-OUT1]]</f>
        <v>7</v>
      </c>
      <c r="AR219">
        <f t="shared" si="106"/>
        <v>0.66666666666666663</v>
      </c>
      <c r="AS219" s="32">
        <f t="shared" si="107"/>
        <v>0</v>
      </c>
    </row>
    <row r="220" spans="1:45" x14ac:dyDescent="0.45">
      <c r="A220">
        <f>step3_validation[[#This Row],[AI_ENF1]]</f>
        <v>7</v>
      </c>
      <c r="B220">
        <f t="shared" si="81"/>
        <v>0.66666666666666663</v>
      </c>
      <c r="C220">
        <f>[1]!survey_responses[[#This Row],[Tôi tin rằng với các quy định quản lý thuế hiện nay, hành vi gian lận hoặc trốn thuế sẽ dễ dàng bị phát hiện và xử lý nghiêm. - HUMAN-ENF1]]</f>
        <v>7</v>
      </c>
      <c r="D220">
        <f t="shared" si="82"/>
        <v>0.66666666666666663</v>
      </c>
      <c r="E220">
        <f>step3_validation[[#This Row],[AI_ENF2]]</f>
        <v>6</v>
      </c>
      <c r="F220">
        <f t="shared" si="83"/>
        <v>0.55555555555555558</v>
      </c>
      <c r="G220">
        <f>[1]!survey_responses[[#This Row],[Tôi tin rằng Nhà nước, cơ quan thuế có đủ khả năng và công nghệ để phát hiện, xử lý nghiêm các hành vi trốn thuế. - HUMAN-ENF2]]</f>
        <v>8</v>
      </c>
      <c r="H220">
        <f t="shared" si="84"/>
        <v>0.77777777777777779</v>
      </c>
      <c r="I220" s="32">
        <f t="shared" si="85"/>
        <v>0.61111111111111116</v>
      </c>
      <c r="J220" s="32">
        <f t="shared" si="86"/>
        <v>0.72222222222222221</v>
      </c>
      <c r="K220">
        <f>step3_validation[[#This Row],[AI_FAC1]]</f>
        <v>4</v>
      </c>
      <c r="L220">
        <f t="shared" si="87"/>
        <v>0.33333333333333331</v>
      </c>
      <c r="M220">
        <f>[1]!survey_responses[[#This Row],[Các thủ tục khai báo thuế VÀ/HOẶC quy trình làm việc với cơ quan thuế đơn giản, tiện lợi, nhanh chóng hơn so với trước đây. - HUMAN-FAC1]]</f>
        <v>8</v>
      </c>
      <c r="N220">
        <f t="shared" si="88"/>
        <v>0.77777777777777779</v>
      </c>
      <c r="O220">
        <f>step3_validation[[#This Row],[AI_FAC2]]</f>
        <v>8</v>
      </c>
      <c r="P220">
        <f t="shared" si="89"/>
        <v>0.77777777777777779</v>
      </c>
      <c r="Q220">
        <f>[1]!survey_responses[[#This Row],[So với trước đây, tôi thấy cách tính thuế và các bậc thuế trong phương án mới đơn giản, dễ hiểu và dễ thực hiện hơn. - HUMAN-FAC2]]</f>
        <v>8</v>
      </c>
      <c r="R220">
        <f t="shared" si="90"/>
        <v>0.77777777777777779</v>
      </c>
      <c r="S220" s="32">
        <f t="shared" si="91"/>
        <v>0.55555555555555558</v>
      </c>
      <c r="T220" s="32">
        <f t="shared" si="92"/>
        <v>0.77777777777777779</v>
      </c>
      <c r="U220">
        <f>step3_validation[[#This Row],[AI_TRU1]]</f>
        <v>6</v>
      </c>
      <c r="V220">
        <f t="shared" si="93"/>
        <v>0.55555555555555558</v>
      </c>
      <c r="W220">
        <f>[1]!survey_responses[[#This Row],[Tôi tin rằng Nhà nước, cơ quan thuế sẽ thực thi chính sách mới một cách khách quan, công tâm và đối xử bình đẳng với mọi người nộp thuế.  - HUMAN-TRU1]]</f>
        <v>8</v>
      </c>
      <c r="X220">
        <f t="shared" si="94"/>
        <v>0.77777777777777779</v>
      </c>
      <c r="Y220">
        <f>step3_validation[[#This Row],[AI_TRU2]]</f>
        <v>5</v>
      </c>
      <c r="Z220">
        <f t="shared" si="95"/>
        <v>0.44444444444444442</v>
      </c>
      <c r="AA220">
        <f>[1]!survey_responses[[#This Row],[Tôi thấy mức thuế tôi phải đóng theo phương án mới là công bằng (người thu nhập như tôi đóng mức này là hợp lý). - HUMAN-TRU2]]</f>
        <v>5</v>
      </c>
      <c r="AB220">
        <f t="shared" si="96"/>
        <v>0.44444444444444442</v>
      </c>
      <c r="AC220">
        <f>step3_validation[[#This Row],[AI_TRU3]]</f>
        <v>6</v>
      </c>
      <c r="AD220">
        <f t="shared" si="97"/>
        <v>0.55555555555555558</v>
      </c>
      <c r="AE220">
        <f>[1]!survey_responses[[#This Row],[Tôi tin tưởng số tiền thuế tôi đóng sẽ được Nhà nước sử dụng hiệu quả để cải thiện dịch vụ công (y tế, đường xá...). - HUMAN-TRU3]]</f>
        <v>5</v>
      </c>
      <c r="AF220">
        <f t="shared" si="98"/>
        <v>0.44444444444444442</v>
      </c>
      <c r="AG220">
        <f>step3_validation[[#This Row],[AI_TRU4]]</f>
        <v>5</v>
      </c>
      <c r="AH220">
        <f t="shared" si="99"/>
        <v>0.44444444444444442</v>
      </c>
      <c r="AI220">
        <f>[1]!survey_responses[[#This Row],[Tôi thấy Nhà nước đã giải thích rõ ràng, minh bạch về lý do và mục tiêu của việc sửa đổi thuế lần này. - HUMAN-TRU4]]</f>
        <v>7</v>
      </c>
      <c r="AJ220">
        <f t="shared" si="100"/>
        <v>0.66666666666666663</v>
      </c>
      <c r="AK220" s="32">
        <f t="shared" si="101"/>
        <v>0.5</v>
      </c>
      <c r="AL220" s="32">
        <f t="shared" si="102"/>
        <v>0.58333333333333337</v>
      </c>
      <c r="AM220" s="7">
        <f t="shared" si="103"/>
        <v>0.55555555555555558</v>
      </c>
      <c r="AN220" s="7">
        <f t="shared" si="104"/>
        <v>0.69444444444444453</v>
      </c>
      <c r="AO220">
        <f>step3_validation[[#This Row],[AI_OUT1]]</f>
        <v>7</v>
      </c>
      <c r="AP220">
        <f t="shared" si="105"/>
        <v>0.66666666666666663</v>
      </c>
      <c r="AQ220">
        <f>[1]!survey_responses[[#This Row],[Sau khi xem xét các quyền lợi và nghĩa vụ, bạn có ủng hộ và tuân thủ chính sách mới hiện nay? - HUMAN-OUT1]]</f>
        <v>6</v>
      </c>
      <c r="AR220">
        <f t="shared" si="106"/>
        <v>0.55555555555555558</v>
      </c>
      <c r="AS220" s="32">
        <f t="shared" si="107"/>
        <v>1</v>
      </c>
    </row>
    <row r="221" spans="1:45" x14ac:dyDescent="0.45">
      <c r="A221">
        <f>step3_validation[[#This Row],[AI_ENF1]]</f>
        <v>6</v>
      </c>
      <c r="B221">
        <f t="shared" si="81"/>
        <v>0.55555555555555558</v>
      </c>
      <c r="C221">
        <f>[1]!survey_responses[[#This Row],[Tôi tin rằng với các quy định quản lý thuế hiện nay, hành vi gian lận hoặc trốn thuế sẽ dễ dàng bị phát hiện và xử lý nghiêm. - HUMAN-ENF1]]</f>
        <v>10</v>
      </c>
      <c r="D221">
        <f t="shared" si="82"/>
        <v>1</v>
      </c>
      <c r="E221">
        <f>step3_validation[[#This Row],[AI_ENF2]]</f>
        <v>7</v>
      </c>
      <c r="F221">
        <f t="shared" si="83"/>
        <v>0.66666666666666663</v>
      </c>
      <c r="G221">
        <f>[1]!survey_responses[[#This Row],[Tôi tin rằng Nhà nước, cơ quan thuế có đủ khả năng và công nghệ để phát hiện, xử lý nghiêm các hành vi trốn thuế. - HUMAN-ENF2]]</f>
        <v>10</v>
      </c>
      <c r="H221">
        <f t="shared" si="84"/>
        <v>1</v>
      </c>
      <c r="I221" s="32">
        <f t="shared" si="85"/>
        <v>0.61111111111111116</v>
      </c>
      <c r="J221" s="32">
        <f t="shared" si="86"/>
        <v>1</v>
      </c>
      <c r="K221">
        <f>step3_validation[[#This Row],[AI_FAC1]]</f>
        <v>8</v>
      </c>
      <c r="L221">
        <f t="shared" si="87"/>
        <v>0.77777777777777779</v>
      </c>
      <c r="M221">
        <f>[1]!survey_responses[[#This Row],[Các thủ tục khai báo thuế VÀ/HOẶC quy trình làm việc với cơ quan thuế đơn giản, tiện lợi, nhanh chóng hơn so với trước đây. - HUMAN-FAC1]]</f>
        <v>6</v>
      </c>
      <c r="N221">
        <f t="shared" si="88"/>
        <v>0.55555555555555558</v>
      </c>
      <c r="O221">
        <f>step3_validation[[#This Row],[AI_FAC2]]</f>
        <v>9</v>
      </c>
      <c r="P221">
        <f t="shared" si="89"/>
        <v>0.88888888888888884</v>
      </c>
      <c r="Q221">
        <f>[1]!survey_responses[[#This Row],[So với trước đây, tôi thấy cách tính thuế và các bậc thuế trong phương án mới đơn giản, dễ hiểu và dễ thực hiện hơn. - HUMAN-FAC2]]</f>
        <v>9</v>
      </c>
      <c r="R221">
        <f t="shared" si="90"/>
        <v>0.88888888888888884</v>
      </c>
      <c r="S221" s="32">
        <f t="shared" si="91"/>
        <v>0.83333333333333326</v>
      </c>
      <c r="T221" s="32">
        <f t="shared" si="92"/>
        <v>0.72222222222222221</v>
      </c>
      <c r="U221">
        <f>step3_validation[[#This Row],[AI_TRU1]]</f>
        <v>8</v>
      </c>
      <c r="V221">
        <f t="shared" si="93"/>
        <v>0.77777777777777779</v>
      </c>
      <c r="W221">
        <f>[1]!survey_responses[[#This Row],[Tôi tin rằng Nhà nước, cơ quan thuế sẽ thực thi chính sách mới một cách khách quan, công tâm và đối xử bình đẳng với mọi người nộp thuế.  - HUMAN-TRU1]]</f>
        <v>9</v>
      </c>
      <c r="X221">
        <f t="shared" si="94"/>
        <v>0.88888888888888884</v>
      </c>
      <c r="Y221">
        <f>step3_validation[[#This Row],[AI_TRU2]]</f>
        <v>7</v>
      </c>
      <c r="Z221">
        <f t="shared" si="95"/>
        <v>0.66666666666666663</v>
      </c>
      <c r="AA221">
        <f>[1]!survey_responses[[#This Row],[Tôi thấy mức thuế tôi phải đóng theo phương án mới là công bằng (người thu nhập như tôi đóng mức này là hợp lý). - HUMAN-TRU2]]</f>
        <v>9</v>
      </c>
      <c r="AB221">
        <f t="shared" si="96"/>
        <v>0.88888888888888884</v>
      </c>
      <c r="AC221">
        <f>step3_validation[[#This Row],[AI_TRU3]]</f>
        <v>6</v>
      </c>
      <c r="AD221">
        <f t="shared" si="97"/>
        <v>0.55555555555555558</v>
      </c>
      <c r="AE221">
        <f>[1]!survey_responses[[#This Row],[Tôi tin tưởng số tiền thuế tôi đóng sẽ được Nhà nước sử dụng hiệu quả để cải thiện dịch vụ công (y tế, đường xá...). - HUMAN-TRU3]]</f>
        <v>9</v>
      </c>
      <c r="AF221">
        <f t="shared" si="98"/>
        <v>0.88888888888888884</v>
      </c>
      <c r="AG221">
        <f>step3_validation[[#This Row],[AI_TRU4]]</f>
        <v>5</v>
      </c>
      <c r="AH221">
        <f t="shared" si="99"/>
        <v>0.44444444444444442</v>
      </c>
      <c r="AI221">
        <f>[1]!survey_responses[[#This Row],[Tôi thấy Nhà nước đã giải thích rõ ràng, minh bạch về lý do và mục tiêu của việc sửa đổi thuế lần này. - HUMAN-TRU4]]</f>
        <v>8</v>
      </c>
      <c r="AJ221">
        <f t="shared" si="100"/>
        <v>0.77777777777777779</v>
      </c>
      <c r="AK221" s="32">
        <f t="shared" si="101"/>
        <v>0.61111111111111116</v>
      </c>
      <c r="AL221" s="32">
        <f t="shared" si="102"/>
        <v>0.86111111111111105</v>
      </c>
      <c r="AM221" s="7">
        <f t="shared" si="103"/>
        <v>0.68518518518518512</v>
      </c>
      <c r="AN221" s="7">
        <f t="shared" si="104"/>
        <v>0.86111111111111116</v>
      </c>
      <c r="AO221">
        <f>step3_validation[[#This Row],[AI_OUT1]]</f>
        <v>7</v>
      </c>
      <c r="AP221">
        <f t="shared" si="105"/>
        <v>0.66666666666666663</v>
      </c>
      <c r="AQ221">
        <f>[1]!survey_responses[[#This Row],[Sau khi xem xét các quyền lợi và nghĩa vụ, bạn có ủng hộ và tuân thủ chính sách mới hiện nay? - HUMAN-OUT1]]</f>
        <v>8</v>
      </c>
      <c r="AR221">
        <f t="shared" si="106"/>
        <v>0.77777777777777779</v>
      </c>
      <c r="AS221" s="32">
        <f t="shared" si="107"/>
        <v>1</v>
      </c>
    </row>
    <row r="222" spans="1:45" x14ac:dyDescent="0.45">
      <c r="A222">
        <f>step3_validation[[#This Row],[AI_ENF1]]</f>
        <v>8</v>
      </c>
      <c r="B222">
        <f t="shared" si="81"/>
        <v>0.77777777777777779</v>
      </c>
      <c r="C222">
        <f>[1]!survey_responses[[#This Row],[Tôi tin rằng với các quy định quản lý thuế hiện nay, hành vi gian lận hoặc trốn thuế sẽ dễ dàng bị phát hiện và xử lý nghiêm. - HUMAN-ENF1]]</f>
        <v>4</v>
      </c>
      <c r="D222">
        <f t="shared" si="82"/>
        <v>0.33333333333333331</v>
      </c>
      <c r="E222">
        <f>step3_validation[[#This Row],[AI_ENF2]]</f>
        <v>7</v>
      </c>
      <c r="F222">
        <f t="shared" si="83"/>
        <v>0.66666666666666663</v>
      </c>
      <c r="G222">
        <f>[1]!survey_responses[[#This Row],[Tôi tin rằng Nhà nước, cơ quan thuế có đủ khả năng và công nghệ để phát hiện, xử lý nghiêm các hành vi trốn thuế. - HUMAN-ENF2]]</f>
        <v>4</v>
      </c>
      <c r="H222">
        <f t="shared" si="84"/>
        <v>0.33333333333333331</v>
      </c>
      <c r="I222" s="32">
        <f t="shared" si="85"/>
        <v>0.72222222222222221</v>
      </c>
      <c r="J222" s="32">
        <f t="shared" si="86"/>
        <v>0.33333333333333331</v>
      </c>
      <c r="K222">
        <f>step3_validation[[#This Row],[AI_FAC1]]</f>
        <v>9</v>
      </c>
      <c r="L222">
        <f t="shared" si="87"/>
        <v>0.88888888888888884</v>
      </c>
      <c r="M222">
        <f>[1]!survey_responses[[#This Row],[Các thủ tục khai báo thuế VÀ/HOẶC quy trình làm việc với cơ quan thuế đơn giản, tiện lợi, nhanh chóng hơn so với trước đây. - HUMAN-FAC1]]</f>
        <v>4</v>
      </c>
      <c r="N222">
        <f t="shared" si="88"/>
        <v>0.33333333333333331</v>
      </c>
      <c r="O222">
        <f>step3_validation[[#This Row],[AI_FAC2]]</f>
        <v>8</v>
      </c>
      <c r="P222">
        <f t="shared" si="89"/>
        <v>0.77777777777777779</v>
      </c>
      <c r="Q222">
        <f>[1]!survey_responses[[#This Row],[So với trước đây, tôi thấy cách tính thuế và các bậc thuế trong phương án mới đơn giản, dễ hiểu và dễ thực hiện hơn. - HUMAN-FAC2]]</f>
        <v>6</v>
      </c>
      <c r="R222">
        <f t="shared" si="90"/>
        <v>0.55555555555555558</v>
      </c>
      <c r="S222" s="32">
        <f t="shared" si="91"/>
        <v>0.83333333333333326</v>
      </c>
      <c r="T222" s="32">
        <f t="shared" si="92"/>
        <v>0.44444444444444442</v>
      </c>
      <c r="U222">
        <f>step3_validation[[#This Row],[AI_TRU1]]</f>
        <v>9</v>
      </c>
      <c r="V222">
        <f t="shared" si="93"/>
        <v>0.88888888888888884</v>
      </c>
      <c r="W222">
        <f>[1]!survey_responses[[#This Row],[Tôi tin rằng Nhà nước, cơ quan thuế sẽ thực thi chính sách mới một cách khách quan, công tâm và đối xử bình đẳng với mọi người nộp thuế.  - HUMAN-TRU1]]</f>
        <v>5</v>
      </c>
      <c r="X222">
        <f t="shared" si="94"/>
        <v>0.44444444444444442</v>
      </c>
      <c r="Y222">
        <f>step3_validation[[#This Row],[AI_TRU2]]</f>
        <v>8</v>
      </c>
      <c r="Z222">
        <f t="shared" si="95"/>
        <v>0.77777777777777779</v>
      </c>
      <c r="AA222">
        <f>[1]!survey_responses[[#This Row],[Tôi thấy mức thuế tôi phải đóng theo phương án mới là công bằng (người thu nhập như tôi đóng mức này là hợp lý). - HUMAN-TRU2]]</f>
        <v>6</v>
      </c>
      <c r="AB222">
        <f t="shared" si="96"/>
        <v>0.55555555555555558</v>
      </c>
      <c r="AC222">
        <f>step3_validation[[#This Row],[AI_TRU3]]</f>
        <v>9</v>
      </c>
      <c r="AD222">
        <f t="shared" si="97"/>
        <v>0.88888888888888884</v>
      </c>
      <c r="AE222">
        <f>[1]!survey_responses[[#This Row],[Tôi tin tưởng số tiền thuế tôi đóng sẽ được Nhà nước sử dụng hiệu quả để cải thiện dịch vụ công (y tế, đường xá...). - HUMAN-TRU3]]</f>
        <v>5</v>
      </c>
      <c r="AF222">
        <f t="shared" si="98"/>
        <v>0.44444444444444442</v>
      </c>
      <c r="AG222">
        <f>step3_validation[[#This Row],[AI_TRU4]]</f>
        <v>7</v>
      </c>
      <c r="AH222">
        <f t="shared" si="99"/>
        <v>0.66666666666666663</v>
      </c>
      <c r="AI222">
        <f>[1]!survey_responses[[#This Row],[Tôi thấy Nhà nước đã giải thích rõ ràng, minh bạch về lý do và mục tiêu của việc sửa đổi thuế lần này. - HUMAN-TRU4]]</f>
        <v>6</v>
      </c>
      <c r="AJ222">
        <f t="shared" si="100"/>
        <v>0.55555555555555558</v>
      </c>
      <c r="AK222" s="32">
        <f t="shared" si="101"/>
        <v>0.80555555555555547</v>
      </c>
      <c r="AL222" s="32">
        <f t="shared" si="102"/>
        <v>0.5</v>
      </c>
      <c r="AM222" s="7">
        <f t="shared" si="103"/>
        <v>0.78703703703703687</v>
      </c>
      <c r="AN222" s="7">
        <f t="shared" si="104"/>
        <v>0.42592592592592587</v>
      </c>
      <c r="AO222">
        <f>step3_validation[[#This Row],[AI_OUT1]]</f>
        <v>8</v>
      </c>
      <c r="AP222">
        <f t="shared" si="105"/>
        <v>0.77777777777777779</v>
      </c>
      <c r="AQ222">
        <f>[1]!survey_responses[[#This Row],[Sau khi xem xét các quyền lợi và nghĩa vụ, bạn có ủng hộ và tuân thủ chính sách mới hiện nay? - HUMAN-OUT1]]</f>
        <v>5</v>
      </c>
      <c r="AR222">
        <f t="shared" si="106"/>
        <v>0.44444444444444442</v>
      </c>
      <c r="AS222" s="32">
        <f t="shared" si="107"/>
        <v>3</v>
      </c>
    </row>
    <row r="223" spans="1:45" x14ac:dyDescent="0.45">
      <c r="A223">
        <f>step3_validation[[#This Row],[AI_ENF1]]</f>
        <v>7</v>
      </c>
      <c r="B223">
        <f t="shared" si="81"/>
        <v>0.66666666666666663</v>
      </c>
      <c r="C223">
        <f>[1]!survey_responses[[#This Row],[Tôi tin rằng với các quy định quản lý thuế hiện nay, hành vi gian lận hoặc trốn thuế sẽ dễ dàng bị phát hiện và xử lý nghiêm. - HUMAN-ENF1]]</f>
        <v>4</v>
      </c>
      <c r="D223">
        <f t="shared" si="82"/>
        <v>0.33333333333333331</v>
      </c>
      <c r="E223">
        <f>step3_validation[[#This Row],[AI_ENF2]]</f>
        <v>8</v>
      </c>
      <c r="F223">
        <f t="shared" si="83"/>
        <v>0.77777777777777779</v>
      </c>
      <c r="G223">
        <f>[1]!survey_responses[[#This Row],[Tôi tin rằng Nhà nước, cơ quan thuế có đủ khả năng và công nghệ để phát hiện, xử lý nghiêm các hành vi trốn thuế. - HUMAN-ENF2]]</f>
        <v>5</v>
      </c>
      <c r="H223">
        <f t="shared" si="84"/>
        <v>0.44444444444444442</v>
      </c>
      <c r="I223" s="32">
        <f t="shared" si="85"/>
        <v>0.72222222222222221</v>
      </c>
      <c r="J223" s="32">
        <f t="shared" si="86"/>
        <v>0.38888888888888884</v>
      </c>
      <c r="K223">
        <f>step3_validation[[#This Row],[AI_FAC1]]</f>
        <v>9</v>
      </c>
      <c r="L223">
        <f t="shared" si="87"/>
        <v>0.88888888888888884</v>
      </c>
      <c r="M223">
        <f>[1]!survey_responses[[#This Row],[Các thủ tục khai báo thuế VÀ/HOẶC quy trình làm việc với cơ quan thuế đơn giản, tiện lợi, nhanh chóng hơn so với trước đây. - HUMAN-FAC1]]</f>
        <v>4</v>
      </c>
      <c r="N223">
        <f t="shared" si="88"/>
        <v>0.33333333333333331</v>
      </c>
      <c r="O223">
        <f>step3_validation[[#This Row],[AI_FAC2]]</f>
        <v>8</v>
      </c>
      <c r="P223">
        <f t="shared" si="89"/>
        <v>0.77777777777777779</v>
      </c>
      <c r="Q223">
        <f>[1]!survey_responses[[#This Row],[So với trước đây, tôi thấy cách tính thuế và các bậc thuế trong phương án mới đơn giản, dễ hiểu và dễ thực hiện hơn. - HUMAN-FAC2]]</f>
        <v>5</v>
      </c>
      <c r="R223">
        <f t="shared" si="90"/>
        <v>0.44444444444444442</v>
      </c>
      <c r="S223" s="32">
        <f t="shared" si="91"/>
        <v>0.83333333333333326</v>
      </c>
      <c r="T223" s="32">
        <f t="shared" si="92"/>
        <v>0.38888888888888884</v>
      </c>
      <c r="U223">
        <f>step3_validation[[#This Row],[AI_TRU1]]</f>
        <v>7</v>
      </c>
      <c r="V223">
        <f t="shared" si="93"/>
        <v>0.66666666666666663</v>
      </c>
      <c r="W223">
        <f>[1]!survey_responses[[#This Row],[Tôi tin rằng Nhà nước, cơ quan thuế sẽ thực thi chính sách mới một cách khách quan, công tâm và đối xử bình đẳng với mọi người nộp thuế.  - HUMAN-TRU1]]</f>
        <v>5</v>
      </c>
      <c r="X223">
        <f t="shared" si="94"/>
        <v>0.44444444444444442</v>
      </c>
      <c r="Y223">
        <f>step3_validation[[#This Row],[AI_TRU2]]</f>
        <v>6</v>
      </c>
      <c r="Z223">
        <f t="shared" si="95"/>
        <v>0.55555555555555558</v>
      </c>
      <c r="AA223">
        <f>[1]!survey_responses[[#This Row],[Tôi thấy mức thuế tôi phải đóng theo phương án mới là công bằng (người thu nhập như tôi đóng mức này là hợp lý). - HUMAN-TRU2]]</f>
        <v>5</v>
      </c>
      <c r="AB223">
        <f t="shared" si="96"/>
        <v>0.44444444444444442</v>
      </c>
      <c r="AC223">
        <f>step3_validation[[#This Row],[AI_TRU3]]</f>
        <v>5</v>
      </c>
      <c r="AD223">
        <f t="shared" si="97"/>
        <v>0.44444444444444442</v>
      </c>
      <c r="AE223">
        <f>[1]!survey_responses[[#This Row],[Tôi tin tưởng số tiền thuế tôi đóng sẽ được Nhà nước sử dụng hiệu quả để cải thiện dịch vụ công (y tế, đường xá...). - HUMAN-TRU3]]</f>
        <v>5</v>
      </c>
      <c r="AF223">
        <f t="shared" si="98"/>
        <v>0.44444444444444442</v>
      </c>
      <c r="AG223">
        <f>step3_validation[[#This Row],[AI_TRU4]]</f>
        <v>6</v>
      </c>
      <c r="AH223">
        <f t="shared" si="99"/>
        <v>0.55555555555555558</v>
      </c>
      <c r="AI223">
        <f>[1]!survey_responses[[#This Row],[Tôi thấy Nhà nước đã giải thích rõ ràng, minh bạch về lý do và mục tiêu của việc sửa đổi thuế lần này. - HUMAN-TRU4]]</f>
        <v>5</v>
      </c>
      <c r="AJ223">
        <f t="shared" si="100"/>
        <v>0.44444444444444442</v>
      </c>
      <c r="AK223" s="32">
        <f t="shared" si="101"/>
        <v>0.55555555555555558</v>
      </c>
      <c r="AL223" s="32">
        <f t="shared" si="102"/>
        <v>0.44444444444444442</v>
      </c>
      <c r="AM223" s="7">
        <f t="shared" si="103"/>
        <v>0.70370370370370361</v>
      </c>
      <c r="AN223" s="7">
        <f t="shared" si="104"/>
        <v>0.40740740740740738</v>
      </c>
      <c r="AO223">
        <f>step3_validation[[#This Row],[AI_OUT1]]</f>
        <v>7</v>
      </c>
      <c r="AP223">
        <f t="shared" si="105"/>
        <v>0.66666666666666663</v>
      </c>
      <c r="AQ223">
        <f>[1]!survey_responses[[#This Row],[Sau khi xem xét các quyền lợi và nghĩa vụ, bạn có ủng hộ và tuân thủ chính sách mới hiện nay? - HUMAN-OUT1]]</f>
        <v>5</v>
      </c>
      <c r="AR223">
        <f t="shared" si="106"/>
        <v>0.44444444444444442</v>
      </c>
      <c r="AS223" s="32">
        <f t="shared" si="107"/>
        <v>2</v>
      </c>
    </row>
    <row r="224" spans="1:45" x14ac:dyDescent="0.45">
      <c r="A224">
        <f>step3_validation[[#This Row],[AI_ENF1]]</f>
        <v>6</v>
      </c>
      <c r="B224">
        <f t="shared" si="81"/>
        <v>0.55555555555555558</v>
      </c>
      <c r="C224">
        <f>[1]!survey_responses[[#This Row],[Tôi tin rằng với các quy định quản lý thuế hiện nay, hành vi gian lận hoặc trốn thuế sẽ dễ dàng bị phát hiện và xử lý nghiêm. - HUMAN-ENF1]]</f>
        <v>6</v>
      </c>
      <c r="D224">
        <f t="shared" si="82"/>
        <v>0.55555555555555558</v>
      </c>
      <c r="E224">
        <f>step3_validation[[#This Row],[AI_ENF2]]</f>
        <v>7</v>
      </c>
      <c r="F224">
        <f t="shared" si="83"/>
        <v>0.66666666666666663</v>
      </c>
      <c r="G224">
        <f>[1]!survey_responses[[#This Row],[Tôi tin rằng Nhà nước, cơ quan thuế có đủ khả năng và công nghệ để phát hiện, xử lý nghiêm các hành vi trốn thuế. - HUMAN-ENF2]]</f>
        <v>6</v>
      </c>
      <c r="H224">
        <f t="shared" si="84"/>
        <v>0.55555555555555558</v>
      </c>
      <c r="I224" s="32">
        <f t="shared" si="85"/>
        <v>0.61111111111111116</v>
      </c>
      <c r="J224" s="32">
        <f t="shared" si="86"/>
        <v>0.55555555555555558</v>
      </c>
      <c r="K224">
        <f>step3_validation[[#This Row],[AI_FAC1]]</f>
        <v>8</v>
      </c>
      <c r="L224">
        <f t="shared" si="87"/>
        <v>0.77777777777777779</v>
      </c>
      <c r="M224">
        <f>[1]!survey_responses[[#This Row],[Các thủ tục khai báo thuế VÀ/HOẶC quy trình làm việc với cơ quan thuế đơn giản, tiện lợi, nhanh chóng hơn so với trước đây. - HUMAN-FAC1]]</f>
        <v>7</v>
      </c>
      <c r="N224">
        <f t="shared" si="88"/>
        <v>0.66666666666666663</v>
      </c>
      <c r="O224">
        <f>step3_validation[[#This Row],[AI_FAC2]]</f>
        <v>7</v>
      </c>
      <c r="P224">
        <f t="shared" si="89"/>
        <v>0.66666666666666663</v>
      </c>
      <c r="Q224">
        <f>[1]!survey_responses[[#This Row],[So với trước đây, tôi thấy cách tính thuế và các bậc thuế trong phương án mới đơn giản, dễ hiểu và dễ thực hiện hơn. - HUMAN-FAC2]]</f>
        <v>7</v>
      </c>
      <c r="R224">
        <f t="shared" si="90"/>
        <v>0.66666666666666663</v>
      </c>
      <c r="S224" s="32">
        <f t="shared" si="91"/>
        <v>0.72222222222222221</v>
      </c>
      <c r="T224" s="32">
        <f t="shared" si="92"/>
        <v>0.66666666666666663</v>
      </c>
      <c r="U224">
        <f>step3_validation[[#This Row],[AI_TRU1]]</f>
        <v>8</v>
      </c>
      <c r="V224">
        <f t="shared" si="93"/>
        <v>0.77777777777777779</v>
      </c>
      <c r="W224">
        <f>[1]!survey_responses[[#This Row],[Tôi tin rằng Nhà nước, cơ quan thuế sẽ thực thi chính sách mới một cách khách quan, công tâm và đối xử bình đẳng với mọi người nộp thuế.  - HUMAN-TRU1]]</f>
        <v>6</v>
      </c>
      <c r="X224">
        <f t="shared" si="94"/>
        <v>0.55555555555555558</v>
      </c>
      <c r="Y224">
        <f>step3_validation[[#This Row],[AI_TRU2]]</f>
        <v>7</v>
      </c>
      <c r="Z224">
        <f t="shared" si="95"/>
        <v>0.66666666666666663</v>
      </c>
      <c r="AA224">
        <f>[1]!survey_responses[[#This Row],[Tôi thấy mức thuế tôi phải đóng theo phương án mới là công bằng (người thu nhập như tôi đóng mức này là hợp lý). - HUMAN-TRU2]]</f>
        <v>6</v>
      </c>
      <c r="AB224">
        <f t="shared" si="96"/>
        <v>0.55555555555555558</v>
      </c>
      <c r="AC224">
        <f>step3_validation[[#This Row],[AI_TRU3]]</f>
        <v>6</v>
      </c>
      <c r="AD224">
        <f t="shared" si="97"/>
        <v>0.55555555555555558</v>
      </c>
      <c r="AE224">
        <f>[1]!survey_responses[[#This Row],[Tôi tin tưởng số tiền thuế tôi đóng sẽ được Nhà nước sử dụng hiệu quả để cải thiện dịch vụ công (y tế, đường xá...). - HUMAN-TRU3]]</f>
        <v>8</v>
      </c>
      <c r="AF224">
        <f t="shared" si="98"/>
        <v>0.77777777777777779</v>
      </c>
      <c r="AG224">
        <f>step3_validation[[#This Row],[AI_TRU4]]</f>
        <v>5</v>
      </c>
      <c r="AH224">
        <f t="shared" si="99"/>
        <v>0.44444444444444442</v>
      </c>
      <c r="AI224">
        <f>[1]!survey_responses[[#This Row],[Tôi thấy Nhà nước đã giải thích rõ ràng, minh bạch về lý do và mục tiêu của việc sửa đổi thuế lần này. - HUMAN-TRU4]]</f>
        <v>8</v>
      </c>
      <c r="AJ224">
        <f t="shared" si="100"/>
        <v>0.77777777777777779</v>
      </c>
      <c r="AK224" s="32">
        <f t="shared" si="101"/>
        <v>0.61111111111111116</v>
      </c>
      <c r="AL224" s="32">
        <f t="shared" si="102"/>
        <v>0.66666666666666663</v>
      </c>
      <c r="AM224" s="7">
        <f t="shared" si="103"/>
        <v>0.64814814814814825</v>
      </c>
      <c r="AN224" s="7">
        <f t="shared" si="104"/>
        <v>0.62962962962962965</v>
      </c>
      <c r="AO224">
        <f>step3_validation[[#This Row],[AI_OUT1]]</f>
        <v>7</v>
      </c>
      <c r="AP224">
        <f t="shared" si="105"/>
        <v>0.66666666666666663</v>
      </c>
      <c r="AQ224">
        <f>[1]!survey_responses[[#This Row],[Sau khi xem xét các quyền lợi và nghĩa vụ, bạn có ủng hộ và tuân thủ chính sách mới hiện nay? - HUMAN-OUT1]]</f>
        <v>7</v>
      </c>
      <c r="AR224">
        <f t="shared" si="106"/>
        <v>0.66666666666666663</v>
      </c>
      <c r="AS224" s="32">
        <f t="shared" si="107"/>
        <v>0</v>
      </c>
    </row>
    <row r="225" spans="1:45" x14ac:dyDescent="0.45">
      <c r="A225">
        <f>step3_validation[[#This Row],[AI_ENF1]]</f>
        <v>7</v>
      </c>
      <c r="B225">
        <f t="shared" si="81"/>
        <v>0.66666666666666663</v>
      </c>
      <c r="C225">
        <f>[1]!survey_responses[[#This Row],[Tôi tin rằng với các quy định quản lý thuế hiện nay, hành vi gian lận hoặc trốn thuế sẽ dễ dàng bị phát hiện và xử lý nghiêm. - HUMAN-ENF1]]</f>
        <v>7</v>
      </c>
      <c r="D225">
        <f t="shared" si="82"/>
        <v>0.66666666666666663</v>
      </c>
      <c r="E225">
        <f>step3_validation[[#This Row],[AI_ENF2]]</f>
        <v>8</v>
      </c>
      <c r="F225">
        <f t="shared" si="83"/>
        <v>0.77777777777777779</v>
      </c>
      <c r="G225">
        <f>[1]!survey_responses[[#This Row],[Tôi tin rằng Nhà nước, cơ quan thuế có đủ khả năng và công nghệ để phát hiện, xử lý nghiêm các hành vi trốn thuế. - HUMAN-ENF2]]</f>
        <v>7</v>
      </c>
      <c r="H225">
        <f t="shared" si="84"/>
        <v>0.66666666666666663</v>
      </c>
      <c r="I225" s="32">
        <f t="shared" si="85"/>
        <v>0.72222222222222221</v>
      </c>
      <c r="J225" s="32">
        <f t="shared" si="86"/>
        <v>0.66666666666666663</v>
      </c>
      <c r="K225">
        <f>step3_validation[[#This Row],[AI_FAC1]]</f>
        <v>9</v>
      </c>
      <c r="L225">
        <f t="shared" si="87"/>
        <v>0.88888888888888884</v>
      </c>
      <c r="M225">
        <f>[1]!survey_responses[[#This Row],[Các thủ tục khai báo thuế VÀ/HOẶC quy trình làm việc với cơ quan thuế đơn giản, tiện lợi, nhanh chóng hơn so với trước đây. - HUMAN-FAC1]]</f>
        <v>7</v>
      </c>
      <c r="N225">
        <f t="shared" si="88"/>
        <v>0.66666666666666663</v>
      </c>
      <c r="O225">
        <f>step3_validation[[#This Row],[AI_FAC2]]</f>
        <v>8</v>
      </c>
      <c r="P225">
        <f t="shared" si="89"/>
        <v>0.77777777777777779</v>
      </c>
      <c r="Q225">
        <f>[1]!survey_responses[[#This Row],[So với trước đây, tôi thấy cách tính thuế và các bậc thuế trong phương án mới đơn giản, dễ hiểu và dễ thực hiện hơn. - HUMAN-FAC2]]</f>
        <v>7</v>
      </c>
      <c r="R225">
        <f t="shared" si="90"/>
        <v>0.66666666666666663</v>
      </c>
      <c r="S225" s="32">
        <f t="shared" si="91"/>
        <v>0.83333333333333326</v>
      </c>
      <c r="T225" s="32">
        <f t="shared" si="92"/>
        <v>0.66666666666666663</v>
      </c>
      <c r="U225">
        <f>step3_validation[[#This Row],[AI_TRU1]]</f>
        <v>9</v>
      </c>
      <c r="V225">
        <f t="shared" si="93"/>
        <v>0.88888888888888884</v>
      </c>
      <c r="W225">
        <f>[1]!survey_responses[[#This Row],[Tôi tin rằng Nhà nước, cơ quan thuế sẽ thực thi chính sách mới một cách khách quan, công tâm và đối xử bình đẳng với mọi người nộp thuế.  - HUMAN-TRU1]]</f>
        <v>7</v>
      </c>
      <c r="X225">
        <f t="shared" si="94"/>
        <v>0.66666666666666663</v>
      </c>
      <c r="Y225">
        <f>step3_validation[[#This Row],[AI_TRU2]]</f>
        <v>7</v>
      </c>
      <c r="Z225">
        <f t="shared" si="95"/>
        <v>0.66666666666666663</v>
      </c>
      <c r="AA225">
        <f>[1]!survey_responses[[#This Row],[Tôi thấy mức thuế tôi phải đóng theo phương án mới là công bằng (người thu nhập như tôi đóng mức này là hợp lý). - HUMAN-TRU2]]</f>
        <v>7</v>
      </c>
      <c r="AB225">
        <f t="shared" si="96"/>
        <v>0.66666666666666663</v>
      </c>
      <c r="AC225">
        <f>step3_validation[[#This Row],[AI_TRU3]]</f>
        <v>8</v>
      </c>
      <c r="AD225">
        <f t="shared" si="97"/>
        <v>0.77777777777777779</v>
      </c>
      <c r="AE225">
        <f>[1]!survey_responses[[#This Row],[Tôi tin tưởng số tiền thuế tôi đóng sẽ được Nhà nước sử dụng hiệu quả để cải thiện dịch vụ công (y tế, đường xá...). - HUMAN-TRU3]]</f>
        <v>7</v>
      </c>
      <c r="AF225">
        <f t="shared" si="98"/>
        <v>0.66666666666666663</v>
      </c>
      <c r="AG225">
        <f>step3_validation[[#This Row],[AI_TRU4]]</f>
        <v>7</v>
      </c>
      <c r="AH225">
        <f t="shared" si="99"/>
        <v>0.66666666666666663</v>
      </c>
      <c r="AI225">
        <f>[1]!survey_responses[[#This Row],[Tôi thấy Nhà nước đã giải thích rõ ràng, minh bạch về lý do và mục tiêu của việc sửa đổi thuế lần này. - HUMAN-TRU4]]</f>
        <v>7</v>
      </c>
      <c r="AJ225">
        <f t="shared" si="100"/>
        <v>0.66666666666666663</v>
      </c>
      <c r="AK225" s="32">
        <f t="shared" si="101"/>
        <v>0.74999999999999989</v>
      </c>
      <c r="AL225" s="32">
        <f t="shared" si="102"/>
        <v>0.66666666666666663</v>
      </c>
      <c r="AM225" s="7">
        <f t="shared" si="103"/>
        <v>0.76851851851851849</v>
      </c>
      <c r="AN225" s="7">
        <f t="shared" si="104"/>
        <v>0.66666666666666663</v>
      </c>
      <c r="AO225">
        <f>step3_validation[[#This Row],[AI_OUT1]]</f>
        <v>9</v>
      </c>
      <c r="AP225">
        <f t="shared" si="105"/>
        <v>0.88888888888888884</v>
      </c>
      <c r="AQ225">
        <f>[1]!survey_responses[[#This Row],[Sau khi xem xét các quyền lợi và nghĩa vụ, bạn có ủng hộ và tuân thủ chính sách mới hiện nay? - HUMAN-OUT1]]</f>
        <v>7</v>
      </c>
      <c r="AR225">
        <f t="shared" si="106"/>
        <v>0.66666666666666663</v>
      </c>
      <c r="AS225" s="32">
        <f t="shared" si="107"/>
        <v>2</v>
      </c>
    </row>
    <row r="226" spans="1:45" x14ac:dyDescent="0.45">
      <c r="A226">
        <f>step3_validation[[#This Row],[AI_ENF1]]</f>
        <v>6</v>
      </c>
      <c r="B226">
        <f t="shared" si="81"/>
        <v>0.55555555555555558</v>
      </c>
      <c r="C226">
        <f>[1]!survey_responses[[#This Row],[Tôi tin rằng với các quy định quản lý thuế hiện nay, hành vi gian lận hoặc trốn thuế sẽ dễ dàng bị phát hiện và xử lý nghiêm. - HUMAN-ENF1]]</f>
        <v>6</v>
      </c>
      <c r="D226">
        <f t="shared" si="82"/>
        <v>0.55555555555555558</v>
      </c>
      <c r="E226">
        <f>step3_validation[[#This Row],[AI_ENF2]]</f>
        <v>6</v>
      </c>
      <c r="F226">
        <f t="shared" si="83"/>
        <v>0.55555555555555558</v>
      </c>
      <c r="G226">
        <f>[1]!survey_responses[[#This Row],[Tôi tin rằng Nhà nước, cơ quan thuế có đủ khả năng và công nghệ để phát hiện, xử lý nghiêm các hành vi trốn thuế. - HUMAN-ENF2]]</f>
        <v>6</v>
      </c>
      <c r="H226">
        <f t="shared" si="84"/>
        <v>0.55555555555555558</v>
      </c>
      <c r="I226" s="32">
        <f t="shared" si="85"/>
        <v>0.55555555555555558</v>
      </c>
      <c r="J226" s="32">
        <f t="shared" si="86"/>
        <v>0.55555555555555558</v>
      </c>
      <c r="K226">
        <f>step3_validation[[#This Row],[AI_FAC1]]</f>
        <v>7</v>
      </c>
      <c r="L226">
        <f t="shared" si="87"/>
        <v>0.66666666666666663</v>
      </c>
      <c r="M226">
        <f>[1]!survey_responses[[#This Row],[Các thủ tục khai báo thuế VÀ/HOẶC quy trình làm việc với cơ quan thuế đơn giản, tiện lợi, nhanh chóng hơn so với trước đây. - HUMAN-FAC1]]</f>
        <v>7</v>
      </c>
      <c r="N226">
        <f t="shared" si="88"/>
        <v>0.66666666666666663</v>
      </c>
      <c r="O226">
        <f>step3_validation[[#This Row],[AI_FAC2]]</f>
        <v>6</v>
      </c>
      <c r="P226">
        <f t="shared" si="89"/>
        <v>0.55555555555555558</v>
      </c>
      <c r="Q226">
        <f>[1]!survey_responses[[#This Row],[So với trước đây, tôi thấy cách tính thuế và các bậc thuế trong phương án mới đơn giản, dễ hiểu và dễ thực hiện hơn. - HUMAN-FAC2]]</f>
        <v>7</v>
      </c>
      <c r="R226">
        <f t="shared" si="90"/>
        <v>0.66666666666666663</v>
      </c>
      <c r="S226" s="32">
        <f t="shared" si="91"/>
        <v>0.61111111111111116</v>
      </c>
      <c r="T226" s="32">
        <f t="shared" si="92"/>
        <v>0.66666666666666663</v>
      </c>
      <c r="U226">
        <f>step3_validation[[#This Row],[AI_TRU1]]</f>
        <v>7</v>
      </c>
      <c r="V226">
        <f t="shared" si="93"/>
        <v>0.66666666666666663</v>
      </c>
      <c r="W226">
        <f>[1]!survey_responses[[#This Row],[Tôi tin rằng Nhà nước, cơ quan thuế sẽ thực thi chính sách mới một cách khách quan, công tâm và đối xử bình đẳng với mọi người nộp thuế.  - HUMAN-TRU1]]</f>
        <v>5</v>
      </c>
      <c r="X226">
        <f t="shared" si="94"/>
        <v>0.44444444444444442</v>
      </c>
      <c r="Y226">
        <f>step3_validation[[#This Row],[AI_TRU2]]</f>
        <v>4</v>
      </c>
      <c r="Z226">
        <f t="shared" si="95"/>
        <v>0.33333333333333331</v>
      </c>
      <c r="AA226">
        <f>[1]!survey_responses[[#This Row],[Tôi thấy mức thuế tôi phải đóng theo phương án mới là công bằng (người thu nhập như tôi đóng mức này là hợp lý). - HUMAN-TRU2]]</f>
        <v>6</v>
      </c>
      <c r="AB226">
        <f t="shared" si="96"/>
        <v>0.55555555555555558</v>
      </c>
      <c r="AC226">
        <f>step3_validation[[#This Row],[AI_TRU3]]</f>
        <v>6</v>
      </c>
      <c r="AD226">
        <f t="shared" si="97"/>
        <v>0.55555555555555558</v>
      </c>
      <c r="AE226">
        <f>[1]!survey_responses[[#This Row],[Tôi tin tưởng số tiền thuế tôi đóng sẽ được Nhà nước sử dụng hiệu quả để cải thiện dịch vụ công (y tế, đường xá...). - HUMAN-TRU3]]</f>
        <v>6</v>
      </c>
      <c r="AF226">
        <f t="shared" si="98"/>
        <v>0.55555555555555558</v>
      </c>
      <c r="AG226">
        <f>step3_validation[[#This Row],[AI_TRU4]]</f>
        <v>7</v>
      </c>
      <c r="AH226">
        <f t="shared" si="99"/>
        <v>0.66666666666666663</v>
      </c>
      <c r="AI226">
        <f>[1]!survey_responses[[#This Row],[Tôi thấy Nhà nước đã giải thích rõ ràng, minh bạch về lý do và mục tiêu của việc sửa đổi thuế lần này. - HUMAN-TRU4]]</f>
        <v>6</v>
      </c>
      <c r="AJ226">
        <f t="shared" si="100"/>
        <v>0.55555555555555558</v>
      </c>
      <c r="AK226" s="32">
        <f t="shared" si="101"/>
        <v>0.55555555555555558</v>
      </c>
      <c r="AL226" s="32">
        <f t="shared" si="102"/>
        <v>0.52777777777777779</v>
      </c>
      <c r="AM226" s="7">
        <f t="shared" si="103"/>
        <v>0.57407407407407407</v>
      </c>
      <c r="AN226" s="7">
        <f t="shared" si="104"/>
        <v>0.58333333333333337</v>
      </c>
      <c r="AO226">
        <f>step3_validation[[#This Row],[AI_OUT1]]</f>
        <v>5</v>
      </c>
      <c r="AP226">
        <f t="shared" si="105"/>
        <v>0.44444444444444442</v>
      </c>
      <c r="AQ226">
        <f>[1]!survey_responses[[#This Row],[Sau khi xem xét các quyền lợi và nghĩa vụ, bạn có ủng hộ và tuân thủ chính sách mới hiện nay? - HUMAN-OUT1]]</f>
        <v>7</v>
      </c>
      <c r="AR226">
        <f t="shared" si="106"/>
        <v>0.66666666666666663</v>
      </c>
      <c r="AS226" s="32">
        <f t="shared" si="107"/>
        <v>2</v>
      </c>
    </row>
    <row r="227" spans="1:45" x14ac:dyDescent="0.45">
      <c r="A227">
        <f>step3_validation[[#This Row],[AI_ENF1]]</f>
        <v>5</v>
      </c>
      <c r="B227">
        <f t="shared" si="81"/>
        <v>0.44444444444444442</v>
      </c>
      <c r="C227">
        <f>[1]!survey_responses[[#This Row],[Tôi tin rằng với các quy định quản lý thuế hiện nay, hành vi gian lận hoặc trốn thuế sẽ dễ dàng bị phát hiện và xử lý nghiêm. - HUMAN-ENF1]]</f>
        <v>7</v>
      </c>
      <c r="D227">
        <f t="shared" si="82"/>
        <v>0.66666666666666663</v>
      </c>
      <c r="E227">
        <f>step3_validation[[#This Row],[AI_ENF2]]</f>
        <v>6</v>
      </c>
      <c r="F227">
        <f t="shared" si="83"/>
        <v>0.55555555555555558</v>
      </c>
      <c r="G227">
        <f>[1]!survey_responses[[#This Row],[Tôi tin rằng Nhà nước, cơ quan thuế có đủ khả năng và công nghệ để phát hiện, xử lý nghiêm các hành vi trốn thuế. - HUMAN-ENF2]]</f>
        <v>7</v>
      </c>
      <c r="H227">
        <f t="shared" si="84"/>
        <v>0.66666666666666663</v>
      </c>
      <c r="I227" s="32">
        <f t="shared" si="85"/>
        <v>0.5</v>
      </c>
      <c r="J227" s="32">
        <f t="shared" si="86"/>
        <v>0.66666666666666663</v>
      </c>
      <c r="K227">
        <f>step3_validation[[#This Row],[AI_FAC1]]</f>
        <v>7</v>
      </c>
      <c r="L227">
        <f t="shared" si="87"/>
        <v>0.66666666666666663</v>
      </c>
      <c r="M227">
        <f>[1]!survey_responses[[#This Row],[Các thủ tục khai báo thuế VÀ/HOẶC quy trình làm việc với cơ quan thuế đơn giản, tiện lợi, nhanh chóng hơn so với trước đây. - HUMAN-FAC1]]</f>
        <v>6</v>
      </c>
      <c r="N227">
        <f t="shared" si="88"/>
        <v>0.55555555555555558</v>
      </c>
      <c r="O227">
        <f>step3_validation[[#This Row],[AI_FAC2]]</f>
        <v>8</v>
      </c>
      <c r="P227">
        <f t="shared" si="89"/>
        <v>0.77777777777777779</v>
      </c>
      <c r="Q227">
        <f>[1]!survey_responses[[#This Row],[So với trước đây, tôi thấy cách tính thuế và các bậc thuế trong phương án mới đơn giản, dễ hiểu và dễ thực hiện hơn. - HUMAN-FAC2]]</f>
        <v>7</v>
      </c>
      <c r="R227">
        <f t="shared" si="90"/>
        <v>0.66666666666666663</v>
      </c>
      <c r="S227" s="32">
        <f t="shared" si="91"/>
        <v>0.72222222222222221</v>
      </c>
      <c r="T227" s="32">
        <f t="shared" si="92"/>
        <v>0.61111111111111116</v>
      </c>
      <c r="U227">
        <f>step3_validation[[#This Row],[AI_TRU1]]</f>
        <v>7</v>
      </c>
      <c r="V227">
        <f t="shared" si="93"/>
        <v>0.66666666666666663</v>
      </c>
      <c r="W227">
        <f>[1]!survey_responses[[#This Row],[Tôi tin rằng Nhà nước, cơ quan thuế sẽ thực thi chính sách mới một cách khách quan, công tâm và đối xử bình đẳng với mọi người nộp thuế.  - HUMAN-TRU1]]</f>
        <v>7</v>
      </c>
      <c r="X227">
        <f t="shared" si="94"/>
        <v>0.66666666666666663</v>
      </c>
      <c r="Y227">
        <f>step3_validation[[#This Row],[AI_TRU2]]</f>
        <v>8</v>
      </c>
      <c r="Z227">
        <f t="shared" si="95"/>
        <v>0.77777777777777779</v>
      </c>
      <c r="AA227">
        <f>[1]!survey_responses[[#This Row],[Tôi thấy mức thuế tôi phải đóng theo phương án mới là công bằng (người thu nhập như tôi đóng mức này là hợp lý). - HUMAN-TRU2]]</f>
        <v>7</v>
      </c>
      <c r="AB227">
        <f t="shared" si="96"/>
        <v>0.66666666666666663</v>
      </c>
      <c r="AC227">
        <f>step3_validation[[#This Row],[AI_TRU3]]</f>
        <v>6</v>
      </c>
      <c r="AD227">
        <f t="shared" si="97"/>
        <v>0.55555555555555558</v>
      </c>
      <c r="AE227">
        <f>[1]!survey_responses[[#This Row],[Tôi tin tưởng số tiền thuế tôi đóng sẽ được Nhà nước sử dụng hiệu quả để cải thiện dịch vụ công (y tế, đường xá...). - HUMAN-TRU3]]</f>
        <v>7</v>
      </c>
      <c r="AF227">
        <f t="shared" si="98"/>
        <v>0.66666666666666663</v>
      </c>
      <c r="AG227">
        <f>step3_validation[[#This Row],[AI_TRU4]]</f>
        <v>5</v>
      </c>
      <c r="AH227">
        <f t="shared" si="99"/>
        <v>0.44444444444444442</v>
      </c>
      <c r="AI227">
        <f>[1]!survey_responses[[#This Row],[Tôi thấy Nhà nước đã giải thích rõ ràng, minh bạch về lý do và mục tiêu của việc sửa đổi thuế lần này. - HUMAN-TRU4]]</f>
        <v>7</v>
      </c>
      <c r="AJ227">
        <f t="shared" si="100"/>
        <v>0.66666666666666663</v>
      </c>
      <c r="AK227" s="32">
        <f t="shared" si="101"/>
        <v>0.61111111111111116</v>
      </c>
      <c r="AL227" s="32">
        <f t="shared" si="102"/>
        <v>0.66666666666666663</v>
      </c>
      <c r="AM227" s="7">
        <f t="shared" si="103"/>
        <v>0.61111111111111116</v>
      </c>
      <c r="AN227" s="7">
        <f t="shared" si="104"/>
        <v>0.64814814814814803</v>
      </c>
      <c r="AO227">
        <f>step3_validation[[#This Row],[AI_OUT1]]</f>
        <v>7</v>
      </c>
      <c r="AP227">
        <f t="shared" si="105"/>
        <v>0.66666666666666663</v>
      </c>
      <c r="AQ227">
        <f>[1]!survey_responses[[#This Row],[Sau khi xem xét các quyền lợi và nghĩa vụ, bạn có ủng hộ và tuân thủ chính sách mới hiện nay? - HUMAN-OUT1]]</f>
        <v>7</v>
      </c>
      <c r="AR227">
        <f t="shared" si="106"/>
        <v>0.66666666666666663</v>
      </c>
      <c r="AS227" s="32">
        <f t="shared" si="107"/>
        <v>0</v>
      </c>
    </row>
    <row r="228" spans="1:45" x14ac:dyDescent="0.45">
      <c r="A228">
        <f>step3_validation[[#This Row],[AI_ENF1]]</f>
        <v>7</v>
      </c>
      <c r="B228">
        <f t="shared" si="81"/>
        <v>0.66666666666666663</v>
      </c>
      <c r="C228">
        <f>[1]!survey_responses[[#This Row],[Tôi tin rằng với các quy định quản lý thuế hiện nay, hành vi gian lận hoặc trốn thuế sẽ dễ dàng bị phát hiện và xử lý nghiêm. - HUMAN-ENF1]]</f>
        <v>6</v>
      </c>
      <c r="D228">
        <f t="shared" si="82"/>
        <v>0.55555555555555558</v>
      </c>
      <c r="E228">
        <f>step3_validation[[#This Row],[AI_ENF2]]</f>
        <v>6</v>
      </c>
      <c r="F228">
        <f t="shared" si="83"/>
        <v>0.55555555555555558</v>
      </c>
      <c r="G228">
        <f>[1]!survey_responses[[#This Row],[Tôi tin rằng Nhà nước, cơ quan thuế có đủ khả năng và công nghệ để phát hiện, xử lý nghiêm các hành vi trốn thuế. - HUMAN-ENF2]]</f>
        <v>6</v>
      </c>
      <c r="H228">
        <f t="shared" si="84"/>
        <v>0.55555555555555558</v>
      </c>
      <c r="I228" s="32">
        <f t="shared" si="85"/>
        <v>0.61111111111111116</v>
      </c>
      <c r="J228" s="32">
        <f t="shared" si="86"/>
        <v>0.55555555555555558</v>
      </c>
      <c r="K228">
        <f>step3_validation[[#This Row],[AI_FAC1]]</f>
        <v>6</v>
      </c>
      <c r="L228">
        <f t="shared" si="87"/>
        <v>0.55555555555555558</v>
      </c>
      <c r="M228">
        <f>[1]!survey_responses[[#This Row],[Các thủ tục khai báo thuế VÀ/HOẶC quy trình làm việc với cơ quan thuế đơn giản, tiện lợi, nhanh chóng hơn so với trước đây. - HUMAN-FAC1]]</f>
        <v>6</v>
      </c>
      <c r="N228">
        <f t="shared" si="88"/>
        <v>0.55555555555555558</v>
      </c>
      <c r="O228">
        <f>step3_validation[[#This Row],[AI_FAC2]]</f>
        <v>8</v>
      </c>
      <c r="P228">
        <f t="shared" si="89"/>
        <v>0.77777777777777779</v>
      </c>
      <c r="Q228">
        <f>[1]!survey_responses[[#This Row],[So với trước đây, tôi thấy cách tính thuế và các bậc thuế trong phương án mới đơn giản, dễ hiểu và dễ thực hiện hơn. - HUMAN-FAC2]]</f>
        <v>6</v>
      </c>
      <c r="R228">
        <f t="shared" si="90"/>
        <v>0.55555555555555558</v>
      </c>
      <c r="S228" s="32">
        <f t="shared" si="91"/>
        <v>0.66666666666666674</v>
      </c>
      <c r="T228" s="32">
        <f t="shared" si="92"/>
        <v>0.55555555555555558</v>
      </c>
      <c r="U228">
        <f>step3_validation[[#This Row],[AI_TRU1]]</f>
        <v>5</v>
      </c>
      <c r="V228">
        <f t="shared" si="93"/>
        <v>0.44444444444444442</v>
      </c>
      <c r="W228">
        <f>[1]!survey_responses[[#This Row],[Tôi tin rằng Nhà nước, cơ quan thuế sẽ thực thi chính sách mới một cách khách quan, công tâm và đối xử bình đẳng với mọi người nộp thuế.  - HUMAN-TRU1]]</f>
        <v>6</v>
      </c>
      <c r="X228">
        <f t="shared" si="94"/>
        <v>0.55555555555555558</v>
      </c>
      <c r="Y228">
        <f>step3_validation[[#This Row],[AI_TRU2]]</f>
        <v>7</v>
      </c>
      <c r="Z228">
        <f t="shared" si="95"/>
        <v>0.66666666666666663</v>
      </c>
      <c r="AA228">
        <f>[1]!survey_responses[[#This Row],[Tôi thấy mức thuế tôi phải đóng theo phương án mới là công bằng (người thu nhập như tôi đóng mức này là hợp lý). - HUMAN-TRU2]]</f>
        <v>6</v>
      </c>
      <c r="AB228">
        <f t="shared" si="96"/>
        <v>0.55555555555555558</v>
      </c>
      <c r="AC228">
        <f>step3_validation[[#This Row],[AI_TRU3]]</f>
        <v>5</v>
      </c>
      <c r="AD228">
        <f t="shared" si="97"/>
        <v>0.44444444444444442</v>
      </c>
      <c r="AE228">
        <f>[1]!survey_responses[[#This Row],[Tôi tin tưởng số tiền thuế tôi đóng sẽ được Nhà nước sử dụng hiệu quả để cải thiện dịch vụ công (y tế, đường xá...). - HUMAN-TRU3]]</f>
        <v>6</v>
      </c>
      <c r="AF228">
        <f t="shared" si="98"/>
        <v>0.55555555555555558</v>
      </c>
      <c r="AG228">
        <f>step3_validation[[#This Row],[AI_TRU4]]</f>
        <v>5</v>
      </c>
      <c r="AH228">
        <f t="shared" si="99"/>
        <v>0.44444444444444442</v>
      </c>
      <c r="AI228">
        <f>[1]!survey_responses[[#This Row],[Tôi thấy Nhà nước đã giải thích rõ ràng, minh bạch về lý do và mục tiêu của việc sửa đổi thuế lần này. - HUMAN-TRU4]]</f>
        <v>6</v>
      </c>
      <c r="AJ228">
        <f t="shared" si="100"/>
        <v>0.55555555555555558</v>
      </c>
      <c r="AK228" s="32">
        <f t="shared" si="101"/>
        <v>0.5</v>
      </c>
      <c r="AL228" s="32">
        <f t="shared" si="102"/>
        <v>0.55555555555555558</v>
      </c>
      <c r="AM228" s="7">
        <f t="shared" si="103"/>
        <v>0.59259259259259267</v>
      </c>
      <c r="AN228" s="7">
        <f t="shared" si="104"/>
        <v>0.55555555555555558</v>
      </c>
      <c r="AO228">
        <f>step3_validation[[#This Row],[AI_OUT1]]</f>
        <v>6</v>
      </c>
      <c r="AP228">
        <f t="shared" si="105"/>
        <v>0.55555555555555558</v>
      </c>
      <c r="AQ228">
        <f>[1]!survey_responses[[#This Row],[Sau khi xem xét các quyền lợi và nghĩa vụ, bạn có ủng hộ và tuân thủ chính sách mới hiện nay? - HUMAN-OUT1]]</f>
        <v>6</v>
      </c>
      <c r="AR228">
        <f t="shared" si="106"/>
        <v>0.55555555555555558</v>
      </c>
      <c r="AS228" s="32">
        <f t="shared" si="107"/>
        <v>0</v>
      </c>
    </row>
    <row r="229" spans="1:45" x14ac:dyDescent="0.45">
      <c r="A229">
        <f>step3_validation[[#This Row],[AI_ENF1]]</f>
        <v>7</v>
      </c>
      <c r="B229">
        <f t="shared" si="81"/>
        <v>0.66666666666666663</v>
      </c>
      <c r="C229">
        <f>[1]!survey_responses[[#This Row],[Tôi tin rằng với các quy định quản lý thuế hiện nay, hành vi gian lận hoặc trốn thuế sẽ dễ dàng bị phát hiện và xử lý nghiêm. - HUMAN-ENF1]]</f>
        <v>8</v>
      </c>
      <c r="D229">
        <f t="shared" si="82"/>
        <v>0.77777777777777779</v>
      </c>
      <c r="E229">
        <f>step3_validation[[#This Row],[AI_ENF2]]</f>
        <v>8</v>
      </c>
      <c r="F229">
        <f t="shared" si="83"/>
        <v>0.77777777777777779</v>
      </c>
      <c r="G229">
        <f>[1]!survey_responses[[#This Row],[Tôi tin rằng Nhà nước, cơ quan thuế có đủ khả năng và công nghệ để phát hiện, xử lý nghiêm các hành vi trốn thuế. - HUMAN-ENF2]]</f>
        <v>9</v>
      </c>
      <c r="H229">
        <f t="shared" si="84"/>
        <v>0.88888888888888884</v>
      </c>
      <c r="I229" s="32">
        <f t="shared" si="85"/>
        <v>0.72222222222222221</v>
      </c>
      <c r="J229" s="32">
        <f t="shared" si="86"/>
        <v>0.83333333333333326</v>
      </c>
      <c r="K229">
        <f>step3_validation[[#This Row],[AI_FAC1]]</f>
        <v>6</v>
      </c>
      <c r="L229">
        <f t="shared" si="87"/>
        <v>0.55555555555555558</v>
      </c>
      <c r="M229">
        <f>[1]!survey_responses[[#This Row],[Các thủ tục khai báo thuế VÀ/HOẶC quy trình làm việc với cơ quan thuế đơn giản, tiện lợi, nhanh chóng hơn so với trước đây. - HUMAN-FAC1]]</f>
        <v>7</v>
      </c>
      <c r="N229">
        <f t="shared" si="88"/>
        <v>0.66666666666666663</v>
      </c>
      <c r="O229">
        <f>step3_validation[[#This Row],[AI_FAC2]]</f>
        <v>8</v>
      </c>
      <c r="P229">
        <f t="shared" si="89"/>
        <v>0.77777777777777779</v>
      </c>
      <c r="Q229">
        <f>[1]!survey_responses[[#This Row],[So với trước đây, tôi thấy cách tính thuế và các bậc thuế trong phương án mới đơn giản, dễ hiểu và dễ thực hiện hơn. - HUMAN-FAC2]]</f>
        <v>8</v>
      </c>
      <c r="R229">
        <f t="shared" si="90"/>
        <v>0.77777777777777779</v>
      </c>
      <c r="S229" s="32">
        <f t="shared" si="91"/>
        <v>0.66666666666666674</v>
      </c>
      <c r="T229" s="32">
        <f t="shared" si="92"/>
        <v>0.72222222222222221</v>
      </c>
      <c r="U229">
        <f>step3_validation[[#This Row],[AI_TRU1]]</f>
        <v>6</v>
      </c>
      <c r="V229">
        <f t="shared" si="93"/>
        <v>0.55555555555555558</v>
      </c>
      <c r="W229">
        <f>[1]!survey_responses[[#This Row],[Tôi tin rằng Nhà nước, cơ quan thuế sẽ thực thi chính sách mới một cách khách quan, công tâm và đối xử bình đẳng với mọi người nộp thuế.  - HUMAN-TRU1]]</f>
        <v>9</v>
      </c>
      <c r="X229">
        <f t="shared" si="94"/>
        <v>0.88888888888888884</v>
      </c>
      <c r="Y229">
        <f>step3_validation[[#This Row],[AI_TRU2]]</f>
        <v>7</v>
      </c>
      <c r="Z229">
        <f t="shared" si="95"/>
        <v>0.66666666666666663</v>
      </c>
      <c r="AA229">
        <f>[1]!survey_responses[[#This Row],[Tôi thấy mức thuế tôi phải đóng theo phương án mới là công bằng (người thu nhập như tôi đóng mức này là hợp lý). - HUMAN-TRU2]]</f>
        <v>8</v>
      </c>
      <c r="AB229">
        <f t="shared" si="96"/>
        <v>0.77777777777777779</v>
      </c>
      <c r="AC229">
        <f>step3_validation[[#This Row],[AI_TRU3]]</f>
        <v>6</v>
      </c>
      <c r="AD229">
        <f t="shared" si="97"/>
        <v>0.55555555555555558</v>
      </c>
      <c r="AE229">
        <f>[1]!survey_responses[[#This Row],[Tôi tin tưởng số tiền thuế tôi đóng sẽ được Nhà nước sử dụng hiệu quả để cải thiện dịch vụ công (y tế, đường xá...). - HUMAN-TRU3]]</f>
        <v>8</v>
      </c>
      <c r="AF229">
        <f t="shared" si="98"/>
        <v>0.77777777777777779</v>
      </c>
      <c r="AG229">
        <f>step3_validation[[#This Row],[AI_TRU4]]</f>
        <v>7</v>
      </c>
      <c r="AH229">
        <f t="shared" si="99"/>
        <v>0.66666666666666663</v>
      </c>
      <c r="AI229">
        <f>[1]!survey_responses[[#This Row],[Tôi thấy Nhà nước đã giải thích rõ ràng, minh bạch về lý do và mục tiêu của việc sửa đổi thuế lần này. - HUMAN-TRU4]]</f>
        <v>8</v>
      </c>
      <c r="AJ229">
        <f t="shared" si="100"/>
        <v>0.77777777777777779</v>
      </c>
      <c r="AK229" s="32">
        <f t="shared" si="101"/>
        <v>0.61111111111111116</v>
      </c>
      <c r="AL229" s="32">
        <f t="shared" si="102"/>
        <v>0.80555555555555547</v>
      </c>
      <c r="AM229" s="7">
        <f t="shared" si="103"/>
        <v>0.66666666666666663</v>
      </c>
      <c r="AN229" s="7">
        <f t="shared" si="104"/>
        <v>0.78703703703703687</v>
      </c>
      <c r="AO229">
        <f>step3_validation[[#This Row],[AI_OUT1]]</f>
        <v>6</v>
      </c>
      <c r="AP229">
        <f t="shared" si="105"/>
        <v>0.55555555555555558</v>
      </c>
      <c r="AQ229">
        <f>[1]!survey_responses[[#This Row],[Sau khi xem xét các quyền lợi và nghĩa vụ, bạn có ủng hộ và tuân thủ chính sách mới hiện nay? - HUMAN-OUT1]]</f>
        <v>8</v>
      </c>
      <c r="AR229">
        <f t="shared" si="106"/>
        <v>0.77777777777777779</v>
      </c>
      <c r="AS229" s="32">
        <f t="shared" si="107"/>
        <v>2</v>
      </c>
    </row>
    <row r="230" spans="1:45" x14ac:dyDescent="0.45">
      <c r="A230">
        <f>step3_validation[[#This Row],[AI_ENF1]]</f>
        <v>8</v>
      </c>
      <c r="B230">
        <f t="shared" si="81"/>
        <v>0.77777777777777779</v>
      </c>
      <c r="C230">
        <f>[1]!survey_responses[[#This Row],[Tôi tin rằng với các quy định quản lý thuế hiện nay, hành vi gian lận hoặc trốn thuế sẽ dễ dàng bị phát hiện và xử lý nghiêm. - HUMAN-ENF1]]</f>
        <v>6</v>
      </c>
      <c r="D230">
        <f t="shared" si="82"/>
        <v>0.55555555555555558</v>
      </c>
      <c r="E230">
        <f>step3_validation[[#This Row],[AI_ENF2]]</f>
        <v>7</v>
      </c>
      <c r="F230">
        <f t="shared" si="83"/>
        <v>0.66666666666666663</v>
      </c>
      <c r="G230">
        <f>[1]!survey_responses[[#This Row],[Tôi tin rằng Nhà nước, cơ quan thuế có đủ khả năng và công nghệ để phát hiện, xử lý nghiêm các hành vi trốn thuế. - HUMAN-ENF2]]</f>
        <v>6</v>
      </c>
      <c r="H230">
        <f t="shared" si="84"/>
        <v>0.55555555555555558</v>
      </c>
      <c r="I230" s="32">
        <f t="shared" si="85"/>
        <v>0.72222222222222221</v>
      </c>
      <c r="J230" s="32">
        <f t="shared" si="86"/>
        <v>0.55555555555555558</v>
      </c>
      <c r="K230">
        <f>step3_validation[[#This Row],[AI_FAC1]]</f>
        <v>9</v>
      </c>
      <c r="L230">
        <f t="shared" si="87"/>
        <v>0.88888888888888884</v>
      </c>
      <c r="M230">
        <f>[1]!survey_responses[[#This Row],[Các thủ tục khai báo thuế VÀ/HOẶC quy trình làm việc với cơ quan thuế đơn giản, tiện lợi, nhanh chóng hơn so với trước đây. - HUMAN-FAC1]]</f>
        <v>6</v>
      </c>
      <c r="N230">
        <f t="shared" si="88"/>
        <v>0.55555555555555558</v>
      </c>
      <c r="O230">
        <f>step3_validation[[#This Row],[AI_FAC2]]</f>
        <v>8</v>
      </c>
      <c r="P230">
        <f t="shared" si="89"/>
        <v>0.77777777777777779</v>
      </c>
      <c r="Q230">
        <f>[1]!survey_responses[[#This Row],[So với trước đây, tôi thấy cách tính thuế và các bậc thuế trong phương án mới đơn giản, dễ hiểu và dễ thực hiện hơn. - HUMAN-FAC2]]</f>
        <v>6</v>
      </c>
      <c r="R230">
        <f t="shared" si="90"/>
        <v>0.55555555555555558</v>
      </c>
      <c r="S230" s="32">
        <f t="shared" si="91"/>
        <v>0.83333333333333326</v>
      </c>
      <c r="T230" s="32">
        <f t="shared" si="92"/>
        <v>0.55555555555555558</v>
      </c>
      <c r="U230">
        <f>step3_validation[[#This Row],[AI_TRU1]]</f>
        <v>7</v>
      </c>
      <c r="V230">
        <f t="shared" si="93"/>
        <v>0.66666666666666663</v>
      </c>
      <c r="W230">
        <f>[1]!survey_responses[[#This Row],[Tôi tin rằng Nhà nước, cơ quan thuế sẽ thực thi chính sách mới một cách khách quan, công tâm và đối xử bình đẳng với mọi người nộp thuế.  - HUMAN-TRU1]]</f>
        <v>6</v>
      </c>
      <c r="X230">
        <f t="shared" si="94"/>
        <v>0.55555555555555558</v>
      </c>
      <c r="Y230">
        <f>step3_validation[[#This Row],[AI_TRU2]]</f>
        <v>8</v>
      </c>
      <c r="Z230">
        <f t="shared" si="95"/>
        <v>0.77777777777777779</v>
      </c>
      <c r="AA230">
        <f>[1]!survey_responses[[#This Row],[Tôi thấy mức thuế tôi phải đóng theo phương án mới là công bằng (người thu nhập như tôi đóng mức này là hợp lý). - HUMAN-TRU2]]</f>
        <v>7</v>
      </c>
      <c r="AB230">
        <f t="shared" si="96"/>
        <v>0.66666666666666663</v>
      </c>
      <c r="AC230">
        <f>step3_validation[[#This Row],[AI_TRU3]]</f>
        <v>7</v>
      </c>
      <c r="AD230">
        <f t="shared" si="97"/>
        <v>0.66666666666666663</v>
      </c>
      <c r="AE230">
        <f>[1]!survey_responses[[#This Row],[Tôi tin tưởng số tiền thuế tôi đóng sẽ được Nhà nước sử dụng hiệu quả để cải thiện dịch vụ công (y tế, đường xá...). - HUMAN-TRU3]]</f>
        <v>6</v>
      </c>
      <c r="AF230">
        <f t="shared" si="98"/>
        <v>0.55555555555555558</v>
      </c>
      <c r="AG230">
        <f>step3_validation[[#This Row],[AI_TRU4]]</f>
        <v>6</v>
      </c>
      <c r="AH230">
        <f t="shared" si="99"/>
        <v>0.55555555555555558</v>
      </c>
      <c r="AI230">
        <f>[1]!survey_responses[[#This Row],[Tôi thấy Nhà nước đã giải thích rõ ràng, minh bạch về lý do và mục tiêu của việc sửa đổi thuế lần này. - HUMAN-TRU4]]</f>
        <v>6</v>
      </c>
      <c r="AJ230">
        <f t="shared" si="100"/>
        <v>0.55555555555555558</v>
      </c>
      <c r="AK230" s="32">
        <f t="shared" si="101"/>
        <v>0.66666666666666674</v>
      </c>
      <c r="AL230" s="32">
        <f t="shared" si="102"/>
        <v>0.58333333333333337</v>
      </c>
      <c r="AM230" s="7">
        <f t="shared" si="103"/>
        <v>0.74074074074074081</v>
      </c>
      <c r="AN230" s="7">
        <f t="shared" si="104"/>
        <v>0.56481481481481488</v>
      </c>
      <c r="AO230">
        <f>step3_validation[[#This Row],[AI_OUT1]]</f>
        <v>7</v>
      </c>
      <c r="AP230">
        <f t="shared" si="105"/>
        <v>0.66666666666666663</v>
      </c>
      <c r="AQ230">
        <f>[1]!survey_responses[[#This Row],[Sau khi xem xét các quyền lợi và nghĩa vụ, bạn có ủng hộ và tuân thủ chính sách mới hiện nay? - HUMAN-OUT1]]</f>
        <v>7</v>
      </c>
      <c r="AR230">
        <f t="shared" si="106"/>
        <v>0.66666666666666663</v>
      </c>
      <c r="AS230" s="32">
        <f t="shared" si="107"/>
        <v>0</v>
      </c>
    </row>
    <row r="231" spans="1:45" x14ac:dyDescent="0.45">
      <c r="A231">
        <f>step3_validation[[#This Row],[AI_ENF1]]</f>
        <v>7</v>
      </c>
      <c r="B231">
        <f t="shared" si="81"/>
        <v>0.66666666666666663</v>
      </c>
      <c r="C231">
        <f>[1]!survey_responses[[#This Row],[Tôi tin rằng với các quy định quản lý thuế hiện nay, hành vi gian lận hoặc trốn thuế sẽ dễ dàng bị phát hiện và xử lý nghiêm. - HUMAN-ENF1]]</f>
        <v>4</v>
      </c>
      <c r="D231">
        <f t="shared" si="82"/>
        <v>0.33333333333333331</v>
      </c>
      <c r="E231">
        <f>step3_validation[[#This Row],[AI_ENF2]]</f>
        <v>8</v>
      </c>
      <c r="F231">
        <f t="shared" si="83"/>
        <v>0.77777777777777779</v>
      </c>
      <c r="G231">
        <f>[1]!survey_responses[[#This Row],[Tôi tin rằng Nhà nước, cơ quan thuế có đủ khả năng và công nghệ để phát hiện, xử lý nghiêm các hành vi trốn thuế. - HUMAN-ENF2]]</f>
        <v>5</v>
      </c>
      <c r="H231">
        <f t="shared" si="84"/>
        <v>0.44444444444444442</v>
      </c>
      <c r="I231" s="32">
        <f t="shared" si="85"/>
        <v>0.72222222222222221</v>
      </c>
      <c r="J231" s="32">
        <f t="shared" si="86"/>
        <v>0.38888888888888884</v>
      </c>
      <c r="K231">
        <f>step3_validation[[#This Row],[AI_FAC1]]</f>
        <v>6</v>
      </c>
      <c r="L231">
        <f t="shared" si="87"/>
        <v>0.55555555555555558</v>
      </c>
      <c r="M231">
        <f>[1]!survey_responses[[#This Row],[Các thủ tục khai báo thuế VÀ/HOẶC quy trình làm việc với cơ quan thuế đơn giản, tiện lợi, nhanh chóng hơn so với trước đây. - HUMAN-FAC1]]</f>
        <v>1</v>
      </c>
      <c r="N231">
        <f t="shared" si="88"/>
        <v>0</v>
      </c>
      <c r="O231">
        <f>step3_validation[[#This Row],[AI_FAC2]]</f>
        <v>7</v>
      </c>
      <c r="P231">
        <f t="shared" si="89"/>
        <v>0.66666666666666663</v>
      </c>
      <c r="Q231">
        <f>[1]!survey_responses[[#This Row],[So với trước đây, tôi thấy cách tính thuế và các bậc thuế trong phương án mới đơn giản, dễ hiểu và dễ thực hiện hơn. - HUMAN-FAC2]]</f>
        <v>6</v>
      </c>
      <c r="R231">
        <f t="shared" si="90"/>
        <v>0.55555555555555558</v>
      </c>
      <c r="S231" s="32">
        <f t="shared" si="91"/>
        <v>0.61111111111111116</v>
      </c>
      <c r="T231" s="32">
        <f t="shared" si="92"/>
        <v>0.27777777777777779</v>
      </c>
      <c r="U231">
        <f>step3_validation[[#This Row],[AI_TRU1]]</f>
        <v>8</v>
      </c>
      <c r="V231">
        <f t="shared" si="93"/>
        <v>0.77777777777777779</v>
      </c>
      <c r="W231">
        <f>[1]!survey_responses[[#This Row],[Tôi tin rằng Nhà nước, cơ quan thuế sẽ thực thi chính sách mới một cách khách quan, công tâm và đối xử bình đẳng với mọi người nộp thuế.  - HUMAN-TRU1]]</f>
        <v>4</v>
      </c>
      <c r="X231">
        <f t="shared" si="94"/>
        <v>0.33333333333333331</v>
      </c>
      <c r="Y231">
        <f>step3_validation[[#This Row],[AI_TRU2]]</f>
        <v>7</v>
      </c>
      <c r="Z231">
        <f t="shared" si="95"/>
        <v>0.66666666666666663</v>
      </c>
      <c r="AA231">
        <f>[1]!survey_responses[[#This Row],[Tôi thấy mức thuế tôi phải đóng theo phương án mới là công bằng (người thu nhập như tôi đóng mức này là hợp lý). - HUMAN-TRU2]]</f>
        <v>4</v>
      </c>
      <c r="AB231">
        <f t="shared" si="96"/>
        <v>0.33333333333333331</v>
      </c>
      <c r="AC231">
        <f>step3_validation[[#This Row],[AI_TRU3]]</f>
        <v>6</v>
      </c>
      <c r="AD231">
        <f t="shared" si="97"/>
        <v>0.55555555555555558</v>
      </c>
      <c r="AE231">
        <f>[1]!survey_responses[[#This Row],[Tôi tin tưởng số tiền thuế tôi đóng sẽ được Nhà nước sử dụng hiệu quả để cải thiện dịch vụ công (y tế, đường xá...). - HUMAN-TRU3]]</f>
        <v>5</v>
      </c>
      <c r="AF231">
        <f t="shared" si="98"/>
        <v>0.44444444444444442</v>
      </c>
      <c r="AG231">
        <f>step3_validation[[#This Row],[AI_TRU4]]</f>
        <v>7</v>
      </c>
      <c r="AH231">
        <f t="shared" si="99"/>
        <v>0.66666666666666663</v>
      </c>
      <c r="AI231">
        <f>[1]!survey_responses[[#This Row],[Tôi thấy Nhà nước đã giải thích rõ ràng, minh bạch về lý do và mục tiêu của việc sửa đổi thuế lần này. - HUMAN-TRU4]]</f>
        <v>5</v>
      </c>
      <c r="AJ231">
        <f t="shared" si="100"/>
        <v>0.44444444444444442</v>
      </c>
      <c r="AK231" s="32">
        <f t="shared" si="101"/>
        <v>0.66666666666666663</v>
      </c>
      <c r="AL231" s="32">
        <f t="shared" si="102"/>
        <v>0.3888888888888889</v>
      </c>
      <c r="AM231" s="7">
        <f t="shared" si="103"/>
        <v>0.66666666666666663</v>
      </c>
      <c r="AN231" s="7">
        <f t="shared" si="104"/>
        <v>0.35185185185185186</v>
      </c>
      <c r="AO231">
        <f>step3_validation[[#This Row],[AI_OUT1]]</f>
        <v>7</v>
      </c>
      <c r="AP231">
        <f t="shared" si="105"/>
        <v>0.66666666666666663</v>
      </c>
      <c r="AQ231">
        <f>[1]!survey_responses[[#This Row],[Sau khi xem xét các quyền lợi và nghĩa vụ, bạn có ủng hộ và tuân thủ chính sách mới hiện nay? - HUMAN-OUT1]]</f>
        <v>5</v>
      </c>
      <c r="AR231">
        <f t="shared" si="106"/>
        <v>0.44444444444444442</v>
      </c>
      <c r="AS231" s="32">
        <f t="shared" si="107"/>
        <v>2</v>
      </c>
    </row>
    <row r="232" spans="1:45" x14ac:dyDescent="0.45">
      <c r="A232">
        <f>step3_validation[[#This Row],[AI_ENF1]]</f>
        <v>7</v>
      </c>
      <c r="B232">
        <f t="shared" si="81"/>
        <v>0.66666666666666663</v>
      </c>
      <c r="C232">
        <f>[1]!survey_responses[[#This Row],[Tôi tin rằng với các quy định quản lý thuế hiện nay, hành vi gian lận hoặc trốn thuế sẽ dễ dàng bị phát hiện và xử lý nghiêm. - HUMAN-ENF1]]</f>
        <v>8</v>
      </c>
      <c r="D232">
        <f t="shared" si="82"/>
        <v>0.77777777777777779</v>
      </c>
      <c r="E232">
        <f>step3_validation[[#This Row],[AI_ENF2]]</f>
        <v>6</v>
      </c>
      <c r="F232">
        <f t="shared" si="83"/>
        <v>0.55555555555555558</v>
      </c>
      <c r="G232">
        <f>[1]!survey_responses[[#This Row],[Tôi tin rằng Nhà nước, cơ quan thuế có đủ khả năng và công nghệ để phát hiện, xử lý nghiêm các hành vi trốn thuế. - HUMAN-ENF2]]</f>
        <v>8</v>
      </c>
      <c r="H232">
        <f t="shared" si="84"/>
        <v>0.77777777777777779</v>
      </c>
      <c r="I232" s="32">
        <f t="shared" si="85"/>
        <v>0.61111111111111116</v>
      </c>
      <c r="J232" s="32">
        <f t="shared" si="86"/>
        <v>0.77777777777777779</v>
      </c>
      <c r="K232">
        <f>step3_validation[[#This Row],[AI_FAC1]]</f>
        <v>8</v>
      </c>
      <c r="L232">
        <f t="shared" si="87"/>
        <v>0.77777777777777779</v>
      </c>
      <c r="M232">
        <f>[1]!survey_responses[[#This Row],[Các thủ tục khai báo thuế VÀ/HOẶC quy trình làm việc với cơ quan thuế đơn giản, tiện lợi, nhanh chóng hơn so với trước đây. - HUMAN-FAC1]]</f>
        <v>8</v>
      </c>
      <c r="N232">
        <f t="shared" si="88"/>
        <v>0.77777777777777779</v>
      </c>
      <c r="O232">
        <f>step3_validation[[#This Row],[AI_FAC2]]</f>
        <v>9</v>
      </c>
      <c r="P232">
        <f t="shared" si="89"/>
        <v>0.88888888888888884</v>
      </c>
      <c r="Q232">
        <f>[1]!survey_responses[[#This Row],[So với trước đây, tôi thấy cách tính thuế và các bậc thuế trong phương án mới đơn giản, dễ hiểu và dễ thực hiện hơn. - HUMAN-FAC2]]</f>
        <v>8</v>
      </c>
      <c r="R232">
        <f t="shared" si="90"/>
        <v>0.77777777777777779</v>
      </c>
      <c r="S232" s="32">
        <f t="shared" si="91"/>
        <v>0.83333333333333326</v>
      </c>
      <c r="T232" s="32">
        <f t="shared" si="92"/>
        <v>0.77777777777777779</v>
      </c>
      <c r="U232">
        <f>step3_validation[[#This Row],[AI_TRU1]]</f>
        <v>8</v>
      </c>
      <c r="V232">
        <f t="shared" si="93"/>
        <v>0.77777777777777779</v>
      </c>
      <c r="W232">
        <f>[1]!survey_responses[[#This Row],[Tôi tin rằng Nhà nước, cơ quan thuế sẽ thực thi chính sách mới một cách khách quan, công tâm và đối xử bình đẳng với mọi người nộp thuế.  - HUMAN-TRU1]]</f>
        <v>7</v>
      </c>
      <c r="X232">
        <f t="shared" si="94"/>
        <v>0.66666666666666663</v>
      </c>
      <c r="Y232">
        <f>step3_validation[[#This Row],[AI_TRU2]]</f>
        <v>7</v>
      </c>
      <c r="Z232">
        <f t="shared" si="95"/>
        <v>0.66666666666666663</v>
      </c>
      <c r="AA232">
        <f>[1]!survey_responses[[#This Row],[Tôi thấy mức thuế tôi phải đóng theo phương án mới là công bằng (người thu nhập như tôi đóng mức này là hợp lý). - HUMAN-TRU2]]</f>
        <v>7</v>
      </c>
      <c r="AB232">
        <f t="shared" si="96"/>
        <v>0.66666666666666663</v>
      </c>
      <c r="AC232">
        <f>step3_validation[[#This Row],[AI_TRU3]]</f>
        <v>7</v>
      </c>
      <c r="AD232">
        <f t="shared" si="97"/>
        <v>0.66666666666666663</v>
      </c>
      <c r="AE232">
        <f>[1]!survey_responses[[#This Row],[Tôi tin tưởng số tiền thuế tôi đóng sẽ được Nhà nước sử dụng hiệu quả để cải thiện dịch vụ công (y tế, đường xá...). - HUMAN-TRU3]]</f>
        <v>8</v>
      </c>
      <c r="AF232">
        <f t="shared" si="98"/>
        <v>0.77777777777777779</v>
      </c>
      <c r="AG232">
        <f>step3_validation[[#This Row],[AI_TRU4]]</f>
        <v>8</v>
      </c>
      <c r="AH232">
        <f t="shared" si="99"/>
        <v>0.77777777777777779</v>
      </c>
      <c r="AI232">
        <f>[1]!survey_responses[[#This Row],[Tôi thấy Nhà nước đã giải thích rõ ràng, minh bạch về lý do và mục tiêu của việc sửa đổi thuế lần này. - HUMAN-TRU4]]</f>
        <v>7</v>
      </c>
      <c r="AJ232">
        <f t="shared" si="100"/>
        <v>0.66666666666666663</v>
      </c>
      <c r="AK232" s="32">
        <f t="shared" si="101"/>
        <v>0.72222222222222221</v>
      </c>
      <c r="AL232" s="32">
        <f t="shared" si="102"/>
        <v>0.69444444444444442</v>
      </c>
      <c r="AM232" s="7">
        <f t="shared" si="103"/>
        <v>0.72222222222222221</v>
      </c>
      <c r="AN232" s="7">
        <f t="shared" si="104"/>
        <v>0.75</v>
      </c>
      <c r="AO232">
        <f>step3_validation[[#This Row],[AI_OUT1]]</f>
        <v>8</v>
      </c>
      <c r="AP232">
        <f t="shared" si="105"/>
        <v>0.77777777777777779</v>
      </c>
      <c r="AQ232">
        <f>[1]!survey_responses[[#This Row],[Sau khi xem xét các quyền lợi và nghĩa vụ, bạn có ủng hộ và tuân thủ chính sách mới hiện nay? - HUMAN-OUT1]]</f>
        <v>8</v>
      </c>
      <c r="AR232">
        <f t="shared" si="106"/>
        <v>0.77777777777777779</v>
      </c>
      <c r="AS232" s="32">
        <f t="shared" si="107"/>
        <v>0</v>
      </c>
    </row>
    <row r="233" spans="1:45" x14ac:dyDescent="0.45">
      <c r="A233">
        <f>step3_validation[[#This Row],[AI_ENF1]]</f>
        <v>8</v>
      </c>
      <c r="B233">
        <f t="shared" si="81"/>
        <v>0.77777777777777779</v>
      </c>
      <c r="C233">
        <f>[1]!survey_responses[[#This Row],[Tôi tin rằng với các quy định quản lý thuế hiện nay, hành vi gian lận hoặc trốn thuế sẽ dễ dàng bị phát hiện và xử lý nghiêm. - HUMAN-ENF1]]</f>
        <v>6</v>
      </c>
      <c r="D233">
        <f t="shared" si="82"/>
        <v>0.55555555555555558</v>
      </c>
      <c r="E233">
        <f>step3_validation[[#This Row],[AI_ENF2]]</f>
        <v>7</v>
      </c>
      <c r="F233">
        <f t="shared" si="83"/>
        <v>0.66666666666666663</v>
      </c>
      <c r="G233">
        <f>[1]!survey_responses[[#This Row],[Tôi tin rằng Nhà nước, cơ quan thuế có đủ khả năng và công nghệ để phát hiện, xử lý nghiêm các hành vi trốn thuế. - HUMAN-ENF2]]</f>
        <v>6</v>
      </c>
      <c r="H233">
        <f t="shared" si="84"/>
        <v>0.55555555555555558</v>
      </c>
      <c r="I233" s="32">
        <f t="shared" si="85"/>
        <v>0.72222222222222221</v>
      </c>
      <c r="J233" s="32">
        <f t="shared" si="86"/>
        <v>0.55555555555555558</v>
      </c>
      <c r="K233">
        <f>step3_validation[[#This Row],[AI_FAC1]]</f>
        <v>9</v>
      </c>
      <c r="L233">
        <f t="shared" si="87"/>
        <v>0.88888888888888884</v>
      </c>
      <c r="M233">
        <f>[1]!survey_responses[[#This Row],[Các thủ tục khai báo thuế VÀ/HOẶC quy trình làm việc với cơ quan thuế đơn giản, tiện lợi, nhanh chóng hơn so với trước đây. - HUMAN-FAC1]]</f>
        <v>6</v>
      </c>
      <c r="N233">
        <f t="shared" si="88"/>
        <v>0.55555555555555558</v>
      </c>
      <c r="O233">
        <f>step3_validation[[#This Row],[AI_FAC2]]</f>
        <v>8</v>
      </c>
      <c r="P233">
        <f t="shared" si="89"/>
        <v>0.77777777777777779</v>
      </c>
      <c r="Q233">
        <f>[1]!survey_responses[[#This Row],[So với trước đây, tôi thấy cách tính thuế và các bậc thuế trong phương án mới đơn giản, dễ hiểu và dễ thực hiện hơn. - HUMAN-FAC2]]</f>
        <v>6</v>
      </c>
      <c r="R233">
        <f t="shared" si="90"/>
        <v>0.55555555555555558</v>
      </c>
      <c r="S233" s="32">
        <f t="shared" si="91"/>
        <v>0.83333333333333326</v>
      </c>
      <c r="T233" s="32">
        <f t="shared" si="92"/>
        <v>0.55555555555555558</v>
      </c>
      <c r="U233">
        <f>step3_validation[[#This Row],[AI_TRU1]]</f>
        <v>7</v>
      </c>
      <c r="V233">
        <f t="shared" si="93"/>
        <v>0.66666666666666663</v>
      </c>
      <c r="W233">
        <f>[1]!survey_responses[[#This Row],[Tôi tin rằng Nhà nước, cơ quan thuế sẽ thực thi chính sách mới một cách khách quan, công tâm và đối xử bình đẳng với mọi người nộp thuế.  - HUMAN-TRU1]]</f>
        <v>6</v>
      </c>
      <c r="X233">
        <f t="shared" si="94"/>
        <v>0.55555555555555558</v>
      </c>
      <c r="Y233">
        <f>step3_validation[[#This Row],[AI_TRU2]]</f>
        <v>6</v>
      </c>
      <c r="Z233">
        <f t="shared" si="95"/>
        <v>0.55555555555555558</v>
      </c>
      <c r="AA233">
        <f>[1]!survey_responses[[#This Row],[Tôi thấy mức thuế tôi phải đóng theo phương án mới là công bằng (người thu nhập như tôi đóng mức này là hợp lý). - HUMAN-TRU2]]</f>
        <v>6</v>
      </c>
      <c r="AB233">
        <f t="shared" si="96"/>
        <v>0.55555555555555558</v>
      </c>
      <c r="AC233">
        <f>step3_validation[[#This Row],[AI_TRU3]]</f>
        <v>6</v>
      </c>
      <c r="AD233">
        <f t="shared" si="97"/>
        <v>0.55555555555555558</v>
      </c>
      <c r="AE233">
        <f>[1]!survey_responses[[#This Row],[Tôi tin tưởng số tiền thuế tôi đóng sẽ được Nhà nước sử dụng hiệu quả để cải thiện dịch vụ công (y tế, đường xá...). - HUMAN-TRU3]]</f>
        <v>6</v>
      </c>
      <c r="AF233">
        <f t="shared" si="98"/>
        <v>0.55555555555555558</v>
      </c>
      <c r="AG233">
        <f>step3_validation[[#This Row],[AI_TRU4]]</f>
        <v>5</v>
      </c>
      <c r="AH233">
        <f t="shared" si="99"/>
        <v>0.44444444444444442</v>
      </c>
      <c r="AI233">
        <f>[1]!survey_responses[[#This Row],[Tôi thấy Nhà nước đã giải thích rõ ràng, minh bạch về lý do và mục tiêu của việc sửa đổi thuế lần này. - HUMAN-TRU4]]</f>
        <v>6</v>
      </c>
      <c r="AJ233">
        <f t="shared" si="100"/>
        <v>0.55555555555555558</v>
      </c>
      <c r="AK233" s="32">
        <f t="shared" si="101"/>
        <v>0.55555555555555558</v>
      </c>
      <c r="AL233" s="32">
        <f t="shared" si="102"/>
        <v>0.55555555555555558</v>
      </c>
      <c r="AM233" s="7">
        <f t="shared" si="103"/>
        <v>0.70370370370370361</v>
      </c>
      <c r="AN233" s="7">
        <f t="shared" si="104"/>
        <v>0.55555555555555558</v>
      </c>
      <c r="AO233">
        <f>step3_validation[[#This Row],[AI_OUT1]]</f>
        <v>8</v>
      </c>
      <c r="AP233">
        <f t="shared" si="105"/>
        <v>0.77777777777777779</v>
      </c>
      <c r="AQ233">
        <f>[1]!survey_responses[[#This Row],[Sau khi xem xét các quyền lợi và nghĩa vụ, bạn có ủng hộ và tuân thủ chính sách mới hiện nay? - HUMAN-OUT1]]</f>
        <v>6</v>
      </c>
      <c r="AR233">
        <f t="shared" si="106"/>
        <v>0.55555555555555558</v>
      </c>
      <c r="AS233" s="32">
        <f t="shared" si="107"/>
        <v>2</v>
      </c>
    </row>
    <row r="234" spans="1:45" x14ac:dyDescent="0.45">
      <c r="A234">
        <f>step3_validation[[#This Row],[AI_ENF1]]</f>
        <v>7</v>
      </c>
      <c r="B234">
        <f t="shared" si="81"/>
        <v>0.66666666666666663</v>
      </c>
      <c r="C234">
        <f>[1]!survey_responses[[#This Row],[Tôi tin rằng với các quy định quản lý thuế hiện nay, hành vi gian lận hoặc trốn thuế sẽ dễ dàng bị phát hiện và xử lý nghiêm. - HUMAN-ENF1]]</f>
        <v>8</v>
      </c>
      <c r="D234">
        <f t="shared" si="82"/>
        <v>0.77777777777777779</v>
      </c>
      <c r="E234">
        <f>step3_validation[[#This Row],[AI_ENF2]]</f>
        <v>6</v>
      </c>
      <c r="F234">
        <f t="shared" si="83"/>
        <v>0.55555555555555558</v>
      </c>
      <c r="G234">
        <f>[1]!survey_responses[[#This Row],[Tôi tin rằng Nhà nước, cơ quan thuế có đủ khả năng và công nghệ để phát hiện, xử lý nghiêm các hành vi trốn thuế. - HUMAN-ENF2]]</f>
        <v>8</v>
      </c>
      <c r="H234">
        <f t="shared" si="84"/>
        <v>0.77777777777777779</v>
      </c>
      <c r="I234" s="32">
        <f t="shared" si="85"/>
        <v>0.61111111111111116</v>
      </c>
      <c r="J234" s="32">
        <f t="shared" si="86"/>
        <v>0.77777777777777779</v>
      </c>
      <c r="K234">
        <f>step3_validation[[#This Row],[AI_FAC1]]</f>
        <v>8</v>
      </c>
      <c r="L234">
        <f t="shared" si="87"/>
        <v>0.77777777777777779</v>
      </c>
      <c r="M234">
        <f>[1]!survey_responses[[#This Row],[Các thủ tục khai báo thuế VÀ/HOẶC quy trình làm việc với cơ quan thuế đơn giản, tiện lợi, nhanh chóng hơn so với trước đây. - HUMAN-FAC1]]</f>
        <v>8</v>
      </c>
      <c r="N234">
        <f t="shared" si="88"/>
        <v>0.77777777777777779</v>
      </c>
      <c r="O234">
        <f>step3_validation[[#This Row],[AI_FAC2]]</f>
        <v>7</v>
      </c>
      <c r="P234">
        <f t="shared" si="89"/>
        <v>0.66666666666666663</v>
      </c>
      <c r="Q234">
        <f>[1]!survey_responses[[#This Row],[So với trước đây, tôi thấy cách tính thuế và các bậc thuế trong phương án mới đơn giản, dễ hiểu và dễ thực hiện hơn. - HUMAN-FAC2]]</f>
        <v>8</v>
      </c>
      <c r="R234">
        <f t="shared" si="90"/>
        <v>0.77777777777777779</v>
      </c>
      <c r="S234" s="32">
        <f t="shared" si="91"/>
        <v>0.72222222222222221</v>
      </c>
      <c r="T234" s="32">
        <f t="shared" si="92"/>
        <v>0.77777777777777779</v>
      </c>
      <c r="U234">
        <f>step3_validation[[#This Row],[AI_TRU1]]</f>
        <v>8</v>
      </c>
      <c r="V234">
        <f t="shared" si="93"/>
        <v>0.77777777777777779</v>
      </c>
      <c r="W234">
        <f>[1]!survey_responses[[#This Row],[Tôi tin rằng Nhà nước, cơ quan thuế sẽ thực thi chính sách mới một cách khách quan, công tâm và đối xử bình đẳng với mọi người nộp thuế.  - HUMAN-TRU1]]</f>
        <v>9</v>
      </c>
      <c r="X234">
        <f t="shared" si="94"/>
        <v>0.88888888888888884</v>
      </c>
      <c r="Y234">
        <f>step3_validation[[#This Row],[AI_TRU2]]</f>
        <v>9</v>
      </c>
      <c r="Z234">
        <f t="shared" si="95"/>
        <v>0.88888888888888884</v>
      </c>
      <c r="AA234">
        <f>[1]!survey_responses[[#This Row],[Tôi thấy mức thuế tôi phải đóng theo phương án mới là công bằng (người thu nhập như tôi đóng mức này là hợp lý). - HUMAN-TRU2]]</f>
        <v>8</v>
      </c>
      <c r="AB234">
        <f t="shared" si="96"/>
        <v>0.77777777777777779</v>
      </c>
      <c r="AC234">
        <f>step3_validation[[#This Row],[AI_TRU3]]</f>
        <v>7</v>
      </c>
      <c r="AD234">
        <f t="shared" si="97"/>
        <v>0.66666666666666663</v>
      </c>
      <c r="AE234">
        <f>[1]!survey_responses[[#This Row],[Tôi tin tưởng số tiền thuế tôi đóng sẽ được Nhà nước sử dụng hiệu quả để cải thiện dịch vụ công (y tế, đường xá...). - HUMAN-TRU3]]</f>
        <v>8</v>
      </c>
      <c r="AF234">
        <f t="shared" si="98"/>
        <v>0.77777777777777779</v>
      </c>
      <c r="AG234">
        <f>step3_validation[[#This Row],[AI_TRU4]]</f>
        <v>6</v>
      </c>
      <c r="AH234">
        <f t="shared" si="99"/>
        <v>0.55555555555555558</v>
      </c>
      <c r="AI234">
        <f>[1]!survey_responses[[#This Row],[Tôi thấy Nhà nước đã giải thích rõ ràng, minh bạch về lý do và mục tiêu của việc sửa đổi thuế lần này. - HUMAN-TRU4]]</f>
        <v>8</v>
      </c>
      <c r="AJ234">
        <f t="shared" si="100"/>
        <v>0.77777777777777779</v>
      </c>
      <c r="AK234" s="32">
        <f t="shared" si="101"/>
        <v>0.7222222222222221</v>
      </c>
      <c r="AL234" s="32">
        <f t="shared" si="102"/>
        <v>0.80555555555555547</v>
      </c>
      <c r="AM234" s="7">
        <f t="shared" si="103"/>
        <v>0.68518518518518512</v>
      </c>
      <c r="AN234" s="7">
        <f t="shared" si="104"/>
        <v>0.78703703703703709</v>
      </c>
      <c r="AO234">
        <f>step3_validation[[#This Row],[AI_OUT1]]</f>
        <v>7</v>
      </c>
      <c r="AP234">
        <f t="shared" si="105"/>
        <v>0.66666666666666663</v>
      </c>
      <c r="AQ234">
        <f>[1]!survey_responses[[#This Row],[Sau khi xem xét các quyền lợi và nghĩa vụ, bạn có ủng hộ và tuân thủ chính sách mới hiện nay? - HUMAN-OUT1]]</f>
        <v>10</v>
      </c>
      <c r="AR234">
        <f t="shared" si="106"/>
        <v>1</v>
      </c>
      <c r="AS234" s="32">
        <f t="shared" si="107"/>
        <v>3</v>
      </c>
    </row>
    <row r="235" spans="1:45" x14ac:dyDescent="0.45">
      <c r="A235">
        <f>step3_validation[[#This Row],[AI_ENF1]]</f>
        <v>6</v>
      </c>
      <c r="B235">
        <f t="shared" si="81"/>
        <v>0.55555555555555558</v>
      </c>
      <c r="C235">
        <f>[1]!survey_responses[[#This Row],[Tôi tin rằng với các quy định quản lý thuế hiện nay, hành vi gian lận hoặc trốn thuế sẽ dễ dàng bị phát hiện và xử lý nghiêm. - HUMAN-ENF1]]</f>
        <v>4</v>
      </c>
      <c r="D235">
        <f t="shared" si="82"/>
        <v>0.33333333333333331</v>
      </c>
      <c r="E235">
        <f>step3_validation[[#This Row],[AI_ENF2]]</f>
        <v>7</v>
      </c>
      <c r="F235">
        <f t="shared" si="83"/>
        <v>0.66666666666666663</v>
      </c>
      <c r="G235">
        <f>[1]!survey_responses[[#This Row],[Tôi tin rằng Nhà nước, cơ quan thuế có đủ khả năng và công nghệ để phát hiện, xử lý nghiêm các hành vi trốn thuế. - HUMAN-ENF2]]</f>
        <v>4</v>
      </c>
      <c r="H235">
        <f t="shared" si="84"/>
        <v>0.33333333333333331</v>
      </c>
      <c r="I235" s="32">
        <f t="shared" si="85"/>
        <v>0.61111111111111116</v>
      </c>
      <c r="J235" s="32">
        <f t="shared" si="86"/>
        <v>0.33333333333333331</v>
      </c>
      <c r="K235">
        <f>step3_validation[[#This Row],[AI_FAC1]]</f>
        <v>8</v>
      </c>
      <c r="L235">
        <f t="shared" si="87"/>
        <v>0.77777777777777779</v>
      </c>
      <c r="M235">
        <f>[1]!survey_responses[[#This Row],[Các thủ tục khai báo thuế VÀ/HOẶC quy trình làm việc với cơ quan thuế đơn giản, tiện lợi, nhanh chóng hơn so với trước đây. - HUMAN-FAC1]]</f>
        <v>4</v>
      </c>
      <c r="N235">
        <f t="shared" si="88"/>
        <v>0.33333333333333331</v>
      </c>
      <c r="O235">
        <f>step3_validation[[#This Row],[AI_FAC2]]</f>
        <v>7</v>
      </c>
      <c r="P235">
        <f t="shared" si="89"/>
        <v>0.66666666666666663</v>
      </c>
      <c r="Q235">
        <f>[1]!survey_responses[[#This Row],[So với trước đây, tôi thấy cách tính thuế và các bậc thuế trong phương án mới đơn giản, dễ hiểu và dễ thực hiện hơn. - HUMAN-FAC2]]</f>
        <v>4</v>
      </c>
      <c r="R235">
        <f t="shared" si="90"/>
        <v>0.33333333333333331</v>
      </c>
      <c r="S235" s="32">
        <f t="shared" si="91"/>
        <v>0.72222222222222221</v>
      </c>
      <c r="T235" s="32">
        <f t="shared" si="92"/>
        <v>0.33333333333333331</v>
      </c>
      <c r="U235">
        <f>step3_validation[[#This Row],[AI_TRU1]]</f>
        <v>8</v>
      </c>
      <c r="V235">
        <f t="shared" si="93"/>
        <v>0.77777777777777779</v>
      </c>
      <c r="W235">
        <f>[1]!survey_responses[[#This Row],[Tôi tin rằng Nhà nước, cơ quan thuế sẽ thực thi chính sách mới một cách khách quan, công tâm và đối xử bình đẳng với mọi người nộp thuế.  - HUMAN-TRU1]]</f>
        <v>1</v>
      </c>
      <c r="X235">
        <f t="shared" si="94"/>
        <v>0</v>
      </c>
      <c r="Y235">
        <f>step3_validation[[#This Row],[AI_TRU2]]</f>
        <v>9</v>
      </c>
      <c r="Z235">
        <f t="shared" si="95"/>
        <v>0.88888888888888884</v>
      </c>
      <c r="AA235">
        <f>[1]!survey_responses[[#This Row],[Tôi thấy mức thuế tôi phải đóng theo phương án mới là công bằng (người thu nhập như tôi đóng mức này là hợp lý). - HUMAN-TRU2]]</f>
        <v>3</v>
      </c>
      <c r="AB235">
        <f t="shared" si="96"/>
        <v>0.22222222222222221</v>
      </c>
      <c r="AC235">
        <f>step3_validation[[#This Row],[AI_TRU3]]</f>
        <v>7</v>
      </c>
      <c r="AD235">
        <f t="shared" si="97"/>
        <v>0.66666666666666663</v>
      </c>
      <c r="AE235">
        <f>[1]!survey_responses[[#This Row],[Tôi tin tưởng số tiền thuế tôi đóng sẽ được Nhà nước sử dụng hiệu quả để cải thiện dịch vụ công (y tế, đường xá...). - HUMAN-TRU3]]</f>
        <v>1</v>
      </c>
      <c r="AF235">
        <f t="shared" si="98"/>
        <v>0</v>
      </c>
      <c r="AG235">
        <f>step3_validation[[#This Row],[AI_TRU4]]</f>
        <v>8</v>
      </c>
      <c r="AH235">
        <f t="shared" si="99"/>
        <v>0.77777777777777779</v>
      </c>
      <c r="AI235">
        <f>[1]!survey_responses[[#This Row],[Tôi thấy Nhà nước đã giải thích rõ ràng, minh bạch về lý do và mục tiêu của việc sửa đổi thuế lần này. - HUMAN-TRU4]]</f>
        <v>1</v>
      </c>
      <c r="AJ235">
        <f t="shared" si="100"/>
        <v>0</v>
      </c>
      <c r="AK235" s="32">
        <f t="shared" si="101"/>
        <v>0.77777777777777768</v>
      </c>
      <c r="AL235" s="32">
        <f t="shared" si="102"/>
        <v>5.5555555555555552E-2</v>
      </c>
      <c r="AM235" s="7">
        <f t="shared" si="103"/>
        <v>0.70370370370370372</v>
      </c>
      <c r="AN235" s="7">
        <f t="shared" si="104"/>
        <v>0.24074074074074073</v>
      </c>
      <c r="AO235">
        <f>step3_validation[[#This Row],[AI_OUT1]]</f>
        <v>9</v>
      </c>
      <c r="AP235">
        <f t="shared" si="105"/>
        <v>0.88888888888888884</v>
      </c>
      <c r="AQ235">
        <f>[1]!survey_responses[[#This Row],[Sau khi xem xét các quyền lợi và nghĩa vụ, bạn có ủng hộ và tuân thủ chính sách mới hiện nay? - HUMAN-OUT1]]</f>
        <v>1</v>
      </c>
      <c r="AR235">
        <f t="shared" si="106"/>
        <v>0</v>
      </c>
      <c r="AS235" s="32">
        <f t="shared" si="107"/>
        <v>8</v>
      </c>
    </row>
    <row r="236" spans="1:45" x14ac:dyDescent="0.45">
      <c r="A236">
        <f>step3_validation[[#This Row],[AI_ENF1]]</f>
        <v>8</v>
      </c>
      <c r="B236">
        <f t="shared" si="81"/>
        <v>0.77777777777777779</v>
      </c>
      <c r="C236">
        <f>[1]!survey_responses[[#This Row],[Tôi tin rằng với các quy định quản lý thuế hiện nay, hành vi gian lận hoặc trốn thuế sẽ dễ dàng bị phát hiện và xử lý nghiêm. - HUMAN-ENF1]]</f>
        <v>6</v>
      </c>
      <c r="D236">
        <f t="shared" si="82"/>
        <v>0.55555555555555558</v>
      </c>
      <c r="E236">
        <f>step3_validation[[#This Row],[AI_ENF2]]</f>
        <v>7</v>
      </c>
      <c r="F236">
        <f t="shared" si="83"/>
        <v>0.66666666666666663</v>
      </c>
      <c r="G236">
        <f>[1]!survey_responses[[#This Row],[Tôi tin rằng Nhà nước, cơ quan thuế có đủ khả năng và công nghệ để phát hiện, xử lý nghiêm các hành vi trốn thuế. - HUMAN-ENF2]]</f>
        <v>6</v>
      </c>
      <c r="H236">
        <f t="shared" si="84"/>
        <v>0.55555555555555558</v>
      </c>
      <c r="I236" s="32">
        <f t="shared" si="85"/>
        <v>0.72222222222222221</v>
      </c>
      <c r="J236" s="32">
        <f t="shared" si="86"/>
        <v>0.55555555555555558</v>
      </c>
      <c r="K236">
        <f>step3_validation[[#This Row],[AI_FAC1]]</f>
        <v>9</v>
      </c>
      <c r="L236">
        <f t="shared" si="87"/>
        <v>0.88888888888888884</v>
      </c>
      <c r="M236">
        <f>[1]!survey_responses[[#This Row],[Các thủ tục khai báo thuế VÀ/HOẶC quy trình làm việc với cơ quan thuế đơn giản, tiện lợi, nhanh chóng hơn so với trước đây. - HUMAN-FAC1]]</f>
        <v>1</v>
      </c>
      <c r="N236">
        <f t="shared" si="88"/>
        <v>0</v>
      </c>
      <c r="O236">
        <f>step3_validation[[#This Row],[AI_FAC2]]</f>
        <v>8</v>
      </c>
      <c r="P236">
        <f t="shared" si="89"/>
        <v>0.77777777777777779</v>
      </c>
      <c r="Q236">
        <f>[1]!survey_responses[[#This Row],[So với trước đây, tôi thấy cách tính thuế và các bậc thuế trong phương án mới đơn giản, dễ hiểu và dễ thực hiện hơn. - HUMAN-FAC2]]</f>
        <v>6</v>
      </c>
      <c r="R236">
        <f t="shared" si="90"/>
        <v>0.55555555555555558</v>
      </c>
      <c r="S236" s="32">
        <f t="shared" si="91"/>
        <v>0.83333333333333326</v>
      </c>
      <c r="T236" s="32">
        <f t="shared" si="92"/>
        <v>0.27777777777777779</v>
      </c>
      <c r="U236">
        <f>step3_validation[[#This Row],[AI_TRU1]]</f>
        <v>6</v>
      </c>
      <c r="V236">
        <f t="shared" si="93"/>
        <v>0.55555555555555558</v>
      </c>
      <c r="W236">
        <f>[1]!survey_responses[[#This Row],[Tôi tin rằng Nhà nước, cơ quan thuế sẽ thực thi chính sách mới một cách khách quan, công tâm và đối xử bình đẳng với mọi người nộp thuế.  - HUMAN-TRU1]]</f>
        <v>5</v>
      </c>
      <c r="X236">
        <f t="shared" si="94"/>
        <v>0.44444444444444442</v>
      </c>
      <c r="Y236">
        <f>step3_validation[[#This Row],[AI_TRU2]]</f>
        <v>7</v>
      </c>
      <c r="Z236">
        <f t="shared" si="95"/>
        <v>0.66666666666666663</v>
      </c>
      <c r="AA236">
        <f>[1]!survey_responses[[#This Row],[Tôi thấy mức thuế tôi phải đóng theo phương án mới là công bằng (người thu nhập như tôi đóng mức này là hợp lý). - HUMAN-TRU2]]</f>
        <v>6</v>
      </c>
      <c r="AB236">
        <f t="shared" si="96"/>
        <v>0.55555555555555558</v>
      </c>
      <c r="AC236">
        <f>step3_validation[[#This Row],[AI_TRU3]]</f>
        <v>5</v>
      </c>
      <c r="AD236">
        <f t="shared" si="97"/>
        <v>0.44444444444444442</v>
      </c>
      <c r="AE236">
        <f>[1]!survey_responses[[#This Row],[Tôi tin tưởng số tiền thuế tôi đóng sẽ được Nhà nước sử dụng hiệu quả để cải thiện dịch vụ công (y tế, đường xá...). - HUMAN-TRU3]]</f>
        <v>5</v>
      </c>
      <c r="AF236">
        <f t="shared" si="98"/>
        <v>0.44444444444444442</v>
      </c>
      <c r="AG236">
        <f>step3_validation[[#This Row],[AI_TRU4]]</f>
        <v>6</v>
      </c>
      <c r="AH236">
        <f t="shared" si="99"/>
        <v>0.55555555555555558</v>
      </c>
      <c r="AI236">
        <f>[1]!survey_responses[[#This Row],[Tôi thấy Nhà nước đã giải thích rõ ràng, minh bạch về lý do và mục tiêu của việc sửa đổi thuế lần này. - HUMAN-TRU4]]</f>
        <v>6</v>
      </c>
      <c r="AJ236">
        <f t="shared" si="100"/>
        <v>0.55555555555555558</v>
      </c>
      <c r="AK236" s="32">
        <f t="shared" si="101"/>
        <v>0.55555555555555558</v>
      </c>
      <c r="AL236" s="32">
        <f t="shared" si="102"/>
        <v>0.5</v>
      </c>
      <c r="AM236" s="7">
        <f t="shared" si="103"/>
        <v>0.70370370370370361</v>
      </c>
      <c r="AN236" s="7">
        <f t="shared" si="104"/>
        <v>0.44444444444444448</v>
      </c>
      <c r="AO236">
        <f>step3_validation[[#This Row],[AI_OUT1]]</f>
        <v>7</v>
      </c>
      <c r="AP236">
        <f t="shared" si="105"/>
        <v>0.66666666666666663</v>
      </c>
      <c r="AQ236">
        <f>[1]!survey_responses[[#This Row],[Sau khi xem xét các quyền lợi và nghĩa vụ, bạn có ủng hộ và tuân thủ chính sách mới hiện nay? - HUMAN-OUT1]]</f>
        <v>6</v>
      </c>
      <c r="AR236">
        <f t="shared" si="106"/>
        <v>0.55555555555555558</v>
      </c>
      <c r="AS236" s="32">
        <f t="shared" si="107"/>
        <v>1</v>
      </c>
    </row>
    <row r="237" spans="1:45" x14ac:dyDescent="0.45">
      <c r="A237">
        <f>step3_validation[[#This Row],[AI_ENF1]]</f>
        <v>8</v>
      </c>
      <c r="B237">
        <f t="shared" si="81"/>
        <v>0.77777777777777779</v>
      </c>
      <c r="C237">
        <f>[1]!survey_responses[[#This Row],[Tôi tin rằng với các quy định quản lý thuế hiện nay, hành vi gian lận hoặc trốn thuế sẽ dễ dàng bị phát hiện và xử lý nghiêm. - HUMAN-ENF1]]</f>
        <v>7</v>
      </c>
      <c r="D237">
        <f t="shared" si="82"/>
        <v>0.66666666666666663</v>
      </c>
      <c r="E237">
        <f>step3_validation[[#This Row],[AI_ENF2]]</f>
        <v>7</v>
      </c>
      <c r="F237">
        <f t="shared" si="83"/>
        <v>0.66666666666666663</v>
      </c>
      <c r="G237">
        <f>[1]!survey_responses[[#This Row],[Tôi tin rằng Nhà nước, cơ quan thuế có đủ khả năng và công nghệ để phát hiện, xử lý nghiêm các hành vi trốn thuế. - HUMAN-ENF2]]</f>
        <v>7</v>
      </c>
      <c r="H237">
        <f t="shared" si="84"/>
        <v>0.66666666666666663</v>
      </c>
      <c r="I237" s="32">
        <f t="shared" si="85"/>
        <v>0.72222222222222221</v>
      </c>
      <c r="J237" s="32">
        <f t="shared" si="86"/>
        <v>0.66666666666666663</v>
      </c>
      <c r="K237">
        <f>step3_validation[[#This Row],[AI_FAC1]]</f>
        <v>9</v>
      </c>
      <c r="L237">
        <f t="shared" si="87"/>
        <v>0.88888888888888884</v>
      </c>
      <c r="M237">
        <f>[1]!survey_responses[[#This Row],[Các thủ tục khai báo thuế VÀ/HOẶC quy trình làm việc với cơ quan thuế đơn giản, tiện lợi, nhanh chóng hơn so với trước đây. - HUMAN-FAC1]]</f>
        <v>7</v>
      </c>
      <c r="N237">
        <f t="shared" si="88"/>
        <v>0.66666666666666663</v>
      </c>
      <c r="O237">
        <f>step3_validation[[#This Row],[AI_FAC2]]</f>
        <v>8</v>
      </c>
      <c r="P237">
        <f t="shared" si="89"/>
        <v>0.77777777777777779</v>
      </c>
      <c r="Q237">
        <f>[1]!survey_responses[[#This Row],[So với trước đây, tôi thấy cách tính thuế và các bậc thuế trong phương án mới đơn giản, dễ hiểu và dễ thực hiện hơn. - HUMAN-FAC2]]</f>
        <v>7</v>
      </c>
      <c r="R237">
        <f t="shared" si="90"/>
        <v>0.66666666666666663</v>
      </c>
      <c r="S237" s="32">
        <f t="shared" si="91"/>
        <v>0.83333333333333326</v>
      </c>
      <c r="T237" s="32">
        <f t="shared" si="92"/>
        <v>0.66666666666666663</v>
      </c>
      <c r="U237">
        <f>step3_validation[[#This Row],[AI_TRU1]]</f>
        <v>6</v>
      </c>
      <c r="V237">
        <f t="shared" si="93"/>
        <v>0.55555555555555558</v>
      </c>
      <c r="W237">
        <f>[1]!survey_responses[[#This Row],[Tôi tin rằng Nhà nước, cơ quan thuế sẽ thực thi chính sách mới một cách khách quan, công tâm và đối xử bình đẳng với mọi người nộp thuế.  - HUMAN-TRU1]]</f>
        <v>7</v>
      </c>
      <c r="X237">
        <f t="shared" si="94"/>
        <v>0.66666666666666663</v>
      </c>
      <c r="Y237">
        <f>step3_validation[[#This Row],[AI_TRU2]]</f>
        <v>7</v>
      </c>
      <c r="Z237">
        <f t="shared" si="95"/>
        <v>0.66666666666666663</v>
      </c>
      <c r="AA237">
        <f>[1]!survey_responses[[#This Row],[Tôi thấy mức thuế tôi phải đóng theo phương án mới là công bằng (người thu nhập như tôi đóng mức này là hợp lý). - HUMAN-TRU2]]</f>
        <v>7</v>
      </c>
      <c r="AB237">
        <f t="shared" si="96"/>
        <v>0.66666666666666663</v>
      </c>
      <c r="AC237">
        <f>step3_validation[[#This Row],[AI_TRU3]]</f>
        <v>5</v>
      </c>
      <c r="AD237">
        <f t="shared" si="97"/>
        <v>0.44444444444444442</v>
      </c>
      <c r="AE237">
        <f>[1]!survey_responses[[#This Row],[Tôi tin tưởng số tiền thuế tôi đóng sẽ được Nhà nước sử dụng hiệu quả để cải thiện dịch vụ công (y tế, đường xá...). - HUMAN-TRU3]]</f>
        <v>7</v>
      </c>
      <c r="AF237">
        <f t="shared" si="98"/>
        <v>0.66666666666666663</v>
      </c>
      <c r="AG237">
        <f>step3_validation[[#This Row],[AI_TRU4]]</f>
        <v>6</v>
      </c>
      <c r="AH237">
        <f t="shared" si="99"/>
        <v>0.55555555555555558</v>
      </c>
      <c r="AI237">
        <f>[1]!survey_responses[[#This Row],[Tôi thấy Nhà nước đã giải thích rõ ràng, minh bạch về lý do và mục tiêu của việc sửa đổi thuế lần này. - HUMAN-TRU4]]</f>
        <v>7</v>
      </c>
      <c r="AJ237">
        <f t="shared" si="100"/>
        <v>0.66666666666666663</v>
      </c>
      <c r="AK237" s="32">
        <f t="shared" si="101"/>
        <v>0.55555555555555558</v>
      </c>
      <c r="AL237" s="32">
        <f t="shared" si="102"/>
        <v>0.66666666666666663</v>
      </c>
      <c r="AM237" s="7">
        <f t="shared" si="103"/>
        <v>0.70370370370370361</v>
      </c>
      <c r="AN237" s="7">
        <f t="shared" si="104"/>
        <v>0.66666666666666663</v>
      </c>
      <c r="AO237">
        <f>step3_validation[[#This Row],[AI_OUT1]]</f>
        <v>7</v>
      </c>
      <c r="AP237">
        <f t="shared" si="105"/>
        <v>0.66666666666666663</v>
      </c>
      <c r="AQ237">
        <f>[1]!survey_responses[[#This Row],[Sau khi xem xét các quyền lợi và nghĩa vụ, bạn có ủng hộ và tuân thủ chính sách mới hiện nay? - HUMAN-OUT1]]</f>
        <v>7</v>
      </c>
      <c r="AR237">
        <f t="shared" si="106"/>
        <v>0.66666666666666663</v>
      </c>
      <c r="AS237" s="32">
        <f t="shared" si="107"/>
        <v>0</v>
      </c>
    </row>
    <row r="238" spans="1:45" x14ac:dyDescent="0.45">
      <c r="A238">
        <f>step3_validation[[#This Row],[AI_ENF1]]</f>
        <v>7</v>
      </c>
      <c r="B238">
        <f t="shared" si="81"/>
        <v>0.66666666666666663</v>
      </c>
      <c r="C238">
        <f>[1]!survey_responses[[#This Row],[Tôi tin rằng với các quy định quản lý thuế hiện nay, hành vi gian lận hoặc trốn thuế sẽ dễ dàng bị phát hiện và xử lý nghiêm. - HUMAN-ENF1]]</f>
        <v>10</v>
      </c>
      <c r="D238">
        <f t="shared" si="82"/>
        <v>1</v>
      </c>
      <c r="E238">
        <f>step3_validation[[#This Row],[AI_ENF2]]</f>
        <v>6</v>
      </c>
      <c r="F238">
        <f t="shared" si="83"/>
        <v>0.55555555555555558</v>
      </c>
      <c r="G238">
        <f>[1]!survey_responses[[#This Row],[Tôi tin rằng Nhà nước, cơ quan thuế có đủ khả năng và công nghệ để phát hiện, xử lý nghiêm các hành vi trốn thuế. - HUMAN-ENF2]]</f>
        <v>10</v>
      </c>
      <c r="H238">
        <f t="shared" si="84"/>
        <v>1</v>
      </c>
      <c r="I238" s="32">
        <f t="shared" si="85"/>
        <v>0.61111111111111116</v>
      </c>
      <c r="J238" s="32">
        <f t="shared" si="86"/>
        <v>1</v>
      </c>
      <c r="K238">
        <f>step3_validation[[#This Row],[AI_FAC1]]</f>
        <v>8</v>
      </c>
      <c r="L238">
        <f t="shared" si="87"/>
        <v>0.77777777777777779</v>
      </c>
      <c r="M238">
        <f>[1]!survey_responses[[#This Row],[Các thủ tục khai báo thuế VÀ/HOẶC quy trình làm việc với cơ quan thuế đơn giản, tiện lợi, nhanh chóng hơn so với trước đây. - HUMAN-FAC1]]</f>
        <v>4</v>
      </c>
      <c r="N238">
        <f t="shared" si="88"/>
        <v>0.33333333333333331</v>
      </c>
      <c r="O238">
        <f>step3_validation[[#This Row],[AI_FAC2]]</f>
        <v>7</v>
      </c>
      <c r="P238">
        <f t="shared" si="89"/>
        <v>0.66666666666666663</v>
      </c>
      <c r="Q238">
        <f>[1]!survey_responses[[#This Row],[So với trước đây, tôi thấy cách tính thuế và các bậc thuế trong phương án mới đơn giản, dễ hiểu và dễ thực hiện hơn. - HUMAN-FAC2]]</f>
        <v>6</v>
      </c>
      <c r="R238">
        <f t="shared" si="90"/>
        <v>0.55555555555555558</v>
      </c>
      <c r="S238" s="32">
        <f t="shared" si="91"/>
        <v>0.72222222222222221</v>
      </c>
      <c r="T238" s="32">
        <f t="shared" si="92"/>
        <v>0.44444444444444442</v>
      </c>
      <c r="U238">
        <f>step3_validation[[#This Row],[AI_TRU1]]</f>
        <v>6</v>
      </c>
      <c r="V238">
        <f t="shared" si="93"/>
        <v>0.55555555555555558</v>
      </c>
      <c r="W238">
        <f>[1]!survey_responses[[#This Row],[Tôi tin rằng Nhà nước, cơ quan thuế sẽ thực thi chính sách mới một cách khách quan, công tâm và đối xử bình đẳng với mọi người nộp thuế.  - HUMAN-TRU1]]</f>
        <v>3</v>
      </c>
      <c r="X238">
        <f t="shared" si="94"/>
        <v>0.22222222222222221</v>
      </c>
      <c r="Y238">
        <f>step3_validation[[#This Row],[AI_TRU2]]</f>
        <v>7</v>
      </c>
      <c r="Z238">
        <f t="shared" si="95"/>
        <v>0.66666666666666663</v>
      </c>
      <c r="AA238">
        <f>[1]!survey_responses[[#This Row],[Tôi thấy mức thuế tôi phải đóng theo phương án mới là công bằng (người thu nhập như tôi đóng mức này là hợp lý). - HUMAN-TRU2]]</f>
        <v>1</v>
      </c>
      <c r="AB238">
        <f t="shared" si="96"/>
        <v>0</v>
      </c>
      <c r="AC238">
        <f>step3_validation[[#This Row],[AI_TRU3]]</f>
        <v>6</v>
      </c>
      <c r="AD238">
        <f t="shared" si="97"/>
        <v>0.55555555555555558</v>
      </c>
      <c r="AE238">
        <f>[1]!survey_responses[[#This Row],[Tôi tin tưởng số tiền thuế tôi đóng sẽ được Nhà nước sử dụng hiệu quả để cải thiện dịch vụ công (y tế, đường xá...). - HUMAN-TRU3]]</f>
        <v>1</v>
      </c>
      <c r="AF238">
        <f t="shared" si="98"/>
        <v>0</v>
      </c>
      <c r="AG238">
        <f>step3_validation[[#This Row],[AI_TRU4]]</f>
        <v>5</v>
      </c>
      <c r="AH238">
        <f t="shared" si="99"/>
        <v>0.44444444444444442</v>
      </c>
      <c r="AI238">
        <f>[1]!survey_responses[[#This Row],[Tôi thấy Nhà nước đã giải thích rõ ràng, minh bạch về lý do và mục tiêu của việc sửa đổi thuế lần này. - HUMAN-TRU4]]</f>
        <v>3</v>
      </c>
      <c r="AJ238">
        <f t="shared" si="100"/>
        <v>0.22222222222222221</v>
      </c>
      <c r="AK238" s="32">
        <f t="shared" si="101"/>
        <v>0.55555555555555558</v>
      </c>
      <c r="AL238" s="32">
        <f t="shared" si="102"/>
        <v>0.1111111111111111</v>
      </c>
      <c r="AM238" s="7">
        <f t="shared" si="103"/>
        <v>0.62962962962962965</v>
      </c>
      <c r="AN238" s="7">
        <f t="shared" si="104"/>
        <v>0.51851851851851849</v>
      </c>
      <c r="AO238">
        <f>step3_validation[[#This Row],[AI_OUT1]]</f>
        <v>8</v>
      </c>
      <c r="AP238">
        <f t="shared" si="105"/>
        <v>0.77777777777777779</v>
      </c>
      <c r="AQ238">
        <f>[1]!survey_responses[[#This Row],[Sau khi xem xét các quyền lợi và nghĩa vụ, bạn có ủng hộ và tuân thủ chính sách mới hiện nay? - HUMAN-OUT1]]</f>
        <v>1</v>
      </c>
      <c r="AR238">
        <f t="shared" si="106"/>
        <v>0</v>
      </c>
      <c r="AS238" s="32">
        <f t="shared" si="107"/>
        <v>7</v>
      </c>
    </row>
    <row r="239" spans="1:45" x14ac:dyDescent="0.45">
      <c r="A239">
        <f>step3_validation[[#This Row],[AI_ENF1]]</f>
        <v>7</v>
      </c>
      <c r="B239">
        <f t="shared" si="81"/>
        <v>0.66666666666666663</v>
      </c>
      <c r="C239">
        <f>[1]!survey_responses[[#This Row],[Tôi tin rằng với các quy định quản lý thuế hiện nay, hành vi gian lận hoặc trốn thuế sẽ dễ dàng bị phát hiện và xử lý nghiêm. - HUMAN-ENF1]]</f>
        <v>8</v>
      </c>
      <c r="D239">
        <f t="shared" si="82"/>
        <v>0.77777777777777779</v>
      </c>
      <c r="E239">
        <f>step3_validation[[#This Row],[AI_ENF2]]</f>
        <v>8</v>
      </c>
      <c r="F239">
        <f t="shared" si="83"/>
        <v>0.77777777777777779</v>
      </c>
      <c r="G239">
        <f>[1]!survey_responses[[#This Row],[Tôi tin rằng Nhà nước, cơ quan thuế có đủ khả năng và công nghệ để phát hiện, xử lý nghiêm các hành vi trốn thuế. - HUMAN-ENF2]]</f>
        <v>10</v>
      </c>
      <c r="H239">
        <f t="shared" si="84"/>
        <v>1</v>
      </c>
      <c r="I239" s="32">
        <f t="shared" si="85"/>
        <v>0.72222222222222221</v>
      </c>
      <c r="J239" s="32">
        <f t="shared" si="86"/>
        <v>0.88888888888888884</v>
      </c>
      <c r="K239">
        <f>step3_validation[[#This Row],[AI_FAC1]]</f>
        <v>9</v>
      </c>
      <c r="L239">
        <f t="shared" si="87"/>
        <v>0.88888888888888884</v>
      </c>
      <c r="M239">
        <f>[1]!survey_responses[[#This Row],[Các thủ tục khai báo thuế VÀ/HOẶC quy trình làm việc với cơ quan thuế đơn giản, tiện lợi, nhanh chóng hơn so với trước đây. - HUMAN-FAC1]]</f>
        <v>8</v>
      </c>
      <c r="N239">
        <f t="shared" si="88"/>
        <v>0.77777777777777779</v>
      </c>
      <c r="O239">
        <f>step3_validation[[#This Row],[AI_FAC2]]</f>
        <v>8</v>
      </c>
      <c r="P239">
        <f t="shared" si="89"/>
        <v>0.77777777777777779</v>
      </c>
      <c r="Q239">
        <f>[1]!survey_responses[[#This Row],[So với trước đây, tôi thấy cách tính thuế và các bậc thuế trong phương án mới đơn giản, dễ hiểu và dễ thực hiện hơn. - HUMAN-FAC2]]</f>
        <v>10</v>
      </c>
      <c r="R239">
        <f t="shared" si="90"/>
        <v>1</v>
      </c>
      <c r="S239" s="32">
        <f t="shared" si="91"/>
        <v>0.83333333333333326</v>
      </c>
      <c r="T239" s="32">
        <f t="shared" si="92"/>
        <v>0.88888888888888884</v>
      </c>
      <c r="U239">
        <f>step3_validation[[#This Row],[AI_TRU1]]</f>
        <v>7</v>
      </c>
      <c r="V239">
        <f t="shared" si="93"/>
        <v>0.66666666666666663</v>
      </c>
      <c r="W239">
        <f>[1]!survey_responses[[#This Row],[Tôi tin rằng Nhà nước, cơ quan thuế sẽ thực thi chính sách mới một cách khách quan, công tâm và đối xử bình đẳng với mọi người nộp thuế.  - HUMAN-TRU1]]</f>
        <v>9</v>
      </c>
      <c r="X239">
        <f t="shared" si="94"/>
        <v>0.88888888888888884</v>
      </c>
      <c r="Y239">
        <f>step3_validation[[#This Row],[AI_TRU2]]</f>
        <v>8</v>
      </c>
      <c r="Z239">
        <f t="shared" si="95"/>
        <v>0.77777777777777779</v>
      </c>
      <c r="AA239">
        <f>[1]!survey_responses[[#This Row],[Tôi thấy mức thuế tôi phải đóng theo phương án mới là công bằng (người thu nhập như tôi đóng mức này là hợp lý). - HUMAN-TRU2]]</f>
        <v>8</v>
      </c>
      <c r="AB239">
        <f t="shared" si="96"/>
        <v>0.77777777777777779</v>
      </c>
      <c r="AC239">
        <f>step3_validation[[#This Row],[AI_TRU3]]</f>
        <v>7</v>
      </c>
      <c r="AD239">
        <f t="shared" si="97"/>
        <v>0.66666666666666663</v>
      </c>
      <c r="AE239">
        <f>[1]!survey_responses[[#This Row],[Tôi tin tưởng số tiền thuế tôi đóng sẽ được Nhà nước sử dụng hiệu quả để cải thiện dịch vụ công (y tế, đường xá...). - HUMAN-TRU3]]</f>
        <v>7</v>
      </c>
      <c r="AF239">
        <f t="shared" si="98"/>
        <v>0.66666666666666663</v>
      </c>
      <c r="AG239">
        <f>step3_validation[[#This Row],[AI_TRU4]]</f>
        <v>6</v>
      </c>
      <c r="AH239">
        <f t="shared" si="99"/>
        <v>0.55555555555555558</v>
      </c>
      <c r="AI239">
        <f>[1]!survey_responses[[#This Row],[Tôi thấy Nhà nước đã giải thích rõ ràng, minh bạch về lý do và mục tiêu của việc sửa đổi thuế lần này. - HUMAN-TRU4]]</f>
        <v>9</v>
      </c>
      <c r="AJ239">
        <f t="shared" si="100"/>
        <v>0.88888888888888884</v>
      </c>
      <c r="AK239" s="32">
        <f t="shared" si="101"/>
        <v>0.66666666666666674</v>
      </c>
      <c r="AL239" s="32">
        <f t="shared" si="102"/>
        <v>0.80555555555555547</v>
      </c>
      <c r="AM239" s="7">
        <f t="shared" si="103"/>
        <v>0.74074074074074081</v>
      </c>
      <c r="AN239" s="7">
        <f t="shared" si="104"/>
        <v>0.86111111111111105</v>
      </c>
      <c r="AO239">
        <f>step3_validation[[#This Row],[AI_OUT1]]</f>
        <v>5</v>
      </c>
      <c r="AP239">
        <f t="shared" si="105"/>
        <v>0.44444444444444442</v>
      </c>
      <c r="AQ239">
        <f>[1]!survey_responses[[#This Row],[Sau khi xem xét các quyền lợi và nghĩa vụ, bạn có ủng hộ và tuân thủ chính sách mới hiện nay? - HUMAN-OUT1]]</f>
        <v>9</v>
      </c>
      <c r="AR239">
        <f t="shared" si="106"/>
        <v>0.88888888888888884</v>
      </c>
      <c r="AS239" s="32">
        <f t="shared" si="107"/>
        <v>4</v>
      </c>
    </row>
    <row r="240" spans="1:45" x14ac:dyDescent="0.45">
      <c r="A240">
        <f>step3_validation[[#This Row],[AI_ENF1]]</f>
        <v>7</v>
      </c>
      <c r="B240">
        <f t="shared" si="81"/>
        <v>0.66666666666666663</v>
      </c>
      <c r="C240">
        <f>[1]!survey_responses[[#This Row],[Tôi tin rằng với các quy định quản lý thuế hiện nay, hành vi gian lận hoặc trốn thuế sẽ dễ dàng bị phát hiện và xử lý nghiêm. - HUMAN-ENF1]]</f>
        <v>6</v>
      </c>
      <c r="D240">
        <f t="shared" si="82"/>
        <v>0.55555555555555558</v>
      </c>
      <c r="E240">
        <f>step3_validation[[#This Row],[AI_ENF2]]</f>
        <v>8</v>
      </c>
      <c r="F240">
        <f t="shared" si="83"/>
        <v>0.77777777777777779</v>
      </c>
      <c r="G240">
        <f>[1]!survey_responses[[#This Row],[Tôi tin rằng Nhà nước, cơ quan thuế có đủ khả năng và công nghệ để phát hiện, xử lý nghiêm các hành vi trốn thuế. - HUMAN-ENF2]]</f>
        <v>6</v>
      </c>
      <c r="H240">
        <f t="shared" si="84"/>
        <v>0.55555555555555558</v>
      </c>
      <c r="I240" s="32">
        <f t="shared" si="85"/>
        <v>0.72222222222222221</v>
      </c>
      <c r="J240" s="32">
        <f t="shared" si="86"/>
        <v>0.55555555555555558</v>
      </c>
      <c r="K240">
        <f>step3_validation[[#This Row],[AI_FAC1]]</f>
        <v>6</v>
      </c>
      <c r="L240">
        <f t="shared" si="87"/>
        <v>0.55555555555555558</v>
      </c>
      <c r="M240">
        <f>[1]!survey_responses[[#This Row],[Các thủ tục khai báo thuế VÀ/HOẶC quy trình làm việc với cơ quan thuế đơn giản, tiện lợi, nhanh chóng hơn so với trước đây. - HUMAN-FAC1]]</f>
        <v>6</v>
      </c>
      <c r="N240">
        <f t="shared" si="88"/>
        <v>0.55555555555555558</v>
      </c>
      <c r="O240">
        <f>step3_validation[[#This Row],[AI_FAC2]]</f>
        <v>9</v>
      </c>
      <c r="P240">
        <f t="shared" si="89"/>
        <v>0.88888888888888884</v>
      </c>
      <c r="Q240">
        <f>[1]!survey_responses[[#This Row],[So với trước đây, tôi thấy cách tính thuế và các bậc thuế trong phương án mới đơn giản, dễ hiểu và dễ thực hiện hơn. - HUMAN-FAC2]]</f>
        <v>6</v>
      </c>
      <c r="R240">
        <f t="shared" si="90"/>
        <v>0.55555555555555558</v>
      </c>
      <c r="S240" s="32">
        <f t="shared" si="91"/>
        <v>0.72222222222222221</v>
      </c>
      <c r="T240" s="32">
        <f t="shared" si="92"/>
        <v>0.55555555555555558</v>
      </c>
      <c r="U240">
        <f>step3_validation[[#This Row],[AI_TRU1]]</f>
        <v>7</v>
      </c>
      <c r="V240">
        <f t="shared" si="93"/>
        <v>0.66666666666666663</v>
      </c>
      <c r="W240">
        <f>[1]!survey_responses[[#This Row],[Tôi tin rằng Nhà nước, cơ quan thuế sẽ thực thi chính sách mới một cách khách quan, công tâm và đối xử bình đẳng với mọi người nộp thuế.  - HUMAN-TRU1]]</f>
        <v>6</v>
      </c>
      <c r="X240">
        <f t="shared" si="94"/>
        <v>0.55555555555555558</v>
      </c>
      <c r="Y240">
        <f>step3_validation[[#This Row],[AI_TRU2]]</f>
        <v>8</v>
      </c>
      <c r="Z240">
        <f t="shared" si="95"/>
        <v>0.77777777777777779</v>
      </c>
      <c r="AA240">
        <f>[1]!survey_responses[[#This Row],[Tôi thấy mức thuế tôi phải đóng theo phương án mới là công bằng (người thu nhập như tôi đóng mức này là hợp lý). - HUMAN-TRU2]]</f>
        <v>6</v>
      </c>
      <c r="AB240">
        <f t="shared" si="96"/>
        <v>0.55555555555555558</v>
      </c>
      <c r="AC240">
        <f>step3_validation[[#This Row],[AI_TRU3]]</f>
        <v>7</v>
      </c>
      <c r="AD240">
        <f t="shared" si="97"/>
        <v>0.66666666666666663</v>
      </c>
      <c r="AE240">
        <f>[1]!survey_responses[[#This Row],[Tôi tin tưởng số tiền thuế tôi đóng sẽ được Nhà nước sử dụng hiệu quả để cải thiện dịch vụ công (y tế, đường xá...). - HUMAN-TRU3]]</f>
        <v>6</v>
      </c>
      <c r="AF240">
        <f t="shared" si="98"/>
        <v>0.55555555555555558</v>
      </c>
      <c r="AG240">
        <f>step3_validation[[#This Row],[AI_TRU4]]</f>
        <v>6</v>
      </c>
      <c r="AH240">
        <f t="shared" si="99"/>
        <v>0.55555555555555558</v>
      </c>
      <c r="AI240">
        <f>[1]!survey_responses[[#This Row],[Tôi thấy Nhà nước đã giải thích rõ ràng, minh bạch về lý do và mục tiêu của việc sửa đổi thuế lần này. - HUMAN-TRU4]]</f>
        <v>7</v>
      </c>
      <c r="AJ240">
        <f t="shared" si="100"/>
        <v>0.66666666666666663</v>
      </c>
      <c r="AK240" s="32">
        <f t="shared" si="101"/>
        <v>0.66666666666666674</v>
      </c>
      <c r="AL240" s="32">
        <f t="shared" si="102"/>
        <v>0.58333333333333337</v>
      </c>
      <c r="AM240" s="7">
        <f t="shared" si="103"/>
        <v>0.70370370370370372</v>
      </c>
      <c r="AN240" s="7">
        <f t="shared" si="104"/>
        <v>0.56481481481481488</v>
      </c>
      <c r="AO240">
        <f>step3_validation[[#This Row],[AI_OUT1]]</f>
        <v>8</v>
      </c>
      <c r="AP240">
        <f t="shared" si="105"/>
        <v>0.77777777777777779</v>
      </c>
      <c r="AQ240">
        <f>[1]!survey_responses[[#This Row],[Sau khi xem xét các quyền lợi và nghĩa vụ, bạn có ủng hộ và tuân thủ chính sách mới hiện nay? - HUMAN-OUT1]]</f>
        <v>6</v>
      </c>
      <c r="AR240">
        <f t="shared" si="106"/>
        <v>0.55555555555555558</v>
      </c>
      <c r="AS240" s="32">
        <f t="shared" si="107"/>
        <v>2</v>
      </c>
    </row>
    <row r="241" spans="1:45" x14ac:dyDescent="0.45">
      <c r="A241">
        <f>step3_validation[[#This Row],[AI_ENF1]]</f>
        <v>8</v>
      </c>
      <c r="B241">
        <f t="shared" si="81"/>
        <v>0.77777777777777779</v>
      </c>
      <c r="C241">
        <f>[1]!survey_responses[[#This Row],[Tôi tin rằng với các quy định quản lý thuế hiện nay, hành vi gian lận hoặc trốn thuế sẽ dễ dàng bị phát hiện và xử lý nghiêm. - HUMAN-ENF1]]</f>
        <v>8</v>
      </c>
      <c r="D241">
        <f t="shared" si="82"/>
        <v>0.77777777777777779</v>
      </c>
      <c r="E241">
        <f>step3_validation[[#This Row],[AI_ENF2]]</f>
        <v>8</v>
      </c>
      <c r="F241">
        <f t="shared" si="83"/>
        <v>0.77777777777777779</v>
      </c>
      <c r="G241">
        <f>[1]!survey_responses[[#This Row],[Tôi tin rằng Nhà nước, cơ quan thuế có đủ khả năng và công nghệ để phát hiện, xử lý nghiêm các hành vi trốn thuế. - HUMAN-ENF2]]</f>
        <v>8</v>
      </c>
      <c r="H241">
        <f t="shared" si="84"/>
        <v>0.77777777777777779</v>
      </c>
      <c r="I241" s="32">
        <f t="shared" si="85"/>
        <v>0.77777777777777779</v>
      </c>
      <c r="J241" s="32">
        <f t="shared" si="86"/>
        <v>0.77777777777777779</v>
      </c>
      <c r="K241">
        <f>step3_validation[[#This Row],[AI_FAC1]]</f>
        <v>7</v>
      </c>
      <c r="L241">
        <f t="shared" si="87"/>
        <v>0.66666666666666663</v>
      </c>
      <c r="M241">
        <f>[1]!survey_responses[[#This Row],[Các thủ tục khai báo thuế VÀ/HOẶC quy trình làm việc với cơ quan thuế đơn giản, tiện lợi, nhanh chóng hơn so với trước đây. - HUMAN-FAC1]]</f>
        <v>8</v>
      </c>
      <c r="N241">
        <f t="shared" si="88"/>
        <v>0.77777777777777779</v>
      </c>
      <c r="O241">
        <f>step3_validation[[#This Row],[AI_FAC2]]</f>
        <v>8</v>
      </c>
      <c r="P241">
        <f t="shared" si="89"/>
        <v>0.77777777777777779</v>
      </c>
      <c r="Q241">
        <f>[1]!survey_responses[[#This Row],[So với trước đây, tôi thấy cách tính thuế và các bậc thuế trong phương án mới đơn giản, dễ hiểu và dễ thực hiện hơn. - HUMAN-FAC2]]</f>
        <v>8</v>
      </c>
      <c r="R241">
        <f t="shared" si="90"/>
        <v>0.77777777777777779</v>
      </c>
      <c r="S241" s="32">
        <f t="shared" si="91"/>
        <v>0.72222222222222221</v>
      </c>
      <c r="T241" s="32">
        <f t="shared" si="92"/>
        <v>0.77777777777777779</v>
      </c>
      <c r="U241">
        <f>step3_validation[[#This Row],[AI_TRU1]]</f>
        <v>9</v>
      </c>
      <c r="V241">
        <f t="shared" si="93"/>
        <v>0.88888888888888884</v>
      </c>
      <c r="W241">
        <f>[1]!survey_responses[[#This Row],[Tôi tin rằng Nhà nước, cơ quan thuế sẽ thực thi chính sách mới một cách khách quan, công tâm và đối xử bình đẳng với mọi người nộp thuế.  - HUMAN-TRU1]]</f>
        <v>8</v>
      </c>
      <c r="X241">
        <f t="shared" si="94"/>
        <v>0.77777777777777779</v>
      </c>
      <c r="Y241">
        <f>step3_validation[[#This Row],[AI_TRU2]]</f>
        <v>8</v>
      </c>
      <c r="Z241">
        <f t="shared" si="95"/>
        <v>0.77777777777777779</v>
      </c>
      <c r="AA241">
        <f>[1]!survey_responses[[#This Row],[Tôi thấy mức thuế tôi phải đóng theo phương án mới là công bằng (người thu nhập như tôi đóng mức này là hợp lý). - HUMAN-TRU2]]</f>
        <v>8</v>
      </c>
      <c r="AB241">
        <f t="shared" si="96"/>
        <v>0.77777777777777779</v>
      </c>
      <c r="AC241">
        <f>step3_validation[[#This Row],[AI_TRU3]]</f>
        <v>7</v>
      </c>
      <c r="AD241">
        <f t="shared" si="97"/>
        <v>0.66666666666666663</v>
      </c>
      <c r="AE241">
        <f>[1]!survey_responses[[#This Row],[Tôi tin tưởng số tiền thuế tôi đóng sẽ được Nhà nước sử dụng hiệu quả để cải thiện dịch vụ công (y tế, đường xá...). - HUMAN-TRU3]]</f>
        <v>8</v>
      </c>
      <c r="AF241">
        <f t="shared" si="98"/>
        <v>0.77777777777777779</v>
      </c>
      <c r="AG241">
        <f>step3_validation[[#This Row],[AI_TRU4]]</f>
        <v>6</v>
      </c>
      <c r="AH241">
        <f t="shared" si="99"/>
        <v>0.55555555555555558</v>
      </c>
      <c r="AI241">
        <f>[1]!survey_responses[[#This Row],[Tôi thấy Nhà nước đã giải thích rõ ràng, minh bạch về lý do và mục tiêu của việc sửa đổi thuế lần này. - HUMAN-TRU4]]</f>
        <v>8</v>
      </c>
      <c r="AJ241">
        <f t="shared" si="100"/>
        <v>0.77777777777777779</v>
      </c>
      <c r="AK241" s="32">
        <f t="shared" si="101"/>
        <v>0.7222222222222221</v>
      </c>
      <c r="AL241" s="32">
        <f t="shared" si="102"/>
        <v>0.77777777777777779</v>
      </c>
      <c r="AM241" s="7">
        <f t="shared" si="103"/>
        <v>0.74074074074074081</v>
      </c>
      <c r="AN241" s="7">
        <f t="shared" si="104"/>
        <v>0.77777777777777779</v>
      </c>
      <c r="AO241">
        <f>step3_validation[[#This Row],[AI_OUT1]]</f>
        <v>9</v>
      </c>
      <c r="AP241">
        <f t="shared" si="105"/>
        <v>0.88888888888888884</v>
      </c>
      <c r="AQ241">
        <f>[1]!survey_responses[[#This Row],[Sau khi xem xét các quyền lợi và nghĩa vụ, bạn có ủng hộ và tuân thủ chính sách mới hiện nay? - HUMAN-OUT1]]</f>
        <v>8</v>
      </c>
      <c r="AR241">
        <f t="shared" si="106"/>
        <v>0.77777777777777779</v>
      </c>
      <c r="AS241" s="32">
        <f t="shared" si="107"/>
        <v>1</v>
      </c>
    </row>
    <row r="242" spans="1:45" x14ac:dyDescent="0.45">
      <c r="A242">
        <f>step3_validation[[#This Row],[AI_ENF1]]</f>
        <v>7</v>
      </c>
      <c r="B242">
        <f t="shared" si="81"/>
        <v>0.66666666666666663</v>
      </c>
      <c r="C242">
        <f>[1]!survey_responses[[#This Row],[Tôi tin rằng với các quy định quản lý thuế hiện nay, hành vi gian lận hoặc trốn thuế sẽ dễ dàng bị phát hiện và xử lý nghiêm. - HUMAN-ENF1]]</f>
        <v>7</v>
      </c>
      <c r="D242">
        <f t="shared" si="82"/>
        <v>0.66666666666666663</v>
      </c>
      <c r="E242">
        <f>step3_validation[[#This Row],[AI_ENF2]]</f>
        <v>6</v>
      </c>
      <c r="F242">
        <f t="shared" si="83"/>
        <v>0.55555555555555558</v>
      </c>
      <c r="G242">
        <f>[1]!survey_responses[[#This Row],[Tôi tin rằng Nhà nước, cơ quan thuế có đủ khả năng và công nghệ để phát hiện, xử lý nghiêm các hành vi trốn thuế. - HUMAN-ENF2]]</f>
        <v>6</v>
      </c>
      <c r="H242">
        <f t="shared" si="84"/>
        <v>0.55555555555555558</v>
      </c>
      <c r="I242" s="32">
        <f t="shared" si="85"/>
        <v>0.61111111111111116</v>
      </c>
      <c r="J242" s="32">
        <f t="shared" si="86"/>
        <v>0.61111111111111116</v>
      </c>
      <c r="K242">
        <f>step3_validation[[#This Row],[AI_FAC1]]</f>
        <v>8</v>
      </c>
      <c r="L242">
        <f t="shared" si="87"/>
        <v>0.77777777777777779</v>
      </c>
      <c r="M242">
        <f>[1]!survey_responses[[#This Row],[Các thủ tục khai báo thuế VÀ/HOẶC quy trình làm việc với cơ quan thuế đơn giản, tiện lợi, nhanh chóng hơn so với trước đây. - HUMAN-FAC1]]</f>
        <v>7</v>
      </c>
      <c r="N242">
        <f t="shared" si="88"/>
        <v>0.66666666666666663</v>
      </c>
      <c r="O242">
        <f>step3_validation[[#This Row],[AI_FAC2]]</f>
        <v>9</v>
      </c>
      <c r="P242">
        <f t="shared" si="89"/>
        <v>0.88888888888888884</v>
      </c>
      <c r="Q242">
        <f>[1]!survey_responses[[#This Row],[So với trước đây, tôi thấy cách tính thuế và các bậc thuế trong phương án mới đơn giản, dễ hiểu và dễ thực hiện hơn. - HUMAN-FAC2]]</f>
        <v>7</v>
      </c>
      <c r="R242">
        <f t="shared" si="90"/>
        <v>0.66666666666666663</v>
      </c>
      <c r="S242" s="32">
        <f t="shared" si="91"/>
        <v>0.83333333333333326</v>
      </c>
      <c r="T242" s="32">
        <f t="shared" si="92"/>
        <v>0.66666666666666663</v>
      </c>
      <c r="U242">
        <f>step3_validation[[#This Row],[AI_TRU1]]</f>
        <v>7</v>
      </c>
      <c r="V242">
        <f t="shared" si="93"/>
        <v>0.66666666666666663</v>
      </c>
      <c r="W242">
        <f>[1]!survey_responses[[#This Row],[Tôi tin rằng Nhà nước, cơ quan thuế sẽ thực thi chính sách mới một cách khách quan, công tâm và đối xử bình đẳng với mọi người nộp thuế.  - HUMAN-TRU1]]</f>
        <v>8</v>
      </c>
      <c r="X242">
        <f t="shared" si="94"/>
        <v>0.77777777777777779</v>
      </c>
      <c r="Y242">
        <f>step3_validation[[#This Row],[AI_TRU2]]</f>
        <v>6</v>
      </c>
      <c r="Z242">
        <f t="shared" si="95"/>
        <v>0.55555555555555558</v>
      </c>
      <c r="AA242">
        <f>[1]!survey_responses[[#This Row],[Tôi thấy mức thuế tôi phải đóng theo phương án mới là công bằng (người thu nhập như tôi đóng mức này là hợp lý). - HUMAN-TRU2]]</f>
        <v>8</v>
      </c>
      <c r="AB242">
        <f t="shared" si="96"/>
        <v>0.77777777777777779</v>
      </c>
      <c r="AC242">
        <f>step3_validation[[#This Row],[AI_TRU3]]</f>
        <v>5</v>
      </c>
      <c r="AD242">
        <f t="shared" si="97"/>
        <v>0.44444444444444442</v>
      </c>
      <c r="AE242">
        <f>[1]!survey_responses[[#This Row],[Tôi tin tưởng số tiền thuế tôi đóng sẽ được Nhà nước sử dụng hiệu quả để cải thiện dịch vụ công (y tế, đường xá...). - HUMAN-TRU3]]</f>
        <v>8</v>
      </c>
      <c r="AF242">
        <f t="shared" si="98"/>
        <v>0.77777777777777779</v>
      </c>
      <c r="AG242">
        <f>step3_validation[[#This Row],[AI_TRU4]]</f>
        <v>6</v>
      </c>
      <c r="AH242">
        <f t="shared" si="99"/>
        <v>0.55555555555555558</v>
      </c>
      <c r="AI242">
        <f>[1]!survey_responses[[#This Row],[Tôi thấy Nhà nước đã giải thích rõ ràng, minh bạch về lý do và mục tiêu của việc sửa đổi thuế lần này. - HUMAN-TRU4]]</f>
        <v>8</v>
      </c>
      <c r="AJ242">
        <f t="shared" si="100"/>
        <v>0.77777777777777779</v>
      </c>
      <c r="AK242" s="32">
        <f t="shared" si="101"/>
        <v>0.55555555555555558</v>
      </c>
      <c r="AL242" s="32">
        <f t="shared" si="102"/>
        <v>0.77777777777777779</v>
      </c>
      <c r="AM242" s="7">
        <f t="shared" si="103"/>
        <v>0.66666666666666663</v>
      </c>
      <c r="AN242" s="7">
        <f t="shared" si="104"/>
        <v>0.68518518518518512</v>
      </c>
      <c r="AO242">
        <f>step3_validation[[#This Row],[AI_OUT1]]</f>
        <v>7</v>
      </c>
      <c r="AP242">
        <f t="shared" si="105"/>
        <v>0.66666666666666663</v>
      </c>
      <c r="AQ242">
        <f>[1]!survey_responses[[#This Row],[Sau khi xem xét các quyền lợi và nghĩa vụ, bạn có ủng hộ và tuân thủ chính sách mới hiện nay? - HUMAN-OUT1]]</f>
        <v>8</v>
      </c>
      <c r="AR242">
        <f t="shared" si="106"/>
        <v>0.77777777777777779</v>
      </c>
      <c r="AS242" s="32">
        <f t="shared" si="107"/>
        <v>1</v>
      </c>
    </row>
    <row r="243" spans="1:45" x14ac:dyDescent="0.45">
      <c r="A243">
        <f>step3_validation[[#This Row],[AI_ENF1]]</f>
        <v>8</v>
      </c>
      <c r="B243">
        <f t="shared" si="81"/>
        <v>0.77777777777777779</v>
      </c>
      <c r="C243">
        <f>[1]!survey_responses[[#This Row],[Tôi tin rằng với các quy định quản lý thuế hiện nay, hành vi gian lận hoặc trốn thuế sẽ dễ dàng bị phát hiện và xử lý nghiêm. - HUMAN-ENF1]]</f>
        <v>6</v>
      </c>
      <c r="D243">
        <f t="shared" si="82"/>
        <v>0.55555555555555558</v>
      </c>
      <c r="E243">
        <f>step3_validation[[#This Row],[AI_ENF2]]</f>
        <v>7</v>
      </c>
      <c r="F243">
        <f t="shared" si="83"/>
        <v>0.66666666666666663</v>
      </c>
      <c r="G243">
        <f>[1]!survey_responses[[#This Row],[Tôi tin rằng Nhà nước, cơ quan thuế có đủ khả năng và công nghệ để phát hiện, xử lý nghiêm các hành vi trốn thuế. - HUMAN-ENF2]]</f>
        <v>5</v>
      </c>
      <c r="H243">
        <f t="shared" si="84"/>
        <v>0.44444444444444442</v>
      </c>
      <c r="I243" s="32">
        <f t="shared" si="85"/>
        <v>0.72222222222222221</v>
      </c>
      <c r="J243" s="32">
        <f t="shared" si="86"/>
        <v>0.5</v>
      </c>
      <c r="K243">
        <f>step3_validation[[#This Row],[AI_FAC1]]</f>
        <v>9</v>
      </c>
      <c r="L243">
        <f t="shared" si="87"/>
        <v>0.88888888888888884</v>
      </c>
      <c r="M243">
        <f>[1]!survey_responses[[#This Row],[Các thủ tục khai báo thuế VÀ/HOẶC quy trình làm việc với cơ quan thuế đơn giản, tiện lợi, nhanh chóng hơn so với trước đây. - HUMAN-FAC1]]</f>
        <v>5</v>
      </c>
      <c r="N243">
        <f t="shared" si="88"/>
        <v>0.44444444444444442</v>
      </c>
      <c r="O243">
        <f>step3_validation[[#This Row],[AI_FAC2]]</f>
        <v>8</v>
      </c>
      <c r="P243">
        <f t="shared" si="89"/>
        <v>0.77777777777777779</v>
      </c>
      <c r="Q243">
        <f>[1]!survey_responses[[#This Row],[So với trước đây, tôi thấy cách tính thuế và các bậc thuế trong phương án mới đơn giản, dễ hiểu và dễ thực hiện hơn. - HUMAN-FAC2]]</f>
        <v>7</v>
      </c>
      <c r="R243">
        <f t="shared" si="90"/>
        <v>0.66666666666666663</v>
      </c>
      <c r="S243" s="32">
        <f t="shared" si="91"/>
        <v>0.83333333333333326</v>
      </c>
      <c r="T243" s="32">
        <f t="shared" si="92"/>
        <v>0.55555555555555558</v>
      </c>
      <c r="U243">
        <f>step3_validation[[#This Row],[AI_TRU1]]</f>
        <v>9</v>
      </c>
      <c r="V243">
        <f t="shared" si="93"/>
        <v>0.88888888888888884</v>
      </c>
      <c r="W243">
        <f>[1]!survey_responses[[#This Row],[Tôi tin rằng Nhà nước, cơ quan thuế sẽ thực thi chính sách mới một cách khách quan, công tâm và đối xử bình đẳng với mọi người nộp thuế.  - HUMAN-TRU1]]</f>
        <v>7</v>
      </c>
      <c r="X243">
        <f t="shared" si="94"/>
        <v>0.66666666666666663</v>
      </c>
      <c r="Y243">
        <f>step3_validation[[#This Row],[AI_TRU2]]</f>
        <v>6</v>
      </c>
      <c r="Z243">
        <f t="shared" si="95"/>
        <v>0.55555555555555558</v>
      </c>
      <c r="AA243">
        <f>[1]!survey_responses[[#This Row],[Tôi thấy mức thuế tôi phải đóng theo phương án mới là công bằng (người thu nhập như tôi đóng mức này là hợp lý). - HUMAN-TRU2]]</f>
        <v>7</v>
      </c>
      <c r="AB243">
        <f t="shared" si="96"/>
        <v>0.66666666666666663</v>
      </c>
      <c r="AC243">
        <f>step3_validation[[#This Row],[AI_TRU3]]</f>
        <v>7</v>
      </c>
      <c r="AD243">
        <f t="shared" si="97"/>
        <v>0.66666666666666663</v>
      </c>
      <c r="AE243">
        <f>[1]!survey_responses[[#This Row],[Tôi tin tưởng số tiền thuế tôi đóng sẽ được Nhà nước sử dụng hiệu quả để cải thiện dịch vụ công (y tế, đường xá...). - HUMAN-TRU3]]</f>
        <v>7</v>
      </c>
      <c r="AF243">
        <f t="shared" si="98"/>
        <v>0.66666666666666663</v>
      </c>
      <c r="AG243">
        <f>step3_validation[[#This Row],[AI_TRU4]]</f>
        <v>5</v>
      </c>
      <c r="AH243">
        <f t="shared" si="99"/>
        <v>0.44444444444444442</v>
      </c>
      <c r="AI243">
        <f>[1]!survey_responses[[#This Row],[Tôi thấy Nhà nước đã giải thích rõ ràng, minh bạch về lý do và mục tiêu của việc sửa đổi thuế lần này. - HUMAN-TRU4]]</f>
        <v>8</v>
      </c>
      <c r="AJ243">
        <f t="shared" si="100"/>
        <v>0.77777777777777779</v>
      </c>
      <c r="AK243" s="32">
        <f t="shared" si="101"/>
        <v>0.63888888888888884</v>
      </c>
      <c r="AL243" s="32">
        <f t="shared" si="102"/>
        <v>0.69444444444444442</v>
      </c>
      <c r="AM243" s="7">
        <f t="shared" si="103"/>
        <v>0.7314814814814814</v>
      </c>
      <c r="AN243" s="7">
        <f t="shared" si="104"/>
        <v>0.58333333333333337</v>
      </c>
      <c r="AO243">
        <f>step3_validation[[#This Row],[AI_OUT1]]</f>
        <v>7</v>
      </c>
      <c r="AP243">
        <f t="shared" si="105"/>
        <v>0.66666666666666663</v>
      </c>
      <c r="AQ243">
        <f>[1]!survey_responses[[#This Row],[Sau khi xem xét các quyền lợi và nghĩa vụ, bạn có ủng hộ và tuân thủ chính sách mới hiện nay? - HUMAN-OUT1]]</f>
        <v>8</v>
      </c>
      <c r="AR243">
        <f t="shared" si="106"/>
        <v>0.77777777777777779</v>
      </c>
      <c r="AS243" s="32">
        <f t="shared" si="107"/>
        <v>1</v>
      </c>
    </row>
    <row r="244" spans="1:45" x14ac:dyDescent="0.45">
      <c r="A244">
        <f>step3_validation[[#This Row],[AI_ENF1]]</f>
        <v>8</v>
      </c>
      <c r="B244">
        <f t="shared" si="81"/>
        <v>0.77777777777777779</v>
      </c>
      <c r="C244">
        <f>[1]!survey_responses[[#This Row],[Tôi tin rằng với các quy định quản lý thuế hiện nay, hành vi gian lận hoặc trốn thuế sẽ dễ dàng bị phát hiện và xử lý nghiêm. - HUMAN-ENF1]]</f>
        <v>6</v>
      </c>
      <c r="D244">
        <f t="shared" si="82"/>
        <v>0.55555555555555558</v>
      </c>
      <c r="E244">
        <f>step3_validation[[#This Row],[AI_ENF2]]</f>
        <v>7</v>
      </c>
      <c r="F244">
        <f t="shared" si="83"/>
        <v>0.66666666666666663</v>
      </c>
      <c r="G244">
        <f>[1]!survey_responses[[#This Row],[Tôi tin rằng Nhà nước, cơ quan thuế có đủ khả năng và công nghệ để phát hiện, xử lý nghiêm các hành vi trốn thuế. - HUMAN-ENF2]]</f>
        <v>6</v>
      </c>
      <c r="H244">
        <f t="shared" si="84"/>
        <v>0.55555555555555558</v>
      </c>
      <c r="I244" s="32">
        <f t="shared" si="85"/>
        <v>0.72222222222222221</v>
      </c>
      <c r="J244" s="32">
        <f t="shared" si="86"/>
        <v>0.55555555555555558</v>
      </c>
      <c r="K244">
        <f>step3_validation[[#This Row],[AI_FAC1]]</f>
        <v>9</v>
      </c>
      <c r="L244">
        <f t="shared" si="87"/>
        <v>0.88888888888888884</v>
      </c>
      <c r="M244">
        <f>[1]!survey_responses[[#This Row],[Các thủ tục khai báo thuế VÀ/HOẶC quy trình làm việc với cơ quan thuế đơn giản, tiện lợi, nhanh chóng hơn so với trước đây. - HUMAN-FAC1]]</f>
        <v>6</v>
      </c>
      <c r="N244">
        <f t="shared" si="88"/>
        <v>0.55555555555555558</v>
      </c>
      <c r="O244">
        <f>step3_validation[[#This Row],[AI_FAC2]]</f>
        <v>8</v>
      </c>
      <c r="P244">
        <f t="shared" si="89"/>
        <v>0.77777777777777779</v>
      </c>
      <c r="Q244">
        <f>[1]!survey_responses[[#This Row],[So với trước đây, tôi thấy cách tính thuế và các bậc thuế trong phương án mới đơn giản, dễ hiểu và dễ thực hiện hơn. - HUMAN-FAC2]]</f>
        <v>6</v>
      </c>
      <c r="R244">
        <f t="shared" si="90"/>
        <v>0.55555555555555558</v>
      </c>
      <c r="S244" s="32">
        <f t="shared" si="91"/>
        <v>0.83333333333333326</v>
      </c>
      <c r="T244" s="32">
        <f t="shared" si="92"/>
        <v>0.55555555555555558</v>
      </c>
      <c r="U244">
        <f>step3_validation[[#This Row],[AI_TRU1]]</f>
        <v>7</v>
      </c>
      <c r="V244">
        <f t="shared" si="93"/>
        <v>0.66666666666666663</v>
      </c>
      <c r="W244">
        <f>[1]!survey_responses[[#This Row],[Tôi tin rằng Nhà nước, cơ quan thuế sẽ thực thi chính sách mới một cách khách quan, công tâm và đối xử bình đẳng với mọi người nộp thuế.  - HUMAN-TRU1]]</f>
        <v>6</v>
      </c>
      <c r="X244">
        <f t="shared" si="94"/>
        <v>0.55555555555555558</v>
      </c>
      <c r="Y244">
        <f>step3_validation[[#This Row],[AI_TRU2]]</f>
        <v>6</v>
      </c>
      <c r="Z244">
        <f t="shared" si="95"/>
        <v>0.55555555555555558</v>
      </c>
      <c r="AA244">
        <f>[1]!survey_responses[[#This Row],[Tôi thấy mức thuế tôi phải đóng theo phương án mới là công bằng (người thu nhập như tôi đóng mức này là hợp lý). - HUMAN-TRU2]]</f>
        <v>6</v>
      </c>
      <c r="AB244">
        <f t="shared" si="96"/>
        <v>0.55555555555555558</v>
      </c>
      <c r="AC244">
        <f>step3_validation[[#This Row],[AI_TRU3]]</f>
        <v>5</v>
      </c>
      <c r="AD244">
        <f t="shared" si="97"/>
        <v>0.44444444444444442</v>
      </c>
      <c r="AE244">
        <f>[1]!survey_responses[[#This Row],[Tôi tin tưởng số tiền thuế tôi đóng sẽ được Nhà nước sử dụng hiệu quả để cải thiện dịch vụ công (y tế, đường xá...). - HUMAN-TRU3]]</f>
        <v>6</v>
      </c>
      <c r="AF244">
        <f t="shared" si="98"/>
        <v>0.55555555555555558</v>
      </c>
      <c r="AG244">
        <f>step3_validation[[#This Row],[AI_TRU4]]</f>
        <v>6</v>
      </c>
      <c r="AH244">
        <f t="shared" si="99"/>
        <v>0.55555555555555558</v>
      </c>
      <c r="AI244">
        <f>[1]!survey_responses[[#This Row],[Tôi thấy Nhà nước đã giải thích rõ ràng, minh bạch về lý do và mục tiêu của việc sửa đổi thuế lần này. - HUMAN-TRU4]]</f>
        <v>6</v>
      </c>
      <c r="AJ244">
        <f t="shared" si="100"/>
        <v>0.55555555555555558</v>
      </c>
      <c r="AK244" s="32">
        <f t="shared" si="101"/>
        <v>0.55555555555555558</v>
      </c>
      <c r="AL244" s="32">
        <f t="shared" si="102"/>
        <v>0.55555555555555558</v>
      </c>
      <c r="AM244" s="7">
        <f t="shared" si="103"/>
        <v>0.70370370370370361</v>
      </c>
      <c r="AN244" s="7">
        <f t="shared" si="104"/>
        <v>0.55555555555555558</v>
      </c>
      <c r="AO244">
        <f>step3_validation[[#This Row],[AI_OUT1]]</f>
        <v>7</v>
      </c>
      <c r="AP244">
        <f t="shared" si="105"/>
        <v>0.66666666666666663</v>
      </c>
      <c r="AQ244">
        <f>[1]!survey_responses[[#This Row],[Sau khi xem xét các quyền lợi và nghĩa vụ, bạn có ủng hộ và tuân thủ chính sách mới hiện nay? - HUMAN-OUT1]]</f>
        <v>6</v>
      </c>
      <c r="AR244">
        <f t="shared" si="106"/>
        <v>0.55555555555555558</v>
      </c>
      <c r="AS244" s="32">
        <f t="shared" si="107"/>
        <v>1</v>
      </c>
    </row>
    <row r="245" spans="1:45" x14ac:dyDescent="0.45">
      <c r="A245">
        <f>step3_validation[[#This Row],[AI_ENF1]]</f>
        <v>7</v>
      </c>
      <c r="B245">
        <f t="shared" si="81"/>
        <v>0.66666666666666663</v>
      </c>
      <c r="C245">
        <f>[1]!survey_responses[[#This Row],[Tôi tin rằng với các quy định quản lý thuế hiện nay, hành vi gian lận hoặc trốn thuế sẽ dễ dàng bị phát hiện và xử lý nghiêm. - HUMAN-ENF1]]</f>
        <v>7</v>
      </c>
      <c r="D245">
        <f t="shared" si="82"/>
        <v>0.66666666666666663</v>
      </c>
      <c r="E245">
        <f>step3_validation[[#This Row],[AI_ENF2]]</f>
        <v>8</v>
      </c>
      <c r="F245">
        <f t="shared" si="83"/>
        <v>0.77777777777777779</v>
      </c>
      <c r="G245">
        <f>[1]!survey_responses[[#This Row],[Tôi tin rằng Nhà nước, cơ quan thuế có đủ khả năng và công nghệ để phát hiện, xử lý nghiêm các hành vi trốn thuế. - HUMAN-ENF2]]</f>
        <v>6</v>
      </c>
      <c r="H245">
        <f t="shared" si="84"/>
        <v>0.55555555555555558</v>
      </c>
      <c r="I245" s="32">
        <f t="shared" si="85"/>
        <v>0.72222222222222221</v>
      </c>
      <c r="J245" s="32">
        <f t="shared" si="86"/>
        <v>0.61111111111111116</v>
      </c>
      <c r="K245">
        <f>step3_validation[[#This Row],[AI_FAC1]]</f>
        <v>9</v>
      </c>
      <c r="L245">
        <f t="shared" si="87"/>
        <v>0.88888888888888884</v>
      </c>
      <c r="M245">
        <f>[1]!survey_responses[[#This Row],[Các thủ tục khai báo thuế VÀ/HOẶC quy trình làm việc với cơ quan thuế đơn giản, tiện lợi, nhanh chóng hơn so với trước đây. - HUMAN-FAC1]]</f>
        <v>6</v>
      </c>
      <c r="N245">
        <f t="shared" si="88"/>
        <v>0.55555555555555558</v>
      </c>
      <c r="O245">
        <f>step3_validation[[#This Row],[AI_FAC2]]</f>
        <v>8</v>
      </c>
      <c r="P245">
        <f t="shared" si="89"/>
        <v>0.77777777777777779</v>
      </c>
      <c r="Q245">
        <f>[1]!survey_responses[[#This Row],[So với trước đây, tôi thấy cách tính thuế và các bậc thuế trong phương án mới đơn giản, dễ hiểu và dễ thực hiện hơn. - HUMAN-FAC2]]</f>
        <v>8</v>
      </c>
      <c r="R245">
        <f t="shared" si="90"/>
        <v>0.77777777777777779</v>
      </c>
      <c r="S245" s="32">
        <f t="shared" si="91"/>
        <v>0.83333333333333326</v>
      </c>
      <c r="T245" s="32">
        <f t="shared" si="92"/>
        <v>0.66666666666666674</v>
      </c>
      <c r="U245">
        <f>step3_validation[[#This Row],[AI_TRU1]]</f>
        <v>7</v>
      </c>
      <c r="V245">
        <f t="shared" si="93"/>
        <v>0.66666666666666663</v>
      </c>
      <c r="W245">
        <f>[1]!survey_responses[[#This Row],[Tôi tin rằng Nhà nước, cơ quan thuế sẽ thực thi chính sách mới một cách khách quan, công tâm và đối xử bình đẳng với mọi người nộp thuế.  - HUMAN-TRU1]]</f>
        <v>6</v>
      </c>
      <c r="X245">
        <f t="shared" si="94"/>
        <v>0.55555555555555558</v>
      </c>
      <c r="Y245">
        <f>step3_validation[[#This Row],[AI_TRU2]]</f>
        <v>8</v>
      </c>
      <c r="Z245">
        <f t="shared" si="95"/>
        <v>0.77777777777777779</v>
      </c>
      <c r="AA245">
        <f>[1]!survey_responses[[#This Row],[Tôi thấy mức thuế tôi phải đóng theo phương án mới là công bằng (người thu nhập như tôi đóng mức này là hợp lý). - HUMAN-TRU2]]</f>
        <v>6</v>
      </c>
      <c r="AB245">
        <f t="shared" si="96"/>
        <v>0.55555555555555558</v>
      </c>
      <c r="AC245">
        <f>step3_validation[[#This Row],[AI_TRU3]]</f>
        <v>7</v>
      </c>
      <c r="AD245">
        <f t="shared" si="97"/>
        <v>0.66666666666666663</v>
      </c>
      <c r="AE245">
        <f>[1]!survey_responses[[#This Row],[Tôi tin tưởng số tiền thuế tôi đóng sẽ được Nhà nước sử dụng hiệu quả để cải thiện dịch vụ công (y tế, đường xá...). - HUMAN-TRU3]]</f>
        <v>6</v>
      </c>
      <c r="AF245">
        <f t="shared" si="98"/>
        <v>0.55555555555555558</v>
      </c>
      <c r="AG245">
        <f>step3_validation[[#This Row],[AI_TRU4]]</f>
        <v>6</v>
      </c>
      <c r="AH245">
        <f t="shared" si="99"/>
        <v>0.55555555555555558</v>
      </c>
      <c r="AI245">
        <f>[1]!survey_responses[[#This Row],[Tôi thấy Nhà nước đã giải thích rõ ràng, minh bạch về lý do và mục tiêu của việc sửa đổi thuế lần này. - HUMAN-TRU4]]</f>
        <v>6</v>
      </c>
      <c r="AJ245">
        <f t="shared" si="100"/>
        <v>0.55555555555555558</v>
      </c>
      <c r="AK245" s="32">
        <f t="shared" si="101"/>
        <v>0.66666666666666674</v>
      </c>
      <c r="AL245" s="32">
        <f t="shared" si="102"/>
        <v>0.55555555555555558</v>
      </c>
      <c r="AM245" s="7">
        <f t="shared" si="103"/>
        <v>0.74074074074074081</v>
      </c>
      <c r="AN245" s="7">
        <f t="shared" si="104"/>
        <v>0.61111111111111116</v>
      </c>
      <c r="AO245">
        <f>step3_validation[[#This Row],[AI_OUT1]]</f>
        <v>7</v>
      </c>
      <c r="AP245">
        <f t="shared" si="105"/>
        <v>0.66666666666666663</v>
      </c>
      <c r="AQ245">
        <f>[1]!survey_responses[[#This Row],[Sau khi xem xét các quyền lợi và nghĩa vụ, bạn có ủng hộ và tuân thủ chính sách mới hiện nay? - HUMAN-OUT1]]</f>
        <v>6</v>
      </c>
      <c r="AR245">
        <f t="shared" si="106"/>
        <v>0.55555555555555558</v>
      </c>
      <c r="AS245" s="32">
        <f t="shared" si="107"/>
        <v>1</v>
      </c>
    </row>
    <row r="246" spans="1:45" x14ac:dyDescent="0.45">
      <c r="A246">
        <f>step3_validation[[#This Row],[AI_ENF1]]</f>
        <v>7</v>
      </c>
      <c r="B246">
        <f t="shared" si="81"/>
        <v>0.66666666666666663</v>
      </c>
      <c r="C246">
        <f>[1]!survey_responses[[#This Row],[Tôi tin rằng với các quy định quản lý thuế hiện nay, hành vi gian lận hoặc trốn thuế sẽ dễ dàng bị phát hiện và xử lý nghiêm. - HUMAN-ENF1]]</f>
        <v>4</v>
      </c>
      <c r="D246">
        <f t="shared" si="82"/>
        <v>0.33333333333333331</v>
      </c>
      <c r="E246">
        <f>step3_validation[[#This Row],[AI_ENF2]]</f>
        <v>8</v>
      </c>
      <c r="F246">
        <f t="shared" si="83"/>
        <v>0.77777777777777779</v>
      </c>
      <c r="G246">
        <f>[1]!survey_responses[[#This Row],[Tôi tin rằng Nhà nước, cơ quan thuế có đủ khả năng và công nghệ để phát hiện, xử lý nghiêm các hành vi trốn thuế. - HUMAN-ENF2]]</f>
        <v>4</v>
      </c>
      <c r="H246">
        <f t="shared" si="84"/>
        <v>0.33333333333333331</v>
      </c>
      <c r="I246" s="32">
        <f t="shared" si="85"/>
        <v>0.72222222222222221</v>
      </c>
      <c r="J246" s="32">
        <f t="shared" si="86"/>
        <v>0.33333333333333331</v>
      </c>
      <c r="K246">
        <f>step3_validation[[#This Row],[AI_FAC1]]</f>
        <v>6</v>
      </c>
      <c r="L246">
        <f t="shared" si="87"/>
        <v>0.55555555555555558</v>
      </c>
      <c r="M246">
        <f>[1]!survey_responses[[#This Row],[Các thủ tục khai báo thuế VÀ/HOẶC quy trình làm việc với cơ quan thuế đơn giản, tiện lợi, nhanh chóng hơn so với trước đây. - HUMAN-FAC1]]</f>
        <v>1</v>
      </c>
      <c r="N246">
        <f t="shared" si="88"/>
        <v>0</v>
      </c>
      <c r="O246">
        <f>step3_validation[[#This Row],[AI_FAC2]]</f>
        <v>8</v>
      </c>
      <c r="P246">
        <f t="shared" si="89"/>
        <v>0.77777777777777779</v>
      </c>
      <c r="Q246">
        <f>[1]!survey_responses[[#This Row],[So với trước đây, tôi thấy cách tính thuế và các bậc thuế trong phương án mới đơn giản, dễ hiểu và dễ thực hiện hơn. - HUMAN-FAC2]]</f>
        <v>4</v>
      </c>
      <c r="R246">
        <f t="shared" si="90"/>
        <v>0.33333333333333331</v>
      </c>
      <c r="S246" s="32">
        <f t="shared" si="91"/>
        <v>0.66666666666666674</v>
      </c>
      <c r="T246" s="32">
        <f t="shared" si="92"/>
        <v>0.16666666666666666</v>
      </c>
      <c r="U246">
        <f>step3_validation[[#This Row],[AI_TRU1]]</f>
        <v>7</v>
      </c>
      <c r="V246">
        <f t="shared" si="93"/>
        <v>0.66666666666666663</v>
      </c>
      <c r="W246">
        <f>[1]!survey_responses[[#This Row],[Tôi tin rằng Nhà nước, cơ quan thuế sẽ thực thi chính sách mới một cách khách quan, công tâm và đối xử bình đẳng với mọi người nộp thuế.  - HUMAN-TRU1]]</f>
        <v>4</v>
      </c>
      <c r="X246">
        <f t="shared" si="94"/>
        <v>0.33333333333333331</v>
      </c>
      <c r="Y246">
        <f>step3_validation[[#This Row],[AI_TRU2]]</f>
        <v>6</v>
      </c>
      <c r="Z246">
        <f t="shared" si="95"/>
        <v>0.55555555555555558</v>
      </c>
      <c r="AA246">
        <f>[1]!survey_responses[[#This Row],[Tôi thấy mức thuế tôi phải đóng theo phương án mới là công bằng (người thu nhập như tôi đóng mức này là hợp lý). - HUMAN-TRU2]]</f>
        <v>4</v>
      </c>
      <c r="AB246">
        <f t="shared" si="96"/>
        <v>0.33333333333333331</v>
      </c>
      <c r="AC246">
        <f>step3_validation[[#This Row],[AI_TRU3]]</f>
        <v>7</v>
      </c>
      <c r="AD246">
        <f t="shared" si="97"/>
        <v>0.66666666666666663</v>
      </c>
      <c r="AE246">
        <f>[1]!survey_responses[[#This Row],[Tôi tin tưởng số tiền thuế tôi đóng sẽ được Nhà nước sử dụng hiệu quả để cải thiện dịch vụ công (y tế, đường xá...). - HUMAN-TRU3]]</f>
        <v>5</v>
      </c>
      <c r="AF246">
        <f t="shared" si="98"/>
        <v>0.44444444444444442</v>
      </c>
      <c r="AG246">
        <f>step3_validation[[#This Row],[AI_TRU4]]</f>
        <v>6</v>
      </c>
      <c r="AH246">
        <f t="shared" si="99"/>
        <v>0.55555555555555558</v>
      </c>
      <c r="AI246">
        <f>[1]!survey_responses[[#This Row],[Tôi thấy Nhà nước đã giải thích rõ ràng, minh bạch về lý do và mục tiêu của việc sửa đổi thuế lần này. - HUMAN-TRU4]]</f>
        <v>5</v>
      </c>
      <c r="AJ246">
        <f t="shared" si="100"/>
        <v>0.44444444444444442</v>
      </c>
      <c r="AK246" s="32">
        <f t="shared" si="101"/>
        <v>0.61111111111111116</v>
      </c>
      <c r="AL246" s="32">
        <f t="shared" si="102"/>
        <v>0.3888888888888889</v>
      </c>
      <c r="AM246" s="7">
        <f t="shared" si="103"/>
        <v>0.66666666666666663</v>
      </c>
      <c r="AN246" s="7">
        <f t="shared" si="104"/>
        <v>0.29629629629629628</v>
      </c>
      <c r="AO246">
        <f>step3_validation[[#This Row],[AI_OUT1]]</f>
        <v>7</v>
      </c>
      <c r="AP246">
        <f t="shared" si="105"/>
        <v>0.66666666666666663</v>
      </c>
      <c r="AQ246">
        <f>[1]!survey_responses[[#This Row],[Sau khi xem xét các quyền lợi và nghĩa vụ, bạn có ủng hộ và tuân thủ chính sách mới hiện nay? - HUMAN-OUT1]]</f>
        <v>5</v>
      </c>
      <c r="AR246">
        <f t="shared" si="106"/>
        <v>0.44444444444444442</v>
      </c>
      <c r="AS246" s="32">
        <f t="shared" si="107"/>
        <v>2</v>
      </c>
    </row>
    <row r="247" spans="1:45" x14ac:dyDescent="0.45">
      <c r="A247">
        <f>step3_validation[[#This Row],[AI_ENF1]]</f>
        <v>4</v>
      </c>
      <c r="B247">
        <f t="shared" si="81"/>
        <v>0.33333333333333331</v>
      </c>
      <c r="C247">
        <f>[1]!survey_responses[[#This Row],[Tôi tin rằng với các quy định quản lý thuế hiện nay, hành vi gian lận hoặc trốn thuế sẽ dễ dàng bị phát hiện và xử lý nghiêm. - HUMAN-ENF1]]</f>
        <v>6</v>
      </c>
      <c r="D247">
        <f t="shared" si="82"/>
        <v>0.55555555555555558</v>
      </c>
      <c r="E247">
        <f>step3_validation[[#This Row],[AI_ENF2]]</f>
        <v>5</v>
      </c>
      <c r="F247">
        <f t="shared" si="83"/>
        <v>0.44444444444444442</v>
      </c>
      <c r="G247">
        <f>[1]!survey_responses[[#This Row],[Tôi tin rằng Nhà nước, cơ quan thuế có đủ khả năng và công nghệ để phát hiện, xử lý nghiêm các hành vi trốn thuế. - HUMAN-ENF2]]</f>
        <v>7</v>
      </c>
      <c r="H247">
        <f t="shared" si="84"/>
        <v>0.66666666666666663</v>
      </c>
      <c r="I247" s="32">
        <f t="shared" si="85"/>
        <v>0.38888888888888884</v>
      </c>
      <c r="J247" s="32">
        <f t="shared" si="86"/>
        <v>0.61111111111111116</v>
      </c>
      <c r="K247">
        <f>step3_validation[[#This Row],[AI_FAC1]]</f>
        <v>7</v>
      </c>
      <c r="L247">
        <f t="shared" si="87"/>
        <v>0.66666666666666663</v>
      </c>
      <c r="M247">
        <f>[1]!survey_responses[[#This Row],[Các thủ tục khai báo thuế VÀ/HOẶC quy trình làm việc với cơ quan thuế đơn giản, tiện lợi, nhanh chóng hơn so với trước đây. - HUMAN-FAC1]]</f>
        <v>7</v>
      </c>
      <c r="N247">
        <f t="shared" si="88"/>
        <v>0.66666666666666663</v>
      </c>
      <c r="O247">
        <f>step3_validation[[#This Row],[AI_FAC2]]</f>
        <v>8</v>
      </c>
      <c r="P247">
        <f t="shared" si="89"/>
        <v>0.77777777777777779</v>
      </c>
      <c r="Q247">
        <f>[1]!survey_responses[[#This Row],[So với trước đây, tôi thấy cách tính thuế và các bậc thuế trong phương án mới đơn giản, dễ hiểu và dễ thực hiện hơn. - HUMAN-FAC2]]</f>
        <v>7</v>
      </c>
      <c r="R247">
        <f t="shared" si="90"/>
        <v>0.66666666666666663</v>
      </c>
      <c r="S247" s="32">
        <f t="shared" si="91"/>
        <v>0.72222222222222221</v>
      </c>
      <c r="T247" s="32">
        <f t="shared" si="92"/>
        <v>0.66666666666666663</v>
      </c>
      <c r="U247">
        <f>step3_validation[[#This Row],[AI_TRU1]]</f>
        <v>5</v>
      </c>
      <c r="V247">
        <f t="shared" si="93"/>
        <v>0.44444444444444442</v>
      </c>
      <c r="W247">
        <f>[1]!survey_responses[[#This Row],[Tôi tin rằng Nhà nước, cơ quan thuế sẽ thực thi chính sách mới một cách khách quan, công tâm và đối xử bình đẳng với mọi người nộp thuế.  - HUMAN-TRU1]]</f>
        <v>7</v>
      </c>
      <c r="X247">
        <f t="shared" si="94"/>
        <v>0.66666666666666663</v>
      </c>
      <c r="Y247">
        <f>step3_validation[[#This Row],[AI_TRU2]]</f>
        <v>6</v>
      </c>
      <c r="Z247">
        <f t="shared" si="95"/>
        <v>0.55555555555555558</v>
      </c>
      <c r="AA247">
        <f>[1]!survey_responses[[#This Row],[Tôi thấy mức thuế tôi phải đóng theo phương án mới là công bằng (người thu nhập như tôi đóng mức này là hợp lý). - HUMAN-TRU2]]</f>
        <v>7</v>
      </c>
      <c r="AB247">
        <f t="shared" si="96"/>
        <v>0.66666666666666663</v>
      </c>
      <c r="AC247">
        <f>step3_validation[[#This Row],[AI_TRU3]]</f>
        <v>4</v>
      </c>
      <c r="AD247">
        <f t="shared" si="97"/>
        <v>0.33333333333333331</v>
      </c>
      <c r="AE247">
        <f>[1]!survey_responses[[#This Row],[Tôi tin tưởng số tiền thuế tôi đóng sẽ được Nhà nước sử dụng hiệu quả để cải thiện dịch vụ công (y tế, đường xá...). - HUMAN-TRU3]]</f>
        <v>7</v>
      </c>
      <c r="AF247">
        <f t="shared" si="98"/>
        <v>0.66666666666666663</v>
      </c>
      <c r="AG247">
        <f>step3_validation[[#This Row],[AI_TRU4]]</f>
        <v>5</v>
      </c>
      <c r="AH247">
        <f t="shared" si="99"/>
        <v>0.44444444444444442</v>
      </c>
      <c r="AI247">
        <f>[1]!survey_responses[[#This Row],[Tôi thấy Nhà nước đã giải thích rõ ràng, minh bạch về lý do và mục tiêu của việc sửa đổi thuế lần này. - HUMAN-TRU4]]</f>
        <v>7</v>
      </c>
      <c r="AJ247">
        <f t="shared" si="100"/>
        <v>0.66666666666666663</v>
      </c>
      <c r="AK247" s="32">
        <f t="shared" si="101"/>
        <v>0.44444444444444442</v>
      </c>
      <c r="AL247" s="32">
        <f t="shared" si="102"/>
        <v>0.66666666666666663</v>
      </c>
      <c r="AM247" s="7">
        <f t="shared" si="103"/>
        <v>0.51851851851851849</v>
      </c>
      <c r="AN247" s="7">
        <f t="shared" si="104"/>
        <v>0.64814814814814803</v>
      </c>
      <c r="AO247">
        <f>step3_validation[[#This Row],[AI_OUT1]]</f>
        <v>3</v>
      </c>
      <c r="AP247">
        <f t="shared" si="105"/>
        <v>0.22222222222222221</v>
      </c>
      <c r="AQ247">
        <f>[1]!survey_responses[[#This Row],[Sau khi xem xét các quyền lợi và nghĩa vụ, bạn có ủng hộ và tuân thủ chính sách mới hiện nay? - HUMAN-OUT1]]</f>
        <v>7</v>
      </c>
      <c r="AR247">
        <f t="shared" si="106"/>
        <v>0.66666666666666663</v>
      </c>
      <c r="AS247" s="32">
        <f t="shared" si="107"/>
        <v>4</v>
      </c>
    </row>
    <row r="248" spans="1:45" x14ac:dyDescent="0.45">
      <c r="A248">
        <f>step3_validation[[#This Row],[AI_ENF1]]</f>
        <v>7</v>
      </c>
      <c r="B248">
        <f t="shared" si="81"/>
        <v>0.66666666666666663</v>
      </c>
      <c r="C248">
        <f>[1]!survey_responses[[#This Row],[Tôi tin rằng với các quy định quản lý thuế hiện nay, hành vi gian lận hoặc trốn thuế sẽ dễ dàng bị phát hiện và xử lý nghiêm. - HUMAN-ENF1]]</f>
        <v>8</v>
      </c>
      <c r="D248">
        <f t="shared" si="82"/>
        <v>0.77777777777777779</v>
      </c>
      <c r="E248">
        <f>step3_validation[[#This Row],[AI_ENF2]]</f>
        <v>6</v>
      </c>
      <c r="F248">
        <f t="shared" si="83"/>
        <v>0.55555555555555558</v>
      </c>
      <c r="G248">
        <f>[1]!survey_responses[[#This Row],[Tôi tin rằng Nhà nước, cơ quan thuế có đủ khả năng và công nghệ để phát hiện, xử lý nghiêm các hành vi trốn thuế. - HUMAN-ENF2]]</f>
        <v>8</v>
      </c>
      <c r="H248">
        <f t="shared" si="84"/>
        <v>0.77777777777777779</v>
      </c>
      <c r="I248" s="32">
        <f t="shared" si="85"/>
        <v>0.61111111111111116</v>
      </c>
      <c r="J248" s="32">
        <f t="shared" si="86"/>
        <v>0.77777777777777779</v>
      </c>
      <c r="K248">
        <f>step3_validation[[#This Row],[AI_FAC1]]</f>
        <v>8</v>
      </c>
      <c r="L248">
        <f t="shared" si="87"/>
        <v>0.77777777777777779</v>
      </c>
      <c r="M248">
        <f>[1]!survey_responses[[#This Row],[Các thủ tục khai báo thuế VÀ/HOẶC quy trình làm việc với cơ quan thuế đơn giản, tiện lợi, nhanh chóng hơn so với trước đây. - HUMAN-FAC1]]</f>
        <v>8</v>
      </c>
      <c r="N248">
        <f t="shared" si="88"/>
        <v>0.77777777777777779</v>
      </c>
      <c r="O248">
        <f>step3_validation[[#This Row],[AI_FAC2]]</f>
        <v>7</v>
      </c>
      <c r="P248">
        <f t="shared" si="89"/>
        <v>0.66666666666666663</v>
      </c>
      <c r="Q248">
        <f>[1]!survey_responses[[#This Row],[So với trước đây, tôi thấy cách tính thuế và các bậc thuế trong phương án mới đơn giản, dễ hiểu và dễ thực hiện hơn. - HUMAN-FAC2]]</f>
        <v>8</v>
      </c>
      <c r="R248">
        <f t="shared" si="90"/>
        <v>0.77777777777777779</v>
      </c>
      <c r="S248" s="32">
        <f t="shared" si="91"/>
        <v>0.72222222222222221</v>
      </c>
      <c r="T248" s="32">
        <f t="shared" si="92"/>
        <v>0.77777777777777779</v>
      </c>
      <c r="U248">
        <f>step3_validation[[#This Row],[AI_TRU1]]</f>
        <v>6</v>
      </c>
      <c r="V248">
        <f t="shared" si="93"/>
        <v>0.55555555555555558</v>
      </c>
      <c r="W248">
        <f>[1]!survey_responses[[#This Row],[Tôi tin rằng Nhà nước, cơ quan thuế sẽ thực thi chính sách mới một cách khách quan, công tâm và đối xử bình đẳng với mọi người nộp thuế.  - HUMAN-TRU1]]</f>
        <v>8</v>
      </c>
      <c r="X248">
        <f t="shared" si="94"/>
        <v>0.77777777777777779</v>
      </c>
      <c r="Y248">
        <f>step3_validation[[#This Row],[AI_TRU2]]</f>
        <v>7</v>
      </c>
      <c r="Z248">
        <f t="shared" si="95"/>
        <v>0.66666666666666663</v>
      </c>
      <c r="AA248">
        <f>[1]!survey_responses[[#This Row],[Tôi thấy mức thuế tôi phải đóng theo phương án mới là công bằng (người thu nhập như tôi đóng mức này là hợp lý). - HUMAN-TRU2]]</f>
        <v>8</v>
      </c>
      <c r="AB248">
        <f t="shared" si="96"/>
        <v>0.77777777777777779</v>
      </c>
      <c r="AC248">
        <f>step3_validation[[#This Row],[AI_TRU3]]</f>
        <v>6</v>
      </c>
      <c r="AD248">
        <f t="shared" si="97"/>
        <v>0.55555555555555558</v>
      </c>
      <c r="AE248">
        <f>[1]!survey_responses[[#This Row],[Tôi tin tưởng số tiền thuế tôi đóng sẽ được Nhà nước sử dụng hiệu quả để cải thiện dịch vụ công (y tế, đường xá...). - HUMAN-TRU3]]</f>
        <v>8</v>
      </c>
      <c r="AF248">
        <f t="shared" si="98"/>
        <v>0.77777777777777779</v>
      </c>
      <c r="AG248">
        <f>step3_validation[[#This Row],[AI_TRU4]]</f>
        <v>5</v>
      </c>
      <c r="AH248">
        <f t="shared" si="99"/>
        <v>0.44444444444444442</v>
      </c>
      <c r="AI248">
        <f>[1]!survey_responses[[#This Row],[Tôi thấy Nhà nước đã giải thích rõ ràng, minh bạch về lý do và mục tiêu của việc sửa đổi thuế lần này. - HUMAN-TRU4]]</f>
        <v>8</v>
      </c>
      <c r="AJ248">
        <f t="shared" si="100"/>
        <v>0.77777777777777779</v>
      </c>
      <c r="AK248" s="32">
        <f t="shared" si="101"/>
        <v>0.55555555555555558</v>
      </c>
      <c r="AL248" s="32">
        <f t="shared" si="102"/>
        <v>0.77777777777777779</v>
      </c>
      <c r="AM248" s="7">
        <f t="shared" si="103"/>
        <v>0.62962962962962965</v>
      </c>
      <c r="AN248" s="7">
        <f t="shared" si="104"/>
        <v>0.77777777777777779</v>
      </c>
      <c r="AO248">
        <f>step3_validation[[#This Row],[AI_OUT1]]</f>
        <v>6</v>
      </c>
      <c r="AP248">
        <f t="shared" si="105"/>
        <v>0.55555555555555558</v>
      </c>
      <c r="AQ248">
        <f>[1]!survey_responses[[#This Row],[Sau khi xem xét các quyền lợi và nghĩa vụ, bạn có ủng hộ và tuân thủ chính sách mới hiện nay? - HUMAN-OUT1]]</f>
        <v>8</v>
      </c>
      <c r="AR248">
        <f t="shared" si="106"/>
        <v>0.77777777777777779</v>
      </c>
      <c r="AS248" s="32">
        <f t="shared" si="107"/>
        <v>2</v>
      </c>
    </row>
    <row r="249" spans="1:45" x14ac:dyDescent="0.45">
      <c r="A249">
        <f>step3_validation[[#This Row],[AI_ENF1]]</f>
        <v>8</v>
      </c>
      <c r="B249">
        <f t="shared" si="81"/>
        <v>0.77777777777777779</v>
      </c>
      <c r="C249">
        <f>[1]!survey_responses[[#This Row],[Tôi tin rằng với các quy định quản lý thuế hiện nay, hành vi gian lận hoặc trốn thuế sẽ dễ dàng bị phát hiện và xử lý nghiêm. - HUMAN-ENF1]]</f>
        <v>7</v>
      </c>
      <c r="D249">
        <f t="shared" si="82"/>
        <v>0.66666666666666663</v>
      </c>
      <c r="E249">
        <f>step3_validation[[#This Row],[AI_ENF2]]</f>
        <v>7</v>
      </c>
      <c r="F249">
        <f t="shared" si="83"/>
        <v>0.66666666666666663</v>
      </c>
      <c r="G249">
        <f>[1]!survey_responses[[#This Row],[Tôi tin rằng Nhà nước, cơ quan thuế có đủ khả năng và công nghệ để phát hiện, xử lý nghiêm các hành vi trốn thuế. - HUMAN-ENF2]]</f>
        <v>7</v>
      </c>
      <c r="H249">
        <f t="shared" si="84"/>
        <v>0.66666666666666663</v>
      </c>
      <c r="I249" s="32">
        <f t="shared" si="85"/>
        <v>0.72222222222222221</v>
      </c>
      <c r="J249" s="32">
        <f t="shared" si="86"/>
        <v>0.66666666666666663</v>
      </c>
      <c r="K249">
        <f>step3_validation[[#This Row],[AI_FAC1]]</f>
        <v>6</v>
      </c>
      <c r="L249">
        <f t="shared" si="87"/>
        <v>0.55555555555555558</v>
      </c>
      <c r="M249">
        <f>[1]!survey_responses[[#This Row],[Các thủ tục khai báo thuế VÀ/HOẶC quy trình làm việc với cơ quan thuế đơn giản, tiện lợi, nhanh chóng hơn so với trước đây. - HUMAN-FAC1]]</f>
        <v>7</v>
      </c>
      <c r="N249">
        <f t="shared" si="88"/>
        <v>0.66666666666666663</v>
      </c>
      <c r="O249">
        <f>step3_validation[[#This Row],[AI_FAC2]]</f>
        <v>7</v>
      </c>
      <c r="P249">
        <f t="shared" si="89"/>
        <v>0.66666666666666663</v>
      </c>
      <c r="Q249">
        <f>[1]!survey_responses[[#This Row],[So với trước đây, tôi thấy cách tính thuế và các bậc thuế trong phương án mới đơn giản, dễ hiểu và dễ thực hiện hơn. - HUMAN-FAC2]]</f>
        <v>7</v>
      </c>
      <c r="R249">
        <f t="shared" si="90"/>
        <v>0.66666666666666663</v>
      </c>
      <c r="S249" s="32">
        <f t="shared" si="91"/>
        <v>0.61111111111111116</v>
      </c>
      <c r="T249" s="32">
        <f t="shared" si="92"/>
        <v>0.66666666666666663</v>
      </c>
      <c r="U249">
        <f>step3_validation[[#This Row],[AI_TRU1]]</f>
        <v>6</v>
      </c>
      <c r="V249">
        <f t="shared" si="93"/>
        <v>0.55555555555555558</v>
      </c>
      <c r="W249">
        <f>[1]!survey_responses[[#This Row],[Tôi tin rằng Nhà nước, cơ quan thuế sẽ thực thi chính sách mới một cách khách quan, công tâm và đối xử bình đẳng với mọi người nộp thuế.  - HUMAN-TRU1]]</f>
        <v>7</v>
      </c>
      <c r="X249">
        <f t="shared" si="94"/>
        <v>0.66666666666666663</v>
      </c>
      <c r="Y249">
        <f>step3_validation[[#This Row],[AI_TRU2]]</f>
        <v>5</v>
      </c>
      <c r="Z249">
        <f t="shared" si="95"/>
        <v>0.44444444444444442</v>
      </c>
      <c r="AA249">
        <f>[1]!survey_responses[[#This Row],[Tôi thấy mức thuế tôi phải đóng theo phương án mới là công bằng (người thu nhập như tôi đóng mức này là hợp lý). - HUMAN-TRU2]]</f>
        <v>7</v>
      </c>
      <c r="AB249">
        <f t="shared" si="96"/>
        <v>0.66666666666666663</v>
      </c>
      <c r="AC249">
        <f>step3_validation[[#This Row],[AI_TRU3]]</f>
        <v>7</v>
      </c>
      <c r="AD249">
        <f t="shared" si="97"/>
        <v>0.66666666666666663</v>
      </c>
      <c r="AE249">
        <f>[1]!survey_responses[[#This Row],[Tôi tin tưởng số tiền thuế tôi đóng sẽ được Nhà nước sử dụng hiệu quả để cải thiện dịch vụ công (y tế, đường xá...). - HUMAN-TRU3]]</f>
        <v>7</v>
      </c>
      <c r="AF249">
        <f t="shared" si="98"/>
        <v>0.66666666666666663</v>
      </c>
      <c r="AG249">
        <f>step3_validation[[#This Row],[AI_TRU4]]</f>
        <v>6</v>
      </c>
      <c r="AH249">
        <f t="shared" si="99"/>
        <v>0.55555555555555558</v>
      </c>
      <c r="AI249">
        <f>[1]!survey_responses[[#This Row],[Tôi thấy Nhà nước đã giải thích rõ ràng, minh bạch về lý do và mục tiêu của việc sửa đổi thuế lần này. - HUMAN-TRU4]]</f>
        <v>7</v>
      </c>
      <c r="AJ249">
        <f t="shared" si="100"/>
        <v>0.66666666666666663</v>
      </c>
      <c r="AK249" s="32">
        <f t="shared" si="101"/>
        <v>0.55555555555555558</v>
      </c>
      <c r="AL249" s="32">
        <f t="shared" si="102"/>
        <v>0.66666666666666663</v>
      </c>
      <c r="AM249" s="7">
        <f t="shared" si="103"/>
        <v>0.62962962962962965</v>
      </c>
      <c r="AN249" s="7">
        <f t="shared" si="104"/>
        <v>0.66666666666666663</v>
      </c>
      <c r="AO249">
        <f>step3_validation[[#This Row],[AI_OUT1]]</f>
        <v>7</v>
      </c>
      <c r="AP249">
        <f t="shared" si="105"/>
        <v>0.66666666666666663</v>
      </c>
      <c r="AQ249">
        <f>[1]!survey_responses[[#This Row],[Sau khi xem xét các quyền lợi và nghĩa vụ, bạn có ủng hộ và tuân thủ chính sách mới hiện nay? - HUMAN-OUT1]]</f>
        <v>7</v>
      </c>
      <c r="AR249">
        <f t="shared" si="106"/>
        <v>0.66666666666666663</v>
      </c>
      <c r="AS249" s="32">
        <f t="shared" si="107"/>
        <v>0</v>
      </c>
    </row>
    <row r="250" spans="1:45" x14ac:dyDescent="0.45">
      <c r="A250">
        <f>step3_validation[[#This Row],[AI_ENF1]]</f>
        <v>7</v>
      </c>
      <c r="B250">
        <f t="shared" si="81"/>
        <v>0.66666666666666663</v>
      </c>
      <c r="C250">
        <f>[1]!survey_responses[[#This Row],[Tôi tin rằng với các quy định quản lý thuế hiện nay, hành vi gian lận hoặc trốn thuế sẽ dễ dàng bị phát hiện và xử lý nghiêm. - HUMAN-ENF1]]</f>
        <v>9</v>
      </c>
      <c r="D250">
        <f t="shared" si="82"/>
        <v>0.88888888888888884</v>
      </c>
      <c r="E250">
        <f>step3_validation[[#This Row],[AI_ENF2]]</f>
        <v>7</v>
      </c>
      <c r="F250">
        <f t="shared" si="83"/>
        <v>0.66666666666666663</v>
      </c>
      <c r="G250">
        <f>[1]!survey_responses[[#This Row],[Tôi tin rằng Nhà nước, cơ quan thuế có đủ khả năng và công nghệ để phát hiện, xử lý nghiêm các hành vi trốn thuế. - HUMAN-ENF2]]</f>
        <v>9</v>
      </c>
      <c r="H250">
        <f t="shared" si="84"/>
        <v>0.88888888888888884</v>
      </c>
      <c r="I250" s="32">
        <f t="shared" si="85"/>
        <v>0.66666666666666663</v>
      </c>
      <c r="J250" s="32">
        <f t="shared" si="86"/>
        <v>0.88888888888888884</v>
      </c>
      <c r="K250">
        <f>step3_validation[[#This Row],[AI_FAC1]]</f>
        <v>8</v>
      </c>
      <c r="L250">
        <f t="shared" si="87"/>
        <v>0.77777777777777779</v>
      </c>
      <c r="M250">
        <f>[1]!survey_responses[[#This Row],[Các thủ tục khai báo thuế VÀ/HOẶC quy trình làm việc với cơ quan thuế đơn giản, tiện lợi, nhanh chóng hơn so với trước đây. - HUMAN-FAC1]]</f>
        <v>9</v>
      </c>
      <c r="N250">
        <f t="shared" si="88"/>
        <v>0.88888888888888884</v>
      </c>
      <c r="O250">
        <f>step3_validation[[#This Row],[AI_FAC2]]</f>
        <v>6</v>
      </c>
      <c r="P250">
        <f t="shared" si="89"/>
        <v>0.55555555555555558</v>
      </c>
      <c r="Q250">
        <f>[1]!survey_responses[[#This Row],[So với trước đây, tôi thấy cách tính thuế và các bậc thuế trong phương án mới đơn giản, dễ hiểu và dễ thực hiện hơn. - HUMAN-FAC2]]</f>
        <v>9</v>
      </c>
      <c r="R250">
        <f t="shared" si="90"/>
        <v>0.88888888888888884</v>
      </c>
      <c r="S250" s="32">
        <f t="shared" si="91"/>
        <v>0.66666666666666674</v>
      </c>
      <c r="T250" s="32">
        <f t="shared" si="92"/>
        <v>0.88888888888888884</v>
      </c>
      <c r="U250">
        <f>step3_validation[[#This Row],[AI_TRU1]]</f>
        <v>8</v>
      </c>
      <c r="V250">
        <f t="shared" si="93"/>
        <v>0.77777777777777779</v>
      </c>
      <c r="W250">
        <f>[1]!survey_responses[[#This Row],[Tôi tin rằng Nhà nước, cơ quan thuế sẽ thực thi chính sách mới một cách khách quan, công tâm và đối xử bình đẳng với mọi người nộp thuế.  - HUMAN-TRU1]]</f>
        <v>9</v>
      </c>
      <c r="X250">
        <f t="shared" si="94"/>
        <v>0.88888888888888884</v>
      </c>
      <c r="Y250">
        <f>step3_validation[[#This Row],[AI_TRU2]]</f>
        <v>7</v>
      </c>
      <c r="Z250">
        <f t="shared" si="95"/>
        <v>0.66666666666666663</v>
      </c>
      <c r="AA250">
        <f>[1]!survey_responses[[#This Row],[Tôi thấy mức thuế tôi phải đóng theo phương án mới là công bằng (người thu nhập như tôi đóng mức này là hợp lý). - HUMAN-TRU2]]</f>
        <v>9</v>
      </c>
      <c r="AB250">
        <f t="shared" si="96"/>
        <v>0.88888888888888884</v>
      </c>
      <c r="AC250">
        <f>step3_validation[[#This Row],[AI_TRU3]]</f>
        <v>6</v>
      </c>
      <c r="AD250">
        <f t="shared" si="97"/>
        <v>0.55555555555555558</v>
      </c>
      <c r="AE250">
        <f>[1]!survey_responses[[#This Row],[Tôi tin tưởng số tiền thuế tôi đóng sẽ được Nhà nước sử dụng hiệu quả để cải thiện dịch vụ công (y tế, đường xá...). - HUMAN-TRU3]]</f>
        <v>9</v>
      </c>
      <c r="AF250">
        <f t="shared" si="98"/>
        <v>0.88888888888888884</v>
      </c>
      <c r="AG250">
        <f>step3_validation[[#This Row],[AI_TRU4]]</f>
        <v>5</v>
      </c>
      <c r="AH250">
        <f t="shared" si="99"/>
        <v>0.44444444444444442</v>
      </c>
      <c r="AI250">
        <f>[1]!survey_responses[[#This Row],[Tôi thấy Nhà nước đã giải thích rõ ràng, minh bạch về lý do và mục tiêu của việc sửa đổi thuế lần này. - HUMAN-TRU4]]</f>
        <v>9</v>
      </c>
      <c r="AJ250">
        <f t="shared" si="100"/>
        <v>0.88888888888888884</v>
      </c>
      <c r="AK250" s="32">
        <f t="shared" si="101"/>
        <v>0.61111111111111116</v>
      </c>
      <c r="AL250" s="32">
        <f t="shared" si="102"/>
        <v>0.88888888888888884</v>
      </c>
      <c r="AM250" s="7">
        <f t="shared" si="103"/>
        <v>0.64814814814814825</v>
      </c>
      <c r="AN250" s="7">
        <f t="shared" si="104"/>
        <v>0.88888888888888884</v>
      </c>
      <c r="AO250">
        <f>step3_validation[[#This Row],[AI_OUT1]]</f>
        <v>7</v>
      </c>
      <c r="AP250">
        <f t="shared" si="105"/>
        <v>0.66666666666666663</v>
      </c>
      <c r="AQ250">
        <f>[1]!survey_responses[[#This Row],[Sau khi xem xét các quyền lợi và nghĩa vụ, bạn có ủng hộ và tuân thủ chính sách mới hiện nay? - HUMAN-OUT1]]</f>
        <v>9</v>
      </c>
      <c r="AR250">
        <f t="shared" si="106"/>
        <v>0.88888888888888884</v>
      </c>
      <c r="AS250" s="32">
        <f t="shared" si="107"/>
        <v>2</v>
      </c>
    </row>
    <row r="251" spans="1:45" x14ac:dyDescent="0.45">
      <c r="A251">
        <f>step3_validation[[#This Row],[AI_ENF1]]</f>
        <v>8</v>
      </c>
      <c r="B251">
        <f t="shared" si="81"/>
        <v>0.77777777777777779</v>
      </c>
      <c r="C251">
        <f>[1]!survey_responses[[#This Row],[Tôi tin rằng với các quy định quản lý thuế hiện nay, hành vi gian lận hoặc trốn thuế sẽ dễ dàng bị phát hiện và xử lý nghiêm. - HUMAN-ENF1]]</f>
        <v>7</v>
      </c>
      <c r="D251">
        <f t="shared" si="82"/>
        <v>0.66666666666666663</v>
      </c>
      <c r="E251">
        <f>step3_validation[[#This Row],[AI_ENF2]]</f>
        <v>7</v>
      </c>
      <c r="F251">
        <f t="shared" si="83"/>
        <v>0.66666666666666663</v>
      </c>
      <c r="G251">
        <f>[1]!survey_responses[[#This Row],[Tôi tin rằng Nhà nước, cơ quan thuế có đủ khả năng và công nghệ để phát hiện, xử lý nghiêm các hành vi trốn thuế. - HUMAN-ENF2]]</f>
        <v>6</v>
      </c>
      <c r="H251">
        <f t="shared" si="84"/>
        <v>0.55555555555555558</v>
      </c>
      <c r="I251" s="32">
        <f t="shared" si="85"/>
        <v>0.72222222222222221</v>
      </c>
      <c r="J251" s="32">
        <f t="shared" si="86"/>
        <v>0.61111111111111116</v>
      </c>
      <c r="K251">
        <f>step3_validation[[#This Row],[AI_FAC1]]</f>
        <v>9</v>
      </c>
      <c r="L251">
        <f t="shared" si="87"/>
        <v>0.88888888888888884</v>
      </c>
      <c r="M251">
        <f>[1]!survey_responses[[#This Row],[Các thủ tục khai báo thuế VÀ/HOẶC quy trình làm việc với cơ quan thuế đơn giản, tiện lợi, nhanh chóng hơn so với trước đây. - HUMAN-FAC1]]</f>
        <v>5</v>
      </c>
      <c r="N251">
        <f t="shared" si="88"/>
        <v>0.44444444444444442</v>
      </c>
      <c r="O251">
        <f>step3_validation[[#This Row],[AI_FAC2]]</f>
        <v>8</v>
      </c>
      <c r="P251">
        <f t="shared" si="89"/>
        <v>0.77777777777777779</v>
      </c>
      <c r="Q251">
        <f>[1]!survey_responses[[#This Row],[So với trước đây, tôi thấy cách tính thuế và các bậc thuế trong phương án mới đơn giản, dễ hiểu và dễ thực hiện hơn. - HUMAN-FAC2]]</f>
        <v>6</v>
      </c>
      <c r="R251">
        <f t="shared" si="90"/>
        <v>0.55555555555555558</v>
      </c>
      <c r="S251" s="32">
        <f t="shared" si="91"/>
        <v>0.83333333333333326</v>
      </c>
      <c r="T251" s="32">
        <f t="shared" si="92"/>
        <v>0.5</v>
      </c>
      <c r="U251">
        <f>step3_validation[[#This Row],[AI_TRU1]]</f>
        <v>7</v>
      </c>
      <c r="V251">
        <f t="shared" si="93"/>
        <v>0.66666666666666663</v>
      </c>
      <c r="W251">
        <f>[1]!survey_responses[[#This Row],[Tôi tin rằng Nhà nước, cơ quan thuế sẽ thực thi chính sách mới một cách khách quan, công tâm và đối xử bình đẳng với mọi người nộp thuế.  - HUMAN-TRU1]]</f>
        <v>6</v>
      </c>
      <c r="X251">
        <f t="shared" si="94"/>
        <v>0.55555555555555558</v>
      </c>
      <c r="Y251">
        <f>step3_validation[[#This Row],[AI_TRU2]]</f>
        <v>6</v>
      </c>
      <c r="Z251">
        <f t="shared" si="95"/>
        <v>0.55555555555555558</v>
      </c>
      <c r="AA251">
        <f>[1]!survey_responses[[#This Row],[Tôi thấy mức thuế tôi phải đóng theo phương án mới là công bằng (người thu nhập như tôi đóng mức này là hợp lý). - HUMAN-TRU2]]</f>
        <v>6</v>
      </c>
      <c r="AB251">
        <f t="shared" si="96"/>
        <v>0.55555555555555558</v>
      </c>
      <c r="AC251">
        <f>step3_validation[[#This Row],[AI_TRU3]]</f>
        <v>7</v>
      </c>
      <c r="AD251">
        <f t="shared" si="97"/>
        <v>0.66666666666666663</v>
      </c>
      <c r="AE251">
        <f>[1]!survey_responses[[#This Row],[Tôi tin tưởng số tiền thuế tôi đóng sẽ được Nhà nước sử dụng hiệu quả để cải thiện dịch vụ công (y tế, đường xá...). - HUMAN-TRU3]]</f>
        <v>6</v>
      </c>
      <c r="AF251">
        <f t="shared" si="98"/>
        <v>0.55555555555555558</v>
      </c>
      <c r="AG251">
        <f>step3_validation[[#This Row],[AI_TRU4]]</f>
        <v>5</v>
      </c>
      <c r="AH251">
        <f t="shared" si="99"/>
        <v>0.44444444444444442</v>
      </c>
      <c r="AI251">
        <f>[1]!survey_responses[[#This Row],[Tôi thấy Nhà nước đã giải thích rõ ràng, minh bạch về lý do và mục tiêu của việc sửa đổi thuế lần này. - HUMAN-TRU4]]</f>
        <v>6</v>
      </c>
      <c r="AJ251">
        <f t="shared" si="100"/>
        <v>0.55555555555555558</v>
      </c>
      <c r="AK251" s="32">
        <f t="shared" si="101"/>
        <v>0.58333333333333326</v>
      </c>
      <c r="AL251" s="32">
        <f t="shared" si="102"/>
        <v>0.55555555555555558</v>
      </c>
      <c r="AM251" s="7">
        <f t="shared" si="103"/>
        <v>0.7129629629629628</v>
      </c>
      <c r="AN251" s="7">
        <f t="shared" si="104"/>
        <v>0.55555555555555558</v>
      </c>
      <c r="AO251">
        <f>step3_validation[[#This Row],[AI_OUT1]]</f>
        <v>8</v>
      </c>
      <c r="AP251">
        <f t="shared" si="105"/>
        <v>0.77777777777777779</v>
      </c>
      <c r="AQ251">
        <f>[1]!survey_responses[[#This Row],[Sau khi xem xét các quyền lợi và nghĩa vụ, bạn có ủng hộ và tuân thủ chính sách mới hiện nay? - HUMAN-OUT1]]</f>
        <v>7</v>
      </c>
      <c r="AR251">
        <f t="shared" si="106"/>
        <v>0.66666666666666663</v>
      </c>
      <c r="AS251" s="32">
        <f t="shared" si="107"/>
        <v>1</v>
      </c>
    </row>
    <row r="252" spans="1:45" x14ac:dyDescent="0.45">
      <c r="A252">
        <f>step3_validation[[#This Row],[AI_ENF1]]</f>
        <v>7</v>
      </c>
      <c r="B252">
        <f t="shared" si="81"/>
        <v>0.66666666666666663</v>
      </c>
      <c r="C252">
        <f>[1]!survey_responses[[#This Row],[Tôi tin rằng với các quy định quản lý thuế hiện nay, hành vi gian lận hoặc trốn thuế sẽ dễ dàng bị phát hiện và xử lý nghiêm. - HUMAN-ENF1]]</f>
        <v>8</v>
      </c>
      <c r="D252">
        <f t="shared" si="82"/>
        <v>0.77777777777777779</v>
      </c>
      <c r="E252">
        <f>step3_validation[[#This Row],[AI_ENF2]]</f>
        <v>6</v>
      </c>
      <c r="F252">
        <f t="shared" si="83"/>
        <v>0.55555555555555558</v>
      </c>
      <c r="G252">
        <f>[1]!survey_responses[[#This Row],[Tôi tin rằng Nhà nước, cơ quan thuế có đủ khả năng và công nghệ để phát hiện, xử lý nghiêm các hành vi trốn thuế. - HUMAN-ENF2]]</f>
        <v>8</v>
      </c>
      <c r="H252">
        <f t="shared" si="84"/>
        <v>0.77777777777777779</v>
      </c>
      <c r="I252" s="32">
        <f t="shared" si="85"/>
        <v>0.61111111111111116</v>
      </c>
      <c r="J252" s="32">
        <f t="shared" si="86"/>
        <v>0.77777777777777779</v>
      </c>
      <c r="K252">
        <f>step3_validation[[#This Row],[AI_FAC1]]</f>
        <v>8</v>
      </c>
      <c r="L252">
        <f t="shared" si="87"/>
        <v>0.77777777777777779</v>
      </c>
      <c r="M252">
        <f>[1]!survey_responses[[#This Row],[Các thủ tục khai báo thuế VÀ/HOẶC quy trình làm việc với cơ quan thuế đơn giản, tiện lợi, nhanh chóng hơn so với trước đây. - HUMAN-FAC1]]</f>
        <v>8</v>
      </c>
      <c r="N252">
        <f t="shared" si="88"/>
        <v>0.77777777777777779</v>
      </c>
      <c r="O252">
        <f>step3_validation[[#This Row],[AI_FAC2]]</f>
        <v>7</v>
      </c>
      <c r="P252">
        <f t="shared" si="89"/>
        <v>0.66666666666666663</v>
      </c>
      <c r="Q252">
        <f>[1]!survey_responses[[#This Row],[So với trước đây, tôi thấy cách tính thuế và các bậc thuế trong phương án mới đơn giản, dễ hiểu và dễ thực hiện hơn. - HUMAN-FAC2]]</f>
        <v>9</v>
      </c>
      <c r="R252">
        <f t="shared" si="90"/>
        <v>0.88888888888888884</v>
      </c>
      <c r="S252" s="32">
        <f t="shared" si="91"/>
        <v>0.72222222222222221</v>
      </c>
      <c r="T252" s="32">
        <f t="shared" si="92"/>
        <v>0.83333333333333326</v>
      </c>
      <c r="U252">
        <f>step3_validation[[#This Row],[AI_TRU1]]</f>
        <v>7</v>
      </c>
      <c r="V252">
        <f t="shared" si="93"/>
        <v>0.66666666666666663</v>
      </c>
      <c r="W252">
        <f>[1]!survey_responses[[#This Row],[Tôi tin rằng Nhà nước, cơ quan thuế sẽ thực thi chính sách mới một cách khách quan, công tâm và đối xử bình đẳng với mọi người nộp thuế.  - HUMAN-TRU1]]</f>
        <v>8</v>
      </c>
      <c r="X252">
        <f t="shared" si="94"/>
        <v>0.77777777777777779</v>
      </c>
      <c r="Y252">
        <f>step3_validation[[#This Row],[AI_TRU2]]</f>
        <v>5</v>
      </c>
      <c r="Z252">
        <f t="shared" si="95"/>
        <v>0.44444444444444442</v>
      </c>
      <c r="AA252">
        <f>[1]!survey_responses[[#This Row],[Tôi thấy mức thuế tôi phải đóng theo phương án mới là công bằng (người thu nhập như tôi đóng mức này là hợp lý). - HUMAN-TRU2]]</f>
        <v>10</v>
      </c>
      <c r="AB252">
        <f t="shared" si="96"/>
        <v>1</v>
      </c>
      <c r="AC252">
        <f>step3_validation[[#This Row],[AI_TRU3]]</f>
        <v>6</v>
      </c>
      <c r="AD252">
        <f t="shared" si="97"/>
        <v>0.55555555555555558</v>
      </c>
      <c r="AE252">
        <f>[1]!survey_responses[[#This Row],[Tôi tin tưởng số tiền thuế tôi đóng sẽ được Nhà nước sử dụng hiệu quả để cải thiện dịch vụ công (y tế, đường xá...). - HUMAN-TRU3]]</f>
        <v>7</v>
      </c>
      <c r="AF252">
        <f t="shared" si="98"/>
        <v>0.66666666666666663</v>
      </c>
      <c r="AG252">
        <f>step3_validation[[#This Row],[AI_TRU4]]</f>
        <v>5</v>
      </c>
      <c r="AH252">
        <f t="shared" si="99"/>
        <v>0.44444444444444442</v>
      </c>
      <c r="AI252">
        <f>[1]!survey_responses[[#This Row],[Tôi thấy Nhà nước đã giải thích rõ ràng, minh bạch về lý do và mục tiêu của việc sửa đổi thuế lần này. - HUMAN-TRU4]]</f>
        <v>7</v>
      </c>
      <c r="AJ252">
        <f t="shared" si="100"/>
        <v>0.66666666666666663</v>
      </c>
      <c r="AK252" s="32">
        <f t="shared" si="101"/>
        <v>0.52777777777777779</v>
      </c>
      <c r="AL252" s="32">
        <f t="shared" si="102"/>
        <v>0.77777777777777768</v>
      </c>
      <c r="AM252" s="7">
        <f t="shared" si="103"/>
        <v>0.62037037037037035</v>
      </c>
      <c r="AN252" s="7">
        <f t="shared" si="104"/>
        <v>0.79629629629629628</v>
      </c>
      <c r="AO252">
        <f>step3_validation[[#This Row],[AI_OUT1]]</f>
        <v>6</v>
      </c>
      <c r="AP252">
        <f t="shared" si="105"/>
        <v>0.55555555555555558</v>
      </c>
      <c r="AQ252">
        <f>[1]!survey_responses[[#This Row],[Sau khi xem xét các quyền lợi và nghĩa vụ, bạn có ủng hộ và tuân thủ chính sách mới hiện nay? - HUMAN-OUT1]]</f>
        <v>10</v>
      </c>
      <c r="AR252">
        <f t="shared" si="106"/>
        <v>1</v>
      </c>
      <c r="AS252" s="32">
        <f t="shared" si="107"/>
        <v>4</v>
      </c>
    </row>
    <row r="253" spans="1:45" x14ac:dyDescent="0.45">
      <c r="A253">
        <f>step3_validation[[#This Row],[AI_ENF1]]</f>
        <v>7</v>
      </c>
      <c r="B253">
        <f t="shared" si="81"/>
        <v>0.66666666666666663</v>
      </c>
      <c r="C253">
        <f>[1]!survey_responses[[#This Row],[Tôi tin rằng với các quy định quản lý thuế hiện nay, hành vi gian lận hoặc trốn thuế sẽ dễ dàng bị phát hiện và xử lý nghiêm. - HUMAN-ENF1]]</f>
        <v>6</v>
      </c>
      <c r="D253">
        <f t="shared" si="82"/>
        <v>0.55555555555555558</v>
      </c>
      <c r="E253">
        <f>step3_validation[[#This Row],[AI_ENF2]]</f>
        <v>8</v>
      </c>
      <c r="F253">
        <f t="shared" si="83"/>
        <v>0.77777777777777779</v>
      </c>
      <c r="G253">
        <f>[1]!survey_responses[[#This Row],[Tôi tin rằng Nhà nước, cơ quan thuế có đủ khả năng và công nghệ để phát hiện, xử lý nghiêm các hành vi trốn thuế. - HUMAN-ENF2]]</f>
        <v>6</v>
      </c>
      <c r="H253">
        <f t="shared" si="84"/>
        <v>0.55555555555555558</v>
      </c>
      <c r="I253" s="32">
        <f t="shared" si="85"/>
        <v>0.72222222222222221</v>
      </c>
      <c r="J253" s="32">
        <f t="shared" si="86"/>
        <v>0.55555555555555558</v>
      </c>
      <c r="K253">
        <f>step3_validation[[#This Row],[AI_FAC1]]</f>
        <v>7</v>
      </c>
      <c r="L253">
        <f t="shared" si="87"/>
        <v>0.66666666666666663</v>
      </c>
      <c r="M253">
        <f>[1]!survey_responses[[#This Row],[Các thủ tục khai báo thuế VÀ/HOẶC quy trình làm việc với cơ quan thuế đơn giản, tiện lợi, nhanh chóng hơn so với trước đây. - HUMAN-FAC1]]</f>
        <v>1</v>
      </c>
      <c r="N253">
        <f t="shared" si="88"/>
        <v>0</v>
      </c>
      <c r="O253">
        <f>step3_validation[[#This Row],[AI_FAC2]]</f>
        <v>6</v>
      </c>
      <c r="P253">
        <f t="shared" si="89"/>
        <v>0.55555555555555558</v>
      </c>
      <c r="Q253">
        <f>[1]!survey_responses[[#This Row],[So với trước đây, tôi thấy cách tính thuế và các bậc thuế trong phương án mới đơn giản, dễ hiểu và dễ thực hiện hơn. - HUMAN-FAC2]]</f>
        <v>6</v>
      </c>
      <c r="R253">
        <f t="shared" si="90"/>
        <v>0.55555555555555558</v>
      </c>
      <c r="S253" s="32">
        <f t="shared" si="91"/>
        <v>0.61111111111111116</v>
      </c>
      <c r="T253" s="32">
        <f t="shared" si="92"/>
        <v>0.27777777777777779</v>
      </c>
      <c r="U253">
        <f>step3_validation[[#This Row],[AI_TRU1]]</f>
        <v>5</v>
      </c>
      <c r="V253">
        <f t="shared" si="93"/>
        <v>0.44444444444444442</v>
      </c>
      <c r="W253">
        <f>[1]!survey_responses[[#This Row],[Tôi tin rằng Nhà nước, cơ quan thuế sẽ thực thi chính sách mới một cách khách quan, công tâm và đối xử bình đẳng với mọi người nộp thuế.  - HUMAN-TRU1]]</f>
        <v>5</v>
      </c>
      <c r="X253">
        <f t="shared" si="94"/>
        <v>0.44444444444444442</v>
      </c>
      <c r="Y253">
        <f>step3_validation[[#This Row],[AI_TRU2]]</f>
        <v>8</v>
      </c>
      <c r="Z253">
        <f t="shared" si="95"/>
        <v>0.77777777777777779</v>
      </c>
      <c r="AA253">
        <f>[1]!survey_responses[[#This Row],[Tôi thấy mức thuế tôi phải đóng theo phương án mới là công bằng (người thu nhập như tôi đóng mức này là hợp lý). - HUMAN-TRU2]]</f>
        <v>6</v>
      </c>
      <c r="AB253">
        <f t="shared" si="96"/>
        <v>0.55555555555555558</v>
      </c>
      <c r="AC253">
        <f>step3_validation[[#This Row],[AI_TRU3]]</f>
        <v>6</v>
      </c>
      <c r="AD253">
        <f t="shared" si="97"/>
        <v>0.55555555555555558</v>
      </c>
      <c r="AE253">
        <f>[1]!survey_responses[[#This Row],[Tôi tin tưởng số tiền thuế tôi đóng sẽ được Nhà nước sử dụng hiệu quả để cải thiện dịch vụ công (y tế, đường xá...). - HUMAN-TRU3]]</f>
        <v>6</v>
      </c>
      <c r="AF253">
        <f t="shared" si="98"/>
        <v>0.55555555555555558</v>
      </c>
      <c r="AG253">
        <f>step3_validation[[#This Row],[AI_TRU4]]</f>
        <v>5</v>
      </c>
      <c r="AH253">
        <f t="shared" si="99"/>
        <v>0.44444444444444442</v>
      </c>
      <c r="AI253">
        <f>[1]!survey_responses[[#This Row],[Tôi thấy Nhà nước đã giải thích rõ ràng, minh bạch về lý do và mục tiêu của việc sửa đổi thuế lần này. - HUMAN-TRU4]]</f>
        <v>6</v>
      </c>
      <c r="AJ253">
        <f t="shared" si="100"/>
        <v>0.55555555555555558</v>
      </c>
      <c r="AK253" s="32">
        <f t="shared" si="101"/>
        <v>0.55555555555555558</v>
      </c>
      <c r="AL253" s="32">
        <f t="shared" si="102"/>
        <v>0.52777777777777779</v>
      </c>
      <c r="AM253" s="7">
        <f t="shared" si="103"/>
        <v>0.62962962962962965</v>
      </c>
      <c r="AN253" s="7">
        <f t="shared" si="104"/>
        <v>0.45370370370370372</v>
      </c>
      <c r="AO253">
        <f>step3_validation[[#This Row],[AI_OUT1]]</f>
        <v>6</v>
      </c>
      <c r="AP253">
        <f t="shared" si="105"/>
        <v>0.55555555555555558</v>
      </c>
      <c r="AQ253">
        <f>[1]!survey_responses[[#This Row],[Sau khi xem xét các quyền lợi và nghĩa vụ, bạn có ủng hộ và tuân thủ chính sách mới hiện nay? - HUMAN-OUT1]]</f>
        <v>6</v>
      </c>
      <c r="AR253">
        <f t="shared" si="106"/>
        <v>0.55555555555555558</v>
      </c>
      <c r="AS253" s="32">
        <f t="shared" si="107"/>
        <v>0</v>
      </c>
    </row>
    <row r="254" spans="1:45" x14ac:dyDescent="0.45">
      <c r="A254">
        <f>step3_validation[[#This Row],[AI_ENF1]]</f>
        <v>6</v>
      </c>
      <c r="B254">
        <f t="shared" si="81"/>
        <v>0.55555555555555558</v>
      </c>
      <c r="C254">
        <f>[1]!survey_responses[[#This Row],[Tôi tin rằng với các quy định quản lý thuế hiện nay, hành vi gian lận hoặc trốn thuế sẽ dễ dàng bị phát hiện và xử lý nghiêm. - HUMAN-ENF1]]</f>
        <v>8</v>
      </c>
      <c r="D254">
        <f t="shared" si="82"/>
        <v>0.77777777777777779</v>
      </c>
      <c r="E254">
        <f>step3_validation[[#This Row],[AI_ENF2]]</f>
        <v>7</v>
      </c>
      <c r="F254">
        <f t="shared" si="83"/>
        <v>0.66666666666666663</v>
      </c>
      <c r="G254">
        <f>[1]!survey_responses[[#This Row],[Tôi tin rằng Nhà nước, cơ quan thuế có đủ khả năng và công nghệ để phát hiện, xử lý nghiêm các hành vi trốn thuế. - HUMAN-ENF2]]</f>
        <v>8</v>
      </c>
      <c r="H254">
        <f t="shared" si="84"/>
        <v>0.77777777777777779</v>
      </c>
      <c r="I254" s="32">
        <f t="shared" si="85"/>
        <v>0.61111111111111116</v>
      </c>
      <c r="J254" s="32">
        <f t="shared" si="86"/>
        <v>0.77777777777777779</v>
      </c>
      <c r="K254">
        <f>step3_validation[[#This Row],[AI_FAC1]]</f>
        <v>8</v>
      </c>
      <c r="L254">
        <f t="shared" si="87"/>
        <v>0.77777777777777779</v>
      </c>
      <c r="M254">
        <f>[1]!survey_responses[[#This Row],[Các thủ tục khai báo thuế VÀ/HOẶC quy trình làm việc với cơ quan thuế đơn giản, tiện lợi, nhanh chóng hơn so với trước đây. - HUMAN-FAC1]]</f>
        <v>3</v>
      </c>
      <c r="N254">
        <f t="shared" si="88"/>
        <v>0.22222222222222221</v>
      </c>
      <c r="O254">
        <f>step3_validation[[#This Row],[AI_FAC2]]</f>
        <v>7</v>
      </c>
      <c r="P254">
        <f t="shared" si="89"/>
        <v>0.66666666666666663</v>
      </c>
      <c r="Q254">
        <f>[1]!survey_responses[[#This Row],[So với trước đây, tôi thấy cách tính thuế và các bậc thuế trong phương án mới đơn giản, dễ hiểu và dễ thực hiện hơn. - HUMAN-FAC2]]</f>
        <v>9</v>
      </c>
      <c r="R254">
        <f t="shared" si="90"/>
        <v>0.88888888888888884</v>
      </c>
      <c r="S254" s="32">
        <f t="shared" si="91"/>
        <v>0.72222222222222221</v>
      </c>
      <c r="T254" s="32">
        <f t="shared" si="92"/>
        <v>0.55555555555555558</v>
      </c>
      <c r="U254">
        <f>step3_validation[[#This Row],[AI_TRU1]]</f>
        <v>5</v>
      </c>
      <c r="V254">
        <f t="shared" si="93"/>
        <v>0.44444444444444442</v>
      </c>
      <c r="W254">
        <f>[1]!survey_responses[[#This Row],[Tôi tin rằng Nhà nước, cơ quan thuế sẽ thực thi chính sách mới một cách khách quan, công tâm và đối xử bình đẳng với mọi người nộp thuế.  - HUMAN-TRU1]]</f>
        <v>8</v>
      </c>
      <c r="X254">
        <f t="shared" si="94"/>
        <v>0.77777777777777779</v>
      </c>
      <c r="Y254">
        <f>step3_validation[[#This Row],[AI_TRU2]]</f>
        <v>6</v>
      </c>
      <c r="Z254">
        <f t="shared" si="95"/>
        <v>0.55555555555555558</v>
      </c>
      <c r="AA254">
        <f>[1]!survey_responses[[#This Row],[Tôi thấy mức thuế tôi phải đóng theo phương án mới là công bằng (người thu nhập như tôi đóng mức này là hợp lý). - HUMAN-TRU2]]</f>
        <v>8</v>
      </c>
      <c r="AB254">
        <f t="shared" si="96"/>
        <v>0.77777777777777779</v>
      </c>
      <c r="AC254">
        <f>step3_validation[[#This Row],[AI_TRU3]]</f>
        <v>5</v>
      </c>
      <c r="AD254">
        <f t="shared" si="97"/>
        <v>0.44444444444444442</v>
      </c>
      <c r="AE254">
        <f>[1]!survey_responses[[#This Row],[Tôi tin tưởng số tiền thuế tôi đóng sẽ được Nhà nước sử dụng hiệu quả để cải thiện dịch vụ công (y tế, đường xá...). - HUMAN-TRU3]]</f>
        <v>8</v>
      </c>
      <c r="AF254">
        <f t="shared" si="98"/>
        <v>0.77777777777777779</v>
      </c>
      <c r="AG254">
        <f>step3_validation[[#This Row],[AI_TRU4]]</f>
        <v>4</v>
      </c>
      <c r="AH254">
        <f t="shared" si="99"/>
        <v>0.33333333333333331</v>
      </c>
      <c r="AI254">
        <f>[1]!survey_responses[[#This Row],[Tôi thấy Nhà nước đã giải thích rõ ràng, minh bạch về lý do và mục tiêu của việc sửa đổi thuế lần này. - HUMAN-TRU4]]</f>
        <v>8</v>
      </c>
      <c r="AJ254">
        <f t="shared" si="100"/>
        <v>0.77777777777777779</v>
      </c>
      <c r="AK254" s="32">
        <f t="shared" si="101"/>
        <v>0.44444444444444442</v>
      </c>
      <c r="AL254" s="32">
        <f t="shared" si="102"/>
        <v>0.77777777777777779</v>
      </c>
      <c r="AM254" s="7">
        <f t="shared" si="103"/>
        <v>0.59259259259259267</v>
      </c>
      <c r="AN254" s="7">
        <f t="shared" si="104"/>
        <v>0.70370370370370372</v>
      </c>
      <c r="AO254">
        <f>step3_validation[[#This Row],[AI_OUT1]]</f>
        <v>6</v>
      </c>
      <c r="AP254">
        <f t="shared" si="105"/>
        <v>0.55555555555555558</v>
      </c>
      <c r="AQ254">
        <f>[1]!survey_responses[[#This Row],[Sau khi xem xét các quyền lợi và nghĩa vụ, bạn có ủng hộ và tuân thủ chính sách mới hiện nay? - HUMAN-OUT1]]</f>
        <v>8</v>
      </c>
      <c r="AR254">
        <f t="shared" si="106"/>
        <v>0.77777777777777779</v>
      </c>
      <c r="AS254" s="32">
        <f t="shared" si="107"/>
        <v>2</v>
      </c>
    </row>
    <row r="255" spans="1:45" x14ac:dyDescent="0.45">
      <c r="A255">
        <f>step3_validation[[#This Row],[AI_ENF1]]</f>
        <v>7</v>
      </c>
      <c r="B255">
        <f t="shared" si="81"/>
        <v>0.66666666666666663</v>
      </c>
      <c r="C255">
        <f>[1]!survey_responses[[#This Row],[Tôi tin rằng với các quy định quản lý thuế hiện nay, hành vi gian lận hoặc trốn thuế sẽ dễ dàng bị phát hiện và xử lý nghiêm. - HUMAN-ENF1]]</f>
        <v>4</v>
      </c>
      <c r="D255">
        <f t="shared" si="82"/>
        <v>0.33333333333333331</v>
      </c>
      <c r="E255">
        <f>step3_validation[[#This Row],[AI_ENF2]]</f>
        <v>8</v>
      </c>
      <c r="F255">
        <f t="shared" si="83"/>
        <v>0.77777777777777779</v>
      </c>
      <c r="G255">
        <f>[1]!survey_responses[[#This Row],[Tôi tin rằng Nhà nước, cơ quan thuế có đủ khả năng và công nghệ để phát hiện, xử lý nghiêm các hành vi trốn thuế. - HUMAN-ENF2]]</f>
        <v>3</v>
      </c>
      <c r="H255">
        <f t="shared" si="84"/>
        <v>0.22222222222222221</v>
      </c>
      <c r="I255" s="32">
        <f t="shared" si="85"/>
        <v>0.72222222222222221</v>
      </c>
      <c r="J255" s="32">
        <f t="shared" si="86"/>
        <v>0.27777777777777779</v>
      </c>
      <c r="K255">
        <f>step3_validation[[#This Row],[AI_FAC1]]</f>
        <v>9</v>
      </c>
      <c r="L255">
        <f t="shared" si="87"/>
        <v>0.88888888888888884</v>
      </c>
      <c r="M255">
        <f>[1]!survey_responses[[#This Row],[Các thủ tục khai báo thuế VÀ/HOẶC quy trình làm việc với cơ quan thuế đơn giản, tiện lợi, nhanh chóng hơn so với trước đây. - HUMAN-FAC1]]</f>
        <v>1</v>
      </c>
      <c r="N255">
        <f t="shared" si="88"/>
        <v>0</v>
      </c>
      <c r="O255">
        <f>step3_validation[[#This Row],[AI_FAC2]]</f>
        <v>8</v>
      </c>
      <c r="P255">
        <f t="shared" si="89"/>
        <v>0.77777777777777779</v>
      </c>
      <c r="Q255">
        <f>[1]!survey_responses[[#This Row],[So với trước đây, tôi thấy cách tính thuế và các bậc thuế trong phương án mới đơn giản, dễ hiểu và dễ thực hiện hơn. - HUMAN-FAC2]]</f>
        <v>7</v>
      </c>
      <c r="R255">
        <f t="shared" si="90"/>
        <v>0.66666666666666663</v>
      </c>
      <c r="S255" s="32">
        <f t="shared" si="91"/>
        <v>0.83333333333333326</v>
      </c>
      <c r="T255" s="32">
        <f t="shared" si="92"/>
        <v>0.33333333333333331</v>
      </c>
      <c r="U255">
        <f>step3_validation[[#This Row],[AI_TRU1]]</f>
        <v>9</v>
      </c>
      <c r="V255">
        <f t="shared" si="93"/>
        <v>0.88888888888888884</v>
      </c>
      <c r="W255">
        <f>[1]!survey_responses[[#This Row],[Tôi tin rằng Nhà nước, cơ quan thuế sẽ thực thi chính sách mới một cách khách quan, công tâm và đối xử bình đẳng với mọi người nộp thuế.  - HUMAN-TRU1]]</f>
        <v>3</v>
      </c>
      <c r="X255">
        <f t="shared" si="94"/>
        <v>0.22222222222222221</v>
      </c>
      <c r="Y255">
        <f>step3_validation[[#This Row],[AI_TRU2]]</f>
        <v>6</v>
      </c>
      <c r="Z255">
        <f t="shared" si="95"/>
        <v>0.55555555555555558</v>
      </c>
      <c r="AA255">
        <f>[1]!survey_responses[[#This Row],[Tôi thấy mức thuế tôi phải đóng theo phương án mới là công bằng (người thu nhập như tôi đóng mức này là hợp lý). - HUMAN-TRU2]]</f>
        <v>6</v>
      </c>
      <c r="AB255">
        <f t="shared" si="96"/>
        <v>0.55555555555555558</v>
      </c>
      <c r="AC255">
        <f>step3_validation[[#This Row],[AI_TRU3]]</f>
        <v>7</v>
      </c>
      <c r="AD255">
        <f t="shared" si="97"/>
        <v>0.66666666666666663</v>
      </c>
      <c r="AE255">
        <f>[1]!survey_responses[[#This Row],[Tôi tin tưởng số tiền thuế tôi đóng sẽ được Nhà nước sử dụng hiệu quả để cải thiện dịch vụ công (y tế, đường xá...). - HUMAN-TRU3]]</f>
        <v>5</v>
      </c>
      <c r="AF255">
        <f t="shared" si="98"/>
        <v>0.44444444444444442</v>
      </c>
      <c r="AG255">
        <f>step3_validation[[#This Row],[AI_TRU4]]</f>
        <v>5</v>
      </c>
      <c r="AH255">
        <f t="shared" si="99"/>
        <v>0.44444444444444442</v>
      </c>
      <c r="AI255">
        <f>[1]!survey_responses[[#This Row],[Tôi thấy Nhà nước đã giải thích rõ ràng, minh bạch về lý do và mục tiêu của việc sửa đổi thuế lần này. - HUMAN-TRU4]]</f>
        <v>6</v>
      </c>
      <c r="AJ255">
        <f t="shared" si="100"/>
        <v>0.55555555555555558</v>
      </c>
      <c r="AK255" s="32">
        <f t="shared" si="101"/>
        <v>0.63888888888888884</v>
      </c>
      <c r="AL255" s="32">
        <f t="shared" si="102"/>
        <v>0.44444444444444448</v>
      </c>
      <c r="AM255" s="7">
        <f t="shared" si="103"/>
        <v>0.7314814814814814</v>
      </c>
      <c r="AN255" s="7">
        <f t="shared" si="104"/>
        <v>0.35185185185185186</v>
      </c>
      <c r="AO255">
        <f>step3_validation[[#This Row],[AI_OUT1]]</f>
        <v>8</v>
      </c>
      <c r="AP255">
        <f t="shared" si="105"/>
        <v>0.77777777777777779</v>
      </c>
      <c r="AQ255">
        <f>[1]!survey_responses[[#This Row],[Sau khi xem xét các quyền lợi và nghĩa vụ, bạn có ủng hộ và tuân thủ chính sách mới hiện nay? - HUMAN-OUT1]]</f>
        <v>6</v>
      </c>
      <c r="AR255">
        <f t="shared" si="106"/>
        <v>0.55555555555555558</v>
      </c>
      <c r="AS255" s="32">
        <f t="shared" si="107"/>
        <v>2</v>
      </c>
    </row>
    <row r="256" spans="1:45" x14ac:dyDescent="0.45">
      <c r="A256">
        <f>step3_validation[[#This Row],[AI_ENF1]]</f>
        <v>7</v>
      </c>
      <c r="B256">
        <f t="shared" si="81"/>
        <v>0.66666666666666663</v>
      </c>
      <c r="C256">
        <f>[1]!survey_responses[[#This Row],[Tôi tin rằng với các quy định quản lý thuế hiện nay, hành vi gian lận hoặc trốn thuế sẽ dễ dàng bị phát hiện và xử lý nghiêm. - HUMAN-ENF1]]</f>
        <v>6</v>
      </c>
      <c r="D256">
        <f t="shared" si="82"/>
        <v>0.55555555555555558</v>
      </c>
      <c r="E256">
        <f>step3_validation[[#This Row],[AI_ENF2]]</f>
        <v>6</v>
      </c>
      <c r="F256">
        <f t="shared" si="83"/>
        <v>0.55555555555555558</v>
      </c>
      <c r="G256">
        <f>[1]!survey_responses[[#This Row],[Tôi tin rằng Nhà nước, cơ quan thuế có đủ khả năng và công nghệ để phát hiện, xử lý nghiêm các hành vi trốn thuế. - HUMAN-ENF2]]</f>
        <v>6</v>
      </c>
      <c r="H256">
        <f t="shared" si="84"/>
        <v>0.55555555555555558</v>
      </c>
      <c r="I256" s="32">
        <f t="shared" si="85"/>
        <v>0.61111111111111116</v>
      </c>
      <c r="J256" s="32">
        <f t="shared" si="86"/>
        <v>0.55555555555555558</v>
      </c>
      <c r="K256">
        <f>step3_validation[[#This Row],[AI_FAC1]]</f>
        <v>8</v>
      </c>
      <c r="L256">
        <f t="shared" si="87"/>
        <v>0.77777777777777779</v>
      </c>
      <c r="M256">
        <f>[1]!survey_responses[[#This Row],[Các thủ tục khai báo thuế VÀ/HOẶC quy trình làm việc với cơ quan thuế đơn giản, tiện lợi, nhanh chóng hơn so với trước đây. - HUMAN-FAC1]]</f>
        <v>1</v>
      </c>
      <c r="N256">
        <f t="shared" si="88"/>
        <v>0</v>
      </c>
      <c r="O256">
        <f>step3_validation[[#This Row],[AI_FAC2]]</f>
        <v>9</v>
      </c>
      <c r="P256">
        <f t="shared" si="89"/>
        <v>0.88888888888888884</v>
      </c>
      <c r="Q256">
        <f>[1]!survey_responses[[#This Row],[So với trước đây, tôi thấy cách tính thuế và các bậc thuế trong phương án mới đơn giản, dễ hiểu và dễ thực hiện hơn. - HUMAN-FAC2]]</f>
        <v>7</v>
      </c>
      <c r="R256">
        <f t="shared" si="90"/>
        <v>0.66666666666666663</v>
      </c>
      <c r="S256" s="32">
        <f t="shared" si="91"/>
        <v>0.83333333333333326</v>
      </c>
      <c r="T256" s="32">
        <f t="shared" si="92"/>
        <v>0.33333333333333331</v>
      </c>
      <c r="U256">
        <f>step3_validation[[#This Row],[AI_TRU1]]</f>
        <v>7</v>
      </c>
      <c r="V256">
        <f t="shared" si="93"/>
        <v>0.66666666666666663</v>
      </c>
      <c r="W256">
        <f>[1]!survey_responses[[#This Row],[Tôi tin rằng Nhà nước, cơ quan thuế sẽ thực thi chính sách mới một cách khách quan, công tâm và đối xử bình đẳng với mọi người nộp thuế.  - HUMAN-TRU1]]</f>
        <v>5</v>
      </c>
      <c r="X256">
        <f t="shared" si="94"/>
        <v>0.44444444444444442</v>
      </c>
      <c r="Y256">
        <f>step3_validation[[#This Row],[AI_TRU2]]</f>
        <v>8</v>
      </c>
      <c r="Z256">
        <f t="shared" si="95"/>
        <v>0.77777777777777779</v>
      </c>
      <c r="AA256">
        <f>[1]!survey_responses[[#This Row],[Tôi thấy mức thuế tôi phải đóng theo phương án mới là công bằng (người thu nhập như tôi đóng mức này là hợp lý). - HUMAN-TRU2]]</f>
        <v>6</v>
      </c>
      <c r="AB256">
        <f t="shared" si="96"/>
        <v>0.55555555555555558</v>
      </c>
      <c r="AC256">
        <f>step3_validation[[#This Row],[AI_TRU3]]</f>
        <v>7</v>
      </c>
      <c r="AD256">
        <f t="shared" si="97"/>
        <v>0.66666666666666663</v>
      </c>
      <c r="AE256">
        <f>[1]!survey_responses[[#This Row],[Tôi tin tưởng số tiền thuế tôi đóng sẽ được Nhà nước sử dụng hiệu quả để cải thiện dịch vụ công (y tế, đường xá...). - HUMAN-TRU3]]</f>
        <v>6</v>
      </c>
      <c r="AF256">
        <f t="shared" si="98"/>
        <v>0.55555555555555558</v>
      </c>
      <c r="AG256">
        <f>step3_validation[[#This Row],[AI_TRU4]]</f>
        <v>5</v>
      </c>
      <c r="AH256">
        <f t="shared" si="99"/>
        <v>0.44444444444444442</v>
      </c>
      <c r="AI256">
        <f>[1]!survey_responses[[#This Row],[Tôi thấy Nhà nước đã giải thích rõ ràng, minh bạch về lý do và mục tiêu của việc sửa đổi thuế lần này. - HUMAN-TRU4]]</f>
        <v>6</v>
      </c>
      <c r="AJ256">
        <f t="shared" si="100"/>
        <v>0.55555555555555558</v>
      </c>
      <c r="AK256" s="32">
        <f t="shared" si="101"/>
        <v>0.63888888888888884</v>
      </c>
      <c r="AL256" s="32">
        <f t="shared" si="102"/>
        <v>0.52777777777777779</v>
      </c>
      <c r="AM256" s="7">
        <f t="shared" si="103"/>
        <v>0.69444444444444431</v>
      </c>
      <c r="AN256" s="7">
        <f t="shared" si="104"/>
        <v>0.47222222222222215</v>
      </c>
      <c r="AO256">
        <f>step3_validation[[#This Row],[AI_OUT1]]</f>
        <v>7</v>
      </c>
      <c r="AP256">
        <f t="shared" si="105"/>
        <v>0.66666666666666663</v>
      </c>
      <c r="AQ256">
        <f>[1]!survey_responses[[#This Row],[Sau khi xem xét các quyền lợi và nghĩa vụ, bạn có ủng hộ và tuân thủ chính sách mới hiện nay? - HUMAN-OUT1]]</f>
        <v>6</v>
      </c>
      <c r="AR256">
        <f t="shared" si="106"/>
        <v>0.55555555555555558</v>
      </c>
      <c r="AS256" s="32">
        <f t="shared" si="107"/>
        <v>1</v>
      </c>
    </row>
    <row r="257" spans="1:45" x14ac:dyDescent="0.45">
      <c r="A257">
        <f>step3_validation[[#This Row],[AI_ENF1]]</f>
        <v>7</v>
      </c>
      <c r="B257">
        <f t="shared" si="81"/>
        <v>0.66666666666666663</v>
      </c>
      <c r="C257">
        <f>[1]!survey_responses[[#This Row],[Tôi tin rằng với các quy định quản lý thuế hiện nay, hành vi gian lận hoặc trốn thuế sẽ dễ dàng bị phát hiện và xử lý nghiêm. - HUMAN-ENF1]]</f>
        <v>8</v>
      </c>
      <c r="D257">
        <f t="shared" si="82"/>
        <v>0.77777777777777779</v>
      </c>
      <c r="E257">
        <f>step3_validation[[#This Row],[AI_ENF2]]</f>
        <v>8</v>
      </c>
      <c r="F257">
        <f t="shared" si="83"/>
        <v>0.77777777777777779</v>
      </c>
      <c r="G257">
        <f>[1]!survey_responses[[#This Row],[Tôi tin rằng Nhà nước, cơ quan thuế có đủ khả năng và công nghệ để phát hiện, xử lý nghiêm các hành vi trốn thuế. - HUMAN-ENF2]]</f>
        <v>8</v>
      </c>
      <c r="H257">
        <f t="shared" si="84"/>
        <v>0.77777777777777779</v>
      </c>
      <c r="I257" s="32">
        <f t="shared" si="85"/>
        <v>0.72222222222222221</v>
      </c>
      <c r="J257" s="32">
        <f t="shared" si="86"/>
        <v>0.77777777777777779</v>
      </c>
      <c r="K257">
        <f>step3_validation[[#This Row],[AI_FAC1]]</f>
        <v>7</v>
      </c>
      <c r="L257">
        <f t="shared" si="87"/>
        <v>0.66666666666666663</v>
      </c>
      <c r="M257">
        <f>[1]!survey_responses[[#This Row],[Các thủ tục khai báo thuế VÀ/HOẶC quy trình làm việc với cơ quan thuế đơn giản, tiện lợi, nhanh chóng hơn so với trước đây. - HUMAN-FAC1]]</f>
        <v>5</v>
      </c>
      <c r="N257">
        <f t="shared" si="88"/>
        <v>0.44444444444444442</v>
      </c>
      <c r="O257">
        <f>step3_validation[[#This Row],[AI_FAC2]]</f>
        <v>8</v>
      </c>
      <c r="P257">
        <f t="shared" si="89"/>
        <v>0.77777777777777779</v>
      </c>
      <c r="Q257">
        <f>[1]!survey_responses[[#This Row],[So với trước đây, tôi thấy cách tính thuế và các bậc thuế trong phương án mới đơn giản, dễ hiểu và dễ thực hiện hơn. - HUMAN-FAC2]]</f>
        <v>8</v>
      </c>
      <c r="R257">
        <f t="shared" si="90"/>
        <v>0.77777777777777779</v>
      </c>
      <c r="S257" s="32">
        <f t="shared" si="91"/>
        <v>0.72222222222222221</v>
      </c>
      <c r="T257" s="32">
        <f t="shared" si="92"/>
        <v>0.61111111111111116</v>
      </c>
      <c r="U257">
        <f>step3_validation[[#This Row],[AI_TRU1]]</f>
        <v>8</v>
      </c>
      <c r="V257">
        <f t="shared" si="93"/>
        <v>0.77777777777777779</v>
      </c>
      <c r="W257">
        <f>[1]!survey_responses[[#This Row],[Tôi tin rằng Nhà nước, cơ quan thuế sẽ thực thi chính sách mới một cách khách quan, công tâm và đối xử bình đẳng với mọi người nộp thuế.  - HUMAN-TRU1]]</f>
        <v>8</v>
      </c>
      <c r="X257">
        <f t="shared" si="94"/>
        <v>0.77777777777777779</v>
      </c>
      <c r="Y257">
        <f>step3_validation[[#This Row],[AI_TRU2]]</f>
        <v>8</v>
      </c>
      <c r="Z257">
        <f t="shared" si="95"/>
        <v>0.77777777777777779</v>
      </c>
      <c r="AA257">
        <f>[1]!survey_responses[[#This Row],[Tôi thấy mức thuế tôi phải đóng theo phương án mới là công bằng (người thu nhập như tôi đóng mức này là hợp lý). - HUMAN-TRU2]]</f>
        <v>7</v>
      </c>
      <c r="AB257">
        <f t="shared" si="96"/>
        <v>0.66666666666666663</v>
      </c>
      <c r="AC257">
        <f>step3_validation[[#This Row],[AI_TRU3]]</f>
        <v>7</v>
      </c>
      <c r="AD257">
        <f t="shared" si="97"/>
        <v>0.66666666666666663</v>
      </c>
      <c r="AE257">
        <f>[1]!survey_responses[[#This Row],[Tôi tin tưởng số tiền thuế tôi đóng sẽ được Nhà nước sử dụng hiệu quả để cải thiện dịch vụ công (y tế, đường xá...). - HUMAN-TRU3]]</f>
        <v>7</v>
      </c>
      <c r="AF257">
        <f t="shared" si="98"/>
        <v>0.66666666666666663</v>
      </c>
      <c r="AG257">
        <f>step3_validation[[#This Row],[AI_TRU4]]</f>
        <v>8</v>
      </c>
      <c r="AH257">
        <f t="shared" si="99"/>
        <v>0.77777777777777779</v>
      </c>
      <c r="AI257">
        <f>[1]!survey_responses[[#This Row],[Tôi thấy Nhà nước đã giải thích rõ ràng, minh bạch về lý do và mục tiêu của việc sửa đổi thuế lần này. - HUMAN-TRU4]]</f>
        <v>7</v>
      </c>
      <c r="AJ257">
        <f t="shared" si="100"/>
        <v>0.66666666666666663</v>
      </c>
      <c r="AK257" s="32">
        <f t="shared" si="101"/>
        <v>0.75</v>
      </c>
      <c r="AL257" s="32">
        <f t="shared" si="102"/>
        <v>0.69444444444444442</v>
      </c>
      <c r="AM257" s="7">
        <f t="shared" si="103"/>
        <v>0.73148148148148151</v>
      </c>
      <c r="AN257" s="7">
        <f t="shared" si="104"/>
        <v>0.69444444444444431</v>
      </c>
      <c r="AO257">
        <f>step3_validation[[#This Row],[AI_OUT1]]</f>
        <v>7</v>
      </c>
      <c r="AP257">
        <f t="shared" si="105"/>
        <v>0.66666666666666663</v>
      </c>
      <c r="AQ257">
        <f>[1]!survey_responses[[#This Row],[Sau khi xem xét các quyền lợi và nghĩa vụ, bạn có ủng hộ và tuân thủ chính sách mới hiện nay? - HUMAN-OUT1]]</f>
        <v>7</v>
      </c>
      <c r="AR257">
        <f t="shared" si="106"/>
        <v>0.66666666666666663</v>
      </c>
      <c r="AS257" s="32">
        <f t="shared" si="107"/>
        <v>0</v>
      </c>
    </row>
    <row r="258" spans="1:45" x14ac:dyDescent="0.45">
      <c r="A258">
        <f>step3_validation[[#This Row],[AI_ENF1]]</f>
        <v>7</v>
      </c>
      <c r="B258">
        <f t="shared" si="81"/>
        <v>0.66666666666666663</v>
      </c>
      <c r="C258">
        <f>[1]!survey_responses[[#This Row],[Tôi tin rằng với các quy định quản lý thuế hiện nay, hành vi gian lận hoặc trốn thuế sẽ dễ dàng bị phát hiện và xử lý nghiêm. - HUMAN-ENF1]]</f>
        <v>7</v>
      </c>
      <c r="D258">
        <f t="shared" si="82"/>
        <v>0.66666666666666663</v>
      </c>
      <c r="E258">
        <f>step3_validation[[#This Row],[AI_ENF2]]</f>
        <v>6</v>
      </c>
      <c r="F258">
        <f t="shared" si="83"/>
        <v>0.55555555555555558</v>
      </c>
      <c r="G258">
        <f>[1]!survey_responses[[#This Row],[Tôi tin rằng Nhà nước, cơ quan thuế có đủ khả năng và công nghệ để phát hiện, xử lý nghiêm các hành vi trốn thuế. - HUMAN-ENF2]]</f>
        <v>8</v>
      </c>
      <c r="H258">
        <f t="shared" si="84"/>
        <v>0.77777777777777779</v>
      </c>
      <c r="I258" s="32">
        <f t="shared" si="85"/>
        <v>0.61111111111111116</v>
      </c>
      <c r="J258" s="32">
        <f t="shared" si="86"/>
        <v>0.72222222222222221</v>
      </c>
      <c r="K258">
        <f>step3_validation[[#This Row],[AI_FAC1]]</f>
        <v>5</v>
      </c>
      <c r="L258">
        <f t="shared" si="87"/>
        <v>0.44444444444444442</v>
      </c>
      <c r="M258">
        <f>[1]!survey_responses[[#This Row],[Các thủ tục khai báo thuế VÀ/HOẶC quy trình làm việc với cơ quan thuế đơn giản, tiện lợi, nhanh chóng hơn so với trước đây. - HUMAN-FAC1]]</f>
        <v>4</v>
      </c>
      <c r="N258">
        <f t="shared" si="88"/>
        <v>0.33333333333333331</v>
      </c>
      <c r="O258">
        <f>step3_validation[[#This Row],[AI_FAC2]]</f>
        <v>4</v>
      </c>
      <c r="P258">
        <f t="shared" si="89"/>
        <v>0.33333333333333331</v>
      </c>
      <c r="Q258">
        <f>[1]!survey_responses[[#This Row],[So với trước đây, tôi thấy cách tính thuế và các bậc thuế trong phương án mới đơn giản, dễ hiểu và dễ thực hiện hơn. - HUMAN-FAC2]]</f>
        <v>8</v>
      </c>
      <c r="R258">
        <f t="shared" si="90"/>
        <v>0.77777777777777779</v>
      </c>
      <c r="S258" s="32">
        <f t="shared" si="91"/>
        <v>0.38888888888888884</v>
      </c>
      <c r="T258" s="32">
        <f t="shared" si="92"/>
        <v>0.55555555555555558</v>
      </c>
      <c r="U258">
        <f>step3_validation[[#This Row],[AI_TRU1]]</f>
        <v>8</v>
      </c>
      <c r="V258">
        <f t="shared" si="93"/>
        <v>0.77777777777777779</v>
      </c>
      <c r="W258">
        <f>[1]!survey_responses[[#This Row],[Tôi tin rằng Nhà nước, cơ quan thuế sẽ thực thi chính sách mới một cách khách quan, công tâm và đối xử bình đẳng với mọi người nộp thuế.  - HUMAN-TRU1]]</f>
        <v>5</v>
      </c>
      <c r="X258">
        <f t="shared" si="94"/>
        <v>0.44444444444444442</v>
      </c>
      <c r="Y258">
        <f>step3_validation[[#This Row],[AI_TRU2]]</f>
        <v>7</v>
      </c>
      <c r="Z258">
        <f t="shared" si="95"/>
        <v>0.66666666666666663</v>
      </c>
      <c r="AA258">
        <f>[1]!survey_responses[[#This Row],[Tôi thấy mức thuế tôi phải đóng theo phương án mới là công bằng (người thu nhập như tôi đóng mức này là hợp lý). - HUMAN-TRU2]]</f>
        <v>7</v>
      </c>
      <c r="AB258">
        <f t="shared" si="96"/>
        <v>0.66666666666666663</v>
      </c>
      <c r="AC258">
        <f>step3_validation[[#This Row],[AI_TRU3]]</f>
        <v>8</v>
      </c>
      <c r="AD258">
        <f t="shared" si="97"/>
        <v>0.77777777777777779</v>
      </c>
      <c r="AE258">
        <f>[1]!survey_responses[[#This Row],[Tôi tin tưởng số tiền thuế tôi đóng sẽ được Nhà nước sử dụng hiệu quả để cải thiện dịch vụ công (y tế, đường xá...). - HUMAN-TRU3]]</f>
        <v>5</v>
      </c>
      <c r="AF258">
        <f t="shared" si="98"/>
        <v>0.44444444444444442</v>
      </c>
      <c r="AG258">
        <f>step3_validation[[#This Row],[AI_TRU4]]</f>
        <v>6</v>
      </c>
      <c r="AH258">
        <f t="shared" si="99"/>
        <v>0.55555555555555558</v>
      </c>
      <c r="AI258">
        <f>[1]!survey_responses[[#This Row],[Tôi thấy Nhà nước đã giải thích rõ ràng, minh bạch về lý do và mục tiêu của việc sửa đổi thuế lần này. - HUMAN-TRU4]]</f>
        <v>6</v>
      </c>
      <c r="AJ258">
        <f t="shared" si="100"/>
        <v>0.55555555555555558</v>
      </c>
      <c r="AK258" s="32">
        <f t="shared" si="101"/>
        <v>0.69444444444444442</v>
      </c>
      <c r="AL258" s="32">
        <f t="shared" si="102"/>
        <v>0.52777777777777779</v>
      </c>
      <c r="AM258" s="7">
        <f t="shared" si="103"/>
        <v>0.56481481481481477</v>
      </c>
      <c r="AN258" s="7">
        <f t="shared" si="104"/>
        <v>0.60185185185185175</v>
      </c>
      <c r="AO258">
        <f>step3_validation[[#This Row],[AI_OUT1]]</f>
        <v>7</v>
      </c>
      <c r="AP258">
        <f t="shared" si="105"/>
        <v>0.66666666666666663</v>
      </c>
      <c r="AQ258">
        <f>[1]!survey_responses[[#This Row],[Sau khi xem xét các quyền lợi và nghĩa vụ, bạn có ủng hộ và tuân thủ chính sách mới hiện nay? - HUMAN-OUT1]]</f>
        <v>6</v>
      </c>
      <c r="AR258">
        <f t="shared" si="106"/>
        <v>0.55555555555555558</v>
      </c>
      <c r="AS258" s="32">
        <f t="shared" si="107"/>
        <v>1</v>
      </c>
    </row>
    <row r="259" spans="1:45" x14ac:dyDescent="0.45">
      <c r="A259">
        <f>step3_validation[[#This Row],[AI_ENF1]]</f>
        <v>7</v>
      </c>
      <c r="B259">
        <f t="shared" ref="B259:B322" si="108">(A259-1)/9</f>
        <v>0.66666666666666663</v>
      </c>
      <c r="C259">
        <f>[1]!survey_responses[[#This Row],[Tôi tin rằng với các quy định quản lý thuế hiện nay, hành vi gian lận hoặc trốn thuế sẽ dễ dàng bị phát hiện và xử lý nghiêm. - HUMAN-ENF1]]</f>
        <v>6</v>
      </c>
      <c r="D259">
        <f t="shared" ref="D259:D322" si="109">(C259-1)/9</f>
        <v>0.55555555555555558</v>
      </c>
      <c r="E259">
        <f>step3_validation[[#This Row],[AI_ENF2]]</f>
        <v>8</v>
      </c>
      <c r="F259">
        <f t="shared" ref="F259:F322" si="110">(E259-1)/9</f>
        <v>0.77777777777777779</v>
      </c>
      <c r="G259">
        <f>[1]!survey_responses[[#This Row],[Tôi tin rằng Nhà nước, cơ quan thuế có đủ khả năng và công nghệ để phát hiện, xử lý nghiêm các hành vi trốn thuế. - HUMAN-ENF2]]</f>
        <v>7</v>
      </c>
      <c r="H259">
        <f t="shared" ref="H259:H322" si="111">(G259-1)/9</f>
        <v>0.66666666666666663</v>
      </c>
      <c r="I259" s="32">
        <f t="shared" ref="I259:I322" si="112">AVERAGE(B259,F259)</f>
        <v>0.72222222222222221</v>
      </c>
      <c r="J259" s="32">
        <f t="shared" ref="J259:J322" si="113">AVERAGE(D259,H259)</f>
        <v>0.61111111111111116</v>
      </c>
      <c r="K259">
        <f>step3_validation[[#This Row],[AI_FAC1]]</f>
        <v>6</v>
      </c>
      <c r="L259">
        <f t="shared" ref="L259:L322" si="114">(K259-1)/9</f>
        <v>0.55555555555555558</v>
      </c>
      <c r="M259">
        <f>[1]!survey_responses[[#This Row],[Các thủ tục khai báo thuế VÀ/HOẶC quy trình làm việc với cơ quan thuế đơn giản, tiện lợi, nhanh chóng hơn so với trước đây. - HUMAN-FAC1]]</f>
        <v>2</v>
      </c>
      <c r="N259">
        <f t="shared" ref="N259:N322" si="115">(M259-1)/9</f>
        <v>0.1111111111111111</v>
      </c>
      <c r="O259">
        <f>step3_validation[[#This Row],[AI_FAC2]]</f>
        <v>8</v>
      </c>
      <c r="P259">
        <f t="shared" ref="P259:P322" si="116">(O259-1)/9</f>
        <v>0.77777777777777779</v>
      </c>
      <c r="Q259">
        <f>[1]!survey_responses[[#This Row],[So với trước đây, tôi thấy cách tính thuế và các bậc thuế trong phương án mới đơn giản, dễ hiểu và dễ thực hiện hơn. - HUMAN-FAC2]]</f>
        <v>7</v>
      </c>
      <c r="R259">
        <f t="shared" ref="R259:R322" si="117">(Q259-1)/9</f>
        <v>0.66666666666666663</v>
      </c>
      <c r="S259" s="32">
        <f t="shared" ref="S259:S322" si="118">AVERAGE(L259,P259)</f>
        <v>0.66666666666666674</v>
      </c>
      <c r="T259" s="32">
        <f t="shared" ref="T259:T322" si="119">AVERAGE(N259,R259)</f>
        <v>0.38888888888888884</v>
      </c>
      <c r="U259">
        <f>step3_validation[[#This Row],[AI_TRU1]]</f>
        <v>6</v>
      </c>
      <c r="V259">
        <f t="shared" ref="V259:V322" si="120">(U259-1)/9</f>
        <v>0.55555555555555558</v>
      </c>
      <c r="W259">
        <f>[1]!survey_responses[[#This Row],[Tôi tin rằng Nhà nước, cơ quan thuế sẽ thực thi chính sách mới một cách khách quan, công tâm và đối xử bình đẳng với mọi người nộp thuế.  - HUMAN-TRU1]]</f>
        <v>5</v>
      </c>
      <c r="X259">
        <f t="shared" ref="X259:X322" si="121">(W259-1)/9</f>
        <v>0.44444444444444442</v>
      </c>
      <c r="Y259">
        <f>step3_validation[[#This Row],[AI_TRU2]]</f>
        <v>7</v>
      </c>
      <c r="Z259">
        <f t="shared" ref="Z259:Z322" si="122">(Y259-1)/9</f>
        <v>0.66666666666666663</v>
      </c>
      <c r="AA259">
        <f>[1]!survey_responses[[#This Row],[Tôi thấy mức thuế tôi phải đóng theo phương án mới là công bằng (người thu nhập như tôi đóng mức này là hợp lý). - HUMAN-TRU2]]</f>
        <v>5</v>
      </c>
      <c r="AB259">
        <f t="shared" ref="AB259:AB322" si="123">(AA259-1)/9</f>
        <v>0.44444444444444442</v>
      </c>
      <c r="AC259">
        <f>step3_validation[[#This Row],[AI_TRU3]]</f>
        <v>5</v>
      </c>
      <c r="AD259">
        <f t="shared" ref="AD259:AD322" si="124">(AC259-1)/9</f>
        <v>0.44444444444444442</v>
      </c>
      <c r="AE259">
        <f>[1]!survey_responses[[#This Row],[Tôi tin tưởng số tiền thuế tôi đóng sẽ được Nhà nước sử dụng hiệu quả để cải thiện dịch vụ công (y tế, đường xá...). - HUMAN-TRU3]]</f>
        <v>5</v>
      </c>
      <c r="AF259">
        <f t="shared" ref="AF259:AF322" si="125">(AE259-1)/9</f>
        <v>0.44444444444444442</v>
      </c>
      <c r="AG259">
        <f>step3_validation[[#This Row],[AI_TRU4]]</f>
        <v>6</v>
      </c>
      <c r="AH259">
        <f t="shared" ref="AH259:AH322" si="126">(AG259-1)/9</f>
        <v>0.55555555555555558</v>
      </c>
      <c r="AI259">
        <f>[1]!survey_responses[[#This Row],[Tôi thấy Nhà nước đã giải thích rõ ràng, minh bạch về lý do và mục tiêu của việc sửa đổi thuế lần này. - HUMAN-TRU4]]</f>
        <v>6</v>
      </c>
      <c r="AJ259">
        <f t="shared" ref="AJ259:AJ322" si="127">(AI259-1)/9</f>
        <v>0.55555555555555558</v>
      </c>
      <c r="AK259" s="32">
        <f t="shared" ref="AK259:AK322" si="128">AVERAGE(V259,Z259,AD259,AH259)</f>
        <v>0.55555555555555558</v>
      </c>
      <c r="AL259" s="32">
        <f t="shared" ref="AL259:AL322" si="129">AVERAGE(X259,AB259,AF259,AJ259)</f>
        <v>0.47222222222222221</v>
      </c>
      <c r="AM259" s="7">
        <f t="shared" ref="AM259:AM322" si="130">(I259+S259+AK259)/3</f>
        <v>0.64814814814814814</v>
      </c>
      <c r="AN259" s="7">
        <f t="shared" ref="AN259:AN322" si="131">(J259+T259+AL259)/3</f>
        <v>0.49074074074074076</v>
      </c>
      <c r="AO259">
        <f>step3_validation[[#This Row],[AI_OUT1]]</f>
        <v>7</v>
      </c>
      <c r="AP259">
        <f t="shared" ref="AP259:AP322" si="132">(AO259-1)/9</f>
        <v>0.66666666666666663</v>
      </c>
      <c r="AQ259">
        <f>[1]!survey_responses[[#This Row],[Sau khi xem xét các quyền lợi và nghĩa vụ, bạn có ủng hộ và tuân thủ chính sách mới hiện nay? - HUMAN-OUT1]]</f>
        <v>5</v>
      </c>
      <c r="AR259">
        <f t="shared" ref="AR259:AR322" si="133">(AQ259-1)/9</f>
        <v>0.44444444444444442</v>
      </c>
      <c r="AS259" s="32">
        <f t="shared" ref="AS259:AS322" si="134">ABS(AQ259-AO259)</f>
        <v>2</v>
      </c>
    </row>
    <row r="260" spans="1:45" x14ac:dyDescent="0.45">
      <c r="A260">
        <f>step3_validation[[#This Row],[AI_ENF1]]</f>
        <v>7</v>
      </c>
      <c r="B260">
        <f t="shared" si="108"/>
        <v>0.66666666666666663</v>
      </c>
      <c r="C260">
        <f>[1]!survey_responses[[#This Row],[Tôi tin rằng với các quy định quản lý thuế hiện nay, hành vi gian lận hoặc trốn thuế sẽ dễ dàng bị phát hiện và xử lý nghiêm. - HUMAN-ENF1]]</f>
        <v>2</v>
      </c>
      <c r="D260">
        <f t="shared" si="109"/>
        <v>0.1111111111111111</v>
      </c>
      <c r="E260">
        <f>step3_validation[[#This Row],[AI_ENF2]]</f>
        <v>8</v>
      </c>
      <c r="F260">
        <f t="shared" si="110"/>
        <v>0.77777777777777779</v>
      </c>
      <c r="G260">
        <f>[1]!survey_responses[[#This Row],[Tôi tin rằng Nhà nước, cơ quan thuế có đủ khả năng và công nghệ để phát hiện, xử lý nghiêm các hành vi trốn thuế. - HUMAN-ENF2]]</f>
        <v>1</v>
      </c>
      <c r="H260">
        <f t="shared" si="111"/>
        <v>0</v>
      </c>
      <c r="I260" s="32">
        <f t="shared" si="112"/>
        <v>0.72222222222222221</v>
      </c>
      <c r="J260" s="32">
        <f t="shared" si="113"/>
        <v>5.5555555555555552E-2</v>
      </c>
      <c r="K260">
        <f>step3_validation[[#This Row],[AI_FAC1]]</f>
        <v>6</v>
      </c>
      <c r="L260">
        <f t="shared" si="114"/>
        <v>0.55555555555555558</v>
      </c>
      <c r="M260">
        <f>[1]!survey_responses[[#This Row],[Các thủ tục khai báo thuế VÀ/HOẶC quy trình làm việc với cơ quan thuế đơn giản, tiện lợi, nhanh chóng hơn so với trước đây. - HUMAN-FAC1]]</f>
        <v>1</v>
      </c>
      <c r="N260">
        <f t="shared" si="115"/>
        <v>0</v>
      </c>
      <c r="O260">
        <f>step3_validation[[#This Row],[AI_FAC2]]</f>
        <v>7</v>
      </c>
      <c r="P260">
        <f t="shared" si="116"/>
        <v>0.66666666666666663</v>
      </c>
      <c r="Q260">
        <f>[1]!survey_responses[[#This Row],[So với trước đây, tôi thấy cách tính thuế và các bậc thuế trong phương án mới đơn giản, dễ hiểu và dễ thực hiện hơn. - HUMAN-FAC2]]</f>
        <v>6</v>
      </c>
      <c r="R260">
        <f t="shared" si="117"/>
        <v>0.55555555555555558</v>
      </c>
      <c r="S260" s="32">
        <f t="shared" si="118"/>
        <v>0.61111111111111116</v>
      </c>
      <c r="T260" s="32">
        <f t="shared" si="119"/>
        <v>0.27777777777777779</v>
      </c>
      <c r="U260">
        <f>step3_validation[[#This Row],[AI_TRU1]]</f>
        <v>6</v>
      </c>
      <c r="V260">
        <f t="shared" si="120"/>
        <v>0.55555555555555558</v>
      </c>
      <c r="W260">
        <f>[1]!survey_responses[[#This Row],[Tôi tin rằng Nhà nước, cơ quan thuế sẽ thực thi chính sách mới một cách khách quan, công tâm và đối xử bình đẳng với mọi người nộp thuế.  - HUMAN-TRU1]]</f>
        <v>2</v>
      </c>
      <c r="X260">
        <f t="shared" si="121"/>
        <v>0.1111111111111111</v>
      </c>
      <c r="Y260">
        <f>step3_validation[[#This Row],[AI_TRU2]]</f>
        <v>8</v>
      </c>
      <c r="Z260">
        <f t="shared" si="122"/>
        <v>0.77777777777777779</v>
      </c>
      <c r="AA260">
        <f>[1]!survey_responses[[#This Row],[Tôi thấy mức thuế tôi phải đóng theo phương án mới là công bằng (người thu nhập như tôi đóng mức này là hợp lý). - HUMAN-TRU2]]</f>
        <v>3</v>
      </c>
      <c r="AB260">
        <f t="shared" si="123"/>
        <v>0.22222222222222221</v>
      </c>
      <c r="AC260">
        <f>step3_validation[[#This Row],[AI_TRU3]]</f>
        <v>7</v>
      </c>
      <c r="AD260">
        <f t="shared" si="124"/>
        <v>0.66666666666666663</v>
      </c>
      <c r="AE260">
        <f>[1]!survey_responses[[#This Row],[Tôi tin tưởng số tiền thuế tôi đóng sẽ được Nhà nước sử dụng hiệu quả để cải thiện dịch vụ công (y tế, đường xá...). - HUMAN-TRU3]]</f>
        <v>1</v>
      </c>
      <c r="AF260">
        <f t="shared" si="125"/>
        <v>0</v>
      </c>
      <c r="AG260">
        <f>step3_validation[[#This Row],[AI_TRU4]]</f>
        <v>8</v>
      </c>
      <c r="AH260">
        <f t="shared" si="126"/>
        <v>0.77777777777777779</v>
      </c>
      <c r="AI260">
        <f>[1]!survey_responses[[#This Row],[Tôi thấy Nhà nước đã giải thích rõ ràng, minh bạch về lý do và mục tiêu của việc sửa đổi thuế lần này. - HUMAN-TRU4]]</f>
        <v>5</v>
      </c>
      <c r="AJ260">
        <f t="shared" si="127"/>
        <v>0.44444444444444442</v>
      </c>
      <c r="AK260" s="32">
        <f t="shared" si="128"/>
        <v>0.69444444444444442</v>
      </c>
      <c r="AL260" s="32">
        <f t="shared" si="129"/>
        <v>0.19444444444444442</v>
      </c>
      <c r="AM260" s="7">
        <f t="shared" si="130"/>
        <v>0.67592592592592593</v>
      </c>
      <c r="AN260" s="7">
        <f t="shared" si="131"/>
        <v>0.17592592592592593</v>
      </c>
      <c r="AO260">
        <f>step3_validation[[#This Row],[AI_OUT1]]</f>
        <v>7</v>
      </c>
      <c r="AP260">
        <f t="shared" si="132"/>
        <v>0.66666666666666663</v>
      </c>
      <c r="AQ260">
        <f>[1]!survey_responses[[#This Row],[Sau khi xem xét các quyền lợi và nghĩa vụ, bạn có ủng hộ và tuân thủ chính sách mới hiện nay? - HUMAN-OUT1]]</f>
        <v>4</v>
      </c>
      <c r="AR260">
        <f t="shared" si="133"/>
        <v>0.33333333333333331</v>
      </c>
      <c r="AS260" s="32">
        <f t="shared" si="134"/>
        <v>3</v>
      </c>
    </row>
    <row r="261" spans="1:45" x14ac:dyDescent="0.45">
      <c r="A261">
        <f>step3_validation[[#This Row],[AI_ENF1]]</f>
        <v>7</v>
      </c>
      <c r="B261">
        <f t="shared" si="108"/>
        <v>0.66666666666666663</v>
      </c>
      <c r="C261">
        <f>[1]!survey_responses[[#This Row],[Tôi tin rằng với các quy định quản lý thuế hiện nay, hành vi gian lận hoặc trốn thuế sẽ dễ dàng bị phát hiện và xử lý nghiêm. - HUMAN-ENF1]]</f>
        <v>6</v>
      </c>
      <c r="D261">
        <f t="shared" si="109"/>
        <v>0.55555555555555558</v>
      </c>
      <c r="E261">
        <f>step3_validation[[#This Row],[AI_ENF2]]</f>
        <v>8</v>
      </c>
      <c r="F261">
        <f t="shared" si="110"/>
        <v>0.77777777777777779</v>
      </c>
      <c r="G261">
        <f>[1]!survey_responses[[#This Row],[Tôi tin rằng Nhà nước, cơ quan thuế có đủ khả năng và công nghệ để phát hiện, xử lý nghiêm các hành vi trốn thuế. - HUMAN-ENF2]]</f>
        <v>6</v>
      </c>
      <c r="H261">
        <f t="shared" si="111"/>
        <v>0.55555555555555558</v>
      </c>
      <c r="I261" s="32">
        <f t="shared" si="112"/>
        <v>0.72222222222222221</v>
      </c>
      <c r="J261" s="32">
        <f t="shared" si="113"/>
        <v>0.55555555555555558</v>
      </c>
      <c r="K261">
        <f>step3_validation[[#This Row],[AI_FAC1]]</f>
        <v>6</v>
      </c>
      <c r="L261">
        <f t="shared" si="114"/>
        <v>0.55555555555555558</v>
      </c>
      <c r="M261">
        <f>[1]!survey_responses[[#This Row],[Các thủ tục khai báo thuế VÀ/HOẶC quy trình làm việc với cơ quan thuế đơn giản, tiện lợi, nhanh chóng hơn so với trước đây. - HUMAN-FAC1]]</f>
        <v>7</v>
      </c>
      <c r="N261">
        <f t="shared" si="115"/>
        <v>0.66666666666666663</v>
      </c>
      <c r="O261">
        <f>step3_validation[[#This Row],[AI_FAC2]]</f>
        <v>9</v>
      </c>
      <c r="P261">
        <f t="shared" si="116"/>
        <v>0.88888888888888884</v>
      </c>
      <c r="Q261">
        <f>[1]!survey_responses[[#This Row],[So với trước đây, tôi thấy cách tính thuế và các bậc thuế trong phương án mới đơn giản, dễ hiểu và dễ thực hiện hơn. - HUMAN-FAC2]]</f>
        <v>6</v>
      </c>
      <c r="R261">
        <f t="shared" si="117"/>
        <v>0.55555555555555558</v>
      </c>
      <c r="S261" s="32">
        <f t="shared" si="118"/>
        <v>0.72222222222222221</v>
      </c>
      <c r="T261" s="32">
        <f t="shared" si="119"/>
        <v>0.61111111111111116</v>
      </c>
      <c r="U261">
        <f>step3_validation[[#This Row],[AI_TRU1]]</f>
        <v>8</v>
      </c>
      <c r="V261">
        <f t="shared" si="120"/>
        <v>0.77777777777777779</v>
      </c>
      <c r="W261">
        <f>[1]!survey_responses[[#This Row],[Tôi tin rằng Nhà nước, cơ quan thuế sẽ thực thi chính sách mới một cách khách quan, công tâm và đối xử bình đẳng với mọi người nộp thuế.  - HUMAN-TRU1]]</f>
        <v>5</v>
      </c>
      <c r="X261">
        <f t="shared" si="121"/>
        <v>0.44444444444444442</v>
      </c>
      <c r="Y261">
        <f>step3_validation[[#This Row],[AI_TRU2]]</f>
        <v>7</v>
      </c>
      <c r="Z261">
        <f t="shared" si="122"/>
        <v>0.66666666666666663</v>
      </c>
      <c r="AA261">
        <f>[1]!survey_responses[[#This Row],[Tôi thấy mức thuế tôi phải đóng theo phương án mới là công bằng (người thu nhập như tôi đóng mức này là hợp lý). - HUMAN-TRU2]]</f>
        <v>6</v>
      </c>
      <c r="AB261">
        <f t="shared" si="123"/>
        <v>0.55555555555555558</v>
      </c>
      <c r="AC261">
        <f>step3_validation[[#This Row],[AI_TRU3]]</f>
        <v>8</v>
      </c>
      <c r="AD261">
        <f t="shared" si="124"/>
        <v>0.77777777777777779</v>
      </c>
      <c r="AE261">
        <f>[1]!survey_responses[[#This Row],[Tôi tin tưởng số tiền thuế tôi đóng sẽ được Nhà nước sử dụng hiệu quả để cải thiện dịch vụ công (y tế, đường xá...). - HUMAN-TRU3]]</f>
        <v>5</v>
      </c>
      <c r="AF261">
        <f t="shared" si="125"/>
        <v>0.44444444444444442</v>
      </c>
      <c r="AG261">
        <f>step3_validation[[#This Row],[AI_TRU4]]</f>
        <v>5</v>
      </c>
      <c r="AH261">
        <f t="shared" si="126"/>
        <v>0.44444444444444442</v>
      </c>
      <c r="AI261">
        <f>[1]!survey_responses[[#This Row],[Tôi thấy Nhà nước đã giải thích rõ ràng, minh bạch về lý do và mục tiêu của việc sửa đổi thuế lần này. - HUMAN-TRU4]]</f>
        <v>6</v>
      </c>
      <c r="AJ261">
        <f t="shared" si="127"/>
        <v>0.55555555555555558</v>
      </c>
      <c r="AK261" s="32">
        <f t="shared" si="128"/>
        <v>0.66666666666666674</v>
      </c>
      <c r="AL261" s="32">
        <f t="shared" si="129"/>
        <v>0.5</v>
      </c>
      <c r="AM261" s="7">
        <f t="shared" si="130"/>
        <v>0.70370370370370372</v>
      </c>
      <c r="AN261" s="7">
        <f t="shared" si="131"/>
        <v>0.55555555555555558</v>
      </c>
      <c r="AO261">
        <f>step3_validation[[#This Row],[AI_OUT1]]</f>
        <v>7</v>
      </c>
      <c r="AP261">
        <f t="shared" si="132"/>
        <v>0.66666666666666663</v>
      </c>
      <c r="AQ261">
        <f>[1]!survey_responses[[#This Row],[Sau khi xem xét các quyền lợi và nghĩa vụ, bạn có ủng hộ và tuân thủ chính sách mới hiện nay? - HUMAN-OUT1]]</f>
        <v>6</v>
      </c>
      <c r="AR261">
        <f t="shared" si="133"/>
        <v>0.55555555555555558</v>
      </c>
      <c r="AS261" s="32">
        <f t="shared" si="134"/>
        <v>1</v>
      </c>
    </row>
    <row r="262" spans="1:45" x14ac:dyDescent="0.45">
      <c r="A262">
        <f>step3_validation[[#This Row],[AI_ENF1]]</f>
        <v>8</v>
      </c>
      <c r="B262">
        <f t="shared" si="108"/>
        <v>0.77777777777777779</v>
      </c>
      <c r="C262">
        <f>[1]!survey_responses[[#This Row],[Tôi tin rằng với các quy định quản lý thuế hiện nay, hành vi gian lận hoặc trốn thuế sẽ dễ dàng bị phát hiện và xử lý nghiêm. - HUMAN-ENF1]]</f>
        <v>6</v>
      </c>
      <c r="D262">
        <f t="shared" si="109"/>
        <v>0.55555555555555558</v>
      </c>
      <c r="E262">
        <f>step3_validation[[#This Row],[AI_ENF2]]</f>
        <v>7</v>
      </c>
      <c r="F262">
        <f t="shared" si="110"/>
        <v>0.66666666666666663</v>
      </c>
      <c r="G262">
        <f>[1]!survey_responses[[#This Row],[Tôi tin rằng Nhà nước, cơ quan thuế có đủ khả năng và công nghệ để phát hiện, xử lý nghiêm các hành vi trốn thuế. - HUMAN-ENF2]]</f>
        <v>7</v>
      </c>
      <c r="H262">
        <f t="shared" si="111"/>
        <v>0.66666666666666663</v>
      </c>
      <c r="I262" s="32">
        <f t="shared" si="112"/>
        <v>0.72222222222222221</v>
      </c>
      <c r="J262" s="32">
        <f t="shared" si="113"/>
        <v>0.61111111111111116</v>
      </c>
      <c r="K262">
        <f>step3_validation[[#This Row],[AI_FAC1]]</f>
        <v>6</v>
      </c>
      <c r="L262">
        <f t="shared" si="114"/>
        <v>0.55555555555555558</v>
      </c>
      <c r="M262">
        <f>[1]!survey_responses[[#This Row],[Các thủ tục khai báo thuế VÀ/HOẶC quy trình làm việc với cơ quan thuế đơn giản, tiện lợi, nhanh chóng hơn so với trước đây. - HUMAN-FAC1]]</f>
        <v>1</v>
      </c>
      <c r="N262">
        <f t="shared" si="115"/>
        <v>0</v>
      </c>
      <c r="O262">
        <f>step3_validation[[#This Row],[AI_FAC2]]</f>
        <v>8</v>
      </c>
      <c r="P262">
        <f t="shared" si="116"/>
        <v>0.77777777777777779</v>
      </c>
      <c r="Q262">
        <f>[1]!survey_responses[[#This Row],[So với trước đây, tôi thấy cách tính thuế và các bậc thuế trong phương án mới đơn giản, dễ hiểu và dễ thực hiện hơn. - HUMAN-FAC2]]</f>
        <v>9</v>
      </c>
      <c r="R262">
        <f t="shared" si="117"/>
        <v>0.88888888888888884</v>
      </c>
      <c r="S262" s="32">
        <f t="shared" si="118"/>
        <v>0.66666666666666674</v>
      </c>
      <c r="T262" s="32">
        <f t="shared" si="119"/>
        <v>0.44444444444444442</v>
      </c>
      <c r="U262">
        <f>step3_validation[[#This Row],[AI_TRU1]]</f>
        <v>7</v>
      </c>
      <c r="V262">
        <f t="shared" si="120"/>
        <v>0.66666666666666663</v>
      </c>
      <c r="W262">
        <f>[1]!survey_responses[[#This Row],[Tôi tin rằng Nhà nước, cơ quan thuế sẽ thực thi chính sách mới một cách khách quan, công tâm và đối xử bình đẳng với mọi người nộp thuế.  - HUMAN-TRU1]]</f>
        <v>5</v>
      </c>
      <c r="X262">
        <f t="shared" si="121"/>
        <v>0.44444444444444442</v>
      </c>
      <c r="Y262">
        <f>step3_validation[[#This Row],[AI_TRU2]]</f>
        <v>6</v>
      </c>
      <c r="Z262">
        <f t="shared" si="122"/>
        <v>0.55555555555555558</v>
      </c>
      <c r="AA262">
        <f>[1]!survey_responses[[#This Row],[Tôi thấy mức thuế tôi phải đóng theo phương án mới là công bằng (người thu nhập như tôi đóng mức này là hợp lý). - HUMAN-TRU2]]</f>
        <v>4</v>
      </c>
      <c r="AB262">
        <f t="shared" si="123"/>
        <v>0.33333333333333331</v>
      </c>
      <c r="AC262">
        <f>step3_validation[[#This Row],[AI_TRU3]]</f>
        <v>5</v>
      </c>
      <c r="AD262">
        <f t="shared" si="124"/>
        <v>0.44444444444444442</v>
      </c>
      <c r="AE262">
        <f>[1]!survey_responses[[#This Row],[Tôi tin tưởng số tiền thuế tôi đóng sẽ được Nhà nước sử dụng hiệu quả để cải thiện dịch vụ công (y tế, đường xá...). - HUMAN-TRU3]]</f>
        <v>4</v>
      </c>
      <c r="AF262">
        <f t="shared" si="125"/>
        <v>0.33333333333333331</v>
      </c>
      <c r="AG262">
        <f>step3_validation[[#This Row],[AI_TRU4]]</f>
        <v>6</v>
      </c>
      <c r="AH262">
        <f t="shared" si="126"/>
        <v>0.55555555555555558</v>
      </c>
      <c r="AI262">
        <f>[1]!survey_responses[[#This Row],[Tôi thấy Nhà nước đã giải thích rõ ràng, minh bạch về lý do và mục tiêu của việc sửa đổi thuế lần này. - HUMAN-TRU4]]</f>
        <v>5</v>
      </c>
      <c r="AJ262">
        <f t="shared" si="127"/>
        <v>0.44444444444444442</v>
      </c>
      <c r="AK262" s="32">
        <f t="shared" si="128"/>
        <v>0.55555555555555558</v>
      </c>
      <c r="AL262" s="32">
        <f t="shared" si="129"/>
        <v>0.38888888888888884</v>
      </c>
      <c r="AM262" s="7">
        <f t="shared" si="130"/>
        <v>0.64814814814814814</v>
      </c>
      <c r="AN262" s="7">
        <f t="shared" si="131"/>
        <v>0.48148148148148145</v>
      </c>
      <c r="AO262">
        <f>step3_validation[[#This Row],[AI_OUT1]]</f>
        <v>6</v>
      </c>
      <c r="AP262">
        <f t="shared" si="132"/>
        <v>0.55555555555555558</v>
      </c>
      <c r="AQ262">
        <f>[1]!survey_responses[[#This Row],[Sau khi xem xét các quyền lợi và nghĩa vụ, bạn có ủng hộ và tuân thủ chính sách mới hiện nay? - HUMAN-OUT1]]</f>
        <v>5</v>
      </c>
      <c r="AR262">
        <f t="shared" si="133"/>
        <v>0.44444444444444442</v>
      </c>
      <c r="AS262" s="32">
        <f t="shared" si="134"/>
        <v>1</v>
      </c>
    </row>
    <row r="263" spans="1:45" x14ac:dyDescent="0.45">
      <c r="A263">
        <f>step3_validation[[#This Row],[AI_ENF1]]</f>
        <v>7</v>
      </c>
      <c r="B263">
        <f t="shared" si="108"/>
        <v>0.66666666666666663</v>
      </c>
      <c r="C263">
        <f>[1]!survey_responses[[#This Row],[Tôi tin rằng với các quy định quản lý thuế hiện nay, hành vi gian lận hoặc trốn thuế sẽ dễ dàng bị phát hiện và xử lý nghiêm. - HUMAN-ENF1]]</f>
        <v>9</v>
      </c>
      <c r="D263">
        <f t="shared" si="109"/>
        <v>0.88888888888888884</v>
      </c>
      <c r="E263">
        <f>step3_validation[[#This Row],[AI_ENF2]]</f>
        <v>8</v>
      </c>
      <c r="F263">
        <f t="shared" si="110"/>
        <v>0.77777777777777779</v>
      </c>
      <c r="G263">
        <f>[1]!survey_responses[[#This Row],[Tôi tin rằng Nhà nước, cơ quan thuế có đủ khả năng và công nghệ để phát hiện, xử lý nghiêm các hành vi trốn thuế. - HUMAN-ENF2]]</f>
        <v>9</v>
      </c>
      <c r="H263">
        <f t="shared" si="111"/>
        <v>0.88888888888888884</v>
      </c>
      <c r="I263" s="32">
        <f t="shared" si="112"/>
        <v>0.72222222222222221</v>
      </c>
      <c r="J263" s="32">
        <f t="shared" si="113"/>
        <v>0.88888888888888884</v>
      </c>
      <c r="K263">
        <f>step3_validation[[#This Row],[AI_FAC1]]</f>
        <v>9</v>
      </c>
      <c r="L263">
        <f t="shared" si="114"/>
        <v>0.88888888888888884</v>
      </c>
      <c r="M263">
        <f>[1]!survey_responses[[#This Row],[Các thủ tục khai báo thuế VÀ/HOẶC quy trình làm việc với cơ quan thuế đơn giản, tiện lợi, nhanh chóng hơn so với trước đây. - HUMAN-FAC1]]</f>
        <v>8</v>
      </c>
      <c r="N263">
        <f t="shared" si="115"/>
        <v>0.77777777777777779</v>
      </c>
      <c r="O263">
        <f>step3_validation[[#This Row],[AI_FAC2]]</f>
        <v>8</v>
      </c>
      <c r="P263">
        <f t="shared" si="116"/>
        <v>0.77777777777777779</v>
      </c>
      <c r="Q263">
        <f>[1]!survey_responses[[#This Row],[So với trước đây, tôi thấy cách tính thuế và các bậc thuế trong phương án mới đơn giản, dễ hiểu và dễ thực hiện hơn. - HUMAN-FAC2]]</f>
        <v>9</v>
      </c>
      <c r="R263">
        <f t="shared" si="117"/>
        <v>0.88888888888888884</v>
      </c>
      <c r="S263" s="32">
        <f t="shared" si="118"/>
        <v>0.83333333333333326</v>
      </c>
      <c r="T263" s="32">
        <f t="shared" si="119"/>
        <v>0.83333333333333326</v>
      </c>
      <c r="U263">
        <f>step3_validation[[#This Row],[AI_TRU1]]</f>
        <v>9</v>
      </c>
      <c r="V263">
        <f t="shared" si="120"/>
        <v>0.88888888888888884</v>
      </c>
      <c r="W263">
        <f>[1]!survey_responses[[#This Row],[Tôi tin rằng Nhà nước, cơ quan thuế sẽ thực thi chính sách mới một cách khách quan, công tâm và đối xử bình đẳng với mọi người nộp thuế.  - HUMAN-TRU1]]</f>
        <v>8</v>
      </c>
      <c r="X263">
        <f t="shared" si="121"/>
        <v>0.77777777777777779</v>
      </c>
      <c r="Y263">
        <f>step3_validation[[#This Row],[AI_TRU2]]</f>
        <v>8</v>
      </c>
      <c r="Z263">
        <f t="shared" si="122"/>
        <v>0.77777777777777779</v>
      </c>
      <c r="AA263">
        <f>[1]!survey_responses[[#This Row],[Tôi thấy mức thuế tôi phải đóng theo phương án mới là công bằng (người thu nhập như tôi đóng mức này là hợp lý). - HUMAN-TRU2]]</f>
        <v>9</v>
      </c>
      <c r="AB263">
        <f t="shared" si="123"/>
        <v>0.88888888888888884</v>
      </c>
      <c r="AC263">
        <f>step3_validation[[#This Row],[AI_TRU3]]</f>
        <v>7</v>
      </c>
      <c r="AD263">
        <f t="shared" si="124"/>
        <v>0.66666666666666663</v>
      </c>
      <c r="AE263">
        <f>[1]!survey_responses[[#This Row],[Tôi tin tưởng số tiền thuế tôi đóng sẽ được Nhà nước sử dụng hiệu quả để cải thiện dịch vụ công (y tế, đường xá...). - HUMAN-TRU3]]</f>
        <v>9</v>
      </c>
      <c r="AF263">
        <f t="shared" si="125"/>
        <v>0.88888888888888884</v>
      </c>
      <c r="AG263">
        <f>step3_validation[[#This Row],[AI_TRU4]]</f>
        <v>6</v>
      </c>
      <c r="AH263">
        <f t="shared" si="126"/>
        <v>0.55555555555555558</v>
      </c>
      <c r="AI263">
        <f>[1]!survey_responses[[#This Row],[Tôi thấy Nhà nước đã giải thích rõ ràng, minh bạch về lý do và mục tiêu của việc sửa đổi thuế lần này. - HUMAN-TRU4]]</f>
        <v>8</v>
      </c>
      <c r="AJ263">
        <f t="shared" si="127"/>
        <v>0.77777777777777779</v>
      </c>
      <c r="AK263" s="32">
        <f t="shared" si="128"/>
        <v>0.7222222222222221</v>
      </c>
      <c r="AL263" s="32">
        <f t="shared" si="129"/>
        <v>0.83333333333333326</v>
      </c>
      <c r="AM263" s="7">
        <f t="shared" si="130"/>
        <v>0.75925925925925919</v>
      </c>
      <c r="AN263" s="7">
        <f t="shared" si="131"/>
        <v>0.85185185185185175</v>
      </c>
      <c r="AO263">
        <f>step3_validation[[#This Row],[AI_OUT1]]</f>
        <v>8</v>
      </c>
      <c r="AP263">
        <f t="shared" si="132"/>
        <v>0.77777777777777779</v>
      </c>
      <c r="AQ263">
        <f>[1]!survey_responses[[#This Row],[Sau khi xem xét các quyền lợi và nghĩa vụ, bạn có ủng hộ và tuân thủ chính sách mới hiện nay? - HUMAN-OUT1]]</f>
        <v>8</v>
      </c>
      <c r="AR263">
        <f t="shared" si="133"/>
        <v>0.77777777777777779</v>
      </c>
      <c r="AS263" s="32">
        <f t="shared" si="134"/>
        <v>0</v>
      </c>
    </row>
    <row r="264" spans="1:45" x14ac:dyDescent="0.45">
      <c r="A264">
        <f>step3_validation[[#This Row],[AI_ENF1]]</f>
        <v>8</v>
      </c>
      <c r="B264">
        <f t="shared" si="108"/>
        <v>0.77777777777777779</v>
      </c>
      <c r="C264">
        <f>[1]!survey_responses[[#This Row],[Tôi tin rằng với các quy định quản lý thuế hiện nay, hành vi gian lận hoặc trốn thuế sẽ dễ dàng bị phát hiện và xử lý nghiêm. - HUMAN-ENF1]]</f>
        <v>8</v>
      </c>
      <c r="D264">
        <f t="shared" si="109"/>
        <v>0.77777777777777779</v>
      </c>
      <c r="E264">
        <f>step3_validation[[#This Row],[AI_ENF2]]</f>
        <v>7</v>
      </c>
      <c r="F264">
        <f t="shared" si="110"/>
        <v>0.66666666666666663</v>
      </c>
      <c r="G264">
        <f>[1]!survey_responses[[#This Row],[Tôi tin rằng Nhà nước, cơ quan thuế có đủ khả năng và công nghệ để phát hiện, xử lý nghiêm các hành vi trốn thuế. - HUMAN-ENF2]]</f>
        <v>8</v>
      </c>
      <c r="H264">
        <f t="shared" si="111"/>
        <v>0.77777777777777779</v>
      </c>
      <c r="I264" s="32">
        <f t="shared" si="112"/>
        <v>0.72222222222222221</v>
      </c>
      <c r="J264" s="32">
        <f t="shared" si="113"/>
        <v>0.77777777777777779</v>
      </c>
      <c r="K264">
        <f>step3_validation[[#This Row],[AI_FAC1]]</f>
        <v>6</v>
      </c>
      <c r="L264">
        <f t="shared" si="114"/>
        <v>0.55555555555555558</v>
      </c>
      <c r="M264">
        <f>[1]!survey_responses[[#This Row],[Các thủ tục khai báo thuế VÀ/HOẶC quy trình làm việc với cơ quan thuế đơn giản, tiện lợi, nhanh chóng hơn so với trước đây. - HUMAN-FAC1]]</f>
        <v>5</v>
      </c>
      <c r="N264">
        <f t="shared" si="115"/>
        <v>0.44444444444444442</v>
      </c>
      <c r="O264">
        <f>step3_validation[[#This Row],[AI_FAC2]]</f>
        <v>8</v>
      </c>
      <c r="P264">
        <f t="shared" si="116"/>
        <v>0.77777777777777779</v>
      </c>
      <c r="Q264">
        <f>[1]!survey_responses[[#This Row],[So với trước đây, tôi thấy cách tính thuế và các bậc thuế trong phương án mới đơn giản, dễ hiểu và dễ thực hiện hơn. - HUMAN-FAC2]]</f>
        <v>7</v>
      </c>
      <c r="R264">
        <f t="shared" si="117"/>
        <v>0.66666666666666663</v>
      </c>
      <c r="S264" s="32">
        <f t="shared" si="118"/>
        <v>0.66666666666666674</v>
      </c>
      <c r="T264" s="32">
        <f t="shared" si="119"/>
        <v>0.55555555555555558</v>
      </c>
      <c r="U264">
        <f>step3_validation[[#This Row],[AI_TRU1]]</f>
        <v>7</v>
      </c>
      <c r="V264">
        <f t="shared" si="120"/>
        <v>0.66666666666666663</v>
      </c>
      <c r="W264">
        <f>[1]!survey_responses[[#This Row],[Tôi tin rằng Nhà nước, cơ quan thuế sẽ thực thi chính sách mới một cách khách quan, công tâm và đối xử bình đẳng với mọi người nộp thuế.  - HUMAN-TRU1]]</f>
        <v>7</v>
      </c>
      <c r="X264">
        <f t="shared" si="121"/>
        <v>0.66666666666666663</v>
      </c>
      <c r="Y264">
        <f>step3_validation[[#This Row],[AI_TRU2]]</f>
        <v>6</v>
      </c>
      <c r="Z264">
        <f t="shared" si="122"/>
        <v>0.55555555555555558</v>
      </c>
      <c r="AA264">
        <f>[1]!survey_responses[[#This Row],[Tôi thấy mức thuế tôi phải đóng theo phương án mới là công bằng (người thu nhập như tôi đóng mức này là hợp lý). - HUMAN-TRU2]]</f>
        <v>5</v>
      </c>
      <c r="AB264">
        <f t="shared" si="123"/>
        <v>0.44444444444444442</v>
      </c>
      <c r="AC264">
        <f>step3_validation[[#This Row],[AI_TRU3]]</f>
        <v>7</v>
      </c>
      <c r="AD264">
        <f t="shared" si="124"/>
        <v>0.66666666666666663</v>
      </c>
      <c r="AE264">
        <f>[1]!survey_responses[[#This Row],[Tôi tin tưởng số tiền thuế tôi đóng sẽ được Nhà nước sử dụng hiệu quả để cải thiện dịch vụ công (y tế, đường xá...). - HUMAN-TRU3]]</f>
        <v>5</v>
      </c>
      <c r="AF264">
        <f t="shared" si="125"/>
        <v>0.44444444444444442</v>
      </c>
      <c r="AG264">
        <f>step3_validation[[#This Row],[AI_TRU4]]</f>
        <v>6</v>
      </c>
      <c r="AH264">
        <f t="shared" si="126"/>
        <v>0.55555555555555558</v>
      </c>
      <c r="AI264">
        <f>[1]!survey_responses[[#This Row],[Tôi thấy Nhà nước đã giải thích rõ ràng, minh bạch về lý do và mục tiêu của việc sửa đổi thuế lần này. - HUMAN-TRU4]]</f>
        <v>6</v>
      </c>
      <c r="AJ264">
        <f t="shared" si="127"/>
        <v>0.55555555555555558</v>
      </c>
      <c r="AK264" s="32">
        <f t="shared" si="128"/>
        <v>0.61111111111111116</v>
      </c>
      <c r="AL264" s="32">
        <f t="shared" si="129"/>
        <v>0.52777777777777779</v>
      </c>
      <c r="AM264" s="7">
        <f t="shared" si="130"/>
        <v>0.66666666666666663</v>
      </c>
      <c r="AN264" s="7">
        <f t="shared" si="131"/>
        <v>0.62037037037037035</v>
      </c>
      <c r="AO264">
        <f>step3_validation[[#This Row],[AI_OUT1]]</f>
        <v>7</v>
      </c>
      <c r="AP264">
        <f t="shared" si="132"/>
        <v>0.66666666666666663</v>
      </c>
      <c r="AQ264">
        <f>[1]!survey_responses[[#This Row],[Sau khi xem xét các quyền lợi và nghĩa vụ, bạn có ủng hộ và tuân thủ chính sách mới hiện nay? - HUMAN-OUT1]]</f>
        <v>6</v>
      </c>
      <c r="AR264">
        <f t="shared" si="133"/>
        <v>0.55555555555555558</v>
      </c>
      <c r="AS264" s="32">
        <f t="shared" si="134"/>
        <v>1</v>
      </c>
    </row>
    <row r="265" spans="1:45" x14ac:dyDescent="0.45">
      <c r="A265">
        <f>step3_validation[[#This Row],[AI_ENF1]]</f>
        <v>6</v>
      </c>
      <c r="B265">
        <f t="shared" si="108"/>
        <v>0.55555555555555558</v>
      </c>
      <c r="C265">
        <f>[1]!survey_responses[[#This Row],[Tôi tin rằng với các quy định quản lý thuế hiện nay, hành vi gian lận hoặc trốn thuế sẽ dễ dàng bị phát hiện và xử lý nghiêm. - HUMAN-ENF1]]</f>
        <v>7</v>
      </c>
      <c r="D265">
        <f t="shared" si="109"/>
        <v>0.66666666666666663</v>
      </c>
      <c r="E265">
        <f>step3_validation[[#This Row],[AI_ENF2]]</f>
        <v>7</v>
      </c>
      <c r="F265">
        <f t="shared" si="110"/>
        <v>0.66666666666666663</v>
      </c>
      <c r="G265">
        <f>[1]!survey_responses[[#This Row],[Tôi tin rằng Nhà nước, cơ quan thuế có đủ khả năng và công nghệ để phát hiện, xử lý nghiêm các hành vi trốn thuế. - HUMAN-ENF2]]</f>
        <v>7</v>
      </c>
      <c r="H265">
        <f t="shared" si="111"/>
        <v>0.66666666666666663</v>
      </c>
      <c r="I265" s="32">
        <f t="shared" si="112"/>
        <v>0.61111111111111116</v>
      </c>
      <c r="J265" s="32">
        <f t="shared" si="113"/>
        <v>0.66666666666666663</v>
      </c>
      <c r="K265">
        <f>step3_validation[[#This Row],[AI_FAC1]]</f>
        <v>8</v>
      </c>
      <c r="L265">
        <f t="shared" si="114"/>
        <v>0.77777777777777779</v>
      </c>
      <c r="M265">
        <f>[1]!survey_responses[[#This Row],[Các thủ tục khai báo thuế VÀ/HOẶC quy trình làm việc với cơ quan thuế đơn giản, tiện lợi, nhanh chóng hơn so với trước đây. - HUMAN-FAC1]]</f>
        <v>7</v>
      </c>
      <c r="N265">
        <f t="shared" si="115"/>
        <v>0.66666666666666663</v>
      </c>
      <c r="O265">
        <f>step3_validation[[#This Row],[AI_FAC2]]</f>
        <v>9</v>
      </c>
      <c r="P265">
        <f t="shared" si="116"/>
        <v>0.88888888888888884</v>
      </c>
      <c r="Q265">
        <f>[1]!survey_responses[[#This Row],[So với trước đây, tôi thấy cách tính thuế và các bậc thuế trong phương án mới đơn giản, dễ hiểu và dễ thực hiện hơn. - HUMAN-FAC2]]</f>
        <v>8</v>
      </c>
      <c r="R265">
        <f t="shared" si="117"/>
        <v>0.77777777777777779</v>
      </c>
      <c r="S265" s="32">
        <f t="shared" si="118"/>
        <v>0.83333333333333326</v>
      </c>
      <c r="T265" s="32">
        <f t="shared" si="119"/>
        <v>0.72222222222222221</v>
      </c>
      <c r="U265">
        <f>step3_validation[[#This Row],[AI_TRU1]]</f>
        <v>7</v>
      </c>
      <c r="V265">
        <f t="shared" si="120"/>
        <v>0.66666666666666663</v>
      </c>
      <c r="W265">
        <f>[1]!survey_responses[[#This Row],[Tôi tin rằng Nhà nước, cơ quan thuế sẽ thực thi chính sách mới một cách khách quan, công tâm và đối xử bình đẳng với mọi người nộp thuế.  - HUMAN-TRU1]]</f>
        <v>7</v>
      </c>
      <c r="X265">
        <f t="shared" si="121"/>
        <v>0.66666666666666663</v>
      </c>
      <c r="Y265">
        <f>step3_validation[[#This Row],[AI_TRU2]]</f>
        <v>6</v>
      </c>
      <c r="Z265">
        <f t="shared" si="122"/>
        <v>0.55555555555555558</v>
      </c>
      <c r="AA265">
        <f>[1]!survey_responses[[#This Row],[Tôi thấy mức thuế tôi phải đóng theo phương án mới là công bằng (người thu nhập như tôi đóng mức này là hợp lý). - HUMAN-TRU2]]</f>
        <v>7</v>
      </c>
      <c r="AB265">
        <f t="shared" si="123"/>
        <v>0.66666666666666663</v>
      </c>
      <c r="AC265">
        <f>step3_validation[[#This Row],[AI_TRU3]]</f>
        <v>6</v>
      </c>
      <c r="AD265">
        <f t="shared" si="124"/>
        <v>0.55555555555555558</v>
      </c>
      <c r="AE265">
        <f>[1]!survey_responses[[#This Row],[Tôi tin tưởng số tiền thuế tôi đóng sẽ được Nhà nước sử dụng hiệu quả để cải thiện dịch vụ công (y tế, đường xá...). - HUMAN-TRU3]]</f>
        <v>7</v>
      </c>
      <c r="AF265">
        <f t="shared" si="125"/>
        <v>0.66666666666666663</v>
      </c>
      <c r="AG265">
        <f>step3_validation[[#This Row],[AI_TRU4]]</f>
        <v>7</v>
      </c>
      <c r="AH265">
        <f t="shared" si="126"/>
        <v>0.66666666666666663</v>
      </c>
      <c r="AI265">
        <f>[1]!survey_responses[[#This Row],[Tôi thấy Nhà nước đã giải thích rõ ràng, minh bạch về lý do và mục tiêu của việc sửa đổi thuế lần này. - HUMAN-TRU4]]</f>
        <v>7</v>
      </c>
      <c r="AJ265">
        <f t="shared" si="127"/>
        <v>0.66666666666666663</v>
      </c>
      <c r="AK265" s="32">
        <f t="shared" si="128"/>
        <v>0.61111111111111116</v>
      </c>
      <c r="AL265" s="32">
        <f t="shared" si="129"/>
        <v>0.66666666666666663</v>
      </c>
      <c r="AM265" s="7">
        <f t="shared" si="130"/>
        <v>0.68518518518518512</v>
      </c>
      <c r="AN265" s="7">
        <f t="shared" si="131"/>
        <v>0.68518518518518512</v>
      </c>
      <c r="AO265">
        <f>step3_validation[[#This Row],[AI_OUT1]]</f>
        <v>8</v>
      </c>
      <c r="AP265">
        <f t="shared" si="132"/>
        <v>0.77777777777777779</v>
      </c>
      <c r="AQ265">
        <f>[1]!survey_responses[[#This Row],[Sau khi xem xét các quyền lợi và nghĩa vụ, bạn có ủng hộ và tuân thủ chính sách mới hiện nay? - HUMAN-OUT1]]</f>
        <v>7</v>
      </c>
      <c r="AR265">
        <f t="shared" si="133"/>
        <v>0.66666666666666663</v>
      </c>
      <c r="AS265" s="32">
        <f t="shared" si="134"/>
        <v>1</v>
      </c>
    </row>
    <row r="266" spans="1:45" x14ac:dyDescent="0.45">
      <c r="A266">
        <f>step3_validation[[#This Row],[AI_ENF1]]</f>
        <v>7</v>
      </c>
      <c r="B266">
        <f t="shared" si="108"/>
        <v>0.66666666666666663</v>
      </c>
      <c r="C266">
        <f>[1]!survey_responses[[#This Row],[Tôi tin rằng với các quy định quản lý thuế hiện nay, hành vi gian lận hoặc trốn thuế sẽ dễ dàng bị phát hiện và xử lý nghiêm. - HUMAN-ENF1]]</f>
        <v>6</v>
      </c>
      <c r="D266">
        <f t="shared" si="109"/>
        <v>0.55555555555555558</v>
      </c>
      <c r="E266">
        <f>step3_validation[[#This Row],[AI_ENF2]]</f>
        <v>8</v>
      </c>
      <c r="F266">
        <f t="shared" si="110"/>
        <v>0.77777777777777779</v>
      </c>
      <c r="G266">
        <f>[1]!survey_responses[[#This Row],[Tôi tin rằng Nhà nước, cơ quan thuế có đủ khả năng và công nghệ để phát hiện, xử lý nghiêm các hành vi trốn thuế. - HUMAN-ENF2]]</f>
        <v>5</v>
      </c>
      <c r="H266">
        <f t="shared" si="111"/>
        <v>0.44444444444444442</v>
      </c>
      <c r="I266" s="32">
        <f t="shared" si="112"/>
        <v>0.72222222222222221</v>
      </c>
      <c r="J266" s="32">
        <f t="shared" si="113"/>
        <v>0.5</v>
      </c>
      <c r="K266">
        <f>step3_validation[[#This Row],[AI_FAC1]]</f>
        <v>6</v>
      </c>
      <c r="L266">
        <f t="shared" si="114"/>
        <v>0.55555555555555558</v>
      </c>
      <c r="M266">
        <f>[1]!survey_responses[[#This Row],[Các thủ tục khai báo thuế VÀ/HOẶC quy trình làm việc với cơ quan thuế đơn giản, tiện lợi, nhanh chóng hơn so với trước đây. - HUMAN-FAC1]]</f>
        <v>5</v>
      </c>
      <c r="N266">
        <f t="shared" si="115"/>
        <v>0.44444444444444442</v>
      </c>
      <c r="O266">
        <f>step3_validation[[#This Row],[AI_FAC2]]</f>
        <v>8</v>
      </c>
      <c r="P266">
        <f t="shared" si="116"/>
        <v>0.77777777777777779</v>
      </c>
      <c r="Q266">
        <f>[1]!survey_responses[[#This Row],[So với trước đây, tôi thấy cách tính thuế và các bậc thuế trong phương án mới đơn giản, dễ hiểu và dễ thực hiện hơn. - HUMAN-FAC2]]</f>
        <v>7</v>
      </c>
      <c r="R266">
        <f t="shared" si="117"/>
        <v>0.66666666666666663</v>
      </c>
      <c r="S266" s="32">
        <f t="shared" si="118"/>
        <v>0.66666666666666674</v>
      </c>
      <c r="T266" s="32">
        <f t="shared" si="119"/>
        <v>0.55555555555555558</v>
      </c>
      <c r="U266">
        <f>step3_validation[[#This Row],[AI_TRU1]]</f>
        <v>7</v>
      </c>
      <c r="V266">
        <f t="shared" si="120"/>
        <v>0.66666666666666663</v>
      </c>
      <c r="W266">
        <f>[1]!survey_responses[[#This Row],[Tôi tin rằng Nhà nước, cơ quan thuế sẽ thực thi chính sách mới một cách khách quan, công tâm và đối xử bình đẳng với mọi người nộp thuế.  - HUMAN-TRU1]]</f>
        <v>6</v>
      </c>
      <c r="X266">
        <f t="shared" si="121"/>
        <v>0.55555555555555558</v>
      </c>
      <c r="Y266">
        <f>step3_validation[[#This Row],[AI_TRU2]]</f>
        <v>9</v>
      </c>
      <c r="Z266">
        <f t="shared" si="122"/>
        <v>0.88888888888888884</v>
      </c>
      <c r="AA266">
        <f>[1]!survey_responses[[#This Row],[Tôi thấy mức thuế tôi phải đóng theo phương án mới là công bằng (người thu nhập như tôi đóng mức này là hợp lý). - HUMAN-TRU2]]</f>
        <v>7</v>
      </c>
      <c r="AB266">
        <f t="shared" si="123"/>
        <v>0.66666666666666663</v>
      </c>
      <c r="AC266">
        <f>step3_validation[[#This Row],[AI_TRU3]]</f>
        <v>6</v>
      </c>
      <c r="AD266">
        <f t="shared" si="124"/>
        <v>0.55555555555555558</v>
      </c>
      <c r="AE266">
        <f>[1]!survey_responses[[#This Row],[Tôi tin tưởng số tiền thuế tôi đóng sẽ được Nhà nước sử dụng hiệu quả để cải thiện dịch vụ công (y tế, đường xá...). - HUMAN-TRU3]]</f>
        <v>5</v>
      </c>
      <c r="AF266">
        <f t="shared" si="125"/>
        <v>0.44444444444444442</v>
      </c>
      <c r="AG266">
        <f>step3_validation[[#This Row],[AI_TRU4]]</f>
        <v>7</v>
      </c>
      <c r="AH266">
        <f t="shared" si="126"/>
        <v>0.66666666666666663</v>
      </c>
      <c r="AI266">
        <f>[1]!survey_responses[[#This Row],[Tôi thấy Nhà nước đã giải thích rõ ràng, minh bạch về lý do và mục tiêu của việc sửa đổi thuế lần này. - HUMAN-TRU4]]</f>
        <v>6</v>
      </c>
      <c r="AJ266">
        <f t="shared" si="127"/>
        <v>0.55555555555555558</v>
      </c>
      <c r="AK266" s="32">
        <f t="shared" si="128"/>
        <v>0.69444444444444431</v>
      </c>
      <c r="AL266" s="32">
        <f t="shared" si="129"/>
        <v>0.55555555555555558</v>
      </c>
      <c r="AM266" s="7">
        <f t="shared" si="130"/>
        <v>0.69444444444444431</v>
      </c>
      <c r="AN266" s="7">
        <f t="shared" si="131"/>
        <v>0.53703703703703709</v>
      </c>
      <c r="AO266">
        <f>step3_validation[[#This Row],[AI_OUT1]]</f>
        <v>8</v>
      </c>
      <c r="AP266">
        <f t="shared" si="132"/>
        <v>0.77777777777777779</v>
      </c>
      <c r="AQ266">
        <f>[1]!survey_responses[[#This Row],[Sau khi xem xét các quyền lợi và nghĩa vụ, bạn có ủng hộ và tuân thủ chính sách mới hiện nay? - HUMAN-OUT1]]</f>
        <v>6</v>
      </c>
      <c r="AR266">
        <f t="shared" si="133"/>
        <v>0.55555555555555558</v>
      </c>
      <c r="AS266" s="32">
        <f t="shared" si="134"/>
        <v>2</v>
      </c>
    </row>
    <row r="267" spans="1:45" x14ac:dyDescent="0.45">
      <c r="A267">
        <f>step3_validation[[#This Row],[AI_ENF1]]</f>
        <v>7</v>
      </c>
      <c r="B267">
        <f t="shared" si="108"/>
        <v>0.66666666666666663</v>
      </c>
      <c r="C267">
        <f>[1]!survey_responses[[#This Row],[Tôi tin rằng với các quy định quản lý thuế hiện nay, hành vi gian lận hoặc trốn thuế sẽ dễ dàng bị phát hiện và xử lý nghiêm. - HUMAN-ENF1]]</f>
        <v>7</v>
      </c>
      <c r="D267">
        <f t="shared" si="109"/>
        <v>0.66666666666666663</v>
      </c>
      <c r="E267">
        <f>step3_validation[[#This Row],[AI_ENF2]]</f>
        <v>6</v>
      </c>
      <c r="F267">
        <f t="shared" si="110"/>
        <v>0.55555555555555558</v>
      </c>
      <c r="G267">
        <f>[1]!survey_responses[[#This Row],[Tôi tin rằng Nhà nước, cơ quan thuế có đủ khả năng và công nghệ để phát hiện, xử lý nghiêm các hành vi trốn thuế. - HUMAN-ENF2]]</f>
        <v>6</v>
      </c>
      <c r="H267">
        <f t="shared" si="111"/>
        <v>0.55555555555555558</v>
      </c>
      <c r="I267" s="32">
        <f t="shared" si="112"/>
        <v>0.61111111111111116</v>
      </c>
      <c r="J267" s="32">
        <f t="shared" si="113"/>
        <v>0.61111111111111116</v>
      </c>
      <c r="K267">
        <f>step3_validation[[#This Row],[AI_FAC1]]</f>
        <v>5</v>
      </c>
      <c r="L267">
        <f t="shared" si="114"/>
        <v>0.44444444444444442</v>
      </c>
      <c r="M267">
        <f>[1]!survey_responses[[#This Row],[Các thủ tục khai báo thuế VÀ/HOẶC quy trình làm việc với cơ quan thuế đơn giản, tiện lợi, nhanh chóng hơn so với trước đây. - HUMAN-FAC1]]</f>
        <v>6</v>
      </c>
      <c r="N267">
        <f t="shared" si="115"/>
        <v>0.55555555555555558</v>
      </c>
      <c r="O267">
        <f>step3_validation[[#This Row],[AI_FAC2]]</f>
        <v>4</v>
      </c>
      <c r="P267">
        <f t="shared" si="116"/>
        <v>0.33333333333333331</v>
      </c>
      <c r="Q267">
        <f>[1]!survey_responses[[#This Row],[So với trước đây, tôi thấy cách tính thuế và các bậc thuế trong phương án mới đơn giản, dễ hiểu và dễ thực hiện hơn. - HUMAN-FAC2]]</f>
        <v>6</v>
      </c>
      <c r="R267">
        <f t="shared" si="117"/>
        <v>0.55555555555555558</v>
      </c>
      <c r="S267" s="32">
        <f t="shared" si="118"/>
        <v>0.38888888888888884</v>
      </c>
      <c r="T267" s="32">
        <f t="shared" si="119"/>
        <v>0.55555555555555558</v>
      </c>
      <c r="U267">
        <f>step3_validation[[#This Row],[AI_TRU1]]</f>
        <v>7</v>
      </c>
      <c r="V267">
        <f t="shared" si="120"/>
        <v>0.66666666666666663</v>
      </c>
      <c r="W267">
        <f>[1]!survey_responses[[#This Row],[Tôi tin rằng Nhà nước, cơ quan thuế sẽ thực thi chính sách mới một cách khách quan, công tâm và đối xử bình đẳng với mọi người nộp thuế.  - HUMAN-TRU1]]</f>
        <v>7</v>
      </c>
      <c r="X267">
        <f t="shared" si="121"/>
        <v>0.66666666666666663</v>
      </c>
      <c r="Y267">
        <f>step3_validation[[#This Row],[AI_TRU2]]</f>
        <v>8</v>
      </c>
      <c r="Z267">
        <f t="shared" si="122"/>
        <v>0.77777777777777779</v>
      </c>
      <c r="AA267">
        <f>[1]!survey_responses[[#This Row],[Tôi thấy mức thuế tôi phải đóng theo phương án mới là công bằng (người thu nhập như tôi đóng mức này là hợp lý). - HUMAN-TRU2]]</f>
        <v>7</v>
      </c>
      <c r="AB267">
        <f t="shared" si="123"/>
        <v>0.66666666666666663</v>
      </c>
      <c r="AC267">
        <f>step3_validation[[#This Row],[AI_TRU3]]</f>
        <v>6</v>
      </c>
      <c r="AD267">
        <f t="shared" si="124"/>
        <v>0.55555555555555558</v>
      </c>
      <c r="AE267">
        <f>[1]!survey_responses[[#This Row],[Tôi tin tưởng số tiền thuế tôi đóng sẽ được Nhà nước sử dụng hiệu quả để cải thiện dịch vụ công (y tế, đường xá...). - HUMAN-TRU3]]</f>
        <v>7</v>
      </c>
      <c r="AF267">
        <f t="shared" si="125"/>
        <v>0.66666666666666663</v>
      </c>
      <c r="AG267">
        <f>step3_validation[[#This Row],[AI_TRU4]]</f>
        <v>5</v>
      </c>
      <c r="AH267">
        <f t="shared" si="126"/>
        <v>0.44444444444444442</v>
      </c>
      <c r="AI267">
        <f>[1]!survey_responses[[#This Row],[Tôi thấy Nhà nước đã giải thích rõ ràng, minh bạch về lý do và mục tiêu của việc sửa đổi thuế lần này. - HUMAN-TRU4]]</f>
        <v>7</v>
      </c>
      <c r="AJ267">
        <f t="shared" si="127"/>
        <v>0.66666666666666663</v>
      </c>
      <c r="AK267" s="32">
        <f t="shared" si="128"/>
        <v>0.61111111111111116</v>
      </c>
      <c r="AL267" s="32">
        <f t="shared" si="129"/>
        <v>0.66666666666666663</v>
      </c>
      <c r="AM267" s="7">
        <f t="shared" si="130"/>
        <v>0.53703703703703709</v>
      </c>
      <c r="AN267" s="7">
        <f t="shared" si="131"/>
        <v>0.61111111111111116</v>
      </c>
      <c r="AO267">
        <f>step3_validation[[#This Row],[AI_OUT1]]</f>
        <v>6</v>
      </c>
      <c r="AP267">
        <f t="shared" si="132"/>
        <v>0.55555555555555558</v>
      </c>
      <c r="AQ267">
        <f>[1]!survey_responses[[#This Row],[Sau khi xem xét các quyền lợi và nghĩa vụ, bạn có ủng hộ và tuân thủ chính sách mới hiện nay? - HUMAN-OUT1]]</f>
        <v>7</v>
      </c>
      <c r="AR267">
        <f t="shared" si="133"/>
        <v>0.66666666666666663</v>
      </c>
      <c r="AS267" s="32">
        <f t="shared" si="134"/>
        <v>1</v>
      </c>
    </row>
    <row r="268" spans="1:45" x14ac:dyDescent="0.45">
      <c r="A268">
        <f>step3_validation[[#This Row],[AI_ENF1]]</f>
        <v>7</v>
      </c>
      <c r="B268">
        <f t="shared" si="108"/>
        <v>0.66666666666666663</v>
      </c>
      <c r="C268">
        <f>[1]!survey_responses[[#This Row],[Tôi tin rằng với các quy định quản lý thuế hiện nay, hành vi gian lận hoặc trốn thuế sẽ dễ dàng bị phát hiện và xử lý nghiêm. - HUMAN-ENF1]]</f>
        <v>6</v>
      </c>
      <c r="D268">
        <f t="shared" si="109"/>
        <v>0.55555555555555558</v>
      </c>
      <c r="E268">
        <f>step3_validation[[#This Row],[AI_ENF2]]</f>
        <v>8</v>
      </c>
      <c r="F268">
        <f t="shared" si="110"/>
        <v>0.77777777777777779</v>
      </c>
      <c r="G268">
        <f>[1]!survey_responses[[#This Row],[Tôi tin rằng Nhà nước, cơ quan thuế có đủ khả năng và công nghệ để phát hiện, xử lý nghiêm các hành vi trốn thuế. - HUMAN-ENF2]]</f>
        <v>7</v>
      </c>
      <c r="H268">
        <f t="shared" si="111"/>
        <v>0.66666666666666663</v>
      </c>
      <c r="I268" s="32">
        <f t="shared" si="112"/>
        <v>0.72222222222222221</v>
      </c>
      <c r="J268" s="32">
        <f t="shared" si="113"/>
        <v>0.61111111111111116</v>
      </c>
      <c r="K268">
        <f>step3_validation[[#This Row],[AI_FAC1]]</f>
        <v>6</v>
      </c>
      <c r="L268">
        <f t="shared" si="114"/>
        <v>0.55555555555555558</v>
      </c>
      <c r="M268">
        <f>[1]!survey_responses[[#This Row],[Các thủ tục khai báo thuế VÀ/HOẶC quy trình làm việc với cơ quan thuế đơn giản, tiện lợi, nhanh chóng hơn so với trước đây. - HUMAN-FAC1]]</f>
        <v>7</v>
      </c>
      <c r="N268">
        <f t="shared" si="115"/>
        <v>0.66666666666666663</v>
      </c>
      <c r="O268">
        <f>step3_validation[[#This Row],[AI_FAC2]]</f>
        <v>9</v>
      </c>
      <c r="P268">
        <f t="shared" si="116"/>
        <v>0.88888888888888884</v>
      </c>
      <c r="Q268">
        <f>[1]!survey_responses[[#This Row],[So với trước đây, tôi thấy cách tính thuế và các bậc thuế trong phương án mới đơn giản, dễ hiểu và dễ thực hiện hơn. - HUMAN-FAC2]]</f>
        <v>6</v>
      </c>
      <c r="R268">
        <f t="shared" si="117"/>
        <v>0.55555555555555558</v>
      </c>
      <c r="S268" s="32">
        <f t="shared" si="118"/>
        <v>0.72222222222222221</v>
      </c>
      <c r="T268" s="32">
        <f t="shared" si="119"/>
        <v>0.61111111111111116</v>
      </c>
      <c r="U268">
        <f>step3_validation[[#This Row],[AI_TRU1]]</f>
        <v>7</v>
      </c>
      <c r="V268">
        <f t="shared" si="120"/>
        <v>0.66666666666666663</v>
      </c>
      <c r="W268">
        <f>[1]!survey_responses[[#This Row],[Tôi tin rằng Nhà nước, cơ quan thuế sẽ thực thi chính sách mới một cách khách quan, công tâm và đối xử bình đẳng với mọi người nộp thuế.  - HUMAN-TRU1]]</f>
        <v>6</v>
      </c>
      <c r="X268">
        <f t="shared" si="121"/>
        <v>0.55555555555555558</v>
      </c>
      <c r="Y268">
        <f>step3_validation[[#This Row],[AI_TRU2]]</f>
        <v>8</v>
      </c>
      <c r="Z268">
        <f t="shared" si="122"/>
        <v>0.77777777777777779</v>
      </c>
      <c r="AA268">
        <f>[1]!survey_responses[[#This Row],[Tôi thấy mức thuế tôi phải đóng theo phương án mới là công bằng (người thu nhập như tôi đóng mức này là hợp lý). - HUMAN-TRU2]]</f>
        <v>6</v>
      </c>
      <c r="AB268">
        <f t="shared" si="123"/>
        <v>0.55555555555555558</v>
      </c>
      <c r="AC268">
        <f>step3_validation[[#This Row],[AI_TRU3]]</f>
        <v>9</v>
      </c>
      <c r="AD268">
        <f t="shared" si="124"/>
        <v>0.88888888888888884</v>
      </c>
      <c r="AE268">
        <f>[1]!survey_responses[[#This Row],[Tôi tin tưởng số tiền thuế tôi đóng sẽ được Nhà nước sử dụng hiệu quả để cải thiện dịch vụ công (y tế, đường xá...). - HUMAN-TRU3]]</f>
        <v>6</v>
      </c>
      <c r="AF268">
        <f t="shared" si="125"/>
        <v>0.55555555555555558</v>
      </c>
      <c r="AG268">
        <f>step3_validation[[#This Row],[AI_TRU4]]</f>
        <v>6</v>
      </c>
      <c r="AH268">
        <f t="shared" si="126"/>
        <v>0.55555555555555558</v>
      </c>
      <c r="AI268">
        <f>[1]!survey_responses[[#This Row],[Tôi thấy Nhà nước đã giải thích rõ ràng, minh bạch về lý do và mục tiêu của việc sửa đổi thuế lần này. - HUMAN-TRU4]]</f>
        <v>7</v>
      </c>
      <c r="AJ268">
        <f t="shared" si="127"/>
        <v>0.66666666666666663</v>
      </c>
      <c r="AK268" s="32">
        <f t="shared" si="128"/>
        <v>0.7222222222222221</v>
      </c>
      <c r="AL268" s="32">
        <f t="shared" si="129"/>
        <v>0.58333333333333337</v>
      </c>
      <c r="AM268" s="7">
        <f t="shared" si="130"/>
        <v>0.72222222222222221</v>
      </c>
      <c r="AN268" s="7">
        <f t="shared" si="131"/>
        <v>0.60185185185185197</v>
      </c>
      <c r="AO268">
        <f>step3_validation[[#This Row],[AI_OUT1]]</f>
        <v>8</v>
      </c>
      <c r="AP268">
        <f t="shared" si="132"/>
        <v>0.77777777777777779</v>
      </c>
      <c r="AQ268">
        <f>[1]!survey_responses[[#This Row],[Sau khi xem xét các quyền lợi và nghĩa vụ, bạn có ủng hộ và tuân thủ chính sách mới hiện nay? - HUMAN-OUT1]]</f>
        <v>7</v>
      </c>
      <c r="AR268">
        <f t="shared" si="133"/>
        <v>0.66666666666666663</v>
      </c>
      <c r="AS268" s="32">
        <f t="shared" si="134"/>
        <v>1</v>
      </c>
    </row>
    <row r="269" spans="1:45" x14ac:dyDescent="0.45">
      <c r="A269">
        <f>step3_validation[[#This Row],[AI_ENF1]]</f>
        <v>8</v>
      </c>
      <c r="B269">
        <f t="shared" si="108"/>
        <v>0.77777777777777779</v>
      </c>
      <c r="C269">
        <f>[1]!survey_responses[[#This Row],[Tôi tin rằng với các quy định quản lý thuế hiện nay, hành vi gian lận hoặc trốn thuế sẽ dễ dàng bị phát hiện và xử lý nghiêm. - HUMAN-ENF1]]</f>
        <v>7</v>
      </c>
      <c r="D269">
        <f t="shared" si="109"/>
        <v>0.66666666666666663</v>
      </c>
      <c r="E269">
        <f>step3_validation[[#This Row],[AI_ENF2]]</f>
        <v>7</v>
      </c>
      <c r="F269">
        <f t="shared" si="110"/>
        <v>0.66666666666666663</v>
      </c>
      <c r="G269">
        <f>[1]!survey_responses[[#This Row],[Tôi tin rằng Nhà nước, cơ quan thuế có đủ khả năng và công nghệ để phát hiện, xử lý nghiêm các hành vi trốn thuế. - HUMAN-ENF2]]</f>
        <v>7</v>
      </c>
      <c r="H269">
        <f t="shared" si="111"/>
        <v>0.66666666666666663</v>
      </c>
      <c r="I269" s="32">
        <f t="shared" si="112"/>
        <v>0.72222222222222221</v>
      </c>
      <c r="J269" s="32">
        <f t="shared" si="113"/>
        <v>0.66666666666666663</v>
      </c>
      <c r="K269">
        <f>step3_validation[[#This Row],[AI_FAC1]]</f>
        <v>9</v>
      </c>
      <c r="L269">
        <f t="shared" si="114"/>
        <v>0.88888888888888884</v>
      </c>
      <c r="M269">
        <f>[1]!survey_responses[[#This Row],[Các thủ tục khai báo thuế VÀ/HOẶC quy trình làm việc với cơ quan thuế đơn giản, tiện lợi, nhanh chóng hơn so với trước đây. - HUMAN-FAC1]]</f>
        <v>2</v>
      </c>
      <c r="N269">
        <f t="shared" si="115"/>
        <v>0.1111111111111111</v>
      </c>
      <c r="O269">
        <f>step3_validation[[#This Row],[AI_FAC2]]</f>
        <v>8</v>
      </c>
      <c r="P269">
        <f t="shared" si="116"/>
        <v>0.77777777777777779</v>
      </c>
      <c r="Q269">
        <f>[1]!survey_responses[[#This Row],[So với trước đây, tôi thấy cách tính thuế và các bậc thuế trong phương án mới đơn giản, dễ hiểu và dễ thực hiện hơn. - HUMAN-FAC2]]</f>
        <v>7</v>
      </c>
      <c r="R269">
        <f t="shared" si="117"/>
        <v>0.66666666666666663</v>
      </c>
      <c r="S269" s="32">
        <f t="shared" si="118"/>
        <v>0.83333333333333326</v>
      </c>
      <c r="T269" s="32">
        <f t="shared" si="119"/>
        <v>0.38888888888888884</v>
      </c>
      <c r="U269">
        <f>step3_validation[[#This Row],[AI_TRU1]]</f>
        <v>7</v>
      </c>
      <c r="V269">
        <f t="shared" si="120"/>
        <v>0.66666666666666663</v>
      </c>
      <c r="W269">
        <f>[1]!survey_responses[[#This Row],[Tôi tin rằng Nhà nước, cơ quan thuế sẽ thực thi chính sách mới một cách khách quan, công tâm và đối xử bình đẳng với mọi người nộp thuế.  - HUMAN-TRU1]]</f>
        <v>7</v>
      </c>
      <c r="X269">
        <f t="shared" si="121"/>
        <v>0.66666666666666663</v>
      </c>
      <c r="Y269">
        <f>step3_validation[[#This Row],[AI_TRU2]]</f>
        <v>6</v>
      </c>
      <c r="Z269">
        <f t="shared" si="122"/>
        <v>0.55555555555555558</v>
      </c>
      <c r="AA269">
        <f>[1]!survey_responses[[#This Row],[Tôi thấy mức thuế tôi phải đóng theo phương án mới là công bằng (người thu nhập như tôi đóng mức này là hợp lý). - HUMAN-TRU2]]</f>
        <v>7</v>
      </c>
      <c r="AB269">
        <f t="shared" si="123"/>
        <v>0.66666666666666663</v>
      </c>
      <c r="AC269">
        <f>step3_validation[[#This Row],[AI_TRU3]]</f>
        <v>7</v>
      </c>
      <c r="AD269">
        <f t="shared" si="124"/>
        <v>0.66666666666666663</v>
      </c>
      <c r="AE269">
        <f>[1]!survey_responses[[#This Row],[Tôi tin tưởng số tiền thuế tôi đóng sẽ được Nhà nước sử dụng hiệu quả để cải thiện dịch vụ công (y tế, đường xá...). - HUMAN-TRU3]]</f>
        <v>7</v>
      </c>
      <c r="AF269">
        <f t="shared" si="125"/>
        <v>0.66666666666666663</v>
      </c>
      <c r="AG269">
        <f>step3_validation[[#This Row],[AI_TRU4]]</f>
        <v>6</v>
      </c>
      <c r="AH269">
        <f t="shared" si="126"/>
        <v>0.55555555555555558</v>
      </c>
      <c r="AI269">
        <f>[1]!survey_responses[[#This Row],[Tôi thấy Nhà nước đã giải thích rõ ràng, minh bạch về lý do và mục tiêu của việc sửa đổi thuế lần này. - HUMAN-TRU4]]</f>
        <v>7</v>
      </c>
      <c r="AJ269">
        <f t="shared" si="127"/>
        <v>0.66666666666666663</v>
      </c>
      <c r="AK269" s="32">
        <f t="shared" si="128"/>
        <v>0.61111111111111116</v>
      </c>
      <c r="AL269" s="32">
        <f t="shared" si="129"/>
        <v>0.66666666666666663</v>
      </c>
      <c r="AM269" s="7">
        <f t="shared" si="130"/>
        <v>0.72222222222222221</v>
      </c>
      <c r="AN269" s="7">
        <f t="shared" si="131"/>
        <v>0.57407407407407396</v>
      </c>
      <c r="AO269">
        <f>step3_validation[[#This Row],[AI_OUT1]]</f>
        <v>7</v>
      </c>
      <c r="AP269">
        <f t="shared" si="132"/>
        <v>0.66666666666666663</v>
      </c>
      <c r="AQ269">
        <f>[1]!survey_responses[[#This Row],[Sau khi xem xét các quyền lợi và nghĩa vụ, bạn có ủng hộ và tuân thủ chính sách mới hiện nay? - HUMAN-OUT1]]</f>
        <v>7</v>
      </c>
      <c r="AR269">
        <f t="shared" si="133"/>
        <v>0.66666666666666663</v>
      </c>
      <c r="AS269" s="32">
        <f t="shared" si="134"/>
        <v>0</v>
      </c>
    </row>
    <row r="270" spans="1:45" x14ac:dyDescent="0.45">
      <c r="A270">
        <f>step3_validation[[#This Row],[AI_ENF1]]</f>
        <v>7</v>
      </c>
      <c r="B270">
        <f t="shared" si="108"/>
        <v>0.66666666666666663</v>
      </c>
      <c r="C270">
        <f>[1]!survey_responses[[#This Row],[Tôi tin rằng với các quy định quản lý thuế hiện nay, hành vi gian lận hoặc trốn thuế sẽ dễ dàng bị phát hiện và xử lý nghiêm. - HUMAN-ENF1]]</f>
        <v>4</v>
      </c>
      <c r="D270">
        <f t="shared" si="109"/>
        <v>0.33333333333333331</v>
      </c>
      <c r="E270">
        <f>step3_validation[[#This Row],[AI_ENF2]]</f>
        <v>8</v>
      </c>
      <c r="F270">
        <f t="shared" si="110"/>
        <v>0.77777777777777779</v>
      </c>
      <c r="G270">
        <f>[1]!survey_responses[[#This Row],[Tôi tin rằng Nhà nước, cơ quan thuế có đủ khả năng và công nghệ để phát hiện, xử lý nghiêm các hành vi trốn thuế. - HUMAN-ENF2]]</f>
        <v>5</v>
      </c>
      <c r="H270">
        <f t="shared" si="111"/>
        <v>0.44444444444444442</v>
      </c>
      <c r="I270" s="32">
        <f t="shared" si="112"/>
        <v>0.72222222222222221</v>
      </c>
      <c r="J270" s="32">
        <f t="shared" si="113"/>
        <v>0.38888888888888884</v>
      </c>
      <c r="K270">
        <f>step3_validation[[#This Row],[AI_FAC1]]</f>
        <v>6</v>
      </c>
      <c r="L270">
        <f t="shared" si="114"/>
        <v>0.55555555555555558</v>
      </c>
      <c r="M270">
        <f>[1]!survey_responses[[#This Row],[Các thủ tục khai báo thuế VÀ/HOẶC quy trình làm việc với cơ quan thuế đơn giản, tiện lợi, nhanh chóng hơn so với trước đây. - HUMAN-FAC1]]</f>
        <v>2</v>
      </c>
      <c r="N270">
        <f t="shared" si="115"/>
        <v>0.1111111111111111</v>
      </c>
      <c r="O270">
        <f>step3_validation[[#This Row],[AI_FAC2]]</f>
        <v>7</v>
      </c>
      <c r="P270">
        <f t="shared" si="116"/>
        <v>0.66666666666666663</v>
      </c>
      <c r="Q270">
        <f>[1]!survey_responses[[#This Row],[So với trước đây, tôi thấy cách tính thuế và các bậc thuế trong phương án mới đơn giản, dễ hiểu và dễ thực hiện hơn. - HUMAN-FAC2]]</f>
        <v>6</v>
      </c>
      <c r="R270">
        <f t="shared" si="117"/>
        <v>0.55555555555555558</v>
      </c>
      <c r="S270" s="32">
        <f t="shared" si="118"/>
        <v>0.61111111111111116</v>
      </c>
      <c r="T270" s="32">
        <f t="shared" si="119"/>
        <v>0.33333333333333337</v>
      </c>
      <c r="U270">
        <f>step3_validation[[#This Row],[AI_TRU1]]</f>
        <v>8</v>
      </c>
      <c r="V270">
        <f t="shared" si="120"/>
        <v>0.77777777777777779</v>
      </c>
      <c r="W270">
        <f>[1]!survey_responses[[#This Row],[Tôi tin rằng Nhà nước, cơ quan thuế sẽ thực thi chính sách mới một cách khách quan, công tâm và đối xử bình đẳng với mọi người nộp thuế.  - HUMAN-TRU1]]</f>
        <v>3</v>
      </c>
      <c r="X270">
        <f t="shared" si="121"/>
        <v>0.22222222222222221</v>
      </c>
      <c r="Y270">
        <f>step3_validation[[#This Row],[AI_TRU2]]</f>
        <v>7</v>
      </c>
      <c r="Z270">
        <f t="shared" si="122"/>
        <v>0.66666666666666663</v>
      </c>
      <c r="AA270">
        <f>[1]!survey_responses[[#This Row],[Tôi thấy mức thuế tôi phải đóng theo phương án mới là công bằng (người thu nhập như tôi đóng mức này là hợp lý). - HUMAN-TRU2]]</f>
        <v>3</v>
      </c>
      <c r="AB270">
        <f t="shared" si="123"/>
        <v>0.22222222222222221</v>
      </c>
      <c r="AC270">
        <f>step3_validation[[#This Row],[AI_TRU3]]</f>
        <v>6</v>
      </c>
      <c r="AD270">
        <f t="shared" si="124"/>
        <v>0.55555555555555558</v>
      </c>
      <c r="AE270">
        <f>[1]!survey_responses[[#This Row],[Tôi tin tưởng số tiền thuế tôi đóng sẽ được Nhà nước sử dụng hiệu quả để cải thiện dịch vụ công (y tế, đường xá...). - HUMAN-TRU3]]</f>
        <v>1</v>
      </c>
      <c r="AF270">
        <f t="shared" si="125"/>
        <v>0</v>
      </c>
      <c r="AG270">
        <f>step3_validation[[#This Row],[AI_TRU4]]</f>
        <v>5</v>
      </c>
      <c r="AH270">
        <f t="shared" si="126"/>
        <v>0.44444444444444442</v>
      </c>
      <c r="AI270">
        <f>[1]!survey_responses[[#This Row],[Tôi thấy Nhà nước đã giải thích rõ ràng, minh bạch về lý do và mục tiêu của việc sửa đổi thuế lần này. - HUMAN-TRU4]]</f>
        <v>3</v>
      </c>
      <c r="AJ270">
        <f t="shared" si="127"/>
        <v>0.22222222222222221</v>
      </c>
      <c r="AK270" s="32">
        <f t="shared" si="128"/>
        <v>0.61111111111111116</v>
      </c>
      <c r="AL270" s="32">
        <f t="shared" si="129"/>
        <v>0.16666666666666666</v>
      </c>
      <c r="AM270" s="7">
        <f t="shared" si="130"/>
        <v>0.64814814814814825</v>
      </c>
      <c r="AN270" s="7">
        <f t="shared" si="131"/>
        <v>0.29629629629629628</v>
      </c>
      <c r="AO270">
        <f>step3_validation[[#This Row],[AI_OUT1]]</f>
        <v>8</v>
      </c>
      <c r="AP270">
        <f t="shared" si="132"/>
        <v>0.77777777777777779</v>
      </c>
      <c r="AQ270">
        <f>[1]!survey_responses[[#This Row],[Sau khi xem xét các quyền lợi và nghĩa vụ, bạn có ủng hộ và tuân thủ chính sách mới hiện nay? - HUMAN-OUT1]]</f>
        <v>1</v>
      </c>
      <c r="AR270">
        <f t="shared" si="133"/>
        <v>0</v>
      </c>
      <c r="AS270" s="32">
        <f t="shared" si="134"/>
        <v>7</v>
      </c>
    </row>
    <row r="271" spans="1:45" x14ac:dyDescent="0.45">
      <c r="A271">
        <f>step3_validation[[#This Row],[AI_ENF1]]</f>
        <v>6</v>
      </c>
      <c r="B271">
        <f t="shared" si="108"/>
        <v>0.55555555555555558</v>
      </c>
      <c r="C271">
        <f>[1]!survey_responses[[#This Row],[Tôi tin rằng với các quy định quản lý thuế hiện nay, hành vi gian lận hoặc trốn thuế sẽ dễ dàng bị phát hiện và xử lý nghiêm. - HUMAN-ENF1]]</f>
        <v>8</v>
      </c>
      <c r="D271">
        <f t="shared" si="109"/>
        <v>0.77777777777777779</v>
      </c>
      <c r="E271">
        <f>step3_validation[[#This Row],[AI_ENF2]]</f>
        <v>7</v>
      </c>
      <c r="F271">
        <f t="shared" si="110"/>
        <v>0.66666666666666663</v>
      </c>
      <c r="G271">
        <f>[1]!survey_responses[[#This Row],[Tôi tin rằng Nhà nước, cơ quan thuế có đủ khả năng và công nghệ để phát hiện, xử lý nghiêm các hành vi trốn thuế. - HUMAN-ENF2]]</f>
        <v>8</v>
      </c>
      <c r="H271">
        <f t="shared" si="111"/>
        <v>0.77777777777777779</v>
      </c>
      <c r="I271" s="32">
        <f t="shared" si="112"/>
        <v>0.61111111111111116</v>
      </c>
      <c r="J271" s="32">
        <f t="shared" si="113"/>
        <v>0.77777777777777779</v>
      </c>
      <c r="K271">
        <f>step3_validation[[#This Row],[AI_FAC1]]</f>
        <v>8</v>
      </c>
      <c r="L271">
        <f t="shared" si="114"/>
        <v>0.77777777777777779</v>
      </c>
      <c r="M271">
        <f>[1]!survey_responses[[#This Row],[Các thủ tục khai báo thuế VÀ/HOẶC quy trình làm việc với cơ quan thuế đơn giản, tiện lợi, nhanh chóng hơn so với trước đây. - HUMAN-FAC1]]</f>
        <v>3</v>
      </c>
      <c r="N271">
        <f t="shared" si="115"/>
        <v>0.22222222222222221</v>
      </c>
      <c r="O271">
        <f>step3_validation[[#This Row],[AI_FAC2]]</f>
        <v>9</v>
      </c>
      <c r="P271">
        <f t="shared" si="116"/>
        <v>0.88888888888888884</v>
      </c>
      <c r="Q271">
        <f>[1]!survey_responses[[#This Row],[So với trước đây, tôi thấy cách tính thuế và các bậc thuế trong phương án mới đơn giản, dễ hiểu và dễ thực hiện hơn. - HUMAN-FAC2]]</f>
        <v>8</v>
      </c>
      <c r="R271">
        <f t="shared" si="117"/>
        <v>0.77777777777777779</v>
      </c>
      <c r="S271" s="32">
        <f t="shared" si="118"/>
        <v>0.83333333333333326</v>
      </c>
      <c r="T271" s="32">
        <f t="shared" si="119"/>
        <v>0.5</v>
      </c>
      <c r="U271">
        <f>step3_validation[[#This Row],[AI_TRU1]]</f>
        <v>7</v>
      </c>
      <c r="V271">
        <f t="shared" si="120"/>
        <v>0.66666666666666663</v>
      </c>
      <c r="W271">
        <f>[1]!survey_responses[[#This Row],[Tôi tin rằng Nhà nước, cơ quan thuế sẽ thực thi chính sách mới một cách khách quan, công tâm và đối xử bình đẳng với mọi người nộp thuế.  - HUMAN-TRU1]]</f>
        <v>3</v>
      </c>
      <c r="X271">
        <f t="shared" si="121"/>
        <v>0.22222222222222221</v>
      </c>
      <c r="Y271">
        <f>step3_validation[[#This Row],[AI_TRU2]]</f>
        <v>6</v>
      </c>
      <c r="Z271">
        <f t="shared" si="122"/>
        <v>0.55555555555555558</v>
      </c>
      <c r="AA271">
        <f>[1]!survey_responses[[#This Row],[Tôi thấy mức thuế tôi phải đóng theo phương án mới là công bằng (người thu nhập như tôi đóng mức này là hợp lý). - HUMAN-TRU2]]</f>
        <v>1</v>
      </c>
      <c r="AB271">
        <f t="shared" si="123"/>
        <v>0</v>
      </c>
      <c r="AC271">
        <f>step3_validation[[#This Row],[AI_TRU3]]</f>
        <v>7</v>
      </c>
      <c r="AD271">
        <f t="shared" si="124"/>
        <v>0.66666666666666663</v>
      </c>
      <c r="AE271">
        <f>[1]!survey_responses[[#This Row],[Tôi tin tưởng số tiền thuế tôi đóng sẽ được Nhà nước sử dụng hiệu quả để cải thiện dịch vụ công (y tế, đường xá...). - HUMAN-TRU3]]</f>
        <v>8</v>
      </c>
      <c r="AF271">
        <f t="shared" si="125"/>
        <v>0.77777777777777779</v>
      </c>
      <c r="AG271">
        <f>step3_validation[[#This Row],[AI_TRU4]]</f>
        <v>5</v>
      </c>
      <c r="AH271">
        <f t="shared" si="126"/>
        <v>0.44444444444444442</v>
      </c>
      <c r="AI271">
        <f>[1]!survey_responses[[#This Row],[Tôi thấy Nhà nước đã giải thích rõ ràng, minh bạch về lý do và mục tiêu của việc sửa đổi thuế lần này. - HUMAN-TRU4]]</f>
        <v>6</v>
      </c>
      <c r="AJ271">
        <f t="shared" si="127"/>
        <v>0.55555555555555558</v>
      </c>
      <c r="AK271" s="32">
        <f t="shared" si="128"/>
        <v>0.58333333333333326</v>
      </c>
      <c r="AL271" s="32">
        <f t="shared" si="129"/>
        <v>0.3888888888888889</v>
      </c>
      <c r="AM271" s="7">
        <f t="shared" si="130"/>
        <v>0.67592592592592593</v>
      </c>
      <c r="AN271" s="7">
        <f t="shared" si="131"/>
        <v>0.55555555555555547</v>
      </c>
      <c r="AO271">
        <f>step3_validation[[#This Row],[AI_OUT1]]</f>
        <v>7</v>
      </c>
      <c r="AP271">
        <f t="shared" si="132"/>
        <v>0.66666666666666663</v>
      </c>
      <c r="AQ271">
        <f>[1]!survey_responses[[#This Row],[Sau khi xem xét các quyền lợi và nghĩa vụ, bạn có ủng hộ và tuân thủ chính sách mới hiện nay? - HUMAN-OUT1]]</f>
        <v>7</v>
      </c>
      <c r="AR271">
        <f t="shared" si="133"/>
        <v>0.66666666666666663</v>
      </c>
      <c r="AS271" s="32">
        <f t="shared" si="134"/>
        <v>0</v>
      </c>
    </row>
    <row r="272" spans="1:45" x14ac:dyDescent="0.45">
      <c r="A272">
        <f>step3_validation[[#This Row],[AI_ENF1]]</f>
        <v>6</v>
      </c>
      <c r="B272">
        <f t="shared" si="108"/>
        <v>0.55555555555555558</v>
      </c>
      <c r="C272">
        <f>[1]!survey_responses[[#This Row],[Tôi tin rằng với các quy định quản lý thuế hiện nay, hành vi gian lận hoặc trốn thuế sẽ dễ dàng bị phát hiện và xử lý nghiêm. - HUMAN-ENF1]]</f>
        <v>7</v>
      </c>
      <c r="D272">
        <f t="shared" si="109"/>
        <v>0.66666666666666663</v>
      </c>
      <c r="E272">
        <f>step3_validation[[#This Row],[AI_ENF2]]</f>
        <v>7</v>
      </c>
      <c r="F272">
        <f t="shared" si="110"/>
        <v>0.66666666666666663</v>
      </c>
      <c r="G272">
        <f>[1]!survey_responses[[#This Row],[Tôi tin rằng Nhà nước, cơ quan thuế có đủ khả năng và công nghệ để phát hiện, xử lý nghiêm các hành vi trốn thuế. - HUMAN-ENF2]]</f>
        <v>7</v>
      </c>
      <c r="H272">
        <f t="shared" si="111"/>
        <v>0.66666666666666663</v>
      </c>
      <c r="I272" s="32">
        <f t="shared" si="112"/>
        <v>0.61111111111111116</v>
      </c>
      <c r="J272" s="32">
        <f t="shared" si="113"/>
        <v>0.66666666666666663</v>
      </c>
      <c r="K272">
        <f>step3_validation[[#This Row],[AI_FAC1]]</f>
        <v>4</v>
      </c>
      <c r="L272">
        <f t="shared" si="114"/>
        <v>0.33333333333333331</v>
      </c>
      <c r="M272">
        <f>[1]!survey_responses[[#This Row],[Các thủ tục khai báo thuế VÀ/HOẶC quy trình làm việc với cơ quan thuế đơn giản, tiện lợi, nhanh chóng hơn so với trước đây. - HUMAN-FAC1]]</f>
        <v>4</v>
      </c>
      <c r="N272">
        <f t="shared" si="115"/>
        <v>0.33333333333333331</v>
      </c>
      <c r="O272">
        <f>step3_validation[[#This Row],[AI_FAC2]]</f>
        <v>8</v>
      </c>
      <c r="P272">
        <f t="shared" si="116"/>
        <v>0.77777777777777779</v>
      </c>
      <c r="Q272">
        <f>[1]!survey_responses[[#This Row],[So với trước đây, tôi thấy cách tính thuế và các bậc thuế trong phương án mới đơn giản, dễ hiểu và dễ thực hiện hơn. - HUMAN-FAC2]]</f>
        <v>7</v>
      </c>
      <c r="R272">
        <f t="shared" si="117"/>
        <v>0.66666666666666663</v>
      </c>
      <c r="S272" s="32">
        <f t="shared" si="118"/>
        <v>0.55555555555555558</v>
      </c>
      <c r="T272" s="32">
        <f t="shared" si="119"/>
        <v>0.5</v>
      </c>
      <c r="U272">
        <f>step3_validation[[#This Row],[AI_TRU1]]</f>
        <v>5</v>
      </c>
      <c r="V272">
        <f t="shared" si="120"/>
        <v>0.44444444444444442</v>
      </c>
      <c r="W272">
        <f>[1]!survey_responses[[#This Row],[Tôi tin rằng Nhà nước, cơ quan thuế sẽ thực thi chính sách mới một cách khách quan, công tâm và đối xử bình đẳng với mọi người nộp thuế.  - HUMAN-TRU1]]</f>
        <v>7</v>
      </c>
      <c r="X272">
        <f t="shared" si="121"/>
        <v>0.66666666666666663</v>
      </c>
      <c r="Y272">
        <f>step3_validation[[#This Row],[AI_TRU2]]</f>
        <v>7</v>
      </c>
      <c r="Z272">
        <f t="shared" si="122"/>
        <v>0.66666666666666663</v>
      </c>
      <c r="AA272">
        <f>[1]!survey_responses[[#This Row],[Tôi thấy mức thuế tôi phải đóng theo phương án mới là công bằng (người thu nhập như tôi đóng mức này là hợp lý). - HUMAN-TRU2]]</f>
        <v>6</v>
      </c>
      <c r="AB272">
        <f t="shared" si="123"/>
        <v>0.55555555555555558</v>
      </c>
      <c r="AC272">
        <f>step3_validation[[#This Row],[AI_TRU3]]</f>
        <v>6</v>
      </c>
      <c r="AD272">
        <f t="shared" si="124"/>
        <v>0.55555555555555558</v>
      </c>
      <c r="AE272">
        <f>[1]!survey_responses[[#This Row],[Tôi tin tưởng số tiền thuế tôi đóng sẽ được Nhà nước sử dụng hiệu quả để cải thiện dịch vụ công (y tế, đường xá...). - HUMAN-TRU3]]</f>
        <v>5</v>
      </c>
      <c r="AF272">
        <f t="shared" si="125"/>
        <v>0.44444444444444442</v>
      </c>
      <c r="AG272">
        <f>step3_validation[[#This Row],[AI_TRU4]]</f>
        <v>7</v>
      </c>
      <c r="AH272">
        <f t="shared" si="126"/>
        <v>0.66666666666666663</v>
      </c>
      <c r="AI272">
        <f>[1]!survey_responses[[#This Row],[Tôi thấy Nhà nước đã giải thích rõ ràng, minh bạch về lý do và mục tiêu của việc sửa đổi thuế lần này. - HUMAN-TRU4]]</f>
        <v>7</v>
      </c>
      <c r="AJ272">
        <f t="shared" si="127"/>
        <v>0.66666666666666663</v>
      </c>
      <c r="AK272" s="32">
        <f t="shared" si="128"/>
        <v>0.58333333333333337</v>
      </c>
      <c r="AL272" s="32">
        <f t="shared" si="129"/>
        <v>0.58333333333333337</v>
      </c>
      <c r="AM272" s="7">
        <f t="shared" si="130"/>
        <v>0.58333333333333337</v>
      </c>
      <c r="AN272" s="7">
        <f t="shared" si="131"/>
        <v>0.58333333333333337</v>
      </c>
      <c r="AO272">
        <f>step3_validation[[#This Row],[AI_OUT1]]</f>
        <v>6</v>
      </c>
      <c r="AP272">
        <f t="shared" si="132"/>
        <v>0.55555555555555558</v>
      </c>
      <c r="AQ272">
        <f>[1]!survey_responses[[#This Row],[Sau khi xem xét các quyền lợi và nghĩa vụ, bạn có ủng hộ và tuân thủ chính sách mới hiện nay? - HUMAN-OUT1]]</f>
        <v>6</v>
      </c>
      <c r="AR272">
        <f t="shared" si="133"/>
        <v>0.55555555555555558</v>
      </c>
      <c r="AS272" s="32">
        <f t="shared" si="134"/>
        <v>0</v>
      </c>
    </row>
    <row r="273" spans="1:45" x14ac:dyDescent="0.45">
      <c r="A273">
        <f>step3_validation[[#This Row],[AI_ENF1]]</f>
        <v>8</v>
      </c>
      <c r="B273">
        <f t="shared" si="108"/>
        <v>0.77777777777777779</v>
      </c>
      <c r="C273">
        <f>[1]!survey_responses[[#This Row],[Tôi tin rằng với các quy định quản lý thuế hiện nay, hành vi gian lận hoặc trốn thuế sẽ dễ dàng bị phát hiện và xử lý nghiêm. - HUMAN-ENF1]]</f>
        <v>7</v>
      </c>
      <c r="D273">
        <f t="shared" si="109"/>
        <v>0.66666666666666663</v>
      </c>
      <c r="E273">
        <f>step3_validation[[#This Row],[AI_ENF2]]</f>
        <v>7</v>
      </c>
      <c r="F273">
        <f t="shared" si="110"/>
        <v>0.66666666666666663</v>
      </c>
      <c r="G273">
        <f>[1]!survey_responses[[#This Row],[Tôi tin rằng Nhà nước, cơ quan thuế có đủ khả năng và công nghệ để phát hiện, xử lý nghiêm các hành vi trốn thuế. - HUMAN-ENF2]]</f>
        <v>8</v>
      </c>
      <c r="H273">
        <f t="shared" si="111"/>
        <v>0.77777777777777779</v>
      </c>
      <c r="I273" s="32">
        <f t="shared" si="112"/>
        <v>0.72222222222222221</v>
      </c>
      <c r="J273" s="32">
        <f t="shared" si="113"/>
        <v>0.72222222222222221</v>
      </c>
      <c r="K273">
        <f>step3_validation[[#This Row],[AI_FAC1]]</f>
        <v>9</v>
      </c>
      <c r="L273">
        <f t="shared" si="114"/>
        <v>0.88888888888888884</v>
      </c>
      <c r="M273">
        <f>[1]!survey_responses[[#This Row],[Các thủ tục khai báo thuế VÀ/HOẶC quy trình làm việc với cơ quan thuế đơn giản, tiện lợi, nhanh chóng hơn so với trước đây. - HUMAN-FAC1]]</f>
        <v>2</v>
      </c>
      <c r="N273">
        <f t="shared" si="115"/>
        <v>0.1111111111111111</v>
      </c>
      <c r="O273">
        <f>step3_validation[[#This Row],[AI_FAC2]]</f>
        <v>8</v>
      </c>
      <c r="P273">
        <f t="shared" si="116"/>
        <v>0.77777777777777779</v>
      </c>
      <c r="Q273">
        <f>[1]!survey_responses[[#This Row],[So với trước đây, tôi thấy cách tính thuế và các bậc thuế trong phương án mới đơn giản, dễ hiểu và dễ thực hiện hơn. - HUMAN-FAC2]]</f>
        <v>6</v>
      </c>
      <c r="R273">
        <f t="shared" si="117"/>
        <v>0.55555555555555558</v>
      </c>
      <c r="S273" s="32">
        <f t="shared" si="118"/>
        <v>0.83333333333333326</v>
      </c>
      <c r="T273" s="32">
        <f t="shared" si="119"/>
        <v>0.33333333333333337</v>
      </c>
      <c r="U273">
        <f>step3_validation[[#This Row],[AI_TRU1]]</f>
        <v>6</v>
      </c>
      <c r="V273">
        <f t="shared" si="120"/>
        <v>0.55555555555555558</v>
      </c>
      <c r="W273">
        <f>[1]!survey_responses[[#This Row],[Tôi tin rằng Nhà nước, cơ quan thuế sẽ thực thi chính sách mới một cách khách quan, công tâm và đối xử bình đẳng với mọi người nộp thuế.  - HUMAN-TRU1]]</f>
        <v>6</v>
      </c>
      <c r="X273">
        <f t="shared" si="121"/>
        <v>0.55555555555555558</v>
      </c>
      <c r="Y273">
        <f>step3_validation[[#This Row],[AI_TRU2]]</f>
        <v>7</v>
      </c>
      <c r="Z273">
        <f t="shared" si="122"/>
        <v>0.66666666666666663</v>
      </c>
      <c r="AA273">
        <f>[1]!survey_responses[[#This Row],[Tôi thấy mức thuế tôi phải đóng theo phương án mới là công bằng (người thu nhập như tôi đóng mức này là hợp lý). - HUMAN-TRU2]]</f>
        <v>6</v>
      </c>
      <c r="AB273">
        <f t="shared" si="123"/>
        <v>0.55555555555555558</v>
      </c>
      <c r="AC273">
        <f>step3_validation[[#This Row],[AI_TRU3]]</f>
        <v>6</v>
      </c>
      <c r="AD273">
        <f t="shared" si="124"/>
        <v>0.55555555555555558</v>
      </c>
      <c r="AE273">
        <f>[1]!survey_responses[[#This Row],[Tôi tin tưởng số tiền thuế tôi đóng sẽ được Nhà nước sử dụng hiệu quả để cải thiện dịch vụ công (y tế, đường xá...). - HUMAN-TRU3]]</f>
        <v>5</v>
      </c>
      <c r="AF273">
        <f t="shared" si="125"/>
        <v>0.44444444444444442</v>
      </c>
      <c r="AG273">
        <f>step3_validation[[#This Row],[AI_TRU4]]</f>
        <v>7</v>
      </c>
      <c r="AH273">
        <f t="shared" si="126"/>
        <v>0.66666666666666663</v>
      </c>
      <c r="AI273">
        <f>[1]!survey_responses[[#This Row],[Tôi thấy Nhà nước đã giải thích rõ ràng, minh bạch về lý do và mục tiêu của việc sửa đổi thuế lần này. - HUMAN-TRU4]]</f>
        <v>5</v>
      </c>
      <c r="AJ273">
        <f t="shared" si="127"/>
        <v>0.44444444444444442</v>
      </c>
      <c r="AK273" s="32">
        <f t="shared" si="128"/>
        <v>0.61111111111111116</v>
      </c>
      <c r="AL273" s="32">
        <f t="shared" si="129"/>
        <v>0.5</v>
      </c>
      <c r="AM273" s="7">
        <f t="shared" si="130"/>
        <v>0.72222222222222221</v>
      </c>
      <c r="AN273" s="7">
        <f t="shared" si="131"/>
        <v>0.51851851851851849</v>
      </c>
      <c r="AO273">
        <f>step3_validation[[#This Row],[AI_OUT1]]</f>
        <v>8</v>
      </c>
      <c r="AP273">
        <f t="shared" si="132"/>
        <v>0.77777777777777779</v>
      </c>
      <c r="AQ273">
        <f>[1]!survey_responses[[#This Row],[Sau khi xem xét các quyền lợi và nghĩa vụ, bạn có ủng hộ và tuân thủ chính sách mới hiện nay? - HUMAN-OUT1]]</f>
        <v>6</v>
      </c>
      <c r="AR273">
        <f t="shared" si="133"/>
        <v>0.55555555555555558</v>
      </c>
      <c r="AS273" s="32">
        <f t="shared" si="134"/>
        <v>2</v>
      </c>
    </row>
    <row r="274" spans="1:45" x14ac:dyDescent="0.45">
      <c r="A274">
        <f>step3_validation[[#This Row],[AI_ENF1]]</f>
        <v>8</v>
      </c>
      <c r="B274">
        <f t="shared" si="108"/>
        <v>0.77777777777777779</v>
      </c>
      <c r="C274">
        <f>[1]!survey_responses[[#This Row],[Tôi tin rằng với các quy định quản lý thuế hiện nay, hành vi gian lận hoặc trốn thuế sẽ dễ dàng bị phát hiện và xử lý nghiêm. - HUMAN-ENF1]]</f>
        <v>3</v>
      </c>
      <c r="D274">
        <f t="shared" si="109"/>
        <v>0.22222222222222221</v>
      </c>
      <c r="E274">
        <f>step3_validation[[#This Row],[AI_ENF2]]</f>
        <v>9</v>
      </c>
      <c r="F274">
        <f t="shared" si="110"/>
        <v>0.88888888888888884</v>
      </c>
      <c r="G274">
        <f>[1]!survey_responses[[#This Row],[Tôi tin rằng Nhà nước, cơ quan thuế có đủ khả năng và công nghệ để phát hiện, xử lý nghiêm các hành vi trốn thuế. - HUMAN-ENF2]]</f>
        <v>3</v>
      </c>
      <c r="H274">
        <f t="shared" si="111"/>
        <v>0.22222222222222221</v>
      </c>
      <c r="I274" s="32">
        <f t="shared" si="112"/>
        <v>0.83333333333333326</v>
      </c>
      <c r="J274" s="32">
        <f t="shared" si="113"/>
        <v>0.22222222222222221</v>
      </c>
      <c r="K274">
        <f>step3_validation[[#This Row],[AI_FAC1]]</f>
        <v>7</v>
      </c>
      <c r="L274">
        <f t="shared" si="114"/>
        <v>0.66666666666666663</v>
      </c>
      <c r="M274">
        <f>[1]!survey_responses[[#This Row],[Các thủ tục khai báo thuế VÀ/HOẶC quy trình làm việc với cơ quan thuế đơn giản, tiện lợi, nhanh chóng hơn so với trước đây. - HUMAN-FAC1]]</f>
        <v>1</v>
      </c>
      <c r="N274">
        <f t="shared" si="115"/>
        <v>0</v>
      </c>
      <c r="O274">
        <f>step3_validation[[#This Row],[AI_FAC2]]</f>
        <v>8</v>
      </c>
      <c r="P274">
        <f t="shared" si="116"/>
        <v>0.77777777777777779</v>
      </c>
      <c r="Q274">
        <f>[1]!survey_responses[[#This Row],[So với trước đây, tôi thấy cách tính thuế và các bậc thuế trong phương án mới đơn giản, dễ hiểu và dễ thực hiện hơn. - HUMAN-FAC2]]</f>
        <v>6</v>
      </c>
      <c r="R274">
        <f t="shared" si="117"/>
        <v>0.55555555555555558</v>
      </c>
      <c r="S274" s="32">
        <f t="shared" si="118"/>
        <v>0.72222222222222221</v>
      </c>
      <c r="T274" s="32">
        <f t="shared" si="119"/>
        <v>0.27777777777777779</v>
      </c>
      <c r="U274">
        <f>step3_validation[[#This Row],[AI_TRU1]]</f>
        <v>6</v>
      </c>
      <c r="V274">
        <f t="shared" si="120"/>
        <v>0.55555555555555558</v>
      </c>
      <c r="W274">
        <f>[1]!survey_responses[[#This Row],[Tôi tin rằng Nhà nước, cơ quan thuế sẽ thực thi chính sách mới một cách khách quan, công tâm và đối xử bình đẳng với mọi người nộp thuế.  - HUMAN-TRU1]]</f>
        <v>1</v>
      </c>
      <c r="X274">
        <f t="shared" si="121"/>
        <v>0</v>
      </c>
      <c r="Y274">
        <f>step3_validation[[#This Row],[AI_TRU2]]</f>
        <v>7</v>
      </c>
      <c r="Z274">
        <f t="shared" si="122"/>
        <v>0.66666666666666663</v>
      </c>
      <c r="AA274">
        <f>[1]!survey_responses[[#This Row],[Tôi thấy mức thuế tôi phải đóng theo phương án mới là công bằng (người thu nhập như tôi đóng mức này là hợp lý). - HUMAN-TRU2]]</f>
        <v>1</v>
      </c>
      <c r="AB274">
        <f t="shared" si="123"/>
        <v>0</v>
      </c>
      <c r="AC274">
        <f>step3_validation[[#This Row],[AI_TRU3]]</f>
        <v>6</v>
      </c>
      <c r="AD274">
        <f t="shared" si="124"/>
        <v>0.55555555555555558</v>
      </c>
      <c r="AE274">
        <f>[1]!survey_responses[[#This Row],[Tôi tin tưởng số tiền thuế tôi đóng sẽ được Nhà nước sử dụng hiệu quả để cải thiện dịch vụ công (y tế, đường xá...). - HUMAN-TRU3]]</f>
        <v>1</v>
      </c>
      <c r="AF274">
        <f t="shared" si="125"/>
        <v>0</v>
      </c>
      <c r="AG274">
        <f>step3_validation[[#This Row],[AI_TRU4]]</f>
        <v>7</v>
      </c>
      <c r="AH274">
        <f t="shared" si="126"/>
        <v>0.66666666666666663</v>
      </c>
      <c r="AI274">
        <f>[1]!survey_responses[[#This Row],[Tôi thấy Nhà nước đã giải thích rõ ràng, minh bạch về lý do và mục tiêu của việc sửa đổi thuế lần này. - HUMAN-TRU4]]</f>
        <v>1</v>
      </c>
      <c r="AJ274">
        <f t="shared" si="127"/>
        <v>0</v>
      </c>
      <c r="AK274" s="32">
        <f t="shared" si="128"/>
        <v>0.61111111111111116</v>
      </c>
      <c r="AL274" s="32">
        <f t="shared" si="129"/>
        <v>0</v>
      </c>
      <c r="AM274" s="7">
        <f t="shared" si="130"/>
        <v>0.72222222222222221</v>
      </c>
      <c r="AN274" s="7">
        <f t="shared" si="131"/>
        <v>0.16666666666666666</v>
      </c>
      <c r="AO274">
        <f>step3_validation[[#This Row],[AI_OUT1]]</f>
        <v>7</v>
      </c>
      <c r="AP274">
        <f t="shared" si="132"/>
        <v>0.66666666666666663</v>
      </c>
      <c r="AQ274">
        <f>[1]!survey_responses[[#This Row],[Sau khi xem xét các quyền lợi và nghĩa vụ, bạn có ủng hộ và tuân thủ chính sách mới hiện nay? - HUMAN-OUT1]]</f>
        <v>1</v>
      </c>
      <c r="AR274">
        <f t="shared" si="133"/>
        <v>0</v>
      </c>
      <c r="AS274" s="32">
        <f t="shared" si="134"/>
        <v>6</v>
      </c>
    </row>
    <row r="275" spans="1:45" x14ac:dyDescent="0.45">
      <c r="A275">
        <f>step3_validation[[#This Row],[AI_ENF1]]</f>
        <v>7</v>
      </c>
      <c r="B275">
        <f t="shared" si="108"/>
        <v>0.66666666666666663</v>
      </c>
      <c r="C275">
        <f>[1]!survey_responses[[#This Row],[Tôi tin rằng với các quy định quản lý thuế hiện nay, hành vi gian lận hoặc trốn thuế sẽ dễ dàng bị phát hiện và xử lý nghiêm. - HUMAN-ENF1]]</f>
        <v>6</v>
      </c>
      <c r="D275">
        <f t="shared" si="109"/>
        <v>0.55555555555555558</v>
      </c>
      <c r="E275">
        <f>step3_validation[[#This Row],[AI_ENF2]]</f>
        <v>6</v>
      </c>
      <c r="F275">
        <f t="shared" si="110"/>
        <v>0.55555555555555558</v>
      </c>
      <c r="G275">
        <f>[1]!survey_responses[[#This Row],[Tôi tin rằng Nhà nước, cơ quan thuế có đủ khả năng và công nghệ để phát hiện, xử lý nghiêm các hành vi trốn thuế. - HUMAN-ENF2]]</f>
        <v>6</v>
      </c>
      <c r="H275">
        <f t="shared" si="111"/>
        <v>0.55555555555555558</v>
      </c>
      <c r="I275" s="32">
        <f t="shared" si="112"/>
        <v>0.61111111111111116</v>
      </c>
      <c r="J275" s="32">
        <f t="shared" si="113"/>
        <v>0.55555555555555558</v>
      </c>
      <c r="K275">
        <f>step3_validation[[#This Row],[AI_FAC1]]</f>
        <v>8</v>
      </c>
      <c r="L275">
        <f t="shared" si="114"/>
        <v>0.77777777777777779</v>
      </c>
      <c r="M275">
        <f>[1]!survey_responses[[#This Row],[Các thủ tục khai báo thuế VÀ/HOẶC quy trình làm việc với cơ quan thuế đơn giản, tiện lợi, nhanh chóng hơn so với trước đây. - HUMAN-FAC1]]</f>
        <v>5</v>
      </c>
      <c r="N275">
        <f t="shared" si="115"/>
        <v>0.44444444444444442</v>
      </c>
      <c r="O275">
        <f>step3_validation[[#This Row],[AI_FAC2]]</f>
        <v>9</v>
      </c>
      <c r="P275">
        <f t="shared" si="116"/>
        <v>0.88888888888888884</v>
      </c>
      <c r="Q275">
        <f>[1]!survey_responses[[#This Row],[So với trước đây, tôi thấy cách tính thuế và các bậc thuế trong phương án mới đơn giản, dễ hiểu và dễ thực hiện hơn. - HUMAN-FAC2]]</f>
        <v>6</v>
      </c>
      <c r="R275">
        <f t="shared" si="117"/>
        <v>0.55555555555555558</v>
      </c>
      <c r="S275" s="32">
        <f t="shared" si="118"/>
        <v>0.83333333333333326</v>
      </c>
      <c r="T275" s="32">
        <f t="shared" si="119"/>
        <v>0.5</v>
      </c>
      <c r="U275">
        <f>step3_validation[[#This Row],[AI_TRU1]]</f>
        <v>6</v>
      </c>
      <c r="V275">
        <f t="shared" si="120"/>
        <v>0.55555555555555558</v>
      </c>
      <c r="W275">
        <f>[1]!survey_responses[[#This Row],[Tôi tin rằng Nhà nước, cơ quan thuế sẽ thực thi chính sách mới một cách khách quan, công tâm và đối xử bình đẳng với mọi người nộp thuế.  - HUMAN-TRU1]]</f>
        <v>6</v>
      </c>
      <c r="X275">
        <f t="shared" si="121"/>
        <v>0.55555555555555558</v>
      </c>
      <c r="Y275">
        <f>step3_validation[[#This Row],[AI_TRU2]]</f>
        <v>7</v>
      </c>
      <c r="Z275">
        <f t="shared" si="122"/>
        <v>0.66666666666666663</v>
      </c>
      <c r="AA275">
        <f>[1]!survey_responses[[#This Row],[Tôi thấy mức thuế tôi phải đóng theo phương án mới là công bằng (người thu nhập như tôi đóng mức này là hợp lý). - HUMAN-TRU2]]</f>
        <v>6</v>
      </c>
      <c r="AB275">
        <f t="shared" si="123"/>
        <v>0.55555555555555558</v>
      </c>
      <c r="AC275">
        <f>step3_validation[[#This Row],[AI_TRU3]]</f>
        <v>6</v>
      </c>
      <c r="AD275">
        <f t="shared" si="124"/>
        <v>0.55555555555555558</v>
      </c>
      <c r="AE275">
        <f>[1]!survey_responses[[#This Row],[Tôi tin tưởng số tiền thuế tôi đóng sẽ được Nhà nước sử dụng hiệu quả để cải thiện dịch vụ công (y tế, đường xá...). - HUMAN-TRU3]]</f>
        <v>6</v>
      </c>
      <c r="AF275">
        <f t="shared" si="125"/>
        <v>0.55555555555555558</v>
      </c>
      <c r="AG275">
        <f>step3_validation[[#This Row],[AI_TRU4]]</f>
        <v>5</v>
      </c>
      <c r="AH275">
        <f t="shared" si="126"/>
        <v>0.44444444444444442</v>
      </c>
      <c r="AI275">
        <f>[1]!survey_responses[[#This Row],[Tôi thấy Nhà nước đã giải thích rõ ràng, minh bạch về lý do và mục tiêu của việc sửa đổi thuế lần này. - HUMAN-TRU4]]</f>
        <v>6</v>
      </c>
      <c r="AJ275">
        <f t="shared" si="127"/>
        <v>0.55555555555555558</v>
      </c>
      <c r="AK275" s="32">
        <f t="shared" si="128"/>
        <v>0.55555555555555558</v>
      </c>
      <c r="AL275" s="32">
        <f t="shared" si="129"/>
        <v>0.55555555555555558</v>
      </c>
      <c r="AM275" s="7">
        <f t="shared" si="130"/>
        <v>0.66666666666666663</v>
      </c>
      <c r="AN275" s="7">
        <f t="shared" si="131"/>
        <v>0.53703703703703709</v>
      </c>
      <c r="AO275">
        <f>step3_validation[[#This Row],[AI_OUT1]]</f>
        <v>4</v>
      </c>
      <c r="AP275">
        <f t="shared" si="132"/>
        <v>0.33333333333333331</v>
      </c>
      <c r="AQ275">
        <f>[1]!survey_responses[[#This Row],[Sau khi xem xét các quyền lợi và nghĩa vụ, bạn có ủng hộ và tuân thủ chính sách mới hiện nay? - HUMAN-OUT1]]</f>
        <v>6</v>
      </c>
      <c r="AR275">
        <f t="shared" si="133"/>
        <v>0.55555555555555558</v>
      </c>
      <c r="AS275" s="32">
        <f t="shared" si="134"/>
        <v>2</v>
      </c>
    </row>
    <row r="276" spans="1:45" x14ac:dyDescent="0.45">
      <c r="A276">
        <f>step3_validation[[#This Row],[AI_ENF1]]</f>
        <v>7</v>
      </c>
      <c r="B276">
        <f t="shared" si="108"/>
        <v>0.66666666666666663</v>
      </c>
      <c r="C276">
        <f>[1]!survey_responses[[#This Row],[Tôi tin rằng với các quy định quản lý thuế hiện nay, hành vi gian lận hoặc trốn thuế sẽ dễ dàng bị phát hiện và xử lý nghiêm. - HUMAN-ENF1]]</f>
        <v>8</v>
      </c>
      <c r="D276">
        <f t="shared" si="109"/>
        <v>0.77777777777777779</v>
      </c>
      <c r="E276">
        <f>step3_validation[[#This Row],[AI_ENF2]]</f>
        <v>8</v>
      </c>
      <c r="F276">
        <f t="shared" si="110"/>
        <v>0.77777777777777779</v>
      </c>
      <c r="G276">
        <f>[1]!survey_responses[[#This Row],[Tôi tin rằng Nhà nước, cơ quan thuế có đủ khả năng và công nghệ để phát hiện, xử lý nghiêm các hành vi trốn thuế. - HUMAN-ENF2]]</f>
        <v>9</v>
      </c>
      <c r="H276">
        <f t="shared" si="111"/>
        <v>0.88888888888888884</v>
      </c>
      <c r="I276" s="32">
        <f t="shared" si="112"/>
        <v>0.72222222222222221</v>
      </c>
      <c r="J276" s="32">
        <f t="shared" si="113"/>
        <v>0.83333333333333326</v>
      </c>
      <c r="K276">
        <f>step3_validation[[#This Row],[AI_FAC1]]</f>
        <v>6</v>
      </c>
      <c r="L276">
        <f t="shared" si="114"/>
        <v>0.55555555555555558</v>
      </c>
      <c r="M276">
        <f>[1]!survey_responses[[#This Row],[Các thủ tục khai báo thuế VÀ/HOẶC quy trình làm việc với cơ quan thuế đơn giản, tiện lợi, nhanh chóng hơn so với trước đây. - HUMAN-FAC1]]</f>
        <v>5</v>
      </c>
      <c r="N276">
        <f t="shared" si="115"/>
        <v>0.44444444444444442</v>
      </c>
      <c r="O276">
        <f>step3_validation[[#This Row],[AI_FAC2]]</f>
        <v>9</v>
      </c>
      <c r="P276">
        <f t="shared" si="116"/>
        <v>0.88888888888888884</v>
      </c>
      <c r="Q276">
        <f>[1]!survey_responses[[#This Row],[So với trước đây, tôi thấy cách tính thuế và các bậc thuế trong phương án mới đơn giản, dễ hiểu và dễ thực hiện hơn. - HUMAN-FAC2]]</f>
        <v>7</v>
      </c>
      <c r="R276">
        <f t="shared" si="117"/>
        <v>0.66666666666666663</v>
      </c>
      <c r="S276" s="32">
        <f t="shared" si="118"/>
        <v>0.72222222222222221</v>
      </c>
      <c r="T276" s="32">
        <f t="shared" si="119"/>
        <v>0.55555555555555558</v>
      </c>
      <c r="U276">
        <f>step3_validation[[#This Row],[AI_TRU1]]</f>
        <v>8</v>
      </c>
      <c r="V276">
        <f t="shared" si="120"/>
        <v>0.77777777777777779</v>
      </c>
      <c r="W276">
        <f>[1]!survey_responses[[#This Row],[Tôi tin rằng Nhà nước, cơ quan thuế sẽ thực thi chính sách mới một cách khách quan, công tâm và đối xử bình đẳng với mọi người nộp thuế.  - HUMAN-TRU1]]</f>
        <v>6</v>
      </c>
      <c r="X276">
        <f t="shared" si="121"/>
        <v>0.55555555555555558</v>
      </c>
      <c r="Y276">
        <f>step3_validation[[#This Row],[AI_TRU2]]</f>
        <v>9</v>
      </c>
      <c r="Z276">
        <f t="shared" si="122"/>
        <v>0.88888888888888884</v>
      </c>
      <c r="AA276">
        <f>[1]!survey_responses[[#This Row],[Tôi thấy mức thuế tôi phải đóng theo phương án mới là công bằng (người thu nhập như tôi đóng mức này là hợp lý). - HUMAN-TRU2]]</f>
        <v>7</v>
      </c>
      <c r="AB276">
        <f t="shared" si="123"/>
        <v>0.66666666666666663</v>
      </c>
      <c r="AC276">
        <f>step3_validation[[#This Row],[AI_TRU3]]</f>
        <v>8</v>
      </c>
      <c r="AD276">
        <f t="shared" si="124"/>
        <v>0.77777777777777779</v>
      </c>
      <c r="AE276">
        <f>[1]!survey_responses[[#This Row],[Tôi tin tưởng số tiền thuế tôi đóng sẽ được Nhà nước sử dụng hiệu quả để cải thiện dịch vụ công (y tế, đường xá...). - HUMAN-TRU3]]</f>
        <v>7</v>
      </c>
      <c r="AF276">
        <f t="shared" si="125"/>
        <v>0.66666666666666663</v>
      </c>
      <c r="AG276">
        <f>step3_validation[[#This Row],[AI_TRU4]]</f>
        <v>9</v>
      </c>
      <c r="AH276">
        <f t="shared" si="126"/>
        <v>0.88888888888888884</v>
      </c>
      <c r="AI276">
        <f>[1]!survey_responses[[#This Row],[Tôi thấy Nhà nước đã giải thích rõ ràng, minh bạch về lý do và mục tiêu của việc sửa đổi thuế lần này. - HUMAN-TRU4]]</f>
        <v>7</v>
      </c>
      <c r="AJ276">
        <f t="shared" si="127"/>
        <v>0.66666666666666663</v>
      </c>
      <c r="AK276" s="32">
        <f t="shared" si="128"/>
        <v>0.83333333333333326</v>
      </c>
      <c r="AL276" s="32">
        <f t="shared" si="129"/>
        <v>0.63888888888888884</v>
      </c>
      <c r="AM276" s="7">
        <f t="shared" si="130"/>
        <v>0.75925925925925919</v>
      </c>
      <c r="AN276" s="7">
        <f t="shared" si="131"/>
        <v>0.67592592592592593</v>
      </c>
      <c r="AO276">
        <f>step3_validation[[#This Row],[AI_OUT1]]</f>
        <v>7</v>
      </c>
      <c r="AP276">
        <f t="shared" si="132"/>
        <v>0.66666666666666663</v>
      </c>
      <c r="AQ276">
        <f>[1]!survey_responses[[#This Row],[Sau khi xem xét các quyền lợi và nghĩa vụ, bạn có ủng hộ và tuân thủ chính sách mới hiện nay? - HUMAN-OUT1]]</f>
        <v>7</v>
      </c>
      <c r="AR276">
        <f t="shared" si="133"/>
        <v>0.66666666666666663</v>
      </c>
      <c r="AS276" s="32">
        <f t="shared" si="134"/>
        <v>0</v>
      </c>
    </row>
    <row r="277" spans="1:45" x14ac:dyDescent="0.45">
      <c r="A277">
        <f>step3_validation[[#This Row],[AI_ENF1]]</f>
        <v>7</v>
      </c>
      <c r="B277">
        <f t="shared" si="108"/>
        <v>0.66666666666666663</v>
      </c>
      <c r="C277">
        <f>[1]!survey_responses[[#This Row],[Tôi tin rằng với các quy định quản lý thuế hiện nay, hành vi gian lận hoặc trốn thuế sẽ dễ dàng bị phát hiện và xử lý nghiêm. - HUMAN-ENF1]]</f>
        <v>6</v>
      </c>
      <c r="D277">
        <f t="shared" si="109"/>
        <v>0.55555555555555558</v>
      </c>
      <c r="E277">
        <f>step3_validation[[#This Row],[AI_ENF2]]</f>
        <v>8</v>
      </c>
      <c r="F277">
        <f t="shared" si="110"/>
        <v>0.77777777777777779</v>
      </c>
      <c r="G277">
        <f>[1]!survey_responses[[#This Row],[Tôi tin rằng Nhà nước, cơ quan thuế có đủ khả năng và công nghệ để phát hiện, xử lý nghiêm các hành vi trốn thuế. - HUMAN-ENF2]]</f>
        <v>6</v>
      </c>
      <c r="H277">
        <f t="shared" si="111"/>
        <v>0.55555555555555558</v>
      </c>
      <c r="I277" s="32">
        <f t="shared" si="112"/>
        <v>0.72222222222222221</v>
      </c>
      <c r="J277" s="32">
        <f t="shared" si="113"/>
        <v>0.55555555555555558</v>
      </c>
      <c r="K277">
        <f>step3_validation[[#This Row],[AI_FAC1]]</f>
        <v>6</v>
      </c>
      <c r="L277">
        <f t="shared" si="114"/>
        <v>0.55555555555555558</v>
      </c>
      <c r="M277">
        <f>[1]!survey_responses[[#This Row],[Các thủ tục khai báo thuế VÀ/HOẶC quy trình làm việc với cơ quan thuế đơn giản, tiện lợi, nhanh chóng hơn so với trước đây. - HUMAN-FAC1]]</f>
        <v>3</v>
      </c>
      <c r="N277">
        <f t="shared" si="115"/>
        <v>0.22222222222222221</v>
      </c>
      <c r="O277">
        <f>step3_validation[[#This Row],[AI_FAC2]]</f>
        <v>9</v>
      </c>
      <c r="P277">
        <f t="shared" si="116"/>
        <v>0.88888888888888884</v>
      </c>
      <c r="Q277">
        <f>[1]!survey_responses[[#This Row],[So với trước đây, tôi thấy cách tính thuế và các bậc thuế trong phương án mới đơn giản, dễ hiểu và dễ thực hiện hơn. - HUMAN-FAC2]]</f>
        <v>7</v>
      </c>
      <c r="R277">
        <f t="shared" si="117"/>
        <v>0.66666666666666663</v>
      </c>
      <c r="S277" s="32">
        <f t="shared" si="118"/>
        <v>0.72222222222222221</v>
      </c>
      <c r="T277" s="32">
        <f t="shared" si="119"/>
        <v>0.44444444444444442</v>
      </c>
      <c r="U277">
        <f>step3_validation[[#This Row],[AI_TRU1]]</f>
        <v>7</v>
      </c>
      <c r="V277">
        <f t="shared" si="120"/>
        <v>0.66666666666666663</v>
      </c>
      <c r="W277">
        <f>[1]!survey_responses[[#This Row],[Tôi tin rằng Nhà nước, cơ quan thuế sẽ thực thi chính sách mới một cách khách quan, công tâm và đối xử bình đẳng với mọi người nộp thuế.  - HUMAN-TRU1]]</f>
        <v>7</v>
      </c>
      <c r="X277">
        <f t="shared" si="121"/>
        <v>0.66666666666666663</v>
      </c>
      <c r="Y277">
        <f>step3_validation[[#This Row],[AI_TRU2]]</f>
        <v>8</v>
      </c>
      <c r="Z277">
        <f t="shared" si="122"/>
        <v>0.77777777777777779</v>
      </c>
      <c r="AA277">
        <f>[1]!survey_responses[[#This Row],[Tôi thấy mức thuế tôi phải đóng theo phương án mới là công bằng (người thu nhập như tôi đóng mức này là hợp lý). - HUMAN-TRU2]]</f>
        <v>7</v>
      </c>
      <c r="AB277">
        <f t="shared" si="123"/>
        <v>0.66666666666666663</v>
      </c>
      <c r="AC277">
        <f>step3_validation[[#This Row],[AI_TRU3]]</f>
        <v>7</v>
      </c>
      <c r="AD277">
        <f t="shared" si="124"/>
        <v>0.66666666666666663</v>
      </c>
      <c r="AE277">
        <f>[1]!survey_responses[[#This Row],[Tôi tin tưởng số tiền thuế tôi đóng sẽ được Nhà nước sử dụng hiệu quả để cải thiện dịch vụ công (y tế, đường xá...). - HUMAN-TRU3]]</f>
        <v>5</v>
      </c>
      <c r="AF277">
        <f t="shared" si="125"/>
        <v>0.44444444444444442</v>
      </c>
      <c r="AG277">
        <f>step3_validation[[#This Row],[AI_TRU4]]</f>
        <v>8</v>
      </c>
      <c r="AH277">
        <f t="shared" si="126"/>
        <v>0.77777777777777779</v>
      </c>
      <c r="AI277">
        <f>[1]!survey_responses[[#This Row],[Tôi thấy Nhà nước đã giải thích rõ ràng, minh bạch về lý do và mục tiêu của việc sửa đổi thuế lần này. - HUMAN-TRU4]]</f>
        <v>7</v>
      </c>
      <c r="AJ277">
        <f t="shared" si="127"/>
        <v>0.66666666666666663</v>
      </c>
      <c r="AK277" s="32">
        <f t="shared" si="128"/>
        <v>0.72222222222222221</v>
      </c>
      <c r="AL277" s="32">
        <f t="shared" si="129"/>
        <v>0.61111111111111105</v>
      </c>
      <c r="AM277" s="7">
        <f t="shared" si="130"/>
        <v>0.72222222222222221</v>
      </c>
      <c r="AN277" s="7">
        <f t="shared" si="131"/>
        <v>0.53703703703703709</v>
      </c>
      <c r="AO277">
        <f>step3_validation[[#This Row],[AI_OUT1]]</f>
        <v>8</v>
      </c>
      <c r="AP277">
        <f t="shared" si="132"/>
        <v>0.77777777777777779</v>
      </c>
      <c r="AQ277">
        <f>[1]!survey_responses[[#This Row],[Sau khi xem xét các quyền lợi và nghĩa vụ, bạn có ủng hộ và tuân thủ chính sách mới hiện nay? - HUMAN-OUT1]]</f>
        <v>7</v>
      </c>
      <c r="AR277">
        <f t="shared" si="133"/>
        <v>0.66666666666666663</v>
      </c>
      <c r="AS277" s="32">
        <f t="shared" si="134"/>
        <v>1</v>
      </c>
    </row>
    <row r="278" spans="1:45" x14ac:dyDescent="0.45">
      <c r="A278">
        <f>step3_validation[[#This Row],[AI_ENF1]]</f>
        <v>6</v>
      </c>
      <c r="B278">
        <f t="shared" si="108"/>
        <v>0.55555555555555558</v>
      </c>
      <c r="C278">
        <f>[1]!survey_responses[[#This Row],[Tôi tin rằng với các quy định quản lý thuế hiện nay, hành vi gian lận hoặc trốn thuế sẽ dễ dàng bị phát hiện và xử lý nghiêm. - HUMAN-ENF1]]</f>
        <v>8</v>
      </c>
      <c r="D278">
        <f t="shared" si="109"/>
        <v>0.77777777777777779</v>
      </c>
      <c r="E278">
        <f>step3_validation[[#This Row],[AI_ENF2]]</f>
        <v>7</v>
      </c>
      <c r="F278">
        <f t="shared" si="110"/>
        <v>0.66666666666666663</v>
      </c>
      <c r="G278">
        <f>[1]!survey_responses[[#This Row],[Tôi tin rằng Nhà nước, cơ quan thuế có đủ khả năng và công nghệ để phát hiện, xử lý nghiêm các hành vi trốn thuế. - HUMAN-ENF2]]</f>
        <v>8</v>
      </c>
      <c r="H278">
        <f t="shared" si="111"/>
        <v>0.77777777777777779</v>
      </c>
      <c r="I278" s="32">
        <f t="shared" si="112"/>
        <v>0.61111111111111116</v>
      </c>
      <c r="J278" s="32">
        <f t="shared" si="113"/>
        <v>0.77777777777777779</v>
      </c>
      <c r="K278">
        <f>step3_validation[[#This Row],[AI_FAC1]]</f>
        <v>8</v>
      </c>
      <c r="L278">
        <f t="shared" si="114"/>
        <v>0.77777777777777779</v>
      </c>
      <c r="M278">
        <f>[1]!survey_responses[[#This Row],[Các thủ tục khai báo thuế VÀ/HOẶC quy trình làm việc với cơ quan thuế đơn giản, tiện lợi, nhanh chóng hơn so với trước đây. - HUMAN-FAC1]]</f>
        <v>6</v>
      </c>
      <c r="N278">
        <f t="shared" si="115"/>
        <v>0.55555555555555558</v>
      </c>
      <c r="O278">
        <f>step3_validation[[#This Row],[AI_FAC2]]</f>
        <v>9</v>
      </c>
      <c r="P278">
        <f t="shared" si="116"/>
        <v>0.88888888888888884</v>
      </c>
      <c r="Q278">
        <f>[1]!survey_responses[[#This Row],[So với trước đây, tôi thấy cách tính thuế và các bậc thuế trong phương án mới đơn giản, dễ hiểu và dễ thực hiện hơn. - HUMAN-FAC2]]</f>
        <v>7</v>
      </c>
      <c r="R278">
        <f t="shared" si="117"/>
        <v>0.66666666666666663</v>
      </c>
      <c r="S278" s="32">
        <f t="shared" si="118"/>
        <v>0.83333333333333326</v>
      </c>
      <c r="T278" s="32">
        <f t="shared" si="119"/>
        <v>0.61111111111111116</v>
      </c>
      <c r="U278">
        <f>step3_validation[[#This Row],[AI_TRU1]]</f>
        <v>7</v>
      </c>
      <c r="V278">
        <f t="shared" si="120"/>
        <v>0.66666666666666663</v>
      </c>
      <c r="W278">
        <f>[1]!survey_responses[[#This Row],[Tôi tin rằng Nhà nước, cơ quan thuế sẽ thực thi chính sách mới một cách khách quan, công tâm và đối xử bình đẳng với mọi người nộp thuế.  - HUMAN-TRU1]]</f>
        <v>7</v>
      </c>
      <c r="X278">
        <f t="shared" si="121"/>
        <v>0.66666666666666663</v>
      </c>
      <c r="Y278">
        <f>step3_validation[[#This Row],[AI_TRU2]]</f>
        <v>8</v>
      </c>
      <c r="Z278">
        <f t="shared" si="122"/>
        <v>0.77777777777777779</v>
      </c>
      <c r="AA278">
        <f>[1]!survey_responses[[#This Row],[Tôi thấy mức thuế tôi phải đóng theo phương án mới là công bằng (người thu nhập như tôi đóng mức này là hợp lý). - HUMAN-TRU2]]</f>
        <v>4</v>
      </c>
      <c r="AB278">
        <f t="shared" si="123"/>
        <v>0.33333333333333331</v>
      </c>
      <c r="AC278">
        <f>step3_validation[[#This Row],[AI_TRU3]]</f>
        <v>6</v>
      </c>
      <c r="AD278">
        <f t="shared" si="124"/>
        <v>0.55555555555555558</v>
      </c>
      <c r="AE278">
        <f>[1]!survey_responses[[#This Row],[Tôi tin tưởng số tiền thuế tôi đóng sẽ được Nhà nước sử dụng hiệu quả để cải thiện dịch vụ công (y tế, đường xá...). - HUMAN-TRU3]]</f>
        <v>5</v>
      </c>
      <c r="AF278">
        <f t="shared" si="125"/>
        <v>0.44444444444444442</v>
      </c>
      <c r="AG278">
        <f>step3_validation[[#This Row],[AI_TRU4]]</f>
        <v>5</v>
      </c>
      <c r="AH278">
        <f t="shared" si="126"/>
        <v>0.44444444444444442</v>
      </c>
      <c r="AI278">
        <f>[1]!survey_responses[[#This Row],[Tôi thấy Nhà nước đã giải thích rõ ràng, minh bạch về lý do và mục tiêu của việc sửa đổi thuế lần này. - HUMAN-TRU4]]</f>
        <v>5</v>
      </c>
      <c r="AJ278">
        <f t="shared" si="127"/>
        <v>0.44444444444444442</v>
      </c>
      <c r="AK278" s="32">
        <f t="shared" si="128"/>
        <v>0.61111111111111116</v>
      </c>
      <c r="AL278" s="32">
        <f t="shared" si="129"/>
        <v>0.47222222222222221</v>
      </c>
      <c r="AM278" s="7">
        <f t="shared" si="130"/>
        <v>0.68518518518518512</v>
      </c>
      <c r="AN278" s="7">
        <f t="shared" si="131"/>
        <v>0.62037037037037035</v>
      </c>
      <c r="AO278">
        <f>step3_validation[[#This Row],[AI_OUT1]]</f>
        <v>7</v>
      </c>
      <c r="AP278">
        <f t="shared" si="132"/>
        <v>0.66666666666666663</v>
      </c>
      <c r="AQ278">
        <f>[1]!survey_responses[[#This Row],[Sau khi xem xét các quyền lợi và nghĩa vụ, bạn có ủng hộ và tuân thủ chính sách mới hiện nay? - HUMAN-OUT1]]</f>
        <v>5</v>
      </c>
      <c r="AR278">
        <f t="shared" si="133"/>
        <v>0.44444444444444442</v>
      </c>
      <c r="AS278" s="32">
        <f t="shared" si="134"/>
        <v>2</v>
      </c>
    </row>
    <row r="279" spans="1:45" x14ac:dyDescent="0.45">
      <c r="A279">
        <f>step3_validation[[#This Row],[AI_ENF1]]</f>
        <v>7</v>
      </c>
      <c r="B279">
        <f t="shared" si="108"/>
        <v>0.66666666666666663</v>
      </c>
      <c r="C279">
        <f>[1]!survey_responses[[#This Row],[Tôi tin rằng với các quy định quản lý thuế hiện nay, hành vi gian lận hoặc trốn thuế sẽ dễ dàng bị phát hiện và xử lý nghiêm. - HUMAN-ENF1]]</f>
        <v>6</v>
      </c>
      <c r="D279">
        <f t="shared" si="109"/>
        <v>0.55555555555555558</v>
      </c>
      <c r="E279">
        <f>step3_validation[[#This Row],[AI_ENF2]]</f>
        <v>8</v>
      </c>
      <c r="F279">
        <f t="shared" si="110"/>
        <v>0.77777777777777779</v>
      </c>
      <c r="G279">
        <f>[1]!survey_responses[[#This Row],[Tôi tin rằng Nhà nước, cơ quan thuế có đủ khả năng và công nghệ để phát hiện, xử lý nghiêm các hành vi trốn thuế. - HUMAN-ENF2]]</f>
        <v>7</v>
      </c>
      <c r="H279">
        <f t="shared" si="111"/>
        <v>0.66666666666666663</v>
      </c>
      <c r="I279" s="32">
        <f t="shared" si="112"/>
        <v>0.72222222222222221</v>
      </c>
      <c r="J279" s="32">
        <f t="shared" si="113"/>
        <v>0.61111111111111116</v>
      </c>
      <c r="K279">
        <f>step3_validation[[#This Row],[AI_FAC1]]</f>
        <v>9</v>
      </c>
      <c r="L279">
        <f t="shared" si="114"/>
        <v>0.88888888888888884</v>
      </c>
      <c r="M279">
        <f>[1]!survey_responses[[#This Row],[Các thủ tục khai báo thuế VÀ/HOẶC quy trình làm việc với cơ quan thuế đơn giản, tiện lợi, nhanh chóng hơn so với trước đây. - HUMAN-FAC1]]</f>
        <v>5</v>
      </c>
      <c r="N279">
        <f t="shared" si="115"/>
        <v>0.44444444444444442</v>
      </c>
      <c r="O279">
        <f>step3_validation[[#This Row],[AI_FAC2]]</f>
        <v>8</v>
      </c>
      <c r="P279">
        <f t="shared" si="116"/>
        <v>0.77777777777777779</v>
      </c>
      <c r="Q279">
        <f>[1]!survey_responses[[#This Row],[So với trước đây, tôi thấy cách tính thuế và các bậc thuế trong phương án mới đơn giản, dễ hiểu và dễ thực hiện hơn. - HUMAN-FAC2]]</f>
        <v>7</v>
      </c>
      <c r="R279">
        <f t="shared" si="117"/>
        <v>0.66666666666666663</v>
      </c>
      <c r="S279" s="32">
        <f t="shared" si="118"/>
        <v>0.83333333333333326</v>
      </c>
      <c r="T279" s="32">
        <f t="shared" si="119"/>
        <v>0.55555555555555558</v>
      </c>
      <c r="U279">
        <f>step3_validation[[#This Row],[AI_TRU1]]</f>
        <v>7</v>
      </c>
      <c r="V279">
        <f t="shared" si="120"/>
        <v>0.66666666666666663</v>
      </c>
      <c r="W279">
        <f>[1]!survey_responses[[#This Row],[Tôi tin rằng Nhà nước, cơ quan thuế sẽ thực thi chính sách mới một cách khách quan, công tâm và đối xử bình đẳng với mọi người nộp thuế.  - HUMAN-TRU1]]</f>
        <v>6</v>
      </c>
      <c r="X279">
        <f t="shared" si="121"/>
        <v>0.55555555555555558</v>
      </c>
      <c r="Y279">
        <f>step3_validation[[#This Row],[AI_TRU2]]</f>
        <v>6</v>
      </c>
      <c r="Z279">
        <f t="shared" si="122"/>
        <v>0.55555555555555558</v>
      </c>
      <c r="AA279">
        <f>[1]!survey_responses[[#This Row],[Tôi thấy mức thuế tôi phải đóng theo phương án mới là công bằng (người thu nhập như tôi đóng mức này là hợp lý). - HUMAN-TRU2]]</f>
        <v>6</v>
      </c>
      <c r="AB279">
        <f t="shared" si="123"/>
        <v>0.55555555555555558</v>
      </c>
      <c r="AC279">
        <f>step3_validation[[#This Row],[AI_TRU3]]</f>
        <v>7</v>
      </c>
      <c r="AD279">
        <f t="shared" si="124"/>
        <v>0.66666666666666663</v>
      </c>
      <c r="AE279">
        <f>[1]!survey_responses[[#This Row],[Tôi tin tưởng số tiền thuế tôi đóng sẽ được Nhà nước sử dụng hiệu quả để cải thiện dịch vụ công (y tế, đường xá...). - HUMAN-TRU3]]</f>
        <v>6</v>
      </c>
      <c r="AF279">
        <f t="shared" si="125"/>
        <v>0.55555555555555558</v>
      </c>
      <c r="AG279">
        <f>step3_validation[[#This Row],[AI_TRU4]]</f>
        <v>5</v>
      </c>
      <c r="AH279">
        <f t="shared" si="126"/>
        <v>0.44444444444444442</v>
      </c>
      <c r="AI279">
        <f>[1]!survey_responses[[#This Row],[Tôi thấy Nhà nước đã giải thích rõ ràng, minh bạch về lý do và mục tiêu của việc sửa đổi thuế lần này. - HUMAN-TRU4]]</f>
        <v>6</v>
      </c>
      <c r="AJ279">
        <f t="shared" si="127"/>
        <v>0.55555555555555558</v>
      </c>
      <c r="AK279" s="32">
        <f t="shared" si="128"/>
        <v>0.58333333333333326</v>
      </c>
      <c r="AL279" s="32">
        <f t="shared" si="129"/>
        <v>0.55555555555555558</v>
      </c>
      <c r="AM279" s="7">
        <f t="shared" si="130"/>
        <v>0.7129629629629628</v>
      </c>
      <c r="AN279" s="7">
        <f t="shared" si="131"/>
        <v>0.57407407407407407</v>
      </c>
      <c r="AO279">
        <f>step3_validation[[#This Row],[AI_OUT1]]</f>
        <v>6</v>
      </c>
      <c r="AP279">
        <f t="shared" si="132"/>
        <v>0.55555555555555558</v>
      </c>
      <c r="AQ279">
        <f>[1]!survey_responses[[#This Row],[Sau khi xem xét các quyền lợi và nghĩa vụ, bạn có ủng hộ và tuân thủ chính sách mới hiện nay? - HUMAN-OUT1]]</f>
        <v>6</v>
      </c>
      <c r="AR279">
        <f t="shared" si="133"/>
        <v>0.55555555555555558</v>
      </c>
      <c r="AS279" s="32">
        <f t="shared" si="134"/>
        <v>0</v>
      </c>
    </row>
    <row r="280" spans="1:45" x14ac:dyDescent="0.45">
      <c r="A280">
        <f>step3_validation[[#This Row],[AI_ENF1]]</f>
        <v>8</v>
      </c>
      <c r="B280">
        <f t="shared" si="108"/>
        <v>0.77777777777777779</v>
      </c>
      <c r="C280">
        <f>[1]!survey_responses[[#This Row],[Tôi tin rằng với các quy định quản lý thuế hiện nay, hành vi gian lận hoặc trốn thuế sẽ dễ dàng bị phát hiện và xử lý nghiêm. - HUMAN-ENF1]]</f>
        <v>6</v>
      </c>
      <c r="D280">
        <f t="shared" si="109"/>
        <v>0.55555555555555558</v>
      </c>
      <c r="E280">
        <f>step3_validation[[#This Row],[AI_ENF2]]</f>
        <v>7</v>
      </c>
      <c r="F280">
        <f t="shared" si="110"/>
        <v>0.66666666666666663</v>
      </c>
      <c r="G280">
        <f>[1]!survey_responses[[#This Row],[Tôi tin rằng Nhà nước, cơ quan thuế có đủ khả năng và công nghệ để phát hiện, xử lý nghiêm các hành vi trốn thuế. - HUMAN-ENF2]]</f>
        <v>7</v>
      </c>
      <c r="H280">
        <f t="shared" si="111"/>
        <v>0.66666666666666663</v>
      </c>
      <c r="I280" s="32">
        <f t="shared" si="112"/>
        <v>0.72222222222222221</v>
      </c>
      <c r="J280" s="32">
        <f t="shared" si="113"/>
        <v>0.61111111111111116</v>
      </c>
      <c r="K280">
        <f>step3_validation[[#This Row],[AI_FAC1]]</f>
        <v>9</v>
      </c>
      <c r="L280">
        <f t="shared" si="114"/>
        <v>0.88888888888888884</v>
      </c>
      <c r="M280">
        <f>[1]!survey_responses[[#This Row],[Các thủ tục khai báo thuế VÀ/HOẶC quy trình làm việc với cơ quan thuế đơn giản, tiện lợi, nhanh chóng hơn so với trước đây. - HUMAN-FAC1]]</f>
        <v>5</v>
      </c>
      <c r="N280">
        <f t="shared" si="115"/>
        <v>0.44444444444444442</v>
      </c>
      <c r="O280">
        <f>step3_validation[[#This Row],[AI_FAC2]]</f>
        <v>8</v>
      </c>
      <c r="P280">
        <f t="shared" si="116"/>
        <v>0.77777777777777779</v>
      </c>
      <c r="Q280">
        <f>[1]!survey_responses[[#This Row],[So với trước đây, tôi thấy cách tính thuế và các bậc thuế trong phương án mới đơn giản, dễ hiểu và dễ thực hiện hơn. - HUMAN-FAC2]]</f>
        <v>8</v>
      </c>
      <c r="R280">
        <f t="shared" si="117"/>
        <v>0.77777777777777779</v>
      </c>
      <c r="S280" s="32">
        <f t="shared" si="118"/>
        <v>0.83333333333333326</v>
      </c>
      <c r="T280" s="32">
        <f t="shared" si="119"/>
        <v>0.61111111111111116</v>
      </c>
      <c r="U280">
        <f>step3_validation[[#This Row],[AI_TRU1]]</f>
        <v>7</v>
      </c>
      <c r="V280">
        <f t="shared" si="120"/>
        <v>0.66666666666666663</v>
      </c>
      <c r="W280">
        <f>[1]!survey_responses[[#This Row],[Tôi tin rằng Nhà nước, cơ quan thuế sẽ thực thi chính sách mới một cách khách quan, công tâm và đối xử bình đẳng với mọi người nộp thuế.  - HUMAN-TRU1]]</f>
        <v>6</v>
      </c>
      <c r="X280">
        <f t="shared" si="121"/>
        <v>0.55555555555555558</v>
      </c>
      <c r="Y280">
        <f>step3_validation[[#This Row],[AI_TRU2]]</f>
        <v>8</v>
      </c>
      <c r="Z280">
        <f t="shared" si="122"/>
        <v>0.77777777777777779</v>
      </c>
      <c r="AA280">
        <f>[1]!survey_responses[[#This Row],[Tôi thấy mức thuế tôi phải đóng theo phương án mới là công bằng (người thu nhập như tôi đóng mức này là hợp lý). - HUMAN-TRU2]]</f>
        <v>3</v>
      </c>
      <c r="AB280">
        <f t="shared" si="123"/>
        <v>0.22222222222222221</v>
      </c>
      <c r="AC280">
        <f>step3_validation[[#This Row],[AI_TRU3]]</f>
        <v>6</v>
      </c>
      <c r="AD280">
        <f t="shared" si="124"/>
        <v>0.55555555555555558</v>
      </c>
      <c r="AE280">
        <f>[1]!survey_responses[[#This Row],[Tôi tin tưởng số tiền thuế tôi đóng sẽ được Nhà nước sử dụng hiệu quả để cải thiện dịch vụ công (y tế, đường xá...). - HUMAN-TRU3]]</f>
        <v>6</v>
      </c>
      <c r="AF280">
        <f t="shared" si="125"/>
        <v>0.55555555555555558</v>
      </c>
      <c r="AG280">
        <f>step3_validation[[#This Row],[AI_TRU4]]</f>
        <v>5</v>
      </c>
      <c r="AH280">
        <f t="shared" si="126"/>
        <v>0.44444444444444442</v>
      </c>
      <c r="AI280">
        <f>[1]!survey_responses[[#This Row],[Tôi thấy Nhà nước đã giải thích rõ ràng, minh bạch về lý do và mục tiêu của việc sửa đổi thuế lần này. - HUMAN-TRU4]]</f>
        <v>8</v>
      </c>
      <c r="AJ280">
        <f t="shared" si="127"/>
        <v>0.77777777777777779</v>
      </c>
      <c r="AK280" s="32">
        <f t="shared" si="128"/>
        <v>0.61111111111111116</v>
      </c>
      <c r="AL280" s="32">
        <f t="shared" si="129"/>
        <v>0.52777777777777779</v>
      </c>
      <c r="AM280" s="7">
        <f t="shared" si="130"/>
        <v>0.72222222222222221</v>
      </c>
      <c r="AN280" s="7">
        <f t="shared" si="131"/>
        <v>0.58333333333333337</v>
      </c>
      <c r="AO280">
        <f>step3_validation[[#This Row],[AI_OUT1]]</f>
        <v>6</v>
      </c>
      <c r="AP280">
        <f t="shared" si="132"/>
        <v>0.55555555555555558</v>
      </c>
      <c r="AQ280">
        <f>[1]!survey_responses[[#This Row],[Sau khi xem xét các quyền lợi và nghĩa vụ, bạn có ủng hộ và tuân thủ chính sách mới hiện nay? - HUMAN-OUT1]]</f>
        <v>6</v>
      </c>
      <c r="AR280">
        <f t="shared" si="133"/>
        <v>0.55555555555555558</v>
      </c>
      <c r="AS280" s="32">
        <f t="shared" si="134"/>
        <v>0</v>
      </c>
    </row>
    <row r="281" spans="1:45" x14ac:dyDescent="0.45">
      <c r="A281">
        <f>step3_validation[[#This Row],[AI_ENF1]]</f>
        <v>7</v>
      </c>
      <c r="B281">
        <f t="shared" si="108"/>
        <v>0.66666666666666663</v>
      </c>
      <c r="C281">
        <f>[1]!survey_responses[[#This Row],[Tôi tin rằng với các quy định quản lý thuế hiện nay, hành vi gian lận hoặc trốn thuế sẽ dễ dàng bị phát hiện và xử lý nghiêm. - HUMAN-ENF1]]</f>
        <v>4</v>
      </c>
      <c r="D281">
        <f t="shared" si="109"/>
        <v>0.33333333333333331</v>
      </c>
      <c r="E281">
        <f>step3_validation[[#This Row],[AI_ENF2]]</f>
        <v>8</v>
      </c>
      <c r="F281">
        <f t="shared" si="110"/>
        <v>0.77777777777777779</v>
      </c>
      <c r="G281">
        <f>[1]!survey_responses[[#This Row],[Tôi tin rằng Nhà nước, cơ quan thuế có đủ khả năng và công nghệ để phát hiện, xử lý nghiêm các hành vi trốn thuế. - HUMAN-ENF2]]</f>
        <v>4</v>
      </c>
      <c r="H281">
        <f t="shared" si="111"/>
        <v>0.33333333333333331</v>
      </c>
      <c r="I281" s="32">
        <f t="shared" si="112"/>
        <v>0.72222222222222221</v>
      </c>
      <c r="J281" s="32">
        <f t="shared" si="113"/>
        <v>0.33333333333333331</v>
      </c>
      <c r="K281">
        <f>step3_validation[[#This Row],[AI_FAC1]]</f>
        <v>9</v>
      </c>
      <c r="L281">
        <f t="shared" si="114"/>
        <v>0.88888888888888884</v>
      </c>
      <c r="M281">
        <f>[1]!survey_responses[[#This Row],[Các thủ tục khai báo thuế VÀ/HOẶC quy trình làm việc với cơ quan thuế đơn giản, tiện lợi, nhanh chóng hơn so với trước đây. - HUMAN-FAC1]]</f>
        <v>1</v>
      </c>
      <c r="N281">
        <f t="shared" si="115"/>
        <v>0</v>
      </c>
      <c r="O281">
        <f>step3_validation[[#This Row],[AI_FAC2]]</f>
        <v>6</v>
      </c>
      <c r="P281">
        <f t="shared" si="116"/>
        <v>0.55555555555555558</v>
      </c>
      <c r="Q281">
        <f>[1]!survey_responses[[#This Row],[So với trước đây, tôi thấy cách tính thuế và các bậc thuế trong phương án mới đơn giản, dễ hiểu và dễ thực hiện hơn. - HUMAN-FAC2]]</f>
        <v>6</v>
      </c>
      <c r="R281">
        <f t="shared" si="117"/>
        <v>0.55555555555555558</v>
      </c>
      <c r="S281" s="32">
        <f t="shared" si="118"/>
        <v>0.72222222222222221</v>
      </c>
      <c r="T281" s="32">
        <f t="shared" si="119"/>
        <v>0.27777777777777779</v>
      </c>
      <c r="U281">
        <f>step3_validation[[#This Row],[AI_TRU1]]</f>
        <v>8</v>
      </c>
      <c r="V281">
        <f t="shared" si="120"/>
        <v>0.77777777777777779</v>
      </c>
      <c r="W281">
        <f>[1]!survey_responses[[#This Row],[Tôi tin rằng Nhà nước, cơ quan thuế sẽ thực thi chính sách mới một cách khách quan, công tâm và đối xử bình đẳng với mọi người nộp thuế.  - HUMAN-TRU1]]</f>
        <v>3</v>
      </c>
      <c r="X281">
        <f t="shared" si="121"/>
        <v>0.22222222222222221</v>
      </c>
      <c r="Y281">
        <f>step3_validation[[#This Row],[AI_TRU2]]</f>
        <v>7</v>
      </c>
      <c r="Z281">
        <f t="shared" si="122"/>
        <v>0.66666666666666663</v>
      </c>
      <c r="AA281">
        <f>[1]!survey_responses[[#This Row],[Tôi thấy mức thuế tôi phải đóng theo phương án mới là công bằng (người thu nhập như tôi đóng mức này là hợp lý). - HUMAN-TRU2]]</f>
        <v>2</v>
      </c>
      <c r="AB281">
        <f t="shared" si="123"/>
        <v>0.1111111111111111</v>
      </c>
      <c r="AC281">
        <f>step3_validation[[#This Row],[AI_TRU3]]</f>
        <v>6</v>
      </c>
      <c r="AD281">
        <f t="shared" si="124"/>
        <v>0.55555555555555558</v>
      </c>
      <c r="AE281">
        <f>[1]!survey_responses[[#This Row],[Tôi tin tưởng số tiền thuế tôi đóng sẽ được Nhà nước sử dụng hiệu quả để cải thiện dịch vụ công (y tế, đường xá...). - HUMAN-TRU3]]</f>
        <v>1</v>
      </c>
      <c r="AF281">
        <f t="shared" si="125"/>
        <v>0</v>
      </c>
      <c r="AG281">
        <f>step3_validation[[#This Row],[AI_TRU4]]</f>
        <v>5</v>
      </c>
      <c r="AH281">
        <f t="shared" si="126"/>
        <v>0.44444444444444442</v>
      </c>
      <c r="AI281">
        <f>[1]!survey_responses[[#This Row],[Tôi thấy Nhà nước đã giải thích rõ ràng, minh bạch về lý do và mục tiêu của việc sửa đổi thuế lần này. - HUMAN-TRU4]]</f>
        <v>5</v>
      </c>
      <c r="AJ281">
        <f t="shared" si="127"/>
        <v>0.44444444444444442</v>
      </c>
      <c r="AK281" s="32">
        <f t="shared" si="128"/>
        <v>0.61111111111111116</v>
      </c>
      <c r="AL281" s="32">
        <f t="shared" si="129"/>
        <v>0.19444444444444442</v>
      </c>
      <c r="AM281" s="7">
        <f t="shared" si="130"/>
        <v>0.68518518518518512</v>
      </c>
      <c r="AN281" s="7">
        <f t="shared" si="131"/>
        <v>0.26851851851851855</v>
      </c>
      <c r="AO281">
        <f>step3_validation[[#This Row],[AI_OUT1]]</f>
        <v>7</v>
      </c>
      <c r="AP281">
        <f t="shared" si="132"/>
        <v>0.66666666666666663</v>
      </c>
      <c r="AQ281">
        <f>[1]!survey_responses[[#This Row],[Sau khi xem xét các quyền lợi và nghĩa vụ, bạn có ủng hộ và tuân thủ chính sách mới hiện nay? - HUMAN-OUT1]]</f>
        <v>4</v>
      </c>
      <c r="AR281">
        <f t="shared" si="133"/>
        <v>0.33333333333333331</v>
      </c>
      <c r="AS281" s="32">
        <f t="shared" si="134"/>
        <v>3</v>
      </c>
    </row>
    <row r="282" spans="1:45" x14ac:dyDescent="0.45">
      <c r="A282">
        <f>step3_validation[[#This Row],[AI_ENF1]]</f>
        <v>8</v>
      </c>
      <c r="B282">
        <f t="shared" si="108"/>
        <v>0.77777777777777779</v>
      </c>
      <c r="C282">
        <f>[1]!survey_responses[[#This Row],[Tôi tin rằng với các quy định quản lý thuế hiện nay, hành vi gian lận hoặc trốn thuế sẽ dễ dàng bị phát hiện và xử lý nghiêm. - HUMAN-ENF1]]</f>
        <v>6</v>
      </c>
      <c r="D282">
        <f t="shared" si="109"/>
        <v>0.55555555555555558</v>
      </c>
      <c r="E282">
        <f>step3_validation[[#This Row],[AI_ENF2]]</f>
        <v>9</v>
      </c>
      <c r="F282">
        <f t="shared" si="110"/>
        <v>0.88888888888888884</v>
      </c>
      <c r="G282">
        <f>[1]!survey_responses[[#This Row],[Tôi tin rằng Nhà nước, cơ quan thuế có đủ khả năng và công nghệ để phát hiện, xử lý nghiêm các hành vi trốn thuế. - HUMAN-ENF2]]</f>
        <v>7</v>
      </c>
      <c r="H282">
        <f t="shared" si="111"/>
        <v>0.66666666666666663</v>
      </c>
      <c r="I282" s="32">
        <f t="shared" si="112"/>
        <v>0.83333333333333326</v>
      </c>
      <c r="J282" s="32">
        <f t="shared" si="113"/>
        <v>0.61111111111111116</v>
      </c>
      <c r="K282">
        <f>step3_validation[[#This Row],[AI_FAC1]]</f>
        <v>8</v>
      </c>
      <c r="L282">
        <f t="shared" si="114"/>
        <v>0.77777777777777779</v>
      </c>
      <c r="M282">
        <f>[1]!survey_responses[[#This Row],[Các thủ tục khai báo thuế VÀ/HOẶC quy trình làm việc với cơ quan thuế đơn giản, tiện lợi, nhanh chóng hơn so với trước đây. - HUMAN-FAC1]]</f>
        <v>4</v>
      </c>
      <c r="N282">
        <f t="shared" si="115"/>
        <v>0.33333333333333331</v>
      </c>
      <c r="O282">
        <f>step3_validation[[#This Row],[AI_FAC2]]</f>
        <v>9</v>
      </c>
      <c r="P282">
        <f t="shared" si="116"/>
        <v>0.88888888888888884</v>
      </c>
      <c r="Q282">
        <f>[1]!survey_responses[[#This Row],[So với trước đây, tôi thấy cách tính thuế và các bậc thuế trong phương án mới đơn giản, dễ hiểu và dễ thực hiện hơn. - HUMAN-FAC2]]</f>
        <v>8</v>
      </c>
      <c r="R282">
        <f t="shared" si="117"/>
        <v>0.77777777777777779</v>
      </c>
      <c r="S282" s="32">
        <f t="shared" si="118"/>
        <v>0.83333333333333326</v>
      </c>
      <c r="T282" s="32">
        <f t="shared" si="119"/>
        <v>0.55555555555555558</v>
      </c>
      <c r="U282">
        <f>step3_validation[[#This Row],[AI_TRU1]]</f>
        <v>8</v>
      </c>
      <c r="V282">
        <f t="shared" si="120"/>
        <v>0.77777777777777779</v>
      </c>
      <c r="W282">
        <f>[1]!survey_responses[[#This Row],[Tôi tin rằng Nhà nước, cơ quan thuế sẽ thực thi chính sách mới một cách khách quan, công tâm và đối xử bình đẳng với mọi người nộp thuế.  - HUMAN-TRU1]]</f>
        <v>6</v>
      </c>
      <c r="X282">
        <f t="shared" si="121"/>
        <v>0.55555555555555558</v>
      </c>
      <c r="Y282">
        <f>step3_validation[[#This Row],[AI_TRU2]]</f>
        <v>7</v>
      </c>
      <c r="Z282">
        <f t="shared" si="122"/>
        <v>0.66666666666666663</v>
      </c>
      <c r="AA282">
        <f>[1]!survey_responses[[#This Row],[Tôi thấy mức thuế tôi phải đóng theo phương án mới là công bằng (người thu nhập như tôi đóng mức này là hợp lý). - HUMAN-TRU2]]</f>
        <v>6</v>
      </c>
      <c r="AB282">
        <f t="shared" si="123"/>
        <v>0.55555555555555558</v>
      </c>
      <c r="AC282">
        <f>step3_validation[[#This Row],[AI_TRU3]]</f>
        <v>6</v>
      </c>
      <c r="AD282">
        <f t="shared" si="124"/>
        <v>0.55555555555555558</v>
      </c>
      <c r="AE282">
        <f>[1]!survey_responses[[#This Row],[Tôi tin tưởng số tiền thuế tôi đóng sẽ được Nhà nước sử dụng hiệu quả để cải thiện dịch vụ công (y tế, đường xá...). - HUMAN-TRU3]]</f>
        <v>5</v>
      </c>
      <c r="AF282">
        <f t="shared" si="125"/>
        <v>0.44444444444444442</v>
      </c>
      <c r="AG282">
        <f>step3_validation[[#This Row],[AI_TRU4]]</f>
        <v>5</v>
      </c>
      <c r="AH282">
        <f t="shared" si="126"/>
        <v>0.44444444444444442</v>
      </c>
      <c r="AI282">
        <f>[1]!survey_responses[[#This Row],[Tôi thấy Nhà nước đã giải thích rõ ràng, minh bạch về lý do và mục tiêu của việc sửa đổi thuế lần này. - HUMAN-TRU4]]</f>
        <v>7</v>
      </c>
      <c r="AJ282">
        <f t="shared" si="127"/>
        <v>0.66666666666666663</v>
      </c>
      <c r="AK282" s="32">
        <f t="shared" si="128"/>
        <v>0.61111111111111116</v>
      </c>
      <c r="AL282" s="32">
        <f t="shared" si="129"/>
        <v>0.55555555555555558</v>
      </c>
      <c r="AM282" s="7">
        <f t="shared" si="130"/>
        <v>0.75925925925925919</v>
      </c>
      <c r="AN282" s="7">
        <f t="shared" si="131"/>
        <v>0.57407407407407407</v>
      </c>
      <c r="AO282">
        <f>step3_validation[[#This Row],[AI_OUT1]]</f>
        <v>8</v>
      </c>
      <c r="AP282">
        <f t="shared" si="132"/>
        <v>0.77777777777777779</v>
      </c>
      <c r="AQ282">
        <f>[1]!survey_responses[[#This Row],[Sau khi xem xét các quyền lợi và nghĩa vụ, bạn có ủng hộ và tuân thủ chính sách mới hiện nay? - HUMAN-OUT1]]</f>
        <v>6</v>
      </c>
      <c r="AR282">
        <f t="shared" si="133"/>
        <v>0.55555555555555558</v>
      </c>
      <c r="AS282" s="32">
        <f t="shared" si="134"/>
        <v>2</v>
      </c>
    </row>
    <row r="283" spans="1:45" x14ac:dyDescent="0.45">
      <c r="A283">
        <f>step3_validation[[#This Row],[AI_ENF1]]</f>
        <v>8</v>
      </c>
      <c r="B283">
        <f t="shared" si="108"/>
        <v>0.77777777777777779</v>
      </c>
      <c r="C283">
        <f>[1]!survey_responses[[#This Row],[Tôi tin rằng với các quy định quản lý thuế hiện nay, hành vi gian lận hoặc trốn thuế sẽ dễ dàng bị phát hiện và xử lý nghiêm. - HUMAN-ENF1]]</f>
        <v>8</v>
      </c>
      <c r="D283">
        <f t="shared" si="109"/>
        <v>0.77777777777777779</v>
      </c>
      <c r="E283">
        <f>step3_validation[[#This Row],[AI_ENF2]]</f>
        <v>7</v>
      </c>
      <c r="F283">
        <f t="shared" si="110"/>
        <v>0.66666666666666663</v>
      </c>
      <c r="G283">
        <f>[1]!survey_responses[[#This Row],[Tôi tin rằng Nhà nước, cơ quan thuế có đủ khả năng và công nghệ để phát hiện, xử lý nghiêm các hành vi trốn thuế. - HUMAN-ENF2]]</f>
        <v>8</v>
      </c>
      <c r="H283">
        <f t="shared" si="111"/>
        <v>0.77777777777777779</v>
      </c>
      <c r="I283" s="32">
        <f t="shared" si="112"/>
        <v>0.72222222222222221</v>
      </c>
      <c r="J283" s="32">
        <f t="shared" si="113"/>
        <v>0.77777777777777779</v>
      </c>
      <c r="K283">
        <f>step3_validation[[#This Row],[AI_FAC1]]</f>
        <v>9</v>
      </c>
      <c r="L283">
        <f t="shared" si="114"/>
        <v>0.88888888888888884</v>
      </c>
      <c r="M283">
        <f>[1]!survey_responses[[#This Row],[Các thủ tục khai báo thuế VÀ/HOẶC quy trình làm việc với cơ quan thuế đơn giản, tiện lợi, nhanh chóng hơn so với trước đây. - HUMAN-FAC1]]</f>
        <v>9</v>
      </c>
      <c r="N283">
        <f t="shared" si="115"/>
        <v>0.88888888888888884</v>
      </c>
      <c r="O283">
        <f>step3_validation[[#This Row],[AI_FAC2]]</f>
        <v>6</v>
      </c>
      <c r="P283">
        <f t="shared" si="116"/>
        <v>0.55555555555555558</v>
      </c>
      <c r="Q283">
        <f>[1]!survey_responses[[#This Row],[So với trước đây, tôi thấy cách tính thuế và các bậc thuế trong phương án mới đơn giản, dễ hiểu và dễ thực hiện hơn. - HUMAN-FAC2]]</f>
        <v>9</v>
      </c>
      <c r="R283">
        <f t="shared" si="117"/>
        <v>0.88888888888888884</v>
      </c>
      <c r="S283" s="32">
        <f t="shared" si="118"/>
        <v>0.72222222222222221</v>
      </c>
      <c r="T283" s="32">
        <f t="shared" si="119"/>
        <v>0.88888888888888884</v>
      </c>
      <c r="U283">
        <f>step3_validation[[#This Row],[AI_TRU1]]</f>
        <v>8</v>
      </c>
      <c r="V283">
        <f t="shared" si="120"/>
        <v>0.77777777777777779</v>
      </c>
      <c r="W283">
        <f>[1]!survey_responses[[#This Row],[Tôi tin rằng Nhà nước, cơ quan thuế sẽ thực thi chính sách mới một cách khách quan, công tâm và đối xử bình đẳng với mọi người nộp thuế.  - HUMAN-TRU1]]</f>
        <v>7</v>
      </c>
      <c r="X283">
        <f t="shared" si="121"/>
        <v>0.66666666666666663</v>
      </c>
      <c r="Y283">
        <f>step3_validation[[#This Row],[AI_TRU2]]</f>
        <v>7</v>
      </c>
      <c r="Z283">
        <f t="shared" si="122"/>
        <v>0.66666666666666663</v>
      </c>
      <c r="AA283">
        <f>[1]!survey_responses[[#This Row],[Tôi thấy mức thuế tôi phải đóng theo phương án mới là công bằng (người thu nhập như tôi đóng mức này là hợp lý). - HUMAN-TRU2]]</f>
        <v>8</v>
      </c>
      <c r="AB283">
        <f t="shared" si="123"/>
        <v>0.77777777777777779</v>
      </c>
      <c r="AC283">
        <f>step3_validation[[#This Row],[AI_TRU3]]</f>
        <v>7</v>
      </c>
      <c r="AD283">
        <f t="shared" si="124"/>
        <v>0.66666666666666663</v>
      </c>
      <c r="AE283">
        <f>[1]!survey_responses[[#This Row],[Tôi tin tưởng số tiền thuế tôi đóng sẽ được Nhà nước sử dụng hiệu quả để cải thiện dịch vụ công (y tế, đường xá...). - HUMAN-TRU3]]</f>
        <v>8</v>
      </c>
      <c r="AF283">
        <f t="shared" si="125"/>
        <v>0.77777777777777779</v>
      </c>
      <c r="AG283">
        <f>step3_validation[[#This Row],[AI_TRU4]]</f>
        <v>6</v>
      </c>
      <c r="AH283">
        <f t="shared" si="126"/>
        <v>0.55555555555555558</v>
      </c>
      <c r="AI283">
        <f>[1]!survey_responses[[#This Row],[Tôi thấy Nhà nước đã giải thích rõ ràng, minh bạch về lý do và mục tiêu của việc sửa đổi thuế lần này. - HUMAN-TRU4]]</f>
        <v>8</v>
      </c>
      <c r="AJ283">
        <f t="shared" si="127"/>
        <v>0.77777777777777779</v>
      </c>
      <c r="AK283" s="32">
        <f t="shared" si="128"/>
        <v>0.66666666666666674</v>
      </c>
      <c r="AL283" s="32">
        <f t="shared" si="129"/>
        <v>0.75</v>
      </c>
      <c r="AM283" s="7">
        <f t="shared" si="130"/>
        <v>0.70370370370370372</v>
      </c>
      <c r="AN283" s="7">
        <f t="shared" si="131"/>
        <v>0.80555555555555547</v>
      </c>
      <c r="AO283">
        <f>step3_validation[[#This Row],[AI_OUT1]]</f>
        <v>5</v>
      </c>
      <c r="AP283">
        <f t="shared" si="132"/>
        <v>0.44444444444444442</v>
      </c>
      <c r="AQ283">
        <f>[1]!survey_responses[[#This Row],[Sau khi xem xét các quyền lợi và nghĩa vụ, bạn có ủng hộ và tuân thủ chính sách mới hiện nay? - HUMAN-OUT1]]</f>
        <v>7</v>
      </c>
      <c r="AR283">
        <f t="shared" si="133"/>
        <v>0.66666666666666663</v>
      </c>
      <c r="AS283" s="32">
        <f t="shared" si="134"/>
        <v>2</v>
      </c>
    </row>
    <row r="284" spans="1:45" x14ac:dyDescent="0.45">
      <c r="A284">
        <f>step3_validation[[#This Row],[AI_ENF1]]</f>
        <v>8</v>
      </c>
      <c r="B284">
        <f t="shared" si="108"/>
        <v>0.77777777777777779</v>
      </c>
      <c r="C284">
        <f>[1]!survey_responses[[#This Row],[Tôi tin rằng với các quy định quản lý thuế hiện nay, hành vi gian lận hoặc trốn thuế sẽ dễ dàng bị phát hiện và xử lý nghiêm. - HUMAN-ENF1]]</f>
        <v>5</v>
      </c>
      <c r="D284">
        <f t="shared" si="109"/>
        <v>0.44444444444444442</v>
      </c>
      <c r="E284">
        <f>step3_validation[[#This Row],[AI_ENF2]]</f>
        <v>7</v>
      </c>
      <c r="F284">
        <f t="shared" si="110"/>
        <v>0.66666666666666663</v>
      </c>
      <c r="G284">
        <f>[1]!survey_responses[[#This Row],[Tôi tin rằng Nhà nước, cơ quan thuế có đủ khả năng và công nghệ để phát hiện, xử lý nghiêm các hành vi trốn thuế. - HUMAN-ENF2]]</f>
        <v>5</v>
      </c>
      <c r="H284">
        <f t="shared" si="111"/>
        <v>0.44444444444444442</v>
      </c>
      <c r="I284" s="32">
        <f t="shared" si="112"/>
        <v>0.72222222222222221</v>
      </c>
      <c r="J284" s="32">
        <f t="shared" si="113"/>
        <v>0.44444444444444442</v>
      </c>
      <c r="K284">
        <f>step3_validation[[#This Row],[AI_FAC1]]</f>
        <v>9</v>
      </c>
      <c r="L284">
        <f t="shared" si="114"/>
        <v>0.88888888888888884</v>
      </c>
      <c r="M284">
        <f>[1]!survey_responses[[#This Row],[Các thủ tục khai báo thuế VÀ/HOẶC quy trình làm việc với cơ quan thuế đơn giản, tiện lợi, nhanh chóng hơn so với trước đây. - HUMAN-FAC1]]</f>
        <v>2</v>
      </c>
      <c r="N284">
        <f t="shared" si="115"/>
        <v>0.1111111111111111</v>
      </c>
      <c r="O284">
        <f>step3_validation[[#This Row],[AI_FAC2]]</f>
        <v>8</v>
      </c>
      <c r="P284">
        <f t="shared" si="116"/>
        <v>0.77777777777777779</v>
      </c>
      <c r="Q284">
        <f>[1]!survey_responses[[#This Row],[So với trước đây, tôi thấy cách tính thuế và các bậc thuế trong phương án mới đơn giản, dễ hiểu và dễ thực hiện hơn. - HUMAN-FAC2]]</f>
        <v>6</v>
      </c>
      <c r="R284">
        <f t="shared" si="117"/>
        <v>0.55555555555555558</v>
      </c>
      <c r="S284" s="32">
        <f t="shared" si="118"/>
        <v>0.83333333333333326</v>
      </c>
      <c r="T284" s="32">
        <f t="shared" si="119"/>
        <v>0.33333333333333337</v>
      </c>
      <c r="U284">
        <f>step3_validation[[#This Row],[AI_TRU1]]</f>
        <v>7</v>
      </c>
      <c r="V284">
        <f t="shared" si="120"/>
        <v>0.66666666666666663</v>
      </c>
      <c r="W284">
        <f>[1]!survey_responses[[#This Row],[Tôi tin rằng Nhà nước, cơ quan thuế sẽ thực thi chính sách mới một cách khách quan, công tâm và đối xử bình đẳng với mọi người nộp thuế.  - HUMAN-TRU1]]</f>
        <v>5</v>
      </c>
      <c r="X284">
        <f t="shared" si="121"/>
        <v>0.44444444444444442</v>
      </c>
      <c r="Y284">
        <f>step3_validation[[#This Row],[AI_TRU2]]</f>
        <v>8</v>
      </c>
      <c r="Z284">
        <f t="shared" si="122"/>
        <v>0.77777777777777779</v>
      </c>
      <c r="AA284">
        <f>[1]!survey_responses[[#This Row],[Tôi thấy mức thuế tôi phải đóng theo phương án mới là công bằng (người thu nhập như tôi đóng mức này là hợp lý). - HUMAN-TRU2]]</f>
        <v>4</v>
      </c>
      <c r="AB284">
        <f t="shared" si="123"/>
        <v>0.33333333333333331</v>
      </c>
      <c r="AC284">
        <f>step3_validation[[#This Row],[AI_TRU3]]</f>
        <v>7</v>
      </c>
      <c r="AD284">
        <f t="shared" si="124"/>
        <v>0.66666666666666663</v>
      </c>
      <c r="AE284">
        <f>[1]!survey_responses[[#This Row],[Tôi tin tưởng số tiền thuế tôi đóng sẽ được Nhà nước sử dụng hiệu quả để cải thiện dịch vụ công (y tế, đường xá...). - HUMAN-TRU3]]</f>
        <v>5</v>
      </c>
      <c r="AF284">
        <f t="shared" si="125"/>
        <v>0.44444444444444442</v>
      </c>
      <c r="AG284">
        <f>step3_validation[[#This Row],[AI_TRU4]]</f>
        <v>6</v>
      </c>
      <c r="AH284">
        <f t="shared" si="126"/>
        <v>0.55555555555555558</v>
      </c>
      <c r="AI284">
        <f>[1]!survey_responses[[#This Row],[Tôi thấy Nhà nước đã giải thích rõ ràng, minh bạch về lý do và mục tiêu của việc sửa đổi thuế lần này. - HUMAN-TRU4]]</f>
        <v>5</v>
      </c>
      <c r="AJ284">
        <f t="shared" si="127"/>
        <v>0.44444444444444442</v>
      </c>
      <c r="AK284" s="32">
        <f t="shared" si="128"/>
        <v>0.66666666666666674</v>
      </c>
      <c r="AL284" s="32">
        <f t="shared" si="129"/>
        <v>0.41666666666666663</v>
      </c>
      <c r="AM284" s="7">
        <f t="shared" si="130"/>
        <v>0.74074074074074081</v>
      </c>
      <c r="AN284" s="7">
        <f t="shared" si="131"/>
        <v>0.39814814814814814</v>
      </c>
      <c r="AO284">
        <f>step3_validation[[#This Row],[AI_OUT1]]</f>
        <v>8</v>
      </c>
      <c r="AP284">
        <f t="shared" si="132"/>
        <v>0.77777777777777779</v>
      </c>
      <c r="AQ284">
        <f>[1]!survey_responses[[#This Row],[Sau khi xem xét các quyền lợi và nghĩa vụ, bạn có ủng hộ và tuân thủ chính sách mới hiện nay? - HUMAN-OUT1]]</f>
        <v>4</v>
      </c>
      <c r="AR284">
        <f t="shared" si="133"/>
        <v>0.33333333333333331</v>
      </c>
      <c r="AS284" s="32">
        <f t="shared" si="134"/>
        <v>4</v>
      </c>
    </row>
    <row r="285" spans="1:45" x14ac:dyDescent="0.45">
      <c r="A285">
        <f>step3_validation[[#This Row],[AI_ENF1]]</f>
        <v>7</v>
      </c>
      <c r="B285">
        <f t="shared" si="108"/>
        <v>0.66666666666666663</v>
      </c>
      <c r="C285">
        <f>[1]!survey_responses[[#This Row],[Tôi tin rằng với các quy định quản lý thuế hiện nay, hành vi gian lận hoặc trốn thuế sẽ dễ dàng bị phát hiện và xử lý nghiêm. - HUMAN-ENF1]]</f>
        <v>7</v>
      </c>
      <c r="D285">
        <f t="shared" si="109"/>
        <v>0.66666666666666663</v>
      </c>
      <c r="E285">
        <f>step3_validation[[#This Row],[AI_ENF2]]</f>
        <v>6</v>
      </c>
      <c r="F285">
        <f t="shared" si="110"/>
        <v>0.55555555555555558</v>
      </c>
      <c r="G285">
        <f>[1]!survey_responses[[#This Row],[Tôi tin rằng Nhà nước, cơ quan thuế có đủ khả năng và công nghệ để phát hiện, xử lý nghiêm các hành vi trốn thuế. - HUMAN-ENF2]]</f>
        <v>7</v>
      </c>
      <c r="H285">
        <f t="shared" si="111"/>
        <v>0.66666666666666663</v>
      </c>
      <c r="I285" s="32">
        <f t="shared" si="112"/>
        <v>0.61111111111111116</v>
      </c>
      <c r="J285" s="32">
        <f t="shared" si="113"/>
        <v>0.66666666666666663</v>
      </c>
      <c r="K285">
        <f>step3_validation[[#This Row],[AI_FAC1]]</f>
        <v>9</v>
      </c>
      <c r="L285">
        <f t="shared" si="114"/>
        <v>0.88888888888888884</v>
      </c>
      <c r="M285">
        <f>[1]!survey_responses[[#This Row],[Các thủ tục khai báo thuế VÀ/HOẶC quy trình làm việc với cơ quan thuế đơn giản, tiện lợi, nhanh chóng hơn so với trước đây. - HUMAN-FAC1]]</f>
        <v>5</v>
      </c>
      <c r="N285">
        <f t="shared" si="115"/>
        <v>0.44444444444444442</v>
      </c>
      <c r="O285">
        <f>step3_validation[[#This Row],[AI_FAC2]]</f>
        <v>8</v>
      </c>
      <c r="P285">
        <f t="shared" si="116"/>
        <v>0.77777777777777779</v>
      </c>
      <c r="Q285">
        <f>[1]!survey_responses[[#This Row],[So với trước đây, tôi thấy cách tính thuế và các bậc thuế trong phương án mới đơn giản, dễ hiểu và dễ thực hiện hơn. - HUMAN-FAC2]]</f>
        <v>7</v>
      </c>
      <c r="R285">
        <f t="shared" si="117"/>
        <v>0.66666666666666663</v>
      </c>
      <c r="S285" s="32">
        <f t="shared" si="118"/>
        <v>0.83333333333333326</v>
      </c>
      <c r="T285" s="32">
        <f t="shared" si="119"/>
        <v>0.55555555555555558</v>
      </c>
      <c r="U285">
        <f>step3_validation[[#This Row],[AI_TRU1]]</f>
        <v>9</v>
      </c>
      <c r="V285">
        <f t="shared" si="120"/>
        <v>0.88888888888888884</v>
      </c>
      <c r="W285">
        <f>[1]!survey_responses[[#This Row],[Tôi tin rằng Nhà nước, cơ quan thuế sẽ thực thi chính sách mới một cách khách quan, công tâm và đối xử bình đẳng với mọi người nộp thuế.  - HUMAN-TRU1]]</f>
        <v>5</v>
      </c>
      <c r="X285">
        <f t="shared" si="121"/>
        <v>0.44444444444444442</v>
      </c>
      <c r="Y285">
        <f>step3_validation[[#This Row],[AI_TRU2]]</f>
        <v>7</v>
      </c>
      <c r="Z285">
        <f t="shared" si="122"/>
        <v>0.66666666666666663</v>
      </c>
      <c r="AA285">
        <f>[1]!survey_responses[[#This Row],[Tôi thấy mức thuế tôi phải đóng theo phương án mới là công bằng (người thu nhập như tôi đóng mức này là hợp lý). - HUMAN-TRU2]]</f>
        <v>6</v>
      </c>
      <c r="AB285">
        <f t="shared" si="123"/>
        <v>0.55555555555555558</v>
      </c>
      <c r="AC285">
        <f>step3_validation[[#This Row],[AI_TRU3]]</f>
        <v>8</v>
      </c>
      <c r="AD285">
        <f t="shared" si="124"/>
        <v>0.77777777777777779</v>
      </c>
      <c r="AE285">
        <f>[1]!survey_responses[[#This Row],[Tôi tin tưởng số tiền thuế tôi đóng sẽ được Nhà nước sử dụng hiệu quả để cải thiện dịch vụ công (y tế, đường xá...). - HUMAN-TRU3]]</f>
        <v>5</v>
      </c>
      <c r="AF285">
        <f t="shared" si="125"/>
        <v>0.44444444444444442</v>
      </c>
      <c r="AG285">
        <f>step3_validation[[#This Row],[AI_TRU4]]</f>
        <v>7</v>
      </c>
      <c r="AH285">
        <f t="shared" si="126"/>
        <v>0.66666666666666663</v>
      </c>
      <c r="AI285">
        <f>[1]!survey_responses[[#This Row],[Tôi thấy Nhà nước đã giải thích rõ ràng, minh bạch về lý do và mục tiêu của việc sửa đổi thuế lần này. - HUMAN-TRU4]]</f>
        <v>7</v>
      </c>
      <c r="AJ285">
        <f t="shared" si="127"/>
        <v>0.66666666666666663</v>
      </c>
      <c r="AK285" s="32">
        <f t="shared" si="128"/>
        <v>0.74999999999999989</v>
      </c>
      <c r="AL285" s="32">
        <f t="shared" si="129"/>
        <v>0.52777777777777779</v>
      </c>
      <c r="AM285" s="7">
        <f t="shared" si="130"/>
        <v>0.7314814814814814</v>
      </c>
      <c r="AN285" s="7">
        <f t="shared" si="131"/>
        <v>0.58333333333333337</v>
      </c>
      <c r="AO285">
        <f>step3_validation[[#This Row],[AI_OUT1]]</f>
        <v>8</v>
      </c>
      <c r="AP285">
        <f t="shared" si="132"/>
        <v>0.77777777777777779</v>
      </c>
      <c r="AQ285">
        <f>[1]!survey_responses[[#This Row],[Sau khi xem xét các quyền lợi và nghĩa vụ, bạn có ủng hộ và tuân thủ chính sách mới hiện nay? - HUMAN-OUT1]]</f>
        <v>6</v>
      </c>
      <c r="AR285">
        <f t="shared" si="133"/>
        <v>0.55555555555555558</v>
      </c>
      <c r="AS285" s="32">
        <f t="shared" si="134"/>
        <v>2</v>
      </c>
    </row>
    <row r="286" spans="1:45" x14ac:dyDescent="0.45">
      <c r="A286">
        <f>step3_validation[[#This Row],[AI_ENF1]]</f>
        <v>8</v>
      </c>
      <c r="B286">
        <f t="shared" si="108"/>
        <v>0.77777777777777779</v>
      </c>
      <c r="C286">
        <f>[1]!survey_responses[[#This Row],[Tôi tin rằng với các quy định quản lý thuế hiện nay, hành vi gian lận hoặc trốn thuế sẽ dễ dàng bị phát hiện và xử lý nghiêm. - HUMAN-ENF1]]</f>
        <v>7</v>
      </c>
      <c r="D286">
        <f t="shared" si="109"/>
        <v>0.66666666666666663</v>
      </c>
      <c r="E286">
        <f>step3_validation[[#This Row],[AI_ENF2]]</f>
        <v>7</v>
      </c>
      <c r="F286">
        <f t="shared" si="110"/>
        <v>0.66666666666666663</v>
      </c>
      <c r="G286">
        <f>[1]!survey_responses[[#This Row],[Tôi tin rằng Nhà nước, cơ quan thuế có đủ khả năng và công nghệ để phát hiện, xử lý nghiêm các hành vi trốn thuế. - HUMAN-ENF2]]</f>
        <v>7</v>
      </c>
      <c r="H286">
        <f t="shared" si="111"/>
        <v>0.66666666666666663</v>
      </c>
      <c r="I286" s="32">
        <f t="shared" si="112"/>
        <v>0.72222222222222221</v>
      </c>
      <c r="J286" s="32">
        <f t="shared" si="113"/>
        <v>0.66666666666666663</v>
      </c>
      <c r="K286">
        <f>step3_validation[[#This Row],[AI_FAC1]]</f>
        <v>6</v>
      </c>
      <c r="L286">
        <f t="shared" si="114"/>
        <v>0.55555555555555558</v>
      </c>
      <c r="M286">
        <f>[1]!survey_responses[[#This Row],[Các thủ tục khai báo thuế VÀ/HOẶC quy trình làm việc với cơ quan thuế đơn giản, tiện lợi, nhanh chóng hơn so với trước đây. - HUMAN-FAC1]]</f>
        <v>5</v>
      </c>
      <c r="N286">
        <f t="shared" si="115"/>
        <v>0.44444444444444442</v>
      </c>
      <c r="O286">
        <f>step3_validation[[#This Row],[AI_FAC2]]</f>
        <v>6</v>
      </c>
      <c r="P286">
        <f t="shared" si="116"/>
        <v>0.55555555555555558</v>
      </c>
      <c r="Q286">
        <f>[1]!survey_responses[[#This Row],[So với trước đây, tôi thấy cách tính thuế và các bậc thuế trong phương án mới đơn giản, dễ hiểu và dễ thực hiện hơn. - HUMAN-FAC2]]</f>
        <v>8</v>
      </c>
      <c r="R286">
        <f t="shared" si="117"/>
        <v>0.77777777777777779</v>
      </c>
      <c r="S286" s="32">
        <f t="shared" si="118"/>
        <v>0.55555555555555558</v>
      </c>
      <c r="T286" s="32">
        <f t="shared" si="119"/>
        <v>0.61111111111111116</v>
      </c>
      <c r="U286">
        <f>step3_validation[[#This Row],[AI_TRU1]]</f>
        <v>7</v>
      </c>
      <c r="V286">
        <f t="shared" si="120"/>
        <v>0.66666666666666663</v>
      </c>
      <c r="W286">
        <f>[1]!survey_responses[[#This Row],[Tôi tin rằng Nhà nước, cơ quan thuế sẽ thực thi chính sách mới một cách khách quan, công tâm và đối xử bình đẳng với mọi người nộp thuế.  - HUMAN-TRU1]]</f>
        <v>6</v>
      </c>
      <c r="X286">
        <f t="shared" si="121"/>
        <v>0.55555555555555558</v>
      </c>
      <c r="Y286">
        <f>step3_validation[[#This Row],[AI_TRU2]]</f>
        <v>7</v>
      </c>
      <c r="Z286">
        <f t="shared" si="122"/>
        <v>0.66666666666666663</v>
      </c>
      <c r="AA286">
        <f>[1]!survey_responses[[#This Row],[Tôi thấy mức thuế tôi phải đóng theo phương án mới là công bằng (người thu nhập như tôi đóng mức này là hợp lý). - HUMAN-TRU2]]</f>
        <v>6</v>
      </c>
      <c r="AB286">
        <f t="shared" si="123"/>
        <v>0.55555555555555558</v>
      </c>
      <c r="AC286">
        <f>step3_validation[[#This Row],[AI_TRU3]]</f>
        <v>7</v>
      </c>
      <c r="AD286">
        <f t="shared" si="124"/>
        <v>0.66666666666666663</v>
      </c>
      <c r="AE286">
        <f>[1]!survey_responses[[#This Row],[Tôi tin tưởng số tiền thuế tôi đóng sẽ được Nhà nước sử dụng hiệu quả để cải thiện dịch vụ công (y tế, đường xá...). - HUMAN-TRU3]]</f>
        <v>6</v>
      </c>
      <c r="AF286">
        <f t="shared" si="125"/>
        <v>0.55555555555555558</v>
      </c>
      <c r="AG286">
        <f>step3_validation[[#This Row],[AI_TRU4]]</f>
        <v>7</v>
      </c>
      <c r="AH286">
        <f t="shared" si="126"/>
        <v>0.66666666666666663</v>
      </c>
      <c r="AI286">
        <f>[1]!survey_responses[[#This Row],[Tôi thấy Nhà nước đã giải thích rõ ràng, minh bạch về lý do và mục tiêu của việc sửa đổi thuế lần này. - HUMAN-TRU4]]</f>
        <v>7</v>
      </c>
      <c r="AJ286">
        <f t="shared" si="127"/>
        <v>0.66666666666666663</v>
      </c>
      <c r="AK286" s="32">
        <f t="shared" si="128"/>
        <v>0.66666666666666663</v>
      </c>
      <c r="AL286" s="32">
        <f t="shared" si="129"/>
        <v>0.58333333333333337</v>
      </c>
      <c r="AM286" s="7">
        <f t="shared" si="130"/>
        <v>0.64814814814814803</v>
      </c>
      <c r="AN286" s="7">
        <f t="shared" si="131"/>
        <v>0.62037037037037035</v>
      </c>
      <c r="AO286">
        <f>step3_validation[[#This Row],[AI_OUT1]]</f>
        <v>6</v>
      </c>
      <c r="AP286">
        <f t="shared" si="132"/>
        <v>0.55555555555555558</v>
      </c>
      <c r="AQ286">
        <f>[1]!survey_responses[[#This Row],[Sau khi xem xét các quyền lợi và nghĩa vụ, bạn có ủng hộ và tuân thủ chính sách mới hiện nay? - HUMAN-OUT1]]</f>
        <v>7</v>
      </c>
      <c r="AR286">
        <f t="shared" si="133"/>
        <v>0.66666666666666663</v>
      </c>
      <c r="AS286" s="32">
        <f t="shared" si="134"/>
        <v>1</v>
      </c>
    </row>
    <row r="287" spans="1:45" x14ac:dyDescent="0.45">
      <c r="A287">
        <f>step3_validation[[#This Row],[AI_ENF1]]</f>
        <v>6</v>
      </c>
      <c r="B287">
        <f t="shared" si="108"/>
        <v>0.55555555555555558</v>
      </c>
      <c r="C287">
        <f>[1]!survey_responses[[#This Row],[Tôi tin rằng với các quy định quản lý thuế hiện nay, hành vi gian lận hoặc trốn thuế sẽ dễ dàng bị phát hiện và xử lý nghiêm. - HUMAN-ENF1]]</f>
        <v>4</v>
      </c>
      <c r="D287">
        <f t="shared" si="109"/>
        <v>0.33333333333333331</v>
      </c>
      <c r="E287">
        <f>step3_validation[[#This Row],[AI_ENF2]]</f>
        <v>8</v>
      </c>
      <c r="F287">
        <f t="shared" si="110"/>
        <v>0.77777777777777779</v>
      </c>
      <c r="G287">
        <f>[1]!survey_responses[[#This Row],[Tôi tin rằng Nhà nước, cơ quan thuế có đủ khả năng và công nghệ để phát hiện, xử lý nghiêm các hành vi trốn thuế. - HUMAN-ENF2]]</f>
        <v>4</v>
      </c>
      <c r="H287">
        <f t="shared" si="111"/>
        <v>0.33333333333333331</v>
      </c>
      <c r="I287" s="32">
        <f t="shared" si="112"/>
        <v>0.66666666666666674</v>
      </c>
      <c r="J287" s="32">
        <f t="shared" si="113"/>
        <v>0.33333333333333331</v>
      </c>
      <c r="K287">
        <f>step3_validation[[#This Row],[AI_FAC1]]</f>
        <v>7</v>
      </c>
      <c r="L287">
        <f t="shared" si="114"/>
        <v>0.66666666666666663</v>
      </c>
      <c r="M287">
        <f>[1]!survey_responses[[#This Row],[Các thủ tục khai báo thuế VÀ/HOẶC quy trình làm việc với cơ quan thuế đơn giản, tiện lợi, nhanh chóng hơn so với trước đây. - HUMAN-FAC1]]</f>
        <v>2</v>
      </c>
      <c r="N287">
        <f t="shared" si="115"/>
        <v>0.1111111111111111</v>
      </c>
      <c r="O287">
        <f>step3_validation[[#This Row],[AI_FAC2]]</f>
        <v>9</v>
      </c>
      <c r="P287">
        <f t="shared" si="116"/>
        <v>0.88888888888888884</v>
      </c>
      <c r="Q287">
        <f>[1]!survey_responses[[#This Row],[So với trước đây, tôi thấy cách tính thuế và các bậc thuế trong phương án mới đơn giản, dễ hiểu và dễ thực hiện hơn. - HUMAN-FAC2]]</f>
        <v>8</v>
      </c>
      <c r="R287">
        <f t="shared" si="117"/>
        <v>0.77777777777777779</v>
      </c>
      <c r="S287" s="32">
        <f t="shared" si="118"/>
        <v>0.77777777777777768</v>
      </c>
      <c r="T287" s="32">
        <f t="shared" si="119"/>
        <v>0.44444444444444442</v>
      </c>
      <c r="U287">
        <f>step3_validation[[#This Row],[AI_TRU1]]</f>
        <v>5</v>
      </c>
      <c r="V287">
        <f t="shared" si="120"/>
        <v>0.44444444444444442</v>
      </c>
      <c r="W287">
        <f>[1]!survey_responses[[#This Row],[Tôi tin rằng Nhà nước, cơ quan thuế sẽ thực thi chính sách mới một cách khách quan, công tâm và đối xử bình đẳng với mọi người nộp thuế.  - HUMAN-TRU1]]</f>
        <v>5</v>
      </c>
      <c r="X287">
        <f t="shared" si="121"/>
        <v>0.44444444444444442</v>
      </c>
      <c r="Y287">
        <f>step3_validation[[#This Row],[AI_TRU2]]</f>
        <v>8</v>
      </c>
      <c r="Z287">
        <f t="shared" si="122"/>
        <v>0.77777777777777779</v>
      </c>
      <c r="AA287">
        <f>[1]!survey_responses[[#This Row],[Tôi thấy mức thuế tôi phải đóng theo phương án mới là công bằng (người thu nhập như tôi đóng mức này là hợp lý). - HUMAN-TRU2]]</f>
        <v>5</v>
      </c>
      <c r="AB287">
        <f t="shared" si="123"/>
        <v>0.44444444444444442</v>
      </c>
      <c r="AC287">
        <f>step3_validation[[#This Row],[AI_TRU3]]</f>
        <v>6</v>
      </c>
      <c r="AD287">
        <f t="shared" si="124"/>
        <v>0.55555555555555558</v>
      </c>
      <c r="AE287">
        <f>[1]!survey_responses[[#This Row],[Tôi tin tưởng số tiền thuế tôi đóng sẽ được Nhà nước sử dụng hiệu quả để cải thiện dịch vụ công (y tế, đường xá...). - HUMAN-TRU3]]</f>
        <v>4</v>
      </c>
      <c r="AF287">
        <f t="shared" si="125"/>
        <v>0.33333333333333331</v>
      </c>
      <c r="AG287">
        <f>step3_validation[[#This Row],[AI_TRU4]]</f>
        <v>4</v>
      </c>
      <c r="AH287">
        <f t="shared" si="126"/>
        <v>0.33333333333333331</v>
      </c>
      <c r="AI287">
        <f>[1]!survey_responses[[#This Row],[Tôi thấy Nhà nước đã giải thích rõ ràng, minh bạch về lý do và mục tiêu của việc sửa đổi thuế lần này. - HUMAN-TRU4]]</f>
        <v>6</v>
      </c>
      <c r="AJ287">
        <f t="shared" si="127"/>
        <v>0.55555555555555558</v>
      </c>
      <c r="AK287" s="32">
        <f t="shared" si="128"/>
        <v>0.52777777777777779</v>
      </c>
      <c r="AL287" s="32">
        <f t="shared" si="129"/>
        <v>0.44444444444444442</v>
      </c>
      <c r="AM287" s="7">
        <f t="shared" si="130"/>
        <v>0.65740740740740744</v>
      </c>
      <c r="AN287" s="7">
        <f t="shared" si="131"/>
        <v>0.40740740740740738</v>
      </c>
      <c r="AO287">
        <f>step3_validation[[#This Row],[AI_OUT1]]</f>
        <v>7</v>
      </c>
      <c r="AP287">
        <f t="shared" si="132"/>
        <v>0.66666666666666663</v>
      </c>
      <c r="AQ287">
        <f>[1]!survey_responses[[#This Row],[Sau khi xem xét các quyền lợi và nghĩa vụ, bạn có ủng hộ và tuân thủ chính sách mới hiện nay? - HUMAN-OUT1]]</f>
        <v>5</v>
      </c>
      <c r="AR287">
        <f t="shared" si="133"/>
        <v>0.44444444444444442</v>
      </c>
      <c r="AS287" s="32">
        <f t="shared" si="134"/>
        <v>2</v>
      </c>
    </row>
    <row r="288" spans="1:45" x14ac:dyDescent="0.45">
      <c r="A288">
        <f>step3_validation[[#This Row],[AI_ENF1]]</f>
        <v>6</v>
      </c>
      <c r="B288">
        <f t="shared" si="108"/>
        <v>0.55555555555555558</v>
      </c>
      <c r="C288">
        <f>[1]!survey_responses[[#This Row],[Tôi tin rằng với các quy định quản lý thuế hiện nay, hành vi gian lận hoặc trốn thuế sẽ dễ dàng bị phát hiện và xử lý nghiêm. - HUMAN-ENF1]]</f>
        <v>10</v>
      </c>
      <c r="D288">
        <f t="shared" si="109"/>
        <v>1</v>
      </c>
      <c r="E288">
        <f>step3_validation[[#This Row],[AI_ENF2]]</f>
        <v>8</v>
      </c>
      <c r="F288">
        <f t="shared" si="110"/>
        <v>0.77777777777777779</v>
      </c>
      <c r="G288">
        <f>[1]!survey_responses[[#This Row],[Tôi tin rằng Nhà nước, cơ quan thuế có đủ khả năng và công nghệ để phát hiện, xử lý nghiêm các hành vi trốn thuế. - HUMAN-ENF2]]</f>
        <v>10</v>
      </c>
      <c r="H288">
        <f t="shared" si="111"/>
        <v>1</v>
      </c>
      <c r="I288" s="32">
        <f t="shared" si="112"/>
        <v>0.66666666666666674</v>
      </c>
      <c r="J288" s="32">
        <f t="shared" si="113"/>
        <v>1</v>
      </c>
      <c r="K288">
        <f>step3_validation[[#This Row],[AI_FAC1]]</f>
        <v>5</v>
      </c>
      <c r="L288">
        <f t="shared" si="114"/>
        <v>0.44444444444444442</v>
      </c>
      <c r="M288">
        <f>[1]!survey_responses[[#This Row],[Các thủ tục khai báo thuế VÀ/HOẶC quy trình làm việc với cơ quan thuế đơn giản, tiện lợi, nhanh chóng hơn so với trước đây. - HUMAN-FAC1]]</f>
        <v>7</v>
      </c>
      <c r="N288">
        <f t="shared" si="115"/>
        <v>0.66666666666666663</v>
      </c>
      <c r="O288">
        <f>step3_validation[[#This Row],[AI_FAC2]]</f>
        <v>7</v>
      </c>
      <c r="P288">
        <f t="shared" si="116"/>
        <v>0.66666666666666663</v>
      </c>
      <c r="Q288">
        <f>[1]!survey_responses[[#This Row],[So với trước đây, tôi thấy cách tính thuế và các bậc thuế trong phương án mới đơn giản, dễ hiểu và dễ thực hiện hơn. - HUMAN-FAC2]]</f>
        <v>7</v>
      </c>
      <c r="R288">
        <f t="shared" si="117"/>
        <v>0.66666666666666663</v>
      </c>
      <c r="S288" s="32">
        <f t="shared" si="118"/>
        <v>0.55555555555555558</v>
      </c>
      <c r="T288" s="32">
        <f t="shared" si="119"/>
        <v>0.66666666666666663</v>
      </c>
      <c r="U288">
        <f>step3_validation[[#This Row],[AI_TRU1]]</f>
        <v>8</v>
      </c>
      <c r="V288">
        <f t="shared" si="120"/>
        <v>0.77777777777777779</v>
      </c>
      <c r="W288">
        <f>[1]!survey_responses[[#This Row],[Tôi tin rằng Nhà nước, cơ quan thuế sẽ thực thi chính sách mới một cách khách quan, công tâm và đối xử bình đẳng với mọi người nộp thuế.  - HUMAN-TRU1]]</f>
        <v>8</v>
      </c>
      <c r="X288">
        <f t="shared" si="121"/>
        <v>0.77777777777777779</v>
      </c>
      <c r="Y288">
        <f>step3_validation[[#This Row],[AI_TRU2]]</f>
        <v>7</v>
      </c>
      <c r="Z288">
        <f t="shared" si="122"/>
        <v>0.66666666666666663</v>
      </c>
      <c r="AA288">
        <f>[1]!survey_responses[[#This Row],[Tôi thấy mức thuế tôi phải đóng theo phương án mới là công bằng (người thu nhập như tôi đóng mức này là hợp lý). - HUMAN-TRU2]]</f>
        <v>7</v>
      </c>
      <c r="AB288">
        <f t="shared" si="123"/>
        <v>0.66666666666666663</v>
      </c>
      <c r="AC288">
        <f>step3_validation[[#This Row],[AI_TRU3]]</f>
        <v>5</v>
      </c>
      <c r="AD288">
        <f t="shared" si="124"/>
        <v>0.44444444444444442</v>
      </c>
      <c r="AE288">
        <f>[1]!survey_responses[[#This Row],[Tôi tin tưởng số tiền thuế tôi đóng sẽ được Nhà nước sử dụng hiệu quả để cải thiện dịch vụ công (y tế, đường xá...). - HUMAN-TRU3]]</f>
        <v>8</v>
      </c>
      <c r="AF288">
        <f t="shared" si="125"/>
        <v>0.77777777777777779</v>
      </c>
      <c r="AG288">
        <f>step3_validation[[#This Row],[AI_TRU4]]</f>
        <v>4</v>
      </c>
      <c r="AH288">
        <f t="shared" si="126"/>
        <v>0.33333333333333331</v>
      </c>
      <c r="AI288">
        <f>[1]!survey_responses[[#This Row],[Tôi thấy Nhà nước đã giải thích rõ ràng, minh bạch về lý do và mục tiêu của việc sửa đổi thuế lần này. - HUMAN-TRU4]]</f>
        <v>8</v>
      </c>
      <c r="AJ288">
        <f t="shared" si="127"/>
        <v>0.77777777777777779</v>
      </c>
      <c r="AK288" s="32">
        <f t="shared" si="128"/>
        <v>0.55555555555555558</v>
      </c>
      <c r="AL288" s="32">
        <f t="shared" si="129"/>
        <v>0.75</v>
      </c>
      <c r="AM288" s="7">
        <f t="shared" si="130"/>
        <v>0.59259259259259267</v>
      </c>
      <c r="AN288" s="7">
        <f t="shared" si="131"/>
        <v>0.80555555555555547</v>
      </c>
      <c r="AO288">
        <f>step3_validation[[#This Row],[AI_OUT1]]</f>
        <v>5</v>
      </c>
      <c r="AP288">
        <f t="shared" si="132"/>
        <v>0.44444444444444442</v>
      </c>
      <c r="AQ288">
        <f>[1]!survey_responses[[#This Row],[Sau khi xem xét các quyền lợi và nghĩa vụ, bạn có ủng hộ và tuân thủ chính sách mới hiện nay? - HUMAN-OUT1]]</f>
        <v>8</v>
      </c>
      <c r="AR288">
        <f t="shared" si="133"/>
        <v>0.77777777777777779</v>
      </c>
      <c r="AS288" s="32">
        <f t="shared" si="134"/>
        <v>3</v>
      </c>
    </row>
    <row r="289" spans="1:45" x14ac:dyDescent="0.45">
      <c r="A289">
        <f>step3_validation[[#This Row],[AI_ENF1]]</f>
        <v>7</v>
      </c>
      <c r="B289">
        <f t="shared" si="108"/>
        <v>0.66666666666666663</v>
      </c>
      <c r="C289">
        <f>[1]!survey_responses[[#This Row],[Tôi tin rằng với các quy định quản lý thuế hiện nay, hành vi gian lận hoặc trốn thuế sẽ dễ dàng bị phát hiện và xử lý nghiêm. - HUMAN-ENF1]]</f>
        <v>8</v>
      </c>
      <c r="D289">
        <f t="shared" si="109"/>
        <v>0.77777777777777779</v>
      </c>
      <c r="E289">
        <f>step3_validation[[#This Row],[AI_ENF2]]</f>
        <v>8</v>
      </c>
      <c r="F289">
        <f t="shared" si="110"/>
        <v>0.77777777777777779</v>
      </c>
      <c r="G289">
        <f>[1]!survey_responses[[#This Row],[Tôi tin rằng Nhà nước, cơ quan thuế có đủ khả năng và công nghệ để phát hiện, xử lý nghiêm các hành vi trốn thuế. - HUMAN-ENF2]]</f>
        <v>8</v>
      </c>
      <c r="H289">
        <f t="shared" si="111"/>
        <v>0.77777777777777779</v>
      </c>
      <c r="I289" s="32">
        <f t="shared" si="112"/>
        <v>0.72222222222222221</v>
      </c>
      <c r="J289" s="32">
        <f t="shared" si="113"/>
        <v>0.77777777777777779</v>
      </c>
      <c r="K289">
        <f>step3_validation[[#This Row],[AI_FAC1]]</f>
        <v>6</v>
      </c>
      <c r="L289">
        <f t="shared" si="114"/>
        <v>0.55555555555555558</v>
      </c>
      <c r="M289">
        <f>[1]!survey_responses[[#This Row],[Các thủ tục khai báo thuế VÀ/HOẶC quy trình làm việc với cơ quan thuế đơn giản, tiện lợi, nhanh chóng hơn so với trước đây. - HUMAN-FAC1]]</f>
        <v>5</v>
      </c>
      <c r="N289">
        <f t="shared" si="115"/>
        <v>0.44444444444444442</v>
      </c>
      <c r="O289">
        <f>step3_validation[[#This Row],[AI_FAC2]]</f>
        <v>7</v>
      </c>
      <c r="P289">
        <f t="shared" si="116"/>
        <v>0.66666666666666663</v>
      </c>
      <c r="Q289">
        <f>[1]!survey_responses[[#This Row],[So với trước đây, tôi thấy cách tính thuế và các bậc thuế trong phương án mới đơn giản, dễ hiểu và dễ thực hiện hơn. - HUMAN-FAC2]]</f>
        <v>9</v>
      </c>
      <c r="R289">
        <f t="shared" si="117"/>
        <v>0.88888888888888884</v>
      </c>
      <c r="S289" s="32">
        <f t="shared" si="118"/>
        <v>0.61111111111111116</v>
      </c>
      <c r="T289" s="32">
        <f t="shared" si="119"/>
        <v>0.66666666666666663</v>
      </c>
      <c r="U289">
        <f>step3_validation[[#This Row],[AI_TRU1]]</f>
        <v>6</v>
      </c>
      <c r="V289">
        <f t="shared" si="120"/>
        <v>0.55555555555555558</v>
      </c>
      <c r="W289">
        <f>[1]!survey_responses[[#This Row],[Tôi tin rằng Nhà nước, cơ quan thuế sẽ thực thi chính sách mới một cách khách quan, công tâm và đối xử bình đẳng với mọi người nộp thuế.  - HUMAN-TRU1]]</f>
        <v>10</v>
      </c>
      <c r="X289">
        <f t="shared" si="121"/>
        <v>1</v>
      </c>
      <c r="Y289">
        <f>step3_validation[[#This Row],[AI_TRU2]]</f>
        <v>5</v>
      </c>
      <c r="Z289">
        <f t="shared" si="122"/>
        <v>0.44444444444444442</v>
      </c>
      <c r="AA289">
        <f>[1]!survey_responses[[#This Row],[Tôi thấy mức thuế tôi phải đóng theo phương án mới là công bằng (người thu nhập như tôi đóng mức này là hợp lý). - HUMAN-TRU2]]</f>
        <v>10</v>
      </c>
      <c r="AB289">
        <f t="shared" si="123"/>
        <v>1</v>
      </c>
      <c r="AC289">
        <f>step3_validation[[#This Row],[AI_TRU3]]</f>
        <v>6</v>
      </c>
      <c r="AD289">
        <f t="shared" si="124"/>
        <v>0.55555555555555558</v>
      </c>
      <c r="AE289">
        <f>[1]!survey_responses[[#This Row],[Tôi tin tưởng số tiền thuế tôi đóng sẽ được Nhà nước sử dụng hiệu quả để cải thiện dịch vụ công (y tế, đường xá...). - HUMAN-TRU3]]</f>
        <v>9</v>
      </c>
      <c r="AF289">
        <f t="shared" si="125"/>
        <v>0.88888888888888884</v>
      </c>
      <c r="AG289">
        <f>step3_validation[[#This Row],[AI_TRU4]]</f>
        <v>5</v>
      </c>
      <c r="AH289">
        <f t="shared" si="126"/>
        <v>0.44444444444444442</v>
      </c>
      <c r="AI289">
        <f>[1]!survey_responses[[#This Row],[Tôi thấy Nhà nước đã giải thích rõ ràng, minh bạch về lý do và mục tiêu của việc sửa đổi thuế lần này. - HUMAN-TRU4]]</f>
        <v>9</v>
      </c>
      <c r="AJ289">
        <f t="shared" si="127"/>
        <v>0.88888888888888884</v>
      </c>
      <c r="AK289" s="32">
        <f t="shared" si="128"/>
        <v>0.5</v>
      </c>
      <c r="AL289" s="32">
        <f t="shared" si="129"/>
        <v>0.94444444444444442</v>
      </c>
      <c r="AM289" s="7">
        <f t="shared" si="130"/>
        <v>0.61111111111111116</v>
      </c>
      <c r="AN289" s="7">
        <f t="shared" si="131"/>
        <v>0.79629629629629628</v>
      </c>
      <c r="AO289">
        <f>step3_validation[[#This Row],[AI_OUT1]]</f>
        <v>6</v>
      </c>
      <c r="AP289">
        <f t="shared" si="132"/>
        <v>0.55555555555555558</v>
      </c>
      <c r="AQ289">
        <f>[1]!survey_responses[[#This Row],[Sau khi xem xét các quyền lợi và nghĩa vụ, bạn có ủng hộ và tuân thủ chính sách mới hiện nay? - HUMAN-OUT1]]</f>
        <v>10</v>
      </c>
      <c r="AR289">
        <f t="shared" si="133"/>
        <v>1</v>
      </c>
      <c r="AS289" s="32">
        <f t="shared" si="134"/>
        <v>4</v>
      </c>
    </row>
    <row r="290" spans="1:45" x14ac:dyDescent="0.45">
      <c r="A290">
        <f>step3_validation[[#This Row],[AI_ENF1]]</f>
        <v>7</v>
      </c>
      <c r="B290">
        <f t="shared" si="108"/>
        <v>0.66666666666666663</v>
      </c>
      <c r="C290">
        <f>[1]!survey_responses[[#This Row],[Tôi tin rằng với các quy định quản lý thuế hiện nay, hành vi gian lận hoặc trốn thuế sẽ dễ dàng bị phát hiện và xử lý nghiêm. - HUMAN-ENF1]]</f>
        <v>7</v>
      </c>
      <c r="D290">
        <f t="shared" si="109"/>
        <v>0.66666666666666663</v>
      </c>
      <c r="E290">
        <f>step3_validation[[#This Row],[AI_ENF2]]</f>
        <v>6</v>
      </c>
      <c r="F290">
        <f t="shared" si="110"/>
        <v>0.55555555555555558</v>
      </c>
      <c r="G290">
        <f>[1]!survey_responses[[#This Row],[Tôi tin rằng Nhà nước, cơ quan thuế có đủ khả năng và công nghệ để phát hiện, xử lý nghiêm các hành vi trốn thuế. - HUMAN-ENF2]]</f>
        <v>7</v>
      </c>
      <c r="H290">
        <f t="shared" si="111"/>
        <v>0.66666666666666663</v>
      </c>
      <c r="I290" s="32">
        <f t="shared" si="112"/>
        <v>0.61111111111111116</v>
      </c>
      <c r="J290" s="32">
        <f t="shared" si="113"/>
        <v>0.66666666666666663</v>
      </c>
      <c r="K290">
        <f>step3_validation[[#This Row],[AI_FAC1]]</f>
        <v>4</v>
      </c>
      <c r="L290">
        <f t="shared" si="114"/>
        <v>0.33333333333333331</v>
      </c>
      <c r="M290">
        <f>[1]!survey_responses[[#This Row],[Các thủ tục khai báo thuế VÀ/HOẶC quy trình làm việc với cơ quan thuế đơn giản, tiện lợi, nhanh chóng hơn so với trước đây. - HUMAN-FAC1]]</f>
        <v>5</v>
      </c>
      <c r="N290">
        <f t="shared" si="115"/>
        <v>0.44444444444444442</v>
      </c>
      <c r="O290">
        <f>step3_validation[[#This Row],[AI_FAC2]]</f>
        <v>8</v>
      </c>
      <c r="P290">
        <f t="shared" si="116"/>
        <v>0.77777777777777779</v>
      </c>
      <c r="Q290">
        <f>[1]!survey_responses[[#This Row],[So với trước đây, tôi thấy cách tính thuế và các bậc thuế trong phương án mới đơn giản, dễ hiểu và dễ thực hiện hơn. - HUMAN-FAC2]]</f>
        <v>6</v>
      </c>
      <c r="R290">
        <f t="shared" si="117"/>
        <v>0.55555555555555558</v>
      </c>
      <c r="S290" s="32">
        <f t="shared" si="118"/>
        <v>0.55555555555555558</v>
      </c>
      <c r="T290" s="32">
        <f t="shared" si="119"/>
        <v>0.5</v>
      </c>
      <c r="U290">
        <f>step3_validation[[#This Row],[AI_TRU1]]</f>
        <v>5</v>
      </c>
      <c r="V290">
        <f t="shared" si="120"/>
        <v>0.44444444444444442</v>
      </c>
      <c r="W290">
        <f>[1]!survey_responses[[#This Row],[Tôi tin rằng Nhà nước, cơ quan thuế sẽ thực thi chính sách mới một cách khách quan, công tâm và đối xử bình đẳng với mọi người nộp thuế.  - HUMAN-TRU1]]</f>
        <v>5</v>
      </c>
      <c r="X290">
        <f t="shared" si="121"/>
        <v>0.44444444444444442</v>
      </c>
      <c r="Y290">
        <f>step3_validation[[#This Row],[AI_TRU2]]</f>
        <v>6</v>
      </c>
      <c r="Z290">
        <f t="shared" si="122"/>
        <v>0.55555555555555558</v>
      </c>
      <c r="AA290">
        <f>[1]!survey_responses[[#This Row],[Tôi thấy mức thuế tôi phải đóng theo phương án mới là công bằng (người thu nhập như tôi đóng mức này là hợp lý). - HUMAN-TRU2]]</f>
        <v>5</v>
      </c>
      <c r="AB290">
        <f t="shared" si="123"/>
        <v>0.44444444444444442</v>
      </c>
      <c r="AC290">
        <f>step3_validation[[#This Row],[AI_TRU3]]</f>
        <v>4</v>
      </c>
      <c r="AD290">
        <f t="shared" si="124"/>
        <v>0.33333333333333331</v>
      </c>
      <c r="AE290">
        <f>[1]!survey_responses[[#This Row],[Tôi tin tưởng số tiền thuế tôi đóng sẽ được Nhà nước sử dụng hiệu quả để cải thiện dịch vụ công (y tế, đường xá...). - HUMAN-TRU3]]</f>
        <v>5</v>
      </c>
      <c r="AF290">
        <f t="shared" si="125"/>
        <v>0.44444444444444442</v>
      </c>
      <c r="AG290">
        <f>step3_validation[[#This Row],[AI_TRU4]]</f>
        <v>5</v>
      </c>
      <c r="AH290">
        <f t="shared" si="126"/>
        <v>0.44444444444444442</v>
      </c>
      <c r="AI290">
        <f>[1]!survey_responses[[#This Row],[Tôi thấy Nhà nước đã giải thích rõ ràng, minh bạch về lý do và mục tiêu của việc sửa đổi thuế lần này. - HUMAN-TRU4]]</f>
        <v>5</v>
      </c>
      <c r="AJ290">
        <f t="shared" si="127"/>
        <v>0.44444444444444442</v>
      </c>
      <c r="AK290" s="32">
        <f t="shared" si="128"/>
        <v>0.44444444444444442</v>
      </c>
      <c r="AL290" s="32">
        <f t="shared" si="129"/>
        <v>0.44444444444444442</v>
      </c>
      <c r="AM290" s="7">
        <f t="shared" si="130"/>
        <v>0.53703703703703709</v>
      </c>
      <c r="AN290" s="7">
        <f t="shared" si="131"/>
        <v>0.53703703703703698</v>
      </c>
      <c r="AO290">
        <f>step3_validation[[#This Row],[AI_OUT1]]</f>
        <v>7</v>
      </c>
      <c r="AP290">
        <f t="shared" si="132"/>
        <v>0.66666666666666663</v>
      </c>
      <c r="AQ290">
        <f>[1]!survey_responses[[#This Row],[Sau khi xem xét các quyền lợi và nghĩa vụ, bạn có ủng hộ và tuân thủ chính sách mới hiện nay? - HUMAN-OUT1]]</f>
        <v>6</v>
      </c>
      <c r="AR290">
        <f t="shared" si="133"/>
        <v>0.55555555555555558</v>
      </c>
      <c r="AS290" s="32">
        <f t="shared" si="134"/>
        <v>1</v>
      </c>
    </row>
    <row r="291" spans="1:45" x14ac:dyDescent="0.45">
      <c r="A291">
        <f>step3_validation[[#This Row],[AI_ENF1]]</f>
        <v>7</v>
      </c>
      <c r="B291">
        <f t="shared" si="108"/>
        <v>0.66666666666666663</v>
      </c>
      <c r="C291">
        <f>[1]!survey_responses[[#This Row],[Tôi tin rằng với các quy định quản lý thuế hiện nay, hành vi gian lận hoặc trốn thuế sẽ dễ dàng bị phát hiện và xử lý nghiêm. - HUMAN-ENF1]]</f>
        <v>8</v>
      </c>
      <c r="D291">
        <f t="shared" si="109"/>
        <v>0.77777777777777779</v>
      </c>
      <c r="E291">
        <f>step3_validation[[#This Row],[AI_ENF2]]</f>
        <v>6</v>
      </c>
      <c r="F291">
        <f t="shared" si="110"/>
        <v>0.55555555555555558</v>
      </c>
      <c r="G291">
        <f>[1]!survey_responses[[#This Row],[Tôi tin rằng Nhà nước, cơ quan thuế có đủ khả năng và công nghệ để phát hiện, xử lý nghiêm các hành vi trốn thuế. - HUMAN-ENF2]]</f>
        <v>8</v>
      </c>
      <c r="H291">
        <f t="shared" si="111"/>
        <v>0.77777777777777779</v>
      </c>
      <c r="I291" s="32">
        <f t="shared" si="112"/>
        <v>0.61111111111111116</v>
      </c>
      <c r="J291" s="32">
        <f t="shared" si="113"/>
        <v>0.77777777777777779</v>
      </c>
      <c r="K291">
        <f>step3_validation[[#This Row],[AI_FAC1]]</f>
        <v>8</v>
      </c>
      <c r="L291">
        <f t="shared" si="114"/>
        <v>0.77777777777777779</v>
      </c>
      <c r="M291">
        <f>[1]!survey_responses[[#This Row],[Các thủ tục khai báo thuế VÀ/HOẶC quy trình làm việc với cơ quan thuế đơn giản, tiện lợi, nhanh chóng hơn so với trước đây. - HUMAN-FAC1]]</f>
        <v>8</v>
      </c>
      <c r="N291">
        <f t="shared" si="115"/>
        <v>0.77777777777777779</v>
      </c>
      <c r="O291">
        <f>step3_validation[[#This Row],[AI_FAC2]]</f>
        <v>9</v>
      </c>
      <c r="P291">
        <f t="shared" si="116"/>
        <v>0.88888888888888884</v>
      </c>
      <c r="Q291">
        <f>[1]!survey_responses[[#This Row],[So với trước đây, tôi thấy cách tính thuế và các bậc thuế trong phương án mới đơn giản, dễ hiểu và dễ thực hiện hơn. - HUMAN-FAC2]]</f>
        <v>8</v>
      </c>
      <c r="R291">
        <f t="shared" si="117"/>
        <v>0.77777777777777779</v>
      </c>
      <c r="S291" s="32">
        <f t="shared" si="118"/>
        <v>0.83333333333333326</v>
      </c>
      <c r="T291" s="32">
        <f t="shared" si="119"/>
        <v>0.77777777777777779</v>
      </c>
      <c r="U291">
        <f>step3_validation[[#This Row],[AI_TRU1]]</f>
        <v>7</v>
      </c>
      <c r="V291">
        <f t="shared" si="120"/>
        <v>0.66666666666666663</v>
      </c>
      <c r="W291">
        <f>[1]!survey_responses[[#This Row],[Tôi tin rằng Nhà nước, cơ quan thuế sẽ thực thi chính sách mới một cách khách quan, công tâm và đối xử bình đẳng với mọi người nộp thuế.  - HUMAN-TRU1]]</f>
        <v>8</v>
      </c>
      <c r="X291">
        <f t="shared" si="121"/>
        <v>0.77777777777777779</v>
      </c>
      <c r="Y291">
        <f>step3_validation[[#This Row],[AI_TRU2]]</f>
        <v>8</v>
      </c>
      <c r="Z291">
        <f t="shared" si="122"/>
        <v>0.77777777777777779</v>
      </c>
      <c r="AA291">
        <f>[1]!survey_responses[[#This Row],[Tôi thấy mức thuế tôi phải đóng theo phương án mới là công bằng (người thu nhập như tôi đóng mức này là hợp lý). - HUMAN-TRU2]]</f>
        <v>8</v>
      </c>
      <c r="AB291">
        <f t="shared" si="123"/>
        <v>0.77777777777777779</v>
      </c>
      <c r="AC291">
        <f>step3_validation[[#This Row],[AI_TRU3]]</f>
        <v>6</v>
      </c>
      <c r="AD291">
        <f t="shared" si="124"/>
        <v>0.55555555555555558</v>
      </c>
      <c r="AE291">
        <f>[1]!survey_responses[[#This Row],[Tôi tin tưởng số tiền thuế tôi đóng sẽ được Nhà nước sử dụng hiệu quả để cải thiện dịch vụ công (y tế, đường xá...). - HUMAN-TRU3]]</f>
        <v>8</v>
      </c>
      <c r="AF291">
        <f t="shared" si="125"/>
        <v>0.77777777777777779</v>
      </c>
      <c r="AG291">
        <f>step3_validation[[#This Row],[AI_TRU4]]</f>
        <v>5</v>
      </c>
      <c r="AH291">
        <f t="shared" si="126"/>
        <v>0.44444444444444442</v>
      </c>
      <c r="AI291">
        <f>[1]!survey_responses[[#This Row],[Tôi thấy Nhà nước đã giải thích rõ ràng, minh bạch về lý do và mục tiêu của việc sửa đổi thuế lần này. - HUMAN-TRU4]]</f>
        <v>8</v>
      </c>
      <c r="AJ291">
        <f t="shared" si="127"/>
        <v>0.77777777777777779</v>
      </c>
      <c r="AK291" s="32">
        <f t="shared" si="128"/>
        <v>0.61111111111111116</v>
      </c>
      <c r="AL291" s="32">
        <f t="shared" si="129"/>
        <v>0.77777777777777779</v>
      </c>
      <c r="AM291" s="7">
        <f t="shared" si="130"/>
        <v>0.68518518518518512</v>
      </c>
      <c r="AN291" s="7">
        <f t="shared" si="131"/>
        <v>0.77777777777777779</v>
      </c>
      <c r="AO291">
        <f>step3_validation[[#This Row],[AI_OUT1]]</f>
        <v>8</v>
      </c>
      <c r="AP291">
        <f t="shared" si="132"/>
        <v>0.77777777777777779</v>
      </c>
      <c r="AQ291">
        <f>[1]!survey_responses[[#This Row],[Sau khi xem xét các quyền lợi và nghĩa vụ, bạn có ủng hộ và tuân thủ chính sách mới hiện nay? - HUMAN-OUT1]]</f>
        <v>8</v>
      </c>
      <c r="AR291">
        <f t="shared" si="133"/>
        <v>0.77777777777777779</v>
      </c>
      <c r="AS291" s="32">
        <f t="shared" si="134"/>
        <v>0</v>
      </c>
    </row>
    <row r="292" spans="1:45" x14ac:dyDescent="0.45">
      <c r="A292">
        <f>step3_validation[[#This Row],[AI_ENF1]]</f>
        <v>8</v>
      </c>
      <c r="B292">
        <f t="shared" si="108"/>
        <v>0.77777777777777779</v>
      </c>
      <c r="C292">
        <f>[1]!survey_responses[[#This Row],[Tôi tin rằng với các quy định quản lý thuế hiện nay, hành vi gian lận hoặc trốn thuế sẽ dễ dàng bị phát hiện và xử lý nghiêm. - HUMAN-ENF1]]</f>
        <v>9</v>
      </c>
      <c r="D292">
        <f t="shared" si="109"/>
        <v>0.88888888888888884</v>
      </c>
      <c r="E292">
        <f>step3_validation[[#This Row],[AI_ENF2]]</f>
        <v>7</v>
      </c>
      <c r="F292">
        <f t="shared" si="110"/>
        <v>0.66666666666666663</v>
      </c>
      <c r="G292">
        <f>[1]!survey_responses[[#This Row],[Tôi tin rằng Nhà nước, cơ quan thuế có đủ khả năng và công nghệ để phát hiện, xử lý nghiêm các hành vi trốn thuế. - HUMAN-ENF2]]</f>
        <v>9</v>
      </c>
      <c r="H292">
        <f t="shared" si="111"/>
        <v>0.88888888888888884</v>
      </c>
      <c r="I292" s="32">
        <f t="shared" si="112"/>
        <v>0.72222222222222221</v>
      </c>
      <c r="J292" s="32">
        <f t="shared" si="113"/>
        <v>0.88888888888888884</v>
      </c>
      <c r="K292">
        <f>step3_validation[[#This Row],[AI_FAC1]]</f>
        <v>6</v>
      </c>
      <c r="L292">
        <f t="shared" si="114"/>
        <v>0.55555555555555558</v>
      </c>
      <c r="M292">
        <f>[1]!survey_responses[[#This Row],[Các thủ tục khai báo thuế VÀ/HOẶC quy trình làm việc với cơ quan thuế đơn giản, tiện lợi, nhanh chóng hơn so với trước đây. - HUMAN-FAC1]]</f>
        <v>3</v>
      </c>
      <c r="N292">
        <f t="shared" si="115"/>
        <v>0.22222222222222221</v>
      </c>
      <c r="O292">
        <f>step3_validation[[#This Row],[AI_FAC2]]</f>
        <v>8</v>
      </c>
      <c r="P292">
        <f t="shared" si="116"/>
        <v>0.77777777777777779</v>
      </c>
      <c r="Q292">
        <f>[1]!survey_responses[[#This Row],[So với trước đây, tôi thấy cách tính thuế và các bậc thuế trong phương án mới đơn giản, dễ hiểu và dễ thực hiện hơn. - HUMAN-FAC2]]</f>
        <v>10</v>
      </c>
      <c r="R292">
        <f t="shared" si="117"/>
        <v>1</v>
      </c>
      <c r="S292" s="32">
        <f t="shared" si="118"/>
        <v>0.66666666666666674</v>
      </c>
      <c r="T292" s="32">
        <f t="shared" si="119"/>
        <v>0.61111111111111116</v>
      </c>
      <c r="U292">
        <f>step3_validation[[#This Row],[AI_TRU1]]</f>
        <v>9</v>
      </c>
      <c r="V292">
        <f t="shared" si="120"/>
        <v>0.88888888888888884</v>
      </c>
      <c r="W292">
        <f>[1]!survey_responses[[#This Row],[Tôi tin rằng Nhà nước, cơ quan thuế sẽ thực thi chính sách mới một cách khách quan, công tâm và đối xử bình đẳng với mọi người nộp thuế.  - HUMAN-TRU1]]</f>
        <v>8</v>
      </c>
      <c r="X292">
        <f t="shared" si="121"/>
        <v>0.77777777777777779</v>
      </c>
      <c r="Y292">
        <f>step3_validation[[#This Row],[AI_TRU2]]</f>
        <v>8</v>
      </c>
      <c r="Z292">
        <f t="shared" si="122"/>
        <v>0.77777777777777779</v>
      </c>
      <c r="AA292">
        <f>[1]!survey_responses[[#This Row],[Tôi thấy mức thuế tôi phải đóng theo phương án mới là công bằng (người thu nhập như tôi đóng mức này là hợp lý). - HUMAN-TRU2]]</f>
        <v>8</v>
      </c>
      <c r="AB292">
        <f t="shared" si="123"/>
        <v>0.77777777777777779</v>
      </c>
      <c r="AC292">
        <f>step3_validation[[#This Row],[AI_TRU3]]</f>
        <v>7</v>
      </c>
      <c r="AD292">
        <f t="shared" si="124"/>
        <v>0.66666666666666663</v>
      </c>
      <c r="AE292">
        <f>[1]!survey_responses[[#This Row],[Tôi tin tưởng số tiền thuế tôi đóng sẽ được Nhà nước sử dụng hiệu quả để cải thiện dịch vụ công (y tế, đường xá...). - HUMAN-TRU3]]</f>
        <v>6</v>
      </c>
      <c r="AF292">
        <f t="shared" si="125"/>
        <v>0.55555555555555558</v>
      </c>
      <c r="AG292">
        <f>step3_validation[[#This Row],[AI_TRU4]]</f>
        <v>9</v>
      </c>
      <c r="AH292">
        <f t="shared" si="126"/>
        <v>0.88888888888888884</v>
      </c>
      <c r="AI292">
        <f>[1]!survey_responses[[#This Row],[Tôi thấy Nhà nước đã giải thích rõ ràng, minh bạch về lý do và mục tiêu của việc sửa đổi thuế lần này. - HUMAN-TRU4]]</f>
        <v>8</v>
      </c>
      <c r="AJ292">
        <f t="shared" si="127"/>
        <v>0.77777777777777779</v>
      </c>
      <c r="AK292" s="32">
        <f t="shared" si="128"/>
        <v>0.80555555555555547</v>
      </c>
      <c r="AL292" s="32">
        <f t="shared" si="129"/>
        <v>0.72222222222222221</v>
      </c>
      <c r="AM292" s="7">
        <f t="shared" si="130"/>
        <v>0.7314814814814814</v>
      </c>
      <c r="AN292" s="7">
        <f t="shared" si="131"/>
        <v>0.74074074074074081</v>
      </c>
      <c r="AO292">
        <f>step3_validation[[#This Row],[AI_OUT1]]</f>
        <v>6</v>
      </c>
      <c r="AP292">
        <f t="shared" si="132"/>
        <v>0.55555555555555558</v>
      </c>
      <c r="AQ292">
        <f>[1]!survey_responses[[#This Row],[Sau khi xem xét các quyền lợi và nghĩa vụ, bạn có ủng hộ và tuân thủ chính sách mới hiện nay? - HUMAN-OUT1]]</f>
        <v>8</v>
      </c>
      <c r="AR292">
        <f t="shared" si="133"/>
        <v>0.77777777777777779</v>
      </c>
      <c r="AS292" s="32">
        <f t="shared" si="134"/>
        <v>2</v>
      </c>
    </row>
    <row r="293" spans="1:45" x14ac:dyDescent="0.45">
      <c r="A293">
        <f>step3_validation[[#This Row],[AI_ENF1]]</f>
        <v>6</v>
      </c>
      <c r="B293">
        <f t="shared" si="108"/>
        <v>0.55555555555555558</v>
      </c>
      <c r="C293">
        <f>[1]!survey_responses[[#This Row],[Tôi tin rằng với các quy định quản lý thuế hiện nay, hành vi gian lận hoặc trốn thuế sẽ dễ dàng bị phát hiện và xử lý nghiêm. - HUMAN-ENF1]]</f>
        <v>6</v>
      </c>
      <c r="D293">
        <f t="shared" si="109"/>
        <v>0.55555555555555558</v>
      </c>
      <c r="E293">
        <f>step3_validation[[#This Row],[AI_ENF2]]</f>
        <v>7</v>
      </c>
      <c r="F293">
        <f t="shared" si="110"/>
        <v>0.66666666666666663</v>
      </c>
      <c r="G293">
        <f>[1]!survey_responses[[#This Row],[Tôi tin rằng Nhà nước, cơ quan thuế có đủ khả năng và công nghệ để phát hiện, xử lý nghiêm các hành vi trốn thuế. - HUMAN-ENF2]]</f>
        <v>6</v>
      </c>
      <c r="H293">
        <f t="shared" si="111"/>
        <v>0.55555555555555558</v>
      </c>
      <c r="I293" s="32">
        <f t="shared" si="112"/>
        <v>0.61111111111111116</v>
      </c>
      <c r="J293" s="32">
        <f t="shared" si="113"/>
        <v>0.55555555555555558</v>
      </c>
      <c r="K293">
        <f>step3_validation[[#This Row],[AI_FAC1]]</f>
        <v>8</v>
      </c>
      <c r="L293">
        <f t="shared" si="114"/>
        <v>0.77777777777777779</v>
      </c>
      <c r="M293">
        <f>[1]!survey_responses[[#This Row],[Các thủ tục khai báo thuế VÀ/HOẶC quy trình làm việc với cơ quan thuế đơn giản, tiện lợi, nhanh chóng hơn so với trước đây. - HUMAN-FAC1]]</f>
        <v>1</v>
      </c>
      <c r="N293">
        <f t="shared" si="115"/>
        <v>0</v>
      </c>
      <c r="O293">
        <f>step3_validation[[#This Row],[AI_FAC2]]</f>
        <v>7</v>
      </c>
      <c r="P293">
        <f t="shared" si="116"/>
        <v>0.66666666666666663</v>
      </c>
      <c r="Q293">
        <f>[1]!survey_responses[[#This Row],[So với trước đây, tôi thấy cách tính thuế và các bậc thuế trong phương án mới đơn giản, dễ hiểu và dễ thực hiện hơn. - HUMAN-FAC2]]</f>
        <v>6</v>
      </c>
      <c r="R293">
        <f t="shared" si="117"/>
        <v>0.55555555555555558</v>
      </c>
      <c r="S293" s="32">
        <f t="shared" si="118"/>
        <v>0.72222222222222221</v>
      </c>
      <c r="T293" s="32">
        <f t="shared" si="119"/>
        <v>0.27777777777777779</v>
      </c>
      <c r="U293">
        <f>step3_validation[[#This Row],[AI_TRU1]]</f>
        <v>6</v>
      </c>
      <c r="V293">
        <f t="shared" si="120"/>
        <v>0.55555555555555558</v>
      </c>
      <c r="W293">
        <f>[1]!survey_responses[[#This Row],[Tôi tin rằng Nhà nước, cơ quan thuế sẽ thực thi chính sách mới một cách khách quan, công tâm và đối xử bình đẳng với mọi người nộp thuế.  - HUMAN-TRU1]]</f>
        <v>5</v>
      </c>
      <c r="X293">
        <f t="shared" si="121"/>
        <v>0.44444444444444442</v>
      </c>
      <c r="Y293">
        <f>step3_validation[[#This Row],[AI_TRU2]]</f>
        <v>8</v>
      </c>
      <c r="Z293">
        <f t="shared" si="122"/>
        <v>0.77777777777777779</v>
      </c>
      <c r="AA293">
        <f>[1]!survey_responses[[#This Row],[Tôi thấy mức thuế tôi phải đóng theo phương án mới là công bằng (người thu nhập như tôi đóng mức này là hợp lý). - HUMAN-TRU2]]</f>
        <v>6</v>
      </c>
      <c r="AB293">
        <f t="shared" si="123"/>
        <v>0.55555555555555558</v>
      </c>
      <c r="AC293">
        <f>step3_validation[[#This Row],[AI_TRU3]]</f>
        <v>6</v>
      </c>
      <c r="AD293">
        <f t="shared" si="124"/>
        <v>0.55555555555555558</v>
      </c>
      <c r="AE293">
        <f>[1]!survey_responses[[#This Row],[Tôi tin tưởng số tiền thuế tôi đóng sẽ được Nhà nước sử dụng hiệu quả để cải thiện dịch vụ công (y tế, đường xá...). - HUMAN-TRU3]]</f>
        <v>5</v>
      </c>
      <c r="AF293">
        <f t="shared" si="125"/>
        <v>0.44444444444444442</v>
      </c>
      <c r="AG293">
        <f>step3_validation[[#This Row],[AI_TRU4]]</f>
        <v>5</v>
      </c>
      <c r="AH293">
        <f t="shared" si="126"/>
        <v>0.44444444444444442</v>
      </c>
      <c r="AI293">
        <f>[1]!survey_responses[[#This Row],[Tôi thấy Nhà nước đã giải thích rõ ràng, minh bạch về lý do và mục tiêu của việc sửa đổi thuế lần này. - HUMAN-TRU4]]</f>
        <v>6</v>
      </c>
      <c r="AJ293">
        <f t="shared" si="127"/>
        <v>0.55555555555555558</v>
      </c>
      <c r="AK293" s="32">
        <f t="shared" si="128"/>
        <v>0.58333333333333337</v>
      </c>
      <c r="AL293" s="32">
        <f t="shared" si="129"/>
        <v>0.5</v>
      </c>
      <c r="AM293" s="7">
        <f t="shared" si="130"/>
        <v>0.63888888888888895</v>
      </c>
      <c r="AN293" s="7">
        <f t="shared" si="131"/>
        <v>0.44444444444444448</v>
      </c>
      <c r="AO293">
        <f>step3_validation[[#This Row],[AI_OUT1]]</f>
        <v>7</v>
      </c>
      <c r="AP293">
        <f t="shared" si="132"/>
        <v>0.66666666666666663</v>
      </c>
      <c r="AQ293">
        <f>[1]!survey_responses[[#This Row],[Sau khi xem xét các quyền lợi và nghĩa vụ, bạn có ủng hộ và tuân thủ chính sách mới hiện nay? - HUMAN-OUT1]]</f>
        <v>6</v>
      </c>
      <c r="AR293">
        <f t="shared" si="133"/>
        <v>0.55555555555555558</v>
      </c>
      <c r="AS293" s="32">
        <f t="shared" si="134"/>
        <v>1</v>
      </c>
    </row>
    <row r="294" spans="1:45" x14ac:dyDescent="0.45">
      <c r="A294">
        <f>step3_validation[[#This Row],[AI_ENF1]]</f>
        <v>6</v>
      </c>
      <c r="B294">
        <f t="shared" si="108"/>
        <v>0.55555555555555558</v>
      </c>
      <c r="C294">
        <f>[1]!survey_responses[[#This Row],[Tôi tin rằng với các quy định quản lý thuế hiện nay, hành vi gian lận hoặc trốn thuế sẽ dễ dàng bị phát hiện và xử lý nghiêm. - HUMAN-ENF1]]</f>
        <v>8</v>
      </c>
      <c r="D294">
        <f t="shared" si="109"/>
        <v>0.77777777777777779</v>
      </c>
      <c r="E294">
        <f>step3_validation[[#This Row],[AI_ENF2]]</f>
        <v>7</v>
      </c>
      <c r="F294">
        <f t="shared" si="110"/>
        <v>0.66666666666666663</v>
      </c>
      <c r="G294">
        <f>[1]!survey_responses[[#This Row],[Tôi tin rằng Nhà nước, cơ quan thuế có đủ khả năng và công nghệ để phát hiện, xử lý nghiêm các hành vi trốn thuế. - HUMAN-ENF2]]</f>
        <v>8</v>
      </c>
      <c r="H294">
        <f t="shared" si="111"/>
        <v>0.77777777777777779</v>
      </c>
      <c r="I294" s="32">
        <f t="shared" si="112"/>
        <v>0.61111111111111116</v>
      </c>
      <c r="J294" s="32">
        <f t="shared" si="113"/>
        <v>0.77777777777777779</v>
      </c>
      <c r="K294">
        <f>step3_validation[[#This Row],[AI_FAC1]]</f>
        <v>8</v>
      </c>
      <c r="L294">
        <f t="shared" si="114"/>
        <v>0.77777777777777779</v>
      </c>
      <c r="M294">
        <f>[1]!survey_responses[[#This Row],[Các thủ tục khai báo thuế VÀ/HOẶC quy trình làm việc với cơ quan thuế đơn giản, tiện lợi, nhanh chóng hơn so với trước đây. - HUMAN-FAC1]]</f>
        <v>5</v>
      </c>
      <c r="N294">
        <f t="shared" si="115"/>
        <v>0.44444444444444442</v>
      </c>
      <c r="O294">
        <f>step3_validation[[#This Row],[AI_FAC2]]</f>
        <v>7</v>
      </c>
      <c r="P294">
        <f t="shared" si="116"/>
        <v>0.66666666666666663</v>
      </c>
      <c r="Q294">
        <f>[1]!survey_responses[[#This Row],[So với trước đây, tôi thấy cách tính thuế và các bậc thuế trong phương án mới đơn giản, dễ hiểu và dễ thực hiện hơn. - HUMAN-FAC2]]</f>
        <v>8</v>
      </c>
      <c r="R294">
        <f t="shared" si="117"/>
        <v>0.77777777777777779</v>
      </c>
      <c r="S294" s="32">
        <f t="shared" si="118"/>
        <v>0.72222222222222221</v>
      </c>
      <c r="T294" s="32">
        <f t="shared" si="119"/>
        <v>0.61111111111111116</v>
      </c>
      <c r="U294">
        <f>step3_validation[[#This Row],[AI_TRU1]]</f>
        <v>8</v>
      </c>
      <c r="V294">
        <f t="shared" si="120"/>
        <v>0.77777777777777779</v>
      </c>
      <c r="W294">
        <f>[1]!survey_responses[[#This Row],[Tôi tin rằng Nhà nước, cơ quan thuế sẽ thực thi chính sách mới một cách khách quan, công tâm và đối xử bình đẳng với mọi người nộp thuế.  - HUMAN-TRU1]]</f>
        <v>5</v>
      </c>
      <c r="X294">
        <f t="shared" si="121"/>
        <v>0.44444444444444442</v>
      </c>
      <c r="Y294">
        <f>step3_validation[[#This Row],[AI_TRU2]]</f>
        <v>7</v>
      </c>
      <c r="Z294">
        <f t="shared" si="122"/>
        <v>0.66666666666666663</v>
      </c>
      <c r="AA294">
        <f>[1]!survey_responses[[#This Row],[Tôi thấy mức thuế tôi phải đóng theo phương án mới là công bằng (người thu nhập như tôi đóng mức này là hợp lý). - HUMAN-TRU2]]</f>
        <v>6</v>
      </c>
      <c r="AB294">
        <f t="shared" si="123"/>
        <v>0.55555555555555558</v>
      </c>
      <c r="AC294">
        <f>step3_validation[[#This Row],[AI_TRU3]]</f>
        <v>8</v>
      </c>
      <c r="AD294">
        <f t="shared" si="124"/>
        <v>0.77777777777777779</v>
      </c>
      <c r="AE294">
        <f>[1]!survey_responses[[#This Row],[Tôi tin tưởng số tiền thuế tôi đóng sẽ được Nhà nước sử dụng hiệu quả để cải thiện dịch vụ công (y tế, đường xá...). - HUMAN-TRU3]]</f>
        <v>5</v>
      </c>
      <c r="AF294">
        <f t="shared" si="125"/>
        <v>0.44444444444444442</v>
      </c>
      <c r="AG294">
        <f>step3_validation[[#This Row],[AI_TRU4]]</f>
        <v>6</v>
      </c>
      <c r="AH294">
        <f t="shared" si="126"/>
        <v>0.55555555555555558</v>
      </c>
      <c r="AI294">
        <f>[1]!survey_responses[[#This Row],[Tôi thấy Nhà nước đã giải thích rõ ràng, minh bạch về lý do và mục tiêu của việc sửa đổi thuế lần này. - HUMAN-TRU4]]</f>
        <v>6</v>
      </c>
      <c r="AJ294">
        <f t="shared" si="127"/>
        <v>0.55555555555555558</v>
      </c>
      <c r="AK294" s="32">
        <f t="shared" si="128"/>
        <v>0.69444444444444442</v>
      </c>
      <c r="AL294" s="32">
        <f t="shared" si="129"/>
        <v>0.5</v>
      </c>
      <c r="AM294" s="7">
        <f t="shared" si="130"/>
        <v>0.67592592592592593</v>
      </c>
      <c r="AN294" s="7">
        <f t="shared" si="131"/>
        <v>0.62962962962962965</v>
      </c>
      <c r="AO294">
        <f>step3_validation[[#This Row],[AI_OUT1]]</f>
        <v>8</v>
      </c>
      <c r="AP294">
        <f t="shared" si="132"/>
        <v>0.77777777777777779</v>
      </c>
      <c r="AQ294">
        <f>[1]!survey_responses[[#This Row],[Sau khi xem xét các quyền lợi và nghĩa vụ, bạn có ủng hộ và tuân thủ chính sách mới hiện nay? - HUMAN-OUT1]]</f>
        <v>6</v>
      </c>
      <c r="AR294">
        <f t="shared" si="133"/>
        <v>0.55555555555555558</v>
      </c>
      <c r="AS294" s="32">
        <f t="shared" si="134"/>
        <v>2</v>
      </c>
    </row>
    <row r="295" spans="1:45" x14ac:dyDescent="0.45">
      <c r="A295">
        <f>step3_validation[[#This Row],[AI_ENF1]]</f>
        <v>7</v>
      </c>
      <c r="B295">
        <f t="shared" si="108"/>
        <v>0.66666666666666663</v>
      </c>
      <c r="C295">
        <f>[1]!survey_responses[[#This Row],[Tôi tin rằng với các quy định quản lý thuế hiện nay, hành vi gian lận hoặc trốn thuế sẽ dễ dàng bị phát hiện và xử lý nghiêm. - HUMAN-ENF1]]</f>
        <v>6</v>
      </c>
      <c r="D295">
        <f t="shared" si="109"/>
        <v>0.55555555555555558</v>
      </c>
      <c r="E295">
        <f>step3_validation[[#This Row],[AI_ENF2]]</f>
        <v>7</v>
      </c>
      <c r="F295">
        <f t="shared" si="110"/>
        <v>0.66666666666666663</v>
      </c>
      <c r="G295">
        <f>[1]!survey_responses[[#This Row],[Tôi tin rằng Nhà nước, cơ quan thuế có đủ khả năng và công nghệ để phát hiện, xử lý nghiêm các hành vi trốn thuế. - HUMAN-ENF2]]</f>
        <v>6</v>
      </c>
      <c r="H295">
        <f t="shared" si="111"/>
        <v>0.55555555555555558</v>
      </c>
      <c r="I295" s="32">
        <f t="shared" si="112"/>
        <v>0.66666666666666663</v>
      </c>
      <c r="J295" s="32">
        <f t="shared" si="113"/>
        <v>0.55555555555555558</v>
      </c>
      <c r="K295">
        <f>step3_validation[[#This Row],[AI_FAC1]]</f>
        <v>8</v>
      </c>
      <c r="L295">
        <f t="shared" si="114"/>
        <v>0.77777777777777779</v>
      </c>
      <c r="M295">
        <f>[1]!survey_responses[[#This Row],[Các thủ tục khai báo thuế VÀ/HOẶC quy trình làm việc với cơ quan thuế đơn giản, tiện lợi, nhanh chóng hơn so với trước đây. - HUMAN-FAC1]]</f>
        <v>3</v>
      </c>
      <c r="N295">
        <f t="shared" si="115"/>
        <v>0.22222222222222221</v>
      </c>
      <c r="O295">
        <f>step3_validation[[#This Row],[AI_FAC2]]</f>
        <v>9</v>
      </c>
      <c r="P295">
        <f t="shared" si="116"/>
        <v>0.88888888888888884</v>
      </c>
      <c r="Q295">
        <f>[1]!survey_responses[[#This Row],[So với trước đây, tôi thấy cách tính thuế và các bậc thuế trong phương án mới đơn giản, dễ hiểu và dễ thực hiện hơn. - HUMAN-FAC2]]</f>
        <v>7</v>
      </c>
      <c r="R295">
        <f t="shared" si="117"/>
        <v>0.66666666666666663</v>
      </c>
      <c r="S295" s="32">
        <f t="shared" si="118"/>
        <v>0.83333333333333326</v>
      </c>
      <c r="T295" s="32">
        <f t="shared" si="119"/>
        <v>0.44444444444444442</v>
      </c>
      <c r="U295">
        <f>step3_validation[[#This Row],[AI_TRU1]]</f>
        <v>8</v>
      </c>
      <c r="V295">
        <f t="shared" si="120"/>
        <v>0.77777777777777779</v>
      </c>
      <c r="W295">
        <f>[1]!survey_responses[[#This Row],[Tôi tin rằng Nhà nước, cơ quan thuế sẽ thực thi chính sách mới một cách khách quan, công tâm và đối xử bình đẳng với mọi người nộp thuế.  - HUMAN-TRU1]]</f>
        <v>5</v>
      </c>
      <c r="X295">
        <f t="shared" si="121"/>
        <v>0.44444444444444442</v>
      </c>
      <c r="Y295">
        <f>step3_validation[[#This Row],[AI_TRU2]]</f>
        <v>9</v>
      </c>
      <c r="Z295">
        <f t="shared" si="122"/>
        <v>0.88888888888888884</v>
      </c>
      <c r="AA295">
        <f>[1]!survey_responses[[#This Row],[Tôi thấy mức thuế tôi phải đóng theo phương án mới là công bằng (người thu nhập như tôi đóng mức này là hợp lý). - HUMAN-TRU2]]</f>
        <v>6</v>
      </c>
      <c r="AB295">
        <f t="shared" si="123"/>
        <v>0.55555555555555558</v>
      </c>
      <c r="AC295">
        <f>step3_validation[[#This Row],[AI_TRU3]]</f>
        <v>8</v>
      </c>
      <c r="AD295">
        <f t="shared" si="124"/>
        <v>0.77777777777777779</v>
      </c>
      <c r="AE295">
        <f>[1]!survey_responses[[#This Row],[Tôi tin tưởng số tiền thuế tôi đóng sẽ được Nhà nước sử dụng hiệu quả để cải thiện dịch vụ công (y tế, đường xá...). - HUMAN-TRU3]]</f>
        <v>5</v>
      </c>
      <c r="AF295">
        <f t="shared" si="125"/>
        <v>0.44444444444444442</v>
      </c>
      <c r="AG295">
        <f>step3_validation[[#This Row],[AI_TRU4]]</f>
        <v>8</v>
      </c>
      <c r="AH295">
        <f t="shared" si="126"/>
        <v>0.77777777777777779</v>
      </c>
      <c r="AI295">
        <f>[1]!survey_responses[[#This Row],[Tôi thấy Nhà nước đã giải thích rõ ràng, minh bạch về lý do và mục tiêu của việc sửa đổi thuế lần này. - HUMAN-TRU4]]</f>
        <v>5</v>
      </c>
      <c r="AJ295">
        <f t="shared" si="127"/>
        <v>0.44444444444444442</v>
      </c>
      <c r="AK295" s="32">
        <f t="shared" si="128"/>
        <v>0.80555555555555547</v>
      </c>
      <c r="AL295" s="32">
        <f t="shared" si="129"/>
        <v>0.47222222222222221</v>
      </c>
      <c r="AM295" s="7">
        <f t="shared" si="130"/>
        <v>0.76851851851851849</v>
      </c>
      <c r="AN295" s="7">
        <f t="shared" si="131"/>
        <v>0.49074074074074076</v>
      </c>
      <c r="AO295">
        <f>step3_validation[[#This Row],[AI_OUT1]]</f>
        <v>9</v>
      </c>
      <c r="AP295">
        <f t="shared" si="132"/>
        <v>0.88888888888888884</v>
      </c>
      <c r="AQ295">
        <f>[1]!survey_responses[[#This Row],[Sau khi xem xét các quyền lợi và nghĩa vụ, bạn có ủng hộ và tuân thủ chính sách mới hiện nay? - HUMAN-OUT1]]</f>
        <v>6</v>
      </c>
      <c r="AR295">
        <f t="shared" si="133"/>
        <v>0.55555555555555558</v>
      </c>
      <c r="AS295" s="32">
        <f t="shared" si="134"/>
        <v>3</v>
      </c>
    </row>
    <row r="296" spans="1:45" x14ac:dyDescent="0.45">
      <c r="A296">
        <f>step3_validation[[#This Row],[AI_ENF1]]</f>
        <v>6</v>
      </c>
      <c r="B296">
        <f t="shared" si="108"/>
        <v>0.55555555555555558</v>
      </c>
      <c r="C296">
        <f>[1]!survey_responses[[#This Row],[Tôi tin rằng với các quy định quản lý thuế hiện nay, hành vi gian lận hoặc trốn thuế sẽ dễ dàng bị phát hiện và xử lý nghiêm. - HUMAN-ENF1]]</f>
        <v>8</v>
      </c>
      <c r="D296">
        <f t="shared" si="109"/>
        <v>0.77777777777777779</v>
      </c>
      <c r="E296">
        <f>step3_validation[[#This Row],[AI_ENF2]]</f>
        <v>8</v>
      </c>
      <c r="F296">
        <f t="shared" si="110"/>
        <v>0.77777777777777779</v>
      </c>
      <c r="G296">
        <f>[1]!survey_responses[[#This Row],[Tôi tin rằng Nhà nước, cơ quan thuế có đủ khả năng và công nghệ để phát hiện, xử lý nghiêm các hành vi trốn thuế. - HUMAN-ENF2]]</f>
        <v>9</v>
      </c>
      <c r="H296">
        <f t="shared" si="111"/>
        <v>0.88888888888888884</v>
      </c>
      <c r="I296" s="32">
        <f t="shared" si="112"/>
        <v>0.66666666666666674</v>
      </c>
      <c r="J296" s="32">
        <f t="shared" si="113"/>
        <v>0.83333333333333326</v>
      </c>
      <c r="K296">
        <f>step3_validation[[#This Row],[AI_FAC1]]</f>
        <v>8</v>
      </c>
      <c r="L296">
        <f t="shared" si="114"/>
        <v>0.77777777777777779</v>
      </c>
      <c r="M296">
        <f>[1]!survey_responses[[#This Row],[Các thủ tục khai báo thuế VÀ/HOẶC quy trình làm việc với cơ quan thuế đơn giản, tiện lợi, nhanh chóng hơn so với trước đây. - HUMAN-FAC1]]</f>
        <v>9</v>
      </c>
      <c r="N296">
        <f t="shared" si="115"/>
        <v>0.88888888888888884</v>
      </c>
      <c r="O296">
        <f>step3_validation[[#This Row],[AI_FAC2]]</f>
        <v>7</v>
      </c>
      <c r="P296">
        <f t="shared" si="116"/>
        <v>0.66666666666666663</v>
      </c>
      <c r="Q296">
        <f>[1]!survey_responses[[#This Row],[So với trước đây, tôi thấy cách tính thuế và các bậc thuế trong phương án mới đơn giản, dễ hiểu và dễ thực hiện hơn. - HUMAN-FAC2]]</f>
        <v>10</v>
      </c>
      <c r="R296">
        <f t="shared" si="117"/>
        <v>1</v>
      </c>
      <c r="S296" s="32">
        <f t="shared" si="118"/>
        <v>0.72222222222222221</v>
      </c>
      <c r="T296" s="32">
        <f t="shared" si="119"/>
        <v>0.94444444444444442</v>
      </c>
      <c r="U296">
        <f>step3_validation[[#This Row],[AI_TRU1]]</f>
        <v>5</v>
      </c>
      <c r="V296">
        <f t="shared" si="120"/>
        <v>0.44444444444444442</v>
      </c>
      <c r="W296">
        <f>[1]!survey_responses[[#This Row],[Tôi tin rằng Nhà nước, cơ quan thuế sẽ thực thi chính sách mới một cách khách quan, công tâm và đối xử bình đẳng với mọi người nộp thuế.  - HUMAN-TRU1]]</f>
        <v>8</v>
      </c>
      <c r="X296">
        <f t="shared" si="121"/>
        <v>0.77777777777777779</v>
      </c>
      <c r="Y296">
        <f>step3_validation[[#This Row],[AI_TRU2]]</f>
        <v>6</v>
      </c>
      <c r="Z296">
        <f t="shared" si="122"/>
        <v>0.55555555555555558</v>
      </c>
      <c r="AA296">
        <f>[1]!survey_responses[[#This Row],[Tôi thấy mức thuế tôi phải đóng theo phương án mới là công bằng (người thu nhập như tôi đóng mức này là hợp lý). - HUMAN-TRU2]]</f>
        <v>8</v>
      </c>
      <c r="AB296">
        <f t="shared" si="123"/>
        <v>0.77777777777777779</v>
      </c>
      <c r="AC296">
        <f>step3_validation[[#This Row],[AI_TRU3]]</f>
        <v>7</v>
      </c>
      <c r="AD296">
        <f t="shared" si="124"/>
        <v>0.66666666666666663</v>
      </c>
      <c r="AE296">
        <f>[1]!survey_responses[[#This Row],[Tôi tin tưởng số tiền thuế tôi đóng sẽ được Nhà nước sử dụng hiệu quả để cải thiện dịch vụ công (y tế, đường xá...). - HUMAN-TRU3]]</f>
        <v>9</v>
      </c>
      <c r="AF296">
        <f t="shared" si="125"/>
        <v>0.88888888888888884</v>
      </c>
      <c r="AG296">
        <f>step3_validation[[#This Row],[AI_TRU4]]</f>
        <v>5</v>
      </c>
      <c r="AH296">
        <f t="shared" si="126"/>
        <v>0.44444444444444442</v>
      </c>
      <c r="AI296">
        <f>[1]!survey_responses[[#This Row],[Tôi thấy Nhà nước đã giải thích rõ ràng, minh bạch về lý do và mục tiêu của việc sửa đổi thuế lần này. - HUMAN-TRU4]]</f>
        <v>10</v>
      </c>
      <c r="AJ296">
        <f t="shared" si="127"/>
        <v>1</v>
      </c>
      <c r="AK296" s="32">
        <f t="shared" si="128"/>
        <v>0.52777777777777768</v>
      </c>
      <c r="AL296" s="32">
        <f t="shared" si="129"/>
        <v>0.86111111111111116</v>
      </c>
      <c r="AM296" s="7">
        <f t="shared" si="130"/>
        <v>0.63888888888888884</v>
      </c>
      <c r="AN296" s="7">
        <f t="shared" si="131"/>
        <v>0.87962962962962965</v>
      </c>
      <c r="AO296">
        <f>step3_validation[[#This Row],[AI_OUT1]]</f>
        <v>7</v>
      </c>
      <c r="AP296">
        <f t="shared" si="132"/>
        <v>0.66666666666666663</v>
      </c>
      <c r="AQ296">
        <f>[1]!survey_responses[[#This Row],[Sau khi xem xét các quyền lợi và nghĩa vụ, bạn có ủng hộ và tuân thủ chính sách mới hiện nay? - HUMAN-OUT1]]</f>
        <v>10</v>
      </c>
      <c r="AR296">
        <f t="shared" si="133"/>
        <v>1</v>
      </c>
      <c r="AS296" s="32">
        <f t="shared" si="134"/>
        <v>3</v>
      </c>
    </row>
    <row r="297" spans="1:45" x14ac:dyDescent="0.45">
      <c r="A297">
        <f>step3_validation[[#This Row],[AI_ENF1]]</f>
        <v>7</v>
      </c>
      <c r="B297">
        <f t="shared" si="108"/>
        <v>0.66666666666666663</v>
      </c>
      <c r="C297">
        <f>[1]!survey_responses[[#This Row],[Tôi tin rằng với các quy định quản lý thuế hiện nay, hành vi gian lận hoặc trốn thuế sẽ dễ dàng bị phát hiện và xử lý nghiêm. - HUMAN-ENF1]]</f>
        <v>7</v>
      </c>
      <c r="D297">
        <f t="shared" si="109"/>
        <v>0.66666666666666663</v>
      </c>
      <c r="E297">
        <f>step3_validation[[#This Row],[AI_ENF2]]</f>
        <v>8</v>
      </c>
      <c r="F297">
        <f t="shared" si="110"/>
        <v>0.77777777777777779</v>
      </c>
      <c r="G297">
        <f>[1]!survey_responses[[#This Row],[Tôi tin rằng Nhà nước, cơ quan thuế có đủ khả năng và công nghệ để phát hiện, xử lý nghiêm các hành vi trốn thuế. - HUMAN-ENF2]]</f>
        <v>7</v>
      </c>
      <c r="H297">
        <f t="shared" si="111"/>
        <v>0.66666666666666663</v>
      </c>
      <c r="I297" s="32">
        <f t="shared" si="112"/>
        <v>0.72222222222222221</v>
      </c>
      <c r="J297" s="32">
        <f t="shared" si="113"/>
        <v>0.66666666666666663</v>
      </c>
      <c r="K297">
        <f>step3_validation[[#This Row],[AI_FAC1]]</f>
        <v>9</v>
      </c>
      <c r="L297">
        <f t="shared" si="114"/>
        <v>0.88888888888888884</v>
      </c>
      <c r="M297">
        <f>[1]!survey_responses[[#This Row],[Các thủ tục khai báo thuế VÀ/HOẶC quy trình làm việc với cơ quan thuế đơn giản, tiện lợi, nhanh chóng hơn so với trước đây. - HUMAN-FAC1]]</f>
        <v>6</v>
      </c>
      <c r="N297">
        <f t="shared" si="115"/>
        <v>0.55555555555555558</v>
      </c>
      <c r="O297">
        <f>step3_validation[[#This Row],[AI_FAC2]]</f>
        <v>8</v>
      </c>
      <c r="P297">
        <f t="shared" si="116"/>
        <v>0.77777777777777779</v>
      </c>
      <c r="Q297">
        <f>[1]!survey_responses[[#This Row],[So với trước đây, tôi thấy cách tính thuế và các bậc thuế trong phương án mới đơn giản, dễ hiểu và dễ thực hiện hơn. - HUMAN-FAC2]]</f>
        <v>7</v>
      </c>
      <c r="R297">
        <f t="shared" si="117"/>
        <v>0.66666666666666663</v>
      </c>
      <c r="S297" s="32">
        <f t="shared" si="118"/>
        <v>0.83333333333333326</v>
      </c>
      <c r="T297" s="32">
        <f t="shared" si="119"/>
        <v>0.61111111111111116</v>
      </c>
      <c r="U297">
        <f>step3_validation[[#This Row],[AI_TRU1]]</f>
        <v>6</v>
      </c>
      <c r="V297">
        <f t="shared" si="120"/>
        <v>0.55555555555555558</v>
      </c>
      <c r="W297">
        <f>[1]!survey_responses[[#This Row],[Tôi tin rằng Nhà nước, cơ quan thuế sẽ thực thi chính sách mới một cách khách quan, công tâm và đối xử bình đẳng với mọi người nộp thuế.  - HUMAN-TRU1]]</f>
        <v>7</v>
      </c>
      <c r="X297">
        <f t="shared" si="121"/>
        <v>0.66666666666666663</v>
      </c>
      <c r="Y297">
        <f>step3_validation[[#This Row],[AI_TRU2]]</f>
        <v>7</v>
      </c>
      <c r="Z297">
        <f t="shared" si="122"/>
        <v>0.66666666666666663</v>
      </c>
      <c r="AA297">
        <f>[1]!survey_responses[[#This Row],[Tôi thấy mức thuế tôi phải đóng theo phương án mới là công bằng (người thu nhập như tôi đóng mức này là hợp lý). - HUMAN-TRU2]]</f>
        <v>1</v>
      </c>
      <c r="AB297">
        <f t="shared" si="123"/>
        <v>0</v>
      </c>
      <c r="AC297">
        <f>step3_validation[[#This Row],[AI_TRU3]]</f>
        <v>6</v>
      </c>
      <c r="AD297">
        <f t="shared" si="124"/>
        <v>0.55555555555555558</v>
      </c>
      <c r="AE297">
        <f>[1]!survey_responses[[#This Row],[Tôi tin tưởng số tiền thuế tôi đóng sẽ được Nhà nước sử dụng hiệu quả để cải thiện dịch vụ công (y tế, đường xá...). - HUMAN-TRU3]]</f>
        <v>5</v>
      </c>
      <c r="AF297">
        <f t="shared" si="125"/>
        <v>0.44444444444444442</v>
      </c>
      <c r="AG297">
        <f>step3_validation[[#This Row],[AI_TRU4]]</f>
        <v>5</v>
      </c>
      <c r="AH297">
        <f t="shared" si="126"/>
        <v>0.44444444444444442</v>
      </c>
      <c r="AI297">
        <f>[1]!survey_responses[[#This Row],[Tôi thấy Nhà nước đã giải thích rõ ràng, minh bạch về lý do và mục tiêu của việc sửa đổi thuế lần này. - HUMAN-TRU4]]</f>
        <v>7</v>
      </c>
      <c r="AJ297">
        <f t="shared" si="127"/>
        <v>0.66666666666666663</v>
      </c>
      <c r="AK297" s="32">
        <f t="shared" si="128"/>
        <v>0.55555555555555558</v>
      </c>
      <c r="AL297" s="32">
        <f t="shared" si="129"/>
        <v>0.44444444444444442</v>
      </c>
      <c r="AM297" s="7">
        <f t="shared" si="130"/>
        <v>0.70370370370370361</v>
      </c>
      <c r="AN297" s="7">
        <f t="shared" si="131"/>
        <v>0.57407407407407407</v>
      </c>
      <c r="AO297">
        <f>step3_validation[[#This Row],[AI_OUT1]]</f>
        <v>7</v>
      </c>
      <c r="AP297">
        <f t="shared" si="132"/>
        <v>0.66666666666666663</v>
      </c>
      <c r="AQ297">
        <f>[1]!survey_responses[[#This Row],[Sau khi xem xét các quyền lợi và nghĩa vụ, bạn có ủng hộ và tuân thủ chính sách mới hiện nay? - HUMAN-OUT1]]</f>
        <v>7</v>
      </c>
      <c r="AR297">
        <f t="shared" si="133"/>
        <v>0.66666666666666663</v>
      </c>
      <c r="AS297" s="32">
        <f t="shared" si="134"/>
        <v>0</v>
      </c>
    </row>
    <row r="298" spans="1:45" x14ac:dyDescent="0.45">
      <c r="A298">
        <f>step3_validation[[#This Row],[AI_ENF1]]</f>
        <v>7</v>
      </c>
      <c r="B298">
        <f t="shared" si="108"/>
        <v>0.66666666666666663</v>
      </c>
      <c r="C298">
        <f>[1]!survey_responses[[#This Row],[Tôi tin rằng với các quy định quản lý thuế hiện nay, hành vi gian lận hoặc trốn thuế sẽ dễ dàng bị phát hiện và xử lý nghiêm. - HUMAN-ENF1]]</f>
        <v>5</v>
      </c>
      <c r="D298">
        <f t="shared" si="109"/>
        <v>0.44444444444444442</v>
      </c>
      <c r="E298">
        <f>step3_validation[[#This Row],[AI_ENF2]]</f>
        <v>6</v>
      </c>
      <c r="F298">
        <f t="shared" si="110"/>
        <v>0.55555555555555558</v>
      </c>
      <c r="G298">
        <f>[1]!survey_responses[[#This Row],[Tôi tin rằng Nhà nước, cơ quan thuế có đủ khả năng và công nghệ để phát hiện, xử lý nghiêm các hành vi trốn thuế. - HUMAN-ENF2]]</f>
        <v>10</v>
      </c>
      <c r="H298">
        <f t="shared" si="111"/>
        <v>1</v>
      </c>
      <c r="I298" s="32">
        <f t="shared" si="112"/>
        <v>0.61111111111111116</v>
      </c>
      <c r="J298" s="32">
        <f t="shared" si="113"/>
        <v>0.72222222222222221</v>
      </c>
      <c r="K298">
        <f>step3_validation[[#This Row],[AI_FAC1]]</f>
        <v>8</v>
      </c>
      <c r="L298">
        <f t="shared" si="114"/>
        <v>0.77777777777777779</v>
      </c>
      <c r="M298">
        <f>[1]!survey_responses[[#This Row],[Các thủ tục khai báo thuế VÀ/HOẶC quy trình làm việc với cơ quan thuế đơn giản, tiện lợi, nhanh chóng hơn so với trước đây. - HUMAN-FAC1]]</f>
        <v>5</v>
      </c>
      <c r="N298">
        <f t="shared" si="115"/>
        <v>0.44444444444444442</v>
      </c>
      <c r="O298">
        <f>step3_validation[[#This Row],[AI_FAC2]]</f>
        <v>9</v>
      </c>
      <c r="P298">
        <f t="shared" si="116"/>
        <v>0.88888888888888884</v>
      </c>
      <c r="Q298">
        <f>[1]!survey_responses[[#This Row],[So với trước đây, tôi thấy cách tính thuế và các bậc thuế trong phương án mới đơn giản, dễ hiểu và dễ thực hiện hơn. - HUMAN-FAC2]]</f>
        <v>5</v>
      </c>
      <c r="R298">
        <f t="shared" si="117"/>
        <v>0.44444444444444442</v>
      </c>
      <c r="S298" s="32">
        <f t="shared" si="118"/>
        <v>0.83333333333333326</v>
      </c>
      <c r="T298" s="32">
        <f t="shared" si="119"/>
        <v>0.44444444444444442</v>
      </c>
      <c r="U298">
        <f>step3_validation[[#This Row],[AI_TRU1]]</f>
        <v>7</v>
      </c>
      <c r="V298">
        <f t="shared" si="120"/>
        <v>0.66666666666666663</v>
      </c>
      <c r="W298">
        <f>[1]!survey_responses[[#This Row],[Tôi tin rằng Nhà nước, cơ quan thuế sẽ thực thi chính sách mới một cách khách quan, công tâm và đối xử bình đẳng với mọi người nộp thuế.  - HUMAN-TRU1]]</f>
        <v>2</v>
      </c>
      <c r="X298">
        <f t="shared" si="121"/>
        <v>0.1111111111111111</v>
      </c>
      <c r="Y298">
        <f>step3_validation[[#This Row],[AI_TRU2]]</f>
        <v>8</v>
      </c>
      <c r="Z298">
        <f t="shared" si="122"/>
        <v>0.77777777777777779</v>
      </c>
      <c r="AA298">
        <f>[1]!survey_responses[[#This Row],[Tôi thấy mức thuế tôi phải đóng theo phương án mới là công bằng (người thu nhập như tôi đóng mức này là hợp lý). - HUMAN-TRU2]]</f>
        <v>3</v>
      </c>
      <c r="AB298">
        <f t="shared" si="123"/>
        <v>0.22222222222222221</v>
      </c>
      <c r="AC298">
        <f>step3_validation[[#This Row],[AI_TRU3]]</f>
        <v>7</v>
      </c>
      <c r="AD298">
        <f t="shared" si="124"/>
        <v>0.66666666666666663</v>
      </c>
      <c r="AE298">
        <f>[1]!survey_responses[[#This Row],[Tôi tin tưởng số tiền thuế tôi đóng sẽ được Nhà nước sử dụng hiệu quả để cải thiện dịch vụ công (y tế, đường xá...). - HUMAN-TRU3]]</f>
        <v>2</v>
      </c>
      <c r="AF298">
        <f t="shared" si="125"/>
        <v>0.1111111111111111</v>
      </c>
      <c r="AG298">
        <f>step3_validation[[#This Row],[AI_TRU4]]</f>
        <v>6</v>
      </c>
      <c r="AH298">
        <f t="shared" si="126"/>
        <v>0.55555555555555558</v>
      </c>
      <c r="AI298">
        <f>[1]!survey_responses[[#This Row],[Tôi thấy Nhà nước đã giải thích rõ ràng, minh bạch về lý do và mục tiêu của việc sửa đổi thuế lần này. - HUMAN-TRU4]]</f>
        <v>5</v>
      </c>
      <c r="AJ298">
        <f t="shared" si="127"/>
        <v>0.44444444444444442</v>
      </c>
      <c r="AK298" s="32">
        <f t="shared" si="128"/>
        <v>0.66666666666666674</v>
      </c>
      <c r="AL298" s="32">
        <f t="shared" si="129"/>
        <v>0.22222222222222221</v>
      </c>
      <c r="AM298" s="7">
        <f t="shared" si="130"/>
        <v>0.70370370370370372</v>
      </c>
      <c r="AN298" s="7">
        <f t="shared" si="131"/>
        <v>0.46296296296296297</v>
      </c>
      <c r="AO298">
        <f>step3_validation[[#This Row],[AI_OUT1]]</f>
        <v>5</v>
      </c>
      <c r="AP298">
        <f t="shared" si="132"/>
        <v>0.44444444444444442</v>
      </c>
      <c r="AQ298">
        <f>[1]!survey_responses[[#This Row],[Sau khi xem xét các quyền lợi và nghĩa vụ, bạn có ủng hộ và tuân thủ chính sách mới hiện nay? - HUMAN-OUT1]]</f>
        <v>5</v>
      </c>
      <c r="AR298">
        <f t="shared" si="133"/>
        <v>0.44444444444444442</v>
      </c>
      <c r="AS298" s="32">
        <f t="shared" si="134"/>
        <v>0</v>
      </c>
    </row>
    <row r="299" spans="1:45" x14ac:dyDescent="0.45">
      <c r="A299">
        <f>step3_validation[[#This Row],[AI_ENF1]]</f>
        <v>7</v>
      </c>
      <c r="B299">
        <f t="shared" si="108"/>
        <v>0.66666666666666663</v>
      </c>
      <c r="C299">
        <f>[1]!survey_responses[[#This Row],[Tôi tin rằng với các quy định quản lý thuế hiện nay, hành vi gian lận hoặc trốn thuế sẽ dễ dàng bị phát hiện và xử lý nghiêm. - HUMAN-ENF1]]</f>
        <v>5</v>
      </c>
      <c r="D299">
        <f t="shared" si="109"/>
        <v>0.44444444444444442</v>
      </c>
      <c r="E299">
        <f>step3_validation[[#This Row],[AI_ENF2]]</f>
        <v>6</v>
      </c>
      <c r="F299">
        <f t="shared" si="110"/>
        <v>0.55555555555555558</v>
      </c>
      <c r="G299">
        <f>[1]!survey_responses[[#This Row],[Tôi tin rằng Nhà nước, cơ quan thuế có đủ khả năng và công nghệ để phát hiện, xử lý nghiêm các hành vi trốn thuế. - HUMAN-ENF2]]</f>
        <v>5</v>
      </c>
      <c r="H299">
        <f t="shared" si="111"/>
        <v>0.44444444444444442</v>
      </c>
      <c r="I299" s="32">
        <f t="shared" si="112"/>
        <v>0.61111111111111116</v>
      </c>
      <c r="J299" s="32">
        <f t="shared" si="113"/>
        <v>0.44444444444444442</v>
      </c>
      <c r="K299">
        <f>step3_validation[[#This Row],[AI_FAC1]]</f>
        <v>8</v>
      </c>
      <c r="L299">
        <f t="shared" si="114"/>
        <v>0.77777777777777779</v>
      </c>
      <c r="M299">
        <f>[1]!survey_responses[[#This Row],[Các thủ tục khai báo thuế VÀ/HOẶC quy trình làm việc với cơ quan thuế đơn giản, tiện lợi, nhanh chóng hơn so với trước đây. - HUMAN-FAC1]]</f>
        <v>5</v>
      </c>
      <c r="N299">
        <f t="shared" si="115"/>
        <v>0.44444444444444442</v>
      </c>
      <c r="O299">
        <f>step3_validation[[#This Row],[AI_FAC2]]</f>
        <v>7</v>
      </c>
      <c r="P299">
        <f t="shared" si="116"/>
        <v>0.66666666666666663</v>
      </c>
      <c r="Q299">
        <f>[1]!survey_responses[[#This Row],[So với trước đây, tôi thấy cách tính thuế và các bậc thuế trong phương án mới đơn giản, dễ hiểu và dễ thực hiện hơn. - HUMAN-FAC2]]</f>
        <v>10</v>
      </c>
      <c r="R299">
        <f t="shared" si="117"/>
        <v>1</v>
      </c>
      <c r="S299" s="32">
        <f t="shared" si="118"/>
        <v>0.72222222222222221</v>
      </c>
      <c r="T299" s="32">
        <f t="shared" si="119"/>
        <v>0.72222222222222221</v>
      </c>
      <c r="U299">
        <f>step3_validation[[#This Row],[AI_TRU1]]</f>
        <v>6</v>
      </c>
      <c r="V299">
        <f t="shared" si="120"/>
        <v>0.55555555555555558</v>
      </c>
      <c r="W299">
        <f>[1]!survey_responses[[#This Row],[Tôi tin rằng Nhà nước, cơ quan thuế sẽ thực thi chính sách mới một cách khách quan, công tâm và đối xử bình đẳng với mọi người nộp thuế.  - HUMAN-TRU1]]</f>
        <v>10</v>
      </c>
      <c r="X299">
        <f t="shared" si="121"/>
        <v>1</v>
      </c>
      <c r="Y299">
        <f>step3_validation[[#This Row],[AI_TRU2]]</f>
        <v>6</v>
      </c>
      <c r="Z299">
        <f t="shared" si="122"/>
        <v>0.55555555555555558</v>
      </c>
      <c r="AA299">
        <f>[1]!survey_responses[[#This Row],[Tôi thấy mức thuế tôi phải đóng theo phương án mới là công bằng (người thu nhập như tôi đóng mức này là hợp lý). - HUMAN-TRU2]]</f>
        <v>5</v>
      </c>
      <c r="AB299">
        <f t="shared" si="123"/>
        <v>0.44444444444444442</v>
      </c>
      <c r="AC299">
        <f>step3_validation[[#This Row],[AI_TRU3]]</f>
        <v>6</v>
      </c>
      <c r="AD299">
        <f t="shared" si="124"/>
        <v>0.55555555555555558</v>
      </c>
      <c r="AE299">
        <f>[1]!survey_responses[[#This Row],[Tôi tin tưởng số tiền thuế tôi đóng sẽ được Nhà nước sử dụng hiệu quả để cải thiện dịch vụ công (y tế, đường xá...). - HUMAN-TRU3]]</f>
        <v>5</v>
      </c>
      <c r="AF299">
        <f t="shared" si="125"/>
        <v>0.44444444444444442</v>
      </c>
      <c r="AG299">
        <f>step3_validation[[#This Row],[AI_TRU4]]</f>
        <v>6</v>
      </c>
      <c r="AH299">
        <f t="shared" si="126"/>
        <v>0.55555555555555558</v>
      </c>
      <c r="AI299">
        <f>[1]!survey_responses[[#This Row],[Tôi thấy Nhà nước đã giải thích rõ ràng, minh bạch về lý do và mục tiêu của việc sửa đổi thuế lần này. - HUMAN-TRU4]]</f>
        <v>5</v>
      </c>
      <c r="AJ299">
        <f t="shared" si="127"/>
        <v>0.44444444444444442</v>
      </c>
      <c r="AK299" s="32">
        <f t="shared" si="128"/>
        <v>0.55555555555555558</v>
      </c>
      <c r="AL299" s="32">
        <f t="shared" si="129"/>
        <v>0.58333333333333326</v>
      </c>
      <c r="AM299" s="7">
        <f t="shared" si="130"/>
        <v>0.62962962962962965</v>
      </c>
      <c r="AN299" s="7">
        <f t="shared" si="131"/>
        <v>0.58333333333333326</v>
      </c>
      <c r="AO299">
        <f>step3_validation[[#This Row],[AI_OUT1]]</f>
        <v>5</v>
      </c>
      <c r="AP299">
        <f t="shared" si="132"/>
        <v>0.44444444444444442</v>
      </c>
      <c r="AQ299">
        <f>[1]!survey_responses[[#This Row],[Sau khi xem xét các quyền lợi và nghĩa vụ, bạn có ủng hộ và tuân thủ chính sách mới hiện nay? - HUMAN-OUT1]]</f>
        <v>5</v>
      </c>
      <c r="AR299">
        <f t="shared" si="133"/>
        <v>0.44444444444444442</v>
      </c>
      <c r="AS299" s="32">
        <f t="shared" si="134"/>
        <v>0</v>
      </c>
    </row>
    <row r="300" spans="1:45" x14ac:dyDescent="0.45">
      <c r="A300">
        <f>step3_validation[[#This Row],[AI_ENF1]]</f>
        <v>7</v>
      </c>
      <c r="B300">
        <f t="shared" si="108"/>
        <v>0.66666666666666663</v>
      </c>
      <c r="C300">
        <f>[1]!survey_responses[[#This Row],[Tôi tin rằng với các quy định quản lý thuế hiện nay, hành vi gian lận hoặc trốn thuế sẽ dễ dàng bị phát hiện và xử lý nghiêm. - HUMAN-ENF1]]</f>
        <v>10</v>
      </c>
      <c r="D300">
        <f t="shared" si="109"/>
        <v>1</v>
      </c>
      <c r="E300">
        <f>step3_validation[[#This Row],[AI_ENF2]]</f>
        <v>8</v>
      </c>
      <c r="F300">
        <f t="shared" si="110"/>
        <v>0.77777777777777779</v>
      </c>
      <c r="G300">
        <f>[1]!survey_responses[[#This Row],[Tôi tin rằng Nhà nước, cơ quan thuế có đủ khả năng và công nghệ để phát hiện, xử lý nghiêm các hành vi trốn thuế. - HUMAN-ENF2]]</f>
        <v>10</v>
      </c>
      <c r="H300">
        <f t="shared" si="111"/>
        <v>1</v>
      </c>
      <c r="I300" s="32">
        <f t="shared" si="112"/>
        <v>0.72222222222222221</v>
      </c>
      <c r="J300" s="32">
        <f t="shared" si="113"/>
        <v>1</v>
      </c>
      <c r="K300">
        <f>step3_validation[[#This Row],[AI_FAC1]]</f>
        <v>6</v>
      </c>
      <c r="L300">
        <f t="shared" si="114"/>
        <v>0.55555555555555558</v>
      </c>
      <c r="M300">
        <f>[1]!survey_responses[[#This Row],[Các thủ tục khai báo thuế VÀ/HOẶC quy trình làm việc với cơ quan thuế đơn giản, tiện lợi, nhanh chóng hơn so với trước đây. - HUMAN-FAC1]]</f>
        <v>10</v>
      </c>
      <c r="N300">
        <f t="shared" si="115"/>
        <v>1</v>
      </c>
      <c r="O300">
        <f>step3_validation[[#This Row],[AI_FAC2]]</f>
        <v>7</v>
      </c>
      <c r="P300">
        <f t="shared" si="116"/>
        <v>0.66666666666666663</v>
      </c>
      <c r="Q300">
        <f>[1]!survey_responses[[#This Row],[So với trước đây, tôi thấy cách tính thuế và các bậc thuế trong phương án mới đơn giản, dễ hiểu và dễ thực hiện hơn. - HUMAN-FAC2]]</f>
        <v>10</v>
      </c>
      <c r="R300">
        <f t="shared" si="117"/>
        <v>1</v>
      </c>
      <c r="S300" s="32">
        <f t="shared" si="118"/>
        <v>0.61111111111111116</v>
      </c>
      <c r="T300" s="32">
        <f t="shared" si="119"/>
        <v>1</v>
      </c>
      <c r="U300">
        <f>step3_validation[[#This Row],[AI_TRU1]]</f>
        <v>6</v>
      </c>
      <c r="V300">
        <f t="shared" si="120"/>
        <v>0.55555555555555558</v>
      </c>
      <c r="W300">
        <f>[1]!survey_responses[[#This Row],[Tôi tin rằng Nhà nước, cơ quan thuế sẽ thực thi chính sách mới một cách khách quan, công tâm và đối xử bình đẳng với mọi người nộp thuế.  - HUMAN-TRU1]]</f>
        <v>10</v>
      </c>
      <c r="X300">
        <f t="shared" si="121"/>
        <v>1</v>
      </c>
      <c r="Y300">
        <f>step3_validation[[#This Row],[AI_TRU2]]</f>
        <v>7</v>
      </c>
      <c r="Z300">
        <f t="shared" si="122"/>
        <v>0.66666666666666663</v>
      </c>
      <c r="AA300">
        <f>[1]!survey_responses[[#This Row],[Tôi thấy mức thuế tôi phải đóng theo phương án mới là công bằng (người thu nhập như tôi đóng mức này là hợp lý). - HUMAN-TRU2]]</f>
        <v>10</v>
      </c>
      <c r="AB300">
        <f t="shared" si="123"/>
        <v>1</v>
      </c>
      <c r="AC300">
        <f>step3_validation[[#This Row],[AI_TRU3]]</f>
        <v>6</v>
      </c>
      <c r="AD300">
        <f t="shared" si="124"/>
        <v>0.55555555555555558</v>
      </c>
      <c r="AE300">
        <f>[1]!survey_responses[[#This Row],[Tôi tin tưởng số tiền thuế tôi đóng sẽ được Nhà nước sử dụng hiệu quả để cải thiện dịch vụ công (y tế, đường xá...). - HUMAN-TRU3]]</f>
        <v>10</v>
      </c>
      <c r="AF300">
        <f t="shared" si="125"/>
        <v>1</v>
      </c>
      <c r="AG300">
        <f>step3_validation[[#This Row],[AI_TRU4]]</f>
        <v>7</v>
      </c>
      <c r="AH300">
        <f t="shared" si="126"/>
        <v>0.66666666666666663</v>
      </c>
      <c r="AI300">
        <f>[1]!survey_responses[[#This Row],[Tôi thấy Nhà nước đã giải thích rõ ràng, minh bạch về lý do và mục tiêu của việc sửa đổi thuế lần này. - HUMAN-TRU4]]</f>
        <v>10</v>
      </c>
      <c r="AJ300">
        <f t="shared" si="127"/>
        <v>1</v>
      </c>
      <c r="AK300" s="32">
        <f t="shared" si="128"/>
        <v>0.61111111111111116</v>
      </c>
      <c r="AL300" s="32">
        <f t="shared" si="129"/>
        <v>1</v>
      </c>
      <c r="AM300" s="7">
        <f t="shared" si="130"/>
        <v>0.64814814814814825</v>
      </c>
      <c r="AN300" s="7">
        <f t="shared" si="131"/>
        <v>1</v>
      </c>
      <c r="AO300">
        <f>step3_validation[[#This Row],[AI_OUT1]]</f>
        <v>7</v>
      </c>
      <c r="AP300">
        <f t="shared" si="132"/>
        <v>0.66666666666666663</v>
      </c>
      <c r="AQ300">
        <f>[1]!survey_responses[[#This Row],[Sau khi xem xét các quyền lợi và nghĩa vụ, bạn có ủng hộ và tuân thủ chính sách mới hiện nay? - HUMAN-OUT1]]</f>
        <v>10</v>
      </c>
      <c r="AR300">
        <f t="shared" si="133"/>
        <v>1</v>
      </c>
      <c r="AS300" s="32">
        <f t="shared" si="134"/>
        <v>3</v>
      </c>
    </row>
    <row r="301" spans="1:45" x14ac:dyDescent="0.45">
      <c r="A301">
        <f>step3_validation[[#This Row],[AI_ENF1]]</f>
        <v>8</v>
      </c>
      <c r="B301">
        <f t="shared" si="108"/>
        <v>0.77777777777777779</v>
      </c>
      <c r="C301">
        <f>[1]!survey_responses[[#This Row],[Tôi tin rằng với các quy định quản lý thuế hiện nay, hành vi gian lận hoặc trốn thuế sẽ dễ dàng bị phát hiện và xử lý nghiêm. - HUMAN-ENF1]]</f>
        <v>9</v>
      </c>
      <c r="D301">
        <f t="shared" si="109"/>
        <v>0.88888888888888884</v>
      </c>
      <c r="E301">
        <f>step3_validation[[#This Row],[AI_ENF2]]</f>
        <v>7</v>
      </c>
      <c r="F301">
        <f t="shared" si="110"/>
        <v>0.66666666666666663</v>
      </c>
      <c r="G301">
        <f>[1]!survey_responses[[#This Row],[Tôi tin rằng Nhà nước, cơ quan thuế có đủ khả năng và công nghệ để phát hiện, xử lý nghiêm các hành vi trốn thuế. - HUMAN-ENF2]]</f>
        <v>9</v>
      </c>
      <c r="H301">
        <f t="shared" si="111"/>
        <v>0.88888888888888884</v>
      </c>
      <c r="I301" s="32">
        <f t="shared" si="112"/>
        <v>0.72222222222222221</v>
      </c>
      <c r="J301" s="32">
        <f t="shared" si="113"/>
        <v>0.88888888888888884</v>
      </c>
      <c r="K301">
        <f>step3_validation[[#This Row],[AI_FAC1]]</f>
        <v>6</v>
      </c>
      <c r="L301">
        <f t="shared" si="114"/>
        <v>0.55555555555555558</v>
      </c>
      <c r="M301">
        <f>[1]!survey_responses[[#This Row],[Các thủ tục khai báo thuế VÀ/HOẶC quy trình làm việc với cơ quan thuế đơn giản, tiện lợi, nhanh chóng hơn so với trước đây. - HUMAN-FAC1]]</f>
        <v>8</v>
      </c>
      <c r="N301">
        <f t="shared" si="115"/>
        <v>0.77777777777777779</v>
      </c>
      <c r="O301">
        <f>step3_validation[[#This Row],[AI_FAC2]]</f>
        <v>8</v>
      </c>
      <c r="P301">
        <f t="shared" si="116"/>
        <v>0.77777777777777779</v>
      </c>
      <c r="Q301">
        <f>[1]!survey_responses[[#This Row],[So với trước đây, tôi thấy cách tính thuế và các bậc thuế trong phương án mới đơn giản, dễ hiểu và dễ thực hiện hơn. - HUMAN-FAC2]]</f>
        <v>10</v>
      </c>
      <c r="R301">
        <f t="shared" si="117"/>
        <v>1</v>
      </c>
      <c r="S301" s="32">
        <f t="shared" si="118"/>
        <v>0.66666666666666674</v>
      </c>
      <c r="T301" s="32">
        <f t="shared" si="119"/>
        <v>0.88888888888888884</v>
      </c>
      <c r="U301">
        <f>step3_validation[[#This Row],[AI_TRU1]]</f>
        <v>8</v>
      </c>
      <c r="V301">
        <f t="shared" si="120"/>
        <v>0.77777777777777779</v>
      </c>
      <c r="W301">
        <f>[1]!survey_responses[[#This Row],[Tôi tin rằng Nhà nước, cơ quan thuế sẽ thực thi chính sách mới một cách khách quan, công tâm và đối xử bình đẳng với mọi người nộp thuế.  - HUMAN-TRU1]]</f>
        <v>8</v>
      </c>
      <c r="X301">
        <f t="shared" si="121"/>
        <v>0.77777777777777779</v>
      </c>
      <c r="Y301">
        <f>step3_validation[[#This Row],[AI_TRU2]]</f>
        <v>7</v>
      </c>
      <c r="Z301">
        <f t="shared" si="122"/>
        <v>0.66666666666666663</v>
      </c>
      <c r="AA301">
        <f>[1]!survey_responses[[#This Row],[Tôi thấy mức thuế tôi phải đóng theo phương án mới là công bằng (người thu nhập như tôi đóng mức này là hợp lý). - HUMAN-TRU2]]</f>
        <v>8</v>
      </c>
      <c r="AB301">
        <f t="shared" si="123"/>
        <v>0.77777777777777779</v>
      </c>
      <c r="AC301">
        <f>step3_validation[[#This Row],[AI_TRU3]]</f>
        <v>6</v>
      </c>
      <c r="AD301">
        <f t="shared" si="124"/>
        <v>0.55555555555555558</v>
      </c>
      <c r="AE301">
        <f>[1]!survey_responses[[#This Row],[Tôi tin tưởng số tiền thuế tôi đóng sẽ được Nhà nước sử dụng hiệu quả để cải thiện dịch vụ công (y tế, đường xá...). - HUMAN-TRU3]]</f>
        <v>10</v>
      </c>
      <c r="AF301">
        <f t="shared" si="125"/>
        <v>1</v>
      </c>
      <c r="AG301">
        <f>step3_validation[[#This Row],[AI_TRU4]]</f>
        <v>5</v>
      </c>
      <c r="AH301">
        <f t="shared" si="126"/>
        <v>0.44444444444444442</v>
      </c>
      <c r="AI301">
        <f>[1]!survey_responses[[#This Row],[Tôi thấy Nhà nước đã giải thích rõ ràng, minh bạch về lý do và mục tiêu của việc sửa đổi thuế lần này. - HUMAN-TRU4]]</f>
        <v>9</v>
      </c>
      <c r="AJ301">
        <f t="shared" si="127"/>
        <v>0.88888888888888884</v>
      </c>
      <c r="AK301" s="32">
        <f t="shared" si="128"/>
        <v>0.61111111111111116</v>
      </c>
      <c r="AL301" s="32">
        <f t="shared" si="129"/>
        <v>0.86111111111111105</v>
      </c>
      <c r="AM301" s="7">
        <f t="shared" si="130"/>
        <v>0.66666666666666663</v>
      </c>
      <c r="AN301" s="7">
        <f t="shared" si="131"/>
        <v>0.87962962962962965</v>
      </c>
      <c r="AO301">
        <f>step3_validation[[#This Row],[AI_OUT1]]</f>
        <v>7</v>
      </c>
      <c r="AP301">
        <f t="shared" si="132"/>
        <v>0.66666666666666663</v>
      </c>
      <c r="AQ301">
        <f>[1]!survey_responses[[#This Row],[Sau khi xem xét các quyền lợi và nghĩa vụ, bạn có ủng hộ và tuân thủ chính sách mới hiện nay? - HUMAN-OUT1]]</f>
        <v>9</v>
      </c>
      <c r="AR301">
        <f t="shared" si="133"/>
        <v>0.88888888888888884</v>
      </c>
      <c r="AS301" s="32">
        <f t="shared" si="134"/>
        <v>2</v>
      </c>
    </row>
    <row r="302" spans="1:45" x14ac:dyDescent="0.45">
      <c r="A302">
        <f>step3_validation[[#This Row],[AI_ENF1]]</f>
        <v>8</v>
      </c>
      <c r="B302">
        <f t="shared" si="108"/>
        <v>0.77777777777777779</v>
      </c>
      <c r="C302">
        <f>[1]!survey_responses[[#This Row],[Tôi tin rằng với các quy định quản lý thuế hiện nay, hành vi gian lận hoặc trốn thuế sẽ dễ dàng bị phát hiện và xử lý nghiêm. - HUMAN-ENF1]]</f>
        <v>8</v>
      </c>
      <c r="D302">
        <f t="shared" si="109"/>
        <v>0.77777777777777779</v>
      </c>
      <c r="E302">
        <f>step3_validation[[#This Row],[AI_ENF2]]</f>
        <v>7</v>
      </c>
      <c r="F302">
        <f t="shared" si="110"/>
        <v>0.66666666666666663</v>
      </c>
      <c r="G302">
        <f>[1]!survey_responses[[#This Row],[Tôi tin rằng Nhà nước, cơ quan thuế có đủ khả năng và công nghệ để phát hiện, xử lý nghiêm các hành vi trốn thuế. - HUMAN-ENF2]]</f>
        <v>7</v>
      </c>
      <c r="H302">
        <f t="shared" si="111"/>
        <v>0.66666666666666663</v>
      </c>
      <c r="I302" s="32">
        <f t="shared" si="112"/>
        <v>0.72222222222222221</v>
      </c>
      <c r="J302" s="32">
        <f t="shared" si="113"/>
        <v>0.72222222222222221</v>
      </c>
      <c r="K302">
        <f>step3_validation[[#This Row],[AI_FAC1]]</f>
        <v>9</v>
      </c>
      <c r="L302">
        <f t="shared" si="114"/>
        <v>0.88888888888888884</v>
      </c>
      <c r="M302">
        <f>[1]!survey_responses[[#This Row],[Các thủ tục khai báo thuế VÀ/HOẶC quy trình làm việc với cơ quan thuế đơn giản, tiện lợi, nhanh chóng hơn so với trước đây. - HUMAN-FAC1]]</f>
        <v>9</v>
      </c>
      <c r="N302">
        <f t="shared" si="115"/>
        <v>0.88888888888888884</v>
      </c>
      <c r="O302">
        <f>step3_validation[[#This Row],[AI_FAC2]]</f>
        <v>8</v>
      </c>
      <c r="P302">
        <f t="shared" si="116"/>
        <v>0.77777777777777779</v>
      </c>
      <c r="Q302">
        <f>[1]!survey_responses[[#This Row],[So với trước đây, tôi thấy cách tính thuế và các bậc thuế trong phương án mới đơn giản, dễ hiểu và dễ thực hiện hơn. - HUMAN-FAC2]]</f>
        <v>5</v>
      </c>
      <c r="R302">
        <f t="shared" si="117"/>
        <v>0.44444444444444442</v>
      </c>
      <c r="S302" s="32">
        <f t="shared" si="118"/>
        <v>0.83333333333333326</v>
      </c>
      <c r="T302" s="32">
        <f t="shared" si="119"/>
        <v>0.66666666666666663</v>
      </c>
      <c r="U302">
        <f>step3_validation[[#This Row],[AI_TRU1]]</f>
        <v>7</v>
      </c>
      <c r="V302">
        <f t="shared" si="120"/>
        <v>0.66666666666666663</v>
      </c>
      <c r="W302">
        <f>[1]!survey_responses[[#This Row],[Tôi tin rằng Nhà nước, cơ quan thuế sẽ thực thi chính sách mới một cách khách quan, công tâm và đối xử bình đẳng với mọi người nộp thuế.  - HUMAN-TRU1]]</f>
        <v>7</v>
      </c>
      <c r="X302">
        <f t="shared" si="121"/>
        <v>0.66666666666666663</v>
      </c>
      <c r="Y302">
        <f>step3_validation[[#This Row],[AI_TRU2]]</f>
        <v>7</v>
      </c>
      <c r="Z302">
        <f t="shared" si="122"/>
        <v>0.66666666666666663</v>
      </c>
      <c r="AA302">
        <f>[1]!survey_responses[[#This Row],[Tôi thấy mức thuế tôi phải đóng theo phương án mới là công bằng (người thu nhập như tôi đóng mức này là hợp lý). - HUMAN-TRU2]]</f>
        <v>7</v>
      </c>
      <c r="AB302">
        <f t="shared" si="123"/>
        <v>0.66666666666666663</v>
      </c>
      <c r="AC302">
        <f>step3_validation[[#This Row],[AI_TRU3]]</f>
        <v>7</v>
      </c>
      <c r="AD302">
        <f t="shared" si="124"/>
        <v>0.66666666666666663</v>
      </c>
      <c r="AE302">
        <f>[1]!survey_responses[[#This Row],[Tôi tin tưởng số tiền thuế tôi đóng sẽ được Nhà nước sử dụng hiệu quả để cải thiện dịch vụ công (y tế, đường xá...). - HUMAN-TRU3]]</f>
        <v>7</v>
      </c>
      <c r="AF302">
        <f t="shared" si="125"/>
        <v>0.66666666666666663</v>
      </c>
      <c r="AG302">
        <f>step3_validation[[#This Row],[AI_TRU4]]</f>
        <v>7</v>
      </c>
      <c r="AH302">
        <f t="shared" si="126"/>
        <v>0.66666666666666663</v>
      </c>
      <c r="AI302">
        <f>[1]!survey_responses[[#This Row],[Tôi thấy Nhà nước đã giải thích rõ ràng, minh bạch về lý do và mục tiêu của việc sửa đổi thuế lần này. - HUMAN-TRU4]]</f>
        <v>6</v>
      </c>
      <c r="AJ302">
        <f t="shared" si="127"/>
        <v>0.55555555555555558</v>
      </c>
      <c r="AK302" s="32">
        <f t="shared" si="128"/>
        <v>0.66666666666666663</v>
      </c>
      <c r="AL302" s="32">
        <f t="shared" si="129"/>
        <v>0.63888888888888884</v>
      </c>
      <c r="AM302" s="7">
        <f t="shared" si="130"/>
        <v>0.74074074074074059</v>
      </c>
      <c r="AN302" s="7">
        <f t="shared" si="131"/>
        <v>0.67592592592592593</v>
      </c>
      <c r="AO302">
        <f>step3_validation[[#This Row],[AI_OUT1]]</f>
        <v>8</v>
      </c>
      <c r="AP302">
        <f t="shared" si="132"/>
        <v>0.77777777777777779</v>
      </c>
      <c r="AQ302">
        <f>[1]!survey_responses[[#This Row],[Sau khi xem xét các quyền lợi và nghĩa vụ, bạn có ủng hộ và tuân thủ chính sách mới hiện nay? - HUMAN-OUT1]]</f>
        <v>7</v>
      </c>
      <c r="AR302">
        <f t="shared" si="133"/>
        <v>0.66666666666666663</v>
      </c>
      <c r="AS302" s="32">
        <f t="shared" si="134"/>
        <v>1</v>
      </c>
    </row>
    <row r="303" spans="1:45" x14ac:dyDescent="0.45">
      <c r="A303">
        <f>step3_validation[[#This Row],[AI_ENF1]]</f>
        <v>7</v>
      </c>
      <c r="B303">
        <f t="shared" si="108"/>
        <v>0.66666666666666663</v>
      </c>
      <c r="C303">
        <f>[1]!survey_responses[[#This Row],[Tôi tin rằng với các quy định quản lý thuế hiện nay, hành vi gian lận hoặc trốn thuế sẽ dễ dàng bị phát hiện và xử lý nghiêm. - HUMAN-ENF1]]</f>
        <v>7</v>
      </c>
      <c r="D303">
        <f t="shared" si="109"/>
        <v>0.66666666666666663</v>
      </c>
      <c r="E303">
        <f>step3_validation[[#This Row],[AI_ENF2]]</f>
        <v>8</v>
      </c>
      <c r="F303">
        <f t="shared" si="110"/>
        <v>0.77777777777777779</v>
      </c>
      <c r="G303">
        <f>[1]!survey_responses[[#This Row],[Tôi tin rằng Nhà nước, cơ quan thuế có đủ khả năng và công nghệ để phát hiện, xử lý nghiêm các hành vi trốn thuế. - HUMAN-ENF2]]</f>
        <v>7</v>
      </c>
      <c r="H303">
        <f t="shared" si="111"/>
        <v>0.66666666666666663</v>
      </c>
      <c r="I303" s="32">
        <f t="shared" si="112"/>
        <v>0.72222222222222221</v>
      </c>
      <c r="J303" s="32">
        <f t="shared" si="113"/>
        <v>0.66666666666666663</v>
      </c>
      <c r="K303">
        <f>step3_validation[[#This Row],[AI_FAC1]]</f>
        <v>6</v>
      </c>
      <c r="L303">
        <f t="shared" si="114"/>
        <v>0.55555555555555558</v>
      </c>
      <c r="M303">
        <f>[1]!survey_responses[[#This Row],[Các thủ tục khai báo thuế VÀ/HOẶC quy trình làm việc với cơ quan thuế đơn giản, tiện lợi, nhanh chóng hơn so với trước đây. - HUMAN-FAC1]]</f>
        <v>4</v>
      </c>
      <c r="N303">
        <f t="shared" si="115"/>
        <v>0.33333333333333331</v>
      </c>
      <c r="O303">
        <f>step3_validation[[#This Row],[AI_FAC2]]</f>
        <v>5</v>
      </c>
      <c r="P303">
        <f t="shared" si="116"/>
        <v>0.44444444444444442</v>
      </c>
      <c r="Q303">
        <f>[1]!survey_responses[[#This Row],[So với trước đây, tôi thấy cách tính thuế và các bậc thuế trong phương án mới đơn giản, dễ hiểu và dễ thực hiện hơn. - HUMAN-FAC2]]</f>
        <v>8</v>
      </c>
      <c r="R303">
        <f t="shared" si="117"/>
        <v>0.77777777777777779</v>
      </c>
      <c r="S303" s="32">
        <f t="shared" si="118"/>
        <v>0.5</v>
      </c>
      <c r="T303" s="32">
        <f t="shared" si="119"/>
        <v>0.55555555555555558</v>
      </c>
      <c r="U303">
        <f>step3_validation[[#This Row],[AI_TRU1]]</f>
        <v>6</v>
      </c>
      <c r="V303">
        <f t="shared" si="120"/>
        <v>0.55555555555555558</v>
      </c>
      <c r="W303">
        <f>[1]!survey_responses[[#This Row],[Tôi tin rằng Nhà nước, cơ quan thuế sẽ thực thi chính sách mới một cách khách quan, công tâm và đối xử bình đẳng với mọi người nộp thuế.  - HUMAN-TRU1]]</f>
        <v>7</v>
      </c>
      <c r="X303">
        <f t="shared" si="121"/>
        <v>0.66666666666666663</v>
      </c>
      <c r="Y303">
        <f>step3_validation[[#This Row],[AI_TRU2]]</f>
        <v>7</v>
      </c>
      <c r="Z303">
        <f t="shared" si="122"/>
        <v>0.66666666666666663</v>
      </c>
      <c r="AA303">
        <f>[1]!survey_responses[[#This Row],[Tôi thấy mức thuế tôi phải đóng theo phương án mới là công bằng (người thu nhập như tôi đóng mức này là hợp lý). - HUMAN-TRU2]]</f>
        <v>7</v>
      </c>
      <c r="AB303">
        <f t="shared" si="123"/>
        <v>0.66666666666666663</v>
      </c>
      <c r="AC303">
        <f>step3_validation[[#This Row],[AI_TRU3]]</f>
        <v>6</v>
      </c>
      <c r="AD303">
        <f t="shared" si="124"/>
        <v>0.55555555555555558</v>
      </c>
      <c r="AE303">
        <f>[1]!survey_responses[[#This Row],[Tôi tin tưởng số tiền thuế tôi đóng sẽ được Nhà nước sử dụng hiệu quả để cải thiện dịch vụ công (y tế, đường xá...). - HUMAN-TRU3]]</f>
        <v>5</v>
      </c>
      <c r="AF303">
        <f t="shared" si="125"/>
        <v>0.44444444444444442</v>
      </c>
      <c r="AG303">
        <f>step3_validation[[#This Row],[AI_TRU4]]</f>
        <v>7</v>
      </c>
      <c r="AH303">
        <f t="shared" si="126"/>
        <v>0.66666666666666663</v>
      </c>
      <c r="AI303">
        <f>[1]!survey_responses[[#This Row],[Tôi thấy Nhà nước đã giải thích rõ ràng, minh bạch về lý do và mục tiêu của việc sửa đổi thuế lần này. - HUMAN-TRU4]]</f>
        <v>5</v>
      </c>
      <c r="AJ303">
        <f t="shared" si="127"/>
        <v>0.44444444444444442</v>
      </c>
      <c r="AK303" s="32">
        <f t="shared" si="128"/>
        <v>0.61111111111111116</v>
      </c>
      <c r="AL303" s="32">
        <f t="shared" si="129"/>
        <v>0.55555555555555558</v>
      </c>
      <c r="AM303" s="7">
        <f t="shared" si="130"/>
        <v>0.61111111111111116</v>
      </c>
      <c r="AN303" s="7">
        <f t="shared" si="131"/>
        <v>0.59259259259259267</v>
      </c>
      <c r="AO303">
        <f>step3_validation[[#This Row],[AI_OUT1]]</f>
        <v>6</v>
      </c>
      <c r="AP303">
        <f t="shared" si="132"/>
        <v>0.55555555555555558</v>
      </c>
      <c r="AQ303">
        <f>[1]!survey_responses[[#This Row],[Sau khi xem xét các quyền lợi và nghĩa vụ, bạn có ủng hộ và tuân thủ chính sách mới hiện nay? - HUMAN-OUT1]]</f>
        <v>7</v>
      </c>
      <c r="AR303">
        <f t="shared" si="133"/>
        <v>0.66666666666666663</v>
      </c>
      <c r="AS303" s="32">
        <f t="shared" si="134"/>
        <v>1</v>
      </c>
    </row>
    <row r="304" spans="1:45" x14ac:dyDescent="0.45">
      <c r="A304">
        <f>step3_validation[[#This Row],[AI_ENF1]]</f>
        <v>7</v>
      </c>
      <c r="B304">
        <f t="shared" si="108"/>
        <v>0.66666666666666663</v>
      </c>
      <c r="C304">
        <f>[1]!survey_responses[[#This Row],[Tôi tin rằng với các quy định quản lý thuế hiện nay, hành vi gian lận hoặc trốn thuế sẽ dễ dàng bị phát hiện và xử lý nghiêm. - HUMAN-ENF1]]</f>
        <v>6</v>
      </c>
      <c r="D304">
        <f t="shared" si="109"/>
        <v>0.55555555555555558</v>
      </c>
      <c r="E304">
        <f>step3_validation[[#This Row],[AI_ENF2]]</f>
        <v>8</v>
      </c>
      <c r="F304">
        <f t="shared" si="110"/>
        <v>0.77777777777777779</v>
      </c>
      <c r="G304">
        <f>[1]!survey_responses[[#This Row],[Tôi tin rằng Nhà nước, cơ quan thuế có đủ khả năng và công nghệ để phát hiện, xử lý nghiêm các hành vi trốn thuế. - HUMAN-ENF2]]</f>
        <v>10</v>
      </c>
      <c r="H304">
        <f t="shared" si="111"/>
        <v>1</v>
      </c>
      <c r="I304" s="32">
        <f t="shared" si="112"/>
        <v>0.72222222222222221</v>
      </c>
      <c r="J304" s="32">
        <f t="shared" si="113"/>
        <v>0.77777777777777779</v>
      </c>
      <c r="K304">
        <f>step3_validation[[#This Row],[AI_FAC1]]</f>
        <v>9</v>
      </c>
      <c r="L304">
        <f t="shared" si="114"/>
        <v>0.88888888888888884</v>
      </c>
      <c r="M304">
        <f>[1]!survey_responses[[#This Row],[Các thủ tục khai báo thuế VÀ/HOẶC quy trình làm việc với cơ quan thuế đơn giản, tiện lợi, nhanh chóng hơn so với trước đây. - HUMAN-FAC1]]</f>
        <v>5</v>
      </c>
      <c r="N304">
        <f t="shared" si="115"/>
        <v>0.44444444444444442</v>
      </c>
      <c r="O304">
        <f>step3_validation[[#This Row],[AI_FAC2]]</f>
        <v>9</v>
      </c>
      <c r="P304">
        <f t="shared" si="116"/>
        <v>0.88888888888888884</v>
      </c>
      <c r="Q304">
        <f>[1]!survey_responses[[#This Row],[So với trước đây, tôi thấy cách tính thuế và các bậc thuế trong phương án mới đơn giản, dễ hiểu và dễ thực hiện hơn. - HUMAN-FAC2]]</f>
        <v>4</v>
      </c>
      <c r="R304">
        <f t="shared" si="117"/>
        <v>0.33333333333333331</v>
      </c>
      <c r="S304" s="32">
        <f t="shared" si="118"/>
        <v>0.88888888888888884</v>
      </c>
      <c r="T304" s="32">
        <f t="shared" si="119"/>
        <v>0.38888888888888884</v>
      </c>
      <c r="U304">
        <f>step3_validation[[#This Row],[AI_TRU1]]</f>
        <v>8</v>
      </c>
      <c r="V304">
        <f t="shared" si="120"/>
        <v>0.77777777777777779</v>
      </c>
      <c r="W304">
        <f>[1]!survey_responses[[#This Row],[Tôi tin rằng Nhà nước, cơ quan thuế sẽ thực thi chính sách mới một cách khách quan, công tâm và đối xử bình đẳng với mọi người nộp thuế.  - HUMAN-TRU1]]</f>
        <v>3</v>
      </c>
      <c r="X304">
        <f t="shared" si="121"/>
        <v>0.22222222222222221</v>
      </c>
      <c r="Y304">
        <f>step3_validation[[#This Row],[AI_TRU2]]</f>
        <v>8</v>
      </c>
      <c r="Z304">
        <f t="shared" si="122"/>
        <v>0.77777777777777779</v>
      </c>
      <c r="AA304">
        <f>[1]!survey_responses[[#This Row],[Tôi thấy mức thuế tôi phải đóng theo phương án mới là công bằng (người thu nhập như tôi đóng mức này là hợp lý). - HUMAN-TRU2]]</f>
        <v>7</v>
      </c>
      <c r="AB304">
        <f t="shared" si="123"/>
        <v>0.66666666666666663</v>
      </c>
      <c r="AC304">
        <f>step3_validation[[#This Row],[AI_TRU3]]</f>
        <v>8</v>
      </c>
      <c r="AD304">
        <f t="shared" si="124"/>
        <v>0.77777777777777779</v>
      </c>
      <c r="AE304">
        <f>[1]!survey_responses[[#This Row],[Tôi tin tưởng số tiền thuế tôi đóng sẽ được Nhà nước sử dụng hiệu quả để cải thiện dịch vụ công (y tế, đường xá...). - HUMAN-TRU3]]</f>
        <v>4</v>
      </c>
      <c r="AF304">
        <f t="shared" si="125"/>
        <v>0.33333333333333331</v>
      </c>
      <c r="AG304">
        <f>step3_validation[[#This Row],[AI_TRU4]]</f>
        <v>8</v>
      </c>
      <c r="AH304">
        <f t="shared" si="126"/>
        <v>0.77777777777777779</v>
      </c>
      <c r="AI304">
        <f>[1]!survey_responses[[#This Row],[Tôi thấy Nhà nước đã giải thích rõ ràng, minh bạch về lý do và mục tiêu của việc sửa đổi thuế lần này. - HUMAN-TRU4]]</f>
        <v>4</v>
      </c>
      <c r="AJ304">
        <f t="shared" si="127"/>
        <v>0.33333333333333331</v>
      </c>
      <c r="AK304" s="32">
        <f t="shared" si="128"/>
        <v>0.77777777777777779</v>
      </c>
      <c r="AL304" s="32">
        <f t="shared" si="129"/>
        <v>0.38888888888888884</v>
      </c>
      <c r="AM304" s="7">
        <f t="shared" si="130"/>
        <v>0.79629629629629628</v>
      </c>
      <c r="AN304" s="7">
        <f t="shared" si="131"/>
        <v>0.51851851851851849</v>
      </c>
      <c r="AO304">
        <f>step3_validation[[#This Row],[AI_OUT1]]</f>
        <v>8</v>
      </c>
      <c r="AP304">
        <f t="shared" si="132"/>
        <v>0.77777777777777779</v>
      </c>
      <c r="AQ304">
        <f>[1]!survey_responses[[#This Row],[Sau khi xem xét các quyền lợi và nghĩa vụ, bạn có ủng hộ và tuân thủ chính sách mới hiện nay? - HUMAN-OUT1]]</f>
        <v>5</v>
      </c>
      <c r="AR304">
        <f t="shared" si="133"/>
        <v>0.44444444444444442</v>
      </c>
      <c r="AS304" s="32">
        <f t="shared" si="134"/>
        <v>3</v>
      </c>
    </row>
    <row r="305" spans="1:45" x14ac:dyDescent="0.45">
      <c r="A305">
        <f>step3_validation[[#This Row],[AI_ENF1]]</f>
        <v>6</v>
      </c>
      <c r="B305">
        <f t="shared" si="108"/>
        <v>0.55555555555555558</v>
      </c>
      <c r="C305">
        <f>[1]!survey_responses[[#This Row],[Tôi tin rằng với các quy định quản lý thuế hiện nay, hành vi gian lận hoặc trốn thuế sẽ dễ dàng bị phát hiện và xử lý nghiêm. - HUMAN-ENF1]]</f>
        <v>10</v>
      </c>
      <c r="D305">
        <f t="shared" si="109"/>
        <v>1</v>
      </c>
      <c r="E305">
        <f>step3_validation[[#This Row],[AI_ENF2]]</f>
        <v>7</v>
      </c>
      <c r="F305">
        <f t="shared" si="110"/>
        <v>0.66666666666666663</v>
      </c>
      <c r="G305">
        <f>[1]!survey_responses[[#This Row],[Tôi tin rằng Nhà nước, cơ quan thuế có đủ khả năng và công nghệ để phát hiện, xử lý nghiêm các hành vi trốn thuế. - HUMAN-ENF2]]</f>
        <v>10</v>
      </c>
      <c r="H305">
        <f t="shared" si="111"/>
        <v>1</v>
      </c>
      <c r="I305" s="32">
        <f t="shared" si="112"/>
        <v>0.61111111111111116</v>
      </c>
      <c r="J305" s="32">
        <f t="shared" si="113"/>
        <v>1</v>
      </c>
      <c r="K305">
        <f>step3_validation[[#This Row],[AI_FAC1]]</f>
        <v>8</v>
      </c>
      <c r="L305">
        <f t="shared" si="114"/>
        <v>0.77777777777777779</v>
      </c>
      <c r="M305">
        <f>[1]!survey_responses[[#This Row],[Các thủ tục khai báo thuế VÀ/HOẶC quy trình làm việc với cơ quan thuế đơn giản, tiện lợi, nhanh chóng hơn so với trước đây. - HUMAN-FAC1]]</f>
        <v>10</v>
      </c>
      <c r="N305">
        <f t="shared" si="115"/>
        <v>1</v>
      </c>
      <c r="O305">
        <f>step3_validation[[#This Row],[AI_FAC2]]</f>
        <v>7</v>
      </c>
      <c r="P305">
        <f t="shared" si="116"/>
        <v>0.66666666666666663</v>
      </c>
      <c r="Q305">
        <f>[1]!survey_responses[[#This Row],[So với trước đây, tôi thấy cách tính thuế và các bậc thuế trong phương án mới đơn giản, dễ hiểu và dễ thực hiện hơn. - HUMAN-FAC2]]</f>
        <v>10</v>
      </c>
      <c r="R305">
        <f t="shared" si="117"/>
        <v>1</v>
      </c>
      <c r="S305" s="32">
        <f t="shared" si="118"/>
        <v>0.72222222222222221</v>
      </c>
      <c r="T305" s="32">
        <f t="shared" si="119"/>
        <v>1</v>
      </c>
      <c r="U305">
        <f>step3_validation[[#This Row],[AI_TRU1]]</f>
        <v>6</v>
      </c>
      <c r="V305">
        <f t="shared" si="120"/>
        <v>0.55555555555555558</v>
      </c>
      <c r="W305">
        <f>[1]!survey_responses[[#This Row],[Tôi tin rằng Nhà nước, cơ quan thuế sẽ thực thi chính sách mới một cách khách quan, công tâm và đối xử bình đẳng với mọi người nộp thuế.  - HUMAN-TRU1]]</f>
        <v>10</v>
      </c>
      <c r="X305">
        <f t="shared" si="121"/>
        <v>1</v>
      </c>
      <c r="Y305">
        <f>step3_validation[[#This Row],[AI_TRU2]]</f>
        <v>5</v>
      </c>
      <c r="Z305">
        <f t="shared" si="122"/>
        <v>0.44444444444444442</v>
      </c>
      <c r="AA305">
        <f>[1]!survey_responses[[#This Row],[Tôi thấy mức thuế tôi phải đóng theo phương án mới là công bằng (người thu nhập như tôi đóng mức này là hợp lý). - HUMAN-TRU2]]</f>
        <v>10</v>
      </c>
      <c r="AB305">
        <f t="shared" si="123"/>
        <v>1</v>
      </c>
      <c r="AC305">
        <f>step3_validation[[#This Row],[AI_TRU3]]</f>
        <v>4</v>
      </c>
      <c r="AD305">
        <f t="shared" si="124"/>
        <v>0.33333333333333331</v>
      </c>
      <c r="AE305">
        <f>[1]!survey_responses[[#This Row],[Tôi tin tưởng số tiền thuế tôi đóng sẽ được Nhà nước sử dụng hiệu quả để cải thiện dịch vụ công (y tế, đường xá...). - HUMAN-TRU3]]</f>
        <v>10</v>
      </c>
      <c r="AF305">
        <f t="shared" si="125"/>
        <v>1</v>
      </c>
      <c r="AG305">
        <f>step3_validation[[#This Row],[AI_TRU4]]</f>
        <v>6</v>
      </c>
      <c r="AH305">
        <f t="shared" si="126"/>
        <v>0.55555555555555558</v>
      </c>
      <c r="AI305">
        <f>[1]!survey_responses[[#This Row],[Tôi thấy Nhà nước đã giải thích rõ ràng, minh bạch về lý do và mục tiêu của việc sửa đổi thuế lần này. - HUMAN-TRU4]]</f>
        <v>10</v>
      </c>
      <c r="AJ305">
        <f t="shared" si="127"/>
        <v>1</v>
      </c>
      <c r="AK305" s="32">
        <f t="shared" si="128"/>
        <v>0.47222222222222221</v>
      </c>
      <c r="AL305" s="32">
        <f t="shared" si="129"/>
        <v>1</v>
      </c>
      <c r="AM305" s="7">
        <f t="shared" si="130"/>
        <v>0.60185185185185197</v>
      </c>
      <c r="AN305" s="7">
        <f t="shared" si="131"/>
        <v>1</v>
      </c>
      <c r="AO305">
        <f>step3_validation[[#This Row],[AI_OUT1]]</f>
        <v>5</v>
      </c>
      <c r="AP305">
        <f t="shared" si="132"/>
        <v>0.44444444444444442</v>
      </c>
      <c r="AQ305">
        <f>[1]!survey_responses[[#This Row],[Sau khi xem xét các quyền lợi và nghĩa vụ, bạn có ủng hộ và tuân thủ chính sách mới hiện nay? - HUMAN-OUT1]]</f>
        <v>10</v>
      </c>
      <c r="AR305">
        <f t="shared" si="133"/>
        <v>1</v>
      </c>
      <c r="AS305" s="32">
        <f t="shared" si="134"/>
        <v>5</v>
      </c>
    </row>
    <row r="306" spans="1:45" x14ac:dyDescent="0.45">
      <c r="A306">
        <f>step3_validation[[#This Row],[AI_ENF1]]</f>
        <v>6</v>
      </c>
      <c r="B306">
        <f t="shared" si="108"/>
        <v>0.55555555555555558</v>
      </c>
      <c r="C306">
        <f>[1]!survey_responses[[#This Row],[Tôi tin rằng với các quy định quản lý thuế hiện nay, hành vi gian lận hoặc trốn thuế sẽ dễ dàng bị phát hiện và xử lý nghiêm. - HUMAN-ENF1]]</f>
        <v>7</v>
      </c>
      <c r="D306">
        <f t="shared" si="109"/>
        <v>0.66666666666666663</v>
      </c>
      <c r="E306">
        <f>step3_validation[[#This Row],[AI_ENF2]]</f>
        <v>7</v>
      </c>
      <c r="F306">
        <f t="shared" si="110"/>
        <v>0.66666666666666663</v>
      </c>
      <c r="G306">
        <f>[1]!survey_responses[[#This Row],[Tôi tin rằng Nhà nước, cơ quan thuế có đủ khả năng và công nghệ để phát hiện, xử lý nghiêm các hành vi trốn thuế. - HUMAN-ENF2]]</f>
        <v>9</v>
      </c>
      <c r="H306">
        <f t="shared" si="111"/>
        <v>0.88888888888888884</v>
      </c>
      <c r="I306" s="32">
        <f t="shared" si="112"/>
        <v>0.61111111111111116</v>
      </c>
      <c r="J306" s="32">
        <f t="shared" si="113"/>
        <v>0.77777777777777768</v>
      </c>
      <c r="K306">
        <f>step3_validation[[#This Row],[AI_FAC1]]</f>
        <v>8</v>
      </c>
      <c r="L306">
        <f t="shared" si="114"/>
        <v>0.77777777777777779</v>
      </c>
      <c r="M306">
        <f>[1]!survey_responses[[#This Row],[Các thủ tục khai báo thuế VÀ/HOẶC quy trình làm việc với cơ quan thuế đơn giản, tiện lợi, nhanh chóng hơn so với trước đây. - HUMAN-FAC1]]</f>
        <v>8</v>
      </c>
      <c r="N306">
        <f t="shared" si="115"/>
        <v>0.77777777777777779</v>
      </c>
      <c r="O306">
        <f>step3_validation[[#This Row],[AI_FAC2]]</f>
        <v>6</v>
      </c>
      <c r="P306">
        <f t="shared" si="116"/>
        <v>0.55555555555555558</v>
      </c>
      <c r="Q306">
        <f>[1]!survey_responses[[#This Row],[So với trước đây, tôi thấy cách tính thuế và các bậc thuế trong phương án mới đơn giản, dễ hiểu và dễ thực hiện hơn. - HUMAN-FAC2]]</f>
        <v>6</v>
      </c>
      <c r="R306">
        <f t="shared" si="117"/>
        <v>0.55555555555555558</v>
      </c>
      <c r="S306" s="32">
        <f t="shared" si="118"/>
        <v>0.66666666666666674</v>
      </c>
      <c r="T306" s="32">
        <f t="shared" si="119"/>
        <v>0.66666666666666674</v>
      </c>
      <c r="U306">
        <f>step3_validation[[#This Row],[AI_TRU1]]</f>
        <v>8</v>
      </c>
      <c r="V306">
        <f t="shared" si="120"/>
        <v>0.77777777777777779</v>
      </c>
      <c r="W306">
        <f>[1]!survey_responses[[#This Row],[Tôi tin rằng Nhà nước, cơ quan thuế sẽ thực thi chính sách mới một cách khách quan, công tâm và đối xử bình đẳng với mọi người nộp thuế.  - HUMAN-TRU1]]</f>
        <v>5</v>
      </c>
      <c r="X306">
        <f t="shared" si="121"/>
        <v>0.44444444444444442</v>
      </c>
      <c r="Y306">
        <f>step3_validation[[#This Row],[AI_TRU2]]</f>
        <v>7</v>
      </c>
      <c r="Z306">
        <f t="shared" si="122"/>
        <v>0.66666666666666663</v>
      </c>
      <c r="AA306">
        <f>[1]!survey_responses[[#This Row],[Tôi thấy mức thuế tôi phải đóng theo phương án mới là công bằng (người thu nhập như tôi đóng mức này là hợp lý). - HUMAN-TRU2]]</f>
        <v>3</v>
      </c>
      <c r="AB306">
        <f t="shared" si="123"/>
        <v>0.22222222222222221</v>
      </c>
      <c r="AC306">
        <f>step3_validation[[#This Row],[AI_TRU3]]</f>
        <v>6</v>
      </c>
      <c r="AD306">
        <f t="shared" si="124"/>
        <v>0.55555555555555558</v>
      </c>
      <c r="AE306">
        <f>[1]!survey_responses[[#This Row],[Tôi tin tưởng số tiền thuế tôi đóng sẽ được Nhà nước sử dụng hiệu quả để cải thiện dịch vụ công (y tế, đường xá...). - HUMAN-TRU3]]</f>
        <v>9</v>
      </c>
      <c r="AF306">
        <f t="shared" si="125"/>
        <v>0.88888888888888884</v>
      </c>
      <c r="AG306">
        <f>step3_validation[[#This Row],[AI_TRU4]]</f>
        <v>5</v>
      </c>
      <c r="AH306">
        <f t="shared" si="126"/>
        <v>0.44444444444444442</v>
      </c>
      <c r="AI306">
        <f>[1]!survey_responses[[#This Row],[Tôi thấy Nhà nước đã giải thích rõ ràng, minh bạch về lý do và mục tiêu của việc sửa đổi thuế lần này. - HUMAN-TRU4]]</f>
        <v>3</v>
      </c>
      <c r="AJ306">
        <f t="shared" si="127"/>
        <v>0.22222222222222221</v>
      </c>
      <c r="AK306" s="32">
        <f t="shared" si="128"/>
        <v>0.61111111111111116</v>
      </c>
      <c r="AL306" s="32">
        <f t="shared" si="129"/>
        <v>0.44444444444444442</v>
      </c>
      <c r="AM306" s="7">
        <f t="shared" si="130"/>
        <v>0.62962962962962965</v>
      </c>
      <c r="AN306" s="7">
        <f t="shared" si="131"/>
        <v>0.62962962962962965</v>
      </c>
      <c r="AO306">
        <f>step3_validation[[#This Row],[AI_OUT1]]</f>
        <v>7</v>
      </c>
      <c r="AP306">
        <f t="shared" si="132"/>
        <v>0.66666666666666663</v>
      </c>
      <c r="AQ306">
        <f>[1]!survey_responses[[#This Row],[Sau khi xem xét các quyền lợi và nghĩa vụ, bạn có ủng hộ và tuân thủ chính sách mới hiện nay? - HUMAN-OUT1]]</f>
        <v>4</v>
      </c>
      <c r="AR306">
        <f t="shared" si="133"/>
        <v>0.33333333333333331</v>
      </c>
      <c r="AS306" s="32">
        <f t="shared" si="134"/>
        <v>3</v>
      </c>
    </row>
    <row r="307" spans="1:45" x14ac:dyDescent="0.45">
      <c r="A307">
        <f>step3_validation[[#This Row],[AI_ENF1]]</f>
        <v>8</v>
      </c>
      <c r="B307">
        <f t="shared" si="108"/>
        <v>0.77777777777777779</v>
      </c>
      <c r="C307">
        <f>[1]!survey_responses[[#This Row],[Tôi tin rằng với các quy định quản lý thuế hiện nay, hành vi gian lận hoặc trốn thuế sẽ dễ dàng bị phát hiện và xử lý nghiêm. - HUMAN-ENF1]]</f>
        <v>3</v>
      </c>
      <c r="D307">
        <f t="shared" si="109"/>
        <v>0.22222222222222221</v>
      </c>
      <c r="E307">
        <f>step3_validation[[#This Row],[AI_ENF2]]</f>
        <v>7</v>
      </c>
      <c r="F307">
        <f t="shared" si="110"/>
        <v>0.66666666666666663</v>
      </c>
      <c r="G307">
        <f>[1]!survey_responses[[#This Row],[Tôi tin rằng Nhà nước, cơ quan thuế có đủ khả năng và công nghệ để phát hiện, xử lý nghiêm các hành vi trốn thuế. - HUMAN-ENF2]]</f>
        <v>8</v>
      </c>
      <c r="H307">
        <f t="shared" si="111"/>
        <v>0.77777777777777779</v>
      </c>
      <c r="I307" s="32">
        <f t="shared" si="112"/>
        <v>0.72222222222222221</v>
      </c>
      <c r="J307" s="32">
        <f t="shared" si="113"/>
        <v>0.5</v>
      </c>
      <c r="K307">
        <f>step3_validation[[#This Row],[AI_FAC1]]</f>
        <v>9</v>
      </c>
      <c r="L307">
        <f t="shared" si="114"/>
        <v>0.88888888888888884</v>
      </c>
      <c r="M307">
        <f>[1]!survey_responses[[#This Row],[Các thủ tục khai báo thuế VÀ/HOẶC quy trình làm việc với cơ quan thuế đơn giản, tiện lợi, nhanh chóng hơn so với trước đây. - HUMAN-FAC1]]</f>
        <v>8</v>
      </c>
      <c r="N307">
        <f t="shared" si="115"/>
        <v>0.77777777777777779</v>
      </c>
      <c r="O307">
        <f>step3_validation[[#This Row],[AI_FAC2]]</f>
        <v>8</v>
      </c>
      <c r="P307">
        <f t="shared" si="116"/>
        <v>0.77777777777777779</v>
      </c>
      <c r="Q307">
        <f>[1]!survey_responses[[#This Row],[So với trước đây, tôi thấy cách tính thuế và các bậc thuế trong phương án mới đơn giản, dễ hiểu và dễ thực hiện hơn. - HUMAN-FAC2]]</f>
        <v>4</v>
      </c>
      <c r="R307">
        <f t="shared" si="117"/>
        <v>0.33333333333333331</v>
      </c>
      <c r="S307" s="32">
        <f t="shared" si="118"/>
        <v>0.83333333333333326</v>
      </c>
      <c r="T307" s="32">
        <f t="shared" si="119"/>
        <v>0.55555555555555558</v>
      </c>
      <c r="U307">
        <f>step3_validation[[#This Row],[AI_TRU1]]</f>
        <v>8</v>
      </c>
      <c r="V307">
        <f t="shared" si="120"/>
        <v>0.77777777777777779</v>
      </c>
      <c r="W307">
        <f>[1]!survey_responses[[#This Row],[Tôi tin rằng Nhà nước, cơ quan thuế sẽ thực thi chính sách mới một cách khách quan, công tâm và đối xử bình đẳng với mọi người nộp thuế.  - HUMAN-TRU1]]</f>
        <v>4</v>
      </c>
      <c r="X307">
        <f t="shared" si="121"/>
        <v>0.33333333333333331</v>
      </c>
      <c r="Y307">
        <f>step3_validation[[#This Row],[AI_TRU2]]</f>
        <v>9</v>
      </c>
      <c r="Z307">
        <f t="shared" si="122"/>
        <v>0.88888888888888884</v>
      </c>
      <c r="AA307">
        <f>[1]!survey_responses[[#This Row],[Tôi thấy mức thuế tôi phải đóng theo phương án mới là công bằng (người thu nhập như tôi đóng mức này là hợp lý). - HUMAN-TRU2]]</f>
        <v>3</v>
      </c>
      <c r="AB307">
        <f t="shared" si="123"/>
        <v>0.22222222222222221</v>
      </c>
      <c r="AC307">
        <f>step3_validation[[#This Row],[AI_TRU3]]</f>
        <v>7</v>
      </c>
      <c r="AD307">
        <f t="shared" si="124"/>
        <v>0.66666666666666663</v>
      </c>
      <c r="AE307">
        <f>[1]!survey_responses[[#This Row],[Tôi tin tưởng số tiền thuế tôi đóng sẽ được Nhà nước sử dụng hiệu quả để cải thiện dịch vụ công (y tế, đường xá...). - HUMAN-TRU3]]</f>
        <v>7</v>
      </c>
      <c r="AF307">
        <f t="shared" si="125"/>
        <v>0.66666666666666663</v>
      </c>
      <c r="AG307">
        <f>step3_validation[[#This Row],[AI_TRU4]]</f>
        <v>6</v>
      </c>
      <c r="AH307">
        <f t="shared" si="126"/>
        <v>0.55555555555555558</v>
      </c>
      <c r="AI307">
        <f>[1]!survey_responses[[#This Row],[Tôi thấy Nhà nước đã giải thích rõ ràng, minh bạch về lý do và mục tiêu của việc sửa đổi thuế lần này. - HUMAN-TRU4]]</f>
        <v>5</v>
      </c>
      <c r="AJ307">
        <f t="shared" si="127"/>
        <v>0.44444444444444442</v>
      </c>
      <c r="AK307" s="32">
        <f t="shared" si="128"/>
        <v>0.7222222222222221</v>
      </c>
      <c r="AL307" s="32">
        <f t="shared" si="129"/>
        <v>0.41666666666666669</v>
      </c>
      <c r="AM307" s="7">
        <f t="shared" si="130"/>
        <v>0.75925925925925919</v>
      </c>
      <c r="AN307" s="7">
        <f t="shared" si="131"/>
        <v>0.49074074074074076</v>
      </c>
      <c r="AO307">
        <f>step3_validation[[#This Row],[AI_OUT1]]</f>
        <v>8</v>
      </c>
      <c r="AP307">
        <f t="shared" si="132"/>
        <v>0.77777777777777779</v>
      </c>
      <c r="AQ307">
        <f>[1]!survey_responses[[#This Row],[Sau khi xem xét các quyền lợi và nghĩa vụ, bạn có ủng hộ và tuân thủ chính sách mới hiện nay? - HUMAN-OUT1]]</f>
        <v>5</v>
      </c>
      <c r="AR307">
        <f t="shared" si="133"/>
        <v>0.44444444444444442</v>
      </c>
      <c r="AS307" s="32">
        <f t="shared" si="134"/>
        <v>3</v>
      </c>
    </row>
    <row r="308" spans="1:45" x14ac:dyDescent="0.45">
      <c r="A308">
        <f>step3_validation[[#This Row],[AI_ENF1]]</f>
        <v>8</v>
      </c>
      <c r="B308">
        <f t="shared" si="108"/>
        <v>0.77777777777777779</v>
      </c>
      <c r="C308">
        <f>[1]!survey_responses[[#This Row],[Tôi tin rằng với các quy định quản lý thuế hiện nay, hành vi gian lận hoặc trốn thuế sẽ dễ dàng bị phát hiện và xử lý nghiêm. - HUMAN-ENF1]]</f>
        <v>2</v>
      </c>
      <c r="D308">
        <f t="shared" si="109"/>
        <v>0.1111111111111111</v>
      </c>
      <c r="E308">
        <f>step3_validation[[#This Row],[AI_ENF2]]</f>
        <v>7</v>
      </c>
      <c r="F308">
        <f t="shared" si="110"/>
        <v>0.66666666666666663</v>
      </c>
      <c r="G308">
        <f>[1]!survey_responses[[#This Row],[Tôi tin rằng Nhà nước, cơ quan thuế có đủ khả năng và công nghệ để phát hiện, xử lý nghiêm các hành vi trốn thuế. - HUMAN-ENF2]]</f>
        <v>2</v>
      </c>
      <c r="H308">
        <f t="shared" si="111"/>
        <v>0.1111111111111111</v>
      </c>
      <c r="I308" s="32">
        <f t="shared" si="112"/>
        <v>0.72222222222222221</v>
      </c>
      <c r="J308" s="32">
        <f t="shared" si="113"/>
        <v>0.1111111111111111</v>
      </c>
      <c r="K308">
        <f>step3_validation[[#This Row],[AI_FAC1]]</f>
        <v>9</v>
      </c>
      <c r="L308">
        <f t="shared" si="114"/>
        <v>0.88888888888888884</v>
      </c>
      <c r="M308">
        <f>[1]!survey_responses[[#This Row],[Các thủ tục khai báo thuế VÀ/HOẶC quy trình làm việc với cơ quan thuế đơn giản, tiện lợi, nhanh chóng hơn so với trước đây. - HUMAN-FAC1]]</f>
        <v>2</v>
      </c>
      <c r="N308">
        <f t="shared" si="115"/>
        <v>0.1111111111111111</v>
      </c>
      <c r="O308">
        <f>step3_validation[[#This Row],[AI_FAC2]]</f>
        <v>8</v>
      </c>
      <c r="P308">
        <f t="shared" si="116"/>
        <v>0.77777777777777779</v>
      </c>
      <c r="Q308">
        <f>[1]!survey_responses[[#This Row],[So với trước đây, tôi thấy cách tính thuế và các bậc thuế trong phương án mới đơn giản, dễ hiểu và dễ thực hiện hơn. - HUMAN-FAC2]]</f>
        <v>1</v>
      </c>
      <c r="R308">
        <f t="shared" si="117"/>
        <v>0</v>
      </c>
      <c r="S308" s="32">
        <f t="shared" si="118"/>
        <v>0.83333333333333326</v>
      </c>
      <c r="T308" s="32">
        <f t="shared" si="119"/>
        <v>5.5555555555555552E-2</v>
      </c>
      <c r="U308">
        <f>step3_validation[[#This Row],[AI_TRU1]]</f>
        <v>9</v>
      </c>
      <c r="V308">
        <f t="shared" si="120"/>
        <v>0.88888888888888884</v>
      </c>
      <c r="W308">
        <f>[1]!survey_responses[[#This Row],[Tôi tin rằng Nhà nước, cơ quan thuế sẽ thực thi chính sách mới một cách khách quan, công tâm và đối xử bình đẳng với mọi người nộp thuế.  - HUMAN-TRU1]]</f>
        <v>2</v>
      </c>
      <c r="X308">
        <f t="shared" si="121"/>
        <v>0.1111111111111111</v>
      </c>
      <c r="Y308">
        <f>step3_validation[[#This Row],[AI_TRU2]]</f>
        <v>8</v>
      </c>
      <c r="Z308">
        <f t="shared" si="122"/>
        <v>0.77777777777777779</v>
      </c>
      <c r="AA308">
        <f>[1]!survey_responses[[#This Row],[Tôi thấy mức thuế tôi phải đóng theo phương án mới là công bằng (người thu nhập như tôi đóng mức này là hợp lý). - HUMAN-TRU2]]</f>
        <v>2</v>
      </c>
      <c r="AB308">
        <f t="shared" si="123"/>
        <v>0.1111111111111111</v>
      </c>
      <c r="AC308">
        <f>step3_validation[[#This Row],[AI_TRU3]]</f>
        <v>9</v>
      </c>
      <c r="AD308">
        <f t="shared" si="124"/>
        <v>0.88888888888888884</v>
      </c>
      <c r="AE308">
        <f>[1]!survey_responses[[#This Row],[Tôi tin tưởng số tiền thuế tôi đóng sẽ được Nhà nước sử dụng hiệu quả để cải thiện dịch vụ công (y tế, đường xá...). - HUMAN-TRU3]]</f>
        <v>2</v>
      </c>
      <c r="AF308">
        <f t="shared" si="125"/>
        <v>0.1111111111111111</v>
      </c>
      <c r="AG308">
        <f>step3_validation[[#This Row],[AI_TRU4]]</f>
        <v>7</v>
      </c>
      <c r="AH308">
        <f t="shared" si="126"/>
        <v>0.66666666666666663</v>
      </c>
      <c r="AI308">
        <f>[1]!survey_responses[[#This Row],[Tôi thấy Nhà nước đã giải thích rõ ràng, minh bạch về lý do và mục tiêu của việc sửa đổi thuế lần này. - HUMAN-TRU4]]</f>
        <v>2</v>
      </c>
      <c r="AJ308">
        <f t="shared" si="127"/>
        <v>0.1111111111111111</v>
      </c>
      <c r="AK308" s="32">
        <f t="shared" si="128"/>
        <v>0.80555555555555547</v>
      </c>
      <c r="AL308" s="32">
        <f t="shared" si="129"/>
        <v>0.1111111111111111</v>
      </c>
      <c r="AM308" s="7">
        <f t="shared" si="130"/>
        <v>0.78703703703703687</v>
      </c>
      <c r="AN308" s="7">
        <f t="shared" si="131"/>
        <v>9.2592592592592601E-2</v>
      </c>
      <c r="AO308">
        <f>step3_validation[[#This Row],[AI_OUT1]]</f>
        <v>9</v>
      </c>
      <c r="AP308">
        <f t="shared" si="132"/>
        <v>0.88888888888888884</v>
      </c>
      <c r="AQ308">
        <f>[1]!survey_responses[[#This Row],[Sau khi xem xét các quyền lợi và nghĩa vụ, bạn có ủng hộ và tuân thủ chính sách mới hiện nay? - HUMAN-OUT1]]</f>
        <v>2</v>
      </c>
      <c r="AR308">
        <f t="shared" si="133"/>
        <v>0.1111111111111111</v>
      </c>
      <c r="AS308" s="32">
        <f t="shared" si="134"/>
        <v>7</v>
      </c>
    </row>
    <row r="309" spans="1:45" x14ac:dyDescent="0.45">
      <c r="A309">
        <f>step3_validation[[#This Row],[AI_ENF1]]</f>
        <v>7</v>
      </c>
      <c r="B309">
        <f t="shared" si="108"/>
        <v>0.66666666666666663</v>
      </c>
      <c r="C309">
        <f>[1]!survey_responses[[#This Row],[Tôi tin rằng với các quy định quản lý thuế hiện nay, hành vi gian lận hoặc trốn thuế sẽ dễ dàng bị phát hiện và xử lý nghiêm. - HUMAN-ENF1]]</f>
        <v>10</v>
      </c>
      <c r="D309">
        <f t="shared" si="109"/>
        <v>1</v>
      </c>
      <c r="E309">
        <f>step3_validation[[#This Row],[AI_ENF2]]</f>
        <v>8</v>
      </c>
      <c r="F309">
        <f t="shared" si="110"/>
        <v>0.77777777777777779</v>
      </c>
      <c r="G309">
        <f>[1]!survey_responses[[#This Row],[Tôi tin rằng Nhà nước, cơ quan thuế có đủ khả năng và công nghệ để phát hiện, xử lý nghiêm các hành vi trốn thuế. - HUMAN-ENF2]]</f>
        <v>8</v>
      </c>
      <c r="H309">
        <f t="shared" si="111"/>
        <v>0.77777777777777779</v>
      </c>
      <c r="I309" s="32">
        <f t="shared" si="112"/>
        <v>0.72222222222222221</v>
      </c>
      <c r="J309" s="32">
        <f t="shared" si="113"/>
        <v>0.88888888888888884</v>
      </c>
      <c r="K309">
        <f>step3_validation[[#This Row],[AI_FAC1]]</f>
        <v>6</v>
      </c>
      <c r="L309">
        <f t="shared" si="114"/>
        <v>0.55555555555555558</v>
      </c>
      <c r="M309">
        <f>[1]!survey_responses[[#This Row],[Các thủ tục khai báo thuế VÀ/HOẶC quy trình làm việc với cơ quan thuế đơn giản, tiện lợi, nhanh chóng hơn so với trước đây. - HUMAN-FAC1]]</f>
        <v>8</v>
      </c>
      <c r="N309">
        <f t="shared" si="115"/>
        <v>0.77777777777777779</v>
      </c>
      <c r="O309">
        <f>step3_validation[[#This Row],[AI_FAC2]]</f>
        <v>6</v>
      </c>
      <c r="P309">
        <f t="shared" si="116"/>
        <v>0.55555555555555558</v>
      </c>
      <c r="Q309">
        <f>[1]!survey_responses[[#This Row],[So với trước đây, tôi thấy cách tính thuế và các bậc thuế trong phương án mới đơn giản, dễ hiểu và dễ thực hiện hơn. - HUMAN-FAC2]]</f>
        <v>8</v>
      </c>
      <c r="R309">
        <f t="shared" si="117"/>
        <v>0.77777777777777779</v>
      </c>
      <c r="S309" s="32">
        <f t="shared" si="118"/>
        <v>0.55555555555555558</v>
      </c>
      <c r="T309" s="32">
        <f t="shared" si="119"/>
        <v>0.77777777777777779</v>
      </c>
      <c r="U309">
        <f>step3_validation[[#This Row],[AI_TRU1]]</f>
        <v>7</v>
      </c>
      <c r="V309">
        <f t="shared" si="120"/>
        <v>0.66666666666666663</v>
      </c>
      <c r="W309">
        <f>[1]!survey_responses[[#This Row],[Tôi tin rằng Nhà nước, cơ quan thuế sẽ thực thi chính sách mới một cách khách quan, công tâm và đối xử bình đẳng với mọi người nộp thuế.  - HUMAN-TRU1]]</f>
        <v>10</v>
      </c>
      <c r="X309">
        <f t="shared" si="121"/>
        <v>1</v>
      </c>
      <c r="Y309">
        <f>step3_validation[[#This Row],[AI_TRU2]]</f>
        <v>8</v>
      </c>
      <c r="Z309">
        <f t="shared" si="122"/>
        <v>0.77777777777777779</v>
      </c>
      <c r="AA309">
        <f>[1]!survey_responses[[#This Row],[Tôi thấy mức thuế tôi phải đóng theo phương án mới là công bằng (người thu nhập như tôi đóng mức này là hợp lý). - HUMAN-TRU2]]</f>
        <v>10</v>
      </c>
      <c r="AB309">
        <f t="shared" si="123"/>
        <v>1</v>
      </c>
      <c r="AC309">
        <f>step3_validation[[#This Row],[AI_TRU3]]</f>
        <v>7</v>
      </c>
      <c r="AD309">
        <f t="shared" si="124"/>
        <v>0.66666666666666663</v>
      </c>
      <c r="AE309">
        <f>[1]!survey_responses[[#This Row],[Tôi tin tưởng số tiền thuế tôi đóng sẽ được Nhà nước sử dụng hiệu quả để cải thiện dịch vụ công (y tế, đường xá...). - HUMAN-TRU3]]</f>
        <v>6</v>
      </c>
      <c r="AF309">
        <f t="shared" si="125"/>
        <v>0.55555555555555558</v>
      </c>
      <c r="AG309">
        <f>step3_validation[[#This Row],[AI_TRU4]]</f>
        <v>7</v>
      </c>
      <c r="AH309">
        <f t="shared" si="126"/>
        <v>0.66666666666666663</v>
      </c>
      <c r="AI309">
        <f>[1]!survey_responses[[#This Row],[Tôi thấy Nhà nước đã giải thích rõ ràng, minh bạch về lý do và mục tiêu của việc sửa đổi thuế lần này. - HUMAN-TRU4]]</f>
        <v>8</v>
      </c>
      <c r="AJ309">
        <f t="shared" si="127"/>
        <v>0.77777777777777779</v>
      </c>
      <c r="AK309" s="32">
        <f t="shared" si="128"/>
        <v>0.69444444444444442</v>
      </c>
      <c r="AL309" s="32">
        <f t="shared" si="129"/>
        <v>0.83333333333333326</v>
      </c>
      <c r="AM309" s="7">
        <f t="shared" si="130"/>
        <v>0.65740740740740733</v>
      </c>
      <c r="AN309" s="7">
        <f t="shared" si="131"/>
        <v>0.83333333333333337</v>
      </c>
      <c r="AO309">
        <f>step3_validation[[#This Row],[AI_OUT1]]</f>
        <v>7</v>
      </c>
      <c r="AP309">
        <f t="shared" si="132"/>
        <v>0.66666666666666663</v>
      </c>
      <c r="AQ309">
        <f>[1]!survey_responses[[#This Row],[Sau khi xem xét các quyền lợi và nghĩa vụ, bạn có ủng hộ và tuân thủ chính sách mới hiện nay? - HUMAN-OUT1]]</f>
        <v>8</v>
      </c>
      <c r="AR309">
        <f t="shared" si="133"/>
        <v>0.77777777777777779</v>
      </c>
      <c r="AS309" s="32">
        <f t="shared" si="134"/>
        <v>1</v>
      </c>
    </row>
    <row r="310" spans="1:45" x14ac:dyDescent="0.45">
      <c r="A310">
        <f>step3_validation[[#This Row],[AI_ENF1]]</f>
        <v>6</v>
      </c>
      <c r="B310">
        <f t="shared" si="108"/>
        <v>0.55555555555555558</v>
      </c>
      <c r="C310">
        <f>[1]!survey_responses[[#This Row],[Tôi tin rằng với các quy định quản lý thuế hiện nay, hành vi gian lận hoặc trốn thuế sẽ dễ dàng bị phát hiện và xử lý nghiêm. - HUMAN-ENF1]]</f>
        <v>10</v>
      </c>
      <c r="D310">
        <f t="shared" si="109"/>
        <v>1</v>
      </c>
      <c r="E310">
        <f>step3_validation[[#This Row],[AI_ENF2]]</f>
        <v>7</v>
      </c>
      <c r="F310">
        <f t="shared" si="110"/>
        <v>0.66666666666666663</v>
      </c>
      <c r="G310">
        <f>[1]!survey_responses[[#This Row],[Tôi tin rằng Nhà nước, cơ quan thuế có đủ khả năng và công nghệ để phát hiện, xử lý nghiêm các hành vi trốn thuế. - HUMAN-ENF2]]</f>
        <v>10</v>
      </c>
      <c r="H310">
        <f t="shared" si="111"/>
        <v>1</v>
      </c>
      <c r="I310" s="32">
        <f t="shared" si="112"/>
        <v>0.61111111111111116</v>
      </c>
      <c r="J310" s="32">
        <f t="shared" si="113"/>
        <v>1</v>
      </c>
      <c r="K310">
        <f>step3_validation[[#This Row],[AI_FAC1]]</f>
        <v>8</v>
      </c>
      <c r="L310">
        <f t="shared" si="114"/>
        <v>0.77777777777777779</v>
      </c>
      <c r="M310">
        <f>[1]!survey_responses[[#This Row],[Các thủ tục khai báo thuế VÀ/HOẶC quy trình làm việc với cơ quan thuế đơn giản, tiện lợi, nhanh chóng hơn so với trước đây. - HUMAN-FAC1]]</f>
        <v>10</v>
      </c>
      <c r="N310">
        <f t="shared" si="115"/>
        <v>1</v>
      </c>
      <c r="O310">
        <f>step3_validation[[#This Row],[AI_FAC2]]</f>
        <v>9</v>
      </c>
      <c r="P310">
        <f t="shared" si="116"/>
        <v>0.88888888888888884</v>
      </c>
      <c r="Q310">
        <f>[1]!survey_responses[[#This Row],[So với trước đây, tôi thấy cách tính thuế và các bậc thuế trong phương án mới đơn giản, dễ hiểu và dễ thực hiện hơn. - HUMAN-FAC2]]</f>
        <v>10</v>
      </c>
      <c r="R310">
        <f t="shared" si="117"/>
        <v>1</v>
      </c>
      <c r="S310" s="32">
        <f t="shared" si="118"/>
        <v>0.83333333333333326</v>
      </c>
      <c r="T310" s="32">
        <f t="shared" si="119"/>
        <v>1</v>
      </c>
      <c r="U310">
        <f>step3_validation[[#This Row],[AI_TRU1]]</f>
        <v>7</v>
      </c>
      <c r="V310">
        <f t="shared" si="120"/>
        <v>0.66666666666666663</v>
      </c>
      <c r="W310">
        <f>[1]!survey_responses[[#This Row],[Tôi tin rằng Nhà nước, cơ quan thuế sẽ thực thi chính sách mới một cách khách quan, công tâm và đối xử bình đẳng với mọi người nộp thuế.  - HUMAN-TRU1]]</f>
        <v>10</v>
      </c>
      <c r="X310">
        <f t="shared" si="121"/>
        <v>1</v>
      </c>
      <c r="Y310">
        <f>step3_validation[[#This Row],[AI_TRU2]]</f>
        <v>6</v>
      </c>
      <c r="Z310">
        <f t="shared" si="122"/>
        <v>0.55555555555555558</v>
      </c>
      <c r="AA310">
        <f>[1]!survey_responses[[#This Row],[Tôi thấy mức thuế tôi phải đóng theo phương án mới là công bằng (người thu nhập như tôi đóng mức này là hợp lý). - HUMAN-TRU2]]</f>
        <v>9</v>
      </c>
      <c r="AB310">
        <f t="shared" si="123"/>
        <v>0.88888888888888884</v>
      </c>
      <c r="AC310">
        <f>step3_validation[[#This Row],[AI_TRU3]]</f>
        <v>5</v>
      </c>
      <c r="AD310">
        <f t="shared" si="124"/>
        <v>0.44444444444444442</v>
      </c>
      <c r="AE310">
        <f>[1]!survey_responses[[#This Row],[Tôi tin tưởng số tiền thuế tôi đóng sẽ được Nhà nước sử dụng hiệu quả để cải thiện dịch vụ công (y tế, đường xá...). - HUMAN-TRU3]]</f>
        <v>9</v>
      </c>
      <c r="AF310">
        <f t="shared" si="125"/>
        <v>0.88888888888888884</v>
      </c>
      <c r="AG310">
        <f>step3_validation[[#This Row],[AI_TRU4]]</f>
        <v>6</v>
      </c>
      <c r="AH310">
        <f t="shared" si="126"/>
        <v>0.55555555555555558</v>
      </c>
      <c r="AI310">
        <f>[1]!survey_responses[[#This Row],[Tôi thấy Nhà nước đã giải thích rõ ràng, minh bạch về lý do và mục tiêu của việc sửa đổi thuế lần này. - HUMAN-TRU4]]</f>
        <v>10</v>
      </c>
      <c r="AJ310">
        <f t="shared" si="127"/>
        <v>1</v>
      </c>
      <c r="AK310" s="32">
        <f t="shared" si="128"/>
        <v>0.55555555555555558</v>
      </c>
      <c r="AL310" s="32">
        <f t="shared" si="129"/>
        <v>0.94444444444444442</v>
      </c>
      <c r="AM310" s="7">
        <f t="shared" si="130"/>
        <v>0.66666666666666663</v>
      </c>
      <c r="AN310" s="7">
        <f t="shared" si="131"/>
        <v>0.98148148148148151</v>
      </c>
      <c r="AO310">
        <f>step3_validation[[#This Row],[AI_OUT1]]</f>
        <v>7</v>
      </c>
      <c r="AP310">
        <f t="shared" si="132"/>
        <v>0.66666666666666663</v>
      </c>
      <c r="AQ310">
        <f>[1]!survey_responses[[#This Row],[Sau khi xem xét các quyền lợi và nghĩa vụ, bạn có ủng hộ và tuân thủ chính sách mới hiện nay? - HUMAN-OUT1]]</f>
        <v>10</v>
      </c>
      <c r="AR310">
        <f t="shared" si="133"/>
        <v>1</v>
      </c>
      <c r="AS310" s="32">
        <f t="shared" si="134"/>
        <v>3</v>
      </c>
    </row>
    <row r="311" spans="1:45" x14ac:dyDescent="0.45">
      <c r="A311">
        <f>step3_validation[[#This Row],[AI_ENF1]]</f>
        <v>7</v>
      </c>
      <c r="B311">
        <f t="shared" si="108"/>
        <v>0.66666666666666663</v>
      </c>
      <c r="C311">
        <f>[1]!survey_responses[[#This Row],[Tôi tin rằng với các quy định quản lý thuế hiện nay, hành vi gian lận hoặc trốn thuế sẽ dễ dàng bị phát hiện và xử lý nghiêm. - HUMAN-ENF1]]</f>
        <v>7</v>
      </c>
      <c r="D311">
        <f t="shared" si="109"/>
        <v>0.66666666666666663</v>
      </c>
      <c r="E311">
        <f>step3_validation[[#This Row],[AI_ENF2]]</f>
        <v>8</v>
      </c>
      <c r="F311">
        <f t="shared" si="110"/>
        <v>0.77777777777777779</v>
      </c>
      <c r="G311">
        <f>[1]!survey_responses[[#This Row],[Tôi tin rằng Nhà nước, cơ quan thuế có đủ khả năng và công nghệ để phát hiện, xử lý nghiêm các hành vi trốn thuế. - HUMAN-ENF2]]</f>
        <v>7</v>
      </c>
      <c r="H311">
        <f t="shared" si="111"/>
        <v>0.66666666666666663</v>
      </c>
      <c r="I311" s="32">
        <f t="shared" si="112"/>
        <v>0.72222222222222221</v>
      </c>
      <c r="J311" s="32">
        <f t="shared" si="113"/>
        <v>0.66666666666666663</v>
      </c>
      <c r="K311">
        <f>step3_validation[[#This Row],[AI_FAC1]]</f>
        <v>6</v>
      </c>
      <c r="L311">
        <f t="shared" si="114"/>
        <v>0.55555555555555558</v>
      </c>
      <c r="M311">
        <f>[1]!survey_responses[[#This Row],[Các thủ tục khai báo thuế VÀ/HOẶC quy trình làm việc với cơ quan thuế đơn giản, tiện lợi, nhanh chóng hơn so với trước đây. - HUMAN-FAC1]]</f>
        <v>5</v>
      </c>
      <c r="N311">
        <f t="shared" si="115"/>
        <v>0.44444444444444442</v>
      </c>
      <c r="O311">
        <f>step3_validation[[#This Row],[AI_FAC2]]</f>
        <v>9</v>
      </c>
      <c r="P311">
        <f t="shared" si="116"/>
        <v>0.88888888888888884</v>
      </c>
      <c r="Q311">
        <f>[1]!survey_responses[[#This Row],[So với trước đây, tôi thấy cách tính thuế và các bậc thuế trong phương án mới đơn giản, dễ hiểu và dễ thực hiện hơn. - HUMAN-FAC2]]</f>
        <v>8</v>
      </c>
      <c r="R311">
        <f t="shared" si="117"/>
        <v>0.77777777777777779</v>
      </c>
      <c r="S311" s="32">
        <f t="shared" si="118"/>
        <v>0.72222222222222221</v>
      </c>
      <c r="T311" s="32">
        <f t="shared" si="119"/>
        <v>0.61111111111111116</v>
      </c>
      <c r="U311">
        <f>step3_validation[[#This Row],[AI_TRU1]]</f>
        <v>7</v>
      </c>
      <c r="V311">
        <f t="shared" si="120"/>
        <v>0.66666666666666663</v>
      </c>
      <c r="W311">
        <f>[1]!survey_responses[[#This Row],[Tôi tin rằng Nhà nước, cơ quan thuế sẽ thực thi chính sách mới một cách khách quan, công tâm và đối xử bình đẳng với mọi người nộp thuế.  - HUMAN-TRU1]]</f>
        <v>8</v>
      </c>
      <c r="X311">
        <f t="shared" si="121"/>
        <v>0.77777777777777779</v>
      </c>
      <c r="Y311">
        <f>step3_validation[[#This Row],[AI_TRU2]]</f>
        <v>6</v>
      </c>
      <c r="Z311">
        <f t="shared" si="122"/>
        <v>0.55555555555555558</v>
      </c>
      <c r="AA311">
        <f>[1]!survey_responses[[#This Row],[Tôi thấy mức thuế tôi phải đóng theo phương án mới là công bằng (người thu nhập như tôi đóng mức này là hợp lý). - HUMAN-TRU2]]</f>
        <v>9</v>
      </c>
      <c r="AB311">
        <f t="shared" si="123"/>
        <v>0.88888888888888884</v>
      </c>
      <c r="AC311">
        <f>step3_validation[[#This Row],[AI_TRU3]]</f>
        <v>7</v>
      </c>
      <c r="AD311">
        <f t="shared" si="124"/>
        <v>0.66666666666666663</v>
      </c>
      <c r="AE311">
        <f>[1]!survey_responses[[#This Row],[Tôi tin tưởng số tiền thuế tôi đóng sẽ được Nhà nước sử dụng hiệu quả để cải thiện dịch vụ công (y tế, đường xá...). - HUMAN-TRU3]]</f>
        <v>9</v>
      </c>
      <c r="AF311">
        <f t="shared" si="125"/>
        <v>0.88888888888888884</v>
      </c>
      <c r="AG311">
        <f>step3_validation[[#This Row],[AI_TRU4]]</f>
        <v>6</v>
      </c>
      <c r="AH311">
        <f t="shared" si="126"/>
        <v>0.55555555555555558</v>
      </c>
      <c r="AI311">
        <f>[1]!survey_responses[[#This Row],[Tôi thấy Nhà nước đã giải thích rõ ràng, minh bạch về lý do và mục tiêu của việc sửa đổi thuế lần này. - HUMAN-TRU4]]</f>
        <v>9</v>
      </c>
      <c r="AJ311">
        <f t="shared" si="127"/>
        <v>0.88888888888888884</v>
      </c>
      <c r="AK311" s="32">
        <f t="shared" si="128"/>
        <v>0.61111111111111116</v>
      </c>
      <c r="AL311" s="32">
        <f t="shared" si="129"/>
        <v>0.86111111111111105</v>
      </c>
      <c r="AM311" s="7">
        <f t="shared" si="130"/>
        <v>0.68518518518518512</v>
      </c>
      <c r="AN311" s="7">
        <f t="shared" si="131"/>
        <v>0.71296296296296291</v>
      </c>
      <c r="AO311">
        <f>step3_validation[[#This Row],[AI_OUT1]]</f>
        <v>7</v>
      </c>
      <c r="AP311">
        <f t="shared" si="132"/>
        <v>0.66666666666666663</v>
      </c>
      <c r="AQ311">
        <f>[1]!survey_responses[[#This Row],[Sau khi xem xét các quyền lợi và nghĩa vụ, bạn có ủng hộ và tuân thủ chính sách mới hiện nay? - HUMAN-OUT1]]</f>
        <v>10</v>
      </c>
      <c r="AR311">
        <f t="shared" si="133"/>
        <v>1</v>
      </c>
      <c r="AS311" s="32">
        <f t="shared" si="134"/>
        <v>3</v>
      </c>
    </row>
    <row r="312" spans="1:45" x14ac:dyDescent="0.45">
      <c r="A312">
        <f>step3_validation[[#This Row],[AI_ENF1]]</f>
        <v>7</v>
      </c>
      <c r="B312">
        <f t="shared" si="108"/>
        <v>0.66666666666666663</v>
      </c>
      <c r="C312">
        <f>[1]!survey_responses[[#This Row],[Tôi tin rằng với các quy định quản lý thuế hiện nay, hành vi gian lận hoặc trốn thuế sẽ dễ dàng bị phát hiện và xử lý nghiêm. - HUMAN-ENF1]]</f>
        <v>6</v>
      </c>
      <c r="D312">
        <f t="shared" si="109"/>
        <v>0.55555555555555558</v>
      </c>
      <c r="E312">
        <f>step3_validation[[#This Row],[AI_ENF2]]</f>
        <v>8</v>
      </c>
      <c r="F312">
        <f t="shared" si="110"/>
        <v>0.77777777777777779</v>
      </c>
      <c r="G312">
        <f>[1]!survey_responses[[#This Row],[Tôi tin rằng Nhà nước, cơ quan thuế có đủ khả năng và công nghệ để phát hiện, xử lý nghiêm các hành vi trốn thuế. - HUMAN-ENF2]]</f>
        <v>5</v>
      </c>
      <c r="H312">
        <f t="shared" si="111"/>
        <v>0.44444444444444442</v>
      </c>
      <c r="I312" s="32">
        <f t="shared" si="112"/>
        <v>0.72222222222222221</v>
      </c>
      <c r="J312" s="32">
        <f t="shared" si="113"/>
        <v>0.5</v>
      </c>
      <c r="K312">
        <f>step3_validation[[#This Row],[AI_FAC1]]</f>
        <v>9</v>
      </c>
      <c r="L312">
        <f t="shared" si="114"/>
        <v>0.88888888888888884</v>
      </c>
      <c r="M312">
        <f>[1]!survey_responses[[#This Row],[Các thủ tục khai báo thuế VÀ/HOẶC quy trình làm việc với cơ quan thuế đơn giản, tiện lợi, nhanh chóng hơn so với trước đây. - HUMAN-FAC1]]</f>
        <v>4</v>
      </c>
      <c r="N312">
        <f t="shared" si="115"/>
        <v>0.33333333333333331</v>
      </c>
      <c r="O312">
        <f>step3_validation[[#This Row],[AI_FAC2]]</f>
        <v>8</v>
      </c>
      <c r="P312">
        <f t="shared" si="116"/>
        <v>0.77777777777777779</v>
      </c>
      <c r="Q312">
        <f>[1]!survey_responses[[#This Row],[So với trước đây, tôi thấy cách tính thuế và các bậc thuế trong phương án mới đơn giản, dễ hiểu và dễ thực hiện hơn. - HUMAN-FAC2]]</f>
        <v>7</v>
      </c>
      <c r="R312">
        <f t="shared" si="117"/>
        <v>0.66666666666666663</v>
      </c>
      <c r="S312" s="32">
        <f t="shared" si="118"/>
        <v>0.83333333333333326</v>
      </c>
      <c r="T312" s="32">
        <f t="shared" si="119"/>
        <v>0.5</v>
      </c>
      <c r="U312">
        <f>step3_validation[[#This Row],[AI_TRU1]]</f>
        <v>7</v>
      </c>
      <c r="V312">
        <f t="shared" si="120"/>
        <v>0.66666666666666663</v>
      </c>
      <c r="W312">
        <f>[1]!survey_responses[[#This Row],[Tôi tin rằng Nhà nước, cơ quan thuế sẽ thực thi chính sách mới một cách khách quan, công tâm và đối xử bình đẳng với mọi người nộp thuế.  - HUMAN-TRU1]]</f>
        <v>5</v>
      </c>
      <c r="X312">
        <f t="shared" si="121"/>
        <v>0.44444444444444442</v>
      </c>
      <c r="Y312">
        <f>step3_validation[[#This Row],[AI_TRU2]]</f>
        <v>6</v>
      </c>
      <c r="Z312">
        <f t="shared" si="122"/>
        <v>0.55555555555555558</v>
      </c>
      <c r="AA312">
        <f>[1]!survey_responses[[#This Row],[Tôi thấy mức thuế tôi phải đóng theo phương án mới là công bằng (người thu nhập như tôi đóng mức này là hợp lý). - HUMAN-TRU2]]</f>
        <v>6</v>
      </c>
      <c r="AB312">
        <f t="shared" si="123"/>
        <v>0.55555555555555558</v>
      </c>
      <c r="AC312">
        <f>step3_validation[[#This Row],[AI_TRU3]]</f>
        <v>7</v>
      </c>
      <c r="AD312">
        <f t="shared" si="124"/>
        <v>0.66666666666666663</v>
      </c>
      <c r="AE312">
        <f>[1]!survey_responses[[#This Row],[Tôi tin tưởng số tiền thuế tôi đóng sẽ được Nhà nước sử dụng hiệu quả để cải thiện dịch vụ công (y tế, đường xá...). - HUMAN-TRU3]]</f>
        <v>6</v>
      </c>
      <c r="AF312">
        <f t="shared" si="125"/>
        <v>0.55555555555555558</v>
      </c>
      <c r="AG312">
        <f>step3_validation[[#This Row],[AI_TRU4]]</f>
        <v>5</v>
      </c>
      <c r="AH312">
        <f t="shared" si="126"/>
        <v>0.44444444444444442</v>
      </c>
      <c r="AI312">
        <f>[1]!survey_responses[[#This Row],[Tôi thấy Nhà nước đã giải thích rõ ràng, minh bạch về lý do và mục tiêu của việc sửa đổi thuế lần này. - HUMAN-TRU4]]</f>
        <v>7</v>
      </c>
      <c r="AJ312">
        <f t="shared" si="127"/>
        <v>0.66666666666666663</v>
      </c>
      <c r="AK312" s="32">
        <f t="shared" si="128"/>
        <v>0.58333333333333326</v>
      </c>
      <c r="AL312" s="32">
        <f t="shared" si="129"/>
        <v>0.55555555555555558</v>
      </c>
      <c r="AM312" s="7">
        <f t="shared" si="130"/>
        <v>0.7129629629629628</v>
      </c>
      <c r="AN312" s="7">
        <f t="shared" si="131"/>
        <v>0.51851851851851849</v>
      </c>
      <c r="AO312">
        <f>step3_validation[[#This Row],[AI_OUT1]]</f>
        <v>7</v>
      </c>
      <c r="AP312">
        <f t="shared" si="132"/>
        <v>0.66666666666666663</v>
      </c>
      <c r="AQ312">
        <f>[1]!survey_responses[[#This Row],[Sau khi xem xét các quyền lợi và nghĩa vụ, bạn có ủng hộ và tuân thủ chính sách mới hiện nay? - HUMAN-OUT1]]</f>
        <v>7</v>
      </c>
      <c r="AR312">
        <f t="shared" si="133"/>
        <v>0.66666666666666663</v>
      </c>
      <c r="AS312" s="32">
        <f t="shared" si="134"/>
        <v>0</v>
      </c>
    </row>
    <row r="313" spans="1:45" x14ac:dyDescent="0.45">
      <c r="A313">
        <f>step3_validation[[#This Row],[AI_ENF1]]</f>
        <v>6</v>
      </c>
      <c r="B313">
        <f t="shared" si="108"/>
        <v>0.55555555555555558</v>
      </c>
      <c r="C313">
        <f>[1]!survey_responses[[#This Row],[Tôi tin rằng với các quy định quản lý thuế hiện nay, hành vi gian lận hoặc trốn thuế sẽ dễ dàng bị phát hiện và xử lý nghiêm. - HUMAN-ENF1]]</f>
        <v>8</v>
      </c>
      <c r="D313">
        <f t="shared" si="109"/>
        <v>0.77777777777777779</v>
      </c>
      <c r="E313">
        <f>step3_validation[[#This Row],[AI_ENF2]]</f>
        <v>5</v>
      </c>
      <c r="F313">
        <f t="shared" si="110"/>
        <v>0.44444444444444442</v>
      </c>
      <c r="G313">
        <f>[1]!survey_responses[[#This Row],[Tôi tin rằng Nhà nước, cơ quan thuế có đủ khả năng và công nghệ để phát hiện, xử lý nghiêm các hành vi trốn thuế. - HUMAN-ENF2]]</f>
        <v>9</v>
      </c>
      <c r="H313">
        <f t="shared" si="111"/>
        <v>0.88888888888888884</v>
      </c>
      <c r="I313" s="32">
        <f t="shared" si="112"/>
        <v>0.5</v>
      </c>
      <c r="J313" s="32">
        <f t="shared" si="113"/>
        <v>0.83333333333333326</v>
      </c>
      <c r="K313">
        <f>step3_validation[[#This Row],[AI_FAC1]]</f>
        <v>4</v>
      </c>
      <c r="L313">
        <f t="shared" si="114"/>
        <v>0.33333333333333331</v>
      </c>
      <c r="M313">
        <f>[1]!survey_responses[[#This Row],[Các thủ tục khai báo thuế VÀ/HOẶC quy trình làm việc với cơ quan thuế đơn giản, tiện lợi, nhanh chóng hơn so với trước đây. - HUMAN-FAC1]]</f>
        <v>10</v>
      </c>
      <c r="N313">
        <f t="shared" si="115"/>
        <v>1</v>
      </c>
      <c r="O313">
        <f>step3_validation[[#This Row],[AI_FAC2]]</f>
        <v>7</v>
      </c>
      <c r="P313">
        <f t="shared" si="116"/>
        <v>0.66666666666666663</v>
      </c>
      <c r="Q313">
        <f>[1]!survey_responses[[#This Row],[So với trước đây, tôi thấy cách tính thuế và các bậc thuế trong phương án mới đơn giản, dễ hiểu và dễ thực hiện hơn. - HUMAN-FAC2]]</f>
        <v>10</v>
      </c>
      <c r="R313">
        <f t="shared" si="117"/>
        <v>1</v>
      </c>
      <c r="S313" s="32">
        <f t="shared" si="118"/>
        <v>0.5</v>
      </c>
      <c r="T313" s="32">
        <f t="shared" si="119"/>
        <v>1</v>
      </c>
      <c r="U313">
        <f>step3_validation[[#This Row],[AI_TRU1]]</f>
        <v>8</v>
      </c>
      <c r="V313">
        <f t="shared" si="120"/>
        <v>0.77777777777777779</v>
      </c>
      <c r="W313">
        <f>[1]!survey_responses[[#This Row],[Tôi tin rằng Nhà nước, cơ quan thuế sẽ thực thi chính sách mới một cách khách quan, công tâm và đối xử bình đẳng với mọi người nộp thuế.  - HUMAN-TRU1]]</f>
        <v>8</v>
      </c>
      <c r="X313">
        <f t="shared" si="121"/>
        <v>0.77777777777777779</v>
      </c>
      <c r="Y313">
        <f>step3_validation[[#This Row],[AI_TRU2]]</f>
        <v>3</v>
      </c>
      <c r="Z313">
        <f t="shared" si="122"/>
        <v>0.22222222222222221</v>
      </c>
      <c r="AA313">
        <f>[1]!survey_responses[[#This Row],[Tôi thấy mức thuế tôi phải đóng theo phương án mới là công bằng (người thu nhập như tôi đóng mức này là hợp lý). - HUMAN-TRU2]]</f>
        <v>9</v>
      </c>
      <c r="AB313">
        <f t="shared" si="123"/>
        <v>0.88888888888888884</v>
      </c>
      <c r="AC313">
        <f>step3_validation[[#This Row],[AI_TRU3]]</f>
        <v>6</v>
      </c>
      <c r="AD313">
        <f t="shared" si="124"/>
        <v>0.55555555555555558</v>
      </c>
      <c r="AE313">
        <f>[1]!survey_responses[[#This Row],[Tôi tin tưởng số tiền thuế tôi đóng sẽ được Nhà nước sử dụng hiệu quả để cải thiện dịch vụ công (y tế, đường xá...). - HUMAN-TRU3]]</f>
        <v>8</v>
      </c>
      <c r="AF313">
        <f t="shared" si="125"/>
        <v>0.77777777777777779</v>
      </c>
      <c r="AG313">
        <f>step3_validation[[#This Row],[AI_TRU4]]</f>
        <v>4</v>
      </c>
      <c r="AH313">
        <f t="shared" si="126"/>
        <v>0.33333333333333331</v>
      </c>
      <c r="AI313">
        <f>[1]!survey_responses[[#This Row],[Tôi thấy Nhà nước đã giải thích rõ ràng, minh bạch về lý do và mục tiêu của việc sửa đổi thuế lần này. - HUMAN-TRU4]]</f>
        <v>8</v>
      </c>
      <c r="AJ313">
        <f t="shared" si="127"/>
        <v>0.77777777777777779</v>
      </c>
      <c r="AK313" s="32">
        <f t="shared" si="128"/>
        <v>0.47222222222222221</v>
      </c>
      <c r="AL313" s="32">
        <f t="shared" si="129"/>
        <v>0.80555555555555547</v>
      </c>
      <c r="AM313" s="7">
        <f t="shared" si="130"/>
        <v>0.49074074074074076</v>
      </c>
      <c r="AN313" s="7">
        <f t="shared" si="131"/>
        <v>0.87962962962962965</v>
      </c>
      <c r="AO313">
        <f>step3_validation[[#This Row],[AI_OUT1]]</f>
        <v>5</v>
      </c>
      <c r="AP313">
        <f t="shared" si="132"/>
        <v>0.44444444444444442</v>
      </c>
      <c r="AQ313">
        <f>[1]!survey_responses[[#This Row],[Sau khi xem xét các quyền lợi và nghĩa vụ, bạn có ủng hộ và tuân thủ chính sách mới hiện nay? - HUMAN-OUT1]]</f>
        <v>10</v>
      </c>
      <c r="AR313">
        <f t="shared" si="133"/>
        <v>1</v>
      </c>
      <c r="AS313" s="32">
        <f t="shared" si="134"/>
        <v>5</v>
      </c>
    </row>
    <row r="314" spans="1:45" x14ac:dyDescent="0.45">
      <c r="A314">
        <f>step3_validation[[#This Row],[AI_ENF1]]</f>
        <v>6</v>
      </c>
      <c r="B314">
        <f t="shared" si="108"/>
        <v>0.55555555555555558</v>
      </c>
      <c r="C314">
        <f>[1]!survey_responses[[#This Row],[Tôi tin rằng với các quy định quản lý thuế hiện nay, hành vi gian lận hoặc trốn thuế sẽ dễ dàng bị phát hiện và xử lý nghiêm. - HUMAN-ENF1]]</f>
        <v>6</v>
      </c>
      <c r="D314">
        <f t="shared" si="109"/>
        <v>0.55555555555555558</v>
      </c>
      <c r="E314">
        <f>step3_validation[[#This Row],[AI_ENF2]]</f>
        <v>5</v>
      </c>
      <c r="F314">
        <f t="shared" si="110"/>
        <v>0.44444444444444442</v>
      </c>
      <c r="G314">
        <f>[1]!survey_responses[[#This Row],[Tôi tin rằng Nhà nước, cơ quan thuế có đủ khả năng và công nghệ để phát hiện, xử lý nghiêm các hành vi trốn thuế. - HUMAN-ENF2]]</f>
        <v>6</v>
      </c>
      <c r="H314">
        <f t="shared" si="111"/>
        <v>0.55555555555555558</v>
      </c>
      <c r="I314" s="32">
        <f t="shared" si="112"/>
        <v>0.5</v>
      </c>
      <c r="J314" s="32">
        <f t="shared" si="113"/>
        <v>0.55555555555555558</v>
      </c>
      <c r="K314">
        <f>step3_validation[[#This Row],[AI_FAC1]]</f>
        <v>8</v>
      </c>
      <c r="L314">
        <f t="shared" si="114"/>
        <v>0.77777777777777779</v>
      </c>
      <c r="M314">
        <f>[1]!survey_responses[[#This Row],[Các thủ tục khai báo thuế VÀ/HOẶC quy trình làm việc với cơ quan thuế đơn giản, tiện lợi, nhanh chóng hơn so với trước đây. - HUMAN-FAC1]]</f>
        <v>7</v>
      </c>
      <c r="N314">
        <f t="shared" si="115"/>
        <v>0.66666666666666663</v>
      </c>
      <c r="O314">
        <f>step3_validation[[#This Row],[AI_FAC2]]</f>
        <v>9</v>
      </c>
      <c r="P314">
        <f t="shared" si="116"/>
        <v>0.88888888888888884</v>
      </c>
      <c r="Q314">
        <f>[1]!survey_responses[[#This Row],[So với trước đây, tôi thấy cách tính thuế và các bậc thuế trong phương án mới đơn giản, dễ hiểu và dễ thực hiện hơn. - HUMAN-FAC2]]</f>
        <v>7</v>
      </c>
      <c r="R314">
        <f t="shared" si="117"/>
        <v>0.66666666666666663</v>
      </c>
      <c r="S314" s="32">
        <f t="shared" si="118"/>
        <v>0.83333333333333326</v>
      </c>
      <c r="T314" s="32">
        <f t="shared" si="119"/>
        <v>0.66666666666666663</v>
      </c>
      <c r="U314">
        <f>step3_validation[[#This Row],[AI_TRU1]]</f>
        <v>7</v>
      </c>
      <c r="V314">
        <f t="shared" si="120"/>
        <v>0.66666666666666663</v>
      </c>
      <c r="W314">
        <f>[1]!survey_responses[[#This Row],[Tôi tin rằng Nhà nước, cơ quan thuế sẽ thực thi chính sách mới một cách khách quan, công tâm và đối xử bình đẳng với mọi người nộp thuế.  - HUMAN-TRU1]]</f>
        <v>7</v>
      </c>
      <c r="X314">
        <f t="shared" si="121"/>
        <v>0.66666666666666663</v>
      </c>
      <c r="Y314">
        <f>step3_validation[[#This Row],[AI_TRU2]]</f>
        <v>8</v>
      </c>
      <c r="Z314">
        <f t="shared" si="122"/>
        <v>0.77777777777777779</v>
      </c>
      <c r="AA314">
        <f>[1]!survey_responses[[#This Row],[Tôi thấy mức thuế tôi phải đóng theo phương án mới là công bằng (người thu nhập như tôi đóng mức này là hợp lý). - HUMAN-TRU2]]</f>
        <v>8</v>
      </c>
      <c r="AB314">
        <f t="shared" si="123"/>
        <v>0.77777777777777779</v>
      </c>
      <c r="AC314">
        <f>step3_validation[[#This Row],[AI_TRU3]]</f>
        <v>7</v>
      </c>
      <c r="AD314">
        <f t="shared" si="124"/>
        <v>0.66666666666666663</v>
      </c>
      <c r="AE314">
        <f>[1]!survey_responses[[#This Row],[Tôi tin tưởng số tiền thuế tôi đóng sẽ được Nhà nước sử dụng hiệu quả để cải thiện dịch vụ công (y tế, đường xá...). - HUMAN-TRU3]]</f>
        <v>5</v>
      </c>
      <c r="AF314">
        <f t="shared" si="125"/>
        <v>0.44444444444444442</v>
      </c>
      <c r="AG314">
        <f>step3_validation[[#This Row],[AI_TRU4]]</f>
        <v>6</v>
      </c>
      <c r="AH314">
        <f t="shared" si="126"/>
        <v>0.55555555555555558</v>
      </c>
      <c r="AI314">
        <f>[1]!survey_responses[[#This Row],[Tôi thấy Nhà nước đã giải thích rõ ràng, minh bạch về lý do và mục tiêu của việc sửa đổi thuế lần này. - HUMAN-TRU4]]</f>
        <v>5</v>
      </c>
      <c r="AJ314">
        <f t="shared" si="127"/>
        <v>0.44444444444444442</v>
      </c>
      <c r="AK314" s="32">
        <f t="shared" si="128"/>
        <v>0.66666666666666674</v>
      </c>
      <c r="AL314" s="32">
        <f t="shared" si="129"/>
        <v>0.58333333333333326</v>
      </c>
      <c r="AM314" s="7">
        <f t="shared" si="130"/>
        <v>0.66666666666666663</v>
      </c>
      <c r="AN314" s="7">
        <f t="shared" si="131"/>
        <v>0.60185185185185186</v>
      </c>
      <c r="AO314">
        <f>step3_validation[[#This Row],[AI_OUT1]]</f>
        <v>7</v>
      </c>
      <c r="AP314">
        <f t="shared" si="132"/>
        <v>0.66666666666666663</v>
      </c>
      <c r="AQ314">
        <f>[1]!survey_responses[[#This Row],[Sau khi xem xét các quyền lợi và nghĩa vụ, bạn có ủng hộ và tuân thủ chính sách mới hiện nay? - HUMAN-OUT1]]</f>
        <v>8</v>
      </c>
      <c r="AR314">
        <f t="shared" si="133"/>
        <v>0.77777777777777779</v>
      </c>
      <c r="AS314" s="32">
        <f t="shared" si="134"/>
        <v>1</v>
      </c>
    </row>
    <row r="315" spans="1:45" x14ac:dyDescent="0.45">
      <c r="A315">
        <f>step3_validation[[#This Row],[AI_ENF1]]</f>
        <v>7</v>
      </c>
      <c r="B315">
        <f t="shared" si="108"/>
        <v>0.66666666666666663</v>
      </c>
      <c r="C315">
        <f>[1]!survey_responses[[#This Row],[Tôi tin rằng với các quy định quản lý thuế hiện nay, hành vi gian lận hoặc trốn thuế sẽ dễ dàng bị phát hiện và xử lý nghiêm. - HUMAN-ENF1]]</f>
        <v>7</v>
      </c>
      <c r="D315">
        <f t="shared" si="109"/>
        <v>0.66666666666666663</v>
      </c>
      <c r="E315">
        <f>step3_validation[[#This Row],[AI_ENF2]]</f>
        <v>8</v>
      </c>
      <c r="F315">
        <f t="shared" si="110"/>
        <v>0.77777777777777779</v>
      </c>
      <c r="G315">
        <f>[1]!survey_responses[[#This Row],[Tôi tin rằng Nhà nước, cơ quan thuế có đủ khả năng và công nghệ để phát hiện, xử lý nghiêm các hành vi trốn thuế. - HUMAN-ENF2]]</f>
        <v>8</v>
      </c>
      <c r="H315">
        <f t="shared" si="111"/>
        <v>0.77777777777777779</v>
      </c>
      <c r="I315" s="32">
        <f t="shared" si="112"/>
        <v>0.72222222222222221</v>
      </c>
      <c r="J315" s="32">
        <f t="shared" si="113"/>
        <v>0.72222222222222221</v>
      </c>
      <c r="K315">
        <f>step3_validation[[#This Row],[AI_FAC1]]</f>
        <v>6</v>
      </c>
      <c r="L315">
        <f t="shared" si="114"/>
        <v>0.55555555555555558</v>
      </c>
      <c r="M315">
        <f>[1]!survey_responses[[#This Row],[Các thủ tục khai báo thuế VÀ/HOẶC quy trình làm việc với cơ quan thuế đơn giản, tiện lợi, nhanh chóng hơn so với trước đây. - HUMAN-FAC1]]</f>
        <v>8</v>
      </c>
      <c r="N315">
        <f t="shared" si="115"/>
        <v>0.77777777777777779</v>
      </c>
      <c r="O315">
        <f>step3_validation[[#This Row],[AI_FAC2]]</f>
        <v>5</v>
      </c>
      <c r="P315">
        <f t="shared" si="116"/>
        <v>0.44444444444444442</v>
      </c>
      <c r="Q315">
        <f>[1]!survey_responses[[#This Row],[So với trước đây, tôi thấy cách tính thuế và các bậc thuế trong phương án mới đơn giản, dễ hiểu và dễ thực hiện hơn. - HUMAN-FAC2]]</f>
        <v>8</v>
      </c>
      <c r="R315">
        <f t="shared" si="117"/>
        <v>0.77777777777777779</v>
      </c>
      <c r="S315" s="32">
        <f t="shared" si="118"/>
        <v>0.5</v>
      </c>
      <c r="T315" s="32">
        <f t="shared" si="119"/>
        <v>0.77777777777777779</v>
      </c>
      <c r="U315">
        <f>step3_validation[[#This Row],[AI_TRU1]]</f>
        <v>8</v>
      </c>
      <c r="V315">
        <f t="shared" si="120"/>
        <v>0.77777777777777779</v>
      </c>
      <c r="W315">
        <f>[1]!survey_responses[[#This Row],[Tôi tin rằng Nhà nước, cơ quan thuế sẽ thực thi chính sách mới một cách khách quan, công tâm và đối xử bình đẳng với mọi người nộp thuế.  - HUMAN-TRU1]]</f>
        <v>5</v>
      </c>
      <c r="X315">
        <f t="shared" si="121"/>
        <v>0.44444444444444442</v>
      </c>
      <c r="Y315">
        <f>step3_validation[[#This Row],[AI_TRU2]]</f>
        <v>3</v>
      </c>
      <c r="Z315">
        <f t="shared" si="122"/>
        <v>0.22222222222222221</v>
      </c>
      <c r="AA315">
        <f>[1]!survey_responses[[#This Row],[Tôi thấy mức thuế tôi phải đóng theo phương án mới là công bằng (người thu nhập như tôi đóng mức này là hợp lý). - HUMAN-TRU2]]</f>
        <v>8</v>
      </c>
      <c r="AB315">
        <f t="shared" si="123"/>
        <v>0.77777777777777779</v>
      </c>
      <c r="AC315">
        <f>step3_validation[[#This Row],[AI_TRU3]]</f>
        <v>7</v>
      </c>
      <c r="AD315">
        <f t="shared" si="124"/>
        <v>0.66666666666666663</v>
      </c>
      <c r="AE315">
        <f>[1]!survey_responses[[#This Row],[Tôi tin tưởng số tiền thuế tôi đóng sẽ được Nhà nước sử dụng hiệu quả để cải thiện dịch vụ công (y tế, đường xá...). - HUMAN-TRU3]]</f>
        <v>6</v>
      </c>
      <c r="AF315">
        <f t="shared" si="125"/>
        <v>0.55555555555555558</v>
      </c>
      <c r="AG315">
        <f>step3_validation[[#This Row],[AI_TRU4]]</f>
        <v>6</v>
      </c>
      <c r="AH315">
        <f t="shared" si="126"/>
        <v>0.55555555555555558</v>
      </c>
      <c r="AI315">
        <f>[1]!survey_responses[[#This Row],[Tôi thấy Nhà nước đã giải thích rõ ràng, minh bạch về lý do và mục tiêu của việc sửa đổi thuế lần này. - HUMAN-TRU4]]</f>
        <v>6</v>
      </c>
      <c r="AJ315">
        <f t="shared" si="127"/>
        <v>0.55555555555555558</v>
      </c>
      <c r="AK315" s="32">
        <f t="shared" si="128"/>
        <v>0.55555555555555558</v>
      </c>
      <c r="AL315" s="32">
        <f t="shared" si="129"/>
        <v>0.58333333333333337</v>
      </c>
      <c r="AM315" s="7">
        <f t="shared" si="130"/>
        <v>0.59259259259259267</v>
      </c>
      <c r="AN315" s="7">
        <f t="shared" si="131"/>
        <v>0.69444444444444453</v>
      </c>
      <c r="AO315">
        <f>step3_validation[[#This Row],[AI_OUT1]]</f>
        <v>0</v>
      </c>
      <c r="AP315">
        <f t="shared" si="132"/>
        <v>-0.1111111111111111</v>
      </c>
      <c r="AQ315">
        <f>[1]!survey_responses[[#This Row],[Sau khi xem xét các quyền lợi và nghĩa vụ, bạn có ủng hộ và tuân thủ chính sách mới hiện nay? - HUMAN-OUT1]]</f>
        <v>8</v>
      </c>
      <c r="AR315">
        <f t="shared" si="133"/>
        <v>0.77777777777777779</v>
      </c>
      <c r="AS315" s="32">
        <f t="shared" si="134"/>
        <v>8</v>
      </c>
    </row>
    <row r="316" spans="1:45" x14ac:dyDescent="0.45">
      <c r="A316">
        <f>step3_validation[[#This Row],[AI_ENF1]]</f>
        <v>7</v>
      </c>
      <c r="B316">
        <f t="shared" si="108"/>
        <v>0.66666666666666663</v>
      </c>
      <c r="C316">
        <f>[1]!survey_responses[[#This Row],[Tôi tin rằng với các quy định quản lý thuế hiện nay, hành vi gian lận hoặc trốn thuế sẽ dễ dàng bị phát hiện và xử lý nghiêm. - HUMAN-ENF1]]</f>
        <v>4</v>
      </c>
      <c r="D316">
        <f t="shared" si="109"/>
        <v>0.33333333333333331</v>
      </c>
      <c r="E316">
        <f>step3_validation[[#This Row],[AI_ENF2]]</f>
        <v>8</v>
      </c>
      <c r="F316">
        <f t="shared" si="110"/>
        <v>0.77777777777777779</v>
      </c>
      <c r="G316">
        <f>[1]!survey_responses[[#This Row],[Tôi tin rằng Nhà nước, cơ quan thuế có đủ khả năng và công nghệ để phát hiện, xử lý nghiêm các hành vi trốn thuế. - HUMAN-ENF2]]</f>
        <v>5</v>
      </c>
      <c r="H316">
        <f t="shared" si="111"/>
        <v>0.44444444444444442</v>
      </c>
      <c r="I316" s="32">
        <f t="shared" si="112"/>
        <v>0.72222222222222221</v>
      </c>
      <c r="J316" s="32">
        <f t="shared" si="113"/>
        <v>0.38888888888888884</v>
      </c>
      <c r="K316">
        <f>step3_validation[[#This Row],[AI_FAC1]]</f>
        <v>9</v>
      </c>
      <c r="L316">
        <f t="shared" si="114"/>
        <v>0.88888888888888884</v>
      </c>
      <c r="M316">
        <f>[1]!survey_responses[[#This Row],[Các thủ tục khai báo thuế VÀ/HOẶC quy trình làm việc với cơ quan thuế đơn giản, tiện lợi, nhanh chóng hơn so với trước đây. - HUMAN-FAC1]]</f>
        <v>5</v>
      </c>
      <c r="N316">
        <f t="shared" si="115"/>
        <v>0.44444444444444442</v>
      </c>
      <c r="O316">
        <f>step3_validation[[#This Row],[AI_FAC2]]</f>
        <v>8</v>
      </c>
      <c r="P316">
        <f t="shared" si="116"/>
        <v>0.77777777777777779</v>
      </c>
      <c r="Q316">
        <f>[1]!survey_responses[[#This Row],[So với trước đây, tôi thấy cách tính thuế và các bậc thuế trong phương án mới đơn giản, dễ hiểu và dễ thực hiện hơn. - HUMAN-FAC2]]</f>
        <v>7</v>
      </c>
      <c r="R316">
        <f t="shared" si="117"/>
        <v>0.66666666666666663</v>
      </c>
      <c r="S316" s="32">
        <f t="shared" si="118"/>
        <v>0.83333333333333326</v>
      </c>
      <c r="T316" s="32">
        <f t="shared" si="119"/>
        <v>0.55555555555555558</v>
      </c>
      <c r="U316">
        <f>step3_validation[[#This Row],[AI_TRU1]]</f>
        <v>9</v>
      </c>
      <c r="V316">
        <f t="shared" si="120"/>
        <v>0.88888888888888884</v>
      </c>
      <c r="W316">
        <f>[1]!survey_responses[[#This Row],[Tôi tin rằng Nhà nước, cơ quan thuế sẽ thực thi chính sách mới một cách khách quan, công tâm và đối xử bình đẳng với mọi người nộp thuế.  - HUMAN-TRU1]]</f>
        <v>5</v>
      </c>
      <c r="X316">
        <f t="shared" si="121"/>
        <v>0.44444444444444442</v>
      </c>
      <c r="Y316">
        <f>step3_validation[[#This Row],[AI_TRU2]]</f>
        <v>8</v>
      </c>
      <c r="Z316">
        <f t="shared" si="122"/>
        <v>0.77777777777777779</v>
      </c>
      <c r="AA316">
        <f>[1]!survey_responses[[#This Row],[Tôi thấy mức thuế tôi phải đóng theo phương án mới là công bằng (người thu nhập như tôi đóng mức này là hợp lý). - HUMAN-TRU2]]</f>
        <v>8</v>
      </c>
      <c r="AB316">
        <f t="shared" si="123"/>
        <v>0.77777777777777779</v>
      </c>
      <c r="AC316">
        <f>step3_validation[[#This Row],[AI_TRU3]]</f>
        <v>9</v>
      </c>
      <c r="AD316">
        <f t="shared" si="124"/>
        <v>0.88888888888888884</v>
      </c>
      <c r="AE316">
        <f>[1]!survey_responses[[#This Row],[Tôi tin tưởng số tiền thuế tôi đóng sẽ được Nhà nước sử dụng hiệu quả để cải thiện dịch vụ công (y tế, đường xá...). - HUMAN-TRU3]]</f>
        <v>5</v>
      </c>
      <c r="AF316">
        <f t="shared" si="125"/>
        <v>0.44444444444444442</v>
      </c>
      <c r="AG316">
        <f>step3_validation[[#This Row],[AI_TRU4]]</f>
        <v>6</v>
      </c>
      <c r="AH316">
        <f t="shared" si="126"/>
        <v>0.55555555555555558</v>
      </c>
      <c r="AI316">
        <f>[1]!survey_responses[[#This Row],[Tôi thấy Nhà nước đã giải thích rõ ràng, minh bạch về lý do và mục tiêu của việc sửa đổi thuế lần này. - HUMAN-TRU4]]</f>
        <v>6</v>
      </c>
      <c r="AJ316">
        <f t="shared" si="127"/>
        <v>0.55555555555555558</v>
      </c>
      <c r="AK316" s="32">
        <f t="shared" si="128"/>
        <v>0.77777777777777768</v>
      </c>
      <c r="AL316" s="32">
        <f t="shared" si="129"/>
        <v>0.55555555555555558</v>
      </c>
      <c r="AM316" s="7">
        <f t="shared" si="130"/>
        <v>0.77777777777777768</v>
      </c>
      <c r="AN316" s="7">
        <f t="shared" si="131"/>
        <v>0.5</v>
      </c>
      <c r="AO316">
        <f>step3_validation[[#This Row],[AI_OUT1]]</f>
        <v>9</v>
      </c>
      <c r="AP316">
        <f t="shared" si="132"/>
        <v>0.88888888888888884</v>
      </c>
      <c r="AQ316">
        <f>[1]!survey_responses[[#This Row],[Sau khi xem xét các quyền lợi và nghĩa vụ, bạn có ủng hộ và tuân thủ chính sách mới hiện nay? - HUMAN-OUT1]]</f>
        <v>8</v>
      </c>
      <c r="AR316">
        <f t="shared" si="133"/>
        <v>0.77777777777777779</v>
      </c>
      <c r="AS316" s="32">
        <f t="shared" si="134"/>
        <v>1</v>
      </c>
    </row>
    <row r="317" spans="1:45" x14ac:dyDescent="0.45">
      <c r="A317">
        <f>step3_validation[[#This Row],[AI_ENF1]]</f>
        <v>7</v>
      </c>
      <c r="B317">
        <f t="shared" si="108"/>
        <v>0.66666666666666663</v>
      </c>
      <c r="C317">
        <f>[1]!survey_responses[[#This Row],[Tôi tin rằng với các quy định quản lý thuế hiện nay, hành vi gian lận hoặc trốn thuế sẽ dễ dàng bị phát hiện và xử lý nghiêm. - HUMAN-ENF1]]</f>
        <v>6</v>
      </c>
      <c r="D317">
        <f t="shared" si="109"/>
        <v>0.55555555555555558</v>
      </c>
      <c r="E317">
        <f>step3_validation[[#This Row],[AI_ENF2]]</f>
        <v>6</v>
      </c>
      <c r="F317">
        <f t="shared" si="110"/>
        <v>0.55555555555555558</v>
      </c>
      <c r="G317">
        <f>[1]!survey_responses[[#This Row],[Tôi tin rằng Nhà nước, cơ quan thuế có đủ khả năng và công nghệ để phát hiện, xử lý nghiêm các hành vi trốn thuế. - HUMAN-ENF2]]</f>
        <v>8</v>
      </c>
      <c r="H317">
        <f t="shared" si="111"/>
        <v>0.77777777777777779</v>
      </c>
      <c r="I317" s="32">
        <f t="shared" si="112"/>
        <v>0.61111111111111116</v>
      </c>
      <c r="J317" s="32">
        <f t="shared" si="113"/>
        <v>0.66666666666666674</v>
      </c>
      <c r="K317">
        <f>step3_validation[[#This Row],[AI_FAC1]]</f>
        <v>8</v>
      </c>
      <c r="L317">
        <f t="shared" si="114"/>
        <v>0.77777777777777779</v>
      </c>
      <c r="M317">
        <f>[1]!survey_responses[[#This Row],[Các thủ tục khai báo thuế VÀ/HOẶC quy trình làm việc với cơ quan thuế đơn giản, tiện lợi, nhanh chóng hơn so với trước đây. - HUMAN-FAC1]]</f>
        <v>5</v>
      </c>
      <c r="N317">
        <f t="shared" si="115"/>
        <v>0.44444444444444442</v>
      </c>
      <c r="O317">
        <f>step3_validation[[#This Row],[AI_FAC2]]</f>
        <v>7</v>
      </c>
      <c r="P317">
        <f t="shared" si="116"/>
        <v>0.66666666666666663</v>
      </c>
      <c r="Q317">
        <f>[1]!survey_responses[[#This Row],[So với trước đây, tôi thấy cách tính thuế và các bậc thuế trong phương án mới đơn giản, dễ hiểu và dễ thực hiện hơn. - HUMAN-FAC2]]</f>
        <v>6</v>
      </c>
      <c r="R317">
        <f t="shared" si="117"/>
        <v>0.55555555555555558</v>
      </c>
      <c r="S317" s="32">
        <f t="shared" si="118"/>
        <v>0.72222222222222221</v>
      </c>
      <c r="T317" s="32">
        <f t="shared" si="119"/>
        <v>0.5</v>
      </c>
      <c r="U317">
        <f>step3_validation[[#This Row],[AI_TRU1]]</f>
        <v>6</v>
      </c>
      <c r="V317">
        <f t="shared" si="120"/>
        <v>0.55555555555555558</v>
      </c>
      <c r="W317">
        <f>[1]!survey_responses[[#This Row],[Tôi tin rằng Nhà nước, cơ quan thuế sẽ thực thi chính sách mới một cách khách quan, công tâm và đối xử bình đẳng với mọi người nộp thuế.  - HUMAN-TRU1]]</f>
        <v>6</v>
      </c>
      <c r="X317">
        <f t="shared" si="121"/>
        <v>0.55555555555555558</v>
      </c>
      <c r="Y317">
        <f>step3_validation[[#This Row],[AI_TRU2]]</f>
        <v>5</v>
      </c>
      <c r="Z317">
        <f t="shared" si="122"/>
        <v>0.44444444444444442</v>
      </c>
      <c r="AA317">
        <f>[1]!survey_responses[[#This Row],[Tôi thấy mức thuế tôi phải đóng theo phương án mới là công bằng (người thu nhập như tôi đóng mức này là hợp lý). - HUMAN-TRU2]]</f>
        <v>7</v>
      </c>
      <c r="AB317">
        <f t="shared" si="123"/>
        <v>0.66666666666666663</v>
      </c>
      <c r="AC317">
        <f>step3_validation[[#This Row],[AI_TRU3]]</f>
        <v>6</v>
      </c>
      <c r="AD317">
        <f t="shared" si="124"/>
        <v>0.55555555555555558</v>
      </c>
      <c r="AE317">
        <f>[1]!survey_responses[[#This Row],[Tôi tin tưởng số tiền thuế tôi đóng sẽ được Nhà nước sử dụng hiệu quả để cải thiện dịch vụ công (y tế, đường xá...). - HUMAN-TRU3]]</f>
        <v>6</v>
      </c>
      <c r="AF317">
        <f t="shared" si="125"/>
        <v>0.55555555555555558</v>
      </c>
      <c r="AG317">
        <f>step3_validation[[#This Row],[AI_TRU4]]</f>
        <v>5</v>
      </c>
      <c r="AH317">
        <f t="shared" si="126"/>
        <v>0.44444444444444442</v>
      </c>
      <c r="AI317">
        <f>[1]!survey_responses[[#This Row],[Tôi thấy Nhà nước đã giải thích rõ ràng, minh bạch về lý do và mục tiêu của việc sửa đổi thuế lần này. - HUMAN-TRU4]]</f>
        <v>7</v>
      </c>
      <c r="AJ317">
        <f t="shared" si="127"/>
        <v>0.66666666666666663</v>
      </c>
      <c r="AK317" s="32">
        <f t="shared" si="128"/>
        <v>0.5</v>
      </c>
      <c r="AL317" s="32">
        <f t="shared" si="129"/>
        <v>0.61111111111111116</v>
      </c>
      <c r="AM317" s="7">
        <f t="shared" si="130"/>
        <v>0.61111111111111116</v>
      </c>
      <c r="AN317" s="7">
        <f t="shared" si="131"/>
        <v>0.59259259259259267</v>
      </c>
      <c r="AO317">
        <f>step3_validation[[#This Row],[AI_OUT1]]</f>
        <v>6</v>
      </c>
      <c r="AP317">
        <f t="shared" si="132"/>
        <v>0.55555555555555558</v>
      </c>
      <c r="AQ317">
        <f>[1]!survey_responses[[#This Row],[Sau khi xem xét các quyền lợi và nghĩa vụ, bạn có ủng hộ và tuân thủ chính sách mới hiện nay? - HUMAN-OUT1]]</f>
        <v>7</v>
      </c>
      <c r="AR317">
        <f t="shared" si="133"/>
        <v>0.66666666666666663</v>
      </c>
      <c r="AS317" s="32">
        <f t="shared" si="134"/>
        <v>1</v>
      </c>
    </row>
    <row r="318" spans="1:45" x14ac:dyDescent="0.45">
      <c r="A318">
        <f>step3_validation[[#This Row],[AI_ENF1]]</f>
        <v>5</v>
      </c>
      <c r="B318">
        <f t="shared" si="108"/>
        <v>0.44444444444444442</v>
      </c>
      <c r="C318">
        <f>[1]!survey_responses[[#This Row],[Tôi tin rằng với các quy định quản lý thuế hiện nay, hành vi gian lận hoặc trốn thuế sẽ dễ dàng bị phát hiện và xử lý nghiêm. - HUMAN-ENF1]]</f>
        <v>7</v>
      </c>
      <c r="D318">
        <f t="shared" si="109"/>
        <v>0.66666666666666663</v>
      </c>
      <c r="E318">
        <f>step3_validation[[#This Row],[AI_ENF2]]</f>
        <v>6</v>
      </c>
      <c r="F318">
        <f t="shared" si="110"/>
        <v>0.55555555555555558</v>
      </c>
      <c r="G318">
        <f>[1]!survey_responses[[#This Row],[Tôi tin rằng Nhà nước, cơ quan thuế có đủ khả năng và công nghệ để phát hiện, xử lý nghiêm các hành vi trốn thuế. - HUMAN-ENF2]]</f>
        <v>7</v>
      </c>
      <c r="H318">
        <f t="shared" si="111"/>
        <v>0.66666666666666663</v>
      </c>
      <c r="I318" s="32">
        <f t="shared" si="112"/>
        <v>0.5</v>
      </c>
      <c r="J318" s="32">
        <f t="shared" si="113"/>
        <v>0.66666666666666663</v>
      </c>
      <c r="K318">
        <f>step3_validation[[#This Row],[AI_FAC1]]</f>
        <v>7</v>
      </c>
      <c r="L318">
        <f t="shared" si="114"/>
        <v>0.66666666666666663</v>
      </c>
      <c r="M318">
        <f>[1]!survey_responses[[#This Row],[Các thủ tục khai báo thuế VÀ/HOẶC quy trình làm việc với cơ quan thuế đơn giản, tiện lợi, nhanh chóng hơn so với trước đây. - HUMAN-FAC1]]</f>
        <v>5</v>
      </c>
      <c r="N318">
        <f t="shared" si="115"/>
        <v>0.44444444444444442</v>
      </c>
      <c r="O318">
        <f>step3_validation[[#This Row],[AI_FAC2]]</f>
        <v>8</v>
      </c>
      <c r="P318">
        <f t="shared" si="116"/>
        <v>0.77777777777777779</v>
      </c>
      <c r="Q318">
        <f>[1]!survey_responses[[#This Row],[So với trước đây, tôi thấy cách tính thuế và các bậc thuế trong phương án mới đơn giản, dễ hiểu và dễ thực hiện hơn. - HUMAN-FAC2]]</f>
        <v>8</v>
      </c>
      <c r="R318">
        <f t="shared" si="117"/>
        <v>0.77777777777777779</v>
      </c>
      <c r="S318" s="32">
        <f t="shared" si="118"/>
        <v>0.72222222222222221</v>
      </c>
      <c r="T318" s="32">
        <f t="shared" si="119"/>
        <v>0.61111111111111116</v>
      </c>
      <c r="U318">
        <f>step3_validation[[#This Row],[AI_TRU1]]</f>
        <v>7</v>
      </c>
      <c r="V318">
        <f t="shared" si="120"/>
        <v>0.66666666666666663</v>
      </c>
      <c r="W318">
        <f>[1]!survey_responses[[#This Row],[Tôi tin rằng Nhà nước, cơ quan thuế sẽ thực thi chính sách mới một cách khách quan, công tâm và đối xử bình đẳng với mọi người nộp thuế.  - HUMAN-TRU1]]</f>
        <v>5</v>
      </c>
      <c r="X318">
        <f t="shared" si="121"/>
        <v>0.44444444444444442</v>
      </c>
      <c r="Y318">
        <f>step3_validation[[#This Row],[AI_TRU2]]</f>
        <v>8</v>
      </c>
      <c r="Z318">
        <f t="shared" si="122"/>
        <v>0.77777777777777779</v>
      </c>
      <c r="AA318">
        <f>[1]!survey_responses[[#This Row],[Tôi thấy mức thuế tôi phải đóng theo phương án mới là công bằng (người thu nhập như tôi đóng mức này là hợp lý). - HUMAN-TRU2]]</f>
        <v>8</v>
      </c>
      <c r="AB318">
        <f t="shared" si="123"/>
        <v>0.77777777777777779</v>
      </c>
      <c r="AC318">
        <f>step3_validation[[#This Row],[AI_TRU3]]</f>
        <v>7</v>
      </c>
      <c r="AD318">
        <f t="shared" si="124"/>
        <v>0.66666666666666663</v>
      </c>
      <c r="AE318">
        <f>[1]!survey_responses[[#This Row],[Tôi tin tưởng số tiền thuế tôi đóng sẽ được Nhà nước sử dụng hiệu quả để cải thiện dịch vụ công (y tế, đường xá...). - HUMAN-TRU3]]</f>
        <v>5</v>
      </c>
      <c r="AF318">
        <f t="shared" si="125"/>
        <v>0.44444444444444442</v>
      </c>
      <c r="AG318">
        <f>step3_validation[[#This Row],[AI_TRU4]]</f>
        <v>6</v>
      </c>
      <c r="AH318">
        <f t="shared" si="126"/>
        <v>0.55555555555555558</v>
      </c>
      <c r="AI318">
        <f>[1]!survey_responses[[#This Row],[Tôi thấy Nhà nước đã giải thích rõ ràng, minh bạch về lý do và mục tiêu của việc sửa đổi thuế lần này. - HUMAN-TRU4]]</f>
        <v>7</v>
      </c>
      <c r="AJ318">
        <f t="shared" si="127"/>
        <v>0.66666666666666663</v>
      </c>
      <c r="AK318" s="32">
        <f t="shared" si="128"/>
        <v>0.66666666666666674</v>
      </c>
      <c r="AL318" s="32">
        <f t="shared" si="129"/>
        <v>0.58333333333333337</v>
      </c>
      <c r="AM318" s="7">
        <f t="shared" si="130"/>
        <v>0.62962962962962965</v>
      </c>
      <c r="AN318" s="7">
        <f t="shared" si="131"/>
        <v>0.62037037037037035</v>
      </c>
      <c r="AO318">
        <f>step3_validation[[#This Row],[AI_OUT1]]</f>
        <v>8</v>
      </c>
      <c r="AP318">
        <f t="shared" si="132"/>
        <v>0.77777777777777779</v>
      </c>
      <c r="AQ318">
        <f>[1]!survey_responses[[#This Row],[Sau khi xem xét các quyền lợi và nghĩa vụ, bạn có ủng hộ và tuân thủ chính sách mới hiện nay? - HUMAN-OUT1]]</f>
        <v>8</v>
      </c>
      <c r="AR318">
        <f t="shared" si="133"/>
        <v>0.77777777777777779</v>
      </c>
      <c r="AS318" s="32">
        <f t="shared" si="134"/>
        <v>0</v>
      </c>
    </row>
    <row r="319" spans="1:45" x14ac:dyDescent="0.45">
      <c r="A319">
        <f>step3_validation[[#This Row],[AI_ENF1]]</f>
        <v>7</v>
      </c>
      <c r="B319">
        <f t="shared" si="108"/>
        <v>0.66666666666666663</v>
      </c>
      <c r="C319">
        <f>[1]!survey_responses[[#This Row],[Tôi tin rằng với các quy định quản lý thuế hiện nay, hành vi gian lận hoặc trốn thuế sẽ dễ dàng bị phát hiện và xử lý nghiêm. - HUMAN-ENF1]]</f>
        <v>4</v>
      </c>
      <c r="D319">
        <f t="shared" si="109"/>
        <v>0.33333333333333331</v>
      </c>
      <c r="E319">
        <f>step3_validation[[#This Row],[AI_ENF2]]</f>
        <v>6</v>
      </c>
      <c r="F319">
        <f t="shared" si="110"/>
        <v>0.55555555555555558</v>
      </c>
      <c r="G319">
        <f>[1]!survey_responses[[#This Row],[Tôi tin rằng Nhà nước, cơ quan thuế có đủ khả năng và công nghệ để phát hiện, xử lý nghiêm các hành vi trốn thuế. - HUMAN-ENF2]]</f>
        <v>4</v>
      </c>
      <c r="H319">
        <f t="shared" si="111"/>
        <v>0.33333333333333331</v>
      </c>
      <c r="I319" s="32">
        <f t="shared" si="112"/>
        <v>0.61111111111111116</v>
      </c>
      <c r="J319" s="32">
        <f t="shared" si="113"/>
        <v>0.33333333333333331</v>
      </c>
      <c r="K319">
        <f>step3_validation[[#This Row],[AI_FAC1]]</f>
        <v>8</v>
      </c>
      <c r="L319">
        <f t="shared" si="114"/>
        <v>0.77777777777777779</v>
      </c>
      <c r="M319">
        <f>[1]!survey_responses[[#This Row],[Các thủ tục khai báo thuế VÀ/HOẶC quy trình làm việc với cơ quan thuế đơn giản, tiện lợi, nhanh chóng hơn so với trước đây. - HUMAN-FAC1]]</f>
        <v>6</v>
      </c>
      <c r="N319">
        <f t="shared" si="115"/>
        <v>0.55555555555555558</v>
      </c>
      <c r="O319">
        <f>step3_validation[[#This Row],[AI_FAC2]]</f>
        <v>9</v>
      </c>
      <c r="P319">
        <f t="shared" si="116"/>
        <v>0.88888888888888884</v>
      </c>
      <c r="Q319">
        <f>[1]!survey_responses[[#This Row],[So với trước đây, tôi thấy cách tính thuế và các bậc thuế trong phương án mới đơn giản, dễ hiểu và dễ thực hiện hơn. - HUMAN-FAC2]]</f>
        <v>7</v>
      </c>
      <c r="R319">
        <f t="shared" si="117"/>
        <v>0.66666666666666663</v>
      </c>
      <c r="S319" s="32">
        <f t="shared" si="118"/>
        <v>0.83333333333333326</v>
      </c>
      <c r="T319" s="32">
        <f t="shared" si="119"/>
        <v>0.61111111111111116</v>
      </c>
      <c r="U319">
        <f>step3_validation[[#This Row],[AI_TRU1]]</f>
        <v>7</v>
      </c>
      <c r="V319">
        <f t="shared" si="120"/>
        <v>0.66666666666666663</v>
      </c>
      <c r="W319">
        <f>[1]!survey_responses[[#This Row],[Tôi tin rằng Nhà nước, cơ quan thuế sẽ thực thi chính sách mới một cách khách quan, công tâm và đối xử bình đẳng với mọi người nộp thuế.  - HUMAN-TRU1]]</f>
        <v>5</v>
      </c>
      <c r="X319">
        <f t="shared" si="121"/>
        <v>0.44444444444444442</v>
      </c>
      <c r="Y319">
        <f>step3_validation[[#This Row],[AI_TRU2]]</f>
        <v>6</v>
      </c>
      <c r="Z319">
        <f t="shared" si="122"/>
        <v>0.55555555555555558</v>
      </c>
      <c r="AA319">
        <f>[1]!survey_responses[[#This Row],[Tôi thấy mức thuế tôi phải đóng theo phương án mới là công bằng (người thu nhập như tôi đóng mức này là hợp lý). - HUMAN-TRU2]]</f>
        <v>8</v>
      </c>
      <c r="AB319">
        <f t="shared" si="123"/>
        <v>0.77777777777777779</v>
      </c>
      <c r="AC319">
        <f>step3_validation[[#This Row],[AI_TRU3]]</f>
        <v>8</v>
      </c>
      <c r="AD319">
        <f t="shared" si="124"/>
        <v>0.77777777777777779</v>
      </c>
      <c r="AE319">
        <f>[1]!survey_responses[[#This Row],[Tôi tin tưởng số tiền thuế tôi đóng sẽ được Nhà nước sử dụng hiệu quả để cải thiện dịch vụ công (y tế, đường xá...). - HUMAN-TRU3]]</f>
        <v>5</v>
      </c>
      <c r="AF319">
        <f t="shared" si="125"/>
        <v>0.44444444444444442</v>
      </c>
      <c r="AG319">
        <f>step3_validation[[#This Row],[AI_TRU4]]</f>
        <v>5</v>
      </c>
      <c r="AH319">
        <f t="shared" si="126"/>
        <v>0.44444444444444442</v>
      </c>
      <c r="AI319">
        <f>[1]!survey_responses[[#This Row],[Tôi thấy Nhà nước đã giải thích rõ ràng, minh bạch về lý do và mục tiêu của việc sửa đổi thuế lần này. - HUMAN-TRU4]]</f>
        <v>5</v>
      </c>
      <c r="AJ319">
        <f t="shared" si="127"/>
        <v>0.44444444444444442</v>
      </c>
      <c r="AK319" s="32">
        <f t="shared" si="128"/>
        <v>0.61111111111111116</v>
      </c>
      <c r="AL319" s="32">
        <f t="shared" si="129"/>
        <v>0.52777777777777779</v>
      </c>
      <c r="AM319" s="7">
        <f t="shared" si="130"/>
        <v>0.68518518518518512</v>
      </c>
      <c r="AN319" s="7">
        <f t="shared" si="131"/>
        <v>0.49074074074074076</v>
      </c>
      <c r="AO319">
        <f>step3_validation[[#This Row],[AI_OUT1]]</f>
        <v>8</v>
      </c>
      <c r="AP319">
        <f t="shared" si="132"/>
        <v>0.77777777777777779</v>
      </c>
      <c r="AQ319">
        <f>[1]!survey_responses[[#This Row],[Sau khi xem xét các quyền lợi và nghĩa vụ, bạn có ủng hộ và tuân thủ chính sách mới hiện nay? - HUMAN-OUT1]]</f>
        <v>8</v>
      </c>
      <c r="AR319">
        <f t="shared" si="133"/>
        <v>0.77777777777777779</v>
      </c>
      <c r="AS319" s="32">
        <f t="shared" si="134"/>
        <v>0</v>
      </c>
    </row>
    <row r="320" spans="1:45" x14ac:dyDescent="0.45">
      <c r="A320">
        <f>step3_validation[[#This Row],[AI_ENF1]]</f>
        <v>7</v>
      </c>
      <c r="B320">
        <f t="shared" si="108"/>
        <v>0.66666666666666663</v>
      </c>
      <c r="C320">
        <f>[1]!survey_responses[[#This Row],[Tôi tin rằng với các quy định quản lý thuế hiện nay, hành vi gian lận hoặc trốn thuế sẽ dễ dàng bị phát hiện và xử lý nghiêm. - HUMAN-ENF1]]</f>
        <v>8</v>
      </c>
      <c r="D320">
        <f t="shared" si="109"/>
        <v>0.77777777777777779</v>
      </c>
      <c r="E320">
        <f>step3_validation[[#This Row],[AI_ENF2]]</f>
        <v>8</v>
      </c>
      <c r="F320">
        <f t="shared" si="110"/>
        <v>0.77777777777777779</v>
      </c>
      <c r="G320">
        <f>[1]!survey_responses[[#This Row],[Tôi tin rằng Nhà nước, cơ quan thuế có đủ khả năng và công nghệ để phát hiện, xử lý nghiêm các hành vi trốn thuế. - HUMAN-ENF2]]</f>
        <v>8</v>
      </c>
      <c r="H320">
        <f t="shared" si="111"/>
        <v>0.77777777777777779</v>
      </c>
      <c r="I320" s="32">
        <f t="shared" si="112"/>
        <v>0.72222222222222221</v>
      </c>
      <c r="J320" s="32">
        <f t="shared" si="113"/>
        <v>0.77777777777777779</v>
      </c>
      <c r="K320">
        <f>step3_validation[[#This Row],[AI_FAC1]]</f>
        <v>6</v>
      </c>
      <c r="L320">
        <f t="shared" si="114"/>
        <v>0.55555555555555558</v>
      </c>
      <c r="M320">
        <f>[1]!survey_responses[[#This Row],[Các thủ tục khai báo thuế VÀ/HOẶC quy trình làm việc với cơ quan thuế đơn giản, tiện lợi, nhanh chóng hơn so với trước đây. - HUMAN-FAC1]]</f>
        <v>10</v>
      </c>
      <c r="N320">
        <f t="shared" si="115"/>
        <v>1</v>
      </c>
      <c r="O320">
        <f>step3_validation[[#This Row],[AI_FAC2]]</f>
        <v>7</v>
      </c>
      <c r="P320">
        <f t="shared" si="116"/>
        <v>0.66666666666666663</v>
      </c>
      <c r="Q320">
        <f>[1]!survey_responses[[#This Row],[So với trước đây, tôi thấy cách tính thuế và các bậc thuế trong phương án mới đơn giản, dễ hiểu và dễ thực hiện hơn. - HUMAN-FAC2]]</f>
        <v>10</v>
      </c>
      <c r="R320">
        <f t="shared" si="117"/>
        <v>1</v>
      </c>
      <c r="S320" s="32">
        <f t="shared" si="118"/>
        <v>0.61111111111111116</v>
      </c>
      <c r="T320" s="32">
        <f t="shared" si="119"/>
        <v>1</v>
      </c>
      <c r="U320">
        <f>step3_validation[[#This Row],[AI_TRU1]]</f>
        <v>8</v>
      </c>
      <c r="V320">
        <f t="shared" si="120"/>
        <v>0.77777777777777779</v>
      </c>
      <c r="W320">
        <f>[1]!survey_responses[[#This Row],[Tôi tin rằng Nhà nước, cơ quan thuế sẽ thực thi chính sách mới một cách khách quan, công tâm và đối xử bình đẳng với mọi người nộp thuế.  - HUMAN-TRU1]]</f>
        <v>9</v>
      </c>
      <c r="X320">
        <f t="shared" si="121"/>
        <v>0.88888888888888884</v>
      </c>
      <c r="Y320">
        <f>step3_validation[[#This Row],[AI_TRU2]]</f>
        <v>7</v>
      </c>
      <c r="Z320">
        <f t="shared" si="122"/>
        <v>0.66666666666666663</v>
      </c>
      <c r="AA320">
        <f>[1]!survey_responses[[#This Row],[Tôi thấy mức thuế tôi phải đóng theo phương án mới là công bằng (người thu nhập như tôi đóng mức này là hợp lý). - HUMAN-TRU2]]</f>
        <v>10</v>
      </c>
      <c r="AB320">
        <f t="shared" si="123"/>
        <v>1</v>
      </c>
      <c r="AC320">
        <f>step3_validation[[#This Row],[AI_TRU3]]</f>
        <v>6</v>
      </c>
      <c r="AD320">
        <f t="shared" si="124"/>
        <v>0.55555555555555558</v>
      </c>
      <c r="AE320">
        <f>[1]!survey_responses[[#This Row],[Tôi tin tưởng số tiền thuế tôi đóng sẽ được Nhà nước sử dụng hiệu quả để cải thiện dịch vụ công (y tế, đường xá...). - HUMAN-TRU3]]</f>
        <v>8</v>
      </c>
      <c r="AF320">
        <f t="shared" si="125"/>
        <v>0.77777777777777779</v>
      </c>
      <c r="AG320">
        <f>step3_validation[[#This Row],[AI_TRU4]]</f>
        <v>7</v>
      </c>
      <c r="AH320">
        <f t="shared" si="126"/>
        <v>0.66666666666666663</v>
      </c>
      <c r="AI320">
        <f>[1]!survey_responses[[#This Row],[Tôi thấy Nhà nước đã giải thích rõ ràng, minh bạch về lý do và mục tiêu của việc sửa đổi thuế lần này. - HUMAN-TRU4]]</f>
        <v>8</v>
      </c>
      <c r="AJ320">
        <f t="shared" si="127"/>
        <v>0.77777777777777779</v>
      </c>
      <c r="AK320" s="32">
        <f t="shared" si="128"/>
        <v>0.66666666666666663</v>
      </c>
      <c r="AL320" s="32">
        <f t="shared" si="129"/>
        <v>0.86111111111111105</v>
      </c>
      <c r="AM320" s="7">
        <f t="shared" si="130"/>
        <v>0.66666666666666663</v>
      </c>
      <c r="AN320" s="7">
        <f t="shared" si="131"/>
        <v>0.87962962962962965</v>
      </c>
      <c r="AO320">
        <f>step3_validation[[#This Row],[AI_OUT1]]</f>
        <v>8</v>
      </c>
      <c r="AP320">
        <f t="shared" si="132"/>
        <v>0.77777777777777779</v>
      </c>
      <c r="AQ320">
        <f>[1]!survey_responses[[#This Row],[Sau khi xem xét các quyền lợi và nghĩa vụ, bạn có ủng hộ và tuân thủ chính sách mới hiện nay? - HUMAN-OUT1]]</f>
        <v>10</v>
      </c>
      <c r="AR320">
        <f t="shared" si="133"/>
        <v>1</v>
      </c>
      <c r="AS320" s="32">
        <f t="shared" si="134"/>
        <v>2</v>
      </c>
    </row>
    <row r="321" spans="1:45" x14ac:dyDescent="0.45">
      <c r="A321">
        <f>step3_validation[[#This Row],[AI_ENF1]]</f>
        <v>7</v>
      </c>
      <c r="B321">
        <f t="shared" si="108"/>
        <v>0.66666666666666663</v>
      </c>
      <c r="C321">
        <f>[1]!survey_responses[[#This Row],[Tôi tin rằng với các quy định quản lý thuế hiện nay, hành vi gian lận hoặc trốn thuế sẽ dễ dàng bị phát hiện và xử lý nghiêm. - HUMAN-ENF1]]</f>
        <v>5</v>
      </c>
      <c r="D321">
        <f t="shared" si="109"/>
        <v>0.44444444444444442</v>
      </c>
      <c r="E321">
        <f>step3_validation[[#This Row],[AI_ENF2]]</f>
        <v>7</v>
      </c>
      <c r="F321">
        <f t="shared" si="110"/>
        <v>0.66666666666666663</v>
      </c>
      <c r="G321">
        <f>[1]!survey_responses[[#This Row],[Tôi tin rằng Nhà nước, cơ quan thuế có đủ khả năng và công nghệ để phát hiện, xử lý nghiêm các hành vi trốn thuế. - HUMAN-ENF2]]</f>
        <v>7</v>
      </c>
      <c r="H321">
        <f t="shared" si="111"/>
        <v>0.66666666666666663</v>
      </c>
      <c r="I321" s="32">
        <f t="shared" si="112"/>
        <v>0.66666666666666663</v>
      </c>
      <c r="J321" s="32">
        <f t="shared" si="113"/>
        <v>0.55555555555555558</v>
      </c>
      <c r="K321">
        <f>step3_validation[[#This Row],[AI_FAC1]]</f>
        <v>9</v>
      </c>
      <c r="L321">
        <f t="shared" si="114"/>
        <v>0.88888888888888884</v>
      </c>
      <c r="M321">
        <f>[1]!survey_responses[[#This Row],[Các thủ tục khai báo thuế VÀ/HOẶC quy trình làm việc với cơ quan thuế đơn giản, tiện lợi, nhanh chóng hơn so với trước đây. - HUMAN-FAC1]]</f>
        <v>7</v>
      </c>
      <c r="N321">
        <f t="shared" si="115"/>
        <v>0.66666666666666663</v>
      </c>
      <c r="O321">
        <f>step3_validation[[#This Row],[AI_FAC2]]</f>
        <v>8</v>
      </c>
      <c r="P321">
        <f t="shared" si="116"/>
        <v>0.77777777777777779</v>
      </c>
      <c r="Q321">
        <f>[1]!survey_responses[[#This Row],[So với trước đây, tôi thấy cách tính thuế và các bậc thuế trong phương án mới đơn giản, dễ hiểu và dễ thực hiện hơn. - HUMAN-FAC2]]</f>
        <v>9</v>
      </c>
      <c r="R321">
        <f t="shared" si="117"/>
        <v>0.88888888888888884</v>
      </c>
      <c r="S321" s="32">
        <f t="shared" si="118"/>
        <v>0.83333333333333326</v>
      </c>
      <c r="T321" s="32">
        <f t="shared" si="119"/>
        <v>0.77777777777777768</v>
      </c>
      <c r="U321">
        <f>step3_validation[[#This Row],[AI_TRU1]]</f>
        <v>6</v>
      </c>
      <c r="V321">
        <f t="shared" si="120"/>
        <v>0.55555555555555558</v>
      </c>
      <c r="W321">
        <f>[1]!survey_responses[[#This Row],[Tôi tin rằng Nhà nước, cơ quan thuế sẽ thực thi chính sách mới một cách khách quan, công tâm và đối xử bình đẳng với mọi người nộp thuế.  - HUMAN-TRU1]]</f>
        <v>5</v>
      </c>
      <c r="X321">
        <f t="shared" si="121"/>
        <v>0.44444444444444442</v>
      </c>
      <c r="Y321">
        <f>step3_validation[[#This Row],[AI_TRU2]]</f>
        <v>8</v>
      </c>
      <c r="Z321">
        <f t="shared" si="122"/>
        <v>0.77777777777777779</v>
      </c>
      <c r="AA321">
        <f>[1]!survey_responses[[#This Row],[Tôi thấy mức thuế tôi phải đóng theo phương án mới là công bằng (người thu nhập như tôi đóng mức này là hợp lý). - HUMAN-TRU2]]</f>
        <v>6</v>
      </c>
      <c r="AB321">
        <f t="shared" si="123"/>
        <v>0.55555555555555558</v>
      </c>
      <c r="AC321">
        <f>step3_validation[[#This Row],[AI_TRU3]]</f>
        <v>6</v>
      </c>
      <c r="AD321">
        <f t="shared" si="124"/>
        <v>0.55555555555555558</v>
      </c>
      <c r="AE321">
        <f>[1]!survey_responses[[#This Row],[Tôi tin tưởng số tiền thuế tôi đóng sẽ được Nhà nước sử dụng hiệu quả để cải thiện dịch vụ công (y tế, đường xá...). - HUMAN-TRU3]]</f>
        <v>5</v>
      </c>
      <c r="AF321">
        <f t="shared" si="125"/>
        <v>0.44444444444444442</v>
      </c>
      <c r="AG321">
        <f>step3_validation[[#This Row],[AI_TRU4]]</f>
        <v>5</v>
      </c>
      <c r="AH321">
        <f t="shared" si="126"/>
        <v>0.44444444444444442</v>
      </c>
      <c r="AI321">
        <f>[1]!survey_responses[[#This Row],[Tôi thấy Nhà nước đã giải thích rõ ràng, minh bạch về lý do và mục tiêu của việc sửa đổi thuế lần này. - HUMAN-TRU4]]</f>
        <v>7</v>
      </c>
      <c r="AJ321">
        <f t="shared" si="127"/>
        <v>0.66666666666666663</v>
      </c>
      <c r="AK321" s="32">
        <f t="shared" si="128"/>
        <v>0.58333333333333337</v>
      </c>
      <c r="AL321" s="32">
        <f t="shared" si="129"/>
        <v>0.52777777777777779</v>
      </c>
      <c r="AM321" s="7">
        <f t="shared" si="130"/>
        <v>0.69444444444444453</v>
      </c>
      <c r="AN321" s="7">
        <f t="shared" si="131"/>
        <v>0.62037037037037035</v>
      </c>
      <c r="AO321">
        <f>step3_validation[[#This Row],[AI_OUT1]]</f>
        <v>7</v>
      </c>
      <c r="AP321">
        <f t="shared" si="132"/>
        <v>0.66666666666666663</v>
      </c>
      <c r="AQ321">
        <f>[1]!survey_responses[[#This Row],[Sau khi xem xét các quyền lợi và nghĩa vụ, bạn có ủng hộ và tuân thủ chính sách mới hiện nay? - HUMAN-OUT1]]</f>
        <v>7</v>
      </c>
      <c r="AR321">
        <f t="shared" si="133"/>
        <v>0.66666666666666663</v>
      </c>
      <c r="AS321" s="32">
        <f t="shared" si="134"/>
        <v>0</v>
      </c>
    </row>
    <row r="322" spans="1:45" x14ac:dyDescent="0.45">
      <c r="A322">
        <f>step3_validation[[#This Row],[AI_ENF1]]</f>
        <v>8</v>
      </c>
      <c r="B322">
        <f t="shared" si="108"/>
        <v>0.77777777777777779</v>
      </c>
      <c r="C322">
        <f>[1]!survey_responses[[#This Row],[Tôi tin rằng với các quy định quản lý thuế hiện nay, hành vi gian lận hoặc trốn thuế sẽ dễ dàng bị phát hiện và xử lý nghiêm. - HUMAN-ENF1]]</f>
        <v>8</v>
      </c>
      <c r="D322">
        <f t="shared" si="109"/>
        <v>0.77777777777777779</v>
      </c>
      <c r="E322">
        <f>step3_validation[[#This Row],[AI_ENF2]]</f>
        <v>7</v>
      </c>
      <c r="F322">
        <f t="shared" si="110"/>
        <v>0.66666666666666663</v>
      </c>
      <c r="G322">
        <f>[1]!survey_responses[[#This Row],[Tôi tin rằng Nhà nước, cơ quan thuế có đủ khả năng và công nghệ để phát hiện, xử lý nghiêm các hành vi trốn thuế. - HUMAN-ENF2]]</f>
        <v>8</v>
      </c>
      <c r="H322">
        <f t="shared" si="111"/>
        <v>0.77777777777777779</v>
      </c>
      <c r="I322" s="32">
        <f t="shared" si="112"/>
        <v>0.72222222222222221</v>
      </c>
      <c r="J322" s="32">
        <f t="shared" si="113"/>
        <v>0.77777777777777779</v>
      </c>
      <c r="K322">
        <f>step3_validation[[#This Row],[AI_FAC1]]</f>
        <v>9</v>
      </c>
      <c r="L322">
        <f t="shared" si="114"/>
        <v>0.88888888888888884</v>
      </c>
      <c r="M322">
        <f>[1]!survey_responses[[#This Row],[Các thủ tục khai báo thuế VÀ/HOẶC quy trình làm việc với cơ quan thuế đơn giản, tiện lợi, nhanh chóng hơn so với trước đây. - HUMAN-FAC1]]</f>
        <v>7</v>
      </c>
      <c r="N322">
        <f t="shared" si="115"/>
        <v>0.66666666666666663</v>
      </c>
      <c r="O322">
        <f>step3_validation[[#This Row],[AI_FAC2]]</f>
        <v>8</v>
      </c>
      <c r="P322">
        <f t="shared" si="116"/>
        <v>0.77777777777777779</v>
      </c>
      <c r="Q322">
        <f>[1]!survey_responses[[#This Row],[So với trước đây, tôi thấy cách tính thuế và các bậc thuế trong phương án mới đơn giản, dễ hiểu và dễ thực hiện hơn. - HUMAN-FAC2]]</f>
        <v>9</v>
      </c>
      <c r="R322">
        <f t="shared" si="117"/>
        <v>0.88888888888888884</v>
      </c>
      <c r="S322" s="32">
        <f t="shared" si="118"/>
        <v>0.83333333333333326</v>
      </c>
      <c r="T322" s="32">
        <f t="shared" si="119"/>
        <v>0.77777777777777768</v>
      </c>
      <c r="U322">
        <f>step3_validation[[#This Row],[AI_TRU1]]</f>
        <v>9</v>
      </c>
      <c r="V322">
        <f t="shared" si="120"/>
        <v>0.88888888888888884</v>
      </c>
      <c r="W322">
        <f>[1]!survey_responses[[#This Row],[Tôi tin rằng Nhà nước, cơ quan thuế sẽ thực thi chính sách mới một cách khách quan, công tâm và đối xử bình đẳng với mọi người nộp thuế.  - HUMAN-TRU1]]</f>
        <v>9</v>
      </c>
      <c r="X322">
        <f t="shared" si="121"/>
        <v>0.88888888888888884</v>
      </c>
      <c r="Y322">
        <f>step3_validation[[#This Row],[AI_TRU2]]</f>
        <v>8</v>
      </c>
      <c r="Z322">
        <f t="shared" si="122"/>
        <v>0.77777777777777779</v>
      </c>
      <c r="AA322">
        <f>[1]!survey_responses[[#This Row],[Tôi thấy mức thuế tôi phải đóng theo phương án mới là công bằng (người thu nhập như tôi đóng mức này là hợp lý). - HUMAN-TRU2]]</f>
        <v>9</v>
      </c>
      <c r="AB322">
        <f t="shared" si="123"/>
        <v>0.88888888888888884</v>
      </c>
      <c r="AC322">
        <f>step3_validation[[#This Row],[AI_TRU3]]</f>
        <v>9</v>
      </c>
      <c r="AD322">
        <f t="shared" si="124"/>
        <v>0.88888888888888884</v>
      </c>
      <c r="AE322">
        <f>[1]!survey_responses[[#This Row],[Tôi tin tưởng số tiền thuế tôi đóng sẽ được Nhà nước sử dụng hiệu quả để cải thiện dịch vụ công (y tế, đường xá...). - HUMAN-TRU3]]</f>
        <v>7</v>
      </c>
      <c r="AF322">
        <f t="shared" si="125"/>
        <v>0.66666666666666663</v>
      </c>
      <c r="AG322">
        <f>step3_validation[[#This Row],[AI_TRU4]]</f>
        <v>8</v>
      </c>
      <c r="AH322">
        <f t="shared" si="126"/>
        <v>0.77777777777777779</v>
      </c>
      <c r="AI322">
        <f>[1]!survey_responses[[#This Row],[Tôi thấy Nhà nước đã giải thích rõ ràng, minh bạch về lý do và mục tiêu của việc sửa đổi thuế lần này. - HUMAN-TRU4]]</f>
        <v>9</v>
      </c>
      <c r="AJ322">
        <f t="shared" si="127"/>
        <v>0.88888888888888884</v>
      </c>
      <c r="AK322" s="32">
        <f t="shared" si="128"/>
        <v>0.83333333333333326</v>
      </c>
      <c r="AL322" s="32">
        <f t="shared" si="129"/>
        <v>0.83333333333333326</v>
      </c>
      <c r="AM322" s="7">
        <f t="shared" si="130"/>
        <v>0.79629629629629617</v>
      </c>
      <c r="AN322" s="7">
        <f t="shared" si="131"/>
        <v>0.79629629629629617</v>
      </c>
      <c r="AO322">
        <f>step3_validation[[#This Row],[AI_OUT1]]</f>
        <v>9</v>
      </c>
      <c r="AP322">
        <f t="shared" si="132"/>
        <v>0.88888888888888884</v>
      </c>
      <c r="AQ322">
        <f>[1]!survey_responses[[#This Row],[Sau khi xem xét các quyền lợi và nghĩa vụ, bạn có ủng hộ và tuân thủ chính sách mới hiện nay? - HUMAN-OUT1]]</f>
        <v>9</v>
      </c>
      <c r="AR322">
        <f t="shared" si="133"/>
        <v>0.88888888888888884</v>
      </c>
      <c r="AS322" s="32">
        <f t="shared" si="134"/>
        <v>0</v>
      </c>
    </row>
    <row r="323" spans="1:45" x14ac:dyDescent="0.45">
      <c r="A323">
        <f>step3_validation[[#This Row],[AI_ENF1]]</f>
        <v>6</v>
      </c>
      <c r="B323">
        <f t="shared" ref="B323:B386" si="135">(A323-1)/9</f>
        <v>0.55555555555555558</v>
      </c>
      <c r="C323">
        <f>[1]!survey_responses[[#This Row],[Tôi tin rằng với các quy định quản lý thuế hiện nay, hành vi gian lận hoặc trốn thuế sẽ dễ dàng bị phát hiện và xử lý nghiêm. - HUMAN-ENF1]]</f>
        <v>5</v>
      </c>
      <c r="D323">
        <f t="shared" ref="D323:D386" si="136">(C323-1)/9</f>
        <v>0.44444444444444442</v>
      </c>
      <c r="E323">
        <f>step3_validation[[#This Row],[AI_ENF2]]</f>
        <v>7</v>
      </c>
      <c r="F323">
        <f t="shared" ref="F323:F386" si="137">(E323-1)/9</f>
        <v>0.66666666666666663</v>
      </c>
      <c r="G323">
        <f>[1]!survey_responses[[#This Row],[Tôi tin rằng Nhà nước, cơ quan thuế có đủ khả năng và công nghệ để phát hiện, xử lý nghiêm các hành vi trốn thuế. - HUMAN-ENF2]]</f>
        <v>5</v>
      </c>
      <c r="H323">
        <f t="shared" ref="H323:H386" si="138">(G323-1)/9</f>
        <v>0.44444444444444442</v>
      </c>
      <c r="I323" s="32">
        <f t="shared" ref="I323:I386" si="139">AVERAGE(B323,F323)</f>
        <v>0.61111111111111116</v>
      </c>
      <c r="J323" s="32">
        <f t="shared" ref="J323:J386" si="140">AVERAGE(D323,H323)</f>
        <v>0.44444444444444442</v>
      </c>
      <c r="K323">
        <f>step3_validation[[#This Row],[AI_FAC1]]</f>
        <v>5</v>
      </c>
      <c r="L323">
        <f t="shared" ref="L323:L386" si="141">(K323-1)/9</f>
        <v>0.44444444444444442</v>
      </c>
      <c r="M323">
        <f>[1]!survey_responses[[#This Row],[Các thủ tục khai báo thuế VÀ/HOẶC quy trình làm việc với cơ quan thuế đơn giản, tiện lợi, nhanh chóng hơn so với trước đây. - HUMAN-FAC1]]</f>
        <v>5</v>
      </c>
      <c r="N323">
        <f t="shared" ref="N323:N386" si="142">(M323-1)/9</f>
        <v>0.44444444444444442</v>
      </c>
      <c r="O323">
        <f>step3_validation[[#This Row],[AI_FAC2]]</f>
        <v>8</v>
      </c>
      <c r="P323">
        <f t="shared" ref="P323:P386" si="143">(O323-1)/9</f>
        <v>0.77777777777777779</v>
      </c>
      <c r="Q323">
        <f>[1]!survey_responses[[#This Row],[So với trước đây, tôi thấy cách tính thuế và các bậc thuế trong phương án mới đơn giản, dễ hiểu và dễ thực hiện hơn. - HUMAN-FAC2]]</f>
        <v>7</v>
      </c>
      <c r="R323">
        <f t="shared" ref="R323:R386" si="144">(Q323-1)/9</f>
        <v>0.66666666666666663</v>
      </c>
      <c r="S323" s="32">
        <f t="shared" ref="S323:S386" si="145">AVERAGE(L323,P323)</f>
        <v>0.61111111111111116</v>
      </c>
      <c r="T323" s="32">
        <f t="shared" ref="T323:T386" si="146">AVERAGE(N323,R323)</f>
        <v>0.55555555555555558</v>
      </c>
      <c r="U323">
        <f>step3_validation[[#This Row],[AI_TRU1]]</f>
        <v>7</v>
      </c>
      <c r="V323">
        <f t="shared" ref="V323:V386" si="147">(U323-1)/9</f>
        <v>0.66666666666666663</v>
      </c>
      <c r="W323">
        <f>[1]!survey_responses[[#This Row],[Tôi tin rằng Nhà nước, cơ quan thuế sẽ thực thi chính sách mới một cách khách quan, công tâm và đối xử bình đẳng với mọi người nộp thuế.  - HUMAN-TRU1]]</f>
        <v>5</v>
      </c>
      <c r="X323">
        <f t="shared" ref="X323:X386" si="148">(W323-1)/9</f>
        <v>0.44444444444444442</v>
      </c>
      <c r="Y323">
        <f>step3_validation[[#This Row],[AI_TRU2]]</f>
        <v>8</v>
      </c>
      <c r="Z323">
        <f t="shared" ref="Z323:Z386" si="149">(Y323-1)/9</f>
        <v>0.77777777777777779</v>
      </c>
      <c r="AA323">
        <f>[1]!survey_responses[[#This Row],[Tôi thấy mức thuế tôi phải đóng theo phương án mới là công bằng (người thu nhập như tôi đóng mức này là hợp lý). - HUMAN-TRU2]]</f>
        <v>7</v>
      </c>
      <c r="AB323">
        <f t="shared" ref="AB323:AB386" si="150">(AA323-1)/9</f>
        <v>0.66666666666666663</v>
      </c>
      <c r="AC323">
        <f>step3_validation[[#This Row],[AI_TRU3]]</f>
        <v>6</v>
      </c>
      <c r="AD323">
        <f t="shared" ref="AD323:AD386" si="151">(AC323-1)/9</f>
        <v>0.55555555555555558</v>
      </c>
      <c r="AE323">
        <f>[1]!survey_responses[[#This Row],[Tôi tin tưởng số tiền thuế tôi đóng sẽ được Nhà nước sử dụng hiệu quả để cải thiện dịch vụ công (y tế, đường xá...). - HUMAN-TRU3]]</f>
        <v>5</v>
      </c>
      <c r="AF323">
        <f t="shared" ref="AF323:AF386" si="152">(AE323-1)/9</f>
        <v>0.44444444444444442</v>
      </c>
      <c r="AG323">
        <f>step3_validation[[#This Row],[AI_TRU4]]</f>
        <v>5</v>
      </c>
      <c r="AH323">
        <f t="shared" ref="AH323:AH386" si="153">(AG323-1)/9</f>
        <v>0.44444444444444442</v>
      </c>
      <c r="AI323">
        <f>[1]!survey_responses[[#This Row],[Tôi thấy Nhà nước đã giải thích rõ ràng, minh bạch về lý do và mục tiêu của việc sửa đổi thuế lần này. - HUMAN-TRU4]]</f>
        <v>5</v>
      </c>
      <c r="AJ323">
        <f t="shared" ref="AJ323:AJ386" si="154">(AI323-1)/9</f>
        <v>0.44444444444444442</v>
      </c>
      <c r="AK323" s="32">
        <f t="shared" ref="AK323:AK386" si="155">AVERAGE(V323,Z323,AD323,AH323)</f>
        <v>0.61111111111111116</v>
      </c>
      <c r="AL323" s="32">
        <f t="shared" ref="AL323:AL386" si="156">AVERAGE(X323,AB323,AF323,AJ323)</f>
        <v>0.5</v>
      </c>
      <c r="AM323" s="7">
        <f t="shared" ref="AM323:AM386" si="157">(I323+S323+AK323)/3</f>
        <v>0.61111111111111116</v>
      </c>
      <c r="AN323" s="7">
        <f t="shared" ref="AN323:AN386" si="158">(J323+T323+AL323)/3</f>
        <v>0.5</v>
      </c>
      <c r="AO323">
        <f>step3_validation[[#This Row],[AI_OUT1]]</f>
        <v>7</v>
      </c>
      <c r="AP323">
        <f t="shared" ref="AP323:AP386" si="159">(AO323-1)/9</f>
        <v>0.66666666666666663</v>
      </c>
      <c r="AQ323">
        <f>[1]!survey_responses[[#This Row],[Sau khi xem xét các quyền lợi và nghĩa vụ, bạn có ủng hộ và tuân thủ chính sách mới hiện nay? - HUMAN-OUT1]]</f>
        <v>7</v>
      </c>
      <c r="AR323">
        <f t="shared" ref="AR323:AR386" si="160">(AQ323-1)/9</f>
        <v>0.66666666666666663</v>
      </c>
      <c r="AS323" s="32">
        <f t="shared" ref="AS323:AS386" si="161">ABS(AQ323-AO323)</f>
        <v>0</v>
      </c>
    </row>
    <row r="324" spans="1:45" x14ac:dyDescent="0.45">
      <c r="A324">
        <f>step3_validation[[#This Row],[AI_ENF1]]</f>
        <v>9</v>
      </c>
      <c r="B324">
        <f t="shared" si="135"/>
        <v>0.88888888888888884</v>
      </c>
      <c r="C324">
        <f>[1]!survey_responses[[#This Row],[Tôi tin rằng với các quy định quản lý thuế hiện nay, hành vi gian lận hoặc trốn thuế sẽ dễ dàng bị phát hiện và xử lý nghiêm. - HUMAN-ENF1]]</f>
        <v>7</v>
      </c>
      <c r="D324">
        <f t="shared" si="136"/>
        <v>0.66666666666666663</v>
      </c>
      <c r="E324">
        <f>step3_validation[[#This Row],[AI_ENF2]]</f>
        <v>8</v>
      </c>
      <c r="F324">
        <f t="shared" si="137"/>
        <v>0.77777777777777779</v>
      </c>
      <c r="G324">
        <f>[1]!survey_responses[[#This Row],[Tôi tin rằng Nhà nước, cơ quan thuế có đủ khả năng và công nghệ để phát hiện, xử lý nghiêm các hành vi trốn thuế. - HUMAN-ENF2]]</f>
        <v>7</v>
      </c>
      <c r="H324">
        <f t="shared" si="138"/>
        <v>0.66666666666666663</v>
      </c>
      <c r="I324" s="32">
        <f t="shared" si="139"/>
        <v>0.83333333333333326</v>
      </c>
      <c r="J324" s="32">
        <f t="shared" si="140"/>
        <v>0.66666666666666663</v>
      </c>
      <c r="K324">
        <f>step3_validation[[#This Row],[AI_FAC1]]</f>
        <v>7</v>
      </c>
      <c r="L324">
        <f t="shared" si="141"/>
        <v>0.66666666666666663</v>
      </c>
      <c r="M324">
        <f>[1]!survey_responses[[#This Row],[Các thủ tục khai báo thuế VÀ/HOẶC quy trình làm việc với cơ quan thuế đơn giản, tiện lợi, nhanh chóng hơn so với trước đây. - HUMAN-FAC1]]</f>
        <v>8</v>
      </c>
      <c r="N324">
        <f t="shared" si="142"/>
        <v>0.77777777777777779</v>
      </c>
      <c r="O324">
        <f>step3_validation[[#This Row],[AI_FAC2]]</f>
        <v>6</v>
      </c>
      <c r="P324">
        <f t="shared" si="143"/>
        <v>0.55555555555555558</v>
      </c>
      <c r="Q324">
        <f>[1]!survey_responses[[#This Row],[So với trước đây, tôi thấy cách tính thuế và các bậc thuế trong phương án mới đơn giản, dễ hiểu và dễ thực hiện hơn. - HUMAN-FAC2]]</f>
        <v>8</v>
      </c>
      <c r="R324">
        <f t="shared" si="144"/>
        <v>0.77777777777777779</v>
      </c>
      <c r="S324" s="32">
        <f t="shared" si="145"/>
        <v>0.61111111111111116</v>
      </c>
      <c r="T324" s="32">
        <f t="shared" si="146"/>
        <v>0.77777777777777779</v>
      </c>
      <c r="U324">
        <f>step3_validation[[#This Row],[AI_TRU1]]</f>
        <v>8</v>
      </c>
      <c r="V324">
        <f t="shared" si="147"/>
        <v>0.77777777777777779</v>
      </c>
      <c r="W324">
        <f>[1]!survey_responses[[#This Row],[Tôi tin rằng Nhà nước, cơ quan thuế sẽ thực thi chính sách mới một cách khách quan, công tâm và đối xử bình đẳng với mọi người nộp thuế.  - HUMAN-TRU1]]</f>
        <v>6</v>
      </c>
      <c r="X324">
        <f t="shared" si="148"/>
        <v>0.55555555555555558</v>
      </c>
      <c r="Y324">
        <f>step3_validation[[#This Row],[AI_TRU2]]</f>
        <v>7</v>
      </c>
      <c r="Z324">
        <f t="shared" si="149"/>
        <v>0.66666666666666663</v>
      </c>
      <c r="AA324">
        <f>[1]!survey_responses[[#This Row],[Tôi thấy mức thuế tôi phải đóng theo phương án mới là công bằng (người thu nhập như tôi đóng mức này là hợp lý). - HUMAN-TRU2]]</f>
        <v>7</v>
      </c>
      <c r="AB324">
        <f t="shared" si="150"/>
        <v>0.66666666666666663</v>
      </c>
      <c r="AC324">
        <f>step3_validation[[#This Row],[AI_TRU3]]</f>
        <v>7</v>
      </c>
      <c r="AD324">
        <f t="shared" si="151"/>
        <v>0.66666666666666663</v>
      </c>
      <c r="AE324">
        <f>[1]!survey_responses[[#This Row],[Tôi tin tưởng số tiền thuế tôi đóng sẽ được Nhà nước sử dụng hiệu quả để cải thiện dịch vụ công (y tế, đường xá...). - HUMAN-TRU3]]</f>
        <v>6</v>
      </c>
      <c r="AF324">
        <f t="shared" si="152"/>
        <v>0.55555555555555558</v>
      </c>
      <c r="AG324">
        <f>step3_validation[[#This Row],[AI_TRU4]]</f>
        <v>6</v>
      </c>
      <c r="AH324">
        <f t="shared" si="153"/>
        <v>0.55555555555555558</v>
      </c>
      <c r="AI324">
        <f>[1]!survey_responses[[#This Row],[Tôi thấy Nhà nước đã giải thích rõ ràng, minh bạch về lý do và mục tiêu của việc sửa đổi thuế lần này. - HUMAN-TRU4]]</f>
        <v>7</v>
      </c>
      <c r="AJ324">
        <f t="shared" si="154"/>
        <v>0.66666666666666663</v>
      </c>
      <c r="AK324" s="32">
        <f t="shared" si="155"/>
        <v>0.66666666666666674</v>
      </c>
      <c r="AL324" s="32">
        <f t="shared" si="156"/>
        <v>0.61111111111111116</v>
      </c>
      <c r="AM324" s="7">
        <f t="shared" si="157"/>
        <v>0.70370370370370372</v>
      </c>
      <c r="AN324" s="7">
        <f t="shared" si="158"/>
        <v>0.68518518518518512</v>
      </c>
      <c r="AO324">
        <f>step3_validation[[#This Row],[AI_OUT1]]</f>
        <v>8</v>
      </c>
      <c r="AP324">
        <f t="shared" si="159"/>
        <v>0.77777777777777779</v>
      </c>
      <c r="AQ324">
        <f>[1]!survey_responses[[#This Row],[Sau khi xem xét các quyền lợi và nghĩa vụ, bạn có ủng hộ và tuân thủ chính sách mới hiện nay? - HUMAN-OUT1]]</f>
        <v>7</v>
      </c>
      <c r="AR324">
        <f t="shared" si="160"/>
        <v>0.66666666666666663</v>
      </c>
      <c r="AS324" s="32">
        <f t="shared" si="161"/>
        <v>1</v>
      </c>
    </row>
    <row r="325" spans="1:45" x14ac:dyDescent="0.45">
      <c r="A325">
        <f>step3_validation[[#This Row],[AI_ENF1]]</f>
        <v>7</v>
      </c>
      <c r="B325">
        <f t="shared" si="135"/>
        <v>0.66666666666666663</v>
      </c>
      <c r="C325">
        <f>[1]!survey_responses[[#This Row],[Tôi tin rằng với các quy định quản lý thuế hiện nay, hành vi gian lận hoặc trốn thuế sẽ dễ dàng bị phát hiện và xử lý nghiêm. - HUMAN-ENF1]]</f>
        <v>7</v>
      </c>
      <c r="D325">
        <f t="shared" si="136"/>
        <v>0.66666666666666663</v>
      </c>
      <c r="E325">
        <f>step3_validation[[#This Row],[AI_ENF2]]</f>
        <v>8</v>
      </c>
      <c r="F325">
        <f t="shared" si="137"/>
        <v>0.77777777777777779</v>
      </c>
      <c r="G325">
        <f>[1]!survey_responses[[#This Row],[Tôi tin rằng Nhà nước, cơ quan thuế có đủ khả năng và công nghệ để phát hiện, xử lý nghiêm các hành vi trốn thuế. - HUMAN-ENF2]]</f>
        <v>7</v>
      </c>
      <c r="H325">
        <f t="shared" si="138"/>
        <v>0.66666666666666663</v>
      </c>
      <c r="I325" s="32">
        <f t="shared" si="139"/>
        <v>0.72222222222222221</v>
      </c>
      <c r="J325" s="32">
        <f t="shared" si="140"/>
        <v>0.66666666666666663</v>
      </c>
      <c r="K325">
        <f>step3_validation[[#This Row],[AI_FAC1]]</f>
        <v>6</v>
      </c>
      <c r="L325">
        <f t="shared" si="141"/>
        <v>0.55555555555555558</v>
      </c>
      <c r="M325">
        <f>[1]!survey_responses[[#This Row],[Các thủ tục khai báo thuế VÀ/HOẶC quy trình làm việc với cơ quan thuế đơn giản, tiện lợi, nhanh chóng hơn so với trước đây. - HUMAN-FAC1]]</f>
        <v>5</v>
      </c>
      <c r="N325">
        <f t="shared" si="142"/>
        <v>0.44444444444444442</v>
      </c>
      <c r="O325">
        <f>step3_validation[[#This Row],[AI_FAC2]]</f>
        <v>8</v>
      </c>
      <c r="P325">
        <f t="shared" si="143"/>
        <v>0.77777777777777779</v>
      </c>
      <c r="Q325">
        <f>[1]!survey_responses[[#This Row],[So với trước đây, tôi thấy cách tính thuế và các bậc thuế trong phương án mới đơn giản, dễ hiểu và dễ thực hiện hơn. - HUMAN-FAC2]]</f>
        <v>7</v>
      </c>
      <c r="R325">
        <f t="shared" si="144"/>
        <v>0.66666666666666663</v>
      </c>
      <c r="S325" s="32">
        <f t="shared" si="145"/>
        <v>0.66666666666666674</v>
      </c>
      <c r="T325" s="32">
        <f t="shared" si="146"/>
        <v>0.55555555555555558</v>
      </c>
      <c r="U325">
        <f>step3_validation[[#This Row],[AI_TRU1]]</f>
        <v>6</v>
      </c>
      <c r="V325">
        <f t="shared" si="147"/>
        <v>0.55555555555555558</v>
      </c>
      <c r="W325">
        <f>[1]!survey_responses[[#This Row],[Tôi tin rằng Nhà nước, cơ quan thuế sẽ thực thi chính sách mới một cách khách quan, công tâm và đối xử bình đẳng với mọi người nộp thuế.  - HUMAN-TRU1]]</f>
        <v>7</v>
      </c>
      <c r="X325">
        <f t="shared" si="148"/>
        <v>0.66666666666666663</v>
      </c>
      <c r="Y325">
        <f>step3_validation[[#This Row],[AI_TRU2]]</f>
        <v>9</v>
      </c>
      <c r="Z325">
        <f t="shared" si="149"/>
        <v>0.88888888888888884</v>
      </c>
      <c r="AA325">
        <f>[1]!survey_responses[[#This Row],[Tôi thấy mức thuế tôi phải đóng theo phương án mới là công bằng (người thu nhập như tôi đóng mức này là hợp lý). - HUMAN-TRU2]]</f>
        <v>7</v>
      </c>
      <c r="AB325">
        <f t="shared" si="150"/>
        <v>0.66666666666666663</v>
      </c>
      <c r="AC325">
        <f>step3_validation[[#This Row],[AI_TRU3]]</f>
        <v>6</v>
      </c>
      <c r="AD325">
        <f t="shared" si="151"/>
        <v>0.55555555555555558</v>
      </c>
      <c r="AE325">
        <f>[1]!survey_responses[[#This Row],[Tôi tin tưởng số tiền thuế tôi đóng sẽ được Nhà nước sử dụng hiệu quả để cải thiện dịch vụ công (y tế, đường xá...). - HUMAN-TRU3]]</f>
        <v>5</v>
      </c>
      <c r="AF325">
        <f t="shared" si="152"/>
        <v>0.44444444444444442</v>
      </c>
      <c r="AG325">
        <f>step3_validation[[#This Row],[AI_TRU4]]</f>
        <v>7</v>
      </c>
      <c r="AH325">
        <f t="shared" si="153"/>
        <v>0.66666666666666663</v>
      </c>
      <c r="AI325">
        <f>[1]!survey_responses[[#This Row],[Tôi thấy Nhà nước đã giải thích rõ ràng, minh bạch về lý do và mục tiêu của việc sửa đổi thuế lần này. - HUMAN-TRU4]]</f>
        <v>5</v>
      </c>
      <c r="AJ325">
        <f t="shared" si="154"/>
        <v>0.44444444444444442</v>
      </c>
      <c r="AK325" s="32">
        <f t="shared" si="155"/>
        <v>0.66666666666666663</v>
      </c>
      <c r="AL325" s="32">
        <f t="shared" si="156"/>
        <v>0.55555555555555558</v>
      </c>
      <c r="AM325" s="7">
        <f t="shared" si="157"/>
        <v>0.68518518518518512</v>
      </c>
      <c r="AN325" s="7">
        <f t="shared" si="158"/>
        <v>0.59259259259259267</v>
      </c>
      <c r="AO325">
        <f>step3_validation[[#This Row],[AI_OUT1]]</f>
        <v>8</v>
      </c>
      <c r="AP325">
        <f t="shared" si="159"/>
        <v>0.77777777777777779</v>
      </c>
      <c r="AQ325">
        <f>[1]!survey_responses[[#This Row],[Sau khi xem xét các quyền lợi và nghĩa vụ, bạn có ủng hộ và tuân thủ chính sách mới hiện nay? - HUMAN-OUT1]]</f>
        <v>8</v>
      </c>
      <c r="AR325">
        <f t="shared" si="160"/>
        <v>0.77777777777777779</v>
      </c>
      <c r="AS325" s="32">
        <f t="shared" si="161"/>
        <v>0</v>
      </c>
    </row>
    <row r="326" spans="1:45" x14ac:dyDescent="0.45">
      <c r="A326">
        <f>step3_validation[[#This Row],[AI_ENF1]]</f>
        <v>7</v>
      </c>
      <c r="B326">
        <f t="shared" si="135"/>
        <v>0.66666666666666663</v>
      </c>
      <c r="C326">
        <f>[1]!survey_responses[[#This Row],[Tôi tin rằng với các quy định quản lý thuế hiện nay, hành vi gian lận hoặc trốn thuế sẽ dễ dàng bị phát hiện và xử lý nghiêm. - HUMAN-ENF1]]</f>
        <v>2</v>
      </c>
      <c r="D326">
        <f t="shared" si="136"/>
        <v>0.1111111111111111</v>
      </c>
      <c r="E326">
        <f>step3_validation[[#This Row],[AI_ENF2]]</f>
        <v>6</v>
      </c>
      <c r="F326">
        <f t="shared" si="137"/>
        <v>0.55555555555555558</v>
      </c>
      <c r="G326">
        <f>[1]!survey_responses[[#This Row],[Tôi tin rằng Nhà nước, cơ quan thuế có đủ khả năng và công nghệ để phát hiện, xử lý nghiêm các hành vi trốn thuế. - HUMAN-ENF2]]</f>
        <v>2</v>
      </c>
      <c r="H326">
        <f t="shared" si="138"/>
        <v>0.1111111111111111</v>
      </c>
      <c r="I326" s="32">
        <f t="shared" si="139"/>
        <v>0.61111111111111116</v>
      </c>
      <c r="J326" s="32">
        <f t="shared" si="140"/>
        <v>0.1111111111111111</v>
      </c>
      <c r="K326">
        <f>step3_validation[[#This Row],[AI_FAC1]]</f>
        <v>8</v>
      </c>
      <c r="L326">
        <f t="shared" si="141"/>
        <v>0.77777777777777779</v>
      </c>
      <c r="M326">
        <f>[1]!survey_responses[[#This Row],[Các thủ tục khai báo thuế VÀ/HOẶC quy trình làm việc với cơ quan thuế đơn giản, tiện lợi, nhanh chóng hơn so với trước đây. - HUMAN-FAC1]]</f>
        <v>6</v>
      </c>
      <c r="N326">
        <f t="shared" si="142"/>
        <v>0.55555555555555558</v>
      </c>
      <c r="O326">
        <f>step3_validation[[#This Row],[AI_FAC2]]</f>
        <v>9</v>
      </c>
      <c r="P326">
        <f t="shared" si="143"/>
        <v>0.88888888888888884</v>
      </c>
      <c r="Q326">
        <f>[1]!survey_responses[[#This Row],[So với trước đây, tôi thấy cách tính thuế và các bậc thuế trong phương án mới đơn giản, dễ hiểu và dễ thực hiện hơn. - HUMAN-FAC2]]</f>
        <v>7</v>
      </c>
      <c r="R326">
        <f t="shared" si="144"/>
        <v>0.66666666666666663</v>
      </c>
      <c r="S326" s="32">
        <f t="shared" si="145"/>
        <v>0.83333333333333326</v>
      </c>
      <c r="T326" s="32">
        <f t="shared" si="146"/>
        <v>0.61111111111111116</v>
      </c>
      <c r="U326">
        <f>step3_validation[[#This Row],[AI_TRU1]]</f>
        <v>5</v>
      </c>
      <c r="V326">
        <f t="shared" si="147"/>
        <v>0.44444444444444442</v>
      </c>
      <c r="W326">
        <f>[1]!survey_responses[[#This Row],[Tôi tin rằng Nhà nước, cơ quan thuế sẽ thực thi chính sách mới một cách khách quan, công tâm và đối xử bình đẳng với mọi người nộp thuế.  - HUMAN-TRU1]]</f>
        <v>2</v>
      </c>
      <c r="X326">
        <f t="shared" si="148"/>
        <v>0.1111111111111111</v>
      </c>
      <c r="Y326">
        <f>step3_validation[[#This Row],[AI_TRU2]]</f>
        <v>6</v>
      </c>
      <c r="Z326">
        <f t="shared" si="149"/>
        <v>0.55555555555555558</v>
      </c>
      <c r="AA326">
        <f>[1]!survey_responses[[#This Row],[Tôi thấy mức thuế tôi phải đóng theo phương án mới là công bằng (người thu nhập như tôi đóng mức này là hợp lý). - HUMAN-TRU2]]</f>
        <v>5</v>
      </c>
      <c r="AB326">
        <f t="shared" si="150"/>
        <v>0.44444444444444442</v>
      </c>
      <c r="AC326">
        <f>step3_validation[[#This Row],[AI_TRU3]]</f>
        <v>4</v>
      </c>
      <c r="AD326">
        <f t="shared" si="151"/>
        <v>0.33333333333333331</v>
      </c>
      <c r="AE326">
        <f>[1]!survey_responses[[#This Row],[Tôi tin tưởng số tiền thuế tôi đóng sẽ được Nhà nước sử dụng hiệu quả để cải thiện dịch vụ công (y tế, đường xá...). - HUMAN-TRU3]]</f>
        <v>5</v>
      </c>
      <c r="AF326">
        <f t="shared" si="152"/>
        <v>0.44444444444444442</v>
      </c>
      <c r="AG326">
        <f>step3_validation[[#This Row],[AI_TRU4]]</f>
        <v>5</v>
      </c>
      <c r="AH326">
        <f t="shared" si="153"/>
        <v>0.44444444444444442</v>
      </c>
      <c r="AI326">
        <f>[1]!survey_responses[[#This Row],[Tôi thấy Nhà nước đã giải thích rõ ràng, minh bạch về lý do và mục tiêu của việc sửa đổi thuế lần này. - HUMAN-TRU4]]</f>
        <v>6</v>
      </c>
      <c r="AJ326">
        <f t="shared" si="154"/>
        <v>0.55555555555555558</v>
      </c>
      <c r="AK326" s="32">
        <f t="shared" si="155"/>
        <v>0.44444444444444442</v>
      </c>
      <c r="AL326" s="32">
        <f t="shared" si="156"/>
        <v>0.3888888888888889</v>
      </c>
      <c r="AM326" s="7">
        <f t="shared" si="157"/>
        <v>0.62962962962962965</v>
      </c>
      <c r="AN326" s="7">
        <f t="shared" si="158"/>
        <v>0.37037037037037041</v>
      </c>
      <c r="AO326">
        <f>step3_validation[[#This Row],[AI_OUT1]]</f>
        <v>7</v>
      </c>
      <c r="AP326">
        <f t="shared" si="159"/>
        <v>0.66666666666666663</v>
      </c>
      <c r="AQ326">
        <f>[1]!survey_responses[[#This Row],[Sau khi xem xét các quyền lợi và nghĩa vụ, bạn có ủng hộ và tuân thủ chính sách mới hiện nay? - HUMAN-OUT1]]</f>
        <v>5</v>
      </c>
      <c r="AR326">
        <f t="shared" si="160"/>
        <v>0.44444444444444442</v>
      </c>
      <c r="AS326" s="32">
        <f t="shared" si="161"/>
        <v>2</v>
      </c>
    </row>
    <row r="327" spans="1:45" x14ac:dyDescent="0.45">
      <c r="A327">
        <f>step3_validation[[#This Row],[AI_ENF1]]</f>
        <v>8</v>
      </c>
      <c r="B327">
        <f t="shared" si="135"/>
        <v>0.77777777777777779</v>
      </c>
      <c r="C327">
        <f>[1]!survey_responses[[#This Row],[Tôi tin rằng với các quy định quản lý thuế hiện nay, hành vi gian lận hoặc trốn thuế sẽ dễ dàng bị phát hiện và xử lý nghiêm. - HUMAN-ENF1]]</f>
        <v>8</v>
      </c>
      <c r="D327">
        <f t="shared" si="136"/>
        <v>0.77777777777777779</v>
      </c>
      <c r="E327">
        <f>step3_validation[[#This Row],[AI_ENF2]]</f>
        <v>9</v>
      </c>
      <c r="F327">
        <f t="shared" si="137"/>
        <v>0.88888888888888884</v>
      </c>
      <c r="G327">
        <f>[1]!survey_responses[[#This Row],[Tôi tin rằng Nhà nước, cơ quan thuế có đủ khả năng và công nghệ để phát hiện, xử lý nghiêm các hành vi trốn thuế. - HUMAN-ENF2]]</f>
        <v>9</v>
      </c>
      <c r="H327">
        <f t="shared" si="138"/>
        <v>0.88888888888888884</v>
      </c>
      <c r="I327" s="32">
        <f t="shared" si="139"/>
        <v>0.83333333333333326</v>
      </c>
      <c r="J327" s="32">
        <f t="shared" si="140"/>
        <v>0.83333333333333326</v>
      </c>
      <c r="K327">
        <f>step3_validation[[#This Row],[AI_FAC1]]</f>
        <v>7</v>
      </c>
      <c r="L327">
        <f t="shared" si="141"/>
        <v>0.66666666666666663</v>
      </c>
      <c r="M327">
        <f>[1]!survey_responses[[#This Row],[Các thủ tục khai báo thuế VÀ/HOẶC quy trình làm việc với cơ quan thuế đơn giản, tiện lợi, nhanh chóng hơn so với trước đây. - HUMAN-FAC1]]</f>
        <v>9</v>
      </c>
      <c r="N327">
        <f t="shared" si="142"/>
        <v>0.88888888888888884</v>
      </c>
      <c r="O327">
        <f>step3_validation[[#This Row],[AI_FAC2]]</f>
        <v>8</v>
      </c>
      <c r="P327">
        <f t="shared" si="143"/>
        <v>0.77777777777777779</v>
      </c>
      <c r="Q327">
        <f>[1]!survey_responses[[#This Row],[So với trước đây, tôi thấy cách tính thuế và các bậc thuế trong phương án mới đơn giản, dễ hiểu và dễ thực hiện hơn. - HUMAN-FAC2]]</f>
        <v>10</v>
      </c>
      <c r="R327">
        <f t="shared" si="144"/>
        <v>1</v>
      </c>
      <c r="S327" s="32">
        <f t="shared" si="145"/>
        <v>0.72222222222222221</v>
      </c>
      <c r="T327" s="32">
        <f t="shared" si="146"/>
        <v>0.94444444444444442</v>
      </c>
      <c r="U327">
        <f>step3_validation[[#This Row],[AI_TRU1]]</f>
        <v>7</v>
      </c>
      <c r="V327">
        <f t="shared" si="147"/>
        <v>0.66666666666666663</v>
      </c>
      <c r="W327">
        <f>[1]!survey_responses[[#This Row],[Tôi tin rằng Nhà nước, cơ quan thuế sẽ thực thi chính sách mới một cách khách quan, công tâm và đối xử bình đẳng với mọi người nộp thuế.  - HUMAN-TRU1]]</f>
        <v>8</v>
      </c>
      <c r="X327">
        <f t="shared" si="148"/>
        <v>0.77777777777777779</v>
      </c>
      <c r="Y327">
        <f>step3_validation[[#This Row],[AI_TRU2]]</f>
        <v>8</v>
      </c>
      <c r="Z327">
        <f t="shared" si="149"/>
        <v>0.77777777777777779</v>
      </c>
      <c r="AA327">
        <f>[1]!survey_responses[[#This Row],[Tôi thấy mức thuế tôi phải đóng theo phương án mới là công bằng (người thu nhập như tôi đóng mức này là hợp lý). - HUMAN-TRU2]]</f>
        <v>10</v>
      </c>
      <c r="AB327">
        <f t="shared" si="150"/>
        <v>1</v>
      </c>
      <c r="AC327">
        <f>step3_validation[[#This Row],[AI_TRU3]]</f>
        <v>7</v>
      </c>
      <c r="AD327">
        <f t="shared" si="151"/>
        <v>0.66666666666666663</v>
      </c>
      <c r="AE327">
        <f>[1]!survey_responses[[#This Row],[Tôi tin tưởng số tiền thuế tôi đóng sẽ được Nhà nước sử dụng hiệu quả để cải thiện dịch vụ công (y tế, đường xá...). - HUMAN-TRU3]]</f>
        <v>9</v>
      </c>
      <c r="AF327">
        <f t="shared" si="152"/>
        <v>0.88888888888888884</v>
      </c>
      <c r="AG327">
        <f>step3_validation[[#This Row],[AI_TRU4]]</f>
        <v>6</v>
      </c>
      <c r="AH327">
        <f t="shared" si="153"/>
        <v>0.55555555555555558</v>
      </c>
      <c r="AI327">
        <f>[1]!survey_responses[[#This Row],[Tôi thấy Nhà nước đã giải thích rõ ràng, minh bạch về lý do và mục tiêu của việc sửa đổi thuế lần này. - HUMAN-TRU4]]</f>
        <v>9</v>
      </c>
      <c r="AJ327">
        <f t="shared" si="154"/>
        <v>0.88888888888888884</v>
      </c>
      <c r="AK327" s="32">
        <f t="shared" si="155"/>
        <v>0.66666666666666674</v>
      </c>
      <c r="AL327" s="32">
        <f t="shared" si="156"/>
        <v>0.88888888888888884</v>
      </c>
      <c r="AM327" s="7">
        <f t="shared" si="157"/>
        <v>0.74074074074074081</v>
      </c>
      <c r="AN327" s="7">
        <f t="shared" si="158"/>
        <v>0.88888888888888884</v>
      </c>
      <c r="AO327">
        <f>step3_validation[[#This Row],[AI_OUT1]]</f>
        <v>7</v>
      </c>
      <c r="AP327">
        <f t="shared" si="159"/>
        <v>0.66666666666666663</v>
      </c>
      <c r="AQ327">
        <f>[1]!survey_responses[[#This Row],[Sau khi xem xét các quyền lợi và nghĩa vụ, bạn có ủng hộ và tuân thủ chính sách mới hiện nay? - HUMAN-OUT1]]</f>
        <v>10</v>
      </c>
      <c r="AR327">
        <f t="shared" si="160"/>
        <v>1</v>
      </c>
      <c r="AS327" s="32">
        <f t="shared" si="161"/>
        <v>3</v>
      </c>
    </row>
    <row r="328" spans="1:45" x14ac:dyDescent="0.45">
      <c r="A328">
        <f>step3_validation[[#This Row],[AI_ENF1]]</f>
        <v>7</v>
      </c>
      <c r="B328">
        <f t="shared" si="135"/>
        <v>0.66666666666666663</v>
      </c>
      <c r="C328">
        <f>[1]!survey_responses[[#This Row],[Tôi tin rằng với các quy định quản lý thuế hiện nay, hành vi gian lận hoặc trốn thuế sẽ dễ dàng bị phát hiện và xử lý nghiêm. - HUMAN-ENF1]]</f>
        <v>7</v>
      </c>
      <c r="D328">
        <f t="shared" si="136"/>
        <v>0.66666666666666663</v>
      </c>
      <c r="E328">
        <f>step3_validation[[#This Row],[AI_ENF2]]</f>
        <v>6</v>
      </c>
      <c r="F328">
        <f t="shared" si="137"/>
        <v>0.55555555555555558</v>
      </c>
      <c r="G328">
        <f>[1]!survey_responses[[#This Row],[Tôi tin rằng Nhà nước, cơ quan thuế có đủ khả năng và công nghệ để phát hiện, xử lý nghiêm các hành vi trốn thuế. - HUMAN-ENF2]]</f>
        <v>7</v>
      </c>
      <c r="H328">
        <f t="shared" si="138"/>
        <v>0.66666666666666663</v>
      </c>
      <c r="I328" s="32">
        <f t="shared" si="139"/>
        <v>0.61111111111111116</v>
      </c>
      <c r="J328" s="32">
        <f t="shared" si="140"/>
        <v>0.66666666666666663</v>
      </c>
      <c r="K328">
        <f>step3_validation[[#This Row],[AI_FAC1]]</f>
        <v>5</v>
      </c>
      <c r="L328">
        <f t="shared" si="141"/>
        <v>0.44444444444444442</v>
      </c>
      <c r="M328">
        <f>[1]!survey_responses[[#This Row],[Các thủ tục khai báo thuế VÀ/HOẶC quy trình làm việc với cơ quan thuế đơn giản, tiện lợi, nhanh chóng hơn so với trước đây. - HUMAN-FAC1]]</f>
        <v>7</v>
      </c>
      <c r="N328">
        <f t="shared" si="142"/>
        <v>0.66666666666666663</v>
      </c>
      <c r="O328">
        <f>step3_validation[[#This Row],[AI_FAC2]]</f>
        <v>6</v>
      </c>
      <c r="P328">
        <f t="shared" si="143"/>
        <v>0.55555555555555558</v>
      </c>
      <c r="Q328">
        <f>[1]!survey_responses[[#This Row],[So với trước đây, tôi thấy cách tính thuế và các bậc thuế trong phương án mới đơn giản, dễ hiểu và dễ thực hiện hơn. - HUMAN-FAC2]]</f>
        <v>9</v>
      </c>
      <c r="R328">
        <f t="shared" si="144"/>
        <v>0.88888888888888884</v>
      </c>
      <c r="S328" s="32">
        <f t="shared" si="145"/>
        <v>0.5</v>
      </c>
      <c r="T328" s="32">
        <f t="shared" si="146"/>
        <v>0.77777777777777768</v>
      </c>
      <c r="U328">
        <f>step3_validation[[#This Row],[AI_TRU1]]</f>
        <v>7</v>
      </c>
      <c r="V328">
        <f t="shared" si="147"/>
        <v>0.66666666666666663</v>
      </c>
      <c r="W328">
        <f>[1]!survey_responses[[#This Row],[Tôi tin rằng Nhà nước, cơ quan thuế sẽ thực thi chính sách mới một cách khách quan, công tâm và đối xử bình đẳng với mọi người nộp thuế.  - HUMAN-TRU1]]</f>
        <v>7</v>
      </c>
      <c r="X328">
        <f t="shared" si="148"/>
        <v>0.66666666666666663</v>
      </c>
      <c r="Y328">
        <f>step3_validation[[#This Row],[AI_TRU2]]</f>
        <v>6</v>
      </c>
      <c r="Z328">
        <f t="shared" si="149"/>
        <v>0.55555555555555558</v>
      </c>
      <c r="AA328">
        <f>[1]!survey_responses[[#This Row],[Tôi thấy mức thuế tôi phải đóng theo phương án mới là công bằng (người thu nhập như tôi đóng mức này là hợp lý). - HUMAN-TRU2]]</f>
        <v>8</v>
      </c>
      <c r="AB328">
        <f t="shared" si="150"/>
        <v>0.77777777777777779</v>
      </c>
      <c r="AC328">
        <f>step3_validation[[#This Row],[AI_TRU3]]</f>
        <v>7</v>
      </c>
      <c r="AD328">
        <f t="shared" si="151"/>
        <v>0.66666666666666663</v>
      </c>
      <c r="AE328">
        <f>[1]!survey_responses[[#This Row],[Tôi tin tưởng số tiền thuế tôi đóng sẽ được Nhà nước sử dụng hiệu quả để cải thiện dịch vụ công (y tế, đường xá...). - HUMAN-TRU3]]</f>
        <v>5</v>
      </c>
      <c r="AF328">
        <f t="shared" si="152"/>
        <v>0.44444444444444442</v>
      </c>
      <c r="AG328">
        <f>step3_validation[[#This Row],[AI_TRU4]]</f>
        <v>6</v>
      </c>
      <c r="AH328">
        <f t="shared" si="153"/>
        <v>0.55555555555555558</v>
      </c>
      <c r="AI328">
        <f>[1]!survey_responses[[#This Row],[Tôi thấy Nhà nước đã giải thích rõ ràng, minh bạch về lý do và mục tiêu của việc sửa đổi thuế lần này. - HUMAN-TRU4]]</f>
        <v>7</v>
      </c>
      <c r="AJ328">
        <f t="shared" si="154"/>
        <v>0.66666666666666663</v>
      </c>
      <c r="AK328" s="32">
        <f t="shared" si="155"/>
        <v>0.61111111111111116</v>
      </c>
      <c r="AL328" s="32">
        <f t="shared" si="156"/>
        <v>0.63888888888888884</v>
      </c>
      <c r="AM328" s="7">
        <f t="shared" si="157"/>
        <v>0.57407407407407407</v>
      </c>
      <c r="AN328" s="7">
        <f t="shared" si="158"/>
        <v>0.69444444444444431</v>
      </c>
      <c r="AO328">
        <f>step3_validation[[#This Row],[AI_OUT1]]</f>
        <v>7</v>
      </c>
      <c r="AP328">
        <f t="shared" si="159"/>
        <v>0.66666666666666663</v>
      </c>
      <c r="AQ328">
        <f>[1]!survey_responses[[#This Row],[Sau khi xem xét các quyền lợi và nghĩa vụ, bạn có ủng hộ và tuân thủ chính sách mới hiện nay? - HUMAN-OUT1]]</f>
        <v>8</v>
      </c>
      <c r="AR328">
        <f t="shared" si="160"/>
        <v>0.77777777777777779</v>
      </c>
      <c r="AS328" s="32">
        <f t="shared" si="161"/>
        <v>1</v>
      </c>
    </row>
    <row r="329" spans="1:45" x14ac:dyDescent="0.45">
      <c r="A329">
        <f>step3_validation[[#This Row],[AI_ENF1]]</f>
        <v>7</v>
      </c>
      <c r="B329">
        <f t="shared" si="135"/>
        <v>0.66666666666666663</v>
      </c>
      <c r="C329">
        <f>[1]!survey_responses[[#This Row],[Tôi tin rằng với các quy định quản lý thuế hiện nay, hành vi gian lận hoặc trốn thuế sẽ dễ dàng bị phát hiện và xử lý nghiêm. - HUMAN-ENF1]]</f>
        <v>7</v>
      </c>
      <c r="D329">
        <f t="shared" si="136"/>
        <v>0.66666666666666663</v>
      </c>
      <c r="E329">
        <f>step3_validation[[#This Row],[AI_ENF2]]</f>
        <v>8</v>
      </c>
      <c r="F329">
        <f t="shared" si="137"/>
        <v>0.77777777777777779</v>
      </c>
      <c r="G329">
        <f>[1]!survey_responses[[#This Row],[Tôi tin rằng Nhà nước, cơ quan thuế có đủ khả năng và công nghệ để phát hiện, xử lý nghiêm các hành vi trốn thuế. - HUMAN-ENF2]]</f>
        <v>8</v>
      </c>
      <c r="H329">
        <f t="shared" si="138"/>
        <v>0.77777777777777779</v>
      </c>
      <c r="I329" s="32">
        <f t="shared" si="139"/>
        <v>0.72222222222222221</v>
      </c>
      <c r="J329" s="32">
        <f t="shared" si="140"/>
        <v>0.72222222222222221</v>
      </c>
      <c r="K329">
        <f>step3_validation[[#This Row],[AI_FAC1]]</f>
        <v>9</v>
      </c>
      <c r="L329">
        <f t="shared" si="141"/>
        <v>0.88888888888888884</v>
      </c>
      <c r="M329">
        <f>[1]!survey_responses[[#This Row],[Các thủ tục khai báo thuế VÀ/HOẶC quy trình làm việc với cơ quan thuế đơn giản, tiện lợi, nhanh chóng hơn so với trước đây. - HUMAN-FAC1]]</f>
        <v>9</v>
      </c>
      <c r="N329">
        <f t="shared" si="142"/>
        <v>0.88888888888888884</v>
      </c>
      <c r="O329">
        <f>step3_validation[[#This Row],[AI_FAC2]]</f>
        <v>7</v>
      </c>
      <c r="P329">
        <f t="shared" si="143"/>
        <v>0.66666666666666663</v>
      </c>
      <c r="Q329">
        <f>[1]!survey_responses[[#This Row],[So với trước đây, tôi thấy cách tính thuế và các bậc thuế trong phương án mới đơn giản, dễ hiểu và dễ thực hiện hơn. - HUMAN-FAC2]]</f>
        <v>9</v>
      </c>
      <c r="R329">
        <f t="shared" si="144"/>
        <v>0.88888888888888884</v>
      </c>
      <c r="S329" s="32">
        <f t="shared" si="145"/>
        <v>0.77777777777777768</v>
      </c>
      <c r="T329" s="32">
        <f t="shared" si="146"/>
        <v>0.88888888888888884</v>
      </c>
      <c r="U329">
        <f>step3_validation[[#This Row],[AI_TRU1]]</f>
        <v>8</v>
      </c>
      <c r="V329">
        <f t="shared" si="147"/>
        <v>0.77777777777777779</v>
      </c>
      <c r="W329">
        <f>[1]!survey_responses[[#This Row],[Tôi tin rằng Nhà nước, cơ quan thuế sẽ thực thi chính sách mới một cách khách quan, công tâm và đối xử bình đẳng với mọi người nộp thuế.  - HUMAN-TRU1]]</f>
        <v>9</v>
      </c>
      <c r="X329">
        <f t="shared" si="148"/>
        <v>0.88888888888888884</v>
      </c>
      <c r="Y329">
        <f>step3_validation[[#This Row],[AI_TRU2]]</f>
        <v>6</v>
      </c>
      <c r="Z329">
        <f t="shared" si="149"/>
        <v>0.55555555555555558</v>
      </c>
      <c r="AA329">
        <f>[1]!survey_responses[[#This Row],[Tôi thấy mức thuế tôi phải đóng theo phương án mới là công bằng (người thu nhập như tôi đóng mức này là hợp lý). - HUMAN-TRU2]]</f>
        <v>8</v>
      </c>
      <c r="AB329">
        <f t="shared" si="150"/>
        <v>0.77777777777777779</v>
      </c>
      <c r="AC329">
        <f>step3_validation[[#This Row],[AI_TRU3]]</f>
        <v>7</v>
      </c>
      <c r="AD329">
        <f t="shared" si="151"/>
        <v>0.66666666666666663</v>
      </c>
      <c r="AE329">
        <f>[1]!survey_responses[[#This Row],[Tôi tin tưởng số tiền thuế tôi đóng sẽ được Nhà nước sử dụng hiệu quả để cải thiện dịch vụ công (y tế, đường xá...). - HUMAN-TRU3]]</f>
        <v>7</v>
      </c>
      <c r="AF329">
        <f t="shared" si="152"/>
        <v>0.66666666666666663</v>
      </c>
      <c r="AG329">
        <f>step3_validation[[#This Row],[AI_TRU4]]</f>
        <v>5</v>
      </c>
      <c r="AH329">
        <f t="shared" si="153"/>
        <v>0.44444444444444442</v>
      </c>
      <c r="AI329">
        <f>[1]!survey_responses[[#This Row],[Tôi thấy Nhà nước đã giải thích rõ ràng, minh bạch về lý do và mục tiêu của việc sửa đổi thuế lần này. - HUMAN-TRU4]]</f>
        <v>7</v>
      </c>
      <c r="AJ329">
        <f t="shared" si="154"/>
        <v>0.66666666666666663</v>
      </c>
      <c r="AK329" s="32">
        <f t="shared" si="155"/>
        <v>0.61111111111111116</v>
      </c>
      <c r="AL329" s="32">
        <f t="shared" si="156"/>
        <v>0.74999999999999989</v>
      </c>
      <c r="AM329" s="7">
        <f t="shared" si="157"/>
        <v>0.70370370370370372</v>
      </c>
      <c r="AN329" s="7">
        <f t="shared" si="158"/>
        <v>0.78703703703703709</v>
      </c>
      <c r="AO329">
        <f>step3_validation[[#This Row],[AI_OUT1]]</f>
        <v>6</v>
      </c>
      <c r="AP329">
        <f t="shared" si="159"/>
        <v>0.55555555555555558</v>
      </c>
      <c r="AQ329">
        <f>[1]!survey_responses[[#This Row],[Sau khi xem xét các quyền lợi và nghĩa vụ, bạn có ủng hộ và tuân thủ chính sách mới hiện nay? - HUMAN-OUT1]]</f>
        <v>9</v>
      </c>
      <c r="AR329">
        <f t="shared" si="160"/>
        <v>0.88888888888888884</v>
      </c>
      <c r="AS329" s="32">
        <f t="shared" si="161"/>
        <v>3</v>
      </c>
    </row>
    <row r="330" spans="1:45" x14ac:dyDescent="0.45">
      <c r="A330">
        <f>step3_validation[[#This Row],[AI_ENF1]]</f>
        <v>8</v>
      </c>
      <c r="B330">
        <f t="shared" si="135"/>
        <v>0.77777777777777779</v>
      </c>
      <c r="C330">
        <f>[1]!survey_responses[[#This Row],[Tôi tin rằng với các quy định quản lý thuế hiện nay, hành vi gian lận hoặc trốn thuế sẽ dễ dàng bị phát hiện và xử lý nghiêm. - HUMAN-ENF1]]</f>
        <v>7</v>
      </c>
      <c r="D330">
        <f t="shared" si="136"/>
        <v>0.66666666666666663</v>
      </c>
      <c r="E330">
        <f>step3_validation[[#This Row],[AI_ENF2]]</f>
        <v>7</v>
      </c>
      <c r="F330">
        <f t="shared" si="137"/>
        <v>0.66666666666666663</v>
      </c>
      <c r="G330">
        <f>[1]!survey_responses[[#This Row],[Tôi tin rằng Nhà nước, cơ quan thuế có đủ khả năng và công nghệ để phát hiện, xử lý nghiêm các hành vi trốn thuế. - HUMAN-ENF2]]</f>
        <v>7</v>
      </c>
      <c r="H330">
        <f t="shared" si="138"/>
        <v>0.66666666666666663</v>
      </c>
      <c r="I330" s="32">
        <f t="shared" si="139"/>
        <v>0.72222222222222221</v>
      </c>
      <c r="J330" s="32">
        <f t="shared" si="140"/>
        <v>0.66666666666666663</v>
      </c>
      <c r="K330">
        <f>step3_validation[[#This Row],[AI_FAC1]]</f>
        <v>9</v>
      </c>
      <c r="L330">
        <f t="shared" si="141"/>
        <v>0.88888888888888884</v>
      </c>
      <c r="M330">
        <f>[1]!survey_responses[[#This Row],[Các thủ tục khai báo thuế VÀ/HOẶC quy trình làm việc với cơ quan thuế đơn giản, tiện lợi, nhanh chóng hơn so với trước đây. - HUMAN-FAC1]]</f>
        <v>9</v>
      </c>
      <c r="N330">
        <f t="shared" si="142"/>
        <v>0.88888888888888884</v>
      </c>
      <c r="O330">
        <f>step3_validation[[#This Row],[AI_FAC2]]</f>
        <v>8</v>
      </c>
      <c r="P330">
        <f t="shared" si="143"/>
        <v>0.77777777777777779</v>
      </c>
      <c r="Q330">
        <f>[1]!survey_responses[[#This Row],[So với trước đây, tôi thấy cách tính thuế và các bậc thuế trong phương án mới đơn giản, dễ hiểu và dễ thực hiện hơn. - HUMAN-FAC2]]</f>
        <v>9</v>
      </c>
      <c r="R330">
        <f t="shared" si="144"/>
        <v>0.88888888888888884</v>
      </c>
      <c r="S330" s="32">
        <f t="shared" si="145"/>
        <v>0.83333333333333326</v>
      </c>
      <c r="T330" s="32">
        <f t="shared" si="146"/>
        <v>0.88888888888888884</v>
      </c>
      <c r="U330">
        <f>step3_validation[[#This Row],[AI_TRU1]]</f>
        <v>9</v>
      </c>
      <c r="V330">
        <f t="shared" si="147"/>
        <v>0.88888888888888884</v>
      </c>
      <c r="W330">
        <f>[1]!survey_responses[[#This Row],[Tôi tin rằng Nhà nước, cơ quan thuế sẽ thực thi chính sách mới một cách khách quan, công tâm và đối xử bình đẳng với mọi người nộp thuế.  - HUMAN-TRU1]]</f>
        <v>9</v>
      </c>
      <c r="X330">
        <f t="shared" si="148"/>
        <v>0.88888888888888884</v>
      </c>
      <c r="Y330">
        <f>step3_validation[[#This Row],[AI_TRU2]]</f>
        <v>8</v>
      </c>
      <c r="Z330">
        <f t="shared" si="149"/>
        <v>0.77777777777777779</v>
      </c>
      <c r="AA330">
        <f>[1]!survey_responses[[#This Row],[Tôi thấy mức thuế tôi phải đóng theo phương án mới là công bằng (người thu nhập như tôi đóng mức này là hợp lý). - HUMAN-TRU2]]</f>
        <v>9</v>
      </c>
      <c r="AB330">
        <f t="shared" si="150"/>
        <v>0.88888888888888884</v>
      </c>
      <c r="AC330">
        <f>step3_validation[[#This Row],[AI_TRU3]]</f>
        <v>8</v>
      </c>
      <c r="AD330">
        <f t="shared" si="151"/>
        <v>0.77777777777777779</v>
      </c>
      <c r="AE330">
        <f>[1]!survey_responses[[#This Row],[Tôi tin tưởng số tiền thuế tôi đóng sẽ được Nhà nước sử dụng hiệu quả để cải thiện dịch vụ công (y tế, đường xá...). - HUMAN-TRU3]]</f>
        <v>5</v>
      </c>
      <c r="AF330">
        <f t="shared" si="152"/>
        <v>0.44444444444444442</v>
      </c>
      <c r="AG330">
        <f>step3_validation[[#This Row],[AI_TRU4]]</f>
        <v>7</v>
      </c>
      <c r="AH330">
        <f t="shared" si="153"/>
        <v>0.66666666666666663</v>
      </c>
      <c r="AI330">
        <f>[1]!survey_responses[[#This Row],[Tôi thấy Nhà nước đã giải thích rõ ràng, minh bạch về lý do và mục tiêu của việc sửa đổi thuế lần này. - HUMAN-TRU4]]</f>
        <v>6</v>
      </c>
      <c r="AJ330">
        <f t="shared" si="154"/>
        <v>0.55555555555555558</v>
      </c>
      <c r="AK330" s="32">
        <f t="shared" si="155"/>
        <v>0.77777777777777768</v>
      </c>
      <c r="AL330" s="32">
        <f t="shared" si="156"/>
        <v>0.69444444444444442</v>
      </c>
      <c r="AM330" s="7">
        <f t="shared" si="157"/>
        <v>0.77777777777777768</v>
      </c>
      <c r="AN330" s="7">
        <f t="shared" si="158"/>
        <v>0.75</v>
      </c>
      <c r="AO330">
        <f>step3_validation[[#This Row],[AI_OUT1]]</f>
        <v>7</v>
      </c>
      <c r="AP330">
        <f t="shared" si="159"/>
        <v>0.66666666666666663</v>
      </c>
      <c r="AQ330">
        <f>[1]!survey_responses[[#This Row],[Sau khi xem xét các quyền lợi và nghĩa vụ, bạn có ủng hộ và tuân thủ chính sách mới hiện nay? - HUMAN-OUT1]]</f>
        <v>9</v>
      </c>
      <c r="AR330">
        <f t="shared" si="160"/>
        <v>0.88888888888888884</v>
      </c>
      <c r="AS330" s="32">
        <f t="shared" si="161"/>
        <v>2</v>
      </c>
    </row>
    <row r="331" spans="1:45" x14ac:dyDescent="0.45">
      <c r="A331">
        <f>step3_validation[[#This Row],[AI_ENF1]]</f>
        <v>8</v>
      </c>
      <c r="B331">
        <f t="shared" si="135"/>
        <v>0.77777777777777779</v>
      </c>
      <c r="C331">
        <f>[1]!survey_responses[[#This Row],[Tôi tin rằng với các quy định quản lý thuế hiện nay, hành vi gian lận hoặc trốn thuế sẽ dễ dàng bị phát hiện và xử lý nghiêm. - HUMAN-ENF1]]</f>
        <v>3</v>
      </c>
      <c r="D331">
        <f t="shared" si="136"/>
        <v>0.22222222222222221</v>
      </c>
      <c r="E331">
        <f>step3_validation[[#This Row],[AI_ENF2]]</f>
        <v>7</v>
      </c>
      <c r="F331">
        <f t="shared" si="137"/>
        <v>0.66666666666666663</v>
      </c>
      <c r="G331">
        <f>[1]!survey_responses[[#This Row],[Tôi tin rằng Nhà nước, cơ quan thuế có đủ khả năng và công nghệ để phát hiện, xử lý nghiêm các hành vi trốn thuế. - HUMAN-ENF2]]</f>
        <v>3</v>
      </c>
      <c r="H331">
        <f t="shared" si="138"/>
        <v>0.22222222222222221</v>
      </c>
      <c r="I331" s="32">
        <f t="shared" si="139"/>
        <v>0.72222222222222221</v>
      </c>
      <c r="J331" s="32">
        <f t="shared" si="140"/>
        <v>0.22222222222222221</v>
      </c>
      <c r="K331">
        <f>step3_validation[[#This Row],[AI_FAC1]]</f>
        <v>9</v>
      </c>
      <c r="L331">
        <f t="shared" si="141"/>
        <v>0.88888888888888884</v>
      </c>
      <c r="M331">
        <f>[1]!survey_responses[[#This Row],[Các thủ tục khai báo thuế VÀ/HOẶC quy trình làm việc với cơ quan thuế đơn giản, tiện lợi, nhanh chóng hơn so với trước đây. - HUMAN-FAC1]]</f>
        <v>5</v>
      </c>
      <c r="N331">
        <f t="shared" si="142"/>
        <v>0.44444444444444442</v>
      </c>
      <c r="O331">
        <f>step3_validation[[#This Row],[AI_FAC2]]</f>
        <v>8</v>
      </c>
      <c r="P331">
        <f t="shared" si="143"/>
        <v>0.77777777777777779</v>
      </c>
      <c r="Q331">
        <f>[1]!survey_responses[[#This Row],[So với trước đây, tôi thấy cách tính thuế và các bậc thuế trong phương án mới đơn giản, dễ hiểu và dễ thực hiện hơn. - HUMAN-FAC2]]</f>
        <v>6</v>
      </c>
      <c r="R331">
        <f t="shared" si="144"/>
        <v>0.55555555555555558</v>
      </c>
      <c r="S331" s="32">
        <f t="shared" si="145"/>
        <v>0.83333333333333326</v>
      </c>
      <c r="T331" s="32">
        <f t="shared" si="146"/>
        <v>0.5</v>
      </c>
      <c r="U331">
        <f>step3_validation[[#This Row],[AI_TRU1]]</f>
        <v>7</v>
      </c>
      <c r="V331">
        <f t="shared" si="147"/>
        <v>0.66666666666666663</v>
      </c>
      <c r="W331">
        <f>[1]!survey_responses[[#This Row],[Tôi tin rằng Nhà nước, cơ quan thuế sẽ thực thi chính sách mới một cách khách quan, công tâm và đối xử bình đẳng với mọi người nộp thuế.  - HUMAN-TRU1]]</f>
        <v>4</v>
      </c>
      <c r="X331">
        <f t="shared" si="148"/>
        <v>0.33333333333333331</v>
      </c>
      <c r="Y331">
        <f>step3_validation[[#This Row],[AI_TRU2]]</f>
        <v>7</v>
      </c>
      <c r="Z331">
        <f t="shared" si="149"/>
        <v>0.66666666666666663</v>
      </c>
      <c r="AA331">
        <f>[1]!survey_responses[[#This Row],[Tôi thấy mức thuế tôi phải đóng theo phương án mới là công bằng (người thu nhập như tôi đóng mức này là hợp lý). - HUMAN-TRU2]]</f>
        <v>5</v>
      </c>
      <c r="AB331">
        <f t="shared" si="150"/>
        <v>0.44444444444444442</v>
      </c>
      <c r="AC331">
        <f>step3_validation[[#This Row],[AI_TRU3]]</f>
        <v>6</v>
      </c>
      <c r="AD331">
        <f t="shared" si="151"/>
        <v>0.55555555555555558</v>
      </c>
      <c r="AE331">
        <f>[1]!survey_responses[[#This Row],[Tôi tin tưởng số tiền thuế tôi đóng sẽ được Nhà nước sử dụng hiệu quả để cải thiện dịch vụ công (y tế, đường xá...). - HUMAN-TRU3]]</f>
        <v>5</v>
      </c>
      <c r="AF331">
        <f t="shared" si="152"/>
        <v>0.44444444444444442</v>
      </c>
      <c r="AG331">
        <f>step3_validation[[#This Row],[AI_TRU4]]</f>
        <v>7</v>
      </c>
      <c r="AH331">
        <f t="shared" si="153"/>
        <v>0.66666666666666663</v>
      </c>
      <c r="AI331">
        <f>[1]!survey_responses[[#This Row],[Tôi thấy Nhà nước đã giải thích rõ ràng, minh bạch về lý do và mục tiêu của việc sửa đổi thuế lần này. - HUMAN-TRU4]]</f>
        <v>5</v>
      </c>
      <c r="AJ331">
        <f t="shared" si="154"/>
        <v>0.44444444444444442</v>
      </c>
      <c r="AK331" s="32">
        <f t="shared" si="155"/>
        <v>0.63888888888888884</v>
      </c>
      <c r="AL331" s="32">
        <f t="shared" si="156"/>
        <v>0.41666666666666663</v>
      </c>
      <c r="AM331" s="7">
        <f t="shared" si="157"/>
        <v>0.7314814814814814</v>
      </c>
      <c r="AN331" s="7">
        <f t="shared" si="158"/>
        <v>0.37962962962962959</v>
      </c>
      <c r="AO331">
        <f>step3_validation[[#This Row],[AI_OUT1]]</f>
        <v>7</v>
      </c>
      <c r="AP331">
        <f t="shared" si="159"/>
        <v>0.66666666666666663</v>
      </c>
      <c r="AQ331">
        <f>[1]!survey_responses[[#This Row],[Sau khi xem xét các quyền lợi và nghĩa vụ, bạn có ủng hộ và tuân thủ chính sách mới hiện nay? - HUMAN-OUT1]]</f>
        <v>5</v>
      </c>
      <c r="AR331">
        <f t="shared" si="160"/>
        <v>0.44444444444444442</v>
      </c>
      <c r="AS331" s="32">
        <f t="shared" si="161"/>
        <v>2</v>
      </c>
    </row>
    <row r="332" spans="1:45" x14ac:dyDescent="0.45">
      <c r="A332">
        <f>step3_validation[[#This Row],[AI_ENF1]]</f>
        <v>6</v>
      </c>
      <c r="B332">
        <f t="shared" si="135"/>
        <v>0.55555555555555558</v>
      </c>
      <c r="C332">
        <f>[1]!survey_responses[[#This Row],[Tôi tin rằng với các quy định quản lý thuế hiện nay, hành vi gian lận hoặc trốn thuế sẽ dễ dàng bị phát hiện và xử lý nghiêm. - HUMAN-ENF1]]</f>
        <v>4</v>
      </c>
      <c r="D332">
        <f t="shared" si="136"/>
        <v>0.33333333333333331</v>
      </c>
      <c r="E332">
        <f>step3_validation[[#This Row],[AI_ENF2]]</f>
        <v>7</v>
      </c>
      <c r="F332">
        <f t="shared" si="137"/>
        <v>0.66666666666666663</v>
      </c>
      <c r="G332">
        <f>[1]!survey_responses[[#This Row],[Tôi tin rằng Nhà nước, cơ quan thuế có đủ khả năng và công nghệ để phát hiện, xử lý nghiêm các hành vi trốn thuế. - HUMAN-ENF2]]</f>
        <v>4</v>
      </c>
      <c r="H332">
        <f t="shared" si="138"/>
        <v>0.33333333333333331</v>
      </c>
      <c r="I332" s="32">
        <f t="shared" si="139"/>
        <v>0.61111111111111116</v>
      </c>
      <c r="J332" s="32">
        <f t="shared" si="140"/>
        <v>0.33333333333333331</v>
      </c>
      <c r="K332">
        <f>step3_validation[[#This Row],[AI_FAC1]]</f>
        <v>8</v>
      </c>
      <c r="L332">
        <f t="shared" si="141"/>
        <v>0.77777777777777779</v>
      </c>
      <c r="M332">
        <f>[1]!survey_responses[[#This Row],[Các thủ tục khai báo thuế VÀ/HOẶC quy trình làm việc với cơ quan thuế đơn giản, tiện lợi, nhanh chóng hơn so với trước đây. - HUMAN-FAC1]]</f>
        <v>5</v>
      </c>
      <c r="N332">
        <f t="shared" si="142"/>
        <v>0.44444444444444442</v>
      </c>
      <c r="O332">
        <f>step3_validation[[#This Row],[AI_FAC2]]</f>
        <v>9</v>
      </c>
      <c r="P332">
        <f t="shared" si="143"/>
        <v>0.88888888888888884</v>
      </c>
      <c r="Q332">
        <f>[1]!survey_responses[[#This Row],[So với trước đây, tôi thấy cách tính thuế và các bậc thuế trong phương án mới đơn giản, dễ hiểu và dễ thực hiện hơn. - HUMAN-FAC2]]</f>
        <v>6</v>
      </c>
      <c r="R332">
        <f t="shared" si="144"/>
        <v>0.55555555555555558</v>
      </c>
      <c r="S332" s="32">
        <f t="shared" si="145"/>
        <v>0.83333333333333326</v>
      </c>
      <c r="T332" s="32">
        <f t="shared" si="146"/>
        <v>0.5</v>
      </c>
      <c r="U332">
        <f>step3_validation[[#This Row],[AI_TRU1]]</f>
        <v>7</v>
      </c>
      <c r="V332">
        <f t="shared" si="147"/>
        <v>0.66666666666666663</v>
      </c>
      <c r="W332">
        <f>[1]!survey_responses[[#This Row],[Tôi tin rằng Nhà nước, cơ quan thuế sẽ thực thi chính sách mới một cách khách quan, công tâm và đối xử bình đẳng với mọi người nộp thuế.  - HUMAN-TRU1]]</f>
        <v>4</v>
      </c>
      <c r="X332">
        <f t="shared" si="148"/>
        <v>0.33333333333333331</v>
      </c>
      <c r="Y332">
        <f>step3_validation[[#This Row],[AI_TRU2]]</f>
        <v>6</v>
      </c>
      <c r="Z332">
        <f t="shared" si="149"/>
        <v>0.55555555555555558</v>
      </c>
      <c r="AA332">
        <f>[1]!survey_responses[[#This Row],[Tôi thấy mức thuế tôi phải đóng theo phương án mới là công bằng (người thu nhập như tôi đóng mức này là hợp lý). - HUMAN-TRU2]]</f>
        <v>5</v>
      </c>
      <c r="AB332">
        <f t="shared" si="150"/>
        <v>0.44444444444444442</v>
      </c>
      <c r="AC332">
        <f>step3_validation[[#This Row],[AI_TRU3]]</f>
        <v>5</v>
      </c>
      <c r="AD332">
        <f t="shared" si="151"/>
        <v>0.44444444444444442</v>
      </c>
      <c r="AE332">
        <f>[1]!survey_responses[[#This Row],[Tôi tin tưởng số tiền thuế tôi đóng sẽ được Nhà nước sử dụng hiệu quả để cải thiện dịch vụ công (y tế, đường xá...). - HUMAN-TRU3]]</f>
        <v>3</v>
      </c>
      <c r="AF332">
        <f t="shared" si="152"/>
        <v>0.22222222222222221</v>
      </c>
      <c r="AG332">
        <f>step3_validation[[#This Row],[AI_TRU4]]</f>
        <v>6</v>
      </c>
      <c r="AH332">
        <f t="shared" si="153"/>
        <v>0.55555555555555558</v>
      </c>
      <c r="AI332">
        <f>[1]!survey_responses[[#This Row],[Tôi thấy Nhà nước đã giải thích rõ ràng, minh bạch về lý do và mục tiêu của việc sửa đổi thuế lần này. - HUMAN-TRU4]]</f>
        <v>4</v>
      </c>
      <c r="AJ332">
        <f t="shared" si="154"/>
        <v>0.33333333333333331</v>
      </c>
      <c r="AK332" s="32">
        <f t="shared" si="155"/>
        <v>0.55555555555555558</v>
      </c>
      <c r="AL332" s="32">
        <f t="shared" si="156"/>
        <v>0.33333333333333331</v>
      </c>
      <c r="AM332" s="7">
        <f t="shared" si="157"/>
        <v>0.66666666666666663</v>
      </c>
      <c r="AN332" s="7">
        <f t="shared" si="158"/>
        <v>0.38888888888888884</v>
      </c>
      <c r="AO332">
        <f>step3_validation[[#This Row],[AI_OUT1]]</f>
        <v>8</v>
      </c>
      <c r="AP332">
        <f t="shared" si="159"/>
        <v>0.77777777777777779</v>
      </c>
      <c r="AQ332">
        <f>[1]!survey_responses[[#This Row],[Sau khi xem xét các quyền lợi và nghĩa vụ, bạn có ủng hộ và tuân thủ chính sách mới hiện nay? - HUMAN-OUT1]]</f>
        <v>5</v>
      </c>
      <c r="AR332">
        <f t="shared" si="160"/>
        <v>0.44444444444444442</v>
      </c>
      <c r="AS332" s="32">
        <f t="shared" si="161"/>
        <v>3</v>
      </c>
    </row>
    <row r="333" spans="1:45" x14ac:dyDescent="0.45">
      <c r="A333">
        <f>step3_validation[[#This Row],[AI_ENF1]]</f>
        <v>7</v>
      </c>
      <c r="B333">
        <f t="shared" si="135"/>
        <v>0.66666666666666663</v>
      </c>
      <c r="C333">
        <f>[1]!survey_responses[[#This Row],[Tôi tin rằng với các quy định quản lý thuế hiện nay, hành vi gian lận hoặc trốn thuế sẽ dễ dàng bị phát hiện và xử lý nghiêm. - HUMAN-ENF1]]</f>
        <v>7</v>
      </c>
      <c r="D333">
        <f t="shared" si="136"/>
        <v>0.66666666666666663</v>
      </c>
      <c r="E333">
        <f>step3_validation[[#This Row],[AI_ENF2]]</f>
        <v>6</v>
      </c>
      <c r="F333">
        <f t="shared" si="137"/>
        <v>0.55555555555555558</v>
      </c>
      <c r="G333">
        <f>[1]!survey_responses[[#This Row],[Tôi tin rằng Nhà nước, cơ quan thuế có đủ khả năng và công nghệ để phát hiện, xử lý nghiêm các hành vi trốn thuế. - HUMAN-ENF2]]</f>
        <v>7</v>
      </c>
      <c r="H333">
        <f t="shared" si="138"/>
        <v>0.66666666666666663</v>
      </c>
      <c r="I333" s="32">
        <f t="shared" si="139"/>
        <v>0.61111111111111116</v>
      </c>
      <c r="J333" s="32">
        <f t="shared" si="140"/>
        <v>0.66666666666666663</v>
      </c>
      <c r="K333">
        <f>step3_validation[[#This Row],[AI_FAC1]]</f>
        <v>8</v>
      </c>
      <c r="L333">
        <f t="shared" si="141"/>
        <v>0.77777777777777779</v>
      </c>
      <c r="M333">
        <f>[1]!survey_responses[[#This Row],[Các thủ tục khai báo thuế VÀ/HOẶC quy trình làm việc với cơ quan thuế đơn giản, tiện lợi, nhanh chóng hơn so với trước đây. - HUMAN-FAC1]]</f>
        <v>9</v>
      </c>
      <c r="N333">
        <f t="shared" si="142"/>
        <v>0.88888888888888884</v>
      </c>
      <c r="O333">
        <f>step3_validation[[#This Row],[AI_FAC2]]</f>
        <v>9</v>
      </c>
      <c r="P333">
        <f t="shared" si="143"/>
        <v>0.88888888888888884</v>
      </c>
      <c r="Q333">
        <f>[1]!survey_responses[[#This Row],[So với trước đây, tôi thấy cách tính thuế và các bậc thuế trong phương án mới đơn giản, dễ hiểu và dễ thực hiện hơn. - HUMAN-FAC2]]</f>
        <v>9</v>
      </c>
      <c r="R333">
        <f t="shared" si="144"/>
        <v>0.88888888888888884</v>
      </c>
      <c r="S333" s="32">
        <f t="shared" si="145"/>
        <v>0.83333333333333326</v>
      </c>
      <c r="T333" s="32">
        <f t="shared" si="146"/>
        <v>0.88888888888888884</v>
      </c>
      <c r="U333">
        <f>step3_validation[[#This Row],[AI_TRU1]]</f>
        <v>7</v>
      </c>
      <c r="V333">
        <f t="shared" si="147"/>
        <v>0.66666666666666663</v>
      </c>
      <c r="W333">
        <f>[1]!survey_responses[[#This Row],[Tôi tin rằng Nhà nước, cơ quan thuế sẽ thực thi chính sách mới một cách khách quan, công tâm và đối xử bình đẳng với mọi người nộp thuế.  - HUMAN-TRU1]]</f>
        <v>8</v>
      </c>
      <c r="X333">
        <f t="shared" si="148"/>
        <v>0.77777777777777779</v>
      </c>
      <c r="Y333">
        <f>step3_validation[[#This Row],[AI_TRU2]]</f>
        <v>8</v>
      </c>
      <c r="Z333">
        <f t="shared" si="149"/>
        <v>0.77777777777777779</v>
      </c>
      <c r="AA333">
        <f>[1]!survey_responses[[#This Row],[Tôi thấy mức thuế tôi phải đóng theo phương án mới là công bằng (người thu nhập như tôi đóng mức này là hợp lý). - HUMAN-TRU2]]</f>
        <v>9</v>
      </c>
      <c r="AB333">
        <f t="shared" si="150"/>
        <v>0.88888888888888884</v>
      </c>
      <c r="AC333">
        <f>step3_validation[[#This Row],[AI_TRU3]]</f>
        <v>7</v>
      </c>
      <c r="AD333">
        <f t="shared" si="151"/>
        <v>0.66666666666666663</v>
      </c>
      <c r="AE333">
        <f>[1]!survey_responses[[#This Row],[Tôi tin tưởng số tiền thuế tôi đóng sẽ được Nhà nước sử dụng hiệu quả để cải thiện dịch vụ công (y tế, đường xá...). - HUMAN-TRU3]]</f>
        <v>7</v>
      </c>
      <c r="AF333">
        <f t="shared" si="152"/>
        <v>0.66666666666666663</v>
      </c>
      <c r="AG333">
        <f>step3_validation[[#This Row],[AI_TRU4]]</f>
        <v>6</v>
      </c>
      <c r="AH333">
        <f t="shared" si="153"/>
        <v>0.55555555555555558</v>
      </c>
      <c r="AI333">
        <f>[1]!survey_responses[[#This Row],[Tôi thấy Nhà nước đã giải thích rõ ràng, minh bạch về lý do và mục tiêu của việc sửa đổi thuế lần này. - HUMAN-TRU4]]</f>
        <v>9</v>
      </c>
      <c r="AJ333">
        <f t="shared" si="154"/>
        <v>0.88888888888888884</v>
      </c>
      <c r="AK333" s="32">
        <f t="shared" si="155"/>
        <v>0.66666666666666674</v>
      </c>
      <c r="AL333" s="32">
        <f t="shared" si="156"/>
        <v>0.80555555555555547</v>
      </c>
      <c r="AM333" s="7">
        <f t="shared" si="157"/>
        <v>0.70370370370370372</v>
      </c>
      <c r="AN333" s="7">
        <f t="shared" si="158"/>
        <v>0.78703703703703687</v>
      </c>
      <c r="AO333">
        <f>step3_validation[[#This Row],[AI_OUT1]]</f>
        <v>9</v>
      </c>
      <c r="AP333">
        <f t="shared" si="159"/>
        <v>0.88888888888888884</v>
      </c>
      <c r="AQ333">
        <f>[1]!survey_responses[[#This Row],[Sau khi xem xét các quyền lợi và nghĩa vụ, bạn có ủng hộ và tuân thủ chính sách mới hiện nay? - HUMAN-OUT1]]</f>
        <v>9</v>
      </c>
      <c r="AR333">
        <f t="shared" si="160"/>
        <v>0.88888888888888884</v>
      </c>
      <c r="AS333" s="32">
        <f t="shared" si="161"/>
        <v>0</v>
      </c>
    </row>
    <row r="334" spans="1:45" x14ac:dyDescent="0.45">
      <c r="A334">
        <f>step3_validation[[#This Row],[AI_ENF1]]</f>
        <v>7</v>
      </c>
      <c r="B334">
        <f t="shared" si="135"/>
        <v>0.66666666666666663</v>
      </c>
      <c r="C334">
        <f>[1]!survey_responses[[#This Row],[Tôi tin rằng với các quy định quản lý thuế hiện nay, hành vi gian lận hoặc trốn thuế sẽ dễ dàng bị phát hiện và xử lý nghiêm. - HUMAN-ENF1]]</f>
        <v>6</v>
      </c>
      <c r="D334">
        <f t="shared" si="136"/>
        <v>0.55555555555555558</v>
      </c>
      <c r="E334">
        <f>step3_validation[[#This Row],[AI_ENF2]]</f>
        <v>8</v>
      </c>
      <c r="F334">
        <f t="shared" si="137"/>
        <v>0.77777777777777779</v>
      </c>
      <c r="G334">
        <f>[1]!survey_responses[[#This Row],[Tôi tin rằng Nhà nước, cơ quan thuế có đủ khả năng và công nghệ để phát hiện, xử lý nghiêm các hành vi trốn thuế. - HUMAN-ENF2]]</f>
        <v>6</v>
      </c>
      <c r="H334">
        <f t="shared" si="138"/>
        <v>0.55555555555555558</v>
      </c>
      <c r="I334" s="32">
        <f t="shared" si="139"/>
        <v>0.72222222222222221</v>
      </c>
      <c r="J334" s="32">
        <f t="shared" si="140"/>
        <v>0.55555555555555558</v>
      </c>
      <c r="K334">
        <f>step3_validation[[#This Row],[AI_FAC1]]</f>
        <v>6</v>
      </c>
      <c r="L334">
        <f t="shared" si="141"/>
        <v>0.55555555555555558</v>
      </c>
      <c r="M334">
        <f>[1]!survey_responses[[#This Row],[Các thủ tục khai báo thuế VÀ/HOẶC quy trình làm việc với cơ quan thuế đơn giản, tiện lợi, nhanh chóng hơn so với trước đây. - HUMAN-FAC1]]</f>
        <v>8</v>
      </c>
      <c r="N334">
        <f t="shared" si="142"/>
        <v>0.77777777777777779</v>
      </c>
      <c r="O334">
        <f>step3_validation[[#This Row],[AI_FAC2]]</f>
        <v>7</v>
      </c>
      <c r="P334">
        <f t="shared" si="143"/>
        <v>0.66666666666666663</v>
      </c>
      <c r="Q334">
        <f>[1]!survey_responses[[#This Row],[So với trước đây, tôi thấy cách tính thuế và các bậc thuế trong phương án mới đơn giản, dễ hiểu và dễ thực hiện hơn. - HUMAN-FAC2]]</f>
        <v>8</v>
      </c>
      <c r="R334">
        <f t="shared" si="144"/>
        <v>0.77777777777777779</v>
      </c>
      <c r="S334" s="32">
        <f t="shared" si="145"/>
        <v>0.61111111111111116</v>
      </c>
      <c r="T334" s="32">
        <f t="shared" si="146"/>
        <v>0.77777777777777779</v>
      </c>
      <c r="U334">
        <f>step3_validation[[#This Row],[AI_TRU1]]</f>
        <v>6</v>
      </c>
      <c r="V334">
        <f t="shared" si="147"/>
        <v>0.55555555555555558</v>
      </c>
      <c r="W334">
        <f>[1]!survey_responses[[#This Row],[Tôi tin rằng Nhà nước, cơ quan thuế sẽ thực thi chính sách mới một cách khách quan, công tâm và đối xử bình đẳng với mọi người nộp thuế.  - HUMAN-TRU1]]</f>
        <v>6</v>
      </c>
      <c r="X334">
        <f t="shared" si="148"/>
        <v>0.55555555555555558</v>
      </c>
      <c r="Y334">
        <f>step3_validation[[#This Row],[AI_TRU2]]</f>
        <v>5</v>
      </c>
      <c r="Z334">
        <f t="shared" si="149"/>
        <v>0.44444444444444442</v>
      </c>
      <c r="AA334">
        <f>[1]!survey_responses[[#This Row],[Tôi thấy mức thuế tôi phải đóng theo phương án mới là công bằng (người thu nhập như tôi đóng mức này là hợp lý). - HUMAN-TRU2]]</f>
        <v>7</v>
      </c>
      <c r="AB334">
        <f t="shared" si="150"/>
        <v>0.66666666666666663</v>
      </c>
      <c r="AC334">
        <f>step3_validation[[#This Row],[AI_TRU3]]</f>
        <v>6</v>
      </c>
      <c r="AD334">
        <f t="shared" si="151"/>
        <v>0.55555555555555558</v>
      </c>
      <c r="AE334">
        <f>[1]!survey_responses[[#This Row],[Tôi tin tưởng số tiền thuế tôi đóng sẽ được Nhà nước sử dụng hiệu quả để cải thiện dịch vụ công (y tế, đường xá...). - HUMAN-TRU3]]</f>
        <v>6</v>
      </c>
      <c r="AF334">
        <f t="shared" si="152"/>
        <v>0.55555555555555558</v>
      </c>
      <c r="AG334">
        <f>step3_validation[[#This Row],[AI_TRU4]]</f>
        <v>5</v>
      </c>
      <c r="AH334">
        <f t="shared" si="153"/>
        <v>0.44444444444444442</v>
      </c>
      <c r="AI334">
        <f>[1]!survey_responses[[#This Row],[Tôi thấy Nhà nước đã giải thích rõ ràng, minh bạch về lý do và mục tiêu của việc sửa đổi thuế lần này. - HUMAN-TRU4]]</f>
        <v>7</v>
      </c>
      <c r="AJ334">
        <f t="shared" si="154"/>
        <v>0.66666666666666663</v>
      </c>
      <c r="AK334" s="32">
        <f t="shared" si="155"/>
        <v>0.5</v>
      </c>
      <c r="AL334" s="32">
        <f t="shared" si="156"/>
        <v>0.61111111111111116</v>
      </c>
      <c r="AM334" s="7">
        <f t="shared" si="157"/>
        <v>0.61111111111111116</v>
      </c>
      <c r="AN334" s="7">
        <f t="shared" si="158"/>
        <v>0.64814814814814825</v>
      </c>
      <c r="AO334">
        <f>step3_validation[[#This Row],[AI_OUT1]]</f>
        <v>5</v>
      </c>
      <c r="AP334">
        <f t="shared" si="159"/>
        <v>0.44444444444444442</v>
      </c>
      <c r="AQ334">
        <f>[1]!survey_responses[[#This Row],[Sau khi xem xét các quyền lợi và nghĩa vụ, bạn có ủng hộ và tuân thủ chính sách mới hiện nay? - HUMAN-OUT1]]</f>
        <v>7</v>
      </c>
      <c r="AR334">
        <f t="shared" si="160"/>
        <v>0.66666666666666663</v>
      </c>
      <c r="AS334" s="32">
        <f t="shared" si="161"/>
        <v>2</v>
      </c>
    </row>
    <row r="335" spans="1:45" x14ac:dyDescent="0.45">
      <c r="A335">
        <f>step3_validation[[#This Row],[AI_ENF1]]</f>
        <v>7</v>
      </c>
      <c r="B335">
        <f t="shared" si="135"/>
        <v>0.66666666666666663</v>
      </c>
      <c r="C335">
        <f>[1]!survey_responses[[#This Row],[Tôi tin rằng với các quy định quản lý thuế hiện nay, hành vi gian lận hoặc trốn thuế sẽ dễ dàng bị phát hiện và xử lý nghiêm. - HUMAN-ENF1]]</f>
        <v>2</v>
      </c>
      <c r="D335">
        <f t="shared" si="136"/>
        <v>0.1111111111111111</v>
      </c>
      <c r="E335">
        <f>step3_validation[[#This Row],[AI_ENF2]]</f>
        <v>8</v>
      </c>
      <c r="F335">
        <f t="shared" si="137"/>
        <v>0.77777777777777779</v>
      </c>
      <c r="G335">
        <f>[1]!survey_responses[[#This Row],[Tôi tin rằng Nhà nước, cơ quan thuế có đủ khả năng và công nghệ để phát hiện, xử lý nghiêm các hành vi trốn thuế. - HUMAN-ENF2]]</f>
        <v>2</v>
      </c>
      <c r="H335">
        <f t="shared" si="138"/>
        <v>0.1111111111111111</v>
      </c>
      <c r="I335" s="32">
        <f t="shared" si="139"/>
        <v>0.72222222222222221</v>
      </c>
      <c r="J335" s="32">
        <f t="shared" si="140"/>
        <v>0.1111111111111111</v>
      </c>
      <c r="K335">
        <f>step3_validation[[#This Row],[AI_FAC1]]</f>
        <v>9</v>
      </c>
      <c r="L335">
        <f t="shared" si="141"/>
        <v>0.88888888888888884</v>
      </c>
      <c r="M335">
        <f>[1]!survey_responses[[#This Row],[Các thủ tục khai báo thuế VÀ/HOẶC quy trình làm việc với cơ quan thuế đơn giản, tiện lợi, nhanh chóng hơn so với trước đây. - HUMAN-FAC1]]</f>
        <v>3</v>
      </c>
      <c r="N335">
        <f t="shared" si="142"/>
        <v>0.22222222222222221</v>
      </c>
      <c r="O335">
        <f>step3_validation[[#This Row],[AI_FAC2]]</f>
        <v>8</v>
      </c>
      <c r="P335">
        <f t="shared" si="143"/>
        <v>0.77777777777777779</v>
      </c>
      <c r="Q335">
        <f>[1]!survey_responses[[#This Row],[So với trước đây, tôi thấy cách tính thuế và các bậc thuế trong phương án mới đơn giản, dễ hiểu và dễ thực hiện hơn. - HUMAN-FAC2]]</f>
        <v>5</v>
      </c>
      <c r="R335">
        <f t="shared" si="144"/>
        <v>0.44444444444444442</v>
      </c>
      <c r="S335" s="32">
        <f t="shared" si="145"/>
        <v>0.83333333333333326</v>
      </c>
      <c r="T335" s="32">
        <f t="shared" si="146"/>
        <v>0.33333333333333331</v>
      </c>
      <c r="U335">
        <f>step3_validation[[#This Row],[AI_TRU1]]</f>
        <v>7</v>
      </c>
      <c r="V335">
        <f t="shared" si="147"/>
        <v>0.66666666666666663</v>
      </c>
      <c r="W335">
        <f>[1]!survey_responses[[#This Row],[Tôi tin rằng Nhà nước, cơ quan thuế sẽ thực thi chính sách mới một cách khách quan, công tâm và đối xử bình đẳng với mọi người nộp thuế.  - HUMAN-TRU1]]</f>
        <v>1</v>
      </c>
      <c r="X335">
        <f t="shared" si="148"/>
        <v>0</v>
      </c>
      <c r="Y335">
        <f>step3_validation[[#This Row],[AI_TRU2]]</f>
        <v>6</v>
      </c>
      <c r="Z335">
        <f t="shared" si="149"/>
        <v>0.55555555555555558</v>
      </c>
      <c r="AA335">
        <f>[1]!survey_responses[[#This Row],[Tôi thấy mức thuế tôi phải đóng theo phương án mới là công bằng (người thu nhập như tôi đóng mức này là hợp lý). - HUMAN-TRU2]]</f>
        <v>1</v>
      </c>
      <c r="AB335">
        <f t="shared" si="150"/>
        <v>0</v>
      </c>
      <c r="AC335">
        <f>step3_validation[[#This Row],[AI_TRU3]]</f>
        <v>5</v>
      </c>
      <c r="AD335">
        <f t="shared" si="151"/>
        <v>0.44444444444444442</v>
      </c>
      <c r="AE335">
        <f>[1]!survey_responses[[#This Row],[Tôi tin tưởng số tiền thuế tôi đóng sẽ được Nhà nước sử dụng hiệu quả để cải thiện dịch vụ công (y tế, đường xá...). - HUMAN-TRU3]]</f>
        <v>1</v>
      </c>
      <c r="AF335">
        <f t="shared" si="152"/>
        <v>0</v>
      </c>
      <c r="AG335">
        <f>step3_validation[[#This Row],[AI_TRU4]]</f>
        <v>6</v>
      </c>
      <c r="AH335">
        <f t="shared" si="153"/>
        <v>0.55555555555555558</v>
      </c>
      <c r="AI335">
        <f>[1]!survey_responses[[#This Row],[Tôi thấy Nhà nước đã giải thích rõ ràng, minh bạch về lý do và mục tiêu của việc sửa đổi thuế lần này. - HUMAN-TRU4]]</f>
        <v>3</v>
      </c>
      <c r="AJ335">
        <f t="shared" si="154"/>
        <v>0.22222222222222221</v>
      </c>
      <c r="AK335" s="32">
        <f t="shared" si="155"/>
        <v>0.55555555555555558</v>
      </c>
      <c r="AL335" s="32">
        <f t="shared" si="156"/>
        <v>5.5555555555555552E-2</v>
      </c>
      <c r="AM335" s="7">
        <f t="shared" si="157"/>
        <v>0.70370370370370361</v>
      </c>
      <c r="AN335" s="7">
        <f t="shared" si="158"/>
        <v>0.16666666666666666</v>
      </c>
      <c r="AO335">
        <f>step3_validation[[#This Row],[AI_OUT1]]</f>
        <v>7</v>
      </c>
      <c r="AP335">
        <f t="shared" si="159"/>
        <v>0.66666666666666663</v>
      </c>
      <c r="AQ335">
        <f>[1]!survey_responses[[#This Row],[Sau khi xem xét các quyền lợi và nghĩa vụ, bạn có ủng hộ và tuân thủ chính sách mới hiện nay? - HUMAN-OUT1]]</f>
        <v>1</v>
      </c>
      <c r="AR335">
        <f t="shared" si="160"/>
        <v>0</v>
      </c>
      <c r="AS335" s="32">
        <f t="shared" si="161"/>
        <v>6</v>
      </c>
    </row>
    <row r="336" spans="1:45" x14ac:dyDescent="0.45">
      <c r="A336">
        <f>step3_validation[[#This Row],[AI_ENF1]]</f>
        <v>8</v>
      </c>
      <c r="B336">
        <f t="shared" si="135"/>
        <v>0.77777777777777779</v>
      </c>
      <c r="C336">
        <f>[1]!survey_responses[[#This Row],[Tôi tin rằng với các quy định quản lý thuế hiện nay, hành vi gian lận hoặc trốn thuế sẽ dễ dàng bị phát hiện và xử lý nghiêm. - HUMAN-ENF1]]</f>
        <v>7</v>
      </c>
      <c r="D336">
        <f t="shared" si="136"/>
        <v>0.66666666666666663</v>
      </c>
      <c r="E336">
        <f>step3_validation[[#This Row],[AI_ENF2]]</f>
        <v>7</v>
      </c>
      <c r="F336">
        <f t="shared" si="137"/>
        <v>0.66666666666666663</v>
      </c>
      <c r="G336">
        <f>[1]!survey_responses[[#This Row],[Tôi tin rằng Nhà nước, cơ quan thuế có đủ khả năng và công nghệ để phát hiện, xử lý nghiêm các hành vi trốn thuế. - HUMAN-ENF2]]</f>
        <v>7</v>
      </c>
      <c r="H336">
        <f t="shared" si="138"/>
        <v>0.66666666666666663</v>
      </c>
      <c r="I336" s="32">
        <f t="shared" si="139"/>
        <v>0.72222222222222221</v>
      </c>
      <c r="J336" s="32">
        <f t="shared" si="140"/>
        <v>0.66666666666666663</v>
      </c>
      <c r="K336">
        <f>step3_validation[[#This Row],[AI_FAC1]]</f>
        <v>9</v>
      </c>
      <c r="L336">
        <f t="shared" si="141"/>
        <v>0.88888888888888884</v>
      </c>
      <c r="M336">
        <f>[1]!survey_responses[[#This Row],[Các thủ tục khai báo thuế VÀ/HOẶC quy trình làm việc với cơ quan thuế đơn giản, tiện lợi, nhanh chóng hơn so với trước đây. - HUMAN-FAC1]]</f>
        <v>8</v>
      </c>
      <c r="N336">
        <f t="shared" si="142"/>
        <v>0.77777777777777779</v>
      </c>
      <c r="O336">
        <f>step3_validation[[#This Row],[AI_FAC2]]</f>
        <v>8</v>
      </c>
      <c r="P336">
        <f t="shared" si="143"/>
        <v>0.77777777777777779</v>
      </c>
      <c r="Q336">
        <f>[1]!survey_responses[[#This Row],[So với trước đây, tôi thấy cách tính thuế và các bậc thuế trong phương án mới đơn giản, dễ hiểu và dễ thực hiện hơn. - HUMAN-FAC2]]</f>
        <v>10</v>
      </c>
      <c r="R336">
        <f t="shared" si="144"/>
        <v>1</v>
      </c>
      <c r="S336" s="32">
        <f t="shared" si="145"/>
        <v>0.83333333333333326</v>
      </c>
      <c r="T336" s="32">
        <f t="shared" si="146"/>
        <v>0.88888888888888884</v>
      </c>
      <c r="U336">
        <f>step3_validation[[#This Row],[AI_TRU1]]</f>
        <v>7</v>
      </c>
      <c r="V336">
        <f t="shared" si="147"/>
        <v>0.66666666666666663</v>
      </c>
      <c r="W336">
        <f>[1]!survey_responses[[#This Row],[Tôi tin rằng Nhà nước, cơ quan thuế sẽ thực thi chính sách mới một cách khách quan, công tâm và đối xử bình đẳng với mọi người nộp thuế.  - HUMAN-TRU1]]</f>
        <v>9</v>
      </c>
      <c r="X336">
        <f t="shared" si="148"/>
        <v>0.88888888888888884</v>
      </c>
      <c r="Y336">
        <f>step3_validation[[#This Row],[AI_TRU2]]</f>
        <v>6</v>
      </c>
      <c r="Z336">
        <f t="shared" si="149"/>
        <v>0.55555555555555558</v>
      </c>
      <c r="AA336">
        <f>[1]!survey_responses[[#This Row],[Tôi thấy mức thuế tôi phải đóng theo phương án mới là công bằng (người thu nhập như tôi đóng mức này là hợp lý). - HUMAN-TRU2]]</f>
        <v>10</v>
      </c>
      <c r="AB336">
        <f t="shared" si="150"/>
        <v>1</v>
      </c>
      <c r="AC336">
        <f>step3_validation[[#This Row],[AI_TRU3]]</f>
        <v>7</v>
      </c>
      <c r="AD336">
        <f t="shared" si="151"/>
        <v>0.66666666666666663</v>
      </c>
      <c r="AE336">
        <f>[1]!survey_responses[[#This Row],[Tôi tin tưởng số tiền thuế tôi đóng sẽ được Nhà nước sử dụng hiệu quả để cải thiện dịch vụ công (y tế, đường xá...). - HUMAN-TRU3]]</f>
        <v>8</v>
      </c>
      <c r="AF336">
        <f t="shared" si="152"/>
        <v>0.77777777777777779</v>
      </c>
      <c r="AG336">
        <f>step3_validation[[#This Row],[AI_TRU4]]</f>
        <v>5</v>
      </c>
      <c r="AH336">
        <f t="shared" si="153"/>
        <v>0.44444444444444442</v>
      </c>
      <c r="AI336">
        <f>[1]!survey_responses[[#This Row],[Tôi thấy Nhà nước đã giải thích rõ ràng, minh bạch về lý do và mục tiêu của việc sửa đổi thuế lần này. - HUMAN-TRU4]]</f>
        <v>8</v>
      </c>
      <c r="AJ336">
        <f t="shared" si="154"/>
        <v>0.77777777777777779</v>
      </c>
      <c r="AK336" s="32">
        <f t="shared" si="155"/>
        <v>0.58333333333333326</v>
      </c>
      <c r="AL336" s="32">
        <f t="shared" si="156"/>
        <v>0.86111111111111105</v>
      </c>
      <c r="AM336" s="7">
        <f t="shared" si="157"/>
        <v>0.7129629629629628</v>
      </c>
      <c r="AN336" s="7">
        <f t="shared" si="158"/>
        <v>0.80555555555555547</v>
      </c>
      <c r="AO336">
        <f>step3_validation[[#This Row],[AI_OUT1]]</f>
        <v>6</v>
      </c>
      <c r="AP336">
        <f t="shared" si="159"/>
        <v>0.55555555555555558</v>
      </c>
      <c r="AQ336">
        <f>[1]!survey_responses[[#This Row],[Sau khi xem xét các quyền lợi và nghĩa vụ, bạn có ủng hộ và tuân thủ chính sách mới hiện nay? - HUMAN-OUT1]]</f>
        <v>10</v>
      </c>
      <c r="AR336">
        <f t="shared" si="160"/>
        <v>1</v>
      </c>
      <c r="AS336" s="32">
        <f t="shared" si="161"/>
        <v>4</v>
      </c>
    </row>
    <row r="337" spans="1:45" x14ac:dyDescent="0.45">
      <c r="A337">
        <f>step3_validation[[#This Row],[AI_ENF1]]</f>
        <v>5</v>
      </c>
      <c r="B337">
        <f t="shared" si="135"/>
        <v>0.44444444444444442</v>
      </c>
      <c r="C337">
        <f>[1]!survey_responses[[#This Row],[Tôi tin rằng với các quy định quản lý thuế hiện nay, hành vi gian lận hoặc trốn thuế sẽ dễ dàng bị phát hiện và xử lý nghiêm. - HUMAN-ENF1]]</f>
        <v>4</v>
      </c>
      <c r="D337">
        <f t="shared" si="136"/>
        <v>0.33333333333333331</v>
      </c>
      <c r="E337">
        <f>step3_validation[[#This Row],[AI_ENF2]]</f>
        <v>6</v>
      </c>
      <c r="F337">
        <f t="shared" si="137"/>
        <v>0.55555555555555558</v>
      </c>
      <c r="G337">
        <f>[1]!survey_responses[[#This Row],[Tôi tin rằng Nhà nước, cơ quan thuế có đủ khả năng và công nghệ để phát hiện, xử lý nghiêm các hành vi trốn thuế. - HUMAN-ENF2]]</f>
        <v>5</v>
      </c>
      <c r="H337">
        <f t="shared" si="138"/>
        <v>0.44444444444444442</v>
      </c>
      <c r="I337" s="32">
        <f t="shared" si="139"/>
        <v>0.5</v>
      </c>
      <c r="J337" s="32">
        <f t="shared" si="140"/>
        <v>0.38888888888888884</v>
      </c>
      <c r="K337">
        <f>step3_validation[[#This Row],[AI_FAC1]]</f>
        <v>4</v>
      </c>
      <c r="L337">
        <f t="shared" si="141"/>
        <v>0.33333333333333331</v>
      </c>
      <c r="M337">
        <f>[1]!survey_responses[[#This Row],[Các thủ tục khai báo thuế VÀ/HOẶC quy trình làm việc với cơ quan thuế đơn giản, tiện lợi, nhanh chóng hơn so với trước đây. - HUMAN-FAC1]]</f>
        <v>5</v>
      </c>
      <c r="N337">
        <f t="shared" si="142"/>
        <v>0.44444444444444442</v>
      </c>
      <c r="O337">
        <f>step3_validation[[#This Row],[AI_FAC2]]</f>
        <v>8</v>
      </c>
      <c r="P337">
        <f t="shared" si="143"/>
        <v>0.77777777777777779</v>
      </c>
      <c r="Q337">
        <f>[1]!survey_responses[[#This Row],[So với trước đây, tôi thấy cách tính thuế và các bậc thuế trong phương án mới đơn giản, dễ hiểu và dễ thực hiện hơn. - HUMAN-FAC2]]</f>
        <v>6</v>
      </c>
      <c r="R337">
        <f t="shared" si="144"/>
        <v>0.55555555555555558</v>
      </c>
      <c r="S337" s="32">
        <f t="shared" si="145"/>
        <v>0.55555555555555558</v>
      </c>
      <c r="T337" s="32">
        <f t="shared" si="146"/>
        <v>0.5</v>
      </c>
      <c r="U337">
        <f>step3_validation[[#This Row],[AI_TRU1]]</f>
        <v>5</v>
      </c>
      <c r="V337">
        <f t="shared" si="147"/>
        <v>0.44444444444444442</v>
      </c>
      <c r="W337">
        <f>[1]!survey_responses[[#This Row],[Tôi tin rằng Nhà nước, cơ quan thuế sẽ thực thi chính sách mới một cách khách quan, công tâm và đối xử bình đẳng với mọi người nộp thuế.  - HUMAN-TRU1]]</f>
        <v>5</v>
      </c>
      <c r="X337">
        <f t="shared" si="148"/>
        <v>0.44444444444444442</v>
      </c>
      <c r="Y337">
        <f>step3_validation[[#This Row],[AI_TRU2]]</f>
        <v>7</v>
      </c>
      <c r="Z337">
        <f t="shared" si="149"/>
        <v>0.66666666666666663</v>
      </c>
      <c r="AA337">
        <f>[1]!survey_responses[[#This Row],[Tôi thấy mức thuế tôi phải đóng theo phương án mới là công bằng (người thu nhập như tôi đóng mức này là hợp lý). - HUMAN-TRU2]]</f>
        <v>6</v>
      </c>
      <c r="AB337">
        <f t="shared" si="150"/>
        <v>0.55555555555555558</v>
      </c>
      <c r="AC337">
        <f>step3_validation[[#This Row],[AI_TRU3]]</f>
        <v>6</v>
      </c>
      <c r="AD337">
        <f t="shared" si="151"/>
        <v>0.55555555555555558</v>
      </c>
      <c r="AE337">
        <f>[1]!survey_responses[[#This Row],[Tôi tin tưởng số tiền thuế tôi đóng sẽ được Nhà nước sử dụng hiệu quả để cải thiện dịch vụ công (y tế, đường xá...). - HUMAN-TRU3]]</f>
        <v>5</v>
      </c>
      <c r="AF337">
        <f t="shared" si="152"/>
        <v>0.44444444444444442</v>
      </c>
      <c r="AG337">
        <f>step3_validation[[#This Row],[AI_TRU4]]</f>
        <v>5</v>
      </c>
      <c r="AH337">
        <f t="shared" si="153"/>
        <v>0.44444444444444442</v>
      </c>
      <c r="AI337">
        <f>[1]!survey_responses[[#This Row],[Tôi thấy Nhà nước đã giải thích rõ ràng, minh bạch về lý do và mục tiêu của việc sửa đổi thuế lần này. - HUMAN-TRU4]]</f>
        <v>5</v>
      </c>
      <c r="AJ337">
        <f t="shared" si="154"/>
        <v>0.44444444444444442</v>
      </c>
      <c r="AK337" s="32">
        <f t="shared" si="155"/>
        <v>0.52777777777777779</v>
      </c>
      <c r="AL337" s="32">
        <f t="shared" si="156"/>
        <v>0.47222222222222221</v>
      </c>
      <c r="AM337" s="7">
        <f t="shared" si="157"/>
        <v>0.52777777777777779</v>
      </c>
      <c r="AN337" s="7">
        <f t="shared" si="158"/>
        <v>0.45370370370370372</v>
      </c>
      <c r="AO337">
        <f>step3_validation[[#This Row],[AI_OUT1]]</f>
        <v>6</v>
      </c>
      <c r="AP337">
        <f t="shared" si="159"/>
        <v>0.55555555555555558</v>
      </c>
      <c r="AQ337">
        <f>[1]!survey_responses[[#This Row],[Sau khi xem xét các quyền lợi và nghĩa vụ, bạn có ủng hộ và tuân thủ chính sách mới hiện nay? - HUMAN-OUT1]]</f>
        <v>6</v>
      </c>
      <c r="AR337">
        <f t="shared" si="160"/>
        <v>0.55555555555555558</v>
      </c>
      <c r="AS337" s="32">
        <f t="shared" si="161"/>
        <v>0</v>
      </c>
    </row>
    <row r="338" spans="1:45" x14ac:dyDescent="0.45">
      <c r="A338">
        <f>step3_validation[[#This Row],[AI_ENF1]]</f>
        <v>8</v>
      </c>
      <c r="B338">
        <f t="shared" si="135"/>
        <v>0.77777777777777779</v>
      </c>
      <c r="C338">
        <f>[1]!survey_responses[[#This Row],[Tôi tin rằng với các quy định quản lý thuế hiện nay, hành vi gian lận hoặc trốn thuế sẽ dễ dàng bị phát hiện và xử lý nghiêm. - HUMAN-ENF1]]</f>
        <v>7</v>
      </c>
      <c r="D338">
        <f t="shared" si="136"/>
        <v>0.66666666666666663</v>
      </c>
      <c r="E338">
        <f>step3_validation[[#This Row],[AI_ENF2]]</f>
        <v>9</v>
      </c>
      <c r="F338">
        <f t="shared" si="137"/>
        <v>0.88888888888888884</v>
      </c>
      <c r="G338">
        <f>[1]!survey_responses[[#This Row],[Tôi tin rằng Nhà nước, cơ quan thuế có đủ khả năng và công nghệ để phát hiện, xử lý nghiêm các hành vi trốn thuế. - HUMAN-ENF2]]</f>
        <v>8</v>
      </c>
      <c r="H338">
        <f t="shared" si="138"/>
        <v>0.77777777777777779</v>
      </c>
      <c r="I338" s="32">
        <f t="shared" si="139"/>
        <v>0.83333333333333326</v>
      </c>
      <c r="J338" s="32">
        <f t="shared" si="140"/>
        <v>0.72222222222222221</v>
      </c>
      <c r="K338">
        <f>step3_validation[[#This Row],[AI_FAC1]]</f>
        <v>7</v>
      </c>
      <c r="L338">
        <f t="shared" si="141"/>
        <v>0.66666666666666663</v>
      </c>
      <c r="M338">
        <f>[1]!survey_responses[[#This Row],[Các thủ tục khai báo thuế VÀ/HOẶC quy trình làm việc với cơ quan thuế đơn giản, tiện lợi, nhanh chóng hơn so với trước đây. - HUMAN-FAC1]]</f>
        <v>7</v>
      </c>
      <c r="N338">
        <f t="shared" si="142"/>
        <v>0.66666666666666663</v>
      </c>
      <c r="O338">
        <f>step3_validation[[#This Row],[AI_FAC2]]</f>
        <v>8</v>
      </c>
      <c r="P338">
        <f t="shared" si="143"/>
        <v>0.77777777777777779</v>
      </c>
      <c r="Q338">
        <f>[1]!survey_responses[[#This Row],[So với trước đây, tôi thấy cách tính thuế và các bậc thuế trong phương án mới đơn giản, dễ hiểu và dễ thực hiện hơn. - HUMAN-FAC2]]</f>
        <v>7</v>
      </c>
      <c r="R338">
        <f t="shared" si="144"/>
        <v>0.66666666666666663</v>
      </c>
      <c r="S338" s="32">
        <f t="shared" si="145"/>
        <v>0.72222222222222221</v>
      </c>
      <c r="T338" s="32">
        <f t="shared" si="146"/>
        <v>0.66666666666666663</v>
      </c>
      <c r="U338">
        <f>step3_validation[[#This Row],[AI_TRU1]]</f>
        <v>7</v>
      </c>
      <c r="V338">
        <f t="shared" si="147"/>
        <v>0.66666666666666663</v>
      </c>
      <c r="W338">
        <f>[1]!survey_responses[[#This Row],[Tôi tin rằng Nhà nước, cơ quan thuế sẽ thực thi chính sách mới một cách khách quan, công tâm và đối xử bình đẳng với mọi người nộp thuế.  - HUMAN-TRU1]]</f>
        <v>6</v>
      </c>
      <c r="X338">
        <f t="shared" si="148"/>
        <v>0.55555555555555558</v>
      </c>
      <c r="Y338">
        <f>step3_validation[[#This Row],[AI_TRU2]]</f>
        <v>6</v>
      </c>
      <c r="Z338">
        <f t="shared" si="149"/>
        <v>0.55555555555555558</v>
      </c>
      <c r="AA338">
        <f>[1]!survey_responses[[#This Row],[Tôi thấy mức thuế tôi phải đóng theo phương án mới là công bằng (người thu nhập như tôi đóng mức này là hợp lý). - HUMAN-TRU2]]</f>
        <v>8</v>
      </c>
      <c r="AB338">
        <f t="shared" si="150"/>
        <v>0.77777777777777779</v>
      </c>
      <c r="AC338">
        <f>step3_validation[[#This Row],[AI_TRU3]]</f>
        <v>7</v>
      </c>
      <c r="AD338">
        <f t="shared" si="151"/>
        <v>0.66666666666666663</v>
      </c>
      <c r="AE338">
        <f>[1]!survey_responses[[#This Row],[Tôi tin tưởng số tiền thuế tôi đóng sẽ được Nhà nước sử dụng hiệu quả để cải thiện dịch vụ công (y tế, đường xá...). - HUMAN-TRU3]]</f>
        <v>6</v>
      </c>
      <c r="AF338">
        <f t="shared" si="152"/>
        <v>0.55555555555555558</v>
      </c>
      <c r="AG338">
        <f>step3_validation[[#This Row],[AI_TRU4]]</f>
        <v>5</v>
      </c>
      <c r="AH338">
        <f t="shared" si="153"/>
        <v>0.44444444444444442</v>
      </c>
      <c r="AI338">
        <f>[1]!survey_responses[[#This Row],[Tôi thấy Nhà nước đã giải thích rõ ràng, minh bạch về lý do và mục tiêu của việc sửa đổi thuế lần này. - HUMAN-TRU4]]</f>
        <v>8</v>
      </c>
      <c r="AJ338">
        <f t="shared" si="154"/>
        <v>0.77777777777777779</v>
      </c>
      <c r="AK338" s="32">
        <f t="shared" si="155"/>
        <v>0.58333333333333326</v>
      </c>
      <c r="AL338" s="32">
        <f t="shared" si="156"/>
        <v>0.66666666666666674</v>
      </c>
      <c r="AM338" s="7">
        <f t="shared" si="157"/>
        <v>0.7129629629629628</v>
      </c>
      <c r="AN338" s="7">
        <f t="shared" si="158"/>
        <v>0.68518518518518512</v>
      </c>
      <c r="AO338">
        <f>step3_validation[[#This Row],[AI_OUT1]]</f>
        <v>7</v>
      </c>
      <c r="AP338">
        <f t="shared" si="159"/>
        <v>0.66666666666666663</v>
      </c>
      <c r="AQ338">
        <f>[1]!survey_responses[[#This Row],[Sau khi xem xét các quyền lợi và nghĩa vụ, bạn có ủng hộ và tuân thủ chính sách mới hiện nay? - HUMAN-OUT1]]</f>
        <v>8</v>
      </c>
      <c r="AR338">
        <f t="shared" si="160"/>
        <v>0.77777777777777779</v>
      </c>
      <c r="AS338" s="32">
        <f t="shared" si="161"/>
        <v>1</v>
      </c>
    </row>
    <row r="339" spans="1:45" x14ac:dyDescent="0.45">
      <c r="A339">
        <f>step3_validation[[#This Row],[AI_ENF1]]</f>
        <v>8</v>
      </c>
      <c r="B339">
        <f t="shared" si="135"/>
        <v>0.77777777777777779</v>
      </c>
      <c r="C339">
        <f>[1]!survey_responses[[#This Row],[Tôi tin rằng với các quy định quản lý thuế hiện nay, hành vi gian lận hoặc trốn thuế sẽ dễ dàng bị phát hiện và xử lý nghiêm. - HUMAN-ENF1]]</f>
        <v>8</v>
      </c>
      <c r="D339">
        <f t="shared" si="136"/>
        <v>0.77777777777777779</v>
      </c>
      <c r="E339">
        <f>step3_validation[[#This Row],[AI_ENF2]]</f>
        <v>9</v>
      </c>
      <c r="F339">
        <f t="shared" si="137"/>
        <v>0.88888888888888884</v>
      </c>
      <c r="G339">
        <f>[1]!survey_responses[[#This Row],[Tôi tin rằng Nhà nước, cơ quan thuế có đủ khả năng và công nghệ để phát hiện, xử lý nghiêm các hành vi trốn thuế. - HUMAN-ENF2]]</f>
        <v>8</v>
      </c>
      <c r="H339">
        <f t="shared" si="138"/>
        <v>0.77777777777777779</v>
      </c>
      <c r="I339" s="32">
        <f t="shared" si="139"/>
        <v>0.83333333333333326</v>
      </c>
      <c r="J339" s="32">
        <f t="shared" si="140"/>
        <v>0.77777777777777779</v>
      </c>
      <c r="K339">
        <f>step3_validation[[#This Row],[AI_FAC1]]</f>
        <v>7</v>
      </c>
      <c r="L339">
        <f t="shared" si="141"/>
        <v>0.66666666666666663</v>
      </c>
      <c r="M339">
        <f>[1]!survey_responses[[#This Row],[Các thủ tục khai báo thuế VÀ/HOẶC quy trình làm việc với cơ quan thuế đơn giản, tiện lợi, nhanh chóng hơn so với trước đây. - HUMAN-FAC1]]</f>
        <v>9</v>
      </c>
      <c r="N339">
        <f t="shared" si="142"/>
        <v>0.88888888888888884</v>
      </c>
      <c r="O339">
        <f>step3_validation[[#This Row],[AI_FAC2]]</f>
        <v>8</v>
      </c>
      <c r="P339">
        <f t="shared" si="143"/>
        <v>0.77777777777777779</v>
      </c>
      <c r="Q339">
        <f>[1]!survey_responses[[#This Row],[So với trước đây, tôi thấy cách tính thuế và các bậc thuế trong phương án mới đơn giản, dễ hiểu và dễ thực hiện hơn. - HUMAN-FAC2]]</f>
        <v>9</v>
      </c>
      <c r="R339">
        <f t="shared" si="144"/>
        <v>0.88888888888888884</v>
      </c>
      <c r="S339" s="32">
        <f t="shared" si="145"/>
        <v>0.72222222222222221</v>
      </c>
      <c r="T339" s="32">
        <f t="shared" si="146"/>
        <v>0.88888888888888884</v>
      </c>
      <c r="U339">
        <f>step3_validation[[#This Row],[AI_TRU1]]</f>
        <v>6</v>
      </c>
      <c r="V339">
        <f t="shared" si="147"/>
        <v>0.55555555555555558</v>
      </c>
      <c r="W339">
        <f>[1]!survey_responses[[#This Row],[Tôi tin rằng Nhà nước, cơ quan thuế sẽ thực thi chính sách mới một cách khách quan, công tâm và đối xử bình đẳng với mọi người nộp thuế.  - HUMAN-TRU1]]</f>
        <v>8</v>
      </c>
      <c r="X339">
        <f t="shared" si="148"/>
        <v>0.77777777777777779</v>
      </c>
      <c r="Y339">
        <f>step3_validation[[#This Row],[AI_TRU2]]</f>
        <v>7</v>
      </c>
      <c r="Z339">
        <f t="shared" si="149"/>
        <v>0.66666666666666663</v>
      </c>
      <c r="AA339">
        <f>[1]!survey_responses[[#This Row],[Tôi thấy mức thuế tôi phải đóng theo phương án mới là công bằng (người thu nhập như tôi đóng mức này là hợp lý). - HUMAN-TRU2]]</f>
        <v>9</v>
      </c>
      <c r="AB339">
        <f t="shared" si="150"/>
        <v>0.88888888888888884</v>
      </c>
      <c r="AC339">
        <f>step3_validation[[#This Row],[AI_TRU3]]</f>
        <v>6</v>
      </c>
      <c r="AD339">
        <f t="shared" si="151"/>
        <v>0.55555555555555558</v>
      </c>
      <c r="AE339">
        <f>[1]!survey_responses[[#This Row],[Tôi tin tưởng số tiền thuế tôi đóng sẽ được Nhà nước sử dụng hiệu quả để cải thiện dịch vụ công (y tế, đường xá...). - HUMAN-TRU3]]</f>
        <v>10</v>
      </c>
      <c r="AF339">
        <f t="shared" si="152"/>
        <v>1</v>
      </c>
      <c r="AG339">
        <f>step3_validation[[#This Row],[AI_TRU4]]</f>
        <v>5</v>
      </c>
      <c r="AH339">
        <f t="shared" si="153"/>
        <v>0.44444444444444442</v>
      </c>
      <c r="AI339">
        <f>[1]!survey_responses[[#This Row],[Tôi thấy Nhà nước đã giải thích rõ ràng, minh bạch về lý do và mục tiêu của việc sửa đổi thuế lần này. - HUMAN-TRU4]]</f>
        <v>9</v>
      </c>
      <c r="AJ339">
        <f t="shared" si="154"/>
        <v>0.88888888888888884</v>
      </c>
      <c r="AK339" s="32">
        <f t="shared" si="155"/>
        <v>0.55555555555555558</v>
      </c>
      <c r="AL339" s="32">
        <f t="shared" si="156"/>
        <v>0.88888888888888884</v>
      </c>
      <c r="AM339" s="7">
        <f t="shared" si="157"/>
        <v>0.70370370370370361</v>
      </c>
      <c r="AN339" s="7">
        <f t="shared" si="158"/>
        <v>0.85185185185185175</v>
      </c>
      <c r="AO339">
        <f>step3_validation[[#This Row],[AI_OUT1]]</f>
        <v>4</v>
      </c>
      <c r="AP339">
        <f t="shared" si="159"/>
        <v>0.33333333333333331</v>
      </c>
      <c r="AQ339">
        <f>[1]!survey_responses[[#This Row],[Sau khi xem xét các quyền lợi và nghĩa vụ, bạn có ủng hộ và tuân thủ chính sách mới hiện nay? - HUMAN-OUT1]]</f>
        <v>10</v>
      </c>
      <c r="AR339">
        <f t="shared" si="160"/>
        <v>1</v>
      </c>
      <c r="AS339" s="32">
        <f t="shared" si="161"/>
        <v>6</v>
      </c>
    </row>
    <row r="340" spans="1:45" x14ac:dyDescent="0.45">
      <c r="A340">
        <f>step3_validation[[#This Row],[AI_ENF1]]</f>
        <v>7</v>
      </c>
      <c r="B340">
        <f t="shared" si="135"/>
        <v>0.66666666666666663</v>
      </c>
      <c r="C340">
        <f>[1]!survey_responses[[#This Row],[Tôi tin rằng với các quy định quản lý thuế hiện nay, hành vi gian lận hoặc trốn thuế sẽ dễ dàng bị phát hiện và xử lý nghiêm. - HUMAN-ENF1]]</f>
        <v>7</v>
      </c>
      <c r="D340">
        <f t="shared" si="136"/>
        <v>0.66666666666666663</v>
      </c>
      <c r="E340">
        <f>step3_validation[[#This Row],[AI_ENF2]]</f>
        <v>6</v>
      </c>
      <c r="F340">
        <f t="shared" si="137"/>
        <v>0.55555555555555558</v>
      </c>
      <c r="G340">
        <f>[1]!survey_responses[[#This Row],[Tôi tin rằng Nhà nước, cơ quan thuế có đủ khả năng và công nghệ để phát hiện, xử lý nghiêm các hành vi trốn thuế. - HUMAN-ENF2]]</f>
        <v>7</v>
      </c>
      <c r="H340">
        <f t="shared" si="138"/>
        <v>0.66666666666666663</v>
      </c>
      <c r="I340" s="32">
        <f t="shared" si="139"/>
        <v>0.61111111111111116</v>
      </c>
      <c r="J340" s="32">
        <f t="shared" si="140"/>
        <v>0.66666666666666663</v>
      </c>
      <c r="K340">
        <f>step3_validation[[#This Row],[AI_FAC1]]</f>
        <v>8</v>
      </c>
      <c r="L340">
        <f t="shared" si="141"/>
        <v>0.77777777777777779</v>
      </c>
      <c r="M340">
        <f>[1]!survey_responses[[#This Row],[Các thủ tục khai báo thuế VÀ/HOẶC quy trình làm việc với cơ quan thuế đơn giản, tiện lợi, nhanh chóng hơn so với trước đây. - HUMAN-FAC1]]</f>
        <v>8</v>
      </c>
      <c r="N340">
        <f t="shared" si="142"/>
        <v>0.77777777777777779</v>
      </c>
      <c r="O340">
        <f>step3_validation[[#This Row],[AI_FAC2]]</f>
        <v>9</v>
      </c>
      <c r="P340">
        <f t="shared" si="143"/>
        <v>0.88888888888888884</v>
      </c>
      <c r="Q340">
        <f>[1]!survey_responses[[#This Row],[So với trước đây, tôi thấy cách tính thuế và các bậc thuế trong phương án mới đơn giản, dễ hiểu và dễ thực hiện hơn. - HUMAN-FAC2]]</f>
        <v>8</v>
      </c>
      <c r="R340">
        <f t="shared" si="144"/>
        <v>0.77777777777777779</v>
      </c>
      <c r="S340" s="32">
        <f t="shared" si="145"/>
        <v>0.83333333333333326</v>
      </c>
      <c r="T340" s="32">
        <f t="shared" si="146"/>
        <v>0.77777777777777779</v>
      </c>
      <c r="U340">
        <f>step3_validation[[#This Row],[AI_TRU1]]</f>
        <v>8</v>
      </c>
      <c r="V340">
        <f t="shared" si="147"/>
        <v>0.77777777777777779</v>
      </c>
      <c r="W340">
        <f>[1]!survey_responses[[#This Row],[Tôi tin rằng Nhà nước, cơ quan thuế sẽ thực thi chính sách mới một cách khách quan, công tâm và đối xử bình đẳng với mọi người nộp thuế.  - HUMAN-TRU1]]</f>
        <v>6</v>
      </c>
      <c r="X340">
        <f t="shared" si="148"/>
        <v>0.55555555555555558</v>
      </c>
      <c r="Y340">
        <f>step3_validation[[#This Row],[AI_TRU2]]</f>
        <v>7</v>
      </c>
      <c r="Z340">
        <f t="shared" si="149"/>
        <v>0.66666666666666663</v>
      </c>
      <c r="AA340">
        <f>[1]!survey_responses[[#This Row],[Tôi thấy mức thuế tôi phải đóng theo phương án mới là công bằng (người thu nhập như tôi đóng mức này là hợp lý). - HUMAN-TRU2]]</f>
        <v>7</v>
      </c>
      <c r="AB340">
        <f t="shared" si="150"/>
        <v>0.66666666666666663</v>
      </c>
      <c r="AC340">
        <f>step3_validation[[#This Row],[AI_TRU3]]</f>
        <v>8</v>
      </c>
      <c r="AD340">
        <f t="shared" si="151"/>
        <v>0.77777777777777779</v>
      </c>
      <c r="AE340">
        <f>[1]!survey_responses[[#This Row],[Tôi tin tưởng số tiền thuế tôi đóng sẽ được Nhà nước sử dụng hiệu quả để cải thiện dịch vụ công (y tế, đường xá...). - HUMAN-TRU3]]</f>
        <v>6</v>
      </c>
      <c r="AF340">
        <f t="shared" si="152"/>
        <v>0.55555555555555558</v>
      </c>
      <c r="AG340">
        <f>step3_validation[[#This Row],[AI_TRU4]]</f>
        <v>6</v>
      </c>
      <c r="AH340">
        <f t="shared" si="153"/>
        <v>0.55555555555555558</v>
      </c>
      <c r="AI340">
        <f>[1]!survey_responses[[#This Row],[Tôi thấy Nhà nước đã giải thích rõ ràng, minh bạch về lý do và mục tiêu của việc sửa đổi thuế lần này. - HUMAN-TRU4]]</f>
        <v>6</v>
      </c>
      <c r="AJ340">
        <f t="shared" si="154"/>
        <v>0.55555555555555558</v>
      </c>
      <c r="AK340" s="32">
        <f t="shared" si="155"/>
        <v>0.69444444444444442</v>
      </c>
      <c r="AL340" s="32">
        <f t="shared" si="156"/>
        <v>0.58333333333333337</v>
      </c>
      <c r="AM340" s="7">
        <f t="shared" si="157"/>
        <v>0.71296296296296291</v>
      </c>
      <c r="AN340" s="7">
        <f t="shared" si="158"/>
        <v>0.67592592592592593</v>
      </c>
      <c r="AO340">
        <f>step3_validation[[#This Row],[AI_OUT1]]</f>
        <v>7</v>
      </c>
      <c r="AP340">
        <f t="shared" si="159"/>
        <v>0.66666666666666663</v>
      </c>
      <c r="AQ340">
        <f>[1]!survey_responses[[#This Row],[Sau khi xem xét các quyền lợi và nghĩa vụ, bạn có ủng hộ và tuân thủ chính sách mới hiện nay? - HUMAN-OUT1]]</f>
        <v>7</v>
      </c>
      <c r="AR340">
        <f t="shared" si="160"/>
        <v>0.66666666666666663</v>
      </c>
      <c r="AS340" s="32">
        <f t="shared" si="161"/>
        <v>0</v>
      </c>
    </row>
    <row r="341" spans="1:45" x14ac:dyDescent="0.45">
      <c r="A341">
        <f>step3_validation[[#This Row],[AI_ENF1]]</f>
        <v>7</v>
      </c>
      <c r="B341">
        <f t="shared" si="135"/>
        <v>0.66666666666666663</v>
      </c>
      <c r="C341">
        <f>[1]!survey_responses[[#This Row],[Tôi tin rằng với các quy định quản lý thuế hiện nay, hành vi gian lận hoặc trốn thuế sẽ dễ dàng bị phát hiện và xử lý nghiêm. - HUMAN-ENF1]]</f>
        <v>7</v>
      </c>
      <c r="D341">
        <f t="shared" si="136"/>
        <v>0.66666666666666663</v>
      </c>
      <c r="E341">
        <f>step3_validation[[#This Row],[AI_ENF2]]</f>
        <v>8</v>
      </c>
      <c r="F341">
        <f t="shared" si="137"/>
        <v>0.77777777777777779</v>
      </c>
      <c r="G341">
        <f>[1]!survey_responses[[#This Row],[Tôi tin rằng Nhà nước, cơ quan thuế có đủ khả năng và công nghệ để phát hiện, xử lý nghiêm các hành vi trốn thuế. - HUMAN-ENF2]]</f>
        <v>8</v>
      </c>
      <c r="H341">
        <f t="shared" si="138"/>
        <v>0.77777777777777779</v>
      </c>
      <c r="I341" s="32">
        <f t="shared" si="139"/>
        <v>0.72222222222222221</v>
      </c>
      <c r="J341" s="32">
        <f t="shared" si="140"/>
        <v>0.72222222222222221</v>
      </c>
      <c r="K341">
        <f>step3_validation[[#This Row],[AI_FAC1]]</f>
        <v>6</v>
      </c>
      <c r="L341">
        <f t="shared" si="141"/>
        <v>0.55555555555555558</v>
      </c>
      <c r="M341">
        <f>[1]!survey_responses[[#This Row],[Các thủ tục khai báo thuế VÀ/HOẶC quy trình làm việc với cơ quan thuế đơn giản, tiện lợi, nhanh chóng hơn so với trước đây. - HUMAN-FAC1]]</f>
        <v>8</v>
      </c>
      <c r="N341">
        <f t="shared" si="142"/>
        <v>0.77777777777777779</v>
      </c>
      <c r="O341">
        <f>step3_validation[[#This Row],[AI_FAC2]]</f>
        <v>5</v>
      </c>
      <c r="P341">
        <f t="shared" si="143"/>
        <v>0.44444444444444442</v>
      </c>
      <c r="Q341">
        <f>[1]!survey_responses[[#This Row],[So với trước đây, tôi thấy cách tính thuế và các bậc thuế trong phương án mới đơn giản, dễ hiểu và dễ thực hiện hơn. - HUMAN-FAC2]]</f>
        <v>8</v>
      </c>
      <c r="R341">
        <f t="shared" si="144"/>
        <v>0.77777777777777779</v>
      </c>
      <c r="S341" s="32">
        <f t="shared" si="145"/>
        <v>0.5</v>
      </c>
      <c r="T341" s="32">
        <f t="shared" si="146"/>
        <v>0.77777777777777779</v>
      </c>
      <c r="U341">
        <f>step3_validation[[#This Row],[AI_TRU1]]</f>
        <v>7</v>
      </c>
      <c r="V341">
        <f t="shared" si="147"/>
        <v>0.66666666666666663</v>
      </c>
      <c r="W341">
        <f>[1]!survey_responses[[#This Row],[Tôi tin rằng Nhà nước, cơ quan thuế sẽ thực thi chính sách mới một cách khách quan, công tâm và đối xử bình đẳng với mọi người nộp thuế.  - HUMAN-TRU1]]</f>
        <v>5</v>
      </c>
      <c r="X341">
        <f t="shared" si="148"/>
        <v>0.44444444444444442</v>
      </c>
      <c r="Y341">
        <f>step3_validation[[#This Row],[AI_TRU2]]</f>
        <v>6</v>
      </c>
      <c r="Z341">
        <f t="shared" si="149"/>
        <v>0.55555555555555558</v>
      </c>
      <c r="AA341">
        <f>[1]!survey_responses[[#This Row],[Tôi thấy mức thuế tôi phải đóng theo phương án mới là công bằng (người thu nhập như tôi đóng mức này là hợp lý). - HUMAN-TRU2]]</f>
        <v>8</v>
      </c>
      <c r="AB341">
        <f t="shared" si="150"/>
        <v>0.77777777777777779</v>
      </c>
      <c r="AC341">
        <f>step3_validation[[#This Row],[AI_TRU3]]</f>
        <v>6</v>
      </c>
      <c r="AD341">
        <f t="shared" si="151"/>
        <v>0.55555555555555558</v>
      </c>
      <c r="AE341">
        <f>[1]!survey_responses[[#This Row],[Tôi tin tưởng số tiền thuế tôi đóng sẽ được Nhà nước sử dụng hiệu quả để cải thiện dịch vụ công (y tế, đường xá...). - HUMAN-TRU3]]</f>
        <v>5</v>
      </c>
      <c r="AF341">
        <f t="shared" si="152"/>
        <v>0.44444444444444442</v>
      </c>
      <c r="AG341">
        <f>step3_validation[[#This Row],[AI_TRU4]]</f>
        <v>5</v>
      </c>
      <c r="AH341">
        <f t="shared" si="153"/>
        <v>0.44444444444444442</v>
      </c>
      <c r="AI341">
        <f>[1]!survey_responses[[#This Row],[Tôi thấy Nhà nước đã giải thích rõ ràng, minh bạch về lý do và mục tiêu của việc sửa đổi thuế lần này. - HUMAN-TRU4]]</f>
        <v>8</v>
      </c>
      <c r="AJ341">
        <f t="shared" si="154"/>
        <v>0.77777777777777779</v>
      </c>
      <c r="AK341" s="32">
        <f t="shared" si="155"/>
        <v>0.55555555555555558</v>
      </c>
      <c r="AL341" s="32">
        <f t="shared" si="156"/>
        <v>0.61111111111111116</v>
      </c>
      <c r="AM341" s="7">
        <f t="shared" si="157"/>
        <v>0.59259259259259267</v>
      </c>
      <c r="AN341" s="7">
        <f t="shared" si="158"/>
        <v>0.70370370370370372</v>
      </c>
      <c r="AO341">
        <f>step3_validation[[#This Row],[AI_OUT1]]</f>
        <v>6</v>
      </c>
      <c r="AP341">
        <f t="shared" si="159"/>
        <v>0.55555555555555558</v>
      </c>
      <c r="AQ341">
        <f>[1]!survey_responses[[#This Row],[Sau khi xem xét các quyền lợi và nghĩa vụ, bạn có ủng hộ và tuân thủ chính sách mới hiện nay? - HUMAN-OUT1]]</f>
        <v>8</v>
      </c>
      <c r="AR341">
        <f t="shared" si="160"/>
        <v>0.77777777777777779</v>
      </c>
      <c r="AS341" s="32">
        <f t="shared" si="161"/>
        <v>2</v>
      </c>
    </row>
    <row r="342" spans="1:45" x14ac:dyDescent="0.45">
      <c r="A342">
        <f>step3_validation[[#This Row],[AI_ENF1]]</f>
        <v>7</v>
      </c>
      <c r="B342">
        <f t="shared" si="135"/>
        <v>0.66666666666666663</v>
      </c>
      <c r="C342">
        <f>[1]!survey_responses[[#This Row],[Tôi tin rằng với các quy định quản lý thuế hiện nay, hành vi gian lận hoặc trốn thuế sẽ dễ dàng bị phát hiện và xử lý nghiêm. - HUMAN-ENF1]]</f>
        <v>8</v>
      </c>
      <c r="D342">
        <f t="shared" si="136"/>
        <v>0.77777777777777779</v>
      </c>
      <c r="E342">
        <f>step3_validation[[#This Row],[AI_ENF2]]</f>
        <v>8</v>
      </c>
      <c r="F342">
        <f t="shared" si="137"/>
        <v>0.77777777777777779</v>
      </c>
      <c r="G342">
        <f>[1]!survey_responses[[#This Row],[Tôi tin rằng Nhà nước, cơ quan thuế có đủ khả năng và công nghệ để phát hiện, xử lý nghiêm các hành vi trốn thuế. - HUMAN-ENF2]]</f>
        <v>8</v>
      </c>
      <c r="H342">
        <f t="shared" si="138"/>
        <v>0.77777777777777779</v>
      </c>
      <c r="I342" s="32">
        <f t="shared" si="139"/>
        <v>0.72222222222222221</v>
      </c>
      <c r="J342" s="32">
        <f t="shared" si="140"/>
        <v>0.77777777777777779</v>
      </c>
      <c r="K342">
        <f>step3_validation[[#This Row],[AI_FAC1]]</f>
        <v>9</v>
      </c>
      <c r="L342">
        <f t="shared" si="141"/>
        <v>0.88888888888888884</v>
      </c>
      <c r="M342">
        <f>[1]!survey_responses[[#This Row],[Các thủ tục khai báo thuế VÀ/HOẶC quy trình làm việc với cơ quan thuế đơn giản, tiện lợi, nhanh chóng hơn so với trước đây. - HUMAN-FAC1]]</f>
        <v>8</v>
      </c>
      <c r="N342">
        <f t="shared" si="142"/>
        <v>0.77777777777777779</v>
      </c>
      <c r="O342">
        <f>step3_validation[[#This Row],[AI_FAC2]]</f>
        <v>7</v>
      </c>
      <c r="P342">
        <f t="shared" si="143"/>
        <v>0.66666666666666663</v>
      </c>
      <c r="Q342">
        <f>[1]!survey_responses[[#This Row],[So với trước đây, tôi thấy cách tính thuế và các bậc thuế trong phương án mới đơn giản, dễ hiểu và dễ thực hiện hơn. - HUMAN-FAC2]]</f>
        <v>9</v>
      </c>
      <c r="R342">
        <f t="shared" si="144"/>
        <v>0.88888888888888884</v>
      </c>
      <c r="S342" s="32">
        <f t="shared" si="145"/>
        <v>0.77777777777777768</v>
      </c>
      <c r="T342" s="32">
        <f t="shared" si="146"/>
        <v>0.83333333333333326</v>
      </c>
      <c r="U342">
        <f>step3_validation[[#This Row],[AI_TRU1]]</f>
        <v>8</v>
      </c>
      <c r="V342">
        <f t="shared" si="147"/>
        <v>0.77777777777777779</v>
      </c>
      <c r="W342">
        <f>[1]!survey_responses[[#This Row],[Tôi tin rằng Nhà nước, cơ quan thuế sẽ thực thi chính sách mới một cách khách quan, công tâm và đối xử bình đẳng với mọi người nộp thuế.  - HUMAN-TRU1]]</f>
        <v>8</v>
      </c>
      <c r="X342">
        <f t="shared" si="148"/>
        <v>0.77777777777777779</v>
      </c>
      <c r="Y342">
        <f>step3_validation[[#This Row],[AI_TRU2]]</f>
        <v>7</v>
      </c>
      <c r="Z342">
        <f t="shared" si="149"/>
        <v>0.66666666666666663</v>
      </c>
      <c r="AA342">
        <f>[1]!survey_responses[[#This Row],[Tôi thấy mức thuế tôi phải đóng theo phương án mới là công bằng (người thu nhập như tôi đóng mức này là hợp lý). - HUMAN-TRU2]]</f>
        <v>8</v>
      </c>
      <c r="AB342">
        <f t="shared" si="150"/>
        <v>0.77777777777777779</v>
      </c>
      <c r="AC342">
        <f>step3_validation[[#This Row],[AI_TRU3]]</f>
        <v>6</v>
      </c>
      <c r="AD342">
        <f t="shared" si="151"/>
        <v>0.55555555555555558</v>
      </c>
      <c r="AE342">
        <f>[1]!survey_responses[[#This Row],[Tôi tin tưởng số tiền thuế tôi đóng sẽ được Nhà nước sử dụng hiệu quả để cải thiện dịch vụ công (y tế, đường xá...). - HUMAN-TRU3]]</f>
        <v>7</v>
      </c>
      <c r="AF342">
        <f t="shared" si="152"/>
        <v>0.66666666666666663</v>
      </c>
      <c r="AG342">
        <f>step3_validation[[#This Row],[AI_TRU4]]</f>
        <v>5</v>
      </c>
      <c r="AH342">
        <f t="shared" si="153"/>
        <v>0.44444444444444442</v>
      </c>
      <c r="AI342">
        <f>[1]!survey_responses[[#This Row],[Tôi thấy Nhà nước đã giải thích rõ ràng, minh bạch về lý do và mục tiêu của việc sửa đổi thuế lần này. - HUMAN-TRU4]]</f>
        <v>7</v>
      </c>
      <c r="AJ342">
        <f t="shared" si="154"/>
        <v>0.66666666666666663</v>
      </c>
      <c r="AK342" s="32">
        <f t="shared" si="155"/>
        <v>0.61111111111111116</v>
      </c>
      <c r="AL342" s="32">
        <f t="shared" si="156"/>
        <v>0.72222222222222221</v>
      </c>
      <c r="AM342" s="7">
        <f t="shared" si="157"/>
        <v>0.70370370370370372</v>
      </c>
      <c r="AN342" s="7">
        <f t="shared" si="158"/>
        <v>0.77777777777777779</v>
      </c>
      <c r="AO342">
        <f>step3_validation[[#This Row],[AI_OUT1]]</f>
        <v>6</v>
      </c>
      <c r="AP342">
        <f t="shared" si="159"/>
        <v>0.55555555555555558</v>
      </c>
      <c r="AQ342">
        <f>[1]!survey_responses[[#This Row],[Sau khi xem xét các quyền lợi và nghĩa vụ, bạn có ủng hộ và tuân thủ chính sách mới hiện nay? - HUMAN-OUT1]]</f>
        <v>8</v>
      </c>
      <c r="AR342">
        <f t="shared" si="160"/>
        <v>0.77777777777777779</v>
      </c>
      <c r="AS342" s="32">
        <f t="shared" si="161"/>
        <v>2</v>
      </c>
    </row>
    <row r="343" spans="1:45" x14ac:dyDescent="0.45">
      <c r="A343">
        <f>step3_validation[[#This Row],[AI_ENF1]]</f>
        <v>7</v>
      </c>
      <c r="B343">
        <f t="shared" si="135"/>
        <v>0.66666666666666663</v>
      </c>
      <c r="C343">
        <f>[1]!survey_responses[[#This Row],[Tôi tin rằng với các quy định quản lý thuế hiện nay, hành vi gian lận hoặc trốn thuế sẽ dễ dàng bị phát hiện và xử lý nghiêm. - HUMAN-ENF1]]</f>
        <v>5</v>
      </c>
      <c r="D343">
        <f t="shared" si="136"/>
        <v>0.44444444444444442</v>
      </c>
      <c r="E343">
        <f>step3_validation[[#This Row],[AI_ENF2]]</f>
        <v>8</v>
      </c>
      <c r="F343">
        <f t="shared" si="137"/>
        <v>0.77777777777777779</v>
      </c>
      <c r="G343">
        <f>[1]!survey_responses[[#This Row],[Tôi tin rằng Nhà nước, cơ quan thuế có đủ khả năng và công nghệ để phát hiện, xử lý nghiêm các hành vi trốn thuế. - HUMAN-ENF2]]</f>
        <v>5</v>
      </c>
      <c r="H343">
        <f t="shared" si="138"/>
        <v>0.44444444444444442</v>
      </c>
      <c r="I343" s="32">
        <f t="shared" si="139"/>
        <v>0.72222222222222221</v>
      </c>
      <c r="J343" s="32">
        <f t="shared" si="140"/>
        <v>0.44444444444444442</v>
      </c>
      <c r="K343">
        <f>step3_validation[[#This Row],[AI_FAC1]]</f>
        <v>6</v>
      </c>
      <c r="L343">
        <f t="shared" si="141"/>
        <v>0.55555555555555558</v>
      </c>
      <c r="M343">
        <f>[1]!survey_responses[[#This Row],[Các thủ tục khai báo thuế VÀ/HOẶC quy trình làm việc với cơ quan thuế đơn giản, tiện lợi, nhanh chóng hơn so với trước đây. - HUMAN-FAC1]]</f>
        <v>6</v>
      </c>
      <c r="N343">
        <f t="shared" si="142"/>
        <v>0.55555555555555558</v>
      </c>
      <c r="O343">
        <f>step3_validation[[#This Row],[AI_FAC2]]</f>
        <v>8</v>
      </c>
      <c r="P343">
        <f t="shared" si="143"/>
        <v>0.77777777777777779</v>
      </c>
      <c r="Q343">
        <f>[1]!survey_responses[[#This Row],[So với trước đây, tôi thấy cách tính thuế và các bậc thuế trong phương án mới đơn giản, dễ hiểu và dễ thực hiện hơn. - HUMAN-FAC2]]</f>
        <v>7</v>
      </c>
      <c r="R343">
        <f t="shared" si="144"/>
        <v>0.66666666666666663</v>
      </c>
      <c r="S343" s="32">
        <f t="shared" si="145"/>
        <v>0.66666666666666674</v>
      </c>
      <c r="T343" s="32">
        <f t="shared" si="146"/>
        <v>0.61111111111111116</v>
      </c>
      <c r="U343">
        <f>step3_validation[[#This Row],[AI_TRU1]]</f>
        <v>7</v>
      </c>
      <c r="V343">
        <f t="shared" si="147"/>
        <v>0.66666666666666663</v>
      </c>
      <c r="W343">
        <f>[1]!survey_responses[[#This Row],[Tôi tin rằng Nhà nước, cơ quan thuế sẽ thực thi chính sách mới một cách khách quan, công tâm và đối xử bình đẳng với mọi người nộp thuế.  - HUMAN-TRU1]]</f>
        <v>5</v>
      </c>
      <c r="X343">
        <f t="shared" si="148"/>
        <v>0.44444444444444442</v>
      </c>
      <c r="Y343">
        <f>step3_validation[[#This Row],[AI_TRU2]]</f>
        <v>8</v>
      </c>
      <c r="Z343">
        <f t="shared" si="149"/>
        <v>0.77777777777777779</v>
      </c>
      <c r="AA343">
        <f>[1]!survey_responses[[#This Row],[Tôi thấy mức thuế tôi phải đóng theo phương án mới là công bằng (người thu nhập như tôi đóng mức này là hợp lý). - HUMAN-TRU2]]</f>
        <v>8</v>
      </c>
      <c r="AB343">
        <f t="shared" si="150"/>
        <v>0.77777777777777779</v>
      </c>
      <c r="AC343">
        <f>step3_validation[[#This Row],[AI_TRU3]]</f>
        <v>7</v>
      </c>
      <c r="AD343">
        <f t="shared" si="151"/>
        <v>0.66666666666666663</v>
      </c>
      <c r="AE343">
        <f>[1]!survey_responses[[#This Row],[Tôi tin tưởng số tiền thuế tôi đóng sẽ được Nhà nước sử dụng hiệu quả để cải thiện dịch vụ công (y tế, đường xá...). - HUMAN-TRU3]]</f>
        <v>6</v>
      </c>
      <c r="AF343">
        <f t="shared" si="152"/>
        <v>0.55555555555555558</v>
      </c>
      <c r="AG343">
        <f>step3_validation[[#This Row],[AI_TRU4]]</f>
        <v>8</v>
      </c>
      <c r="AH343">
        <f t="shared" si="153"/>
        <v>0.77777777777777779</v>
      </c>
      <c r="AI343">
        <f>[1]!survey_responses[[#This Row],[Tôi thấy Nhà nước đã giải thích rõ ràng, minh bạch về lý do và mục tiêu của việc sửa đổi thuế lần này. - HUMAN-TRU4]]</f>
        <v>6</v>
      </c>
      <c r="AJ343">
        <f t="shared" si="154"/>
        <v>0.55555555555555558</v>
      </c>
      <c r="AK343" s="32">
        <f t="shared" si="155"/>
        <v>0.72222222222222221</v>
      </c>
      <c r="AL343" s="32">
        <f t="shared" si="156"/>
        <v>0.58333333333333337</v>
      </c>
      <c r="AM343" s="7">
        <f t="shared" si="157"/>
        <v>0.70370370370370372</v>
      </c>
      <c r="AN343" s="7">
        <f t="shared" si="158"/>
        <v>0.54629629629629628</v>
      </c>
      <c r="AO343">
        <f>step3_validation[[#This Row],[AI_OUT1]]</f>
        <v>8</v>
      </c>
      <c r="AP343">
        <f t="shared" si="159"/>
        <v>0.77777777777777779</v>
      </c>
      <c r="AQ343">
        <f>[1]!survey_responses[[#This Row],[Sau khi xem xét các quyền lợi và nghĩa vụ, bạn có ủng hộ và tuân thủ chính sách mới hiện nay? - HUMAN-OUT1]]</f>
        <v>7</v>
      </c>
      <c r="AR343">
        <f t="shared" si="160"/>
        <v>0.66666666666666663</v>
      </c>
      <c r="AS343" s="32">
        <f t="shared" si="161"/>
        <v>1</v>
      </c>
    </row>
    <row r="344" spans="1:45" x14ac:dyDescent="0.45">
      <c r="A344">
        <f>step3_validation[[#This Row],[AI_ENF1]]</f>
        <v>6</v>
      </c>
      <c r="B344">
        <f t="shared" si="135"/>
        <v>0.55555555555555558</v>
      </c>
      <c r="C344">
        <f>[1]!survey_responses[[#This Row],[Tôi tin rằng với các quy định quản lý thuế hiện nay, hành vi gian lận hoặc trốn thuế sẽ dễ dàng bị phát hiện và xử lý nghiêm. - HUMAN-ENF1]]</f>
        <v>7</v>
      </c>
      <c r="D344">
        <f t="shared" si="136"/>
        <v>0.66666666666666663</v>
      </c>
      <c r="E344">
        <f>step3_validation[[#This Row],[AI_ENF2]]</f>
        <v>6</v>
      </c>
      <c r="F344">
        <f t="shared" si="137"/>
        <v>0.55555555555555558</v>
      </c>
      <c r="G344">
        <f>[1]!survey_responses[[#This Row],[Tôi tin rằng Nhà nước, cơ quan thuế có đủ khả năng và công nghệ để phát hiện, xử lý nghiêm các hành vi trốn thuế. - HUMAN-ENF2]]</f>
        <v>7</v>
      </c>
      <c r="H344">
        <f t="shared" si="138"/>
        <v>0.66666666666666663</v>
      </c>
      <c r="I344" s="32">
        <f t="shared" si="139"/>
        <v>0.55555555555555558</v>
      </c>
      <c r="J344" s="32">
        <f t="shared" si="140"/>
        <v>0.66666666666666663</v>
      </c>
      <c r="K344">
        <f>step3_validation[[#This Row],[AI_FAC1]]</f>
        <v>8</v>
      </c>
      <c r="L344">
        <f t="shared" si="141"/>
        <v>0.77777777777777779</v>
      </c>
      <c r="M344">
        <f>[1]!survey_responses[[#This Row],[Các thủ tục khai báo thuế VÀ/HOẶC quy trình làm việc với cơ quan thuế đơn giản, tiện lợi, nhanh chóng hơn so với trước đây. - HUMAN-FAC1]]</f>
        <v>8</v>
      </c>
      <c r="N344">
        <f t="shared" si="142"/>
        <v>0.77777777777777779</v>
      </c>
      <c r="O344">
        <f>step3_validation[[#This Row],[AI_FAC2]]</f>
        <v>9</v>
      </c>
      <c r="P344">
        <f t="shared" si="143"/>
        <v>0.88888888888888884</v>
      </c>
      <c r="Q344">
        <f>[1]!survey_responses[[#This Row],[So với trước đây, tôi thấy cách tính thuế và các bậc thuế trong phương án mới đơn giản, dễ hiểu và dễ thực hiện hơn. - HUMAN-FAC2]]</f>
        <v>7</v>
      </c>
      <c r="R344">
        <f t="shared" si="144"/>
        <v>0.66666666666666663</v>
      </c>
      <c r="S344" s="32">
        <f t="shared" si="145"/>
        <v>0.83333333333333326</v>
      </c>
      <c r="T344" s="32">
        <f t="shared" si="146"/>
        <v>0.72222222222222221</v>
      </c>
      <c r="U344">
        <f>step3_validation[[#This Row],[AI_TRU1]]</f>
        <v>7</v>
      </c>
      <c r="V344">
        <f t="shared" si="147"/>
        <v>0.66666666666666663</v>
      </c>
      <c r="W344">
        <f>[1]!survey_responses[[#This Row],[Tôi tin rằng Nhà nước, cơ quan thuế sẽ thực thi chính sách mới một cách khách quan, công tâm và đối xử bình đẳng với mọi người nộp thuế.  - HUMAN-TRU1]]</f>
        <v>8</v>
      </c>
      <c r="X344">
        <f t="shared" si="148"/>
        <v>0.77777777777777779</v>
      </c>
      <c r="Y344">
        <f>step3_validation[[#This Row],[AI_TRU2]]</f>
        <v>8</v>
      </c>
      <c r="Z344">
        <f t="shared" si="149"/>
        <v>0.77777777777777779</v>
      </c>
      <c r="AA344">
        <f>[1]!survey_responses[[#This Row],[Tôi thấy mức thuế tôi phải đóng theo phương án mới là công bằng (người thu nhập như tôi đóng mức này là hợp lý). - HUMAN-TRU2]]</f>
        <v>8</v>
      </c>
      <c r="AB344">
        <f t="shared" si="150"/>
        <v>0.77777777777777779</v>
      </c>
      <c r="AC344">
        <f>step3_validation[[#This Row],[AI_TRU3]]</f>
        <v>7</v>
      </c>
      <c r="AD344">
        <f t="shared" si="151"/>
        <v>0.66666666666666663</v>
      </c>
      <c r="AE344">
        <f>[1]!survey_responses[[#This Row],[Tôi tin tưởng số tiền thuế tôi đóng sẽ được Nhà nước sử dụng hiệu quả để cải thiện dịch vụ công (y tế, đường xá...). - HUMAN-TRU3]]</f>
        <v>8</v>
      </c>
      <c r="AF344">
        <f t="shared" si="152"/>
        <v>0.77777777777777779</v>
      </c>
      <c r="AG344">
        <f>step3_validation[[#This Row],[AI_TRU4]]</f>
        <v>6</v>
      </c>
      <c r="AH344">
        <f t="shared" si="153"/>
        <v>0.55555555555555558</v>
      </c>
      <c r="AI344">
        <f>[1]!survey_responses[[#This Row],[Tôi thấy Nhà nước đã giải thích rõ ràng, minh bạch về lý do và mục tiêu của việc sửa đổi thuế lần này. - HUMAN-TRU4]]</f>
        <v>7</v>
      </c>
      <c r="AJ344">
        <f t="shared" si="154"/>
        <v>0.66666666666666663</v>
      </c>
      <c r="AK344" s="32">
        <f t="shared" si="155"/>
        <v>0.66666666666666674</v>
      </c>
      <c r="AL344" s="32">
        <f t="shared" si="156"/>
        <v>0.75</v>
      </c>
      <c r="AM344" s="7">
        <f t="shared" si="157"/>
        <v>0.68518518518518512</v>
      </c>
      <c r="AN344" s="7">
        <f t="shared" si="158"/>
        <v>0.71296296296296291</v>
      </c>
      <c r="AO344">
        <f>step3_validation[[#This Row],[AI_OUT1]]</f>
        <v>7</v>
      </c>
      <c r="AP344">
        <f t="shared" si="159"/>
        <v>0.66666666666666663</v>
      </c>
      <c r="AQ344">
        <f>[1]!survey_responses[[#This Row],[Sau khi xem xét các quyền lợi và nghĩa vụ, bạn có ủng hộ và tuân thủ chính sách mới hiện nay? - HUMAN-OUT1]]</f>
        <v>8</v>
      </c>
      <c r="AR344">
        <f t="shared" si="160"/>
        <v>0.77777777777777779</v>
      </c>
      <c r="AS344" s="32">
        <f t="shared" si="161"/>
        <v>1</v>
      </c>
    </row>
    <row r="345" spans="1:45" x14ac:dyDescent="0.45">
      <c r="A345">
        <f>step3_validation[[#This Row],[AI_ENF1]]</f>
        <v>6</v>
      </c>
      <c r="B345">
        <f t="shared" si="135"/>
        <v>0.55555555555555558</v>
      </c>
      <c r="C345">
        <f>[1]!survey_responses[[#This Row],[Tôi tin rằng với các quy định quản lý thuế hiện nay, hành vi gian lận hoặc trốn thuế sẽ dễ dàng bị phát hiện và xử lý nghiêm. - HUMAN-ENF1]]</f>
        <v>7</v>
      </c>
      <c r="D345">
        <f t="shared" si="136"/>
        <v>0.66666666666666663</v>
      </c>
      <c r="E345">
        <f>step3_validation[[#This Row],[AI_ENF2]]</f>
        <v>7</v>
      </c>
      <c r="F345">
        <f t="shared" si="137"/>
        <v>0.66666666666666663</v>
      </c>
      <c r="G345">
        <f>[1]!survey_responses[[#This Row],[Tôi tin rằng Nhà nước, cơ quan thuế có đủ khả năng và công nghệ để phát hiện, xử lý nghiêm các hành vi trốn thuế. - HUMAN-ENF2]]</f>
        <v>7</v>
      </c>
      <c r="H345">
        <f t="shared" si="138"/>
        <v>0.66666666666666663</v>
      </c>
      <c r="I345" s="32">
        <f t="shared" si="139"/>
        <v>0.61111111111111116</v>
      </c>
      <c r="J345" s="32">
        <f t="shared" si="140"/>
        <v>0.66666666666666663</v>
      </c>
      <c r="K345">
        <f>step3_validation[[#This Row],[AI_FAC1]]</f>
        <v>8</v>
      </c>
      <c r="L345">
        <f t="shared" si="141"/>
        <v>0.77777777777777779</v>
      </c>
      <c r="M345">
        <f>[1]!survey_responses[[#This Row],[Các thủ tục khai báo thuế VÀ/HOẶC quy trình làm việc với cơ quan thuế đơn giản, tiện lợi, nhanh chóng hơn so với trước đây. - HUMAN-FAC1]]</f>
        <v>5</v>
      </c>
      <c r="N345">
        <f t="shared" si="142"/>
        <v>0.44444444444444442</v>
      </c>
      <c r="O345">
        <f>step3_validation[[#This Row],[AI_FAC2]]</f>
        <v>6</v>
      </c>
      <c r="P345">
        <f t="shared" si="143"/>
        <v>0.55555555555555558</v>
      </c>
      <c r="Q345">
        <f>[1]!survey_responses[[#This Row],[So với trước đây, tôi thấy cách tính thuế và các bậc thuế trong phương án mới đơn giản, dễ hiểu và dễ thực hiện hơn. - HUMAN-FAC2]]</f>
        <v>8</v>
      </c>
      <c r="R345">
        <f t="shared" si="144"/>
        <v>0.77777777777777779</v>
      </c>
      <c r="S345" s="32">
        <f t="shared" si="145"/>
        <v>0.66666666666666674</v>
      </c>
      <c r="T345" s="32">
        <f t="shared" si="146"/>
        <v>0.61111111111111116</v>
      </c>
      <c r="U345">
        <f>step3_validation[[#This Row],[AI_TRU1]]</f>
        <v>7</v>
      </c>
      <c r="V345">
        <f t="shared" si="147"/>
        <v>0.66666666666666663</v>
      </c>
      <c r="W345">
        <f>[1]!survey_responses[[#This Row],[Tôi tin rằng Nhà nước, cơ quan thuế sẽ thực thi chính sách mới một cách khách quan, công tâm và đối xử bình đẳng với mọi người nộp thuế.  - HUMAN-TRU1]]</f>
        <v>6</v>
      </c>
      <c r="X345">
        <f t="shared" si="148"/>
        <v>0.55555555555555558</v>
      </c>
      <c r="Y345">
        <f>step3_validation[[#This Row],[AI_TRU2]]</f>
        <v>6</v>
      </c>
      <c r="Z345">
        <f t="shared" si="149"/>
        <v>0.55555555555555558</v>
      </c>
      <c r="AA345">
        <f>[1]!survey_responses[[#This Row],[Tôi thấy mức thuế tôi phải đóng theo phương án mới là công bằng (người thu nhập như tôi đóng mức này là hợp lý). - HUMAN-TRU2]]</f>
        <v>5</v>
      </c>
      <c r="AB345">
        <f t="shared" si="150"/>
        <v>0.44444444444444442</v>
      </c>
      <c r="AC345">
        <f>step3_validation[[#This Row],[AI_TRU3]]</f>
        <v>7</v>
      </c>
      <c r="AD345">
        <f t="shared" si="151"/>
        <v>0.66666666666666663</v>
      </c>
      <c r="AE345">
        <f>[1]!survey_responses[[#This Row],[Tôi tin tưởng số tiền thuế tôi đóng sẽ được Nhà nước sử dụng hiệu quả để cải thiện dịch vụ công (y tế, đường xá...). - HUMAN-TRU3]]</f>
        <v>5</v>
      </c>
      <c r="AF345">
        <f t="shared" si="152"/>
        <v>0.44444444444444442</v>
      </c>
      <c r="AG345">
        <f>step3_validation[[#This Row],[AI_TRU4]]</f>
        <v>5</v>
      </c>
      <c r="AH345">
        <f t="shared" si="153"/>
        <v>0.44444444444444442</v>
      </c>
      <c r="AI345">
        <f>[1]!survey_responses[[#This Row],[Tôi thấy Nhà nước đã giải thích rõ ràng, minh bạch về lý do và mục tiêu của việc sửa đổi thuế lần này. - HUMAN-TRU4]]</f>
        <v>6</v>
      </c>
      <c r="AJ345">
        <f t="shared" si="154"/>
        <v>0.55555555555555558</v>
      </c>
      <c r="AK345" s="32">
        <f t="shared" si="155"/>
        <v>0.58333333333333326</v>
      </c>
      <c r="AL345" s="32">
        <f t="shared" si="156"/>
        <v>0.5</v>
      </c>
      <c r="AM345" s="7">
        <f t="shared" si="157"/>
        <v>0.62037037037037035</v>
      </c>
      <c r="AN345" s="7">
        <f t="shared" si="158"/>
        <v>0.59259259259259256</v>
      </c>
      <c r="AO345">
        <f>step3_validation[[#This Row],[AI_OUT1]]</f>
        <v>6</v>
      </c>
      <c r="AP345">
        <f t="shared" si="159"/>
        <v>0.55555555555555558</v>
      </c>
      <c r="AQ345">
        <f>[1]!survey_responses[[#This Row],[Sau khi xem xét các quyền lợi và nghĩa vụ, bạn có ủng hộ và tuân thủ chính sách mới hiện nay? - HUMAN-OUT1]]</f>
        <v>5</v>
      </c>
      <c r="AR345">
        <f t="shared" si="160"/>
        <v>0.44444444444444442</v>
      </c>
      <c r="AS345" s="32">
        <f t="shared" si="161"/>
        <v>1</v>
      </c>
    </row>
    <row r="346" spans="1:45" x14ac:dyDescent="0.45">
      <c r="A346">
        <f>step3_validation[[#This Row],[AI_ENF1]]</f>
        <v>7</v>
      </c>
      <c r="B346">
        <f t="shared" si="135"/>
        <v>0.66666666666666663</v>
      </c>
      <c r="C346">
        <f>[1]!survey_responses[[#This Row],[Tôi tin rằng với các quy định quản lý thuế hiện nay, hành vi gian lận hoặc trốn thuế sẽ dễ dàng bị phát hiện và xử lý nghiêm. - HUMAN-ENF1]]</f>
        <v>7</v>
      </c>
      <c r="D346">
        <f t="shared" si="136"/>
        <v>0.66666666666666663</v>
      </c>
      <c r="E346">
        <f>step3_validation[[#This Row],[AI_ENF2]]</f>
        <v>6</v>
      </c>
      <c r="F346">
        <f t="shared" si="137"/>
        <v>0.55555555555555558</v>
      </c>
      <c r="G346">
        <f>[1]!survey_responses[[#This Row],[Tôi tin rằng Nhà nước, cơ quan thuế có đủ khả năng và công nghệ để phát hiện, xử lý nghiêm các hành vi trốn thuế. - HUMAN-ENF2]]</f>
        <v>7</v>
      </c>
      <c r="H346">
        <f t="shared" si="138"/>
        <v>0.66666666666666663</v>
      </c>
      <c r="I346" s="32">
        <f t="shared" si="139"/>
        <v>0.61111111111111116</v>
      </c>
      <c r="J346" s="32">
        <f t="shared" si="140"/>
        <v>0.66666666666666663</v>
      </c>
      <c r="K346">
        <f>step3_validation[[#This Row],[AI_FAC1]]</f>
        <v>8</v>
      </c>
      <c r="L346">
        <f t="shared" si="141"/>
        <v>0.77777777777777779</v>
      </c>
      <c r="M346">
        <f>[1]!survey_responses[[#This Row],[Các thủ tục khai báo thuế VÀ/HOẶC quy trình làm việc với cơ quan thuế đơn giản, tiện lợi, nhanh chóng hơn so với trước đây. - HUMAN-FAC1]]</f>
        <v>5</v>
      </c>
      <c r="N346">
        <f t="shared" si="142"/>
        <v>0.44444444444444442</v>
      </c>
      <c r="O346">
        <f>step3_validation[[#This Row],[AI_FAC2]]</f>
        <v>9</v>
      </c>
      <c r="P346">
        <f t="shared" si="143"/>
        <v>0.88888888888888884</v>
      </c>
      <c r="Q346">
        <f>[1]!survey_responses[[#This Row],[So với trước đây, tôi thấy cách tính thuế và các bậc thuế trong phương án mới đơn giản, dễ hiểu và dễ thực hiện hơn. - HUMAN-FAC2]]</f>
        <v>8</v>
      </c>
      <c r="R346">
        <f t="shared" si="144"/>
        <v>0.77777777777777779</v>
      </c>
      <c r="S346" s="32">
        <f t="shared" si="145"/>
        <v>0.83333333333333326</v>
      </c>
      <c r="T346" s="32">
        <f t="shared" si="146"/>
        <v>0.61111111111111116</v>
      </c>
      <c r="U346">
        <f>step3_validation[[#This Row],[AI_TRU1]]</f>
        <v>7</v>
      </c>
      <c r="V346">
        <f t="shared" si="147"/>
        <v>0.66666666666666663</v>
      </c>
      <c r="W346">
        <f>[1]!survey_responses[[#This Row],[Tôi tin rằng Nhà nước, cơ quan thuế sẽ thực thi chính sách mới một cách khách quan, công tâm và đối xử bình đẳng với mọi người nộp thuế.  - HUMAN-TRU1]]</f>
        <v>7</v>
      </c>
      <c r="X346">
        <f t="shared" si="148"/>
        <v>0.66666666666666663</v>
      </c>
      <c r="Y346">
        <f>step3_validation[[#This Row],[AI_TRU2]]</f>
        <v>6</v>
      </c>
      <c r="Z346">
        <f t="shared" si="149"/>
        <v>0.55555555555555558</v>
      </c>
      <c r="AA346">
        <f>[1]!survey_responses[[#This Row],[Tôi thấy mức thuế tôi phải đóng theo phương án mới là công bằng (người thu nhập như tôi đóng mức này là hợp lý). - HUMAN-TRU2]]</f>
        <v>7</v>
      </c>
      <c r="AB346">
        <f t="shared" si="150"/>
        <v>0.66666666666666663</v>
      </c>
      <c r="AC346">
        <f>step3_validation[[#This Row],[AI_TRU3]]</f>
        <v>7</v>
      </c>
      <c r="AD346">
        <f t="shared" si="151"/>
        <v>0.66666666666666663</v>
      </c>
      <c r="AE346">
        <f>[1]!survey_responses[[#This Row],[Tôi tin tưởng số tiền thuế tôi đóng sẽ được Nhà nước sử dụng hiệu quả để cải thiện dịch vụ công (y tế, đường xá...). - HUMAN-TRU3]]</f>
        <v>6</v>
      </c>
      <c r="AF346">
        <f t="shared" si="152"/>
        <v>0.55555555555555558</v>
      </c>
      <c r="AG346">
        <f>step3_validation[[#This Row],[AI_TRU4]]</f>
        <v>6</v>
      </c>
      <c r="AH346">
        <f t="shared" si="153"/>
        <v>0.55555555555555558</v>
      </c>
      <c r="AI346">
        <f>[1]!survey_responses[[#This Row],[Tôi thấy Nhà nước đã giải thích rõ ràng, minh bạch về lý do và mục tiêu của việc sửa đổi thuế lần này. - HUMAN-TRU4]]</f>
        <v>7</v>
      </c>
      <c r="AJ346">
        <f t="shared" si="154"/>
        <v>0.66666666666666663</v>
      </c>
      <c r="AK346" s="32">
        <f t="shared" si="155"/>
        <v>0.61111111111111116</v>
      </c>
      <c r="AL346" s="32">
        <f t="shared" si="156"/>
        <v>0.63888888888888884</v>
      </c>
      <c r="AM346" s="7">
        <f t="shared" si="157"/>
        <v>0.68518518518518512</v>
      </c>
      <c r="AN346" s="7">
        <f t="shared" si="158"/>
        <v>0.63888888888888884</v>
      </c>
      <c r="AO346">
        <f>step3_validation[[#This Row],[AI_OUT1]]</f>
        <v>8</v>
      </c>
      <c r="AP346">
        <f t="shared" si="159"/>
        <v>0.77777777777777779</v>
      </c>
      <c r="AQ346">
        <f>[1]!survey_responses[[#This Row],[Sau khi xem xét các quyền lợi và nghĩa vụ, bạn có ủng hộ và tuân thủ chính sách mới hiện nay? - HUMAN-OUT1]]</f>
        <v>7</v>
      </c>
      <c r="AR346">
        <f t="shared" si="160"/>
        <v>0.66666666666666663</v>
      </c>
      <c r="AS346" s="32">
        <f t="shared" si="161"/>
        <v>1</v>
      </c>
    </row>
    <row r="347" spans="1:45" x14ac:dyDescent="0.45">
      <c r="A347">
        <f>step3_validation[[#This Row],[AI_ENF1]]</f>
        <v>6</v>
      </c>
      <c r="B347">
        <f t="shared" si="135"/>
        <v>0.55555555555555558</v>
      </c>
      <c r="C347">
        <f>[1]!survey_responses[[#This Row],[Tôi tin rằng với các quy định quản lý thuế hiện nay, hành vi gian lận hoặc trốn thuế sẽ dễ dàng bị phát hiện và xử lý nghiêm. - HUMAN-ENF1]]</f>
        <v>9</v>
      </c>
      <c r="D347">
        <f t="shared" si="136"/>
        <v>0.88888888888888884</v>
      </c>
      <c r="E347">
        <f>step3_validation[[#This Row],[AI_ENF2]]</f>
        <v>7</v>
      </c>
      <c r="F347">
        <f t="shared" si="137"/>
        <v>0.66666666666666663</v>
      </c>
      <c r="G347">
        <f>[1]!survey_responses[[#This Row],[Tôi tin rằng Nhà nước, cơ quan thuế có đủ khả năng và công nghệ để phát hiện, xử lý nghiêm các hành vi trốn thuế. - HUMAN-ENF2]]</f>
        <v>8</v>
      </c>
      <c r="H347">
        <f t="shared" si="138"/>
        <v>0.77777777777777779</v>
      </c>
      <c r="I347" s="32">
        <f t="shared" si="139"/>
        <v>0.61111111111111116</v>
      </c>
      <c r="J347" s="32">
        <f t="shared" si="140"/>
        <v>0.83333333333333326</v>
      </c>
      <c r="K347">
        <f>step3_validation[[#This Row],[AI_FAC1]]</f>
        <v>8</v>
      </c>
      <c r="L347">
        <f t="shared" si="141"/>
        <v>0.77777777777777779</v>
      </c>
      <c r="M347">
        <f>[1]!survey_responses[[#This Row],[Các thủ tục khai báo thuế VÀ/HOẶC quy trình làm việc với cơ quan thuế đơn giản, tiện lợi, nhanh chóng hơn so với trước đây. - HUMAN-FAC1]]</f>
        <v>8</v>
      </c>
      <c r="N347">
        <f t="shared" si="142"/>
        <v>0.77777777777777779</v>
      </c>
      <c r="O347">
        <f>step3_validation[[#This Row],[AI_FAC2]]</f>
        <v>9</v>
      </c>
      <c r="P347">
        <f t="shared" si="143"/>
        <v>0.88888888888888884</v>
      </c>
      <c r="Q347">
        <f>[1]!survey_responses[[#This Row],[So với trước đây, tôi thấy cách tính thuế và các bậc thuế trong phương án mới đơn giản, dễ hiểu và dễ thực hiện hơn. - HUMAN-FAC2]]</f>
        <v>9</v>
      </c>
      <c r="R347">
        <f t="shared" si="144"/>
        <v>0.88888888888888884</v>
      </c>
      <c r="S347" s="32">
        <f t="shared" si="145"/>
        <v>0.83333333333333326</v>
      </c>
      <c r="T347" s="32">
        <f t="shared" si="146"/>
        <v>0.83333333333333326</v>
      </c>
      <c r="U347">
        <f>step3_validation[[#This Row],[AI_TRU1]]</f>
        <v>8</v>
      </c>
      <c r="V347">
        <f t="shared" si="147"/>
        <v>0.77777777777777779</v>
      </c>
      <c r="W347">
        <f>[1]!survey_responses[[#This Row],[Tôi tin rằng Nhà nước, cơ quan thuế sẽ thực thi chính sách mới một cách khách quan, công tâm và đối xử bình đẳng với mọi người nộp thuế.  - HUMAN-TRU1]]</f>
        <v>7</v>
      </c>
      <c r="X347">
        <f t="shared" si="148"/>
        <v>0.66666666666666663</v>
      </c>
      <c r="Y347">
        <f>step3_validation[[#This Row],[AI_TRU2]]</f>
        <v>7</v>
      </c>
      <c r="Z347">
        <f t="shared" si="149"/>
        <v>0.66666666666666663</v>
      </c>
      <c r="AA347">
        <f>[1]!survey_responses[[#This Row],[Tôi thấy mức thuế tôi phải đóng theo phương án mới là công bằng (người thu nhập như tôi đóng mức này là hợp lý). - HUMAN-TRU2]]</f>
        <v>8</v>
      </c>
      <c r="AB347">
        <f t="shared" si="150"/>
        <v>0.77777777777777779</v>
      </c>
      <c r="AC347">
        <f>step3_validation[[#This Row],[AI_TRU3]]</f>
        <v>8</v>
      </c>
      <c r="AD347">
        <f t="shared" si="151"/>
        <v>0.77777777777777779</v>
      </c>
      <c r="AE347">
        <f>[1]!survey_responses[[#This Row],[Tôi tin tưởng số tiền thuế tôi đóng sẽ được Nhà nước sử dụng hiệu quả để cải thiện dịch vụ công (y tế, đường xá...). - HUMAN-TRU3]]</f>
        <v>7</v>
      </c>
      <c r="AF347">
        <f t="shared" si="152"/>
        <v>0.66666666666666663</v>
      </c>
      <c r="AG347">
        <f>step3_validation[[#This Row],[AI_TRU4]]</f>
        <v>7</v>
      </c>
      <c r="AH347">
        <f t="shared" si="153"/>
        <v>0.66666666666666663</v>
      </c>
      <c r="AI347">
        <f>[1]!survey_responses[[#This Row],[Tôi thấy Nhà nước đã giải thích rõ ràng, minh bạch về lý do và mục tiêu của việc sửa đổi thuế lần này. - HUMAN-TRU4]]</f>
        <v>7</v>
      </c>
      <c r="AJ347">
        <f t="shared" si="154"/>
        <v>0.66666666666666663</v>
      </c>
      <c r="AK347" s="32">
        <f t="shared" si="155"/>
        <v>0.72222222222222221</v>
      </c>
      <c r="AL347" s="32">
        <f t="shared" si="156"/>
        <v>0.69444444444444442</v>
      </c>
      <c r="AM347" s="7">
        <f t="shared" si="157"/>
        <v>0.72222222222222221</v>
      </c>
      <c r="AN347" s="7">
        <f t="shared" si="158"/>
        <v>0.78703703703703687</v>
      </c>
      <c r="AO347">
        <f>step3_validation[[#This Row],[AI_OUT1]]</f>
        <v>8</v>
      </c>
      <c r="AP347">
        <f t="shared" si="159"/>
        <v>0.77777777777777779</v>
      </c>
      <c r="AQ347">
        <f>[1]!survey_responses[[#This Row],[Sau khi xem xét các quyền lợi và nghĩa vụ, bạn có ủng hộ và tuân thủ chính sách mới hiện nay? - HUMAN-OUT1]]</f>
        <v>8</v>
      </c>
      <c r="AR347">
        <f t="shared" si="160"/>
        <v>0.77777777777777779</v>
      </c>
      <c r="AS347" s="32">
        <f t="shared" si="161"/>
        <v>0</v>
      </c>
    </row>
    <row r="348" spans="1:45" x14ac:dyDescent="0.45">
      <c r="A348">
        <f>step3_validation[[#This Row],[AI_ENF1]]</f>
        <v>7</v>
      </c>
      <c r="B348">
        <f t="shared" si="135"/>
        <v>0.66666666666666663</v>
      </c>
      <c r="C348">
        <f>[1]!survey_responses[[#This Row],[Tôi tin rằng với các quy định quản lý thuế hiện nay, hành vi gian lận hoặc trốn thuế sẽ dễ dàng bị phát hiện và xử lý nghiêm. - HUMAN-ENF1]]</f>
        <v>8</v>
      </c>
      <c r="D348">
        <f t="shared" si="136"/>
        <v>0.77777777777777779</v>
      </c>
      <c r="E348">
        <f>step3_validation[[#This Row],[AI_ENF2]]</f>
        <v>8</v>
      </c>
      <c r="F348">
        <f t="shared" si="137"/>
        <v>0.77777777777777779</v>
      </c>
      <c r="G348">
        <f>[1]!survey_responses[[#This Row],[Tôi tin rằng Nhà nước, cơ quan thuế có đủ khả năng và công nghệ để phát hiện, xử lý nghiêm các hành vi trốn thuế. - HUMAN-ENF2]]</f>
        <v>8</v>
      </c>
      <c r="H348">
        <f t="shared" si="138"/>
        <v>0.77777777777777779</v>
      </c>
      <c r="I348" s="32">
        <f t="shared" si="139"/>
        <v>0.72222222222222221</v>
      </c>
      <c r="J348" s="32">
        <f t="shared" si="140"/>
        <v>0.77777777777777779</v>
      </c>
      <c r="K348">
        <f>step3_validation[[#This Row],[AI_FAC1]]</f>
        <v>6</v>
      </c>
      <c r="L348">
        <f t="shared" si="141"/>
        <v>0.55555555555555558</v>
      </c>
      <c r="M348">
        <f>[1]!survey_responses[[#This Row],[Các thủ tục khai báo thuế VÀ/HOẶC quy trình làm việc với cơ quan thuế đơn giản, tiện lợi, nhanh chóng hơn so với trước đây. - HUMAN-FAC1]]</f>
        <v>7</v>
      </c>
      <c r="N348">
        <f t="shared" si="142"/>
        <v>0.66666666666666663</v>
      </c>
      <c r="O348">
        <f>step3_validation[[#This Row],[AI_FAC2]]</f>
        <v>8</v>
      </c>
      <c r="P348">
        <f t="shared" si="143"/>
        <v>0.77777777777777779</v>
      </c>
      <c r="Q348">
        <f>[1]!survey_responses[[#This Row],[So với trước đây, tôi thấy cách tính thuế và các bậc thuế trong phương án mới đơn giản, dễ hiểu và dễ thực hiện hơn. - HUMAN-FAC2]]</f>
        <v>8</v>
      </c>
      <c r="R348">
        <f t="shared" si="144"/>
        <v>0.77777777777777779</v>
      </c>
      <c r="S348" s="32">
        <f t="shared" si="145"/>
        <v>0.66666666666666674</v>
      </c>
      <c r="T348" s="32">
        <f t="shared" si="146"/>
        <v>0.72222222222222221</v>
      </c>
      <c r="U348">
        <f>step3_validation[[#This Row],[AI_TRU1]]</f>
        <v>9</v>
      </c>
      <c r="V348">
        <f t="shared" si="147"/>
        <v>0.88888888888888884</v>
      </c>
      <c r="W348">
        <f>[1]!survey_responses[[#This Row],[Tôi tin rằng Nhà nước, cơ quan thuế sẽ thực thi chính sách mới một cách khách quan, công tâm và đối xử bình đẳng với mọi người nộp thuế.  - HUMAN-TRU1]]</f>
        <v>6</v>
      </c>
      <c r="X348">
        <f t="shared" si="148"/>
        <v>0.55555555555555558</v>
      </c>
      <c r="Y348">
        <f>step3_validation[[#This Row],[AI_TRU2]]</f>
        <v>7</v>
      </c>
      <c r="Z348">
        <f t="shared" si="149"/>
        <v>0.66666666666666663</v>
      </c>
      <c r="AA348">
        <f>[1]!survey_responses[[#This Row],[Tôi thấy mức thuế tôi phải đóng theo phương án mới là công bằng (người thu nhập như tôi đóng mức này là hợp lý). - HUMAN-TRU2]]</f>
        <v>8</v>
      </c>
      <c r="AB348">
        <f t="shared" si="150"/>
        <v>0.77777777777777779</v>
      </c>
      <c r="AC348">
        <f>step3_validation[[#This Row],[AI_TRU3]]</f>
        <v>8</v>
      </c>
      <c r="AD348">
        <f t="shared" si="151"/>
        <v>0.77777777777777779</v>
      </c>
      <c r="AE348">
        <f>[1]!survey_responses[[#This Row],[Tôi tin tưởng số tiền thuế tôi đóng sẽ được Nhà nước sử dụng hiệu quả để cải thiện dịch vụ công (y tế, đường xá...). - HUMAN-TRU3]]</f>
        <v>6</v>
      </c>
      <c r="AF348">
        <f t="shared" si="152"/>
        <v>0.55555555555555558</v>
      </c>
      <c r="AG348">
        <f>step3_validation[[#This Row],[AI_TRU4]]</f>
        <v>6</v>
      </c>
      <c r="AH348">
        <f t="shared" si="153"/>
        <v>0.55555555555555558</v>
      </c>
      <c r="AI348">
        <f>[1]!survey_responses[[#This Row],[Tôi thấy Nhà nước đã giải thích rõ ràng, minh bạch về lý do và mục tiêu của việc sửa đổi thuế lần này. - HUMAN-TRU4]]</f>
        <v>6</v>
      </c>
      <c r="AJ348">
        <f t="shared" si="154"/>
        <v>0.55555555555555558</v>
      </c>
      <c r="AK348" s="32">
        <f t="shared" si="155"/>
        <v>0.7222222222222221</v>
      </c>
      <c r="AL348" s="32">
        <f t="shared" si="156"/>
        <v>0.61111111111111116</v>
      </c>
      <c r="AM348" s="7">
        <f t="shared" si="157"/>
        <v>0.70370370370370361</v>
      </c>
      <c r="AN348" s="7">
        <f t="shared" si="158"/>
        <v>0.70370370370370372</v>
      </c>
      <c r="AO348">
        <f>step3_validation[[#This Row],[AI_OUT1]]</f>
        <v>8</v>
      </c>
      <c r="AP348">
        <f t="shared" si="159"/>
        <v>0.77777777777777779</v>
      </c>
      <c r="AQ348">
        <f>[1]!survey_responses[[#This Row],[Sau khi xem xét các quyền lợi và nghĩa vụ, bạn có ủng hộ và tuân thủ chính sách mới hiện nay? - HUMAN-OUT1]]</f>
        <v>8</v>
      </c>
      <c r="AR348">
        <f t="shared" si="160"/>
        <v>0.77777777777777779</v>
      </c>
      <c r="AS348" s="32">
        <f t="shared" si="161"/>
        <v>0</v>
      </c>
    </row>
    <row r="349" spans="1:45" x14ac:dyDescent="0.45">
      <c r="A349">
        <f>step3_validation[[#This Row],[AI_ENF1]]</f>
        <v>8</v>
      </c>
      <c r="B349">
        <f t="shared" si="135"/>
        <v>0.77777777777777779</v>
      </c>
      <c r="C349">
        <f>[1]!survey_responses[[#This Row],[Tôi tin rằng với các quy định quản lý thuế hiện nay, hành vi gian lận hoặc trốn thuế sẽ dễ dàng bị phát hiện và xử lý nghiêm. - HUMAN-ENF1]]</f>
        <v>8</v>
      </c>
      <c r="D349">
        <f t="shared" si="136"/>
        <v>0.77777777777777779</v>
      </c>
      <c r="E349">
        <f>step3_validation[[#This Row],[AI_ENF2]]</f>
        <v>7</v>
      </c>
      <c r="F349">
        <f t="shared" si="137"/>
        <v>0.66666666666666663</v>
      </c>
      <c r="G349">
        <f>[1]!survey_responses[[#This Row],[Tôi tin rằng Nhà nước, cơ quan thuế có đủ khả năng và công nghệ để phát hiện, xử lý nghiêm các hành vi trốn thuế. - HUMAN-ENF2]]</f>
        <v>8</v>
      </c>
      <c r="H349">
        <f t="shared" si="138"/>
        <v>0.77777777777777779</v>
      </c>
      <c r="I349" s="32">
        <f t="shared" si="139"/>
        <v>0.72222222222222221</v>
      </c>
      <c r="J349" s="32">
        <f t="shared" si="140"/>
        <v>0.77777777777777779</v>
      </c>
      <c r="K349">
        <f>step3_validation[[#This Row],[AI_FAC1]]</f>
        <v>7</v>
      </c>
      <c r="L349">
        <f t="shared" si="141"/>
        <v>0.66666666666666663</v>
      </c>
      <c r="M349">
        <f>[1]!survey_responses[[#This Row],[Các thủ tục khai báo thuế VÀ/HOẶC quy trình làm việc với cơ quan thuế đơn giản, tiện lợi, nhanh chóng hơn so với trước đây. - HUMAN-FAC1]]</f>
        <v>7</v>
      </c>
      <c r="N349">
        <f t="shared" si="142"/>
        <v>0.66666666666666663</v>
      </c>
      <c r="O349">
        <f>step3_validation[[#This Row],[AI_FAC2]]</f>
        <v>6</v>
      </c>
      <c r="P349">
        <f t="shared" si="143"/>
        <v>0.55555555555555558</v>
      </c>
      <c r="Q349">
        <f>[1]!survey_responses[[#This Row],[So với trước đây, tôi thấy cách tính thuế và các bậc thuế trong phương án mới đơn giản, dễ hiểu và dễ thực hiện hơn. - HUMAN-FAC2]]</f>
        <v>7</v>
      </c>
      <c r="R349">
        <f t="shared" si="144"/>
        <v>0.66666666666666663</v>
      </c>
      <c r="S349" s="32">
        <f t="shared" si="145"/>
        <v>0.61111111111111116</v>
      </c>
      <c r="T349" s="32">
        <f t="shared" si="146"/>
        <v>0.66666666666666663</v>
      </c>
      <c r="U349">
        <f>step3_validation[[#This Row],[AI_TRU1]]</f>
        <v>8</v>
      </c>
      <c r="V349">
        <f t="shared" si="147"/>
        <v>0.77777777777777779</v>
      </c>
      <c r="W349">
        <f>[1]!survey_responses[[#This Row],[Tôi tin rằng Nhà nước, cơ quan thuế sẽ thực thi chính sách mới một cách khách quan, công tâm và đối xử bình đẳng với mọi người nộp thuế.  - HUMAN-TRU1]]</f>
        <v>6</v>
      </c>
      <c r="X349">
        <f t="shared" si="148"/>
        <v>0.55555555555555558</v>
      </c>
      <c r="Y349">
        <f>step3_validation[[#This Row],[AI_TRU2]]</f>
        <v>7</v>
      </c>
      <c r="Z349">
        <f t="shared" si="149"/>
        <v>0.66666666666666663</v>
      </c>
      <c r="AA349">
        <f>[1]!survey_responses[[#This Row],[Tôi thấy mức thuế tôi phải đóng theo phương án mới là công bằng (người thu nhập như tôi đóng mức này là hợp lý). - HUMAN-TRU2]]</f>
        <v>7</v>
      </c>
      <c r="AB349">
        <f t="shared" si="150"/>
        <v>0.66666666666666663</v>
      </c>
      <c r="AC349">
        <f>step3_validation[[#This Row],[AI_TRU3]]</f>
        <v>8</v>
      </c>
      <c r="AD349">
        <f t="shared" si="151"/>
        <v>0.77777777777777779</v>
      </c>
      <c r="AE349">
        <f>[1]!survey_responses[[#This Row],[Tôi tin tưởng số tiền thuế tôi đóng sẽ được Nhà nước sử dụng hiệu quả để cải thiện dịch vụ công (y tế, đường xá...). - HUMAN-TRU3]]</f>
        <v>6</v>
      </c>
      <c r="AF349">
        <f t="shared" si="152"/>
        <v>0.55555555555555558</v>
      </c>
      <c r="AG349">
        <f>step3_validation[[#This Row],[AI_TRU4]]</f>
        <v>7</v>
      </c>
      <c r="AH349">
        <f t="shared" si="153"/>
        <v>0.66666666666666663</v>
      </c>
      <c r="AI349">
        <f>[1]!survey_responses[[#This Row],[Tôi thấy Nhà nước đã giải thích rõ ràng, minh bạch về lý do và mục tiêu của việc sửa đổi thuế lần này. - HUMAN-TRU4]]</f>
        <v>6</v>
      </c>
      <c r="AJ349">
        <f t="shared" si="154"/>
        <v>0.55555555555555558</v>
      </c>
      <c r="AK349" s="32">
        <f t="shared" si="155"/>
        <v>0.72222222222222221</v>
      </c>
      <c r="AL349" s="32">
        <f t="shared" si="156"/>
        <v>0.58333333333333337</v>
      </c>
      <c r="AM349" s="7">
        <f t="shared" si="157"/>
        <v>0.68518518518518523</v>
      </c>
      <c r="AN349" s="7">
        <f t="shared" si="158"/>
        <v>0.67592592592592593</v>
      </c>
      <c r="AO349">
        <f>step3_validation[[#This Row],[AI_OUT1]]</f>
        <v>7</v>
      </c>
      <c r="AP349">
        <f t="shared" si="159"/>
        <v>0.66666666666666663</v>
      </c>
      <c r="AQ349">
        <f>[1]!survey_responses[[#This Row],[Sau khi xem xét các quyền lợi và nghĩa vụ, bạn có ủng hộ và tuân thủ chính sách mới hiện nay? - HUMAN-OUT1]]</f>
        <v>7</v>
      </c>
      <c r="AR349">
        <f t="shared" si="160"/>
        <v>0.66666666666666663</v>
      </c>
      <c r="AS349" s="32">
        <f t="shared" si="161"/>
        <v>0</v>
      </c>
    </row>
    <row r="350" spans="1:45" x14ac:dyDescent="0.45">
      <c r="A350">
        <f>step3_validation[[#This Row],[AI_ENF1]]</f>
        <v>6</v>
      </c>
      <c r="B350">
        <f t="shared" si="135"/>
        <v>0.55555555555555558</v>
      </c>
      <c r="C350">
        <f>[1]!survey_responses[[#This Row],[Tôi tin rằng với các quy định quản lý thuế hiện nay, hành vi gian lận hoặc trốn thuế sẽ dễ dàng bị phát hiện và xử lý nghiêm. - HUMAN-ENF1]]</f>
        <v>4</v>
      </c>
      <c r="D350">
        <f t="shared" si="136"/>
        <v>0.33333333333333331</v>
      </c>
      <c r="E350">
        <f>step3_validation[[#This Row],[AI_ENF2]]</f>
        <v>7</v>
      </c>
      <c r="F350">
        <f t="shared" si="137"/>
        <v>0.66666666666666663</v>
      </c>
      <c r="G350">
        <f>[1]!survey_responses[[#This Row],[Tôi tin rằng Nhà nước, cơ quan thuế có đủ khả năng và công nghệ để phát hiện, xử lý nghiêm các hành vi trốn thuế. - HUMAN-ENF2]]</f>
        <v>4</v>
      </c>
      <c r="H350">
        <f t="shared" si="138"/>
        <v>0.33333333333333331</v>
      </c>
      <c r="I350" s="32">
        <f t="shared" si="139"/>
        <v>0.61111111111111116</v>
      </c>
      <c r="J350" s="32">
        <f t="shared" si="140"/>
        <v>0.33333333333333331</v>
      </c>
      <c r="K350">
        <f>step3_validation[[#This Row],[AI_FAC1]]</f>
        <v>8</v>
      </c>
      <c r="L350">
        <f t="shared" si="141"/>
        <v>0.77777777777777779</v>
      </c>
      <c r="M350">
        <f>[1]!survey_responses[[#This Row],[Các thủ tục khai báo thuế VÀ/HOẶC quy trình làm việc với cơ quan thuế đơn giản, tiện lợi, nhanh chóng hơn so với trước đây. - HUMAN-FAC1]]</f>
        <v>5</v>
      </c>
      <c r="N350">
        <f t="shared" si="142"/>
        <v>0.44444444444444442</v>
      </c>
      <c r="O350">
        <f>step3_validation[[#This Row],[AI_FAC2]]</f>
        <v>9</v>
      </c>
      <c r="P350">
        <f t="shared" si="143"/>
        <v>0.88888888888888884</v>
      </c>
      <c r="Q350">
        <f>[1]!survey_responses[[#This Row],[So với trước đây, tôi thấy cách tính thuế và các bậc thuế trong phương án mới đơn giản, dễ hiểu và dễ thực hiện hơn. - HUMAN-FAC2]]</f>
        <v>7</v>
      </c>
      <c r="R350">
        <f t="shared" si="144"/>
        <v>0.66666666666666663</v>
      </c>
      <c r="S350" s="32">
        <f t="shared" si="145"/>
        <v>0.83333333333333326</v>
      </c>
      <c r="T350" s="32">
        <f t="shared" si="146"/>
        <v>0.55555555555555558</v>
      </c>
      <c r="U350">
        <f>step3_validation[[#This Row],[AI_TRU1]]</f>
        <v>8</v>
      </c>
      <c r="V350">
        <f t="shared" si="147"/>
        <v>0.77777777777777779</v>
      </c>
      <c r="W350">
        <f>[1]!survey_responses[[#This Row],[Tôi tin rằng Nhà nước, cơ quan thuế sẽ thực thi chính sách mới một cách khách quan, công tâm và đối xử bình đẳng với mọi người nộp thuế.  - HUMAN-TRU1]]</f>
        <v>5</v>
      </c>
      <c r="X350">
        <f t="shared" si="148"/>
        <v>0.44444444444444442</v>
      </c>
      <c r="Y350">
        <f>step3_validation[[#This Row],[AI_TRU2]]</f>
        <v>7</v>
      </c>
      <c r="Z350">
        <f t="shared" si="149"/>
        <v>0.66666666666666663</v>
      </c>
      <c r="AA350">
        <f>[1]!survey_responses[[#This Row],[Tôi thấy mức thuế tôi phải đóng theo phương án mới là công bằng (người thu nhập như tôi đóng mức này là hợp lý). - HUMAN-TRU2]]</f>
        <v>6</v>
      </c>
      <c r="AB350">
        <f t="shared" si="150"/>
        <v>0.55555555555555558</v>
      </c>
      <c r="AC350">
        <f>step3_validation[[#This Row],[AI_TRU3]]</f>
        <v>6</v>
      </c>
      <c r="AD350">
        <f t="shared" si="151"/>
        <v>0.55555555555555558</v>
      </c>
      <c r="AE350">
        <f>[1]!survey_responses[[#This Row],[Tôi tin tưởng số tiền thuế tôi đóng sẽ được Nhà nước sử dụng hiệu quả để cải thiện dịch vụ công (y tế, đường xá...). - HUMAN-TRU3]]</f>
        <v>6</v>
      </c>
      <c r="AF350">
        <f t="shared" si="152"/>
        <v>0.55555555555555558</v>
      </c>
      <c r="AG350">
        <f>step3_validation[[#This Row],[AI_TRU4]]</f>
        <v>7</v>
      </c>
      <c r="AH350">
        <f t="shared" si="153"/>
        <v>0.66666666666666663</v>
      </c>
      <c r="AI350">
        <f>[1]!survey_responses[[#This Row],[Tôi thấy Nhà nước đã giải thích rõ ràng, minh bạch về lý do và mục tiêu của việc sửa đổi thuế lần này. - HUMAN-TRU4]]</f>
        <v>6</v>
      </c>
      <c r="AJ350">
        <f t="shared" si="154"/>
        <v>0.55555555555555558</v>
      </c>
      <c r="AK350" s="32">
        <f t="shared" si="155"/>
        <v>0.66666666666666663</v>
      </c>
      <c r="AL350" s="32">
        <f t="shared" si="156"/>
        <v>0.52777777777777779</v>
      </c>
      <c r="AM350" s="7">
        <f t="shared" si="157"/>
        <v>0.70370370370370372</v>
      </c>
      <c r="AN350" s="7">
        <f t="shared" si="158"/>
        <v>0.47222222222222215</v>
      </c>
      <c r="AO350">
        <f>step3_validation[[#This Row],[AI_OUT1]]</f>
        <v>5</v>
      </c>
      <c r="AP350">
        <f t="shared" si="159"/>
        <v>0.44444444444444442</v>
      </c>
      <c r="AQ350">
        <f>[1]!survey_responses[[#This Row],[Sau khi xem xét các quyền lợi và nghĩa vụ, bạn có ủng hộ và tuân thủ chính sách mới hiện nay? - HUMAN-OUT1]]</f>
        <v>6</v>
      </c>
      <c r="AR350">
        <f t="shared" si="160"/>
        <v>0.55555555555555558</v>
      </c>
      <c r="AS350" s="32">
        <f t="shared" si="161"/>
        <v>1</v>
      </c>
    </row>
    <row r="351" spans="1:45" x14ac:dyDescent="0.45">
      <c r="A351">
        <f>step3_validation[[#This Row],[AI_ENF1]]</f>
        <v>7</v>
      </c>
      <c r="B351">
        <f t="shared" si="135"/>
        <v>0.66666666666666663</v>
      </c>
      <c r="C351">
        <f>[1]!survey_responses[[#This Row],[Tôi tin rằng với các quy định quản lý thuế hiện nay, hành vi gian lận hoặc trốn thuế sẽ dễ dàng bị phát hiện và xử lý nghiêm. - HUMAN-ENF1]]</f>
        <v>7</v>
      </c>
      <c r="D351">
        <f t="shared" si="136"/>
        <v>0.66666666666666663</v>
      </c>
      <c r="E351">
        <f>step3_validation[[#This Row],[AI_ENF2]]</f>
        <v>6</v>
      </c>
      <c r="F351">
        <f t="shared" si="137"/>
        <v>0.55555555555555558</v>
      </c>
      <c r="G351">
        <f>[1]!survey_responses[[#This Row],[Tôi tin rằng Nhà nước, cơ quan thuế có đủ khả năng và công nghệ để phát hiện, xử lý nghiêm các hành vi trốn thuế. - HUMAN-ENF2]]</f>
        <v>7</v>
      </c>
      <c r="H351">
        <f t="shared" si="138"/>
        <v>0.66666666666666663</v>
      </c>
      <c r="I351" s="32">
        <f t="shared" si="139"/>
        <v>0.61111111111111116</v>
      </c>
      <c r="J351" s="32">
        <f t="shared" si="140"/>
        <v>0.66666666666666663</v>
      </c>
      <c r="K351">
        <f>step3_validation[[#This Row],[AI_FAC1]]</f>
        <v>8</v>
      </c>
      <c r="L351">
        <f t="shared" si="141"/>
        <v>0.77777777777777779</v>
      </c>
      <c r="M351">
        <f>[1]!survey_responses[[#This Row],[Các thủ tục khai báo thuế VÀ/HOẶC quy trình làm việc với cơ quan thuế đơn giản, tiện lợi, nhanh chóng hơn so với trước đây. - HUMAN-FAC1]]</f>
        <v>8</v>
      </c>
      <c r="N351">
        <f t="shared" si="142"/>
        <v>0.77777777777777779</v>
      </c>
      <c r="O351">
        <f>step3_validation[[#This Row],[AI_FAC2]]</f>
        <v>9</v>
      </c>
      <c r="P351">
        <f t="shared" si="143"/>
        <v>0.88888888888888884</v>
      </c>
      <c r="Q351">
        <f>[1]!survey_responses[[#This Row],[So với trước đây, tôi thấy cách tính thuế và các bậc thuế trong phương án mới đơn giản, dễ hiểu và dễ thực hiện hơn. - HUMAN-FAC2]]</f>
        <v>8</v>
      </c>
      <c r="R351">
        <f t="shared" si="144"/>
        <v>0.77777777777777779</v>
      </c>
      <c r="S351" s="32">
        <f t="shared" si="145"/>
        <v>0.83333333333333326</v>
      </c>
      <c r="T351" s="32">
        <f t="shared" si="146"/>
        <v>0.77777777777777779</v>
      </c>
      <c r="U351">
        <f>step3_validation[[#This Row],[AI_TRU1]]</f>
        <v>7</v>
      </c>
      <c r="V351">
        <f t="shared" si="147"/>
        <v>0.66666666666666663</v>
      </c>
      <c r="W351">
        <f>[1]!survey_responses[[#This Row],[Tôi tin rằng Nhà nước, cơ quan thuế sẽ thực thi chính sách mới một cách khách quan, công tâm và đối xử bình đẳng với mọi người nộp thuế.  - HUMAN-TRU1]]</f>
        <v>7</v>
      </c>
      <c r="X351">
        <f t="shared" si="148"/>
        <v>0.66666666666666663</v>
      </c>
      <c r="Y351">
        <f>step3_validation[[#This Row],[AI_TRU2]]</f>
        <v>6</v>
      </c>
      <c r="Z351">
        <f t="shared" si="149"/>
        <v>0.55555555555555558</v>
      </c>
      <c r="AA351">
        <f>[1]!survey_responses[[#This Row],[Tôi thấy mức thuế tôi phải đóng theo phương án mới là công bằng (người thu nhập như tôi đóng mức này là hợp lý). - HUMAN-TRU2]]</f>
        <v>7</v>
      </c>
      <c r="AB351">
        <f t="shared" si="150"/>
        <v>0.66666666666666663</v>
      </c>
      <c r="AC351">
        <f>step3_validation[[#This Row],[AI_TRU3]]</f>
        <v>5</v>
      </c>
      <c r="AD351">
        <f t="shared" si="151"/>
        <v>0.44444444444444442</v>
      </c>
      <c r="AE351">
        <f>[1]!survey_responses[[#This Row],[Tôi tin tưởng số tiền thuế tôi đóng sẽ được Nhà nước sử dụng hiệu quả để cải thiện dịch vụ công (y tế, đường xá...). - HUMAN-TRU3]]</f>
        <v>8</v>
      </c>
      <c r="AF351">
        <f t="shared" si="152"/>
        <v>0.77777777777777779</v>
      </c>
      <c r="AG351">
        <f>step3_validation[[#This Row],[AI_TRU4]]</f>
        <v>6</v>
      </c>
      <c r="AH351">
        <f t="shared" si="153"/>
        <v>0.55555555555555558</v>
      </c>
      <c r="AI351">
        <f>[1]!survey_responses[[#This Row],[Tôi thấy Nhà nước đã giải thích rõ ràng, minh bạch về lý do và mục tiêu của việc sửa đổi thuế lần này. - HUMAN-TRU4]]</f>
        <v>7</v>
      </c>
      <c r="AJ351">
        <f t="shared" si="154"/>
        <v>0.66666666666666663</v>
      </c>
      <c r="AK351" s="32">
        <f t="shared" si="155"/>
        <v>0.55555555555555558</v>
      </c>
      <c r="AL351" s="32">
        <f t="shared" si="156"/>
        <v>0.69444444444444442</v>
      </c>
      <c r="AM351" s="7">
        <f t="shared" si="157"/>
        <v>0.66666666666666663</v>
      </c>
      <c r="AN351" s="7">
        <f t="shared" si="158"/>
        <v>0.71296296296296291</v>
      </c>
      <c r="AO351">
        <f>step3_validation[[#This Row],[AI_OUT1]]</f>
        <v>7</v>
      </c>
      <c r="AP351">
        <f t="shared" si="159"/>
        <v>0.66666666666666663</v>
      </c>
      <c r="AQ351">
        <f>[1]!survey_responses[[#This Row],[Sau khi xem xét các quyền lợi và nghĩa vụ, bạn có ủng hộ và tuân thủ chính sách mới hiện nay? - HUMAN-OUT1]]</f>
        <v>8</v>
      </c>
      <c r="AR351">
        <f t="shared" si="160"/>
        <v>0.77777777777777779</v>
      </c>
      <c r="AS351" s="32">
        <f t="shared" si="161"/>
        <v>1</v>
      </c>
    </row>
    <row r="352" spans="1:45" x14ac:dyDescent="0.45">
      <c r="A352">
        <f>step3_validation[[#This Row],[AI_ENF1]]</f>
        <v>7</v>
      </c>
      <c r="B352">
        <f t="shared" si="135"/>
        <v>0.66666666666666663</v>
      </c>
      <c r="C352">
        <f>[1]!survey_responses[[#This Row],[Tôi tin rằng với các quy định quản lý thuế hiện nay, hành vi gian lận hoặc trốn thuế sẽ dễ dàng bị phát hiện và xử lý nghiêm. - HUMAN-ENF1]]</f>
        <v>8</v>
      </c>
      <c r="D352">
        <f t="shared" si="136"/>
        <v>0.77777777777777779</v>
      </c>
      <c r="E352">
        <f>step3_validation[[#This Row],[AI_ENF2]]</f>
        <v>8</v>
      </c>
      <c r="F352">
        <f t="shared" si="137"/>
        <v>0.77777777777777779</v>
      </c>
      <c r="G352">
        <f>[1]!survey_responses[[#This Row],[Tôi tin rằng Nhà nước, cơ quan thuế có đủ khả năng và công nghệ để phát hiện, xử lý nghiêm các hành vi trốn thuế. - HUMAN-ENF2]]</f>
        <v>8</v>
      </c>
      <c r="H352">
        <f t="shared" si="138"/>
        <v>0.77777777777777779</v>
      </c>
      <c r="I352" s="32">
        <f t="shared" si="139"/>
        <v>0.72222222222222221</v>
      </c>
      <c r="J352" s="32">
        <f t="shared" si="140"/>
        <v>0.77777777777777779</v>
      </c>
      <c r="K352">
        <f>step3_validation[[#This Row],[AI_FAC1]]</f>
        <v>6</v>
      </c>
      <c r="L352">
        <f t="shared" si="141"/>
        <v>0.55555555555555558</v>
      </c>
      <c r="M352">
        <f>[1]!survey_responses[[#This Row],[Các thủ tục khai báo thuế VÀ/HOẶC quy trình làm việc với cơ quan thuế đơn giản, tiện lợi, nhanh chóng hơn so với trước đây. - HUMAN-FAC1]]</f>
        <v>6</v>
      </c>
      <c r="N352">
        <f t="shared" si="142"/>
        <v>0.55555555555555558</v>
      </c>
      <c r="O352">
        <f>step3_validation[[#This Row],[AI_FAC2]]</f>
        <v>8</v>
      </c>
      <c r="P352">
        <f t="shared" si="143"/>
        <v>0.77777777777777779</v>
      </c>
      <c r="Q352">
        <f>[1]!survey_responses[[#This Row],[So với trước đây, tôi thấy cách tính thuế và các bậc thuế trong phương án mới đơn giản, dễ hiểu và dễ thực hiện hơn. - HUMAN-FAC2]]</f>
        <v>7</v>
      </c>
      <c r="R352">
        <f t="shared" si="144"/>
        <v>0.66666666666666663</v>
      </c>
      <c r="S352" s="32">
        <f t="shared" si="145"/>
        <v>0.66666666666666674</v>
      </c>
      <c r="T352" s="32">
        <f t="shared" si="146"/>
        <v>0.61111111111111116</v>
      </c>
      <c r="U352">
        <f>step3_validation[[#This Row],[AI_TRU1]]</f>
        <v>7</v>
      </c>
      <c r="V352">
        <f t="shared" si="147"/>
        <v>0.66666666666666663</v>
      </c>
      <c r="W352">
        <f>[1]!survey_responses[[#This Row],[Tôi tin rằng Nhà nước, cơ quan thuế sẽ thực thi chính sách mới một cách khách quan, công tâm và đối xử bình đẳng với mọi người nộp thuế.  - HUMAN-TRU1]]</f>
        <v>6</v>
      </c>
      <c r="X352">
        <f t="shared" si="148"/>
        <v>0.55555555555555558</v>
      </c>
      <c r="Y352">
        <f>step3_validation[[#This Row],[AI_TRU2]]</f>
        <v>6</v>
      </c>
      <c r="Z352">
        <f t="shared" si="149"/>
        <v>0.55555555555555558</v>
      </c>
      <c r="AA352">
        <f>[1]!survey_responses[[#This Row],[Tôi thấy mức thuế tôi phải đóng theo phương án mới là công bằng (người thu nhập như tôi đóng mức này là hợp lý). - HUMAN-TRU2]]</f>
        <v>7</v>
      </c>
      <c r="AB352">
        <f t="shared" si="150"/>
        <v>0.66666666666666663</v>
      </c>
      <c r="AC352">
        <f>step3_validation[[#This Row],[AI_TRU3]]</f>
        <v>7</v>
      </c>
      <c r="AD352">
        <f t="shared" si="151"/>
        <v>0.66666666666666663</v>
      </c>
      <c r="AE352">
        <f>[1]!survey_responses[[#This Row],[Tôi tin tưởng số tiền thuế tôi đóng sẽ được Nhà nước sử dụng hiệu quả để cải thiện dịch vụ công (y tế, đường xá...). - HUMAN-TRU3]]</f>
        <v>5</v>
      </c>
      <c r="AF352">
        <f t="shared" si="152"/>
        <v>0.44444444444444442</v>
      </c>
      <c r="AG352">
        <f>step3_validation[[#This Row],[AI_TRU4]]</f>
        <v>6</v>
      </c>
      <c r="AH352">
        <f t="shared" si="153"/>
        <v>0.55555555555555558</v>
      </c>
      <c r="AI352">
        <f>[1]!survey_responses[[#This Row],[Tôi thấy Nhà nước đã giải thích rõ ràng, minh bạch về lý do và mục tiêu của việc sửa đổi thuế lần này. - HUMAN-TRU4]]</f>
        <v>7</v>
      </c>
      <c r="AJ352">
        <f t="shared" si="154"/>
        <v>0.66666666666666663</v>
      </c>
      <c r="AK352" s="32">
        <f t="shared" si="155"/>
        <v>0.61111111111111116</v>
      </c>
      <c r="AL352" s="32">
        <f t="shared" si="156"/>
        <v>0.58333333333333337</v>
      </c>
      <c r="AM352" s="7">
        <f t="shared" si="157"/>
        <v>0.66666666666666663</v>
      </c>
      <c r="AN352" s="7">
        <f t="shared" si="158"/>
        <v>0.65740740740740744</v>
      </c>
      <c r="AO352">
        <f>step3_validation[[#This Row],[AI_OUT1]]</f>
        <v>8</v>
      </c>
      <c r="AP352">
        <f t="shared" si="159"/>
        <v>0.77777777777777779</v>
      </c>
      <c r="AQ352">
        <f>[1]!survey_responses[[#This Row],[Sau khi xem xét các quyền lợi và nghĩa vụ, bạn có ủng hộ và tuân thủ chính sách mới hiện nay? - HUMAN-OUT1]]</f>
        <v>7</v>
      </c>
      <c r="AR352">
        <f t="shared" si="160"/>
        <v>0.66666666666666663</v>
      </c>
      <c r="AS352" s="32">
        <f t="shared" si="161"/>
        <v>1</v>
      </c>
    </row>
    <row r="353" spans="1:45" x14ac:dyDescent="0.45">
      <c r="A353">
        <f>step3_validation[[#This Row],[AI_ENF1]]</f>
        <v>8</v>
      </c>
      <c r="B353">
        <f t="shared" si="135"/>
        <v>0.77777777777777779</v>
      </c>
      <c r="C353">
        <f>[1]!survey_responses[[#This Row],[Tôi tin rằng với các quy định quản lý thuế hiện nay, hành vi gian lận hoặc trốn thuế sẽ dễ dàng bị phát hiện và xử lý nghiêm. - HUMAN-ENF1]]</f>
        <v>6</v>
      </c>
      <c r="D353">
        <f t="shared" si="136"/>
        <v>0.55555555555555558</v>
      </c>
      <c r="E353">
        <f>step3_validation[[#This Row],[AI_ENF2]]</f>
        <v>9</v>
      </c>
      <c r="F353">
        <f t="shared" si="137"/>
        <v>0.88888888888888884</v>
      </c>
      <c r="G353">
        <f>[1]!survey_responses[[#This Row],[Tôi tin rằng Nhà nước, cơ quan thuế có đủ khả năng và công nghệ để phát hiện, xử lý nghiêm các hành vi trốn thuế. - HUMAN-ENF2]]</f>
        <v>6</v>
      </c>
      <c r="H353">
        <f t="shared" si="138"/>
        <v>0.55555555555555558</v>
      </c>
      <c r="I353" s="32">
        <f t="shared" si="139"/>
        <v>0.83333333333333326</v>
      </c>
      <c r="J353" s="32">
        <f t="shared" si="140"/>
        <v>0.55555555555555558</v>
      </c>
      <c r="K353">
        <f>step3_validation[[#This Row],[AI_FAC1]]</f>
        <v>7</v>
      </c>
      <c r="L353">
        <f t="shared" si="141"/>
        <v>0.66666666666666663</v>
      </c>
      <c r="M353">
        <f>[1]!survey_responses[[#This Row],[Các thủ tục khai báo thuế VÀ/HOẶC quy trình làm việc với cơ quan thuế đơn giản, tiện lợi, nhanh chóng hơn so với trước đây. - HUMAN-FAC1]]</f>
        <v>8</v>
      </c>
      <c r="N353">
        <f t="shared" si="142"/>
        <v>0.77777777777777779</v>
      </c>
      <c r="O353">
        <f>step3_validation[[#This Row],[AI_FAC2]]</f>
        <v>8</v>
      </c>
      <c r="P353">
        <f t="shared" si="143"/>
        <v>0.77777777777777779</v>
      </c>
      <c r="Q353">
        <f>[1]!survey_responses[[#This Row],[So với trước đây, tôi thấy cách tính thuế và các bậc thuế trong phương án mới đơn giản, dễ hiểu và dễ thực hiện hơn. - HUMAN-FAC2]]</f>
        <v>7</v>
      </c>
      <c r="R353">
        <f t="shared" si="144"/>
        <v>0.66666666666666663</v>
      </c>
      <c r="S353" s="32">
        <f t="shared" si="145"/>
        <v>0.72222222222222221</v>
      </c>
      <c r="T353" s="32">
        <f t="shared" si="146"/>
        <v>0.72222222222222221</v>
      </c>
      <c r="U353">
        <f>step3_validation[[#This Row],[AI_TRU1]]</f>
        <v>7</v>
      </c>
      <c r="V353">
        <f t="shared" si="147"/>
        <v>0.66666666666666663</v>
      </c>
      <c r="W353">
        <f>[1]!survey_responses[[#This Row],[Tôi tin rằng Nhà nước, cơ quan thuế sẽ thực thi chính sách mới một cách khách quan, công tâm và đối xử bình đẳng với mọi người nộp thuế.  - HUMAN-TRU1]]</f>
        <v>7</v>
      </c>
      <c r="X353">
        <f t="shared" si="148"/>
        <v>0.66666666666666663</v>
      </c>
      <c r="Y353">
        <f>step3_validation[[#This Row],[AI_TRU2]]</f>
        <v>8</v>
      </c>
      <c r="Z353">
        <f t="shared" si="149"/>
        <v>0.77777777777777779</v>
      </c>
      <c r="AA353">
        <f>[1]!survey_responses[[#This Row],[Tôi thấy mức thuế tôi phải đóng theo phương án mới là công bằng (người thu nhập như tôi đóng mức này là hợp lý). - HUMAN-TRU2]]</f>
        <v>7</v>
      </c>
      <c r="AB353">
        <f t="shared" si="150"/>
        <v>0.66666666666666663</v>
      </c>
      <c r="AC353">
        <f>step3_validation[[#This Row],[AI_TRU3]]</f>
        <v>7</v>
      </c>
      <c r="AD353">
        <f t="shared" si="151"/>
        <v>0.66666666666666663</v>
      </c>
      <c r="AE353">
        <f>[1]!survey_responses[[#This Row],[Tôi tin tưởng số tiền thuế tôi đóng sẽ được Nhà nước sử dụng hiệu quả để cải thiện dịch vụ công (y tế, đường xá...). - HUMAN-TRU3]]</f>
        <v>5</v>
      </c>
      <c r="AF353">
        <f t="shared" si="152"/>
        <v>0.44444444444444442</v>
      </c>
      <c r="AG353">
        <f>step3_validation[[#This Row],[AI_TRU4]]</f>
        <v>8</v>
      </c>
      <c r="AH353">
        <f t="shared" si="153"/>
        <v>0.77777777777777779</v>
      </c>
      <c r="AI353">
        <f>[1]!survey_responses[[#This Row],[Tôi thấy Nhà nước đã giải thích rõ ràng, minh bạch về lý do và mục tiêu của việc sửa đổi thuế lần này. - HUMAN-TRU4]]</f>
        <v>6</v>
      </c>
      <c r="AJ353">
        <f t="shared" si="154"/>
        <v>0.55555555555555558</v>
      </c>
      <c r="AK353" s="32">
        <f t="shared" si="155"/>
        <v>0.72222222222222221</v>
      </c>
      <c r="AL353" s="32">
        <f t="shared" si="156"/>
        <v>0.58333333333333326</v>
      </c>
      <c r="AM353" s="7">
        <f t="shared" si="157"/>
        <v>0.75925925925925919</v>
      </c>
      <c r="AN353" s="7">
        <f t="shared" si="158"/>
        <v>0.62037037037037035</v>
      </c>
      <c r="AO353">
        <f>step3_validation[[#This Row],[AI_OUT1]]</f>
        <v>9</v>
      </c>
      <c r="AP353">
        <f t="shared" si="159"/>
        <v>0.88888888888888884</v>
      </c>
      <c r="AQ353">
        <f>[1]!survey_responses[[#This Row],[Sau khi xem xét các quyền lợi và nghĩa vụ, bạn có ủng hộ và tuân thủ chính sách mới hiện nay? - HUMAN-OUT1]]</f>
        <v>7</v>
      </c>
      <c r="AR353">
        <f t="shared" si="160"/>
        <v>0.66666666666666663</v>
      </c>
      <c r="AS353" s="32">
        <f t="shared" si="161"/>
        <v>2</v>
      </c>
    </row>
    <row r="354" spans="1:45" x14ac:dyDescent="0.45">
      <c r="A354">
        <f>step3_validation[[#This Row],[AI_ENF1]]</f>
        <v>7</v>
      </c>
      <c r="B354">
        <f t="shared" si="135"/>
        <v>0.66666666666666663</v>
      </c>
      <c r="C354">
        <f>[1]!survey_responses[[#This Row],[Tôi tin rằng với các quy định quản lý thuế hiện nay, hành vi gian lận hoặc trốn thuế sẽ dễ dàng bị phát hiện và xử lý nghiêm. - HUMAN-ENF1]]</f>
        <v>7</v>
      </c>
      <c r="D354">
        <f t="shared" si="136"/>
        <v>0.66666666666666663</v>
      </c>
      <c r="E354">
        <f>step3_validation[[#This Row],[AI_ENF2]]</f>
        <v>8</v>
      </c>
      <c r="F354">
        <f t="shared" si="137"/>
        <v>0.77777777777777779</v>
      </c>
      <c r="G354">
        <f>[1]!survey_responses[[#This Row],[Tôi tin rằng Nhà nước, cơ quan thuế có đủ khả năng và công nghệ để phát hiện, xử lý nghiêm các hành vi trốn thuế. - HUMAN-ENF2]]</f>
        <v>7</v>
      </c>
      <c r="H354">
        <f t="shared" si="138"/>
        <v>0.66666666666666663</v>
      </c>
      <c r="I354" s="32">
        <f t="shared" si="139"/>
        <v>0.72222222222222221</v>
      </c>
      <c r="J354" s="32">
        <f t="shared" si="140"/>
        <v>0.66666666666666663</v>
      </c>
      <c r="K354">
        <f>step3_validation[[#This Row],[AI_FAC1]]</f>
        <v>9</v>
      </c>
      <c r="L354">
        <f t="shared" si="141"/>
        <v>0.88888888888888884</v>
      </c>
      <c r="M354">
        <f>[1]!survey_responses[[#This Row],[Các thủ tục khai báo thuế VÀ/HOẶC quy trình làm việc với cơ quan thuế đơn giản, tiện lợi, nhanh chóng hơn so với trước đây. - HUMAN-FAC1]]</f>
        <v>8</v>
      </c>
      <c r="N354">
        <f t="shared" si="142"/>
        <v>0.77777777777777779</v>
      </c>
      <c r="O354">
        <f>step3_validation[[#This Row],[AI_FAC2]]</f>
        <v>8</v>
      </c>
      <c r="P354">
        <f t="shared" si="143"/>
        <v>0.77777777777777779</v>
      </c>
      <c r="Q354">
        <f>[1]!survey_responses[[#This Row],[So với trước đây, tôi thấy cách tính thuế và các bậc thuế trong phương án mới đơn giản, dễ hiểu và dễ thực hiện hơn. - HUMAN-FAC2]]</f>
        <v>8</v>
      </c>
      <c r="R354">
        <f t="shared" si="144"/>
        <v>0.77777777777777779</v>
      </c>
      <c r="S354" s="32">
        <f t="shared" si="145"/>
        <v>0.83333333333333326</v>
      </c>
      <c r="T354" s="32">
        <f t="shared" si="146"/>
        <v>0.77777777777777779</v>
      </c>
      <c r="U354">
        <f>step3_validation[[#This Row],[AI_TRU1]]</f>
        <v>6</v>
      </c>
      <c r="V354">
        <f t="shared" si="147"/>
        <v>0.55555555555555558</v>
      </c>
      <c r="W354">
        <f>[1]!survey_responses[[#This Row],[Tôi tin rằng Nhà nước, cơ quan thuế sẽ thực thi chính sách mới một cách khách quan, công tâm và đối xử bình đẳng với mọi người nộp thuế.  - HUMAN-TRU1]]</f>
        <v>6</v>
      </c>
      <c r="X354">
        <f t="shared" si="148"/>
        <v>0.55555555555555558</v>
      </c>
      <c r="Y354">
        <f>step3_validation[[#This Row],[AI_TRU2]]</f>
        <v>7</v>
      </c>
      <c r="Z354">
        <f t="shared" si="149"/>
        <v>0.66666666666666663</v>
      </c>
      <c r="AA354">
        <f>[1]!survey_responses[[#This Row],[Tôi thấy mức thuế tôi phải đóng theo phương án mới là công bằng (người thu nhập như tôi đóng mức này là hợp lý). - HUMAN-TRU2]]</f>
        <v>7</v>
      </c>
      <c r="AB354">
        <f t="shared" si="150"/>
        <v>0.66666666666666663</v>
      </c>
      <c r="AC354">
        <f>step3_validation[[#This Row],[AI_TRU3]]</f>
        <v>6</v>
      </c>
      <c r="AD354">
        <f t="shared" si="151"/>
        <v>0.55555555555555558</v>
      </c>
      <c r="AE354">
        <f>[1]!survey_responses[[#This Row],[Tôi tin tưởng số tiền thuế tôi đóng sẽ được Nhà nước sử dụng hiệu quả để cải thiện dịch vụ công (y tế, đường xá...). - HUMAN-TRU3]]</f>
        <v>5</v>
      </c>
      <c r="AF354">
        <f t="shared" si="152"/>
        <v>0.44444444444444442</v>
      </c>
      <c r="AG354">
        <f>step3_validation[[#This Row],[AI_TRU4]]</f>
        <v>7</v>
      </c>
      <c r="AH354">
        <f t="shared" si="153"/>
        <v>0.66666666666666663</v>
      </c>
      <c r="AI354">
        <f>[1]!survey_responses[[#This Row],[Tôi thấy Nhà nước đã giải thích rõ ràng, minh bạch về lý do và mục tiêu của việc sửa đổi thuế lần này. - HUMAN-TRU4]]</f>
        <v>7</v>
      </c>
      <c r="AJ354">
        <f t="shared" si="154"/>
        <v>0.66666666666666663</v>
      </c>
      <c r="AK354" s="32">
        <f t="shared" si="155"/>
        <v>0.61111111111111116</v>
      </c>
      <c r="AL354" s="32">
        <f t="shared" si="156"/>
        <v>0.58333333333333337</v>
      </c>
      <c r="AM354" s="7">
        <f t="shared" si="157"/>
        <v>0.72222222222222221</v>
      </c>
      <c r="AN354" s="7">
        <f t="shared" si="158"/>
        <v>0.67592592592592593</v>
      </c>
      <c r="AO354">
        <f>step3_validation[[#This Row],[AI_OUT1]]</f>
        <v>8</v>
      </c>
      <c r="AP354">
        <f t="shared" si="159"/>
        <v>0.77777777777777779</v>
      </c>
      <c r="AQ354">
        <f>[1]!survey_responses[[#This Row],[Sau khi xem xét các quyền lợi và nghĩa vụ, bạn có ủng hộ và tuân thủ chính sách mới hiện nay? - HUMAN-OUT1]]</f>
        <v>7</v>
      </c>
      <c r="AR354">
        <f t="shared" si="160"/>
        <v>0.66666666666666663</v>
      </c>
      <c r="AS354" s="32">
        <f t="shared" si="161"/>
        <v>1</v>
      </c>
    </row>
    <row r="355" spans="1:45" x14ac:dyDescent="0.45">
      <c r="A355">
        <f>step3_validation[[#This Row],[AI_ENF1]]</f>
        <v>8</v>
      </c>
      <c r="B355">
        <f t="shared" si="135"/>
        <v>0.77777777777777779</v>
      </c>
      <c r="C355">
        <f>[1]!survey_responses[[#This Row],[Tôi tin rằng với các quy định quản lý thuế hiện nay, hành vi gian lận hoặc trốn thuế sẽ dễ dàng bị phát hiện và xử lý nghiêm. - HUMAN-ENF1]]</f>
        <v>9</v>
      </c>
      <c r="D355">
        <f t="shared" si="136"/>
        <v>0.88888888888888884</v>
      </c>
      <c r="E355">
        <f>step3_validation[[#This Row],[AI_ENF2]]</f>
        <v>9</v>
      </c>
      <c r="F355">
        <f t="shared" si="137"/>
        <v>0.88888888888888884</v>
      </c>
      <c r="G355">
        <f>[1]!survey_responses[[#This Row],[Tôi tin rằng Nhà nước, cơ quan thuế có đủ khả năng và công nghệ để phát hiện, xử lý nghiêm các hành vi trốn thuế. - HUMAN-ENF2]]</f>
        <v>9</v>
      </c>
      <c r="H355">
        <f t="shared" si="138"/>
        <v>0.88888888888888884</v>
      </c>
      <c r="I355" s="32">
        <f t="shared" si="139"/>
        <v>0.83333333333333326</v>
      </c>
      <c r="J355" s="32">
        <f t="shared" si="140"/>
        <v>0.88888888888888884</v>
      </c>
      <c r="K355">
        <f>step3_validation[[#This Row],[AI_FAC1]]</f>
        <v>8</v>
      </c>
      <c r="L355">
        <f t="shared" si="141"/>
        <v>0.77777777777777779</v>
      </c>
      <c r="M355">
        <f>[1]!survey_responses[[#This Row],[Các thủ tục khai báo thuế VÀ/HOẶC quy trình làm việc với cơ quan thuế đơn giản, tiện lợi, nhanh chóng hơn so với trước đây. - HUMAN-FAC1]]</f>
        <v>10</v>
      </c>
      <c r="N355">
        <f t="shared" si="142"/>
        <v>1</v>
      </c>
      <c r="O355">
        <f>step3_validation[[#This Row],[AI_FAC2]]</f>
        <v>7</v>
      </c>
      <c r="P355">
        <f t="shared" si="143"/>
        <v>0.66666666666666663</v>
      </c>
      <c r="Q355">
        <f>[1]!survey_responses[[#This Row],[So với trước đây, tôi thấy cách tính thuế và các bậc thuế trong phương án mới đơn giản, dễ hiểu và dễ thực hiện hơn. - HUMAN-FAC2]]</f>
        <v>10</v>
      </c>
      <c r="R355">
        <f t="shared" si="144"/>
        <v>1</v>
      </c>
      <c r="S355" s="32">
        <f t="shared" si="145"/>
        <v>0.72222222222222221</v>
      </c>
      <c r="T355" s="32">
        <f t="shared" si="146"/>
        <v>1</v>
      </c>
      <c r="U355">
        <f>step3_validation[[#This Row],[AI_TRU1]]</f>
        <v>6</v>
      </c>
      <c r="V355">
        <f t="shared" si="147"/>
        <v>0.55555555555555558</v>
      </c>
      <c r="W355">
        <f>[1]!survey_responses[[#This Row],[Tôi tin rằng Nhà nước, cơ quan thuế sẽ thực thi chính sách mới một cách khách quan, công tâm và đối xử bình đẳng với mọi người nộp thuế.  - HUMAN-TRU1]]</f>
        <v>9</v>
      </c>
      <c r="X355">
        <f t="shared" si="148"/>
        <v>0.88888888888888884</v>
      </c>
      <c r="Y355">
        <f>step3_validation[[#This Row],[AI_TRU2]]</f>
        <v>5</v>
      </c>
      <c r="Z355">
        <f t="shared" si="149"/>
        <v>0.44444444444444442</v>
      </c>
      <c r="AA355">
        <f>[1]!survey_responses[[#This Row],[Tôi thấy mức thuế tôi phải đóng theo phương án mới là công bằng (người thu nhập như tôi đóng mức này là hợp lý). - HUMAN-TRU2]]</f>
        <v>10</v>
      </c>
      <c r="AB355">
        <f t="shared" si="150"/>
        <v>1</v>
      </c>
      <c r="AC355">
        <f>step3_validation[[#This Row],[AI_TRU3]]</f>
        <v>6</v>
      </c>
      <c r="AD355">
        <f t="shared" si="151"/>
        <v>0.55555555555555558</v>
      </c>
      <c r="AE355">
        <f>[1]!survey_responses[[#This Row],[Tôi tin tưởng số tiền thuế tôi đóng sẽ được Nhà nước sử dụng hiệu quả để cải thiện dịch vụ công (y tế, đường xá...). - HUMAN-TRU3]]</f>
        <v>8</v>
      </c>
      <c r="AF355">
        <f t="shared" si="152"/>
        <v>0.77777777777777779</v>
      </c>
      <c r="AG355">
        <f>step3_validation[[#This Row],[AI_TRU4]]</f>
        <v>5</v>
      </c>
      <c r="AH355">
        <f t="shared" si="153"/>
        <v>0.44444444444444442</v>
      </c>
      <c r="AI355">
        <f>[1]!survey_responses[[#This Row],[Tôi thấy Nhà nước đã giải thích rõ ràng, minh bạch về lý do và mục tiêu của việc sửa đổi thuế lần này. - HUMAN-TRU4]]</f>
        <v>8</v>
      </c>
      <c r="AJ355">
        <f t="shared" si="154"/>
        <v>0.77777777777777779</v>
      </c>
      <c r="AK355" s="32">
        <f t="shared" si="155"/>
        <v>0.5</v>
      </c>
      <c r="AL355" s="32">
        <f t="shared" si="156"/>
        <v>0.86111111111111105</v>
      </c>
      <c r="AM355" s="7">
        <f t="shared" si="157"/>
        <v>0.68518518518518512</v>
      </c>
      <c r="AN355" s="7">
        <f t="shared" si="158"/>
        <v>0.91666666666666663</v>
      </c>
      <c r="AO355">
        <f>step3_validation[[#This Row],[AI_OUT1]]</f>
        <v>4</v>
      </c>
      <c r="AP355">
        <f t="shared" si="159"/>
        <v>0.33333333333333331</v>
      </c>
      <c r="AQ355">
        <f>[1]!survey_responses[[#This Row],[Sau khi xem xét các quyền lợi và nghĩa vụ, bạn có ủng hộ và tuân thủ chính sách mới hiện nay? - HUMAN-OUT1]]</f>
        <v>9</v>
      </c>
      <c r="AR355">
        <f t="shared" si="160"/>
        <v>0.88888888888888884</v>
      </c>
      <c r="AS355" s="32">
        <f t="shared" si="161"/>
        <v>5</v>
      </c>
    </row>
    <row r="356" spans="1:45" x14ac:dyDescent="0.45">
      <c r="A356">
        <f>step3_validation[[#This Row],[AI_ENF1]]</f>
        <v>7</v>
      </c>
      <c r="B356">
        <f t="shared" si="135"/>
        <v>0.66666666666666663</v>
      </c>
      <c r="C356">
        <f>[1]!survey_responses[[#This Row],[Tôi tin rằng với các quy định quản lý thuế hiện nay, hành vi gian lận hoặc trốn thuế sẽ dễ dàng bị phát hiện và xử lý nghiêm. - HUMAN-ENF1]]</f>
        <v>7</v>
      </c>
      <c r="D356">
        <f t="shared" si="136"/>
        <v>0.66666666666666663</v>
      </c>
      <c r="E356">
        <f>step3_validation[[#This Row],[AI_ENF2]]</f>
        <v>8</v>
      </c>
      <c r="F356">
        <f t="shared" si="137"/>
        <v>0.77777777777777779</v>
      </c>
      <c r="G356">
        <f>[1]!survey_responses[[#This Row],[Tôi tin rằng Nhà nước, cơ quan thuế có đủ khả năng và công nghệ để phát hiện, xử lý nghiêm các hành vi trốn thuế. - HUMAN-ENF2]]</f>
        <v>8</v>
      </c>
      <c r="H356">
        <f t="shared" si="138"/>
        <v>0.77777777777777779</v>
      </c>
      <c r="I356" s="32">
        <f t="shared" si="139"/>
        <v>0.72222222222222221</v>
      </c>
      <c r="J356" s="32">
        <f t="shared" si="140"/>
        <v>0.72222222222222221</v>
      </c>
      <c r="K356">
        <f>step3_validation[[#This Row],[AI_FAC1]]</f>
        <v>6</v>
      </c>
      <c r="L356">
        <f t="shared" si="141"/>
        <v>0.55555555555555558</v>
      </c>
      <c r="M356">
        <f>[1]!survey_responses[[#This Row],[Các thủ tục khai báo thuế VÀ/HOẶC quy trình làm việc với cơ quan thuế đơn giản, tiện lợi, nhanh chóng hơn so với trước đây. - HUMAN-FAC1]]</f>
        <v>8</v>
      </c>
      <c r="N356">
        <f t="shared" si="142"/>
        <v>0.77777777777777779</v>
      </c>
      <c r="O356">
        <f>step3_validation[[#This Row],[AI_FAC2]]</f>
        <v>7</v>
      </c>
      <c r="P356">
        <f t="shared" si="143"/>
        <v>0.66666666666666663</v>
      </c>
      <c r="Q356">
        <f>[1]!survey_responses[[#This Row],[So với trước đây, tôi thấy cách tính thuế và các bậc thuế trong phương án mới đơn giản, dễ hiểu và dễ thực hiện hơn. - HUMAN-FAC2]]</f>
        <v>9</v>
      </c>
      <c r="R356">
        <f t="shared" si="144"/>
        <v>0.88888888888888884</v>
      </c>
      <c r="S356" s="32">
        <f t="shared" si="145"/>
        <v>0.61111111111111116</v>
      </c>
      <c r="T356" s="32">
        <f t="shared" si="146"/>
        <v>0.83333333333333326</v>
      </c>
      <c r="U356">
        <f>step3_validation[[#This Row],[AI_TRU1]]</f>
        <v>6</v>
      </c>
      <c r="V356">
        <f t="shared" si="147"/>
        <v>0.55555555555555558</v>
      </c>
      <c r="W356">
        <f>[1]!survey_responses[[#This Row],[Tôi tin rằng Nhà nước, cơ quan thuế sẽ thực thi chính sách mới một cách khách quan, công tâm và đối xử bình đẳng với mọi người nộp thuế.  - HUMAN-TRU1]]</f>
        <v>8</v>
      </c>
      <c r="X356">
        <f t="shared" si="148"/>
        <v>0.77777777777777779</v>
      </c>
      <c r="Y356">
        <f>step3_validation[[#This Row],[AI_TRU2]]</f>
        <v>7</v>
      </c>
      <c r="Z356">
        <f t="shared" si="149"/>
        <v>0.66666666666666663</v>
      </c>
      <c r="AA356">
        <f>[1]!survey_responses[[#This Row],[Tôi thấy mức thuế tôi phải đóng theo phương án mới là công bằng (người thu nhập như tôi đóng mức này là hợp lý). - HUMAN-TRU2]]</f>
        <v>10</v>
      </c>
      <c r="AB356">
        <f t="shared" si="150"/>
        <v>1</v>
      </c>
      <c r="AC356">
        <f>step3_validation[[#This Row],[AI_TRU3]]</f>
        <v>6</v>
      </c>
      <c r="AD356">
        <f t="shared" si="151"/>
        <v>0.55555555555555558</v>
      </c>
      <c r="AE356">
        <f>[1]!survey_responses[[#This Row],[Tôi tin tưởng số tiền thuế tôi đóng sẽ được Nhà nước sử dụng hiệu quả để cải thiện dịch vụ công (y tế, đường xá...). - HUMAN-TRU3]]</f>
        <v>8</v>
      </c>
      <c r="AF356">
        <f t="shared" si="152"/>
        <v>0.77777777777777779</v>
      </c>
      <c r="AG356">
        <f>step3_validation[[#This Row],[AI_TRU4]]</f>
        <v>5</v>
      </c>
      <c r="AH356">
        <f t="shared" si="153"/>
        <v>0.44444444444444442</v>
      </c>
      <c r="AI356">
        <f>[1]!survey_responses[[#This Row],[Tôi thấy Nhà nước đã giải thích rõ ràng, minh bạch về lý do và mục tiêu của việc sửa đổi thuế lần này. - HUMAN-TRU4]]</f>
        <v>8</v>
      </c>
      <c r="AJ356">
        <f t="shared" si="154"/>
        <v>0.77777777777777779</v>
      </c>
      <c r="AK356" s="32">
        <f t="shared" si="155"/>
        <v>0.55555555555555558</v>
      </c>
      <c r="AL356" s="32">
        <f t="shared" si="156"/>
        <v>0.83333333333333326</v>
      </c>
      <c r="AM356" s="7">
        <f t="shared" si="157"/>
        <v>0.62962962962962965</v>
      </c>
      <c r="AN356" s="7">
        <f t="shared" si="158"/>
        <v>0.79629629629629617</v>
      </c>
      <c r="AO356">
        <f>step3_validation[[#This Row],[AI_OUT1]]</f>
        <v>6</v>
      </c>
      <c r="AP356">
        <f t="shared" si="159"/>
        <v>0.55555555555555558</v>
      </c>
      <c r="AQ356">
        <f>[1]!survey_responses[[#This Row],[Sau khi xem xét các quyền lợi và nghĩa vụ, bạn có ủng hộ và tuân thủ chính sách mới hiện nay? - HUMAN-OUT1]]</f>
        <v>9</v>
      </c>
      <c r="AR356">
        <f t="shared" si="160"/>
        <v>0.88888888888888884</v>
      </c>
      <c r="AS356" s="32">
        <f t="shared" si="161"/>
        <v>3</v>
      </c>
    </row>
    <row r="357" spans="1:45" x14ac:dyDescent="0.45">
      <c r="A357">
        <f>step3_validation[[#This Row],[AI_ENF1]]</f>
        <v>8</v>
      </c>
      <c r="B357">
        <f t="shared" si="135"/>
        <v>0.77777777777777779</v>
      </c>
      <c r="C357">
        <f>[1]!survey_responses[[#This Row],[Tôi tin rằng với các quy định quản lý thuế hiện nay, hành vi gian lận hoặc trốn thuế sẽ dễ dàng bị phát hiện và xử lý nghiêm. - HUMAN-ENF1]]</f>
        <v>7</v>
      </c>
      <c r="D357">
        <f t="shared" si="136"/>
        <v>0.66666666666666663</v>
      </c>
      <c r="E357">
        <f>step3_validation[[#This Row],[AI_ENF2]]</f>
        <v>7</v>
      </c>
      <c r="F357">
        <f t="shared" si="137"/>
        <v>0.66666666666666663</v>
      </c>
      <c r="G357">
        <f>[1]!survey_responses[[#This Row],[Tôi tin rằng Nhà nước, cơ quan thuế có đủ khả năng và công nghệ để phát hiện, xử lý nghiêm các hành vi trốn thuế. - HUMAN-ENF2]]</f>
        <v>7</v>
      </c>
      <c r="H357">
        <f t="shared" si="138"/>
        <v>0.66666666666666663</v>
      </c>
      <c r="I357" s="32">
        <f t="shared" si="139"/>
        <v>0.72222222222222221</v>
      </c>
      <c r="J357" s="32">
        <f t="shared" si="140"/>
        <v>0.66666666666666663</v>
      </c>
      <c r="K357">
        <f>step3_validation[[#This Row],[AI_FAC1]]</f>
        <v>9</v>
      </c>
      <c r="L357">
        <f t="shared" si="141"/>
        <v>0.88888888888888884</v>
      </c>
      <c r="M357">
        <f>[1]!survey_responses[[#This Row],[Các thủ tục khai báo thuế VÀ/HOẶC quy trình làm việc với cơ quan thuế đơn giản, tiện lợi, nhanh chóng hơn so với trước đây. - HUMAN-FAC1]]</f>
        <v>8</v>
      </c>
      <c r="N357">
        <f t="shared" si="142"/>
        <v>0.77777777777777779</v>
      </c>
      <c r="O357">
        <f>step3_validation[[#This Row],[AI_FAC2]]</f>
        <v>8</v>
      </c>
      <c r="P357">
        <f t="shared" si="143"/>
        <v>0.77777777777777779</v>
      </c>
      <c r="Q357">
        <f>[1]!survey_responses[[#This Row],[So với trước đây, tôi thấy cách tính thuế và các bậc thuế trong phương án mới đơn giản, dễ hiểu và dễ thực hiện hơn. - HUMAN-FAC2]]</f>
        <v>10</v>
      </c>
      <c r="R357">
        <f t="shared" si="144"/>
        <v>1</v>
      </c>
      <c r="S357" s="32">
        <f t="shared" si="145"/>
        <v>0.83333333333333326</v>
      </c>
      <c r="T357" s="32">
        <f t="shared" si="146"/>
        <v>0.88888888888888884</v>
      </c>
      <c r="U357">
        <f>step3_validation[[#This Row],[AI_TRU1]]</f>
        <v>7</v>
      </c>
      <c r="V357">
        <f t="shared" si="147"/>
        <v>0.66666666666666663</v>
      </c>
      <c r="W357">
        <f>[1]!survey_responses[[#This Row],[Tôi tin rằng Nhà nước, cơ quan thuế sẽ thực thi chính sách mới một cách khách quan, công tâm và đối xử bình đẳng với mọi người nộp thuế.  - HUMAN-TRU1]]</f>
        <v>9</v>
      </c>
      <c r="X357">
        <f t="shared" si="148"/>
        <v>0.88888888888888884</v>
      </c>
      <c r="Y357">
        <f>step3_validation[[#This Row],[AI_TRU2]]</f>
        <v>6</v>
      </c>
      <c r="Z357">
        <f t="shared" si="149"/>
        <v>0.55555555555555558</v>
      </c>
      <c r="AA357">
        <f>[1]!survey_responses[[#This Row],[Tôi thấy mức thuế tôi phải đóng theo phương án mới là công bằng (người thu nhập như tôi đóng mức này là hợp lý). - HUMAN-TRU2]]</f>
        <v>10</v>
      </c>
      <c r="AB357">
        <f t="shared" si="150"/>
        <v>1</v>
      </c>
      <c r="AC357">
        <f>step3_validation[[#This Row],[AI_TRU3]]</f>
        <v>5</v>
      </c>
      <c r="AD357">
        <f t="shared" si="151"/>
        <v>0.44444444444444442</v>
      </c>
      <c r="AE357">
        <f>[1]!survey_responses[[#This Row],[Tôi tin tưởng số tiền thuế tôi đóng sẽ được Nhà nước sử dụng hiệu quả để cải thiện dịch vụ công (y tế, đường xá...). - HUMAN-TRU3]]</f>
        <v>8</v>
      </c>
      <c r="AF357">
        <f t="shared" si="152"/>
        <v>0.77777777777777779</v>
      </c>
      <c r="AG357">
        <f>step3_validation[[#This Row],[AI_TRU4]]</f>
        <v>4</v>
      </c>
      <c r="AH357">
        <f t="shared" si="153"/>
        <v>0.33333333333333331</v>
      </c>
      <c r="AI357">
        <f>[1]!survey_responses[[#This Row],[Tôi thấy Nhà nước đã giải thích rõ ràng, minh bạch về lý do và mục tiêu của việc sửa đổi thuế lần này. - HUMAN-TRU4]]</f>
        <v>8</v>
      </c>
      <c r="AJ357">
        <f t="shared" si="154"/>
        <v>0.77777777777777779</v>
      </c>
      <c r="AK357" s="32">
        <f t="shared" si="155"/>
        <v>0.5</v>
      </c>
      <c r="AL357" s="32">
        <f t="shared" si="156"/>
        <v>0.86111111111111105</v>
      </c>
      <c r="AM357" s="7">
        <f t="shared" si="157"/>
        <v>0.68518518518518512</v>
      </c>
      <c r="AN357" s="7">
        <f t="shared" si="158"/>
        <v>0.80555555555555547</v>
      </c>
      <c r="AO357">
        <f>step3_validation[[#This Row],[AI_OUT1]]</f>
        <v>6</v>
      </c>
      <c r="AP357">
        <f t="shared" si="159"/>
        <v>0.55555555555555558</v>
      </c>
      <c r="AQ357">
        <f>[1]!survey_responses[[#This Row],[Sau khi xem xét các quyền lợi và nghĩa vụ, bạn có ủng hộ và tuân thủ chính sách mới hiện nay? - HUMAN-OUT1]]</f>
        <v>10</v>
      </c>
      <c r="AR357">
        <f t="shared" si="160"/>
        <v>1</v>
      </c>
      <c r="AS357" s="32">
        <f t="shared" si="161"/>
        <v>4</v>
      </c>
    </row>
    <row r="358" spans="1:45" x14ac:dyDescent="0.45">
      <c r="A358">
        <f>step3_validation[[#This Row],[AI_ENF1]]</f>
        <v>9</v>
      </c>
      <c r="B358">
        <f t="shared" si="135"/>
        <v>0.88888888888888884</v>
      </c>
      <c r="C358">
        <f>[1]!survey_responses[[#This Row],[Tôi tin rằng với các quy định quản lý thuế hiện nay, hành vi gian lận hoặc trốn thuế sẽ dễ dàng bị phát hiện và xử lý nghiêm. - HUMAN-ENF1]]</f>
        <v>9</v>
      </c>
      <c r="D358">
        <f t="shared" si="136"/>
        <v>0.88888888888888884</v>
      </c>
      <c r="E358">
        <f>step3_validation[[#This Row],[AI_ENF2]]</f>
        <v>8</v>
      </c>
      <c r="F358">
        <f t="shared" si="137"/>
        <v>0.77777777777777779</v>
      </c>
      <c r="G358">
        <f>[1]!survey_responses[[#This Row],[Tôi tin rằng Nhà nước, cơ quan thuế có đủ khả năng và công nghệ để phát hiện, xử lý nghiêm các hành vi trốn thuế. - HUMAN-ENF2]]</f>
        <v>9</v>
      </c>
      <c r="H358">
        <f t="shared" si="138"/>
        <v>0.88888888888888884</v>
      </c>
      <c r="I358" s="32">
        <f t="shared" si="139"/>
        <v>0.83333333333333326</v>
      </c>
      <c r="J358" s="32">
        <f t="shared" si="140"/>
        <v>0.88888888888888884</v>
      </c>
      <c r="K358">
        <f>step3_validation[[#This Row],[AI_FAC1]]</f>
        <v>8</v>
      </c>
      <c r="L358">
        <f t="shared" si="141"/>
        <v>0.77777777777777779</v>
      </c>
      <c r="M358">
        <f>[1]!survey_responses[[#This Row],[Các thủ tục khai báo thuế VÀ/HOẶC quy trình làm việc với cơ quan thuế đơn giản, tiện lợi, nhanh chóng hơn so với trước đây. - HUMAN-FAC1]]</f>
        <v>8</v>
      </c>
      <c r="N358">
        <f t="shared" si="142"/>
        <v>0.77777777777777779</v>
      </c>
      <c r="O358">
        <f>step3_validation[[#This Row],[AI_FAC2]]</f>
        <v>9</v>
      </c>
      <c r="P358">
        <f t="shared" si="143"/>
        <v>0.88888888888888884</v>
      </c>
      <c r="Q358">
        <f>[1]!survey_responses[[#This Row],[So với trước đây, tôi thấy cách tính thuế và các bậc thuế trong phương án mới đơn giản, dễ hiểu và dễ thực hiện hơn. - HUMAN-FAC2]]</f>
        <v>9</v>
      </c>
      <c r="R358">
        <f t="shared" si="144"/>
        <v>0.88888888888888884</v>
      </c>
      <c r="S358" s="32">
        <f t="shared" si="145"/>
        <v>0.83333333333333326</v>
      </c>
      <c r="T358" s="32">
        <f t="shared" si="146"/>
        <v>0.83333333333333326</v>
      </c>
      <c r="U358">
        <f>step3_validation[[#This Row],[AI_TRU1]]</f>
        <v>8</v>
      </c>
      <c r="V358">
        <f t="shared" si="147"/>
        <v>0.77777777777777779</v>
      </c>
      <c r="W358">
        <f>[1]!survey_responses[[#This Row],[Tôi tin rằng Nhà nước, cơ quan thuế sẽ thực thi chính sách mới một cách khách quan, công tâm và đối xử bình đẳng với mọi người nộp thuế.  - HUMAN-TRU1]]</f>
        <v>8</v>
      </c>
      <c r="X358">
        <f t="shared" si="148"/>
        <v>0.77777777777777779</v>
      </c>
      <c r="Y358">
        <f>step3_validation[[#This Row],[AI_TRU2]]</f>
        <v>7</v>
      </c>
      <c r="Z358">
        <f t="shared" si="149"/>
        <v>0.66666666666666663</v>
      </c>
      <c r="AA358">
        <f>[1]!survey_responses[[#This Row],[Tôi thấy mức thuế tôi phải đóng theo phương án mới là công bằng (người thu nhập như tôi đóng mức này là hợp lý). - HUMAN-TRU2]]</f>
        <v>8</v>
      </c>
      <c r="AB358">
        <f t="shared" si="150"/>
        <v>0.77777777777777779</v>
      </c>
      <c r="AC358">
        <f>step3_validation[[#This Row],[AI_TRU3]]</f>
        <v>8</v>
      </c>
      <c r="AD358">
        <f t="shared" si="151"/>
        <v>0.77777777777777779</v>
      </c>
      <c r="AE358">
        <f>[1]!survey_responses[[#This Row],[Tôi tin tưởng số tiền thuế tôi đóng sẽ được Nhà nước sử dụng hiệu quả để cải thiện dịch vụ công (y tế, đường xá...). - HUMAN-TRU3]]</f>
        <v>7</v>
      </c>
      <c r="AF358">
        <f t="shared" si="152"/>
        <v>0.66666666666666663</v>
      </c>
      <c r="AG358">
        <f>step3_validation[[#This Row],[AI_TRU4]]</f>
        <v>7</v>
      </c>
      <c r="AH358">
        <f t="shared" si="153"/>
        <v>0.66666666666666663</v>
      </c>
      <c r="AI358">
        <f>[1]!survey_responses[[#This Row],[Tôi thấy Nhà nước đã giải thích rõ ràng, minh bạch về lý do và mục tiêu của việc sửa đổi thuế lần này. - HUMAN-TRU4]]</f>
        <v>7</v>
      </c>
      <c r="AJ358">
        <f t="shared" si="154"/>
        <v>0.66666666666666663</v>
      </c>
      <c r="AK358" s="32">
        <f t="shared" si="155"/>
        <v>0.72222222222222221</v>
      </c>
      <c r="AL358" s="32">
        <f t="shared" si="156"/>
        <v>0.72222222222222221</v>
      </c>
      <c r="AM358" s="7">
        <f t="shared" si="157"/>
        <v>0.79629629629629628</v>
      </c>
      <c r="AN358" s="7">
        <f t="shared" si="158"/>
        <v>0.81481481481481477</v>
      </c>
      <c r="AO358">
        <f>step3_validation[[#This Row],[AI_OUT1]]</f>
        <v>7</v>
      </c>
      <c r="AP358">
        <f t="shared" si="159"/>
        <v>0.66666666666666663</v>
      </c>
      <c r="AQ358">
        <f>[1]!survey_responses[[#This Row],[Sau khi xem xét các quyền lợi và nghĩa vụ, bạn có ủng hộ và tuân thủ chính sách mới hiện nay? - HUMAN-OUT1]]</f>
        <v>8</v>
      </c>
      <c r="AR358">
        <f t="shared" si="160"/>
        <v>0.77777777777777779</v>
      </c>
      <c r="AS358" s="32">
        <f t="shared" si="161"/>
        <v>1</v>
      </c>
    </row>
    <row r="359" spans="1:45" x14ac:dyDescent="0.45">
      <c r="A359">
        <f>step3_validation[[#This Row],[AI_ENF1]]</f>
        <v>8</v>
      </c>
      <c r="B359">
        <f t="shared" si="135"/>
        <v>0.77777777777777779</v>
      </c>
      <c r="C359">
        <f>[1]!survey_responses[[#This Row],[Tôi tin rằng với các quy định quản lý thuế hiện nay, hành vi gian lận hoặc trốn thuế sẽ dễ dàng bị phát hiện và xử lý nghiêm. - HUMAN-ENF1]]</f>
        <v>7</v>
      </c>
      <c r="D359">
        <f t="shared" si="136"/>
        <v>0.66666666666666663</v>
      </c>
      <c r="E359">
        <f>step3_validation[[#This Row],[AI_ENF2]]</f>
        <v>7</v>
      </c>
      <c r="F359">
        <f t="shared" si="137"/>
        <v>0.66666666666666663</v>
      </c>
      <c r="G359">
        <f>[1]!survey_responses[[#This Row],[Tôi tin rằng Nhà nước, cơ quan thuế có đủ khả năng và công nghệ để phát hiện, xử lý nghiêm các hành vi trốn thuế. - HUMAN-ENF2]]</f>
        <v>7</v>
      </c>
      <c r="H359">
        <f t="shared" si="138"/>
        <v>0.66666666666666663</v>
      </c>
      <c r="I359" s="32">
        <f t="shared" si="139"/>
        <v>0.72222222222222221</v>
      </c>
      <c r="J359" s="32">
        <f t="shared" si="140"/>
        <v>0.66666666666666663</v>
      </c>
      <c r="K359">
        <f>step3_validation[[#This Row],[AI_FAC1]]</f>
        <v>9</v>
      </c>
      <c r="L359">
        <f t="shared" si="141"/>
        <v>0.88888888888888884</v>
      </c>
      <c r="M359">
        <f>[1]!survey_responses[[#This Row],[Các thủ tục khai báo thuế VÀ/HOẶC quy trình làm việc với cơ quan thuế đơn giản, tiện lợi, nhanh chóng hơn so với trước đây. - HUMAN-FAC1]]</f>
        <v>7</v>
      </c>
      <c r="N359">
        <f t="shared" si="142"/>
        <v>0.66666666666666663</v>
      </c>
      <c r="O359">
        <f>step3_validation[[#This Row],[AI_FAC2]]</f>
        <v>8</v>
      </c>
      <c r="P359">
        <f t="shared" si="143"/>
        <v>0.77777777777777779</v>
      </c>
      <c r="Q359">
        <f>[1]!survey_responses[[#This Row],[So với trước đây, tôi thấy cách tính thuế và các bậc thuế trong phương án mới đơn giản, dễ hiểu và dễ thực hiện hơn. - HUMAN-FAC2]]</f>
        <v>8</v>
      </c>
      <c r="R359">
        <f t="shared" si="144"/>
        <v>0.77777777777777779</v>
      </c>
      <c r="S359" s="32">
        <f t="shared" si="145"/>
        <v>0.83333333333333326</v>
      </c>
      <c r="T359" s="32">
        <f t="shared" si="146"/>
        <v>0.72222222222222221</v>
      </c>
      <c r="U359">
        <f>step3_validation[[#This Row],[AI_TRU1]]</f>
        <v>8</v>
      </c>
      <c r="V359">
        <f t="shared" si="147"/>
        <v>0.77777777777777779</v>
      </c>
      <c r="W359">
        <f>[1]!survey_responses[[#This Row],[Tôi tin rằng Nhà nước, cơ quan thuế sẽ thực thi chính sách mới một cách khách quan, công tâm và đối xử bình đẳng với mọi người nộp thuế.  - HUMAN-TRU1]]</f>
        <v>7</v>
      </c>
      <c r="X359">
        <f t="shared" si="148"/>
        <v>0.66666666666666663</v>
      </c>
      <c r="Y359">
        <f>step3_validation[[#This Row],[AI_TRU2]]</f>
        <v>7</v>
      </c>
      <c r="Z359">
        <f t="shared" si="149"/>
        <v>0.66666666666666663</v>
      </c>
      <c r="AA359">
        <f>[1]!survey_responses[[#This Row],[Tôi thấy mức thuế tôi phải đóng theo phương án mới là công bằng (người thu nhập như tôi đóng mức này là hợp lý). - HUMAN-TRU2]]</f>
        <v>9</v>
      </c>
      <c r="AB359">
        <f t="shared" si="150"/>
        <v>0.88888888888888884</v>
      </c>
      <c r="AC359">
        <f>step3_validation[[#This Row],[AI_TRU3]]</f>
        <v>7</v>
      </c>
      <c r="AD359">
        <f t="shared" si="151"/>
        <v>0.66666666666666663</v>
      </c>
      <c r="AE359">
        <f>[1]!survey_responses[[#This Row],[Tôi tin tưởng số tiền thuế tôi đóng sẽ được Nhà nước sử dụng hiệu quả để cải thiện dịch vụ công (y tế, đường xá...). - HUMAN-TRU3]]</f>
        <v>8</v>
      </c>
      <c r="AF359">
        <f t="shared" si="152"/>
        <v>0.77777777777777779</v>
      </c>
      <c r="AG359">
        <f>step3_validation[[#This Row],[AI_TRU4]]</f>
        <v>6</v>
      </c>
      <c r="AH359">
        <f t="shared" si="153"/>
        <v>0.55555555555555558</v>
      </c>
      <c r="AI359">
        <f>[1]!survey_responses[[#This Row],[Tôi thấy Nhà nước đã giải thích rõ ràng, minh bạch về lý do và mục tiêu của việc sửa đổi thuế lần này. - HUMAN-TRU4]]</f>
        <v>8</v>
      </c>
      <c r="AJ359">
        <f t="shared" si="154"/>
        <v>0.77777777777777779</v>
      </c>
      <c r="AK359" s="32">
        <f t="shared" si="155"/>
        <v>0.66666666666666674</v>
      </c>
      <c r="AL359" s="32">
        <f t="shared" si="156"/>
        <v>0.77777777777777768</v>
      </c>
      <c r="AM359" s="7">
        <f t="shared" si="157"/>
        <v>0.74074074074074081</v>
      </c>
      <c r="AN359" s="7">
        <f t="shared" si="158"/>
        <v>0.72222222222222221</v>
      </c>
      <c r="AO359">
        <f>step3_validation[[#This Row],[AI_OUT1]]</f>
        <v>7</v>
      </c>
      <c r="AP359">
        <f t="shared" si="159"/>
        <v>0.66666666666666663</v>
      </c>
      <c r="AQ359">
        <f>[1]!survey_responses[[#This Row],[Sau khi xem xét các quyền lợi và nghĩa vụ, bạn có ủng hộ và tuân thủ chính sách mới hiện nay? - HUMAN-OUT1]]</f>
        <v>8</v>
      </c>
      <c r="AR359">
        <f t="shared" si="160"/>
        <v>0.77777777777777779</v>
      </c>
      <c r="AS359" s="32">
        <f t="shared" si="161"/>
        <v>1</v>
      </c>
    </row>
    <row r="360" spans="1:45" x14ac:dyDescent="0.45">
      <c r="A360">
        <f>step3_validation[[#This Row],[AI_ENF1]]</f>
        <v>7</v>
      </c>
      <c r="B360">
        <f t="shared" si="135"/>
        <v>0.66666666666666663</v>
      </c>
      <c r="C360">
        <f>[1]!survey_responses[[#This Row],[Tôi tin rằng với các quy định quản lý thuế hiện nay, hành vi gian lận hoặc trốn thuế sẽ dễ dàng bị phát hiện và xử lý nghiêm. - HUMAN-ENF1]]</f>
        <v>4</v>
      </c>
      <c r="D360">
        <f t="shared" si="136"/>
        <v>0.33333333333333331</v>
      </c>
      <c r="E360">
        <f>step3_validation[[#This Row],[AI_ENF2]]</f>
        <v>8</v>
      </c>
      <c r="F360">
        <f t="shared" si="137"/>
        <v>0.77777777777777779</v>
      </c>
      <c r="G360">
        <f>[1]!survey_responses[[#This Row],[Tôi tin rằng Nhà nước, cơ quan thuế có đủ khả năng và công nghệ để phát hiện, xử lý nghiêm các hành vi trốn thuế. - HUMAN-ENF2]]</f>
        <v>5</v>
      </c>
      <c r="H360">
        <f t="shared" si="138"/>
        <v>0.44444444444444442</v>
      </c>
      <c r="I360" s="32">
        <f t="shared" si="139"/>
        <v>0.72222222222222221</v>
      </c>
      <c r="J360" s="32">
        <f t="shared" si="140"/>
        <v>0.38888888888888884</v>
      </c>
      <c r="K360">
        <f>step3_validation[[#This Row],[AI_FAC1]]</f>
        <v>9</v>
      </c>
      <c r="L360">
        <f t="shared" si="141"/>
        <v>0.88888888888888884</v>
      </c>
      <c r="M360">
        <f>[1]!survey_responses[[#This Row],[Các thủ tục khai báo thuế VÀ/HOẶC quy trình làm việc với cơ quan thuế đơn giản, tiện lợi, nhanh chóng hơn so với trước đây. - HUMAN-FAC1]]</f>
        <v>6</v>
      </c>
      <c r="N360">
        <f t="shared" si="142"/>
        <v>0.55555555555555558</v>
      </c>
      <c r="O360">
        <f>step3_validation[[#This Row],[AI_FAC2]]</f>
        <v>8</v>
      </c>
      <c r="P360">
        <f t="shared" si="143"/>
        <v>0.77777777777777779</v>
      </c>
      <c r="Q360">
        <f>[1]!survey_responses[[#This Row],[So với trước đây, tôi thấy cách tính thuế và các bậc thuế trong phương án mới đơn giản, dễ hiểu và dễ thực hiện hơn. - HUMAN-FAC2]]</f>
        <v>7</v>
      </c>
      <c r="R360">
        <f t="shared" si="144"/>
        <v>0.66666666666666663</v>
      </c>
      <c r="S360" s="32">
        <f t="shared" si="145"/>
        <v>0.83333333333333326</v>
      </c>
      <c r="T360" s="32">
        <f t="shared" si="146"/>
        <v>0.61111111111111116</v>
      </c>
      <c r="U360">
        <f>step3_validation[[#This Row],[AI_TRU1]]</f>
        <v>9</v>
      </c>
      <c r="V360">
        <f t="shared" si="147"/>
        <v>0.88888888888888884</v>
      </c>
      <c r="W360">
        <f>[1]!survey_responses[[#This Row],[Tôi tin rằng Nhà nước, cơ quan thuế sẽ thực thi chính sách mới một cách khách quan, công tâm và đối xử bình đẳng với mọi người nộp thuế.  - HUMAN-TRU1]]</f>
        <v>7</v>
      </c>
      <c r="X360">
        <f t="shared" si="148"/>
        <v>0.66666666666666663</v>
      </c>
      <c r="Y360">
        <f>step3_validation[[#This Row],[AI_TRU2]]</f>
        <v>8</v>
      </c>
      <c r="Z360">
        <f t="shared" si="149"/>
        <v>0.77777777777777779</v>
      </c>
      <c r="AA360">
        <f>[1]!survey_responses[[#This Row],[Tôi thấy mức thuế tôi phải đóng theo phương án mới là công bằng (người thu nhập như tôi đóng mức này là hợp lý). - HUMAN-TRU2]]</f>
        <v>6</v>
      </c>
      <c r="AB360">
        <f t="shared" si="150"/>
        <v>0.55555555555555558</v>
      </c>
      <c r="AC360">
        <f>step3_validation[[#This Row],[AI_TRU3]]</f>
        <v>7</v>
      </c>
      <c r="AD360">
        <f t="shared" si="151"/>
        <v>0.66666666666666663</v>
      </c>
      <c r="AE360">
        <f>[1]!survey_responses[[#This Row],[Tôi tin tưởng số tiền thuế tôi đóng sẽ được Nhà nước sử dụng hiệu quả để cải thiện dịch vụ công (y tế, đường xá...). - HUMAN-TRU3]]</f>
        <v>4</v>
      </c>
      <c r="AF360">
        <f t="shared" si="152"/>
        <v>0.33333333333333331</v>
      </c>
      <c r="AG360">
        <f>step3_validation[[#This Row],[AI_TRU4]]</f>
        <v>6</v>
      </c>
      <c r="AH360">
        <f t="shared" si="153"/>
        <v>0.55555555555555558</v>
      </c>
      <c r="AI360">
        <f>[1]!survey_responses[[#This Row],[Tôi thấy Nhà nước đã giải thích rõ ràng, minh bạch về lý do và mục tiêu của việc sửa đổi thuế lần này. - HUMAN-TRU4]]</f>
        <v>6</v>
      </c>
      <c r="AJ360">
        <f t="shared" si="154"/>
        <v>0.55555555555555558</v>
      </c>
      <c r="AK360" s="32">
        <f t="shared" si="155"/>
        <v>0.7222222222222221</v>
      </c>
      <c r="AL360" s="32">
        <f t="shared" si="156"/>
        <v>0.52777777777777779</v>
      </c>
      <c r="AM360" s="7">
        <f t="shared" si="157"/>
        <v>0.75925925925925919</v>
      </c>
      <c r="AN360" s="7">
        <f t="shared" si="158"/>
        <v>0.50925925925925919</v>
      </c>
      <c r="AO360">
        <f>step3_validation[[#This Row],[AI_OUT1]]</f>
        <v>8</v>
      </c>
      <c r="AP360">
        <f t="shared" si="159"/>
        <v>0.77777777777777779</v>
      </c>
      <c r="AQ360">
        <f>[1]!survey_responses[[#This Row],[Sau khi xem xét các quyền lợi và nghĩa vụ, bạn có ủng hộ và tuân thủ chính sách mới hiện nay? - HUMAN-OUT1]]</f>
        <v>7</v>
      </c>
      <c r="AR360">
        <f t="shared" si="160"/>
        <v>0.66666666666666663</v>
      </c>
      <c r="AS360" s="32">
        <f t="shared" si="161"/>
        <v>1</v>
      </c>
    </row>
    <row r="361" spans="1:45" x14ac:dyDescent="0.45">
      <c r="A361">
        <f>step3_validation[[#This Row],[AI_ENF1]]</f>
        <v>7</v>
      </c>
      <c r="B361">
        <f t="shared" si="135"/>
        <v>0.66666666666666663</v>
      </c>
      <c r="C361">
        <f>[1]!survey_responses[[#This Row],[Tôi tin rằng với các quy định quản lý thuế hiện nay, hành vi gian lận hoặc trốn thuế sẽ dễ dàng bị phát hiện và xử lý nghiêm. - HUMAN-ENF1]]</f>
        <v>9</v>
      </c>
      <c r="D361">
        <f t="shared" si="136"/>
        <v>0.88888888888888884</v>
      </c>
      <c r="E361">
        <f>step3_validation[[#This Row],[AI_ENF2]]</f>
        <v>8</v>
      </c>
      <c r="F361">
        <f t="shared" si="137"/>
        <v>0.77777777777777779</v>
      </c>
      <c r="G361">
        <f>[1]!survey_responses[[#This Row],[Tôi tin rằng Nhà nước, cơ quan thuế có đủ khả năng và công nghệ để phát hiện, xử lý nghiêm các hành vi trốn thuế. - HUMAN-ENF2]]</f>
        <v>8</v>
      </c>
      <c r="H361">
        <f t="shared" si="138"/>
        <v>0.77777777777777779</v>
      </c>
      <c r="I361" s="32">
        <f t="shared" si="139"/>
        <v>0.72222222222222221</v>
      </c>
      <c r="J361" s="32">
        <f t="shared" si="140"/>
        <v>0.83333333333333326</v>
      </c>
      <c r="K361">
        <f>step3_validation[[#This Row],[AI_FAC1]]</f>
        <v>9</v>
      </c>
      <c r="L361">
        <f t="shared" si="141"/>
        <v>0.88888888888888884</v>
      </c>
      <c r="M361">
        <f>[1]!survey_responses[[#This Row],[Các thủ tục khai báo thuế VÀ/HOẶC quy trình làm việc với cơ quan thuế đơn giản, tiện lợi, nhanh chóng hơn so với trước đây. - HUMAN-FAC1]]</f>
        <v>8</v>
      </c>
      <c r="N361">
        <f t="shared" si="142"/>
        <v>0.77777777777777779</v>
      </c>
      <c r="O361">
        <f>step3_validation[[#This Row],[AI_FAC2]]</f>
        <v>8</v>
      </c>
      <c r="P361">
        <f t="shared" si="143"/>
        <v>0.77777777777777779</v>
      </c>
      <c r="Q361">
        <f>[1]!survey_responses[[#This Row],[So với trước đây, tôi thấy cách tính thuế và các bậc thuế trong phương án mới đơn giản, dễ hiểu và dễ thực hiện hơn. - HUMAN-FAC2]]</f>
        <v>8</v>
      </c>
      <c r="R361">
        <f t="shared" si="144"/>
        <v>0.77777777777777779</v>
      </c>
      <c r="S361" s="32">
        <f t="shared" si="145"/>
        <v>0.83333333333333326</v>
      </c>
      <c r="T361" s="32">
        <f t="shared" si="146"/>
        <v>0.77777777777777779</v>
      </c>
      <c r="U361">
        <f>step3_validation[[#This Row],[AI_TRU1]]</f>
        <v>7</v>
      </c>
      <c r="V361">
        <f t="shared" si="147"/>
        <v>0.66666666666666663</v>
      </c>
      <c r="W361">
        <f>[1]!survey_responses[[#This Row],[Tôi tin rằng Nhà nước, cơ quan thuế sẽ thực thi chính sách mới một cách khách quan, công tâm và đối xử bình đẳng với mọi người nộp thuế.  - HUMAN-TRU1]]</f>
        <v>7</v>
      </c>
      <c r="X361">
        <f t="shared" si="148"/>
        <v>0.66666666666666663</v>
      </c>
      <c r="Y361">
        <f>step3_validation[[#This Row],[AI_TRU2]]</f>
        <v>6</v>
      </c>
      <c r="Z361">
        <f t="shared" si="149"/>
        <v>0.55555555555555558</v>
      </c>
      <c r="AA361">
        <f>[1]!survey_responses[[#This Row],[Tôi thấy mức thuế tôi phải đóng theo phương án mới là công bằng (người thu nhập như tôi đóng mức này là hợp lý). - HUMAN-TRU2]]</f>
        <v>7</v>
      </c>
      <c r="AB361">
        <f t="shared" si="150"/>
        <v>0.66666666666666663</v>
      </c>
      <c r="AC361">
        <f>step3_validation[[#This Row],[AI_TRU3]]</f>
        <v>6</v>
      </c>
      <c r="AD361">
        <f t="shared" si="151"/>
        <v>0.55555555555555558</v>
      </c>
      <c r="AE361">
        <f>[1]!survey_responses[[#This Row],[Tôi tin tưởng số tiền thuế tôi đóng sẽ được Nhà nước sử dụng hiệu quả để cải thiện dịch vụ công (y tế, đường xá...). - HUMAN-TRU3]]</f>
        <v>6</v>
      </c>
      <c r="AF361">
        <f t="shared" si="152"/>
        <v>0.55555555555555558</v>
      </c>
      <c r="AG361">
        <f>step3_validation[[#This Row],[AI_TRU4]]</f>
        <v>7</v>
      </c>
      <c r="AH361">
        <f t="shared" si="153"/>
        <v>0.66666666666666663</v>
      </c>
      <c r="AI361">
        <f>[1]!survey_responses[[#This Row],[Tôi thấy Nhà nước đã giải thích rõ ràng, minh bạch về lý do và mục tiêu của việc sửa đổi thuế lần này. - HUMAN-TRU4]]</f>
        <v>7</v>
      </c>
      <c r="AJ361">
        <f t="shared" si="154"/>
        <v>0.66666666666666663</v>
      </c>
      <c r="AK361" s="32">
        <f t="shared" si="155"/>
        <v>0.61111111111111116</v>
      </c>
      <c r="AL361" s="32">
        <f t="shared" si="156"/>
        <v>0.63888888888888884</v>
      </c>
      <c r="AM361" s="7">
        <f t="shared" si="157"/>
        <v>0.72222222222222221</v>
      </c>
      <c r="AN361" s="7">
        <f t="shared" si="158"/>
        <v>0.75</v>
      </c>
      <c r="AO361">
        <f>step3_validation[[#This Row],[AI_OUT1]]</f>
        <v>8</v>
      </c>
      <c r="AP361">
        <f t="shared" si="159"/>
        <v>0.77777777777777779</v>
      </c>
      <c r="AQ361">
        <f>[1]!survey_responses[[#This Row],[Sau khi xem xét các quyền lợi và nghĩa vụ, bạn có ủng hộ và tuân thủ chính sách mới hiện nay? - HUMAN-OUT1]]</f>
        <v>8</v>
      </c>
      <c r="AR361">
        <f t="shared" si="160"/>
        <v>0.77777777777777779</v>
      </c>
      <c r="AS361" s="32">
        <f t="shared" si="161"/>
        <v>0</v>
      </c>
    </row>
    <row r="362" spans="1:45" x14ac:dyDescent="0.45">
      <c r="A362">
        <f>step3_validation[[#This Row],[AI_ENF1]]</f>
        <v>7</v>
      </c>
      <c r="B362">
        <f t="shared" si="135"/>
        <v>0.66666666666666663</v>
      </c>
      <c r="C362">
        <f>[1]!survey_responses[[#This Row],[Tôi tin rằng với các quy định quản lý thuế hiện nay, hành vi gian lận hoặc trốn thuế sẽ dễ dàng bị phát hiện và xử lý nghiêm. - HUMAN-ENF1]]</f>
        <v>7</v>
      </c>
      <c r="D362">
        <f t="shared" si="136"/>
        <v>0.66666666666666663</v>
      </c>
      <c r="E362">
        <f>step3_validation[[#This Row],[AI_ENF2]]</f>
        <v>8</v>
      </c>
      <c r="F362">
        <f t="shared" si="137"/>
        <v>0.77777777777777779</v>
      </c>
      <c r="G362">
        <f>[1]!survey_responses[[#This Row],[Tôi tin rằng Nhà nước, cơ quan thuế có đủ khả năng và công nghệ để phát hiện, xử lý nghiêm các hành vi trốn thuế. - HUMAN-ENF2]]</f>
        <v>7</v>
      </c>
      <c r="H362">
        <f t="shared" si="138"/>
        <v>0.66666666666666663</v>
      </c>
      <c r="I362" s="32">
        <f t="shared" si="139"/>
        <v>0.72222222222222221</v>
      </c>
      <c r="J362" s="32">
        <f t="shared" si="140"/>
        <v>0.66666666666666663</v>
      </c>
      <c r="K362">
        <f>step3_validation[[#This Row],[AI_FAC1]]</f>
        <v>6</v>
      </c>
      <c r="L362">
        <f t="shared" si="141"/>
        <v>0.55555555555555558</v>
      </c>
      <c r="M362">
        <f>[1]!survey_responses[[#This Row],[Các thủ tục khai báo thuế VÀ/HOẶC quy trình làm việc với cơ quan thuế đơn giản, tiện lợi, nhanh chóng hơn so với trước đây. - HUMAN-FAC1]]</f>
        <v>8</v>
      </c>
      <c r="N362">
        <f t="shared" si="142"/>
        <v>0.77777777777777779</v>
      </c>
      <c r="O362">
        <f>step3_validation[[#This Row],[AI_FAC2]]</f>
        <v>7</v>
      </c>
      <c r="P362">
        <f t="shared" si="143"/>
        <v>0.66666666666666663</v>
      </c>
      <c r="Q362">
        <f>[1]!survey_responses[[#This Row],[So với trước đây, tôi thấy cách tính thuế và các bậc thuế trong phương án mới đơn giản, dễ hiểu và dễ thực hiện hơn. - HUMAN-FAC2]]</f>
        <v>9</v>
      </c>
      <c r="R362">
        <f t="shared" si="144"/>
        <v>0.88888888888888884</v>
      </c>
      <c r="S362" s="32">
        <f t="shared" si="145"/>
        <v>0.61111111111111116</v>
      </c>
      <c r="T362" s="32">
        <f t="shared" si="146"/>
        <v>0.83333333333333326</v>
      </c>
      <c r="U362">
        <f>step3_validation[[#This Row],[AI_TRU1]]</f>
        <v>8</v>
      </c>
      <c r="V362">
        <f t="shared" si="147"/>
        <v>0.77777777777777779</v>
      </c>
      <c r="W362">
        <f>[1]!survey_responses[[#This Row],[Tôi tin rằng Nhà nước, cơ quan thuế sẽ thực thi chính sách mới một cách khách quan, công tâm và đối xử bình đẳng với mọi người nộp thuế.  - HUMAN-TRU1]]</f>
        <v>7</v>
      </c>
      <c r="X362">
        <f t="shared" si="148"/>
        <v>0.66666666666666663</v>
      </c>
      <c r="Y362">
        <f>step3_validation[[#This Row],[AI_TRU2]]</f>
        <v>7</v>
      </c>
      <c r="Z362">
        <f t="shared" si="149"/>
        <v>0.66666666666666663</v>
      </c>
      <c r="AA362">
        <f>[1]!survey_responses[[#This Row],[Tôi thấy mức thuế tôi phải đóng theo phương án mới là công bằng (người thu nhập như tôi đóng mức này là hợp lý). - HUMAN-TRU2]]</f>
        <v>10</v>
      </c>
      <c r="AB362">
        <f t="shared" si="150"/>
        <v>1</v>
      </c>
      <c r="AC362">
        <f>step3_validation[[#This Row],[AI_TRU3]]</f>
        <v>6</v>
      </c>
      <c r="AD362">
        <f t="shared" si="151"/>
        <v>0.55555555555555558</v>
      </c>
      <c r="AE362">
        <f>[1]!survey_responses[[#This Row],[Tôi tin tưởng số tiền thuế tôi đóng sẽ được Nhà nước sử dụng hiệu quả để cải thiện dịch vụ công (y tế, đường xá...). - HUMAN-TRU3]]</f>
        <v>8</v>
      </c>
      <c r="AF362">
        <f t="shared" si="152"/>
        <v>0.77777777777777779</v>
      </c>
      <c r="AG362">
        <f>step3_validation[[#This Row],[AI_TRU4]]</f>
        <v>7</v>
      </c>
      <c r="AH362">
        <f t="shared" si="153"/>
        <v>0.66666666666666663</v>
      </c>
      <c r="AI362">
        <f>[1]!survey_responses[[#This Row],[Tôi thấy Nhà nước đã giải thích rõ ràng, minh bạch về lý do và mục tiêu của việc sửa đổi thuế lần này. - HUMAN-TRU4]]</f>
        <v>8</v>
      </c>
      <c r="AJ362">
        <f t="shared" si="154"/>
        <v>0.77777777777777779</v>
      </c>
      <c r="AK362" s="32">
        <f t="shared" si="155"/>
        <v>0.66666666666666663</v>
      </c>
      <c r="AL362" s="32">
        <f t="shared" si="156"/>
        <v>0.80555555555555547</v>
      </c>
      <c r="AM362" s="7">
        <f t="shared" si="157"/>
        <v>0.66666666666666663</v>
      </c>
      <c r="AN362" s="7">
        <f t="shared" si="158"/>
        <v>0.76851851851851849</v>
      </c>
      <c r="AO362">
        <f>step3_validation[[#This Row],[AI_OUT1]]</f>
        <v>8</v>
      </c>
      <c r="AP362">
        <f t="shared" si="159"/>
        <v>0.77777777777777779</v>
      </c>
      <c r="AQ362">
        <f>[1]!survey_responses[[#This Row],[Sau khi xem xét các quyền lợi và nghĩa vụ, bạn có ủng hộ và tuân thủ chính sách mới hiện nay? - HUMAN-OUT1]]</f>
        <v>10</v>
      </c>
      <c r="AR362">
        <f t="shared" si="160"/>
        <v>1</v>
      </c>
      <c r="AS362" s="32">
        <f t="shared" si="161"/>
        <v>2</v>
      </c>
    </row>
    <row r="363" spans="1:45" x14ac:dyDescent="0.45">
      <c r="A363">
        <f>step3_validation[[#This Row],[AI_ENF1]]</f>
        <v>4</v>
      </c>
      <c r="B363">
        <f t="shared" si="135"/>
        <v>0.33333333333333331</v>
      </c>
      <c r="C363">
        <f>[1]!survey_responses[[#This Row],[Tôi tin rằng với các quy định quản lý thuế hiện nay, hành vi gian lận hoặc trốn thuế sẽ dễ dàng bị phát hiện và xử lý nghiêm. - HUMAN-ENF1]]</f>
        <v>3</v>
      </c>
      <c r="D363">
        <f t="shared" si="136"/>
        <v>0.22222222222222221</v>
      </c>
      <c r="E363">
        <f>step3_validation[[#This Row],[AI_ENF2]]</f>
        <v>5</v>
      </c>
      <c r="F363">
        <f t="shared" si="137"/>
        <v>0.44444444444444442</v>
      </c>
      <c r="G363">
        <f>[1]!survey_responses[[#This Row],[Tôi tin rằng Nhà nước, cơ quan thuế có đủ khả năng và công nghệ để phát hiện, xử lý nghiêm các hành vi trốn thuế. - HUMAN-ENF2]]</f>
        <v>3</v>
      </c>
      <c r="H363">
        <f t="shared" si="138"/>
        <v>0.22222222222222221</v>
      </c>
      <c r="I363" s="32">
        <f t="shared" si="139"/>
        <v>0.38888888888888884</v>
      </c>
      <c r="J363" s="32">
        <f t="shared" si="140"/>
        <v>0.22222222222222221</v>
      </c>
      <c r="K363">
        <f>step3_validation[[#This Row],[AI_FAC1]]</f>
        <v>7</v>
      </c>
      <c r="L363">
        <f t="shared" si="141"/>
        <v>0.66666666666666663</v>
      </c>
      <c r="M363">
        <f>[1]!survey_responses[[#This Row],[Các thủ tục khai báo thuế VÀ/HOẶC quy trình làm việc với cơ quan thuế đơn giản, tiện lợi, nhanh chóng hơn so với trước đây. - HUMAN-FAC1]]</f>
        <v>5</v>
      </c>
      <c r="N363">
        <f t="shared" si="142"/>
        <v>0.44444444444444442</v>
      </c>
      <c r="O363">
        <f>step3_validation[[#This Row],[AI_FAC2]]</f>
        <v>8</v>
      </c>
      <c r="P363">
        <f t="shared" si="143"/>
        <v>0.77777777777777779</v>
      </c>
      <c r="Q363">
        <f>[1]!survey_responses[[#This Row],[So với trước đây, tôi thấy cách tính thuế và các bậc thuế trong phương án mới đơn giản, dễ hiểu và dễ thực hiện hơn. - HUMAN-FAC2]]</f>
        <v>6</v>
      </c>
      <c r="R363">
        <f t="shared" si="144"/>
        <v>0.55555555555555558</v>
      </c>
      <c r="S363" s="32">
        <f t="shared" si="145"/>
        <v>0.72222222222222221</v>
      </c>
      <c r="T363" s="32">
        <f t="shared" si="146"/>
        <v>0.5</v>
      </c>
      <c r="U363">
        <f>step3_validation[[#This Row],[AI_TRU1]]</f>
        <v>6</v>
      </c>
      <c r="V363">
        <f t="shared" si="147"/>
        <v>0.55555555555555558</v>
      </c>
      <c r="W363">
        <f>[1]!survey_responses[[#This Row],[Tôi tin rằng Nhà nước, cơ quan thuế sẽ thực thi chính sách mới một cách khách quan, công tâm và đối xử bình đẳng với mọi người nộp thuế.  - HUMAN-TRU1]]</f>
        <v>5</v>
      </c>
      <c r="X363">
        <f t="shared" si="148"/>
        <v>0.44444444444444442</v>
      </c>
      <c r="Y363">
        <f>step3_validation[[#This Row],[AI_TRU2]]</f>
        <v>5</v>
      </c>
      <c r="Z363">
        <f t="shared" si="149"/>
        <v>0.44444444444444442</v>
      </c>
      <c r="AA363">
        <f>[1]!survey_responses[[#This Row],[Tôi thấy mức thuế tôi phải đóng theo phương án mới là công bằng (người thu nhập như tôi đóng mức này là hợp lý). - HUMAN-TRU2]]</f>
        <v>6</v>
      </c>
      <c r="AB363">
        <f t="shared" si="150"/>
        <v>0.55555555555555558</v>
      </c>
      <c r="AC363">
        <f>step3_validation[[#This Row],[AI_TRU3]]</f>
        <v>6</v>
      </c>
      <c r="AD363">
        <f t="shared" si="151"/>
        <v>0.55555555555555558</v>
      </c>
      <c r="AE363">
        <f>[1]!survey_responses[[#This Row],[Tôi tin tưởng số tiền thuế tôi đóng sẽ được Nhà nước sử dụng hiệu quả để cải thiện dịch vụ công (y tế, đường xá...). - HUMAN-TRU3]]</f>
        <v>4</v>
      </c>
      <c r="AF363">
        <f t="shared" si="152"/>
        <v>0.33333333333333331</v>
      </c>
      <c r="AG363">
        <f>step3_validation[[#This Row],[AI_TRU4]]</f>
        <v>4</v>
      </c>
      <c r="AH363">
        <f t="shared" si="153"/>
        <v>0.33333333333333331</v>
      </c>
      <c r="AI363">
        <f>[1]!survey_responses[[#This Row],[Tôi thấy Nhà nước đã giải thích rõ ràng, minh bạch về lý do và mục tiêu của việc sửa đổi thuế lần này. - HUMAN-TRU4]]</f>
        <v>6</v>
      </c>
      <c r="AJ363">
        <f t="shared" si="154"/>
        <v>0.55555555555555558</v>
      </c>
      <c r="AK363" s="32">
        <f t="shared" si="155"/>
        <v>0.47222222222222221</v>
      </c>
      <c r="AL363" s="32">
        <f t="shared" si="156"/>
        <v>0.47222222222222221</v>
      </c>
      <c r="AM363" s="7">
        <f t="shared" si="157"/>
        <v>0.52777777777777779</v>
      </c>
      <c r="AN363" s="7">
        <f t="shared" si="158"/>
        <v>0.39814814814814814</v>
      </c>
      <c r="AO363">
        <f>step3_validation[[#This Row],[AI_OUT1]]</f>
        <v>5</v>
      </c>
      <c r="AP363">
        <f t="shared" si="159"/>
        <v>0.44444444444444442</v>
      </c>
      <c r="AQ363">
        <f>[1]!survey_responses[[#This Row],[Sau khi xem xét các quyền lợi và nghĩa vụ, bạn có ủng hộ và tuân thủ chính sách mới hiện nay? - HUMAN-OUT1]]</f>
        <v>6</v>
      </c>
      <c r="AR363">
        <f t="shared" si="160"/>
        <v>0.55555555555555558</v>
      </c>
      <c r="AS363" s="32">
        <f t="shared" si="161"/>
        <v>1</v>
      </c>
    </row>
    <row r="364" spans="1:45" x14ac:dyDescent="0.45">
      <c r="A364">
        <f>step3_validation[[#This Row],[AI_ENF1]]</f>
        <v>7</v>
      </c>
      <c r="B364">
        <f t="shared" si="135"/>
        <v>0.66666666666666663</v>
      </c>
      <c r="C364">
        <f>[1]!survey_responses[[#This Row],[Tôi tin rằng với các quy định quản lý thuế hiện nay, hành vi gian lận hoặc trốn thuế sẽ dễ dàng bị phát hiện và xử lý nghiêm. - HUMAN-ENF1]]</f>
        <v>8</v>
      </c>
      <c r="D364">
        <f t="shared" si="136"/>
        <v>0.77777777777777779</v>
      </c>
      <c r="E364">
        <f>step3_validation[[#This Row],[AI_ENF2]]</f>
        <v>6</v>
      </c>
      <c r="F364">
        <f t="shared" si="137"/>
        <v>0.55555555555555558</v>
      </c>
      <c r="G364">
        <f>[1]!survey_responses[[#This Row],[Tôi tin rằng Nhà nước, cơ quan thuế có đủ khả năng và công nghệ để phát hiện, xử lý nghiêm các hành vi trốn thuế. - HUMAN-ENF2]]</f>
        <v>8</v>
      </c>
      <c r="H364">
        <f t="shared" si="138"/>
        <v>0.77777777777777779</v>
      </c>
      <c r="I364" s="32">
        <f t="shared" si="139"/>
        <v>0.61111111111111116</v>
      </c>
      <c r="J364" s="32">
        <f t="shared" si="140"/>
        <v>0.77777777777777779</v>
      </c>
      <c r="K364">
        <f>step3_validation[[#This Row],[AI_FAC1]]</f>
        <v>8</v>
      </c>
      <c r="L364">
        <f t="shared" si="141"/>
        <v>0.77777777777777779</v>
      </c>
      <c r="M364">
        <f>[1]!survey_responses[[#This Row],[Các thủ tục khai báo thuế VÀ/HOẶC quy trình làm việc với cơ quan thuế đơn giản, tiện lợi, nhanh chóng hơn so với trước đây. - HUMAN-FAC1]]</f>
        <v>5</v>
      </c>
      <c r="N364">
        <f t="shared" si="142"/>
        <v>0.44444444444444442</v>
      </c>
      <c r="O364">
        <f>step3_validation[[#This Row],[AI_FAC2]]</f>
        <v>9</v>
      </c>
      <c r="P364">
        <f t="shared" si="143"/>
        <v>0.88888888888888884</v>
      </c>
      <c r="Q364">
        <f>[1]!survey_responses[[#This Row],[So với trước đây, tôi thấy cách tính thuế và các bậc thuế trong phương án mới đơn giản, dễ hiểu và dễ thực hiện hơn. - HUMAN-FAC2]]</f>
        <v>7</v>
      </c>
      <c r="R364">
        <f t="shared" si="144"/>
        <v>0.66666666666666663</v>
      </c>
      <c r="S364" s="32">
        <f t="shared" si="145"/>
        <v>0.83333333333333326</v>
      </c>
      <c r="T364" s="32">
        <f t="shared" si="146"/>
        <v>0.55555555555555558</v>
      </c>
      <c r="U364">
        <f>step3_validation[[#This Row],[AI_TRU1]]</f>
        <v>7</v>
      </c>
      <c r="V364">
        <f t="shared" si="147"/>
        <v>0.66666666666666663</v>
      </c>
      <c r="W364">
        <f>[1]!survey_responses[[#This Row],[Tôi tin rằng Nhà nước, cơ quan thuế sẽ thực thi chính sách mới một cách khách quan, công tâm và đối xử bình đẳng với mọi người nộp thuế.  - HUMAN-TRU1]]</f>
        <v>5</v>
      </c>
      <c r="X364">
        <f t="shared" si="148"/>
        <v>0.44444444444444442</v>
      </c>
      <c r="Y364">
        <f>step3_validation[[#This Row],[AI_TRU2]]</f>
        <v>8</v>
      </c>
      <c r="Z364">
        <f t="shared" si="149"/>
        <v>0.77777777777777779</v>
      </c>
      <c r="AA364">
        <f>[1]!survey_responses[[#This Row],[Tôi thấy mức thuế tôi phải đóng theo phương án mới là công bằng (người thu nhập như tôi đóng mức này là hợp lý). - HUMAN-TRU2]]</f>
        <v>8</v>
      </c>
      <c r="AB364">
        <f t="shared" si="150"/>
        <v>0.77777777777777779</v>
      </c>
      <c r="AC364">
        <f>step3_validation[[#This Row],[AI_TRU3]]</f>
        <v>6</v>
      </c>
      <c r="AD364">
        <f t="shared" si="151"/>
        <v>0.55555555555555558</v>
      </c>
      <c r="AE364">
        <f>[1]!survey_responses[[#This Row],[Tôi tin tưởng số tiền thuế tôi đóng sẽ được Nhà nước sử dụng hiệu quả để cải thiện dịch vụ công (y tế, đường xá...). - HUMAN-TRU3]]</f>
        <v>5</v>
      </c>
      <c r="AF364">
        <f t="shared" si="152"/>
        <v>0.44444444444444442</v>
      </c>
      <c r="AG364">
        <f>step3_validation[[#This Row],[AI_TRU4]]</f>
        <v>7</v>
      </c>
      <c r="AH364">
        <f t="shared" si="153"/>
        <v>0.66666666666666663</v>
      </c>
      <c r="AI364">
        <f>[1]!survey_responses[[#This Row],[Tôi thấy Nhà nước đã giải thích rõ ràng, minh bạch về lý do và mục tiêu của việc sửa đổi thuế lần này. - HUMAN-TRU4]]</f>
        <v>7</v>
      </c>
      <c r="AJ364">
        <f t="shared" si="154"/>
        <v>0.66666666666666663</v>
      </c>
      <c r="AK364" s="32">
        <f t="shared" si="155"/>
        <v>0.66666666666666663</v>
      </c>
      <c r="AL364" s="32">
        <f t="shared" si="156"/>
        <v>0.58333333333333337</v>
      </c>
      <c r="AM364" s="7">
        <f t="shared" si="157"/>
        <v>0.70370370370370372</v>
      </c>
      <c r="AN364" s="7">
        <f t="shared" si="158"/>
        <v>0.63888888888888895</v>
      </c>
      <c r="AO364">
        <f>step3_validation[[#This Row],[AI_OUT1]]</f>
        <v>8</v>
      </c>
      <c r="AP364">
        <f t="shared" si="159"/>
        <v>0.77777777777777779</v>
      </c>
      <c r="AQ364">
        <f>[1]!survey_responses[[#This Row],[Sau khi xem xét các quyền lợi và nghĩa vụ, bạn có ủng hộ và tuân thủ chính sách mới hiện nay? - HUMAN-OUT1]]</f>
        <v>8</v>
      </c>
      <c r="AR364">
        <f t="shared" si="160"/>
        <v>0.77777777777777779</v>
      </c>
      <c r="AS364" s="32">
        <f t="shared" si="161"/>
        <v>0</v>
      </c>
    </row>
    <row r="365" spans="1:45" x14ac:dyDescent="0.45">
      <c r="A365">
        <f>step3_validation[[#This Row],[AI_ENF1]]</f>
        <v>7</v>
      </c>
      <c r="B365">
        <f t="shared" si="135"/>
        <v>0.66666666666666663</v>
      </c>
      <c r="C365">
        <f>[1]!survey_responses[[#This Row],[Tôi tin rằng với các quy định quản lý thuế hiện nay, hành vi gian lận hoặc trốn thuế sẽ dễ dàng bị phát hiện và xử lý nghiêm. - HUMAN-ENF1]]</f>
        <v>4</v>
      </c>
      <c r="D365">
        <f t="shared" si="136"/>
        <v>0.33333333333333331</v>
      </c>
      <c r="E365">
        <f>step3_validation[[#This Row],[AI_ENF2]]</f>
        <v>8</v>
      </c>
      <c r="F365">
        <f t="shared" si="137"/>
        <v>0.77777777777777779</v>
      </c>
      <c r="G365">
        <f>[1]!survey_responses[[#This Row],[Tôi tin rằng Nhà nước, cơ quan thuế có đủ khả năng và công nghệ để phát hiện, xử lý nghiêm các hành vi trốn thuế. - HUMAN-ENF2]]</f>
        <v>5</v>
      </c>
      <c r="H365">
        <f t="shared" si="138"/>
        <v>0.44444444444444442</v>
      </c>
      <c r="I365" s="32">
        <f t="shared" si="139"/>
        <v>0.72222222222222221</v>
      </c>
      <c r="J365" s="32">
        <f t="shared" si="140"/>
        <v>0.38888888888888884</v>
      </c>
      <c r="K365">
        <f>step3_validation[[#This Row],[AI_FAC1]]</f>
        <v>6</v>
      </c>
      <c r="L365">
        <f t="shared" si="141"/>
        <v>0.55555555555555558</v>
      </c>
      <c r="M365">
        <f>[1]!survey_responses[[#This Row],[Các thủ tục khai báo thuế VÀ/HOẶC quy trình làm việc với cơ quan thuế đơn giản, tiện lợi, nhanh chóng hơn so với trước đây. - HUMAN-FAC1]]</f>
        <v>5</v>
      </c>
      <c r="N365">
        <f t="shared" si="142"/>
        <v>0.44444444444444442</v>
      </c>
      <c r="O365">
        <f>step3_validation[[#This Row],[AI_FAC2]]</f>
        <v>7</v>
      </c>
      <c r="P365">
        <f t="shared" si="143"/>
        <v>0.66666666666666663</v>
      </c>
      <c r="Q365">
        <f>[1]!survey_responses[[#This Row],[So với trước đây, tôi thấy cách tính thuế và các bậc thuế trong phương án mới đơn giản, dễ hiểu và dễ thực hiện hơn. - HUMAN-FAC2]]</f>
        <v>7</v>
      </c>
      <c r="R365">
        <f t="shared" si="144"/>
        <v>0.66666666666666663</v>
      </c>
      <c r="S365" s="32">
        <f t="shared" si="145"/>
        <v>0.61111111111111116</v>
      </c>
      <c r="T365" s="32">
        <f t="shared" si="146"/>
        <v>0.55555555555555558</v>
      </c>
      <c r="U365">
        <f>step3_validation[[#This Row],[AI_TRU1]]</f>
        <v>5</v>
      </c>
      <c r="V365">
        <f t="shared" si="147"/>
        <v>0.44444444444444442</v>
      </c>
      <c r="W365">
        <f>[1]!survey_responses[[#This Row],[Tôi tin rằng Nhà nước, cơ quan thuế sẽ thực thi chính sách mới một cách khách quan, công tâm và đối xử bình đẳng với mọi người nộp thuế.  - HUMAN-TRU1]]</f>
        <v>5</v>
      </c>
      <c r="X365">
        <f t="shared" si="148"/>
        <v>0.44444444444444442</v>
      </c>
      <c r="Y365">
        <f>step3_validation[[#This Row],[AI_TRU2]]</f>
        <v>6</v>
      </c>
      <c r="Z365">
        <f t="shared" si="149"/>
        <v>0.55555555555555558</v>
      </c>
      <c r="AA365">
        <f>[1]!survey_responses[[#This Row],[Tôi thấy mức thuế tôi phải đóng theo phương án mới là công bằng (người thu nhập như tôi đóng mức này là hợp lý). - HUMAN-TRU2]]</f>
        <v>7</v>
      </c>
      <c r="AB365">
        <f t="shared" si="150"/>
        <v>0.66666666666666663</v>
      </c>
      <c r="AC365">
        <f>step3_validation[[#This Row],[AI_TRU3]]</f>
        <v>4</v>
      </c>
      <c r="AD365">
        <f t="shared" si="151"/>
        <v>0.33333333333333331</v>
      </c>
      <c r="AE365">
        <f>[1]!survey_responses[[#This Row],[Tôi tin tưởng số tiền thuế tôi đóng sẽ được Nhà nước sử dụng hiệu quả để cải thiện dịch vụ công (y tế, đường xá...). - HUMAN-TRU3]]</f>
        <v>5</v>
      </c>
      <c r="AF365">
        <f t="shared" si="152"/>
        <v>0.44444444444444442</v>
      </c>
      <c r="AG365">
        <f>step3_validation[[#This Row],[AI_TRU4]]</f>
        <v>5</v>
      </c>
      <c r="AH365">
        <f t="shared" si="153"/>
        <v>0.44444444444444442</v>
      </c>
      <c r="AI365">
        <f>[1]!survey_responses[[#This Row],[Tôi thấy Nhà nước đã giải thích rõ ràng, minh bạch về lý do và mục tiêu của việc sửa đổi thuế lần này. - HUMAN-TRU4]]</f>
        <v>6</v>
      </c>
      <c r="AJ365">
        <f t="shared" si="154"/>
        <v>0.55555555555555558</v>
      </c>
      <c r="AK365" s="32">
        <f t="shared" si="155"/>
        <v>0.44444444444444442</v>
      </c>
      <c r="AL365" s="32">
        <f t="shared" si="156"/>
        <v>0.52777777777777779</v>
      </c>
      <c r="AM365" s="7">
        <f t="shared" si="157"/>
        <v>0.59259259259259267</v>
      </c>
      <c r="AN365" s="7">
        <f t="shared" si="158"/>
        <v>0.49074074074074076</v>
      </c>
      <c r="AO365">
        <f>step3_validation[[#This Row],[AI_OUT1]]</f>
        <v>6</v>
      </c>
      <c r="AP365">
        <f t="shared" si="159"/>
        <v>0.55555555555555558</v>
      </c>
      <c r="AQ365">
        <f>[1]!survey_responses[[#This Row],[Sau khi xem xét các quyền lợi và nghĩa vụ, bạn có ủng hộ và tuân thủ chính sách mới hiện nay? - HUMAN-OUT1]]</f>
        <v>7</v>
      </c>
      <c r="AR365">
        <f t="shared" si="160"/>
        <v>0.66666666666666663</v>
      </c>
      <c r="AS365" s="32">
        <f t="shared" si="161"/>
        <v>1</v>
      </c>
    </row>
    <row r="366" spans="1:45" x14ac:dyDescent="0.45">
      <c r="A366">
        <f>step3_validation[[#This Row],[AI_ENF1]]</f>
        <v>6</v>
      </c>
      <c r="B366">
        <f t="shared" si="135"/>
        <v>0.55555555555555558</v>
      </c>
      <c r="C366">
        <f>[1]!survey_responses[[#This Row],[Tôi tin rằng với các quy định quản lý thuế hiện nay, hành vi gian lận hoặc trốn thuế sẽ dễ dàng bị phát hiện và xử lý nghiêm. - HUMAN-ENF1]]</f>
        <v>9</v>
      </c>
      <c r="D366">
        <f t="shared" si="136"/>
        <v>0.88888888888888884</v>
      </c>
      <c r="E366">
        <f>step3_validation[[#This Row],[AI_ENF2]]</f>
        <v>7</v>
      </c>
      <c r="F366">
        <f t="shared" si="137"/>
        <v>0.66666666666666663</v>
      </c>
      <c r="G366">
        <f>[1]!survey_responses[[#This Row],[Tôi tin rằng Nhà nước, cơ quan thuế có đủ khả năng và công nghệ để phát hiện, xử lý nghiêm các hành vi trốn thuế. - HUMAN-ENF2]]</f>
        <v>9</v>
      </c>
      <c r="H366">
        <f t="shared" si="138"/>
        <v>0.88888888888888884</v>
      </c>
      <c r="I366" s="32">
        <f t="shared" si="139"/>
        <v>0.61111111111111116</v>
      </c>
      <c r="J366" s="32">
        <f t="shared" si="140"/>
        <v>0.88888888888888884</v>
      </c>
      <c r="K366">
        <f>step3_validation[[#This Row],[AI_FAC1]]</f>
        <v>8</v>
      </c>
      <c r="L366">
        <f t="shared" si="141"/>
        <v>0.77777777777777779</v>
      </c>
      <c r="M366">
        <f>[1]!survey_responses[[#This Row],[Các thủ tục khai báo thuế VÀ/HOẶC quy trình làm việc với cơ quan thuế đơn giản, tiện lợi, nhanh chóng hơn so với trước đây. - HUMAN-FAC1]]</f>
        <v>8</v>
      </c>
      <c r="N366">
        <f t="shared" si="142"/>
        <v>0.77777777777777779</v>
      </c>
      <c r="O366">
        <f>step3_validation[[#This Row],[AI_FAC2]]</f>
        <v>7</v>
      </c>
      <c r="P366">
        <f t="shared" si="143"/>
        <v>0.66666666666666663</v>
      </c>
      <c r="Q366">
        <f>[1]!survey_responses[[#This Row],[So với trước đây, tôi thấy cách tính thuế và các bậc thuế trong phương án mới đơn giản, dễ hiểu và dễ thực hiện hơn. - HUMAN-FAC2]]</f>
        <v>9</v>
      </c>
      <c r="R366">
        <f t="shared" si="144"/>
        <v>0.88888888888888884</v>
      </c>
      <c r="S366" s="32">
        <f t="shared" si="145"/>
        <v>0.72222222222222221</v>
      </c>
      <c r="T366" s="32">
        <f t="shared" si="146"/>
        <v>0.83333333333333326</v>
      </c>
      <c r="U366">
        <f>step3_validation[[#This Row],[AI_TRU1]]</f>
        <v>6</v>
      </c>
      <c r="V366">
        <f t="shared" si="147"/>
        <v>0.55555555555555558</v>
      </c>
      <c r="W366">
        <f>[1]!survey_responses[[#This Row],[Tôi tin rằng Nhà nước, cơ quan thuế sẽ thực thi chính sách mới một cách khách quan, công tâm và đối xử bình đẳng với mọi người nộp thuế.  - HUMAN-TRU1]]</f>
        <v>9</v>
      </c>
      <c r="X366">
        <f t="shared" si="148"/>
        <v>0.88888888888888884</v>
      </c>
      <c r="Y366">
        <f>step3_validation[[#This Row],[AI_TRU2]]</f>
        <v>5</v>
      </c>
      <c r="Z366">
        <f t="shared" si="149"/>
        <v>0.44444444444444442</v>
      </c>
      <c r="AA366">
        <f>[1]!survey_responses[[#This Row],[Tôi thấy mức thuế tôi phải đóng theo phương án mới là công bằng (người thu nhập như tôi đóng mức này là hợp lý). - HUMAN-TRU2]]</f>
        <v>7</v>
      </c>
      <c r="AB366">
        <f t="shared" si="150"/>
        <v>0.66666666666666663</v>
      </c>
      <c r="AC366">
        <f>step3_validation[[#This Row],[AI_TRU3]]</f>
        <v>4</v>
      </c>
      <c r="AD366">
        <f t="shared" si="151"/>
        <v>0.33333333333333331</v>
      </c>
      <c r="AE366">
        <f>[1]!survey_responses[[#This Row],[Tôi tin tưởng số tiền thuế tôi đóng sẽ được Nhà nước sử dụng hiệu quả để cải thiện dịch vụ công (y tế, đường xá...). - HUMAN-TRU3]]</f>
        <v>7</v>
      </c>
      <c r="AF366">
        <f t="shared" si="152"/>
        <v>0.66666666666666663</v>
      </c>
      <c r="AG366">
        <f>step3_validation[[#This Row],[AI_TRU4]]</f>
        <v>5</v>
      </c>
      <c r="AH366">
        <f t="shared" si="153"/>
        <v>0.44444444444444442</v>
      </c>
      <c r="AI366">
        <f>[1]!survey_responses[[#This Row],[Tôi thấy Nhà nước đã giải thích rõ ràng, minh bạch về lý do và mục tiêu của việc sửa đổi thuế lần này. - HUMAN-TRU4]]</f>
        <v>7</v>
      </c>
      <c r="AJ366">
        <f t="shared" si="154"/>
        <v>0.66666666666666663</v>
      </c>
      <c r="AK366" s="32">
        <f t="shared" si="155"/>
        <v>0.44444444444444442</v>
      </c>
      <c r="AL366" s="32">
        <f t="shared" si="156"/>
        <v>0.7222222222222221</v>
      </c>
      <c r="AM366" s="7">
        <f t="shared" si="157"/>
        <v>0.59259259259259267</v>
      </c>
      <c r="AN366" s="7">
        <f t="shared" si="158"/>
        <v>0.81481481481481477</v>
      </c>
      <c r="AO366">
        <f>step3_validation[[#This Row],[AI_OUT1]]</f>
        <v>6</v>
      </c>
      <c r="AP366">
        <f t="shared" si="159"/>
        <v>0.55555555555555558</v>
      </c>
      <c r="AQ366">
        <f>[1]!survey_responses[[#This Row],[Sau khi xem xét các quyền lợi và nghĩa vụ, bạn có ủng hộ và tuân thủ chính sách mới hiện nay? - HUMAN-OUT1]]</f>
        <v>7</v>
      </c>
      <c r="AR366">
        <f t="shared" si="160"/>
        <v>0.66666666666666663</v>
      </c>
      <c r="AS366" s="32">
        <f t="shared" si="161"/>
        <v>1</v>
      </c>
    </row>
    <row r="367" spans="1:45" x14ac:dyDescent="0.45">
      <c r="A367">
        <f>step3_validation[[#This Row],[AI_ENF1]]</f>
        <v>8</v>
      </c>
      <c r="B367">
        <f t="shared" si="135"/>
        <v>0.77777777777777779</v>
      </c>
      <c r="C367">
        <f>[1]!survey_responses[[#This Row],[Tôi tin rằng với các quy định quản lý thuế hiện nay, hành vi gian lận hoặc trốn thuế sẽ dễ dàng bị phát hiện và xử lý nghiêm. - HUMAN-ENF1]]</f>
        <v>7</v>
      </c>
      <c r="D367">
        <f t="shared" si="136"/>
        <v>0.66666666666666663</v>
      </c>
      <c r="E367">
        <f>step3_validation[[#This Row],[AI_ENF2]]</f>
        <v>9</v>
      </c>
      <c r="F367">
        <f t="shared" si="137"/>
        <v>0.88888888888888884</v>
      </c>
      <c r="G367">
        <f>[1]!survey_responses[[#This Row],[Tôi tin rằng Nhà nước, cơ quan thuế có đủ khả năng và công nghệ để phát hiện, xử lý nghiêm các hành vi trốn thuế. - HUMAN-ENF2]]</f>
        <v>8</v>
      </c>
      <c r="H367">
        <f t="shared" si="138"/>
        <v>0.77777777777777779</v>
      </c>
      <c r="I367" s="32">
        <f t="shared" si="139"/>
        <v>0.83333333333333326</v>
      </c>
      <c r="J367" s="32">
        <f t="shared" si="140"/>
        <v>0.72222222222222221</v>
      </c>
      <c r="K367">
        <f>step3_validation[[#This Row],[AI_FAC1]]</f>
        <v>7</v>
      </c>
      <c r="L367">
        <f t="shared" si="141"/>
        <v>0.66666666666666663</v>
      </c>
      <c r="M367">
        <f>[1]!survey_responses[[#This Row],[Các thủ tục khai báo thuế VÀ/HOẶC quy trình làm việc với cơ quan thuế đơn giản, tiện lợi, nhanh chóng hơn so với trước đây. - HUMAN-FAC1]]</f>
        <v>8</v>
      </c>
      <c r="N367">
        <f t="shared" si="142"/>
        <v>0.77777777777777779</v>
      </c>
      <c r="O367">
        <f>step3_validation[[#This Row],[AI_FAC2]]</f>
        <v>8</v>
      </c>
      <c r="P367">
        <f t="shared" si="143"/>
        <v>0.77777777777777779</v>
      </c>
      <c r="Q367">
        <f>[1]!survey_responses[[#This Row],[So với trước đây, tôi thấy cách tính thuế và các bậc thuế trong phương án mới đơn giản, dễ hiểu và dễ thực hiện hơn. - HUMAN-FAC2]]</f>
        <v>8</v>
      </c>
      <c r="R367">
        <f t="shared" si="144"/>
        <v>0.77777777777777779</v>
      </c>
      <c r="S367" s="32">
        <f t="shared" si="145"/>
        <v>0.72222222222222221</v>
      </c>
      <c r="T367" s="32">
        <f t="shared" si="146"/>
        <v>0.77777777777777779</v>
      </c>
      <c r="U367">
        <f>step3_validation[[#This Row],[AI_TRU1]]</f>
        <v>9</v>
      </c>
      <c r="V367">
        <f t="shared" si="147"/>
        <v>0.88888888888888884</v>
      </c>
      <c r="W367">
        <f>[1]!survey_responses[[#This Row],[Tôi tin rằng Nhà nước, cơ quan thuế sẽ thực thi chính sách mới một cách khách quan, công tâm và đối xử bình đẳng với mọi người nộp thuế.  - HUMAN-TRU1]]</f>
        <v>5</v>
      </c>
      <c r="X367">
        <f t="shared" si="148"/>
        <v>0.44444444444444442</v>
      </c>
      <c r="Y367">
        <f>step3_validation[[#This Row],[AI_TRU2]]</f>
        <v>8</v>
      </c>
      <c r="Z367">
        <f t="shared" si="149"/>
        <v>0.77777777777777779</v>
      </c>
      <c r="AA367">
        <f>[1]!survey_responses[[#This Row],[Tôi thấy mức thuế tôi phải đóng theo phương án mới là công bằng (người thu nhập như tôi đóng mức này là hợp lý). - HUMAN-TRU2]]</f>
        <v>6</v>
      </c>
      <c r="AB367">
        <f t="shared" si="150"/>
        <v>0.55555555555555558</v>
      </c>
      <c r="AC367">
        <f>step3_validation[[#This Row],[AI_TRU3]]</f>
        <v>7</v>
      </c>
      <c r="AD367">
        <f t="shared" si="151"/>
        <v>0.66666666666666663</v>
      </c>
      <c r="AE367">
        <f>[1]!survey_responses[[#This Row],[Tôi tin tưởng số tiền thuế tôi đóng sẽ được Nhà nước sử dụng hiệu quả để cải thiện dịch vụ công (y tế, đường xá...). - HUMAN-TRU3]]</f>
        <v>5</v>
      </c>
      <c r="AF367">
        <f t="shared" si="152"/>
        <v>0.44444444444444442</v>
      </c>
      <c r="AG367">
        <f>step3_validation[[#This Row],[AI_TRU4]]</f>
        <v>6</v>
      </c>
      <c r="AH367">
        <f t="shared" si="153"/>
        <v>0.55555555555555558</v>
      </c>
      <c r="AI367">
        <f>[1]!survey_responses[[#This Row],[Tôi thấy Nhà nước đã giải thích rõ ràng, minh bạch về lý do và mục tiêu của việc sửa đổi thuế lần này. - HUMAN-TRU4]]</f>
        <v>6</v>
      </c>
      <c r="AJ367">
        <f t="shared" si="154"/>
        <v>0.55555555555555558</v>
      </c>
      <c r="AK367" s="32">
        <f t="shared" si="155"/>
        <v>0.7222222222222221</v>
      </c>
      <c r="AL367" s="32">
        <f t="shared" si="156"/>
        <v>0.5</v>
      </c>
      <c r="AM367" s="7">
        <f t="shared" si="157"/>
        <v>0.75925925925925919</v>
      </c>
      <c r="AN367" s="7">
        <f t="shared" si="158"/>
        <v>0.66666666666666663</v>
      </c>
      <c r="AO367">
        <f>step3_validation[[#This Row],[AI_OUT1]]</f>
        <v>5</v>
      </c>
      <c r="AP367">
        <f t="shared" si="159"/>
        <v>0.44444444444444442</v>
      </c>
      <c r="AQ367">
        <f>[1]!survey_responses[[#This Row],[Sau khi xem xét các quyền lợi và nghĩa vụ, bạn có ủng hộ và tuân thủ chính sách mới hiện nay? - HUMAN-OUT1]]</f>
        <v>6</v>
      </c>
      <c r="AR367">
        <f t="shared" si="160"/>
        <v>0.55555555555555558</v>
      </c>
      <c r="AS367" s="32">
        <f t="shared" si="161"/>
        <v>1</v>
      </c>
    </row>
    <row r="368" spans="1:45" x14ac:dyDescent="0.45">
      <c r="A368">
        <f>step3_validation[[#This Row],[AI_ENF1]]</f>
        <v>7</v>
      </c>
      <c r="B368">
        <f t="shared" si="135"/>
        <v>0.66666666666666663</v>
      </c>
      <c r="C368">
        <f>[1]!survey_responses[[#This Row],[Tôi tin rằng với các quy định quản lý thuế hiện nay, hành vi gian lận hoặc trốn thuế sẽ dễ dàng bị phát hiện và xử lý nghiêm. - HUMAN-ENF1]]</f>
        <v>8</v>
      </c>
      <c r="D368">
        <f t="shared" si="136"/>
        <v>0.77777777777777779</v>
      </c>
      <c r="E368">
        <f>step3_validation[[#This Row],[AI_ENF2]]</f>
        <v>8</v>
      </c>
      <c r="F368">
        <f t="shared" si="137"/>
        <v>0.77777777777777779</v>
      </c>
      <c r="G368">
        <f>[1]!survey_responses[[#This Row],[Tôi tin rằng Nhà nước, cơ quan thuế có đủ khả năng và công nghệ để phát hiện, xử lý nghiêm các hành vi trốn thuế. - HUMAN-ENF2]]</f>
        <v>9</v>
      </c>
      <c r="H368">
        <f t="shared" si="138"/>
        <v>0.88888888888888884</v>
      </c>
      <c r="I368" s="32">
        <f t="shared" si="139"/>
        <v>0.72222222222222221</v>
      </c>
      <c r="J368" s="32">
        <f t="shared" si="140"/>
        <v>0.83333333333333326</v>
      </c>
      <c r="K368">
        <f>step3_validation[[#This Row],[AI_FAC1]]</f>
        <v>9</v>
      </c>
      <c r="L368">
        <f t="shared" si="141"/>
        <v>0.88888888888888884</v>
      </c>
      <c r="M368">
        <f>[1]!survey_responses[[#This Row],[Các thủ tục khai báo thuế VÀ/HOẶC quy trình làm việc với cơ quan thuế đơn giản, tiện lợi, nhanh chóng hơn so với trước đây. - HUMAN-FAC1]]</f>
        <v>8</v>
      </c>
      <c r="N368">
        <f t="shared" si="142"/>
        <v>0.77777777777777779</v>
      </c>
      <c r="O368">
        <f>step3_validation[[#This Row],[AI_FAC2]]</f>
        <v>8</v>
      </c>
      <c r="P368">
        <f t="shared" si="143"/>
        <v>0.77777777777777779</v>
      </c>
      <c r="Q368">
        <f>[1]!survey_responses[[#This Row],[So với trước đây, tôi thấy cách tính thuế và các bậc thuế trong phương án mới đơn giản, dễ hiểu và dễ thực hiện hơn. - HUMAN-FAC2]]</f>
        <v>8</v>
      </c>
      <c r="R368">
        <f t="shared" si="144"/>
        <v>0.77777777777777779</v>
      </c>
      <c r="S368" s="32">
        <f t="shared" si="145"/>
        <v>0.83333333333333326</v>
      </c>
      <c r="T368" s="32">
        <f t="shared" si="146"/>
        <v>0.77777777777777779</v>
      </c>
      <c r="U368">
        <f>step3_validation[[#This Row],[AI_TRU1]]</f>
        <v>7</v>
      </c>
      <c r="V368">
        <f t="shared" si="147"/>
        <v>0.66666666666666663</v>
      </c>
      <c r="W368">
        <f>[1]!survey_responses[[#This Row],[Tôi tin rằng Nhà nước, cơ quan thuế sẽ thực thi chính sách mới một cách khách quan, công tâm và đối xử bình đẳng với mọi người nộp thuế.  - HUMAN-TRU1]]</f>
        <v>9</v>
      </c>
      <c r="X368">
        <f t="shared" si="148"/>
        <v>0.88888888888888884</v>
      </c>
      <c r="Y368">
        <f>step3_validation[[#This Row],[AI_TRU2]]</f>
        <v>6</v>
      </c>
      <c r="Z368">
        <f t="shared" si="149"/>
        <v>0.55555555555555558</v>
      </c>
      <c r="AA368">
        <f>[1]!survey_responses[[#This Row],[Tôi thấy mức thuế tôi phải đóng theo phương án mới là công bằng (người thu nhập như tôi đóng mức này là hợp lý). - HUMAN-TRU2]]</f>
        <v>10</v>
      </c>
      <c r="AB368">
        <f t="shared" si="150"/>
        <v>1</v>
      </c>
      <c r="AC368">
        <f>step3_validation[[#This Row],[AI_TRU3]]</f>
        <v>5</v>
      </c>
      <c r="AD368">
        <f t="shared" si="151"/>
        <v>0.44444444444444442</v>
      </c>
      <c r="AE368">
        <f>[1]!survey_responses[[#This Row],[Tôi tin tưởng số tiền thuế tôi đóng sẽ được Nhà nước sử dụng hiệu quả để cải thiện dịch vụ công (y tế, đường xá...). - HUMAN-TRU3]]</f>
        <v>10</v>
      </c>
      <c r="AF368">
        <f t="shared" si="152"/>
        <v>1</v>
      </c>
      <c r="AG368">
        <f>step3_validation[[#This Row],[AI_TRU4]]</f>
        <v>4</v>
      </c>
      <c r="AH368">
        <f t="shared" si="153"/>
        <v>0.33333333333333331</v>
      </c>
      <c r="AI368">
        <f>[1]!survey_responses[[#This Row],[Tôi thấy Nhà nước đã giải thích rõ ràng, minh bạch về lý do và mục tiêu của việc sửa đổi thuế lần này. - HUMAN-TRU4]]</f>
        <v>9</v>
      </c>
      <c r="AJ368">
        <f t="shared" si="154"/>
        <v>0.88888888888888884</v>
      </c>
      <c r="AK368" s="32">
        <f t="shared" si="155"/>
        <v>0.5</v>
      </c>
      <c r="AL368" s="32">
        <f t="shared" si="156"/>
        <v>0.94444444444444442</v>
      </c>
      <c r="AM368" s="7">
        <f t="shared" si="157"/>
        <v>0.68518518518518512</v>
      </c>
      <c r="AN368" s="7">
        <f t="shared" si="158"/>
        <v>0.85185185185185175</v>
      </c>
      <c r="AO368">
        <f>step3_validation[[#This Row],[AI_OUT1]]</f>
        <v>6</v>
      </c>
      <c r="AP368">
        <f t="shared" si="159"/>
        <v>0.55555555555555558</v>
      </c>
      <c r="AQ368">
        <f>[1]!survey_responses[[#This Row],[Sau khi xem xét các quyền lợi và nghĩa vụ, bạn có ủng hộ và tuân thủ chính sách mới hiện nay? - HUMAN-OUT1]]</f>
        <v>10</v>
      </c>
      <c r="AR368">
        <f t="shared" si="160"/>
        <v>1</v>
      </c>
      <c r="AS368" s="32">
        <f t="shared" si="161"/>
        <v>4</v>
      </c>
    </row>
    <row r="369" spans="1:45" x14ac:dyDescent="0.45">
      <c r="A369">
        <f>step3_validation[[#This Row],[AI_ENF1]]</f>
        <v>5</v>
      </c>
      <c r="B369">
        <f t="shared" si="135"/>
        <v>0.44444444444444442</v>
      </c>
      <c r="C369">
        <f>[1]!survey_responses[[#This Row],[Tôi tin rằng với các quy định quản lý thuế hiện nay, hành vi gian lận hoặc trốn thuế sẽ dễ dàng bị phát hiện và xử lý nghiêm. - HUMAN-ENF1]]</f>
        <v>7</v>
      </c>
      <c r="D369">
        <f t="shared" si="136"/>
        <v>0.66666666666666663</v>
      </c>
      <c r="E369">
        <f>step3_validation[[#This Row],[AI_ENF2]]</f>
        <v>6</v>
      </c>
      <c r="F369">
        <f t="shared" si="137"/>
        <v>0.55555555555555558</v>
      </c>
      <c r="G369">
        <f>[1]!survey_responses[[#This Row],[Tôi tin rằng Nhà nước, cơ quan thuế có đủ khả năng và công nghệ để phát hiện, xử lý nghiêm các hành vi trốn thuế. - HUMAN-ENF2]]</f>
        <v>7</v>
      </c>
      <c r="H369">
        <f t="shared" si="138"/>
        <v>0.66666666666666663</v>
      </c>
      <c r="I369" s="32">
        <f t="shared" si="139"/>
        <v>0.5</v>
      </c>
      <c r="J369" s="32">
        <f t="shared" si="140"/>
        <v>0.66666666666666663</v>
      </c>
      <c r="K369">
        <f>step3_validation[[#This Row],[AI_FAC1]]</f>
        <v>8</v>
      </c>
      <c r="L369">
        <f t="shared" si="141"/>
        <v>0.77777777777777779</v>
      </c>
      <c r="M369">
        <f>[1]!survey_responses[[#This Row],[Các thủ tục khai báo thuế VÀ/HOẶC quy trình làm việc với cơ quan thuế đơn giản, tiện lợi, nhanh chóng hơn so với trước đây. - HUMAN-FAC1]]</f>
        <v>8</v>
      </c>
      <c r="N369">
        <f t="shared" si="142"/>
        <v>0.77777777777777779</v>
      </c>
      <c r="O369">
        <f>step3_validation[[#This Row],[AI_FAC2]]</f>
        <v>7</v>
      </c>
      <c r="P369">
        <f t="shared" si="143"/>
        <v>0.66666666666666663</v>
      </c>
      <c r="Q369">
        <f>[1]!survey_responses[[#This Row],[So với trước đây, tôi thấy cách tính thuế và các bậc thuế trong phương án mới đơn giản, dễ hiểu và dễ thực hiện hơn. - HUMAN-FAC2]]</f>
        <v>8</v>
      </c>
      <c r="R369">
        <f t="shared" si="144"/>
        <v>0.77777777777777779</v>
      </c>
      <c r="S369" s="32">
        <f t="shared" si="145"/>
        <v>0.72222222222222221</v>
      </c>
      <c r="T369" s="32">
        <f t="shared" si="146"/>
        <v>0.77777777777777779</v>
      </c>
      <c r="U369">
        <f>step3_validation[[#This Row],[AI_TRU1]]</f>
        <v>8</v>
      </c>
      <c r="V369">
        <f t="shared" si="147"/>
        <v>0.77777777777777779</v>
      </c>
      <c r="W369">
        <f>[1]!survey_responses[[#This Row],[Tôi tin rằng Nhà nước, cơ quan thuế sẽ thực thi chính sách mới một cách khách quan, công tâm và đối xử bình đẳng với mọi người nộp thuế.  - HUMAN-TRU1]]</f>
        <v>6</v>
      </c>
      <c r="X369">
        <f t="shared" si="148"/>
        <v>0.55555555555555558</v>
      </c>
      <c r="Y369">
        <f>step3_validation[[#This Row],[AI_TRU2]]</f>
        <v>7</v>
      </c>
      <c r="Z369">
        <f t="shared" si="149"/>
        <v>0.66666666666666663</v>
      </c>
      <c r="AA369">
        <f>[1]!survey_responses[[#This Row],[Tôi thấy mức thuế tôi phải đóng theo phương án mới là công bằng (người thu nhập như tôi đóng mức này là hợp lý). - HUMAN-TRU2]]</f>
        <v>8</v>
      </c>
      <c r="AB369">
        <f t="shared" si="150"/>
        <v>0.77777777777777779</v>
      </c>
      <c r="AC369">
        <f>step3_validation[[#This Row],[AI_TRU3]]</f>
        <v>8</v>
      </c>
      <c r="AD369">
        <f t="shared" si="151"/>
        <v>0.77777777777777779</v>
      </c>
      <c r="AE369">
        <f>[1]!survey_responses[[#This Row],[Tôi tin tưởng số tiền thuế tôi đóng sẽ được Nhà nước sử dụng hiệu quả để cải thiện dịch vụ công (y tế, đường xá...). - HUMAN-TRU3]]</f>
        <v>6</v>
      </c>
      <c r="AF369">
        <f t="shared" si="152"/>
        <v>0.55555555555555558</v>
      </c>
      <c r="AG369">
        <f>step3_validation[[#This Row],[AI_TRU4]]</f>
        <v>6</v>
      </c>
      <c r="AH369">
        <f t="shared" si="153"/>
        <v>0.55555555555555558</v>
      </c>
      <c r="AI369">
        <f>[1]!survey_responses[[#This Row],[Tôi thấy Nhà nước đã giải thích rõ ràng, minh bạch về lý do và mục tiêu của việc sửa đổi thuế lần này. - HUMAN-TRU4]]</f>
        <v>7</v>
      </c>
      <c r="AJ369">
        <f t="shared" si="154"/>
        <v>0.66666666666666663</v>
      </c>
      <c r="AK369" s="32">
        <f t="shared" si="155"/>
        <v>0.69444444444444442</v>
      </c>
      <c r="AL369" s="32">
        <f t="shared" si="156"/>
        <v>0.63888888888888895</v>
      </c>
      <c r="AM369" s="7">
        <f t="shared" si="157"/>
        <v>0.63888888888888895</v>
      </c>
      <c r="AN369" s="7">
        <f t="shared" si="158"/>
        <v>0.69444444444444453</v>
      </c>
      <c r="AO369">
        <f>step3_validation[[#This Row],[AI_OUT1]]</f>
        <v>7</v>
      </c>
      <c r="AP369">
        <f t="shared" si="159"/>
        <v>0.66666666666666663</v>
      </c>
      <c r="AQ369">
        <f>[1]!survey_responses[[#This Row],[Sau khi xem xét các quyền lợi và nghĩa vụ, bạn có ủng hộ và tuân thủ chính sách mới hiện nay? - HUMAN-OUT1]]</f>
        <v>8</v>
      </c>
      <c r="AR369">
        <f t="shared" si="160"/>
        <v>0.77777777777777779</v>
      </c>
      <c r="AS369" s="32">
        <f t="shared" si="161"/>
        <v>1</v>
      </c>
    </row>
    <row r="370" spans="1:45" x14ac:dyDescent="0.45">
      <c r="A370">
        <f>step3_validation[[#This Row],[AI_ENF1]]</f>
        <v>6</v>
      </c>
      <c r="B370">
        <f t="shared" si="135"/>
        <v>0.55555555555555558</v>
      </c>
      <c r="C370">
        <f>[1]!survey_responses[[#This Row],[Tôi tin rằng với các quy định quản lý thuế hiện nay, hành vi gian lận hoặc trốn thuế sẽ dễ dàng bị phát hiện và xử lý nghiêm. - HUMAN-ENF1]]</f>
        <v>6</v>
      </c>
      <c r="D370">
        <f t="shared" si="136"/>
        <v>0.55555555555555558</v>
      </c>
      <c r="E370">
        <f>step3_validation[[#This Row],[AI_ENF2]]</f>
        <v>5</v>
      </c>
      <c r="F370">
        <f t="shared" si="137"/>
        <v>0.44444444444444442</v>
      </c>
      <c r="G370">
        <f>[1]!survey_responses[[#This Row],[Tôi tin rằng Nhà nước, cơ quan thuế có đủ khả năng và công nghệ để phát hiện, xử lý nghiêm các hành vi trốn thuế. - HUMAN-ENF2]]</f>
        <v>6</v>
      </c>
      <c r="H370">
        <f t="shared" si="138"/>
        <v>0.55555555555555558</v>
      </c>
      <c r="I370" s="32">
        <f t="shared" si="139"/>
        <v>0.5</v>
      </c>
      <c r="J370" s="32">
        <f t="shared" si="140"/>
        <v>0.55555555555555558</v>
      </c>
      <c r="K370">
        <f>step3_validation[[#This Row],[AI_FAC1]]</f>
        <v>8</v>
      </c>
      <c r="L370">
        <f t="shared" si="141"/>
        <v>0.77777777777777779</v>
      </c>
      <c r="M370">
        <f>[1]!survey_responses[[#This Row],[Các thủ tục khai báo thuế VÀ/HOẶC quy trình làm việc với cơ quan thuế đơn giản, tiện lợi, nhanh chóng hơn so với trước đây. - HUMAN-FAC1]]</f>
        <v>8</v>
      </c>
      <c r="N370">
        <f t="shared" si="142"/>
        <v>0.77777777777777779</v>
      </c>
      <c r="O370">
        <f>step3_validation[[#This Row],[AI_FAC2]]</f>
        <v>9</v>
      </c>
      <c r="P370">
        <f t="shared" si="143"/>
        <v>0.88888888888888884</v>
      </c>
      <c r="Q370">
        <f>[1]!survey_responses[[#This Row],[So với trước đây, tôi thấy cách tính thuế và các bậc thuế trong phương án mới đơn giản, dễ hiểu và dễ thực hiện hơn. - HUMAN-FAC2]]</f>
        <v>9</v>
      </c>
      <c r="R370">
        <f t="shared" si="144"/>
        <v>0.88888888888888884</v>
      </c>
      <c r="S370" s="32">
        <f t="shared" si="145"/>
        <v>0.83333333333333326</v>
      </c>
      <c r="T370" s="32">
        <f t="shared" si="146"/>
        <v>0.83333333333333326</v>
      </c>
      <c r="U370">
        <f>step3_validation[[#This Row],[AI_TRU1]]</f>
        <v>7</v>
      </c>
      <c r="V370">
        <f t="shared" si="147"/>
        <v>0.66666666666666663</v>
      </c>
      <c r="W370">
        <f>[1]!survey_responses[[#This Row],[Tôi tin rằng Nhà nước, cơ quan thuế sẽ thực thi chính sách mới một cách khách quan, công tâm và đối xử bình đẳng với mọi người nộp thuế.  - HUMAN-TRU1]]</f>
        <v>8</v>
      </c>
      <c r="X370">
        <f t="shared" si="148"/>
        <v>0.77777777777777779</v>
      </c>
      <c r="Y370">
        <f>step3_validation[[#This Row],[AI_TRU2]]</f>
        <v>6</v>
      </c>
      <c r="Z370">
        <f t="shared" si="149"/>
        <v>0.55555555555555558</v>
      </c>
      <c r="AA370">
        <f>[1]!survey_responses[[#This Row],[Tôi thấy mức thuế tôi phải đóng theo phương án mới là công bằng (người thu nhập như tôi đóng mức này là hợp lý). - HUMAN-TRU2]]</f>
        <v>8</v>
      </c>
      <c r="AB370">
        <f t="shared" si="150"/>
        <v>0.77777777777777779</v>
      </c>
      <c r="AC370">
        <f>step3_validation[[#This Row],[AI_TRU3]]</f>
        <v>7</v>
      </c>
      <c r="AD370">
        <f t="shared" si="151"/>
        <v>0.66666666666666663</v>
      </c>
      <c r="AE370">
        <f>[1]!survey_responses[[#This Row],[Tôi tin tưởng số tiền thuế tôi đóng sẽ được Nhà nước sử dụng hiệu quả để cải thiện dịch vụ công (y tế, đường xá...). - HUMAN-TRU3]]</f>
        <v>5</v>
      </c>
      <c r="AF370">
        <f t="shared" si="152"/>
        <v>0.44444444444444442</v>
      </c>
      <c r="AG370">
        <f>step3_validation[[#This Row],[AI_TRU4]]</f>
        <v>4</v>
      </c>
      <c r="AH370">
        <f t="shared" si="153"/>
        <v>0.33333333333333331</v>
      </c>
      <c r="AI370">
        <f>[1]!survey_responses[[#This Row],[Tôi thấy Nhà nước đã giải thích rõ ràng, minh bạch về lý do và mục tiêu của việc sửa đổi thuế lần này. - HUMAN-TRU4]]</f>
        <v>7</v>
      </c>
      <c r="AJ370">
        <f t="shared" si="154"/>
        <v>0.66666666666666663</v>
      </c>
      <c r="AK370" s="32">
        <f t="shared" si="155"/>
        <v>0.55555555555555558</v>
      </c>
      <c r="AL370" s="32">
        <f t="shared" si="156"/>
        <v>0.66666666666666663</v>
      </c>
      <c r="AM370" s="7">
        <f t="shared" si="157"/>
        <v>0.62962962962962965</v>
      </c>
      <c r="AN370" s="7">
        <f t="shared" si="158"/>
        <v>0.68518518518518512</v>
      </c>
      <c r="AO370">
        <f>step3_validation[[#This Row],[AI_OUT1]]</f>
        <v>7</v>
      </c>
      <c r="AP370">
        <f t="shared" si="159"/>
        <v>0.66666666666666663</v>
      </c>
      <c r="AQ370">
        <f>[1]!survey_responses[[#This Row],[Sau khi xem xét các quyền lợi và nghĩa vụ, bạn có ủng hộ và tuân thủ chính sách mới hiện nay? - HUMAN-OUT1]]</f>
        <v>8</v>
      </c>
      <c r="AR370">
        <f t="shared" si="160"/>
        <v>0.77777777777777779</v>
      </c>
      <c r="AS370" s="32">
        <f t="shared" si="161"/>
        <v>1</v>
      </c>
    </row>
    <row r="371" spans="1:45" x14ac:dyDescent="0.45">
      <c r="A371">
        <f>step3_validation[[#This Row],[AI_ENF1]]</f>
        <v>7</v>
      </c>
      <c r="B371">
        <f t="shared" si="135"/>
        <v>0.66666666666666663</v>
      </c>
      <c r="C371">
        <f>[1]!survey_responses[[#This Row],[Tôi tin rằng với các quy định quản lý thuế hiện nay, hành vi gian lận hoặc trốn thuế sẽ dễ dàng bị phát hiện và xử lý nghiêm. - HUMAN-ENF1]]</f>
        <v>6</v>
      </c>
      <c r="D371">
        <f t="shared" si="136"/>
        <v>0.55555555555555558</v>
      </c>
      <c r="E371">
        <f>step3_validation[[#This Row],[AI_ENF2]]</f>
        <v>6</v>
      </c>
      <c r="F371">
        <f t="shared" si="137"/>
        <v>0.55555555555555558</v>
      </c>
      <c r="G371">
        <f>[1]!survey_responses[[#This Row],[Tôi tin rằng Nhà nước, cơ quan thuế có đủ khả năng và công nghệ để phát hiện, xử lý nghiêm các hành vi trốn thuế. - HUMAN-ENF2]]</f>
        <v>7</v>
      </c>
      <c r="H371">
        <f t="shared" si="138"/>
        <v>0.66666666666666663</v>
      </c>
      <c r="I371" s="32">
        <f t="shared" si="139"/>
        <v>0.61111111111111116</v>
      </c>
      <c r="J371" s="32">
        <f t="shared" si="140"/>
        <v>0.61111111111111116</v>
      </c>
      <c r="K371">
        <f>step3_validation[[#This Row],[AI_FAC1]]</f>
        <v>5</v>
      </c>
      <c r="L371">
        <f t="shared" si="141"/>
        <v>0.44444444444444442</v>
      </c>
      <c r="M371">
        <f>[1]!survey_responses[[#This Row],[Các thủ tục khai báo thuế VÀ/HOẶC quy trình làm việc với cơ quan thuế đơn giản, tiện lợi, nhanh chóng hơn so với trước đây. - HUMAN-FAC1]]</f>
        <v>7</v>
      </c>
      <c r="N371">
        <f t="shared" si="142"/>
        <v>0.66666666666666663</v>
      </c>
      <c r="O371">
        <f>step3_validation[[#This Row],[AI_FAC2]]</f>
        <v>8</v>
      </c>
      <c r="P371">
        <f t="shared" si="143"/>
        <v>0.77777777777777779</v>
      </c>
      <c r="Q371">
        <f>[1]!survey_responses[[#This Row],[So với trước đây, tôi thấy cách tính thuế và các bậc thuế trong phương án mới đơn giản, dễ hiểu và dễ thực hiện hơn. - HUMAN-FAC2]]</f>
        <v>9</v>
      </c>
      <c r="R371">
        <f t="shared" si="144"/>
        <v>0.88888888888888884</v>
      </c>
      <c r="S371" s="32">
        <f t="shared" si="145"/>
        <v>0.61111111111111116</v>
      </c>
      <c r="T371" s="32">
        <f t="shared" si="146"/>
        <v>0.77777777777777768</v>
      </c>
      <c r="U371">
        <f>step3_validation[[#This Row],[AI_TRU1]]</f>
        <v>6</v>
      </c>
      <c r="V371">
        <f t="shared" si="147"/>
        <v>0.55555555555555558</v>
      </c>
      <c r="W371">
        <f>[1]!survey_responses[[#This Row],[Tôi tin rằng Nhà nước, cơ quan thuế sẽ thực thi chính sách mới một cách khách quan, công tâm và đối xử bình đẳng với mọi người nộp thuế.  - HUMAN-TRU1]]</f>
        <v>7</v>
      </c>
      <c r="X371">
        <f t="shared" si="148"/>
        <v>0.66666666666666663</v>
      </c>
      <c r="Y371">
        <f>step3_validation[[#This Row],[AI_TRU2]]</f>
        <v>7</v>
      </c>
      <c r="Z371">
        <f t="shared" si="149"/>
        <v>0.66666666666666663</v>
      </c>
      <c r="AA371">
        <f>[1]!survey_responses[[#This Row],[Tôi thấy mức thuế tôi phải đóng theo phương án mới là công bằng (người thu nhập như tôi đóng mức này là hợp lý). - HUMAN-TRU2]]</f>
        <v>9</v>
      </c>
      <c r="AB371">
        <f t="shared" si="150"/>
        <v>0.88888888888888884</v>
      </c>
      <c r="AC371">
        <f>step3_validation[[#This Row],[AI_TRU3]]</f>
        <v>8</v>
      </c>
      <c r="AD371">
        <f t="shared" si="151"/>
        <v>0.77777777777777779</v>
      </c>
      <c r="AE371">
        <f>[1]!survey_responses[[#This Row],[Tôi tin tưởng số tiền thuế tôi đóng sẽ được Nhà nước sử dụng hiệu quả để cải thiện dịch vụ công (y tế, đường xá...). - HUMAN-TRU3]]</f>
        <v>9</v>
      </c>
      <c r="AF371">
        <f t="shared" si="152"/>
        <v>0.88888888888888884</v>
      </c>
      <c r="AG371">
        <f>step3_validation[[#This Row],[AI_TRU4]]</f>
        <v>7</v>
      </c>
      <c r="AH371">
        <f t="shared" si="153"/>
        <v>0.66666666666666663</v>
      </c>
      <c r="AI371">
        <f>[1]!survey_responses[[#This Row],[Tôi thấy Nhà nước đã giải thích rõ ràng, minh bạch về lý do và mục tiêu của việc sửa đổi thuế lần này. - HUMAN-TRU4]]</f>
        <v>9</v>
      </c>
      <c r="AJ371">
        <f t="shared" si="154"/>
        <v>0.88888888888888884</v>
      </c>
      <c r="AK371" s="32">
        <f t="shared" si="155"/>
        <v>0.66666666666666663</v>
      </c>
      <c r="AL371" s="32">
        <f t="shared" si="156"/>
        <v>0.83333333333333326</v>
      </c>
      <c r="AM371" s="7">
        <f t="shared" si="157"/>
        <v>0.62962962962962965</v>
      </c>
      <c r="AN371" s="7">
        <f t="shared" si="158"/>
        <v>0.74074074074074081</v>
      </c>
      <c r="AO371">
        <f>step3_validation[[#This Row],[AI_OUT1]]</f>
        <v>6</v>
      </c>
      <c r="AP371">
        <f t="shared" si="159"/>
        <v>0.55555555555555558</v>
      </c>
      <c r="AQ371">
        <f>[1]!survey_responses[[#This Row],[Sau khi xem xét các quyền lợi và nghĩa vụ, bạn có ủng hộ và tuân thủ chính sách mới hiện nay? - HUMAN-OUT1]]</f>
        <v>9</v>
      </c>
      <c r="AR371">
        <f t="shared" si="160"/>
        <v>0.88888888888888884</v>
      </c>
      <c r="AS371" s="32">
        <f t="shared" si="161"/>
        <v>3</v>
      </c>
    </row>
    <row r="372" spans="1:45" x14ac:dyDescent="0.45">
      <c r="A372">
        <f>step3_validation[[#This Row],[AI_ENF1]]</f>
        <v>6</v>
      </c>
      <c r="B372">
        <f t="shared" si="135"/>
        <v>0.55555555555555558</v>
      </c>
      <c r="C372">
        <f>[1]!survey_responses[[#This Row],[Tôi tin rằng với các quy định quản lý thuế hiện nay, hành vi gian lận hoặc trốn thuế sẽ dễ dàng bị phát hiện và xử lý nghiêm. - HUMAN-ENF1]]</f>
        <v>4</v>
      </c>
      <c r="D372">
        <f t="shared" si="136"/>
        <v>0.33333333333333331</v>
      </c>
      <c r="E372">
        <f>step3_validation[[#This Row],[AI_ENF2]]</f>
        <v>7</v>
      </c>
      <c r="F372">
        <f t="shared" si="137"/>
        <v>0.66666666666666663</v>
      </c>
      <c r="G372">
        <f>[1]!survey_responses[[#This Row],[Tôi tin rằng Nhà nước, cơ quan thuế có đủ khả năng và công nghệ để phát hiện, xử lý nghiêm các hành vi trốn thuế. - HUMAN-ENF2]]</f>
        <v>4</v>
      </c>
      <c r="H372">
        <f t="shared" si="138"/>
        <v>0.33333333333333331</v>
      </c>
      <c r="I372" s="32">
        <f t="shared" si="139"/>
        <v>0.61111111111111116</v>
      </c>
      <c r="J372" s="32">
        <f t="shared" si="140"/>
        <v>0.33333333333333331</v>
      </c>
      <c r="K372">
        <f>step3_validation[[#This Row],[AI_FAC1]]</f>
        <v>8</v>
      </c>
      <c r="L372">
        <f t="shared" si="141"/>
        <v>0.77777777777777779</v>
      </c>
      <c r="M372">
        <f>[1]!survey_responses[[#This Row],[Các thủ tục khai báo thuế VÀ/HOẶC quy trình làm việc với cơ quan thuế đơn giản, tiện lợi, nhanh chóng hơn so với trước đây. - HUMAN-FAC1]]</f>
        <v>5</v>
      </c>
      <c r="N372">
        <f t="shared" si="142"/>
        <v>0.44444444444444442</v>
      </c>
      <c r="O372">
        <f>step3_validation[[#This Row],[AI_FAC2]]</f>
        <v>9</v>
      </c>
      <c r="P372">
        <f t="shared" si="143"/>
        <v>0.88888888888888884</v>
      </c>
      <c r="Q372">
        <f>[1]!survey_responses[[#This Row],[So với trước đây, tôi thấy cách tính thuế và các bậc thuế trong phương án mới đơn giản, dễ hiểu và dễ thực hiện hơn. - HUMAN-FAC2]]</f>
        <v>5</v>
      </c>
      <c r="R372">
        <f t="shared" si="144"/>
        <v>0.44444444444444442</v>
      </c>
      <c r="S372" s="32">
        <f t="shared" si="145"/>
        <v>0.83333333333333326</v>
      </c>
      <c r="T372" s="32">
        <f t="shared" si="146"/>
        <v>0.44444444444444442</v>
      </c>
      <c r="U372">
        <f>step3_validation[[#This Row],[AI_TRU1]]</f>
        <v>5</v>
      </c>
      <c r="V372">
        <f t="shared" si="147"/>
        <v>0.44444444444444442</v>
      </c>
      <c r="W372">
        <f>[1]!survey_responses[[#This Row],[Tôi tin rằng Nhà nước, cơ quan thuế sẽ thực thi chính sách mới một cách khách quan, công tâm và đối xử bình đẳng với mọi người nộp thuế.  - HUMAN-TRU1]]</f>
        <v>5</v>
      </c>
      <c r="X372">
        <f t="shared" si="148"/>
        <v>0.44444444444444442</v>
      </c>
      <c r="Y372">
        <f>step3_validation[[#This Row],[AI_TRU2]]</f>
        <v>7</v>
      </c>
      <c r="Z372">
        <f t="shared" si="149"/>
        <v>0.66666666666666663</v>
      </c>
      <c r="AA372">
        <f>[1]!survey_responses[[#This Row],[Tôi thấy mức thuế tôi phải đóng theo phương án mới là công bằng (người thu nhập như tôi đóng mức này là hợp lý). - HUMAN-TRU2]]</f>
        <v>4</v>
      </c>
      <c r="AB372">
        <f t="shared" si="150"/>
        <v>0.33333333333333331</v>
      </c>
      <c r="AC372">
        <f>step3_validation[[#This Row],[AI_TRU3]]</f>
        <v>4</v>
      </c>
      <c r="AD372">
        <f t="shared" si="151"/>
        <v>0.33333333333333331</v>
      </c>
      <c r="AE372">
        <f>[1]!survey_responses[[#This Row],[Tôi tin tưởng số tiền thuế tôi đóng sẽ được Nhà nước sử dụng hiệu quả để cải thiện dịch vụ công (y tế, đường xá...). - HUMAN-TRU3]]</f>
        <v>5</v>
      </c>
      <c r="AF372">
        <f t="shared" si="152"/>
        <v>0.44444444444444442</v>
      </c>
      <c r="AG372">
        <f>step3_validation[[#This Row],[AI_TRU4]]</f>
        <v>6</v>
      </c>
      <c r="AH372">
        <f t="shared" si="153"/>
        <v>0.55555555555555558</v>
      </c>
      <c r="AI372">
        <f>[1]!survey_responses[[#This Row],[Tôi thấy Nhà nước đã giải thích rõ ràng, minh bạch về lý do và mục tiêu của việc sửa đổi thuế lần này. - HUMAN-TRU4]]</f>
        <v>6</v>
      </c>
      <c r="AJ372">
        <f t="shared" si="154"/>
        <v>0.55555555555555558</v>
      </c>
      <c r="AK372" s="32">
        <f t="shared" si="155"/>
        <v>0.5</v>
      </c>
      <c r="AL372" s="32">
        <f t="shared" si="156"/>
        <v>0.44444444444444442</v>
      </c>
      <c r="AM372" s="7">
        <f t="shared" si="157"/>
        <v>0.64814814814814814</v>
      </c>
      <c r="AN372" s="7">
        <f t="shared" si="158"/>
        <v>0.40740740740740738</v>
      </c>
      <c r="AO372">
        <f>step3_validation[[#This Row],[AI_OUT1]]</f>
        <v>7</v>
      </c>
      <c r="AP372">
        <f t="shared" si="159"/>
        <v>0.66666666666666663</v>
      </c>
      <c r="AQ372">
        <f>[1]!survey_responses[[#This Row],[Sau khi xem xét các quyền lợi và nghĩa vụ, bạn có ủng hộ và tuân thủ chính sách mới hiện nay? - HUMAN-OUT1]]</f>
        <v>5</v>
      </c>
      <c r="AR372">
        <f t="shared" si="160"/>
        <v>0.44444444444444442</v>
      </c>
      <c r="AS372" s="32">
        <f t="shared" si="161"/>
        <v>2</v>
      </c>
    </row>
    <row r="373" spans="1:45" x14ac:dyDescent="0.45">
      <c r="A373">
        <f>step3_validation[[#This Row],[AI_ENF1]]</f>
        <v>8</v>
      </c>
      <c r="B373">
        <f t="shared" si="135"/>
        <v>0.77777777777777779</v>
      </c>
      <c r="C373">
        <f>[1]!survey_responses[[#This Row],[Tôi tin rằng với các quy định quản lý thuế hiện nay, hành vi gian lận hoặc trốn thuế sẽ dễ dàng bị phát hiện và xử lý nghiêm. - HUMAN-ENF1]]</f>
        <v>6</v>
      </c>
      <c r="D373">
        <f t="shared" si="136"/>
        <v>0.55555555555555558</v>
      </c>
      <c r="E373">
        <f>step3_validation[[#This Row],[AI_ENF2]]</f>
        <v>7</v>
      </c>
      <c r="F373">
        <f t="shared" si="137"/>
        <v>0.66666666666666663</v>
      </c>
      <c r="G373">
        <f>[1]!survey_responses[[#This Row],[Tôi tin rằng Nhà nước, cơ quan thuế có đủ khả năng và công nghệ để phát hiện, xử lý nghiêm các hành vi trốn thuế. - HUMAN-ENF2]]</f>
        <v>6</v>
      </c>
      <c r="H373">
        <f t="shared" si="138"/>
        <v>0.55555555555555558</v>
      </c>
      <c r="I373" s="32">
        <f t="shared" si="139"/>
        <v>0.72222222222222221</v>
      </c>
      <c r="J373" s="32">
        <f t="shared" si="140"/>
        <v>0.55555555555555558</v>
      </c>
      <c r="K373">
        <f>step3_validation[[#This Row],[AI_FAC1]]</f>
        <v>9</v>
      </c>
      <c r="L373">
        <f t="shared" si="141"/>
        <v>0.88888888888888884</v>
      </c>
      <c r="M373">
        <f>[1]!survey_responses[[#This Row],[Các thủ tục khai báo thuế VÀ/HOẶC quy trình làm việc với cơ quan thuế đơn giản, tiện lợi, nhanh chóng hơn so với trước đây. - HUMAN-FAC1]]</f>
        <v>8</v>
      </c>
      <c r="N373">
        <f t="shared" si="142"/>
        <v>0.77777777777777779</v>
      </c>
      <c r="O373">
        <f>step3_validation[[#This Row],[AI_FAC2]]</f>
        <v>8</v>
      </c>
      <c r="P373">
        <f t="shared" si="143"/>
        <v>0.77777777777777779</v>
      </c>
      <c r="Q373">
        <f>[1]!survey_responses[[#This Row],[So với trước đây, tôi thấy cách tính thuế và các bậc thuế trong phương án mới đơn giản, dễ hiểu và dễ thực hiện hơn. - HUMAN-FAC2]]</f>
        <v>8</v>
      </c>
      <c r="R373">
        <f t="shared" si="144"/>
        <v>0.77777777777777779</v>
      </c>
      <c r="S373" s="32">
        <f t="shared" si="145"/>
        <v>0.83333333333333326</v>
      </c>
      <c r="T373" s="32">
        <f t="shared" si="146"/>
        <v>0.77777777777777779</v>
      </c>
      <c r="U373">
        <f>step3_validation[[#This Row],[AI_TRU1]]</f>
        <v>7</v>
      </c>
      <c r="V373">
        <f t="shared" si="147"/>
        <v>0.66666666666666663</v>
      </c>
      <c r="W373">
        <f>[1]!survey_responses[[#This Row],[Tôi tin rằng Nhà nước, cơ quan thuế sẽ thực thi chính sách mới một cách khách quan, công tâm và đối xử bình đẳng với mọi người nộp thuế.  - HUMAN-TRU1]]</f>
        <v>6</v>
      </c>
      <c r="X373">
        <f t="shared" si="148"/>
        <v>0.55555555555555558</v>
      </c>
      <c r="Y373">
        <f>step3_validation[[#This Row],[AI_TRU2]]</f>
        <v>6</v>
      </c>
      <c r="Z373">
        <f t="shared" si="149"/>
        <v>0.55555555555555558</v>
      </c>
      <c r="AA373">
        <f>[1]!survey_responses[[#This Row],[Tôi thấy mức thuế tôi phải đóng theo phương án mới là công bằng (người thu nhập như tôi đóng mức này là hợp lý). - HUMAN-TRU2]]</f>
        <v>7</v>
      </c>
      <c r="AB373">
        <f t="shared" si="150"/>
        <v>0.66666666666666663</v>
      </c>
      <c r="AC373">
        <f>step3_validation[[#This Row],[AI_TRU3]]</f>
        <v>5</v>
      </c>
      <c r="AD373">
        <f t="shared" si="151"/>
        <v>0.44444444444444442</v>
      </c>
      <c r="AE373">
        <f>[1]!survey_responses[[#This Row],[Tôi tin tưởng số tiền thuế tôi đóng sẽ được Nhà nước sử dụng hiệu quả để cải thiện dịch vụ công (y tế, đường xá...). - HUMAN-TRU3]]</f>
        <v>5</v>
      </c>
      <c r="AF373">
        <f t="shared" si="152"/>
        <v>0.44444444444444442</v>
      </c>
      <c r="AG373">
        <f>step3_validation[[#This Row],[AI_TRU4]]</f>
        <v>4</v>
      </c>
      <c r="AH373">
        <f t="shared" si="153"/>
        <v>0.33333333333333331</v>
      </c>
      <c r="AI373">
        <f>[1]!survey_responses[[#This Row],[Tôi thấy Nhà nước đã giải thích rõ ràng, minh bạch về lý do và mục tiêu của việc sửa đổi thuế lần này. - HUMAN-TRU4]]</f>
        <v>6</v>
      </c>
      <c r="AJ373">
        <f t="shared" si="154"/>
        <v>0.55555555555555558</v>
      </c>
      <c r="AK373" s="32">
        <f t="shared" si="155"/>
        <v>0.5</v>
      </c>
      <c r="AL373" s="32">
        <f t="shared" si="156"/>
        <v>0.55555555555555558</v>
      </c>
      <c r="AM373" s="7">
        <f t="shared" si="157"/>
        <v>0.68518518518518512</v>
      </c>
      <c r="AN373" s="7">
        <f t="shared" si="158"/>
        <v>0.62962962962962965</v>
      </c>
      <c r="AO373">
        <f>step3_validation[[#This Row],[AI_OUT1]]</f>
        <v>6</v>
      </c>
      <c r="AP373">
        <f t="shared" si="159"/>
        <v>0.55555555555555558</v>
      </c>
      <c r="AQ373">
        <f>[1]!survey_responses[[#This Row],[Sau khi xem xét các quyền lợi và nghĩa vụ, bạn có ủng hộ và tuân thủ chính sách mới hiện nay? - HUMAN-OUT1]]</f>
        <v>6</v>
      </c>
      <c r="AR373">
        <f t="shared" si="160"/>
        <v>0.55555555555555558</v>
      </c>
      <c r="AS373" s="32">
        <f t="shared" si="161"/>
        <v>0</v>
      </c>
    </row>
    <row r="374" spans="1:45" x14ac:dyDescent="0.45">
      <c r="A374">
        <f>step3_validation[[#This Row],[AI_ENF1]]</f>
        <v>7</v>
      </c>
      <c r="B374">
        <f t="shared" si="135"/>
        <v>0.66666666666666663</v>
      </c>
      <c r="C374">
        <f>[1]!survey_responses[[#This Row],[Tôi tin rằng với các quy định quản lý thuế hiện nay, hành vi gian lận hoặc trốn thuế sẽ dễ dàng bị phát hiện và xử lý nghiêm. - HUMAN-ENF1]]</f>
        <v>8</v>
      </c>
      <c r="D374">
        <f t="shared" si="136"/>
        <v>0.77777777777777779</v>
      </c>
      <c r="E374">
        <f>step3_validation[[#This Row],[AI_ENF2]]</f>
        <v>6</v>
      </c>
      <c r="F374">
        <f t="shared" si="137"/>
        <v>0.55555555555555558</v>
      </c>
      <c r="G374">
        <f>[1]!survey_responses[[#This Row],[Tôi tin rằng Nhà nước, cơ quan thuế có đủ khả năng và công nghệ để phát hiện, xử lý nghiêm các hành vi trốn thuế. - HUMAN-ENF2]]</f>
        <v>8</v>
      </c>
      <c r="H374">
        <f t="shared" si="138"/>
        <v>0.77777777777777779</v>
      </c>
      <c r="I374" s="32">
        <f t="shared" si="139"/>
        <v>0.61111111111111116</v>
      </c>
      <c r="J374" s="32">
        <f t="shared" si="140"/>
        <v>0.77777777777777779</v>
      </c>
      <c r="K374">
        <f>step3_validation[[#This Row],[AI_FAC1]]</f>
        <v>8</v>
      </c>
      <c r="L374">
        <f t="shared" si="141"/>
        <v>0.77777777777777779</v>
      </c>
      <c r="M374">
        <f>[1]!survey_responses[[#This Row],[Các thủ tục khai báo thuế VÀ/HOẶC quy trình làm việc với cơ quan thuế đơn giản, tiện lợi, nhanh chóng hơn so với trước đây. - HUMAN-FAC1]]</f>
        <v>9</v>
      </c>
      <c r="N374">
        <f t="shared" si="142"/>
        <v>0.88888888888888884</v>
      </c>
      <c r="O374">
        <f>step3_validation[[#This Row],[AI_FAC2]]</f>
        <v>9</v>
      </c>
      <c r="P374">
        <f t="shared" si="143"/>
        <v>0.88888888888888884</v>
      </c>
      <c r="Q374">
        <f>[1]!survey_responses[[#This Row],[So với trước đây, tôi thấy cách tính thuế và các bậc thuế trong phương án mới đơn giản, dễ hiểu và dễ thực hiện hơn. - HUMAN-FAC2]]</f>
        <v>9</v>
      </c>
      <c r="R374">
        <f t="shared" si="144"/>
        <v>0.88888888888888884</v>
      </c>
      <c r="S374" s="32">
        <f t="shared" si="145"/>
        <v>0.83333333333333326</v>
      </c>
      <c r="T374" s="32">
        <f t="shared" si="146"/>
        <v>0.88888888888888884</v>
      </c>
      <c r="U374">
        <f>step3_validation[[#This Row],[AI_TRU1]]</f>
        <v>8</v>
      </c>
      <c r="V374">
        <f t="shared" si="147"/>
        <v>0.77777777777777779</v>
      </c>
      <c r="W374">
        <f>[1]!survey_responses[[#This Row],[Tôi tin rằng Nhà nước, cơ quan thuế sẽ thực thi chính sách mới một cách khách quan, công tâm và đối xử bình đẳng với mọi người nộp thuế.  - HUMAN-TRU1]]</f>
        <v>5</v>
      </c>
      <c r="X374">
        <f t="shared" si="148"/>
        <v>0.44444444444444442</v>
      </c>
      <c r="Y374">
        <f>step3_validation[[#This Row],[AI_TRU2]]</f>
        <v>7</v>
      </c>
      <c r="Z374">
        <f t="shared" si="149"/>
        <v>0.66666666666666663</v>
      </c>
      <c r="AA374">
        <f>[1]!survey_responses[[#This Row],[Tôi thấy mức thuế tôi phải đóng theo phương án mới là công bằng (người thu nhập như tôi đóng mức này là hợp lý). - HUMAN-TRU2]]</f>
        <v>5</v>
      </c>
      <c r="AB374">
        <f t="shared" si="150"/>
        <v>0.44444444444444442</v>
      </c>
      <c r="AC374">
        <f>step3_validation[[#This Row],[AI_TRU3]]</f>
        <v>6</v>
      </c>
      <c r="AD374">
        <f t="shared" si="151"/>
        <v>0.55555555555555558</v>
      </c>
      <c r="AE374">
        <f>[1]!survey_responses[[#This Row],[Tôi tin tưởng số tiền thuế tôi đóng sẽ được Nhà nước sử dụng hiệu quả để cải thiện dịch vụ công (y tế, đường xá...). - HUMAN-TRU3]]</f>
        <v>5</v>
      </c>
      <c r="AF374">
        <f t="shared" si="152"/>
        <v>0.44444444444444442</v>
      </c>
      <c r="AG374">
        <f>step3_validation[[#This Row],[AI_TRU4]]</f>
        <v>5</v>
      </c>
      <c r="AH374">
        <f t="shared" si="153"/>
        <v>0.44444444444444442</v>
      </c>
      <c r="AI374">
        <f>[1]!survey_responses[[#This Row],[Tôi thấy Nhà nước đã giải thích rõ ràng, minh bạch về lý do và mục tiêu của việc sửa đổi thuế lần này. - HUMAN-TRU4]]</f>
        <v>6</v>
      </c>
      <c r="AJ374">
        <f t="shared" si="154"/>
        <v>0.55555555555555558</v>
      </c>
      <c r="AK374" s="32">
        <f t="shared" si="155"/>
        <v>0.61111111111111116</v>
      </c>
      <c r="AL374" s="32">
        <f t="shared" si="156"/>
        <v>0.47222222222222221</v>
      </c>
      <c r="AM374" s="7">
        <f t="shared" si="157"/>
        <v>0.68518518518518512</v>
      </c>
      <c r="AN374" s="7">
        <f t="shared" si="158"/>
        <v>0.71296296296296291</v>
      </c>
      <c r="AO374">
        <f>step3_validation[[#This Row],[AI_OUT1]]</f>
        <v>7</v>
      </c>
      <c r="AP374">
        <f t="shared" si="159"/>
        <v>0.66666666666666663</v>
      </c>
      <c r="AQ374">
        <f>[1]!survey_responses[[#This Row],[Sau khi xem xét các quyền lợi và nghĩa vụ, bạn có ủng hộ và tuân thủ chính sách mới hiện nay? - HUMAN-OUT1]]</f>
        <v>5</v>
      </c>
      <c r="AR374">
        <f t="shared" si="160"/>
        <v>0.44444444444444442</v>
      </c>
      <c r="AS374" s="32">
        <f t="shared" si="161"/>
        <v>2</v>
      </c>
    </row>
    <row r="375" spans="1:45" x14ac:dyDescent="0.45">
      <c r="A375">
        <f>step3_validation[[#This Row],[AI_ENF1]]</f>
        <v>5</v>
      </c>
      <c r="B375">
        <f t="shared" si="135"/>
        <v>0.44444444444444442</v>
      </c>
      <c r="C375">
        <f>[1]!survey_responses[[#This Row],[Tôi tin rằng với các quy định quản lý thuế hiện nay, hành vi gian lận hoặc trốn thuế sẽ dễ dàng bị phát hiện và xử lý nghiêm. - HUMAN-ENF1]]</f>
        <v>6</v>
      </c>
      <c r="D375">
        <f t="shared" si="136"/>
        <v>0.55555555555555558</v>
      </c>
      <c r="E375">
        <f>step3_validation[[#This Row],[AI_ENF2]]</f>
        <v>6</v>
      </c>
      <c r="F375">
        <f t="shared" si="137"/>
        <v>0.55555555555555558</v>
      </c>
      <c r="G375">
        <f>[1]!survey_responses[[#This Row],[Tôi tin rằng Nhà nước, cơ quan thuế có đủ khả năng và công nghệ để phát hiện, xử lý nghiêm các hành vi trốn thuế. - HUMAN-ENF2]]</f>
        <v>6</v>
      </c>
      <c r="H375">
        <f t="shared" si="138"/>
        <v>0.55555555555555558</v>
      </c>
      <c r="I375" s="32">
        <f t="shared" si="139"/>
        <v>0.5</v>
      </c>
      <c r="J375" s="32">
        <f t="shared" si="140"/>
        <v>0.55555555555555558</v>
      </c>
      <c r="K375">
        <f>step3_validation[[#This Row],[AI_FAC1]]</f>
        <v>8</v>
      </c>
      <c r="L375">
        <f t="shared" si="141"/>
        <v>0.77777777777777779</v>
      </c>
      <c r="M375">
        <f>[1]!survey_responses[[#This Row],[Các thủ tục khai báo thuế VÀ/HOẶC quy trình làm việc với cơ quan thuế đơn giản, tiện lợi, nhanh chóng hơn so với trước đây. - HUMAN-FAC1]]</f>
        <v>7</v>
      </c>
      <c r="N375">
        <f t="shared" si="142"/>
        <v>0.66666666666666663</v>
      </c>
      <c r="O375">
        <f>step3_validation[[#This Row],[AI_FAC2]]</f>
        <v>7</v>
      </c>
      <c r="P375">
        <f t="shared" si="143"/>
        <v>0.66666666666666663</v>
      </c>
      <c r="Q375">
        <f>[1]!survey_responses[[#This Row],[So với trước đây, tôi thấy cách tính thuế và các bậc thuế trong phương án mới đơn giản, dễ hiểu và dễ thực hiện hơn. - HUMAN-FAC2]]</f>
        <v>7</v>
      </c>
      <c r="R375">
        <f t="shared" si="144"/>
        <v>0.66666666666666663</v>
      </c>
      <c r="S375" s="32">
        <f t="shared" si="145"/>
        <v>0.72222222222222221</v>
      </c>
      <c r="T375" s="32">
        <f t="shared" si="146"/>
        <v>0.66666666666666663</v>
      </c>
      <c r="U375">
        <f>step3_validation[[#This Row],[AI_TRU1]]</f>
        <v>8</v>
      </c>
      <c r="V375">
        <f t="shared" si="147"/>
        <v>0.77777777777777779</v>
      </c>
      <c r="W375">
        <f>[1]!survey_responses[[#This Row],[Tôi tin rằng Nhà nước, cơ quan thuế sẽ thực thi chính sách mới một cách khách quan, công tâm và đối xử bình đẳng với mọi người nộp thuế.  - HUMAN-TRU1]]</f>
        <v>6</v>
      </c>
      <c r="X375">
        <f t="shared" si="148"/>
        <v>0.55555555555555558</v>
      </c>
      <c r="Y375">
        <f>step3_validation[[#This Row],[AI_TRU2]]</f>
        <v>6</v>
      </c>
      <c r="Z375">
        <f t="shared" si="149"/>
        <v>0.55555555555555558</v>
      </c>
      <c r="AA375">
        <f>[1]!survey_responses[[#This Row],[Tôi thấy mức thuế tôi phải đóng theo phương án mới là công bằng (người thu nhập như tôi đóng mức này là hợp lý). - HUMAN-TRU2]]</f>
        <v>6</v>
      </c>
      <c r="AB375">
        <f t="shared" si="150"/>
        <v>0.55555555555555558</v>
      </c>
      <c r="AC375">
        <f>step3_validation[[#This Row],[AI_TRU3]]</f>
        <v>7</v>
      </c>
      <c r="AD375">
        <f t="shared" si="151"/>
        <v>0.66666666666666663</v>
      </c>
      <c r="AE375">
        <f>[1]!survey_responses[[#This Row],[Tôi tin tưởng số tiền thuế tôi đóng sẽ được Nhà nước sử dụng hiệu quả để cải thiện dịch vụ công (y tế, đường xá...). - HUMAN-TRU3]]</f>
        <v>6</v>
      </c>
      <c r="AF375">
        <f t="shared" si="152"/>
        <v>0.55555555555555558</v>
      </c>
      <c r="AG375">
        <f>step3_validation[[#This Row],[AI_TRU4]]</f>
        <v>5</v>
      </c>
      <c r="AH375">
        <f t="shared" si="153"/>
        <v>0.44444444444444442</v>
      </c>
      <c r="AI375">
        <f>[1]!survey_responses[[#This Row],[Tôi thấy Nhà nước đã giải thích rõ ràng, minh bạch về lý do và mục tiêu của việc sửa đổi thuế lần này. - HUMAN-TRU4]]</f>
        <v>6</v>
      </c>
      <c r="AJ375">
        <f t="shared" si="154"/>
        <v>0.55555555555555558</v>
      </c>
      <c r="AK375" s="32">
        <f t="shared" si="155"/>
        <v>0.61111111111111116</v>
      </c>
      <c r="AL375" s="32">
        <f t="shared" si="156"/>
        <v>0.55555555555555558</v>
      </c>
      <c r="AM375" s="7">
        <f t="shared" si="157"/>
        <v>0.61111111111111116</v>
      </c>
      <c r="AN375" s="7">
        <f t="shared" si="158"/>
        <v>0.59259259259259267</v>
      </c>
      <c r="AO375">
        <f>step3_validation[[#This Row],[AI_OUT1]]</f>
        <v>9</v>
      </c>
      <c r="AP375">
        <f t="shared" si="159"/>
        <v>0.88888888888888884</v>
      </c>
      <c r="AQ375">
        <f>[1]!survey_responses[[#This Row],[Sau khi xem xét các quyền lợi và nghĩa vụ, bạn có ủng hộ và tuân thủ chính sách mới hiện nay? - HUMAN-OUT1]]</f>
        <v>6</v>
      </c>
      <c r="AR375">
        <f t="shared" si="160"/>
        <v>0.55555555555555558</v>
      </c>
      <c r="AS375" s="32">
        <f t="shared" si="161"/>
        <v>3</v>
      </c>
    </row>
    <row r="376" spans="1:45" x14ac:dyDescent="0.45">
      <c r="A376">
        <f>step3_validation[[#This Row],[AI_ENF1]]</f>
        <v>6</v>
      </c>
      <c r="B376">
        <f t="shared" si="135"/>
        <v>0.55555555555555558</v>
      </c>
      <c r="C376">
        <f>[1]!survey_responses[[#This Row],[Tôi tin rằng với các quy định quản lý thuế hiện nay, hành vi gian lận hoặc trốn thuế sẽ dễ dàng bị phát hiện và xử lý nghiêm. - HUMAN-ENF1]]</f>
        <v>8</v>
      </c>
      <c r="D376">
        <f t="shared" si="136"/>
        <v>0.77777777777777779</v>
      </c>
      <c r="E376">
        <f>step3_validation[[#This Row],[AI_ENF2]]</f>
        <v>6</v>
      </c>
      <c r="F376">
        <f t="shared" si="137"/>
        <v>0.55555555555555558</v>
      </c>
      <c r="G376">
        <f>[1]!survey_responses[[#This Row],[Tôi tin rằng Nhà nước, cơ quan thuế có đủ khả năng và công nghệ để phát hiện, xử lý nghiêm các hành vi trốn thuế. - HUMAN-ENF2]]</f>
        <v>8</v>
      </c>
      <c r="H376">
        <f t="shared" si="138"/>
        <v>0.77777777777777779</v>
      </c>
      <c r="I376" s="32">
        <f t="shared" si="139"/>
        <v>0.55555555555555558</v>
      </c>
      <c r="J376" s="32">
        <f t="shared" si="140"/>
        <v>0.77777777777777779</v>
      </c>
      <c r="K376">
        <f>step3_validation[[#This Row],[AI_FAC1]]</f>
        <v>6</v>
      </c>
      <c r="L376">
        <f t="shared" si="141"/>
        <v>0.55555555555555558</v>
      </c>
      <c r="M376">
        <f>[1]!survey_responses[[#This Row],[Các thủ tục khai báo thuế VÀ/HOẶC quy trình làm việc với cơ quan thuế đơn giản, tiện lợi, nhanh chóng hơn so với trước đây. - HUMAN-FAC1]]</f>
        <v>8</v>
      </c>
      <c r="N376">
        <f t="shared" si="142"/>
        <v>0.77777777777777779</v>
      </c>
      <c r="O376">
        <f>step3_validation[[#This Row],[AI_FAC2]]</f>
        <v>7</v>
      </c>
      <c r="P376">
        <f t="shared" si="143"/>
        <v>0.66666666666666663</v>
      </c>
      <c r="Q376">
        <f>[1]!survey_responses[[#This Row],[So với trước đây, tôi thấy cách tính thuế và các bậc thuế trong phương án mới đơn giản, dễ hiểu và dễ thực hiện hơn. - HUMAN-FAC2]]</f>
        <v>8</v>
      </c>
      <c r="R376">
        <f t="shared" si="144"/>
        <v>0.77777777777777779</v>
      </c>
      <c r="S376" s="32">
        <f t="shared" si="145"/>
        <v>0.61111111111111116</v>
      </c>
      <c r="T376" s="32">
        <f t="shared" si="146"/>
        <v>0.77777777777777779</v>
      </c>
      <c r="U376">
        <f>step3_validation[[#This Row],[AI_TRU1]]</f>
        <v>6</v>
      </c>
      <c r="V376">
        <f t="shared" si="147"/>
        <v>0.55555555555555558</v>
      </c>
      <c r="W376">
        <f>[1]!survey_responses[[#This Row],[Tôi tin rằng Nhà nước, cơ quan thuế sẽ thực thi chính sách mới một cách khách quan, công tâm và đối xử bình đẳng với mọi người nộp thuế.  - HUMAN-TRU1]]</f>
        <v>7</v>
      </c>
      <c r="X376">
        <f t="shared" si="148"/>
        <v>0.66666666666666663</v>
      </c>
      <c r="Y376">
        <f>step3_validation[[#This Row],[AI_TRU2]]</f>
        <v>7</v>
      </c>
      <c r="Z376">
        <f t="shared" si="149"/>
        <v>0.66666666666666663</v>
      </c>
      <c r="AA376">
        <f>[1]!survey_responses[[#This Row],[Tôi thấy mức thuế tôi phải đóng theo phương án mới là công bằng (người thu nhập như tôi đóng mức này là hợp lý). - HUMAN-TRU2]]</f>
        <v>6</v>
      </c>
      <c r="AB376">
        <f t="shared" si="150"/>
        <v>0.55555555555555558</v>
      </c>
      <c r="AC376">
        <f>step3_validation[[#This Row],[AI_TRU3]]</f>
        <v>5</v>
      </c>
      <c r="AD376">
        <f t="shared" si="151"/>
        <v>0.44444444444444442</v>
      </c>
      <c r="AE376">
        <f>[1]!survey_responses[[#This Row],[Tôi tin tưởng số tiền thuế tôi đóng sẽ được Nhà nước sử dụng hiệu quả để cải thiện dịch vụ công (y tế, đường xá...). - HUMAN-TRU3]]</f>
        <v>6</v>
      </c>
      <c r="AF376">
        <f t="shared" si="152"/>
        <v>0.55555555555555558</v>
      </c>
      <c r="AG376">
        <f>step3_validation[[#This Row],[AI_TRU4]]</f>
        <v>6</v>
      </c>
      <c r="AH376">
        <f t="shared" si="153"/>
        <v>0.55555555555555558</v>
      </c>
      <c r="AI376">
        <f>[1]!survey_responses[[#This Row],[Tôi thấy Nhà nước đã giải thích rõ ràng, minh bạch về lý do và mục tiêu của việc sửa đổi thuế lần này. - HUMAN-TRU4]]</f>
        <v>5</v>
      </c>
      <c r="AJ376">
        <f t="shared" si="154"/>
        <v>0.44444444444444442</v>
      </c>
      <c r="AK376" s="32">
        <f t="shared" si="155"/>
        <v>0.55555555555555558</v>
      </c>
      <c r="AL376" s="32">
        <f t="shared" si="156"/>
        <v>0.55555555555555558</v>
      </c>
      <c r="AM376" s="7">
        <f t="shared" si="157"/>
        <v>0.57407407407407407</v>
      </c>
      <c r="AN376" s="7">
        <f t="shared" si="158"/>
        <v>0.70370370370370372</v>
      </c>
      <c r="AO376">
        <f>step3_validation[[#This Row],[AI_OUT1]]</f>
        <v>5</v>
      </c>
      <c r="AP376">
        <f t="shared" si="159"/>
        <v>0.44444444444444442</v>
      </c>
      <c r="AQ376">
        <f>[1]!survey_responses[[#This Row],[Sau khi xem xét các quyền lợi và nghĩa vụ, bạn có ủng hộ và tuân thủ chính sách mới hiện nay? - HUMAN-OUT1]]</f>
        <v>7</v>
      </c>
      <c r="AR376">
        <f t="shared" si="160"/>
        <v>0.66666666666666663</v>
      </c>
      <c r="AS376" s="32">
        <f t="shared" si="161"/>
        <v>2</v>
      </c>
    </row>
    <row r="377" spans="1:45" x14ac:dyDescent="0.45">
      <c r="A377">
        <f>step3_validation[[#This Row],[AI_ENF1]]</f>
        <v>6</v>
      </c>
      <c r="B377">
        <f t="shared" si="135"/>
        <v>0.55555555555555558</v>
      </c>
      <c r="C377">
        <f>[1]!survey_responses[[#This Row],[Tôi tin rằng với các quy định quản lý thuế hiện nay, hành vi gian lận hoặc trốn thuế sẽ dễ dàng bị phát hiện và xử lý nghiêm. - HUMAN-ENF1]]</f>
        <v>6</v>
      </c>
      <c r="D377">
        <f t="shared" si="136"/>
        <v>0.55555555555555558</v>
      </c>
      <c r="E377">
        <f>step3_validation[[#This Row],[AI_ENF2]]</f>
        <v>5</v>
      </c>
      <c r="F377">
        <f t="shared" si="137"/>
        <v>0.44444444444444442</v>
      </c>
      <c r="G377">
        <f>[1]!survey_responses[[#This Row],[Tôi tin rằng Nhà nước, cơ quan thuế có đủ khả năng và công nghệ để phát hiện, xử lý nghiêm các hành vi trốn thuế. - HUMAN-ENF2]]</f>
        <v>6</v>
      </c>
      <c r="H377">
        <f t="shared" si="138"/>
        <v>0.55555555555555558</v>
      </c>
      <c r="I377" s="32">
        <f t="shared" si="139"/>
        <v>0.5</v>
      </c>
      <c r="J377" s="32">
        <f t="shared" si="140"/>
        <v>0.55555555555555558</v>
      </c>
      <c r="K377">
        <f>step3_validation[[#This Row],[AI_FAC1]]</f>
        <v>7</v>
      </c>
      <c r="L377">
        <f t="shared" si="141"/>
        <v>0.66666666666666663</v>
      </c>
      <c r="M377">
        <f>[1]!survey_responses[[#This Row],[Các thủ tục khai báo thuế VÀ/HOẶC quy trình làm việc với cơ quan thuế đơn giản, tiện lợi, nhanh chóng hơn so với trước đây. - HUMAN-FAC1]]</f>
        <v>5</v>
      </c>
      <c r="N377">
        <f t="shared" si="142"/>
        <v>0.44444444444444442</v>
      </c>
      <c r="O377">
        <f>step3_validation[[#This Row],[AI_FAC2]]</f>
        <v>8</v>
      </c>
      <c r="P377">
        <f t="shared" si="143"/>
        <v>0.77777777777777779</v>
      </c>
      <c r="Q377">
        <f>[1]!survey_responses[[#This Row],[So với trước đây, tôi thấy cách tính thuế và các bậc thuế trong phương án mới đơn giản, dễ hiểu và dễ thực hiện hơn. - HUMAN-FAC2]]</f>
        <v>7</v>
      </c>
      <c r="R377">
        <f t="shared" si="144"/>
        <v>0.66666666666666663</v>
      </c>
      <c r="S377" s="32">
        <f t="shared" si="145"/>
        <v>0.72222222222222221</v>
      </c>
      <c r="T377" s="32">
        <f t="shared" si="146"/>
        <v>0.55555555555555558</v>
      </c>
      <c r="U377">
        <f>step3_validation[[#This Row],[AI_TRU1]]</f>
        <v>7</v>
      </c>
      <c r="V377">
        <f t="shared" si="147"/>
        <v>0.66666666666666663</v>
      </c>
      <c r="W377">
        <f>[1]!survey_responses[[#This Row],[Tôi tin rằng Nhà nước, cơ quan thuế sẽ thực thi chính sách mới một cách khách quan, công tâm và đối xử bình đẳng với mọi người nộp thuế.  - HUMAN-TRU1]]</f>
        <v>6</v>
      </c>
      <c r="X377">
        <f t="shared" si="148"/>
        <v>0.55555555555555558</v>
      </c>
      <c r="Y377">
        <f>step3_validation[[#This Row],[AI_TRU2]]</f>
        <v>7</v>
      </c>
      <c r="Z377">
        <f t="shared" si="149"/>
        <v>0.66666666666666663</v>
      </c>
      <c r="AA377">
        <f>[1]!survey_responses[[#This Row],[Tôi thấy mức thuế tôi phải đóng theo phương án mới là công bằng (người thu nhập như tôi đóng mức này là hợp lý). - HUMAN-TRU2]]</f>
        <v>7</v>
      </c>
      <c r="AB377">
        <f t="shared" si="150"/>
        <v>0.66666666666666663</v>
      </c>
      <c r="AC377">
        <f>step3_validation[[#This Row],[AI_TRU3]]</f>
        <v>7</v>
      </c>
      <c r="AD377">
        <f t="shared" si="151"/>
        <v>0.66666666666666663</v>
      </c>
      <c r="AE377">
        <f>[1]!survey_responses[[#This Row],[Tôi tin tưởng số tiền thuế tôi đóng sẽ được Nhà nước sử dụng hiệu quả để cải thiện dịch vụ công (y tế, đường xá...). - HUMAN-TRU3]]</f>
        <v>5</v>
      </c>
      <c r="AF377">
        <f t="shared" si="152"/>
        <v>0.44444444444444442</v>
      </c>
      <c r="AG377">
        <f>step3_validation[[#This Row],[AI_TRU4]]</f>
        <v>7</v>
      </c>
      <c r="AH377">
        <f t="shared" si="153"/>
        <v>0.66666666666666663</v>
      </c>
      <c r="AI377">
        <f>[1]!survey_responses[[#This Row],[Tôi thấy Nhà nước đã giải thích rõ ràng, minh bạch về lý do và mục tiêu của việc sửa đổi thuế lần này. - HUMAN-TRU4]]</f>
        <v>6</v>
      </c>
      <c r="AJ377">
        <f t="shared" si="154"/>
        <v>0.55555555555555558</v>
      </c>
      <c r="AK377" s="32">
        <f t="shared" si="155"/>
        <v>0.66666666666666663</v>
      </c>
      <c r="AL377" s="32">
        <f t="shared" si="156"/>
        <v>0.55555555555555558</v>
      </c>
      <c r="AM377" s="7">
        <f t="shared" si="157"/>
        <v>0.62962962962962965</v>
      </c>
      <c r="AN377" s="7">
        <f t="shared" si="158"/>
        <v>0.55555555555555558</v>
      </c>
      <c r="AO377">
        <f>step3_validation[[#This Row],[AI_OUT1]]</f>
        <v>6</v>
      </c>
      <c r="AP377">
        <f t="shared" si="159"/>
        <v>0.55555555555555558</v>
      </c>
      <c r="AQ377">
        <f>[1]!survey_responses[[#This Row],[Sau khi xem xét các quyền lợi và nghĩa vụ, bạn có ủng hộ và tuân thủ chính sách mới hiện nay? - HUMAN-OUT1]]</f>
        <v>7</v>
      </c>
      <c r="AR377">
        <f t="shared" si="160"/>
        <v>0.66666666666666663</v>
      </c>
      <c r="AS377" s="32">
        <f t="shared" si="161"/>
        <v>1</v>
      </c>
    </row>
    <row r="378" spans="1:45" x14ac:dyDescent="0.45">
      <c r="A378">
        <f>step3_validation[[#This Row],[AI_ENF1]]</f>
        <v>8</v>
      </c>
      <c r="B378">
        <f t="shared" si="135"/>
        <v>0.77777777777777779</v>
      </c>
      <c r="C378">
        <f>[1]!survey_responses[[#This Row],[Tôi tin rằng với các quy định quản lý thuế hiện nay, hành vi gian lận hoặc trốn thuế sẽ dễ dàng bị phát hiện và xử lý nghiêm. - HUMAN-ENF1]]</f>
        <v>7</v>
      </c>
      <c r="D378">
        <f t="shared" si="136"/>
        <v>0.66666666666666663</v>
      </c>
      <c r="E378">
        <f>step3_validation[[#This Row],[AI_ENF2]]</f>
        <v>9</v>
      </c>
      <c r="F378">
        <f t="shared" si="137"/>
        <v>0.88888888888888884</v>
      </c>
      <c r="G378">
        <f>[1]!survey_responses[[#This Row],[Tôi tin rằng Nhà nước, cơ quan thuế có đủ khả năng và công nghệ để phát hiện, xử lý nghiêm các hành vi trốn thuế. - HUMAN-ENF2]]</f>
        <v>8</v>
      </c>
      <c r="H378">
        <f t="shared" si="138"/>
        <v>0.77777777777777779</v>
      </c>
      <c r="I378" s="32">
        <f t="shared" si="139"/>
        <v>0.83333333333333326</v>
      </c>
      <c r="J378" s="32">
        <f t="shared" si="140"/>
        <v>0.72222222222222221</v>
      </c>
      <c r="K378">
        <f>step3_validation[[#This Row],[AI_FAC1]]</f>
        <v>7</v>
      </c>
      <c r="L378">
        <f t="shared" si="141"/>
        <v>0.66666666666666663</v>
      </c>
      <c r="M378">
        <f>[1]!survey_responses[[#This Row],[Các thủ tục khai báo thuế VÀ/HOẶC quy trình làm việc với cơ quan thuế đơn giản, tiện lợi, nhanh chóng hơn so với trước đây. - HUMAN-FAC1]]</f>
        <v>7</v>
      </c>
      <c r="N378">
        <f t="shared" si="142"/>
        <v>0.66666666666666663</v>
      </c>
      <c r="O378">
        <f>step3_validation[[#This Row],[AI_FAC2]]</f>
        <v>8</v>
      </c>
      <c r="P378">
        <f t="shared" si="143"/>
        <v>0.77777777777777779</v>
      </c>
      <c r="Q378">
        <f>[1]!survey_responses[[#This Row],[So với trước đây, tôi thấy cách tính thuế và các bậc thuế trong phương án mới đơn giản, dễ hiểu và dễ thực hiện hơn. - HUMAN-FAC2]]</f>
        <v>7</v>
      </c>
      <c r="R378">
        <f t="shared" si="144"/>
        <v>0.66666666666666663</v>
      </c>
      <c r="S378" s="32">
        <f t="shared" si="145"/>
        <v>0.72222222222222221</v>
      </c>
      <c r="T378" s="32">
        <f t="shared" si="146"/>
        <v>0.66666666666666663</v>
      </c>
      <c r="U378">
        <f>step3_validation[[#This Row],[AI_TRU1]]</f>
        <v>7</v>
      </c>
      <c r="V378">
        <f t="shared" si="147"/>
        <v>0.66666666666666663</v>
      </c>
      <c r="W378">
        <f>[1]!survey_responses[[#This Row],[Tôi tin rằng Nhà nước, cơ quan thuế sẽ thực thi chính sách mới một cách khách quan, công tâm và đối xử bình đẳng với mọi người nộp thuế.  - HUMAN-TRU1]]</f>
        <v>8</v>
      </c>
      <c r="X378">
        <f t="shared" si="148"/>
        <v>0.77777777777777779</v>
      </c>
      <c r="Y378">
        <f>step3_validation[[#This Row],[AI_TRU2]]</f>
        <v>8</v>
      </c>
      <c r="Z378">
        <f t="shared" si="149"/>
        <v>0.77777777777777779</v>
      </c>
      <c r="AA378">
        <f>[1]!survey_responses[[#This Row],[Tôi thấy mức thuế tôi phải đóng theo phương án mới là công bằng (người thu nhập như tôi đóng mức này là hợp lý). - HUMAN-TRU2]]</f>
        <v>9</v>
      </c>
      <c r="AB378">
        <f t="shared" si="150"/>
        <v>0.88888888888888884</v>
      </c>
      <c r="AC378">
        <f>step3_validation[[#This Row],[AI_TRU3]]</f>
        <v>7</v>
      </c>
      <c r="AD378">
        <f t="shared" si="151"/>
        <v>0.66666666666666663</v>
      </c>
      <c r="AE378">
        <f>[1]!survey_responses[[#This Row],[Tôi tin tưởng số tiền thuế tôi đóng sẽ được Nhà nước sử dụng hiệu quả để cải thiện dịch vụ công (y tế, đường xá...). - HUMAN-TRU3]]</f>
        <v>7</v>
      </c>
      <c r="AF378">
        <f t="shared" si="152"/>
        <v>0.66666666666666663</v>
      </c>
      <c r="AG378">
        <f>step3_validation[[#This Row],[AI_TRU4]]</f>
        <v>6</v>
      </c>
      <c r="AH378">
        <f t="shared" si="153"/>
        <v>0.55555555555555558</v>
      </c>
      <c r="AI378">
        <f>[1]!survey_responses[[#This Row],[Tôi thấy Nhà nước đã giải thích rõ ràng, minh bạch về lý do và mục tiêu của việc sửa đổi thuế lần này. - HUMAN-TRU4]]</f>
        <v>7</v>
      </c>
      <c r="AJ378">
        <f t="shared" si="154"/>
        <v>0.66666666666666663</v>
      </c>
      <c r="AK378" s="32">
        <f t="shared" si="155"/>
        <v>0.66666666666666674</v>
      </c>
      <c r="AL378" s="32">
        <f t="shared" si="156"/>
        <v>0.74999999999999989</v>
      </c>
      <c r="AM378" s="7">
        <f t="shared" si="157"/>
        <v>0.74074074074074081</v>
      </c>
      <c r="AN378" s="7">
        <f t="shared" si="158"/>
        <v>0.71296296296296291</v>
      </c>
      <c r="AO378">
        <f>step3_validation[[#This Row],[AI_OUT1]]</f>
        <v>5</v>
      </c>
      <c r="AP378">
        <f t="shared" si="159"/>
        <v>0.44444444444444442</v>
      </c>
      <c r="AQ378">
        <f>[1]!survey_responses[[#This Row],[Sau khi xem xét các quyền lợi và nghĩa vụ, bạn có ủng hộ và tuân thủ chính sách mới hiện nay? - HUMAN-OUT1]]</f>
        <v>8</v>
      </c>
      <c r="AR378">
        <f t="shared" si="160"/>
        <v>0.77777777777777779</v>
      </c>
      <c r="AS378" s="32">
        <f t="shared" si="161"/>
        <v>3</v>
      </c>
    </row>
    <row r="379" spans="1:45" x14ac:dyDescent="0.45">
      <c r="A379">
        <f>step3_validation[[#This Row],[AI_ENF1]]</f>
        <v>8</v>
      </c>
      <c r="B379">
        <f t="shared" si="135"/>
        <v>0.77777777777777779</v>
      </c>
      <c r="C379">
        <f>[1]!survey_responses[[#This Row],[Tôi tin rằng với các quy định quản lý thuế hiện nay, hành vi gian lận hoặc trốn thuế sẽ dễ dàng bị phát hiện và xử lý nghiêm. - HUMAN-ENF1]]</f>
        <v>6</v>
      </c>
      <c r="D379">
        <f t="shared" si="136"/>
        <v>0.55555555555555558</v>
      </c>
      <c r="E379">
        <f>step3_validation[[#This Row],[AI_ENF2]]</f>
        <v>7</v>
      </c>
      <c r="F379">
        <f t="shared" si="137"/>
        <v>0.66666666666666663</v>
      </c>
      <c r="G379">
        <f>[1]!survey_responses[[#This Row],[Tôi tin rằng Nhà nước, cơ quan thuế có đủ khả năng và công nghệ để phát hiện, xử lý nghiêm các hành vi trốn thuế. - HUMAN-ENF2]]</f>
        <v>7</v>
      </c>
      <c r="H379">
        <f t="shared" si="138"/>
        <v>0.66666666666666663</v>
      </c>
      <c r="I379" s="32">
        <f t="shared" si="139"/>
        <v>0.72222222222222221</v>
      </c>
      <c r="J379" s="32">
        <f t="shared" si="140"/>
        <v>0.61111111111111116</v>
      </c>
      <c r="K379">
        <f>step3_validation[[#This Row],[AI_FAC1]]</f>
        <v>9</v>
      </c>
      <c r="L379">
        <f t="shared" si="141"/>
        <v>0.88888888888888884</v>
      </c>
      <c r="M379">
        <f>[1]!survey_responses[[#This Row],[Các thủ tục khai báo thuế VÀ/HOẶC quy trình làm việc với cơ quan thuế đơn giản, tiện lợi, nhanh chóng hơn so với trước đây. - HUMAN-FAC1]]</f>
        <v>5</v>
      </c>
      <c r="N379">
        <f t="shared" si="142"/>
        <v>0.44444444444444442</v>
      </c>
      <c r="O379">
        <f>step3_validation[[#This Row],[AI_FAC2]]</f>
        <v>8</v>
      </c>
      <c r="P379">
        <f t="shared" si="143"/>
        <v>0.77777777777777779</v>
      </c>
      <c r="Q379">
        <f>[1]!survey_responses[[#This Row],[So với trước đây, tôi thấy cách tính thuế và các bậc thuế trong phương án mới đơn giản, dễ hiểu và dễ thực hiện hơn. - HUMAN-FAC2]]</f>
        <v>8</v>
      </c>
      <c r="R379">
        <f t="shared" si="144"/>
        <v>0.77777777777777779</v>
      </c>
      <c r="S379" s="32">
        <f t="shared" si="145"/>
        <v>0.83333333333333326</v>
      </c>
      <c r="T379" s="32">
        <f t="shared" si="146"/>
        <v>0.61111111111111116</v>
      </c>
      <c r="U379">
        <f>step3_validation[[#This Row],[AI_TRU1]]</f>
        <v>9</v>
      </c>
      <c r="V379">
        <f t="shared" si="147"/>
        <v>0.88888888888888884</v>
      </c>
      <c r="W379">
        <f>[1]!survey_responses[[#This Row],[Tôi tin rằng Nhà nước, cơ quan thuế sẽ thực thi chính sách mới một cách khách quan, công tâm và đối xử bình đẳng với mọi người nộp thuế.  - HUMAN-TRU1]]</f>
        <v>7</v>
      </c>
      <c r="X379">
        <f t="shared" si="148"/>
        <v>0.66666666666666663</v>
      </c>
      <c r="Y379">
        <f>step3_validation[[#This Row],[AI_TRU2]]</f>
        <v>8</v>
      </c>
      <c r="Z379">
        <f t="shared" si="149"/>
        <v>0.77777777777777779</v>
      </c>
      <c r="AA379">
        <f>[1]!survey_responses[[#This Row],[Tôi thấy mức thuế tôi phải đóng theo phương án mới là công bằng (người thu nhập như tôi đóng mức này là hợp lý). - HUMAN-TRU2]]</f>
        <v>7</v>
      </c>
      <c r="AB379">
        <f t="shared" si="150"/>
        <v>0.66666666666666663</v>
      </c>
      <c r="AC379">
        <f>step3_validation[[#This Row],[AI_TRU3]]</f>
        <v>7</v>
      </c>
      <c r="AD379">
        <f t="shared" si="151"/>
        <v>0.66666666666666663</v>
      </c>
      <c r="AE379">
        <f>[1]!survey_responses[[#This Row],[Tôi tin tưởng số tiền thuế tôi đóng sẽ được Nhà nước sử dụng hiệu quả để cải thiện dịch vụ công (y tế, đường xá...). - HUMAN-TRU3]]</f>
        <v>7</v>
      </c>
      <c r="AF379">
        <f t="shared" si="152"/>
        <v>0.66666666666666663</v>
      </c>
      <c r="AG379">
        <f>step3_validation[[#This Row],[AI_TRU4]]</f>
        <v>6</v>
      </c>
      <c r="AH379">
        <f t="shared" si="153"/>
        <v>0.55555555555555558</v>
      </c>
      <c r="AI379">
        <f>[1]!survey_responses[[#This Row],[Tôi thấy Nhà nước đã giải thích rõ ràng, minh bạch về lý do và mục tiêu của việc sửa đổi thuế lần này. - HUMAN-TRU4]]</f>
        <v>7</v>
      </c>
      <c r="AJ379">
        <f t="shared" si="154"/>
        <v>0.66666666666666663</v>
      </c>
      <c r="AK379" s="32">
        <f t="shared" si="155"/>
        <v>0.7222222222222221</v>
      </c>
      <c r="AL379" s="32">
        <f t="shared" si="156"/>
        <v>0.66666666666666663</v>
      </c>
      <c r="AM379" s="7">
        <f t="shared" si="157"/>
        <v>0.75925925925925919</v>
      </c>
      <c r="AN379" s="7">
        <f t="shared" si="158"/>
        <v>0.62962962962962965</v>
      </c>
      <c r="AO379">
        <f>step3_validation[[#This Row],[AI_OUT1]]</f>
        <v>8</v>
      </c>
      <c r="AP379">
        <f t="shared" si="159"/>
        <v>0.77777777777777779</v>
      </c>
      <c r="AQ379">
        <f>[1]!survey_responses[[#This Row],[Sau khi xem xét các quyền lợi và nghĩa vụ, bạn có ủng hộ và tuân thủ chính sách mới hiện nay? - HUMAN-OUT1]]</f>
        <v>8</v>
      </c>
      <c r="AR379">
        <f t="shared" si="160"/>
        <v>0.77777777777777779</v>
      </c>
      <c r="AS379" s="32">
        <f t="shared" si="161"/>
        <v>0</v>
      </c>
    </row>
    <row r="380" spans="1:45" x14ac:dyDescent="0.45">
      <c r="A380">
        <f>step3_validation[[#This Row],[AI_ENF1]]</f>
        <v>7</v>
      </c>
      <c r="B380">
        <f t="shared" si="135"/>
        <v>0.66666666666666663</v>
      </c>
      <c r="C380">
        <f>[1]!survey_responses[[#This Row],[Tôi tin rằng với các quy định quản lý thuế hiện nay, hành vi gian lận hoặc trốn thuế sẽ dễ dàng bị phát hiện và xử lý nghiêm. - HUMAN-ENF1]]</f>
        <v>8</v>
      </c>
      <c r="D380">
        <f t="shared" si="136"/>
        <v>0.77777777777777779</v>
      </c>
      <c r="E380">
        <f>step3_validation[[#This Row],[AI_ENF2]]</f>
        <v>8</v>
      </c>
      <c r="F380">
        <f t="shared" si="137"/>
        <v>0.77777777777777779</v>
      </c>
      <c r="G380">
        <f>[1]!survey_responses[[#This Row],[Tôi tin rằng Nhà nước, cơ quan thuế có đủ khả năng và công nghệ để phát hiện, xử lý nghiêm các hành vi trốn thuế. - HUMAN-ENF2]]</f>
        <v>8</v>
      </c>
      <c r="H380">
        <f t="shared" si="138"/>
        <v>0.77777777777777779</v>
      </c>
      <c r="I380" s="32">
        <f t="shared" si="139"/>
        <v>0.72222222222222221</v>
      </c>
      <c r="J380" s="32">
        <f t="shared" si="140"/>
        <v>0.77777777777777779</v>
      </c>
      <c r="K380">
        <f>step3_validation[[#This Row],[AI_FAC1]]</f>
        <v>9</v>
      </c>
      <c r="L380">
        <f t="shared" si="141"/>
        <v>0.88888888888888884</v>
      </c>
      <c r="M380">
        <f>[1]!survey_responses[[#This Row],[Các thủ tục khai báo thuế VÀ/HOẶC quy trình làm việc với cơ quan thuế đơn giản, tiện lợi, nhanh chóng hơn so với trước đây. - HUMAN-FAC1]]</f>
        <v>9</v>
      </c>
      <c r="N380">
        <f t="shared" si="142"/>
        <v>0.88888888888888884</v>
      </c>
      <c r="O380">
        <f>step3_validation[[#This Row],[AI_FAC2]]</f>
        <v>8</v>
      </c>
      <c r="P380">
        <f t="shared" si="143"/>
        <v>0.77777777777777779</v>
      </c>
      <c r="Q380">
        <f>[1]!survey_responses[[#This Row],[So với trước đây, tôi thấy cách tính thuế và các bậc thuế trong phương án mới đơn giản, dễ hiểu và dễ thực hiện hơn. - HUMAN-FAC2]]</f>
        <v>9</v>
      </c>
      <c r="R380">
        <f t="shared" si="144"/>
        <v>0.88888888888888884</v>
      </c>
      <c r="S380" s="32">
        <f t="shared" si="145"/>
        <v>0.83333333333333326</v>
      </c>
      <c r="T380" s="32">
        <f t="shared" si="146"/>
        <v>0.88888888888888884</v>
      </c>
      <c r="U380">
        <f>step3_validation[[#This Row],[AI_TRU1]]</f>
        <v>9</v>
      </c>
      <c r="V380">
        <f t="shared" si="147"/>
        <v>0.88888888888888884</v>
      </c>
      <c r="W380">
        <f>[1]!survey_responses[[#This Row],[Tôi tin rằng Nhà nước, cơ quan thuế sẽ thực thi chính sách mới một cách khách quan, công tâm và đối xử bình đẳng với mọi người nộp thuế.  - HUMAN-TRU1]]</f>
        <v>7</v>
      </c>
      <c r="X380">
        <f t="shared" si="148"/>
        <v>0.66666666666666663</v>
      </c>
      <c r="Y380">
        <f>step3_validation[[#This Row],[AI_TRU2]]</f>
        <v>8</v>
      </c>
      <c r="Z380">
        <f t="shared" si="149"/>
        <v>0.77777777777777779</v>
      </c>
      <c r="AA380">
        <f>[1]!survey_responses[[#This Row],[Tôi thấy mức thuế tôi phải đóng theo phương án mới là công bằng (người thu nhập như tôi đóng mức này là hợp lý). - HUMAN-TRU2]]</f>
        <v>9</v>
      </c>
      <c r="AB380">
        <f t="shared" si="150"/>
        <v>0.88888888888888884</v>
      </c>
      <c r="AC380">
        <f>step3_validation[[#This Row],[AI_TRU3]]</f>
        <v>8</v>
      </c>
      <c r="AD380">
        <f t="shared" si="151"/>
        <v>0.77777777777777779</v>
      </c>
      <c r="AE380">
        <f>[1]!survey_responses[[#This Row],[Tôi tin tưởng số tiền thuế tôi đóng sẽ được Nhà nước sử dụng hiệu quả để cải thiện dịch vụ công (y tế, đường xá...). - HUMAN-TRU3]]</f>
        <v>7</v>
      </c>
      <c r="AF380">
        <f t="shared" si="152"/>
        <v>0.66666666666666663</v>
      </c>
      <c r="AG380">
        <f>step3_validation[[#This Row],[AI_TRU4]]</f>
        <v>7</v>
      </c>
      <c r="AH380">
        <f t="shared" si="153"/>
        <v>0.66666666666666663</v>
      </c>
      <c r="AI380">
        <f>[1]!survey_responses[[#This Row],[Tôi thấy Nhà nước đã giải thích rõ ràng, minh bạch về lý do và mục tiêu của việc sửa đổi thuế lần này. - HUMAN-TRU4]]</f>
        <v>7</v>
      </c>
      <c r="AJ380">
        <f t="shared" si="154"/>
        <v>0.66666666666666663</v>
      </c>
      <c r="AK380" s="32">
        <f t="shared" si="155"/>
        <v>0.77777777777777768</v>
      </c>
      <c r="AL380" s="32">
        <f t="shared" si="156"/>
        <v>0.7222222222222221</v>
      </c>
      <c r="AM380" s="7">
        <f t="shared" si="157"/>
        <v>0.77777777777777768</v>
      </c>
      <c r="AN380" s="7">
        <f t="shared" si="158"/>
        <v>0.79629629629629617</v>
      </c>
      <c r="AO380">
        <f>step3_validation[[#This Row],[AI_OUT1]]</f>
        <v>8</v>
      </c>
      <c r="AP380">
        <f t="shared" si="159"/>
        <v>0.77777777777777779</v>
      </c>
      <c r="AQ380">
        <f>[1]!survey_responses[[#This Row],[Sau khi xem xét các quyền lợi và nghĩa vụ, bạn có ủng hộ và tuân thủ chính sách mới hiện nay? - HUMAN-OUT1]]</f>
        <v>9</v>
      </c>
      <c r="AR380">
        <f t="shared" si="160"/>
        <v>0.88888888888888884</v>
      </c>
      <c r="AS380" s="32">
        <f t="shared" si="161"/>
        <v>1</v>
      </c>
    </row>
    <row r="381" spans="1:45" x14ac:dyDescent="0.45">
      <c r="A381">
        <f>step3_validation[[#This Row],[AI_ENF1]]</f>
        <v>8</v>
      </c>
      <c r="B381">
        <f t="shared" si="135"/>
        <v>0.77777777777777779</v>
      </c>
      <c r="C381">
        <f>[1]!survey_responses[[#This Row],[Tôi tin rằng với các quy định quản lý thuế hiện nay, hành vi gian lận hoặc trốn thuế sẽ dễ dàng bị phát hiện và xử lý nghiêm. - HUMAN-ENF1]]</f>
        <v>8</v>
      </c>
      <c r="D381">
        <f t="shared" si="136"/>
        <v>0.77777777777777779</v>
      </c>
      <c r="E381">
        <f>step3_validation[[#This Row],[AI_ENF2]]</f>
        <v>7</v>
      </c>
      <c r="F381">
        <f t="shared" si="137"/>
        <v>0.66666666666666663</v>
      </c>
      <c r="G381">
        <f>[1]!survey_responses[[#This Row],[Tôi tin rằng Nhà nước, cơ quan thuế có đủ khả năng và công nghệ để phát hiện, xử lý nghiêm các hành vi trốn thuế. - HUMAN-ENF2]]</f>
        <v>8</v>
      </c>
      <c r="H381">
        <f t="shared" si="138"/>
        <v>0.77777777777777779</v>
      </c>
      <c r="I381" s="32">
        <f t="shared" si="139"/>
        <v>0.72222222222222221</v>
      </c>
      <c r="J381" s="32">
        <f t="shared" si="140"/>
        <v>0.77777777777777779</v>
      </c>
      <c r="K381">
        <f>step3_validation[[#This Row],[AI_FAC1]]</f>
        <v>8</v>
      </c>
      <c r="L381">
        <f t="shared" si="141"/>
        <v>0.77777777777777779</v>
      </c>
      <c r="M381">
        <f>[1]!survey_responses[[#This Row],[Các thủ tục khai báo thuế VÀ/HOẶC quy trình làm việc với cơ quan thuế đơn giản, tiện lợi, nhanh chóng hơn so với trước đây. - HUMAN-FAC1]]</f>
        <v>5</v>
      </c>
      <c r="N381">
        <f t="shared" si="142"/>
        <v>0.44444444444444442</v>
      </c>
      <c r="O381">
        <f>step3_validation[[#This Row],[AI_FAC2]]</f>
        <v>9</v>
      </c>
      <c r="P381">
        <f t="shared" si="143"/>
        <v>0.88888888888888884</v>
      </c>
      <c r="Q381">
        <f>[1]!survey_responses[[#This Row],[So với trước đây, tôi thấy cách tính thuế và các bậc thuế trong phương án mới đơn giản, dễ hiểu và dễ thực hiện hơn. - HUMAN-FAC2]]</f>
        <v>8</v>
      </c>
      <c r="R381">
        <f t="shared" si="144"/>
        <v>0.77777777777777779</v>
      </c>
      <c r="S381" s="32">
        <f t="shared" si="145"/>
        <v>0.83333333333333326</v>
      </c>
      <c r="T381" s="32">
        <f t="shared" si="146"/>
        <v>0.61111111111111116</v>
      </c>
      <c r="U381">
        <f>step3_validation[[#This Row],[AI_TRU1]]</f>
        <v>6</v>
      </c>
      <c r="V381">
        <f t="shared" si="147"/>
        <v>0.55555555555555558</v>
      </c>
      <c r="W381">
        <f>[1]!survey_responses[[#This Row],[Tôi tin rằng Nhà nước, cơ quan thuế sẽ thực thi chính sách mới một cách khách quan, công tâm và đối xử bình đẳng với mọi người nộp thuế.  - HUMAN-TRU1]]</f>
        <v>6</v>
      </c>
      <c r="X381">
        <f t="shared" si="148"/>
        <v>0.55555555555555558</v>
      </c>
      <c r="Y381">
        <f>step3_validation[[#This Row],[AI_TRU2]]</f>
        <v>7</v>
      </c>
      <c r="Z381">
        <f t="shared" si="149"/>
        <v>0.66666666666666663</v>
      </c>
      <c r="AA381">
        <f>[1]!survey_responses[[#This Row],[Tôi thấy mức thuế tôi phải đóng theo phương án mới là công bằng (người thu nhập như tôi đóng mức này là hợp lý). - HUMAN-TRU2]]</f>
        <v>9</v>
      </c>
      <c r="AB381">
        <f t="shared" si="150"/>
        <v>0.88888888888888884</v>
      </c>
      <c r="AC381">
        <f>step3_validation[[#This Row],[AI_TRU3]]</f>
        <v>6</v>
      </c>
      <c r="AD381">
        <f t="shared" si="151"/>
        <v>0.55555555555555558</v>
      </c>
      <c r="AE381">
        <f>[1]!survey_responses[[#This Row],[Tôi tin tưởng số tiền thuế tôi đóng sẽ được Nhà nước sử dụng hiệu quả để cải thiện dịch vụ công (y tế, đường xá...). - HUMAN-TRU3]]</f>
        <v>5</v>
      </c>
      <c r="AF381">
        <f t="shared" si="152"/>
        <v>0.44444444444444442</v>
      </c>
      <c r="AG381">
        <f>step3_validation[[#This Row],[AI_TRU4]]</f>
        <v>5</v>
      </c>
      <c r="AH381">
        <f t="shared" si="153"/>
        <v>0.44444444444444442</v>
      </c>
      <c r="AI381">
        <f>[1]!survey_responses[[#This Row],[Tôi thấy Nhà nước đã giải thích rõ ràng, minh bạch về lý do và mục tiêu của việc sửa đổi thuế lần này. - HUMAN-TRU4]]</f>
        <v>7</v>
      </c>
      <c r="AJ381">
        <f t="shared" si="154"/>
        <v>0.66666666666666663</v>
      </c>
      <c r="AK381" s="32">
        <f t="shared" si="155"/>
        <v>0.55555555555555558</v>
      </c>
      <c r="AL381" s="32">
        <f t="shared" si="156"/>
        <v>0.63888888888888884</v>
      </c>
      <c r="AM381" s="7">
        <f t="shared" si="157"/>
        <v>0.70370370370370361</v>
      </c>
      <c r="AN381" s="7">
        <f t="shared" si="158"/>
        <v>0.67592592592592593</v>
      </c>
      <c r="AO381">
        <f>step3_validation[[#This Row],[AI_OUT1]]</f>
        <v>7</v>
      </c>
      <c r="AP381">
        <f t="shared" si="159"/>
        <v>0.66666666666666663</v>
      </c>
      <c r="AQ381">
        <f>[1]!survey_responses[[#This Row],[Sau khi xem xét các quyền lợi và nghĩa vụ, bạn có ủng hộ và tuân thủ chính sách mới hiện nay? - HUMAN-OUT1]]</f>
        <v>8</v>
      </c>
      <c r="AR381">
        <f t="shared" si="160"/>
        <v>0.77777777777777779</v>
      </c>
      <c r="AS381" s="32">
        <f t="shared" si="161"/>
        <v>1</v>
      </c>
    </row>
    <row r="382" spans="1:45" x14ac:dyDescent="0.45">
      <c r="A382">
        <f>step3_validation[[#This Row],[AI_ENF1]]</f>
        <v>6</v>
      </c>
      <c r="B382">
        <f t="shared" si="135"/>
        <v>0.55555555555555558</v>
      </c>
      <c r="C382">
        <f>[1]!survey_responses[[#This Row],[Tôi tin rằng với các quy định quản lý thuế hiện nay, hành vi gian lận hoặc trốn thuế sẽ dễ dàng bị phát hiện và xử lý nghiêm. - HUMAN-ENF1]]</f>
        <v>9</v>
      </c>
      <c r="D382">
        <f t="shared" si="136"/>
        <v>0.88888888888888884</v>
      </c>
      <c r="E382">
        <f>step3_validation[[#This Row],[AI_ENF2]]</f>
        <v>7</v>
      </c>
      <c r="F382">
        <f t="shared" si="137"/>
        <v>0.66666666666666663</v>
      </c>
      <c r="G382">
        <f>[1]!survey_responses[[#This Row],[Tôi tin rằng Nhà nước, cơ quan thuế có đủ khả năng và công nghệ để phát hiện, xử lý nghiêm các hành vi trốn thuế. - HUMAN-ENF2]]</f>
        <v>9</v>
      </c>
      <c r="H382">
        <f t="shared" si="138"/>
        <v>0.88888888888888884</v>
      </c>
      <c r="I382" s="32">
        <f t="shared" si="139"/>
        <v>0.61111111111111116</v>
      </c>
      <c r="J382" s="32">
        <f t="shared" si="140"/>
        <v>0.88888888888888884</v>
      </c>
      <c r="K382">
        <f>step3_validation[[#This Row],[AI_FAC1]]</f>
        <v>8</v>
      </c>
      <c r="L382">
        <f t="shared" si="141"/>
        <v>0.77777777777777779</v>
      </c>
      <c r="M382">
        <f>[1]!survey_responses[[#This Row],[Các thủ tục khai báo thuế VÀ/HOẶC quy trình làm việc với cơ quan thuế đơn giản, tiện lợi, nhanh chóng hơn so với trước đây. - HUMAN-FAC1]]</f>
        <v>8</v>
      </c>
      <c r="N382">
        <f t="shared" si="142"/>
        <v>0.77777777777777779</v>
      </c>
      <c r="O382">
        <f>step3_validation[[#This Row],[AI_FAC2]]</f>
        <v>7</v>
      </c>
      <c r="P382">
        <f t="shared" si="143"/>
        <v>0.66666666666666663</v>
      </c>
      <c r="Q382">
        <f>[1]!survey_responses[[#This Row],[So với trước đây, tôi thấy cách tính thuế và các bậc thuế trong phương án mới đơn giản, dễ hiểu và dễ thực hiện hơn. - HUMAN-FAC2]]</f>
        <v>9</v>
      </c>
      <c r="R382">
        <f t="shared" si="144"/>
        <v>0.88888888888888884</v>
      </c>
      <c r="S382" s="32">
        <f t="shared" si="145"/>
        <v>0.72222222222222221</v>
      </c>
      <c r="T382" s="32">
        <f t="shared" si="146"/>
        <v>0.83333333333333326</v>
      </c>
      <c r="U382">
        <f>step3_validation[[#This Row],[AI_TRU1]]</f>
        <v>8</v>
      </c>
      <c r="V382">
        <f t="shared" si="147"/>
        <v>0.77777777777777779</v>
      </c>
      <c r="W382">
        <f>[1]!survey_responses[[#This Row],[Tôi tin rằng Nhà nước, cơ quan thuế sẽ thực thi chính sách mới một cách khách quan, công tâm và đối xử bình đẳng với mọi người nộp thuế.  - HUMAN-TRU1]]</f>
        <v>8</v>
      </c>
      <c r="X382">
        <f t="shared" si="148"/>
        <v>0.77777777777777779</v>
      </c>
      <c r="Y382">
        <f>step3_validation[[#This Row],[AI_TRU2]]</f>
        <v>6</v>
      </c>
      <c r="Z382">
        <f t="shared" si="149"/>
        <v>0.55555555555555558</v>
      </c>
      <c r="AA382">
        <f>[1]!survey_responses[[#This Row],[Tôi thấy mức thuế tôi phải đóng theo phương án mới là công bằng (người thu nhập như tôi đóng mức này là hợp lý). - HUMAN-TRU2]]</f>
        <v>10</v>
      </c>
      <c r="AB382">
        <f t="shared" si="150"/>
        <v>1</v>
      </c>
      <c r="AC382">
        <f>step3_validation[[#This Row],[AI_TRU3]]</f>
        <v>5</v>
      </c>
      <c r="AD382">
        <f t="shared" si="151"/>
        <v>0.44444444444444442</v>
      </c>
      <c r="AE382">
        <f>[1]!survey_responses[[#This Row],[Tôi tin tưởng số tiền thuế tôi đóng sẽ được Nhà nước sử dụng hiệu quả để cải thiện dịch vụ công (y tế, đường xá...). - HUMAN-TRU3]]</f>
        <v>8</v>
      </c>
      <c r="AF382">
        <f t="shared" si="152"/>
        <v>0.77777777777777779</v>
      </c>
      <c r="AG382">
        <f>step3_validation[[#This Row],[AI_TRU4]]</f>
        <v>7</v>
      </c>
      <c r="AH382">
        <f t="shared" si="153"/>
        <v>0.66666666666666663</v>
      </c>
      <c r="AI382">
        <f>[1]!survey_responses[[#This Row],[Tôi thấy Nhà nước đã giải thích rõ ràng, minh bạch về lý do và mục tiêu của việc sửa đổi thuế lần này. - HUMAN-TRU4]]</f>
        <v>8</v>
      </c>
      <c r="AJ382">
        <f t="shared" si="154"/>
        <v>0.77777777777777779</v>
      </c>
      <c r="AK382" s="32">
        <f t="shared" si="155"/>
        <v>0.61111111111111116</v>
      </c>
      <c r="AL382" s="32">
        <f t="shared" si="156"/>
        <v>0.83333333333333326</v>
      </c>
      <c r="AM382" s="7">
        <f t="shared" si="157"/>
        <v>0.64814814814814825</v>
      </c>
      <c r="AN382" s="7">
        <f t="shared" si="158"/>
        <v>0.85185185185185175</v>
      </c>
      <c r="AO382">
        <f>step3_validation[[#This Row],[AI_OUT1]]</f>
        <v>6</v>
      </c>
      <c r="AP382">
        <f t="shared" si="159"/>
        <v>0.55555555555555558</v>
      </c>
      <c r="AQ382">
        <f>[1]!survey_responses[[#This Row],[Sau khi xem xét các quyền lợi và nghĩa vụ, bạn có ủng hộ và tuân thủ chính sách mới hiện nay? - HUMAN-OUT1]]</f>
        <v>10</v>
      </c>
      <c r="AR382">
        <f t="shared" si="160"/>
        <v>1</v>
      </c>
      <c r="AS382" s="32">
        <f t="shared" si="161"/>
        <v>4</v>
      </c>
    </row>
    <row r="383" spans="1:45" x14ac:dyDescent="0.45">
      <c r="A383">
        <f>step3_validation[[#This Row],[AI_ENF1]]</f>
        <v>7</v>
      </c>
      <c r="B383">
        <f t="shared" si="135"/>
        <v>0.66666666666666663</v>
      </c>
      <c r="C383">
        <f>[1]!survey_responses[[#This Row],[Tôi tin rằng với các quy định quản lý thuế hiện nay, hành vi gian lận hoặc trốn thuế sẽ dễ dàng bị phát hiện và xử lý nghiêm. - HUMAN-ENF1]]</f>
        <v>5</v>
      </c>
      <c r="D383">
        <f t="shared" si="136"/>
        <v>0.44444444444444442</v>
      </c>
      <c r="E383">
        <f>step3_validation[[#This Row],[AI_ENF2]]</f>
        <v>6</v>
      </c>
      <c r="F383">
        <f t="shared" si="137"/>
        <v>0.55555555555555558</v>
      </c>
      <c r="G383">
        <f>[1]!survey_responses[[#This Row],[Tôi tin rằng Nhà nước, cơ quan thuế có đủ khả năng và công nghệ để phát hiện, xử lý nghiêm các hành vi trốn thuế. - HUMAN-ENF2]]</f>
        <v>5</v>
      </c>
      <c r="H383">
        <f t="shared" si="138"/>
        <v>0.44444444444444442</v>
      </c>
      <c r="I383" s="32">
        <f t="shared" si="139"/>
        <v>0.61111111111111116</v>
      </c>
      <c r="J383" s="32">
        <f t="shared" si="140"/>
        <v>0.44444444444444442</v>
      </c>
      <c r="K383">
        <f>step3_validation[[#This Row],[AI_FAC1]]</f>
        <v>8</v>
      </c>
      <c r="L383">
        <f t="shared" si="141"/>
        <v>0.77777777777777779</v>
      </c>
      <c r="M383">
        <f>[1]!survey_responses[[#This Row],[Các thủ tục khai báo thuế VÀ/HOẶC quy trình làm việc với cơ quan thuế đơn giản, tiện lợi, nhanh chóng hơn so với trước đây. - HUMAN-FAC1]]</f>
        <v>4</v>
      </c>
      <c r="N383">
        <f t="shared" si="142"/>
        <v>0.33333333333333331</v>
      </c>
      <c r="O383">
        <f>step3_validation[[#This Row],[AI_FAC2]]</f>
        <v>9</v>
      </c>
      <c r="P383">
        <f t="shared" si="143"/>
        <v>0.88888888888888884</v>
      </c>
      <c r="Q383">
        <f>[1]!survey_responses[[#This Row],[So với trước đây, tôi thấy cách tính thuế và các bậc thuế trong phương án mới đơn giản, dễ hiểu và dễ thực hiện hơn. - HUMAN-FAC2]]</f>
        <v>8</v>
      </c>
      <c r="R383">
        <f t="shared" si="144"/>
        <v>0.77777777777777779</v>
      </c>
      <c r="S383" s="32">
        <f t="shared" si="145"/>
        <v>0.83333333333333326</v>
      </c>
      <c r="T383" s="32">
        <f t="shared" si="146"/>
        <v>0.55555555555555558</v>
      </c>
      <c r="U383">
        <f>step3_validation[[#This Row],[AI_TRU1]]</f>
        <v>8</v>
      </c>
      <c r="V383">
        <f t="shared" si="147"/>
        <v>0.77777777777777779</v>
      </c>
      <c r="W383">
        <f>[1]!survey_responses[[#This Row],[Tôi tin rằng Nhà nước, cơ quan thuế sẽ thực thi chính sách mới một cách khách quan, công tâm và đối xử bình đẳng với mọi người nộp thuế.  - HUMAN-TRU1]]</f>
        <v>4</v>
      </c>
      <c r="X383">
        <f t="shared" si="148"/>
        <v>0.33333333333333331</v>
      </c>
      <c r="Y383">
        <f>step3_validation[[#This Row],[AI_TRU2]]</f>
        <v>7</v>
      </c>
      <c r="Z383">
        <f t="shared" si="149"/>
        <v>0.66666666666666663</v>
      </c>
      <c r="AA383">
        <f>[1]!survey_responses[[#This Row],[Tôi thấy mức thuế tôi phải đóng theo phương án mới là công bằng (người thu nhập như tôi đóng mức này là hợp lý). - HUMAN-TRU2]]</f>
        <v>8</v>
      </c>
      <c r="AB383">
        <f t="shared" si="150"/>
        <v>0.77777777777777779</v>
      </c>
      <c r="AC383">
        <f>step3_validation[[#This Row],[AI_TRU3]]</f>
        <v>6</v>
      </c>
      <c r="AD383">
        <f t="shared" si="151"/>
        <v>0.55555555555555558</v>
      </c>
      <c r="AE383">
        <f>[1]!survey_responses[[#This Row],[Tôi tin tưởng số tiền thuế tôi đóng sẽ được Nhà nước sử dụng hiệu quả để cải thiện dịch vụ công (y tế, đường xá...). - HUMAN-TRU3]]</f>
        <v>4</v>
      </c>
      <c r="AF383">
        <f t="shared" si="152"/>
        <v>0.33333333333333331</v>
      </c>
      <c r="AG383">
        <f>step3_validation[[#This Row],[AI_TRU4]]</f>
        <v>7</v>
      </c>
      <c r="AH383">
        <f t="shared" si="153"/>
        <v>0.66666666666666663</v>
      </c>
      <c r="AI383">
        <f>[1]!survey_responses[[#This Row],[Tôi thấy Nhà nước đã giải thích rõ ràng, minh bạch về lý do và mục tiêu của việc sửa đổi thuế lần này. - HUMAN-TRU4]]</f>
        <v>5</v>
      </c>
      <c r="AJ383">
        <f t="shared" si="154"/>
        <v>0.44444444444444442</v>
      </c>
      <c r="AK383" s="32">
        <f t="shared" si="155"/>
        <v>0.66666666666666663</v>
      </c>
      <c r="AL383" s="32">
        <f t="shared" si="156"/>
        <v>0.47222222222222221</v>
      </c>
      <c r="AM383" s="7">
        <f t="shared" si="157"/>
        <v>0.70370370370370372</v>
      </c>
      <c r="AN383" s="7">
        <f t="shared" si="158"/>
        <v>0.49074074074074076</v>
      </c>
      <c r="AO383">
        <f>step3_validation[[#This Row],[AI_OUT1]]</f>
        <v>8</v>
      </c>
      <c r="AP383">
        <f t="shared" si="159"/>
        <v>0.77777777777777779</v>
      </c>
      <c r="AQ383">
        <f>[1]!survey_responses[[#This Row],[Sau khi xem xét các quyền lợi và nghĩa vụ, bạn có ủng hộ và tuân thủ chính sách mới hiện nay? - HUMAN-OUT1]]</f>
        <v>7</v>
      </c>
      <c r="AR383">
        <f t="shared" si="160"/>
        <v>0.66666666666666663</v>
      </c>
      <c r="AS383" s="32">
        <f t="shared" si="161"/>
        <v>1</v>
      </c>
    </row>
    <row r="384" spans="1:45" x14ac:dyDescent="0.45">
      <c r="A384">
        <f>step3_validation[[#This Row],[AI_ENF1]]</f>
        <v>7</v>
      </c>
      <c r="B384">
        <f t="shared" si="135"/>
        <v>0.66666666666666663</v>
      </c>
      <c r="C384">
        <f>[1]!survey_responses[[#This Row],[Tôi tin rằng với các quy định quản lý thuế hiện nay, hành vi gian lận hoặc trốn thuế sẽ dễ dàng bị phát hiện và xử lý nghiêm. - HUMAN-ENF1]]</f>
        <v>1</v>
      </c>
      <c r="D384">
        <f t="shared" si="136"/>
        <v>0</v>
      </c>
      <c r="E384">
        <f>step3_validation[[#This Row],[AI_ENF2]]</f>
        <v>8</v>
      </c>
      <c r="F384">
        <f t="shared" si="137"/>
        <v>0.77777777777777779</v>
      </c>
      <c r="G384">
        <f>[1]!survey_responses[[#This Row],[Tôi tin rằng Nhà nước, cơ quan thuế có đủ khả năng và công nghệ để phát hiện, xử lý nghiêm các hành vi trốn thuế. - HUMAN-ENF2]]</f>
        <v>1</v>
      </c>
      <c r="H384">
        <f t="shared" si="138"/>
        <v>0</v>
      </c>
      <c r="I384" s="32">
        <f t="shared" si="139"/>
        <v>0.72222222222222221</v>
      </c>
      <c r="J384" s="32">
        <f t="shared" si="140"/>
        <v>0</v>
      </c>
      <c r="K384">
        <f>step3_validation[[#This Row],[AI_FAC1]]</f>
        <v>9</v>
      </c>
      <c r="L384">
        <f t="shared" si="141"/>
        <v>0.88888888888888884</v>
      </c>
      <c r="M384">
        <f>[1]!survey_responses[[#This Row],[Các thủ tục khai báo thuế VÀ/HOẶC quy trình làm việc với cơ quan thuế đơn giản, tiện lợi, nhanh chóng hơn so với trước đây. - HUMAN-FAC1]]</f>
        <v>4</v>
      </c>
      <c r="N384">
        <f t="shared" si="142"/>
        <v>0.33333333333333331</v>
      </c>
      <c r="O384">
        <f>step3_validation[[#This Row],[AI_FAC2]]</f>
        <v>8</v>
      </c>
      <c r="P384">
        <f t="shared" si="143"/>
        <v>0.77777777777777779</v>
      </c>
      <c r="Q384">
        <f>[1]!survey_responses[[#This Row],[So với trước đây, tôi thấy cách tính thuế và các bậc thuế trong phương án mới đơn giản, dễ hiểu và dễ thực hiện hơn. - HUMAN-FAC2]]</f>
        <v>5</v>
      </c>
      <c r="R384">
        <f t="shared" si="144"/>
        <v>0.44444444444444442</v>
      </c>
      <c r="S384" s="32">
        <f t="shared" si="145"/>
        <v>0.83333333333333326</v>
      </c>
      <c r="T384" s="32">
        <f t="shared" si="146"/>
        <v>0.38888888888888884</v>
      </c>
      <c r="U384">
        <f>step3_validation[[#This Row],[AI_TRU1]]</f>
        <v>6</v>
      </c>
      <c r="V384">
        <f t="shared" si="147"/>
        <v>0.55555555555555558</v>
      </c>
      <c r="W384">
        <f>[1]!survey_responses[[#This Row],[Tôi tin rằng Nhà nước, cơ quan thuế sẽ thực thi chính sách mới một cách khách quan, công tâm và đối xử bình đẳng với mọi người nộp thuế.  - HUMAN-TRU1]]</f>
        <v>5</v>
      </c>
      <c r="X384">
        <f t="shared" si="148"/>
        <v>0.44444444444444442</v>
      </c>
      <c r="Y384">
        <f>step3_validation[[#This Row],[AI_TRU2]]</f>
        <v>7</v>
      </c>
      <c r="Z384">
        <f t="shared" si="149"/>
        <v>0.66666666666666663</v>
      </c>
      <c r="AA384">
        <f>[1]!survey_responses[[#This Row],[Tôi thấy mức thuế tôi phải đóng theo phương án mới là công bằng (người thu nhập như tôi đóng mức này là hợp lý). - HUMAN-TRU2]]</f>
        <v>4</v>
      </c>
      <c r="AB384">
        <f t="shared" si="150"/>
        <v>0.33333333333333331</v>
      </c>
      <c r="AC384">
        <f>step3_validation[[#This Row],[AI_TRU3]]</f>
        <v>6</v>
      </c>
      <c r="AD384">
        <f t="shared" si="151"/>
        <v>0.55555555555555558</v>
      </c>
      <c r="AE384">
        <f>[1]!survey_responses[[#This Row],[Tôi tin tưởng số tiền thuế tôi đóng sẽ được Nhà nước sử dụng hiệu quả để cải thiện dịch vụ công (y tế, đường xá...). - HUMAN-TRU3]]</f>
        <v>4</v>
      </c>
      <c r="AF384">
        <f t="shared" si="152"/>
        <v>0.33333333333333331</v>
      </c>
      <c r="AG384">
        <f>step3_validation[[#This Row],[AI_TRU4]]</f>
        <v>7</v>
      </c>
      <c r="AH384">
        <f t="shared" si="153"/>
        <v>0.66666666666666663</v>
      </c>
      <c r="AI384">
        <f>[1]!survey_responses[[#This Row],[Tôi thấy Nhà nước đã giải thích rõ ràng, minh bạch về lý do và mục tiêu của việc sửa đổi thuế lần này. - HUMAN-TRU4]]</f>
        <v>5</v>
      </c>
      <c r="AJ384">
        <f t="shared" si="154"/>
        <v>0.44444444444444442</v>
      </c>
      <c r="AK384" s="32">
        <f t="shared" si="155"/>
        <v>0.61111111111111116</v>
      </c>
      <c r="AL384" s="32">
        <f t="shared" si="156"/>
        <v>0.38888888888888884</v>
      </c>
      <c r="AM384" s="7">
        <f t="shared" si="157"/>
        <v>0.72222222222222221</v>
      </c>
      <c r="AN384" s="7">
        <f t="shared" si="158"/>
        <v>0.25925925925925924</v>
      </c>
      <c r="AO384">
        <f>step3_validation[[#This Row],[AI_OUT1]]</f>
        <v>8</v>
      </c>
      <c r="AP384">
        <f t="shared" si="159"/>
        <v>0.77777777777777779</v>
      </c>
      <c r="AQ384">
        <f>[1]!survey_responses[[#This Row],[Sau khi xem xét các quyền lợi và nghĩa vụ, bạn có ủng hộ và tuân thủ chính sách mới hiện nay? - HUMAN-OUT1]]</f>
        <v>3</v>
      </c>
      <c r="AR384">
        <f t="shared" si="160"/>
        <v>0.22222222222222221</v>
      </c>
      <c r="AS384" s="32">
        <f t="shared" si="161"/>
        <v>5</v>
      </c>
    </row>
    <row r="385" spans="1:45" x14ac:dyDescent="0.45">
      <c r="A385">
        <f>step3_validation[[#This Row],[AI_ENF1]]</f>
        <v>8</v>
      </c>
      <c r="B385">
        <f t="shared" si="135"/>
        <v>0.77777777777777779</v>
      </c>
      <c r="C385">
        <f>[1]!survey_responses[[#This Row],[Tôi tin rằng với các quy định quản lý thuế hiện nay, hành vi gian lận hoặc trốn thuế sẽ dễ dàng bị phát hiện và xử lý nghiêm. - HUMAN-ENF1]]</f>
        <v>7</v>
      </c>
      <c r="D385">
        <f t="shared" si="136"/>
        <v>0.66666666666666663</v>
      </c>
      <c r="E385">
        <f>step3_validation[[#This Row],[AI_ENF2]]</f>
        <v>7</v>
      </c>
      <c r="F385">
        <f t="shared" si="137"/>
        <v>0.66666666666666663</v>
      </c>
      <c r="G385">
        <f>[1]!survey_responses[[#This Row],[Tôi tin rằng Nhà nước, cơ quan thuế có đủ khả năng và công nghệ để phát hiện, xử lý nghiêm các hành vi trốn thuế. - HUMAN-ENF2]]</f>
        <v>7</v>
      </c>
      <c r="H385">
        <f t="shared" si="138"/>
        <v>0.66666666666666663</v>
      </c>
      <c r="I385" s="32">
        <f t="shared" si="139"/>
        <v>0.72222222222222221</v>
      </c>
      <c r="J385" s="32">
        <f t="shared" si="140"/>
        <v>0.66666666666666663</v>
      </c>
      <c r="K385">
        <f>step3_validation[[#This Row],[AI_FAC1]]</f>
        <v>9</v>
      </c>
      <c r="L385">
        <f t="shared" si="141"/>
        <v>0.88888888888888884</v>
      </c>
      <c r="M385">
        <f>[1]!survey_responses[[#This Row],[Các thủ tục khai báo thuế VÀ/HOẶC quy trình làm việc với cơ quan thuế đơn giản, tiện lợi, nhanh chóng hơn so với trước đây. - HUMAN-FAC1]]</f>
        <v>7</v>
      </c>
      <c r="N385">
        <f t="shared" si="142"/>
        <v>0.66666666666666663</v>
      </c>
      <c r="O385">
        <f>step3_validation[[#This Row],[AI_FAC2]]</f>
        <v>8</v>
      </c>
      <c r="P385">
        <f t="shared" si="143"/>
        <v>0.77777777777777779</v>
      </c>
      <c r="Q385">
        <f>[1]!survey_responses[[#This Row],[So với trước đây, tôi thấy cách tính thuế và các bậc thuế trong phương án mới đơn giản, dễ hiểu và dễ thực hiện hơn. - HUMAN-FAC2]]</f>
        <v>9</v>
      </c>
      <c r="R385">
        <f t="shared" si="144"/>
        <v>0.88888888888888884</v>
      </c>
      <c r="S385" s="32">
        <f t="shared" si="145"/>
        <v>0.83333333333333326</v>
      </c>
      <c r="T385" s="32">
        <f t="shared" si="146"/>
        <v>0.77777777777777768</v>
      </c>
      <c r="U385">
        <f>step3_validation[[#This Row],[AI_TRU1]]</f>
        <v>8</v>
      </c>
      <c r="V385">
        <f t="shared" si="147"/>
        <v>0.77777777777777779</v>
      </c>
      <c r="W385">
        <f>[1]!survey_responses[[#This Row],[Tôi tin rằng Nhà nước, cơ quan thuế sẽ thực thi chính sách mới một cách khách quan, công tâm và đối xử bình đẳng với mọi người nộp thuế.  - HUMAN-TRU1]]</f>
        <v>8</v>
      </c>
      <c r="X385">
        <f t="shared" si="148"/>
        <v>0.77777777777777779</v>
      </c>
      <c r="Y385">
        <f>step3_validation[[#This Row],[AI_TRU2]]</f>
        <v>7</v>
      </c>
      <c r="Z385">
        <f t="shared" si="149"/>
        <v>0.66666666666666663</v>
      </c>
      <c r="AA385">
        <f>[1]!survey_responses[[#This Row],[Tôi thấy mức thuế tôi phải đóng theo phương án mới là công bằng (người thu nhập như tôi đóng mức này là hợp lý). - HUMAN-TRU2]]</f>
        <v>10</v>
      </c>
      <c r="AB385">
        <f t="shared" si="150"/>
        <v>1</v>
      </c>
      <c r="AC385">
        <f>step3_validation[[#This Row],[AI_TRU3]]</f>
        <v>6</v>
      </c>
      <c r="AD385">
        <f t="shared" si="151"/>
        <v>0.55555555555555558</v>
      </c>
      <c r="AE385">
        <f>[1]!survey_responses[[#This Row],[Tôi tin tưởng số tiền thuế tôi đóng sẽ được Nhà nước sử dụng hiệu quả để cải thiện dịch vụ công (y tế, đường xá...). - HUMAN-TRU3]]</f>
        <v>8</v>
      </c>
      <c r="AF385">
        <f t="shared" si="152"/>
        <v>0.77777777777777779</v>
      </c>
      <c r="AG385">
        <f>step3_validation[[#This Row],[AI_TRU4]]</f>
        <v>5</v>
      </c>
      <c r="AH385">
        <f t="shared" si="153"/>
        <v>0.44444444444444442</v>
      </c>
      <c r="AI385">
        <f>[1]!survey_responses[[#This Row],[Tôi thấy Nhà nước đã giải thích rõ ràng, minh bạch về lý do và mục tiêu của việc sửa đổi thuế lần này. - HUMAN-TRU4]]</f>
        <v>7</v>
      </c>
      <c r="AJ385">
        <f t="shared" si="154"/>
        <v>0.66666666666666663</v>
      </c>
      <c r="AK385" s="32">
        <f t="shared" si="155"/>
        <v>0.61111111111111116</v>
      </c>
      <c r="AL385" s="32">
        <f t="shared" si="156"/>
        <v>0.80555555555555547</v>
      </c>
      <c r="AM385" s="7">
        <f t="shared" si="157"/>
        <v>0.72222222222222221</v>
      </c>
      <c r="AN385" s="7">
        <f t="shared" si="158"/>
        <v>0.74999999999999989</v>
      </c>
      <c r="AO385">
        <f>step3_validation[[#This Row],[AI_OUT1]]</f>
        <v>8</v>
      </c>
      <c r="AP385">
        <f t="shared" si="159"/>
        <v>0.77777777777777779</v>
      </c>
      <c r="AQ385">
        <f>[1]!survey_responses[[#This Row],[Sau khi xem xét các quyền lợi và nghĩa vụ, bạn có ủng hộ và tuân thủ chính sách mới hiện nay? - HUMAN-OUT1]]</f>
        <v>10</v>
      </c>
      <c r="AR385">
        <f t="shared" si="160"/>
        <v>1</v>
      </c>
      <c r="AS385" s="32">
        <f t="shared" si="161"/>
        <v>2</v>
      </c>
    </row>
    <row r="386" spans="1:45" x14ac:dyDescent="0.45">
      <c r="A386">
        <f>step3_validation[[#This Row],[AI_ENF1]]</f>
        <v>4</v>
      </c>
      <c r="B386">
        <f t="shared" si="135"/>
        <v>0.33333333333333331</v>
      </c>
      <c r="C386">
        <f>[1]!survey_responses[[#This Row],[Tôi tin rằng với các quy định quản lý thuế hiện nay, hành vi gian lận hoặc trốn thuế sẽ dễ dàng bị phát hiện và xử lý nghiêm. - HUMAN-ENF1]]</f>
        <v>3</v>
      </c>
      <c r="D386">
        <f t="shared" si="136"/>
        <v>0.22222222222222221</v>
      </c>
      <c r="E386">
        <f>step3_validation[[#This Row],[AI_ENF2]]</f>
        <v>6</v>
      </c>
      <c r="F386">
        <f t="shared" si="137"/>
        <v>0.55555555555555558</v>
      </c>
      <c r="G386">
        <f>[1]!survey_responses[[#This Row],[Tôi tin rằng Nhà nước, cơ quan thuế có đủ khả năng và công nghệ để phát hiện, xử lý nghiêm các hành vi trốn thuế. - HUMAN-ENF2]]</f>
        <v>3</v>
      </c>
      <c r="H386">
        <f t="shared" si="138"/>
        <v>0.22222222222222221</v>
      </c>
      <c r="I386" s="32">
        <f t="shared" si="139"/>
        <v>0.44444444444444442</v>
      </c>
      <c r="J386" s="32">
        <f t="shared" si="140"/>
        <v>0.22222222222222221</v>
      </c>
      <c r="K386">
        <f>step3_validation[[#This Row],[AI_FAC1]]</f>
        <v>8</v>
      </c>
      <c r="L386">
        <f t="shared" si="141"/>
        <v>0.77777777777777779</v>
      </c>
      <c r="M386">
        <f>[1]!survey_responses[[#This Row],[Các thủ tục khai báo thuế VÀ/HOẶC quy trình làm việc với cơ quan thuế đơn giản, tiện lợi, nhanh chóng hơn so với trước đây. - HUMAN-FAC1]]</f>
        <v>4</v>
      </c>
      <c r="N386">
        <f t="shared" si="142"/>
        <v>0.33333333333333331</v>
      </c>
      <c r="O386">
        <f>step3_validation[[#This Row],[AI_FAC2]]</f>
        <v>5</v>
      </c>
      <c r="P386">
        <f t="shared" si="143"/>
        <v>0.44444444444444442</v>
      </c>
      <c r="Q386">
        <f>[1]!survey_responses[[#This Row],[So với trước đây, tôi thấy cách tính thuế và các bậc thuế trong phương án mới đơn giản, dễ hiểu và dễ thực hiện hơn. - HUMAN-FAC2]]</f>
        <v>6</v>
      </c>
      <c r="R386">
        <f t="shared" si="144"/>
        <v>0.55555555555555558</v>
      </c>
      <c r="S386" s="32">
        <f t="shared" si="145"/>
        <v>0.61111111111111116</v>
      </c>
      <c r="T386" s="32">
        <f t="shared" si="146"/>
        <v>0.44444444444444442</v>
      </c>
      <c r="U386">
        <f>step3_validation[[#This Row],[AI_TRU1]]</f>
        <v>3</v>
      </c>
      <c r="V386">
        <f t="shared" si="147"/>
        <v>0.22222222222222221</v>
      </c>
      <c r="W386">
        <f>[1]!survey_responses[[#This Row],[Tôi tin rằng Nhà nước, cơ quan thuế sẽ thực thi chính sách mới một cách khách quan, công tâm và đối xử bình đẳng với mọi người nộp thuế.  - HUMAN-TRU1]]</f>
        <v>4</v>
      </c>
      <c r="X386">
        <f t="shared" si="148"/>
        <v>0.33333333333333331</v>
      </c>
      <c r="Y386">
        <f>step3_validation[[#This Row],[AI_TRU2]]</f>
        <v>7</v>
      </c>
      <c r="Z386">
        <f t="shared" si="149"/>
        <v>0.66666666666666663</v>
      </c>
      <c r="AA386">
        <f>[1]!survey_responses[[#This Row],[Tôi thấy mức thuế tôi phải đóng theo phương án mới là công bằng (người thu nhập như tôi đóng mức này là hợp lý). - HUMAN-TRU2]]</f>
        <v>5</v>
      </c>
      <c r="AB386">
        <f t="shared" si="150"/>
        <v>0.44444444444444442</v>
      </c>
      <c r="AC386">
        <f>step3_validation[[#This Row],[AI_TRU3]]</f>
        <v>4</v>
      </c>
      <c r="AD386">
        <f t="shared" si="151"/>
        <v>0.33333333333333331</v>
      </c>
      <c r="AE386">
        <f>[1]!survey_responses[[#This Row],[Tôi tin tưởng số tiền thuế tôi đóng sẽ được Nhà nước sử dụng hiệu quả để cải thiện dịch vụ công (y tế, đường xá...). - HUMAN-TRU3]]</f>
        <v>4</v>
      </c>
      <c r="AF386">
        <f t="shared" si="152"/>
        <v>0.33333333333333331</v>
      </c>
      <c r="AG386">
        <f>step3_validation[[#This Row],[AI_TRU4]]</f>
        <v>5</v>
      </c>
      <c r="AH386">
        <f t="shared" si="153"/>
        <v>0.44444444444444442</v>
      </c>
      <c r="AI386">
        <f>[1]!survey_responses[[#This Row],[Tôi thấy Nhà nước đã giải thích rõ ràng, minh bạch về lý do và mục tiêu của việc sửa đổi thuế lần này. - HUMAN-TRU4]]</f>
        <v>5</v>
      </c>
      <c r="AJ386">
        <f t="shared" si="154"/>
        <v>0.44444444444444442</v>
      </c>
      <c r="AK386" s="32">
        <f t="shared" si="155"/>
        <v>0.41666666666666663</v>
      </c>
      <c r="AL386" s="32">
        <f t="shared" si="156"/>
        <v>0.38888888888888884</v>
      </c>
      <c r="AM386" s="7">
        <f t="shared" si="157"/>
        <v>0.49074074074074076</v>
      </c>
      <c r="AN386" s="7">
        <f t="shared" si="158"/>
        <v>0.3518518518518518</v>
      </c>
      <c r="AO386">
        <f>step3_validation[[#This Row],[AI_OUT1]]</f>
        <v>6</v>
      </c>
      <c r="AP386">
        <f t="shared" si="159"/>
        <v>0.55555555555555558</v>
      </c>
      <c r="AQ386">
        <f>[1]!survey_responses[[#This Row],[Sau khi xem xét các quyền lợi và nghĩa vụ, bạn có ủng hộ và tuân thủ chính sách mới hiện nay? - HUMAN-OUT1]]</f>
        <v>5</v>
      </c>
      <c r="AR386">
        <f t="shared" si="160"/>
        <v>0.44444444444444442</v>
      </c>
      <c r="AS386" s="32">
        <f t="shared" si="161"/>
        <v>1</v>
      </c>
    </row>
    <row r="387" spans="1:45" x14ac:dyDescent="0.45">
      <c r="A387">
        <f>step3_validation[[#This Row],[AI_ENF1]]</f>
        <v>9</v>
      </c>
      <c r="B387">
        <f t="shared" ref="B387:B404" si="162">(A387-1)/9</f>
        <v>0.88888888888888884</v>
      </c>
      <c r="C387">
        <f>[1]!survey_responses[[#This Row],[Tôi tin rằng với các quy định quản lý thuế hiện nay, hành vi gian lận hoặc trốn thuế sẽ dễ dàng bị phát hiện và xử lý nghiêm. - HUMAN-ENF1]]</f>
        <v>8</v>
      </c>
      <c r="D387">
        <f t="shared" ref="D387:D404" si="163">(C387-1)/9</f>
        <v>0.77777777777777779</v>
      </c>
      <c r="E387">
        <f>step3_validation[[#This Row],[AI_ENF2]]</f>
        <v>8</v>
      </c>
      <c r="F387">
        <f t="shared" ref="F387:F404" si="164">(E387-1)/9</f>
        <v>0.77777777777777779</v>
      </c>
      <c r="G387">
        <f>[1]!survey_responses[[#This Row],[Tôi tin rằng Nhà nước, cơ quan thuế có đủ khả năng và công nghệ để phát hiện, xử lý nghiêm các hành vi trốn thuế. - HUMAN-ENF2]]</f>
        <v>8</v>
      </c>
      <c r="H387">
        <f t="shared" ref="H387:H404" si="165">(G387-1)/9</f>
        <v>0.77777777777777779</v>
      </c>
      <c r="I387" s="32">
        <f t="shared" ref="I387:I404" si="166">AVERAGE(B387,F387)</f>
        <v>0.83333333333333326</v>
      </c>
      <c r="J387" s="32">
        <f t="shared" ref="J387:J404" si="167">AVERAGE(D387,H387)</f>
        <v>0.77777777777777779</v>
      </c>
      <c r="K387">
        <f>step3_validation[[#This Row],[AI_FAC1]]</f>
        <v>8</v>
      </c>
      <c r="L387">
        <f t="shared" ref="L387:L404" si="168">(K387-1)/9</f>
        <v>0.77777777777777779</v>
      </c>
      <c r="M387">
        <f>[1]!survey_responses[[#This Row],[Các thủ tục khai báo thuế VÀ/HOẶC quy trình làm việc với cơ quan thuế đơn giản, tiện lợi, nhanh chóng hơn so với trước đây. - HUMAN-FAC1]]</f>
        <v>9</v>
      </c>
      <c r="N387">
        <f t="shared" ref="N387:N404" si="169">(M387-1)/9</f>
        <v>0.88888888888888884</v>
      </c>
      <c r="O387">
        <f>step3_validation[[#This Row],[AI_FAC2]]</f>
        <v>7</v>
      </c>
      <c r="P387">
        <f t="shared" ref="P387:P404" si="170">(O387-1)/9</f>
        <v>0.66666666666666663</v>
      </c>
      <c r="Q387">
        <f>[1]!survey_responses[[#This Row],[So với trước đây, tôi thấy cách tính thuế và các bậc thuế trong phương án mới đơn giản, dễ hiểu và dễ thực hiện hơn. - HUMAN-FAC2]]</f>
        <v>8</v>
      </c>
      <c r="R387">
        <f t="shared" ref="R387:R404" si="171">(Q387-1)/9</f>
        <v>0.77777777777777779</v>
      </c>
      <c r="S387" s="32">
        <f t="shared" ref="S387:S404" si="172">AVERAGE(L387,P387)</f>
        <v>0.72222222222222221</v>
      </c>
      <c r="T387" s="32">
        <f t="shared" ref="T387:T404" si="173">AVERAGE(N387,R387)</f>
        <v>0.83333333333333326</v>
      </c>
      <c r="U387">
        <f>step3_validation[[#This Row],[AI_TRU1]]</f>
        <v>8</v>
      </c>
      <c r="V387">
        <f t="shared" ref="V387:V404" si="174">(U387-1)/9</f>
        <v>0.77777777777777779</v>
      </c>
      <c r="W387">
        <f>[1]!survey_responses[[#This Row],[Tôi tin rằng Nhà nước, cơ quan thuế sẽ thực thi chính sách mới một cách khách quan, công tâm và đối xử bình đẳng với mọi người nộp thuế.  - HUMAN-TRU1]]</f>
        <v>7</v>
      </c>
      <c r="X387">
        <f t="shared" ref="X387:X404" si="175">(W387-1)/9</f>
        <v>0.66666666666666663</v>
      </c>
      <c r="Y387">
        <f>step3_validation[[#This Row],[AI_TRU2]]</f>
        <v>7</v>
      </c>
      <c r="Z387">
        <f t="shared" ref="Z387:Z404" si="176">(Y387-1)/9</f>
        <v>0.66666666666666663</v>
      </c>
      <c r="AA387">
        <f>[1]!survey_responses[[#This Row],[Tôi thấy mức thuế tôi phải đóng theo phương án mới là công bằng (người thu nhập như tôi đóng mức này là hợp lý). - HUMAN-TRU2]]</f>
        <v>8</v>
      </c>
      <c r="AB387">
        <f t="shared" ref="AB387:AB404" si="177">(AA387-1)/9</f>
        <v>0.77777777777777779</v>
      </c>
      <c r="AC387">
        <f>step3_validation[[#This Row],[AI_TRU3]]</f>
        <v>6</v>
      </c>
      <c r="AD387">
        <f t="shared" ref="AD387:AD404" si="178">(AC387-1)/9</f>
        <v>0.55555555555555558</v>
      </c>
      <c r="AE387">
        <f>[1]!survey_responses[[#This Row],[Tôi tin tưởng số tiền thuế tôi đóng sẽ được Nhà nước sử dụng hiệu quả để cải thiện dịch vụ công (y tế, đường xá...). - HUMAN-TRU3]]</f>
        <v>7</v>
      </c>
      <c r="AF387">
        <f t="shared" ref="AF387:AF404" si="179">(AE387-1)/9</f>
        <v>0.66666666666666663</v>
      </c>
      <c r="AG387">
        <f>step3_validation[[#This Row],[AI_TRU4]]</f>
        <v>8</v>
      </c>
      <c r="AH387">
        <f t="shared" ref="AH387:AH404" si="180">(AG387-1)/9</f>
        <v>0.77777777777777779</v>
      </c>
      <c r="AI387">
        <f>[1]!survey_responses[[#This Row],[Tôi thấy Nhà nước đã giải thích rõ ràng, minh bạch về lý do và mục tiêu của việc sửa đổi thuế lần này. - HUMAN-TRU4]]</f>
        <v>7</v>
      </c>
      <c r="AJ387">
        <f t="shared" ref="AJ387:AJ404" si="181">(AI387-1)/9</f>
        <v>0.66666666666666663</v>
      </c>
      <c r="AK387" s="32">
        <f t="shared" ref="AK387:AK404" si="182">AVERAGE(V387,Z387,AD387,AH387)</f>
        <v>0.69444444444444442</v>
      </c>
      <c r="AL387" s="32">
        <f t="shared" ref="AL387:AL404" si="183">AVERAGE(X387,AB387,AF387,AJ387)</f>
        <v>0.69444444444444442</v>
      </c>
      <c r="AM387" s="7">
        <f t="shared" ref="AM387:AM404" si="184">(I387+S387+AK387)/3</f>
        <v>0.75</v>
      </c>
      <c r="AN387" s="7">
        <f t="shared" ref="AN387:AN404" si="185">(J387+T387+AL387)/3</f>
        <v>0.76851851851851849</v>
      </c>
      <c r="AO387">
        <f>step3_validation[[#This Row],[AI_OUT1]]</f>
        <v>9</v>
      </c>
      <c r="AP387">
        <f t="shared" ref="AP387:AP404" si="186">(AO387-1)/9</f>
        <v>0.88888888888888884</v>
      </c>
      <c r="AQ387">
        <f>[1]!survey_responses[[#This Row],[Sau khi xem xét các quyền lợi và nghĩa vụ, bạn có ủng hộ và tuân thủ chính sách mới hiện nay? - HUMAN-OUT1]]</f>
        <v>8</v>
      </c>
      <c r="AR387">
        <f t="shared" ref="AR387:AR404" si="187">(AQ387-1)/9</f>
        <v>0.77777777777777779</v>
      </c>
      <c r="AS387" s="32">
        <f t="shared" ref="AS387:AS404" si="188">ABS(AQ387-AO387)</f>
        <v>1</v>
      </c>
    </row>
    <row r="388" spans="1:45" x14ac:dyDescent="0.45">
      <c r="A388">
        <f>step3_validation[[#This Row],[AI_ENF1]]</f>
        <v>7</v>
      </c>
      <c r="B388">
        <f t="shared" si="162"/>
        <v>0.66666666666666663</v>
      </c>
      <c r="C388">
        <f>[1]!survey_responses[[#This Row],[Tôi tin rằng với các quy định quản lý thuế hiện nay, hành vi gian lận hoặc trốn thuế sẽ dễ dàng bị phát hiện và xử lý nghiêm. - HUMAN-ENF1]]</f>
        <v>5</v>
      </c>
      <c r="D388">
        <f t="shared" si="163"/>
        <v>0.44444444444444442</v>
      </c>
      <c r="E388">
        <f>step3_validation[[#This Row],[AI_ENF2]]</f>
        <v>8</v>
      </c>
      <c r="F388">
        <f t="shared" si="164"/>
        <v>0.77777777777777779</v>
      </c>
      <c r="G388">
        <f>[1]!survey_responses[[#This Row],[Tôi tin rằng Nhà nước, cơ quan thuế có đủ khả năng và công nghệ để phát hiện, xử lý nghiêm các hành vi trốn thuế. - HUMAN-ENF2]]</f>
        <v>5</v>
      </c>
      <c r="H388">
        <f t="shared" si="165"/>
        <v>0.44444444444444442</v>
      </c>
      <c r="I388" s="32">
        <f t="shared" si="166"/>
        <v>0.72222222222222221</v>
      </c>
      <c r="J388" s="32">
        <f t="shared" si="167"/>
        <v>0.44444444444444442</v>
      </c>
      <c r="K388">
        <f>step3_validation[[#This Row],[AI_FAC1]]</f>
        <v>9</v>
      </c>
      <c r="L388">
        <f t="shared" si="168"/>
        <v>0.88888888888888884</v>
      </c>
      <c r="M388">
        <f>[1]!survey_responses[[#This Row],[Các thủ tục khai báo thuế VÀ/HOẶC quy trình làm việc với cơ quan thuế đơn giản, tiện lợi, nhanh chóng hơn so với trước đây. - HUMAN-FAC1]]</f>
        <v>5</v>
      </c>
      <c r="N388">
        <f t="shared" si="169"/>
        <v>0.44444444444444442</v>
      </c>
      <c r="O388">
        <f>step3_validation[[#This Row],[AI_FAC2]]</f>
        <v>8</v>
      </c>
      <c r="P388">
        <f t="shared" si="170"/>
        <v>0.77777777777777779</v>
      </c>
      <c r="Q388">
        <f>[1]!survey_responses[[#This Row],[So với trước đây, tôi thấy cách tính thuế và các bậc thuế trong phương án mới đơn giản, dễ hiểu và dễ thực hiện hơn. - HUMAN-FAC2]]</f>
        <v>5</v>
      </c>
      <c r="R388">
        <f t="shared" si="171"/>
        <v>0.44444444444444442</v>
      </c>
      <c r="S388" s="32">
        <f t="shared" si="172"/>
        <v>0.83333333333333326</v>
      </c>
      <c r="T388" s="32">
        <f t="shared" si="173"/>
        <v>0.44444444444444442</v>
      </c>
      <c r="U388">
        <f>step3_validation[[#This Row],[AI_TRU1]]</f>
        <v>6</v>
      </c>
      <c r="V388">
        <f t="shared" si="174"/>
        <v>0.55555555555555558</v>
      </c>
      <c r="W388">
        <f>[1]!survey_responses[[#This Row],[Tôi tin rằng Nhà nước, cơ quan thuế sẽ thực thi chính sách mới một cách khách quan, công tâm và đối xử bình đẳng với mọi người nộp thuế.  - HUMAN-TRU1]]</f>
        <v>5</v>
      </c>
      <c r="X388">
        <f t="shared" si="175"/>
        <v>0.44444444444444442</v>
      </c>
      <c r="Y388">
        <f>step3_validation[[#This Row],[AI_TRU2]]</f>
        <v>7</v>
      </c>
      <c r="Z388">
        <f t="shared" si="176"/>
        <v>0.66666666666666663</v>
      </c>
      <c r="AA388">
        <f>[1]!survey_responses[[#This Row],[Tôi thấy mức thuế tôi phải đóng theo phương án mới là công bằng (người thu nhập như tôi đóng mức này là hợp lý). - HUMAN-TRU2]]</f>
        <v>5</v>
      </c>
      <c r="AB388">
        <f t="shared" si="177"/>
        <v>0.44444444444444442</v>
      </c>
      <c r="AC388">
        <f>step3_validation[[#This Row],[AI_TRU3]]</f>
        <v>6</v>
      </c>
      <c r="AD388">
        <f t="shared" si="178"/>
        <v>0.55555555555555558</v>
      </c>
      <c r="AE388">
        <f>[1]!survey_responses[[#This Row],[Tôi tin tưởng số tiền thuế tôi đóng sẽ được Nhà nước sử dụng hiệu quả để cải thiện dịch vụ công (y tế, đường xá...). - HUMAN-TRU3]]</f>
        <v>5</v>
      </c>
      <c r="AF388">
        <f t="shared" si="179"/>
        <v>0.44444444444444442</v>
      </c>
      <c r="AG388">
        <f>step3_validation[[#This Row],[AI_TRU4]]</f>
        <v>5</v>
      </c>
      <c r="AH388">
        <f t="shared" si="180"/>
        <v>0.44444444444444442</v>
      </c>
      <c r="AI388">
        <f>[1]!survey_responses[[#This Row],[Tôi thấy Nhà nước đã giải thích rõ ràng, minh bạch về lý do và mục tiêu của việc sửa đổi thuế lần này. - HUMAN-TRU4]]</f>
        <v>5</v>
      </c>
      <c r="AJ388">
        <f t="shared" si="181"/>
        <v>0.44444444444444442</v>
      </c>
      <c r="AK388" s="32">
        <f t="shared" si="182"/>
        <v>0.55555555555555558</v>
      </c>
      <c r="AL388" s="32">
        <f t="shared" si="183"/>
        <v>0.44444444444444442</v>
      </c>
      <c r="AM388" s="7">
        <f t="shared" si="184"/>
        <v>0.70370370370370361</v>
      </c>
      <c r="AN388" s="7">
        <f t="shared" si="185"/>
        <v>0.44444444444444442</v>
      </c>
      <c r="AO388">
        <f>step3_validation[[#This Row],[AI_OUT1]]</f>
        <v>7</v>
      </c>
      <c r="AP388">
        <f t="shared" si="186"/>
        <v>0.66666666666666663</v>
      </c>
      <c r="AQ388">
        <f>[1]!survey_responses[[#This Row],[Sau khi xem xét các quyền lợi và nghĩa vụ, bạn có ủng hộ và tuân thủ chính sách mới hiện nay? - HUMAN-OUT1]]</f>
        <v>5</v>
      </c>
      <c r="AR388">
        <f t="shared" si="187"/>
        <v>0.44444444444444442</v>
      </c>
      <c r="AS388" s="32">
        <f t="shared" si="188"/>
        <v>2</v>
      </c>
    </row>
    <row r="389" spans="1:45" x14ac:dyDescent="0.45">
      <c r="A389">
        <f>step3_validation[[#This Row],[AI_ENF1]]</f>
        <v>7</v>
      </c>
      <c r="B389">
        <f t="shared" si="162"/>
        <v>0.66666666666666663</v>
      </c>
      <c r="C389">
        <f>[1]!survey_responses[[#This Row],[Tôi tin rằng với các quy định quản lý thuế hiện nay, hành vi gian lận hoặc trốn thuế sẽ dễ dàng bị phát hiện và xử lý nghiêm. - HUMAN-ENF1]]</f>
        <v>7</v>
      </c>
      <c r="D389">
        <f t="shared" si="163"/>
        <v>0.66666666666666663</v>
      </c>
      <c r="E389">
        <f>step3_validation[[#This Row],[AI_ENF2]]</f>
        <v>6</v>
      </c>
      <c r="F389">
        <f t="shared" si="164"/>
        <v>0.55555555555555558</v>
      </c>
      <c r="G389">
        <f>[1]!survey_responses[[#This Row],[Tôi tin rằng Nhà nước, cơ quan thuế có đủ khả năng và công nghệ để phát hiện, xử lý nghiêm các hành vi trốn thuế. - HUMAN-ENF2]]</f>
        <v>7</v>
      </c>
      <c r="H389">
        <f t="shared" si="165"/>
        <v>0.66666666666666663</v>
      </c>
      <c r="I389" s="32">
        <f t="shared" si="166"/>
        <v>0.61111111111111116</v>
      </c>
      <c r="J389" s="32">
        <f t="shared" si="167"/>
        <v>0.66666666666666663</v>
      </c>
      <c r="K389">
        <f>step3_validation[[#This Row],[AI_FAC1]]</f>
        <v>8</v>
      </c>
      <c r="L389">
        <f t="shared" si="168"/>
        <v>0.77777777777777779</v>
      </c>
      <c r="M389">
        <f>[1]!survey_responses[[#This Row],[Các thủ tục khai báo thuế VÀ/HOẶC quy trình làm việc với cơ quan thuế đơn giản, tiện lợi, nhanh chóng hơn so với trước đây. - HUMAN-FAC1]]</f>
        <v>5</v>
      </c>
      <c r="N389">
        <f t="shared" si="169"/>
        <v>0.44444444444444442</v>
      </c>
      <c r="O389">
        <f>step3_validation[[#This Row],[AI_FAC2]]</f>
        <v>9</v>
      </c>
      <c r="P389">
        <f t="shared" si="170"/>
        <v>0.88888888888888884</v>
      </c>
      <c r="Q389">
        <f>[1]!survey_responses[[#This Row],[So với trước đây, tôi thấy cách tính thuế và các bậc thuế trong phương án mới đơn giản, dễ hiểu và dễ thực hiện hơn. - HUMAN-FAC2]]</f>
        <v>8</v>
      </c>
      <c r="R389">
        <f t="shared" si="171"/>
        <v>0.77777777777777779</v>
      </c>
      <c r="S389" s="32">
        <f t="shared" si="172"/>
        <v>0.83333333333333326</v>
      </c>
      <c r="T389" s="32">
        <f t="shared" si="173"/>
        <v>0.61111111111111116</v>
      </c>
      <c r="U389">
        <f>step3_validation[[#This Row],[AI_TRU1]]</f>
        <v>8</v>
      </c>
      <c r="V389">
        <f t="shared" si="174"/>
        <v>0.77777777777777779</v>
      </c>
      <c r="W389">
        <f>[1]!survey_responses[[#This Row],[Tôi tin rằng Nhà nước, cơ quan thuế sẽ thực thi chính sách mới một cách khách quan, công tâm và đối xử bình đẳng với mọi người nộp thuế.  - HUMAN-TRU1]]</f>
        <v>6</v>
      </c>
      <c r="X389">
        <f t="shared" si="175"/>
        <v>0.55555555555555558</v>
      </c>
      <c r="Y389">
        <f>step3_validation[[#This Row],[AI_TRU2]]</f>
        <v>7</v>
      </c>
      <c r="Z389">
        <f t="shared" si="176"/>
        <v>0.66666666666666663</v>
      </c>
      <c r="AA389">
        <f>[1]!survey_responses[[#This Row],[Tôi thấy mức thuế tôi phải đóng theo phương án mới là công bằng (người thu nhập như tôi đóng mức này là hợp lý). - HUMAN-TRU2]]</f>
        <v>8</v>
      </c>
      <c r="AB389">
        <f t="shared" si="177"/>
        <v>0.77777777777777779</v>
      </c>
      <c r="AC389">
        <f>step3_validation[[#This Row],[AI_TRU3]]</f>
        <v>6</v>
      </c>
      <c r="AD389">
        <f t="shared" si="178"/>
        <v>0.55555555555555558</v>
      </c>
      <c r="AE389">
        <f>[1]!survey_responses[[#This Row],[Tôi tin tưởng số tiền thuế tôi đóng sẽ được Nhà nước sử dụng hiệu quả để cải thiện dịch vụ công (y tế, đường xá...). - HUMAN-TRU3]]</f>
        <v>5</v>
      </c>
      <c r="AF389">
        <f t="shared" si="179"/>
        <v>0.44444444444444442</v>
      </c>
      <c r="AG389">
        <f>step3_validation[[#This Row],[AI_TRU4]]</f>
        <v>5</v>
      </c>
      <c r="AH389">
        <f t="shared" si="180"/>
        <v>0.44444444444444442</v>
      </c>
      <c r="AI389">
        <f>[1]!survey_responses[[#This Row],[Tôi thấy Nhà nước đã giải thích rõ ràng, minh bạch về lý do và mục tiêu của việc sửa đổi thuế lần này. - HUMAN-TRU4]]</f>
        <v>5</v>
      </c>
      <c r="AJ389">
        <f t="shared" si="181"/>
        <v>0.44444444444444442</v>
      </c>
      <c r="AK389" s="32">
        <f t="shared" si="182"/>
        <v>0.61111111111111116</v>
      </c>
      <c r="AL389" s="32">
        <f t="shared" si="183"/>
        <v>0.55555555555555558</v>
      </c>
      <c r="AM389" s="7">
        <f t="shared" si="184"/>
        <v>0.68518518518518512</v>
      </c>
      <c r="AN389" s="7">
        <f t="shared" si="185"/>
        <v>0.61111111111111105</v>
      </c>
      <c r="AO389">
        <f>step3_validation[[#This Row],[AI_OUT1]]</f>
        <v>6</v>
      </c>
      <c r="AP389">
        <f t="shared" si="186"/>
        <v>0.55555555555555558</v>
      </c>
      <c r="AQ389">
        <f>[1]!survey_responses[[#This Row],[Sau khi xem xét các quyền lợi và nghĩa vụ, bạn có ủng hộ và tuân thủ chính sách mới hiện nay? - HUMAN-OUT1]]</f>
        <v>8</v>
      </c>
      <c r="AR389">
        <f t="shared" si="187"/>
        <v>0.77777777777777779</v>
      </c>
      <c r="AS389" s="32">
        <f t="shared" si="188"/>
        <v>2</v>
      </c>
    </row>
    <row r="390" spans="1:45" x14ac:dyDescent="0.45">
      <c r="A390">
        <f>step3_validation[[#This Row],[AI_ENF1]]</f>
        <v>7</v>
      </c>
      <c r="B390">
        <f t="shared" si="162"/>
        <v>0.66666666666666663</v>
      </c>
      <c r="C390">
        <f>[1]!survey_responses[[#This Row],[Tôi tin rằng với các quy định quản lý thuế hiện nay, hành vi gian lận hoặc trốn thuế sẽ dễ dàng bị phát hiện và xử lý nghiêm. - HUMAN-ENF1]]</f>
        <v>6</v>
      </c>
      <c r="D390">
        <f t="shared" si="163"/>
        <v>0.55555555555555558</v>
      </c>
      <c r="E390">
        <f>step3_validation[[#This Row],[AI_ENF2]]</f>
        <v>8</v>
      </c>
      <c r="F390">
        <f t="shared" si="164"/>
        <v>0.77777777777777779</v>
      </c>
      <c r="G390">
        <f>[1]!survey_responses[[#This Row],[Tôi tin rằng Nhà nước, cơ quan thuế có đủ khả năng và công nghệ để phát hiện, xử lý nghiêm các hành vi trốn thuế. - HUMAN-ENF2]]</f>
        <v>8</v>
      </c>
      <c r="H390">
        <f t="shared" si="165"/>
        <v>0.77777777777777779</v>
      </c>
      <c r="I390" s="32">
        <f t="shared" si="166"/>
        <v>0.72222222222222221</v>
      </c>
      <c r="J390" s="32">
        <f t="shared" si="167"/>
        <v>0.66666666666666674</v>
      </c>
      <c r="K390">
        <f>step3_validation[[#This Row],[AI_FAC1]]</f>
        <v>9</v>
      </c>
      <c r="L390">
        <f t="shared" si="168"/>
        <v>0.88888888888888884</v>
      </c>
      <c r="M390">
        <f>[1]!survey_responses[[#This Row],[Các thủ tục khai báo thuế VÀ/HOẶC quy trình làm việc với cơ quan thuế đơn giản, tiện lợi, nhanh chóng hơn so với trước đây. - HUMAN-FAC1]]</f>
        <v>7</v>
      </c>
      <c r="N390">
        <f t="shared" si="169"/>
        <v>0.66666666666666663</v>
      </c>
      <c r="O390">
        <f>step3_validation[[#This Row],[AI_FAC2]]</f>
        <v>8</v>
      </c>
      <c r="P390">
        <f t="shared" si="170"/>
        <v>0.77777777777777779</v>
      </c>
      <c r="Q390">
        <f>[1]!survey_responses[[#This Row],[So với trước đây, tôi thấy cách tính thuế và các bậc thuế trong phương án mới đơn giản, dễ hiểu và dễ thực hiện hơn. - HUMAN-FAC2]]</f>
        <v>8</v>
      </c>
      <c r="R390">
        <f t="shared" si="171"/>
        <v>0.77777777777777779</v>
      </c>
      <c r="S390" s="32">
        <f t="shared" si="172"/>
        <v>0.83333333333333326</v>
      </c>
      <c r="T390" s="32">
        <f t="shared" si="173"/>
        <v>0.72222222222222221</v>
      </c>
      <c r="U390">
        <f>step3_validation[[#This Row],[AI_TRU1]]</f>
        <v>7</v>
      </c>
      <c r="V390">
        <f t="shared" si="174"/>
        <v>0.66666666666666663</v>
      </c>
      <c r="W390">
        <f>[1]!survey_responses[[#This Row],[Tôi tin rằng Nhà nước, cơ quan thuế sẽ thực thi chính sách mới một cách khách quan, công tâm và đối xử bình đẳng với mọi người nộp thuế.  - HUMAN-TRU1]]</f>
        <v>6</v>
      </c>
      <c r="X390">
        <f t="shared" si="175"/>
        <v>0.55555555555555558</v>
      </c>
      <c r="Y390">
        <f>step3_validation[[#This Row],[AI_TRU2]]</f>
        <v>5</v>
      </c>
      <c r="Z390">
        <f t="shared" si="176"/>
        <v>0.44444444444444442</v>
      </c>
      <c r="AA390">
        <f>[1]!survey_responses[[#This Row],[Tôi thấy mức thuế tôi phải đóng theo phương án mới là công bằng (người thu nhập như tôi đóng mức này là hợp lý). - HUMAN-TRU2]]</f>
        <v>8</v>
      </c>
      <c r="AB390">
        <f t="shared" si="177"/>
        <v>0.77777777777777779</v>
      </c>
      <c r="AC390">
        <f>step3_validation[[#This Row],[AI_TRU3]]</f>
        <v>6</v>
      </c>
      <c r="AD390">
        <f t="shared" si="178"/>
        <v>0.55555555555555558</v>
      </c>
      <c r="AE390">
        <f>[1]!survey_responses[[#This Row],[Tôi tin tưởng số tiền thuế tôi đóng sẽ được Nhà nước sử dụng hiệu quả để cải thiện dịch vụ công (y tế, đường xá...). - HUMAN-TRU3]]</f>
        <v>5</v>
      </c>
      <c r="AF390">
        <f t="shared" si="179"/>
        <v>0.44444444444444442</v>
      </c>
      <c r="AG390">
        <f>step3_validation[[#This Row],[AI_TRU4]]</f>
        <v>7</v>
      </c>
      <c r="AH390">
        <f t="shared" si="180"/>
        <v>0.66666666666666663</v>
      </c>
      <c r="AI390">
        <f>[1]!survey_responses[[#This Row],[Tôi thấy Nhà nước đã giải thích rõ ràng, minh bạch về lý do và mục tiêu của việc sửa đổi thuế lần này. - HUMAN-TRU4]]</f>
        <v>5</v>
      </c>
      <c r="AJ390">
        <f t="shared" si="181"/>
        <v>0.44444444444444442</v>
      </c>
      <c r="AK390" s="32">
        <f t="shared" si="182"/>
        <v>0.58333333333333337</v>
      </c>
      <c r="AL390" s="32">
        <f t="shared" si="183"/>
        <v>0.55555555555555558</v>
      </c>
      <c r="AM390" s="7">
        <f t="shared" si="184"/>
        <v>0.71296296296296291</v>
      </c>
      <c r="AN390" s="7">
        <f t="shared" si="185"/>
        <v>0.64814814814814814</v>
      </c>
      <c r="AO390">
        <f>step3_validation[[#This Row],[AI_OUT1]]</f>
        <v>7</v>
      </c>
      <c r="AP390">
        <f t="shared" si="186"/>
        <v>0.66666666666666663</v>
      </c>
      <c r="AQ390">
        <f>[1]!survey_responses[[#This Row],[Sau khi xem xét các quyền lợi và nghĩa vụ, bạn có ủng hộ và tuân thủ chính sách mới hiện nay? - HUMAN-OUT1]]</f>
        <v>8</v>
      </c>
      <c r="AR390">
        <f t="shared" si="187"/>
        <v>0.77777777777777779</v>
      </c>
      <c r="AS390" s="32">
        <f t="shared" si="188"/>
        <v>1</v>
      </c>
    </row>
    <row r="391" spans="1:45" x14ac:dyDescent="0.45">
      <c r="A391">
        <f>step3_validation[[#This Row],[AI_ENF1]]</f>
        <v>7</v>
      </c>
      <c r="B391">
        <f t="shared" si="162"/>
        <v>0.66666666666666663</v>
      </c>
      <c r="C391">
        <f>[1]!survey_responses[[#This Row],[Tôi tin rằng với các quy định quản lý thuế hiện nay, hành vi gian lận hoặc trốn thuế sẽ dễ dàng bị phát hiện và xử lý nghiêm. - HUMAN-ENF1]]</f>
        <v>10</v>
      </c>
      <c r="D391">
        <f t="shared" si="163"/>
        <v>1</v>
      </c>
      <c r="E391">
        <f>step3_validation[[#This Row],[AI_ENF2]]</f>
        <v>6</v>
      </c>
      <c r="F391">
        <f t="shared" si="164"/>
        <v>0.55555555555555558</v>
      </c>
      <c r="G391">
        <f>[1]!survey_responses[[#This Row],[Tôi tin rằng Nhà nước, cơ quan thuế có đủ khả năng và công nghệ để phát hiện, xử lý nghiêm các hành vi trốn thuế. - HUMAN-ENF2]]</f>
        <v>10</v>
      </c>
      <c r="H391">
        <f t="shared" si="165"/>
        <v>1</v>
      </c>
      <c r="I391" s="32">
        <f t="shared" si="166"/>
        <v>0.61111111111111116</v>
      </c>
      <c r="J391" s="32">
        <f t="shared" si="167"/>
        <v>1</v>
      </c>
      <c r="K391">
        <f>step3_validation[[#This Row],[AI_FAC1]]</f>
        <v>8</v>
      </c>
      <c r="L391">
        <f t="shared" si="168"/>
        <v>0.77777777777777779</v>
      </c>
      <c r="M391">
        <f>[1]!survey_responses[[#This Row],[Các thủ tục khai báo thuế VÀ/HOẶC quy trình làm việc với cơ quan thuế đơn giản, tiện lợi, nhanh chóng hơn so với trước đây. - HUMAN-FAC1]]</f>
        <v>5</v>
      </c>
      <c r="N391">
        <f t="shared" si="169"/>
        <v>0.44444444444444442</v>
      </c>
      <c r="O391">
        <f>step3_validation[[#This Row],[AI_FAC2]]</f>
        <v>7</v>
      </c>
      <c r="P391">
        <f t="shared" si="170"/>
        <v>0.66666666666666663</v>
      </c>
      <c r="Q391">
        <f>[1]!survey_responses[[#This Row],[So với trước đây, tôi thấy cách tính thuế và các bậc thuế trong phương án mới đơn giản, dễ hiểu và dễ thực hiện hơn. - HUMAN-FAC2]]</f>
        <v>9</v>
      </c>
      <c r="R391">
        <f t="shared" si="171"/>
        <v>0.88888888888888884</v>
      </c>
      <c r="S391" s="32">
        <f t="shared" si="172"/>
        <v>0.72222222222222221</v>
      </c>
      <c r="T391" s="32">
        <f t="shared" si="173"/>
        <v>0.66666666666666663</v>
      </c>
      <c r="U391">
        <f>step3_validation[[#This Row],[AI_TRU1]]</f>
        <v>8</v>
      </c>
      <c r="V391">
        <f t="shared" si="174"/>
        <v>0.77777777777777779</v>
      </c>
      <c r="W391">
        <f>[1]!survey_responses[[#This Row],[Tôi tin rằng Nhà nước, cơ quan thuế sẽ thực thi chính sách mới một cách khách quan, công tâm và đối xử bình đẳng với mọi người nộp thuế.  - HUMAN-TRU1]]</f>
        <v>7</v>
      </c>
      <c r="X391">
        <f t="shared" si="175"/>
        <v>0.66666666666666663</v>
      </c>
      <c r="Y391">
        <f>step3_validation[[#This Row],[AI_TRU2]]</f>
        <v>6</v>
      </c>
      <c r="Z391">
        <f t="shared" si="176"/>
        <v>0.55555555555555558</v>
      </c>
      <c r="AA391">
        <f>[1]!survey_responses[[#This Row],[Tôi thấy mức thuế tôi phải đóng theo phương án mới là công bằng (người thu nhập như tôi đóng mức này là hợp lý). - HUMAN-TRU2]]</f>
        <v>8</v>
      </c>
      <c r="AB391">
        <f t="shared" si="177"/>
        <v>0.77777777777777779</v>
      </c>
      <c r="AC391">
        <f>step3_validation[[#This Row],[AI_TRU3]]</f>
        <v>7</v>
      </c>
      <c r="AD391">
        <f t="shared" si="178"/>
        <v>0.66666666666666663</v>
      </c>
      <c r="AE391">
        <f>[1]!survey_responses[[#This Row],[Tôi tin tưởng số tiền thuế tôi đóng sẽ được Nhà nước sử dụng hiệu quả để cải thiện dịch vụ công (y tế, đường xá...). - HUMAN-TRU3]]</f>
        <v>5</v>
      </c>
      <c r="AF391">
        <f t="shared" si="179"/>
        <v>0.44444444444444442</v>
      </c>
      <c r="AG391">
        <f>step3_validation[[#This Row],[AI_TRU4]]</f>
        <v>6</v>
      </c>
      <c r="AH391">
        <f t="shared" si="180"/>
        <v>0.55555555555555558</v>
      </c>
      <c r="AI391">
        <f>[1]!survey_responses[[#This Row],[Tôi thấy Nhà nước đã giải thích rõ ràng, minh bạch về lý do và mục tiêu của việc sửa đổi thuế lần này. - HUMAN-TRU4]]</f>
        <v>5</v>
      </c>
      <c r="AJ391">
        <f t="shared" si="181"/>
        <v>0.44444444444444442</v>
      </c>
      <c r="AK391" s="32">
        <f t="shared" si="182"/>
        <v>0.63888888888888884</v>
      </c>
      <c r="AL391" s="32">
        <f t="shared" si="183"/>
        <v>0.58333333333333326</v>
      </c>
      <c r="AM391" s="7">
        <f t="shared" si="184"/>
        <v>0.65740740740740744</v>
      </c>
      <c r="AN391" s="7">
        <f t="shared" si="185"/>
        <v>0.75</v>
      </c>
      <c r="AO391">
        <f>step3_validation[[#This Row],[AI_OUT1]]</f>
        <v>8</v>
      </c>
      <c r="AP391">
        <f t="shared" si="186"/>
        <v>0.77777777777777779</v>
      </c>
      <c r="AQ391">
        <f>[1]!survey_responses[[#This Row],[Sau khi xem xét các quyền lợi và nghĩa vụ, bạn có ủng hộ và tuân thủ chính sách mới hiện nay? - HUMAN-OUT1]]</f>
        <v>8</v>
      </c>
      <c r="AR391">
        <f t="shared" si="187"/>
        <v>0.77777777777777779</v>
      </c>
      <c r="AS391" s="32">
        <f t="shared" si="188"/>
        <v>0</v>
      </c>
    </row>
    <row r="392" spans="1:45" x14ac:dyDescent="0.45">
      <c r="A392">
        <f>step3_validation[[#This Row],[AI_ENF1]]</f>
        <v>6</v>
      </c>
      <c r="B392">
        <f t="shared" si="162"/>
        <v>0.55555555555555558</v>
      </c>
      <c r="C392">
        <f>[1]!survey_responses[[#This Row],[Tôi tin rằng với các quy định quản lý thuế hiện nay, hành vi gian lận hoặc trốn thuế sẽ dễ dàng bị phát hiện và xử lý nghiêm. - HUMAN-ENF1]]</f>
        <v>4</v>
      </c>
      <c r="D392">
        <f t="shared" si="163"/>
        <v>0.33333333333333331</v>
      </c>
      <c r="E392">
        <f>step3_validation[[#This Row],[AI_ENF2]]</f>
        <v>6</v>
      </c>
      <c r="F392">
        <f t="shared" si="164"/>
        <v>0.55555555555555558</v>
      </c>
      <c r="G392">
        <f>[1]!survey_responses[[#This Row],[Tôi tin rằng Nhà nước, cơ quan thuế có đủ khả năng và công nghệ để phát hiện, xử lý nghiêm các hành vi trốn thuế. - HUMAN-ENF2]]</f>
        <v>5</v>
      </c>
      <c r="H392">
        <f t="shared" si="165"/>
        <v>0.44444444444444442</v>
      </c>
      <c r="I392" s="32">
        <f t="shared" si="166"/>
        <v>0.55555555555555558</v>
      </c>
      <c r="J392" s="32">
        <f t="shared" si="167"/>
        <v>0.38888888888888884</v>
      </c>
      <c r="K392">
        <f>step3_validation[[#This Row],[AI_FAC1]]</f>
        <v>8</v>
      </c>
      <c r="L392">
        <f t="shared" si="168"/>
        <v>0.77777777777777779</v>
      </c>
      <c r="M392">
        <f>[1]!survey_responses[[#This Row],[Các thủ tục khai báo thuế VÀ/HOẶC quy trình làm việc với cơ quan thuế đơn giản, tiện lợi, nhanh chóng hơn so với trước đây. - HUMAN-FAC1]]</f>
        <v>7</v>
      </c>
      <c r="N392">
        <f t="shared" si="169"/>
        <v>0.66666666666666663</v>
      </c>
      <c r="O392">
        <f>step3_validation[[#This Row],[AI_FAC2]]</f>
        <v>8</v>
      </c>
      <c r="P392">
        <f t="shared" si="170"/>
        <v>0.77777777777777779</v>
      </c>
      <c r="Q392">
        <f>[1]!survey_responses[[#This Row],[So với trước đây, tôi thấy cách tính thuế và các bậc thuế trong phương án mới đơn giản, dễ hiểu và dễ thực hiện hơn. - HUMAN-FAC2]]</f>
        <v>7</v>
      </c>
      <c r="R392">
        <f t="shared" si="171"/>
        <v>0.66666666666666663</v>
      </c>
      <c r="S392" s="32">
        <f t="shared" si="172"/>
        <v>0.77777777777777779</v>
      </c>
      <c r="T392" s="32">
        <f t="shared" si="173"/>
        <v>0.66666666666666663</v>
      </c>
      <c r="U392">
        <f>step3_validation[[#This Row],[AI_TRU1]]</f>
        <v>7</v>
      </c>
      <c r="V392">
        <f t="shared" si="174"/>
        <v>0.66666666666666663</v>
      </c>
      <c r="W392">
        <f>[1]!survey_responses[[#This Row],[Tôi tin rằng Nhà nước, cơ quan thuế sẽ thực thi chính sách mới một cách khách quan, công tâm và đối xử bình đẳng với mọi người nộp thuế.  - HUMAN-TRU1]]</f>
        <v>5</v>
      </c>
      <c r="X392">
        <f t="shared" si="175"/>
        <v>0.44444444444444442</v>
      </c>
      <c r="Y392">
        <f>step3_validation[[#This Row],[AI_TRU2]]</f>
        <v>7</v>
      </c>
      <c r="Z392">
        <f t="shared" si="176"/>
        <v>0.66666666666666663</v>
      </c>
      <c r="AA392">
        <f>[1]!survey_responses[[#This Row],[Tôi thấy mức thuế tôi phải đóng theo phương án mới là công bằng (người thu nhập như tôi đóng mức này là hợp lý). - HUMAN-TRU2]]</f>
        <v>7</v>
      </c>
      <c r="AB392">
        <f t="shared" si="177"/>
        <v>0.66666666666666663</v>
      </c>
      <c r="AC392">
        <f>step3_validation[[#This Row],[AI_TRU3]]</f>
        <v>7</v>
      </c>
      <c r="AD392">
        <f t="shared" si="178"/>
        <v>0.66666666666666663</v>
      </c>
      <c r="AE392">
        <f>[1]!survey_responses[[#This Row],[Tôi tin tưởng số tiền thuế tôi đóng sẽ được Nhà nước sử dụng hiệu quả để cải thiện dịch vụ công (y tế, đường xá...). - HUMAN-TRU3]]</f>
        <v>5</v>
      </c>
      <c r="AF392">
        <f t="shared" si="179"/>
        <v>0.44444444444444442</v>
      </c>
      <c r="AG392">
        <f>step3_validation[[#This Row],[AI_TRU4]]</f>
        <v>6</v>
      </c>
      <c r="AH392">
        <f t="shared" si="180"/>
        <v>0.55555555555555558</v>
      </c>
      <c r="AI392">
        <f>[1]!survey_responses[[#This Row],[Tôi thấy Nhà nước đã giải thích rõ ràng, minh bạch về lý do và mục tiêu của việc sửa đổi thuế lần này. - HUMAN-TRU4]]</f>
        <v>5</v>
      </c>
      <c r="AJ392">
        <f t="shared" si="181"/>
        <v>0.44444444444444442</v>
      </c>
      <c r="AK392" s="32">
        <f t="shared" si="182"/>
        <v>0.63888888888888884</v>
      </c>
      <c r="AL392" s="32">
        <f t="shared" si="183"/>
        <v>0.5</v>
      </c>
      <c r="AM392" s="7">
        <f t="shared" si="184"/>
        <v>0.65740740740740744</v>
      </c>
      <c r="AN392" s="7">
        <f t="shared" si="185"/>
        <v>0.51851851851851849</v>
      </c>
      <c r="AO392">
        <f>step3_validation[[#This Row],[AI_OUT1]]</f>
        <v>7</v>
      </c>
      <c r="AP392">
        <f t="shared" si="186"/>
        <v>0.66666666666666663</v>
      </c>
      <c r="AQ392">
        <f>[1]!survey_responses[[#This Row],[Sau khi xem xét các quyền lợi và nghĩa vụ, bạn có ủng hộ và tuân thủ chính sách mới hiện nay? - HUMAN-OUT1]]</f>
        <v>7</v>
      </c>
      <c r="AR392">
        <f t="shared" si="187"/>
        <v>0.66666666666666663</v>
      </c>
      <c r="AS392" s="32">
        <f t="shared" si="188"/>
        <v>0</v>
      </c>
    </row>
    <row r="393" spans="1:45" x14ac:dyDescent="0.45">
      <c r="A393">
        <f>step3_validation[[#This Row],[AI_ENF1]]</f>
        <v>8</v>
      </c>
      <c r="B393">
        <f t="shared" si="162"/>
        <v>0.77777777777777779</v>
      </c>
      <c r="C393">
        <f>[1]!survey_responses[[#This Row],[Tôi tin rằng với các quy định quản lý thuế hiện nay, hành vi gian lận hoặc trốn thuế sẽ dễ dàng bị phát hiện và xử lý nghiêm. - HUMAN-ENF1]]</f>
        <v>2</v>
      </c>
      <c r="D393">
        <f t="shared" si="163"/>
        <v>0.1111111111111111</v>
      </c>
      <c r="E393">
        <f>step3_validation[[#This Row],[AI_ENF2]]</f>
        <v>7</v>
      </c>
      <c r="F393">
        <f t="shared" si="164"/>
        <v>0.66666666666666663</v>
      </c>
      <c r="G393">
        <f>[1]!survey_responses[[#This Row],[Tôi tin rằng Nhà nước, cơ quan thuế có đủ khả năng và công nghệ để phát hiện, xử lý nghiêm các hành vi trốn thuế. - HUMAN-ENF2]]</f>
        <v>3</v>
      </c>
      <c r="H393">
        <f t="shared" si="165"/>
        <v>0.22222222222222221</v>
      </c>
      <c r="I393" s="32">
        <f t="shared" si="166"/>
        <v>0.72222222222222221</v>
      </c>
      <c r="J393" s="32">
        <f t="shared" si="167"/>
        <v>0.16666666666666666</v>
      </c>
      <c r="K393">
        <f>step3_validation[[#This Row],[AI_FAC1]]</f>
        <v>9</v>
      </c>
      <c r="L393">
        <f t="shared" si="168"/>
        <v>0.88888888888888884</v>
      </c>
      <c r="M393">
        <f>[1]!survey_responses[[#This Row],[Các thủ tục khai báo thuế VÀ/HOẶC quy trình làm việc với cơ quan thuế đơn giản, tiện lợi, nhanh chóng hơn so với trước đây. - HUMAN-FAC1]]</f>
        <v>3</v>
      </c>
      <c r="N393">
        <f t="shared" si="169"/>
        <v>0.22222222222222221</v>
      </c>
      <c r="O393">
        <f>step3_validation[[#This Row],[AI_FAC2]]</f>
        <v>8</v>
      </c>
      <c r="P393">
        <f t="shared" si="170"/>
        <v>0.77777777777777779</v>
      </c>
      <c r="Q393">
        <f>[1]!survey_responses[[#This Row],[So với trước đây, tôi thấy cách tính thuế và các bậc thuế trong phương án mới đơn giản, dễ hiểu và dễ thực hiện hơn. - HUMAN-FAC2]]</f>
        <v>6</v>
      </c>
      <c r="R393">
        <f t="shared" si="171"/>
        <v>0.55555555555555558</v>
      </c>
      <c r="S393" s="32">
        <f t="shared" si="172"/>
        <v>0.83333333333333326</v>
      </c>
      <c r="T393" s="32">
        <f t="shared" si="173"/>
        <v>0.3888888888888889</v>
      </c>
      <c r="U393">
        <f>step3_validation[[#This Row],[AI_TRU1]]</f>
        <v>6</v>
      </c>
      <c r="V393">
        <f t="shared" si="174"/>
        <v>0.55555555555555558</v>
      </c>
      <c r="W393">
        <f>[1]!survey_responses[[#This Row],[Tôi tin rằng Nhà nước, cơ quan thuế sẽ thực thi chính sách mới một cách khách quan, công tâm và đối xử bình đẳng với mọi người nộp thuế.  - HUMAN-TRU1]]</f>
        <v>5</v>
      </c>
      <c r="X393">
        <f t="shared" si="175"/>
        <v>0.44444444444444442</v>
      </c>
      <c r="Y393">
        <f>step3_validation[[#This Row],[AI_TRU2]]</f>
        <v>7</v>
      </c>
      <c r="Z393">
        <f t="shared" si="176"/>
        <v>0.66666666666666663</v>
      </c>
      <c r="AA393">
        <f>[1]!survey_responses[[#This Row],[Tôi thấy mức thuế tôi phải đóng theo phương án mới là công bằng (người thu nhập như tôi đóng mức này là hợp lý). - HUMAN-TRU2]]</f>
        <v>5</v>
      </c>
      <c r="AB393">
        <f t="shared" si="177"/>
        <v>0.44444444444444442</v>
      </c>
      <c r="AC393">
        <f>step3_validation[[#This Row],[AI_TRU3]]</f>
        <v>8</v>
      </c>
      <c r="AD393">
        <f t="shared" si="178"/>
        <v>0.77777777777777779</v>
      </c>
      <c r="AE393">
        <f>[1]!survey_responses[[#This Row],[Tôi tin tưởng số tiền thuế tôi đóng sẽ được Nhà nước sử dụng hiệu quả để cải thiện dịch vụ công (y tế, đường xá...). - HUMAN-TRU3]]</f>
        <v>5</v>
      </c>
      <c r="AF393">
        <f t="shared" si="179"/>
        <v>0.44444444444444442</v>
      </c>
      <c r="AG393">
        <f>step3_validation[[#This Row],[AI_TRU4]]</f>
        <v>6</v>
      </c>
      <c r="AH393">
        <f t="shared" si="180"/>
        <v>0.55555555555555558</v>
      </c>
      <c r="AI393">
        <f>[1]!survey_responses[[#This Row],[Tôi thấy Nhà nước đã giải thích rõ ràng, minh bạch về lý do và mục tiêu của việc sửa đổi thuế lần này. - HUMAN-TRU4]]</f>
        <v>5</v>
      </c>
      <c r="AJ393">
        <f t="shared" si="181"/>
        <v>0.44444444444444442</v>
      </c>
      <c r="AK393" s="32">
        <f t="shared" si="182"/>
        <v>0.63888888888888884</v>
      </c>
      <c r="AL393" s="32">
        <f t="shared" si="183"/>
        <v>0.44444444444444442</v>
      </c>
      <c r="AM393" s="7">
        <f t="shared" si="184"/>
        <v>0.7314814814814814</v>
      </c>
      <c r="AN393" s="7">
        <f t="shared" si="185"/>
        <v>0.33333333333333331</v>
      </c>
      <c r="AO393">
        <f>step3_validation[[#This Row],[AI_OUT1]]</f>
        <v>7</v>
      </c>
      <c r="AP393">
        <f t="shared" si="186"/>
        <v>0.66666666666666663</v>
      </c>
      <c r="AQ393">
        <f>[1]!survey_responses[[#This Row],[Sau khi xem xét các quyền lợi và nghĩa vụ, bạn có ủng hộ và tuân thủ chính sách mới hiện nay? - HUMAN-OUT1]]</f>
        <v>5</v>
      </c>
      <c r="AR393">
        <f t="shared" si="187"/>
        <v>0.44444444444444442</v>
      </c>
      <c r="AS393" s="32">
        <f t="shared" si="188"/>
        <v>2</v>
      </c>
    </row>
    <row r="394" spans="1:45" x14ac:dyDescent="0.45">
      <c r="A394">
        <f>step3_validation[[#This Row],[AI_ENF1]]</f>
        <v>8</v>
      </c>
      <c r="B394">
        <f t="shared" si="162"/>
        <v>0.77777777777777779</v>
      </c>
      <c r="C394">
        <f>[1]!survey_responses[[#This Row],[Tôi tin rằng với các quy định quản lý thuế hiện nay, hành vi gian lận hoặc trốn thuế sẽ dễ dàng bị phát hiện và xử lý nghiêm. - HUMAN-ENF1]]</f>
        <v>7</v>
      </c>
      <c r="D394">
        <f t="shared" si="163"/>
        <v>0.66666666666666663</v>
      </c>
      <c r="E394">
        <f>step3_validation[[#This Row],[AI_ENF2]]</f>
        <v>9</v>
      </c>
      <c r="F394">
        <f t="shared" si="164"/>
        <v>0.88888888888888884</v>
      </c>
      <c r="G394">
        <f>[1]!survey_responses[[#This Row],[Tôi tin rằng Nhà nước, cơ quan thuế có đủ khả năng và công nghệ để phát hiện, xử lý nghiêm các hành vi trốn thuế. - HUMAN-ENF2]]</f>
        <v>7</v>
      </c>
      <c r="H394">
        <f t="shared" si="165"/>
        <v>0.66666666666666663</v>
      </c>
      <c r="I394" s="32">
        <f t="shared" si="166"/>
        <v>0.83333333333333326</v>
      </c>
      <c r="J394" s="32">
        <f t="shared" si="167"/>
        <v>0.66666666666666663</v>
      </c>
      <c r="K394">
        <f>step3_validation[[#This Row],[AI_FAC1]]</f>
        <v>7</v>
      </c>
      <c r="L394">
        <f t="shared" si="168"/>
        <v>0.66666666666666663</v>
      </c>
      <c r="M394">
        <f>[1]!survey_responses[[#This Row],[Các thủ tục khai báo thuế VÀ/HOẶC quy trình làm việc với cơ quan thuế đơn giản, tiện lợi, nhanh chóng hơn so với trước đây. - HUMAN-FAC1]]</f>
        <v>5</v>
      </c>
      <c r="N394">
        <f t="shared" si="169"/>
        <v>0.44444444444444442</v>
      </c>
      <c r="O394">
        <f>step3_validation[[#This Row],[AI_FAC2]]</f>
        <v>8</v>
      </c>
      <c r="P394">
        <f t="shared" si="170"/>
        <v>0.77777777777777779</v>
      </c>
      <c r="Q394">
        <f>[1]!survey_responses[[#This Row],[So với trước đây, tôi thấy cách tính thuế và các bậc thuế trong phương án mới đơn giản, dễ hiểu và dễ thực hiện hơn. - HUMAN-FAC2]]</f>
        <v>8</v>
      </c>
      <c r="R394">
        <f t="shared" si="171"/>
        <v>0.77777777777777779</v>
      </c>
      <c r="S394" s="32">
        <f t="shared" si="172"/>
        <v>0.72222222222222221</v>
      </c>
      <c r="T394" s="32">
        <f t="shared" si="173"/>
        <v>0.61111111111111116</v>
      </c>
      <c r="U394">
        <f>step3_validation[[#This Row],[AI_TRU1]]</f>
        <v>7</v>
      </c>
      <c r="V394">
        <f t="shared" si="174"/>
        <v>0.66666666666666663</v>
      </c>
      <c r="W394">
        <f>[1]!survey_responses[[#This Row],[Tôi tin rằng Nhà nước, cơ quan thuế sẽ thực thi chính sách mới một cách khách quan, công tâm và đối xử bình đẳng với mọi người nộp thuế.  - HUMAN-TRU1]]</f>
        <v>7</v>
      </c>
      <c r="X394">
        <f t="shared" si="175"/>
        <v>0.66666666666666663</v>
      </c>
      <c r="Y394">
        <f>step3_validation[[#This Row],[AI_TRU2]]</f>
        <v>8</v>
      </c>
      <c r="Z394">
        <f t="shared" si="176"/>
        <v>0.77777777777777779</v>
      </c>
      <c r="AA394">
        <f>[1]!survey_responses[[#This Row],[Tôi thấy mức thuế tôi phải đóng theo phương án mới là công bằng (người thu nhập như tôi đóng mức này là hợp lý). - HUMAN-TRU2]]</f>
        <v>7</v>
      </c>
      <c r="AB394">
        <f t="shared" si="177"/>
        <v>0.66666666666666663</v>
      </c>
      <c r="AC394">
        <f>step3_validation[[#This Row],[AI_TRU3]]</f>
        <v>7</v>
      </c>
      <c r="AD394">
        <f t="shared" si="178"/>
        <v>0.66666666666666663</v>
      </c>
      <c r="AE394">
        <f>[1]!survey_responses[[#This Row],[Tôi tin tưởng số tiền thuế tôi đóng sẽ được Nhà nước sử dụng hiệu quả để cải thiện dịch vụ công (y tế, đường xá...). - HUMAN-TRU3]]</f>
        <v>5</v>
      </c>
      <c r="AF394">
        <f t="shared" si="179"/>
        <v>0.44444444444444442</v>
      </c>
      <c r="AG394">
        <f>step3_validation[[#This Row],[AI_TRU4]]</f>
        <v>5</v>
      </c>
      <c r="AH394">
        <f t="shared" si="180"/>
        <v>0.44444444444444442</v>
      </c>
      <c r="AI394">
        <f>[1]!survey_responses[[#This Row],[Tôi thấy Nhà nước đã giải thích rõ ràng, minh bạch về lý do và mục tiêu của việc sửa đổi thuế lần này. - HUMAN-TRU4]]</f>
        <v>6</v>
      </c>
      <c r="AJ394">
        <f t="shared" si="181"/>
        <v>0.55555555555555558</v>
      </c>
      <c r="AK394" s="32">
        <f t="shared" si="182"/>
        <v>0.63888888888888884</v>
      </c>
      <c r="AL394" s="32">
        <f t="shared" si="183"/>
        <v>0.58333333333333326</v>
      </c>
      <c r="AM394" s="7">
        <f t="shared" si="184"/>
        <v>0.7314814814814814</v>
      </c>
      <c r="AN394" s="7">
        <f t="shared" si="185"/>
        <v>0.62037037037037035</v>
      </c>
      <c r="AO394">
        <f>step3_validation[[#This Row],[AI_OUT1]]</f>
        <v>6</v>
      </c>
      <c r="AP394">
        <f t="shared" si="186"/>
        <v>0.55555555555555558</v>
      </c>
      <c r="AQ394">
        <f>[1]!survey_responses[[#This Row],[Sau khi xem xét các quyền lợi và nghĩa vụ, bạn có ủng hộ và tuân thủ chính sách mới hiện nay? - HUMAN-OUT1]]</f>
        <v>7</v>
      </c>
      <c r="AR394">
        <f t="shared" si="187"/>
        <v>0.66666666666666663</v>
      </c>
      <c r="AS394" s="32">
        <f t="shared" si="188"/>
        <v>1</v>
      </c>
    </row>
    <row r="395" spans="1:45" x14ac:dyDescent="0.45">
      <c r="A395">
        <f>step3_validation[[#This Row],[AI_ENF1]]</f>
        <v>8</v>
      </c>
      <c r="B395">
        <f t="shared" si="162"/>
        <v>0.77777777777777779</v>
      </c>
      <c r="C395">
        <f>[1]!survey_responses[[#This Row],[Tôi tin rằng với các quy định quản lý thuế hiện nay, hành vi gian lận hoặc trốn thuế sẽ dễ dàng bị phát hiện và xử lý nghiêm. - HUMAN-ENF1]]</f>
        <v>9</v>
      </c>
      <c r="D395">
        <f t="shared" si="163"/>
        <v>0.88888888888888884</v>
      </c>
      <c r="E395">
        <f>step3_validation[[#This Row],[AI_ENF2]]</f>
        <v>9</v>
      </c>
      <c r="F395">
        <f t="shared" si="164"/>
        <v>0.88888888888888884</v>
      </c>
      <c r="G395">
        <f>[1]!survey_responses[[#This Row],[Tôi tin rằng Nhà nước, cơ quan thuế có đủ khả năng và công nghệ để phát hiện, xử lý nghiêm các hành vi trốn thuế. - HUMAN-ENF2]]</f>
        <v>9</v>
      </c>
      <c r="H395">
        <f t="shared" si="165"/>
        <v>0.88888888888888884</v>
      </c>
      <c r="I395" s="32">
        <f t="shared" si="166"/>
        <v>0.83333333333333326</v>
      </c>
      <c r="J395" s="32">
        <f t="shared" si="167"/>
        <v>0.88888888888888884</v>
      </c>
      <c r="K395">
        <f>step3_validation[[#This Row],[AI_FAC1]]</f>
        <v>8</v>
      </c>
      <c r="L395">
        <f t="shared" si="168"/>
        <v>0.77777777777777779</v>
      </c>
      <c r="M395">
        <f>[1]!survey_responses[[#This Row],[Các thủ tục khai báo thuế VÀ/HOẶC quy trình làm việc với cơ quan thuế đơn giản, tiện lợi, nhanh chóng hơn so với trước đây. - HUMAN-FAC1]]</f>
        <v>9</v>
      </c>
      <c r="N395">
        <f t="shared" si="169"/>
        <v>0.88888888888888884</v>
      </c>
      <c r="O395">
        <f>step3_validation[[#This Row],[AI_FAC2]]</f>
        <v>7</v>
      </c>
      <c r="P395">
        <f t="shared" si="170"/>
        <v>0.66666666666666663</v>
      </c>
      <c r="Q395">
        <f>[1]!survey_responses[[#This Row],[So với trước đây, tôi thấy cách tính thuế và các bậc thuế trong phương án mới đơn giản, dễ hiểu và dễ thực hiện hơn. - HUMAN-FAC2]]</f>
        <v>7</v>
      </c>
      <c r="R395">
        <f t="shared" si="171"/>
        <v>0.66666666666666663</v>
      </c>
      <c r="S395" s="32">
        <f t="shared" si="172"/>
        <v>0.72222222222222221</v>
      </c>
      <c r="T395" s="32">
        <f t="shared" si="173"/>
        <v>0.77777777777777768</v>
      </c>
      <c r="U395">
        <f>step3_validation[[#This Row],[AI_TRU1]]</f>
        <v>8</v>
      </c>
      <c r="V395">
        <f t="shared" si="174"/>
        <v>0.77777777777777779</v>
      </c>
      <c r="W395">
        <f>[1]!survey_responses[[#This Row],[Tôi tin rằng Nhà nước, cơ quan thuế sẽ thực thi chính sách mới một cách khách quan, công tâm và đối xử bình đẳng với mọi người nộp thuế.  - HUMAN-TRU1]]</f>
        <v>8</v>
      </c>
      <c r="X395">
        <f t="shared" si="175"/>
        <v>0.77777777777777779</v>
      </c>
      <c r="Y395">
        <f>step3_validation[[#This Row],[AI_TRU2]]</f>
        <v>7</v>
      </c>
      <c r="Z395">
        <f t="shared" si="176"/>
        <v>0.66666666666666663</v>
      </c>
      <c r="AA395">
        <f>[1]!survey_responses[[#This Row],[Tôi thấy mức thuế tôi phải đóng theo phương án mới là công bằng (người thu nhập như tôi đóng mức này là hợp lý). - HUMAN-TRU2]]</f>
        <v>6</v>
      </c>
      <c r="AB395">
        <f t="shared" si="177"/>
        <v>0.55555555555555558</v>
      </c>
      <c r="AC395">
        <f>step3_validation[[#This Row],[AI_TRU3]]</f>
        <v>8</v>
      </c>
      <c r="AD395">
        <f t="shared" si="178"/>
        <v>0.77777777777777779</v>
      </c>
      <c r="AE395">
        <f>[1]!survey_responses[[#This Row],[Tôi tin tưởng số tiền thuế tôi đóng sẽ được Nhà nước sử dụng hiệu quả để cải thiện dịch vụ công (y tế, đường xá...). - HUMAN-TRU3]]</f>
        <v>8</v>
      </c>
      <c r="AF395">
        <f t="shared" si="179"/>
        <v>0.77777777777777779</v>
      </c>
      <c r="AG395">
        <f>step3_validation[[#This Row],[AI_TRU4]]</f>
        <v>7</v>
      </c>
      <c r="AH395">
        <f t="shared" si="180"/>
        <v>0.66666666666666663</v>
      </c>
      <c r="AI395">
        <f>[1]!survey_responses[[#This Row],[Tôi thấy Nhà nước đã giải thích rõ ràng, minh bạch về lý do và mục tiêu của việc sửa đổi thuế lần này. - HUMAN-TRU4]]</f>
        <v>10</v>
      </c>
      <c r="AJ395">
        <f t="shared" si="181"/>
        <v>1</v>
      </c>
      <c r="AK395" s="32">
        <f t="shared" si="182"/>
        <v>0.72222222222222221</v>
      </c>
      <c r="AL395" s="32">
        <f t="shared" si="183"/>
        <v>0.77777777777777779</v>
      </c>
      <c r="AM395" s="7">
        <f t="shared" si="184"/>
        <v>0.75925925925925919</v>
      </c>
      <c r="AN395" s="7">
        <f t="shared" si="185"/>
        <v>0.81481481481481477</v>
      </c>
      <c r="AO395">
        <f>step3_validation[[#This Row],[AI_OUT1]]</f>
        <v>8</v>
      </c>
      <c r="AP395">
        <f t="shared" si="186"/>
        <v>0.77777777777777779</v>
      </c>
      <c r="AQ395">
        <f>[1]!survey_responses[[#This Row],[Sau khi xem xét các quyền lợi và nghĩa vụ, bạn có ủng hộ và tuân thủ chính sách mới hiện nay? - HUMAN-OUT1]]</f>
        <v>10</v>
      </c>
      <c r="AR395">
        <f t="shared" si="187"/>
        <v>1</v>
      </c>
      <c r="AS395" s="32">
        <f t="shared" si="188"/>
        <v>2</v>
      </c>
    </row>
    <row r="396" spans="1:45" x14ac:dyDescent="0.45">
      <c r="A396">
        <f>step3_validation[[#This Row],[AI_ENF1]]</f>
        <v>8</v>
      </c>
      <c r="B396">
        <f t="shared" si="162"/>
        <v>0.77777777777777779</v>
      </c>
      <c r="C396">
        <f>[1]!survey_responses[[#This Row],[Tôi tin rằng với các quy định quản lý thuế hiện nay, hành vi gian lận hoặc trốn thuế sẽ dễ dàng bị phát hiện và xử lý nghiêm. - HUMAN-ENF1]]</f>
        <v>7</v>
      </c>
      <c r="D396">
        <f t="shared" si="163"/>
        <v>0.66666666666666663</v>
      </c>
      <c r="E396">
        <f>step3_validation[[#This Row],[AI_ENF2]]</f>
        <v>7</v>
      </c>
      <c r="F396">
        <f t="shared" si="164"/>
        <v>0.66666666666666663</v>
      </c>
      <c r="G396">
        <f>[1]!survey_responses[[#This Row],[Tôi tin rằng Nhà nước, cơ quan thuế có đủ khả năng và công nghệ để phát hiện, xử lý nghiêm các hành vi trốn thuế. - HUMAN-ENF2]]</f>
        <v>7</v>
      </c>
      <c r="H396">
        <f t="shared" si="165"/>
        <v>0.66666666666666663</v>
      </c>
      <c r="I396" s="32">
        <f t="shared" si="166"/>
        <v>0.72222222222222221</v>
      </c>
      <c r="J396" s="32">
        <f t="shared" si="167"/>
        <v>0.66666666666666663</v>
      </c>
      <c r="K396">
        <f>step3_validation[[#This Row],[AI_FAC1]]</f>
        <v>9</v>
      </c>
      <c r="L396">
        <f t="shared" si="168"/>
        <v>0.88888888888888884</v>
      </c>
      <c r="M396">
        <f>[1]!survey_responses[[#This Row],[Các thủ tục khai báo thuế VÀ/HOẶC quy trình làm việc với cơ quan thuế đơn giản, tiện lợi, nhanh chóng hơn so với trước đây. - HUMAN-FAC1]]</f>
        <v>5</v>
      </c>
      <c r="N396">
        <f t="shared" si="169"/>
        <v>0.44444444444444442</v>
      </c>
      <c r="O396">
        <f>step3_validation[[#This Row],[AI_FAC2]]</f>
        <v>8</v>
      </c>
      <c r="P396">
        <f t="shared" si="170"/>
        <v>0.77777777777777779</v>
      </c>
      <c r="Q396">
        <f>[1]!survey_responses[[#This Row],[So với trước đây, tôi thấy cách tính thuế và các bậc thuế trong phương án mới đơn giản, dễ hiểu và dễ thực hiện hơn. - HUMAN-FAC2]]</f>
        <v>7</v>
      </c>
      <c r="R396">
        <f t="shared" si="171"/>
        <v>0.66666666666666663</v>
      </c>
      <c r="S396" s="32">
        <f t="shared" si="172"/>
        <v>0.83333333333333326</v>
      </c>
      <c r="T396" s="32">
        <f t="shared" si="173"/>
        <v>0.55555555555555558</v>
      </c>
      <c r="U396">
        <f>step3_validation[[#This Row],[AI_TRU1]]</f>
        <v>7</v>
      </c>
      <c r="V396">
        <f t="shared" si="174"/>
        <v>0.66666666666666663</v>
      </c>
      <c r="W396">
        <f>[1]!survey_responses[[#This Row],[Tôi tin rằng Nhà nước, cơ quan thuế sẽ thực thi chính sách mới một cách khách quan, công tâm và đối xử bình đẳng với mọi người nộp thuế.  - HUMAN-TRU1]]</f>
        <v>5</v>
      </c>
      <c r="X396">
        <f t="shared" si="175"/>
        <v>0.44444444444444442</v>
      </c>
      <c r="Y396">
        <f>step3_validation[[#This Row],[AI_TRU2]]</f>
        <v>6</v>
      </c>
      <c r="Z396">
        <f t="shared" si="176"/>
        <v>0.55555555555555558</v>
      </c>
      <c r="AA396">
        <f>[1]!survey_responses[[#This Row],[Tôi thấy mức thuế tôi phải đóng theo phương án mới là công bằng (người thu nhập như tôi đóng mức này là hợp lý). - HUMAN-TRU2]]</f>
        <v>6</v>
      </c>
      <c r="AB396">
        <f t="shared" si="177"/>
        <v>0.55555555555555558</v>
      </c>
      <c r="AC396">
        <f>step3_validation[[#This Row],[AI_TRU3]]</f>
        <v>6</v>
      </c>
      <c r="AD396">
        <f t="shared" si="178"/>
        <v>0.55555555555555558</v>
      </c>
      <c r="AE396">
        <f>[1]!survey_responses[[#This Row],[Tôi tin tưởng số tiền thuế tôi đóng sẽ được Nhà nước sử dụng hiệu quả để cải thiện dịch vụ công (y tế, đường xá...). - HUMAN-TRU3]]</f>
        <v>5</v>
      </c>
      <c r="AF396">
        <f t="shared" si="179"/>
        <v>0.44444444444444442</v>
      </c>
      <c r="AG396">
        <f>step3_validation[[#This Row],[AI_TRU4]]</f>
        <v>7</v>
      </c>
      <c r="AH396">
        <f t="shared" si="180"/>
        <v>0.66666666666666663</v>
      </c>
      <c r="AI396">
        <f>[1]!survey_responses[[#This Row],[Tôi thấy Nhà nước đã giải thích rõ ràng, minh bạch về lý do và mục tiêu của việc sửa đổi thuế lần này. - HUMAN-TRU4]]</f>
        <v>6</v>
      </c>
      <c r="AJ396">
        <f t="shared" si="181"/>
        <v>0.55555555555555558</v>
      </c>
      <c r="AK396" s="32">
        <f t="shared" si="182"/>
        <v>0.61111111111111116</v>
      </c>
      <c r="AL396" s="32">
        <f t="shared" si="183"/>
        <v>0.5</v>
      </c>
      <c r="AM396" s="7">
        <f t="shared" si="184"/>
        <v>0.72222222222222221</v>
      </c>
      <c r="AN396" s="7">
        <f t="shared" si="185"/>
        <v>0.57407407407407407</v>
      </c>
      <c r="AO396">
        <f>step3_validation[[#This Row],[AI_OUT1]]</f>
        <v>8</v>
      </c>
      <c r="AP396">
        <f t="shared" si="186"/>
        <v>0.77777777777777779</v>
      </c>
      <c r="AQ396">
        <f>[1]!survey_responses[[#This Row],[Sau khi xem xét các quyền lợi và nghĩa vụ, bạn có ủng hộ và tuân thủ chính sách mới hiện nay? - HUMAN-OUT1]]</f>
        <v>6</v>
      </c>
      <c r="AR396">
        <f t="shared" si="187"/>
        <v>0.55555555555555558</v>
      </c>
      <c r="AS396" s="32">
        <f t="shared" si="188"/>
        <v>2</v>
      </c>
    </row>
    <row r="397" spans="1:45" x14ac:dyDescent="0.45">
      <c r="A397">
        <f>step3_validation[[#This Row],[AI_ENF1]]</f>
        <v>5</v>
      </c>
      <c r="B397">
        <f t="shared" si="162"/>
        <v>0.44444444444444442</v>
      </c>
      <c r="C397">
        <f>[1]!survey_responses[[#This Row],[Tôi tin rằng với các quy định quản lý thuế hiện nay, hành vi gian lận hoặc trốn thuế sẽ dễ dàng bị phát hiện và xử lý nghiêm. - HUMAN-ENF1]]</f>
        <v>2</v>
      </c>
      <c r="D397">
        <f t="shared" si="163"/>
        <v>0.1111111111111111</v>
      </c>
      <c r="E397">
        <f>step3_validation[[#This Row],[AI_ENF2]]</f>
        <v>6</v>
      </c>
      <c r="F397">
        <f t="shared" si="164"/>
        <v>0.55555555555555558</v>
      </c>
      <c r="G397">
        <f>[1]!survey_responses[[#This Row],[Tôi tin rằng Nhà nước, cơ quan thuế có đủ khả năng và công nghệ để phát hiện, xử lý nghiêm các hành vi trốn thuế. - HUMAN-ENF2]]</f>
        <v>2</v>
      </c>
      <c r="H397">
        <f t="shared" si="165"/>
        <v>0.1111111111111111</v>
      </c>
      <c r="I397" s="32">
        <f t="shared" si="166"/>
        <v>0.5</v>
      </c>
      <c r="J397" s="32">
        <f t="shared" si="167"/>
        <v>0.1111111111111111</v>
      </c>
      <c r="K397">
        <f>step3_validation[[#This Row],[AI_FAC1]]</f>
        <v>8</v>
      </c>
      <c r="L397">
        <f t="shared" si="168"/>
        <v>0.77777777777777779</v>
      </c>
      <c r="M397">
        <f>[1]!survey_responses[[#This Row],[Các thủ tục khai báo thuế VÀ/HOẶC quy trình làm việc với cơ quan thuế đơn giản, tiện lợi, nhanh chóng hơn so với trước đây. - HUMAN-FAC1]]</f>
        <v>4</v>
      </c>
      <c r="N397">
        <f t="shared" si="169"/>
        <v>0.33333333333333331</v>
      </c>
      <c r="O397">
        <f>step3_validation[[#This Row],[AI_FAC2]]</f>
        <v>7</v>
      </c>
      <c r="P397">
        <f t="shared" si="170"/>
        <v>0.66666666666666663</v>
      </c>
      <c r="Q397">
        <f>[1]!survey_responses[[#This Row],[So với trước đây, tôi thấy cách tính thuế và các bậc thuế trong phương án mới đơn giản, dễ hiểu và dễ thực hiện hơn. - HUMAN-FAC2]]</f>
        <v>5</v>
      </c>
      <c r="R397">
        <f t="shared" si="171"/>
        <v>0.44444444444444442</v>
      </c>
      <c r="S397" s="32">
        <f t="shared" si="172"/>
        <v>0.72222222222222221</v>
      </c>
      <c r="T397" s="32">
        <f t="shared" si="173"/>
        <v>0.38888888888888884</v>
      </c>
      <c r="U397">
        <f>step3_validation[[#This Row],[AI_TRU1]]</f>
        <v>8</v>
      </c>
      <c r="V397">
        <f t="shared" si="174"/>
        <v>0.77777777777777779</v>
      </c>
      <c r="W397">
        <f>[1]!survey_responses[[#This Row],[Tôi tin rằng Nhà nước, cơ quan thuế sẽ thực thi chính sách mới một cách khách quan, công tâm và đối xử bình đẳng với mọi người nộp thuế.  - HUMAN-TRU1]]</f>
        <v>5</v>
      </c>
      <c r="X397">
        <f t="shared" si="175"/>
        <v>0.44444444444444442</v>
      </c>
      <c r="Y397">
        <f>step3_validation[[#This Row],[AI_TRU2]]</f>
        <v>6</v>
      </c>
      <c r="Z397">
        <f t="shared" si="176"/>
        <v>0.55555555555555558</v>
      </c>
      <c r="AA397">
        <f>[1]!survey_responses[[#This Row],[Tôi thấy mức thuế tôi phải đóng theo phương án mới là công bằng (người thu nhập như tôi đóng mức này là hợp lý). - HUMAN-TRU2]]</f>
        <v>3</v>
      </c>
      <c r="AB397">
        <f t="shared" si="177"/>
        <v>0.22222222222222221</v>
      </c>
      <c r="AC397">
        <f>step3_validation[[#This Row],[AI_TRU3]]</f>
        <v>5</v>
      </c>
      <c r="AD397">
        <f t="shared" si="178"/>
        <v>0.44444444444444442</v>
      </c>
      <c r="AE397">
        <f>[1]!survey_responses[[#This Row],[Tôi tin tưởng số tiền thuế tôi đóng sẽ được Nhà nước sử dụng hiệu quả để cải thiện dịch vụ công (y tế, đường xá...). - HUMAN-TRU3]]</f>
        <v>5</v>
      </c>
      <c r="AF397">
        <f t="shared" si="179"/>
        <v>0.44444444444444442</v>
      </c>
      <c r="AG397">
        <f>step3_validation[[#This Row],[AI_TRU4]]</f>
        <v>7</v>
      </c>
      <c r="AH397">
        <f t="shared" si="180"/>
        <v>0.66666666666666663</v>
      </c>
      <c r="AI397">
        <f>[1]!survey_responses[[#This Row],[Tôi thấy Nhà nước đã giải thích rõ ràng, minh bạch về lý do và mục tiêu của việc sửa đổi thuế lần này. - HUMAN-TRU4]]</f>
        <v>5</v>
      </c>
      <c r="AJ397">
        <f t="shared" si="181"/>
        <v>0.44444444444444442</v>
      </c>
      <c r="AK397" s="32">
        <f t="shared" si="182"/>
        <v>0.61111111111111116</v>
      </c>
      <c r="AL397" s="32">
        <f t="shared" si="183"/>
        <v>0.3888888888888889</v>
      </c>
      <c r="AM397" s="7">
        <f t="shared" si="184"/>
        <v>0.61111111111111116</v>
      </c>
      <c r="AN397" s="7">
        <f t="shared" si="185"/>
        <v>0.29629629629629628</v>
      </c>
      <c r="AO397">
        <f>step3_validation[[#This Row],[AI_OUT1]]</f>
        <v>6</v>
      </c>
      <c r="AP397">
        <f t="shared" si="186"/>
        <v>0.55555555555555558</v>
      </c>
      <c r="AQ397">
        <f>[1]!survey_responses[[#This Row],[Sau khi xem xét các quyền lợi và nghĩa vụ, bạn có ủng hộ và tuân thủ chính sách mới hiện nay? - HUMAN-OUT1]]</f>
        <v>5</v>
      </c>
      <c r="AR397">
        <f t="shared" si="187"/>
        <v>0.44444444444444442</v>
      </c>
      <c r="AS397" s="32">
        <f t="shared" si="188"/>
        <v>1</v>
      </c>
    </row>
    <row r="398" spans="1:45" x14ac:dyDescent="0.45">
      <c r="A398">
        <f>step3_validation[[#This Row],[AI_ENF1]]</f>
        <v>8</v>
      </c>
      <c r="B398">
        <f t="shared" si="162"/>
        <v>0.77777777777777779</v>
      </c>
      <c r="C398">
        <f>[1]!survey_responses[[#This Row],[Tôi tin rằng với các quy định quản lý thuế hiện nay, hành vi gian lận hoặc trốn thuế sẽ dễ dàng bị phát hiện và xử lý nghiêm. - HUMAN-ENF1]]</f>
        <v>8</v>
      </c>
      <c r="D398">
        <f t="shared" si="163"/>
        <v>0.77777777777777779</v>
      </c>
      <c r="E398">
        <f>step3_validation[[#This Row],[AI_ENF2]]</f>
        <v>7</v>
      </c>
      <c r="F398">
        <f t="shared" si="164"/>
        <v>0.66666666666666663</v>
      </c>
      <c r="G398">
        <f>[1]!survey_responses[[#This Row],[Tôi tin rằng Nhà nước, cơ quan thuế có đủ khả năng và công nghệ để phát hiện, xử lý nghiêm các hành vi trốn thuế. - HUMAN-ENF2]]</f>
        <v>8</v>
      </c>
      <c r="H398">
        <f t="shared" si="165"/>
        <v>0.77777777777777779</v>
      </c>
      <c r="I398" s="32">
        <f t="shared" si="166"/>
        <v>0.72222222222222221</v>
      </c>
      <c r="J398" s="32">
        <f t="shared" si="167"/>
        <v>0.77777777777777779</v>
      </c>
      <c r="K398">
        <f>step3_validation[[#This Row],[AI_FAC1]]</f>
        <v>6</v>
      </c>
      <c r="L398">
        <f t="shared" si="168"/>
        <v>0.55555555555555558</v>
      </c>
      <c r="M398">
        <f>[1]!survey_responses[[#This Row],[Các thủ tục khai báo thuế VÀ/HOẶC quy trình làm việc với cơ quan thuế đơn giản, tiện lợi, nhanh chóng hơn so với trước đây. - HUMAN-FAC1]]</f>
        <v>7</v>
      </c>
      <c r="N398">
        <f t="shared" si="169"/>
        <v>0.66666666666666663</v>
      </c>
      <c r="O398">
        <f>step3_validation[[#This Row],[AI_FAC2]]</f>
        <v>7</v>
      </c>
      <c r="P398">
        <f t="shared" si="170"/>
        <v>0.66666666666666663</v>
      </c>
      <c r="Q398">
        <f>[1]!survey_responses[[#This Row],[So với trước đây, tôi thấy cách tính thuế và các bậc thuế trong phương án mới đơn giản, dễ hiểu và dễ thực hiện hơn. - HUMAN-FAC2]]</f>
        <v>7</v>
      </c>
      <c r="R398">
        <f t="shared" si="171"/>
        <v>0.66666666666666663</v>
      </c>
      <c r="S398" s="32">
        <f t="shared" si="172"/>
        <v>0.61111111111111116</v>
      </c>
      <c r="T398" s="32">
        <f t="shared" si="173"/>
        <v>0.66666666666666663</v>
      </c>
      <c r="U398">
        <f>step3_validation[[#This Row],[AI_TRU1]]</f>
        <v>6</v>
      </c>
      <c r="V398">
        <f t="shared" si="174"/>
        <v>0.55555555555555558</v>
      </c>
      <c r="W398">
        <f>[1]!survey_responses[[#This Row],[Tôi tin rằng Nhà nước, cơ quan thuế sẽ thực thi chính sách mới một cách khách quan, công tâm và đối xử bình đẳng với mọi người nộp thuế.  - HUMAN-TRU1]]</f>
        <v>7</v>
      </c>
      <c r="X398">
        <f t="shared" si="175"/>
        <v>0.66666666666666663</v>
      </c>
      <c r="Y398">
        <f>step3_validation[[#This Row],[AI_TRU2]]</f>
        <v>5</v>
      </c>
      <c r="Z398">
        <f t="shared" si="176"/>
        <v>0.44444444444444442</v>
      </c>
      <c r="AA398">
        <f>[1]!survey_responses[[#This Row],[Tôi thấy mức thuế tôi phải đóng theo phương án mới là công bằng (người thu nhập như tôi đóng mức này là hợp lý). - HUMAN-TRU2]]</f>
        <v>8</v>
      </c>
      <c r="AB398">
        <f t="shared" si="177"/>
        <v>0.77777777777777779</v>
      </c>
      <c r="AC398">
        <f>step3_validation[[#This Row],[AI_TRU3]]</f>
        <v>6</v>
      </c>
      <c r="AD398">
        <f t="shared" si="178"/>
        <v>0.55555555555555558</v>
      </c>
      <c r="AE398">
        <f>[1]!survey_responses[[#This Row],[Tôi tin tưởng số tiền thuế tôi đóng sẽ được Nhà nước sử dụng hiệu quả để cải thiện dịch vụ công (y tế, đường xá...). - HUMAN-TRU3]]</f>
        <v>7</v>
      </c>
      <c r="AF398">
        <f t="shared" si="179"/>
        <v>0.66666666666666663</v>
      </c>
      <c r="AG398">
        <f>step3_validation[[#This Row],[AI_TRU4]]</f>
        <v>5</v>
      </c>
      <c r="AH398">
        <f t="shared" si="180"/>
        <v>0.44444444444444442</v>
      </c>
      <c r="AI398">
        <f>[1]!survey_responses[[#This Row],[Tôi thấy Nhà nước đã giải thích rõ ràng, minh bạch về lý do và mục tiêu của việc sửa đổi thuế lần này. - HUMAN-TRU4]]</f>
        <v>8</v>
      </c>
      <c r="AJ398">
        <f t="shared" si="181"/>
        <v>0.77777777777777779</v>
      </c>
      <c r="AK398" s="32">
        <f t="shared" si="182"/>
        <v>0.5</v>
      </c>
      <c r="AL398" s="32">
        <f t="shared" si="183"/>
        <v>0.72222222222222221</v>
      </c>
      <c r="AM398" s="7">
        <f t="shared" si="184"/>
        <v>0.61111111111111116</v>
      </c>
      <c r="AN398" s="7">
        <f t="shared" si="185"/>
        <v>0.72222222222222221</v>
      </c>
      <c r="AO398">
        <f>step3_validation[[#This Row],[AI_OUT1]]</f>
        <v>7</v>
      </c>
      <c r="AP398">
        <f t="shared" si="186"/>
        <v>0.66666666666666663</v>
      </c>
      <c r="AQ398">
        <f>[1]!survey_responses[[#This Row],[Sau khi xem xét các quyền lợi và nghĩa vụ, bạn có ủng hộ và tuân thủ chính sách mới hiện nay? - HUMAN-OUT1]]</f>
        <v>8</v>
      </c>
      <c r="AR398">
        <f t="shared" si="187"/>
        <v>0.77777777777777779</v>
      </c>
      <c r="AS398" s="32">
        <f t="shared" si="188"/>
        <v>1</v>
      </c>
    </row>
    <row r="399" spans="1:45" x14ac:dyDescent="0.45">
      <c r="A399">
        <f>step3_validation[[#This Row],[AI_ENF1]]</f>
        <v>6</v>
      </c>
      <c r="B399">
        <f t="shared" si="162"/>
        <v>0.55555555555555558</v>
      </c>
      <c r="C399">
        <f>[1]!survey_responses[[#This Row],[Tôi tin rằng với các quy định quản lý thuế hiện nay, hành vi gian lận hoặc trốn thuế sẽ dễ dàng bị phát hiện và xử lý nghiêm. - HUMAN-ENF1]]</f>
        <v>9</v>
      </c>
      <c r="D399">
        <f t="shared" si="163"/>
        <v>0.88888888888888884</v>
      </c>
      <c r="E399">
        <f>step3_validation[[#This Row],[AI_ENF2]]</f>
        <v>7</v>
      </c>
      <c r="F399">
        <f t="shared" si="164"/>
        <v>0.66666666666666663</v>
      </c>
      <c r="G399">
        <f>[1]!survey_responses[[#This Row],[Tôi tin rằng Nhà nước, cơ quan thuế có đủ khả năng và công nghệ để phát hiện, xử lý nghiêm các hành vi trốn thuế. - HUMAN-ENF2]]</f>
        <v>9</v>
      </c>
      <c r="H399">
        <f t="shared" si="165"/>
        <v>0.88888888888888884</v>
      </c>
      <c r="I399" s="32">
        <f t="shared" si="166"/>
        <v>0.61111111111111116</v>
      </c>
      <c r="J399" s="32">
        <f t="shared" si="167"/>
        <v>0.88888888888888884</v>
      </c>
      <c r="K399">
        <f>step3_validation[[#This Row],[AI_FAC1]]</f>
        <v>8</v>
      </c>
      <c r="L399">
        <f t="shared" si="168"/>
        <v>0.77777777777777779</v>
      </c>
      <c r="M399">
        <f>[1]!survey_responses[[#This Row],[Các thủ tục khai báo thuế VÀ/HOẶC quy trình làm việc với cơ quan thuế đơn giản, tiện lợi, nhanh chóng hơn so với trước đây. - HUMAN-FAC1]]</f>
        <v>8</v>
      </c>
      <c r="N399">
        <f t="shared" si="169"/>
        <v>0.77777777777777779</v>
      </c>
      <c r="O399">
        <f>step3_validation[[#This Row],[AI_FAC2]]</f>
        <v>7</v>
      </c>
      <c r="P399">
        <f t="shared" si="170"/>
        <v>0.66666666666666663</v>
      </c>
      <c r="Q399">
        <f>[1]!survey_responses[[#This Row],[So với trước đây, tôi thấy cách tính thuế và các bậc thuế trong phương án mới đơn giản, dễ hiểu và dễ thực hiện hơn. - HUMAN-FAC2]]</f>
        <v>9</v>
      </c>
      <c r="R399">
        <f t="shared" si="171"/>
        <v>0.88888888888888884</v>
      </c>
      <c r="S399" s="32">
        <f t="shared" si="172"/>
        <v>0.72222222222222221</v>
      </c>
      <c r="T399" s="32">
        <f t="shared" si="173"/>
        <v>0.83333333333333326</v>
      </c>
      <c r="U399">
        <f>step3_validation[[#This Row],[AI_TRU1]]</f>
        <v>8</v>
      </c>
      <c r="V399">
        <f t="shared" si="174"/>
        <v>0.77777777777777779</v>
      </c>
      <c r="W399">
        <f>[1]!survey_responses[[#This Row],[Tôi tin rằng Nhà nước, cơ quan thuế sẽ thực thi chính sách mới một cách khách quan, công tâm và đối xử bình đẳng với mọi người nộp thuế.  - HUMAN-TRU1]]</f>
        <v>7</v>
      </c>
      <c r="X399">
        <f t="shared" si="175"/>
        <v>0.66666666666666663</v>
      </c>
      <c r="Y399">
        <f>step3_validation[[#This Row],[AI_TRU2]]</f>
        <v>7</v>
      </c>
      <c r="Z399">
        <f t="shared" si="176"/>
        <v>0.66666666666666663</v>
      </c>
      <c r="AA399">
        <f>[1]!survey_responses[[#This Row],[Tôi thấy mức thuế tôi phải đóng theo phương án mới là công bằng (người thu nhập như tôi đóng mức này là hợp lý). - HUMAN-TRU2]]</f>
        <v>9</v>
      </c>
      <c r="AB399">
        <f t="shared" si="177"/>
        <v>0.88888888888888884</v>
      </c>
      <c r="AC399">
        <f>step3_validation[[#This Row],[AI_TRU3]]</f>
        <v>6</v>
      </c>
      <c r="AD399">
        <f t="shared" si="178"/>
        <v>0.55555555555555558</v>
      </c>
      <c r="AE399">
        <f>[1]!survey_responses[[#This Row],[Tôi tin tưởng số tiền thuế tôi đóng sẽ được Nhà nước sử dụng hiệu quả để cải thiện dịch vụ công (y tế, đường xá...). - HUMAN-TRU3]]</f>
        <v>8</v>
      </c>
      <c r="AF399">
        <f t="shared" si="179"/>
        <v>0.77777777777777779</v>
      </c>
      <c r="AG399">
        <f>step3_validation[[#This Row],[AI_TRU4]]</f>
        <v>5</v>
      </c>
      <c r="AH399">
        <f t="shared" si="180"/>
        <v>0.44444444444444442</v>
      </c>
      <c r="AI399">
        <f>[1]!survey_responses[[#This Row],[Tôi thấy Nhà nước đã giải thích rõ ràng, minh bạch về lý do và mục tiêu của việc sửa đổi thuế lần này. - HUMAN-TRU4]]</f>
        <v>8</v>
      </c>
      <c r="AJ399">
        <f t="shared" si="181"/>
        <v>0.77777777777777779</v>
      </c>
      <c r="AK399" s="32">
        <f t="shared" si="182"/>
        <v>0.61111111111111116</v>
      </c>
      <c r="AL399" s="32">
        <f t="shared" si="183"/>
        <v>0.77777777777777768</v>
      </c>
      <c r="AM399" s="7">
        <f t="shared" si="184"/>
        <v>0.64814814814814825</v>
      </c>
      <c r="AN399" s="7">
        <f t="shared" si="185"/>
        <v>0.83333333333333337</v>
      </c>
      <c r="AO399">
        <f>step3_validation[[#This Row],[AI_OUT1]]</f>
        <v>6</v>
      </c>
      <c r="AP399">
        <f t="shared" si="186"/>
        <v>0.55555555555555558</v>
      </c>
      <c r="AQ399">
        <f>[1]!survey_responses[[#This Row],[Sau khi xem xét các quyền lợi và nghĩa vụ, bạn có ủng hộ và tuân thủ chính sách mới hiện nay? - HUMAN-OUT1]]</f>
        <v>8</v>
      </c>
      <c r="AR399">
        <f t="shared" si="187"/>
        <v>0.77777777777777779</v>
      </c>
      <c r="AS399" s="32">
        <f t="shared" si="188"/>
        <v>2</v>
      </c>
    </row>
    <row r="400" spans="1:45" x14ac:dyDescent="0.45">
      <c r="A400">
        <f>step3_validation[[#This Row],[AI_ENF1]]</f>
        <v>7</v>
      </c>
      <c r="B400">
        <f t="shared" si="162"/>
        <v>0.66666666666666663</v>
      </c>
      <c r="C400">
        <f>[1]!survey_responses[[#This Row],[Tôi tin rằng với các quy định quản lý thuế hiện nay, hành vi gian lận hoặc trốn thuế sẽ dễ dàng bị phát hiện và xử lý nghiêm. - HUMAN-ENF1]]</f>
        <v>7</v>
      </c>
      <c r="D400">
        <f t="shared" si="163"/>
        <v>0.66666666666666663</v>
      </c>
      <c r="E400">
        <f>step3_validation[[#This Row],[AI_ENF2]]</f>
        <v>8</v>
      </c>
      <c r="F400">
        <f t="shared" si="164"/>
        <v>0.77777777777777779</v>
      </c>
      <c r="G400">
        <f>[1]!survey_responses[[#This Row],[Tôi tin rằng Nhà nước, cơ quan thuế có đủ khả năng và công nghệ để phát hiện, xử lý nghiêm các hành vi trốn thuế. - HUMAN-ENF2]]</f>
        <v>7</v>
      </c>
      <c r="H400">
        <f t="shared" si="165"/>
        <v>0.66666666666666663</v>
      </c>
      <c r="I400" s="32">
        <f t="shared" si="166"/>
        <v>0.72222222222222221</v>
      </c>
      <c r="J400" s="32">
        <f t="shared" si="167"/>
        <v>0.66666666666666663</v>
      </c>
      <c r="K400">
        <f>step3_validation[[#This Row],[AI_FAC1]]</f>
        <v>6</v>
      </c>
      <c r="L400">
        <f t="shared" si="168"/>
        <v>0.55555555555555558</v>
      </c>
      <c r="M400">
        <f>[1]!survey_responses[[#This Row],[Các thủ tục khai báo thuế VÀ/HOẶC quy trình làm việc với cơ quan thuế đơn giản, tiện lợi, nhanh chóng hơn so với trước đây. - HUMAN-FAC1]]</f>
        <v>5</v>
      </c>
      <c r="N400">
        <f t="shared" si="169"/>
        <v>0.44444444444444442</v>
      </c>
      <c r="O400">
        <f>step3_validation[[#This Row],[AI_FAC2]]</f>
        <v>7</v>
      </c>
      <c r="P400">
        <f t="shared" si="170"/>
        <v>0.66666666666666663</v>
      </c>
      <c r="Q400">
        <f>[1]!survey_responses[[#This Row],[So với trước đây, tôi thấy cách tính thuế và các bậc thuế trong phương án mới đơn giản, dễ hiểu và dễ thực hiện hơn. - HUMAN-FAC2]]</f>
        <v>8</v>
      </c>
      <c r="R400">
        <f t="shared" si="171"/>
        <v>0.77777777777777779</v>
      </c>
      <c r="S400" s="32">
        <f t="shared" si="172"/>
        <v>0.61111111111111116</v>
      </c>
      <c r="T400" s="32">
        <f t="shared" si="173"/>
        <v>0.61111111111111116</v>
      </c>
      <c r="U400">
        <f>step3_validation[[#This Row],[AI_TRU1]]</f>
        <v>6</v>
      </c>
      <c r="V400">
        <f t="shared" si="174"/>
        <v>0.55555555555555558</v>
      </c>
      <c r="W400">
        <f>[1]!survey_responses[[#This Row],[Tôi tin rằng Nhà nước, cơ quan thuế sẽ thực thi chính sách mới một cách khách quan, công tâm và đối xử bình đẳng với mọi người nộp thuế.  - HUMAN-TRU1]]</f>
        <v>7</v>
      </c>
      <c r="X400">
        <f t="shared" si="175"/>
        <v>0.66666666666666663</v>
      </c>
      <c r="Y400">
        <f>step3_validation[[#This Row],[AI_TRU2]]</f>
        <v>7</v>
      </c>
      <c r="Z400">
        <f t="shared" si="176"/>
        <v>0.66666666666666663</v>
      </c>
      <c r="AA400">
        <f>[1]!survey_responses[[#This Row],[Tôi thấy mức thuế tôi phải đóng theo phương án mới là công bằng (người thu nhập như tôi đóng mức này là hợp lý). - HUMAN-TRU2]]</f>
        <v>8</v>
      </c>
      <c r="AB400">
        <f t="shared" si="177"/>
        <v>0.77777777777777779</v>
      </c>
      <c r="AC400">
        <f>step3_validation[[#This Row],[AI_TRU3]]</f>
        <v>6</v>
      </c>
      <c r="AD400">
        <f t="shared" si="178"/>
        <v>0.55555555555555558</v>
      </c>
      <c r="AE400">
        <f>[1]!survey_responses[[#This Row],[Tôi tin tưởng số tiền thuế tôi đóng sẽ được Nhà nước sử dụng hiệu quả để cải thiện dịch vụ công (y tế, đường xá...). - HUMAN-TRU3]]</f>
        <v>6</v>
      </c>
      <c r="AF400">
        <f t="shared" si="179"/>
        <v>0.55555555555555558</v>
      </c>
      <c r="AG400">
        <f>step3_validation[[#This Row],[AI_TRU4]]</f>
        <v>7</v>
      </c>
      <c r="AH400">
        <f t="shared" si="180"/>
        <v>0.66666666666666663</v>
      </c>
      <c r="AI400">
        <f>[1]!survey_responses[[#This Row],[Tôi thấy Nhà nước đã giải thích rõ ràng, minh bạch về lý do và mục tiêu của việc sửa đổi thuế lần này. - HUMAN-TRU4]]</f>
        <v>6</v>
      </c>
      <c r="AJ400">
        <f t="shared" si="181"/>
        <v>0.55555555555555558</v>
      </c>
      <c r="AK400" s="32">
        <f t="shared" si="182"/>
        <v>0.61111111111111116</v>
      </c>
      <c r="AL400" s="32">
        <f t="shared" si="183"/>
        <v>0.63888888888888884</v>
      </c>
      <c r="AM400" s="7">
        <f t="shared" si="184"/>
        <v>0.64814814814814825</v>
      </c>
      <c r="AN400" s="7">
        <f t="shared" si="185"/>
        <v>0.63888888888888884</v>
      </c>
      <c r="AO400">
        <f>step3_validation[[#This Row],[AI_OUT1]]</f>
        <v>6</v>
      </c>
      <c r="AP400">
        <f t="shared" si="186"/>
        <v>0.55555555555555558</v>
      </c>
      <c r="AQ400">
        <f>[1]!survey_responses[[#This Row],[Sau khi xem xét các quyền lợi và nghĩa vụ, bạn có ủng hộ và tuân thủ chính sách mới hiện nay? - HUMAN-OUT1]]</f>
        <v>8</v>
      </c>
      <c r="AR400">
        <f t="shared" si="187"/>
        <v>0.77777777777777779</v>
      </c>
      <c r="AS400" s="32">
        <f t="shared" si="188"/>
        <v>2</v>
      </c>
    </row>
    <row r="401" spans="1:45" x14ac:dyDescent="0.45">
      <c r="A401">
        <f>step3_validation[[#This Row],[AI_ENF1]]</f>
        <v>7</v>
      </c>
      <c r="B401">
        <f t="shared" si="162"/>
        <v>0.66666666666666663</v>
      </c>
      <c r="C401">
        <f>[1]!survey_responses[[#This Row],[Tôi tin rằng với các quy định quản lý thuế hiện nay, hành vi gian lận hoặc trốn thuế sẽ dễ dàng bị phát hiện và xử lý nghiêm. - HUMAN-ENF1]]</f>
        <v>8</v>
      </c>
      <c r="D401">
        <f t="shared" si="163"/>
        <v>0.77777777777777779</v>
      </c>
      <c r="E401">
        <f>step3_validation[[#This Row],[AI_ENF2]]</f>
        <v>6</v>
      </c>
      <c r="F401">
        <f t="shared" si="164"/>
        <v>0.55555555555555558</v>
      </c>
      <c r="G401">
        <f>[1]!survey_responses[[#This Row],[Tôi tin rằng Nhà nước, cơ quan thuế có đủ khả năng và công nghệ để phát hiện, xử lý nghiêm các hành vi trốn thuế. - HUMAN-ENF2]]</f>
        <v>9</v>
      </c>
      <c r="H401">
        <f t="shared" si="165"/>
        <v>0.88888888888888884</v>
      </c>
      <c r="I401" s="32">
        <f t="shared" si="166"/>
        <v>0.61111111111111116</v>
      </c>
      <c r="J401" s="32">
        <f t="shared" si="167"/>
        <v>0.83333333333333326</v>
      </c>
      <c r="K401">
        <f>step3_validation[[#This Row],[AI_FAC1]]</f>
        <v>8</v>
      </c>
      <c r="L401">
        <f t="shared" si="168"/>
        <v>0.77777777777777779</v>
      </c>
      <c r="M401">
        <f>[1]!survey_responses[[#This Row],[Các thủ tục khai báo thuế VÀ/HOẶC quy trình làm việc với cơ quan thuế đơn giản, tiện lợi, nhanh chóng hơn so với trước đây. - HUMAN-FAC1]]</f>
        <v>8</v>
      </c>
      <c r="N401">
        <f t="shared" si="169"/>
        <v>0.77777777777777779</v>
      </c>
      <c r="O401">
        <f>step3_validation[[#This Row],[AI_FAC2]]</f>
        <v>9</v>
      </c>
      <c r="P401">
        <f t="shared" si="170"/>
        <v>0.88888888888888884</v>
      </c>
      <c r="Q401">
        <f>[1]!survey_responses[[#This Row],[So với trước đây, tôi thấy cách tính thuế và các bậc thuế trong phương án mới đơn giản, dễ hiểu và dễ thực hiện hơn. - HUMAN-FAC2]]</f>
        <v>8</v>
      </c>
      <c r="R401">
        <f t="shared" si="171"/>
        <v>0.77777777777777779</v>
      </c>
      <c r="S401" s="32">
        <f t="shared" si="172"/>
        <v>0.83333333333333326</v>
      </c>
      <c r="T401" s="32">
        <f t="shared" si="173"/>
        <v>0.77777777777777779</v>
      </c>
      <c r="U401">
        <f>step3_validation[[#This Row],[AI_TRU1]]</f>
        <v>7</v>
      </c>
      <c r="V401">
        <f t="shared" si="174"/>
        <v>0.66666666666666663</v>
      </c>
      <c r="W401">
        <f>[1]!survey_responses[[#This Row],[Tôi tin rằng Nhà nước, cơ quan thuế sẽ thực thi chính sách mới một cách khách quan, công tâm và đối xử bình đẳng với mọi người nộp thuế.  - HUMAN-TRU1]]</f>
        <v>7</v>
      </c>
      <c r="X401">
        <f t="shared" si="175"/>
        <v>0.66666666666666663</v>
      </c>
      <c r="Y401">
        <f>step3_validation[[#This Row],[AI_TRU2]]</f>
        <v>8</v>
      </c>
      <c r="Z401">
        <f t="shared" si="176"/>
        <v>0.77777777777777779</v>
      </c>
      <c r="AA401">
        <f>[1]!survey_responses[[#This Row],[Tôi thấy mức thuế tôi phải đóng theo phương án mới là công bằng (người thu nhập như tôi đóng mức này là hợp lý). - HUMAN-TRU2]]</f>
        <v>7</v>
      </c>
      <c r="AB401">
        <f t="shared" si="177"/>
        <v>0.66666666666666663</v>
      </c>
      <c r="AC401">
        <f>step3_validation[[#This Row],[AI_TRU3]]</f>
        <v>7</v>
      </c>
      <c r="AD401">
        <f t="shared" si="178"/>
        <v>0.66666666666666663</v>
      </c>
      <c r="AE401">
        <f>[1]!survey_responses[[#This Row],[Tôi tin tưởng số tiền thuế tôi đóng sẽ được Nhà nước sử dụng hiệu quả để cải thiện dịch vụ công (y tế, đường xá...). - HUMAN-TRU3]]</f>
        <v>7</v>
      </c>
      <c r="AF401">
        <f t="shared" si="179"/>
        <v>0.66666666666666663</v>
      </c>
      <c r="AG401">
        <f>step3_validation[[#This Row],[AI_TRU4]]</f>
        <v>6</v>
      </c>
      <c r="AH401">
        <f t="shared" si="180"/>
        <v>0.55555555555555558</v>
      </c>
      <c r="AI401">
        <f>[1]!survey_responses[[#This Row],[Tôi thấy Nhà nước đã giải thích rõ ràng, minh bạch về lý do và mục tiêu của việc sửa đổi thuế lần này. - HUMAN-TRU4]]</f>
        <v>7</v>
      </c>
      <c r="AJ401">
        <f t="shared" si="181"/>
        <v>0.66666666666666663</v>
      </c>
      <c r="AK401" s="32">
        <f t="shared" si="182"/>
        <v>0.66666666666666674</v>
      </c>
      <c r="AL401" s="32">
        <f t="shared" si="183"/>
        <v>0.66666666666666663</v>
      </c>
      <c r="AM401" s="7">
        <f t="shared" si="184"/>
        <v>0.70370370370370372</v>
      </c>
      <c r="AN401" s="7">
        <f t="shared" si="185"/>
        <v>0.75925925925925919</v>
      </c>
      <c r="AO401">
        <f>step3_validation[[#This Row],[AI_OUT1]]</f>
        <v>8</v>
      </c>
      <c r="AP401">
        <f t="shared" si="186"/>
        <v>0.77777777777777779</v>
      </c>
      <c r="AQ401">
        <f>[1]!survey_responses[[#This Row],[Sau khi xem xét các quyền lợi và nghĩa vụ, bạn có ủng hộ và tuân thủ chính sách mới hiện nay? - HUMAN-OUT1]]</f>
        <v>8</v>
      </c>
      <c r="AR401">
        <f t="shared" si="187"/>
        <v>0.77777777777777779</v>
      </c>
      <c r="AS401" s="32">
        <f t="shared" si="188"/>
        <v>0</v>
      </c>
    </row>
    <row r="402" spans="1:45" x14ac:dyDescent="0.45">
      <c r="A402">
        <f>step3_validation[[#This Row],[AI_ENF1]]</f>
        <v>7</v>
      </c>
      <c r="B402">
        <f t="shared" si="162"/>
        <v>0.66666666666666663</v>
      </c>
      <c r="C402">
        <f>[1]!survey_responses[[#This Row],[Tôi tin rằng với các quy định quản lý thuế hiện nay, hành vi gian lận hoặc trốn thuế sẽ dễ dàng bị phát hiện và xử lý nghiêm. - HUMAN-ENF1]]</f>
        <v>4</v>
      </c>
      <c r="D402">
        <f t="shared" si="163"/>
        <v>0.33333333333333331</v>
      </c>
      <c r="E402">
        <f>step3_validation[[#This Row],[AI_ENF2]]</f>
        <v>8</v>
      </c>
      <c r="F402">
        <f t="shared" si="164"/>
        <v>0.77777777777777779</v>
      </c>
      <c r="G402">
        <f>[1]!survey_responses[[#This Row],[Tôi tin rằng Nhà nước, cơ quan thuế có đủ khả năng và công nghệ để phát hiện, xử lý nghiêm các hành vi trốn thuế. - HUMAN-ENF2]]</f>
        <v>4</v>
      </c>
      <c r="H402">
        <f t="shared" si="165"/>
        <v>0.33333333333333331</v>
      </c>
      <c r="I402" s="32">
        <f t="shared" si="166"/>
        <v>0.72222222222222221</v>
      </c>
      <c r="J402" s="32">
        <f t="shared" si="167"/>
        <v>0.33333333333333331</v>
      </c>
      <c r="K402">
        <f>step3_validation[[#This Row],[AI_FAC1]]</f>
        <v>6</v>
      </c>
      <c r="L402">
        <f t="shared" si="168"/>
        <v>0.55555555555555558</v>
      </c>
      <c r="M402">
        <f>[1]!survey_responses[[#This Row],[Các thủ tục khai báo thuế VÀ/HOẶC quy trình làm việc với cơ quan thuế đơn giản, tiện lợi, nhanh chóng hơn so với trước đây. - HUMAN-FAC1]]</f>
        <v>3</v>
      </c>
      <c r="N402">
        <f t="shared" si="169"/>
        <v>0.22222222222222221</v>
      </c>
      <c r="O402">
        <f>step3_validation[[#This Row],[AI_FAC2]]</f>
        <v>5</v>
      </c>
      <c r="P402">
        <f t="shared" si="170"/>
        <v>0.44444444444444442</v>
      </c>
      <c r="Q402">
        <f>[1]!survey_responses[[#This Row],[So với trước đây, tôi thấy cách tính thuế và các bậc thuế trong phương án mới đơn giản, dễ hiểu và dễ thực hiện hơn. - HUMAN-FAC2]]</f>
        <v>5</v>
      </c>
      <c r="R402">
        <f t="shared" si="171"/>
        <v>0.44444444444444442</v>
      </c>
      <c r="S402" s="32">
        <f t="shared" si="172"/>
        <v>0.5</v>
      </c>
      <c r="T402" s="32">
        <f t="shared" si="173"/>
        <v>0.33333333333333331</v>
      </c>
      <c r="U402">
        <f>step3_validation[[#This Row],[AI_TRU1]]</f>
        <v>7</v>
      </c>
      <c r="V402">
        <f t="shared" si="174"/>
        <v>0.66666666666666663</v>
      </c>
      <c r="W402">
        <f>[1]!survey_responses[[#This Row],[Tôi tin rằng Nhà nước, cơ quan thuế sẽ thực thi chính sách mới một cách khách quan, công tâm và đối xử bình đẳng với mọi người nộp thuế.  - HUMAN-TRU1]]</f>
        <v>5</v>
      </c>
      <c r="X402">
        <f t="shared" si="175"/>
        <v>0.44444444444444442</v>
      </c>
      <c r="Y402">
        <f>step3_validation[[#This Row],[AI_TRU2]]</f>
        <v>6</v>
      </c>
      <c r="Z402">
        <f t="shared" si="176"/>
        <v>0.55555555555555558</v>
      </c>
      <c r="AA402">
        <f>[1]!survey_responses[[#This Row],[Tôi thấy mức thuế tôi phải đóng theo phương án mới là công bằng (người thu nhập như tôi đóng mức này là hợp lý). - HUMAN-TRU2]]</f>
        <v>2</v>
      </c>
      <c r="AB402">
        <f t="shared" si="177"/>
        <v>0.1111111111111111</v>
      </c>
      <c r="AC402">
        <f>step3_validation[[#This Row],[AI_TRU3]]</f>
        <v>7</v>
      </c>
      <c r="AD402">
        <f t="shared" si="178"/>
        <v>0.66666666666666663</v>
      </c>
      <c r="AE402">
        <f>[1]!survey_responses[[#This Row],[Tôi tin tưởng số tiền thuế tôi đóng sẽ được Nhà nước sử dụng hiệu quả để cải thiện dịch vụ công (y tế, đường xá...). - HUMAN-TRU3]]</f>
        <v>2</v>
      </c>
      <c r="AF402">
        <f t="shared" si="179"/>
        <v>0.1111111111111111</v>
      </c>
      <c r="AG402">
        <f>step3_validation[[#This Row],[AI_TRU4]]</f>
        <v>6</v>
      </c>
      <c r="AH402">
        <f t="shared" si="180"/>
        <v>0.55555555555555558</v>
      </c>
      <c r="AI402">
        <f>[1]!survey_responses[[#This Row],[Tôi thấy Nhà nước đã giải thích rõ ràng, minh bạch về lý do và mục tiêu của việc sửa đổi thuế lần này. - HUMAN-TRU4]]</f>
        <v>5</v>
      </c>
      <c r="AJ402">
        <f t="shared" si="181"/>
        <v>0.44444444444444442</v>
      </c>
      <c r="AK402" s="32">
        <f t="shared" si="182"/>
        <v>0.61111111111111116</v>
      </c>
      <c r="AL402" s="32">
        <f t="shared" si="183"/>
        <v>0.27777777777777779</v>
      </c>
      <c r="AM402" s="7">
        <f t="shared" si="184"/>
        <v>0.61111111111111116</v>
      </c>
      <c r="AN402" s="7">
        <f t="shared" si="185"/>
        <v>0.31481481481481483</v>
      </c>
      <c r="AO402">
        <f>step3_validation[[#This Row],[AI_OUT1]]</f>
        <v>7</v>
      </c>
      <c r="AP402">
        <f t="shared" si="186"/>
        <v>0.66666666666666663</v>
      </c>
      <c r="AQ402">
        <f>[1]!survey_responses[[#This Row],[Sau khi xem xét các quyền lợi và nghĩa vụ, bạn có ủng hộ và tuân thủ chính sách mới hiện nay? - HUMAN-OUT1]]</f>
        <v>2</v>
      </c>
      <c r="AR402">
        <f t="shared" si="187"/>
        <v>0.1111111111111111</v>
      </c>
      <c r="AS402" s="32">
        <f t="shared" si="188"/>
        <v>5</v>
      </c>
    </row>
    <row r="403" spans="1:45" x14ac:dyDescent="0.45">
      <c r="A403">
        <f>step3_validation[[#This Row],[AI_ENF1]]</f>
        <v>7</v>
      </c>
      <c r="B403">
        <f t="shared" si="162"/>
        <v>0.66666666666666663</v>
      </c>
      <c r="C403">
        <f>[1]!survey_responses[[#This Row],[Tôi tin rằng với các quy định quản lý thuế hiện nay, hành vi gian lận hoặc trốn thuế sẽ dễ dàng bị phát hiện và xử lý nghiêm. - HUMAN-ENF1]]</f>
        <v>7</v>
      </c>
      <c r="D403">
        <f t="shared" si="163"/>
        <v>0.66666666666666663</v>
      </c>
      <c r="E403">
        <f>step3_validation[[#This Row],[AI_ENF2]]</f>
        <v>8</v>
      </c>
      <c r="F403">
        <f t="shared" si="164"/>
        <v>0.77777777777777779</v>
      </c>
      <c r="G403">
        <f>[1]!survey_responses[[#This Row],[Tôi tin rằng Nhà nước, cơ quan thuế có đủ khả năng và công nghệ để phát hiện, xử lý nghiêm các hành vi trốn thuế. - HUMAN-ENF2]]</f>
        <v>7</v>
      </c>
      <c r="H403">
        <f t="shared" si="165"/>
        <v>0.66666666666666663</v>
      </c>
      <c r="I403" s="32">
        <f t="shared" si="166"/>
        <v>0.72222222222222221</v>
      </c>
      <c r="J403" s="32">
        <f t="shared" si="167"/>
        <v>0.66666666666666663</v>
      </c>
      <c r="K403">
        <f>step3_validation[[#This Row],[AI_FAC1]]</f>
        <v>9</v>
      </c>
      <c r="L403">
        <f t="shared" si="168"/>
        <v>0.88888888888888884</v>
      </c>
      <c r="M403">
        <f>[1]!survey_responses[[#This Row],[Các thủ tục khai báo thuế VÀ/HOẶC quy trình làm việc với cơ quan thuế đơn giản, tiện lợi, nhanh chóng hơn so với trước đây. - HUMAN-FAC1]]</f>
        <v>4</v>
      </c>
      <c r="N403">
        <f t="shared" si="169"/>
        <v>0.33333333333333331</v>
      </c>
      <c r="O403">
        <f>step3_validation[[#This Row],[AI_FAC2]]</f>
        <v>9</v>
      </c>
      <c r="P403">
        <f t="shared" si="170"/>
        <v>0.88888888888888884</v>
      </c>
      <c r="Q403">
        <f>[1]!survey_responses[[#This Row],[So với trước đây, tôi thấy cách tính thuế và các bậc thuế trong phương án mới đơn giản, dễ hiểu và dễ thực hiện hơn. - HUMAN-FAC2]]</f>
        <v>6</v>
      </c>
      <c r="R403">
        <f t="shared" si="171"/>
        <v>0.55555555555555558</v>
      </c>
      <c r="S403" s="32">
        <f t="shared" si="172"/>
        <v>0.88888888888888884</v>
      </c>
      <c r="T403" s="32">
        <f t="shared" si="173"/>
        <v>0.44444444444444442</v>
      </c>
      <c r="U403">
        <f>step3_validation[[#This Row],[AI_TRU1]]</f>
        <v>8</v>
      </c>
      <c r="V403">
        <f t="shared" si="174"/>
        <v>0.77777777777777779</v>
      </c>
      <c r="W403">
        <f>[1]!survey_responses[[#This Row],[Tôi tin rằng Nhà nước, cơ quan thuế sẽ thực thi chính sách mới một cách khách quan, công tâm và đối xử bình đẳng với mọi người nộp thuế.  - HUMAN-TRU1]]</f>
        <v>5</v>
      </c>
      <c r="X403">
        <f t="shared" si="175"/>
        <v>0.44444444444444442</v>
      </c>
      <c r="Y403">
        <f>step3_validation[[#This Row],[AI_TRU2]]</f>
        <v>7</v>
      </c>
      <c r="Z403">
        <f t="shared" si="176"/>
        <v>0.66666666666666663</v>
      </c>
      <c r="AA403">
        <f>[1]!survey_responses[[#This Row],[Tôi thấy mức thuế tôi phải đóng theo phương án mới là công bằng (người thu nhập như tôi đóng mức này là hợp lý). - HUMAN-TRU2]]</f>
        <v>4</v>
      </c>
      <c r="AB403">
        <f t="shared" si="177"/>
        <v>0.33333333333333331</v>
      </c>
      <c r="AC403">
        <f>step3_validation[[#This Row],[AI_TRU3]]</f>
        <v>8</v>
      </c>
      <c r="AD403">
        <f t="shared" si="178"/>
        <v>0.77777777777777779</v>
      </c>
      <c r="AE403">
        <f>[1]!survey_responses[[#This Row],[Tôi tin tưởng số tiền thuế tôi đóng sẽ được Nhà nước sử dụng hiệu quả để cải thiện dịch vụ công (y tế, đường xá...). - HUMAN-TRU3]]</f>
        <v>5</v>
      </c>
      <c r="AF403">
        <f t="shared" si="179"/>
        <v>0.44444444444444442</v>
      </c>
      <c r="AG403">
        <f>step3_validation[[#This Row],[AI_TRU4]]</f>
        <v>6</v>
      </c>
      <c r="AH403">
        <f t="shared" si="180"/>
        <v>0.55555555555555558</v>
      </c>
      <c r="AI403">
        <f>[1]!survey_responses[[#This Row],[Tôi thấy Nhà nước đã giải thích rõ ràng, minh bạch về lý do và mục tiêu của việc sửa đổi thuế lần này. - HUMAN-TRU4]]</f>
        <v>5</v>
      </c>
      <c r="AJ403">
        <f t="shared" si="181"/>
        <v>0.44444444444444442</v>
      </c>
      <c r="AK403" s="32">
        <f t="shared" si="182"/>
        <v>0.69444444444444442</v>
      </c>
      <c r="AL403" s="32">
        <f t="shared" si="183"/>
        <v>0.41666666666666663</v>
      </c>
      <c r="AM403" s="7">
        <f t="shared" si="184"/>
        <v>0.76851851851851849</v>
      </c>
      <c r="AN403" s="7">
        <f t="shared" si="185"/>
        <v>0.50925925925925919</v>
      </c>
      <c r="AO403">
        <f>step3_validation[[#This Row],[AI_OUT1]]</f>
        <v>9</v>
      </c>
      <c r="AP403">
        <f t="shared" si="186"/>
        <v>0.88888888888888884</v>
      </c>
      <c r="AQ403">
        <f>[1]!survey_responses[[#This Row],[Sau khi xem xét các quyền lợi và nghĩa vụ, bạn có ủng hộ và tuân thủ chính sách mới hiện nay? - HUMAN-OUT1]]</f>
        <v>5</v>
      </c>
      <c r="AR403">
        <f t="shared" si="187"/>
        <v>0.44444444444444442</v>
      </c>
      <c r="AS403" s="32">
        <f t="shared" si="188"/>
        <v>4</v>
      </c>
    </row>
    <row r="404" spans="1:45" x14ac:dyDescent="0.45">
      <c r="A404">
        <f>step3_validation[[#This Row],[AI_ENF1]]</f>
        <v>7</v>
      </c>
      <c r="B404">
        <f t="shared" si="162"/>
        <v>0.66666666666666663</v>
      </c>
      <c r="C404">
        <f>[1]!survey_responses[[#This Row],[Tôi tin rằng với các quy định quản lý thuế hiện nay, hành vi gian lận hoặc trốn thuế sẽ dễ dàng bị phát hiện và xử lý nghiêm. - HUMAN-ENF1]]</f>
        <v>7</v>
      </c>
      <c r="D404">
        <f t="shared" si="163"/>
        <v>0.66666666666666663</v>
      </c>
      <c r="E404">
        <f>step3_validation[[#This Row],[AI_ENF2]]</f>
        <v>8</v>
      </c>
      <c r="F404">
        <f t="shared" si="164"/>
        <v>0.77777777777777779</v>
      </c>
      <c r="G404">
        <f>[1]!survey_responses[[#This Row],[Tôi tin rằng Nhà nước, cơ quan thuế có đủ khả năng và công nghệ để phát hiện, xử lý nghiêm các hành vi trốn thuế. - HUMAN-ENF2]]</f>
        <v>7</v>
      </c>
      <c r="H404">
        <f t="shared" si="165"/>
        <v>0.66666666666666663</v>
      </c>
      <c r="I404" s="32">
        <f t="shared" si="166"/>
        <v>0.72222222222222221</v>
      </c>
      <c r="J404" s="32">
        <f t="shared" si="167"/>
        <v>0.66666666666666663</v>
      </c>
      <c r="K404">
        <f>step3_validation[[#This Row],[AI_FAC1]]</f>
        <v>6</v>
      </c>
      <c r="L404">
        <f t="shared" si="168"/>
        <v>0.55555555555555558</v>
      </c>
      <c r="M404">
        <f>[1]!survey_responses[[#This Row],[Các thủ tục khai báo thuế VÀ/HOẶC quy trình làm việc với cơ quan thuế đơn giản, tiện lợi, nhanh chóng hơn so với trước đây. - HUMAN-FAC1]]</f>
        <v>7</v>
      </c>
      <c r="N404">
        <f t="shared" si="169"/>
        <v>0.66666666666666663</v>
      </c>
      <c r="O404">
        <f>step3_validation[[#This Row],[AI_FAC2]]</f>
        <v>8</v>
      </c>
      <c r="P404">
        <f t="shared" si="170"/>
        <v>0.77777777777777779</v>
      </c>
      <c r="Q404">
        <f>[1]!survey_responses[[#This Row],[So với trước đây, tôi thấy cách tính thuế và các bậc thuế trong phương án mới đơn giản, dễ hiểu và dễ thực hiện hơn. - HUMAN-FAC2]]</f>
        <v>7</v>
      </c>
      <c r="R404">
        <f t="shared" si="171"/>
        <v>0.66666666666666663</v>
      </c>
      <c r="S404" s="32">
        <f t="shared" si="172"/>
        <v>0.66666666666666674</v>
      </c>
      <c r="T404" s="32">
        <f t="shared" si="173"/>
        <v>0.66666666666666663</v>
      </c>
      <c r="U404">
        <f>step3_validation[[#This Row],[AI_TRU1]]</f>
        <v>9</v>
      </c>
      <c r="V404">
        <f t="shared" si="174"/>
        <v>0.88888888888888884</v>
      </c>
      <c r="W404">
        <f>[1]!survey_responses[[#This Row],[Tôi tin rằng Nhà nước, cơ quan thuế sẽ thực thi chính sách mới một cách khách quan, công tâm và đối xử bình đẳng với mọi người nộp thuế.  - HUMAN-TRU1]]</f>
        <v>7</v>
      </c>
      <c r="X404">
        <f t="shared" si="175"/>
        <v>0.66666666666666663</v>
      </c>
      <c r="Y404">
        <f>step3_validation[[#This Row],[AI_TRU2]]</f>
        <v>7</v>
      </c>
      <c r="Z404">
        <f t="shared" si="176"/>
        <v>0.66666666666666663</v>
      </c>
      <c r="AA404">
        <f>[1]!survey_responses[[#This Row],[Tôi thấy mức thuế tôi phải đóng theo phương án mới là công bằng (người thu nhập như tôi đóng mức này là hợp lý). - HUMAN-TRU2]]</f>
        <v>7</v>
      </c>
      <c r="AB404">
        <f t="shared" si="177"/>
        <v>0.66666666666666663</v>
      </c>
      <c r="AC404">
        <f>step3_validation[[#This Row],[AI_TRU3]]</f>
        <v>8</v>
      </c>
      <c r="AD404">
        <f t="shared" si="178"/>
        <v>0.77777777777777779</v>
      </c>
      <c r="AE404">
        <f>[1]!survey_responses[[#This Row],[Tôi tin tưởng số tiền thuế tôi đóng sẽ được Nhà nước sử dụng hiệu quả để cải thiện dịch vụ công (y tế, đường xá...). - HUMAN-TRU3]]</f>
        <v>7</v>
      </c>
      <c r="AF404">
        <f t="shared" si="179"/>
        <v>0.66666666666666663</v>
      </c>
      <c r="AG404">
        <f>step3_validation[[#This Row],[AI_TRU4]]</f>
        <v>6</v>
      </c>
      <c r="AH404">
        <f t="shared" si="180"/>
        <v>0.55555555555555558</v>
      </c>
      <c r="AI404">
        <f>[1]!survey_responses[[#This Row],[Tôi thấy Nhà nước đã giải thích rõ ràng, minh bạch về lý do và mục tiêu của việc sửa đổi thuế lần này. - HUMAN-TRU4]]</f>
        <v>7</v>
      </c>
      <c r="AJ404">
        <f t="shared" si="181"/>
        <v>0.66666666666666663</v>
      </c>
      <c r="AK404" s="32">
        <f t="shared" si="182"/>
        <v>0.7222222222222221</v>
      </c>
      <c r="AL404" s="32">
        <f t="shared" si="183"/>
        <v>0.66666666666666663</v>
      </c>
      <c r="AM404" s="7">
        <f t="shared" si="184"/>
        <v>0.70370370370370361</v>
      </c>
      <c r="AN404" s="7">
        <f t="shared" si="185"/>
        <v>0.66666666666666663</v>
      </c>
      <c r="AO404">
        <f>step3_validation[[#This Row],[AI_OUT1]]</f>
        <v>9</v>
      </c>
      <c r="AP404">
        <f t="shared" si="186"/>
        <v>0.88888888888888884</v>
      </c>
      <c r="AQ404">
        <f>[1]!survey_responses[[#This Row],[Sau khi xem xét các quyền lợi và nghĩa vụ, bạn có ủng hộ và tuân thủ chính sách mới hiện nay? - HUMAN-OUT1]]</f>
        <v>7</v>
      </c>
      <c r="AR404">
        <f t="shared" si="187"/>
        <v>0.66666666666666663</v>
      </c>
      <c r="AS404" s="32">
        <f t="shared" si="188"/>
        <v>2</v>
      </c>
    </row>
    <row r="405" spans="1:45" x14ac:dyDescent="0.45">
      <c r="AM405" s="7">
        <f>AVERAGE(AM2:AM404)</f>
        <v>0.67900468706920225</v>
      </c>
      <c r="AN405" s="7">
        <f>AVERAGE(AN2:AN404)</f>
        <v>0.62937689550592735</v>
      </c>
      <c r="AP405" s="7">
        <f>AVERAGE(AP2:AP404)</f>
        <v>0.66418527708849984</v>
      </c>
      <c r="AR405" s="7">
        <f>AVERAGE(AR2:AR404)</f>
        <v>0.65977391783843187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BC802-9070-4B89-BC16-1C1442B8548F}">
  <dimension ref="A1:J79"/>
  <sheetViews>
    <sheetView tabSelected="1" workbookViewId="0">
      <selection activeCell="J79" sqref="A1:J79"/>
    </sheetView>
  </sheetViews>
  <sheetFormatPr defaultRowHeight="14.25" x14ac:dyDescent="0.45"/>
  <sheetData>
    <row r="1" spans="1:10" x14ac:dyDescent="0.45">
      <c r="A1" s="41" t="s">
        <v>13</v>
      </c>
      <c r="B1" s="41" t="s">
        <v>1</v>
      </c>
      <c r="C1" s="41" t="s">
        <v>2</v>
      </c>
      <c r="D1" s="41" t="s">
        <v>3</v>
      </c>
      <c r="E1" s="41">
        <f>SUM(E2:E3)</f>
        <v>403</v>
      </c>
      <c r="G1" s="41" t="s">
        <v>13</v>
      </c>
      <c r="H1" s="41" t="s">
        <v>1</v>
      </c>
      <c r="I1" s="41" t="s">
        <v>2</v>
      </c>
      <c r="J1" s="41" t="s">
        <v>3</v>
      </c>
    </row>
    <row r="2" spans="1:10" x14ac:dyDescent="0.45">
      <c r="A2" s="4" t="s">
        <v>76</v>
      </c>
      <c r="B2" s="4">
        <f>COUNTIFS(step3_combined_data!$R$2:$R$404,"Oppose", step3_combined_data!$K$2:$K$404,"Chính thức")</f>
        <v>5</v>
      </c>
      <c r="C2" s="4">
        <f>COUNTIFS(step3_combined_data!$R$2:$R$404,"Neutral", step3_combined_data!$K$2:$K$404,"Chính thức")</f>
        <v>265</v>
      </c>
      <c r="D2" s="4">
        <f>COUNTIFS(step3_combined_data!$R$2:$R$404,"Support", step3_combined_data!$K$2:$K$404,"Chính thức")</f>
        <v>107</v>
      </c>
      <c r="E2" s="4">
        <f>SUM(B2:D2)</f>
        <v>377</v>
      </c>
      <c r="G2" s="4" t="s">
        <v>76</v>
      </c>
      <c r="H2" s="42">
        <f>B2/E2</f>
        <v>1.3262599469496022E-2</v>
      </c>
      <c r="I2" s="42">
        <f>C2/E2</f>
        <v>0.70291777188328908</v>
      </c>
      <c r="J2" s="42">
        <f>D2/E2</f>
        <v>0.28381962864721483</v>
      </c>
    </row>
    <row r="3" spans="1:10" x14ac:dyDescent="0.45">
      <c r="A3" s="4" t="s">
        <v>161</v>
      </c>
      <c r="B3" s="4">
        <f>COUNTIFS(step3_combined_data!$R$2:$R$404,"Oppose", step3_combined_data!$K$2:$K$404,"Phi chính thức")</f>
        <v>0</v>
      </c>
      <c r="C3" s="4">
        <f>COUNTIFS(step3_combined_data!$R$2:$R$404,"Neutral", step3_combined_data!$K$2:$K$404,"Phi chính thức")</f>
        <v>21</v>
      </c>
      <c r="D3" s="4">
        <f>COUNTIFS(step3_combined_data!$R$2:$R$404,"Support", step3_combined_data!$K$2:$K$404,"Phi chính thức")</f>
        <v>5</v>
      </c>
      <c r="E3" s="4">
        <f>SUM(B3:D3)</f>
        <v>26</v>
      </c>
      <c r="G3" s="4" t="s">
        <v>161</v>
      </c>
      <c r="H3" s="42">
        <f>B3/E3</f>
        <v>0</v>
      </c>
      <c r="I3" s="42">
        <f>C3/E3</f>
        <v>0.80769230769230771</v>
      </c>
      <c r="J3" s="42">
        <f>D3/E3</f>
        <v>0.19230769230769232</v>
      </c>
    </row>
    <row r="5" spans="1:10" x14ac:dyDescent="0.45">
      <c r="A5" s="41" t="s">
        <v>14</v>
      </c>
      <c r="B5" s="41" t="s">
        <v>1</v>
      </c>
      <c r="C5" s="41" t="s">
        <v>2</v>
      </c>
      <c r="D5" s="41" t="s">
        <v>3</v>
      </c>
      <c r="E5" s="41">
        <f>SUM(E6:E7)</f>
        <v>403</v>
      </c>
      <c r="G5" s="41" t="s">
        <v>14</v>
      </c>
      <c r="H5" s="41" t="s">
        <v>1</v>
      </c>
      <c r="I5" s="41" t="s">
        <v>2</v>
      </c>
      <c r="J5" s="41" t="s">
        <v>3</v>
      </c>
    </row>
    <row r="6" spans="1:10" x14ac:dyDescent="0.45">
      <c r="A6" s="4" t="s">
        <v>76</v>
      </c>
      <c r="B6" s="4">
        <f>COUNTIFS(step3_combined_data!$W$2:$W$404,"Oppose", step3_combined_data!$K$2:$K$404,"Chính thức")</f>
        <v>0</v>
      </c>
      <c r="C6" s="4">
        <f>COUNTIFS(step3_combined_data!$W$2:$W$404,"Neutral", step3_combined_data!$K$2:$K$404,"Chính thức")</f>
        <v>214</v>
      </c>
      <c r="D6" s="4">
        <f>COUNTIFS(step3_combined_data!$W$2:$W$404,"Support", step3_combined_data!$K$2:$K$404,"Chính thức")</f>
        <v>163</v>
      </c>
      <c r="E6" s="4">
        <f>SUM(B6:D6)</f>
        <v>377</v>
      </c>
      <c r="G6" s="4" t="s">
        <v>76</v>
      </c>
      <c r="H6" s="42">
        <f>B6/E6</f>
        <v>0</v>
      </c>
      <c r="I6" s="42">
        <f>C6/E6</f>
        <v>0.56763925729442966</v>
      </c>
      <c r="J6" s="42">
        <f>D6/E6</f>
        <v>0.43236074270557029</v>
      </c>
    </row>
    <row r="7" spans="1:10" x14ac:dyDescent="0.45">
      <c r="A7" s="4" t="s">
        <v>161</v>
      </c>
      <c r="B7" s="4">
        <f>COUNTIFS(step3_combined_data!$W$2:$W$404,"Oppose", step3_combined_data!$K$2:$K$404,"Phi chính thức")</f>
        <v>0</v>
      </c>
      <c r="C7" s="4">
        <f>COUNTIFS(step3_combined_data!$W$2:$W$404,"Neutral", step3_combined_data!$K$2:$K$404,"Phi chính thức")</f>
        <v>17</v>
      </c>
      <c r="D7" s="4">
        <f>COUNTIFS(step3_combined_data!$W$2:$W$404,"Support", step3_combined_data!$K$2:$K$404,"Phi chính thức")</f>
        <v>9</v>
      </c>
      <c r="E7" s="4">
        <f>SUM(B7:D7)</f>
        <v>26</v>
      </c>
      <c r="G7" s="4" t="s">
        <v>161</v>
      </c>
      <c r="H7" s="42">
        <f>B7/E7</f>
        <v>0</v>
      </c>
      <c r="I7" s="42">
        <f>C7/E7</f>
        <v>0.65384615384615385</v>
      </c>
      <c r="J7" s="42">
        <f>D7/E7</f>
        <v>0.34615384615384615</v>
      </c>
    </row>
    <row r="9" spans="1:10" x14ac:dyDescent="0.45">
      <c r="A9" s="41" t="s">
        <v>15</v>
      </c>
      <c r="B9" s="41" t="s">
        <v>1</v>
      </c>
      <c r="C9" s="41" t="s">
        <v>2</v>
      </c>
      <c r="D9" s="41" t="s">
        <v>3</v>
      </c>
      <c r="E9" s="41">
        <f>SUM(E10:E11)</f>
        <v>403</v>
      </c>
      <c r="G9" s="41" t="s">
        <v>15</v>
      </c>
      <c r="H9" s="41" t="s">
        <v>1</v>
      </c>
      <c r="I9" s="41" t="s">
        <v>2</v>
      </c>
      <c r="J9" s="41" t="s">
        <v>3</v>
      </c>
    </row>
    <row r="10" spans="1:10" x14ac:dyDescent="0.45">
      <c r="A10" s="4" t="s">
        <v>76</v>
      </c>
      <c r="B10" s="4">
        <f>COUNTIFS(step3_combined_data!$AB$2:$AB$404,"Oppose", step3_combined_data!$K$2:$K$404,"Chính thức")</f>
        <v>6</v>
      </c>
      <c r="C10" s="4">
        <f>COUNTIFS(step3_combined_data!$AB$2:$AB$404,"Neutral", step3_combined_data!$K$2:$K$404,"Chính thức")</f>
        <v>135</v>
      </c>
      <c r="D10" s="4">
        <f>COUNTIFS(step3_combined_data!$AB$2:$AB$404,"Support", step3_combined_data!$K$2:$K$404,"Chính thức")</f>
        <v>236</v>
      </c>
      <c r="E10" s="4">
        <f>SUM(B10:D10)</f>
        <v>377</v>
      </c>
      <c r="G10" s="4" t="s">
        <v>76</v>
      </c>
      <c r="H10" s="42">
        <f>B10/E10</f>
        <v>1.5915119363395226E-2</v>
      </c>
      <c r="I10" s="42">
        <f>C10/E10</f>
        <v>0.35809018567639256</v>
      </c>
      <c r="J10" s="42">
        <f>D10/E10</f>
        <v>0.62599469496021221</v>
      </c>
    </row>
    <row r="11" spans="1:10" x14ac:dyDescent="0.45">
      <c r="A11" s="4" t="s">
        <v>161</v>
      </c>
      <c r="B11" s="4">
        <f>COUNTIFS(step3_combined_data!$AB$2:$AB$404,"Oppose", step3_combined_data!$K$2:$K$404,"Phi chính thức")</f>
        <v>0</v>
      </c>
      <c r="C11" s="4">
        <f>COUNTIFS(step3_combined_data!$AB$2:$AB$404,"Neutral", step3_combined_data!$K$2:$K$404,"Phi chính thức")</f>
        <v>13</v>
      </c>
      <c r="D11" s="4">
        <f>COUNTIFS(step3_combined_data!$AB$2:$AB$404,"Support", step3_combined_data!$K$2:$K$404,"Phi chính thức")</f>
        <v>13</v>
      </c>
      <c r="E11" s="4">
        <f>SUM(B11:D11)</f>
        <v>26</v>
      </c>
      <c r="G11" s="4" t="s">
        <v>161</v>
      </c>
      <c r="H11" s="42">
        <f>B11/E11</f>
        <v>0</v>
      </c>
      <c r="I11" s="42">
        <f>C11/E11</f>
        <v>0.5</v>
      </c>
      <c r="J11" s="42">
        <f>D11/E11</f>
        <v>0.5</v>
      </c>
    </row>
    <row r="13" spans="1:10" x14ac:dyDescent="0.45">
      <c r="A13" s="41" t="s">
        <v>16</v>
      </c>
      <c r="B13" s="41" t="s">
        <v>1</v>
      </c>
      <c r="C13" s="41" t="s">
        <v>2</v>
      </c>
      <c r="D13" s="41" t="s">
        <v>3</v>
      </c>
      <c r="E13" s="41">
        <f>SUM(E14:E19)</f>
        <v>403</v>
      </c>
      <c r="G13" s="41" t="s">
        <v>16</v>
      </c>
      <c r="H13" s="41" t="s">
        <v>1</v>
      </c>
      <c r="I13" s="41" t="s">
        <v>2</v>
      </c>
      <c r="J13" s="41" t="s">
        <v>3</v>
      </c>
    </row>
    <row r="14" spans="1:10" x14ac:dyDescent="0.45">
      <c r="A14" s="4" t="s">
        <v>188</v>
      </c>
      <c r="B14" s="4">
        <f>COUNTIFS(step3_combined_data!$AG$2:$AG$404,"Oppose", step3_combined_data!$E$2:$E$404,"18 - 24")</f>
        <v>0</v>
      </c>
      <c r="C14" s="4">
        <f>COUNTIFS(step3_combined_data!$AG$2:$AG$404,"Neutral", step3_combined_data!$E$2:$E$404,"18 - 24")</f>
        <v>16</v>
      </c>
      <c r="D14" s="4">
        <f>COUNTIFS(step3_combined_data!$AG$2:$AG$404,"Support", step3_combined_data!$E$2:$E$404,"18 - 24")</f>
        <v>39</v>
      </c>
      <c r="E14" s="4">
        <f>SUM(B14:D14)</f>
        <v>55</v>
      </c>
      <c r="G14" s="4" t="s">
        <v>188</v>
      </c>
      <c r="H14" s="43">
        <f t="shared" ref="H14:H19" si="0">B14/E14</f>
        <v>0</v>
      </c>
      <c r="I14" s="43">
        <f t="shared" ref="I14:I19" si="1">C14/E14</f>
        <v>0.29090909090909089</v>
      </c>
      <c r="J14" s="43">
        <f t="shared" ref="J14:J19" si="2">D14/E14</f>
        <v>0.70909090909090911</v>
      </c>
    </row>
    <row r="15" spans="1:10" x14ac:dyDescent="0.45">
      <c r="A15" s="4" t="s">
        <v>81</v>
      </c>
      <c r="B15" s="4">
        <f>COUNTIFS(step3_combined_data!$AG$2:$AG$404,"Oppose", step3_combined_data!$E$2:$E$404,"25 - 29")</f>
        <v>1</v>
      </c>
      <c r="C15" s="4">
        <f>COUNTIFS(step3_combined_data!$AG$2:$AG$404,"Neutral", step3_combined_data!$E$2:$E$404,"25 - 29")</f>
        <v>24</v>
      </c>
      <c r="D15" s="4">
        <f>COUNTIFS(step3_combined_data!$AG$2:$AG$404,"Support", step3_combined_data!$E$2:$E$404,"25 - 29")</f>
        <v>54</v>
      </c>
      <c r="E15" s="4">
        <f t="shared" ref="E15:E19" si="3">SUM(B15:D15)</f>
        <v>79</v>
      </c>
      <c r="G15" s="4" t="s">
        <v>81</v>
      </c>
      <c r="H15" s="43">
        <f t="shared" si="0"/>
        <v>1.2658227848101266E-2</v>
      </c>
      <c r="I15" s="43">
        <f t="shared" si="1"/>
        <v>0.30379746835443039</v>
      </c>
      <c r="J15" s="43">
        <f t="shared" si="2"/>
        <v>0.68354430379746833</v>
      </c>
    </row>
    <row r="16" spans="1:10" x14ac:dyDescent="0.45">
      <c r="A16" s="4" t="s">
        <v>73</v>
      </c>
      <c r="B16" s="4">
        <f>COUNTIFS(step3_combined_data!$AG$2:$AG$404,"Oppose", step3_combined_data!$E$2:$E$404,"30 - 39")</f>
        <v>0</v>
      </c>
      <c r="C16" s="4">
        <f>COUNTIFS(step3_combined_data!$AG$2:$AG$404,"Neutral", step3_combined_data!$E$2:$E$404,"30 - 39")</f>
        <v>47</v>
      </c>
      <c r="D16" s="4">
        <f>COUNTIFS(step3_combined_data!$AG$2:$AG$404,"Support", step3_combined_data!$E$2:$E$404,"30 - 39")</f>
        <v>85</v>
      </c>
      <c r="E16" s="4">
        <f t="shared" si="3"/>
        <v>132</v>
      </c>
      <c r="G16" s="4" t="s">
        <v>73</v>
      </c>
      <c r="H16" s="43">
        <f t="shared" si="0"/>
        <v>0</v>
      </c>
      <c r="I16" s="43">
        <f t="shared" si="1"/>
        <v>0.35606060606060608</v>
      </c>
      <c r="J16" s="43">
        <f t="shared" si="2"/>
        <v>0.64393939393939392</v>
      </c>
    </row>
    <row r="17" spans="1:10" x14ac:dyDescent="0.45">
      <c r="A17" s="4" t="s">
        <v>79</v>
      </c>
      <c r="B17" s="4">
        <f>COUNTIFS(step3_combined_data!$AG$2:$AG$404,"Oppose", step3_combined_data!$E$2:$E$404,"40 - 49")</f>
        <v>1</v>
      </c>
      <c r="C17" s="4">
        <f>COUNTIFS(step3_combined_data!$AG$2:$AG$404,"Neutral", step3_combined_data!$E$2:$E$404,"40 - 49")</f>
        <v>25</v>
      </c>
      <c r="D17" s="4">
        <f>COUNTIFS(step3_combined_data!$AG$2:$AG$404,"Support", step3_combined_data!$E$2:$E$404,"40 - 49")</f>
        <v>53</v>
      </c>
      <c r="E17" s="4">
        <f t="shared" si="3"/>
        <v>79</v>
      </c>
      <c r="G17" s="4" t="s">
        <v>79</v>
      </c>
      <c r="H17" s="43">
        <f t="shared" si="0"/>
        <v>1.2658227848101266E-2</v>
      </c>
      <c r="I17" s="43">
        <f t="shared" si="1"/>
        <v>0.31645569620253167</v>
      </c>
      <c r="J17" s="43">
        <f t="shared" si="2"/>
        <v>0.67088607594936711</v>
      </c>
    </row>
    <row r="18" spans="1:10" x14ac:dyDescent="0.45">
      <c r="A18" s="4" t="s">
        <v>190</v>
      </c>
      <c r="B18" s="4">
        <f>COUNTIFS(step3_combined_data!$AG$2:$AG$404,"Oppose", step3_combined_data!$E$2:$E$404,"50 - 54")</f>
        <v>1</v>
      </c>
      <c r="C18" s="4">
        <f>COUNTIFS(step3_combined_data!$AG$2:$AG$404,"Neutral", step3_combined_data!$E$2:$E$404,"50 - 54")</f>
        <v>11</v>
      </c>
      <c r="D18" s="4">
        <f>COUNTIFS(step3_combined_data!$AG$2:$AG$404,"Support", step3_combined_data!$E$2:$E$404,"50 - 54")</f>
        <v>19</v>
      </c>
      <c r="E18" s="4">
        <f t="shared" si="3"/>
        <v>31</v>
      </c>
      <c r="G18" s="4" t="s">
        <v>190</v>
      </c>
      <c r="H18" s="43">
        <f t="shared" si="0"/>
        <v>3.2258064516129031E-2</v>
      </c>
      <c r="I18" s="43">
        <f t="shared" si="1"/>
        <v>0.35483870967741937</v>
      </c>
      <c r="J18" s="43">
        <f t="shared" si="2"/>
        <v>0.61290322580645162</v>
      </c>
    </row>
    <row r="19" spans="1:10" x14ac:dyDescent="0.45">
      <c r="A19" s="4" t="s">
        <v>192</v>
      </c>
      <c r="B19" s="4">
        <f>COUNTIFS(step3_combined_data!$AG$2:$AG$404,"Oppose", step3_combined_data!$E$2:$E$404,"55 - 64")</f>
        <v>0</v>
      </c>
      <c r="C19" s="4">
        <f>COUNTIFS(step3_combined_data!$AG$2:$AG$404,"Neutral", step3_combined_data!$E$2:$E$404,"55 - 64")</f>
        <v>11</v>
      </c>
      <c r="D19" s="4">
        <f>COUNTIFS(step3_combined_data!$AG$2:$AG$404,"Support", step3_combined_data!$E$2:$E$404,"55 - 64")</f>
        <v>16</v>
      </c>
      <c r="E19" s="4">
        <f t="shared" si="3"/>
        <v>27</v>
      </c>
      <c r="G19" s="4" t="s">
        <v>192</v>
      </c>
      <c r="H19" s="43">
        <f t="shared" si="0"/>
        <v>0</v>
      </c>
      <c r="I19" s="43">
        <f t="shared" si="1"/>
        <v>0.40740740740740738</v>
      </c>
      <c r="J19" s="43">
        <f t="shared" si="2"/>
        <v>0.59259259259259256</v>
      </c>
    </row>
    <row r="21" spans="1:10" x14ac:dyDescent="0.45">
      <c r="A21" s="41" t="s">
        <v>17</v>
      </c>
      <c r="B21" s="41" t="s">
        <v>1</v>
      </c>
      <c r="C21" s="41" t="s">
        <v>2</v>
      </c>
      <c r="D21" s="41" t="s">
        <v>3</v>
      </c>
      <c r="E21" s="41">
        <f>SUM(E22:E27)</f>
        <v>403</v>
      </c>
      <c r="G21" s="41" t="s">
        <v>17</v>
      </c>
      <c r="H21" s="41" t="s">
        <v>1</v>
      </c>
      <c r="I21" s="41" t="s">
        <v>2</v>
      </c>
      <c r="J21" s="41" t="s">
        <v>3</v>
      </c>
    </row>
    <row r="22" spans="1:10" x14ac:dyDescent="0.45">
      <c r="A22" s="4" t="s">
        <v>188</v>
      </c>
      <c r="B22" s="4">
        <f>COUNTIFS(step3_combined_data!$AL$2:$AL$404,"Oppose", step3_combined_data!$E$2:$E$404,"18 - 24")</f>
        <v>1</v>
      </c>
      <c r="C22" s="4">
        <f>COUNTIFS(step3_combined_data!$AL$2:$AL$404,"Neutral", step3_combined_data!$E$2:$E$404,"18 - 24")</f>
        <v>32</v>
      </c>
      <c r="D22" s="4">
        <f>COUNTIFS(step3_combined_data!$AL$2:$AL$404,"Support", step3_combined_data!$E$2:$E$404,"18 - 24")</f>
        <v>22</v>
      </c>
      <c r="E22" s="4">
        <f>SUM(B22:D22)</f>
        <v>55</v>
      </c>
      <c r="G22" s="4" t="s">
        <v>188</v>
      </c>
      <c r="H22" s="43">
        <f t="shared" ref="H22:H27" si="4">B22/E22</f>
        <v>1.8181818181818181E-2</v>
      </c>
      <c r="I22" s="43">
        <f t="shared" ref="I22:I27" si="5">C22/E22</f>
        <v>0.58181818181818179</v>
      </c>
      <c r="J22" s="43">
        <f t="shared" ref="J22:J27" si="6">D22/E22</f>
        <v>0.4</v>
      </c>
    </row>
    <row r="23" spans="1:10" x14ac:dyDescent="0.45">
      <c r="A23" s="4" t="s">
        <v>81</v>
      </c>
      <c r="B23" s="4">
        <f>COUNTIFS(step3_combined_data!$AL$2:$AL$404,"Oppose", step3_combined_data!$E$2:$E$404,"25 - 29")</f>
        <v>1</v>
      </c>
      <c r="C23" s="4">
        <f>COUNTIFS(step3_combined_data!$AL$2:$AL$404,"Neutral", step3_combined_data!$E$2:$E$404,"25 - 29")</f>
        <v>52</v>
      </c>
      <c r="D23" s="4">
        <f>COUNTIFS(step3_combined_data!$AL$2:$AL$404,"Support", step3_combined_data!$E$2:$E$404,"25 - 29")</f>
        <v>26</v>
      </c>
      <c r="E23" s="4">
        <f t="shared" ref="E23:E27" si="7">SUM(B23:D23)</f>
        <v>79</v>
      </c>
      <c r="G23" s="4" t="s">
        <v>81</v>
      </c>
      <c r="H23" s="43">
        <f t="shared" si="4"/>
        <v>1.2658227848101266E-2</v>
      </c>
      <c r="I23" s="43">
        <f t="shared" si="5"/>
        <v>0.65822784810126578</v>
      </c>
      <c r="J23" s="43">
        <f t="shared" si="6"/>
        <v>0.32911392405063289</v>
      </c>
    </row>
    <row r="24" spans="1:10" x14ac:dyDescent="0.45">
      <c r="A24" s="4" t="s">
        <v>73</v>
      </c>
      <c r="B24" s="4">
        <f>COUNTIFS(step3_combined_data!$AL$2:$AL$404,"Oppose", step3_combined_data!$E$2:$E$404,"30 - 39")</f>
        <v>3</v>
      </c>
      <c r="C24" s="4">
        <f>COUNTIFS(step3_combined_data!$AL$2:$AL$404,"Neutral", step3_combined_data!$E$2:$E$404,"30 - 39")</f>
        <v>91</v>
      </c>
      <c r="D24" s="4">
        <f>COUNTIFS(step3_combined_data!$AL$2:$AL$404,"Support", step3_combined_data!$E$2:$E$404,"30 - 39")</f>
        <v>38</v>
      </c>
      <c r="E24" s="4">
        <f t="shared" si="7"/>
        <v>132</v>
      </c>
      <c r="G24" s="4" t="s">
        <v>73</v>
      </c>
      <c r="H24" s="43">
        <f t="shared" si="4"/>
        <v>2.2727272727272728E-2</v>
      </c>
      <c r="I24" s="43">
        <f t="shared" si="5"/>
        <v>0.68939393939393945</v>
      </c>
      <c r="J24" s="43">
        <f t="shared" si="6"/>
        <v>0.2878787878787879</v>
      </c>
    </row>
    <row r="25" spans="1:10" x14ac:dyDescent="0.45">
      <c r="A25" s="4" t="s">
        <v>79</v>
      </c>
      <c r="B25" s="4">
        <f>COUNTIFS(step3_combined_data!$AL$2:$AL$404,"Oppose", step3_combined_data!$E$2:$E$404,"40 - 49")</f>
        <v>3</v>
      </c>
      <c r="C25" s="4">
        <f>COUNTIFS(step3_combined_data!$AL$2:$AL$404,"Neutral", step3_combined_data!$E$2:$E$404,"40 - 49")</f>
        <v>48</v>
      </c>
      <c r="D25" s="4">
        <f>COUNTIFS(step3_combined_data!$AL$2:$AL$404,"Support", step3_combined_data!$E$2:$E$404,"40 - 49")</f>
        <v>28</v>
      </c>
      <c r="E25" s="4">
        <f t="shared" si="7"/>
        <v>79</v>
      </c>
      <c r="G25" s="4" t="s">
        <v>79</v>
      </c>
      <c r="H25" s="43">
        <f t="shared" si="4"/>
        <v>3.7974683544303799E-2</v>
      </c>
      <c r="I25" s="43">
        <f t="shared" si="5"/>
        <v>0.60759493670886078</v>
      </c>
      <c r="J25" s="43">
        <f t="shared" si="6"/>
        <v>0.35443037974683544</v>
      </c>
    </row>
    <row r="26" spans="1:10" x14ac:dyDescent="0.45">
      <c r="A26" s="4" t="s">
        <v>190</v>
      </c>
      <c r="B26" s="4">
        <f>COUNTIFS(step3_combined_data!$AL$2:$AL$404,"Oppose", step3_combined_data!$E$2:$E$404,"50 - 54")</f>
        <v>0</v>
      </c>
      <c r="C26" s="4">
        <f>COUNTIFS(step3_combined_data!$AL$2:$AL$404,"Neutral", step3_combined_data!$E$2:$E$404,"50 - 54")</f>
        <v>20</v>
      </c>
      <c r="D26" s="4">
        <f>COUNTIFS(step3_combined_data!$AL$2:$AL$404,"Support", step3_combined_data!$E$2:$E$404,"50 - 54")</f>
        <v>11</v>
      </c>
      <c r="E26" s="4">
        <f t="shared" si="7"/>
        <v>31</v>
      </c>
      <c r="G26" s="4" t="s">
        <v>190</v>
      </c>
      <c r="H26" s="43">
        <f t="shared" si="4"/>
        <v>0</v>
      </c>
      <c r="I26" s="43">
        <f t="shared" si="5"/>
        <v>0.64516129032258063</v>
      </c>
      <c r="J26" s="43">
        <f t="shared" si="6"/>
        <v>0.35483870967741937</v>
      </c>
    </row>
    <row r="27" spans="1:10" x14ac:dyDescent="0.45">
      <c r="A27" s="4" t="s">
        <v>192</v>
      </c>
      <c r="B27" s="4">
        <f>COUNTIFS(step3_combined_data!$AL$2:$AL$404,"Oppose", step3_combined_data!$E$2:$E$404,"55 - 64")</f>
        <v>1</v>
      </c>
      <c r="C27" s="4">
        <f>COUNTIFS(step3_combined_data!$AL$2:$AL$404,"Neutral", step3_combined_data!$E$2:$E$404,"55 - 64")</f>
        <v>18</v>
      </c>
      <c r="D27" s="4">
        <f>COUNTIFS(step3_combined_data!$AL$2:$AL$404,"Support", step3_combined_data!$E$2:$E$404,"55 - 64")</f>
        <v>8</v>
      </c>
      <c r="E27" s="4">
        <f t="shared" si="7"/>
        <v>27</v>
      </c>
      <c r="G27" s="4" t="s">
        <v>192</v>
      </c>
      <c r="H27" s="43">
        <f t="shared" si="4"/>
        <v>3.7037037037037035E-2</v>
      </c>
      <c r="I27" s="43">
        <f t="shared" si="5"/>
        <v>0.66666666666666663</v>
      </c>
      <c r="J27" s="43">
        <f t="shared" si="6"/>
        <v>0.29629629629629628</v>
      </c>
    </row>
    <row r="29" spans="1:10" x14ac:dyDescent="0.45">
      <c r="A29" s="41" t="s">
        <v>18</v>
      </c>
      <c r="B29" s="41" t="s">
        <v>1</v>
      </c>
      <c r="C29" s="41" t="s">
        <v>2</v>
      </c>
      <c r="D29" s="41" t="s">
        <v>3</v>
      </c>
      <c r="E29" s="41">
        <f>SUM(E30:E35)</f>
        <v>403</v>
      </c>
      <c r="G29" s="41" t="s">
        <v>18</v>
      </c>
      <c r="H29" s="41" t="s">
        <v>1</v>
      </c>
      <c r="I29" s="41" t="s">
        <v>2</v>
      </c>
      <c r="J29" s="41" t="s">
        <v>3</v>
      </c>
    </row>
    <row r="30" spans="1:10" x14ac:dyDescent="0.45">
      <c r="A30" s="4" t="s">
        <v>188</v>
      </c>
      <c r="B30" s="4">
        <f>COUNTIFS(step3_combined_data!$AQ$2:$AQ$404,"Oppose", step3_combined_data!$E$2:$E$404,"18 - 24")</f>
        <v>1</v>
      </c>
      <c r="C30" s="4">
        <f>COUNTIFS(step3_combined_data!$AQ$2:$AQ$404,"Neutral", step3_combined_data!$E$2:$E$404,"18 - 24")</f>
        <v>38</v>
      </c>
      <c r="D30" s="4">
        <f>COUNTIFS(step3_combined_data!$AQ$2:$AQ$404,"Support", step3_combined_data!$E$2:$E$404,"18 - 24")</f>
        <v>16</v>
      </c>
      <c r="E30" s="4">
        <f>SUM(B30:D30)</f>
        <v>55</v>
      </c>
      <c r="G30" s="4" t="s">
        <v>188</v>
      </c>
      <c r="H30" s="43">
        <f t="shared" ref="H30:H35" si="8">B30/E30</f>
        <v>1.8181818181818181E-2</v>
      </c>
      <c r="I30" s="43">
        <f t="shared" ref="I30:I35" si="9">C30/E30</f>
        <v>0.69090909090909092</v>
      </c>
      <c r="J30" s="43">
        <f t="shared" ref="J30:J35" si="10">D30/E30</f>
        <v>0.29090909090909089</v>
      </c>
    </row>
    <row r="31" spans="1:10" x14ac:dyDescent="0.45">
      <c r="A31" s="4" t="s">
        <v>81</v>
      </c>
      <c r="B31" s="4">
        <f>COUNTIFS(step3_combined_data!$AQ$2:$AQ$404,"Oppose", step3_combined_data!$E$2:$E$404,"25 - 29")</f>
        <v>1</v>
      </c>
      <c r="C31" s="4">
        <f>COUNTIFS(step3_combined_data!$AQ$2:$AQ$404,"Neutral", step3_combined_data!$E$2:$E$404,"25 - 29")</f>
        <v>54</v>
      </c>
      <c r="D31" s="4">
        <f>COUNTIFS(step3_combined_data!$AQ$2:$AQ$404,"Support", step3_combined_data!$E$2:$E$404,"25 - 29")</f>
        <v>24</v>
      </c>
      <c r="E31" s="4">
        <f t="shared" ref="E31:E35" si="11">SUM(B31:D31)</f>
        <v>79</v>
      </c>
      <c r="G31" s="4" t="s">
        <v>81</v>
      </c>
      <c r="H31" s="43">
        <f t="shared" si="8"/>
        <v>1.2658227848101266E-2</v>
      </c>
      <c r="I31" s="43">
        <f t="shared" si="9"/>
        <v>0.68354430379746833</v>
      </c>
      <c r="J31" s="43">
        <f t="shared" si="10"/>
        <v>0.30379746835443039</v>
      </c>
    </row>
    <row r="32" spans="1:10" x14ac:dyDescent="0.45">
      <c r="A32" s="4" t="s">
        <v>73</v>
      </c>
      <c r="B32" s="4">
        <f>COUNTIFS(step3_combined_data!$AQ$2:$AQ$404,"Oppose", step3_combined_data!$E$2:$E$404,"30 - 39")</f>
        <v>1</v>
      </c>
      <c r="C32" s="4">
        <f>COUNTIFS(step3_combined_data!$AQ$2:$AQ$404,"Neutral", step3_combined_data!$E$2:$E$404,"30 - 39")</f>
        <v>94</v>
      </c>
      <c r="D32" s="4">
        <f>COUNTIFS(step3_combined_data!$AQ$2:$AQ$404,"Support", step3_combined_data!$E$2:$E$404,"30 - 39")</f>
        <v>37</v>
      </c>
      <c r="E32" s="4">
        <f t="shared" si="11"/>
        <v>132</v>
      </c>
      <c r="G32" s="4" t="s">
        <v>73</v>
      </c>
      <c r="H32" s="43">
        <f t="shared" si="8"/>
        <v>7.575757575757576E-3</v>
      </c>
      <c r="I32" s="43">
        <f t="shared" si="9"/>
        <v>0.71212121212121215</v>
      </c>
      <c r="J32" s="43">
        <f t="shared" si="10"/>
        <v>0.28030303030303028</v>
      </c>
    </row>
    <row r="33" spans="1:10" x14ac:dyDescent="0.45">
      <c r="A33" s="4" t="s">
        <v>79</v>
      </c>
      <c r="B33" s="4">
        <f>COUNTIFS(step3_combined_data!$AQ$2:$AQ$404,"Oppose", step3_combined_data!$E$2:$E$404,"40 - 49")</f>
        <v>1</v>
      </c>
      <c r="C33" s="4">
        <f>COUNTIFS(step3_combined_data!$AQ$2:$AQ$404,"Neutral", step3_combined_data!$E$2:$E$404,"40 - 49")</f>
        <v>52</v>
      </c>
      <c r="D33" s="4">
        <f>COUNTIFS(step3_combined_data!$AQ$2:$AQ$404,"Support", step3_combined_data!$E$2:$E$404,"40 - 49")</f>
        <v>26</v>
      </c>
      <c r="E33" s="4">
        <f t="shared" si="11"/>
        <v>79</v>
      </c>
      <c r="G33" s="4" t="s">
        <v>79</v>
      </c>
      <c r="H33" s="43">
        <f t="shared" si="8"/>
        <v>1.2658227848101266E-2</v>
      </c>
      <c r="I33" s="43">
        <f t="shared" si="9"/>
        <v>0.65822784810126578</v>
      </c>
      <c r="J33" s="43">
        <f t="shared" si="10"/>
        <v>0.32911392405063289</v>
      </c>
    </row>
    <row r="34" spans="1:10" x14ac:dyDescent="0.45">
      <c r="A34" s="4" t="s">
        <v>190</v>
      </c>
      <c r="B34" s="4">
        <f>COUNTIFS(step3_combined_data!$AQ$2:$AQ$404,"Oppose", step3_combined_data!$E$2:$E$404,"50 - 54")</f>
        <v>1</v>
      </c>
      <c r="C34" s="4">
        <f>COUNTIFS(step3_combined_data!$AQ$2:$AQ$404,"Neutral", step3_combined_data!$E$2:$E$404,"50 - 54")</f>
        <v>20</v>
      </c>
      <c r="D34" s="4">
        <f>COUNTIFS(step3_combined_data!$AQ$2:$AQ$404,"Support", step3_combined_data!$E$2:$E$404,"50 - 54")</f>
        <v>10</v>
      </c>
      <c r="E34" s="4">
        <f t="shared" si="11"/>
        <v>31</v>
      </c>
      <c r="G34" s="4" t="s">
        <v>190</v>
      </c>
      <c r="H34" s="43">
        <f t="shared" si="8"/>
        <v>3.2258064516129031E-2</v>
      </c>
      <c r="I34" s="43">
        <f t="shared" si="9"/>
        <v>0.64516129032258063</v>
      </c>
      <c r="J34" s="43">
        <f t="shared" si="10"/>
        <v>0.32258064516129031</v>
      </c>
    </row>
    <row r="35" spans="1:10" x14ac:dyDescent="0.45">
      <c r="A35" s="4" t="s">
        <v>192</v>
      </c>
      <c r="B35" s="4">
        <f>COUNTIFS(step3_combined_data!$AQ$2:$AQ$404,"Oppose", step3_combined_data!$E$2:$E$404,"55 - 64")</f>
        <v>2</v>
      </c>
      <c r="C35" s="4">
        <f>COUNTIFS(step3_combined_data!$AQ$2:$AQ$404,"Neutral", step3_combined_data!$E$2:$E$404,"55 - 64")</f>
        <v>14</v>
      </c>
      <c r="D35" s="4">
        <f>COUNTIFS(step3_combined_data!$AQ$2:$AQ$404,"Support", step3_combined_data!$E$2:$E$404,"55 - 64")</f>
        <v>11</v>
      </c>
      <c r="E35" s="4">
        <f t="shared" si="11"/>
        <v>27</v>
      </c>
      <c r="G35" s="4" t="s">
        <v>192</v>
      </c>
      <c r="H35" s="43">
        <f t="shared" si="8"/>
        <v>7.407407407407407E-2</v>
      </c>
      <c r="I35" s="43">
        <f t="shared" si="9"/>
        <v>0.51851851851851849</v>
      </c>
      <c r="J35" s="43">
        <f t="shared" si="10"/>
        <v>0.40740740740740738</v>
      </c>
    </row>
    <row r="37" spans="1:10" x14ac:dyDescent="0.45">
      <c r="A37" s="41" t="s">
        <v>19</v>
      </c>
      <c r="B37" s="41" t="s">
        <v>1</v>
      </c>
      <c r="C37" s="41" t="s">
        <v>2</v>
      </c>
      <c r="D37" s="41" t="s">
        <v>3</v>
      </c>
      <c r="E37" s="41">
        <f>SUM(E38:E43)</f>
        <v>403</v>
      </c>
      <c r="G37" s="41" t="s">
        <v>19</v>
      </c>
      <c r="H37" s="41" t="s">
        <v>1</v>
      </c>
      <c r="I37" s="41" t="s">
        <v>2</v>
      </c>
      <c r="J37" s="41" t="s">
        <v>3</v>
      </c>
    </row>
    <row r="38" spans="1:10" x14ac:dyDescent="0.45">
      <c r="A38" s="4" t="s">
        <v>188</v>
      </c>
      <c r="B38" s="4">
        <f>COUNTIFS(step3_combined_data!$AV$2:$AV$404,"Oppose", step3_combined_data!$E$2:$E$404,"18 - 24")</f>
        <v>1</v>
      </c>
      <c r="C38" s="4">
        <f>COUNTIFS(step3_combined_data!$AV$2:$AV$404,"Neutral", step3_combined_data!$E$2:$E$404,"18 - 24")</f>
        <v>47</v>
      </c>
      <c r="D38" s="4">
        <f>COUNTIFS(step3_combined_data!$AV$2:$AV$404,"Support", step3_combined_data!$E$2:$E$404,"18 - 24")</f>
        <v>7</v>
      </c>
      <c r="E38" s="4">
        <f>SUM(B38:D38)</f>
        <v>55</v>
      </c>
      <c r="G38" s="4" t="s">
        <v>188</v>
      </c>
      <c r="H38" s="43">
        <f t="shared" ref="H38:H43" si="12">B38/E38</f>
        <v>1.8181818181818181E-2</v>
      </c>
      <c r="I38" s="43">
        <f t="shared" ref="I38:I43" si="13">C38/E38</f>
        <v>0.8545454545454545</v>
      </c>
      <c r="J38" s="43">
        <f t="shared" ref="J38:J43" si="14">D38/E38</f>
        <v>0.12727272727272726</v>
      </c>
    </row>
    <row r="39" spans="1:10" x14ac:dyDescent="0.45">
      <c r="A39" s="4" t="s">
        <v>81</v>
      </c>
      <c r="B39" s="4">
        <f>COUNTIFS(step3_combined_data!$AV$2:$AV$404,"Oppose", step3_combined_data!$E$2:$E$404,"25 - 29")</f>
        <v>4</v>
      </c>
      <c r="C39" s="4">
        <f>COUNTIFS(step3_combined_data!$AV$2:$AV$404,"Neutral", step3_combined_data!$E$2:$E$404,"25 - 29")</f>
        <v>58</v>
      </c>
      <c r="D39" s="4">
        <f>COUNTIFS(step3_combined_data!$AV$2:$AV$404,"Support", step3_combined_data!$E$2:$E$404,"25 - 29")</f>
        <v>17</v>
      </c>
      <c r="E39" s="4">
        <f t="shared" ref="E39:E43" si="15">SUM(B39:D39)</f>
        <v>79</v>
      </c>
      <c r="G39" s="4" t="s">
        <v>81</v>
      </c>
      <c r="H39" s="43">
        <f t="shared" si="12"/>
        <v>5.0632911392405063E-2</v>
      </c>
      <c r="I39" s="43">
        <f t="shared" si="13"/>
        <v>0.73417721518987344</v>
      </c>
      <c r="J39" s="43">
        <f t="shared" si="14"/>
        <v>0.21518987341772153</v>
      </c>
    </row>
    <row r="40" spans="1:10" x14ac:dyDescent="0.45">
      <c r="A40" s="4" t="s">
        <v>73</v>
      </c>
      <c r="B40" s="4">
        <f>COUNTIFS(step3_combined_data!$AV$2:$AV$404,"Oppose", step3_combined_data!$E$2:$E$404,"30 - 39")</f>
        <v>7</v>
      </c>
      <c r="C40" s="4">
        <f>COUNTIFS(step3_combined_data!$AV$2:$AV$404,"Neutral", step3_combined_data!$E$2:$E$404,"30 - 39")</f>
        <v>112</v>
      </c>
      <c r="D40" s="4">
        <f>COUNTIFS(step3_combined_data!$AV$2:$AV$404,"Support", step3_combined_data!$E$2:$E$404,"30 - 39")</f>
        <v>13</v>
      </c>
      <c r="E40" s="4">
        <f t="shared" si="15"/>
        <v>132</v>
      </c>
      <c r="G40" s="4" t="s">
        <v>73</v>
      </c>
      <c r="H40" s="43">
        <f t="shared" si="12"/>
        <v>5.3030303030303032E-2</v>
      </c>
      <c r="I40" s="43">
        <f t="shared" si="13"/>
        <v>0.84848484848484851</v>
      </c>
      <c r="J40" s="43">
        <f t="shared" si="14"/>
        <v>9.8484848484848481E-2</v>
      </c>
    </row>
    <row r="41" spans="1:10" x14ac:dyDescent="0.45">
      <c r="A41" s="4" t="s">
        <v>79</v>
      </c>
      <c r="B41" s="4">
        <f>COUNTIFS(step3_combined_data!$AV$2:$AV$404,"Oppose", step3_combined_data!$E$2:$E$404,"40 - 49")</f>
        <v>4</v>
      </c>
      <c r="C41" s="4">
        <f>COUNTIFS(step3_combined_data!$AV$2:$AV$404,"Neutral", step3_combined_data!$E$2:$E$404,"40 - 49")</f>
        <v>64</v>
      </c>
      <c r="D41" s="4">
        <f>COUNTIFS(step3_combined_data!$AV$2:$AV$404,"Support", step3_combined_data!$E$2:$E$404,"40 - 49")</f>
        <v>11</v>
      </c>
      <c r="E41" s="4">
        <f t="shared" si="15"/>
        <v>79</v>
      </c>
      <c r="G41" s="4" t="s">
        <v>79</v>
      </c>
      <c r="H41" s="43">
        <f t="shared" si="12"/>
        <v>5.0632911392405063E-2</v>
      </c>
      <c r="I41" s="43">
        <f t="shared" si="13"/>
        <v>0.810126582278481</v>
      </c>
      <c r="J41" s="43">
        <f t="shared" si="14"/>
        <v>0.13924050632911392</v>
      </c>
    </row>
    <row r="42" spans="1:10" x14ac:dyDescent="0.45">
      <c r="A42" s="4" t="s">
        <v>190</v>
      </c>
      <c r="B42" s="4">
        <f>COUNTIFS(step3_combined_data!$AV$2:$AV$404,"Oppose", step3_combined_data!$E$2:$E$404,"50 - 54")</f>
        <v>1</v>
      </c>
      <c r="C42" s="4">
        <f>COUNTIFS(step3_combined_data!$AV$2:$AV$404,"Neutral", step3_combined_data!$E$2:$E$404,"50 - 54")</f>
        <v>25</v>
      </c>
      <c r="D42" s="4">
        <f>COUNTIFS(step3_combined_data!$AV$2:$AV$404,"Support", step3_combined_data!$E$2:$E$404,"50 - 54")</f>
        <v>5</v>
      </c>
      <c r="E42" s="4">
        <f t="shared" si="15"/>
        <v>31</v>
      </c>
      <c r="G42" s="4" t="s">
        <v>190</v>
      </c>
      <c r="H42" s="43">
        <f t="shared" si="12"/>
        <v>3.2258064516129031E-2</v>
      </c>
      <c r="I42" s="43">
        <f t="shared" si="13"/>
        <v>0.80645161290322576</v>
      </c>
      <c r="J42" s="43">
        <f t="shared" si="14"/>
        <v>0.16129032258064516</v>
      </c>
    </row>
    <row r="43" spans="1:10" x14ac:dyDescent="0.45">
      <c r="A43" s="4" t="s">
        <v>192</v>
      </c>
      <c r="B43" s="4">
        <f>COUNTIFS(step3_combined_data!$AV$2:$AV$404,"Oppose", step3_combined_data!$E$2:$E$404,"55 - 64")</f>
        <v>0</v>
      </c>
      <c r="C43" s="4">
        <f>COUNTIFS(step3_combined_data!$AV$2:$AV$404,"Neutral", step3_combined_data!$E$2:$E$404,"55 - 64")</f>
        <v>23</v>
      </c>
      <c r="D43" s="4">
        <f>COUNTIFS(step3_combined_data!$AV$2:$AV$404,"Support", step3_combined_data!$E$2:$E$404,"55 - 64")</f>
        <v>4</v>
      </c>
      <c r="E43" s="4">
        <f t="shared" si="15"/>
        <v>27</v>
      </c>
      <c r="G43" s="4" t="s">
        <v>192</v>
      </c>
      <c r="H43" s="43">
        <f t="shared" si="12"/>
        <v>0</v>
      </c>
      <c r="I43" s="43">
        <f t="shared" si="13"/>
        <v>0.85185185185185186</v>
      </c>
      <c r="J43" s="43">
        <f t="shared" si="14"/>
        <v>0.14814814814814814</v>
      </c>
    </row>
    <row r="45" spans="1:10" x14ac:dyDescent="0.45">
      <c r="A45" s="41" t="s">
        <v>20</v>
      </c>
      <c r="B45" s="41" t="s">
        <v>1</v>
      </c>
      <c r="C45" s="41" t="s">
        <v>2</v>
      </c>
      <c r="D45" s="41" t="s">
        <v>3</v>
      </c>
      <c r="E45" s="41">
        <f>SUM(E46:E51)</f>
        <v>403</v>
      </c>
      <c r="G45" s="41" t="s">
        <v>20</v>
      </c>
      <c r="H45" s="41" t="s">
        <v>1</v>
      </c>
      <c r="I45" s="41" t="s">
        <v>2</v>
      </c>
      <c r="J45" s="41" t="s">
        <v>3</v>
      </c>
    </row>
    <row r="46" spans="1:10" x14ac:dyDescent="0.45">
      <c r="A46" s="4" t="s">
        <v>188</v>
      </c>
      <c r="B46" s="4">
        <f>COUNTIFS(step3_combined_data!$BA$2:$BA$404,"Oppose", step3_combined_data!$E$2:$E$404,"18 - 24")</f>
        <v>5</v>
      </c>
      <c r="C46" s="4">
        <f>COUNTIFS(step3_combined_data!$BA$2:$BA$404,"Neutral", step3_combined_data!$E$2:$E$404,"18 - 24")</f>
        <v>46</v>
      </c>
      <c r="D46" s="4">
        <f>COUNTIFS(step3_combined_data!$BA$2:$BA$404,"Support", step3_combined_data!$E$2:$E$404,"18 - 24")</f>
        <v>4</v>
      </c>
      <c r="E46" s="4">
        <f>SUM(B46:D46)</f>
        <v>55</v>
      </c>
      <c r="G46" s="4" t="s">
        <v>188</v>
      </c>
      <c r="H46" s="43">
        <f t="shared" ref="H46:H51" si="16">B46/E46</f>
        <v>9.0909090909090912E-2</v>
      </c>
      <c r="I46" s="43">
        <f t="shared" ref="I46:I51" si="17">C46/E46</f>
        <v>0.83636363636363631</v>
      </c>
      <c r="J46" s="43">
        <f t="shared" ref="J46:J51" si="18">D46/E46</f>
        <v>7.2727272727272724E-2</v>
      </c>
    </row>
    <row r="47" spans="1:10" x14ac:dyDescent="0.45">
      <c r="A47" s="4" t="s">
        <v>81</v>
      </c>
      <c r="B47" s="4">
        <f>COUNTIFS(step3_combined_data!$BA$2:$BA$404,"Oppose", step3_combined_data!$E$2:$E$404,"25 - 29")</f>
        <v>2</v>
      </c>
      <c r="C47" s="4">
        <f>COUNTIFS(step3_combined_data!$BA$2:$BA$404,"Neutral", step3_combined_data!$E$2:$E$404,"25 - 29")</f>
        <v>67</v>
      </c>
      <c r="D47" s="4">
        <f>COUNTIFS(step3_combined_data!$BA$2:$BA$404,"Support", step3_combined_data!$E$2:$E$404,"25 - 29")</f>
        <v>10</v>
      </c>
      <c r="E47" s="4">
        <f t="shared" ref="E47:E51" si="19">SUM(B47:D47)</f>
        <v>79</v>
      </c>
      <c r="G47" s="4" t="s">
        <v>81</v>
      </c>
      <c r="H47" s="43">
        <f t="shared" si="16"/>
        <v>2.5316455696202531E-2</v>
      </c>
      <c r="I47" s="43">
        <f t="shared" si="17"/>
        <v>0.84810126582278478</v>
      </c>
      <c r="J47" s="43">
        <f t="shared" si="18"/>
        <v>0.12658227848101267</v>
      </c>
    </row>
    <row r="48" spans="1:10" x14ac:dyDescent="0.45">
      <c r="A48" s="4" t="s">
        <v>73</v>
      </c>
      <c r="B48" s="4">
        <f>COUNTIFS(step3_combined_data!$BA$2:$BA$404,"Oppose", step3_combined_data!$E$2:$E$404,"30 - 39")</f>
        <v>2</v>
      </c>
      <c r="C48" s="4">
        <f>COUNTIFS(step3_combined_data!$BA$2:$BA$404,"Neutral", step3_combined_data!$E$2:$E$404,"30 - 39")</f>
        <v>122</v>
      </c>
      <c r="D48" s="4">
        <f>COUNTIFS(step3_combined_data!$BA$2:$BA$404,"Support", step3_combined_data!$E$2:$E$404,"30 - 39")</f>
        <v>8</v>
      </c>
      <c r="E48" s="4">
        <f t="shared" si="19"/>
        <v>132</v>
      </c>
      <c r="G48" s="4" t="s">
        <v>73</v>
      </c>
      <c r="H48" s="43">
        <f t="shared" si="16"/>
        <v>1.5151515151515152E-2</v>
      </c>
      <c r="I48" s="43">
        <f t="shared" si="17"/>
        <v>0.9242424242424242</v>
      </c>
      <c r="J48" s="43">
        <f t="shared" si="18"/>
        <v>6.0606060606060608E-2</v>
      </c>
    </row>
    <row r="49" spans="1:10" x14ac:dyDescent="0.45">
      <c r="A49" s="4" t="s">
        <v>79</v>
      </c>
      <c r="B49" s="4">
        <f>COUNTIFS(step3_combined_data!$BA$2:$BA$404,"Oppose", step3_combined_data!$E$2:$E$404,"40 - 49")</f>
        <v>5</v>
      </c>
      <c r="C49" s="4">
        <f>COUNTIFS(step3_combined_data!$BA$2:$BA$404,"Neutral", step3_combined_data!$E$2:$E$404,"40 - 49")</f>
        <v>67</v>
      </c>
      <c r="D49" s="4">
        <f>COUNTIFS(step3_combined_data!$BA$2:$BA$404,"Support", step3_combined_data!$E$2:$E$404,"40 - 49")</f>
        <v>7</v>
      </c>
      <c r="E49" s="4">
        <f t="shared" si="19"/>
        <v>79</v>
      </c>
      <c r="G49" s="4" t="s">
        <v>79</v>
      </c>
      <c r="H49" s="43">
        <f t="shared" si="16"/>
        <v>6.3291139240506333E-2</v>
      </c>
      <c r="I49" s="43">
        <f t="shared" si="17"/>
        <v>0.84810126582278478</v>
      </c>
      <c r="J49" s="43">
        <f t="shared" si="18"/>
        <v>8.8607594936708861E-2</v>
      </c>
    </row>
    <row r="50" spans="1:10" x14ac:dyDescent="0.45">
      <c r="A50" s="4" t="s">
        <v>190</v>
      </c>
      <c r="B50" s="4">
        <f>COUNTIFS(step3_combined_data!$BA$2:$BA$404,"Oppose", step3_combined_data!$E$2:$E$404,"50 - 54")</f>
        <v>3</v>
      </c>
      <c r="C50" s="4">
        <f>COUNTIFS(step3_combined_data!$BA$2:$BA$404,"Neutral", step3_combined_data!$E$2:$E$404,"50 - 54")</f>
        <v>25</v>
      </c>
      <c r="D50" s="4">
        <f>COUNTIFS(step3_combined_data!$BA$2:$BA$404,"Support", step3_combined_data!$E$2:$E$404,"50 - 54")</f>
        <v>3</v>
      </c>
      <c r="E50" s="4">
        <f t="shared" si="19"/>
        <v>31</v>
      </c>
      <c r="G50" s="4" t="s">
        <v>190</v>
      </c>
      <c r="H50" s="43">
        <f t="shared" si="16"/>
        <v>9.6774193548387094E-2</v>
      </c>
      <c r="I50" s="43">
        <f t="shared" si="17"/>
        <v>0.80645161290322576</v>
      </c>
      <c r="J50" s="43">
        <f t="shared" si="18"/>
        <v>9.6774193548387094E-2</v>
      </c>
    </row>
    <row r="51" spans="1:10" x14ac:dyDescent="0.45">
      <c r="A51" s="4" t="s">
        <v>192</v>
      </c>
      <c r="B51" s="4">
        <f>COUNTIFS(step3_combined_data!$BA$2:$BA$404,"Oppose", step3_combined_data!$E$2:$E$404,"55 - 64")</f>
        <v>3</v>
      </c>
      <c r="C51" s="4">
        <f>COUNTIFS(step3_combined_data!$BA$2:$BA$404,"Neutral", step3_combined_data!$E$2:$E$404,"55 - 64")</f>
        <v>20</v>
      </c>
      <c r="D51" s="4">
        <f>COUNTIFS(step3_combined_data!$BA$2:$BA$404,"Support", step3_combined_data!$E$2:$E$404,"55 - 64")</f>
        <v>4</v>
      </c>
      <c r="E51" s="4">
        <f t="shared" si="19"/>
        <v>27</v>
      </c>
      <c r="G51" s="4" t="s">
        <v>192</v>
      </c>
      <c r="H51" s="43">
        <f t="shared" si="16"/>
        <v>0.1111111111111111</v>
      </c>
      <c r="I51" s="43">
        <f t="shared" si="17"/>
        <v>0.7407407407407407</v>
      </c>
      <c r="J51" s="43">
        <f t="shared" si="18"/>
        <v>0.14814814814814814</v>
      </c>
    </row>
    <row r="53" spans="1:10" x14ac:dyDescent="0.45">
      <c r="A53" s="41" t="s">
        <v>18</v>
      </c>
      <c r="B53" s="41" t="s">
        <v>1</v>
      </c>
      <c r="C53" s="41" t="s">
        <v>2</v>
      </c>
      <c r="D53" s="41" t="s">
        <v>3</v>
      </c>
      <c r="E53" s="41">
        <f>SUM(E54:E61)</f>
        <v>403</v>
      </c>
      <c r="G53" s="41" t="s">
        <v>18</v>
      </c>
      <c r="H53" s="41" t="s">
        <v>1</v>
      </c>
      <c r="I53" s="41" t="s">
        <v>2</v>
      </c>
      <c r="J53" s="41" t="s">
        <v>3</v>
      </c>
    </row>
    <row r="54" spans="1:10" x14ac:dyDescent="0.45">
      <c r="A54" s="4" t="s">
        <v>193</v>
      </c>
      <c r="B54" s="4">
        <f>COUNTIFS(step3_combined_data!$AQ$2:$AQ$404,"Oppose", step3_combined_data!$N$2:$N$404,"Dưới 12 triệu VNĐ")</f>
        <v>1</v>
      </c>
      <c r="C54" s="4">
        <f>COUNTIFS(step3_combined_data!$AQ$2:$AQ$404,"Neutral", step3_combined_data!$N$2:$N$404,"Dưới 12 triệu VNĐ")</f>
        <v>27</v>
      </c>
      <c r="D54" s="4">
        <f>COUNTIFS(step3_combined_data!$AQ$2:$AQ$404,"Support", step3_combined_data!$N$2:$N$404,"Dưới 12 triệu VNĐ")</f>
        <v>13</v>
      </c>
      <c r="E54" s="4">
        <f>SUM(B54:D54)</f>
        <v>41</v>
      </c>
      <c r="G54" s="4" t="s">
        <v>193</v>
      </c>
      <c r="H54" s="43">
        <f t="shared" ref="H54:H61" si="20">B54/E54</f>
        <v>2.4390243902439025E-2</v>
      </c>
      <c r="I54" s="43">
        <f t="shared" ref="I54:I61" si="21">C54/E54</f>
        <v>0.65853658536585369</v>
      </c>
      <c r="J54" s="43">
        <f t="shared" ref="J54:J61" si="22">D54/E54</f>
        <v>0.31707317073170732</v>
      </c>
    </row>
    <row r="55" spans="1:10" x14ac:dyDescent="0.45">
      <c r="A55" s="4" t="s">
        <v>103</v>
      </c>
      <c r="B55" s="4">
        <f>COUNTIFS(step3_combined_data!$AQ$2:$AQ$404,"Oppose", step3_combined_data!$N$2:$N$404,"Từ 12 - 18 triệu VNĐ")</f>
        <v>1</v>
      </c>
      <c r="C55" s="4">
        <f>COUNTIFS(step3_combined_data!$AQ$2:$AQ$404,"Neutral", step3_combined_data!$N$2:$N$404,"Từ 12 - 18 triệu VNĐ")</f>
        <v>52</v>
      </c>
      <c r="D55" s="4">
        <f>COUNTIFS(step3_combined_data!$AQ$2:$AQ$404,"Support", step3_combined_data!$N$2:$N$404,"Từ 12 - 18 triệu VNĐ")</f>
        <v>26</v>
      </c>
      <c r="E55" s="4">
        <f t="shared" ref="E55:E61" si="23">SUM(B55:D55)</f>
        <v>79</v>
      </c>
      <c r="G55" s="4" t="s">
        <v>103</v>
      </c>
      <c r="H55" s="43">
        <f t="shared" si="20"/>
        <v>1.2658227848101266E-2</v>
      </c>
      <c r="I55" s="43">
        <f t="shared" si="21"/>
        <v>0.65822784810126578</v>
      </c>
      <c r="J55" s="43">
        <f t="shared" si="22"/>
        <v>0.32911392405063289</v>
      </c>
    </row>
    <row r="56" spans="1:10" x14ac:dyDescent="0.45">
      <c r="A56" s="4" t="s">
        <v>195</v>
      </c>
      <c r="B56" s="4">
        <f>COUNTIFS(step3_combined_data!$AQ$2:$AQ$404,"Oppose", step3_combined_data!$N$2:$N$404,"Từ 18 - 23 triệu VNĐ")</f>
        <v>1</v>
      </c>
      <c r="C56" s="4">
        <f>COUNTIFS(step3_combined_data!$AQ$2:$AQ$404,"Neutral", step3_combined_data!$N$2:$N$404,"Từ 18 - 23 triệu VNĐ")</f>
        <v>31</v>
      </c>
      <c r="D56" s="4">
        <f>COUNTIFS(step3_combined_data!$AQ$2:$AQ$404,"Support", step3_combined_data!$N$2:$N$404,"Từ 18 - 23 triệu VNĐ")</f>
        <v>9</v>
      </c>
      <c r="E56" s="4">
        <f t="shared" si="23"/>
        <v>41</v>
      </c>
      <c r="G56" s="4" t="s">
        <v>195</v>
      </c>
      <c r="H56" s="43">
        <f t="shared" si="20"/>
        <v>2.4390243902439025E-2</v>
      </c>
      <c r="I56" s="43">
        <f t="shared" si="21"/>
        <v>0.75609756097560976</v>
      </c>
      <c r="J56" s="43">
        <f t="shared" si="22"/>
        <v>0.21951219512195122</v>
      </c>
    </row>
    <row r="57" spans="1:10" x14ac:dyDescent="0.45">
      <c r="A57" s="4" t="s">
        <v>100</v>
      </c>
      <c r="B57" s="4">
        <f>COUNTIFS(step3_combined_data!$AQ$2:$AQ$404,"Oppose", step3_combined_data!$N$2:$N$404,"Từ 23 - 32 triệu VNĐ")</f>
        <v>1</v>
      </c>
      <c r="C57" s="4">
        <f>COUNTIFS(step3_combined_data!$AQ$2:$AQ$404,"Neutral", step3_combined_data!$N$2:$N$404,"Từ 23 - 32 triệu VNĐ")</f>
        <v>36</v>
      </c>
      <c r="D57" s="4">
        <f>COUNTIFS(step3_combined_data!$AQ$2:$AQ$404,"Support", step3_combined_data!$N$2:$N$404,"Từ 23 - 32 triệu VNĐ")</f>
        <v>16</v>
      </c>
      <c r="E57" s="4">
        <f t="shared" si="23"/>
        <v>53</v>
      </c>
      <c r="G57" s="4" t="s">
        <v>100</v>
      </c>
      <c r="H57" s="43">
        <f t="shared" si="20"/>
        <v>1.8867924528301886E-2</v>
      </c>
      <c r="I57" s="43">
        <f t="shared" si="21"/>
        <v>0.67924528301886788</v>
      </c>
      <c r="J57" s="43">
        <f t="shared" si="22"/>
        <v>0.30188679245283018</v>
      </c>
    </row>
    <row r="58" spans="1:10" x14ac:dyDescent="0.45">
      <c r="A58" s="4" t="s">
        <v>108</v>
      </c>
      <c r="B58" s="4">
        <f>COUNTIFS(step3_combined_data!$AQ$2:$AQ$404,"Oppose", step3_combined_data!$N$2:$N$404,"Từ 32 - 48 triệu VNĐ")</f>
        <v>2</v>
      </c>
      <c r="C58" s="4">
        <f>COUNTIFS(step3_combined_data!$AQ$2:$AQ$404,"Neutral", step3_combined_data!$N$2:$N$404,"Từ 32 - 48 triệu VNĐ")</f>
        <v>41</v>
      </c>
      <c r="D58" s="4">
        <f>COUNTIFS(step3_combined_data!$AQ$2:$AQ$404,"Support", step3_combined_data!$N$2:$N$404,"Từ 32 - 48 triệu VNĐ")</f>
        <v>10</v>
      </c>
      <c r="E58" s="4">
        <f t="shared" si="23"/>
        <v>53</v>
      </c>
      <c r="G58" s="4" t="s">
        <v>108</v>
      </c>
      <c r="H58" s="43">
        <f t="shared" si="20"/>
        <v>3.7735849056603772E-2</v>
      </c>
      <c r="I58" s="43">
        <f t="shared" si="21"/>
        <v>0.77358490566037741</v>
      </c>
      <c r="J58" s="43">
        <f t="shared" si="22"/>
        <v>0.18867924528301888</v>
      </c>
    </row>
    <row r="59" spans="1:10" x14ac:dyDescent="0.45">
      <c r="A59" s="4" t="s">
        <v>110</v>
      </c>
      <c r="B59" s="4">
        <f>COUNTIFS(step3_combined_data!$AQ$2:$AQ$404,"Oppose", step3_combined_data!$N$2:$N$404,"Từ 48 - 70 triệu VNĐ")</f>
        <v>0</v>
      </c>
      <c r="C59" s="4">
        <f>COUNTIFS(step3_combined_data!$AQ$2:$AQ$404,"Neutral", step3_combined_data!$N$2:$N$404,"Từ 48 - 70 triệu VNĐ")</f>
        <v>35</v>
      </c>
      <c r="D59" s="4">
        <f>COUNTIFS(step3_combined_data!$AQ$2:$AQ$404,"Support", step3_combined_data!$N$2:$N$404,"Từ 48 - 70 triệu VNĐ")</f>
        <v>27</v>
      </c>
      <c r="E59" s="4">
        <f t="shared" si="23"/>
        <v>62</v>
      </c>
      <c r="G59" s="4" t="s">
        <v>110</v>
      </c>
      <c r="H59" s="43">
        <f t="shared" si="20"/>
        <v>0</v>
      </c>
      <c r="I59" s="43">
        <f t="shared" si="21"/>
        <v>0.56451612903225812</v>
      </c>
      <c r="J59" s="43">
        <f t="shared" si="22"/>
        <v>0.43548387096774194</v>
      </c>
    </row>
    <row r="60" spans="1:10" x14ac:dyDescent="0.45">
      <c r="A60" s="4" t="s">
        <v>106</v>
      </c>
      <c r="B60" s="4">
        <f>COUNTIFS(step3_combined_data!$AQ$2:$AQ$404,"Oppose", step3_combined_data!$N$2:$N$404,"Từ 70 - 102 triệu VNĐ")</f>
        <v>0</v>
      </c>
      <c r="C60" s="4">
        <f>COUNTIFS(step3_combined_data!$AQ$2:$AQ$404,"Neutral", step3_combined_data!$N$2:$N$404,"Từ 70 - 102 triệu VNĐ")</f>
        <v>30</v>
      </c>
      <c r="D60" s="4">
        <f>COUNTIFS(step3_combined_data!$AQ$2:$AQ$404,"Support", step3_combined_data!$N$2:$N$404,"Từ 70 - 102 triệu VNĐ")</f>
        <v>9</v>
      </c>
      <c r="E60" s="4">
        <f t="shared" si="23"/>
        <v>39</v>
      </c>
      <c r="G60" s="4" t="s">
        <v>106</v>
      </c>
      <c r="H60" s="43">
        <f t="shared" si="20"/>
        <v>0</v>
      </c>
      <c r="I60" s="43">
        <f t="shared" si="21"/>
        <v>0.76923076923076927</v>
      </c>
      <c r="J60" s="43">
        <f t="shared" si="22"/>
        <v>0.23076923076923078</v>
      </c>
    </row>
    <row r="61" spans="1:10" x14ac:dyDescent="0.45">
      <c r="A61" s="4" t="s">
        <v>107</v>
      </c>
      <c r="B61" s="4">
        <f>COUNTIFS(step3_combined_data!$AQ$2:$AQ$404,"Oppose", step3_combined_data!$N$2:$N$404,"Trên 102 triệu VNĐ")</f>
        <v>1</v>
      </c>
      <c r="C61" s="4">
        <f>COUNTIFS(step3_combined_data!$AQ$2:$AQ$404,"Neutral", step3_combined_data!$N$2:$N$404,"Trên 102 triệu VNĐ")</f>
        <v>20</v>
      </c>
      <c r="D61" s="4">
        <f>COUNTIFS(step3_combined_data!$AQ$2:$AQ$404,"Support", step3_combined_data!$N$2:$N$404,"Trên 102 triệu VNĐ")</f>
        <v>14</v>
      </c>
      <c r="E61" s="4">
        <f t="shared" si="23"/>
        <v>35</v>
      </c>
      <c r="G61" s="4" t="s">
        <v>107</v>
      </c>
      <c r="H61" s="43">
        <f t="shared" si="20"/>
        <v>2.8571428571428571E-2</v>
      </c>
      <c r="I61" s="43">
        <f t="shared" si="21"/>
        <v>0.5714285714285714</v>
      </c>
      <c r="J61" s="43">
        <f t="shared" si="22"/>
        <v>0.4</v>
      </c>
    </row>
    <row r="63" spans="1:10" x14ac:dyDescent="0.45">
      <c r="A63" s="41" t="s">
        <v>19</v>
      </c>
      <c r="B63" s="41" t="s">
        <v>1</v>
      </c>
      <c r="C63" s="41" t="s">
        <v>2</v>
      </c>
      <c r="D63" s="41" t="s">
        <v>3</v>
      </c>
      <c r="E63" s="41">
        <f>SUM(E64:E71)</f>
        <v>403</v>
      </c>
      <c r="G63" s="41" t="s">
        <v>19</v>
      </c>
      <c r="H63" s="41" t="s">
        <v>1</v>
      </c>
      <c r="I63" s="41" t="s">
        <v>2</v>
      </c>
      <c r="J63" s="41" t="s">
        <v>3</v>
      </c>
    </row>
    <row r="64" spans="1:10" x14ac:dyDescent="0.45">
      <c r="A64" s="4" t="s">
        <v>193</v>
      </c>
      <c r="B64" s="4">
        <f>COUNTIFS(step3_combined_data!$AV$2:$AV$404,"Oppose", step3_combined_data!$N$2:$N$404,"Dưới 12 triệu VNĐ")</f>
        <v>1</v>
      </c>
      <c r="C64" s="4">
        <f>COUNTIFS(step3_combined_data!$AV$2:$AV$404,"Neutral", step3_combined_data!$N$2:$N$404,"Dưới 12 triệu VNĐ")</f>
        <v>37</v>
      </c>
      <c r="D64" s="4">
        <f>COUNTIFS(step3_combined_data!$AV$2:$AV$404,"Support", step3_combined_data!$N$2:$N$404,"Dưới 12 triệu VNĐ")</f>
        <v>3</v>
      </c>
      <c r="E64" s="4">
        <f>SUM(B64:D64)</f>
        <v>41</v>
      </c>
      <c r="G64" s="4" t="s">
        <v>193</v>
      </c>
      <c r="H64" s="43">
        <f t="shared" ref="H64:H71" si="24">B64/E64</f>
        <v>2.4390243902439025E-2</v>
      </c>
      <c r="I64" s="43">
        <f t="shared" ref="I64:I71" si="25">C64/E64</f>
        <v>0.90243902439024393</v>
      </c>
      <c r="J64" s="43">
        <f t="shared" ref="J64:J71" si="26">D64/E64</f>
        <v>7.3170731707317069E-2</v>
      </c>
    </row>
    <row r="65" spans="1:10" x14ac:dyDescent="0.45">
      <c r="A65" s="4" t="s">
        <v>103</v>
      </c>
      <c r="B65" s="4">
        <f>COUNTIFS(step3_combined_data!$AV$2:$AV$404,"Oppose", step3_combined_data!$N$2:$N$404,"Từ 12 - 18 triệu VNĐ")</f>
        <v>3</v>
      </c>
      <c r="C65" s="4">
        <f>COUNTIFS(step3_combined_data!$AV$2:$AV$404,"Neutral", step3_combined_data!$N$2:$N$404,"Từ 12 - 18 triệu VNĐ")</f>
        <v>67</v>
      </c>
      <c r="D65" s="4">
        <f>COUNTIFS(step3_combined_data!$AV$2:$AV$404,"Support", step3_combined_data!$N$2:$N$404,"Từ 12 - 18 triệu VNĐ")</f>
        <v>9</v>
      </c>
      <c r="E65" s="4">
        <f t="shared" ref="E65:E71" si="27">SUM(B65:D65)</f>
        <v>79</v>
      </c>
      <c r="G65" s="4" t="s">
        <v>103</v>
      </c>
      <c r="H65" s="43">
        <f t="shared" si="24"/>
        <v>3.7974683544303799E-2</v>
      </c>
      <c r="I65" s="43">
        <f t="shared" si="25"/>
        <v>0.84810126582278478</v>
      </c>
      <c r="J65" s="43">
        <f t="shared" si="26"/>
        <v>0.11392405063291139</v>
      </c>
    </row>
    <row r="66" spans="1:10" x14ac:dyDescent="0.45">
      <c r="A66" s="4" t="s">
        <v>195</v>
      </c>
      <c r="B66" s="4">
        <f>COUNTIFS(step3_combined_data!$AV$2:$AV$404,"Oppose", step3_combined_data!$N$2:$N$404,"Từ 18 - 23 triệu VNĐ")</f>
        <v>2</v>
      </c>
      <c r="C66" s="4">
        <f>COUNTIFS(step3_combined_data!$AV$2:$AV$404,"Neutral", step3_combined_data!$N$2:$N$404,"Từ 18 - 23 triệu VNĐ")</f>
        <v>31</v>
      </c>
      <c r="D66" s="4">
        <f>COUNTIFS(step3_combined_data!$AV$2:$AV$404,"Support", step3_combined_data!$N$2:$N$404,"Từ 18 - 23 triệu VNĐ")</f>
        <v>8</v>
      </c>
      <c r="E66" s="4">
        <f t="shared" si="27"/>
        <v>41</v>
      </c>
      <c r="G66" s="4" t="s">
        <v>195</v>
      </c>
      <c r="H66" s="43">
        <f t="shared" si="24"/>
        <v>4.878048780487805E-2</v>
      </c>
      <c r="I66" s="43">
        <f t="shared" si="25"/>
        <v>0.75609756097560976</v>
      </c>
      <c r="J66" s="43">
        <f t="shared" si="26"/>
        <v>0.1951219512195122</v>
      </c>
    </row>
    <row r="67" spans="1:10" x14ac:dyDescent="0.45">
      <c r="A67" s="4" t="s">
        <v>100</v>
      </c>
      <c r="B67" s="4">
        <f>COUNTIFS(step3_combined_data!$AV$2:$AV$404,"Oppose", step3_combined_data!$N$2:$N$404,"Từ 23 - 32 triệu VNĐ")</f>
        <v>3</v>
      </c>
      <c r="C67" s="4">
        <f>COUNTIFS(step3_combined_data!$AV$2:$AV$404,"Neutral", step3_combined_data!$N$2:$N$404,"Từ 23 - 32 triệu VNĐ")</f>
        <v>42</v>
      </c>
      <c r="D67" s="4">
        <f>COUNTIFS(step3_combined_data!$AV$2:$AV$404,"Support", step3_combined_data!$N$2:$N$404,"Từ 23 - 32 triệu VNĐ")</f>
        <v>8</v>
      </c>
      <c r="E67" s="4">
        <f t="shared" si="27"/>
        <v>53</v>
      </c>
      <c r="G67" s="4" t="s">
        <v>100</v>
      </c>
      <c r="H67" s="43">
        <f t="shared" si="24"/>
        <v>5.6603773584905662E-2</v>
      </c>
      <c r="I67" s="43">
        <f t="shared" si="25"/>
        <v>0.79245283018867929</v>
      </c>
      <c r="J67" s="43">
        <f t="shared" si="26"/>
        <v>0.15094339622641509</v>
      </c>
    </row>
    <row r="68" spans="1:10" x14ac:dyDescent="0.45">
      <c r="A68" s="4" t="s">
        <v>108</v>
      </c>
      <c r="B68" s="4">
        <f>COUNTIFS(step3_combined_data!$AV$2:$AV$404,"Oppose", step3_combined_data!$N$2:$N$404,"Từ 32 - 48 triệu VNĐ")</f>
        <v>5</v>
      </c>
      <c r="C68" s="4">
        <f>COUNTIFS(step3_combined_data!$AV$2:$AV$404,"Neutral", step3_combined_data!$N$2:$N$404,"Từ 32 - 48 triệu VNĐ")</f>
        <v>43</v>
      </c>
      <c r="D68" s="4">
        <f>COUNTIFS(step3_combined_data!$AV$2:$AV$404,"Support", step3_combined_data!$N$2:$N$404,"Từ 32 - 48 triệu VNĐ")</f>
        <v>5</v>
      </c>
      <c r="E68" s="4">
        <f t="shared" si="27"/>
        <v>53</v>
      </c>
      <c r="G68" s="4" t="s">
        <v>108</v>
      </c>
      <c r="H68" s="43">
        <f t="shared" si="24"/>
        <v>9.4339622641509441E-2</v>
      </c>
      <c r="I68" s="43">
        <f t="shared" si="25"/>
        <v>0.81132075471698117</v>
      </c>
      <c r="J68" s="43">
        <f t="shared" si="26"/>
        <v>9.4339622641509441E-2</v>
      </c>
    </row>
    <row r="69" spans="1:10" x14ac:dyDescent="0.45">
      <c r="A69" s="4" t="s">
        <v>110</v>
      </c>
      <c r="B69" s="4">
        <f>COUNTIFS(step3_combined_data!$AV$2:$AV$404,"Oppose", step3_combined_data!$N$2:$N$404,"Từ 48 - 70 triệu VNĐ")</f>
        <v>1</v>
      </c>
      <c r="C69" s="4">
        <f>COUNTIFS(step3_combined_data!$AV$2:$AV$404,"Neutral", step3_combined_data!$N$2:$N$404,"Từ 48 - 70 triệu VNĐ")</f>
        <v>50</v>
      </c>
      <c r="D69" s="4">
        <f>COUNTIFS(step3_combined_data!$AV$2:$AV$404,"Support", step3_combined_data!$N$2:$N$404,"Từ 48 - 70 triệu VNĐ")</f>
        <v>11</v>
      </c>
      <c r="E69" s="4">
        <f t="shared" si="27"/>
        <v>62</v>
      </c>
      <c r="G69" s="4" t="s">
        <v>110</v>
      </c>
      <c r="H69" s="43">
        <f t="shared" si="24"/>
        <v>1.6129032258064516E-2</v>
      </c>
      <c r="I69" s="43">
        <f t="shared" si="25"/>
        <v>0.80645161290322576</v>
      </c>
      <c r="J69" s="43">
        <f t="shared" si="26"/>
        <v>0.17741935483870969</v>
      </c>
    </row>
    <row r="70" spans="1:10" x14ac:dyDescent="0.45">
      <c r="A70" s="4" t="s">
        <v>106</v>
      </c>
      <c r="B70" s="4">
        <f>COUNTIFS(step3_combined_data!$AV$2:$AV$404,"Oppose", step3_combined_data!$N$2:$N$404,"Từ 70 - 102 triệu VNĐ")</f>
        <v>0</v>
      </c>
      <c r="C70" s="4">
        <f>COUNTIFS(step3_combined_data!$AV$2:$AV$404,"Neutral", step3_combined_data!$N$2:$N$404,"Từ 70 - 102 triệu VNĐ")</f>
        <v>34</v>
      </c>
      <c r="D70" s="4">
        <f>COUNTIFS(step3_combined_data!$AV$2:$AV$404,"Support", step3_combined_data!$N$2:$N$404,"Từ 70 - 102 triệu VNĐ")</f>
        <v>5</v>
      </c>
      <c r="E70" s="4">
        <f t="shared" si="27"/>
        <v>39</v>
      </c>
      <c r="G70" s="4" t="s">
        <v>106</v>
      </c>
      <c r="H70" s="43">
        <f t="shared" si="24"/>
        <v>0</v>
      </c>
      <c r="I70" s="43">
        <f t="shared" si="25"/>
        <v>0.87179487179487181</v>
      </c>
      <c r="J70" s="43">
        <f t="shared" si="26"/>
        <v>0.12820512820512819</v>
      </c>
    </row>
    <row r="71" spans="1:10" x14ac:dyDescent="0.45">
      <c r="A71" s="4" t="s">
        <v>107</v>
      </c>
      <c r="B71" s="4">
        <f>COUNTIFS(step3_combined_data!$AV$2:$AV$404,"Oppose", step3_combined_data!$N$2:$N$404,"Trên 102 triệu VNĐ")</f>
        <v>2</v>
      </c>
      <c r="C71" s="4">
        <f>COUNTIFS(step3_combined_data!$AV$2:$AV$404,"Neutral", step3_combined_data!$N$2:$N$404,"Trên 102 triệu VNĐ")</f>
        <v>25</v>
      </c>
      <c r="D71" s="4">
        <f>COUNTIFS(step3_combined_data!$AV$2:$AV$404,"Support", step3_combined_data!$N$2:$N$404,"Trên 102 triệu VNĐ")</f>
        <v>8</v>
      </c>
      <c r="E71" s="4">
        <f t="shared" si="27"/>
        <v>35</v>
      </c>
      <c r="G71" s="4" t="s">
        <v>107</v>
      </c>
      <c r="H71" s="43">
        <f t="shared" si="24"/>
        <v>5.7142857142857141E-2</v>
      </c>
      <c r="I71" s="43">
        <f t="shared" si="25"/>
        <v>0.7142857142857143</v>
      </c>
      <c r="J71" s="43">
        <f t="shared" si="26"/>
        <v>0.22857142857142856</v>
      </c>
    </row>
    <row r="73" spans="1:10" x14ac:dyDescent="0.45">
      <c r="A73" s="41" t="s">
        <v>3833</v>
      </c>
      <c r="B73" s="41" t="s">
        <v>1</v>
      </c>
      <c r="C73" s="41" t="s">
        <v>2</v>
      </c>
      <c r="D73" s="41" t="s">
        <v>3</v>
      </c>
      <c r="E73" s="41">
        <f>SUM(E74:E79)</f>
        <v>402</v>
      </c>
      <c r="G73" s="41" t="s">
        <v>3833</v>
      </c>
      <c r="H73" s="41" t="s">
        <v>1</v>
      </c>
      <c r="I73" s="41" t="s">
        <v>2</v>
      </c>
      <c r="J73" s="41" t="s">
        <v>3</v>
      </c>
    </row>
    <row r="74" spans="1:10" x14ac:dyDescent="0.45">
      <c r="A74" s="4" t="s">
        <v>188</v>
      </c>
      <c r="B74" s="4">
        <f>COUNTIFS(step3_combined_data!$BF$2:$BF$404,"Oppose", step3_combined_data!$E$2:$E$404,"18 - 24")</f>
        <v>3</v>
      </c>
      <c r="C74" s="4">
        <f>COUNTIFS(step3_combined_data!$BF$2:$BF$404,"Neutral", step3_combined_data!$E$2:$E$404,"18 - 24")</f>
        <v>32</v>
      </c>
      <c r="D74" s="4">
        <f>COUNTIFS(step3_combined_data!$BF$2:$BF$404,"Support", step3_combined_data!$E$2:$E$404,"18 - 24")</f>
        <v>19</v>
      </c>
      <c r="E74" s="4">
        <f>SUM(B74:D74)</f>
        <v>54</v>
      </c>
      <c r="G74" s="4" t="s">
        <v>188</v>
      </c>
      <c r="H74" s="43">
        <f t="shared" ref="H74:H79" si="28">B74/E74</f>
        <v>5.5555555555555552E-2</v>
      </c>
      <c r="I74" s="43">
        <f t="shared" ref="I74:I79" si="29">C74/E74</f>
        <v>0.59259259259259256</v>
      </c>
      <c r="J74" s="43">
        <f t="shared" ref="J74:J79" si="30">D74/E74</f>
        <v>0.35185185185185186</v>
      </c>
    </row>
    <row r="75" spans="1:10" x14ac:dyDescent="0.45">
      <c r="A75" s="4" t="s">
        <v>81</v>
      </c>
      <c r="B75" s="4">
        <f>COUNTIFS(step3_combined_data!$BF$2:$BF$404,"Oppose", step3_combined_data!$E$2:$E$404,"25 - 29")</f>
        <v>0</v>
      </c>
      <c r="C75" s="4">
        <f>COUNTIFS(step3_combined_data!$BF$2:$BF$404,"Neutral", step3_combined_data!$E$2:$E$404,"25 - 29")</f>
        <v>46</v>
      </c>
      <c r="D75" s="4">
        <f>COUNTIFS(step3_combined_data!$BF$2:$BF$404,"Support", step3_combined_data!$E$2:$E$404,"25 - 29")</f>
        <v>33</v>
      </c>
      <c r="E75" s="4">
        <f t="shared" ref="E75:E79" si="31">SUM(B75:D75)</f>
        <v>79</v>
      </c>
      <c r="G75" s="4" t="s">
        <v>81</v>
      </c>
      <c r="H75" s="43">
        <f t="shared" si="28"/>
        <v>0</v>
      </c>
      <c r="I75" s="43">
        <f t="shared" si="29"/>
        <v>0.58227848101265822</v>
      </c>
      <c r="J75" s="43">
        <f t="shared" si="30"/>
        <v>0.41772151898734178</v>
      </c>
    </row>
    <row r="76" spans="1:10" x14ac:dyDescent="0.45">
      <c r="A76" s="4" t="s">
        <v>73</v>
      </c>
      <c r="B76" s="4">
        <f>COUNTIFS(step3_combined_data!$BF$2:$BF$404,"Oppose", step3_combined_data!$E$2:$E$404,"30 - 39")</f>
        <v>5</v>
      </c>
      <c r="C76" s="4">
        <f>COUNTIFS(step3_combined_data!$BF$2:$BF$404,"Neutral", step3_combined_data!$E$2:$E$404,"30 - 39")</f>
        <v>90</v>
      </c>
      <c r="D76" s="4">
        <f>COUNTIFS(step3_combined_data!$BF$2:$BF$404,"Support", step3_combined_data!$E$2:$E$404,"30 - 39")</f>
        <v>37</v>
      </c>
      <c r="E76" s="4">
        <f t="shared" si="31"/>
        <v>132</v>
      </c>
      <c r="G76" s="4" t="s">
        <v>73</v>
      </c>
      <c r="H76" s="43">
        <f t="shared" si="28"/>
        <v>3.787878787878788E-2</v>
      </c>
      <c r="I76" s="43">
        <f t="shared" si="29"/>
        <v>0.68181818181818177</v>
      </c>
      <c r="J76" s="43">
        <f t="shared" si="30"/>
        <v>0.28030303030303028</v>
      </c>
    </row>
    <row r="77" spans="1:10" x14ac:dyDescent="0.45">
      <c r="A77" s="4" t="s">
        <v>79</v>
      </c>
      <c r="B77" s="4">
        <f>COUNTIFS(step3_combined_data!$BF$2:$BF$404,"Oppose", step3_combined_data!$E$2:$E$404,"40 - 49")</f>
        <v>1</v>
      </c>
      <c r="C77" s="4">
        <f>COUNTIFS(step3_combined_data!$BF$2:$BF$404,"Neutral", step3_combined_data!$E$2:$E$404,"40 - 49")</f>
        <v>53</v>
      </c>
      <c r="D77" s="4">
        <f>COUNTIFS(step3_combined_data!$BF$2:$BF$404,"Support", step3_combined_data!$E$2:$E$404,"40 - 49")</f>
        <v>25</v>
      </c>
      <c r="E77" s="4">
        <f t="shared" si="31"/>
        <v>79</v>
      </c>
      <c r="G77" s="4" t="s">
        <v>79</v>
      </c>
      <c r="H77" s="43">
        <f t="shared" si="28"/>
        <v>1.2658227848101266E-2</v>
      </c>
      <c r="I77" s="43">
        <f t="shared" si="29"/>
        <v>0.67088607594936711</v>
      </c>
      <c r="J77" s="43">
        <f t="shared" si="30"/>
        <v>0.31645569620253167</v>
      </c>
    </row>
    <row r="78" spans="1:10" x14ac:dyDescent="0.45">
      <c r="A78" s="4" t="s">
        <v>190</v>
      </c>
      <c r="B78" s="4">
        <f>COUNTIFS(step3_combined_data!$BF$2:$BF$404,"Oppose", step3_combined_data!$E$2:$E$404,"50 - 54")</f>
        <v>1</v>
      </c>
      <c r="C78" s="4">
        <f>COUNTIFS(step3_combined_data!$BF$2:$BF$404,"Neutral", step3_combined_data!$E$2:$E$404,"50 - 54")</f>
        <v>20</v>
      </c>
      <c r="D78" s="4">
        <f>COUNTIFS(step3_combined_data!$BF$2:$BF$404,"Support", step3_combined_data!$E$2:$E$404,"50 - 54")</f>
        <v>10</v>
      </c>
      <c r="E78" s="4">
        <f t="shared" si="31"/>
        <v>31</v>
      </c>
      <c r="G78" s="4" t="s">
        <v>190</v>
      </c>
      <c r="H78" s="43">
        <f t="shared" si="28"/>
        <v>3.2258064516129031E-2</v>
      </c>
      <c r="I78" s="43">
        <f t="shared" si="29"/>
        <v>0.64516129032258063</v>
      </c>
      <c r="J78" s="43">
        <f t="shared" si="30"/>
        <v>0.32258064516129031</v>
      </c>
    </row>
    <row r="79" spans="1:10" x14ac:dyDescent="0.45">
      <c r="A79" s="4" t="s">
        <v>192</v>
      </c>
      <c r="B79" s="4">
        <f>COUNTIFS(step3_combined_data!$BF$2:$BF$404,"Oppose", step3_combined_data!$E$2:$E$404,"55 - 64")</f>
        <v>0</v>
      </c>
      <c r="C79" s="4">
        <f>COUNTIFS(step3_combined_data!$BF$2:$BF$404,"Neutral", step3_combined_data!$E$2:$E$404,"55 - 64")</f>
        <v>18</v>
      </c>
      <c r="D79" s="4">
        <f>COUNTIFS(step3_combined_data!$BF$2:$BF$404,"Support", step3_combined_data!$E$2:$E$404,"55 - 64")</f>
        <v>9</v>
      </c>
      <c r="E79" s="4">
        <f t="shared" si="31"/>
        <v>27</v>
      </c>
      <c r="G79" s="4" t="s">
        <v>192</v>
      </c>
      <c r="H79" s="43">
        <f t="shared" si="28"/>
        <v>0</v>
      </c>
      <c r="I79" s="43">
        <f t="shared" si="29"/>
        <v>0.66666666666666663</v>
      </c>
      <c r="J79" s="43">
        <f t="shared" si="30"/>
        <v>0.33333333333333331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9FE0A-9457-4FC2-AF15-C2F30908F43C}">
  <dimension ref="A1:AA405"/>
  <sheetViews>
    <sheetView topLeftCell="H1" workbookViewId="0">
      <selection activeCell="N32" sqref="N32"/>
    </sheetView>
  </sheetViews>
  <sheetFormatPr defaultRowHeight="14.25" x14ac:dyDescent="0.45"/>
  <sheetData>
    <row r="1" spans="1:27" x14ac:dyDescent="0.45">
      <c r="A1" s="8" t="s">
        <v>45</v>
      </c>
      <c r="B1" s="35" t="s">
        <v>125</v>
      </c>
      <c r="C1" s="8" t="s">
        <v>200</v>
      </c>
      <c r="D1" s="8" t="s">
        <v>48</v>
      </c>
      <c r="E1" s="8" t="s">
        <v>130</v>
      </c>
      <c r="F1" s="8" t="s">
        <v>201</v>
      </c>
      <c r="G1" s="8" t="s">
        <v>51</v>
      </c>
      <c r="H1" s="8" t="s">
        <v>134</v>
      </c>
      <c r="I1" s="8" t="s">
        <v>202</v>
      </c>
      <c r="J1" s="8" t="s">
        <v>54</v>
      </c>
      <c r="K1" s="8" t="s">
        <v>138</v>
      </c>
      <c r="L1" s="8" t="s">
        <v>203</v>
      </c>
      <c r="M1" t="s">
        <v>57</v>
      </c>
      <c r="N1" t="s">
        <v>142</v>
      </c>
      <c r="O1" s="8" t="s">
        <v>204</v>
      </c>
      <c r="P1" t="s">
        <v>60</v>
      </c>
      <c r="Q1" t="s">
        <v>146</v>
      </c>
      <c r="R1" s="8" t="s">
        <v>205</v>
      </c>
      <c r="S1" t="s">
        <v>63</v>
      </c>
      <c r="T1" t="s">
        <v>150</v>
      </c>
      <c r="U1" s="8" t="s">
        <v>206</v>
      </c>
      <c r="V1" t="s">
        <v>66</v>
      </c>
      <c r="W1" t="s">
        <v>154</v>
      </c>
      <c r="X1" s="8" t="s">
        <v>207</v>
      </c>
      <c r="Y1" t="s">
        <v>69</v>
      </c>
      <c r="Z1" t="s">
        <v>158</v>
      </c>
      <c r="AA1" s="8" t="s">
        <v>208</v>
      </c>
    </row>
    <row r="2" spans="1:27" x14ac:dyDescent="0.45">
      <c r="A2">
        <v>3</v>
      </c>
      <c r="B2" s="36">
        <v>1</v>
      </c>
      <c r="C2" s="32">
        <f>ABS(B2-A2)</f>
        <v>2</v>
      </c>
      <c r="D2">
        <v>3</v>
      </c>
      <c r="E2" s="36">
        <v>1</v>
      </c>
      <c r="F2" s="32">
        <f>ABS(E2-D2)</f>
        <v>2</v>
      </c>
      <c r="G2">
        <v>5</v>
      </c>
      <c r="H2" s="36">
        <v>1</v>
      </c>
      <c r="I2" s="32">
        <f>ABS(H2-G2)</f>
        <v>4</v>
      </c>
      <c r="J2">
        <v>5</v>
      </c>
      <c r="K2" s="36">
        <v>1</v>
      </c>
      <c r="L2" s="32">
        <f>ABS(K2-J2)</f>
        <v>4</v>
      </c>
      <c r="M2">
        <v>3</v>
      </c>
      <c r="N2" s="36">
        <v>1</v>
      </c>
      <c r="O2" s="32">
        <f>ABS(N2-M2)</f>
        <v>2</v>
      </c>
      <c r="P2">
        <v>4</v>
      </c>
      <c r="Q2" s="36">
        <v>1</v>
      </c>
      <c r="R2" s="32">
        <f>ABS(Q2-P2)</f>
        <v>3</v>
      </c>
      <c r="S2">
        <v>3</v>
      </c>
      <c r="T2" s="36">
        <v>1</v>
      </c>
      <c r="U2" s="32">
        <f>ABS(T2-S2)</f>
        <v>2</v>
      </c>
      <c r="V2">
        <v>4</v>
      </c>
      <c r="W2" s="36">
        <v>1</v>
      </c>
      <c r="X2" s="32">
        <f>ABS(W2-V2)</f>
        <v>3</v>
      </c>
      <c r="Y2">
        <v>3</v>
      </c>
      <c r="Z2" s="36">
        <v>1</v>
      </c>
      <c r="AA2" s="32">
        <f>ABS(Z2-Y2)</f>
        <v>2</v>
      </c>
    </row>
    <row r="3" spans="1:27" x14ac:dyDescent="0.45">
      <c r="A3">
        <v>3</v>
      </c>
      <c r="B3" s="36">
        <v>1</v>
      </c>
      <c r="C3" s="32">
        <f t="shared" ref="C3:C66" si="0">ABS(B3-A3)</f>
        <v>2</v>
      </c>
      <c r="D3">
        <v>3</v>
      </c>
      <c r="E3" s="36">
        <v>1</v>
      </c>
      <c r="F3" s="32">
        <f t="shared" ref="F3:F66" si="1">ABS(E3-D3)</f>
        <v>2</v>
      </c>
      <c r="G3">
        <v>5</v>
      </c>
      <c r="H3" s="36">
        <v>1</v>
      </c>
      <c r="I3" s="32">
        <f t="shared" ref="I3:I66" si="2">ABS(H3-G3)</f>
        <v>4</v>
      </c>
      <c r="J3">
        <v>5</v>
      </c>
      <c r="K3" s="36">
        <v>1</v>
      </c>
      <c r="L3" s="32">
        <f t="shared" ref="L3:L66" si="3">ABS(K3-J3)</f>
        <v>4</v>
      </c>
      <c r="M3">
        <v>3</v>
      </c>
      <c r="N3" s="36">
        <v>1</v>
      </c>
      <c r="O3" s="32">
        <f t="shared" ref="O3:O66" si="4">ABS(N3-M3)</f>
        <v>2</v>
      </c>
      <c r="P3">
        <v>4</v>
      </c>
      <c r="Q3" s="36">
        <v>1</v>
      </c>
      <c r="R3" s="32">
        <f t="shared" ref="R3:R66" si="5">ABS(Q3-P3)</f>
        <v>3</v>
      </c>
      <c r="S3">
        <v>3</v>
      </c>
      <c r="T3" s="36">
        <v>1</v>
      </c>
      <c r="U3" s="32">
        <f t="shared" ref="U3:U66" si="6">ABS(T3-S3)</f>
        <v>2</v>
      </c>
      <c r="V3">
        <v>4</v>
      </c>
      <c r="W3" s="36">
        <v>1</v>
      </c>
      <c r="X3" s="32">
        <f t="shared" ref="X3:X66" si="7">ABS(W3-V3)</f>
        <v>3</v>
      </c>
      <c r="Y3">
        <v>3</v>
      </c>
      <c r="Z3" s="36">
        <v>1</v>
      </c>
      <c r="AA3" s="32">
        <f t="shared" ref="AA3:AA66" si="8">ABS(Z3-Y3)</f>
        <v>2</v>
      </c>
    </row>
    <row r="4" spans="1:27" x14ac:dyDescent="0.45">
      <c r="A4">
        <v>3</v>
      </c>
      <c r="B4" s="36">
        <v>1</v>
      </c>
      <c r="C4" s="32">
        <f t="shared" si="0"/>
        <v>2</v>
      </c>
      <c r="D4">
        <v>3</v>
      </c>
      <c r="E4" s="36">
        <v>1</v>
      </c>
      <c r="F4" s="32">
        <f t="shared" si="1"/>
        <v>2</v>
      </c>
      <c r="G4">
        <v>6</v>
      </c>
      <c r="H4" s="36">
        <v>1</v>
      </c>
      <c r="I4" s="32">
        <f t="shared" si="2"/>
        <v>5</v>
      </c>
      <c r="J4">
        <v>6</v>
      </c>
      <c r="K4" s="36">
        <v>1</v>
      </c>
      <c r="L4" s="32">
        <f t="shared" si="3"/>
        <v>5</v>
      </c>
      <c r="M4">
        <v>3</v>
      </c>
      <c r="N4" s="36">
        <v>1</v>
      </c>
      <c r="O4" s="32">
        <f t="shared" si="4"/>
        <v>2</v>
      </c>
      <c r="P4">
        <v>4</v>
      </c>
      <c r="Q4" s="36">
        <v>1</v>
      </c>
      <c r="R4" s="32">
        <f t="shared" si="5"/>
        <v>3</v>
      </c>
      <c r="S4">
        <v>3</v>
      </c>
      <c r="T4" s="36">
        <v>1</v>
      </c>
      <c r="U4" s="32">
        <f t="shared" si="6"/>
        <v>2</v>
      </c>
      <c r="V4">
        <v>4</v>
      </c>
      <c r="W4" s="36">
        <v>1</v>
      </c>
      <c r="X4" s="32">
        <f t="shared" si="7"/>
        <v>3</v>
      </c>
      <c r="Y4">
        <v>3</v>
      </c>
      <c r="Z4" s="36">
        <v>1</v>
      </c>
      <c r="AA4" s="32">
        <f t="shared" si="8"/>
        <v>2</v>
      </c>
    </row>
    <row r="5" spans="1:27" x14ac:dyDescent="0.45">
      <c r="A5">
        <v>3</v>
      </c>
      <c r="B5" s="36">
        <v>1</v>
      </c>
      <c r="C5" s="32">
        <f t="shared" si="0"/>
        <v>2</v>
      </c>
      <c r="D5">
        <v>3</v>
      </c>
      <c r="E5" s="36">
        <v>1</v>
      </c>
      <c r="F5" s="32">
        <f t="shared" si="1"/>
        <v>2</v>
      </c>
      <c r="G5">
        <v>6</v>
      </c>
      <c r="H5" s="36">
        <v>1</v>
      </c>
      <c r="I5" s="32">
        <f t="shared" si="2"/>
        <v>5</v>
      </c>
      <c r="J5">
        <v>6</v>
      </c>
      <c r="K5" s="36">
        <v>1</v>
      </c>
      <c r="L5" s="32">
        <f t="shared" si="3"/>
        <v>5</v>
      </c>
      <c r="M5">
        <v>3</v>
      </c>
      <c r="N5" s="36">
        <v>1</v>
      </c>
      <c r="O5" s="32">
        <f t="shared" si="4"/>
        <v>2</v>
      </c>
      <c r="P5">
        <v>4</v>
      </c>
      <c r="Q5" s="36">
        <v>1</v>
      </c>
      <c r="R5" s="32">
        <f t="shared" si="5"/>
        <v>3</v>
      </c>
      <c r="S5">
        <v>3</v>
      </c>
      <c r="T5" s="36">
        <v>1</v>
      </c>
      <c r="U5" s="32">
        <f t="shared" si="6"/>
        <v>2</v>
      </c>
      <c r="V5">
        <v>5</v>
      </c>
      <c r="W5" s="36">
        <v>1</v>
      </c>
      <c r="X5" s="32">
        <f t="shared" si="7"/>
        <v>4</v>
      </c>
      <c r="Y5">
        <v>3</v>
      </c>
      <c r="Z5" s="36">
        <v>1</v>
      </c>
      <c r="AA5" s="32">
        <f t="shared" si="8"/>
        <v>2</v>
      </c>
    </row>
    <row r="6" spans="1:27" x14ac:dyDescent="0.45">
      <c r="A6">
        <v>3</v>
      </c>
      <c r="B6" s="36">
        <v>1</v>
      </c>
      <c r="C6" s="32">
        <f t="shared" si="0"/>
        <v>2</v>
      </c>
      <c r="D6">
        <v>3</v>
      </c>
      <c r="E6" s="36">
        <v>1</v>
      </c>
      <c r="F6" s="32">
        <f t="shared" si="1"/>
        <v>2</v>
      </c>
      <c r="G6">
        <v>6</v>
      </c>
      <c r="H6" s="36">
        <v>1</v>
      </c>
      <c r="I6" s="32">
        <f t="shared" si="2"/>
        <v>5</v>
      </c>
      <c r="J6">
        <v>6</v>
      </c>
      <c r="K6" s="36">
        <v>1</v>
      </c>
      <c r="L6" s="32">
        <f t="shared" si="3"/>
        <v>5</v>
      </c>
      <c r="M6">
        <v>4</v>
      </c>
      <c r="N6" s="36">
        <v>1</v>
      </c>
      <c r="O6" s="32">
        <f t="shared" si="4"/>
        <v>3</v>
      </c>
      <c r="P6">
        <v>4</v>
      </c>
      <c r="Q6" s="36">
        <v>1</v>
      </c>
      <c r="R6" s="32">
        <f t="shared" si="5"/>
        <v>3</v>
      </c>
      <c r="S6">
        <v>3</v>
      </c>
      <c r="T6" s="36">
        <v>1</v>
      </c>
      <c r="U6" s="32">
        <f t="shared" si="6"/>
        <v>2</v>
      </c>
      <c r="V6">
        <v>5</v>
      </c>
      <c r="W6" s="36">
        <v>1</v>
      </c>
      <c r="X6" s="32">
        <f t="shared" si="7"/>
        <v>4</v>
      </c>
      <c r="Y6">
        <v>3</v>
      </c>
      <c r="Z6" s="36">
        <v>1</v>
      </c>
      <c r="AA6" s="32">
        <f t="shared" si="8"/>
        <v>2</v>
      </c>
    </row>
    <row r="7" spans="1:27" x14ac:dyDescent="0.45">
      <c r="A7">
        <v>3</v>
      </c>
      <c r="B7" s="36">
        <v>1</v>
      </c>
      <c r="C7" s="32">
        <f t="shared" si="0"/>
        <v>2</v>
      </c>
      <c r="D7">
        <v>3</v>
      </c>
      <c r="E7" s="36">
        <v>1</v>
      </c>
      <c r="F7" s="32">
        <f t="shared" si="1"/>
        <v>2</v>
      </c>
      <c r="G7">
        <v>6</v>
      </c>
      <c r="H7" s="36">
        <v>1</v>
      </c>
      <c r="I7" s="32">
        <f t="shared" si="2"/>
        <v>5</v>
      </c>
      <c r="J7">
        <v>6</v>
      </c>
      <c r="K7" s="36">
        <v>1</v>
      </c>
      <c r="L7" s="32">
        <f t="shared" si="3"/>
        <v>5</v>
      </c>
      <c r="M7">
        <v>4</v>
      </c>
      <c r="N7" s="36">
        <v>1</v>
      </c>
      <c r="O7" s="32">
        <f t="shared" si="4"/>
        <v>3</v>
      </c>
      <c r="P7">
        <v>4</v>
      </c>
      <c r="Q7" s="36">
        <v>1</v>
      </c>
      <c r="R7" s="32">
        <f t="shared" si="5"/>
        <v>3</v>
      </c>
      <c r="S7">
        <v>4</v>
      </c>
      <c r="T7" s="36">
        <v>1</v>
      </c>
      <c r="U7" s="32">
        <f t="shared" si="6"/>
        <v>3</v>
      </c>
      <c r="V7">
        <v>5</v>
      </c>
      <c r="W7" s="36">
        <v>1</v>
      </c>
      <c r="X7" s="32">
        <f t="shared" si="7"/>
        <v>4</v>
      </c>
      <c r="Y7">
        <v>3</v>
      </c>
      <c r="Z7" s="36">
        <v>1</v>
      </c>
      <c r="AA7" s="32">
        <f t="shared" si="8"/>
        <v>2</v>
      </c>
    </row>
    <row r="8" spans="1:27" x14ac:dyDescent="0.45">
      <c r="A8">
        <v>3</v>
      </c>
      <c r="B8" s="36">
        <v>1</v>
      </c>
      <c r="C8" s="32">
        <f t="shared" si="0"/>
        <v>2</v>
      </c>
      <c r="D8">
        <v>3</v>
      </c>
      <c r="E8" s="36">
        <v>1</v>
      </c>
      <c r="F8" s="32">
        <f t="shared" si="1"/>
        <v>2</v>
      </c>
      <c r="G8">
        <v>6</v>
      </c>
      <c r="H8" s="36">
        <v>1</v>
      </c>
      <c r="I8" s="32">
        <f t="shared" si="2"/>
        <v>5</v>
      </c>
      <c r="J8">
        <v>6</v>
      </c>
      <c r="K8" s="36">
        <v>2</v>
      </c>
      <c r="L8" s="32">
        <f t="shared" si="3"/>
        <v>4</v>
      </c>
      <c r="M8">
        <v>4</v>
      </c>
      <c r="N8" s="36">
        <v>1</v>
      </c>
      <c r="O8" s="32">
        <f t="shared" si="4"/>
        <v>3</v>
      </c>
      <c r="P8">
        <v>4</v>
      </c>
      <c r="Q8" s="36">
        <v>1</v>
      </c>
      <c r="R8" s="32">
        <f t="shared" si="5"/>
        <v>3</v>
      </c>
      <c r="S8">
        <v>4</v>
      </c>
      <c r="T8" s="36">
        <v>1</v>
      </c>
      <c r="U8" s="32">
        <f t="shared" si="6"/>
        <v>3</v>
      </c>
      <c r="V8">
        <v>5</v>
      </c>
      <c r="W8" s="36">
        <v>1</v>
      </c>
      <c r="X8" s="32">
        <f t="shared" si="7"/>
        <v>4</v>
      </c>
      <c r="Y8">
        <v>3</v>
      </c>
      <c r="Z8" s="36">
        <v>1</v>
      </c>
      <c r="AA8" s="32">
        <f t="shared" si="8"/>
        <v>2</v>
      </c>
    </row>
    <row r="9" spans="1:27" x14ac:dyDescent="0.45">
      <c r="A9">
        <v>3</v>
      </c>
      <c r="B9" s="36">
        <v>1</v>
      </c>
      <c r="C9" s="32">
        <f t="shared" si="0"/>
        <v>2</v>
      </c>
      <c r="D9">
        <v>3</v>
      </c>
      <c r="E9" s="36">
        <v>1</v>
      </c>
      <c r="F9" s="32">
        <f t="shared" si="1"/>
        <v>2</v>
      </c>
      <c r="G9">
        <v>6</v>
      </c>
      <c r="H9" s="36">
        <v>1</v>
      </c>
      <c r="I9" s="32">
        <f t="shared" si="2"/>
        <v>5</v>
      </c>
      <c r="J9">
        <v>6</v>
      </c>
      <c r="K9" s="36">
        <v>2</v>
      </c>
      <c r="L9" s="32">
        <f t="shared" si="3"/>
        <v>4</v>
      </c>
      <c r="M9">
        <v>4</v>
      </c>
      <c r="N9" s="36">
        <v>1</v>
      </c>
      <c r="O9" s="32">
        <f t="shared" si="4"/>
        <v>3</v>
      </c>
      <c r="P9">
        <v>4</v>
      </c>
      <c r="Q9" s="36">
        <v>1</v>
      </c>
      <c r="R9" s="32">
        <f t="shared" si="5"/>
        <v>3</v>
      </c>
      <c r="S9">
        <v>4</v>
      </c>
      <c r="T9" s="36">
        <v>1</v>
      </c>
      <c r="U9" s="32">
        <f t="shared" si="6"/>
        <v>3</v>
      </c>
      <c r="V9">
        <v>5</v>
      </c>
      <c r="W9" s="36">
        <v>1</v>
      </c>
      <c r="X9" s="32">
        <f t="shared" si="7"/>
        <v>4</v>
      </c>
      <c r="Y9">
        <v>3</v>
      </c>
      <c r="Z9" s="36">
        <v>1</v>
      </c>
      <c r="AA9" s="32">
        <f t="shared" si="8"/>
        <v>2</v>
      </c>
    </row>
    <row r="10" spans="1:27" x14ac:dyDescent="0.45">
      <c r="A10">
        <v>3</v>
      </c>
      <c r="B10" s="36">
        <v>1</v>
      </c>
      <c r="C10" s="32">
        <f t="shared" si="0"/>
        <v>2</v>
      </c>
      <c r="D10">
        <v>4</v>
      </c>
      <c r="E10" s="36">
        <v>1</v>
      </c>
      <c r="F10" s="32">
        <f t="shared" si="1"/>
        <v>3</v>
      </c>
      <c r="G10">
        <v>6</v>
      </c>
      <c r="H10" s="36">
        <v>1</v>
      </c>
      <c r="I10" s="32">
        <f t="shared" si="2"/>
        <v>5</v>
      </c>
      <c r="J10">
        <v>6</v>
      </c>
      <c r="K10" s="36">
        <v>2</v>
      </c>
      <c r="L10" s="32">
        <f t="shared" si="3"/>
        <v>4</v>
      </c>
      <c r="M10">
        <v>4</v>
      </c>
      <c r="N10" s="36">
        <v>1</v>
      </c>
      <c r="O10" s="32">
        <f t="shared" si="4"/>
        <v>3</v>
      </c>
      <c r="P10">
        <v>5</v>
      </c>
      <c r="Q10" s="36">
        <v>1</v>
      </c>
      <c r="R10" s="32">
        <f t="shared" si="5"/>
        <v>4</v>
      </c>
      <c r="S10">
        <v>4</v>
      </c>
      <c r="T10" s="36">
        <v>1</v>
      </c>
      <c r="U10" s="32">
        <f t="shared" si="6"/>
        <v>3</v>
      </c>
      <c r="V10">
        <v>5</v>
      </c>
      <c r="W10" s="36">
        <v>1</v>
      </c>
      <c r="X10" s="32">
        <f t="shared" si="7"/>
        <v>4</v>
      </c>
      <c r="Y10">
        <v>3</v>
      </c>
      <c r="Z10" s="36">
        <v>1</v>
      </c>
      <c r="AA10" s="32">
        <f t="shared" si="8"/>
        <v>2</v>
      </c>
    </row>
    <row r="11" spans="1:27" x14ac:dyDescent="0.45">
      <c r="A11">
        <v>3</v>
      </c>
      <c r="B11" s="36">
        <v>1</v>
      </c>
      <c r="C11" s="32">
        <f t="shared" si="0"/>
        <v>2</v>
      </c>
      <c r="D11">
        <v>4</v>
      </c>
      <c r="E11" s="36">
        <v>1</v>
      </c>
      <c r="F11" s="32">
        <f t="shared" si="1"/>
        <v>3</v>
      </c>
      <c r="G11">
        <v>6</v>
      </c>
      <c r="H11" s="36">
        <v>1</v>
      </c>
      <c r="I11" s="32">
        <f t="shared" si="2"/>
        <v>5</v>
      </c>
      <c r="J11">
        <v>6</v>
      </c>
      <c r="K11" s="36">
        <v>2</v>
      </c>
      <c r="L11" s="32">
        <f t="shared" si="3"/>
        <v>4</v>
      </c>
      <c r="M11">
        <v>4</v>
      </c>
      <c r="N11" s="36">
        <v>1</v>
      </c>
      <c r="O11" s="32">
        <f t="shared" si="4"/>
        <v>3</v>
      </c>
      <c r="P11">
        <v>5</v>
      </c>
      <c r="Q11" s="36">
        <v>1</v>
      </c>
      <c r="R11" s="32">
        <f t="shared" si="5"/>
        <v>4</v>
      </c>
      <c r="S11">
        <v>4</v>
      </c>
      <c r="T11" s="36">
        <v>1</v>
      </c>
      <c r="U11" s="32">
        <f t="shared" si="6"/>
        <v>3</v>
      </c>
      <c r="V11">
        <v>5</v>
      </c>
      <c r="W11" s="36">
        <v>1</v>
      </c>
      <c r="X11" s="32">
        <f t="shared" si="7"/>
        <v>4</v>
      </c>
      <c r="Y11">
        <v>3</v>
      </c>
      <c r="Z11" s="36">
        <v>1</v>
      </c>
      <c r="AA11" s="32">
        <f t="shared" si="8"/>
        <v>2</v>
      </c>
    </row>
    <row r="12" spans="1:27" x14ac:dyDescent="0.45">
      <c r="A12">
        <v>3</v>
      </c>
      <c r="B12" s="36">
        <v>1</v>
      </c>
      <c r="C12" s="32">
        <f t="shared" si="0"/>
        <v>2</v>
      </c>
      <c r="D12">
        <v>4</v>
      </c>
      <c r="E12" s="36">
        <v>1</v>
      </c>
      <c r="F12" s="32">
        <f t="shared" si="1"/>
        <v>3</v>
      </c>
      <c r="G12">
        <v>6</v>
      </c>
      <c r="H12" s="36">
        <v>1</v>
      </c>
      <c r="I12" s="32">
        <f t="shared" si="2"/>
        <v>5</v>
      </c>
      <c r="J12">
        <v>6</v>
      </c>
      <c r="K12" s="36">
        <v>2</v>
      </c>
      <c r="L12" s="32">
        <f t="shared" si="3"/>
        <v>4</v>
      </c>
      <c r="M12">
        <v>4</v>
      </c>
      <c r="N12" s="36">
        <v>1</v>
      </c>
      <c r="O12" s="32">
        <f t="shared" si="4"/>
        <v>3</v>
      </c>
      <c r="P12">
        <v>5</v>
      </c>
      <c r="Q12" s="36">
        <v>1</v>
      </c>
      <c r="R12" s="32">
        <f t="shared" si="5"/>
        <v>4</v>
      </c>
      <c r="S12">
        <v>4</v>
      </c>
      <c r="T12" s="36">
        <v>1</v>
      </c>
      <c r="U12" s="32">
        <f t="shared" si="6"/>
        <v>3</v>
      </c>
      <c r="V12">
        <v>5</v>
      </c>
      <c r="W12" s="36">
        <v>1</v>
      </c>
      <c r="X12" s="32">
        <f t="shared" si="7"/>
        <v>4</v>
      </c>
      <c r="Y12">
        <v>3</v>
      </c>
      <c r="Z12" s="36">
        <v>1</v>
      </c>
      <c r="AA12" s="32">
        <f t="shared" si="8"/>
        <v>2</v>
      </c>
    </row>
    <row r="13" spans="1:27" x14ac:dyDescent="0.45">
      <c r="A13">
        <v>3</v>
      </c>
      <c r="B13" s="36">
        <v>2</v>
      </c>
      <c r="C13" s="32">
        <f t="shared" si="0"/>
        <v>1</v>
      </c>
      <c r="D13">
        <v>4</v>
      </c>
      <c r="E13" s="36">
        <v>1</v>
      </c>
      <c r="F13" s="32">
        <f t="shared" si="1"/>
        <v>3</v>
      </c>
      <c r="G13">
        <v>7</v>
      </c>
      <c r="H13" s="36">
        <v>1</v>
      </c>
      <c r="I13" s="32">
        <f t="shared" si="2"/>
        <v>6</v>
      </c>
      <c r="J13">
        <v>6</v>
      </c>
      <c r="K13" s="36">
        <v>3</v>
      </c>
      <c r="L13" s="32">
        <f t="shared" si="3"/>
        <v>3</v>
      </c>
      <c r="M13">
        <v>4</v>
      </c>
      <c r="N13" s="36">
        <v>1</v>
      </c>
      <c r="O13" s="32">
        <f t="shared" si="4"/>
        <v>3</v>
      </c>
      <c r="P13">
        <v>5</v>
      </c>
      <c r="Q13" s="36">
        <v>1</v>
      </c>
      <c r="R13" s="32">
        <f t="shared" si="5"/>
        <v>4</v>
      </c>
      <c r="S13">
        <v>4</v>
      </c>
      <c r="T13" s="36">
        <v>1</v>
      </c>
      <c r="U13" s="32">
        <f t="shared" si="6"/>
        <v>3</v>
      </c>
      <c r="V13">
        <v>5</v>
      </c>
      <c r="W13" s="36">
        <v>1</v>
      </c>
      <c r="X13" s="32">
        <f t="shared" si="7"/>
        <v>4</v>
      </c>
      <c r="Y13">
        <v>3</v>
      </c>
      <c r="Z13" s="36">
        <v>1</v>
      </c>
      <c r="AA13" s="32">
        <f t="shared" si="8"/>
        <v>2</v>
      </c>
    </row>
    <row r="14" spans="1:27" x14ac:dyDescent="0.45">
      <c r="A14">
        <v>3</v>
      </c>
      <c r="B14" s="36">
        <v>2</v>
      </c>
      <c r="C14" s="32">
        <f t="shared" si="0"/>
        <v>1</v>
      </c>
      <c r="D14">
        <v>4</v>
      </c>
      <c r="E14" s="36">
        <v>1</v>
      </c>
      <c r="F14" s="32">
        <f t="shared" si="1"/>
        <v>3</v>
      </c>
      <c r="G14">
        <v>7</v>
      </c>
      <c r="H14" s="36">
        <v>1</v>
      </c>
      <c r="I14" s="32">
        <f t="shared" si="2"/>
        <v>6</v>
      </c>
      <c r="J14">
        <v>6</v>
      </c>
      <c r="K14" s="36">
        <v>4</v>
      </c>
      <c r="L14" s="32">
        <f t="shared" si="3"/>
        <v>2</v>
      </c>
      <c r="M14">
        <v>4</v>
      </c>
      <c r="N14" s="36">
        <v>1</v>
      </c>
      <c r="O14" s="32">
        <f t="shared" si="4"/>
        <v>3</v>
      </c>
      <c r="P14">
        <v>5</v>
      </c>
      <c r="Q14" s="36">
        <v>1</v>
      </c>
      <c r="R14" s="32">
        <f t="shared" si="5"/>
        <v>4</v>
      </c>
      <c r="S14">
        <v>4</v>
      </c>
      <c r="T14" s="36">
        <v>1</v>
      </c>
      <c r="U14" s="32">
        <f t="shared" si="6"/>
        <v>3</v>
      </c>
      <c r="V14">
        <v>5</v>
      </c>
      <c r="W14" s="36">
        <v>1</v>
      </c>
      <c r="X14" s="32">
        <f t="shared" si="7"/>
        <v>4</v>
      </c>
      <c r="Y14">
        <v>4</v>
      </c>
      <c r="Z14" s="36">
        <v>1</v>
      </c>
      <c r="AA14" s="32">
        <f t="shared" si="8"/>
        <v>3</v>
      </c>
    </row>
    <row r="15" spans="1:27" x14ac:dyDescent="0.45">
      <c r="A15">
        <v>4</v>
      </c>
      <c r="B15" s="36">
        <v>2</v>
      </c>
      <c r="C15" s="32">
        <f t="shared" si="0"/>
        <v>2</v>
      </c>
      <c r="D15">
        <v>4</v>
      </c>
      <c r="E15" s="36">
        <v>1</v>
      </c>
      <c r="F15" s="32">
        <f t="shared" si="1"/>
        <v>3</v>
      </c>
      <c r="G15">
        <v>7</v>
      </c>
      <c r="H15" s="36">
        <v>1</v>
      </c>
      <c r="I15" s="32">
        <f t="shared" si="2"/>
        <v>6</v>
      </c>
      <c r="J15">
        <v>6</v>
      </c>
      <c r="K15" s="36">
        <v>4</v>
      </c>
      <c r="L15" s="32">
        <f t="shared" si="3"/>
        <v>2</v>
      </c>
      <c r="M15">
        <v>4</v>
      </c>
      <c r="N15" s="36">
        <v>1</v>
      </c>
      <c r="O15" s="32">
        <f t="shared" si="4"/>
        <v>3</v>
      </c>
      <c r="P15">
        <v>5</v>
      </c>
      <c r="Q15" s="36">
        <v>1</v>
      </c>
      <c r="R15" s="32">
        <f t="shared" si="5"/>
        <v>4</v>
      </c>
      <c r="S15">
        <v>4</v>
      </c>
      <c r="T15" s="36">
        <v>1</v>
      </c>
      <c r="U15" s="32">
        <f t="shared" si="6"/>
        <v>3</v>
      </c>
      <c r="V15">
        <v>5</v>
      </c>
      <c r="W15" s="36">
        <v>1</v>
      </c>
      <c r="X15" s="32">
        <f t="shared" si="7"/>
        <v>4</v>
      </c>
      <c r="Y15">
        <v>4</v>
      </c>
      <c r="Z15" s="36">
        <v>2</v>
      </c>
      <c r="AA15" s="32">
        <f t="shared" si="8"/>
        <v>2</v>
      </c>
    </row>
    <row r="16" spans="1:27" x14ac:dyDescent="0.45">
      <c r="A16">
        <v>4</v>
      </c>
      <c r="B16" s="36">
        <v>2</v>
      </c>
      <c r="C16" s="32">
        <f t="shared" si="0"/>
        <v>2</v>
      </c>
      <c r="D16">
        <v>4</v>
      </c>
      <c r="E16" s="36">
        <v>2</v>
      </c>
      <c r="F16" s="32">
        <f t="shared" si="1"/>
        <v>2</v>
      </c>
      <c r="G16">
        <v>7</v>
      </c>
      <c r="H16" s="36">
        <v>1</v>
      </c>
      <c r="I16" s="32">
        <f t="shared" si="2"/>
        <v>6</v>
      </c>
      <c r="J16">
        <v>6</v>
      </c>
      <c r="K16" s="36">
        <v>4</v>
      </c>
      <c r="L16" s="32">
        <f t="shared" si="3"/>
        <v>2</v>
      </c>
      <c r="M16">
        <v>4</v>
      </c>
      <c r="N16" s="36">
        <v>1</v>
      </c>
      <c r="O16" s="32">
        <f t="shared" si="4"/>
        <v>3</v>
      </c>
      <c r="P16">
        <v>5</v>
      </c>
      <c r="Q16" s="36">
        <v>1</v>
      </c>
      <c r="R16" s="32">
        <f t="shared" si="5"/>
        <v>4</v>
      </c>
      <c r="S16">
        <v>4</v>
      </c>
      <c r="T16" s="36">
        <v>1</v>
      </c>
      <c r="U16" s="32">
        <f t="shared" si="6"/>
        <v>3</v>
      </c>
      <c r="V16">
        <v>5</v>
      </c>
      <c r="W16" s="36">
        <v>2</v>
      </c>
      <c r="X16" s="32">
        <f t="shared" si="7"/>
        <v>3</v>
      </c>
      <c r="Y16">
        <v>4</v>
      </c>
      <c r="Z16" s="36">
        <v>2</v>
      </c>
      <c r="AA16" s="32">
        <f t="shared" si="8"/>
        <v>2</v>
      </c>
    </row>
    <row r="17" spans="1:27" x14ac:dyDescent="0.45">
      <c r="A17">
        <v>4</v>
      </c>
      <c r="B17" s="36">
        <v>2</v>
      </c>
      <c r="C17" s="32">
        <f t="shared" si="0"/>
        <v>2</v>
      </c>
      <c r="D17">
        <v>4</v>
      </c>
      <c r="E17" s="36">
        <v>2</v>
      </c>
      <c r="F17" s="32">
        <f t="shared" si="1"/>
        <v>2</v>
      </c>
      <c r="G17">
        <v>7</v>
      </c>
      <c r="H17" s="36">
        <v>1</v>
      </c>
      <c r="I17" s="32">
        <f t="shared" si="2"/>
        <v>6</v>
      </c>
      <c r="J17">
        <v>6</v>
      </c>
      <c r="K17" s="36">
        <v>4</v>
      </c>
      <c r="L17" s="32">
        <f t="shared" si="3"/>
        <v>2</v>
      </c>
      <c r="M17">
        <v>4</v>
      </c>
      <c r="N17" s="36">
        <v>1</v>
      </c>
      <c r="O17" s="32">
        <f t="shared" si="4"/>
        <v>3</v>
      </c>
      <c r="P17">
        <v>5</v>
      </c>
      <c r="Q17" s="36">
        <v>1</v>
      </c>
      <c r="R17" s="32">
        <f t="shared" si="5"/>
        <v>4</v>
      </c>
      <c r="S17">
        <v>4</v>
      </c>
      <c r="T17" s="36">
        <v>1</v>
      </c>
      <c r="U17" s="32">
        <f t="shared" si="6"/>
        <v>3</v>
      </c>
      <c r="V17">
        <v>5</v>
      </c>
      <c r="W17" s="36">
        <v>2</v>
      </c>
      <c r="X17" s="32">
        <f t="shared" si="7"/>
        <v>3</v>
      </c>
      <c r="Y17">
        <v>4</v>
      </c>
      <c r="Z17" s="36">
        <v>2</v>
      </c>
      <c r="AA17" s="32">
        <f t="shared" si="8"/>
        <v>2</v>
      </c>
    </row>
    <row r="18" spans="1:27" x14ac:dyDescent="0.45">
      <c r="A18">
        <v>4</v>
      </c>
      <c r="B18" s="36">
        <v>2</v>
      </c>
      <c r="C18" s="32">
        <f t="shared" si="0"/>
        <v>2</v>
      </c>
      <c r="D18">
        <v>4</v>
      </c>
      <c r="E18" s="36">
        <v>2</v>
      </c>
      <c r="F18" s="32">
        <f t="shared" si="1"/>
        <v>2</v>
      </c>
      <c r="G18">
        <v>7</v>
      </c>
      <c r="H18" s="36">
        <v>1</v>
      </c>
      <c r="I18" s="32">
        <f t="shared" si="2"/>
        <v>6</v>
      </c>
      <c r="J18">
        <v>6</v>
      </c>
      <c r="K18" s="36">
        <v>4</v>
      </c>
      <c r="L18" s="32">
        <f t="shared" si="3"/>
        <v>2</v>
      </c>
      <c r="M18">
        <v>4</v>
      </c>
      <c r="N18" s="36">
        <v>1</v>
      </c>
      <c r="O18" s="32">
        <f t="shared" si="4"/>
        <v>3</v>
      </c>
      <c r="P18">
        <v>5</v>
      </c>
      <c r="Q18" s="36">
        <v>1</v>
      </c>
      <c r="R18" s="32">
        <f t="shared" si="5"/>
        <v>4</v>
      </c>
      <c r="S18">
        <v>4</v>
      </c>
      <c r="T18" s="36">
        <v>1</v>
      </c>
      <c r="U18" s="32">
        <f t="shared" si="6"/>
        <v>3</v>
      </c>
      <c r="V18">
        <v>5</v>
      </c>
      <c r="W18" s="36">
        <v>3</v>
      </c>
      <c r="X18" s="32">
        <f t="shared" si="7"/>
        <v>2</v>
      </c>
      <c r="Y18">
        <v>4</v>
      </c>
      <c r="Z18" s="36">
        <v>3</v>
      </c>
      <c r="AA18" s="32">
        <f t="shared" si="8"/>
        <v>1</v>
      </c>
    </row>
    <row r="19" spans="1:27" x14ac:dyDescent="0.45">
      <c r="A19">
        <v>4</v>
      </c>
      <c r="B19" s="36">
        <v>2</v>
      </c>
      <c r="C19" s="32">
        <f t="shared" si="0"/>
        <v>2</v>
      </c>
      <c r="D19">
        <v>4</v>
      </c>
      <c r="E19" s="36">
        <v>2</v>
      </c>
      <c r="F19" s="32">
        <f t="shared" si="1"/>
        <v>2</v>
      </c>
      <c r="G19">
        <v>7</v>
      </c>
      <c r="H19" s="36">
        <v>1</v>
      </c>
      <c r="I19" s="32">
        <f t="shared" si="2"/>
        <v>6</v>
      </c>
      <c r="J19">
        <v>6</v>
      </c>
      <c r="K19" s="36">
        <v>4</v>
      </c>
      <c r="L19" s="32">
        <f t="shared" si="3"/>
        <v>2</v>
      </c>
      <c r="M19">
        <v>4</v>
      </c>
      <c r="N19" s="36">
        <v>1</v>
      </c>
      <c r="O19" s="32">
        <f t="shared" si="4"/>
        <v>3</v>
      </c>
      <c r="P19">
        <v>5</v>
      </c>
      <c r="Q19" s="36">
        <v>1</v>
      </c>
      <c r="R19" s="32">
        <f t="shared" si="5"/>
        <v>4</v>
      </c>
      <c r="S19">
        <v>4</v>
      </c>
      <c r="T19" s="36">
        <v>1</v>
      </c>
      <c r="U19" s="32">
        <f t="shared" si="6"/>
        <v>3</v>
      </c>
      <c r="V19">
        <v>5</v>
      </c>
      <c r="W19" s="36">
        <v>3</v>
      </c>
      <c r="X19" s="32">
        <f t="shared" si="7"/>
        <v>2</v>
      </c>
      <c r="Y19">
        <v>4</v>
      </c>
      <c r="Z19" s="36">
        <v>3</v>
      </c>
      <c r="AA19" s="32">
        <f t="shared" si="8"/>
        <v>1</v>
      </c>
    </row>
    <row r="20" spans="1:27" x14ac:dyDescent="0.45">
      <c r="A20">
        <v>4</v>
      </c>
      <c r="B20" s="36">
        <v>2</v>
      </c>
      <c r="C20" s="32">
        <f t="shared" si="0"/>
        <v>2</v>
      </c>
      <c r="D20">
        <v>4</v>
      </c>
      <c r="E20" s="36">
        <v>2</v>
      </c>
      <c r="F20" s="32">
        <f t="shared" si="1"/>
        <v>2</v>
      </c>
      <c r="G20">
        <v>7</v>
      </c>
      <c r="H20" s="36">
        <v>1</v>
      </c>
      <c r="I20" s="32">
        <f t="shared" si="2"/>
        <v>6</v>
      </c>
      <c r="J20">
        <v>6</v>
      </c>
      <c r="K20" s="36">
        <v>4</v>
      </c>
      <c r="L20" s="32">
        <f t="shared" si="3"/>
        <v>2</v>
      </c>
      <c r="M20">
        <v>4</v>
      </c>
      <c r="N20" s="36">
        <v>2</v>
      </c>
      <c r="O20" s="32">
        <f t="shared" si="4"/>
        <v>2</v>
      </c>
      <c r="P20">
        <v>5</v>
      </c>
      <c r="Q20" s="36">
        <v>1</v>
      </c>
      <c r="R20" s="32">
        <f t="shared" si="5"/>
        <v>4</v>
      </c>
      <c r="S20">
        <v>4</v>
      </c>
      <c r="T20" s="36">
        <v>1</v>
      </c>
      <c r="U20" s="32">
        <f t="shared" si="6"/>
        <v>3</v>
      </c>
      <c r="V20">
        <v>5</v>
      </c>
      <c r="W20" s="36">
        <v>3</v>
      </c>
      <c r="X20" s="32">
        <f t="shared" si="7"/>
        <v>2</v>
      </c>
      <c r="Y20">
        <v>4</v>
      </c>
      <c r="Z20" s="36">
        <v>3</v>
      </c>
      <c r="AA20" s="32">
        <f t="shared" si="8"/>
        <v>1</v>
      </c>
    </row>
    <row r="21" spans="1:27" x14ac:dyDescent="0.45">
      <c r="A21">
        <v>4</v>
      </c>
      <c r="B21" s="36">
        <v>2</v>
      </c>
      <c r="C21" s="32">
        <f t="shared" si="0"/>
        <v>2</v>
      </c>
      <c r="D21">
        <v>4</v>
      </c>
      <c r="E21" s="36">
        <v>3</v>
      </c>
      <c r="F21" s="32">
        <f t="shared" si="1"/>
        <v>1</v>
      </c>
      <c r="G21">
        <v>7</v>
      </c>
      <c r="H21" s="36">
        <v>1</v>
      </c>
      <c r="I21" s="32">
        <f t="shared" si="2"/>
        <v>6</v>
      </c>
      <c r="J21">
        <v>6</v>
      </c>
      <c r="K21" s="36">
        <v>4</v>
      </c>
      <c r="L21" s="32">
        <f t="shared" si="3"/>
        <v>2</v>
      </c>
      <c r="M21">
        <v>4</v>
      </c>
      <c r="N21" s="36">
        <v>2</v>
      </c>
      <c r="O21" s="32">
        <f t="shared" si="4"/>
        <v>2</v>
      </c>
      <c r="P21">
        <v>5</v>
      </c>
      <c r="Q21" s="36">
        <v>1</v>
      </c>
      <c r="R21" s="32">
        <f t="shared" si="5"/>
        <v>4</v>
      </c>
      <c r="S21">
        <v>4</v>
      </c>
      <c r="T21" s="36">
        <v>1</v>
      </c>
      <c r="U21" s="32">
        <f t="shared" si="6"/>
        <v>3</v>
      </c>
      <c r="V21">
        <v>5</v>
      </c>
      <c r="W21" s="36">
        <v>3</v>
      </c>
      <c r="X21" s="32">
        <f t="shared" si="7"/>
        <v>2</v>
      </c>
      <c r="Y21">
        <v>4</v>
      </c>
      <c r="Z21" s="36">
        <v>3</v>
      </c>
      <c r="AA21" s="32">
        <f t="shared" si="8"/>
        <v>1</v>
      </c>
    </row>
    <row r="22" spans="1:27" x14ac:dyDescent="0.45">
      <c r="A22">
        <v>4</v>
      </c>
      <c r="B22" s="36">
        <v>3</v>
      </c>
      <c r="C22" s="32">
        <f t="shared" si="0"/>
        <v>1</v>
      </c>
      <c r="D22">
        <v>4</v>
      </c>
      <c r="E22" s="36">
        <v>3</v>
      </c>
      <c r="F22" s="32">
        <f t="shared" si="1"/>
        <v>1</v>
      </c>
      <c r="G22">
        <v>7</v>
      </c>
      <c r="H22" s="36">
        <v>1</v>
      </c>
      <c r="I22" s="32">
        <f t="shared" si="2"/>
        <v>6</v>
      </c>
      <c r="J22">
        <v>6</v>
      </c>
      <c r="K22" s="36">
        <v>4</v>
      </c>
      <c r="L22" s="32">
        <f t="shared" si="3"/>
        <v>2</v>
      </c>
      <c r="M22">
        <v>4</v>
      </c>
      <c r="N22" s="36">
        <v>2</v>
      </c>
      <c r="O22" s="32">
        <f t="shared" si="4"/>
        <v>2</v>
      </c>
      <c r="P22">
        <v>5</v>
      </c>
      <c r="Q22" s="36">
        <v>1</v>
      </c>
      <c r="R22" s="32">
        <f t="shared" si="5"/>
        <v>4</v>
      </c>
      <c r="S22">
        <v>4</v>
      </c>
      <c r="T22" s="36">
        <v>1</v>
      </c>
      <c r="U22" s="32">
        <f t="shared" si="6"/>
        <v>3</v>
      </c>
      <c r="V22">
        <v>5</v>
      </c>
      <c r="W22" s="36">
        <v>3</v>
      </c>
      <c r="X22" s="32">
        <f t="shared" si="7"/>
        <v>2</v>
      </c>
      <c r="Y22">
        <v>4</v>
      </c>
      <c r="Z22" s="36">
        <v>3</v>
      </c>
      <c r="AA22" s="32">
        <f t="shared" si="8"/>
        <v>1</v>
      </c>
    </row>
    <row r="23" spans="1:27" x14ac:dyDescent="0.45">
      <c r="A23">
        <v>4</v>
      </c>
      <c r="B23" s="36">
        <v>3</v>
      </c>
      <c r="C23" s="32">
        <f t="shared" si="0"/>
        <v>1</v>
      </c>
      <c r="D23">
        <v>4</v>
      </c>
      <c r="E23" s="36">
        <v>3</v>
      </c>
      <c r="F23" s="32">
        <f t="shared" si="1"/>
        <v>1</v>
      </c>
      <c r="G23">
        <v>7</v>
      </c>
      <c r="H23" s="36">
        <v>1</v>
      </c>
      <c r="I23" s="32">
        <f t="shared" si="2"/>
        <v>6</v>
      </c>
      <c r="J23">
        <v>6</v>
      </c>
      <c r="K23" s="36">
        <v>5</v>
      </c>
      <c r="L23" s="32">
        <f t="shared" si="3"/>
        <v>1</v>
      </c>
      <c r="M23">
        <v>4</v>
      </c>
      <c r="N23" s="36">
        <v>2</v>
      </c>
      <c r="O23" s="32">
        <f t="shared" si="4"/>
        <v>2</v>
      </c>
      <c r="P23">
        <v>5</v>
      </c>
      <c r="Q23" s="36">
        <v>1</v>
      </c>
      <c r="R23" s="32">
        <f t="shared" si="5"/>
        <v>4</v>
      </c>
      <c r="S23">
        <v>4</v>
      </c>
      <c r="T23" s="36">
        <v>1</v>
      </c>
      <c r="U23" s="32">
        <f t="shared" si="6"/>
        <v>3</v>
      </c>
      <c r="V23">
        <v>5</v>
      </c>
      <c r="W23" s="36">
        <v>3</v>
      </c>
      <c r="X23" s="32">
        <f t="shared" si="7"/>
        <v>2</v>
      </c>
      <c r="Y23">
        <v>4</v>
      </c>
      <c r="Z23" s="36">
        <v>3</v>
      </c>
      <c r="AA23" s="32">
        <f t="shared" si="8"/>
        <v>1</v>
      </c>
    </row>
    <row r="24" spans="1:27" x14ac:dyDescent="0.45">
      <c r="A24">
        <v>4</v>
      </c>
      <c r="B24" s="36">
        <v>3</v>
      </c>
      <c r="C24" s="32">
        <f t="shared" si="0"/>
        <v>1</v>
      </c>
      <c r="D24">
        <v>4</v>
      </c>
      <c r="E24" s="36">
        <v>3</v>
      </c>
      <c r="F24" s="32">
        <f t="shared" si="1"/>
        <v>1</v>
      </c>
      <c r="G24">
        <v>7</v>
      </c>
      <c r="H24" s="36">
        <v>1</v>
      </c>
      <c r="I24" s="32">
        <f t="shared" si="2"/>
        <v>6</v>
      </c>
      <c r="J24">
        <v>6</v>
      </c>
      <c r="K24" s="36">
        <v>5</v>
      </c>
      <c r="L24" s="32">
        <f t="shared" si="3"/>
        <v>1</v>
      </c>
      <c r="M24">
        <v>4</v>
      </c>
      <c r="N24" s="36">
        <v>2</v>
      </c>
      <c r="O24" s="32">
        <f t="shared" si="4"/>
        <v>2</v>
      </c>
      <c r="P24">
        <v>5</v>
      </c>
      <c r="Q24" s="36">
        <v>1</v>
      </c>
      <c r="R24" s="32">
        <f t="shared" si="5"/>
        <v>4</v>
      </c>
      <c r="S24">
        <v>4</v>
      </c>
      <c r="T24" s="36">
        <v>1</v>
      </c>
      <c r="U24" s="32">
        <f t="shared" si="6"/>
        <v>3</v>
      </c>
      <c r="V24">
        <v>5</v>
      </c>
      <c r="W24" s="36">
        <v>3</v>
      </c>
      <c r="X24" s="32">
        <f t="shared" si="7"/>
        <v>2</v>
      </c>
      <c r="Y24">
        <v>5</v>
      </c>
      <c r="Z24" s="36">
        <v>3</v>
      </c>
      <c r="AA24" s="32">
        <f t="shared" si="8"/>
        <v>2</v>
      </c>
    </row>
    <row r="25" spans="1:27" x14ac:dyDescent="0.45">
      <c r="A25">
        <v>4</v>
      </c>
      <c r="B25" s="36">
        <v>3</v>
      </c>
      <c r="C25" s="32">
        <f t="shared" si="0"/>
        <v>1</v>
      </c>
      <c r="D25">
        <v>4</v>
      </c>
      <c r="E25" s="36">
        <v>3</v>
      </c>
      <c r="F25" s="32">
        <f t="shared" si="1"/>
        <v>1</v>
      </c>
      <c r="G25">
        <v>7</v>
      </c>
      <c r="H25" s="36">
        <v>1</v>
      </c>
      <c r="I25" s="32">
        <f t="shared" si="2"/>
        <v>6</v>
      </c>
      <c r="J25">
        <v>6</v>
      </c>
      <c r="K25" s="36">
        <v>5</v>
      </c>
      <c r="L25" s="32">
        <f t="shared" si="3"/>
        <v>1</v>
      </c>
      <c r="M25">
        <v>4</v>
      </c>
      <c r="N25" s="36">
        <v>2</v>
      </c>
      <c r="O25" s="32">
        <f t="shared" si="4"/>
        <v>2</v>
      </c>
      <c r="P25">
        <v>5</v>
      </c>
      <c r="Q25" s="36">
        <v>2</v>
      </c>
      <c r="R25" s="32">
        <f t="shared" si="5"/>
        <v>3</v>
      </c>
      <c r="S25">
        <v>4</v>
      </c>
      <c r="T25" s="36">
        <v>1</v>
      </c>
      <c r="U25" s="32">
        <f t="shared" si="6"/>
        <v>3</v>
      </c>
      <c r="V25">
        <v>5</v>
      </c>
      <c r="W25" s="36">
        <v>3</v>
      </c>
      <c r="X25" s="32">
        <f t="shared" si="7"/>
        <v>2</v>
      </c>
      <c r="Y25">
        <v>5</v>
      </c>
      <c r="Z25" s="36">
        <v>4</v>
      </c>
      <c r="AA25" s="32">
        <f t="shared" si="8"/>
        <v>1</v>
      </c>
    </row>
    <row r="26" spans="1:27" x14ac:dyDescent="0.45">
      <c r="A26">
        <v>4</v>
      </c>
      <c r="B26">
        <v>3</v>
      </c>
      <c r="C26" s="32">
        <f t="shared" si="0"/>
        <v>1</v>
      </c>
      <c r="D26">
        <v>4</v>
      </c>
      <c r="E26" s="36">
        <v>3</v>
      </c>
      <c r="F26" s="32">
        <f t="shared" si="1"/>
        <v>1</v>
      </c>
      <c r="G26">
        <v>7</v>
      </c>
      <c r="H26" s="36">
        <v>1</v>
      </c>
      <c r="I26" s="32">
        <f t="shared" si="2"/>
        <v>6</v>
      </c>
      <c r="J26">
        <v>6</v>
      </c>
      <c r="K26" s="36">
        <v>5</v>
      </c>
      <c r="L26" s="32">
        <f t="shared" si="3"/>
        <v>1</v>
      </c>
      <c r="M26">
        <v>4</v>
      </c>
      <c r="N26" s="36">
        <v>3</v>
      </c>
      <c r="O26" s="32">
        <f t="shared" si="4"/>
        <v>1</v>
      </c>
      <c r="P26">
        <v>5</v>
      </c>
      <c r="Q26" s="36">
        <v>2</v>
      </c>
      <c r="R26" s="32">
        <f t="shared" si="5"/>
        <v>3</v>
      </c>
      <c r="S26">
        <v>4</v>
      </c>
      <c r="T26" s="36">
        <v>1</v>
      </c>
      <c r="U26" s="32">
        <f t="shared" si="6"/>
        <v>3</v>
      </c>
      <c r="V26">
        <v>5</v>
      </c>
      <c r="W26" s="36">
        <v>3</v>
      </c>
      <c r="X26" s="32">
        <f t="shared" si="7"/>
        <v>2</v>
      </c>
      <c r="Y26">
        <v>5</v>
      </c>
      <c r="Z26" s="36">
        <v>4</v>
      </c>
      <c r="AA26" s="32">
        <f t="shared" si="8"/>
        <v>1</v>
      </c>
    </row>
    <row r="27" spans="1:27" x14ac:dyDescent="0.45">
      <c r="A27">
        <v>4</v>
      </c>
      <c r="B27">
        <v>3</v>
      </c>
      <c r="C27" s="32">
        <f t="shared" si="0"/>
        <v>1</v>
      </c>
      <c r="D27">
        <v>4</v>
      </c>
      <c r="E27">
        <v>3</v>
      </c>
      <c r="F27" s="32">
        <f t="shared" si="1"/>
        <v>1</v>
      </c>
      <c r="G27">
        <v>7</v>
      </c>
      <c r="H27">
        <v>1</v>
      </c>
      <c r="I27" s="32">
        <f t="shared" si="2"/>
        <v>6</v>
      </c>
      <c r="J27">
        <v>6</v>
      </c>
      <c r="K27">
        <v>5</v>
      </c>
      <c r="L27" s="32">
        <f t="shared" si="3"/>
        <v>1</v>
      </c>
      <c r="M27">
        <v>4</v>
      </c>
      <c r="N27">
        <v>3</v>
      </c>
      <c r="O27" s="32">
        <f t="shared" si="4"/>
        <v>1</v>
      </c>
      <c r="P27">
        <v>5</v>
      </c>
      <c r="Q27">
        <v>2</v>
      </c>
      <c r="R27" s="32">
        <f t="shared" si="5"/>
        <v>3</v>
      </c>
      <c r="S27">
        <v>4</v>
      </c>
      <c r="T27">
        <v>1</v>
      </c>
      <c r="U27" s="32">
        <f t="shared" si="6"/>
        <v>3</v>
      </c>
      <c r="V27">
        <v>5</v>
      </c>
      <c r="W27">
        <v>3</v>
      </c>
      <c r="X27" s="32">
        <f t="shared" si="7"/>
        <v>2</v>
      </c>
      <c r="Y27">
        <v>5</v>
      </c>
      <c r="Z27">
        <v>4</v>
      </c>
      <c r="AA27" s="32">
        <f t="shared" si="8"/>
        <v>1</v>
      </c>
    </row>
    <row r="28" spans="1:27" x14ac:dyDescent="0.45">
      <c r="A28">
        <v>4</v>
      </c>
      <c r="B28">
        <v>3</v>
      </c>
      <c r="C28" s="32">
        <f t="shared" si="0"/>
        <v>1</v>
      </c>
      <c r="D28">
        <v>4</v>
      </c>
      <c r="E28">
        <v>3</v>
      </c>
      <c r="F28" s="32">
        <f t="shared" si="1"/>
        <v>1</v>
      </c>
      <c r="G28">
        <v>7</v>
      </c>
      <c r="H28">
        <v>1</v>
      </c>
      <c r="I28" s="32">
        <f t="shared" si="2"/>
        <v>6</v>
      </c>
      <c r="J28">
        <v>6</v>
      </c>
      <c r="K28">
        <v>5</v>
      </c>
      <c r="L28" s="32">
        <f t="shared" si="3"/>
        <v>1</v>
      </c>
      <c r="M28">
        <v>4</v>
      </c>
      <c r="N28">
        <v>3</v>
      </c>
      <c r="O28" s="32">
        <f t="shared" si="4"/>
        <v>1</v>
      </c>
      <c r="P28">
        <v>5</v>
      </c>
      <c r="Q28">
        <v>2</v>
      </c>
      <c r="R28" s="32">
        <f t="shared" si="5"/>
        <v>3</v>
      </c>
      <c r="S28">
        <v>4</v>
      </c>
      <c r="T28">
        <v>1</v>
      </c>
      <c r="U28" s="32">
        <f t="shared" si="6"/>
        <v>3</v>
      </c>
      <c r="V28">
        <v>5</v>
      </c>
      <c r="W28">
        <v>3</v>
      </c>
      <c r="X28" s="32">
        <f t="shared" si="7"/>
        <v>2</v>
      </c>
      <c r="Y28">
        <v>5</v>
      </c>
      <c r="Z28">
        <v>4</v>
      </c>
      <c r="AA28" s="32">
        <f t="shared" si="8"/>
        <v>1</v>
      </c>
    </row>
    <row r="29" spans="1:27" x14ac:dyDescent="0.45">
      <c r="A29">
        <v>4</v>
      </c>
      <c r="B29">
        <v>3</v>
      </c>
      <c r="C29" s="32">
        <f t="shared" si="0"/>
        <v>1</v>
      </c>
      <c r="D29">
        <v>4</v>
      </c>
      <c r="E29">
        <v>3</v>
      </c>
      <c r="F29" s="32">
        <f t="shared" si="1"/>
        <v>1</v>
      </c>
      <c r="G29">
        <v>7</v>
      </c>
      <c r="H29">
        <v>1</v>
      </c>
      <c r="I29" s="32">
        <f t="shared" si="2"/>
        <v>6</v>
      </c>
      <c r="J29">
        <v>6</v>
      </c>
      <c r="K29">
        <v>5</v>
      </c>
      <c r="L29" s="32">
        <f t="shared" si="3"/>
        <v>1</v>
      </c>
      <c r="M29">
        <v>4</v>
      </c>
      <c r="N29">
        <v>3</v>
      </c>
      <c r="O29" s="32">
        <f t="shared" si="4"/>
        <v>1</v>
      </c>
      <c r="P29">
        <v>5</v>
      </c>
      <c r="Q29">
        <v>2</v>
      </c>
      <c r="R29" s="32">
        <f t="shared" si="5"/>
        <v>3</v>
      </c>
      <c r="S29">
        <v>4</v>
      </c>
      <c r="T29">
        <v>1</v>
      </c>
      <c r="U29" s="32">
        <f t="shared" si="6"/>
        <v>3</v>
      </c>
      <c r="V29">
        <v>5</v>
      </c>
      <c r="W29">
        <v>3</v>
      </c>
      <c r="X29" s="32">
        <f t="shared" si="7"/>
        <v>2</v>
      </c>
      <c r="Y29">
        <v>5</v>
      </c>
      <c r="Z29">
        <v>4</v>
      </c>
      <c r="AA29" s="32">
        <f t="shared" si="8"/>
        <v>1</v>
      </c>
    </row>
    <row r="30" spans="1:27" x14ac:dyDescent="0.45">
      <c r="A30">
        <v>4</v>
      </c>
      <c r="B30">
        <v>4</v>
      </c>
      <c r="C30" s="32">
        <f t="shared" si="0"/>
        <v>0</v>
      </c>
      <c r="D30">
        <v>4</v>
      </c>
      <c r="E30">
        <v>3</v>
      </c>
      <c r="F30" s="32">
        <f t="shared" si="1"/>
        <v>1</v>
      </c>
      <c r="G30">
        <v>7</v>
      </c>
      <c r="H30">
        <v>1</v>
      </c>
      <c r="I30" s="32">
        <f t="shared" si="2"/>
        <v>6</v>
      </c>
      <c r="J30">
        <v>6</v>
      </c>
      <c r="K30">
        <v>5</v>
      </c>
      <c r="L30" s="32">
        <f t="shared" si="3"/>
        <v>1</v>
      </c>
      <c r="M30">
        <v>4</v>
      </c>
      <c r="N30">
        <v>3</v>
      </c>
      <c r="O30" s="32">
        <f t="shared" si="4"/>
        <v>1</v>
      </c>
      <c r="P30">
        <v>5</v>
      </c>
      <c r="Q30">
        <v>2</v>
      </c>
      <c r="R30" s="32">
        <f t="shared" si="5"/>
        <v>3</v>
      </c>
      <c r="S30">
        <v>4</v>
      </c>
      <c r="T30">
        <v>1</v>
      </c>
      <c r="U30" s="32">
        <f t="shared" si="6"/>
        <v>3</v>
      </c>
      <c r="V30">
        <v>5</v>
      </c>
      <c r="W30">
        <v>3</v>
      </c>
      <c r="X30" s="32">
        <f t="shared" si="7"/>
        <v>2</v>
      </c>
      <c r="Y30">
        <v>5</v>
      </c>
      <c r="Z30">
        <v>4</v>
      </c>
      <c r="AA30" s="32">
        <f t="shared" si="8"/>
        <v>1</v>
      </c>
    </row>
    <row r="31" spans="1:27" x14ac:dyDescent="0.45">
      <c r="A31">
        <v>4</v>
      </c>
      <c r="B31">
        <v>4</v>
      </c>
      <c r="C31" s="32">
        <f t="shared" si="0"/>
        <v>0</v>
      </c>
      <c r="D31">
        <v>4</v>
      </c>
      <c r="E31">
        <v>4</v>
      </c>
      <c r="F31" s="32">
        <f t="shared" si="1"/>
        <v>0</v>
      </c>
      <c r="G31">
        <v>7</v>
      </c>
      <c r="H31">
        <v>2</v>
      </c>
      <c r="I31" s="32">
        <f t="shared" si="2"/>
        <v>5</v>
      </c>
      <c r="J31">
        <v>6</v>
      </c>
      <c r="K31">
        <v>5</v>
      </c>
      <c r="L31" s="32">
        <f t="shared" si="3"/>
        <v>1</v>
      </c>
      <c r="M31">
        <v>4</v>
      </c>
      <c r="N31">
        <v>3</v>
      </c>
      <c r="O31" s="32">
        <f t="shared" si="4"/>
        <v>1</v>
      </c>
      <c r="P31">
        <v>5</v>
      </c>
      <c r="Q31">
        <v>2</v>
      </c>
      <c r="R31" s="32">
        <f t="shared" si="5"/>
        <v>3</v>
      </c>
      <c r="S31">
        <v>4</v>
      </c>
      <c r="T31">
        <v>1</v>
      </c>
      <c r="U31" s="32">
        <f t="shared" si="6"/>
        <v>3</v>
      </c>
      <c r="V31">
        <v>5</v>
      </c>
      <c r="W31">
        <v>3</v>
      </c>
      <c r="X31" s="32">
        <f t="shared" si="7"/>
        <v>2</v>
      </c>
      <c r="Y31">
        <v>5</v>
      </c>
      <c r="Z31">
        <v>4</v>
      </c>
      <c r="AA31" s="32">
        <f t="shared" si="8"/>
        <v>1</v>
      </c>
    </row>
    <row r="32" spans="1:27" x14ac:dyDescent="0.45">
      <c r="A32">
        <v>4</v>
      </c>
      <c r="B32">
        <v>4</v>
      </c>
      <c r="C32" s="32">
        <f t="shared" si="0"/>
        <v>0</v>
      </c>
      <c r="D32">
        <v>4</v>
      </c>
      <c r="E32">
        <v>4</v>
      </c>
      <c r="F32" s="32">
        <f t="shared" si="1"/>
        <v>0</v>
      </c>
      <c r="G32">
        <v>7</v>
      </c>
      <c r="H32">
        <v>2</v>
      </c>
      <c r="I32" s="32">
        <f t="shared" si="2"/>
        <v>5</v>
      </c>
      <c r="J32">
        <v>6</v>
      </c>
      <c r="K32">
        <v>5</v>
      </c>
      <c r="L32" s="32">
        <f t="shared" si="3"/>
        <v>1</v>
      </c>
      <c r="M32">
        <v>4</v>
      </c>
      <c r="N32">
        <v>3</v>
      </c>
      <c r="O32" s="32">
        <f t="shared" si="4"/>
        <v>1</v>
      </c>
      <c r="P32">
        <v>5</v>
      </c>
      <c r="Q32">
        <v>2</v>
      </c>
      <c r="R32" s="32">
        <f t="shared" si="5"/>
        <v>3</v>
      </c>
      <c r="S32">
        <v>4</v>
      </c>
      <c r="T32">
        <v>1</v>
      </c>
      <c r="U32" s="32">
        <f t="shared" si="6"/>
        <v>3</v>
      </c>
      <c r="V32">
        <v>5</v>
      </c>
      <c r="W32">
        <v>3</v>
      </c>
      <c r="X32" s="32">
        <f t="shared" si="7"/>
        <v>2</v>
      </c>
      <c r="Y32">
        <v>5</v>
      </c>
      <c r="Z32">
        <v>4</v>
      </c>
      <c r="AA32" s="32">
        <f t="shared" si="8"/>
        <v>1</v>
      </c>
    </row>
    <row r="33" spans="1:27" x14ac:dyDescent="0.45">
      <c r="A33">
        <v>4</v>
      </c>
      <c r="B33">
        <v>4</v>
      </c>
      <c r="C33" s="32">
        <f t="shared" si="0"/>
        <v>0</v>
      </c>
      <c r="D33">
        <v>4</v>
      </c>
      <c r="E33">
        <v>4</v>
      </c>
      <c r="F33" s="32">
        <f t="shared" si="1"/>
        <v>0</v>
      </c>
      <c r="G33">
        <v>7</v>
      </c>
      <c r="H33">
        <v>2</v>
      </c>
      <c r="I33" s="32">
        <f t="shared" si="2"/>
        <v>5</v>
      </c>
      <c r="J33">
        <v>6</v>
      </c>
      <c r="K33">
        <v>5</v>
      </c>
      <c r="L33" s="32">
        <f t="shared" si="3"/>
        <v>1</v>
      </c>
      <c r="M33">
        <v>4</v>
      </c>
      <c r="N33">
        <v>3</v>
      </c>
      <c r="O33" s="32">
        <f t="shared" si="4"/>
        <v>1</v>
      </c>
      <c r="P33">
        <v>5</v>
      </c>
      <c r="Q33">
        <v>3</v>
      </c>
      <c r="R33" s="32">
        <f t="shared" si="5"/>
        <v>2</v>
      </c>
      <c r="S33">
        <v>4</v>
      </c>
      <c r="T33">
        <v>1</v>
      </c>
      <c r="U33" s="32">
        <f t="shared" si="6"/>
        <v>3</v>
      </c>
      <c r="V33">
        <v>5</v>
      </c>
      <c r="W33">
        <v>4</v>
      </c>
      <c r="X33" s="32">
        <f t="shared" si="7"/>
        <v>1</v>
      </c>
      <c r="Y33">
        <v>5</v>
      </c>
      <c r="Z33">
        <v>4</v>
      </c>
      <c r="AA33" s="32">
        <f t="shared" si="8"/>
        <v>1</v>
      </c>
    </row>
    <row r="34" spans="1:27" x14ac:dyDescent="0.45">
      <c r="A34">
        <v>4</v>
      </c>
      <c r="B34">
        <v>4</v>
      </c>
      <c r="C34" s="32">
        <f t="shared" si="0"/>
        <v>0</v>
      </c>
      <c r="D34">
        <v>4</v>
      </c>
      <c r="E34">
        <v>4</v>
      </c>
      <c r="F34" s="32">
        <f t="shared" si="1"/>
        <v>0</v>
      </c>
      <c r="G34">
        <v>7</v>
      </c>
      <c r="H34">
        <v>2</v>
      </c>
      <c r="I34" s="32">
        <f t="shared" si="2"/>
        <v>5</v>
      </c>
      <c r="J34">
        <v>6</v>
      </c>
      <c r="K34">
        <v>5</v>
      </c>
      <c r="L34" s="32">
        <f t="shared" si="3"/>
        <v>1</v>
      </c>
      <c r="M34">
        <v>4</v>
      </c>
      <c r="N34">
        <v>3</v>
      </c>
      <c r="O34" s="32">
        <f t="shared" si="4"/>
        <v>1</v>
      </c>
      <c r="P34">
        <v>5</v>
      </c>
      <c r="Q34">
        <v>3</v>
      </c>
      <c r="R34" s="32">
        <f t="shared" si="5"/>
        <v>2</v>
      </c>
      <c r="S34">
        <v>4</v>
      </c>
      <c r="T34">
        <v>1</v>
      </c>
      <c r="U34" s="32">
        <f t="shared" si="6"/>
        <v>3</v>
      </c>
      <c r="V34">
        <v>5</v>
      </c>
      <c r="W34">
        <v>4</v>
      </c>
      <c r="X34" s="32">
        <f t="shared" si="7"/>
        <v>1</v>
      </c>
      <c r="Y34">
        <v>5</v>
      </c>
      <c r="Z34">
        <v>4</v>
      </c>
      <c r="AA34" s="32">
        <f t="shared" si="8"/>
        <v>1</v>
      </c>
    </row>
    <row r="35" spans="1:27" x14ac:dyDescent="0.45">
      <c r="A35">
        <v>4</v>
      </c>
      <c r="B35">
        <v>4</v>
      </c>
      <c r="C35" s="32">
        <f t="shared" si="0"/>
        <v>0</v>
      </c>
      <c r="D35">
        <v>4</v>
      </c>
      <c r="E35">
        <v>4</v>
      </c>
      <c r="F35" s="32">
        <f t="shared" si="1"/>
        <v>0</v>
      </c>
      <c r="G35">
        <v>7</v>
      </c>
      <c r="H35">
        <v>2</v>
      </c>
      <c r="I35" s="32">
        <f t="shared" si="2"/>
        <v>5</v>
      </c>
      <c r="J35">
        <v>6</v>
      </c>
      <c r="K35">
        <v>5</v>
      </c>
      <c r="L35" s="32">
        <f t="shared" si="3"/>
        <v>1</v>
      </c>
      <c r="M35">
        <v>4</v>
      </c>
      <c r="N35">
        <v>3</v>
      </c>
      <c r="O35" s="32">
        <f t="shared" si="4"/>
        <v>1</v>
      </c>
      <c r="P35">
        <v>5</v>
      </c>
      <c r="Q35">
        <v>3</v>
      </c>
      <c r="R35" s="32">
        <f t="shared" si="5"/>
        <v>2</v>
      </c>
      <c r="S35">
        <v>4</v>
      </c>
      <c r="T35">
        <v>1</v>
      </c>
      <c r="U35" s="32">
        <f t="shared" si="6"/>
        <v>3</v>
      </c>
      <c r="V35">
        <v>5</v>
      </c>
      <c r="W35">
        <v>4</v>
      </c>
      <c r="X35" s="32">
        <f t="shared" si="7"/>
        <v>1</v>
      </c>
      <c r="Y35">
        <v>5</v>
      </c>
      <c r="Z35">
        <v>4</v>
      </c>
      <c r="AA35" s="32">
        <f t="shared" si="8"/>
        <v>1</v>
      </c>
    </row>
    <row r="36" spans="1:27" x14ac:dyDescent="0.45">
      <c r="A36">
        <v>4</v>
      </c>
      <c r="B36">
        <v>4</v>
      </c>
      <c r="C36" s="32">
        <f t="shared" si="0"/>
        <v>0</v>
      </c>
      <c r="D36">
        <v>4</v>
      </c>
      <c r="E36">
        <v>4</v>
      </c>
      <c r="F36" s="32">
        <f t="shared" si="1"/>
        <v>0</v>
      </c>
      <c r="G36">
        <v>7</v>
      </c>
      <c r="H36">
        <v>2</v>
      </c>
      <c r="I36" s="32">
        <f t="shared" si="2"/>
        <v>5</v>
      </c>
      <c r="J36">
        <v>6</v>
      </c>
      <c r="K36">
        <v>5</v>
      </c>
      <c r="L36" s="32">
        <f t="shared" si="3"/>
        <v>1</v>
      </c>
      <c r="M36">
        <v>4</v>
      </c>
      <c r="N36">
        <v>3</v>
      </c>
      <c r="O36" s="32">
        <f t="shared" si="4"/>
        <v>1</v>
      </c>
      <c r="P36">
        <v>5</v>
      </c>
      <c r="Q36">
        <v>3</v>
      </c>
      <c r="R36" s="32">
        <f t="shared" si="5"/>
        <v>2</v>
      </c>
      <c r="S36">
        <v>4</v>
      </c>
      <c r="T36">
        <v>1</v>
      </c>
      <c r="U36" s="32">
        <f t="shared" si="6"/>
        <v>3</v>
      </c>
      <c r="V36">
        <v>5</v>
      </c>
      <c r="W36">
        <v>4</v>
      </c>
      <c r="X36" s="32">
        <f t="shared" si="7"/>
        <v>1</v>
      </c>
      <c r="Y36">
        <v>5</v>
      </c>
      <c r="Z36">
        <v>4</v>
      </c>
      <c r="AA36" s="32">
        <f t="shared" si="8"/>
        <v>1</v>
      </c>
    </row>
    <row r="37" spans="1:27" x14ac:dyDescent="0.45">
      <c r="A37">
        <v>4</v>
      </c>
      <c r="B37">
        <v>4</v>
      </c>
      <c r="C37" s="32">
        <f t="shared" si="0"/>
        <v>0</v>
      </c>
      <c r="D37">
        <v>4</v>
      </c>
      <c r="E37">
        <v>4</v>
      </c>
      <c r="F37" s="32">
        <f t="shared" si="1"/>
        <v>0</v>
      </c>
      <c r="G37">
        <v>7</v>
      </c>
      <c r="H37">
        <v>2</v>
      </c>
      <c r="I37" s="32">
        <f t="shared" si="2"/>
        <v>5</v>
      </c>
      <c r="J37">
        <v>7</v>
      </c>
      <c r="K37">
        <v>5</v>
      </c>
      <c r="L37" s="32">
        <f t="shared" si="3"/>
        <v>2</v>
      </c>
      <c r="M37">
        <v>4</v>
      </c>
      <c r="N37">
        <v>3</v>
      </c>
      <c r="O37" s="32">
        <f t="shared" si="4"/>
        <v>1</v>
      </c>
      <c r="P37">
        <v>5</v>
      </c>
      <c r="Q37">
        <v>3</v>
      </c>
      <c r="R37" s="32">
        <f t="shared" si="5"/>
        <v>2</v>
      </c>
      <c r="S37">
        <v>4</v>
      </c>
      <c r="T37">
        <v>2</v>
      </c>
      <c r="U37" s="32">
        <f t="shared" si="6"/>
        <v>2</v>
      </c>
      <c r="V37">
        <v>5</v>
      </c>
      <c r="W37">
        <v>4</v>
      </c>
      <c r="X37" s="32">
        <f t="shared" si="7"/>
        <v>1</v>
      </c>
      <c r="Y37">
        <v>5</v>
      </c>
      <c r="Z37">
        <v>5</v>
      </c>
      <c r="AA37" s="32">
        <f t="shared" si="8"/>
        <v>0</v>
      </c>
    </row>
    <row r="38" spans="1:27" x14ac:dyDescent="0.45">
      <c r="A38">
        <v>4</v>
      </c>
      <c r="B38">
        <v>4</v>
      </c>
      <c r="C38" s="32">
        <f t="shared" si="0"/>
        <v>0</v>
      </c>
      <c r="D38">
        <v>4</v>
      </c>
      <c r="E38">
        <v>4</v>
      </c>
      <c r="F38" s="32">
        <f t="shared" si="1"/>
        <v>0</v>
      </c>
      <c r="G38">
        <v>7</v>
      </c>
      <c r="H38">
        <v>2</v>
      </c>
      <c r="I38" s="32">
        <f t="shared" si="2"/>
        <v>5</v>
      </c>
      <c r="J38">
        <v>7</v>
      </c>
      <c r="K38">
        <v>5</v>
      </c>
      <c r="L38" s="32">
        <f t="shared" si="3"/>
        <v>2</v>
      </c>
      <c r="M38">
        <v>4</v>
      </c>
      <c r="N38">
        <v>3</v>
      </c>
      <c r="O38" s="32">
        <f t="shared" si="4"/>
        <v>1</v>
      </c>
      <c r="P38">
        <v>5</v>
      </c>
      <c r="Q38">
        <v>3</v>
      </c>
      <c r="R38" s="32">
        <f t="shared" si="5"/>
        <v>2</v>
      </c>
      <c r="S38">
        <v>4</v>
      </c>
      <c r="T38">
        <v>2</v>
      </c>
      <c r="U38" s="32">
        <f t="shared" si="6"/>
        <v>2</v>
      </c>
      <c r="V38">
        <v>5</v>
      </c>
      <c r="W38">
        <v>4</v>
      </c>
      <c r="X38" s="32">
        <f t="shared" si="7"/>
        <v>1</v>
      </c>
      <c r="Y38">
        <v>5</v>
      </c>
      <c r="Z38">
        <v>5</v>
      </c>
      <c r="AA38" s="32">
        <f t="shared" si="8"/>
        <v>0</v>
      </c>
    </row>
    <row r="39" spans="1:27" x14ac:dyDescent="0.45">
      <c r="A39">
        <v>4</v>
      </c>
      <c r="B39">
        <v>4</v>
      </c>
      <c r="C39" s="32">
        <f t="shared" si="0"/>
        <v>0</v>
      </c>
      <c r="D39">
        <v>4</v>
      </c>
      <c r="E39">
        <v>4</v>
      </c>
      <c r="F39" s="32">
        <f t="shared" si="1"/>
        <v>0</v>
      </c>
      <c r="G39">
        <v>7</v>
      </c>
      <c r="H39">
        <v>2</v>
      </c>
      <c r="I39" s="32">
        <f t="shared" si="2"/>
        <v>5</v>
      </c>
      <c r="J39">
        <v>7</v>
      </c>
      <c r="K39">
        <v>5</v>
      </c>
      <c r="L39" s="32">
        <f t="shared" si="3"/>
        <v>2</v>
      </c>
      <c r="M39">
        <v>4</v>
      </c>
      <c r="N39">
        <v>3</v>
      </c>
      <c r="O39" s="32">
        <f t="shared" si="4"/>
        <v>1</v>
      </c>
      <c r="P39">
        <v>5</v>
      </c>
      <c r="Q39">
        <v>3</v>
      </c>
      <c r="R39" s="32">
        <f t="shared" si="5"/>
        <v>2</v>
      </c>
      <c r="S39">
        <v>4</v>
      </c>
      <c r="T39">
        <v>2</v>
      </c>
      <c r="U39" s="32">
        <f t="shared" si="6"/>
        <v>2</v>
      </c>
      <c r="V39">
        <v>5</v>
      </c>
      <c r="W39">
        <v>4</v>
      </c>
      <c r="X39" s="32">
        <f t="shared" si="7"/>
        <v>1</v>
      </c>
      <c r="Y39">
        <v>5</v>
      </c>
      <c r="Z39">
        <v>5</v>
      </c>
      <c r="AA39" s="32">
        <f t="shared" si="8"/>
        <v>0</v>
      </c>
    </row>
    <row r="40" spans="1:27" x14ac:dyDescent="0.45">
      <c r="A40">
        <v>4</v>
      </c>
      <c r="B40">
        <v>4</v>
      </c>
      <c r="C40" s="32">
        <f t="shared" si="0"/>
        <v>0</v>
      </c>
      <c r="D40">
        <v>4</v>
      </c>
      <c r="E40">
        <v>4</v>
      </c>
      <c r="F40" s="32">
        <f t="shared" si="1"/>
        <v>0</v>
      </c>
      <c r="G40">
        <v>7</v>
      </c>
      <c r="H40">
        <v>2</v>
      </c>
      <c r="I40" s="32">
        <f t="shared" si="2"/>
        <v>5</v>
      </c>
      <c r="J40">
        <v>7</v>
      </c>
      <c r="K40">
        <v>5</v>
      </c>
      <c r="L40" s="32">
        <f t="shared" si="3"/>
        <v>2</v>
      </c>
      <c r="M40">
        <v>4</v>
      </c>
      <c r="N40">
        <v>3</v>
      </c>
      <c r="O40" s="32">
        <f t="shared" si="4"/>
        <v>1</v>
      </c>
      <c r="P40">
        <v>5</v>
      </c>
      <c r="Q40">
        <v>3</v>
      </c>
      <c r="R40" s="32">
        <f t="shared" si="5"/>
        <v>2</v>
      </c>
      <c r="S40">
        <v>4</v>
      </c>
      <c r="T40">
        <v>2</v>
      </c>
      <c r="U40" s="32">
        <f t="shared" si="6"/>
        <v>2</v>
      </c>
      <c r="V40">
        <v>5</v>
      </c>
      <c r="W40">
        <v>4</v>
      </c>
      <c r="X40" s="32">
        <f t="shared" si="7"/>
        <v>1</v>
      </c>
      <c r="Y40">
        <v>5</v>
      </c>
      <c r="Z40">
        <v>5</v>
      </c>
      <c r="AA40" s="32">
        <f t="shared" si="8"/>
        <v>0</v>
      </c>
    </row>
    <row r="41" spans="1:27" x14ac:dyDescent="0.45">
      <c r="A41">
        <v>5</v>
      </c>
      <c r="B41">
        <v>4</v>
      </c>
      <c r="C41" s="32">
        <f t="shared" si="0"/>
        <v>1</v>
      </c>
      <c r="D41">
        <v>4</v>
      </c>
      <c r="E41">
        <v>4</v>
      </c>
      <c r="F41" s="32">
        <f t="shared" si="1"/>
        <v>0</v>
      </c>
      <c r="G41">
        <v>7</v>
      </c>
      <c r="H41">
        <v>2</v>
      </c>
      <c r="I41" s="32">
        <f t="shared" si="2"/>
        <v>5</v>
      </c>
      <c r="J41">
        <v>7</v>
      </c>
      <c r="K41">
        <v>5</v>
      </c>
      <c r="L41" s="32">
        <f t="shared" si="3"/>
        <v>2</v>
      </c>
      <c r="M41">
        <v>4</v>
      </c>
      <c r="N41">
        <v>3</v>
      </c>
      <c r="O41" s="32">
        <f t="shared" si="4"/>
        <v>1</v>
      </c>
      <c r="P41">
        <v>5</v>
      </c>
      <c r="Q41">
        <v>3</v>
      </c>
      <c r="R41" s="32">
        <f t="shared" si="5"/>
        <v>2</v>
      </c>
      <c r="S41">
        <v>4</v>
      </c>
      <c r="T41">
        <v>2</v>
      </c>
      <c r="U41" s="32">
        <f t="shared" si="6"/>
        <v>2</v>
      </c>
      <c r="V41">
        <v>5</v>
      </c>
      <c r="W41">
        <v>4</v>
      </c>
      <c r="X41" s="32">
        <f t="shared" si="7"/>
        <v>1</v>
      </c>
      <c r="Y41">
        <v>5</v>
      </c>
      <c r="Z41">
        <v>5</v>
      </c>
      <c r="AA41" s="32">
        <f t="shared" si="8"/>
        <v>0</v>
      </c>
    </row>
    <row r="42" spans="1:27" x14ac:dyDescent="0.45">
      <c r="A42">
        <v>5</v>
      </c>
      <c r="B42">
        <v>4</v>
      </c>
      <c r="C42" s="32">
        <f t="shared" si="0"/>
        <v>1</v>
      </c>
      <c r="D42">
        <v>4</v>
      </c>
      <c r="E42">
        <v>4</v>
      </c>
      <c r="F42" s="32">
        <f t="shared" si="1"/>
        <v>0</v>
      </c>
      <c r="G42">
        <v>7</v>
      </c>
      <c r="H42">
        <v>3</v>
      </c>
      <c r="I42" s="32">
        <f t="shared" si="2"/>
        <v>4</v>
      </c>
      <c r="J42">
        <v>7</v>
      </c>
      <c r="K42">
        <v>5</v>
      </c>
      <c r="L42" s="32">
        <f t="shared" si="3"/>
        <v>2</v>
      </c>
      <c r="M42">
        <v>4</v>
      </c>
      <c r="N42">
        <v>4</v>
      </c>
      <c r="O42" s="32">
        <f t="shared" si="4"/>
        <v>0</v>
      </c>
      <c r="P42">
        <v>5</v>
      </c>
      <c r="Q42">
        <v>3</v>
      </c>
      <c r="R42" s="32">
        <f t="shared" si="5"/>
        <v>2</v>
      </c>
      <c r="S42">
        <v>4</v>
      </c>
      <c r="T42">
        <v>2</v>
      </c>
      <c r="U42" s="32">
        <f t="shared" si="6"/>
        <v>2</v>
      </c>
      <c r="V42">
        <v>5</v>
      </c>
      <c r="W42">
        <v>4</v>
      </c>
      <c r="X42" s="32">
        <f t="shared" si="7"/>
        <v>1</v>
      </c>
      <c r="Y42">
        <v>5</v>
      </c>
      <c r="Z42">
        <v>5</v>
      </c>
      <c r="AA42" s="32">
        <f t="shared" si="8"/>
        <v>0</v>
      </c>
    </row>
    <row r="43" spans="1:27" x14ac:dyDescent="0.45">
      <c r="A43">
        <v>5</v>
      </c>
      <c r="B43">
        <v>4</v>
      </c>
      <c r="C43" s="32">
        <f t="shared" si="0"/>
        <v>1</v>
      </c>
      <c r="D43">
        <v>4</v>
      </c>
      <c r="E43">
        <v>4</v>
      </c>
      <c r="F43" s="32">
        <f t="shared" si="1"/>
        <v>0</v>
      </c>
      <c r="G43">
        <v>7</v>
      </c>
      <c r="H43">
        <v>3</v>
      </c>
      <c r="I43" s="32">
        <f t="shared" si="2"/>
        <v>4</v>
      </c>
      <c r="J43">
        <v>7</v>
      </c>
      <c r="K43">
        <v>5</v>
      </c>
      <c r="L43" s="32">
        <f t="shared" si="3"/>
        <v>2</v>
      </c>
      <c r="M43">
        <v>4</v>
      </c>
      <c r="N43">
        <v>4</v>
      </c>
      <c r="O43" s="32">
        <f t="shared" si="4"/>
        <v>0</v>
      </c>
      <c r="P43">
        <v>5</v>
      </c>
      <c r="Q43">
        <v>3</v>
      </c>
      <c r="R43" s="32">
        <f t="shared" si="5"/>
        <v>2</v>
      </c>
      <c r="S43">
        <v>4</v>
      </c>
      <c r="T43">
        <v>2</v>
      </c>
      <c r="U43" s="32">
        <f t="shared" si="6"/>
        <v>2</v>
      </c>
      <c r="V43">
        <v>5</v>
      </c>
      <c r="W43">
        <v>4</v>
      </c>
      <c r="X43" s="32">
        <f t="shared" si="7"/>
        <v>1</v>
      </c>
      <c r="Y43">
        <v>5</v>
      </c>
      <c r="Z43">
        <v>5</v>
      </c>
      <c r="AA43" s="32">
        <f t="shared" si="8"/>
        <v>0</v>
      </c>
    </row>
    <row r="44" spans="1:27" x14ac:dyDescent="0.45">
      <c r="A44">
        <v>5</v>
      </c>
      <c r="B44">
        <v>4</v>
      </c>
      <c r="C44" s="32">
        <f t="shared" si="0"/>
        <v>1</v>
      </c>
      <c r="D44">
        <v>4</v>
      </c>
      <c r="E44">
        <v>4</v>
      </c>
      <c r="F44" s="32">
        <f t="shared" si="1"/>
        <v>0</v>
      </c>
      <c r="G44">
        <v>7</v>
      </c>
      <c r="H44">
        <v>3</v>
      </c>
      <c r="I44" s="32">
        <f t="shared" si="2"/>
        <v>4</v>
      </c>
      <c r="J44">
        <v>7</v>
      </c>
      <c r="K44">
        <v>5</v>
      </c>
      <c r="L44" s="32">
        <f t="shared" si="3"/>
        <v>2</v>
      </c>
      <c r="M44">
        <v>4</v>
      </c>
      <c r="N44">
        <v>4</v>
      </c>
      <c r="O44" s="32">
        <f t="shared" si="4"/>
        <v>0</v>
      </c>
      <c r="P44">
        <v>5</v>
      </c>
      <c r="Q44">
        <v>3</v>
      </c>
      <c r="R44" s="32">
        <f t="shared" si="5"/>
        <v>2</v>
      </c>
      <c r="S44">
        <v>4</v>
      </c>
      <c r="T44">
        <v>2</v>
      </c>
      <c r="U44" s="32">
        <f t="shared" si="6"/>
        <v>2</v>
      </c>
      <c r="V44">
        <v>5</v>
      </c>
      <c r="W44">
        <v>4</v>
      </c>
      <c r="X44" s="32">
        <f t="shared" si="7"/>
        <v>1</v>
      </c>
      <c r="Y44">
        <v>5</v>
      </c>
      <c r="Z44">
        <v>5</v>
      </c>
      <c r="AA44" s="32">
        <f t="shared" si="8"/>
        <v>0</v>
      </c>
    </row>
    <row r="45" spans="1:27" x14ac:dyDescent="0.45">
      <c r="A45">
        <v>5</v>
      </c>
      <c r="B45">
        <v>4</v>
      </c>
      <c r="C45" s="32">
        <f t="shared" si="0"/>
        <v>1</v>
      </c>
      <c r="D45">
        <v>4</v>
      </c>
      <c r="E45">
        <v>4</v>
      </c>
      <c r="F45" s="32">
        <f t="shared" si="1"/>
        <v>0</v>
      </c>
      <c r="G45">
        <v>7</v>
      </c>
      <c r="H45">
        <v>3</v>
      </c>
      <c r="I45" s="32">
        <f t="shared" si="2"/>
        <v>4</v>
      </c>
      <c r="J45">
        <v>7</v>
      </c>
      <c r="K45">
        <v>5</v>
      </c>
      <c r="L45" s="32">
        <f t="shared" si="3"/>
        <v>2</v>
      </c>
      <c r="M45">
        <v>4</v>
      </c>
      <c r="N45">
        <v>4</v>
      </c>
      <c r="O45" s="32">
        <f t="shared" si="4"/>
        <v>0</v>
      </c>
      <c r="P45">
        <v>5</v>
      </c>
      <c r="Q45">
        <v>3</v>
      </c>
      <c r="R45" s="32">
        <f t="shared" si="5"/>
        <v>2</v>
      </c>
      <c r="S45">
        <v>5</v>
      </c>
      <c r="T45">
        <v>2</v>
      </c>
      <c r="U45" s="32">
        <f t="shared" si="6"/>
        <v>3</v>
      </c>
      <c r="V45">
        <v>5</v>
      </c>
      <c r="W45">
        <v>4</v>
      </c>
      <c r="X45" s="32">
        <f t="shared" si="7"/>
        <v>1</v>
      </c>
      <c r="Y45">
        <v>5</v>
      </c>
      <c r="Z45">
        <v>5</v>
      </c>
      <c r="AA45" s="32">
        <f t="shared" si="8"/>
        <v>0</v>
      </c>
    </row>
    <row r="46" spans="1:27" x14ac:dyDescent="0.45">
      <c r="A46">
        <v>5</v>
      </c>
      <c r="B46">
        <v>4</v>
      </c>
      <c r="C46" s="32">
        <f t="shared" si="0"/>
        <v>1</v>
      </c>
      <c r="D46">
        <v>4</v>
      </c>
      <c r="E46">
        <v>4</v>
      </c>
      <c r="F46" s="32">
        <f t="shared" si="1"/>
        <v>0</v>
      </c>
      <c r="G46">
        <v>7</v>
      </c>
      <c r="H46">
        <v>3</v>
      </c>
      <c r="I46" s="32">
        <f t="shared" si="2"/>
        <v>4</v>
      </c>
      <c r="J46">
        <v>7</v>
      </c>
      <c r="K46">
        <v>5</v>
      </c>
      <c r="L46" s="32">
        <f t="shared" si="3"/>
        <v>2</v>
      </c>
      <c r="M46">
        <v>4</v>
      </c>
      <c r="N46">
        <v>4</v>
      </c>
      <c r="O46" s="32">
        <f t="shared" si="4"/>
        <v>0</v>
      </c>
      <c r="P46">
        <v>5</v>
      </c>
      <c r="Q46">
        <v>3</v>
      </c>
      <c r="R46" s="32">
        <f t="shared" si="5"/>
        <v>2</v>
      </c>
      <c r="S46">
        <v>5</v>
      </c>
      <c r="T46">
        <v>2</v>
      </c>
      <c r="U46" s="32">
        <f t="shared" si="6"/>
        <v>3</v>
      </c>
      <c r="V46">
        <v>5</v>
      </c>
      <c r="W46">
        <v>4</v>
      </c>
      <c r="X46" s="32">
        <f t="shared" si="7"/>
        <v>1</v>
      </c>
      <c r="Y46">
        <v>5</v>
      </c>
      <c r="Z46">
        <v>5</v>
      </c>
      <c r="AA46" s="32">
        <f t="shared" si="8"/>
        <v>0</v>
      </c>
    </row>
    <row r="47" spans="1:27" x14ac:dyDescent="0.45">
      <c r="A47">
        <v>5</v>
      </c>
      <c r="B47">
        <v>4</v>
      </c>
      <c r="C47" s="32">
        <f t="shared" si="0"/>
        <v>1</v>
      </c>
      <c r="D47">
        <v>4</v>
      </c>
      <c r="E47">
        <v>5</v>
      </c>
      <c r="F47" s="32">
        <f t="shared" si="1"/>
        <v>1</v>
      </c>
      <c r="G47">
        <v>7</v>
      </c>
      <c r="H47">
        <v>3</v>
      </c>
      <c r="I47" s="32">
        <f t="shared" si="2"/>
        <v>4</v>
      </c>
      <c r="J47">
        <v>7</v>
      </c>
      <c r="K47">
        <v>5</v>
      </c>
      <c r="L47" s="32">
        <f t="shared" si="3"/>
        <v>2</v>
      </c>
      <c r="M47">
        <v>4</v>
      </c>
      <c r="N47">
        <v>4</v>
      </c>
      <c r="O47" s="32">
        <f t="shared" si="4"/>
        <v>0</v>
      </c>
      <c r="P47">
        <v>5</v>
      </c>
      <c r="Q47">
        <v>3</v>
      </c>
      <c r="R47" s="32">
        <f t="shared" si="5"/>
        <v>2</v>
      </c>
      <c r="S47">
        <v>5</v>
      </c>
      <c r="T47">
        <v>2</v>
      </c>
      <c r="U47" s="32">
        <f t="shared" si="6"/>
        <v>3</v>
      </c>
      <c r="V47">
        <v>5</v>
      </c>
      <c r="W47">
        <v>4</v>
      </c>
      <c r="X47" s="32">
        <f t="shared" si="7"/>
        <v>1</v>
      </c>
      <c r="Y47">
        <v>5</v>
      </c>
      <c r="Z47">
        <v>5</v>
      </c>
      <c r="AA47" s="32">
        <f t="shared" si="8"/>
        <v>0</v>
      </c>
    </row>
    <row r="48" spans="1:27" x14ac:dyDescent="0.45">
      <c r="A48">
        <v>5</v>
      </c>
      <c r="B48">
        <v>4</v>
      </c>
      <c r="C48" s="32">
        <f t="shared" si="0"/>
        <v>1</v>
      </c>
      <c r="D48">
        <v>5</v>
      </c>
      <c r="E48">
        <v>5</v>
      </c>
      <c r="F48" s="32">
        <f t="shared" si="1"/>
        <v>0</v>
      </c>
      <c r="G48">
        <v>7</v>
      </c>
      <c r="H48">
        <v>3</v>
      </c>
      <c r="I48" s="32">
        <f t="shared" si="2"/>
        <v>4</v>
      </c>
      <c r="J48">
        <v>7</v>
      </c>
      <c r="K48">
        <v>5</v>
      </c>
      <c r="L48" s="32">
        <f t="shared" si="3"/>
        <v>2</v>
      </c>
      <c r="M48">
        <v>4</v>
      </c>
      <c r="N48">
        <v>4</v>
      </c>
      <c r="O48" s="32">
        <f t="shared" si="4"/>
        <v>0</v>
      </c>
      <c r="P48">
        <v>5</v>
      </c>
      <c r="Q48">
        <v>3</v>
      </c>
      <c r="R48" s="32">
        <f t="shared" si="5"/>
        <v>2</v>
      </c>
      <c r="S48">
        <v>5</v>
      </c>
      <c r="T48">
        <v>2</v>
      </c>
      <c r="U48" s="32">
        <f t="shared" si="6"/>
        <v>3</v>
      </c>
      <c r="V48">
        <v>5</v>
      </c>
      <c r="W48">
        <v>5</v>
      </c>
      <c r="X48" s="32">
        <f t="shared" si="7"/>
        <v>0</v>
      </c>
      <c r="Y48">
        <v>5</v>
      </c>
      <c r="Z48">
        <v>5</v>
      </c>
      <c r="AA48" s="32">
        <f t="shared" si="8"/>
        <v>0</v>
      </c>
    </row>
    <row r="49" spans="1:27" x14ac:dyDescent="0.45">
      <c r="A49">
        <v>5</v>
      </c>
      <c r="B49">
        <v>4</v>
      </c>
      <c r="C49" s="32">
        <f t="shared" si="0"/>
        <v>1</v>
      </c>
      <c r="D49">
        <v>5</v>
      </c>
      <c r="E49">
        <v>5</v>
      </c>
      <c r="F49" s="32">
        <f t="shared" si="1"/>
        <v>0</v>
      </c>
      <c r="G49">
        <v>7</v>
      </c>
      <c r="H49">
        <v>3</v>
      </c>
      <c r="I49" s="32">
        <f t="shared" si="2"/>
        <v>4</v>
      </c>
      <c r="J49">
        <v>7</v>
      </c>
      <c r="K49">
        <v>5</v>
      </c>
      <c r="L49" s="32">
        <f t="shared" si="3"/>
        <v>2</v>
      </c>
      <c r="M49">
        <v>4</v>
      </c>
      <c r="N49">
        <v>4</v>
      </c>
      <c r="O49" s="32">
        <f t="shared" si="4"/>
        <v>0</v>
      </c>
      <c r="P49">
        <v>5</v>
      </c>
      <c r="Q49">
        <v>3</v>
      </c>
      <c r="R49" s="32">
        <f t="shared" si="5"/>
        <v>2</v>
      </c>
      <c r="S49">
        <v>5</v>
      </c>
      <c r="T49">
        <v>2</v>
      </c>
      <c r="U49" s="32">
        <f t="shared" si="6"/>
        <v>3</v>
      </c>
      <c r="V49">
        <v>5</v>
      </c>
      <c r="W49">
        <v>5</v>
      </c>
      <c r="X49" s="32">
        <f t="shared" si="7"/>
        <v>0</v>
      </c>
      <c r="Y49">
        <v>5</v>
      </c>
      <c r="Z49">
        <v>5</v>
      </c>
      <c r="AA49" s="32">
        <f t="shared" si="8"/>
        <v>0</v>
      </c>
    </row>
    <row r="50" spans="1:27" x14ac:dyDescent="0.45">
      <c r="A50">
        <v>5</v>
      </c>
      <c r="B50">
        <v>4</v>
      </c>
      <c r="C50" s="32">
        <f t="shared" si="0"/>
        <v>1</v>
      </c>
      <c r="D50">
        <v>5</v>
      </c>
      <c r="E50">
        <v>5</v>
      </c>
      <c r="F50" s="32">
        <f t="shared" si="1"/>
        <v>0</v>
      </c>
      <c r="G50">
        <v>7</v>
      </c>
      <c r="H50">
        <v>3</v>
      </c>
      <c r="I50" s="32">
        <f t="shared" si="2"/>
        <v>4</v>
      </c>
      <c r="J50">
        <v>7</v>
      </c>
      <c r="K50">
        <v>5</v>
      </c>
      <c r="L50" s="32">
        <f t="shared" si="3"/>
        <v>2</v>
      </c>
      <c r="M50">
        <v>4</v>
      </c>
      <c r="N50">
        <v>4</v>
      </c>
      <c r="O50" s="32">
        <f t="shared" si="4"/>
        <v>0</v>
      </c>
      <c r="P50">
        <v>5</v>
      </c>
      <c r="Q50">
        <v>3</v>
      </c>
      <c r="R50" s="32">
        <f t="shared" si="5"/>
        <v>2</v>
      </c>
      <c r="S50">
        <v>5</v>
      </c>
      <c r="T50">
        <v>3</v>
      </c>
      <c r="U50" s="32">
        <f t="shared" si="6"/>
        <v>2</v>
      </c>
      <c r="V50">
        <v>5</v>
      </c>
      <c r="W50">
        <v>5</v>
      </c>
      <c r="X50" s="32">
        <f t="shared" si="7"/>
        <v>0</v>
      </c>
      <c r="Y50">
        <v>5</v>
      </c>
      <c r="Z50">
        <v>5</v>
      </c>
      <c r="AA50" s="32">
        <f t="shared" si="8"/>
        <v>0</v>
      </c>
    </row>
    <row r="51" spans="1:27" x14ac:dyDescent="0.45">
      <c r="A51">
        <v>5</v>
      </c>
      <c r="B51">
        <v>4</v>
      </c>
      <c r="C51" s="32">
        <f t="shared" si="0"/>
        <v>1</v>
      </c>
      <c r="D51">
        <v>5</v>
      </c>
      <c r="E51">
        <v>5</v>
      </c>
      <c r="F51" s="32">
        <f t="shared" si="1"/>
        <v>0</v>
      </c>
      <c r="G51">
        <v>7</v>
      </c>
      <c r="H51">
        <v>3</v>
      </c>
      <c r="I51" s="32">
        <f t="shared" si="2"/>
        <v>4</v>
      </c>
      <c r="J51">
        <v>7</v>
      </c>
      <c r="K51">
        <v>5</v>
      </c>
      <c r="L51" s="32">
        <f t="shared" si="3"/>
        <v>2</v>
      </c>
      <c r="M51">
        <v>4</v>
      </c>
      <c r="N51">
        <v>4</v>
      </c>
      <c r="O51" s="32">
        <f t="shared" si="4"/>
        <v>0</v>
      </c>
      <c r="P51">
        <v>5</v>
      </c>
      <c r="Q51">
        <v>3</v>
      </c>
      <c r="R51" s="32">
        <f t="shared" si="5"/>
        <v>2</v>
      </c>
      <c r="S51">
        <v>5</v>
      </c>
      <c r="T51">
        <v>3</v>
      </c>
      <c r="U51" s="32">
        <f t="shared" si="6"/>
        <v>2</v>
      </c>
      <c r="V51">
        <v>5</v>
      </c>
      <c r="W51">
        <v>5</v>
      </c>
      <c r="X51" s="32">
        <f t="shared" si="7"/>
        <v>0</v>
      </c>
      <c r="Y51">
        <v>5</v>
      </c>
      <c r="Z51">
        <v>5</v>
      </c>
      <c r="AA51" s="32">
        <f t="shared" si="8"/>
        <v>0</v>
      </c>
    </row>
    <row r="52" spans="1:27" x14ac:dyDescent="0.45">
      <c r="A52">
        <v>5</v>
      </c>
      <c r="B52">
        <v>4</v>
      </c>
      <c r="C52" s="32">
        <f t="shared" si="0"/>
        <v>1</v>
      </c>
      <c r="D52">
        <v>5</v>
      </c>
      <c r="E52">
        <v>5</v>
      </c>
      <c r="F52" s="32">
        <f t="shared" si="1"/>
        <v>0</v>
      </c>
      <c r="G52">
        <v>7</v>
      </c>
      <c r="H52">
        <v>3</v>
      </c>
      <c r="I52" s="32">
        <f t="shared" si="2"/>
        <v>4</v>
      </c>
      <c r="J52">
        <v>7</v>
      </c>
      <c r="K52">
        <v>5</v>
      </c>
      <c r="L52" s="32">
        <f t="shared" si="3"/>
        <v>2</v>
      </c>
      <c r="M52">
        <v>4</v>
      </c>
      <c r="N52">
        <v>4</v>
      </c>
      <c r="O52" s="32">
        <f t="shared" si="4"/>
        <v>0</v>
      </c>
      <c r="P52">
        <v>5</v>
      </c>
      <c r="Q52">
        <v>3</v>
      </c>
      <c r="R52" s="32">
        <f t="shared" si="5"/>
        <v>2</v>
      </c>
      <c r="S52">
        <v>5</v>
      </c>
      <c r="T52">
        <v>3</v>
      </c>
      <c r="U52" s="32">
        <f t="shared" si="6"/>
        <v>2</v>
      </c>
      <c r="V52">
        <v>5</v>
      </c>
      <c r="W52">
        <v>5</v>
      </c>
      <c r="X52" s="32">
        <f t="shared" si="7"/>
        <v>0</v>
      </c>
      <c r="Y52">
        <v>5</v>
      </c>
      <c r="Z52">
        <v>5</v>
      </c>
      <c r="AA52" s="32">
        <f t="shared" si="8"/>
        <v>0</v>
      </c>
    </row>
    <row r="53" spans="1:27" x14ac:dyDescent="0.45">
      <c r="A53">
        <v>5</v>
      </c>
      <c r="B53">
        <v>4</v>
      </c>
      <c r="C53" s="32">
        <f t="shared" si="0"/>
        <v>1</v>
      </c>
      <c r="D53">
        <v>5</v>
      </c>
      <c r="E53">
        <v>5</v>
      </c>
      <c r="F53" s="32">
        <f t="shared" si="1"/>
        <v>0</v>
      </c>
      <c r="G53">
        <v>7</v>
      </c>
      <c r="H53">
        <v>3</v>
      </c>
      <c r="I53" s="32">
        <f t="shared" si="2"/>
        <v>4</v>
      </c>
      <c r="J53">
        <v>7</v>
      </c>
      <c r="K53">
        <v>5</v>
      </c>
      <c r="L53" s="32">
        <f t="shared" si="3"/>
        <v>2</v>
      </c>
      <c r="M53">
        <v>4</v>
      </c>
      <c r="N53">
        <v>4</v>
      </c>
      <c r="O53" s="32">
        <f t="shared" si="4"/>
        <v>0</v>
      </c>
      <c r="P53">
        <v>5</v>
      </c>
      <c r="Q53">
        <v>3</v>
      </c>
      <c r="R53" s="32">
        <f t="shared" si="5"/>
        <v>2</v>
      </c>
      <c r="S53">
        <v>5</v>
      </c>
      <c r="T53">
        <v>3</v>
      </c>
      <c r="U53" s="32">
        <f t="shared" si="6"/>
        <v>2</v>
      </c>
      <c r="V53">
        <v>5</v>
      </c>
      <c r="W53">
        <v>5</v>
      </c>
      <c r="X53" s="32">
        <f t="shared" si="7"/>
        <v>0</v>
      </c>
      <c r="Y53">
        <v>5</v>
      </c>
      <c r="Z53">
        <v>5</v>
      </c>
      <c r="AA53" s="32">
        <f t="shared" si="8"/>
        <v>0</v>
      </c>
    </row>
    <row r="54" spans="1:27" x14ac:dyDescent="0.45">
      <c r="A54">
        <v>5</v>
      </c>
      <c r="B54">
        <v>4</v>
      </c>
      <c r="C54" s="32">
        <f t="shared" si="0"/>
        <v>1</v>
      </c>
      <c r="D54">
        <v>5</v>
      </c>
      <c r="E54">
        <v>5</v>
      </c>
      <c r="F54" s="32">
        <f t="shared" si="1"/>
        <v>0</v>
      </c>
      <c r="G54">
        <v>7</v>
      </c>
      <c r="H54">
        <v>3</v>
      </c>
      <c r="I54" s="32">
        <f t="shared" si="2"/>
        <v>4</v>
      </c>
      <c r="J54">
        <v>7</v>
      </c>
      <c r="K54">
        <v>5</v>
      </c>
      <c r="L54" s="32">
        <f t="shared" si="3"/>
        <v>2</v>
      </c>
      <c r="M54">
        <v>4</v>
      </c>
      <c r="N54">
        <v>4</v>
      </c>
      <c r="O54" s="32">
        <f t="shared" si="4"/>
        <v>0</v>
      </c>
      <c r="P54">
        <v>5</v>
      </c>
      <c r="Q54">
        <v>3</v>
      </c>
      <c r="R54" s="32">
        <f t="shared" si="5"/>
        <v>2</v>
      </c>
      <c r="S54">
        <v>5</v>
      </c>
      <c r="T54">
        <v>3</v>
      </c>
      <c r="U54" s="32">
        <f t="shared" si="6"/>
        <v>2</v>
      </c>
      <c r="V54">
        <v>5</v>
      </c>
      <c r="W54">
        <v>5</v>
      </c>
      <c r="X54" s="32">
        <f t="shared" si="7"/>
        <v>0</v>
      </c>
      <c r="Y54">
        <v>5</v>
      </c>
      <c r="Z54">
        <v>5</v>
      </c>
      <c r="AA54" s="32">
        <f t="shared" si="8"/>
        <v>0</v>
      </c>
    </row>
    <row r="55" spans="1:27" x14ac:dyDescent="0.45">
      <c r="A55">
        <v>5</v>
      </c>
      <c r="B55">
        <v>4</v>
      </c>
      <c r="C55" s="32">
        <f t="shared" si="0"/>
        <v>1</v>
      </c>
      <c r="D55">
        <v>5</v>
      </c>
      <c r="E55">
        <v>5</v>
      </c>
      <c r="F55" s="32">
        <f t="shared" si="1"/>
        <v>0</v>
      </c>
      <c r="G55">
        <v>7</v>
      </c>
      <c r="H55">
        <v>3</v>
      </c>
      <c r="I55" s="32">
        <f t="shared" si="2"/>
        <v>4</v>
      </c>
      <c r="J55">
        <v>7</v>
      </c>
      <c r="K55">
        <v>5</v>
      </c>
      <c r="L55" s="32">
        <f t="shared" si="3"/>
        <v>2</v>
      </c>
      <c r="M55">
        <v>4</v>
      </c>
      <c r="N55">
        <v>4</v>
      </c>
      <c r="O55" s="32">
        <f t="shared" si="4"/>
        <v>0</v>
      </c>
      <c r="P55">
        <v>6</v>
      </c>
      <c r="Q55">
        <v>4</v>
      </c>
      <c r="R55" s="32">
        <f t="shared" si="5"/>
        <v>2</v>
      </c>
      <c r="S55">
        <v>5</v>
      </c>
      <c r="T55">
        <v>3</v>
      </c>
      <c r="U55" s="32">
        <f t="shared" si="6"/>
        <v>2</v>
      </c>
      <c r="V55">
        <v>5</v>
      </c>
      <c r="W55">
        <v>5</v>
      </c>
      <c r="X55" s="32">
        <f t="shared" si="7"/>
        <v>0</v>
      </c>
      <c r="Y55">
        <v>5</v>
      </c>
      <c r="Z55">
        <v>5</v>
      </c>
      <c r="AA55" s="32">
        <f t="shared" si="8"/>
        <v>0</v>
      </c>
    </row>
    <row r="56" spans="1:27" x14ac:dyDescent="0.45">
      <c r="A56">
        <v>5</v>
      </c>
      <c r="B56">
        <v>4</v>
      </c>
      <c r="C56" s="32">
        <f t="shared" si="0"/>
        <v>1</v>
      </c>
      <c r="D56">
        <v>5</v>
      </c>
      <c r="E56">
        <v>5</v>
      </c>
      <c r="F56" s="32">
        <f t="shared" si="1"/>
        <v>0</v>
      </c>
      <c r="G56">
        <v>7</v>
      </c>
      <c r="H56">
        <v>3</v>
      </c>
      <c r="I56" s="32">
        <f t="shared" si="2"/>
        <v>4</v>
      </c>
      <c r="J56">
        <v>7</v>
      </c>
      <c r="K56">
        <v>5</v>
      </c>
      <c r="L56" s="32">
        <f t="shared" si="3"/>
        <v>2</v>
      </c>
      <c r="M56">
        <v>4</v>
      </c>
      <c r="N56">
        <v>4</v>
      </c>
      <c r="O56" s="32">
        <f t="shared" si="4"/>
        <v>0</v>
      </c>
      <c r="P56">
        <v>6</v>
      </c>
      <c r="Q56">
        <v>4</v>
      </c>
      <c r="R56" s="32">
        <f t="shared" si="5"/>
        <v>2</v>
      </c>
      <c r="S56">
        <v>5</v>
      </c>
      <c r="T56">
        <v>3</v>
      </c>
      <c r="U56" s="32">
        <f t="shared" si="6"/>
        <v>2</v>
      </c>
      <c r="V56">
        <v>5</v>
      </c>
      <c r="W56">
        <v>5</v>
      </c>
      <c r="X56" s="32">
        <f t="shared" si="7"/>
        <v>0</v>
      </c>
      <c r="Y56">
        <v>5</v>
      </c>
      <c r="Z56">
        <v>5</v>
      </c>
      <c r="AA56" s="32">
        <f t="shared" si="8"/>
        <v>0</v>
      </c>
    </row>
    <row r="57" spans="1:27" x14ac:dyDescent="0.45">
      <c r="A57">
        <v>5</v>
      </c>
      <c r="B57">
        <v>5</v>
      </c>
      <c r="C57" s="32">
        <f t="shared" si="0"/>
        <v>0</v>
      </c>
      <c r="D57">
        <v>5</v>
      </c>
      <c r="E57">
        <v>5</v>
      </c>
      <c r="F57" s="32">
        <f t="shared" si="1"/>
        <v>0</v>
      </c>
      <c r="G57">
        <v>7</v>
      </c>
      <c r="H57">
        <v>3</v>
      </c>
      <c r="I57" s="32">
        <f t="shared" si="2"/>
        <v>4</v>
      </c>
      <c r="J57">
        <v>7</v>
      </c>
      <c r="K57">
        <v>5</v>
      </c>
      <c r="L57" s="32">
        <f t="shared" si="3"/>
        <v>2</v>
      </c>
      <c r="M57">
        <v>5</v>
      </c>
      <c r="N57">
        <v>4</v>
      </c>
      <c r="O57" s="32">
        <f t="shared" si="4"/>
        <v>1</v>
      </c>
      <c r="P57">
        <v>6</v>
      </c>
      <c r="Q57">
        <v>4</v>
      </c>
      <c r="R57" s="32">
        <f t="shared" si="5"/>
        <v>2</v>
      </c>
      <c r="S57">
        <v>5</v>
      </c>
      <c r="T57">
        <v>3</v>
      </c>
      <c r="U57" s="32">
        <f t="shared" si="6"/>
        <v>2</v>
      </c>
      <c r="V57">
        <v>5</v>
      </c>
      <c r="W57">
        <v>5</v>
      </c>
      <c r="X57" s="32">
        <f t="shared" si="7"/>
        <v>0</v>
      </c>
      <c r="Y57">
        <v>5</v>
      </c>
      <c r="Z57">
        <v>5</v>
      </c>
      <c r="AA57" s="32">
        <f t="shared" si="8"/>
        <v>0</v>
      </c>
    </row>
    <row r="58" spans="1:27" x14ac:dyDescent="0.45">
      <c r="A58">
        <v>5</v>
      </c>
      <c r="B58">
        <v>5</v>
      </c>
      <c r="C58" s="32">
        <f t="shared" si="0"/>
        <v>0</v>
      </c>
      <c r="D58">
        <v>5</v>
      </c>
      <c r="E58">
        <v>5</v>
      </c>
      <c r="F58" s="32">
        <f t="shared" si="1"/>
        <v>0</v>
      </c>
      <c r="G58">
        <v>7</v>
      </c>
      <c r="H58">
        <v>3</v>
      </c>
      <c r="I58" s="32">
        <f t="shared" si="2"/>
        <v>4</v>
      </c>
      <c r="J58">
        <v>7</v>
      </c>
      <c r="K58">
        <v>5</v>
      </c>
      <c r="L58" s="32">
        <f t="shared" si="3"/>
        <v>2</v>
      </c>
      <c r="M58">
        <v>5</v>
      </c>
      <c r="N58">
        <v>4</v>
      </c>
      <c r="O58" s="32">
        <f t="shared" si="4"/>
        <v>1</v>
      </c>
      <c r="P58">
        <v>6</v>
      </c>
      <c r="Q58">
        <v>4</v>
      </c>
      <c r="R58" s="32">
        <f t="shared" si="5"/>
        <v>2</v>
      </c>
      <c r="S58">
        <v>5</v>
      </c>
      <c r="T58">
        <v>3</v>
      </c>
      <c r="U58" s="32">
        <f t="shared" si="6"/>
        <v>2</v>
      </c>
      <c r="V58">
        <v>5</v>
      </c>
      <c r="W58">
        <v>5</v>
      </c>
      <c r="X58" s="32">
        <f t="shared" si="7"/>
        <v>0</v>
      </c>
      <c r="Y58">
        <v>5</v>
      </c>
      <c r="Z58">
        <v>5</v>
      </c>
      <c r="AA58" s="32">
        <f t="shared" si="8"/>
        <v>0</v>
      </c>
    </row>
    <row r="59" spans="1:27" x14ac:dyDescent="0.45">
      <c r="A59">
        <v>5</v>
      </c>
      <c r="B59">
        <v>5</v>
      </c>
      <c r="C59" s="32">
        <f t="shared" si="0"/>
        <v>0</v>
      </c>
      <c r="D59">
        <v>5</v>
      </c>
      <c r="E59">
        <v>5</v>
      </c>
      <c r="F59" s="32">
        <f t="shared" si="1"/>
        <v>0</v>
      </c>
      <c r="G59">
        <v>7</v>
      </c>
      <c r="H59">
        <v>3</v>
      </c>
      <c r="I59" s="32">
        <f t="shared" si="2"/>
        <v>4</v>
      </c>
      <c r="J59">
        <v>7</v>
      </c>
      <c r="K59">
        <v>5</v>
      </c>
      <c r="L59" s="32">
        <f t="shared" si="3"/>
        <v>2</v>
      </c>
      <c r="M59">
        <v>5</v>
      </c>
      <c r="N59">
        <v>5</v>
      </c>
      <c r="O59" s="32">
        <f t="shared" si="4"/>
        <v>0</v>
      </c>
      <c r="P59">
        <v>6</v>
      </c>
      <c r="Q59">
        <v>4</v>
      </c>
      <c r="R59" s="32">
        <f t="shared" si="5"/>
        <v>2</v>
      </c>
      <c r="S59">
        <v>5</v>
      </c>
      <c r="T59">
        <v>4</v>
      </c>
      <c r="U59" s="32">
        <f t="shared" si="6"/>
        <v>1</v>
      </c>
      <c r="V59">
        <v>5</v>
      </c>
      <c r="W59">
        <v>5</v>
      </c>
      <c r="X59" s="32">
        <f t="shared" si="7"/>
        <v>0</v>
      </c>
      <c r="Y59">
        <v>5</v>
      </c>
      <c r="Z59">
        <v>5</v>
      </c>
      <c r="AA59" s="32">
        <f t="shared" si="8"/>
        <v>0</v>
      </c>
    </row>
    <row r="60" spans="1:27" x14ac:dyDescent="0.45">
      <c r="A60">
        <v>5</v>
      </c>
      <c r="B60">
        <v>5</v>
      </c>
      <c r="C60" s="32">
        <f t="shared" si="0"/>
        <v>0</v>
      </c>
      <c r="D60">
        <v>5</v>
      </c>
      <c r="E60">
        <v>5</v>
      </c>
      <c r="F60" s="32">
        <f t="shared" si="1"/>
        <v>0</v>
      </c>
      <c r="G60">
        <v>7</v>
      </c>
      <c r="H60">
        <v>4</v>
      </c>
      <c r="I60" s="32">
        <f t="shared" si="2"/>
        <v>3</v>
      </c>
      <c r="J60">
        <v>7</v>
      </c>
      <c r="K60">
        <v>5</v>
      </c>
      <c r="L60" s="32">
        <f t="shared" si="3"/>
        <v>2</v>
      </c>
      <c r="M60">
        <v>5</v>
      </c>
      <c r="N60">
        <v>5</v>
      </c>
      <c r="O60" s="32">
        <f t="shared" si="4"/>
        <v>0</v>
      </c>
      <c r="P60">
        <v>6</v>
      </c>
      <c r="Q60">
        <v>4</v>
      </c>
      <c r="R60" s="32">
        <f t="shared" si="5"/>
        <v>2</v>
      </c>
      <c r="S60">
        <v>5</v>
      </c>
      <c r="T60">
        <v>4</v>
      </c>
      <c r="U60" s="32">
        <f t="shared" si="6"/>
        <v>1</v>
      </c>
      <c r="V60">
        <v>5</v>
      </c>
      <c r="W60">
        <v>5</v>
      </c>
      <c r="X60" s="32">
        <f t="shared" si="7"/>
        <v>0</v>
      </c>
      <c r="Y60">
        <v>5</v>
      </c>
      <c r="Z60">
        <v>5</v>
      </c>
      <c r="AA60" s="32">
        <f t="shared" si="8"/>
        <v>0</v>
      </c>
    </row>
    <row r="61" spans="1:27" x14ac:dyDescent="0.45">
      <c r="A61">
        <v>5</v>
      </c>
      <c r="B61">
        <v>5</v>
      </c>
      <c r="C61" s="32">
        <f t="shared" si="0"/>
        <v>0</v>
      </c>
      <c r="D61">
        <v>5</v>
      </c>
      <c r="E61">
        <v>5</v>
      </c>
      <c r="F61" s="32">
        <f t="shared" si="1"/>
        <v>0</v>
      </c>
      <c r="G61">
        <v>7</v>
      </c>
      <c r="H61">
        <v>4</v>
      </c>
      <c r="I61" s="32">
        <f t="shared" si="2"/>
        <v>3</v>
      </c>
      <c r="J61">
        <v>7</v>
      </c>
      <c r="K61">
        <v>5</v>
      </c>
      <c r="L61" s="32">
        <f t="shared" si="3"/>
        <v>2</v>
      </c>
      <c r="M61">
        <v>5</v>
      </c>
      <c r="N61">
        <v>5</v>
      </c>
      <c r="O61" s="32">
        <f t="shared" si="4"/>
        <v>0</v>
      </c>
      <c r="P61">
        <v>6</v>
      </c>
      <c r="Q61">
        <v>4</v>
      </c>
      <c r="R61" s="32">
        <f t="shared" si="5"/>
        <v>2</v>
      </c>
      <c r="S61">
        <v>5</v>
      </c>
      <c r="T61">
        <v>4</v>
      </c>
      <c r="U61" s="32">
        <f t="shared" si="6"/>
        <v>1</v>
      </c>
      <c r="V61">
        <v>5</v>
      </c>
      <c r="W61">
        <v>5</v>
      </c>
      <c r="X61" s="32">
        <f t="shared" si="7"/>
        <v>0</v>
      </c>
      <c r="Y61">
        <v>5</v>
      </c>
      <c r="Z61">
        <v>5</v>
      </c>
      <c r="AA61" s="32">
        <f t="shared" si="8"/>
        <v>0</v>
      </c>
    </row>
    <row r="62" spans="1:27" x14ac:dyDescent="0.45">
      <c r="A62">
        <v>5</v>
      </c>
      <c r="B62">
        <v>5</v>
      </c>
      <c r="C62" s="32">
        <f t="shared" si="0"/>
        <v>0</v>
      </c>
      <c r="D62">
        <v>5</v>
      </c>
      <c r="E62">
        <v>5</v>
      </c>
      <c r="F62" s="32">
        <f t="shared" si="1"/>
        <v>0</v>
      </c>
      <c r="G62">
        <v>7</v>
      </c>
      <c r="H62">
        <v>4</v>
      </c>
      <c r="I62" s="32">
        <f t="shared" si="2"/>
        <v>3</v>
      </c>
      <c r="J62">
        <v>7</v>
      </c>
      <c r="K62">
        <v>5</v>
      </c>
      <c r="L62" s="32">
        <f t="shared" si="3"/>
        <v>2</v>
      </c>
      <c r="M62">
        <v>5</v>
      </c>
      <c r="N62">
        <v>5</v>
      </c>
      <c r="O62" s="32">
        <f t="shared" si="4"/>
        <v>0</v>
      </c>
      <c r="P62">
        <v>6</v>
      </c>
      <c r="Q62">
        <v>4</v>
      </c>
      <c r="R62" s="32">
        <f t="shared" si="5"/>
        <v>2</v>
      </c>
      <c r="S62">
        <v>5</v>
      </c>
      <c r="T62">
        <v>4</v>
      </c>
      <c r="U62" s="32">
        <f t="shared" si="6"/>
        <v>1</v>
      </c>
      <c r="V62">
        <v>5</v>
      </c>
      <c r="W62">
        <v>5</v>
      </c>
      <c r="X62" s="32">
        <f t="shared" si="7"/>
        <v>0</v>
      </c>
      <c r="Y62">
        <v>5</v>
      </c>
      <c r="Z62">
        <v>5</v>
      </c>
      <c r="AA62" s="32">
        <f t="shared" si="8"/>
        <v>0</v>
      </c>
    </row>
    <row r="63" spans="1:27" x14ac:dyDescent="0.45">
      <c r="A63">
        <v>5</v>
      </c>
      <c r="B63">
        <v>5</v>
      </c>
      <c r="C63" s="32">
        <f t="shared" si="0"/>
        <v>0</v>
      </c>
      <c r="D63">
        <v>5</v>
      </c>
      <c r="E63">
        <v>5</v>
      </c>
      <c r="F63" s="32">
        <f t="shared" si="1"/>
        <v>0</v>
      </c>
      <c r="G63">
        <v>7</v>
      </c>
      <c r="H63">
        <v>4</v>
      </c>
      <c r="I63" s="32">
        <f t="shared" si="2"/>
        <v>3</v>
      </c>
      <c r="J63">
        <v>7</v>
      </c>
      <c r="K63">
        <v>5</v>
      </c>
      <c r="L63" s="32">
        <f t="shared" si="3"/>
        <v>2</v>
      </c>
      <c r="M63">
        <v>5</v>
      </c>
      <c r="N63">
        <v>5</v>
      </c>
      <c r="O63" s="32">
        <f t="shared" si="4"/>
        <v>0</v>
      </c>
      <c r="P63">
        <v>6</v>
      </c>
      <c r="Q63">
        <v>4</v>
      </c>
      <c r="R63" s="32">
        <f t="shared" si="5"/>
        <v>2</v>
      </c>
      <c r="S63">
        <v>5</v>
      </c>
      <c r="T63">
        <v>4</v>
      </c>
      <c r="U63" s="32">
        <f t="shared" si="6"/>
        <v>1</v>
      </c>
      <c r="V63">
        <v>5</v>
      </c>
      <c r="W63">
        <v>5</v>
      </c>
      <c r="X63" s="32">
        <f t="shared" si="7"/>
        <v>0</v>
      </c>
      <c r="Y63">
        <v>5</v>
      </c>
      <c r="Z63">
        <v>5</v>
      </c>
      <c r="AA63" s="32">
        <f t="shared" si="8"/>
        <v>0</v>
      </c>
    </row>
    <row r="64" spans="1:27" x14ac:dyDescent="0.45">
      <c r="A64">
        <v>5</v>
      </c>
      <c r="B64">
        <v>5</v>
      </c>
      <c r="C64" s="32">
        <f t="shared" si="0"/>
        <v>0</v>
      </c>
      <c r="D64">
        <v>5</v>
      </c>
      <c r="E64">
        <v>5</v>
      </c>
      <c r="F64" s="32">
        <f t="shared" si="1"/>
        <v>0</v>
      </c>
      <c r="G64">
        <v>7</v>
      </c>
      <c r="H64">
        <v>4</v>
      </c>
      <c r="I64" s="32">
        <f t="shared" si="2"/>
        <v>3</v>
      </c>
      <c r="J64">
        <v>7</v>
      </c>
      <c r="K64">
        <v>5</v>
      </c>
      <c r="L64" s="32">
        <f t="shared" si="3"/>
        <v>2</v>
      </c>
      <c r="M64">
        <v>5</v>
      </c>
      <c r="N64">
        <v>5</v>
      </c>
      <c r="O64" s="32">
        <f t="shared" si="4"/>
        <v>0</v>
      </c>
      <c r="P64">
        <v>6</v>
      </c>
      <c r="Q64">
        <v>4</v>
      </c>
      <c r="R64" s="32">
        <f t="shared" si="5"/>
        <v>2</v>
      </c>
      <c r="S64">
        <v>5</v>
      </c>
      <c r="T64">
        <v>4</v>
      </c>
      <c r="U64" s="32">
        <f t="shared" si="6"/>
        <v>1</v>
      </c>
      <c r="V64">
        <v>5</v>
      </c>
      <c r="W64">
        <v>5</v>
      </c>
      <c r="X64" s="32">
        <f t="shared" si="7"/>
        <v>0</v>
      </c>
      <c r="Y64">
        <v>5</v>
      </c>
      <c r="Z64">
        <v>5</v>
      </c>
      <c r="AA64" s="32">
        <f t="shared" si="8"/>
        <v>0</v>
      </c>
    </row>
    <row r="65" spans="1:27" x14ac:dyDescent="0.45">
      <c r="A65">
        <v>5</v>
      </c>
      <c r="B65">
        <v>5</v>
      </c>
      <c r="C65" s="32">
        <f t="shared" si="0"/>
        <v>0</v>
      </c>
      <c r="D65">
        <v>5</v>
      </c>
      <c r="E65">
        <v>5</v>
      </c>
      <c r="F65" s="32">
        <f t="shared" si="1"/>
        <v>0</v>
      </c>
      <c r="G65">
        <v>7</v>
      </c>
      <c r="H65">
        <v>4</v>
      </c>
      <c r="I65" s="32">
        <f t="shared" si="2"/>
        <v>3</v>
      </c>
      <c r="J65">
        <v>7</v>
      </c>
      <c r="K65">
        <v>5</v>
      </c>
      <c r="L65" s="32">
        <f t="shared" si="3"/>
        <v>2</v>
      </c>
      <c r="M65">
        <v>5</v>
      </c>
      <c r="N65">
        <v>5</v>
      </c>
      <c r="O65" s="32">
        <f t="shared" si="4"/>
        <v>0</v>
      </c>
      <c r="P65">
        <v>6</v>
      </c>
      <c r="Q65">
        <v>4</v>
      </c>
      <c r="R65" s="32">
        <f t="shared" si="5"/>
        <v>2</v>
      </c>
      <c r="S65">
        <v>5</v>
      </c>
      <c r="T65">
        <v>4</v>
      </c>
      <c r="U65" s="32">
        <f t="shared" si="6"/>
        <v>1</v>
      </c>
      <c r="V65">
        <v>5</v>
      </c>
      <c r="W65">
        <v>5</v>
      </c>
      <c r="X65" s="32">
        <f t="shared" si="7"/>
        <v>0</v>
      </c>
      <c r="Y65">
        <v>5</v>
      </c>
      <c r="Z65">
        <v>5</v>
      </c>
      <c r="AA65" s="32">
        <f t="shared" si="8"/>
        <v>0</v>
      </c>
    </row>
    <row r="66" spans="1:27" x14ac:dyDescent="0.45">
      <c r="A66">
        <v>5</v>
      </c>
      <c r="B66">
        <v>5</v>
      </c>
      <c r="C66" s="32">
        <f t="shared" si="0"/>
        <v>0</v>
      </c>
      <c r="D66">
        <v>5</v>
      </c>
      <c r="E66">
        <v>5</v>
      </c>
      <c r="F66" s="32">
        <f t="shared" si="1"/>
        <v>0</v>
      </c>
      <c r="G66">
        <v>7</v>
      </c>
      <c r="H66">
        <v>4</v>
      </c>
      <c r="I66" s="32">
        <f t="shared" si="2"/>
        <v>3</v>
      </c>
      <c r="J66">
        <v>7</v>
      </c>
      <c r="K66">
        <v>5</v>
      </c>
      <c r="L66" s="32">
        <f t="shared" si="3"/>
        <v>2</v>
      </c>
      <c r="M66">
        <v>5</v>
      </c>
      <c r="N66">
        <v>5</v>
      </c>
      <c r="O66" s="32">
        <f t="shared" si="4"/>
        <v>0</v>
      </c>
      <c r="P66">
        <v>6</v>
      </c>
      <c r="Q66">
        <v>4</v>
      </c>
      <c r="R66" s="32">
        <f t="shared" si="5"/>
        <v>2</v>
      </c>
      <c r="S66">
        <v>5</v>
      </c>
      <c r="T66">
        <v>4</v>
      </c>
      <c r="U66" s="32">
        <f t="shared" si="6"/>
        <v>1</v>
      </c>
      <c r="V66">
        <v>5</v>
      </c>
      <c r="W66">
        <v>5</v>
      </c>
      <c r="X66" s="32">
        <f t="shared" si="7"/>
        <v>0</v>
      </c>
      <c r="Y66">
        <v>5</v>
      </c>
      <c r="Z66">
        <v>5</v>
      </c>
      <c r="AA66" s="32">
        <f t="shared" si="8"/>
        <v>0</v>
      </c>
    </row>
    <row r="67" spans="1:27" x14ac:dyDescent="0.45">
      <c r="A67">
        <v>5</v>
      </c>
      <c r="B67">
        <v>5</v>
      </c>
      <c r="C67" s="32">
        <f t="shared" ref="C67:C130" si="9">ABS(B67-A67)</f>
        <v>0</v>
      </c>
      <c r="D67">
        <v>5</v>
      </c>
      <c r="E67">
        <v>5</v>
      </c>
      <c r="F67" s="32">
        <f t="shared" ref="F67:F130" si="10">ABS(E67-D67)</f>
        <v>0</v>
      </c>
      <c r="G67">
        <v>7</v>
      </c>
      <c r="H67">
        <v>4</v>
      </c>
      <c r="I67" s="32">
        <f t="shared" ref="I67:I130" si="11">ABS(H67-G67)</f>
        <v>3</v>
      </c>
      <c r="J67">
        <v>7</v>
      </c>
      <c r="K67">
        <v>5</v>
      </c>
      <c r="L67" s="32">
        <f t="shared" ref="L67:L130" si="12">ABS(K67-J67)</f>
        <v>2</v>
      </c>
      <c r="M67">
        <v>5</v>
      </c>
      <c r="N67">
        <v>5</v>
      </c>
      <c r="O67" s="32">
        <f t="shared" ref="O67:O130" si="13">ABS(N67-M67)</f>
        <v>0</v>
      </c>
      <c r="P67">
        <v>6</v>
      </c>
      <c r="Q67">
        <v>4</v>
      </c>
      <c r="R67" s="32">
        <f t="shared" ref="R67:R130" si="14">ABS(Q67-P67)</f>
        <v>2</v>
      </c>
      <c r="S67">
        <v>5</v>
      </c>
      <c r="T67">
        <v>4</v>
      </c>
      <c r="U67" s="32">
        <f t="shared" ref="U67:U130" si="15">ABS(T67-S67)</f>
        <v>1</v>
      </c>
      <c r="V67">
        <v>5</v>
      </c>
      <c r="W67">
        <v>5</v>
      </c>
      <c r="X67" s="32">
        <f t="shared" ref="X67:X130" si="16">ABS(W67-V67)</f>
        <v>0</v>
      </c>
      <c r="Y67">
        <v>5</v>
      </c>
      <c r="Z67">
        <v>5</v>
      </c>
      <c r="AA67" s="32">
        <f t="shared" ref="AA67:AA130" si="17">ABS(Z67-Y67)</f>
        <v>0</v>
      </c>
    </row>
    <row r="68" spans="1:27" x14ac:dyDescent="0.45">
      <c r="A68">
        <v>5</v>
      </c>
      <c r="B68">
        <v>5</v>
      </c>
      <c r="C68" s="32">
        <f t="shared" si="9"/>
        <v>0</v>
      </c>
      <c r="D68">
        <v>5</v>
      </c>
      <c r="E68">
        <v>5</v>
      </c>
      <c r="F68" s="32">
        <f t="shared" si="10"/>
        <v>0</v>
      </c>
      <c r="G68">
        <v>7</v>
      </c>
      <c r="H68">
        <v>4</v>
      </c>
      <c r="I68" s="32">
        <f t="shared" si="11"/>
        <v>3</v>
      </c>
      <c r="J68">
        <v>7</v>
      </c>
      <c r="K68">
        <v>5</v>
      </c>
      <c r="L68" s="32">
        <f t="shared" si="12"/>
        <v>2</v>
      </c>
      <c r="M68">
        <v>5</v>
      </c>
      <c r="N68">
        <v>5</v>
      </c>
      <c r="O68" s="32">
        <f t="shared" si="13"/>
        <v>0</v>
      </c>
      <c r="P68">
        <v>6</v>
      </c>
      <c r="Q68">
        <v>4</v>
      </c>
      <c r="R68" s="32">
        <f t="shared" si="14"/>
        <v>2</v>
      </c>
      <c r="S68">
        <v>5</v>
      </c>
      <c r="T68">
        <v>4</v>
      </c>
      <c r="U68" s="32">
        <f t="shared" si="15"/>
        <v>1</v>
      </c>
      <c r="V68">
        <v>5</v>
      </c>
      <c r="W68">
        <v>5</v>
      </c>
      <c r="X68" s="32">
        <f t="shared" si="16"/>
        <v>0</v>
      </c>
      <c r="Y68">
        <v>5</v>
      </c>
      <c r="Z68">
        <v>5</v>
      </c>
      <c r="AA68" s="32">
        <f t="shared" si="17"/>
        <v>0</v>
      </c>
    </row>
    <row r="69" spans="1:27" x14ac:dyDescent="0.45">
      <c r="A69">
        <v>5</v>
      </c>
      <c r="B69">
        <v>5</v>
      </c>
      <c r="C69" s="32">
        <f t="shared" si="9"/>
        <v>0</v>
      </c>
      <c r="D69">
        <v>5</v>
      </c>
      <c r="E69">
        <v>5</v>
      </c>
      <c r="F69" s="32">
        <f t="shared" si="10"/>
        <v>0</v>
      </c>
      <c r="G69">
        <v>7</v>
      </c>
      <c r="H69">
        <v>4</v>
      </c>
      <c r="I69" s="32">
        <f t="shared" si="11"/>
        <v>3</v>
      </c>
      <c r="J69">
        <v>7</v>
      </c>
      <c r="K69">
        <v>5</v>
      </c>
      <c r="L69" s="32">
        <f t="shared" si="12"/>
        <v>2</v>
      </c>
      <c r="M69">
        <v>5</v>
      </c>
      <c r="N69">
        <v>5</v>
      </c>
      <c r="O69" s="32">
        <f t="shared" si="13"/>
        <v>0</v>
      </c>
      <c r="P69">
        <v>6</v>
      </c>
      <c r="Q69">
        <v>4</v>
      </c>
      <c r="R69" s="32">
        <f t="shared" si="14"/>
        <v>2</v>
      </c>
      <c r="S69">
        <v>5</v>
      </c>
      <c r="T69">
        <v>4</v>
      </c>
      <c r="U69" s="32">
        <f t="shared" si="15"/>
        <v>1</v>
      </c>
      <c r="V69">
        <v>5</v>
      </c>
      <c r="W69">
        <v>5</v>
      </c>
      <c r="X69" s="32">
        <f t="shared" si="16"/>
        <v>0</v>
      </c>
      <c r="Y69">
        <v>6</v>
      </c>
      <c r="Z69">
        <v>5</v>
      </c>
      <c r="AA69" s="32">
        <f t="shared" si="17"/>
        <v>1</v>
      </c>
    </row>
    <row r="70" spans="1:27" x14ac:dyDescent="0.45">
      <c r="A70">
        <v>5</v>
      </c>
      <c r="B70">
        <v>5</v>
      </c>
      <c r="C70" s="32">
        <f t="shared" si="9"/>
        <v>0</v>
      </c>
      <c r="D70">
        <v>5</v>
      </c>
      <c r="E70">
        <v>5</v>
      </c>
      <c r="F70" s="32">
        <f t="shared" si="10"/>
        <v>0</v>
      </c>
      <c r="G70">
        <v>7</v>
      </c>
      <c r="H70">
        <v>4</v>
      </c>
      <c r="I70" s="32">
        <f t="shared" si="11"/>
        <v>3</v>
      </c>
      <c r="J70">
        <v>7</v>
      </c>
      <c r="K70">
        <v>5</v>
      </c>
      <c r="L70" s="32">
        <f t="shared" si="12"/>
        <v>2</v>
      </c>
      <c r="M70">
        <v>5</v>
      </c>
      <c r="N70">
        <v>5</v>
      </c>
      <c r="O70" s="32">
        <f t="shared" si="13"/>
        <v>0</v>
      </c>
      <c r="P70">
        <v>6</v>
      </c>
      <c r="Q70">
        <v>4</v>
      </c>
      <c r="R70" s="32">
        <f t="shared" si="14"/>
        <v>2</v>
      </c>
      <c r="S70">
        <v>5</v>
      </c>
      <c r="T70">
        <v>4</v>
      </c>
      <c r="U70" s="32">
        <f t="shared" si="15"/>
        <v>1</v>
      </c>
      <c r="V70">
        <v>5</v>
      </c>
      <c r="W70">
        <v>5</v>
      </c>
      <c r="X70" s="32">
        <f t="shared" si="16"/>
        <v>0</v>
      </c>
      <c r="Y70">
        <v>6</v>
      </c>
      <c r="Z70">
        <v>5</v>
      </c>
      <c r="AA70" s="32">
        <f t="shared" si="17"/>
        <v>1</v>
      </c>
    </row>
    <row r="71" spans="1:27" x14ac:dyDescent="0.45">
      <c r="A71">
        <v>5</v>
      </c>
      <c r="B71">
        <v>5</v>
      </c>
      <c r="C71" s="32">
        <f t="shared" si="9"/>
        <v>0</v>
      </c>
      <c r="D71">
        <v>5</v>
      </c>
      <c r="E71">
        <v>5</v>
      </c>
      <c r="F71" s="32">
        <f t="shared" si="10"/>
        <v>0</v>
      </c>
      <c r="G71">
        <v>7</v>
      </c>
      <c r="H71">
        <v>4</v>
      </c>
      <c r="I71" s="32">
        <f t="shared" si="11"/>
        <v>3</v>
      </c>
      <c r="J71">
        <v>7</v>
      </c>
      <c r="K71">
        <v>5</v>
      </c>
      <c r="L71" s="32">
        <f t="shared" si="12"/>
        <v>2</v>
      </c>
      <c r="M71">
        <v>5</v>
      </c>
      <c r="N71">
        <v>5</v>
      </c>
      <c r="O71" s="32">
        <f t="shared" si="13"/>
        <v>0</v>
      </c>
      <c r="P71">
        <v>6</v>
      </c>
      <c r="Q71">
        <v>4</v>
      </c>
      <c r="R71" s="32">
        <f t="shared" si="14"/>
        <v>2</v>
      </c>
      <c r="S71">
        <v>5</v>
      </c>
      <c r="T71">
        <v>4</v>
      </c>
      <c r="U71" s="32">
        <f t="shared" si="15"/>
        <v>1</v>
      </c>
      <c r="V71">
        <v>5</v>
      </c>
      <c r="W71">
        <v>5</v>
      </c>
      <c r="X71" s="32">
        <f t="shared" si="16"/>
        <v>0</v>
      </c>
      <c r="Y71">
        <v>6</v>
      </c>
      <c r="Z71">
        <v>5</v>
      </c>
      <c r="AA71" s="32">
        <f t="shared" si="17"/>
        <v>1</v>
      </c>
    </row>
    <row r="72" spans="1:27" x14ac:dyDescent="0.45">
      <c r="A72">
        <v>5</v>
      </c>
      <c r="B72">
        <v>5</v>
      </c>
      <c r="C72" s="32">
        <f t="shared" si="9"/>
        <v>0</v>
      </c>
      <c r="D72">
        <v>5</v>
      </c>
      <c r="E72">
        <v>5</v>
      </c>
      <c r="F72" s="32">
        <f t="shared" si="10"/>
        <v>0</v>
      </c>
      <c r="G72">
        <v>7</v>
      </c>
      <c r="H72">
        <v>4</v>
      </c>
      <c r="I72" s="32">
        <f t="shared" si="11"/>
        <v>3</v>
      </c>
      <c r="J72">
        <v>7</v>
      </c>
      <c r="K72">
        <v>5</v>
      </c>
      <c r="L72" s="32">
        <f t="shared" si="12"/>
        <v>2</v>
      </c>
      <c r="M72">
        <v>5</v>
      </c>
      <c r="N72">
        <v>5</v>
      </c>
      <c r="O72" s="32">
        <f t="shared" si="13"/>
        <v>0</v>
      </c>
      <c r="P72">
        <v>6</v>
      </c>
      <c r="Q72">
        <v>5</v>
      </c>
      <c r="R72" s="32">
        <f t="shared" si="14"/>
        <v>1</v>
      </c>
      <c r="S72">
        <v>5</v>
      </c>
      <c r="T72">
        <v>4</v>
      </c>
      <c r="U72" s="32">
        <f t="shared" si="15"/>
        <v>1</v>
      </c>
      <c r="V72">
        <v>5</v>
      </c>
      <c r="W72">
        <v>5</v>
      </c>
      <c r="X72" s="32">
        <f t="shared" si="16"/>
        <v>0</v>
      </c>
      <c r="Y72">
        <v>6</v>
      </c>
      <c r="Z72">
        <v>5</v>
      </c>
      <c r="AA72" s="32">
        <f t="shared" si="17"/>
        <v>1</v>
      </c>
    </row>
    <row r="73" spans="1:27" x14ac:dyDescent="0.45">
      <c r="A73">
        <v>5</v>
      </c>
      <c r="B73">
        <v>5</v>
      </c>
      <c r="C73" s="32">
        <f t="shared" si="9"/>
        <v>0</v>
      </c>
      <c r="D73">
        <v>5</v>
      </c>
      <c r="E73">
        <v>5</v>
      </c>
      <c r="F73" s="32">
        <f t="shared" si="10"/>
        <v>0</v>
      </c>
      <c r="G73">
        <v>7</v>
      </c>
      <c r="H73">
        <v>4</v>
      </c>
      <c r="I73" s="32">
        <f t="shared" si="11"/>
        <v>3</v>
      </c>
      <c r="J73">
        <v>7</v>
      </c>
      <c r="K73">
        <v>5</v>
      </c>
      <c r="L73" s="32">
        <f t="shared" si="12"/>
        <v>2</v>
      </c>
      <c r="M73">
        <v>5</v>
      </c>
      <c r="N73">
        <v>5</v>
      </c>
      <c r="O73" s="32">
        <f t="shared" si="13"/>
        <v>0</v>
      </c>
      <c r="P73">
        <v>6</v>
      </c>
      <c r="Q73">
        <v>5</v>
      </c>
      <c r="R73" s="32">
        <f t="shared" si="14"/>
        <v>1</v>
      </c>
      <c r="S73">
        <v>5</v>
      </c>
      <c r="T73">
        <v>4</v>
      </c>
      <c r="U73" s="32">
        <f t="shared" si="15"/>
        <v>1</v>
      </c>
      <c r="V73">
        <v>5</v>
      </c>
      <c r="W73">
        <v>5</v>
      </c>
      <c r="X73" s="32">
        <f t="shared" si="16"/>
        <v>0</v>
      </c>
      <c r="Y73">
        <v>6</v>
      </c>
      <c r="Z73">
        <v>5</v>
      </c>
      <c r="AA73" s="32">
        <f t="shared" si="17"/>
        <v>1</v>
      </c>
    </row>
    <row r="74" spans="1:27" x14ac:dyDescent="0.45">
      <c r="A74">
        <v>5</v>
      </c>
      <c r="B74">
        <v>5</v>
      </c>
      <c r="C74" s="32">
        <f t="shared" si="9"/>
        <v>0</v>
      </c>
      <c r="D74">
        <v>5</v>
      </c>
      <c r="E74">
        <v>5</v>
      </c>
      <c r="F74" s="32">
        <f t="shared" si="10"/>
        <v>0</v>
      </c>
      <c r="G74">
        <v>7</v>
      </c>
      <c r="H74">
        <v>4</v>
      </c>
      <c r="I74" s="32">
        <f t="shared" si="11"/>
        <v>3</v>
      </c>
      <c r="J74">
        <v>7</v>
      </c>
      <c r="K74">
        <v>5</v>
      </c>
      <c r="L74" s="32">
        <f t="shared" si="12"/>
        <v>2</v>
      </c>
      <c r="M74">
        <v>5</v>
      </c>
      <c r="N74">
        <v>5</v>
      </c>
      <c r="O74" s="32">
        <f t="shared" si="13"/>
        <v>0</v>
      </c>
      <c r="P74">
        <v>6</v>
      </c>
      <c r="Q74">
        <v>5</v>
      </c>
      <c r="R74" s="32">
        <f t="shared" si="14"/>
        <v>1</v>
      </c>
      <c r="S74">
        <v>5</v>
      </c>
      <c r="T74">
        <v>5</v>
      </c>
      <c r="U74" s="32">
        <f t="shared" si="15"/>
        <v>0</v>
      </c>
      <c r="V74">
        <v>5</v>
      </c>
      <c r="W74">
        <v>5</v>
      </c>
      <c r="X74" s="32">
        <f t="shared" si="16"/>
        <v>0</v>
      </c>
      <c r="Y74">
        <v>6</v>
      </c>
      <c r="Z74">
        <v>5</v>
      </c>
      <c r="AA74" s="32">
        <f t="shared" si="17"/>
        <v>1</v>
      </c>
    </row>
    <row r="75" spans="1:27" x14ac:dyDescent="0.45">
      <c r="A75">
        <v>5</v>
      </c>
      <c r="B75">
        <v>5</v>
      </c>
      <c r="C75" s="32">
        <f t="shared" si="9"/>
        <v>0</v>
      </c>
      <c r="D75">
        <v>5</v>
      </c>
      <c r="E75">
        <v>5</v>
      </c>
      <c r="F75" s="32">
        <f t="shared" si="10"/>
        <v>0</v>
      </c>
      <c r="G75">
        <v>7</v>
      </c>
      <c r="H75">
        <v>4</v>
      </c>
      <c r="I75" s="32">
        <f t="shared" si="11"/>
        <v>3</v>
      </c>
      <c r="J75">
        <v>7</v>
      </c>
      <c r="K75">
        <v>5</v>
      </c>
      <c r="L75" s="32">
        <f t="shared" si="12"/>
        <v>2</v>
      </c>
      <c r="M75">
        <v>5</v>
      </c>
      <c r="N75">
        <v>5</v>
      </c>
      <c r="O75" s="32">
        <f t="shared" si="13"/>
        <v>0</v>
      </c>
      <c r="P75">
        <v>6</v>
      </c>
      <c r="Q75">
        <v>5</v>
      </c>
      <c r="R75" s="32">
        <f t="shared" si="14"/>
        <v>1</v>
      </c>
      <c r="S75">
        <v>5</v>
      </c>
      <c r="T75">
        <v>5</v>
      </c>
      <c r="U75" s="32">
        <f t="shared" si="15"/>
        <v>0</v>
      </c>
      <c r="V75">
        <v>5</v>
      </c>
      <c r="W75">
        <v>5</v>
      </c>
      <c r="X75" s="32">
        <f t="shared" si="16"/>
        <v>0</v>
      </c>
      <c r="Y75">
        <v>6</v>
      </c>
      <c r="Z75">
        <v>5</v>
      </c>
      <c r="AA75" s="32">
        <f t="shared" si="17"/>
        <v>1</v>
      </c>
    </row>
    <row r="76" spans="1:27" x14ac:dyDescent="0.45">
      <c r="A76">
        <v>5</v>
      </c>
      <c r="B76">
        <v>5</v>
      </c>
      <c r="C76" s="32">
        <f t="shared" si="9"/>
        <v>0</v>
      </c>
      <c r="D76">
        <v>5</v>
      </c>
      <c r="E76">
        <v>5</v>
      </c>
      <c r="F76" s="32">
        <f t="shared" si="10"/>
        <v>0</v>
      </c>
      <c r="G76">
        <v>7</v>
      </c>
      <c r="H76">
        <v>4</v>
      </c>
      <c r="I76" s="32">
        <f t="shared" si="11"/>
        <v>3</v>
      </c>
      <c r="J76">
        <v>7</v>
      </c>
      <c r="K76">
        <v>5</v>
      </c>
      <c r="L76" s="32">
        <f t="shared" si="12"/>
        <v>2</v>
      </c>
      <c r="M76">
        <v>5</v>
      </c>
      <c r="N76">
        <v>5</v>
      </c>
      <c r="O76" s="32">
        <f t="shared" si="13"/>
        <v>0</v>
      </c>
      <c r="P76">
        <v>6</v>
      </c>
      <c r="Q76">
        <v>5</v>
      </c>
      <c r="R76" s="32">
        <f t="shared" si="14"/>
        <v>1</v>
      </c>
      <c r="S76">
        <v>5</v>
      </c>
      <c r="T76">
        <v>5</v>
      </c>
      <c r="U76" s="32">
        <f t="shared" si="15"/>
        <v>0</v>
      </c>
      <c r="V76">
        <v>5</v>
      </c>
      <c r="W76">
        <v>5</v>
      </c>
      <c r="X76" s="32">
        <f t="shared" si="16"/>
        <v>0</v>
      </c>
      <c r="Y76">
        <v>6</v>
      </c>
      <c r="Z76">
        <v>5</v>
      </c>
      <c r="AA76" s="32">
        <f t="shared" si="17"/>
        <v>1</v>
      </c>
    </row>
    <row r="77" spans="1:27" x14ac:dyDescent="0.45">
      <c r="A77">
        <v>5</v>
      </c>
      <c r="B77">
        <v>5</v>
      </c>
      <c r="C77" s="32">
        <f t="shared" si="9"/>
        <v>0</v>
      </c>
      <c r="D77">
        <v>5</v>
      </c>
      <c r="E77">
        <v>5</v>
      </c>
      <c r="F77" s="32">
        <f t="shared" si="10"/>
        <v>0</v>
      </c>
      <c r="G77">
        <v>7</v>
      </c>
      <c r="H77">
        <v>4</v>
      </c>
      <c r="I77" s="32">
        <f t="shared" si="11"/>
        <v>3</v>
      </c>
      <c r="J77">
        <v>7</v>
      </c>
      <c r="K77">
        <v>6</v>
      </c>
      <c r="L77" s="32">
        <f t="shared" si="12"/>
        <v>1</v>
      </c>
      <c r="M77">
        <v>5</v>
      </c>
      <c r="N77">
        <v>5</v>
      </c>
      <c r="O77" s="32">
        <f t="shared" si="13"/>
        <v>0</v>
      </c>
      <c r="P77">
        <v>6</v>
      </c>
      <c r="Q77">
        <v>5</v>
      </c>
      <c r="R77" s="32">
        <f t="shared" si="14"/>
        <v>1</v>
      </c>
      <c r="S77">
        <v>5</v>
      </c>
      <c r="T77">
        <v>5</v>
      </c>
      <c r="U77" s="32">
        <f t="shared" si="15"/>
        <v>0</v>
      </c>
      <c r="V77">
        <v>5</v>
      </c>
      <c r="W77">
        <v>5</v>
      </c>
      <c r="X77" s="32">
        <f t="shared" si="16"/>
        <v>0</v>
      </c>
      <c r="Y77">
        <v>6</v>
      </c>
      <c r="Z77">
        <v>5</v>
      </c>
      <c r="AA77" s="32">
        <f t="shared" si="17"/>
        <v>1</v>
      </c>
    </row>
    <row r="78" spans="1:27" x14ac:dyDescent="0.45">
      <c r="A78">
        <v>5</v>
      </c>
      <c r="B78">
        <v>5</v>
      </c>
      <c r="C78" s="32">
        <f t="shared" si="9"/>
        <v>0</v>
      </c>
      <c r="D78">
        <v>5</v>
      </c>
      <c r="E78">
        <v>5</v>
      </c>
      <c r="F78" s="32">
        <f t="shared" si="10"/>
        <v>0</v>
      </c>
      <c r="G78">
        <v>7</v>
      </c>
      <c r="H78">
        <v>4</v>
      </c>
      <c r="I78" s="32">
        <f t="shared" si="11"/>
        <v>3</v>
      </c>
      <c r="J78">
        <v>7</v>
      </c>
      <c r="K78">
        <v>6</v>
      </c>
      <c r="L78" s="32">
        <f t="shared" si="12"/>
        <v>1</v>
      </c>
      <c r="M78">
        <v>5</v>
      </c>
      <c r="N78">
        <v>5</v>
      </c>
      <c r="O78" s="32">
        <f t="shared" si="13"/>
        <v>0</v>
      </c>
      <c r="P78">
        <v>6</v>
      </c>
      <c r="Q78">
        <v>5</v>
      </c>
      <c r="R78" s="32">
        <f t="shared" si="14"/>
        <v>1</v>
      </c>
      <c r="S78">
        <v>5</v>
      </c>
      <c r="T78">
        <v>5</v>
      </c>
      <c r="U78" s="32">
        <f t="shared" si="15"/>
        <v>0</v>
      </c>
      <c r="V78">
        <v>5</v>
      </c>
      <c r="W78">
        <v>5</v>
      </c>
      <c r="X78" s="32">
        <f t="shared" si="16"/>
        <v>0</v>
      </c>
      <c r="Y78">
        <v>6</v>
      </c>
      <c r="Z78">
        <v>5</v>
      </c>
      <c r="AA78" s="32">
        <f t="shared" si="17"/>
        <v>1</v>
      </c>
    </row>
    <row r="79" spans="1:27" x14ac:dyDescent="0.45">
      <c r="A79">
        <v>5</v>
      </c>
      <c r="B79">
        <v>5</v>
      </c>
      <c r="C79" s="32">
        <f t="shared" si="9"/>
        <v>0</v>
      </c>
      <c r="D79">
        <v>5</v>
      </c>
      <c r="E79">
        <v>5</v>
      </c>
      <c r="F79" s="32">
        <f t="shared" si="10"/>
        <v>0</v>
      </c>
      <c r="G79">
        <v>7</v>
      </c>
      <c r="H79">
        <v>4</v>
      </c>
      <c r="I79" s="32">
        <f t="shared" si="11"/>
        <v>3</v>
      </c>
      <c r="J79">
        <v>7</v>
      </c>
      <c r="K79">
        <v>6</v>
      </c>
      <c r="L79" s="32">
        <f t="shared" si="12"/>
        <v>1</v>
      </c>
      <c r="M79">
        <v>5</v>
      </c>
      <c r="N79">
        <v>5</v>
      </c>
      <c r="O79" s="32">
        <f t="shared" si="13"/>
        <v>0</v>
      </c>
      <c r="P79">
        <v>6</v>
      </c>
      <c r="Q79">
        <v>5</v>
      </c>
      <c r="R79" s="32">
        <f t="shared" si="14"/>
        <v>1</v>
      </c>
      <c r="S79">
        <v>5</v>
      </c>
      <c r="T79">
        <v>5</v>
      </c>
      <c r="U79" s="32">
        <f t="shared" si="15"/>
        <v>0</v>
      </c>
      <c r="V79">
        <v>5</v>
      </c>
      <c r="W79">
        <v>5</v>
      </c>
      <c r="X79" s="32">
        <f t="shared" si="16"/>
        <v>0</v>
      </c>
      <c r="Y79">
        <v>6</v>
      </c>
      <c r="Z79">
        <v>5</v>
      </c>
      <c r="AA79" s="32">
        <f t="shared" si="17"/>
        <v>1</v>
      </c>
    </row>
    <row r="80" spans="1:27" x14ac:dyDescent="0.45">
      <c r="A80">
        <v>5</v>
      </c>
      <c r="B80">
        <v>5</v>
      </c>
      <c r="C80" s="32">
        <f t="shared" si="9"/>
        <v>0</v>
      </c>
      <c r="D80">
        <v>5</v>
      </c>
      <c r="E80">
        <v>5</v>
      </c>
      <c r="F80" s="32">
        <f t="shared" si="10"/>
        <v>0</v>
      </c>
      <c r="G80">
        <v>7</v>
      </c>
      <c r="H80">
        <v>4</v>
      </c>
      <c r="I80" s="32">
        <f t="shared" si="11"/>
        <v>3</v>
      </c>
      <c r="J80">
        <v>7</v>
      </c>
      <c r="K80">
        <v>6</v>
      </c>
      <c r="L80" s="32">
        <f t="shared" si="12"/>
        <v>1</v>
      </c>
      <c r="M80">
        <v>5</v>
      </c>
      <c r="N80">
        <v>5</v>
      </c>
      <c r="O80" s="32">
        <f t="shared" si="13"/>
        <v>0</v>
      </c>
      <c r="P80">
        <v>6</v>
      </c>
      <c r="Q80">
        <v>5</v>
      </c>
      <c r="R80" s="32">
        <f t="shared" si="14"/>
        <v>1</v>
      </c>
      <c r="S80">
        <v>5</v>
      </c>
      <c r="T80">
        <v>5</v>
      </c>
      <c r="U80" s="32">
        <f t="shared" si="15"/>
        <v>0</v>
      </c>
      <c r="V80">
        <v>5</v>
      </c>
      <c r="W80">
        <v>5</v>
      </c>
      <c r="X80" s="32">
        <f t="shared" si="16"/>
        <v>0</v>
      </c>
      <c r="Y80">
        <v>6</v>
      </c>
      <c r="Z80">
        <v>5</v>
      </c>
      <c r="AA80" s="32">
        <f t="shared" si="17"/>
        <v>1</v>
      </c>
    </row>
    <row r="81" spans="1:27" x14ac:dyDescent="0.45">
      <c r="A81">
        <v>5</v>
      </c>
      <c r="B81">
        <v>5</v>
      </c>
      <c r="C81" s="32">
        <f t="shared" si="9"/>
        <v>0</v>
      </c>
      <c r="D81">
        <v>5</v>
      </c>
      <c r="E81">
        <v>5</v>
      </c>
      <c r="F81" s="32">
        <f t="shared" si="10"/>
        <v>0</v>
      </c>
      <c r="G81">
        <v>7</v>
      </c>
      <c r="H81">
        <v>4</v>
      </c>
      <c r="I81" s="32">
        <f t="shared" si="11"/>
        <v>3</v>
      </c>
      <c r="J81">
        <v>7</v>
      </c>
      <c r="K81">
        <v>6</v>
      </c>
      <c r="L81" s="32">
        <f t="shared" si="12"/>
        <v>1</v>
      </c>
      <c r="M81">
        <v>5</v>
      </c>
      <c r="N81">
        <v>5</v>
      </c>
      <c r="O81" s="32">
        <f t="shared" si="13"/>
        <v>0</v>
      </c>
      <c r="P81">
        <v>6</v>
      </c>
      <c r="Q81">
        <v>5</v>
      </c>
      <c r="R81" s="32">
        <f t="shared" si="14"/>
        <v>1</v>
      </c>
      <c r="S81">
        <v>5</v>
      </c>
      <c r="T81">
        <v>5</v>
      </c>
      <c r="U81" s="32">
        <f t="shared" si="15"/>
        <v>0</v>
      </c>
      <c r="V81">
        <v>5</v>
      </c>
      <c r="W81">
        <v>5</v>
      </c>
      <c r="X81" s="32">
        <f t="shared" si="16"/>
        <v>0</v>
      </c>
      <c r="Y81">
        <v>6</v>
      </c>
      <c r="Z81">
        <v>5</v>
      </c>
      <c r="AA81" s="32">
        <f t="shared" si="17"/>
        <v>1</v>
      </c>
    </row>
    <row r="82" spans="1:27" x14ac:dyDescent="0.45">
      <c r="A82">
        <v>5</v>
      </c>
      <c r="B82">
        <v>5</v>
      </c>
      <c r="C82" s="32">
        <f t="shared" si="9"/>
        <v>0</v>
      </c>
      <c r="D82">
        <v>5</v>
      </c>
      <c r="E82">
        <v>5</v>
      </c>
      <c r="F82" s="32">
        <f t="shared" si="10"/>
        <v>0</v>
      </c>
      <c r="G82">
        <v>7</v>
      </c>
      <c r="H82">
        <v>4</v>
      </c>
      <c r="I82" s="32">
        <f t="shared" si="11"/>
        <v>3</v>
      </c>
      <c r="J82">
        <v>7</v>
      </c>
      <c r="K82">
        <v>6</v>
      </c>
      <c r="L82" s="32">
        <f t="shared" si="12"/>
        <v>1</v>
      </c>
      <c r="M82">
        <v>5</v>
      </c>
      <c r="N82">
        <v>5</v>
      </c>
      <c r="O82" s="32">
        <f t="shared" si="13"/>
        <v>0</v>
      </c>
      <c r="P82">
        <v>6</v>
      </c>
      <c r="Q82">
        <v>5</v>
      </c>
      <c r="R82" s="32">
        <f t="shared" si="14"/>
        <v>1</v>
      </c>
      <c r="S82">
        <v>5</v>
      </c>
      <c r="T82">
        <v>5</v>
      </c>
      <c r="U82" s="32">
        <f t="shared" si="15"/>
        <v>0</v>
      </c>
      <c r="V82">
        <v>6</v>
      </c>
      <c r="W82">
        <v>5</v>
      </c>
      <c r="X82" s="32">
        <f t="shared" si="16"/>
        <v>1</v>
      </c>
      <c r="Y82">
        <v>6</v>
      </c>
      <c r="Z82">
        <v>5</v>
      </c>
      <c r="AA82" s="32">
        <f t="shared" si="17"/>
        <v>1</v>
      </c>
    </row>
    <row r="83" spans="1:27" x14ac:dyDescent="0.45">
      <c r="A83">
        <v>5</v>
      </c>
      <c r="B83">
        <v>5</v>
      </c>
      <c r="C83" s="32">
        <f t="shared" si="9"/>
        <v>0</v>
      </c>
      <c r="D83">
        <v>5</v>
      </c>
      <c r="E83">
        <v>5</v>
      </c>
      <c r="F83" s="32">
        <f t="shared" si="10"/>
        <v>0</v>
      </c>
      <c r="G83">
        <v>7</v>
      </c>
      <c r="H83">
        <v>4</v>
      </c>
      <c r="I83" s="32">
        <f t="shared" si="11"/>
        <v>3</v>
      </c>
      <c r="J83">
        <v>7</v>
      </c>
      <c r="K83">
        <v>6</v>
      </c>
      <c r="L83" s="32">
        <f t="shared" si="12"/>
        <v>1</v>
      </c>
      <c r="M83">
        <v>5</v>
      </c>
      <c r="N83">
        <v>5</v>
      </c>
      <c r="O83" s="32">
        <f t="shared" si="13"/>
        <v>0</v>
      </c>
      <c r="P83">
        <v>6</v>
      </c>
      <c r="Q83">
        <v>5</v>
      </c>
      <c r="R83" s="32">
        <f t="shared" si="14"/>
        <v>1</v>
      </c>
      <c r="S83">
        <v>5</v>
      </c>
      <c r="T83">
        <v>5</v>
      </c>
      <c r="U83" s="32">
        <f t="shared" si="15"/>
        <v>0</v>
      </c>
      <c r="V83">
        <v>6</v>
      </c>
      <c r="W83">
        <v>5</v>
      </c>
      <c r="X83" s="32">
        <f t="shared" si="16"/>
        <v>1</v>
      </c>
      <c r="Y83">
        <v>6</v>
      </c>
      <c r="Z83">
        <v>5</v>
      </c>
      <c r="AA83" s="32">
        <f t="shared" si="17"/>
        <v>1</v>
      </c>
    </row>
    <row r="84" spans="1:27" x14ac:dyDescent="0.45">
      <c r="A84">
        <v>5</v>
      </c>
      <c r="B84">
        <v>5</v>
      </c>
      <c r="C84" s="32">
        <f t="shared" si="9"/>
        <v>0</v>
      </c>
      <c r="D84">
        <v>5</v>
      </c>
      <c r="E84">
        <v>5</v>
      </c>
      <c r="F84" s="32">
        <f t="shared" si="10"/>
        <v>0</v>
      </c>
      <c r="G84">
        <v>7</v>
      </c>
      <c r="H84">
        <v>4</v>
      </c>
      <c r="I84" s="32">
        <f t="shared" si="11"/>
        <v>3</v>
      </c>
      <c r="J84">
        <v>7</v>
      </c>
      <c r="K84">
        <v>6</v>
      </c>
      <c r="L84" s="32">
        <f t="shared" si="12"/>
        <v>1</v>
      </c>
      <c r="M84">
        <v>5</v>
      </c>
      <c r="N84">
        <v>5</v>
      </c>
      <c r="O84" s="32">
        <f t="shared" si="13"/>
        <v>0</v>
      </c>
      <c r="P84">
        <v>6</v>
      </c>
      <c r="Q84">
        <v>5</v>
      </c>
      <c r="R84" s="32">
        <f t="shared" si="14"/>
        <v>1</v>
      </c>
      <c r="S84">
        <v>5</v>
      </c>
      <c r="T84">
        <v>5</v>
      </c>
      <c r="U84" s="32">
        <f t="shared" si="15"/>
        <v>0</v>
      </c>
      <c r="V84">
        <v>6</v>
      </c>
      <c r="W84">
        <v>5</v>
      </c>
      <c r="X84" s="32">
        <f t="shared" si="16"/>
        <v>1</v>
      </c>
      <c r="Y84">
        <v>6</v>
      </c>
      <c r="Z84">
        <v>5</v>
      </c>
      <c r="AA84" s="32">
        <f t="shared" si="17"/>
        <v>1</v>
      </c>
    </row>
    <row r="85" spans="1:27" x14ac:dyDescent="0.45">
      <c r="A85">
        <v>5</v>
      </c>
      <c r="B85">
        <v>5</v>
      </c>
      <c r="C85" s="32">
        <f t="shared" si="9"/>
        <v>0</v>
      </c>
      <c r="D85">
        <v>5</v>
      </c>
      <c r="E85">
        <v>5</v>
      </c>
      <c r="F85" s="32">
        <f t="shared" si="10"/>
        <v>0</v>
      </c>
      <c r="G85">
        <v>7</v>
      </c>
      <c r="H85">
        <v>5</v>
      </c>
      <c r="I85" s="32">
        <f t="shared" si="11"/>
        <v>2</v>
      </c>
      <c r="J85">
        <v>7</v>
      </c>
      <c r="K85">
        <v>6</v>
      </c>
      <c r="L85" s="32">
        <f t="shared" si="12"/>
        <v>1</v>
      </c>
      <c r="M85">
        <v>5</v>
      </c>
      <c r="N85">
        <v>5</v>
      </c>
      <c r="O85" s="32">
        <f t="shared" si="13"/>
        <v>0</v>
      </c>
      <c r="P85">
        <v>6</v>
      </c>
      <c r="Q85">
        <v>5</v>
      </c>
      <c r="R85" s="32">
        <f t="shared" si="14"/>
        <v>1</v>
      </c>
      <c r="S85">
        <v>5</v>
      </c>
      <c r="T85">
        <v>5</v>
      </c>
      <c r="U85" s="32">
        <f t="shared" si="15"/>
        <v>0</v>
      </c>
      <c r="V85">
        <v>6</v>
      </c>
      <c r="W85">
        <v>5</v>
      </c>
      <c r="X85" s="32">
        <f t="shared" si="16"/>
        <v>1</v>
      </c>
      <c r="Y85">
        <v>6</v>
      </c>
      <c r="Z85">
        <v>5</v>
      </c>
      <c r="AA85" s="32">
        <f t="shared" si="17"/>
        <v>1</v>
      </c>
    </row>
    <row r="86" spans="1:27" x14ac:dyDescent="0.45">
      <c r="A86">
        <v>5</v>
      </c>
      <c r="B86">
        <v>5</v>
      </c>
      <c r="C86" s="32">
        <f t="shared" si="9"/>
        <v>0</v>
      </c>
      <c r="D86">
        <v>5</v>
      </c>
      <c r="E86">
        <v>5</v>
      </c>
      <c r="F86" s="32">
        <f t="shared" si="10"/>
        <v>0</v>
      </c>
      <c r="G86">
        <v>7</v>
      </c>
      <c r="H86">
        <v>5</v>
      </c>
      <c r="I86" s="32">
        <f t="shared" si="11"/>
        <v>2</v>
      </c>
      <c r="J86">
        <v>7</v>
      </c>
      <c r="K86">
        <v>6</v>
      </c>
      <c r="L86" s="32">
        <f t="shared" si="12"/>
        <v>1</v>
      </c>
      <c r="M86">
        <v>5</v>
      </c>
      <c r="N86">
        <v>5</v>
      </c>
      <c r="O86" s="32">
        <f t="shared" si="13"/>
        <v>0</v>
      </c>
      <c r="P86">
        <v>6</v>
      </c>
      <c r="Q86">
        <v>5</v>
      </c>
      <c r="R86" s="32">
        <f t="shared" si="14"/>
        <v>1</v>
      </c>
      <c r="S86">
        <v>5</v>
      </c>
      <c r="T86">
        <v>5</v>
      </c>
      <c r="U86" s="32">
        <f t="shared" si="15"/>
        <v>0</v>
      </c>
      <c r="V86">
        <v>6</v>
      </c>
      <c r="W86">
        <v>5</v>
      </c>
      <c r="X86" s="32">
        <f t="shared" si="16"/>
        <v>1</v>
      </c>
      <c r="Y86">
        <v>6</v>
      </c>
      <c r="Z86">
        <v>5</v>
      </c>
      <c r="AA86" s="32">
        <f t="shared" si="17"/>
        <v>1</v>
      </c>
    </row>
    <row r="87" spans="1:27" x14ac:dyDescent="0.45">
      <c r="A87">
        <v>5</v>
      </c>
      <c r="B87">
        <v>5</v>
      </c>
      <c r="C87" s="32">
        <f t="shared" si="9"/>
        <v>0</v>
      </c>
      <c r="D87">
        <v>5</v>
      </c>
      <c r="E87">
        <v>5</v>
      </c>
      <c r="F87" s="32">
        <f t="shared" si="10"/>
        <v>0</v>
      </c>
      <c r="G87">
        <v>7</v>
      </c>
      <c r="H87">
        <v>5</v>
      </c>
      <c r="I87" s="32">
        <f t="shared" si="11"/>
        <v>2</v>
      </c>
      <c r="J87">
        <v>7</v>
      </c>
      <c r="K87">
        <v>6</v>
      </c>
      <c r="L87" s="32">
        <f t="shared" si="12"/>
        <v>1</v>
      </c>
      <c r="M87">
        <v>5</v>
      </c>
      <c r="N87">
        <v>5</v>
      </c>
      <c r="O87" s="32">
        <f t="shared" si="13"/>
        <v>0</v>
      </c>
      <c r="P87">
        <v>6</v>
      </c>
      <c r="Q87">
        <v>5</v>
      </c>
      <c r="R87" s="32">
        <f t="shared" si="14"/>
        <v>1</v>
      </c>
      <c r="S87">
        <v>5</v>
      </c>
      <c r="T87">
        <v>5</v>
      </c>
      <c r="U87" s="32">
        <f t="shared" si="15"/>
        <v>0</v>
      </c>
      <c r="V87">
        <v>6</v>
      </c>
      <c r="W87">
        <v>5</v>
      </c>
      <c r="X87" s="32">
        <f t="shared" si="16"/>
        <v>1</v>
      </c>
      <c r="Y87">
        <v>6</v>
      </c>
      <c r="Z87">
        <v>5</v>
      </c>
      <c r="AA87" s="32">
        <f t="shared" si="17"/>
        <v>1</v>
      </c>
    </row>
    <row r="88" spans="1:27" x14ac:dyDescent="0.45">
      <c r="A88">
        <v>5</v>
      </c>
      <c r="B88">
        <v>5</v>
      </c>
      <c r="C88" s="32">
        <f t="shared" si="9"/>
        <v>0</v>
      </c>
      <c r="D88">
        <v>5</v>
      </c>
      <c r="E88">
        <v>5</v>
      </c>
      <c r="F88" s="32">
        <f t="shared" si="10"/>
        <v>0</v>
      </c>
      <c r="G88">
        <v>7</v>
      </c>
      <c r="H88">
        <v>5</v>
      </c>
      <c r="I88" s="32">
        <f t="shared" si="11"/>
        <v>2</v>
      </c>
      <c r="J88">
        <v>7</v>
      </c>
      <c r="K88">
        <v>6</v>
      </c>
      <c r="L88" s="32">
        <f t="shared" si="12"/>
        <v>1</v>
      </c>
      <c r="M88">
        <v>5</v>
      </c>
      <c r="N88">
        <v>5</v>
      </c>
      <c r="O88" s="32">
        <f t="shared" si="13"/>
        <v>0</v>
      </c>
      <c r="P88">
        <v>6</v>
      </c>
      <c r="Q88">
        <v>5</v>
      </c>
      <c r="R88" s="32">
        <f t="shared" si="14"/>
        <v>1</v>
      </c>
      <c r="S88">
        <v>5</v>
      </c>
      <c r="T88">
        <v>5</v>
      </c>
      <c r="U88" s="32">
        <f t="shared" si="15"/>
        <v>0</v>
      </c>
      <c r="V88">
        <v>6</v>
      </c>
      <c r="W88">
        <v>5</v>
      </c>
      <c r="X88" s="32">
        <f t="shared" si="16"/>
        <v>1</v>
      </c>
      <c r="Y88">
        <v>6</v>
      </c>
      <c r="Z88">
        <v>5</v>
      </c>
      <c r="AA88" s="32">
        <f t="shared" si="17"/>
        <v>1</v>
      </c>
    </row>
    <row r="89" spans="1:27" x14ac:dyDescent="0.45">
      <c r="A89">
        <v>5</v>
      </c>
      <c r="B89">
        <v>5</v>
      </c>
      <c r="C89" s="32">
        <f t="shared" si="9"/>
        <v>0</v>
      </c>
      <c r="D89">
        <v>5</v>
      </c>
      <c r="E89">
        <v>5</v>
      </c>
      <c r="F89" s="32">
        <f t="shared" si="10"/>
        <v>0</v>
      </c>
      <c r="G89">
        <v>7</v>
      </c>
      <c r="H89">
        <v>5</v>
      </c>
      <c r="I89" s="32">
        <f t="shared" si="11"/>
        <v>2</v>
      </c>
      <c r="J89">
        <v>7</v>
      </c>
      <c r="K89">
        <v>6</v>
      </c>
      <c r="L89" s="32">
        <f t="shared" si="12"/>
        <v>1</v>
      </c>
      <c r="M89">
        <v>5</v>
      </c>
      <c r="N89">
        <v>5</v>
      </c>
      <c r="O89" s="32">
        <f t="shared" si="13"/>
        <v>0</v>
      </c>
      <c r="P89">
        <v>6</v>
      </c>
      <c r="Q89">
        <v>5</v>
      </c>
      <c r="R89" s="32">
        <f t="shared" si="14"/>
        <v>1</v>
      </c>
      <c r="S89">
        <v>5</v>
      </c>
      <c r="T89">
        <v>5</v>
      </c>
      <c r="U89" s="32">
        <f t="shared" si="15"/>
        <v>0</v>
      </c>
      <c r="V89">
        <v>6</v>
      </c>
      <c r="W89">
        <v>5</v>
      </c>
      <c r="X89" s="32">
        <f t="shared" si="16"/>
        <v>1</v>
      </c>
      <c r="Y89">
        <v>6</v>
      </c>
      <c r="Z89">
        <v>5</v>
      </c>
      <c r="AA89" s="32">
        <f t="shared" si="17"/>
        <v>1</v>
      </c>
    </row>
    <row r="90" spans="1:27" x14ac:dyDescent="0.45">
      <c r="A90">
        <v>5</v>
      </c>
      <c r="B90">
        <v>5</v>
      </c>
      <c r="C90" s="32">
        <f t="shared" si="9"/>
        <v>0</v>
      </c>
      <c r="D90">
        <v>5</v>
      </c>
      <c r="E90">
        <v>5</v>
      </c>
      <c r="F90" s="32">
        <f t="shared" si="10"/>
        <v>0</v>
      </c>
      <c r="G90">
        <v>7</v>
      </c>
      <c r="H90">
        <v>5</v>
      </c>
      <c r="I90" s="32">
        <f t="shared" si="11"/>
        <v>2</v>
      </c>
      <c r="J90">
        <v>7</v>
      </c>
      <c r="K90">
        <v>6</v>
      </c>
      <c r="L90" s="32">
        <f t="shared" si="12"/>
        <v>1</v>
      </c>
      <c r="M90">
        <v>5</v>
      </c>
      <c r="N90">
        <v>5</v>
      </c>
      <c r="O90" s="32">
        <f t="shared" si="13"/>
        <v>0</v>
      </c>
      <c r="P90">
        <v>6</v>
      </c>
      <c r="Q90">
        <v>5</v>
      </c>
      <c r="R90" s="32">
        <f t="shared" si="14"/>
        <v>1</v>
      </c>
      <c r="S90">
        <v>5</v>
      </c>
      <c r="T90">
        <v>5</v>
      </c>
      <c r="U90" s="32">
        <f t="shared" si="15"/>
        <v>0</v>
      </c>
      <c r="V90">
        <v>6</v>
      </c>
      <c r="W90">
        <v>5</v>
      </c>
      <c r="X90" s="32">
        <f t="shared" si="16"/>
        <v>1</v>
      </c>
      <c r="Y90">
        <v>6</v>
      </c>
      <c r="Z90">
        <v>5</v>
      </c>
      <c r="AA90" s="32">
        <f t="shared" si="17"/>
        <v>1</v>
      </c>
    </row>
    <row r="91" spans="1:27" x14ac:dyDescent="0.45">
      <c r="A91">
        <v>5</v>
      </c>
      <c r="B91">
        <v>5</v>
      </c>
      <c r="C91" s="32">
        <f t="shared" si="9"/>
        <v>0</v>
      </c>
      <c r="D91">
        <v>5</v>
      </c>
      <c r="E91">
        <v>5</v>
      </c>
      <c r="F91" s="32">
        <f t="shared" si="10"/>
        <v>0</v>
      </c>
      <c r="G91">
        <v>7</v>
      </c>
      <c r="H91">
        <v>5</v>
      </c>
      <c r="I91" s="32">
        <f t="shared" si="11"/>
        <v>2</v>
      </c>
      <c r="J91">
        <v>7</v>
      </c>
      <c r="K91">
        <v>6</v>
      </c>
      <c r="L91" s="32">
        <f t="shared" si="12"/>
        <v>1</v>
      </c>
      <c r="M91">
        <v>5</v>
      </c>
      <c r="N91">
        <v>5</v>
      </c>
      <c r="O91" s="32">
        <f t="shared" si="13"/>
        <v>0</v>
      </c>
      <c r="P91">
        <v>6</v>
      </c>
      <c r="Q91">
        <v>5</v>
      </c>
      <c r="R91" s="32">
        <f t="shared" si="14"/>
        <v>1</v>
      </c>
      <c r="S91">
        <v>5</v>
      </c>
      <c r="T91">
        <v>5</v>
      </c>
      <c r="U91" s="32">
        <f t="shared" si="15"/>
        <v>0</v>
      </c>
      <c r="V91">
        <v>6</v>
      </c>
      <c r="W91">
        <v>5</v>
      </c>
      <c r="X91" s="32">
        <f t="shared" si="16"/>
        <v>1</v>
      </c>
      <c r="Y91">
        <v>6</v>
      </c>
      <c r="Z91">
        <v>5</v>
      </c>
      <c r="AA91" s="32">
        <f t="shared" si="17"/>
        <v>1</v>
      </c>
    </row>
    <row r="92" spans="1:27" x14ac:dyDescent="0.45">
      <c r="A92">
        <v>5</v>
      </c>
      <c r="B92">
        <v>5</v>
      </c>
      <c r="C92" s="32">
        <f t="shared" si="9"/>
        <v>0</v>
      </c>
      <c r="D92">
        <v>5</v>
      </c>
      <c r="E92">
        <v>6</v>
      </c>
      <c r="F92" s="32">
        <f t="shared" si="10"/>
        <v>1</v>
      </c>
      <c r="G92">
        <v>7</v>
      </c>
      <c r="H92">
        <v>5</v>
      </c>
      <c r="I92" s="32">
        <f t="shared" si="11"/>
        <v>2</v>
      </c>
      <c r="J92">
        <v>7</v>
      </c>
      <c r="K92">
        <v>6</v>
      </c>
      <c r="L92" s="32">
        <f t="shared" si="12"/>
        <v>1</v>
      </c>
      <c r="M92">
        <v>5</v>
      </c>
      <c r="N92">
        <v>5</v>
      </c>
      <c r="O92" s="32">
        <f t="shared" si="13"/>
        <v>0</v>
      </c>
      <c r="P92">
        <v>6</v>
      </c>
      <c r="Q92">
        <v>5</v>
      </c>
      <c r="R92" s="32">
        <f t="shared" si="14"/>
        <v>1</v>
      </c>
      <c r="S92">
        <v>5</v>
      </c>
      <c r="T92">
        <v>5</v>
      </c>
      <c r="U92" s="32">
        <f t="shared" si="15"/>
        <v>0</v>
      </c>
      <c r="V92">
        <v>6</v>
      </c>
      <c r="W92">
        <v>5</v>
      </c>
      <c r="X92" s="32">
        <f t="shared" si="16"/>
        <v>1</v>
      </c>
      <c r="Y92">
        <v>6</v>
      </c>
      <c r="Z92">
        <v>5</v>
      </c>
      <c r="AA92" s="32">
        <f t="shared" si="17"/>
        <v>1</v>
      </c>
    </row>
    <row r="93" spans="1:27" x14ac:dyDescent="0.45">
      <c r="A93">
        <v>5</v>
      </c>
      <c r="B93">
        <v>5</v>
      </c>
      <c r="C93" s="32">
        <f t="shared" si="9"/>
        <v>0</v>
      </c>
      <c r="D93">
        <v>5</v>
      </c>
      <c r="E93">
        <v>6</v>
      </c>
      <c r="F93" s="32">
        <f t="shared" si="10"/>
        <v>1</v>
      </c>
      <c r="G93">
        <v>7</v>
      </c>
      <c r="H93">
        <v>5</v>
      </c>
      <c r="I93" s="32">
        <f t="shared" si="11"/>
        <v>2</v>
      </c>
      <c r="J93">
        <v>7</v>
      </c>
      <c r="K93">
        <v>6</v>
      </c>
      <c r="L93" s="32">
        <f t="shared" si="12"/>
        <v>1</v>
      </c>
      <c r="M93">
        <v>5</v>
      </c>
      <c r="N93">
        <v>5</v>
      </c>
      <c r="O93" s="32">
        <f t="shared" si="13"/>
        <v>0</v>
      </c>
      <c r="P93">
        <v>6</v>
      </c>
      <c r="Q93">
        <v>5</v>
      </c>
      <c r="R93" s="32">
        <f t="shared" si="14"/>
        <v>1</v>
      </c>
      <c r="S93">
        <v>5</v>
      </c>
      <c r="T93">
        <v>5</v>
      </c>
      <c r="U93" s="32">
        <f t="shared" si="15"/>
        <v>0</v>
      </c>
      <c r="V93">
        <v>6</v>
      </c>
      <c r="W93">
        <v>5</v>
      </c>
      <c r="X93" s="32">
        <f t="shared" si="16"/>
        <v>1</v>
      </c>
      <c r="Y93">
        <v>6</v>
      </c>
      <c r="Z93">
        <v>5</v>
      </c>
      <c r="AA93" s="32">
        <f t="shared" si="17"/>
        <v>1</v>
      </c>
    </row>
    <row r="94" spans="1:27" x14ac:dyDescent="0.45">
      <c r="A94">
        <v>5</v>
      </c>
      <c r="B94">
        <v>5</v>
      </c>
      <c r="C94" s="32">
        <f t="shared" si="9"/>
        <v>0</v>
      </c>
      <c r="D94">
        <v>5</v>
      </c>
      <c r="E94">
        <v>6</v>
      </c>
      <c r="F94" s="32">
        <f t="shared" si="10"/>
        <v>1</v>
      </c>
      <c r="G94">
        <v>7</v>
      </c>
      <c r="H94">
        <v>5</v>
      </c>
      <c r="I94" s="32">
        <f t="shared" si="11"/>
        <v>2</v>
      </c>
      <c r="J94">
        <v>7</v>
      </c>
      <c r="K94">
        <v>6</v>
      </c>
      <c r="L94" s="32">
        <f t="shared" si="12"/>
        <v>1</v>
      </c>
      <c r="M94">
        <v>5</v>
      </c>
      <c r="N94">
        <v>5</v>
      </c>
      <c r="O94" s="32">
        <f t="shared" si="13"/>
        <v>0</v>
      </c>
      <c r="P94">
        <v>6</v>
      </c>
      <c r="Q94">
        <v>5</v>
      </c>
      <c r="R94" s="32">
        <f t="shared" si="14"/>
        <v>1</v>
      </c>
      <c r="S94">
        <v>5</v>
      </c>
      <c r="T94">
        <v>5</v>
      </c>
      <c r="U94" s="32">
        <f t="shared" si="15"/>
        <v>0</v>
      </c>
      <c r="V94">
        <v>6</v>
      </c>
      <c r="W94">
        <v>5</v>
      </c>
      <c r="X94" s="32">
        <f t="shared" si="16"/>
        <v>1</v>
      </c>
      <c r="Y94">
        <v>6</v>
      </c>
      <c r="Z94">
        <v>5</v>
      </c>
      <c r="AA94" s="32">
        <f t="shared" si="17"/>
        <v>1</v>
      </c>
    </row>
    <row r="95" spans="1:27" x14ac:dyDescent="0.45">
      <c r="A95">
        <v>5</v>
      </c>
      <c r="B95">
        <v>5</v>
      </c>
      <c r="C95" s="32">
        <f t="shared" si="9"/>
        <v>0</v>
      </c>
      <c r="D95">
        <v>5</v>
      </c>
      <c r="E95">
        <v>6</v>
      </c>
      <c r="F95" s="32">
        <f t="shared" si="10"/>
        <v>1</v>
      </c>
      <c r="G95">
        <v>7</v>
      </c>
      <c r="H95">
        <v>5</v>
      </c>
      <c r="I95" s="32">
        <f t="shared" si="11"/>
        <v>2</v>
      </c>
      <c r="J95">
        <v>7</v>
      </c>
      <c r="K95">
        <v>6</v>
      </c>
      <c r="L95" s="32">
        <f t="shared" si="12"/>
        <v>1</v>
      </c>
      <c r="M95">
        <v>5</v>
      </c>
      <c r="N95">
        <v>5</v>
      </c>
      <c r="O95" s="32">
        <f t="shared" si="13"/>
        <v>0</v>
      </c>
      <c r="P95">
        <v>6</v>
      </c>
      <c r="Q95">
        <v>5</v>
      </c>
      <c r="R95" s="32">
        <f t="shared" si="14"/>
        <v>1</v>
      </c>
      <c r="S95">
        <v>5</v>
      </c>
      <c r="T95">
        <v>5</v>
      </c>
      <c r="U95" s="32">
        <f t="shared" si="15"/>
        <v>0</v>
      </c>
      <c r="V95">
        <v>6</v>
      </c>
      <c r="W95">
        <v>5</v>
      </c>
      <c r="X95" s="32">
        <f t="shared" si="16"/>
        <v>1</v>
      </c>
      <c r="Y95">
        <v>6</v>
      </c>
      <c r="Z95">
        <v>5</v>
      </c>
      <c r="AA95" s="32">
        <f t="shared" si="17"/>
        <v>1</v>
      </c>
    </row>
    <row r="96" spans="1:27" x14ac:dyDescent="0.45">
      <c r="A96">
        <v>5</v>
      </c>
      <c r="B96">
        <v>6</v>
      </c>
      <c r="C96" s="32">
        <f t="shared" si="9"/>
        <v>1</v>
      </c>
      <c r="D96">
        <v>5</v>
      </c>
      <c r="E96">
        <v>6</v>
      </c>
      <c r="F96" s="32">
        <f t="shared" si="10"/>
        <v>1</v>
      </c>
      <c r="G96">
        <v>7</v>
      </c>
      <c r="H96">
        <v>5</v>
      </c>
      <c r="I96" s="32">
        <f t="shared" si="11"/>
        <v>2</v>
      </c>
      <c r="J96">
        <v>7</v>
      </c>
      <c r="K96">
        <v>6</v>
      </c>
      <c r="L96" s="32">
        <f t="shared" si="12"/>
        <v>1</v>
      </c>
      <c r="M96">
        <v>5</v>
      </c>
      <c r="N96">
        <v>5</v>
      </c>
      <c r="O96" s="32">
        <f t="shared" si="13"/>
        <v>0</v>
      </c>
      <c r="P96">
        <v>6</v>
      </c>
      <c r="Q96">
        <v>5</v>
      </c>
      <c r="R96" s="32">
        <f t="shared" si="14"/>
        <v>1</v>
      </c>
      <c r="S96">
        <v>5</v>
      </c>
      <c r="T96">
        <v>5</v>
      </c>
      <c r="U96" s="32">
        <f t="shared" si="15"/>
        <v>0</v>
      </c>
      <c r="V96">
        <v>6</v>
      </c>
      <c r="W96">
        <v>5</v>
      </c>
      <c r="X96" s="32">
        <f t="shared" si="16"/>
        <v>1</v>
      </c>
      <c r="Y96">
        <v>6</v>
      </c>
      <c r="Z96">
        <v>5</v>
      </c>
      <c r="AA96" s="32">
        <f t="shared" si="17"/>
        <v>1</v>
      </c>
    </row>
    <row r="97" spans="1:27" x14ac:dyDescent="0.45">
      <c r="A97">
        <v>5</v>
      </c>
      <c r="B97">
        <v>6</v>
      </c>
      <c r="C97" s="32">
        <f t="shared" si="9"/>
        <v>1</v>
      </c>
      <c r="D97">
        <v>5</v>
      </c>
      <c r="E97">
        <v>6</v>
      </c>
      <c r="F97" s="32">
        <f t="shared" si="10"/>
        <v>1</v>
      </c>
      <c r="G97">
        <v>7</v>
      </c>
      <c r="H97">
        <v>5</v>
      </c>
      <c r="I97" s="32">
        <f t="shared" si="11"/>
        <v>2</v>
      </c>
      <c r="J97">
        <v>7</v>
      </c>
      <c r="K97">
        <v>6</v>
      </c>
      <c r="L97" s="32">
        <f t="shared" si="12"/>
        <v>1</v>
      </c>
      <c r="M97">
        <v>5</v>
      </c>
      <c r="N97">
        <v>5</v>
      </c>
      <c r="O97" s="32">
        <f t="shared" si="13"/>
        <v>0</v>
      </c>
      <c r="P97">
        <v>6</v>
      </c>
      <c r="Q97">
        <v>5</v>
      </c>
      <c r="R97" s="32">
        <f t="shared" si="14"/>
        <v>1</v>
      </c>
      <c r="S97">
        <v>5</v>
      </c>
      <c r="T97">
        <v>5</v>
      </c>
      <c r="U97" s="32">
        <f t="shared" si="15"/>
        <v>0</v>
      </c>
      <c r="V97">
        <v>6</v>
      </c>
      <c r="W97">
        <v>5</v>
      </c>
      <c r="X97" s="32">
        <f t="shared" si="16"/>
        <v>1</v>
      </c>
      <c r="Y97">
        <v>6</v>
      </c>
      <c r="Z97">
        <v>5</v>
      </c>
      <c r="AA97" s="32">
        <f t="shared" si="17"/>
        <v>1</v>
      </c>
    </row>
    <row r="98" spans="1:27" x14ac:dyDescent="0.45">
      <c r="A98">
        <v>5</v>
      </c>
      <c r="B98">
        <v>6</v>
      </c>
      <c r="C98" s="32">
        <f t="shared" si="9"/>
        <v>1</v>
      </c>
      <c r="D98">
        <v>5</v>
      </c>
      <c r="E98">
        <v>6</v>
      </c>
      <c r="F98" s="32">
        <f t="shared" si="10"/>
        <v>1</v>
      </c>
      <c r="G98">
        <v>7</v>
      </c>
      <c r="H98">
        <v>5</v>
      </c>
      <c r="I98" s="32">
        <f t="shared" si="11"/>
        <v>2</v>
      </c>
      <c r="J98">
        <v>7</v>
      </c>
      <c r="K98">
        <v>6</v>
      </c>
      <c r="L98" s="32">
        <f t="shared" si="12"/>
        <v>1</v>
      </c>
      <c r="M98">
        <v>5</v>
      </c>
      <c r="N98">
        <v>5</v>
      </c>
      <c r="O98" s="32">
        <f t="shared" si="13"/>
        <v>0</v>
      </c>
      <c r="P98">
        <v>6</v>
      </c>
      <c r="Q98">
        <v>5</v>
      </c>
      <c r="R98" s="32">
        <f t="shared" si="14"/>
        <v>1</v>
      </c>
      <c r="S98">
        <v>5</v>
      </c>
      <c r="T98">
        <v>5</v>
      </c>
      <c r="U98" s="32">
        <f t="shared" si="15"/>
        <v>0</v>
      </c>
      <c r="V98">
        <v>6</v>
      </c>
      <c r="W98">
        <v>5</v>
      </c>
      <c r="X98" s="32">
        <f t="shared" si="16"/>
        <v>1</v>
      </c>
      <c r="Y98">
        <v>6</v>
      </c>
      <c r="Z98">
        <v>5</v>
      </c>
      <c r="AA98" s="32">
        <f t="shared" si="17"/>
        <v>1</v>
      </c>
    </row>
    <row r="99" spans="1:27" x14ac:dyDescent="0.45">
      <c r="A99">
        <v>5</v>
      </c>
      <c r="B99">
        <v>6</v>
      </c>
      <c r="C99" s="32">
        <f t="shared" si="9"/>
        <v>1</v>
      </c>
      <c r="D99">
        <v>5</v>
      </c>
      <c r="E99">
        <v>6</v>
      </c>
      <c r="F99" s="32">
        <f t="shared" si="10"/>
        <v>1</v>
      </c>
      <c r="G99">
        <v>7</v>
      </c>
      <c r="H99">
        <v>5</v>
      </c>
      <c r="I99" s="32">
        <f t="shared" si="11"/>
        <v>2</v>
      </c>
      <c r="J99">
        <v>7</v>
      </c>
      <c r="K99">
        <v>6</v>
      </c>
      <c r="L99" s="32">
        <f t="shared" si="12"/>
        <v>1</v>
      </c>
      <c r="M99">
        <v>5</v>
      </c>
      <c r="N99">
        <v>5</v>
      </c>
      <c r="O99" s="32">
        <f t="shared" si="13"/>
        <v>0</v>
      </c>
      <c r="P99">
        <v>6</v>
      </c>
      <c r="Q99">
        <v>5</v>
      </c>
      <c r="R99" s="32">
        <f t="shared" si="14"/>
        <v>1</v>
      </c>
      <c r="S99">
        <v>5</v>
      </c>
      <c r="T99">
        <v>5</v>
      </c>
      <c r="U99" s="32">
        <f t="shared" si="15"/>
        <v>0</v>
      </c>
      <c r="V99">
        <v>6</v>
      </c>
      <c r="W99">
        <v>5</v>
      </c>
      <c r="X99" s="32">
        <f t="shared" si="16"/>
        <v>1</v>
      </c>
      <c r="Y99">
        <v>6</v>
      </c>
      <c r="Z99">
        <v>5</v>
      </c>
      <c r="AA99" s="32">
        <f t="shared" si="17"/>
        <v>1</v>
      </c>
    </row>
    <row r="100" spans="1:27" x14ac:dyDescent="0.45">
      <c r="A100">
        <v>5</v>
      </c>
      <c r="B100">
        <v>6</v>
      </c>
      <c r="C100" s="32">
        <f t="shared" si="9"/>
        <v>1</v>
      </c>
      <c r="D100">
        <v>5</v>
      </c>
      <c r="E100">
        <v>6</v>
      </c>
      <c r="F100" s="32">
        <f t="shared" si="10"/>
        <v>1</v>
      </c>
      <c r="G100">
        <v>7</v>
      </c>
      <c r="H100">
        <v>5</v>
      </c>
      <c r="I100" s="32">
        <f t="shared" si="11"/>
        <v>2</v>
      </c>
      <c r="J100">
        <v>7</v>
      </c>
      <c r="K100">
        <v>6</v>
      </c>
      <c r="L100" s="32">
        <f t="shared" si="12"/>
        <v>1</v>
      </c>
      <c r="M100">
        <v>5</v>
      </c>
      <c r="N100">
        <v>5</v>
      </c>
      <c r="O100" s="32">
        <f t="shared" si="13"/>
        <v>0</v>
      </c>
      <c r="P100">
        <v>6</v>
      </c>
      <c r="Q100">
        <v>5</v>
      </c>
      <c r="R100" s="32">
        <f t="shared" si="14"/>
        <v>1</v>
      </c>
      <c r="S100">
        <v>5</v>
      </c>
      <c r="T100">
        <v>5</v>
      </c>
      <c r="U100" s="32">
        <f t="shared" si="15"/>
        <v>0</v>
      </c>
      <c r="V100">
        <v>6</v>
      </c>
      <c r="W100">
        <v>5</v>
      </c>
      <c r="X100" s="32">
        <f t="shared" si="16"/>
        <v>1</v>
      </c>
      <c r="Y100">
        <v>6</v>
      </c>
      <c r="Z100">
        <v>5</v>
      </c>
      <c r="AA100" s="32">
        <f t="shared" si="17"/>
        <v>1</v>
      </c>
    </row>
    <row r="101" spans="1:27" x14ac:dyDescent="0.45">
      <c r="A101">
        <v>5</v>
      </c>
      <c r="B101">
        <v>6</v>
      </c>
      <c r="C101" s="32">
        <f t="shared" si="9"/>
        <v>1</v>
      </c>
      <c r="D101">
        <v>5</v>
      </c>
      <c r="E101">
        <v>6</v>
      </c>
      <c r="F101" s="32">
        <f t="shared" si="10"/>
        <v>1</v>
      </c>
      <c r="G101">
        <v>7</v>
      </c>
      <c r="H101">
        <v>5</v>
      </c>
      <c r="I101" s="32">
        <f t="shared" si="11"/>
        <v>2</v>
      </c>
      <c r="J101">
        <v>7</v>
      </c>
      <c r="K101">
        <v>6</v>
      </c>
      <c r="L101" s="32">
        <f t="shared" si="12"/>
        <v>1</v>
      </c>
      <c r="M101">
        <v>5</v>
      </c>
      <c r="N101">
        <v>5</v>
      </c>
      <c r="O101" s="32">
        <f t="shared" si="13"/>
        <v>0</v>
      </c>
      <c r="P101">
        <v>6</v>
      </c>
      <c r="Q101">
        <v>5</v>
      </c>
      <c r="R101" s="32">
        <f t="shared" si="14"/>
        <v>1</v>
      </c>
      <c r="S101">
        <v>5</v>
      </c>
      <c r="T101">
        <v>5</v>
      </c>
      <c r="U101" s="32">
        <f t="shared" si="15"/>
        <v>0</v>
      </c>
      <c r="V101">
        <v>6</v>
      </c>
      <c r="W101">
        <v>5</v>
      </c>
      <c r="X101" s="32">
        <f t="shared" si="16"/>
        <v>1</v>
      </c>
      <c r="Y101">
        <v>6</v>
      </c>
      <c r="Z101">
        <v>5</v>
      </c>
      <c r="AA101" s="32">
        <f t="shared" si="17"/>
        <v>1</v>
      </c>
    </row>
    <row r="102" spans="1:27" x14ac:dyDescent="0.45">
      <c r="A102">
        <v>5</v>
      </c>
      <c r="B102">
        <v>6</v>
      </c>
      <c r="C102" s="32">
        <f t="shared" si="9"/>
        <v>1</v>
      </c>
      <c r="D102">
        <v>5</v>
      </c>
      <c r="E102">
        <v>6</v>
      </c>
      <c r="F102" s="32">
        <f t="shared" si="10"/>
        <v>1</v>
      </c>
      <c r="G102">
        <v>7</v>
      </c>
      <c r="H102">
        <v>5</v>
      </c>
      <c r="I102" s="32">
        <f t="shared" si="11"/>
        <v>2</v>
      </c>
      <c r="J102">
        <v>7</v>
      </c>
      <c r="K102">
        <v>6</v>
      </c>
      <c r="L102" s="32">
        <f t="shared" si="12"/>
        <v>1</v>
      </c>
      <c r="M102">
        <v>5</v>
      </c>
      <c r="N102">
        <v>5</v>
      </c>
      <c r="O102" s="32">
        <f t="shared" si="13"/>
        <v>0</v>
      </c>
      <c r="P102">
        <v>6</v>
      </c>
      <c r="Q102">
        <v>5</v>
      </c>
      <c r="R102" s="32">
        <f t="shared" si="14"/>
        <v>1</v>
      </c>
      <c r="S102">
        <v>5</v>
      </c>
      <c r="T102">
        <v>5</v>
      </c>
      <c r="U102" s="32">
        <f t="shared" si="15"/>
        <v>0</v>
      </c>
      <c r="V102">
        <v>6</v>
      </c>
      <c r="W102">
        <v>5</v>
      </c>
      <c r="X102" s="32">
        <f t="shared" si="16"/>
        <v>1</v>
      </c>
      <c r="Y102">
        <v>6</v>
      </c>
      <c r="Z102">
        <v>5</v>
      </c>
      <c r="AA102" s="32">
        <f t="shared" si="17"/>
        <v>1</v>
      </c>
    </row>
    <row r="103" spans="1:27" x14ac:dyDescent="0.45">
      <c r="A103">
        <v>5</v>
      </c>
      <c r="B103">
        <v>6</v>
      </c>
      <c r="C103" s="32">
        <f t="shared" si="9"/>
        <v>1</v>
      </c>
      <c r="D103">
        <v>5</v>
      </c>
      <c r="E103">
        <v>6</v>
      </c>
      <c r="F103" s="32">
        <f t="shared" si="10"/>
        <v>1</v>
      </c>
      <c r="G103">
        <v>7</v>
      </c>
      <c r="H103">
        <v>5</v>
      </c>
      <c r="I103" s="32">
        <f t="shared" si="11"/>
        <v>2</v>
      </c>
      <c r="J103">
        <v>7</v>
      </c>
      <c r="K103">
        <v>6</v>
      </c>
      <c r="L103" s="32">
        <f t="shared" si="12"/>
        <v>1</v>
      </c>
      <c r="M103">
        <v>5</v>
      </c>
      <c r="N103">
        <v>5</v>
      </c>
      <c r="O103" s="32">
        <f t="shared" si="13"/>
        <v>0</v>
      </c>
      <c r="P103">
        <v>6</v>
      </c>
      <c r="Q103">
        <v>5</v>
      </c>
      <c r="R103" s="32">
        <f t="shared" si="14"/>
        <v>1</v>
      </c>
      <c r="S103">
        <v>5</v>
      </c>
      <c r="T103">
        <v>5</v>
      </c>
      <c r="U103" s="32">
        <f t="shared" si="15"/>
        <v>0</v>
      </c>
      <c r="V103">
        <v>6</v>
      </c>
      <c r="W103">
        <v>5</v>
      </c>
      <c r="X103" s="32">
        <f t="shared" si="16"/>
        <v>1</v>
      </c>
      <c r="Y103">
        <v>6</v>
      </c>
      <c r="Z103">
        <v>5</v>
      </c>
      <c r="AA103" s="32">
        <f t="shared" si="17"/>
        <v>1</v>
      </c>
    </row>
    <row r="104" spans="1:27" x14ac:dyDescent="0.45">
      <c r="A104">
        <v>5</v>
      </c>
      <c r="B104">
        <v>6</v>
      </c>
      <c r="C104" s="32">
        <f t="shared" si="9"/>
        <v>1</v>
      </c>
      <c r="D104">
        <v>5</v>
      </c>
      <c r="E104">
        <v>6</v>
      </c>
      <c r="F104" s="32">
        <f t="shared" si="10"/>
        <v>1</v>
      </c>
      <c r="G104">
        <v>7</v>
      </c>
      <c r="H104">
        <v>5</v>
      </c>
      <c r="I104" s="32">
        <f t="shared" si="11"/>
        <v>2</v>
      </c>
      <c r="J104">
        <v>7</v>
      </c>
      <c r="K104">
        <v>6</v>
      </c>
      <c r="L104" s="32">
        <f t="shared" si="12"/>
        <v>1</v>
      </c>
      <c r="M104">
        <v>5</v>
      </c>
      <c r="N104">
        <v>5</v>
      </c>
      <c r="O104" s="32">
        <f t="shared" si="13"/>
        <v>0</v>
      </c>
      <c r="P104">
        <v>6</v>
      </c>
      <c r="Q104">
        <v>5</v>
      </c>
      <c r="R104" s="32">
        <f t="shared" si="14"/>
        <v>1</v>
      </c>
      <c r="S104">
        <v>5</v>
      </c>
      <c r="T104">
        <v>5</v>
      </c>
      <c r="U104" s="32">
        <f t="shared" si="15"/>
        <v>0</v>
      </c>
      <c r="V104">
        <v>6</v>
      </c>
      <c r="W104">
        <v>5</v>
      </c>
      <c r="X104" s="32">
        <f t="shared" si="16"/>
        <v>1</v>
      </c>
      <c r="Y104">
        <v>6</v>
      </c>
      <c r="Z104">
        <v>5</v>
      </c>
      <c r="AA104" s="32">
        <f t="shared" si="17"/>
        <v>1</v>
      </c>
    </row>
    <row r="105" spans="1:27" x14ac:dyDescent="0.45">
      <c r="A105">
        <v>5</v>
      </c>
      <c r="B105">
        <v>6</v>
      </c>
      <c r="C105" s="32">
        <f t="shared" si="9"/>
        <v>1</v>
      </c>
      <c r="D105">
        <v>5</v>
      </c>
      <c r="E105">
        <v>6</v>
      </c>
      <c r="F105" s="32">
        <f t="shared" si="10"/>
        <v>1</v>
      </c>
      <c r="G105">
        <v>7</v>
      </c>
      <c r="H105">
        <v>5</v>
      </c>
      <c r="I105" s="32">
        <f t="shared" si="11"/>
        <v>2</v>
      </c>
      <c r="J105">
        <v>7</v>
      </c>
      <c r="K105">
        <v>6</v>
      </c>
      <c r="L105" s="32">
        <f t="shared" si="12"/>
        <v>1</v>
      </c>
      <c r="M105">
        <v>5</v>
      </c>
      <c r="N105">
        <v>5</v>
      </c>
      <c r="O105" s="32">
        <f t="shared" si="13"/>
        <v>0</v>
      </c>
      <c r="P105">
        <v>6</v>
      </c>
      <c r="Q105">
        <v>5</v>
      </c>
      <c r="R105" s="32">
        <f t="shared" si="14"/>
        <v>1</v>
      </c>
      <c r="S105">
        <v>5</v>
      </c>
      <c r="T105">
        <v>5</v>
      </c>
      <c r="U105" s="32">
        <f t="shared" si="15"/>
        <v>0</v>
      </c>
      <c r="V105">
        <v>6</v>
      </c>
      <c r="W105">
        <v>5</v>
      </c>
      <c r="X105" s="32">
        <f t="shared" si="16"/>
        <v>1</v>
      </c>
      <c r="Y105">
        <v>6</v>
      </c>
      <c r="Z105">
        <v>6</v>
      </c>
      <c r="AA105" s="32">
        <f t="shared" si="17"/>
        <v>0</v>
      </c>
    </row>
    <row r="106" spans="1:27" x14ac:dyDescent="0.45">
      <c r="A106">
        <v>5</v>
      </c>
      <c r="B106">
        <v>6</v>
      </c>
      <c r="C106" s="32">
        <f t="shared" si="9"/>
        <v>1</v>
      </c>
      <c r="D106">
        <v>5</v>
      </c>
      <c r="E106">
        <v>6</v>
      </c>
      <c r="F106" s="32">
        <f t="shared" si="10"/>
        <v>1</v>
      </c>
      <c r="G106">
        <v>7</v>
      </c>
      <c r="H106">
        <v>5</v>
      </c>
      <c r="I106" s="32">
        <f t="shared" si="11"/>
        <v>2</v>
      </c>
      <c r="J106">
        <v>7</v>
      </c>
      <c r="K106">
        <v>6</v>
      </c>
      <c r="L106" s="32">
        <f t="shared" si="12"/>
        <v>1</v>
      </c>
      <c r="M106">
        <v>6</v>
      </c>
      <c r="N106">
        <v>5</v>
      </c>
      <c r="O106" s="32">
        <f t="shared" si="13"/>
        <v>1</v>
      </c>
      <c r="P106">
        <v>6</v>
      </c>
      <c r="Q106">
        <v>5</v>
      </c>
      <c r="R106" s="32">
        <f t="shared" si="14"/>
        <v>1</v>
      </c>
      <c r="S106">
        <v>5</v>
      </c>
      <c r="T106">
        <v>5</v>
      </c>
      <c r="U106" s="32">
        <f t="shared" si="15"/>
        <v>0</v>
      </c>
      <c r="V106">
        <v>6</v>
      </c>
      <c r="W106">
        <v>5</v>
      </c>
      <c r="X106" s="32">
        <f t="shared" si="16"/>
        <v>1</v>
      </c>
      <c r="Y106">
        <v>6</v>
      </c>
      <c r="Z106">
        <v>6</v>
      </c>
      <c r="AA106" s="32">
        <f t="shared" si="17"/>
        <v>0</v>
      </c>
    </row>
    <row r="107" spans="1:27" x14ac:dyDescent="0.45">
      <c r="A107">
        <v>5</v>
      </c>
      <c r="B107">
        <v>6</v>
      </c>
      <c r="C107" s="32">
        <f t="shared" si="9"/>
        <v>1</v>
      </c>
      <c r="D107">
        <v>5</v>
      </c>
      <c r="E107">
        <v>6</v>
      </c>
      <c r="F107" s="32">
        <f t="shared" si="10"/>
        <v>1</v>
      </c>
      <c r="G107">
        <v>7</v>
      </c>
      <c r="H107">
        <v>5</v>
      </c>
      <c r="I107" s="32">
        <f t="shared" si="11"/>
        <v>2</v>
      </c>
      <c r="J107">
        <v>7</v>
      </c>
      <c r="K107">
        <v>6</v>
      </c>
      <c r="L107" s="32">
        <f t="shared" si="12"/>
        <v>1</v>
      </c>
      <c r="M107">
        <v>6</v>
      </c>
      <c r="N107">
        <v>5</v>
      </c>
      <c r="O107" s="32">
        <f t="shared" si="13"/>
        <v>1</v>
      </c>
      <c r="P107">
        <v>6</v>
      </c>
      <c r="Q107">
        <v>5</v>
      </c>
      <c r="R107" s="32">
        <f t="shared" si="14"/>
        <v>1</v>
      </c>
      <c r="S107">
        <v>5</v>
      </c>
      <c r="T107">
        <v>5</v>
      </c>
      <c r="U107" s="32">
        <f t="shared" si="15"/>
        <v>0</v>
      </c>
      <c r="V107">
        <v>6</v>
      </c>
      <c r="W107">
        <v>5</v>
      </c>
      <c r="X107" s="32">
        <f t="shared" si="16"/>
        <v>1</v>
      </c>
      <c r="Y107">
        <v>6</v>
      </c>
      <c r="Z107">
        <v>6</v>
      </c>
      <c r="AA107" s="32">
        <f t="shared" si="17"/>
        <v>0</v>
      </c>
    </row>
    <row r="108" spans="1:27" x14ac:dyDescent="0.45">
      <c r="A108">
        <v>5</v>
      </c>
      <c r="B108">
        <v>6</v>
      </c>
      <c r="C108" s="32">
        <f t="shared" si="9"/>
        <v>1</v>
      </c>
      <c r="D108">
        <v>5</v>
      </c>
      <c r="E108">
        <v>6</v>
      </c>
      <c r="F108" s="32">
        <f t="shared" si="10"/>
        <v>1</v>
      </c>
      <c r="G108">
        <v>7</v>
      </c>
      <c r="H108">
        <v>5</v>
      </c>
      <c r="I108" s="32">
        <f t="shared" si="11"/>
        <v>2</v>
      </c>
      <c r="J108">
        <v>7</v>
      </c>
      <c r="K108">
        <v>6</v>
      </c>
      <c r="L108" s="32">
        <f t="shared" si="12"/>
        <v>1</v>
      </c>
      <c r="M108">
        <v>6</v>
      </c>
      <c r="N108">
        <v>5</v>
      </c>
      <c r="O108" s="32">
        <f t="shared" si="13"/>
        <v>1</v>
      </c>
      <c r="P108">
        <v>6</v>
      </c>
      <c r="Q108">
        <v>5</v>
      </c>
      <c r="R108" s="32">
        <f t="shared" si="14"/>
        <v>1</v>
      </c>
      <c r="S108">
        <v>5</v>
      </c>
      <c r="T108">
        <v>5</v>
      </c>
      <c r="U108" s="32">
        <f t="shared" si="15"/>
        <v>0</v>
      </c>
      <c r="V108">
        <v>6</v>
      </c>
      <c r="W108">
        <v>5</v>
      </c>
      <c r="X108" s="32">
        <f t="shared" si="16"/>
        <v>1</v>
      </c>
      <c r="Y108">
        <v>6</v>
      </c>
      <c r="Z108">
        <v>6</v>
      </c>
      <c r="AA108" s="32">
        <f t="shared" si="17"/>
        <v>0</v>
      </c>
    </row>
    <row r="109" spans="1:27" x14ac:dyDescent="0.45">
      <c r="A109">
        <v>5</v>
      </c>
      <c r="B109">
        <v>6</v>
      </c>
      <c r="C109" s="32">
        <f t="shared" si="9"/>
        <v>1</v>
      </c>
      <c r="D109">
        <v>5</v>
      </c>
      <c r="E109">
        <v>6</v>
      </c>
      <c r="F109" s="32">
        <f t="shared" si="10"/>
        <v>1</v>
      </c>
      <c r="G109">
        <v>7</v>
      </c>
      <c r="H109">
        <v>5</v>
      </c>
      <c r="I109" s="32">
        <f t="shared" si="11"/>
        <v>2</v>
      </c>
      <c r="J109">
        <v>7</v>
      </c>
      <c r="K109">
        <v>6</v>
      </c>
      <c r="L109" s="32">
        <f t="shared" si="12"/>
        <v>1</v>
      </c>
      <c r="M109">
        <v>6</v>
      </c>
      <c r="N109">
        <v>5</v>
      </c>
      <c r="O109" s="32">
        <f t="shared" si="13"/>
        <v>1</v>
      </c>
      <c r="P109">
        <v>6</v>
      </c>
      <c r="Q109">
        <v>5</v>
      </c>
      <c r="R109" s="32">
        <f t="shared" si="14"/>
        <v>1</v>
      </c>
      <c r="S109">
        <v>5</v>
      </c>
      <c r="T109">
        <v>5</v>
      </c>
      <c r="U109" s="32">
        <f t="shared" si="15"/>
        <v>0</v>
      </c>
      <c r="V109">
        <v>6</v>
      </c>
      <c r="W109">
        <v>5</v>
      </c>
      <c r="X109" s="32">
        <f t="shared" si="16"/>
        <v>1</v>
      </c>
      <c r="Y109">
        <v>6</v>
      </c>
      <c r="Z109">
        <v>6</v>
      </c>
      <c r="AA109" s="32">
        <f t="shared" si="17"/>
        <v>0</v>
      </c>
    </row>
    <row r="110" spans="1:27" x14ac:dyDescent="0.45">
      <c r="A110">
        <v>6</v>
      </c>
      <c r="B110">
        <v>6</v>
      </c>
      <c r="C110" s="32">
        <f t="shared" si="9"/>
        <v>0</v>
      </c>
      <c r="D110">
        <v>5</v>
      </c>
      <c r="E110">
        <v>6</v>
      </c>
      <c r="F110" s="32">
        <f t="shared" si="10"/>
        <v>1</v>
      </c>
      <c r="G110">
        <v>7</v>
      </c>
      <c r="H110">
        <v>5</v>
      </c>
      <c r="I110" s="32">
        <f t="shared" si="11"/>
        <v>2</v>
      </c>
      <c r="J110">
        <v>7</v>
      </c>
      <c r="K110">
        <v>6</v>
      </c>
      <c r="L110" s="32">
        <f t="shared" si="12"/>
        <v>1</v>
      </c>
      <c r="M110">
        <v>6</v>
      </c>
      <c r="N110">
        <v>5</v>
      </c>
      <c r="O110" s="32">
        <f t="shared" si="13"/>
        <v>1</v>
      </c>
      <c r="P110">
        <v>6</v>
      </c>
      <c r="Q110">
        <v>5</v>
      </c>
      <c r="R110" s="32">
        <f t="shared" si="14"/>
        <v>1</v>
      </c>
      <c r="S110">
        <v>5</v>
      </c>
      <c r="T110">
        <v>5</v>
      </c>
      <c r="U110" s="32">
        <f t="shared" si="15"/>
        <v>0</v>
      </c>
      <c r="V110">
        <v>6</v>
      </c>
      <c r="W110">
        <v>5</v>
      </c>
      <c r="X110" s="32">
        <f t="shared" si="16"/>
        <v>1</v>
      </c>
      <c r="Y110">
        <v>6</v>
      </c>
      <c r="Z110">
        <v>6</v>
      </c>
      <c r="AA110" s="32">
        <f t="shared" si="17"/>
        <v>0</v>
      </c>
    </row>
    <row r="111" spans="1:27" x14ac:dyDescent="0.45">
      <c r="A111">
        <v>6</v>
      </c>
      <c r="B111">
        <v>6</v>
      </c>
      <c r="C111" s="32">
        <f t="shared" si="9"/>
        <v>0</v>
      </c>
      <c r="D111">
        <v>5</v>
      </c>
      <c r="E111">
        <v>6</v>
      </c>
      <c r="F111" s="32">
        <f t="shared" si="10"/>
        <v>1</v>
      </c>
      <c r="G111">
        <v>7</v>
      </c>
      <c r="H111">
        <v>5</v>
      </c>
      <c r="I111" s="32">
        <f t="shared" si="11"/>
        <v>2</v>
      </c>
      <c r="J111">
        <v>7</v>
      </c>
      <c r="K111">
        <v>6</v>
      </c>
      <c r="L111" s="32">
        <f t="shared" si="12"/>
        <v>1</v>
      </c>
      <c r="M111">
        <v>6</v>
      </c>
      <c r="N111">
        <v>5</v>
      </c>
      <c r="O111" s="32">
        <f t="shared" si="13"/>
        <v>1</v>
      </c>
      <c r="P111">
        <v>6</v>
      </c>
      <c r="Q111">
        <v>5</v>
      </c>
      <c r="R111" s="32">
        <f t="shared" si="14"/>
        <v>1</v>
      </c>
      <c r="S111">
        <v>5</v>
      </c>
      <c r="T111">
        <v>5</v>
      </c>
      <c r="U111" s="32">
        <f t="shared" si="15"/>
        <v>0</v>
      </c>
      <c r="V111">
        <v>6</v>
      </c>
      <c r="W111">
        <v>5</v>
      </c>
      <c r="X111" s="32">
        <f t="shared" si="16"/>
        <v>1</v>
      </c>
      <c r="Y111">
        <v>6</v>
      </c>
      <c r="Z111">
        <v>6</v>
      </c>
      <c r="AA111" s="32">
        <f t="shared" si="17"/>
        <v>0</v>
      </c>
    </row>
    <row r="112" spans="1:27" x14ac:dyDescent="0.45">
      <c r="A112">
        <v>6</v>
      </c>
      <c r="B112">
        <v>6</v>
      </c>
      <c r="C112" s="32">
        <f t="shared" si="9"/>
        <v>0</v>
      </c>
      <c r="D112">
        <v>5</v>
      </c>
      <c r="E112">
        <v>6</v>
      </c>
      <c r="F112" s="32">
        <f t="shared" si="10"/>
        <v>1</v>
      </c>
      <c r="G112">
        <v>7</v>
      </c>
      <c r="H112">
        <v>5</v>
      </c>
      <c r="I112" s="32">
        <f t="shared" si="11"/>
        <v>2</v>
      </c>
      <c r="J112">
        <v>7</v>
      </c>
      <c r="K112">
        <v>6</v>
      </c>
      <c r="L112" s="32">
        <f t="shared" si="12"/>
        <v>1</v>
      </c>
      <c r="M112">
        <v>6</v>
      </c>
      <c r="N112">
        <v>5</v>
      </c>
      <c r="O112" s="32">
        <f t="shared" si="13"/>
        <v>1</v>
      </c>
      <c r="P112">
        <v>6</v>
      </c>
      <c r="Q112">
        <v>5</v>
      </c>
      <c r="R112" s="32">
        <f t="shared" si="14"/>
        <v>1</v>
      </c>
      <c r="S112">
        <v>5</v>
      </c>
      <c r="T112">
        <v>5</v>
      </c>
      <c r="U112" s="32">
        <f t="shared" si="15"/>
        <v>0</v>
      </c>
      <c r="V112">
        <v>6</v>
      </c>
      <c r="W112">
        <v>5</v>
      </c>
      <c r="X112" s="32">
        <f t="shared" si="16"/>
        <v>1</v>
      </c>
      <c r="Y112">
        <v>6</v>
      </c>
      <c r="Z112">
        <v>6</v>
      </c>
      <c r="AA112" s="32">
        <f t="shared" si="17"/>
        <v>0</v>
      </c>
    </row>
    <row r="113" spans="1:27" x14ac:dyDescent="0.45">
      <c r="A113">
        <v>6</v>
      </c>
      <c r="B113">
        <v>6</v>
      </c>
      <c r="C113" s="32">
        <f t="shared" si="9"/>
        <v>0</v>
      </c>
      <c r="D113">
        <v>5</v>
      </c>
      <c r="E113">
        <v>6</v>
      </c>
      <c r="F113" s="32">
        <f t="shared" si="10"/>
        <v>1</v>
      </c>
      <c r="G113">
        <v>7</v>
      </c>
      <c r="H113">
        <v>5</v>
      </c>
      <c r="I113" s="32">
        <f t="shared" si="11"/>
        <v>2</v>
      </c>
      <c r="J113">
        <v>7</v>
      </c>
      <c r="K113">
        <v>6</v>
      </c>
      <c r="L113" s="32">
        <f t="shared" si="12"/>
        <v>1</v>
      </c>
      <c r="M113">
        <v>6</v>
      </c>
      <c r="N113">
        <v>5</v>
      </c>
      <c r="O113" s="32">
        <f t="shared" si="13"/>
        <v>1</v>
      </c>
      <c r="P113">
        <v>6</v>
      </c>
      <c r="Q113">
        <v>5</v>
      </c>
      <c r="R113" s="32">
        <f t="shared" si="14"/>
        <v>1</v>
      </c>
      <c r="S113">
        <v>5</v>
      </c>
      <c r="T113">
        <v>5</v>
      </c>
      <c r="U113" s="32">
        <f t="shared" si="15"/>
        <v>0</v>
      </c>
      <c r="V113">
        <v>6</v>
      </c>
      <c r="W113">
        <v>5</v>
      </c>
      <c r="X113" s="32">
        <f t="shared" si="16"/>
        <v>1</v>
      </c>
      <c r="Y113">
        <v>6</v>
      </c>
      <c r="Z113">
        <v>6</v>
      </c>
      <c r="AA113" s="32">
        <f t="shared" si="17"/>
        <v>0</v>
      </c>
    </row>
    <row r="114" spans="1:27" x14ac:dyDescent="0.45">
      <c r="A114">
        <v>6</v>
      </c>
      <c r="B114">
        <v>6</v>
      </c>
      <c r="C114" s="32">
        <f t="shared" si="9"/>
        <v>0</v>
      </c>
      <c r="D114">
        <v>5</v>
      </c>
      <c r="E114">
        <v>6</v>
      </c>
      <c r="F114" s="32">
        <f t="shared" si="10"/>
        <v>1</v>
      </c>
      <c r="G114">
        <v>7</v>
      </c>
      <c r="H114">
        <v>5</v>
      </c>
      <c r="I114" s="32">
        <f t="shared" si="11"/>
        <v>2</v>
      </c>
      <c r="J114">
        <v>7</v>
      </c>
      <c r="K114">
        <v>6</v>
      </c>
      <c r="L114" s="32">
        <f t="shared" si="12"/>
        <v>1</v>
      </c>
      <c r="M114">
        <v>6</v>
      </c>
      <c r="N114">
        <v>5</v>
      </c>
      <c r="O114" s="32">
        <f t="shared" si="13"/>
        <v>1</v>
      </c>
      <c r="P114">
        <v>6</v>
      </c>
      <c r="Q114">
        <v>5</v>
      </c>
      <c r="R114" s="32">
        <f t="shared" si="14"/>
        <v>1</v>
      </c>
      <c r="S114">
        <v>5</v>
      </c>
      <c r="T114">
        <v>5</v>
      </c>
      <c r="U114" s="32">
        <f t="shared" si="15"/>
        <v>0</v>
      </c>
      <c r="V114">
        <v>6</v>
      </c>
      <c r="W114">
        <v>5</v>
      </c>
      <c r="X114" s="32">
        <f t="shared" si="16"/>
        <v>1</v>
      </c>
      <c r="Y114">
        <v>6</v>
      </c>
      <c r="Z114">
        <v>6</v>
      </c>
      <c r="AA114" s="32">
        <f t="shared" si="17"/>
        <v>0</v>
      </c>
    </row>
    <row r="115" spans="1:27" x14ac:dyDescent="0.45">
      <c r="A115">
        <v>6</v>
      </c>
      <c r="B115">
        <v>6</v>
      </c>
      <c r="C115" s="32">
        <f t="shared" si="9"/>
        <v>0</v>
      </c>
      <c r="D115">
        <v>5</v>
      </c>
      <c r="E115">
        <v>6</v>
      </c>
      <c r="F115" s="32">
        <f t="shared" si="10"/>
        <v>1</v>
      </c>
      <c r="G115">
        <v>7</v>
      </c>
      <c r="H115">
        <v>5</v>
      </c>
      <c r="I115" s="32">
        <f t="shared" si="11"/>
        <v>2</v>
      </c>
      <c r="J115">
        <v>7</v>
      </c>
      <c r="K115">
        <v>6</v>
      </c>
      <c r="L115" s="32">
        <f t="shared" si="12"/>
        <v>1</v>
      </c>
      <c r="M115">
        <v>6</v>
      </c>
      <c r="N115">
        <v>5</v>
      </c>
      <c r="O115" s="32">
        <f t="shared" si="13"/>
        <v>1</v>
      </c>
      <c r="P115">
        <v>6</v>
      </c>
      <c r="Q115">
        <v>5</v>
      </c>
      <c r="R115" s="32">
        <f t="shared" si="14"/>
        <v>1</v>
      </c>
      <c r="S115">
        <v>5</v>
      </c>
      <c r="T115">
        <v>5</v>
      </c>
      <c r="U115" s="32">
        <f t="shared" si="15"/>
        <v>0</v>
      </c>
      <c r="V115">
        <v>6</v>
      </c>
      <c r="W115">
        <v>5</v>
      </c>
      <c r="X115" s="32">
        <f t="shared" si="16"/>
        <v>1</v>
      </c>
      <c r="Y115">
        <v>6</v>
      </c>
      <c r="Z115">
        <v>6</v>
      </c>
      <c r="AA115" s="32">
        <f t="shared" si="17"/>
        <v>0</v>
      </c>
    </row>
    <row r="116" spans="1:27" x14ac:dyDescent="0.45">
      <c r="A116">
        <v>6</v>
      </c>
      <c r="B116">
        <v>6</v>
      </c>
      <c r="C116" s="32">
        <f t="shared" si="9"/>
        <v>0</v>
      </c>
      <c r="D116">
        <v>5</v>
      </c>
      <c r="E116">
        <v>6</v>
      </c>
      <c r="F116" s="32">
        <f t="shared" si="10"/>
        <v>1</v>
      </c>
      <c r="G116">
        <v>7</v>
      </c>
      <c r="H116">
        <v>5</v>
      </c>
      <c r="I116" s="32">
        <f t="shared" si="11"/>
        <v>2</v>
      </c>
      <c r="J116">
        <v>7</v>
      </c>
      <c r="K116">
        <v>6</v>
      </c>
      <c r="L116" s="32">
        <f t="shared" si="12"/>
        <v>1</v>
      </c>
      <c r="M116">
        <v>6</v>
      </c>
      <c r="N116">
        <v>5</v>
      </c>
      <c r="O116" s="32">
        <f t="shared" si="13"/>
        <v>1</v>
      </c>
      <c r="P116">
        <v>6</v>
      </c>
      <c r="Q116">
        <v>5</v>
      </c>
      <c r="R116" s="32">
        <f t="shared" si="14"/>
        <v>1</v>
      </c>
      <c r="S116">
        <v>5</v>
      </c>
      <c r="T116">
        <v>5</v>
      </c>
      <c r="U116" s="32">
        <f t="shared" si="15"/>
        <v>0</v>
      </c>
      <c r="V116">
        <v>6</v>
      </c>
      <c r="W116">
        <v>5</v>
      </c>
      <c r="X116" s="32">
        <f t="shared" si="16"/>
        <v>1</v>
      </c>
      <c r="Y116">
        <v>6</v>
      </c>
      <c r="Z116">
        <v>6</v>
      </c>
      <c r="AA116" s="32">
        <f t="shared" si="17"/>
        <v>0</v>
      </c>
    </row>
    <row r="117" spans="1:27" x14ac:dyDescent="0.45">
      <c r="A117">
        <v>6</v>
      </c>
      <c r="B117">
        <v>6</v>
      </c>
      <c r="C117" s="32">
        <f t="shared" si="9"/>
        <v>0</v>
      </c>
      <c r="D117">
        <v>5</v>
      </c>
      <c r="E117">
        <v>6</v>
      </c>
      <c r="F117" s="32">
        <f t="shared" si="10"/>
        <v>1</v>
      </c>
      <c r="G117">
        <v>7</v>
      </c>
      <c r="H117">
        <v>5</v>
      </c>
      <c r="I117" s="32">
        <f t="shared" si="11"/>
        <v>2</v>
      </c>
      <c r="J117">
        <v>7</v>
      </c>
      <c r="K117">
        <v>6</v>
      </c>
      <c r="L117" s="32">
        <f t="shared" si="12"/>
        <v>1</v>
      </c>
      <c r="M117">
        <v>6</v>
      </c>
      <c r="N117">
        <v>5</v>
      </c>
      <c r="O117" s="32">
        <f t="shared" si="13"/>
        <v>1</v>
      </c>
      <c r="P117">
        <v>6</v>
      </c>
      <c r="Q117">
        <v>5</v>
      </c>
      <c r="R117" s="32">
        <f t="shared" si="14"/>
        <v>1</v>
      </c>
      <c r="S117">
        <v>5</v>
      </c>
      <c r="T117">
        <v>5</v>
      </c>
      <c r="U117" s="32">
        <f t="shared" si="15"/>
        <v>0</v>
      </c>
      <c r="V117">
        <v>6</v>
      </c>
      <c r="W117">
        <v>5</v>
      </c>
      <c r="X117" s="32">
        <f t="shared" si="16"/>
        <v>1</v>
      </c>
      <c r="Y117">
        <v>6</v>
      </c>
      <c r="Z117">
        <v>6</v>
      </c>
      <c r="AA117" s="32">
        <f t="shared" si="17"/>
        <v>0</v>
      </c>
    </row>
    <row r="118" spans="1:27" x14ac:dyDescent="0.45">
      <c r="A118">
        <v>6</v>
      </c>
      <c r="B118">
        <v>6</v>
      </c>
      <c r="C118" s="32">
        <f t="shared" si="9"/>
        <v>0</v>
      </c>
      <c r="D118">
        <v>5</v>
      </c>
      <c r="E118">
        <v>6</v>
      </c>
      <c r="F118" s="32">
        <f t="shared" si="10"/>
        <v>1</v>
      </c>
      <c r="G118">
        <v>7</v>
      </c>
      <c r="H118">
        <v>5</v>
      </c>
      <c r="I118" s="32">
        <f t="shared" si="11"/>
        <v>2</v>
      </c>
      <c r="J118">
        <v>7</v>
      </c>
      <c r="K118">
        <v>6</v>
      </c>
      <c r="L118" s="32">
        <f t="shared" si="12"/>
        <v>1</v>
      </c>
      <c r="M118">
        <v>6</v>
      </c>
      <c r="N118">
        <v>5</v>
      </c>
      <c r="O118" s="32">
        <f t="shared" si="13"/>
        <v>1</v>
      </c>
      <c r="P118">
        <v>6</v>
      </c>
      <c r="Q118">
        <v>5</v>
      </c>
      <c r="R118" s="32">
        <f t="shared" si="14"/>
        <v>1</v>
      </c>
      <c r="S118">
        <v>5</v>
      </c>
      <c r="T118">
        <v>5</v>
      </c>
      <c r="U118" s="32">
        <f t="shared" si="15"/>
        <v>0</v>
      </c>
      <c r="V118">
        <v>6</v>
      </c>
      <c r="W118">
        <v>5</v>
      </c>
      <c r="X118" s="32">
        <f t="shared" si="16"/>
        <v>1</v>
      </c>
      <c r="Y118">
        <v>6</v>
      </c>
      <c r="Z118">
        <v>6</v>
      </c>
      <c r="AA118" s="32">
        <f t="shared" si="17"/>
        <v>0</v>
      </c>
    </row>
    <row r="119" spans="1:27" x14ac:dyDescent="0.45">
      <c r="A119">
        <v>6</v>
      </c>
      <c r="B119">
        <v>6</v>
      </c>
      <c r="C119" s="32">
        <f t="shared" si="9"/>
        <v>0</v>
      </c>
      <c r="D119">
        <v>5</v>
      </c>
      <c r="E119">
        <v>6</v>
      </c>
      <c r="F119" s="32">
        <f t="shared" si="10"/>
        <v>1</v>
      </c>
      <c r="G119">
        <v>7</v>
      </c>
      <c r="H119">
        <v>5</v>
      </c>
      <c r="I119" s="32">
        <f t="shared" si="11"/>
        <v>2</v>
      </c>
      <c r="J119">
        <v>7</v>
      </c>
      <c r="K119">
        <v>6</v>
      </c>
      <c r="L119" s="32">
        <f t="shared" si="12"/>
        <v>1</v>
      </c>
      <c r="M119">
        <v>6</v>
      </c>
      <c r="N119">
        <v>5</v>
      </c>
      <c r="O119" s="32">
        <f t="shared" si="13"/>
        <v>1</v>
      </c>
      <c r="P119">
        <v>6</v>
      </c>
      <c r="Q119">
        <v>5</v>
      </c>
      <c r="R119" s="32">
        <f t="shared" si="14"/>
        <v>1</v>
      </c>
      <c r="S119">
        <v>5</v>
      </c>
      <c r="T119">
        <v>5</v>
      </c>
      <c r="U119" s="32">
        <f t="shared" si="15"/>
        <v>0</v>
      </c>
      <c r="V119">
        <v>6</v>
      </c>
      <c r="W119">
        <v>5</v>
      </c>
      <c r="X119" s="32">
        <f t="shared" si="16"/>
        <v>1</v>
      </c>
      <c r="Y119">
        <v>6</v>
      </c>
      <c r="Z119">
        <v>6</v>
      </c>
      <c r="AA119" s="32">
        <f t="shared" si="17"/>
        <v>0</v>
      </c>
    </row>
    <row r="120" spans="1:27" x14ac:dyDescent="0.45">
      <c r="A120">
        <v>6</v>
      </c>
      <c r="B120">
        <v>6</v>
      </c>
      <c r="C120" s="32">
        <f t="shared" si="9"/>
        <v>0</v>
      </c>
      <c r="D120">
        <v>5</v>
      </c>
      <c r="E120">
        <v>6</v>
      </c>
      <c r="F120" s="32">
        <f t="shared" si="10"/>
        <v>1</v>
      </c>
      <c r="G120">
        <v>7</v>
      </c>
      <c r="H120">
        <v>5</v>
      </c>
      <c r="I120" s="32">
        <f t="shared" si="11"/>
        <v>2</v>
      </c>
      <c r="J120">
        <v>7</v>
      </c>
      <c r="K120">
        <v>6</v>
      </c>
      <c r="L120" s="32">
        <f t="shared" si="12"/>
        <v>1</v>
      </c>
      <c r="M120">
        <v>6</v>
      </c>
      <c r="N120">
        <v>5</v>
      </c>
      <c r="O120" s="32">
        <f t="shared" si="13"/>
        <v>1</v>
      </c>
      <c r="P120">
        <v>6</v>
      </c>
      <c r="Q120">
        <v>5</v>
      </c>
      <c r="R120" s="32">
        <f t="shared" si="14"/>
        <v>1</v>
      </c>
      <c r="S120">
        <v>5</v>
      </c>
      <c r="T120">
        <v>5</v>
      </c>
      <c r="U120" s="32">
        <f t="shared" si="15"/>
        <v>0</v>
      </c>
      <c r="V120">
        <v>6</v>
      </c>
      <c r="W120">
        <v>5</v>
      </c>
      <c r="X120" s="32">
        <f t="shared" si="16"/>
        <v>1</v>
      </c>
      <c r="Y120">
        <v>6</v>
      </c>
      <c r="Z120">
        <v>6</v>
      </c>
      <c r="AA120" s="32">
        <f t="shared" si="17"/>
        <v>0</v>
      </c>
    </row>
    <row r="121" spans="1:27" x14ac:dyDescent="0.45">
      <c r="A121">
        <v>6</v>
      </c>
      <c r="B121">
        <v>6</v>
      </c>
      <c r="C121" s="32">
        <f t="shared" si="9"/>
        <v>0</v>
      </c>
      <c r="D121">
        <v>5</v>
      </c>
      <c r="E121">
        <v>6</v>
      </c>
      <c r="F121" s="32">
        <f t="shared" si="10"/>
        <v>1</v>
      </c>
      <c r="G121">
        <v>7</v>
      </c>
      <c r="H121">
        <v>5</v>
      </c>
      <c r="I121" s="32">
        <f t="shared" si="11"/>
        <v>2</v>
      </c>
      <c r="J121">
        <v>7</v>
      </c>
      <c r="K121">
        <v>6</v>
      </c>
      <c r="L121" s="32">
        <f t="shared" si="12"/>
        <v>1</v>
      </c>
      <c r="M121">
        <v>6</v>
      </c>
      <c r="N121">
        <v>5</v>
      </c>
      <c r="O121" s="32">
        <f t="shared" si="13"/>
        <v>1</v>
      </c>
      <c r="P121">
        <v>6</v>
      </c>
      <c r="Q121">
        <v>5</v>
      </c>
      <c r="R121" s="32">
        <f t="shared" si="14"/>
        <v>1</v>
      </c>
      <c r="S121">
        <v>5</v>
      </c>
      <c r="T121">
        <v>5</v>
      </c>
      <c r="U121" s="32">
        <f t="shared" si="15"/>
        <v>0</v>
      </c>
      <c r="V121">
        <v>6</v>
      </c>
      <c r="W121">
        <v>5</v>
      </c>
      <c r="X121" s="32">
        <f t="shared" si="16"/>
        <v>1</v>
      </c>
      <c r="Y121">
        <v>6</v>
      </c>
      <c r="Z121">
        <v>6</v>
      </c>
      <c r="AA121" s="32">
        <f t="shared" si="17"/>
        <v>0</v>
      </c>
    </row>
    <row r="122" spans="1:27" x14ac:dyDescent="0.45">
      <c r="A122">
        <v>6</v>
      </c>
      <c r="B122">
        <v>6</v>
      </c>
      <c r="C122" s="32">
        <f t="shared" si="9"/>
        <v>0</v>
      </c>
      <c r="D122">
        <v>5</v>
      </c>
      <c r="E122">
        <v>6</v>
      </c>
      <c r="F122" s="32">
        <f t="shared" si="10"/>
        <v>1</v>
      </c>
      <c r="G122">
        <v>7</v>
      </c>
      <c r="H122">
        <v>5</v>
      </c>
      <c r="I122" s="32">
        <f t="shared" si="11"/>
        <v>2</v>
      </c>
      <c r="J122">
        <v>7</v>
      </c>
      <c r="K122">
        <v>6</v>
      </c>
      <c r="L122" s="32">
        <f t="shared" si="12"/>
        <v>1</v>
      </c>
      <c r="M122">
        <v>6</v>
      </c>
      <c r="N122">
        <v>5</v>
      </c>
      <c r="O122" s="32">
        <f t="shared" si="13"/>
        <v>1</v>
      </c>
      <c r="P122">
        <v>6</v>
      </c>
      <c r="Q122">
        <v>5</v>
      </c>
      <c r="R122" s="32">
        <f t="shared" si="14"/>
        <v>1</v>
      </c>
      <c r="S122">
        <v>5</v>
      </c>
      <c r="T122">
        <v>5</v>
      </c>
      <c r="U122" s="32">
        <f t="shared" si="15"/>
        <v>0</v>
      </c>
      <c r="V122">
        <v>6</v>
      </c>
      <c r="W122">
        <v>5</v>
      </c>
      <c r="X122" s="32">
        <f t="shared" si="16"/>
        <v>1</v>
      </c>
      <c r="Y122">
        <v>7</v>
      </c>
      <c r="Z122">
        <v>6</v>
      </c>
      <c r="AA122" s="32">
        <f t="shared" si="17"/>
        <v>1</v>
      </c>
    </row>
    <row r="123" spans="1:27" x14ac:dyDescent="0.45">
      <c r="A123">
        <v>6</v>
      </c>
      <c r="B123">
        <v>6</v>
      </c>
      <c r="C123" s="32">
        <f t="shared" si="9"/>
        <v>0</v>
      </c>
      <c r="D123">
        <v>5</v>
      </c>
      <c r="E123">
        <v>6</v>
      </c>
      <c r="F123" s="32">
        <f t="shared" si="10"/>
        <v>1</v>
      </c>
      <c r="G123">
        <v>7</v>
      </c>
      <c r="H123">
        <v>5</v>
      </c>
      <c r="I123" s="32">
        <f t="shared" si="11"/>
        <v>2</v>
      </c>
      <c r="J123">
        <v>7</v>
      </c>
      <c r="K123">
        <v>6</v>
      </c>
      <c r="L123" s="32">
        <f t="shared" si="12"/>
        <v>1</v>
      </c>
      <c r="M123">
        <v>6</v>
      </c>
      <c r="N123">
        <v>5</v>
      </c>
      <c r="O123" s="32">
        <f t="shared" si="13"/>
        <v>1</v>
      </c>
      <c r="P123">
        <v>6</v>
      </c>
      <c r="Q123">
        <v>5</v>
      </c>
      <c r="R123" s="32">
        <f t="shared" si="14"/>
        <v>1</v>
      </c>
      <c r="S123">
        <v>5</v>
      </c>
      <c r="T123">
        <v>5</v>
      </c>
      <c r="U123" s="32">
        <f t="shared" si="15"/>
        <v>0</v>
      </c>
      <c r="V123">
        <v>6</v>
      </c>
      <c r="W123">
        <v>5</v>
      </c>
      <c r="X123" s="32">
        <f t="shared" si="16"/>
        <v>1</v>
      </c>
      <c r="Y123">
        <v>7</v>
      </c>
      <c r="Z123">
        <v>6</v>
      </c>
      <c r="AA123" s="32">
        <f t="shared" si="17"/>
        <v>1</v>
      </c>
    </row>
    <row r="124" spans="1:27" x14ac:dyDescent="0.45">
      <c r="A124">
        <v>6</v>
      </c>
      <c r="B124">
        <v>6</v>
      </c>
      <c r="C124" s="32">
        <f t="shared" si="9"/>
        <v>0</v>
      </c>
      <c r="D124">
        <v>5</v>
      </c>
      <c r="E124">
        <v>6</v>
      </c>
      <c r="F124" s="32">
        <f t="shared" si="10"/>
        <v>1</v>
      </c>
      <c r="G124">
        <v>7</v>
      </c>
      <c r="H124">
        <v>5</v>
      </c>
      <c r="I124" s="32">
        <f t="shared" si="11"/>
        <v>2</v>
      </c>
      <c r="J124">
        <v>7</v>
      </c>
      <c r="K124">
        <v>6</v>
      </c>
      <c r="L124" s="32">
        <f t="shared" si="12"/>
        <v>1</v>
      </c>
      <c r="M124">
        <v>6</v>
      </c>
      <c r="N124">
        <v>5</v>
      </c>
      <c r="O124" s="32">
        <f t="shared" si="13"/>
        <v>1</v>
      </c>
      <c r="P124">
        <v>6</v>
      </c>
      <c r="Q124">
        <v>5</v>
      </c>
      <c r="R124" s="32">
        <f t="shared" si="14"/>
        <v>1</v>
      </c>
      <c r="S124">
        <v>5</v>
      </c>
      <c r="T124">
        <v>5</v>
      </c>
      <c r="U124" s="32">
        <f t="shared" si="15"/>
        <v>0</v>
      </c>
      <c r="V124">
        <v>6</v>
      </c>
      <c r="W124">
        <v>5</v>
      </c>
      <c r="X124" s="32">
        <f t="shared" si="16"/>
        <v>1</v>
      </c>
      <c r="Y124">
        <v>7</v>
      </c>
      <c r="Z124">
        <v>6</v>
      </c>
      <c r="AA124" s="32">
        <f t="shared" si="17"/>
        <v>1</v>
      </c>
    </row>
    <row r="125" spans="1:27" x14ac:dyDescent="0.45">
      <c r="A125">
        <v>6</v>
      </c>
      <c r="B125">
        <v>6</v>
      </c>
      <c r="C125" s="32">
        <f t="shared" si="9"/>
        <v>0</v>
      </c>
      <c r="D125">
        <v>5</v>
      </c>
      <c r="E125">
        <v>6</v>
      </c>
      <c r="F125" s="32">
        <f t="shared" si="10"/>
        <v>1</v>
      </c>
      <c r="G125">
        <v>7</v>
      </c>
      <c r="H125">
        <v>5</v>
      </c>
      <c r="I125" s="32">
        <f t="shared" si="11"/>
        <v>2</v>
      </c>
      <c r="J125">
        <v>7</v>
      </c>
      <c r="K125">
        <v>6</v>
      </c>
      <c r="L125" s="32">
        <f t="shared" si="12"/>
        <v>1</v>
      </c>
      <c r="M125">
        <v>6</v>
      </c>
      <c r="N125">
        <v>5</v>
      </c>
      <c r="O125" s="32">
        <f t="shared" si="13"/>
        <v>1</v>
      </c>
      <c r="P125">
        <v>6</v>
      </c>
      <c r="Q125">
        <v>5</v>
      </c>
      <c r="R125" s="32">
        <f t="shared" si="14"/>
        <v>1</v>
      </c>
      <c r="S125">
        <v>5</v>
      </c>
      <c r="T125">
        <v>5</v>
      </c>
      <c r="U125" s="32">
        <f t="shared" si="15"/>
        <v>0</v>
      </c>
      <c r="V125">
        <v>6</v>
      </c>
      <c r="W125">
        <v>5</v>
      </c>
      <c r="X125" s="32">
        <f t="shared" si="16"/>
        <v>1</v>
      </c>
      <c r="Y125">
        <v>7</v>
      </c>
      <c r="Z125">
        <v>6</v>
      </c>
      <c r="AA125" s="32">
        <f t="shared" si="17"/>
        <v>1</v>
      </c>
    </row>
    <row r="126" spans="1:27" x14ac:dyDescent="0.45">
      <c r="A126">
        <v>6</v>
      </c>
      <c r="B126">
        <v>6</v>
      </c>
      <c r="C126" s="32">
        <f t="shared" si="9"/>
        <v>0</v>
      </c>
      <c r="D126">
        <v>5</v>
      </c>
      <c r="E126">
        <v>6</v>
      </c>
      <c r="F126" s="32">
        <f t="shared" si="10"/>
        <v>1</v>
      </c>
      <c r="G126">
        <v>7</v>
      </c>
      <c r="H126">
        <v>5</v>
      </c>
      <c r="I126" s="32">
        <f t="shared" si="11"/>
        <v>2</v>
      </c>
      <c r="J126">
        <v>7</v>
      </c>
      <c r="K126">
        <v>6</v>
      </c>
      <c r="L126" s="32">
        <f t="shared" si="12"/>
        <v>1</v>
      </c>
      <c r="M126">
        <v>6</v>
      </c>
      <c r="N126">
        <v>5</v>
      </c>
      <c r="O126" s="32">
        <f t="shared" si="13"/>
        <v>1</v>
      </c>
      <c r="P126">
        <v>6</v>
      </c>
      <c r="Q126">
        <v>6</v>
      </c>
      <c r="R126" s="32">
        <f t="shared" si="14"/>
        <v>0</v>
      </c>
      <c r="S126">
        <v>5</v>
      </c>
      <c r="T126">
        <v>5</v>
      </c>
      <c r="U126" s="32">
        <f t="shared" si="15"/>
        <v>0</v>
      </c>
      <c r="V126">
        <v>6</v>
      </c>
      <c r="W126">
        <v>5</v>
      </c>
      <c r="X126" s="32">
        <f t="shared" si="16"/>
        <v>1</v>
      </c>
      <c r="Y126">
        <v>7</v>
      </c>
      <c r="Z126">
        <v>6</v>
      </c>
      <c r="AA126" s="32">
        <f t="shared" si="17"/>
        <v>1</v>
      </c>
    </row>
    <row r="127" spans="1:27" x14ac:dyDescent="0.45">
      <c r="A127">
        <v>6</v>
      </c>
      <c r="B127">
        <v>6</v>
      </c>
      <c r="C127" s="32">
        <f t="shared" si="9"/>
        <v>0</v>
      </c>
      <c r="D127">
        <v>5</v>
      </c>
      <c r="E127">
        <v>6</v>
      </c>
      <c r="F127" s="32">
        <f t="shared" si="10"/>
        <v>1</v>
      </c>
      <c r="G127">
        <v>7</v>
      </c>
      <c r="H127">
        <v>5</v>
      </c>
      <c r="I127" s="32">
        <f t="shared" si="11"/>
        <v>2</v>
      </c>
      <c r="J127">
        <v>7</v>
      </c>
      <c r="K127">
        <v>6</v>
      </c>
      <c r="L127" s="32">
        <f t="shared" si="12"/>
        <v>1</v>
      </c>
      <c r="M127">
        <v>6</v>
      </c>
      <c r="N127">
        <v>5</v>
      </c>
      <c r="O127" s="32">
        <f t="shared" si="13"/>
        <v>1</v>
      </c>
      <c r="P127">
        <v>6</v>
      </c>
      <c r="Q127">
        <v>6</v>
      </c>
      <c r="R127" s="32">
        <f t="shared" si="14"/>
        <v>0</v>
      </c>
      <c r="S127">
        <v>5</v>
      </c>
      <c r="T127">
        <v>5</v>
      </c>
      <c r="U127" s="32">
        <f t="shared" si="15"/>
        <v>0</v>
      </c>
      <c r="V127">
        <v>6</v>
      </c>
      <c r="W127">
        <v>5</v>
      </c>
      <c r="X127" s="32">
        <f t="shared" si="16"/>
        <v>1</v>
      </c>
      <c r="Y127">
        <v>7</v>
      </c>
      <c r="Z127">
        <v>6</v>
      </c>
      <c r="AA127" s="32">
        <f t="shared" si="17"/>
        <v>1</v>
      </c>
    </row>
    <row r="128" spans="1:27" x14ac:dyDescent="0.45">
      <c r="A128">
        <v>6</v>
      </c>
      <c r="B128">
        <v>6</v>
      </c>
      <c r="C128" s="32">
        <f t="shared" si="9"/>
        <v>0</v>
      </c>
      <c r="D128">
        <v>5</v>
      </c>
      <c r="E128">
        <v>6</v>
      </c>
      <c r="F128" s="32">
        <f t="shared" si="10"/>
        <v>1</v>
      </c>
      <c r="G128">
        <v>7</v>
      </c>
      <c r="H128">
        <v>5</v>
      </c>
      <c r="I128" s="32">
        <f t="shared" si="11"/>
        <v>2</v>
      </c>
      <c r="J128">
        <v>7</v>
      </c>
      <c r="K128">
        <v>6</v>
      </c>
      <c r="L128" s="32">
        <f t="shared" si="12"/>
        <v>1</v>
      </c>
      <c r="M128">
        <v>6</v>
      </c>
      <c r="N128">
        <v>5</v>
      </c>
      <c r="O128" s="32">
        <f t="shared" si="13"/>
        <v>1</v>
      </c>
      <c r="P128">
        <v>6</v>
      </c>
      <c r="Q128">
        <v>6</v>
      </c>
      <c r="R128" s="32">
        <f t="shared" si="14"/>
        <v>0</v>
      </c>
      <c r="S128">
        <v>5</v>
      </c>
      <c r="T128">
        <v>5</v>
      </c>
      <c r="U128" s="32">
        <f t="shared" si="15"/>
        <v>0</v>
      </c>
      <c r="V128">
        <v>6</v>
      </c>
      <c r="W128">
        <v>5</v>
      </c>
      <c r="X128" s="32">
        <f t="shared" si="16"/>
        <v>1</v>
      </c>
      <c r="Y128">
        <v>7</v>
      </c>
      <c r="Z128">
        <v>6</v>
      </c>
      <c r="AA128" s="32">
        <f t="shared" si="17"/>
        <v>1</v>
      </c>
    </row>
    <row r="129" spans="1:27" x14ac:dyDescent="0.45">
      <c r="A129">
        <v>6</v>
      </c>
      <c r="B129">
        <v>6</v>
      </c>
      <c r="C129" s="32">
        <f t="shared" si="9"/>
        <v>0</v>
      </c>
      <c r="D129">
        <v>5</v>
      </c>
      <c r="E129">
        <v>6</v>
      </c>
      <c r="F129" s="32">
        <f t="shared" si="10"/>
        <v>1</v>
      </c>
      <c r="G129">
        <v>7</v>
      </c>
      <c r="H129">
        <v>5</v>
      </c>
      <c r="I129" s="32">
        <f t="shared" si="11"/>
        <v>2</v>
      </c>
      <c r="J129">
        <v>7</v>
      </c>
      <c r="K129">
        <v>6</v>
      </c>
      <c r="L129" s="32">
        <f t="shared" si="12"/>
        <v>1</v>
      </c>
      <c r="M129">
        <v>6</v>
      </c>
      <c r="N129">
        <v>5</v>
      </c>
      <c r="O129" s="32">
        <f t="shared" si="13"/>
        <v>1</v>
      </c>
      <c r="P129">
        <v>6</v>
      </c>
      <c r="Q129">
        <v>6</v>
      </c>
      <c r="R129" s="32">
        <f t="shared" si="14"/>
        <v>0</v>
      </c>
      <c r="S129">
        <v>5</v>
      </c>
      <c r="T129">
        <v>5</v>
      </c>
      <c r="U129" s="32">
        <f t="shared" si="15"/>
        <v>0</v>
      </c>
      <c r="V129">
        <v>6</v>
      </c>
      <c r="W129">
        <v>5</v>
      </c>
      <c r="X129" s="32">
        <f t="shared" si="16"/>
        <v>1</v>
      </c>
      <c r="Y129">
        <v>7</v>
      </c>
      <c r="Z129">
        <v>6</v>
      </c>
      <c r="AA129" s="32">
        <f t="shared" si="17"/>
        <v>1</v>
      </c>
    </row>
    <row r="130" spans="1:27" x14ac:dyDescent="0.45">
      <c r="A130">
        <v>6</v>
      </c>
      <c r="B130">
        <v>6</v>
      </c>
      <c r="C130" s="32">
        <f t="shared" si="9"/>
        <v>0</v>
      </c>
      <c r="D130">
        <v>5</v>
      </c>
      <c r="E130">
        <v>6</v>
      </c>
      <c r="F130" s="32">
        <f t="shared" si="10"/>
        <v>1</v>
      </c>
      <c r="G130">
        <v>7</v>
      </c>
      <c r="H130">
        <v>5</v>
      </c>
      <c r="I130" s="32">
        <f t="shared" si="11"/>
        <v>2</v>
      </c>
      <c r="J130">
        <v>7</v>
      </c>
      <c r="K130">
        <v>6</v>
      </c>
      <c r="L130" s="32">
        <f t="shared" si="12"/>
        <v>1</v>
      </c>
      <c r="M130">
        <v>6</v>
      </c>
      <c r="N130">
        <v>5</v>
      </c>
      <c r="O130" s="32">
        <f t="shared" si="13"/>
        <v>1</v>
      </c>
      <c r="P130">
        <v>6</v>
      </c>
      <c r="Q130">
        <v>6</v>
      </c>
      <c r="R130" s="32">
        <f t="shared" si="14"/>
        <v>0</v>
      </c>
      <c r="S130">
        <v>5</v>
      </c>
      <c r="T130">
        <v>5</v>
      </c>
      <c r="U130" s="32">
        <f t="shared" si="15"/>
        <v>0</v>
      </c>
      <c r="V130">
        <v>6</v>
      </c>
      <c r="W130">
        <v>5</v>
      </c>
      <c r="X130" s="32">
        <f t="shared" si="16"/>
        <v>1</v>
      </c>
      <c r="Y130">
        <v>7</v>
      </c>
      <c r="Z130">
        <v>6</v>
      </c>
      <c r="AA130" s="32">
        <f t="shared" si="17"/>
        <v>1</v>
      </c>
    </row>
    <row r="131" spans="1:27" x14ac:dyDescent="0.45">
      <c r="A131">
        <v>6</v>
      </c>
      <c r="B131">
        <v>6</v>
      </c>
      <c r="C131" s="32">
        <f t="shared" ref="C131:C194" si="18">ABS(B131-A131)</f>
        <v>0</v>
      </c>
      <c r="D131">
        <v>5</v>
      </c>
      <c r="E131">
        <v>6</v>
      </c>
      <c r="F131" s="32">
        <f t="shared" ref="F131:F194" si="19">ABS(E131-D131)</f>
        <v>1</v>
      </c>
      <c r="G131">
        <v>7</v>
      </c>
      <c r="H131">
        <v>5</v>
      </c>
      <c r="I131" s="32">
        <f t="shared" ref="I131:I194" si="20">ABS(H131-G131)</f>
        <v>2</v>
      </c>
      <c r="J131">
        <v>7</v>
      </c>
      <c r="K131">
        <v>7</v>
      </c>
      <c r="L131" s="32">
        <f t="shared" ref="L131:L194" si="21">ABS(K131-J131)</f>
        <v>0</v>
      </c>
      <c r="M131">
        <v>6</v>
      </c>
      <c r="N131">
        <v>5</v>
      </c>
      <c r="O131" s="32">
        <f t="shared" ref="O131:O194" si="22">ABS(N131-M131)</f>
        <v>1</v>
      </c>
      <c r="P131">
        <v>6</v>
      </c>
      <c r="Q131">
        <v>6</v>
      </c>
      <c r="R131" s="32">
        <f t="shared" ref="R131:R194" si="23">ABS(Q131-P131)</f>
        <v>0</v>
      </c>
      <c r="S131">
        <v>5</v>
      </c>
      <c r="T131">
        <v>5</v>
      </c>
      <c r="U131" s="32">
        <f t="shared" ref="U131:U194" si="24">ABS(T131-S131)</f>
        <v>0</v>
      </c>
      <c r="V131">
        <v>6</v>
      </c>
      <c r="W131">
        <v>5</v>
      </c>
      <c r="X131" s="32">
        <f t="shared" ref="X131:X194" si="25">ABS(W131-V131)</f>
        <v>1</v>
      </c>
      <c r="Y131">
        <v>7</v>
      </c>
      <c r="Z131">
        <v>6</v>
      </c>
      <c r="AA131" s="32">
        <f t="shared" ref="AA131:AA194" si="26">ABS(Z131-Y131)</f>
        <v>1</v>
      </c>
    </row>
    <row r="132" spans="1:27" x14ac:dyDescent="0.45">
      <c r="A132">
        <v>6</v>
      </c>
      <c r="B132">
        <v>6</v>
      </c>
      <c r="C132" s="32">
        <f t="shared" si="18"/>
        <v>0</v>
      </c>
      <c r="D132">
        <v>5</v>
      </c>
      <c r="E132">
        <v>7</v>
      </c>
      <c r="F132" s="32">
        <f t="shared" si="19"/>
        <v>2</v>
      </c>
      <c r="G132">
        <v>7</v>
      </c>
      <c r="H132">
        <v>5</v>
      </c>
      <c r="I132" s="32">
        <f t="shared" si="20"/>
        <v>2</v>
      </c>
      <c r="J132">
        <v>7</v>
      </c>
      <c r="K132">
        <v>7</v>
      </c>
      <c r="L132" s="32">
        <f t="shared" si="21"/>
        <v>0</v>
      </c>
      <c r="M132">
        <v>6</v>
      </c>
      <c r="N132">
        <v>5</v>
      </c>
      <c r="O132" s="32">
        <f t="shared" si="22"/>
        <v>1</v>
      </c>
      <c r="P132">
        <v>6</v>
      </c>
      <c r="Q132">
        <v>6</v>
      </c>
      <c r="R132" s="32">
        <f t="shared" si="23"/>
        <v>0</v>
      </c>
      <c r="S132">
        <v>5</v>
      </c>
      <c r="T132">
        <v>5</v>
      </c>
      <c r="U132" s="32">
        <f t="shared" si="24"/>
        <v>0</v>
      </c>
      <c r="V132">
        <v>6</v>
      </c>
      <c r="W132">
        <v>6</v>
      </c>
      <c r="X132" s="32">
        <f t="shared" si="25"/>
        <v>0</v>
      </c>
      <c r="Y132">
        <v>7</v>
      </c>
      <c r="Z132">
        <v>6</v>
      </c>
      <c r="AA132" s="32">
        <f t="shared" si="26"/>
        <v>1</v>
      </c>
    </row>
    <row r="133" spans="1:27" x14ac:dyDescent="0.45">
      <c r="A133">
        <v>6</v>
      </c>
      <c r="B133">
        <v>6</v>
      </c>
      <c r="C133" s="32">
        <f t="shared" si="18"/>
        <v>0</v>
      </c>
      <c r="D133">
        <v>5</v>
      </c>
      <c r="E133">
        <v>7</v>
      </c>
      <c r="F133" s="32">
        <f t="shared" si="19"/>
        <v>2</v>
      </c>
      <c r="G133">
        <v>7</v>
      </c>
      <c r="H133">
        <v>5</v>
      </c>
      <c r="I133" s="32">
        <f t="shared" si="20"/>
        <v>2</v>
      </c>
      <c r="J133">
        <v>7</v>
      </c>
      <c r="K133">
        <v>7</v>
      </c>
      <c r="L133" s="32">
        <f t="shared" si="21"/>
        <v>0</v>
      </c>
      <c r="M133">
        <v>6</v>
      </c>
      <c r="N133">
        <v>5</v>
      </c>
      <c r="O133" s="32">
        <f t="shared" si="22"/>
        <v>1</v>
      </c>
      <c r="P133">
        <v>6</v>
      </c>
      <c r="Q133">
        <v>6</v>
      </c>
      <c r="R133" s="32">
        <f t="shared" si="23"/>
        <v>0</v>
      </c>
      <c r="S133">
        <v>5</v>
      </c>
      <c r="T133">
        <v>5</v>
      </c>
      <c r="U133" s="32">
        <f t="shared" si="24"/>
        <v>0</v>
      </c>
      <c r="V133">
        <v>6</v>
      </c>
      <c r="W133">
        <v>6</v>
      </c>
      <c r="X133" s="32">
        <f t="shared" si="25"/>
        <v>0</v>
      </c>
      <c r="Y133">
        <v>7</v>
      </c>
      <c r="Z133">
        <v>6</v>
      </c>
      <c r="AA133" s="32">
        <f t="shared" si="26"/>
        <v>1</v>
      </c>
    </row>
    <row r="134" spans="1:27" x14ac:dyDescent="0.45">
      <c r="A134">
        <v>6</v>
      </c>
      <c r="B134">
        <v>6</v>
      </c>
      <c r="C134" s="32">
        <f t="shared" si="18"/>
        <v>0</v>
      </c>
      <c r="D134">
        <v>5</v>
      </c>
      <c r="E134">
        <v>7</v>
      </c>
      <c r="F134" s="32">
        <f t="shared" si="19"/>
        <v>2</v>
      </c>
      <c r="G134">
        <v>7</v>
      </c>
      <c r="H134">
        <v>5</v>
      </c>
      <c r="I134" s="32">
        <f t="shared" si="20"/>
        <v>2</v>
      </c>
      <c r="J134">
        <v>7</v>
      </c>
      <c r="K134">
        <v>7</v>
      </c>
      <c r="L134" s="32">
        <f t="shared" si="21"/>
        <v>0</v>
      </c>
      <c r="M134">
        <v>6</v>
      </c>
      <c r="N134">
        <v>5</v>
      </c>
      <c r="O134" s="32">
        <f t="shared" si="22"/>
        <v>1</v>
      </c>
      <c r="P134">
        <v>6</v>
      </c>
      <c r="Q134">
        <v>6</v>
      </c>
      <c r="R134" s="32">
        <f t="shared" si="23"/>
        <v>0</v>
      </c>
      <c r="S134">
        <v>5</v>
      </c>
      <c r="T134">
        <v>5</v>
      </c>
      <c r="U134" s="32">
        <f t="shared" si="24"/>
        <v>0</v>
      </c>
      <c r="V134">
        <v>6</v>
      </c>
      <c r="W134">
        <v>6</v>
      </c>
      <c r="X134" s="32">
        <f t="shared" si="25"/>
        <v>0</v>
      </c>
      <c r="Y134">
        <v>7</v>
      </c>
      <c r="Z134">
        <v>6</v>
      </c>
      <c r="AA134" s="32">
        <f t="shared" si="26"/>
        <v>1</v>
      </c>
    </row>
    <row r="135" spans="1:27" x14ac:dyDescent="0.45">
      <c r="A135">
        <v>6</v>
      </c>
      <c r="B135">
        <v>6</v>
      </c>
      <c r="C135" s="32">
        <f t="shared" si="18"/>
        <v>0</v>
      </c>
      <c r="D135">
        <v>5</v>
      </c>
      <c r="E135">
        <v>7</v>
      </c>
      <c r="F135" s="32">
        <f t="shared" si="19"/>
        <v>2</v>
      </c>
      <c r="G135">
        <v>7</v>
      </c>
      <c r="H135">
        <v>5</v>
      </c>
      <c r="I135" s="32">
        <f t="shared" si="20"/>
        <v>2</v>
      </c>
      <c r="J135">
        <v>7</v>
      </c>
      <c r="K135">
        <v>7</v>
      </c>
      <c r="L135" s="32">
        <f t="shared" si="21"/>
        <v>0</v>
      </c>
      <c r="M135">
        <v>6</v>
      </c>
      <c r="N135">
        <v>5</v>
      </c>
      <c r="O135" s="32">
        <f t="shared" si="22"/>
        <v>1</v>
      </c>
      <c r="P135">
        <v>6</v>
      </c>
      <c r="Q135">
        <v>6</v>
      </c>
      <c r="R135" s="32">
        <f t="shared" si="23"/>
        <v>0</v>
      </c>
      <c r="S135">
        <v>5</v>
      </c>
      <c r="T135">
        <v>5</v>
      </c>
      <c r="U135" s="32">
        <f t="shared" si="24"/>
        <v>0</v>
      </c>
      <c r="V135">
        <v>6</v>
      </c>
      <c r="W135">
        <v>6</v>
      </c>
      <c r="X135" s="32">
        <f t="shared" si="25"/>
        <v>0</v>
      </c>
      <c r="Y135">
        <v>7</v>
      </c>
      <c r="Z135">
        <v>6</v>
      </c>
      <c r="AA135" s="32">
        <f t="shared" si="26"/>
        <v>1</v>
      </c>
    </row>
    <row r="136" spans="1:27" x14ac:dyDescent="0.45">
      <c r="A136">
        <v>6</v>
      </c>
      <c r="B136">
        <v>6</v>
      </c>
      <c r="C136" s="32">
        <f t="shared" si="18"/>
        <v>0</v>
      </c>
      <c r="D136">
        <v>5</v>
      </c>
      <c r="E136">
        <v>7</v>
      </c>
      <c r="F136" s="32">
        <f t="shared" si="19"/>
        <v>2</v>
      </c>
      <c r="G136">
        <v>7</v>
      </c>
      <c r="H136">
        <v>5</v>
      </c>
      <c r="I136" s="32">
        <f t="shared" si="20"/>
        <v>2</v>
      </c>
      <c r="J136">
        <v>7</v>
      </c>
      <c r="K136">
        <v>7</v>
      </c>
      <c r="L136" s="32">
        <f t="shared" si="21"/>
        <v>0</v>
      </c>
      <c r="M136">
        <v>6</v>
      </c>
      <c r="N136">
        <v>5</v>
      </c>
      <c r="O136" s="32">
        <f t="shared" si="22"/>
        <v>1</v>
      </c>
      <c r="P136">
        <v>6</v>
      </c>
      <c r="Q136">
        <v>6</v>
      </c>
      <c r="R136" s="32">
        <f t="shared" si="23"/>
        <v>0</v>
      </c>
      <c r="S136">
        <v>5</v>
      </c>
      <c r="T136">
        <v>5</v>
      </c>
      <c r="U136" s="32">
        <f t="shared" si="24"/>
        <v>0</v>
      </c>
      <c r="V136">
        <v>6</v>
      </c>
      <c r="W136">
        <v>6</v>
      </c>
      <c r="X136" s="32">
        <f t="shared" si="25"/>
        <v>0</v>
      </c>
      <c r="Y136">
        <v>7</v>
      </c>
      <c r="Z136">
        <v>6</v>
      </c>
      <c r="AA136" s="32">
        <f t="shared" si="26"/>
        <v>1</v>
      </c>
    </row>
    <row r="137" spans="1:27" x14ac:dyDescent="0.45">
      <c r="A137">
        <v>6</v>
      </c>
      <c r="B137">
        <v>6</v>
      </c>
      <c r="C137" s="32">
        <f t="shared" si="18"/>
        <v>0</v>
      </c>
      <c r="D137">
        <v>5</v>
      </c>
      <c r="E137">
        <v>7</v>
      </c>
      <c r="F137" s="32">
        <f t="shared" si="19"/>
        <v>2</v>
      </c>
      <c r="G137">
        <v>7</v>
      </c>
      <c r="H137">
        <v>5</v>
      </c>
      <c r="I137" s="32">
        <f t="shared" si="20"/>
        <v>2</v>
      </c>
      <c r="J137">
        <v>7</v>
      </c>
      <c r="K137">
        <v>7</v>
      </c>
      <c r="L137" s="32">
        <f t="shared" si="21"/>
        <v>0</v>
      </c>
      <c r="M137">
        <v>6</v>
      </c>
      <c r="N137">
        <v>5</v>
      </c>
      <c r="O137" s="32">
        <f t="shared" si="22"/>
        <v>1</v>
      </c>
      <c r="P137">
        <v>6</v>
      </c>
      <c r="Q137">
        <v>6</v>
      </c>
      <c r="R137" s="32">
        <f t="shared" si="23"/>
        <v>0</v>
      </c>
      <c r="S137">
        <v>5</v>
      </c>
      <c r="T137">
        <v>5</v>
      </c>
      <c r="U137" s="32">
        <f t="shared" si="24"/>
        <v>0</v>
      </c>
      <c r="V137">
        <v>6</v>
      </c>
      <c r="W137">
        <v>6</v>
      </c>
      <c r="X137" s="32">
        <f t="shared" si="25"/>
        <v>0</v>
      </c>
      <c r="Y137">
        <v>7</v>
      </c>
      <c r="Z137">
        <v>6</v>
      </c>
      <c r="AA137" s="32">
        <f t="shared" si="26"/>
        <v>1</v>
      </c>
    </row>
    <row r="138" spans="1:27" x14ac:dyDescent="0.45">
      <c r="A138">
        <v>6</v>
      </c>
      <c r="B138">
        <v>6</v>
      </c>
      <c r="C138" s="32">
        <f t="shared" si="18"/>
        <v>0</v>
      </c>
      <c r="D138">
        <v>5</v>
      </c>
      <c r="E138">
        <v>7</v>
      </c>
      <c r="F138" s="32">
        <f t="shared" si="19"/>
        <v>2</v>
      </c>
      <c r="G138">
        <v>7</v>
      </c>
      <c r="H138">
        <v>5</v>
      </c>
      <c r="I138" s="32">
        <f t="shared" si="20"/>
        <v>2</v>
      </c>
      <c r="J138">
        <v>7</v>
      </c>
      <c r="K138">
        <v>7</v>
      </c>
      <c r="L138" s="32">
        <f t="shared" si="21"/>
        <v>0</v>
      </c>
      <c r="M138">
        <v>6</v>
      </c>
      <c r="N138">
        <v>6</v>
      </c>
      <c r="O138" s="32">
        <f t="shared" si="22"/>
        <v>0</v>
      </c>
      <c r="P138">
        <v>6</v>
      </c>
      <c r="Q138">
        <v>6</v>
      </c>
      <c r="R138" s="32">
        <f t="shared" si="23"/>
        <v>0</v>
      </c>
      <c r="S138">
        <v>5</v>
      </c>
      <c r="T138">
        <v>5</v>
      </c>
      <c r="U138" s="32">
        <f t="shared" si="24"/>
        <v>0</v>
      </c>
      <c r="V138">
        <v>6</v>
      </c>
      <c r="W138">
        <v>6</v>
      </c>
      <c r="X138" s="32">
        <f t="shared" si="25"/>
        <v>0</v>
      </c>
      <c r="Y138">
        <v>7</v>
      </c>
      <c r="Z138">
        <v>6</v>
      </c>
      <c r="AA138" s="32">
        <f t="shared" si="26"/>
        <v>1</v>
      </c>
    </row>
    <row r="139" spans="1:27" x14ac:dyDescent="0.45">
      <c r="A139">
        <v>6</v>
      </c>
      <c r="B139">
        <v>6</v>
      </c>
      <c r="C139" s="32">
        <f t="shared" si="18"/>
        <v>0</v>
      </c>
      <c r="D139">
        <v>5</v>
      </c>
      <c r="E139">
        <v>7</v>
      </c>
      <c r="F139" s="32">
        <f t="shared" si="19"/>
        <v>2</v>
      </c>
      <c r="G139">
        <v>7</v>
      </c>
      <c r="H139">
        <v>5</v>
      </c>
      <c r="I139" s="32">
        <f t="shared" si="20"/>
        <v>2</v>
      </c>
      <c r="J139">
        <v>7</v>
      </c>
      <c r="K139">
        <v>7</v>
      </c>
      <c r="L139" s="32">
        <f t="shared" si="21"/>
        <v>0</v>
      </c>
      <c r="M139">
        <v>6</v>
      </c>
      <c r="N139">
        <v>6</v>
      </c>
      <c r="O139" s="32">
        <f t="shared" si="22"/>
        <v>0</v>
      </c>
      <c r="P139">
        <v>6</v>
      </c>
      <c r="Q139">
        <v>6</v>
      </c>
      <c r="R139" s="32">
        <f t="shared" si="23"/>
        <v>0</v>
      </c>
      <c r="S139">
        <v>5</v>
      </c>
      <c r="T139">
        <v>5</v>
      </c>
      <c r="U139" s="32">
        <f t="shared" si="24"/>
        <v>0</v>
      </c>
      <c r="V139">
        <v>6</v>
      </c>
      <c r="W139">
        <v>6</v>
      </c>
      <c r="X139" s="32">
        <f t="shared" si="25"/>
        <v>0</v>
      </c>
      <c r="Y139">
        <v>7</v>
      </c>
      <c r="Z139">
        <v>6</v>
      </c>
      <c r="AA139" s="32">
        <f t="shared" si="26"/>
        <v>1</v>
      </c>
    </row>
    <row r="140" spans="1:27" x14ac:dyDescent="0.45">
      <c r="A140">
        <v>6</v>
      </c>
      <c r="B140">
        <v>6</v>
      </c>
      <c r="C140" s="32">
        <f t="shared" si="18"/>
        <v>0</v>
      </c>
      <c r="D140">
        <v>5</v>
      </c>
      <c r="E140">
        <v>7</v>
      </c>
      <c r="F140" s="32">
        <f t="shared" si="19"/>
        <v>2</v>
      </c>
      <c r="G140">
        <v>7</v>
      </c>
      <c r="H140">
        <v>5</v>
      </c>
      <c r="I140" s="32">
        <f t="shared" si="20"/>
        <v>2</v>
      </c>
      <c r="J140">
        <v>7</v>
      </c>
      <c r="K140">
        <v>7</v>
      </c>
      <c r="L140" s="32">
        <f t="shared" si="21"/>
        <v>0</v>
      </c>
      <c r="M140">
        <v>6</v>
      </c>
      <c r="N140">
        <v>6</v>
      </c>
      <c r="O140" s="32">
        <f t="shared" si="22"/>
        <v>0</v>
      </c>
      <c r="P140">
        <v>6</v>
      </c>
      <c r="Q140">
        <v>6</v>
      </c>
      <c r="R140" s="32">
        <f t="shared" si="23"/>
        <v>0</v>
      </c>
      <c r="S140">
        <v>5</v>
      </c>
      <c r="T140">
        <v>5</v>
      </c>
      <c r="U140" s="32">
        <f t="shared" si="24"/>
        <v>0</v>
      </c>
      <c r="V140">
        <v>6</v>
      </c>
      <c r="W140">
        <v>6</v>
      </c>
      <c r="X140" s="32">
        <f t="shared" si="25"/>
        <v>0</v>
      </c>
      <c r="Y140">
        <v>7</v>
      </c>
      <c r="Z140">
        <v>6</v>
      </c>
      <c r="AA140" s="32">
        <f t="shared" si="26"/>
        <v>1</v>
      </c>
    </row>
    <row r="141" spans="1:27" x14ac:dyDescent="0.45">
      <c r="A141">
        <v>6</v>
      </c>
      <c r="B141">
        <v>6</v>
      </c>
      <c r="C141" s="32">
        <f t="shared" si="18"/>
        <v>0</v>
      </c>
      <c r="D141">
        <v>5</v>
      </c>
      <c r="E141">
        <v>7</v>
      </c>
      <c r="F141" s="32">
        <f t="shared" si="19"/>
        <v>2</v>
      </c>
      <c r="G141">
        <v>7</v>
      </c>
      <c r="H141">
        <v>5</v>
      </c>
      <c r="I141" s="32">
        <f t="shared" si="20"/>
        <v>2</v>
      </c>
      <c r="J141">
        <v>7</v>
      </c>
      <c r="K141">
        <v>7</v>
      </c>
      <c r="L141" s="32">
        <f t="shared" si="21"/>
        <v>0</v>
      </c>
      <c r="M141">
        <v>6</v>
      </c>
      <c r="N141">
        <v>6</v>
      </c>
      <c r="O141" s="32">
        <f t="shared" si="22"/>
        <v>0</v>
      </c>
      <c r="P141">
        <v>6</v>
      </c>
      <c r="Q141">
        <v>6</v>
      </c>
      <c r="R141" s="32">
        <f t="shared" si="23"/>
        <v>0</v>
      </c>
      <c r="S141">
        <v>6</v>
      </c>
      <c r="T141">
        <v>5</v>
      </c>
      <c r="U141" s="32">
        <f t="shared" si="24"/>
        <v>1</v>
      </c>
      <c r="V141">
        <v>6</v>
      </c>
      <c r="W141">
        <v>6</v>
      </c>
      <c r="X141" s="32">
        <f t="shared" si="25"/>
        <v>0</v>
      </c>
      <c r="Y141">
        <v>7</v>
      </c>
      <c r="Z141">
        <v>6</v>
      </c>
      <c r="AA141" s="32">
        <f t="shared" si="26"/>
        <v>1</v>
      </c>
    </row>
    <row r="142" spans="1:27" x14ac:dyDescent="0.45">
      <c r="A142">
        <v>6</v>
      </c>
      <c r="B142">
        <v>6</v>
      </c>
      <c r="C142" s="32">
        <f t="shared" si="18"/>
        <v>0</v>
      </c>
      <c r="D142">
        <v>5</v>
      </c>
      <c r="E142">
        <v>7</v>
      </c>
      <c r="F142" s="32">
        <f t="shared" si="19"/>
        <v>2</v>
      </c>
      <c r="G142">
        <v>7</v>
      </c>
      <c r="H142">
        <v>5</v>
      </c>
      <c r="I142" s="32">
        <f t="shared" si="20"/>
        <v>2</v>
      </c>
      <c r="J142">
        <v>7</v>
      </c>
      <c r="K142">
        <v>7</v>
      </c>
      <c r="L142" s="32">
        <f t="shared" si="21"/>
        <v>0</v>
      </c>
      <c r="M142">
        <v>6</v>
      </c>
      <c r="N142">
        <v>6</v>
      </c>
      <c r="O142" s="32">
        <f t="shared" si="22"/>
        <v>0</v>
      </c>
      <c r="P142">
        <v>6</v>
      </c>
      <c r="Q142">
        <v>6</v>
      </c>
      <c r="R142" s="32">
        <f t="shared" si="23"/>
        <v>0</v>
      </c>
      <c r="S142">
        <v>6</v>
      </c>
      <c r="T142">
        <v>5</v>
      </c>
      <c r="U142" s="32">
        <f t="shared" si="24"/>
        <v>1</v>
      </c>
      <c r="V142">
        <v>6</v>
      </c>
      <c r="W142">
        <v>6</v>
      </c>
      <c r="X142" s="32">
        <f t="shared" si="25"/>
        <v>0</v>
      </c>
      <c r="Y142">
        <v>7</v>
      </c>
      <c r="Z142">
        <v>6</v>
      </c>
      <c r="AA142" s="32">
        <f t="shared" si="26"/>
        <v>1</v>
      </c>
    </row>
    <row r="143" spans="1:27" x14ac:dyDescent="0.45">
      <c r="A143">
        <v>6</v>
      </c>
      <c r="B143">
        <v>6</v>
      </c>
      <c r="C143" s="32">
        <f t="shared" si="18"/>
        <v>0</v>
      </c>
      <c r="D143">
        <v>5</v>
      </c>
      <c r="E143">
        <v>7</v>
      </c>
      <c r="F143" s="32">
        <f t="shared" si="19"/>
        <v>2</v>
      </c>
      <c r="G143">
        <v>7</v>
      </c>
      <c r="H143">
        <v>5</v>
      </c>
      <c r="I143" s="32">
        <f t="shared" si="20"/>
        <v>2</v>
      </c>
      <c r="J143">
        <v>7</v>
      </c>
      <c r="K143">
        <v>7</v>
      </c>
      <c r="L143" s="32">
        <f t="shared" si="21"/>
        <v>0</v>
      </c>
      <c r="M143">
        <v>6</v>
      </c>
      <c r="N143">
        <v>6</v>
      </c>
      <c r="O143" s="32">
        <f t="shared" si="22"/>
        <v>0</v>
      </c>
      <c r="P143">
        <v>7</v>
      </c>
      <c r="Q143">
        <v>6</v>
      </c>
      <c r="R143" s="32">
        <f t="shared" si="23"/>
        <v>1</v>
      </c>
      <c r="S143">
        <v>6</v>
      </c>
      <c r="T143">
        <v>5</v>
      </c>
      <c r="U143" s="32">
        <f t="shared" si="24"/>
        <v>1</v>
      </c>
      <c r="V143">
        <v>6</v>
      </c>
      <c r="W143">
        <v>6</v>
      </c>
      <c r="X143" s="32">
        <f t="shared" si="25"/>
        <v>0</v>
      </c>
      <c r="Y143">
        <v>7</v>
      </c>
      <c r="Z143">
        <v>6</v>
      </c>
      <c r="AA143" s="32">
        <f t="shared" si="26"/>
        <v>1</v>
      </c>
    </row>
    <row r="144" spans="1:27" x14ac:dyDescent="0.45">
      <c r="A144">
        <v>6</v>
      </c>
      <c r="B144">
        <v>6</v>
      </c>
      <c r="C144" s="32">
        <f t="shared" si="18"/>
        <v>0</v>
      </c>
      <c r="D144">
        <v>5</v>
      </c>
      <c r="E144">
        <v>7</v>
      </c>
      <c r="F144" s="32">
        <f t="shared" si="19"/>
        <v>2</v>
      </c>
      <c r="G144">
        <v>7</v>
      </c>
      <c r="H144">
        <v>5</v>
      </c>
      <c r="I144" s="32">
        <f t="shared" si="20"/>
        <v>2</v>
      </c>
      <c r="J144">
        <v>7</v>
      </c>
      <c r="K144">
        <v>7</v>
      </c>
      <c r="L144" s="32">
        <f t="shared" si="21"/>
        <v>0</v>
      </c>
      <c r="M144">
        <v>6</v>
      </c>
      <c r="N144">
        <v>6</v>
      </c>
      <c r="O144" s="32">
        <f t="shared" si="22"/>
        <v>0</v>
      </c>
      <c r="P144">
        <v>7</v>
      </c>
      <c r="Q144">
        <v>6</v>
      </c>
      <c r="R144" s="32">
        <f t="shared" si="23"/>
        <v>1</v>
      </c>
      <c r="S144">
        <v>6</v>
      </c>
      <c r="T144">
        <v>5</v>
      </c>
      <c r="U144" s="32">
        <f t="shared" si="24"/>
        <v>1</v>
      </c>
      <c r="V144">
        <v>6</v>
      </c>
      <c r="W144">
        <v>6</v>
      </c>
      <c r="X144" s="32">
        <f t="shared" si="25"/>
        <v>0</v>
      </c>
      <c r="Y144">
        <v>7</v>
      </c>
      <c r="Z144">
        <v>6</v>
      </c>
      <c r="AA144" s="32">
        <f t="shared" si="26"/>
        <v>1</v>
      </c>
    </row>
    <row r="145" spans="1:27" x14ac:dyDescent="0.45">
      <c r="A145">
        <v>6</v>
      </c>
      <c r="B145">
        <v>6</v>
      </c>
      <c r="C145" s="32">
        <f t="shared" si="18"/>
        <v>0</v>
      </c>
      <c r="D145">
        <v>5</v>
      </c>
      <c r="E145">
        <v>7</v>
      </c>
      <c r="F145" s="32">
        <f t="shared" si="19"/>
        <v>2</v>
      </c>
      <c r="G145">
        <v>7</v>
      </c>
      <c r="H145">
        <v>5</v>
      </c>
      <c r="I145" s="32">
        <f t="shared" si="20"/>
        <v>2</v>
      </c>
      <c r="J145">
        <v>7</v>
      </c>
      <c r="K145">
        <v>7</v>
      </c>
      <c r="L145" s="32">
        <f t="shared" si="21"/>
        <v>0</v>
      </c>
      <c r="M145">
        <v>6</v>
      </c>
      <c r="N145">
        <v>6</v>
      </c>
      <c r="O145" s="32">
        <f t="shared" si="22"/>
        <v>0</v>
      </c>
      <c r="P145">
        <v>7</v>
      </c>
      <c r="Q145">
        <v>6</v>
      </c>
      <c r="R145" s="32">
        <f t="shared" si="23"/>
        <v>1</v>
      </c>
      <c r="S145">
        <v>6</v>
      </c>
      <c r="T145">
        <v>5</v>
      </c>
      <c r="U145" s="32">
        <f t="shared" si="24"/>
        <v>1</v>
      </c>
      <c r="V145">
        <v>6</v>
      </c>
      <c r="W145">
        <v>6</v>
      </c>
      <c r="X145" s="32">
        <f t="shared" si="25"/>
        <v>0</v>
      </c>
      <c r="Y145">
        <v>7</v>
      </c>
      <c r="Z145">
        <v>6</v>
      </c>
      <c r="AA145" s="32">
        <f t="shared" si="26"/>
        <v>1</v>
      </c>
    </row>
    <row r="146" spans="1:27" x14ac:dyDescent="0.45">
      <c r="A146">
        <v>6</v>
      </c>
      <c r="B146">
        <v>6</v>
      </c>
      <c r="C146" s="32">
        <f t="shared" si="18"/>
        <v>0</v>
      </c>
      <c r="D146">
        <v>5</v>
      </c>
      <c r="E146">
        <v>7</v>
      </c>
      <c r="F146" s="32">
        <f t="shared" si="19"/>
        <v>2</v>
      </c>
      <c r="G146">
        <v>7</v>
      </c>
      <c r="H146">
        <v>5</v>
      </c>
      <c r="I146" s="32">
        <f t="shared" si="20"/>
        <v>2</v>
      </c>
      <c r="J146">
        <v>7</v>
      </c>
      <c r="K146">
        <v>7</v>
      </c>
      <c r="L146" s="32">
        <f t="shared" si="21"/>
        <v>0</v>
      </c>
      <c r="M146">
        <v>6</v>
      </c>
      <c r="N146">
        <v>6</v>
      </c>
      <c r="O146" s="32">
        <f t="shared" si="22"/>
        <v>0</v>
      </c>
      <c r="P146">
        <v>7</v>
      </c>
      <c r="Q146">
        <v>6</v>
      </c>
      <c r="R146" s="32">
        <f t="shared" si="23"/>
        <v>1</v>
      </c>
      <c r="S146">
        <v>6</v>
      </c>
      <c r="T146">
        <v>5</v>
      </c>
      <c r="U146" s="32">
        <f t="shared" si="24"/>
        <v>1</v>
      </c>
      <c r="V146">
        <v>6</v>
      </c>
      <c r="W146">
        <v>6</v>
      </c>
      <c r="X146" s="32">
        <f t="shared" si="25"/>
        <v>0</v>
      </c>
      <c r="Y146">
        <v>7</v>
      </c>
      <c r="Z146">
        <v>6</v>
      </c>
      <c r="AA146" s="32">
        <f t="shared" si="26"/>
        <v>1</v>
      </c>
    </row>
    <row r="147" spans="1:27" x14ac:dyDescent="0.45">
      <c r="A147">
        <v>6</v>
      </c>
      <c r="B147">
        <v>6</v>
      </c>
      <c r="C147" s="32">
        <f t="shared" si="18"/>
        <v>0</v>
      </c>
      <c r="D147">
        <v>5</v>
      </c>
      <c r="E147">
        <v>7</v>
      </c>
      <c r="F147" s="32">
        <f t="shared" si="19"/>
        <v>2</v>
      </c>
      <c r="G147">
        <v>7</v>
      </c>
      <c r="H147">
        <v>5</v>
      </c>
      <c r="I147" s="32">
        <f t="shared" si="20"/>
        <v>2</v>
      </c>
      <c r="J147">
        <v>7</v>
      </c>
      <c r="K147">
        <v>7</v>
      </c>
      <c r="L147" s="32">
        <f t="shared" si="21"/>
        <v>0</v>
      </c>
      <c r="M147">
        <v>6</v>
      </c>
      <c r="N147">
        <v>6</v>
      </c>
      <c r="O147" s="32">
        <f t="shared" si="22"/>
        <v>0</v>
      </c>
      <c r="P147">
        <v>7</v>
      </c>
      <c r="Q147">
        <v>6</v>
      </c>
      <c r="R147" s="32">
        <f t="shared" si="23"/>
        <v>1</v>
      </c>
      <c r="S147">
        <v>6</v>
      </c>
      <c r="T147">
        <v>5</v>
      </c>
      <c r="U147" s="32">
        <f t="shared" si="24"/>
        <v>1</v>
      </c>
      <c r="V147">
        <v>6</v>
      </c>
      <c r="W147">
        <v>6</v>
      </c>
      <c r="X147" s="32">
        <f t="shared" si="25"/>
        <v>0</v>
      </c>
      <c r="Y147">
        <v>7</v>
      </c>
      <c r="Z147">
        <v>6</v>
      </c>
      <c r="AA147" s="32">
        <f t="shared" si="26"/>
        <v>1</v>
      </c>
    </row>
    <row r="148" spans="1:27" x14ac:dyDescent="0.45">
      <c r="A148">
        <v>6</v>
      </c>
      <c r="B148">
        <v>6</v>
      </c>
      <c r="C148" s="32">
        <f t="shared" si="18"/>
        <v>0</v>
      </c>
      <c r="D148">
        <v>5</v>
      </c>
      <c r="E148">
        <v>7</v>
      </c>
      <c r="F148" s="32">
        <f t="shared" si="19"/>
        <v>2</v>
      </c>
      <c r="G148">
        <v>7</v>
      </c>
      <c r="H148">
        <v>5</v>
      </c>
      <c r="I148" s="32">
        <f t="shared" si="20"/>
        <v>2</v>
      </c>
      <c r="J148">
        <v>7</v>
      </c>
      <c r="K148">
        <v>7</v>
      </c>
      <c r="L148" s="32">
        <f t="shared" si="21"/>
        <v>0</v>
      </c>
      <c r="M148">
        <v>6</v>
      </c>
      <c r="N148">
        <v>6</v>
      </c>
      <c r="O148" s="32">
        <f t="shared" si="22"/>
        <v>0</v>
      </c>
      <c r="P148">
        <v>7</v>
      </c>
      <c r="Q148">
        <v>6</v>
      </c>
      <c r="R148" s="32">
        <f t="shared" si="23"/>
        <v>1</v>
      </c>
      <c r="S148">
        <v>6</v>
      </c>
      <c r="T148">
        <v>5</v>
      </c>
      <c r="U148" s="32">
        <f t="shared" si="24"/>
        <v>1</v>
      </c>
      <c r="V148">
        <v>6</v>
      </c>
      <c r="W148">
        <v>6</v>
      </c>
      <c r="X148" s="32">
        <f t="shared" si="25"/>
        <v>0</v>
      </c>
      <c r="Y148">
        <v>7</v>
      </c>
      <c r="Z148">
        <v>6</v>
      </c>
      <c r="AA148" s="32">
        <f t="shared" si="26"/>
        <v>1</v>
      </c>
    </row>
    <row r="149" spans="1:27" x14ac:dyDescent="0.45">
      <c r="A149">
        <v>6</v>
      </c>
      <c r="B149">
        <v>6</v>
      </c>
      <c r="C149" s="32">
        <f t="shared" si="18"/>
        <v>0</v>
      </c>
      <c r="D149">
        <v>5</v>
      </c>
      <c r="E149">
        <v>7</v>
      </c>
      <c r="F149" s="32">
        <f t="shared" si="19"/>
        <v>2</v>
      </c>
      <c r="G149">
        <v>7</v>
      </c>
      <c r="H149">
        <v>5</v>
      </c>
      <c r="I149" s="32">
        <f t="shared" si="20"/>
        <v>2</v>
      </c>
      <c r="J149">
        <v>7</v>
      </c>
      <c r="K149">
        <v>7</v>
      </c>
      <c r="L149" s="32">
        <f t="shared" si="21"/>
        <v>0</v>
      </c>
      <c r="M149">
        <v>6</v>
      </c>
      <c r="N149">
        <v>6</v>
      </c>
      <c r="O149" s="32">
        <f t="shared" si="22"/>
        <v>0</v>
      </c>
      <c r="P149">
        <v>7</v>
      </c>
      <c r="Q149">
        <v>6</v>
      </c>
      <c r="R149" s="32">
        <f t="shared" si="23"/>
        <v>1</v>
      </c>
      <c r="S149">
        <v>6</v>
      </c>
      <c r="T149">
        <v>5</v>
      </c>
      <c r="U149" s="32">
        <f t="shared" si="24"/>
        <v>1</v>
      </c>
      <c r="V149">
        <v>6</v>
      </c>
      <c r="W149">
        <v>6</v>
      </c>
      <c r="X149" s="32">
        <f t="shared" si="25"/>
        <v>0</v>
      </c>
      <c r="Y149">
        <v>7</v>
      </c>
      <c r="Z149">
        <v>6</v>
      </c>
      <c r="AA149" s="32">
        <f t="shared" si="26"/>
        <v>1</v>
      </c>
    </row>
    <row r="150" spans="1:27" x14ac:dyDescent="0.45">
      <c r="A150">
        <v>6</v>
      </c>
      <c r="B150">
        <v>6</v>
      </c>
      <c r="C150" s="32">
        <f t="shared" si="18"/>
        <v>0</v>
      </c>
      <c r="D150">
        <v>5</v>
      </c>
      <c r="E150">
        <v>7</v>
      </c>
      <c r="F150" s="32">
        <f t="shared" si="19"/>
        <v>2</v>
      </c>
      <c r="G150">
        <v>7</v>
      </c>
      <c r="H150">
        <v>5</v>
      </c>
      <c r="I150" s="32">
        <f t="shared" si="20"/>
        <v>2</v>
      </c>
      <c r="J150">
        <v>7</v>
      </c>
      <c r="K150">
        <v>7</v>
      </c>
      <c r="L150" s="32">
        <f t="shared" si="21"/>
        <v>0</v>
      </c>
      <c r="M150">
        <v>6</v>
      </c>
      <c r="N150">
        <v>6</v>
      </c>
      <c r="O150" s="32">
        <f t="shared" si="22"/>
        <v>0</v>
      </c>
      <c r="P150">
        <v>7</v>
      </c>
      <c r="Q150">
        <v>6</v>
      </c>
      <c r="R150" s="32">
        <f t="shared" si="23"/>
        <v>1</v>
      </c>
      <c r="S150">
        <v>6</v>
      </c>
      <c r="T150">
        <v>5</v>
      </c>
      <c r="U150" s="32">
        <f t="shared" si="24"/>
        <v>1</v>
      </c>
      <c r="V150">
        <v>6</v>
      </c>
      <c r="W150">
        <v>6</v>
      </c>
      <c r="X150" s="32">
        <f t="shared" si="25"/>
        <v>0</v>
      </c>
      <c r="Y150">
        <v>7</v>
      </c>
      <c r="Z150">
        <v>6</v>
      </c>
      <c r="AA150" s="32">
        <f t="shared" si="26"/>
        <v>1</v>
      </c>
    </row>
    <row r="151" spans="1:27" x14ac:dyDescent="0.45">
      <c r="A151">
        <v>6</v>
      </c>
      <c r="B151">
        <v>6</v>
      </c>
      <c r="C151" s="32">
        <f t="shared" si="18"/>
        <v>0</v>
      </c>
      <c r="D151">
        <v>5</v>
      </c>
      <c r="E151">
        <v>7</v>
      </c>
      <c r="F151" s="32">
        <f t="shared" si="19"/>
        <v>2</v>
      </c>
      <c r="G151">
        <v>7</v>
      </c>
      <c r="H151">
        <v>5</v>
      </c>
      <c r="I151" s="32">
        <f t="shared" si="20"/>
        <v>2</v>
      </c>
      <c r="J151">
        <v>7</v>
      </c>
      <c r="K151">
        <v>7</v>
      </c>
      <c r="L151" s="32">
        <f t="shared" si="21"/>
        <v>0</v>
      </c>
      <c r="M151">
        <v>6</v>
      </c>
      <c r="N151">
        <v>6</v>
      </c>
      <c r="O151" s="32">
        <f t="shared" si="22"/>
        <v>0</v>
      </c>
      <c r="P151">
        <v>7</v>
      </c>
      <c r="Q151">
        <v>6</v>
      </c>
      <c r="R151" s="32">
        <f t="shared" si="23"/>
        <v>1</v>
      </c>
      <c r="S151">
        <v>6</v>
      </c>
      <c r="T151">
        <v>5</v>
      </c>
      <c r="U151" s="32">
        <f t="shared" si="24"/>
        <v>1</v>
      </c>
      <c r="V151">
        <v>6</v>
      </c>
      <c r="W151">
        <v>6</v>
      </c>
      <c r="X151" s="32">
        <f t="shared" si="25"/>
        <v>0</v>
      </c>
      <c r="Y151">
        <v>7</v>
      </c>
      <c r="Z151">
        <v>6</v>
      </c>
      <c r="AA151" s="32">
        <f t="shared" si="26"/>
        <v>1</v>
      </c>
    </row>
    <row r="152" spans="1:27" x14ac:dyDescent="0.45">
      <c r="A152">
        <v>6</v>
      </c>
      <c r="B152">
        <v>6</v>
      </c>
      <c r="C152" s="32">
        <f t="shared" si="18"/>
        <v>0</v>
      </c>
      <c r="D152">
        <v>5</v>
      </c>
      <c r="E152">
        <v>7</v>
      </c>
      <c r="F152" s="32">
        <f t="shared" si="19"/>
        <v>2</v>
      </c>
      <c r="G152">
        <v>7</v>
      </c>
      <c r="H152">
        <v>5</v>
      </c>
      <c r="I152" s="32">
        <f t="shared" si="20"/>
        <v>2</v>
      </c>
      <c r="J152">
        <v>7</v>
      </c>
      <c r="K152">
        <v>7</v>
      </c>
      <c r="L152" s="32">
        <f t="shared" si="21"/>
        <v>0</v>
      </c>
      <c r="M152">
        <v>6</v>
      </c>
      <c r="N152">
        <v>6</v>
      </c>
      <c r="O152" s="32">
        <f t="shared" si="22"/>
        <v>0</v>
      </c>
      <c r="P152">
        <v>7</v>
      </c>
      <c r="Q152">
        <v>6</v>
      </c>
      <c r="R152" s="32">
        <f t="shared" si="23"/>
        <v>1</v>
      </c>
      <c r="S152">
        <v>6</v>
      </c>
      <c r="T152">
        <v>5</v>
      </c>
      <c r="U152" s="32">
        <f t="shared" si="24"/>
        <v>1</v>
      </c>
      <c r="V152">
        <v>6</v>
      </c>
      <c r="W152">
        <v>6</v>
      </c>
      <c r="X152" s="32">
        <f t="shared" si="25"/>
        <v>0</v>
      </c>
      <c r="Y152">
        <v>7</v>
      </c>
      <c r="Z152">
        <v>6</v>
      </c>
      <c r="AA152" s="32">
        <f t="shared" si="26"/>
        <v>1</v>
      </c>
    </row>
    <row r="153" spans="1:27" x14ac:dyDescent="0.45">
      <c r="A153">
        <v>6</v>
      </c>
      <c r="B153">
        <v>6</v>
      </c>
      <c r="C153" s="32">
        <f t="shared" si="18"/>
        <v>0</v>
      </c>
      <c r="D153">
        <v>5</v>
      </c>
      <c r="E153">
        <v>7</v>
      </c>
      <c r="F153" s="32">
        <f t="shared" si="19"/>
        <v>2</v>
      </c>
      <c r="G153">
        <v>7</v>
      </c>
      <c r="H153">
        <v>5</v>
      </c>
      <c r="I153" s="32">
        <f t="shared" si="20"/>
        <v>2</v>
      </c>
      <c r="J153">
        <v>7</v>
      </c>
      <c r="K153">
        <v>7</v>
      </c>
      <c r="L153" s="32">
        <f t="shared" si="21"/>
        <v>0</v>
      </c>
      <c r="M153">
        <v>6</v>
      </c>
      <c r="N153">
        <v>6</v>
      </c>
      <c r="O153" s="32">
        <f t="shared" si="22"/>
        <v>0</v>
      </c>
      <c r="P153">
        <v>7</v>
      </c>
      <c r="Q153">
        <v>6</v>
      </c>
      <c r="R153" s="32">
        <f t="shared" si="23"/>
        <v>1</v>
      </c>
      <c r="S153">
        <v>6</v>
      </c>
      <c r="T153">
        <v>5</v>
      </c>
      <c r="U153" s="32">
        <f t="shared" si="24"/>
        <v>1</v>
      </c>
      <c r="V153">
        <v>6</v>
      </c>
      <c r="W153">
        <v>6</v>
      </c>
      <c r="X153" s="32">
        <f t="shared" si="25"/>
        <v>0</v>
      </c>
      <c r="Y153">
        <v>7</v>
      </c>
      <c r="Z153">
        <v>6</v>
      </c>
      <c r="AA153" s="32">
        <f t="shared" si="26"/>
        <v>1</v>
      </c>
    </row>
    <row r="154" spans="1:27" x14ac:dyDescent="0.45">
      <c r="A154">
        <v>6</v>
      </c>
      <c r="B154">
        <v>6</v>
      </c>
      <c r="C154" s="32">
        <f t="shared" si="18"/>
        <v>0</v>
      </c>
      <c r="D154">
        <v>5</v>
      </c>
      <c r="E154">
        <v>7</v>
      </c>
      <c r="F154" s="32">
        <f t="shared" si="19"/>
        <v>2</v>
      </c>
      <c r="G154">
        <v>8</v>
      </c>
      <c r="H154">
        <v>5</v>
      </c>
      <c r="I154" s="32">
        <f t="shared" si="20"/>
        <v>3</v>
      </c>
      <c r="J154">
        <v>7</v>
      </c>
      <c r="K154">
        <v>7</v>
      </c>
      <c r="L154" s="32">
        <f t="shared" si="21"/>
        <v>0</v>
      </c>
      <c r="M154">
        <v>6</v>
      </c>
      <c r="N154">
        <v>6</v>
      </c>
      <c r="O154" s="32">
        <f t="shared" si="22"/>
        <v>0</v>
      </c>
      <c r="P154">
        <v>7</v>
      </c>
      <c r="Q154">
        <v>6</v>
      </c>
      <c r="R154" s="32">
        <f t="shared" si="23"/>
        <v>1</v>
      </c>
      <c r="S154">
        <v>6</v>
      </c>
      <c r="T154">
        <v>5</v>
      </c>
      <c r="U154" s="32">
        <f t="shared" si="24"/>
        <v>1</v>
      </c>
      <c r="V154">
        <v>6</v>
      </c>
      <c r="W154">
        <v>6</v>
      </c>
      <c r="X154" s="32">
        <f t="shared" si="25"/>
        <v>0</v>
      </c>
      <c r="Y154">
        <v>7</v>
      </c>
      <c r="Z154">
        <v>6</v>
      </c>
      <c r="AA154" s="32">
        <f t="shared" si="26"/>
        <v>1</v>
      </c>
    </row>
    <row r="155" spans="1:27" x14ac:dyDescent="0.45">
      <c r="A155">
        <v>6</v>
      </c>
      <c r="B155">
        <v>6</v>
      </c>
      <c r="C155" s="32">
        <f t="shared" si="18"/>
        <v>0</v>
      </c>
      <c r="D155">
        <v>5</v>
      </c>
      <c r="E155">
        <v>7</v>
      </c>
      <c r="F155" s="32">
        <f t="shared" si="19"/>
        <v>2</v>
      </c>
      <c r="G155">
        <v>8</v>
      </c>
      <c r="H155">
        <v>5</v>
      </c>
      <c r="I155" s="32">
        <f t="shared" si="20"/>
        <v>3</v>
      </c>
      <c r="J155">
        <v>7</v>
      </c>
      <c r="K155">
        <v>7</v>
      </c>
      <c r="L155" s="32">
        <f t="shared" si="21"/>
        <v>0</v>
      </c>
      <c r="M155">
        <v>6</v>
      </c>
      <c r="N155">
        <v>6</v>
      </c>
      <c r="O155" s="32">
        <f t="shared" si="22"/>
        <v>0</v>
      </c>
      <c r="P155">
        <v>7</v>
      </c>
      <c r="Q155">
        <v>6</v>
      </c>
      <c r="R155" s="32">
        <f t="shared" si="23"/>
        <v>1</v>
      </c>
      <c r="S155">
        <v>6</v>
      </c>
      <c r="T155">
        <v>5</v>
      </c>
      <c r="U155" s="32">
        <f t="shared" si="24"/>
        <v>1</v>
      </c>
      <c r="V155">
        <v>6</v>
      </c>
      <c r="W155">
        <v>6</v>
      </c>
      <c r="X155" s="32">
        <f t="shared" si="25"/>
        <v>0</v>
      </c>
      <c r="Y155">
        <v>7</v>
      </c>
      <c r="Z155">
        <v>6</v>
      </c>
      <c r="AA155" s="32">
        <f t="shared" si="26"/>
        <v>1</v>
      </c>
    </row>
    <row r="156" spans="1:27" x14ac:dyDescent="0.45">
      <c r="A156">
        <v>6</v>
      </c>
      <c r="B156">
        <v>6</v>
      </c>
      <c r="C156" s="32">
        <f t="shared" si="18"/>
        <v>0</v>
      </c>
      <c r="D156">
        <v>5</v>
      </c>
      <c r="E156">
        <v>7</v>
      </c>
      <c r="F156" s="32">
        <f t="shared" si="19"/>
        <v>2</v>
      </c>
      <c r="G156">
        <v>8</v>
      </c>
      <c r="H156">
        <v>5</v>
      </c>
      <c r="I156" s="32">
        <f t="shared" si="20"/>
        <v>3</v>
      </c>
      <c r="J156">
        <v>7</v>
      </c>
      <c r="K156">
        <v>7</v>
      </c>
      <c r="L156" s="32">
        <f t="shared" si="21"/>
        <v>0</v>
      </c>
      <c r="M156">
        <v>6</v>
      </c>
      <c r="N156">
        <v>6</v>
      </c>
      <c r="O156" s="32">
        <f t="shared" si="22"/>
        <v>0</v>
      </c>
      <c r="P156">
        <v>7</v>
      </c>
      <c r="Q156">
        <v>6</v>
      </c>
      <c r="R156" s="32">
        <f t="shared" si="23"/>
        <v>1</v>
      </c>
      <c r="S156">
        <v>6</v>
      </c>
      <c r="T156">
        <v>5</v>
      </c>
      <c r="U156" s="32">
        <f t="shared" si="24"/>
        <v>1</v>
      </c>
      <c r="V156">
        <v>6</v>
      </c>
      <c r="W156">
        <v>6</v>
      </c>
      <c r="X156" s="32">
        <f t="shared" si="25"/>
        <v>0</v>
      </c>
      <c r="Y156">
        <v>7</v>
      </c>
      <c r="Z156">
        <v>7</v>
      </c>
      <c r="AA156" s="32">
        <f t="shared" si="26"/>
        <v>0</v>
      </c>
    </row>
    <row r="157" spans="1:27" x14ac:dyDescent="0.45">
      <c r="A157">
        <v>6</v>
      </c>
      <c r="B157">
        <v>6</v>
      </c>
      <c r="C157" s="32">
        <f t="shared" si="18"/>
        <v>0</v>
      </c>
      <c r="D157">
        <v>5</v>
      </c>
      <c r="E157">
        <v>7</v>
      </c>
      <c r="F157" s="32">
        <f t="shared" si="19"/>
        <v>2</v>
      </c>
      <c r="G157">
        <v>8</v>
      </c>
      <c r="H157">
        <v>5</v>
      </c>
      <c r="I157" s="32">
        <f t="shared" si="20"/>
        <v>3</v>
      </c>
      <c r="J157">
        <v>7</v>
      </c>
      <c r="K157">
        <v>7</v>
      </c>
      <c r="L157" s="32">
        <f t="shared" si="21"/>
        <v>0</v>
      </c>
      <c r="M157">
        <v>6</v>
      </c>
      <c r="N157">
        <v>6</v>
      </c>
      <c r="O157" s="32">
        <f t="shared" si="22"/>
        <v>0</v>
      </c>
      <c r="P157">
        <v>7</v>
      </c>
      <c r="Q157">
        <v>6</v>
      </c>
      <c r="R157" s="32">
        <f t="shared" si="23"/>
        <v>1</v>
      </c>
      <c r="S157">
        <v>6</v>
      </c>
      <c r="T157">
        <v>5</v>
      </c>
      <c r="U157" s="32">
        <f t="shared" si="24"/>
        <v>1</v>
      </c>
      <c r="V157">
        <v>6</v>
      </c>
      <c r="W157">
        <v>6</v>
      </c>
      <c r="X157" s="32">
        <f t="shared" si="25"/>
        <v>0</v>
      </c>
      <c r="Y157">
        <v>7</v>
      </c>
      <c r="Z157">
        <v>7</v>
      </c>
      <c r="AA157" s="32">
        <f t="shared" si="26"/>
        <v>0</v>
      </c>
    </row>
    <row r="158" spans="1:27" x14ac:dyDescent="0.45">
      <c r="A158">
        <v>6</v>
      </c>
      <c r="B158">
        <v>6</v>
      </c>
      <c r="C158" s="32">
        <f t="shared" si="18"/>
        <v>0</v>
      </c>
      <c r="D158">
        <v>5</v>
      </c>
      <c r="E158">
        <v>7</v>
      </c>
      <c r="F158" s="32">
        <f t="shared" si="19"/>
        <v>2</v>
      </c>
      <c r="G158">
        <v>8</v>
      </c>
      <c r="H158">
        <v>5</v>
      </c>
      <c r="I158" s="32">
        <f t="shared" si="20"/>
        <v>3</v>
      </c>
      <c r="J158">
        <v>7</v>
      </c>
      <c r="K158">
        <v>7</v>
      </c>
      <c r="L158" s="32">
        <f t="shared" si="21"/>
        <v>0</v>
      </c>
      <c r="M158">
        <v>6</v>
      </c>
      <c r="N158">
        <v>6</v>
      </c>
      <c r="O158" s="32">
        <f t="shared" si="22"/>
        <v>0</v>
      </c>
      <c r="P158">
        <v>7</v>
      </c>
      <c r="Q158">
        <v>6</v>
      </c>
      <c r="R158" s="32">
        <f t="shared" si="23"/>
        <v>1</v>
      </c>
      <c r="S158">
        <v>6</v>
      </c>
      <c r="T158">
        <v>5</v>
      </c>
      <c r="U158" s="32">
        <f t="shared" si="24"/>
        <v>1</v>
      </c>
      <c r="V158">
        <v>6</v>
      </c>
      <c r="W158">
        <v>6</v>
      </c>
      <c r="X158" s="32">
        <f t="shared" si="25"/>
        <v>0</v>
      </c>
      <c r="Y158">
        <v>7</v>
      </c>
      <c r="Z158">
        <v>7</v>
      </c>
      <c r="AA158" s="32">
        <f t="shared" si="26"/>
        <v>0</v>
      </c>
    </row>
    <row r="159" spans="1:27" x14ac:dyDescent="0.45">
      <c r="A159">
        <v>6</v>
      </c>
      <c r="B159">
        <v>7</v>
      </c>
      <c r="C159" s="32">
        <f t="shared" si="18"/>
        <v>1</v>
      </c>
      <c r="D159">
        <v>5</v>
      </c>
      <c r="E159">
        <v>7</v>
      </c>
      <c r="F159" s="32">
        <f t="shared" si="19"/>
        <v>2</v>
      </c>
      <c r="G159">
        <v>8</v>
      </c>
      <c r="H159">
        <v>5</v>
      </c>
      <c r="I159" s="32">
        <f t="shared" si="20"/>
        <v>3</v>
      </c>
      <c r="J159">
        <v>7</v>
      </c>
      <c r="K159">
        <v>7</v>
      </c>
      <c r="L159" s="32">
        <f t="shared" si="21"/>
        <v>0</v>
      </c>
      <c r="M159">
        <v>6</v>
      </c>
      <c r="N159">
        <v>6</v>
      </c>
      <c r="O159" s="32">
        <f t="shared" si="22"/>
        <v>0</v>
      </c>
      <c r="P159">
        <v>7</v>
      </c>
      <c r="Q159">
        <v>6</v>
      </c>
      <c r="R159" s="32">
        <f t="shared" si="23"/>
        <v>1</v>
      </c>
      <c r="S159">
        <v>6</v>
      </c>
      <c r="T159">
        <v>5</v>
      </c>
      <c r="U159" s="32">
        <f t="shared" si="24"/>
        <v>1</v>
      </c>
      <c r="V159">
        <v>6</v>
      </c>
      <c r="W159">
        <v>6</v>
      </c>
      <c r="X159" s="32">
        <f t="shared" si="25"/>
        <v>0</v>
      </c>
      <c r="Y159">
        <v>7</v>
      </c>
      <c r="Z159">
        <v>7</v>
      </c>
      <c r="AA159" s="32">
        <f t="shared" si="26"/>
        <v>0</v>
      </c>
    </row>
    <row r="160" spans="1:27" x14ac:dyDescent="0.45">
      <c r="A160">
        <v>6</v>
      </c>
      <c r="B160">
        <v>7</v>
      </c>
      <c r="C160" s="32">
        <f t="shared" si="18"/>
        <v>1</v>
      </c>
      <c r="D160">
        <v>5</v>
      </c>
      <c r="E160">
        <v>7</v>
      </c>
      <c r="F160" s="32">
        <f t="shared" si="19"/>
        <v>2</v>
      </c>
      <c r="G160">
        <v>8</v>
      </c>
      <c r="H160">
        <v>5</v>
      </c>
      <c r="I160" s="32">
        <f t="shared" si="20"/>
        <v>3</v>
      </c>
      <c r="J160">
        <v>7</v>
      </c>
      <c r="K160">
        <v>7</v>
      </c>
      <c r="L160" s="32">
        <f t="shared" si="21"/>
        <v>0</v>
      </c>
      <c r="M160">
        <v>6</v>
      </c>
      <c r="N160">
        <v>6</v>
      </c>
      <c r="O160" s="32">
        <f t="shared" si="22"/>
        <v>0</v>
      </c>
      <c r="P160">
        <v>7</v>
      </c>
      <c r="Q160">
        <v>6</v>
      </c>
      <c r="R160" s="32">
        <f t="shared" si="23"/>
        <v>1</v>
      </c>
      <c r="S160">
        <v>6</v>
      </c>
      <c r="T160">
        <v>5</v>
      </c>
      <c r="U160" s="32">
        <f t="shared" si="24"/>
        <v>1</v>
      </c>
      <c r="V160">
        <v>6</v>
      </c>
      <c r="W160">
        <v>6</v>
      </c>
      <c r="X160" s="32">
        <f t="shared" si="25"/>
        <v>0</v>
      </c>
      <c r="Y160">
        <v>7</v>
      </c>
      <c r="Z160">
        <v>7</v>
      </c>
      <c r="AA160" s="32">
        <f t="shared" si="26"/>
        <v>0</v>
      </c>
    </row>
    <row r="161" spans="1:27" x14ac:dyDescent="0.45">
      <c r="A161">
        <v>6</v>
      </c>
      <c r="B161">
        <v>7</v>
      </c>
      <c r="C161" s="32">
        <f t="shared" si="18"/>
        <v>1</v>
      </c>
      <c r="D161">
        <v>5</v>
      </c>
      <c r="E161">
        <v>7</v>
      </c>
      <c r="F161" s="32">
        <f t="shared" si="19"/>
        <v>2</v>
      </c>
      <c r="G161">
        <v>8</v>
      </c>
      <c r="H161">
        <v>5</v>
      </c>
      <c r="I161" s="32">
        <f t="shared" si="20"/>
        <v>3</v>
      </c>
      <c r="J161">
        <v>7</v>
      </c>
      <c r="K161">
        <v>7</v>
      </c>
      <c r="L161" s="32">
        <f t="shared" si="21"/>
        <v>0</v>
      </c>
      <c r="M161">
        <v>6</v>
      </c>
      <c r="N161">
        <v>6</v>
      </c>
      <c r="O161" s="32">
        <f t="shared" si="22"/>
        <v>0</v>
      </c>
      <c r="P161">
        <v>7</v>
      </c>
      <c r="Q161">
        <v>6</v>
      </c>
      <c r="R161" s="32">
        <f t="shared" si="23"/>
        <v>1</v>
      </c>
      <c r="S161">
        <v>6</v>
      </c>
      <c r="T161">
        <v>5</v>
      </c>
      <c r="U161" s="32">
        <f t="shared" si="24"/>
        <v>1</v>
      </c>
      <c r="V161">
        <v>6</v>
      </c>
      <c r="W161">
        <v>6</v>
      </c>
      <c r="X161" s="32">
        <f t="shared" si="25"/>
        <v>0</v>
      </c>
      <c r="Y161">
        <v>7</v>
      </c>
      <c r="Z161">
        <v>7</v>
      </c>
      <c r="AA161" s="32">
        <f t="shared" si="26"/>
        <v>0</v>
      </c>
    </row>
    <row r="162" spans="1:27" x14ac:dyDescent="0.45">
      <c r="A162">
        <v>6</v>
      </c>
      <c r="B162">
        <v>7</v>
      </c>
      <c r="C162" s="32">
        <f t="shared" si="18"/>
        <v>1</v>
      </c>
      <c r="D162">
        <v>5</v>
      </c>
      <c r="E162">
        <v>7</v>
      </c>
      <c r="F162" s="32">
        <f t="shared" si="19"/>
        <v>2</v>
      </c>
      <c r="G162">
        <v>8</v>
      </c>
      <c r="H162">
        <v>5</v>
      </c>
      <c r="I162" s="32">
        <f t="shared" si="20"/>
        <v>3</v>
      </c>
      <c r="J162">
        <v>7</v>
      </c>
      <c r="K162">
        <v>7</v>
      </c>
      <c r="L162" s="32">
        <f t="shared" si="21"/>
        <v>0</v>
      </c>
      <c r="M162">
        <v>6</v>
      </c>
      <c r="N162">
        <v>6</v>
      </c>
      <c r="O162" s="32">
        <f t="shared" si="22"/>
        <v>0</v>
      </c>
      <c r="P162">
        <v>7</v>
      </c>
      <c r="Q162">
        <v>6</v>
      </c>
      <c r="R162" s="32">
        <f t="shared" si="23"/>
        <v>1</v>
      </c>
      <c r="S162">
        <v>6</v>
      </c>
      <c r="T162">
        <v>5</v>
      </c>
      <c r="U162" s="32">
        <f t="shared" si="24"/>
        <v>1</v>
      </c>
      <c r="V162">
        <v>6</v>
      </c>
      <c r="W162">
        <v>6</v>
      </c>
      <c r="X162" s="32">
        <f t="shared" si="25"/>
        <v>0</v>
      </c>
      <c r="Y162">
        <v>7</v>
      </c>
      <c r="Z162">
        <v>7</v>
      </c>
      <c r="AA162" s="32">
        <f t="shared" si="26"/>
        <v>0</v>
      </c>
    </row>
    <row r="163" spans="1:27" x14ac:dyDescent="0.45">
      <c r="A163">
        <v>6</v>
      </c>
      <c r="B163">
        <v>7</v>
      </c>
      <c r="C163" s="32">
        <f t="shared" si="18"/>
        <v>1</v>
      </c>
      <c r="D163">
        <v>5</v>
      </c>
      <c r="E163">
        <v>7</v>
      </c>
      <c r="F163" s="32">
        <f t="shared" si="19"/>
        <v>2</v>
      </c>
      <c r="G163">
        <v>8</v>
      </c>
      <c r="H163">
        <v>5</v>
      </c>
      <c r="I163" s="32">
        <f t="shared" si="20"/>
        <v>3</v>
      </c>
      <c r="J163">
        <v>7</v>
      </c>
      <c r="K163">
        <v>7</v>
      </c>
      <c r="L163" s="32">
        <f t="shared" si="21"/>
        <v>0</v>
      </c>
      <c r="M163">
        <v>6</v>
      </c>
      <c r="N163">
        <v>6</v>
      </c>
      <c r="O163" s="32">
        <f t="shared" si="22"/>
        <v>0</v>
      </c>
      <c r="P163">
        <v>7</v>
      </c>
      <c r="Q163">
        <v>6</v>
      </c>
      <c r="R163" s="32">
        <f t="shared" si="23"/>
        <v>1</v>
      </c>
      <c r="S163">
        <v>6</v>
      </c>
      <c r="T163">
        <v>5</v>
      </c>
      <c r="U163" s="32">
        <f t="shared" si="24"/>
        <v>1</v>
      </c>
      <c r="V163">
        <v>6</v>
      </c>
      <c r="W163">
        <v>6</v>
      </c>
      <c r="X163" s="32">
        <f t="shared" si="25"/>
        <v>0</v>
      </c>
      <c r="Y163">
        <v>7</v>
      </c>
      <c r="Z163">
        <v>7</v>
      </c>
      <c r="AA163" s="32">
        <f t="shared" si="26"/>
        <v>0</v>
      </c>
    </row>
    <row r="164" spans="1:27" x14ac:dyDescent="0.45">
      <c r="A164">
        <v>6</v>
      </c>
      <c r="B164">
        <v>7</v>
      </c>
      <c r="C164" s="32">
        <f t="shared" si="18"/>
        <v>1</v>
      </c>
      <c r="D164">
        <v>5</v>
      </c>
      <c r="E164">
        <v>7</v>
      </c>
      <c r="F164" s="32">
        <f t="shared" si="19"/>
        <v>2</v>
      </c>
      <c r="G164">
        <v>8</v>
      </c>
      <c r="H164">
        <v>5</v>
      </c>
      <c r="I164" s="32">
        <f t="shared" si="20"/>
        <v>3</v>
      </c>
      <c r="J164">
        <v>7</v>
      </c>
      <c r="K164">
        <v>7</v>
      </c>
      <c r="L164" s="32">
        <f t="shared" si="21"/>
        <v>0</v>
      </c>
      <c r="M164">
        <v>6</v>
      </c>
      <c r="N164">
        <v>6</v>
      </c>
      <c r="O164" s="32">
        <f t="shared" si="22"/>
        <v>0</v>
      </c>
      <c r="P164">
        <v>7</v>
      </c>
      <c r="Q164">
        <v>6</v>
      </c>
      <c r="R164" s="32">
        <f t="shared" si="23"/>
        <v>1</v>
      </c>
      <c r="S164">
        <v>6</v>
      </c>
      <c r="T164">
        <v>5</v>
      </c>
      <c r="U164" s="32">
        <f t="shared" si="24"/>
        <v>1</v>
      </c>
      <c r="V164">
        <v>6</v>
      </c>
      <c r="W164">
        <v>6</v>
      </c>
      <c r="X164" s="32">
        <f t="shared" si="25"/>
        <v>0</v>
      </c>
      <c r="Y164">
        <v>7</v>
      </c>
      <c r="Z164">
        <v>7</v>
      </c>
      <c r="AA164" s="32">
        <f t="shared" si="26"/>
        <v>0</v>
      </c>
    </row>
    <row r="165" spans="1:27" x14ac:dyDescent="0.45">
      <c r="A165">
        <v>6</v>
      </c>
      <c r="B165">
        <v>7</v>
      </c>
      <c r="C165" s="32">
        <f t="shared" si="18"/>
        <v>1</v>
      </c>
      <c r="D165">
        <v>5</v>
      </c>
      <c r="E165">
        <v>7</v>
      </c>
      <c r="F165" s="32">
        <f t="shared" si="19"/>
        <v>2</v>
      </c>
      <c r="G165">
        <v>8</v>
      </c>
      <c r="H165">
        <v>5</v>
      </c>
      <c r="I165" s="32">
        <f t="shared" si="20"/>
        <v>3</v>
      </c>
      <c r="J165">
        <v>7</v>
      </c>
      <c r="K165">
        <v>7</v>
      </c>
      <c r="L165" s="32">
        <f t="shared" si="21"/>
        <v>0</v>
      </c>
      <c r="M165">
        <v>6</v>
      </c>
      <c r="N165">
        <v>6</v>
      </c>
      <c r="O165" s="32">
        <f t="shared" si="22"/>
        <v>0</v>
      </c>
      <c r="P165">
        <v>7</v>
      </c>
      <c r="Q165">
        <v>6</v>
      </c>
      <c r="R165" s="32">
        <f t="shared" si="23"/>
        <v>1</v>
      </c>
      <c r="S165">
        <v>6</v>
      </c>
      <c r="T165">
        <v>5</v>
      </c>
      <c r="U165" s="32">
        <f t="shared" si="24"/>
        <v>1</v>
      </c>
      <c r="V165">
        <v>6</v>
      </c>
      <c r="W165">
        <v>6</v>
      </c>
      <c r="X165" s="32">
        <f t="shared" si="25"/>
        <v>0</v>
      </c>
      <c r="Y165">
        <v>7</v>
      </c>
      <c r="Z165">
        <v>7</v>
      </c>
      <c r="AA165" s="32">
        <f t="shared" si="26"/>
        <v>0</v>
      </c>
    </row>
    <row r="166" spans="1:27" x14ac:dyDescent="0.45">
      <c r="A166">
        <v>6</v>
      </c>
      <c r="B166">
        <v>7</v>
      </c>
      <c r="C166" s="32">
        <f t="shared" si="18"/>
        <v>1</v>
      </c>
      <c r="D166">
        <v>5</v>
      </c>
      <c r="E166">
        <v>7</v>
      </c>
      <c r="F166" s="32">
        <f t="shared" si="19"/>
        <v>2</v>
      </c>
      <c r="G166">
        <v>8</v>
      </c>
      <c r="H166">
        <v>5</v>
      </c>
      <c r="I166" s="32">
        <f t="shared" si="20"/>
        <v>3</v>
      </c>
      <c r="J166">
        <v>7</v>
      </c>
      <c r="K166">
        <v>7</v>
      </c>
      <c r="L166" s="32">
        <f t="shared" si="21"/>
        <v>0</v>
      </c>
      <c r="M166">
        <v>6</v>
      </c>
      <c r="N166">
        <v>6</v>
      </c>
      <c r="O166" s="32">
        <f t="shared" si="22"/>
        <v>0</v>
      </c>
      <c r="P166">
        <v>7</v>
      </c>
      <c r="Q166">
        <v>6</v>
      </c>
      <c r="R166" s="32">
        <f t="shared" si="23"/>
        <v>1</v>
      </c>
      <c r="S166">
        <v>6</v>
      </c>
      <c r="T166">
        <v>5</v>
      </c>
      <c r="U166" s="32">
        <f t="shared" si="24"/>
        <v>1</v>
      </c>
      <c r="V166">
        <v>6</v>
      </c>
      <c r="W166">
        <v>6</v>
      </c>
      <c r="X166" s="32">
        <f t="shared" si="25"/>
        <v>0</v>
      </c>
      <c r="Y166">
        <v>7</v>
      </c>
      <c r="Z166">
        <v>7</v>
      </c>
      <c r="AA166" s="32">
        <f t="shared" si="26"/>
        <v>0</v>
      </c>
    </row>
    <row r="167" spans="1:27" x14ac:dyDescent="0.45">
      <c r="A167">
        <v>6</v>
      </c>
      <c r="B167">
        <v>7</v>
      </c>
      <c r="C167" s="32">
        <f t="shared" si="18"/>
        <v>1</v>
      </c>
      <c r="D167">
        <v>5</v>
      </c>
      <c r="E167">
        <v>7</v>
      </c>
      <c r="F167" s="32">
        <f t="shared" si="19"/>
        <v>2</v>
      </c>
      <c r="G167">
        <v>8</v>
      </c>
      <c r="H167">
        <v>5</v>
      </c>
      <c r="I167" s="32">
        <f t="shared" si="20"/>
        <v>3</v>
      </c>
      <c r="J167">
        <v>7</v>
      </c>
      <c r="K167">
        <v>7</v>
      </c>
      <c r="L167" s="32">
        <f t="shared" si="21"/>
        <v>0</v>
      </c>
      <c r="M167">
        <v>6</v>
      </c>
      <c r="N167">
        <v>6</v>
      </c>
      <c r="O167" s="32">
        <f t="shared" si="22"/>
        <v>0</v>
      </c>
      <c r="P167">
        <v>7</v>
      </c>
      <c r="Q167">
        <v>6</v>
      </c>
      <c r="R167" s="32">
        <f t="shared" si="23"/>
        <v>1</v>
      </c>
      <c r="S167">
        <v>6</v>
      </c>
      <c r="T167">
        <v>5</v>
      </c>
      <c r="U167" s="32">
        <f t="shared" si="24"/>
        <v>1</v>
      </c>
      <c r="V167">
        <v>6</v>
      </c>
      <c r="W167">
        <v>6</v>
      </c>
      <c r="X167" s="32">
        <f t="shared" si="25"/>
        <v>0</v>
      </c>
      <c r="Y167">
        <v>7</v>
      </c>
      <c r="Z167">
        <v>7</v>
      </c>
      <c r="AA167" s="32">
        <f t="shared" si="26"/>
        <v>0</v>
      </c>
    </row>
    <row r="168" spans="1:27" x14ac:dyDescent="0.45">
      <c r="A168">
        <v>6</v>
      </c>
      <c r="B168">
        <v>7</v>
      </c>
      <c r="C168" s="32">
        <f t="shared" si="18"/>
        <v>1</v>
      </c>
      <c r="D168">
        <v>6</v>
      </c>
      <c r="E168">
        <v>7</v>
      </c>
      <c r="F168" s="32">
        <f t="shared" si="19"/>
        <v>1</v>
      </c>
      <c r="G168">
        <v>8</v>
      </c>
      <c r="H168">
        <v>5</v>
      </c>
      <c r="I168" s="32">
        <f t="shared" si="20"/>
        <v>3</v>
      </c>
      <c r="J168">
        <v>8</v>
      </c>
      <c r="K168">
        <v>7</v>
      </c>
      <c r="L168" s="32">
        <f t="shared" si="21"/>
        <v>1</v>
      </c>
      <c r="M168">
        <v>6</v>
      </c>
      <c r="N168">
        <v>6</v>
      </c>
      <c r="O168" s="32">
        <f t="shared" si="22"/>
        <v>0</v>
      </c>
      <c r="P168">
        <v>7</v>
      </c>
      <c r="Q168">
        <v>6</v>
      </c>
      <c r="R168" s="32">
        <f t="shared" si="23"/>
        <v>1</v>
      </c>
      <c r="S168">
        <v>6</v>
      </c>
      <c r="T168">
        <v>5</v>
      </c>
      <c r="U168" s="32">
        <f t="shared" si="24"/>
        <v>1</v>
      </c>
      <c r="V168">
        <v>6</v>
      </c>
      <c r="W168">
        <v>6</v>
      </c>
      <c r="X168" s="32">
        <f t="shared" si="25"/>
        <v>0</v>
      </c>
      <c r="Y168">
        <v>7</v>
      </c>
      <c r="Z168">
        <v>7</v>
      </c>
      <c r="AA168" s="32">
        <f t="shared" si="26"/>
        <v>0</v>
      </c>
    </row>
    <row r="169" spans="1:27" x14ac:dyDescent="0.45">
      <c r="A169">
        <v>6</v>
      </c>
      <c r="B169">
        <v>7</v>
      </c>
      <c r="C169" s="32">
        <f t="shared" si="18"/>
        <v>1</v>
      </c>
      <c r="D169">
        <v>6</v>
      </c>
      <c r="E169">
        <v>7</v>
      </c>
      <c r="F169" s="32">
        <f t="shared" si="19"/>
        <v>1</v>
      </c>
      <c r="G169">
        <v>8</v>
      </c>
      <c r="H169">
        <v>5</v>
      </c>
      <c r="I169" s="32">
        <f t="shared" si="20"/>
        <v>3</v>
      </c>
      <c r="J169">
        <v>8</v>
      </c>
      <c r="K169">
        <v>7</v>
      </c>
      <c r="L169" s="32">
        <f t="shared" si="21"/>
        <v>1</v>
      </c>
      <c r="M169">
        <v>6</v>
      </c>
      <c r="N169">
        <v>6</v>
      </c>
      <c r="O169" s="32">
        <f t="shared" si="22"/>
        <v>0</v>
      </c>
      <c r="P169">
        <v>7</v>
      </c>
      <c r="Q169">
        <v>6</v>
      </c>
      <c r="R169" s="32">
        <f t="shared" si="23"/>
        <v>1</v>
      </c>
      <c r="S169">
        <v>6</v>
      </c>
      <c r="T169">
        <v>5</v>
      </c>
      <c r="U169" s="32">
        <f t="shared" si="24"/>
        <v>1</v>
      </c>
      <c r="V169">
        <v>6</v>
      </c>
      <c r="W169">
        <v>6</v>
      </c>
      <c r="X169" s="32">
        <f t="shared" si="25"/>
        <v>0</v>
      </c>
      <c r="Y169">
        <v>7</v>
      </c>
      <c r="Z169">
        <v>7</v>
      </c>
      <c r="AA169" s="32">
        <f t="shared" si="26"/>
        <v>0</v>
      </c>
    </row>
    <row r="170" spans="1:27" x14ac:dyDescent="0.45">
      <c r="A170">
        <v>6</v>
      </c>
      <c r="B170">
        <v>7</v>
      </c>
      <c r="C170" s="32">
        <f t="shared" si="18"/>
        <v>1</v>
      </c>
      <c r="D170">
        <v>6</v>
      </c>
      <c r="E170">
        <v>7</v>
      </c>
      <c r="F170" s="32">
        <f t="shared" si="19"/>
        <v>1</v>
      </c>
      <c r="G170">
        <v>8</v>
      </c>
      <c r="H170">
        <v>5</v>
      </c>
      <c r="I170" s="32">
        <f t="shared" si="20"/>
        <v>3</v>
      </c>
      <c r="J170">
        <v>8</v>
      </c>
      <c r="K170">
        <v>7</v>
      </c>
      <c r="L170" s="32">
        <f t="shared" si="21"/>
        <v>1</v>
      </c>
      <c r="M170">
        <v>6</v>
      </c>
      <c r="N170">
        <v>6</v>
      </c>
      <c r="O170" s="32">
        <f t="shared" si="22"/>
        <v>0</v>
      </c>
      <c r="P170">
        <v>7</v>
      </c>
      <c r="Q170">
        <v>6</v>
      </c>
      <c r="R170" s="32">
        <f t="shared" si="23"/>
        <v>1</v>
      </c>
      <c r="S170">
        <v>6</v>
      </c>
      <c r="T170">
        <v>5</v>
      </c>
      <c r="U170" s="32">
        <f t="shared" si="24"/>
        <v>1</v>
      </c>
      <c r="V170">
        <v>6</v>
      </c>
      <c r="W170">
        <v>6</v>
      </c>
      <c r="X170" s="32">
        <f t="shared" si="25"/>
        <v>0</v>
      </c>
      <c r="Y170">
        <v>7</v>
      </c>
      <c r="Z170">
        <v>7</v>
      </c>
      <c r="AA170" s="32">
        <f t="shared" si="26"/>
        <v>0</v>
      </c>
    </row>
    <row r="171" spans="1:27" x14ac:dyDescent="0.45">
      <c r="A171">
        <v>6</v>
      </c>
      <c r="B171">
        <v>7</v>
      </c>
      <c r="C171" s="32">
        <f t="shared" si="18"/>
        <v>1</v>
      </c>
      <c r="D171">
        <v>6</v>
      </c>
      <c r="E171">
        <v>7</v>
      </c>
      <c r="F171" s="32">
        <f t="shared" si="19"/>
        <v>1</v>
      </c>
      <c r="G171">
        <v>8</v>
      </c>
      <c r="H171">
        <v>5</v>
      </c>
      <c r="I171" s="32">
        <f t="shared" si="20"/>
        <v>3</v>
      </c>
      <c r="J171">
        <v>8</v>
      </c>
      <c r="K171">
        <v>7</v>
      </c>
      <c r="L171" s="32">
        <f t="shared" si="21"/>
        <v>1</v>
      </c>
      <c r="M171">
        <v>6</v>
      </c>
      <c r="N171">
        <v>6</v>
      </c>
      <c r="O171" s="32">
        <f t="shared" si="22"/>
        <v>0</v>
      </c>
      <c r="P171">
        <v>7</v>
      </c>
      <c r="Q171">
        <v>6</v>
      </c>
      <c r="R171" s="32">
        <f t="shared" si="23"/>
        <v>1</v>
      </c>
      <c r="S171">
        <v>6</v>
      </c>
      <c r="T171">
        <v>5</v>
      </c>
      <c r="U171" s="32">
        <f t="shared" si="24"/>
        <v>1</v>
      </c>
      <c r="V171">
        <v>6</v>
      </c>
      <c r="W171">
        <v>6</v>
      </c>
      <c r="X171" s="32">
        <f t="shared" si="25"/>
        <v>0</v>
      </c>
      <c r="Y171">
        <v>7</v>
      </c>
      <c r="Z171">
        <v>7</v>
      </c>
      <c r="AA171" s="32">
        <f t="shared" si="26"/>
        <v>0</v>
      </c>
    </row>
    <row r="172" spans="1:27" x14ac:dyDescent="0.45">
      <c r="A172">
        <v>6</v>
      </c>
      <c r="B172">
        <v>7</v>
      </c>
      <c r="C172" s="32">
        <f t="shared" si="18"/>
        <v>1</v>
      </c>
      <c r="D172">
        <v>6</v>
      </c>
      <c r="E172">
        <v>7</v>
      </c>
      <c r="F172" s="32">
        <f t="shared" si="19"/>
        <v>1</v>
      </c>
      <c r="G172">
        <v>8</v>
      </c>
      <c r="H172">
        <v>5</v>
      </c>
      <c r="I172" s="32">
        <f t="shared" si="20"/>
        <v>3</v>
      </c>
      <c r="J172">
        <v>8</v>
      </c>
      <c r="K172">
        <v>7</v>
      </c>
      <c r="L172" s="32">
        <f t="shared" si="21"/>
        <v>1</v>
      </c>
      <c r="M172">
        <v>6</v>
      </c>
      <c r="N172">
        <v>6</v>
      </c>
      <c r="O172" s="32">
        <f t="shared" si="22"/>
        <v>0</v>
      </c>
      <c r="P172">
        <v>7</v>
      </c>
      <c r="Q172">
        <v>6</v>
      </c>
      <c r="R172" s="32">
        <f t="shared" si="23"/>
        <v>1</v>
      </c>
      <c r="S172">
        <v>6</v>
      </c>
      <c r="T172">
        <v>5</v>
      </c>
      <c r="U172" s="32">
        <f t="shared" si="24"/>
        <v>1</v>
      </c>
      <c r="V172">
        <v>6</v>
      </c>
      <c r="W172">
        <v>6</v>
      </c>
      <c r="X172" s="32">
        <f t="shared" si="25"/>
        <v>0</v>
      </c>
      <c r="Y172">
        <v>7</v>
      </c>
      <c r="Z172">
        <v>7</v>
      </c>
      <c r="AA172" s="32">
        <f t="shared" si="26"/>
        <v>0</v>
      </c>
    </row>
    <row r="173" spans="1:27" x14ac:dyDescent="0.45">
      <c r="A173">
        <v>6</v>
      </c>
      <c r="B173">
        <v>7</v>
      </c>
      <c r="C173" s="32">
        <f t="shared" si="18"/>
        <v>1</v>
      </c>
      <c r="D173">
        <v>6</v>
      </c>
      <c r="E173">
        <v>7</v>
      </c>
      <c r="F173" s="32">
        <f t="shared" si="19"/>
        <v>1</v>
      </c>
      <c r="G173">
        <v>8</v>
      </c>
      <c r="H173">
        <v>5</v>
      </c>
      <c r="I173" s="32">
        <f t="shared" si="20"/>
        <v>3</v>
      </c>
      <c r="J173">
        <v>8</v>
      </c>
      <c r="K173">
        <v>7</v>
      </c>
      <c r="L173" s="32">
        <f t="shared" si="21"/>
        <v>1</v>
      </c>
      <c r="M173">
        <v>6</v>
      </c>
      <c r="N173">
        <v>6</v>
      </c>
      <c r="O173" s="32">
        <f t="shared" si="22"/>
        <v>0</v>
      </c>
      <c r="P173">
        <v>7</v>
      </c>
      <c r="Q173">
        <v>6</v>
      </c>
      <c r="R173" s="32">
        <f t="shared" si="23"/>
        <v>1</v>
      </c>
      <c r="S173">
        <v>6</v>
      </c>
      <c r="T173">
        <v>5</v>
      </c>
      <c r="U173" s="32">
        <f t="shared" si="24"/>
        <v>1</v>
      </c>
      <c r="V173">
        <v>6</v>
      </c>
      <c r="W173">
        <v>6</v>
      </c>
      <c r="X173" s="32">
        <f t="shared" si="25"/>
        <v>0</v>
      </c>
      <c r="Y173">
        <v>7</v>
      </c>
      <c r="Z173">
        <v>7</v>
      </c>
      <c r="AA173" s="32">
        <f t="shared" si="26"/>
        <v>0</v>
      </c>
    </row>
    <row r="174" spans="1:27" x14ac:dyDescent="0.45">
      <c r="A174">
        <v>6</v>
      </c>
      <c r="B174">
        <v>7</v>
      </c>
      <c r="C174" s="32">
        <f t="shared" si="18"/>
        <v>1</v>
      </c>
      <c r="D174">
        <v>6</v>
      </c>
      <c r="E174">
        <v>7</v>
      </c>
      <c r="F174" s="32">
        <f t="shared" si="19"/>
        <v>1</v>
      </c>
      <c r="G174">
        <v>8</v>
      </c>
      <c r="H174">
        <v>6</v>
      </c>
      <c r="I174" s="32">
        <f t="shared" si="20"/>
        <v>2</v>
      </c>
      <c r="J174">
        <v>8</v>
      </c>
      <c r="K174">
        <v>7</v>
      </c>
      <c r="L174" s="32">
        <f t="shared" si="21"/>
        <v>1</v>
      </c>
      <c r="M174">
        <v>6</v>
      </c>
      <c r="N174">
        <v>6</v>
      </c>
      <c r="O174" s="32">
        <f t="shared" si="22"/>
        <v>0</v>
      </c>
      <c r="P174">
        <v>7</v>
      </c>
      <c r="Q174">
        <v>6</v>
      </c>
      <c r="R174" s="32">
        <f t="shared" si="23"/>
        <v>1</v>
      </c>
      <c r="S174">
        <v>6</v>
      </c>
      <c r="T174">
        <v>5</v>
      </c>
      <c r="U174" s="32">
        <f t="shared" si="24"/>
        <v>1</v>
      </c>
      <c r="V174">
        <v>6</v>
      </c>
      <c r="W174">
        <v>6</v>
      </c>
      <c r="X174" s="32">
        <f t="shared" si="25"/>
        <v>0</v>
      </c>
      <c r="Y174">
        <v>7</v>
      </c>
      <c r="Z174">
        <v>7</v>
      </c>
      <c r="AA174" s="32">
        <f t="shared" si="26"/>
        <v>0</v>
      </c>
    </row>
    <row r="175" spans="1:27" x14ac:dyDescent="0.45">
      <c r="A175">
        <v>6</v>
      </c>
      <c r="B175">
        <v>7</v>
      </c>
      <c r="C175" s="32">
        <f t="shared" si="18"/>
        <v>1</v>
      </c>
      <c r="D175">
        <v>6</v>
      </c>
      <c r="E175">
        <v>7</v>
      </c>
      <c r="F175" s="32">
        <f t="shared" si="19"/>
        <v>1</v>
      </c>
      <c r="G175">
        <v>8</v>
      </c>
      <c r="H175">
        <v>6</v>
      </c>
      <c r="I175" s="32">
        <f t="shared" si="20"/>
        <v>2</v>
      </c>
      <c r="J175">
        <v>8</v>
      </c>
      <c r="K175">
        <v>7</v>
      </c>
      <c r="L175" s="32">
        <f t="shared" si="21"/>
        <v>1</v>
      </c>
      <c r="M175">
        <v>6</v>
      </c>
      <c r="N175">
        <v>6</v>
      </c>
      <c r="O175" s="32">
        <f t="shared" si="22"/>
        <v>0</v>
      </c>
      <c r="P175">
        <v>7</v>
      </c>
      <c r="Q175">
        <v>7</v>
      </c>
      <c r="R175" s="32">
        <f t="shared" si="23"/>
        <v>0</v>
      </c>
      <c r="S175">
        <v>6</v>
      </c>
      <c r="T175">
        <v>5</v>
      </c>
      <c r="U175" s="32">
        <f t="shared" si="24"/>
        <v>1</v>
      </c>
      <c r="V175">
        <v>6</v>
      </c>
      <c r="W175">
        <v>6</v>
      </c>
      <c r="X175" s="32">
        <f t="shared" si="25"/>
        <v>0</v>
      </c>
      <c r="Y175">
        <v>7</v>
      </c>
      <c r="Z175">
        <v>7</v>
      </c>
      <c r="AA175" s="32">
        <f t="shared" si="26"/>
        <v>0</v>
      </c>
    </row>
    <row r="176" spans="1:27" x14ac:dyDescent="0.45">
      <c r="A176">
        <v>6</v>
      </c>
      <c r="B176">
        <v>7</v>
      </c>
      <c r="C176" s="32">
        <f t="shared" si="18"/>
        <v>1</v>
      </c>
      <c r="D176">
        <v>6</v>
      </c>
      <c r="E176">
        <v>7</v>
      </c>
      <c r="F176" s="32">
        <f t="shared" si="19"/>
        <v>1</v>
      </c>
      <c r="G176">
        <v>8</v>
      </c>
      <c r="H176">
        <v>6</v>
      </c>
      <c r="I176" s="32">
        <f t="shared" si="20"/>
        <v>2</v>
      </c>
      <c r="J176">
        <v>8</v>
      </c>
      <c r="K176">
        <v>7</v>
      </c>
      <c r="L176" s="32">
        <f t="shared" si="21"/>
        <v>1</v>
      </c>
      <c r="M176">
        <v>6</v>
      </c>
      <c r="N176">
        <v>6</v>
      </c>
      <c r="O176" s="32">
        <f t="shared" si="22"/>
        <v>0</v>
      </c>
      <c r="P176">
        <v>7</v>
      </c>
      <c r="Q176">
        <v>7</v>
      </c>
      <c r="R176" s="32">
        <f t="shared" si="23"/>
        <v>0</v>
      </c>
      <c r="S176">
        <v>6</v>
      </c>
      <c r="T176">
        <v>5</v>
      </c>
      <c r="U176" s="32">
        <f t="shared" si="24"/>
        <v>1</v>
      </c>
      <c r="V176">
        <v>6</v>
      </c>
      <c r="W176">
        <v>6</v>
      </c>
      <c r="X176" s="32">
        <f t="shared" si="25"/>
        <v>0</v>
      </c>
      <c r="Y176">
        <v>7</v>
      </c>
      <c r="Z176">
        <v>7</v>
      </c>
      <c r="AA176" s="32">
        <f t="shared" si="26"/>
        <v>0</v>
      </c>
    </row>
    <row r="177" spans="1:27" x14ac:dyDescent="0.45">
      <c r="A177">
        <v>6</v>
      </c>
      <c r="B177">
        <v>7</v>
      </c>
      <c r="C177" s="32">
        <f t="shared" si="18"/>
        <v>1</v>
      </c>
      <c r="D177">
        <v>6</v>
      </c>
      <c r="E177">
        <v>7</v>
      </c>
      <c r="F177" s="32">
        <f t="shared" si="19"/>
        <v>1</v>
      </c>
      <c r="G177">
        <v>8</v>
      </c>
      <c r="H177">
        <v>6</v>
      </c>
      <c r="I177" s="32">
        <f t="shared" si="20"/>
        <v>2</v>
      </c>
      <c r="J177">
        <v>8</v>
      </c>
      <c r="K177">
        <v>7</v>
      </c>
      <c r="L177" s="32">
        <f t="shared" si="21"/>
        <v>1</v>
      </c>
      <c r="M177">
        <v>6</v>
      </c>
      <c r="N177">
        <v>6</v>
      </c>
      <c r="O177" s="32">
        <f t="shared" si="22"/>
        <v>0</v>
      </c>
      <c r="P177">
        <v>7</v>
      </c>
      <c r="Q177">
        <v>7</v>
      </c>
      <c r="R177" s="32">
        <f t="shared" si="23"/>
        <v>0</v>
      </c>
      <c r="S177">
        <v>6</v>
      </c>
      <c r="T177">
        <v>5</v>
      </c>
      <c r="U177" s="32">
        <f t="shared" si="24"/>
        <v>1</v>
      </c>
      <c r="V177">
        <v>6</v>
      </c>
      <c r="W177">
        <v>6</v>
      </c>
      <c r="X177" s="32">
        <f t="shared" si="25"/>
        <v>0</v>
      </c>
      <c r="Y177">
        <v>7</v>
      </c>
      <c r="Z177">
        <v>7</v>
      </c>
      <c r="AA177" s="32">
        <f t="shared" si="26"/>
        <v>0</v>
      </c>
    </row>
    <row r="178" spans="1:27" x14ac:dyDescent="0.45">
      <c r="A178">
        <v>6</v>
      </c>
      <c r="B178">
        <v>7</v>
      </c>
      <c r="C178" s="32">
        <f t="shared" si="18"/>
        <v>1</v>
      </c>
      <c r="D178">
        <v>6</v>
      </c>
      <c r="E178">
        <v>7</v>
      </c>
      <c r="F178" s="32">
        <f t="shared" si="19"/>
        <v>1</v>
      </c>
      <c r="G178">
        <v>8</v>
      </c>
      <c r="H178">
        <v>6</v>
      </c>
      <c r="I178" s="32">
        <f t="shared" si="20"/>
        <v>2</v>
      </c>
      <c r="J178">
        <v>8</v>
      </c>
      <c r="K178">
        <v>7</v>
      </c>
      <c r="L178" s="32">
        <f t="shared" si="21"/>
        <v>1</v>
      </c>
      <c r="M178">
        <v>6</v>
      </c>
      <c r="N178">
        <v>6</v>
      </c>
      <c r="O178" s="32">
        <f t="shared" si="22"/>
        <v>0</v>
      </c>
      <c r="P178">
        <v>7</v>
      </c>
      <c r="Q178">
        <v>7</v>
      </c>
      <c r="R178" s="32">
        <f t="shared" si="23"/>
        <v>0</v>
      </c>
      <c r="S178">
        <v>6</v>
      </c>
      <c r="T178">
        <v>5</v>
      </c>
      <c r="U178" s="32">
        <f t="shared" si="24"/>
        <v>1</v>
      </c>
      <c r="V178">
        <v>6</v>
      </c>
      <c r="W178">
        <v>6</v>
      </c>
      <c r="X178" s="32">
        <f t="shared" si="25"/>
        <v>0</v>
      </c>
      <c r="Y178">
        <v>7</v>
      </c>
      <c r="Z178">
        <v>7</v>
      </c>
      <c r="AA178" s="32">
        <f t="shared" si="26"/>
        <v>0</v>
      </c>
    </row>
    <row r="179" spans="1:27" x14ac:dyDescent="0.45">
      <c r="A179">
        <v>6</v>
      </c>
      <c r="B179">
        <v>7</v>
      </c>
      <c r="C179" s="32">
        <f t="shared" si="18"/>
        <v>1</v>
      </c>
      <c r="D179">
        <v>6</v>
      </c>
      <c r="E179">
        <v>7</v>
      </c>
      <c r="F179" s="32">
        <f t="shared" si="19"/>
        <v>1</v>
      </c>
      <c r="G179">
        <v>8</v>
      </c>
      <c r="H179">
        <v>6</v>
      </c>
      <c r="I179" s="32">
        <f t="shared" si="20"/>
        <v>2</v>
      </c>
      <c r="J179">
        <v>8</v>
      </c>
      <c r="K179">
        <v>7</v>
      </c>
      <c r="L179" s="32">
        <f t="shared" si="21"/>
        <v>1</v>
      </c>
      <c r="M179">
        <v>6</v>
      </c>
      <c r="N179">
        <v>6</v>
      </c>
      <c r="O179" s="32">
        <f t="shared" si="22"/>
        <v>0</v>
      </c>
      <c r="P179">
        <v>7</v>
      </c>
      <c r="Q179">
        <v>7</v>
      </c>
      <c r="R179" s="32">
        <f t="shared" si="23"/>
        <v>0</v>
      </c>
      <c r="S179">
        <v>6</v>
      </c>
      <c r="T179">
        <v>5</v>
      </c>
      <c r="U179" s="32">
        <f t="shared" si="24"/>
        <v>1</v>
      </c>
      <c r="V179">
        <v>6</v>
      </c>
      <c r="W179">
        <v>6</v>
      </c>
      <c r="X179" s="32">
        <f t="shared" si="25"/>
        <v>0</v>
      </c>
      <c r="Y179">
        <v>7</v>
      </c>
      <c r="Z179">
        <v>7</v>
      </c>
      <c r="AA179" s="32">
        <f t="shared" si="26"/>
        <v>0</v>
      </c>
    </row>
    <row r="180" spans="1:27" x14ac:dyDescent="0.45">
      <c r="A180">
        <v>6</v>
      </c>
      <c r="B180">
        <v>7</v>
      </c>
      <c r="C180" s="32">
        <f t="shared" si="18"/>
        <v>1</v>
      </c>
      <c r="D180">
        <v>6</v>
      </c>
      <c r="E180">
        <v>7</v>
      </c>
      <c r="F180" s="32">
        <f t="shared" si="19"/>
        <v>1</v>
      </c>
      <c r="G180">
        <v>8</v>
      </c>
      <c r="H180">
        <v>6</v>
      </c>
      <c r="I180" s="32">
        <f t="shared" si="20"/>
        <v>2</v>
      </c>
      <c r="J180">
        <v>8</v>
      </c>
      <c r="K180">
        <v>7</v>
      </c>
      <c r="L180" s="32">
        <f t="shared" si="21"/>
        <v>1</v>
      </c>
      <c r="M180">
        <v>6</v>
      </c>
      <c r="N180">
        <v>6</v>
      </c>
      <c r="O180" s="32">
        <f t="shared" si="22"/>
        <v>0</v>
      </c>
      <c r="P180">
        <v>7</v>
      </c>
      <c r="Q180">
        <v>7</v>
      </c>
      <c r="R180" s="32">
        <f t="shared" si="23"/>
        <v>0</v>
      </c>
      <c r="S180">
        <v>6</v>
      </c>
      <c r="T180">
        <v>5</v>
      </c>
      <c r="U180" s="32">
        <f t="shared" si="24"/>
        <v>1</v>
      </c>
      <c r="V180">
        <v>6</v>
      </c>
      <c r="W180">
        <v>6</v>
      </c>
      <c r="X180" s="32">
        <f t="shared" si="25"/>
        <v>0</v>
      </c>
      <c r="Y180">
        <v>7</v>
      </c>
      <c r="Z180">
        <v>7</v>
      </c>
      <c r="AA180" s="32">
        <f t="shared" si="26"/>
        <v>0</v>
      </c>
    </row>
    <row r="181" spans="1:27" x14ac:dyDescent="0.45">
      <c r="A181">
        <v>6</v>
      </c>
      <c r="B181">
        <v>7</v>
      </c>
      <c r="C181" s="32">
        <f t="shared" si="18"/>
        <v>1</v>
      </c>
      <c r="D181">
        <v>6</v>
      </c>
      <c r="E181">
        <v>7</v>
      </c>
      <c r="F181" s="32">
        <f t="shared" si="19"/>
        <v>1</v>
      </c>
      <c r="G181">
        <v>8</v>
      </c>
      <c r="H181">
        <v>6</v>
      </c>
      <c r="I181" s="32">
        <f t="shared" si="20"/>
        <v>2</v>
      </c>
      <c r="J181">
        <v>8</v>
      </c>
      <c r="K181">
        <v>7</v>
      </c>
      <c r="L181" s="32">
        <f t="shared" si="21"/>
        <v>1</v>
      </c>
      <c r="M181">
        <v>6</v>
      </c>
      <c r="N181">
        <v>6</v>
      </c>
      <c r="O181" s="32">
        <f t="shared" si="22"/>
        <v>0</v>
      </c>
      <c r="P181">
        <v>7</v>
      </c>
      <c r="Q181">
        <v>7</v>
      </c>
      <c r="R181" s="32">
        <f t="shared" si="23"/>
        <v>0</v>
      </c>
      <c r="S181">
        <v>6</v>
      </c>
      <c r="T181">
        <v>5</v>
      </c>
      <c r="U181" s="32">
        <f t="shared" si="24"/>
        <v>1</v>
      </c>
      <c r="V181">
        <v>6</v>
      </c>
      <c r="W181">
        <v>6</v>
      </c>
      <c r="X181" s="32">
        <f t="shared" si="25"/>
        <v>0</v>
      </c>
      <c r="Y181">
        <v>7</v>
      </c>
      <c r="Z181">
        <v>7</v>
      </c>
      <c r="AA181" s="32">
        <f t="shared" si="26"/>
        <v>0</v>
      </c>
    </row>
    <row r="182" spans="1:27" x14ac:dyDescent="0.45">
      <c r="A182">
        <v>6</v>
      </c>
      <c r="B182">
        <v>7</v>
      </c>
      <c r="C182" s="32">
        <f t="shared" si="18"/>
        <v>1</v>
      </c>
      <c r="D182">
        <v>6</v>
      </c>
      <c r="E182">
        <v>7</v>
      </c>
      <c r="F182" s="32">
        <f t="shared" si="19"/>
        <v>1</v>
      </c>
      <c r="G182">
        <v>8</v>
      </c>
      <c r="H182">
        <v>6</v>
      </c>
      <c r="I182" s="32">
        <f t="shared" si="20"/>
        <v>2</v>
      </c>
      <c r="J182">
        <v>8</v>
      </c>
      <c r="K182">
        <v>7</v>
      </c>
      <c r="L182" s="32">
        <f t="shared" si="21"/>
        <v>1</v>
      </c>
      <c r="M182">
        <v>6</v>
      </c>
      <c r="N182">
        <v>6</v>
      </c>
      <c r="O182" s="32">
        <f t="shared" si="22"/>
        <v>0</v>
      </c>
      <c r="P182">
        <v>7</v>
      </c>
      <c r="Q182">
        <v>7</v>
      </c>
      <c r="R182" s="32">
        <f t="shared" si="23"/>
        <v>0</v>
      </c>
      <c r="S182">
        <v>6</v>
      </c>
      <c r="T182">
        <v>5</v>
      </c>
      <c r="U182" s="32">
        <f t="shared" si="24"/>
        <v>1</v>
      </c>
      <c r="V182">
        <v>6</v>
      </c>
      <c r="W182">
        <v>6</v>
      </c>
      <c r="X182" s="32">
        <f t="shared" si="25"/>
        <v>0</v>
      </c>
      <c r="Y182">
        <v>7</v>
      </c>
      <c r="Z182">
        <v>7</v>
      </c>
      <c r="AA182" s="32">
        <f t="shared" si="26"/>
        <v>0</v>
      </c>
    </row>
    <row r="183" spans="1:27" x14ac:dyDescent="0.45">
      <c r="A183">
        <v>6</v>
      </c>
      <c r="B183">
        <v>7</v>
      </c>
      <c r="C183" s="32">
        <f t="shared" si="18"/>
        <v>1</v>
      </c>
      <c r="D183">
        <v>6</v>
      </c>
      <c r="E183">
        <v>7</v>
      </c>
      <c r="F183" s="32">
        <f t="shared" si="19"/>
        <v>1</v>
      </c>
      <c r="G183">
        <v>8</v>
      </c>
      <c r="H183">
        <v>6</v>
      </c>
      <c r="I183" s="32">
        <f t="shared" si="20"/>
        <v>2</v>
      </c>
      <c r="J183">
        <v>8</v>
      </c>
      <c r="K183">
        <v>7</v>
      </c>
      <c r="L183" s="32">
        <f t="shared" si="21"/>
        <v>1</v>
      </c>
      <c r="M183">
        <v>6</v>
      </c>
      <c r="N183">
        <v>6</v>
      </c>
      <c r="O183" s="32">
        <f t="shared" si="22"/>
        <v>0</v>
      </c>
      <c r="P183">
        <v>7</v>
      </c>
      <c r="Q183">
        <v>7</v>
      </c>
      <c r="R183" s="32">
        <f t="shared" si="23"/>
        <v>0</v>
      </c>
      <c r="S183">
        <v>6</v>
      </c>
      <c r="T183">
        <v>5</v>
      </c>
      <c r="U183" s="32">
        <f t="shared" si="24"/>
        <v>1</v>
      </c>
      <c r="V183">
        <v>6</v>
      </c>
      <c r="W183">
        <v>6</v>
      </c>
      <c r="X183" s="32">
        <f t="shared" si="25"/>
        <v>0</v>
      </c>
      <c r="Y183">
        <v>7</v>
      </c>
      <c r="Z183">
        <v>7</v>
      </c>
      <c r="AA183" s="32">
        <f t="shared" si="26"/>
        <v>0</v>
      </c>
    </row>
    <row r="184" spans="1:27" x14ac:dyDescent="0.45">
      <c r="A184">
        <v>6</v>
      </c>
      <c r="B184">
        <v>7</v>
      </c>
      <c r="C184" s="32">
        <f t="shared" si="18"/>
        <v>1</v>
      </c>
      <c r="D184">
        <v>6</v>
      </c>
      <c r="E184">
        <v>7</v>
      </c>
      <c r="F184" s="32">
        <f t="shared" si="19"/>
        <v>1</v>
      </c>
      <c r="G184">
        <v>8</v>
      </c>
      <c r="H184">
        <v>6</v>
      </c>
      <c r="I184" s="32">
        <f t="shared" si="20"/>
        <v>2</v>
      </c>
      <c r="J184">
        <v>8</v>
      </c>
      <c r="K184">
        <v>7</v>
      </c>
      <c r="L184" s="32">
        <f t="shared" si="21"/>
        <v>1</v>
      </c>
      <c r="M184">
        <v>6</v>
      </c>
      <c r="N184">
        <v>6</v>
      </c>
      <c r="O184" s="32">
        <f t="shared" si="22"/>
        <v>0</v>
      </c>
      <c r="P184">
        <v>7</v>
      </c>
      <c r="Q184">
        <v>7</v>
      </c>
      <c r="R184" s="32">
        <f t="shared" si="23"/>
        <v>0</v>
      </c>
      <c r="S184">
        <v>6</v>
      </c>
      <c r="T184">
        <v>5</v>
      </c>
      <c r="U184" s="32">
        <f t="shared" si="24"/>
        <v>1</v>
      </c>
      <c r="V184">
        <v>6</v>
      </c>
      <c r="W184">
        <v>6</v>
      </c>
      <c r="X184" s="32">
        <f t="shared" si="25"/>
        <v>0</v>
      </c>
      <c r="Y184">
        <v>7</v>
      </c>
      <c r="Z184">
        <v>7</v>
      </c>
      <c r="AA184" s="32">
        <f t="shared" si="26"/>
        <v>0</v>
      </c>
    </row>
    <row r="185" spans="1:27" x14ac:dyDescent="0.45">
      <c r="A185">
        <v>6</v>
      </c>
      <c r="B185">
        <v>7</v>
      </c>
      <c r="C185" s="32">
        <f t="shared" si="18"/>
        <v>1</v>
      </c>
      <c r="D185">
        <v>6</v>
      </c>
      <c r="E185">
        <v>7</v>
      </c>
      <c r="F185" s="32">
        <f t="shared" si="19"/>
        <v>1</v>
      </c>
      <c r="G185">
        <v>8</v>
      </c>
      <c r="H185">
        <v>6</v>
      </c>
      <c r="I185" s="32">
        <f t="shared" si="20"/>
        <v>2</v>
      </c>
      <c r="J185">
        <v>8</v>
      </c>
      <c r="K185">
        <v>7</v>
      </c>
      <c r="L185" s="32">
        <f t="shared" si="21"/>
        <v>1</v>
      </c>
      <c r="M185">
        <v>6</v>
      </c>
      <c r="N185">
        <v>6</v>
      </c>
      <c r="O185" s="32">
        <f t="shared" si="22"/>
        <v>0</v>
      </c>
      <c r="P185">
        <v>7</v>
      </c>
      <c r="Q185">
        <v>7</v>
      </c>
      <c r="R185" s="32">
        <f t="shared" si="23"/>
        <v>0</v>
      </c>
      <c r="S185">
        <v>6</v>
      </c>
      <c r="T185">
        <v>5</v>
      </c>
      <c r="U185" s="32">
        <f t="shared" si="24"/>
        <v>1</v>
      </c>
      <c r="V185">
        <v>6</v>
      </c>
      <c r="W185">
        <v>6</v>
      </c>
      <c r="X185" s="32">
        <f t="shared" si="25"/>
        <v>0</v>
      </c>
      <c r="Y185">
        <v>7</v>
      </c>
      <c r="Z185">
        <v>7</v>
      </c>
      <c r="AA185" s="32">
        <f t="shared" si="26"/>
        <v>0</v>
      </c>
    </row>
    <row r="186" spans="1:27" x14ac:dyDescent="0.45">
      <c r="A186">
        <v>6</v>
      </c>
      <c r="B186">
        <v>7</v>
      </c>
      <c r="C186" s="32">
        <f t="shared" si="18"/>
        <v>1</v>
      </c>
      <c r="D186">
        <v>6</v>
      </c>
      <c r="E186">
        <v>7</v>
      </c>
      <c r="F186" s="32">
        <f t="shared" si="19"/>
        <v>1</v>
      </c>
      <c r="G186">
        <v>8</v>
      </c>
      <c r="H186">
        <v>6</v>
      </c>
      <c r="I186" s="32">
        <f t="shared" si="20"/>
        <v>2</v>
      </c>
      <c r="J186">
        <v>8</v>
      </c>
      <c r="K186">
        <v>7</v>
      </c>
      <c r="L186" s="32">
        <f t="shared" si="21"/>
        <v>1</v>
      </c>
      <c r="M186">
        <v>6</v>
      </c>
      <c r="N186">
        <v>6</v>
      </c>
      <c r="O186" s="32">
        <f t="shared" si="22"/>
        <v>0</v>
      </c>
      <c r="P186">
        <v>7</v>
      </c>
      <c r="Q186">
        <v>7</v>
      </c>
      <c r="R186" s="32">
        <f t="shared" si="23"/>
        <v>0</v>
      </c>
      <c r="S186">
        <v>6</v>
      </c>
      <c r="T186">
        <v>5</v>
      </c>
      <c r="U186" s="32">
        <f t="shared" si="24"/>
        <v>1</v>
      </c>
      <c r="V186">
        <v>6</v>
      </c>
      <c r="W186">
        <v>6</v>
      </c>
      <c r="X186" s="32">
        <f t="shared" si="25"/>
        <v>0</v>
      </c>
      <c r="Y186">
        <v>7</v>
      </c>
      <c r="Z186">
        <v>7</v>
      </c>
      <c r="AA186" s="32">
        <f t="shared" si="26"/>
        <v>0</v>
      </c>
    </row>
    <row r="187" spans="1:27" x14ac:dyDescent="0.45">
      <c r="A187">
        <v>6</v>
      </c>
      <c r="B187">
        <v>7</v>
      </c>
      <c r="C187" s="32">
        <f t="shared" si="18"/>
        <v>1</v>
      </c>
      <c r="D187">
        <v>6</v>
      </c>
      <c r="E187">
        <v>7</v>
      </c>
      <c r="F187" s="32">
        <f t="shared" si="19"/>
        <v>1</v>
      </c>
      <c r="G187">
        <v>8</v>
      </c>
      <c r="H187">
        <v>6</v>
      </c>
      <c r="I187" s="32">
        <f t="shared" si="20"/>
        <v>2</v>
      </c>
      <c r="J187">
        <v>8</v>
      </c>
      <c r="K187">
        <v>7</v>
      </c>
      <c r="L187" s="32">
        <f t="shared" si="21"/>
        <v>1</v>
      </c>
      <c r="M187">
        <v>6</v>
      </c>
      <c r="N187">
        <v>6</v>
      </c>
      <c r="O187" s="32">
        <f t="shared" si="22"/>
        <v>0</v>
      </c>
      <c r="P187">
        <v>7</v>
      </c>
      <c r="Q187">
        <v>7</v>
      </c>
      <c r="R187" s="32">
        <f t="shared" si="23"/>
        <v>0</v>
      </c>
      <c r="S187">
        <v>6</v>
      </c>
      <c r="T187">
        <v>5</v>
      </c>
      <c r="U187" s="32">
        <f t="shared" si="24"/>
        <v>1</v>
      </c>
      <c r="V187">
        <v>6</v>
      </c>
      <c r="W187">
        <v>6</v>
      </c>
      <c r="X187" s="32">
        <f t="shared" si="25"/>
        <v>0</v>
      </c>
      <c r="Y187">
        <v>7</v>
      </c>
      <c r="Z187">
        <v>7</v>
      </c>
      <c r="AA187" s="32">
        <f t="shared" si="26"/>
        <v>0</v>
      </c>
    </row>
    <row r="188" spans="1:27" x14ac:dyDescent="0.45">
      <c r="A188">
        <v>6</v>
      </c>
      <c r="B188">
        <v>7</v>
      </c>
      <c r="C188" s="32">
        <f t="shared" si="18"/>
        <v>1</v>
      </c>
      <c r="D188">
        <v>6</v>
      </c>
      <c r="E188">
        <v>7</v>
      </c>
      <c r="F188" s="32">
        <f t="shared" si="19"/>
        <v>1</v>
      </c>
      <c r="G188">
        <v>8</v>
      </c>
      <c r="H188">
        <v>6</v>
      </c>
      <c r="I188" s="32">
        <f t="shared" si="20"/>
        <v>2</v>
      </c>
      <c r="J188">
        <v>8</v>
      </c>
      <c r="K188">
        <v>7</v>
      </c>
      <c r="L188" s="32">
        <f t="shared" si="21"/>
        <v>1</v>
      </c>
      <c r="M188">
        <v>6</v>
      </c>
      <c r="N188">
        <v>6</v>
      </c>
      <c r="O188" s="32">
        <f t="shared" si="22"/>
        <v>0</v>
      </c>
      <c r="P188">
        <v>7</v>
      </c>
      <c r="Q188">
        <v>7</v>
      </c>
      <c r="R188" s="32">
        <f t="shared" si="23"/>
        <v>0</v>
      </c>
      <c r="S188">
        <v>6</v>
      </c>
      <c r="T188">
        <v>6</v>
      </c>
      <c r="U188" s="32">
        <f t="shared" si="24"/>
        <v>0</v>
      </c>
      <c r="V188">
        <v>6</v>
      </c>
      <c r="W188">
        <v>6</v>
      </c>
      <c r="X188" s="32">
        <f t="shared" si="25"/>
        <v>0</v>
      </c>
      <c r="Y188">
        <v>7</v>
      </c>
      <c r="Z188">
        <v>7</v>
      </c>
      <c r="AA188" s="32">
        <f t="shared" si="26"/>
        <v>0</v>
      </c>
    </row>
    <row r="189" spans="1:27" x14ac:dyDescent="0.45">
      <c r="A189">
        <v>6</v>
      </c>
      <c r="B189">
        <v>7</v>
      </c>
      <c r="C189" s="32">
        <f t="shared" si="18"/>
        <v>1</v>
      </c>
      <c r="D189">
        <v>6</v>
      </c>
      <c r="E189">
        <v>7</v>
      </c>
      <c r="F189" s="32">
        <f t="shared" si="19"/>
        <v>1</v>
      </c>
      <c r="G189">
        <v>8</v>
      </c>
      <c r="H189">
        <v>6</v>
      </c>
      <c r="I189" s="32">
        <f t="shared" si="20"/>
        <v>2</v>
      </c>
      <c r="J189">
        <v>8</v>
      </c>
      <c r="K189">
        <v>7</v>
      </c>
      <c r="L189" s="32">
        <f t="shared" si="21"/>
        <v>1</v>
      </c>
      <c r="M189">
        <v>6</v>
      </c>
      <c r="N189">
        <v>6</v>
      </c>
      <c r="O189" s="32">
        <f t="shared" si="22"/>
        <v>0</v>
      </c>
      <c r="P189">
        <v>7</v>
      </c>
      <c r="Q189">
        <v>7</v>
      </c>
      <c r="R189" s="32">
        <f t="shared" si="23"/>
        <v>0</v>
      </c>
      <c r="S189">
        <v>6</v>
      </c>
      <c r="T189">
        <v>6</v>
      </c>
      <c r="U189" s="32">
        <f t="shared" si="24"/>
        <v>0</v>
      </c>
      <c r="V189">
        <v>6</v>
      </c>
      <c r="W189">
        <v>6</v>
      </c>
      <c r="X189" s="32">
        <f t="shared" si="25"/>
        <v>0</v>
      </c>
      <c r="Y189">
        <v>7</v>
      </c>
      <c r="Z189">
        <v>7</v>
      </c>
      <c r="AA189" s="32">
        <f t="shared" si="26"/>
        <v>0</v>
      </c>
    </row>
    <row r="190" spans="1:27" x14ac:dyDescent="0.45">
      <c r="A190">
        <v>6</v>
      </c>
      <c r="B190">
        <v>7</v>
      </c>
      <c r="C190" s="32">
        <f t="shared" si="18"/>
        <v>1</v>
      </c>
      <c r="D190">
        <v>6</v>
      </c>
      <c r="E190">
        <v>7</v>
      </c>
      <c r="F190" s="32">
        <f t="shared" si="19"/>
        <v>1</v>
      </c>
      <c r="G190">
        <v>8</v>
      </c>
      <c r="H190">
        <v>6</v>
      </c>
      <c r="I190" s="32">
        <f t="shared" si="20"/>
        <v>2</v>
      </c>
      <c r="J190">
        <v>8</v>
      </c>
      <c r="K190">
        <v>7</v>
      </c>
      <c r="L190" s="32">
        <f t="shared" si="21"/>
        <v>1</v>
      </c>
      <c r="M190">
        <v>6</v>
      </c>
      <c r="N190">
        <v>6</v>
      </c>
      <c r="O190" s="32">
        <f t="shared" si="22"/>
        <v>0</v>
      </c>
      <c r="P190">
        <v>7</v>
      </c>
      <c r="Q190">
        <v>7</v>
      </c>
      <c r="R190" s="32">
        <f t="shared" si="23"/>
        <v>0</v>
      </c>
      <c r="S190">
        <v>6</v>
      </c>
      <c r="T190">
        <v>6</v>
      </c>
      <c r="U190" s="32">
        <f t="shared" si="24"/>
        <v>0</v>
      </c>
      <c r="V190">
        <v>6</v>
      </c>
      <c r="W190">
        <v>6</v>
      </c>
      <c r="X190" s="32">
        <f t="shared" si="25"/>
        <v>0</v>
      </c>
      <c r="Y190">
        <v>7</v>
      </c>
      <c r="Z190">
        <v>7</v>
      </c>
      <c r="AA190" s="32">
        <f t="shared" si="26"/>
        <v>0</v>
      </c>
    </row>
    <row r="191" spans="1:27" x14ac:dyDescent="0.45">
      <c r="A191">
        <v>6</v>
      </c>
      <c r="B191">
        <v>7</v>
      </c>
      <c r="C191" s="32">
        <f t="shared" si="18"/>
        <v>1</v>
      </c>
      <c r="D191">
        <v>6</v>
      </c>
      <c r="E191">
        <v>7</v>
      </c>
      <c r="F191" s="32">
        <f t="shared" si="19"/>
        <v>1</v>
      </c>
      <c r="G191">
        <v>8</v>
      </c>
      <c r="H191">
        <v>6</v>
      </c>
      <c r="I191" s="32">
        <f t="shared" si="20"/>
        <v>2</v>
      </c>
      <c r="J191">
        <v>8</v>
      </c>
      <c r="K191">
        <v>7</v>
      </c>
      <c r="L191" s="32">
        <f t="shared" si="21"/>
        <v>1</v>
      </c>
      <c r="M191">
        <v>6</v>
      </c>
      <c r="N191">
        <v>6</v>
      </c>
      <c r="O191" s="32">
        <f t="shared" si="22"/>
        <v>0</v>
      </c>
      <c r="P191">
        <v>7</v>
      </c>
      <c r="Q191">
        <v>7</v>
      </c>
      <c r="R191" s="32">
        <f t="shared" si="23"/>
        <v>0</v>
      </c>
      <c r="S191">
        <v>6</v>
      </c>
      <c r="T191">
        <v>6</v>
      </c>
      <c r="U191" s="32">
        <f t="shared" si="24"/>
        <v>0</v>
      </c>
      <c r="V191">
        <v>6</v>
      </c>
      <c r="W191">
        <v>6</v>
      </c>
      <c r="X191" s="32">
        <f t="shared" si="25"/>
        <v>0</v>
      </c>
      <c r="Y191">
        <v>7</v>
      </c>
      <c r="Z191">
        <v>7</v>
      </c>
      <c r="AA191" s="32">
        <f t="shared" si="26"/>
        <v>0</v>
      </c>
    </row>
    <row r="192" spans="1:27" x14ac:dyDescent="0.45">
      <c r="A192">
        <v>6</v>
      </c>
      <c r="B192">
        <v>7</v>
      </c>
      <c r="C192" s="32">
        <f t="shared" si="18"/>
        <v>1</v>
      </c>
      <c r="D192">
        <v>6</v>
      </c>
      <c r="E192">
        <v>7</v>
      </c>
      <c r="F192" s="32">
        <f t="shared" si="19"/>
        <v>1</v>
      </c>
      <c r="G192">
        <v>8</v>
      </c>
      <c r="H192">
        <v>6</v>
      </c>
      <c r="I192" s="32">
        <f t="shared" si="20"/>
        <v>2</v>
      </c>
      <c r="J192">
        <v>8</v>
      </c>
      <c r="K192">
        <v>7</v>
      </c>
      <c r="L192" s="32">
        <f t="shared" si="21"/>
        <v>1</v>
      </c>
      <c r="M192">
        <v>6</v>
      </c>
      <c r="N192">
        <v>6</v>
      </c>
      <c r="O192" s="32">
        <f t="shared" si="22"/>
        <v>0</v>
      </c>
      <c r="P192">
        <v>7</v>
      </c>
      <c r="Q192">
        <v>7</v>
      </c>
      <c r="R192" s="32">
        <f t="shared" si="23"/>
        <v>0</v>
      </c>
      <c r="S192">
        <v>6</v>
      </c>
      <c r="T192">
        <v>6</v>
      </c>
      <c r="U192" s="32">
        <f t="shared" si="24"/>
        <v>0</v>
      </c>
      <c r="V192">
        <v>6</v>
      </c>
      <c r="W192">
        <v>6</v>
      </c>
      <c r="X192" s="32">
        <f t="shared" si="25"/>
        <v>0</v>
      </c>
      <c r="Y192">
        <v>7</v>
      </c>
      <c r="Z192">
        <v>7</v>
      </c>
      <c r="AA192" s="32">
        <f t="shared" si="26"/>
        <v>0</v>
      </c>
    </row>
    <row r="193" spans="1:27" x14ac:dyDescent="0.45">
      <c r="A193">
        <v>6</v>
      </c>
      <c r="B193">
        <v>7</v>
      </c>
      <c r="C193" s="32">
        <f t="shared" si="18"/>
        <v>1</v>
      </c>
      <c r="D193">
        <v>6</v>
      </c>
      <c r="E193">
        <v>7</v>
      </c>
      <c r="F193" s="32">
        <f t="shared" si="19"/>
        <v>1</v>
      </c>
      <c r="G193">
        <v>8</v>
      </c>
      <c r="H193">
        <v>6</v>
      </c>
      <c r="I193" s="32">
        <f t="shared" si="20"/>
        <v>2</v>
      </c>
      <c r="J193">
        <v>8</v>
      </c>
      <c r="K193">
        <v>7</v>
      </c>
      <c r="L193" s="32">
        <f t="shared" si="21"/>
        <v>1</v>
      </c>
      <c r="M193">
        <v>6</v>
      </c>
      <c r="N193">
        <v>6</v>
      </c>
      <c r="O193" s="32">
        <f t="shared" si="22"/>
        <v>0</v>
      </c>
      <c r="P193">
        <v>7</v>
      </c>
      <c r="Q193">
        <v>7</v>
      </c>
      <c r="R193" s="32">
        <f t="shared" si="23"/>
        <v>0</v>
      </c>
      <c r="S193">
        <v>6</v>
      </c>
      <c r="T193">
        <v>6</v>
      </c>
      <c r="U193" s="32">
        <f t="shared" si="24"/>
        <v>0</v>
      </c>
      <c r="V193">
        <v>6</v>
      </c>
      <c r="W193">
        <v>6</v>
      </c>
      <c r="X193" s="32">
        <f t="shared" si="25"/>
        <v>0</v>
      </c>
      <c r="Y193">
        <v>7</v>
      </c>
      <c r="Z193">
        <v>7</v>
      </c>
      <c r="AA193" s="32">
        <f t="shared" si="26"/>
        <v>0</v>
      </c>
    </row>
    <row r="194" spans="1:27" x14ac:dyDescent="0.45">
      <c r="A194">
        <v>6</v>
      </c>
      <c r="B194">
        <v>7</v>
      </c>
      <c r="C194" s="32">
        <f t="shared" si="18"/>
        <v>1</v>
      </c>
      <c r="D194">
        <v>6</v>
      </c>
      <c r="E194">
        <v>7</v>
      </c>
      <c r="F194" s="32">
        <f t="shared" si="19"/>
        <v>1</v>
      </c>
      <c r="G194">
        <v>8</v>
      </c>
      <c r="H194">
        <v>6</v>
      </c>
      <c r="I194" s="32">
        <f t="shared" si="20"/>
        <v>2</v>
      </c>
      <c r="J194">
        <v>8</v>
      </c>
      <c r="K194">
        <v>7</v>
      </c>
      <c r="L194" s="32">
        <f t="shared" si="21"/>
        <v>1</v>
      </c>
      <c r="M194">
        <v>6</v>
      </c>
      <c r="N194">
        <v>6</v>
      </c>
      <c r="O194" s="32">
        <f t="shared" si="22"/>
        <v>0</v>
      </c>
      <c r="P194">
        <v>7</v>
      </c>
      <c r="Q194">
        <v>7</v>
      </c>
      <c r="R194" s="32">
        <f t="shared" si="23"/>
        <v>0</v>
      </c>
      <c r="S194">
        <v>6</v>
      </c>
      <c r="T194">
        <v>6</v>
      </c>
      <c r="U194" s="32">
        <f t="shared" si="24"/>
        <v>0</v>
      </c>
      <c r="V194">
        <v>6</v>
      </c>
      <c r="W194">
        <v>6</v>
      </c>
      <c r="X194" s="32">
        <f t="shared" si="25"/>
        <v>0</v>
      </c>
      <c r="Y194">
        <v>7</v>
      </c>
      <c r="Z194">
        <v>7</v>
      </c>
      <c r="AA194" s="32">
        <f t="shared" si="26"/>
        <v>0</v>
      </c>
    </row>
    <row r="195" spans="1:27" x14ac:dyDescent="0.45">
      <c r="A195">
        <v>6</v>
      </c>
      <c r="B195">
        <v>7</v>
      </c>
      <c r="C195" s="32">
        <f t="shared" ref="C195:C258" si="27">ABS(B195-A195)</f>
        <v>1</v>
      </c>
      <c r="D195">
        <v>6</v>
      </c>
      <c r="E195">
        <v>7</v>
      </c>
      <c r="F195" s="32">
        <f t="shared" ref="F195:F258" si="28">ABS(E195-D195)</f>
        <v>1</v>
      </c>
      <c r="G195">
        <v>8</v>
      </c>
      <c r="H195">
        <v>6</v>
      </c>
      <c r="I195" s="32">
        <f t="shared" ref="I195:I258" si="29">ABS(H195-G195)</f>
        <v>2</v>
      </c>
      <c r="J195">
        <v>8</v>
      </c>
      <c r="K195">
        <v>7</v>
      </c>
      <c r="L195" s="32">
        <f t="shared" ref="L195:L258" si="30">ABS(K195-J195)</f>
        <v>1</v>
      </c>
      <c r="M195">
        <v>6</v>
      </c>
      <c r="N195">
        <v>6</v>
      </c>
      <c r="O195" s="32">
        <f t="shared" ref="O195:O258" si="31">ABS(N195-M195)</f>
        <v>0</v>
      </c>
      <c r="P195">
        <v>7</v>
      </c>
      <c r="Q195">
        <v>7</v>
      </c>
      <c r="R195" s="32">
        <f t="shared" ref="R195:R258" si="32">ABS(Q195-P195)</f>
        <v>0</v>
      </c>
      <c r="S195">
        <v>6</v>
      </c>
      <c r="T195">
        <v>6</v>
      </c>
      <c r="U195" s="32">
        <f t="shared" ref="U195:U258" si="33">ABS(T195-S195)</f>
        <v>0</v>
      </c>
      <c r="V195">
        <v>6</v>
      </c>
      <c r="W195">
        <v>6</v>
      </c>
      <c r="X195" s="32">
        <f t="shared" ref="X195:X258" si="34">ABS(W195-V195)</f>
        <v>0</v>
      </c>
      <c r="Y195">
        <v>7</v>
      </c>
      <c r="Z195">
        <v>7</v>
      </c>
      <c r="AA195" s="32">
        <f t="shared" ref="AA195:AA258" si="35">ABS(Z195-Y195)</f>
        <v>0</v>
      </c>
    </row>
    <row r="196" spans="1:27" x14ac:dyDescent="0.45">
      <c r="A196">
        <v>6</v>
      </c>
      <c r="B196">
        <v>7</v>
      </c>
      <c r="C196" s="32">
        <f t="shared" si="27"/>
        <v>1</v>
      </c>
      <c r="D196">
        <v>6</v>
      </c>
      <c r="E196">
        <v>7</v>
      </c>
      <c r="F196" s="32">
        <f t="shared" si="28"/>
        <v>1</v>
      </c>
      <c r="G196">
        <v>8</v>
      </c>
      <c r="H196">
        <v>6</v>
      </c>
      <c r="I196" s="32">
        <f t="shared" si="29"/>
        <v>2</v>
      </c>
      <c r="J196">
        <v>8</v>
      </c>
      <c r="K196">
        <v>7</v>
      </c>
      <c r="L196" s="32">
        <f t="shared" si="30"/>
        <v>1</v>
      </c>
      <c r="M196">
        <v>6</v>
      </c>
      <c r="N196">
        <v>6</v>
      </c>
      <c r="O196" s="32">
        <f t="shared" si="31"/>
        <v>0</v>
      </c>
      <c r="P196">
        <v>7</v>
      </c>
      <c r="Q196">
        <v>7</v>
      </c>
      <c r="R196" s="32">
        <f t="shared" si="32"/>
        <v>0</v>
      </c>
      <c r="S196">
        <v>6</v>
      </c>
      <c r="T196">
        <v>6</v>
      </c>
      <c r="U196" s="32">
        <f t="shared" si="33"/>
        <v>0</v>
      </c>
      <c r="V196">
        <v>6</v>
      </c>
      <c r="W196">
        <v>6</v>
      </c>
      <c r="X196" s="32">
        <f t="shared" si="34"/>
        <v>0</v>
      </c>
      <c r="Y196">
        <v>7</v>
      </c>
      <c r="Z196">
        <v>7</v>
      </c>
      <c r="AA196" s="32">
        <f t="shared" si="35"/>
        <v>0</v>
      </c>
    </row>
    <row r="197" spans="1:27" x14ac:dyDescent="0.45">
      <c r="A197">
        <v>6</v>
      </c>
      <c r="B197">
        <v>7</v>
      </c>
      <c r="C197" s="32">
        <f t="shared" si="27"/>
        <v>1</v>
      </c>
      <c r="D197">
        <v>6</v>
      </c>
      <c r="E197">
        <v>7</v>
      </c>
      <c r="F197" s="32">
        <f t="shared" si="28"/>
        <v>1</v>
      </c>
      <c r="G197">
        <v>8</v>
      </c>
      <c r="H197">
        <v>6</v>
      </c>
      <c r="I197" s="32">
        <f t="shared" si="29"/>
        <v>2</v>
      </c>
      <c r="J197">
        <v>8</v>
      </c>
      <c r="K197">
        <v>7</v>
      </c>
      <c r="L197" s="32">
        <f t="shared" si="30"/>
        <v>1</v>
      </c>
      <c r="M197">
        <v>6</v>
      </c>
      <c r="N197">
        <v>6</v>
      </c>
      <c r="O197" s="32">
        <f t="shared" si="31"/>
        <v>0</v>
      </c>
      <c r="P197">
        <v>7</v>
      </c>
      <c r="Q197">
        <v>7</v>
      </c>
      <c r="R197" s="32">
        <f t="shared" si="32"/>
        <v>0</v>
      </c>
      <c r="S197">
        <v>6</v>
      </c>
      <c r="T197">
        <v>6</v>
      </c>
      <c r="U197" s="32">
        <f t="shared" si="33"/>
        <v>0</v>
      </c>
      <c r="V197">
        <v>6</v>
      </c>
      <c r="W197">
        <v>6</v>
      </c>
      <c r="X197" s="32">
        <f t="shared" si="34"/>
        <v>0</v>
      </c>
      <c r="Y197">
        <v>7</v>
      </c>
      <c r="Z197">
        <v>7</v>
      </c>
      <c r="AA197" s="32">
        <f t="shared" si="35"/>
        <v>0</v>
      </c>
    </row>
    <row r="198" spans="1:27" x14ac:dyDescent="0.45">
      <c r="A198">
        <v>6</v>
      </c>
      <c r="B198">
        <v>7</v>
      </c>
      <c r="C198" s="32">
        <f t="shared" si="27"/>
        <v>1</v>
      </c>
      <c r="D198">
        <v>6</v>
      </c>
      <c r="E198">
        <v>7</v>
      </c>
      <c r="F198" s="32">
        <f t="shared" si="28"/>
        <v>1</v>
      </c>
      <c r="G198">
        <v>8</v>
      </c>
      <c r="H198">
        <v>6</v>
      </c>
      <c r="I198" s="32">
        <f t="shared" si="29"/>
        <v>2</v>
      </c>
      <c r="J198">
        <v>8</v>
      </c>
      <c r="K198">
        <v>7</v>
      </c>
      <c r="L198" s="32">
        <f t="shared" si="30"/>
        <v>1</v>
      </c>
      <c r="M198">
        <v>6</v>
      </c>
      <c r="N198">
        <v>6</v>
      </c>
      <c r="O198" s="32">
        <f t="shared" si="31"/>
        <v>0</v>
      </c>
      <c r="P198">
        <v>7</v>
      </c>
      <c r="Q198">
        <v>7</v>
      </c>
      <c r="R198" s="32">
        <f t="shared" si="32"/>
        <v>0</v>
      </c>
      <c r="S198">
        <v>6</v>
      </c>
      <c r="T198">
        <v>6</v>
      </c>
      <c r="U198" s="32">
        <f t="shared" si="33"/>
        <v>0</v>
      </c>
      <c r="V198">
        <v>6</v>
      </c>
      <c r="W198">
        <v>6</v>
      </c>
      <c r="X198" s="32">
        <f t="shared" si="34"/>
        <v>0</v>
      </c>
      <c r="Y198">
        <v>7</v>
      </c>
      <c r="Z198">
        <v>7</v>
      </c>
      <c r="AA198" s="32">
        <f t="shared" si="35"/>
        <v>0</v>
      </c>
    </row>
    <row r="199" spans="1:27" x14ac:dyDescent="0.45">
      <c r="A199">
        <v>6</v>
      </c>
      <c r="B199">
        <v>7</v>
      </c>
      <c r="C199" s="32">
        <f t="shared" si="27"/>
        <v>1</v>
      </c>
      <c r="D199">
        <v>6</v>
      </c>
      <c r="E199">
        <v>7</v>
      </c>
      <c r="F199" s="32">
        <f t="shared" si="28"/>
        <v>1</v>
      </c>
      <c r="G199">
        <v>8</v>
      </c>
      <c r="H199">
        <v>6</v>
      </c>
      <c r="I199" s="32">
        <f t="shared" si="29"/>
        <v>2</v>
      </c>
      <c r="J199">
        <v>8</v>
      </c>
      <c r="K199">
        <v>7</v>
      </c>
      <c r="L199" s="32">
        <f t="shared" si="30"/>
        <v>1</v>
      </c>
      <c r="M199">
        <v>6</v>
      </c>
      <c r="N199">
        <v>6</v>
      </c>
      <c r="O199" s="32">
        <f t="shared" si="31"/>
        <v>0</v>
      </c>
      <c r="P199">
        <v>7</v>
      </c>
      <c r="Q199">
        <v>7</v>
      </c>
      <c r="R199" s="32">
        <f t="shared" si="32"/>
        <v>0</v>
      </c>
      <c r="S199">
        <v>6</v>
      </c>
      <c r="T199">
        <v>6</v>
      </c>
      <c r="U199" s="32">
        <f t="shared" si="33"/>
        <v>0</v>
      </c>
      <c r="V199">
        <v>6</v>
      </c>
      <c r="W199">
        <v>7</v>
      </c>
      <c r="X199" s="32">
        <f t="shared" si="34"/>
        <v>1</v>
      </c>
      <c r="Y199">
        <v>7</v>
      </c>
      <c r="Z199">
        <v>7</v>
      </c>
      <c r="AA199" s="32">
        <f t="shared" si="35"/>
        <v>0</v>
      </c>
    </row>
    <row r="200" spans="1:27" x14ac:dyDescent="0.45">
      <c r="A200">
        <v>6</v>
      </c>
      <c r="B200">
        <v>7</v>
      </c>
      <c r="C200" s="32">
        <f t="shared" si="27"/>
        <v>1</v>
      </c>
      <c r="D200">
        <v>6</v>
      </c>
      <c r="E200">
        <v>7</v>
      </c>
      <c r="F200" s="32">
        <f t="shared" si="28"/>
        <v>1</v>
      </c>
      <c r="G200">
        <v>8</v>
      </c>
      <c r="H200">
        <v>6</v>
      </c>
      <c r="I200" s="32">
        <f t="shared" si="29"/>
        <v>2</v>
      </c>
      <c r="J200">
        <v>8</v>
      </c>
      <c r="K200">
        <v>7</v>
      </c>
      <c r="L200" s="32">
        <f t="shared" si="30"/>
        <v>1</v>
      </c>
      <c r="M200">
        <v>6</v>
      </c>
      <c r="N200">
        <v>7</v>
      </c>
      <c r="O200" s="32">
        <f t="shared" si="31"/>
        <v>1</v>
      </c>
      <c r="P200">
        <v>7</v>
      </c>
      <c r="Q200">
        <v>7</v>
      </c>
      <c r="R200" s="32">
        <f t="shared" si="32"/>
        <v>0</v>
      </c>
      <c r="S200">
        <v>6</v>
      </c>
      <c r="T200">
        <v>6</v>
      </c>
      <c r="U200" s="32">
        <f t="shared" si="33"/>
        <v>0</v>
      </c>
      <c r="V200">
        <v>6</v>
      </c>
      <c r="W200">
        <v>7</v>
      </c>
      <c r="X200" s="32">
        <f t="shared" si="34"/>
        <v>1</v>
      </c>
      <c r="Y200">
        <v>7</v>
      </c>
      <c r="Z200">
        <v>7</v>
      </c>
      <c r="AA200" s="32">
        <f t="shared" si="35"/>
        <v>0</v>
      </c>
    </row>
    <row r="201" spans="1:27" x14ac:dyDescent="0.45">
      <c r="A201">
        <v>6</v>
      </c>
      <c r="B201">
        <v>7</v>
      </c>
      <c r="C201" s="32">
        <f t="shared" si="27"/>
        <v>1</v>
      </c>
      <c r="D201">
        <v>6</v>
      </c>
      <c r="E201">
        <v>7</v>
      </c>
      <c r="F201" s="32">
        <f t="shared" si="28"/>
        <v>1</v>
      </c>
      <c r="G201">
        <v>8</v>
      </c>
      <c r="H201">
        <v>6</v>
      </c>
      <c r="I201" s="32">
        <f t="shared" si="29"/>
        <v>2</v>
      </c>
      <c r="J201">
        <v>8</v>
      </c>
      <c r="K201">
        <v>7</v>
      </c>
      <c r="L201" s="32">
        <f t="shared" si="30"/>
        <v>1</v>
      </c>
      <c r="M201">
        <v>6</v>
      </c>
      <c r="N201">
        <v>7</v>
      </c>
      <c r="O201" s="32">
        <f t="shared" si="31"/>
        <v>1</v>
      </c>
      <c r="P201">
        <v>7</v>
      </c>
      <c r="Q201">
        <v>7</v>
      </c>
      <c r="R201" s="32">
        <f t="shared" si="32"/>
        <v>0</v>
      </c>
      <c r="S201">
        <v>6</v>
      </c>
      <c r="T201">
        <v>6</v>
      </c>
      <c r="U201" s="32">
        <f t="shared" si="33"/>
        <v>0</v>
      </c>
      <c r="V201">
        <v>6</v>
      </c>
      <c r="W201">
        <v>7</v>
      </c>
      <c r="X201" s="32">
        <f t="shared" si="34"/>
        <v>1</v>
      </c>
      <c r="Y201">
        <v>7</v>
      </c>
      <c r="Z201">
        <v>7</v>
      </c>
      <c r="AA201" s="32">
        <f t="shared" si="35"/>
        <v>0</v>
      </c>
    </row>
    <row r="202" spans="1:27" x14ac:dyDescent="0.45">
      <c r="A202">
        <v>6</v>
      </c>
      <c r="B202">
        <v>7</v>
      </c>
      <c r="C202" s="32">
        <f t="shared" si="27"/>
        <v>1</v>
      </c>
      <c r="D202">
        <v>6</v>
      </c>
      <c r="E202">
        <v>7</v>
      </c>
      <c r="F202" s="32">
        <f t="shared" si="28"/>
        <v>1</v>
      </c>
      <c r="G202">
        <v>8</v>
      </c>
      <c r="H202">
        <v>6</v>
      </c>
      <c r="I202" s="32">
        <f t="shared" si="29"/>
        <v>2</v>
      </c>
      <c r="J202">
        <v>8</v>
      </c>
      <c r="K202">
        <v>7</v>
      </c>
      <c r="L202" s="32">
        <f t="shared" si="30"/>
        <v>1</v>
      </c>
      <c r="M202">
        <v>6</v>
      </c>
      <c r="N202">
        <v>7</v>
      </c>
      <c r="O202" s="32">
        <f t="shared" si="31"/>
        <v>1</v>
      </c>
      <c r="P202">
        <v>7</v>
      </c>
      <c r="Q202">
        <v>7</v>
      </c>
      <c r="R202" s="32">
        <f t="shared" si="32"/>
        <v>0</v>
      </c>
      <c r="S202">
        <v>6</v>
      </c>
      <c r="T202">
        <v>6</v>
      </c>
      <c r="U202" s="32">
        <f t="shared" si="33"/>
        <v>0</v>
      </c>
      <c r="V202">
        <v>6</v>
      </c>
      <c r="W202">
        <v>7</v>
      </c>
      <c r="X202" s="32">
        <f t="shared" si="34"/>
        <v>1</v>
      </c>
      <c r="Y202">
        <v>7</v>
      </c>
      <c r="Z202">
        <v>7</v>
      </c>
      <c r="AA202" s="32">
        <f t="shared" si="35"/>
        <v>0</v>
      </c>
    </row>
    <row r="203" spans="1:27" x14ac:dyDescent="0.45">
      <c r="A203">
        <v>6</v>
      </c>
      <c r="B203">
        <v>7</v>
      </c>
      <c r="C203" s="32">
        <f t="shared" si="27"/>
        <v>1</v>
      </c>
      <c r="D203">
        <v>6</v>
      </c>
      <c r="E203">
        <v>7</v>
      </c>
      <c r="F203" s="32">
        <f t="shared" si="28"/>
        <v>1</v>
      </c>
      <c r="G203">
        <v>8</v>
      </c>
      <c r="H203">
        <v>6</v>
      </c>
      <c r="I203" s="32">
        <f t="shared" si="29"/>
        <v>2</v>
      </c>
      <c r="J203">
        <v>8</v>
      </c>
      <c r="K203">
        <v>7</v>
      </c>
      <c r="L203" s="32">
        <f t="shared" si="30"/>
        <v>1</v>
      </c>
      <c r="M203">
        <v>6</v>
      </c>
      <c r="N203">
        <v>7</v>
      </c>
      <c r="O203" s="32">
        <f t="shared" si="31"/>
        <v>1</v>
      </c>
      <c r="P203">
        <v>7</v>
      </c>
      <c r="Q203">
        <v>7</v>
      </c>
      <c r="R203" s="32">
        <f t="shared" si="32"/>
        <v>0</v>
      </c>
      <c r="S203">
        <v>6</v>
      </c>
      <c r="T203">
        <v>6</v>
      </c>
      <c r="U203" s="32">
        <f t="shared" si="33"/>
        <v>0</v>
      </c>
      <c r="V203">
        <v>6</v>
      </c>
      <c r="W203">
        <v>7</v>
      </c>
      <c r="X203" s="32">
        <f t="shared" si="34"/>
        <v>1</v>
      </c>
      <c r="Y203">
        <v>7</v>
      </c>
      <c r="Z203">
        <v>7</v>
      </c>
      <c r="AA203" s="32">
        <f t="shared" si="35"/>
        <v>0</v>
      </c>
    </row>
    <row r="204" spans="1:27" x14ac:dyDescent="0.45">
      <c r="A204">
        <v>6</v>
      </c>
      <c r="B204">
        <v>7</v>
      </c>
      <c r="C204" s="32">
        <f t="shared" si="27"/>
        <v>1</v>
      </c>
      <c r="D204">
        <v>6</v>
      </c>
      <c r="E204">
        <v>7</v>
      </c>
      <c r="F204" s="32">
        <f t="shared" si="28"/>
        <v>1</v>
      </c>
      <c r="G204">
        <v>8</v>
      </c>
      <c r="H204">
        <v>6</v>
      </c>
      <c r="I204" s="32">
        <f t="shared" si="29"/>
        <v>2</v>
      </c>
      <c r="J204">
        <v>8</v>
      </c>
      <c r="K204">
        <v>7</v>
      </c>
      <c r="L204" s="32">
        <f t="shared" si="30"/>
        <v>1</v>
      </c>
      <c r="M204">
        <v>6</v>
      </c>
      <c r="N204">
        <v>7</v>
      </c>
      <c r="O204" s="32">
        <f t="shared" si="31"/>
        <v>1</v>
      </c>
      <c r="P204">
        <v>7</v>
      </c>
      <c r="Q204">
        <v>7</v>
      </c>
      <c r="R204" s="32">
        <f t="shared" si="32"/>
        <v>0</v>
      </c>
      <c r="S204">
        <v>6</v>
      </c>
      <c r="T204">
        <v>6</v>
      </c>
      <c r="U204" s="32">
        <f t="shared" si="33"/>
        <v>0</v>
      </c>
      <c r="V204">
        <v>6</v>
      </c>
      <c r="W204">
        <v>7</v>
      </c>
      <c r="X204" s="32">
        <f t="shared" si="34"/>
        <v>1</v>
      </c>
      <c r="Y204">
        <v>7</v>
      </c>
      <c r="Z204">
        <v>7</v>
      </c>
      <c r="AA204" s="32">
        <f t="shared" si="35"/>
        <v>0</v>
      </c>
    </row>
    <row r="205" spans="1:27" x14ac:dyDescent="0.45">
      <c r="A205">
        <v>6</v>
      </c>
      <c r="B205">
        <v>7</v>
      </c>
      <c r="C205" s="32">
        <f t="shared" si="27"/>
        <v>1</v>
      </c>
      <c r="D205">
        <v>6</v>
      </c>
      <c r="E205">
        <v>7</v>
      </c>
      <c r="F205" s="32">
        <f t="shared" si="28"/>
        <v>1</v>
      </c>
      <c r="G205">
        <v>8</v>
      </c>
      <c r="H205">
        <v>6</v>
      </c>
      <c r="I205" s="32">
        <f t="shared" si="29"/>
        <v>2</v>
      </c>
      <c r="J205">
        <v>8</v>
      </c>
      <c r="K205">
        <v>7</v>
      </c>
      <c r="L205" s="32">
        <f t="shared" si="30"/>
        <v>1</v>
      </c>
      <c r="M205">
        <v>6</v>
      </c>
      <c r="N205">
        <v>7</v>
      </c>
      <c r="O205" s="32">
        <f t="shared" si="31"/>
        <v>1</v>
      </c>
      <c r="P205">
        <v>7</v>
      </c>
      <c r="Q205">
        <v>7</v>
      </c>
      <c r="R205" s="32">
        <f t="shared" si="32"/>
        <v>0</v>
      </c>
      <c r="S205">
        <v>6</v>
      </c>
      <c r="T205">
        <v>6</v>
      </c>
      <c r="U205" s="32">
        <f t="shared" si="33"/>
        <v>0</v>
      </c>
      <c r="V205">
        <v>6</v>
      </c>
      <c r="W205">
        <v>7</v>
      </c>
      <c r="X205" s="32">
        <f t="shared" si="34"/>
        <v>1</v>
      </c>
      <c r="Y205">
        <v>7</v>
      </c>
      <c r="Z205">
        <v>7</v>
      </c>
      <c r="AA205" s="32">
        <f t="shared" si="35"/>
        <v>0</v>
      </c>
    </row>
    <row r="206" spans="1:27" x14ac:dyDescent="0.45">
      <c r="A206">
        <v>6</v>
      </c>
      <c r="B206">
        <v>7</v>
      </c>
      <c r="C206" s="32">
        <f t="shared" si="27"/>
        <v>1</v>
      </c>
      <c r="D206">
        <v>6</v>
      </c>
      <c r="E206">
        <v>7</v>
      </c>
      <c r="F206" s="32">
        <f t="shared" si="28"/>
        <v>1</v>
      </c>
      <c r="G206">
        <v>8</v>
      </c>
      <c r="H206">
        <v>6</v>
      </c>
      <c r="I206" s="32">
        <f t="shared" si="29"/>
        <v>2</v>
      </c>
      <c r="J206">
        <v>8</v>
      </c>
      <c r="K206">
        <v>7</v>
      </c>
      <c r="L206" s="32">
        <f t="shared" si="30"/>
        <v>1</v>
      </c>
      <c r="M206">
        <v>6</v>
      </c>
      <c r="N206">
        <v>7</v>
      </c>
      <c r="O206" s="32">
        <f t="shared" si="31"/>
        <v>1</v>
      </c>
      <c r="P206">
        <v>7</v>
      </c>
      <c r="Q206">
        <v>7</v>
      </c>
      <c r="R206" s="32">
        <f t="shared" si="32"/>
        <v>0</v>
      </c>
      <c r="S206">
        <v>6</v>
      </c>
      <c r="T206">
        <v>6</v>
      </c>
      <c r="U206" s="32">
        <f t="shared" si="33"/>
        <v>0</v>
      </c>
      <c r="V206">
        <v>6</v>
      </c>
      <c r="W206">
        <v>7</v>
      </c>
      <c r="X206" s="32">
        <f t="shared" si="34"/>
        <v>1</v>
      </c>
      <c r="Y206">
        <v>7</v>
      </c>
      <c r="Z206">
        <v>7</v>
      </c>
      <c r="AA206" s="32">
        <f t="shared" si="35"/>
        <v>0</v>
      </c>
    </row>
    <row r="207" spans="1:27" x14ac:dyDescent="0.45">
      <c r="A207">
        <v>6</v>
      </c>
      <c r="B207">
        <v>7</v>
      </c>
      <c r="C207" s="32">
        <f t="shared" si="27"/>
        <v>1</v>
      </c>
      <c r="D207">
        <v>6</v>
      </c>
      <c r="E207">
        <v>7</v>
      </c>
      <c r="F207" s="32">
        <f t="shared" si="28"/>
        <v>1</v>
      </c>
      <c r="G207">
        <v>8</v>
      </c>
      <c r="H207">
        <v>6</v>
      </c>
      <c r="I207" s="32">
        <f t="shared" si="29"/>
        <v>2</v>
      </c>
      <c r="J207">
        <v>8</v>
      </c>
      <c r="K207">
        <v>7</v>
      </c>
      <c r="L207" s="32">
        <f t="shared" si="30"/>
        <v>1</v>
      </c>
      <c r="M207">
        <v>6</v>
      </c>
      <c r="N207">
        <v>7</v>
      </c>
      <c r="O207" s="32">
        <f t="shared" si="31"/>
        <v>1</v>
      </c>
      <c r="P207">
        <v>7</v>
      </c>
      <c r="Q207">
        <v>7</v>
      </c>
      <c r="R207" s="32">
        <f t="shared" si="32"/>
        <v>0</v>
      </c>
      <c r="S207">
        <v>6</v>
      </c>
      <c r="T207">
        <v>6</v>
      </c>
      <c r="U207" s="32">
        <f t="shared" si="33"/>
        <v>0</v>
      </c>
      <c r="V207">
        <v>6</v>
      </c>
      <c r="W207">
        <v>7</v>
      </c>
      <c r="X207" s="32">
        <f t="shared" si="34"/>
        <v>1</v>
      </c>
      <c r="Y207">
        <v>7</v>
      </c>
      <c r="Z207">
        <v>7</v>
      </c>
      <c r="AA207" s="32">
        <f t="shared" si="35"/>
        <v>0</v>
      </c>
    </row>
    <row r="208" spans="1:27" x14ac:dyDescent="0.45">
      <c r="A208">
        <v>6</v>
      </c>
      <c r="B208">
        <v>7</v>
      </c>
      <c r="C208" s="32">
        <f t="shared" si="27"/>
        <v>1</v>
      </c>
      <c r="D208">
        <v>6</v>
      </c>
      <c r="E208">
        <v>7</v>
      </c>
      <c r="F208" s="32">
        <f t="shared" si="28"/>
        <v>1</v>
      </c>
      <c r="G208">
        <v>8</v>
      </c>
      <c r="H208">
        <v>6</v>
      </c>
      <c r="I208" s="32">
        <f t="shared" si="29"/>
        <v>2</v>
      </c>
      <c r="J208">
        <v>8</v>
      </c>
      <c r="K208">
        <v>8</v>
      </c>
      <c r="L208" s="32">
        <f t="shared" si="30"/>
        <v>0</v>
      </c>
      <c r="M208">
        <v>6</v>
      </c>
      <c r="N208">
        <v>7</v>
      </c>
      <c r="O208" s="32">
        <f t="shared" si="31"/>
        <v>1</v>
      </c>
      <c r="P208">
        <v>7</v>
      </c>
      <c r="Q208">
        <v>7</v>
      </c>
      <c r="R208" s="32">
        <f t="shared" si="32"/>
        <v>0</v>
      </c>
      <c r="S208">
        <v>6</v>
      </c>
      <c r="T208">
        <v>6</v>
      </c>
      <c r="U208" s="32">
        <f t="shared" si="33"/>
        <v>0</v>
      </c>
      <c r="V208">
        <v>7</v>
      </c>
      <c r="W208">
        <v>7</v>
      </c>
      <c r="X208" s="32">
        <f t="shared" si="34"/>
        <v>0</v>
      </c>
      <c r="Y208">
        <v>7</v>
      </c>
      <c r="Z208">
        <v>7</v>
      </c>
      <c r="AA208" s="32">
        <f t="shared" si="35"/>
        <v>0</v>
      </c>
    </row>
    <row r="209" spans="1:27" x14ac:dyDescent="0.45">
      <c r="A209">
        <v>6</v>
      </c>
      <c r="B209">
        <v>7</v>
      </c>
      <c r="C209" s="32">
        <f t="shared" si="27"/>
        <v>1</v>
      </c>
      <c r="D209">
        <v>6</v>
      </c>
      <c r="E209">
        <v>7</v>
      </c>
      <c r="F209" s="32">
        <f t="shared" si="28"/>
        <v>1</v>
      </c>
      <c r="G209">
        <v>8</v>
      </c>
      <c r="H209">
        <v>7</v>
      </c>
      <c r="I209" s="32">
        <f t="shared" si="29"/>
        <v>1</v>
      </c>
      <c r="J209">
        <v>8</v>
      </c>
      <c r="K209">
        <v>8</v>
      </c>
      <c r="L209" s="32">
        <f t="shared" si="30"/>
        <v>0</v>
      </c>
      <c r="M209">
        <v>6</v>
      </c>
      <c r="N209">
        <v>7</v>
      </c>
      <c r="O209" s="32">
        <f t="shared" si="31"/>
        <v>1</v>
      </c>
      <c r="P209">
        <v>7</v>
      </c>
      <c r="Q209">
        <v>7</v>
      </c>
      <c r="R209" s="32">
        <f t="shared" si="32"/>
        <v>0</v>
      </c>
      <c r="S209">
        <v>6</v>
      </c>
      <c r="T209">
        <v>6</v>
      </c>
      <c r="U209" s="32">
        <f t="shared" si="33"/>
        <v>0</v>
      </c>
      <c r="V209">
        <v>7</v>
      </c>
      <c r="W209">
        <v>7</v>
      </c>
      <c r="X209" s="32">
        <f t="shared" si="34"/>
        <v>0</v>
      </c>
      <c r="Y209">
        <v>7</v>
      </c>
      <c r="Z209">
        <v>7</v>
      </c>
      <c r="AA209" s="32">
        <f t="shared" si="35"/>
        <v>0</v>
      </c>
    </row>
    <row r="210" spans="1:27" x14ac:dyDescent="0.45">
      <c r="A210">
        <v>6</v>
      </c>
      <c r="B210">
        <v>7</v>
      </c>
      <c r="C210" s="32">
        <f t="shared" si="27"/>
        <v>1</v>
      </c>
      <c r="D210">
        <v>6</v>
      </c>
      <c r="E210">
        <v>7</v>
      </c>
      <c r="F210" s="32">
        <f t="shared" si="28"/>
        <v>1</v>
      </c>
      <c r="G210">
        <v>8</v>
      </c>
      <c r="H210">
        <v>7</v>
      </c>
      <c r="I210" s="32">
        <f t="shared" si="29"/>
        <v>1</v>
      </c>
      <c r="J210">
        <v>8</v>
      </c>
      <c r="K210">
        <v>8</v>
      </c>
      <c r="L210" s="32">
        <f t="shared" si="30"/>
        <v>0</v>
      </c>
      <c r="M210">
        <v>6</v>
      </c>
      <c r="N210">
        <v>7</v>
      </c>
      <c r="O210" s="32">
        <f t="shared" si="31"/>
        <v>1</v>
      </c>
      <c r="P210">
        <v>7</v>
      </c>
      <c r="Q210">
        <v>7</v>
      </c>
      <c r="R210" s="32">
        <f t="shared" si="32"/>
        <v>0</v>
      </c>
      <c r="S210">
        <v>6</v>
      </c>
      <c r="T210">
        <v>6</v>
      </c>
      <c r="U210" s="32">
        <f t="shared" si="33"/>
        <v>0</v>
      </c>
      <c r="V210">
        <v>7</v>
      </c>
      <c r="W210">
        <v>7</v>
      </c>
      <c r="X210" s="32">
        <f t="shared" si="34"/>
        <v>0</v>
      </c>
      <c r="Y210">
        <v>7</v>
      </c>
      <c r="Z210">
        <v>7</v>
      </c>
      <c r="AA210" s="32">
        <f t="shared" si="35"/>
        <v>0</v>
      </c>
    </row>
    <row r="211" spans="1:27" x14ac:dyDescent="0.45">
      <c r="A211">
        <v>6</v>
      </c>
      <c r="B211">
        <v>7</v>
      </c>
      <c r="C211" s="32">
        <f t="shared" si="27"/>
        <v>1</v>
      </c>
      <c r="D211">
        <v>6</v>
      </c>
      <c r="E211">
        <v>7</v>
      </c>
      <c r="F211" s="32">
        <f t="shared" si="28"/>
        <v>1</v>
      </c>
      <c r="G211">
        <v>8</v>
      </c>
      <c r="H211">
        <v>7</v>
      </c>
      <c r="I211" s="32">
        <f t="shared" si="29"/>
        <v>1</v>
      </c>
      <c r="J211">
        <v>8</v>
      </c>
      <c r="K211">
        <v>8</v>
      </c>
      <c r="L211" s="32">
        <f t="shared" si="30"/>
        <v>0</v>
      </c>
      <c r="M211">
        <v>6</v>
      </c>
      <c r="N211">
        <v>7</v>
      </c>
      <c r="O211" s="32">
        <f t="shared" si="31"/>
        <v>1</v>
      </c>
      <c r="P211">
        <v>7</v>
      </c>
      <c r="Q211">
        <v>7</v>
      </c>
      <c r="R211" s="32">
        <f t="shared" si="32"/>
        <v>0</v>
      </c>
      <c r="S211">
        <v>6</v>
      </c>
      <c r="T211">
        <v>6</v>
      </c>
      <c r="U211" s="32">
        <f t="shared" si="33"/>
        <v>0</v>
      </c>
      <c r="V211">
        <v>7</v>
      </c>
      <c r="W211">
        <v>7</v>
      </c>
      <c r="X211" s="32">
        <f t="shared" si="34"/>
        <v>0</v>
      </c>
      <c r="Y211">
        <v>7</v>
      </c>
      <c r="Z211">
        <v>7</v>
      </c>
      <c r="AA211" s="32">
        <f t="shared" si="35"/>
        <v>0</v>
      </c>
    </row>
    <row r="212" spans="1:27" x14ac:dyDescent="0.45">
      <c r="A212">
        <v>6</v>
      </c>
      <c r="B212">
        <v>7</v>
      </c>
      <c r="C212" s="32">
        <f t="shared" si="27"/>
        <v>1</v>
      </c>
      <c r="D212">
        <v>6</v>
      </c>
      <c r="E212">
        <v>7</v>
      </c>
      <c r="F212" s="32">
        <f t="shared" si="28"/>
        <v>1</v>
      </c>
      <c r="G212">
        <v>8</v>
      </c>
      <c r="H212">
        <v>7</v>
      </c>
      <c r="I212" s="32">
        <f t="shared" si="29"/>
        <v>1</v>
      </c>
      <c r="J212">
        <v>8</v>
      </c>
      <c r="K212">
        <v>8</v>
      </c>
      <c r="L212" s="32">
        <f t="shared" si="30"/>
        <v>0</v>
      </c>
      <c r="M212">
        <v>6</v>
      </c>
      <c r="N212">
        <v>7</v>
      </c>
      <c r="O212" s="32">
        <f t="shared" si="31"/>
        <v>1</v>
      </c>
      <c r="P212">
        <v>7</v>
      </c>
      <c r="Q212">
        <v>7</v>
      </c>
      <c r="R212" s="32">
        <f t="shared" si="32"/>
        <v>0</v>
      </c>
      <c r="S212">
        <v>6</v>
      </c>
      <c r="T212">
        <v>6</v>
      </c>
      <c r="U212" s="32">
        <f t="shared" si="33"/>
        <v>0</v>
      </c>
      <c r="V212">
        <v>7</v>
      </c>
      <c r="W212">
        <v>7</v>
      </c>
      <c r="X212" s="32">
        <f t="shared" si="34"/>
        <v>0</v>
      </c>
      <c r="Y212">
        <v>7</v>
      </c>
      <c r="Z212">
        <v>7</v>
      </c>
      <c r="AA212" s="32">
        <f t="shared" si="35"/>
        <v>0</v>
      </c>
    </row>
    <row r="213" spans="1:27" x14ac:dyDescent="0.45">
      <c r="A213">
        <v>6</v>
      </c>
      <c r="B213">
        <v>7</v>
      </c>
      <c r="C213" s="32">
        <f t="shared" si="27"/>
        <v>1</v>
      </c>
      <c r="D213">
        <v>6</v>
      </c>
      <c r="E213">
        <v>8</v>
      </c>
      <c r="F213" s="32">
        <f t="shared" si="28"/>
        <v>2</v>
      </c>
      <c r="G213">
        <v>8</v>
      </c>
      <c r="H213">
        <v>7</v>
      </c>
      <c r="I213" s="32">
        <f t="shared" si="29"/>
        <v>1</v>
      </c>
      <c r="J213">
        <v>8</v>
      </c>
      <c r="K213">
        <v>8</v>
      </c>
      <c r="L213" s="32">
        <f t="shared" si="30"/>
        <v>0</v>
      </c>
      <c r="M213">
        <v>6</v>
      </c>
      <c r="N213">
        <v>7</v>
      </c>
      <c r="O213" s="32">
        <f t="shared" si="31"/>
        <v>1</v>
      </c>
      <c r="P213">
        <v>7</v>
      </c>
      <c r="Q213">
        <v>7</v>
      </c>
      <c r="R213" s="32">
        <f t="shared" si="32"/>
        <v>0</v>
      </c>
      <c r="S213">
        <v>6</v>
      </c>
      <c r="T213">
        <v>6</v>
      </c>
      <c r="U213" s="32">
        <f t="shared" si="33"/>
        <v>0</v>
      </c>
      <c r="V213">
        <v>7</v>
      </c>
      <c r="W213">
        <v>7</v>
      </c>
      <c r="X213" s="32">
        <f t="shared" si="34"/>
        <v>0</v>
      </c>
      <c r="Y213">
        <v>7</v>
      </c>
      <c r="Z213">
        <v>7</v>
      </c>
      <c r="AA213" s="32">
        <f t="shared" si="35"/>
        <v>0</v>
      </c>
    </row>
    <row r="214" spans="1:27" x14ac:dyDescent="0.45">
      <c r="A214">
        <v>6</v>
      </c>
      <c r="B214">
        <v>7</v>
      </c>
      <c r="C214" s="32">
        <f t="shared" si="27"/>
        <v>1</v>
      </c>
      <c r="D214">
        <v>6</v>
      </c>
      <c r="E214">
        <v>8</v>
      </c>
      <c r="F214" s="32">
        <f t="shared" si="28"/>
        <v>2</v>
      </c>
      <c r="G214">
        <v>8</v>
      </c>
      <c r="H214">
        <v>7</v>
      </c>
      <c r="I214" s="32">
        <f t="shared" si="29"/>
        <v>1</v>
      </c>
      <c r="J214">
        <v>8</v>
      </c>
      <c r="K214">
        <v>8</v>
      </c>
      <c r="L214" s="32">
        <f t="shared" si="30"/>
        <v>0</v>
      </c>
      <c r="M214">
        <v>6</v>
      </c>
      <c r="N214">
        <v>7</v>
      </c>
      <c r="O214" s="32">
        <f t="shared" si="31"/>
        <v>1</v>
      </c>
      <c r="P214">
        <v>7</v>
      </c>
      <c r="Q214">
        <v>7</v>
      </c>
      <c r="R214" s="32">
        <f t="shared" si="32"/>
        <v>0</v>
      </c>
      <c r="S214">
        <v>6</v>
      </c>
      <c r="T214">
        <v>6</v>
      </c>
      <c r="U214" s="32">
        <f t="shared" si="33"/>
        <v>0</v>
      </c>
      <c r="V214">
        <v>7</v>
      </c>
      <c r="W214">
        <v>7</v>
      </c>
      <c r="X214" s="32">
        <f t="shared" si="34"/>
        <v>0</v>
      </c>
      <c r="Y214">
        <v>7</v>
      </c>
      <c r="Z214">
        <v>7</v>
      </c>
      <c r="AA214" s="32">
        <f t="shared" si="35"/>
        <v>0</v>
      </c>
    </row>
    <row r="215" spans="1:27" x14ac:dyDescent="0.45">
      <c r="A215">
        <v>6</v>
      </c>
      <c r="B215">
        <v>7</v>
      </c>
      <c r="C215" s="32">
        <f t="shared" si="27"/>
        <v>1</v>
      </c>
      <c r="D215">
        <v>6</v>
      </c>
      <c r="E215">
        <v>8</v>
      </c>
      <c r="F215" s="32">
        <f t="shared" si="28"/>
        <v>2</v>
      </c>
      <c r="G215">
        <v>8</v>
      </c>
      <c r="H215">
        <v>7</v>
      </c>
      <c r="I215" s="32">
        <f t="shared" si="29"/>
        <v>1</v>
      </c>
      <c r="J215">
        <v>8</v>
      </c>
      <c r="K215">
        <v>8</v>
      </c>
      <c r="L215" s="32">
        <f t="shared" si="30"/>
        <v>0</v>
      </c>
      <c r="M215">
        <v>6</v>
      </c>
      <c r="N215">
        <v>7</v>
      </c>
      <c r="O215" s="32">
        <f t="shared" si="31"/>
        <v>1</v>
      </c>
      <c r="P215">
        <v>7</v>
      </c>
      <c r="Q215">
        <v>7</v>
      </c>
      <c r="R215" s="32">
        <f t="shared" si="32"/>
        <v>0</v>
      </c>
      <c r="S215">
        <v>6</v>
      </c>
      <c r="T215">
        <v>6</v>
      </c>
      <c r="U215" s="32">
        <f t="shared" si="33"/>
        <v>0</v>
      </c>
      <c r="V215">
        <v>7</v>
      </c>
      <c r="W215">
        <v>7</v>
      </c>
      <c r="X215" s="32">
        <f t="shared" si="34"/>
        <v>0</v>
      </c>
      <c r="Y215">
        <v>7</v>
      </c>
      <c r="Z215">
        <v>7</v>
      </c>
      <c r="AA215" s="32">
        <f t="shared" si="35"/>
        <v>0</v>
      </c>
    </row>
    <row r="216" spans="1:27" x14ac:dyDescent="0.45">
      <c r="A216">
        <v>6</v>
      </c>
      <c r="B216">
        <v>7</v>
      </c>
      <c r="C216" s="32">
        <f t="shared" si="27"/>
        <v>1</v>
      </c>
      <c r="D216">
        <v>6</v>
      </c>
      <c r="E216">
        <v>8</v>
      </c>
      <c r="F216" s="32">
        <f t="shared" si="28"/>
        <v>2</v>
      </c>
      <c r="G216">
        <v>8</v>
      </c>
      <c r="H216">
        <v>7</v>
      </c>
      <c r="I216" s="32">
        <f t="shared" si="29"/>
        <v>1</v>
      </c>
      <c r="J216">
        <v>8</v>
      </c>
      <c r="K216">
        <v>8</v>
      </c>
      <c r="L216" s="32">
        <f t="shared" si="30"/>
        <v>0</v>
      </c>
      <c r="M216">
        <v>6</v>
      </c>
      <c r="N216">
        <v>7</v>
      </c>
      <c r="O216" s="32">
        <f t="shared" si="31"/>
        <v>1</v>
      </c>
      <c r="P216">
        <v>7</v>
      </c>
      <c r="Q216">
        <v>7</v>
      </c>
      <c r="R216" s="32">
        <f t="shared" si="32"/>
        <v>0</v>
      </c>
      <c r="S216">
        <v>6</v>
      </c>
      <c r="T216">
        <v>6</v>
      </c>
      <c r="U216" s="32">
        <f t="shared" si="33"/>
        <v>0</v>
      </c>
      <c r="V216">
        <v>7</v>
      </c>
      <c r="W216">
        <v>7</v>
      </c>
      <c r="X216" s="32">
        <f t="shared" si="34"/>
        <v>0</v>
      </c>
      <c r="Y216">
        <v>7</v>
      </c>
      <c r="Z216">
        <v>7</v>
      </c>
      <c r="AA216" s="32">
        <f t="shared" si="35"/>
        <v>0</v>
      </c>
    </row>
    <row r="217" spans="1:27" x14ac:dyDescent="0.45">
      <c r="A217">
        <v>6</v>
      </c>
      <c r="B217">
        <v>7</v>
      </c>
      <c r="C217" s="32">
        <f t="shared" si="27"/>
        <v>1</v>
      </c>
      <c r="D217">
        <v>6</v>
      </c>
      <c r="E217">
        <v>8</v>
      </c>
      <c r="F217" s="32">
        <f t="shared" si="28"/>
        <v>2</v>
      </c>
      <c r="G217">
        <v>8</v>
      </c>
      <c r="H217">
        <v>7</v>
      </c>
      <c r="I217" s="32">
        <f t="shared" si="29"/>
        <v>1</v>
      </c>
      <c r="J217">
        <v>8</v>
      </c>
      <c r="K217">
        <v>8</v>
      </c>
      <c r="L217" s="32">
        <f t="shared" si="30"/>
        <v>0</v>
      </c>
      <c r="M217">
        <v>6</v>
      </c>
      <c r="N217">
        <v>7</v>
      </c>
      <c r="O217" s="32">
        <f t="shared" si="31"/>
        <v>1</v>
      </c>
      <c r="P217">
        <v>7</v>
      </c>
      <c r="Q217">
        <v>7</v>
      </c>
      <c r="R217" s="32">
        <f t="shared" si="32"/>
        <v>0</v>
      </c>
      <c r="S217">
        <v>6</v>
      </c>
      <c r="T217">
        <v>6</v>
      </c>
      <c r="U217" s="32">
        <f t="shared" si="33"/>
        <v>0</v>
      </c>
      <c r="V217">
        <v>7</v>
      </c>
      <c r="W217">
        <v>7</v>
      </c>
      <c r="X217" s="32">
        <f t="shared" si="34"/>
        <v>0</v>
      </c>
      <c r="Y217">
        <v>7</v>
      </c>
      <c r="Z217">
        <v>7</v>
      </c>
      <c r="AA217" s="32">
        <f t="shared" si="35"/>
        <v>0</v>
      </c>
    </row>
    <row r="218" spans="1:27" x14ac:dyDescent="0.45">
      <c r="A218">
        <v>6</v>
      </c>
      <c r="B218">
        <v>7</v>
      </c>
      <c r="C218" s="32">
        <f t="shared" si="27"/>
        <v>1</v>
      </c>
      <c r="D218">
        <v>6</v>
      </c>
      <c r="E218">
        <v>8</v>
      </c>
      <c r="F218" s="32">
        <f t="shared" si="28"/>
        <v>2</v>
      </c>
      <c r="G218">
        <v>8</v>
      </c>
      <c r="H218">
        <v>7</v>
      </c>
      <c r="I218" s="32">
        <f t="shared" si="29"/>
        <v>1</v>
      </c>
      <c r="J218">
        <v>8</v>
      </c>
      <c r="K218">
        <v>8</v>
      </c>
      <c r="L218" s="32">
        <f t="shared" si="30"/>
        <v>0</v>
      </c>
      <c r="M218">
        <v>6</v>
      </c>
      <c r="N218">
        <v>7</v>
      </c>
      <c r="O218" s="32">
        <f t="shared" si="31"/>
        <v>1</v>
      </c>
      <c r="P218">
        <v>7</v>
      </c>
      <c r="Q218">
        <v>7</v>
      </c>
      <c r="R218" s="32">
        <f t="shared" si="32"/>
        <v>0</v>
      </c>
      <c r="S218">
        <v>6</v>
      </c>
      <c r="T218">
        <v>6</v>
      </c>
      <c r="U218" s="32">
        <f t="shared" si="33"/>
        <v>0</v>
      </c>
      <c r="V218">
        <v>7</v>
      </c>
      <c r="W218">
        <v>7</v>
      </c>
      <c r="X218" s="32">
        <f t="shared" si="34"/>
        <v>0</v>
      </c>
      <c r="Y218">
        <v>7</v>
      </c>
      <c r="Z218">
        <v>7</v>
      </c>
      <c r="AA218" s="32">
        <f t="shared" si="35"/>
        <v>0</v>
      </c>
    </row>
    <row r="219" spans="1:27" x14ac:dyDescent="0.45">
      <c r="A219">
        <v>6</v>
      </c>
      <c r="B219">
        <v>7</v>
      </c>
      <c r="C219" s="32">
        <f t="shared" si="27"/>
        <v>1</v>
      </c>
      <c r="D219">
        <v>6</v>
      </c>
      <c r="E219">
        <v>8</v>
      </c>
      <c r="F219" s="32">
        <f t="shared" si="28"/>
        <v>2</v>
      </c>
      <c r="G219">
        <v>8</v>
      </c>
      <c r="H219">
        <v>7</v>
      </c>
      <c r="I219" s="32">
        <f t="shared" si="29"/>
        <v>1</v>
      </c>
      <c r="J219">
        <v>8</v>
      </c>
      <c r="K219">
        <v>8</v>
      </c>
      <c r="L219" s="32">
        <f t="shared" si="30"/>
        <v>0</v>
      </c>
      <c r="M219">
        <v>6</v>
      </c>
      <c r="N219">
        <v>7</v>
      </c>
      <c r="O219" s="32">
        <f t="shared" si="31"/>
        <v>1</v>
      </c>
      <c r="P219">
        <v>7</v>
      </c>
      <c r="Q219">
        <v>7</v>
      </c>
      <c r="R219" s="32">
        <f t="shared" si="32"/>
        <v>0</v>
      </c>
      <c r="S219">
        <v>6</v>
      </c>
      <c r="T219">
        <v>6</v>
      </c>
      <c r="U219" s="32">
        <f t="shared" si="33"/>
        <v>0</v>
      </c>
      <c r="V219">
        <v>7</v>
      </c>
      <c r="W219">
        <v>7</v>
      </c>
      <c r="X219" s="32">
        <f t="shared" si="34"/>
        <v>0</v>
      </c>
      <c r="Y219">
        <v>7</v>
      </c>
      <c r="Z219">
        <v>7</v>
      </c>
      <c r="AA219" s="32">
        <f t="shared" si="35"/>
        <v>0</v>
      </c>
    </row>
    <row r="220" spans="1:27" x14ac:dyDescent="0.45">
      <c r="A220">
        <v>6</v>
      </c>
      <c r="B220">
        <v>7</v>
      </c>
      <c r="C220" s="32">
        <f t="shared" si="27"/>
        <v>1</v>
      </c>
      <c r="D220">
        <v>6</v>
      </c>
      <c r="E220">
        <v>8</v>
      </c>
      <c r="F220" s="32">
        <f t="shared" si="28"/>
        <v>2</v>
      </c>
      <c r="G220">
        <v>8</v>
      </c>
      <c r="H220">
        <v>7</v>
      </c>
      <c r="I220" s="32">
        <f t="shared" si="29"/>
        <v>1</v>
      </c>
      <c r="J220">
        <v>8</v>
      </c>
      <c r="K220">
        <v>8</v>
      </c>
      <c r="L220" s="32">
        <f t="shared" si="30"/>
        <v>0</v>
      </c>
      <c r="M220">
        <v>6</v>
      </c>
      <c r="N220">
        <v>7</v>
      </c>
      <c r="O220" s="32">
        <f t="shared" si="31"/>
        <v>1</v>
      </c>
      <c r="P220">
        <v>7</v>
      </c>
      <c r="Q220">
        <v>7</v>
      </c>
      <c r="R220" s="32">
        <f t="shared" si="32"/>
        <v>0</v>
      </c>
      <c r="S220">
        <v>6</v>
      </c>
      <c r="T220">
        <v>6</v>
      </c>
      <c r="U220" s="32">
        <f t="shared" si="33"/>
        <v>0</v>
      </c>
      <c r="V220">
        <v>7</v>
      </c>
      <c r="W220">
        <v>7</v>
      </c>
      <c r="X220" s="32">
        <f t="shared" si="34"/>
        <v>0</v>
      </c>
      <c r="Y220">
        <v>7</v>
      </c>
      <c r="Z220">
        <v>7</v>
      </c>
      <c r="AA220" s="32">
        <f t="shared" si="35"/>
        <v>0</v>
      </c>
    </row>
    <row r="221" spans="1:27" x14ac:dyDescent="0.45">
      <c r="A221">
        <v>6</v>
      </c>
      <c r="B221">
        <v>7</v>
      </c>
      <c r="C221" s="32">
        <f t="shared" si="27"/>
        <v>1</v>
      </c>
      <c r="D221">
        <v>6</v>
      </c>
      <c r="E221">
        <v>8</v>
      </c>
      <c r="F221" s="32">
        <f t="shared" si="28"/>
        <v>2</v>
      </c>
      <c r="G221">
        <v>8</v>
      </c>
      <c r="H221">
        <v>7</v>
      </c>
      <c r="I221" s="32">
        <f t="shared" si="29"/>
        <v>1</v>
      </c>
      <c r="J221">
        <v>8</v>
      </c>
      <c r="K221">
        <v>8</v>
      </c>
      <c r="L221" s="32">
        <f t="shared" si="30"/>
        <v>0</v>
      </c>
      <c r="M221">
        <v>6</v>
      </c>
      <c r="N221">
        <v>7</v>
      </c>
      <c r="O221" s="32">
        <f t="shared" si="31"/>
        <v>1</v>
      </c>
      <c r="P221">
        <v>7</v>
      </c>
      <c r="Q221">
        <v>7</v>
      </c>
      <c r="R221" s="32">
        <f t="shared" si="32"/>
        <v>0</v>
      </c>
      <c r="S221">
        <v>6</v>
      </c>
      <c r="T221">
        <v>6</v>
      </c>
      <c r="U221" s="32">
        <f t="shared" si="33"/>
        <v>0</v>
      </c>
      <c r="V221">
        <v>7</v>
      </c>
      <c r="W221">
        <v>7</v>
      </c>
      <c r="X221" s="32">
        <f t="shared" si="34"/>
        <v>0</v>
      </c>
      <c r="Y221">
        <v>7</v>
      </c>
      <c r="Z221">
        <v>7</v>
      </c>
      <c r="AA221" s="32">
        <f t="shared" si="35"/>
        <v>0</v>
      </c>
    </row>
    <row r="222" spans="1:27" x14ac:dyDescent="0.45">
      <c r="A222">
        <v>6</v>
      </c>
      <c r="B222">
        <v>7</v>
      </c>
      <c r="C222" s="32">
        <f t="shared" si="27"/>
        <v>1</v>
      </c>
      <c r="D222">
        <v>6</v>
      </c>
      <c r="E222">
        <v>8</v>
      </c>
      <c r="F222" s="32">
        <f t="shared" si="28"/>
        <v>2</v>
      </c>
      <c r="G222">
        <v>8</v>
      </c>
      <c r="H222">
        <v>7</v>
      </c>
      <c r="I222" s="32">
        <f t="shared" si="29"/>
        <v>1</v>
      </c>
      <c r="J222">
        <v>8</v>
      </c>
      <c r="K222">
        <v>8</v>
      </c>
      <c r="L222" s="32">
        <f t="shared" si="30"/>
        <v>0</v>
      </c>
      <c r="M222">
        <v>6</v>
      </c>
      <c r="N222">
        <v>7</v>
      </c>
      <c r="O222" s="32">
        <f t="shared" si="31"/>
        <v>1</v>
      </c>
      <c r="P222">
        <v>7</v>
      </c>
      <c r="Q222">
        <v>7</v>
      </c>
      <c r="R222" s="32">
        <f t="shared" si="32"/>
        <v>0</v>
      </c>
      <c r="S222">
        <v>6</v>
      </c>
      <c r="T222">
        <v>6</v>
      </c>
      <c r="U222" s="32">
        <f t="shared" si="33"/>
        <v>0</v>
      </c>
      <c r="V222">
        <v>7</v>
      </c>
      <c r="W222">
        <v>7</v>
      </c>
      <c r="X222" s="32">
        <f t="shared" si="34"/>
        <v>0</v>
      </c>
      <c r="Y222">
        <v>7</v>
      </c>
      <c r="Z222">
        <v>7</v>
      </c>
      <c r="AA222" s="32">
        <f t="shared" si="35"/>
        <v>0</v>
      </c>
    </row>
    <row r="223" spans="1:27" x14ac:dyDescent="0.45">
      <c r="A223">
        <v>6</v>
      </c>
      <c r="B223">
        <v>7</v>
      </c>
      <c r="C223" s="32">
        <f t="shared" si="27"/>
        <v>1</v>
      </c>
      <c r="D223">
        <v>6</v>
      </c>
      <c r="E223">
        <v>8</v>
      </c>
      <c r="F223" s="32">
        <f t="shared" si="28"/>
        <v>2</v>
      </c>
      <c r="G223">
        <v>8</v>
      </c>
      <c r="H223">
        <v>7</v>
      </c>
      <c r="I223" s="32">
        <f t="shared" si="29"/>
        <v>1</v>
      </c>
      <c r="J223">
        <v>8</v>
      </c>
      <c r="K223">
        <v>8</v>
      </c>
      <c r="L223" s="32">
        <f t="shared" si="30"/>
        <v>0</v>
      </c>
      <c r="M223">
        <v>6</v>
      </c>
      <c r="N223">
        <v>7</v>
      </c>
      <c r="O223" s="32">
        <f t="shared" si="31"/>
        <v>1</v>
      </c>
      <c r="P223">
        <v>7</v>
      </c>
      <c r="Q223">
        <v>7</v>
      </c>
      <c r="R223" s="32">
        <f t="shared" si="32"/>
        <v>0</v>
      </c>
      <c r="S223">
        <v>6</v>
      </c>
      <c r="T223">
        <v>6</v>
      </c>
      <c r="U223" s="32">
        <f t="shared" si="33"/>
        <v>0</v>
      </c>
      <c r="V223">
        <v>7</v>
      </c>
      <c r="W223">
        <v>7</v>
      </c>
      <c r="X223" s="32">
        <f t="shared" si="34"/>
        <v>0</v>
      </c>
      <c r="Y223">
        <v>7</v>
      </c>
      <c r="Z223">
        <v>7</v>
      </c>
      <c r="AA223" s="32">
        <f t="shared" si="35"/>
        <v>0</v>
      </c>
    </row>
    <row r="224" spans="1:27" x14ac:dyDescent="0.45">
      <c r="A224">
        <v>6</v>
      </c>
      <c r="B224">
        <v>7</v>
      </c>
      <c r="C224" s="32">
        <f t="shared" si="27"/>
        <v>1</v>
      </c>
      <c r="D224">
        <v>6</v>
      </c>
      <c r="E224">
        <v>8</v>
      </c>
      <c r="F224" s="32">
        <f t="shared" si="28"/>
        <v>2</v>
      </c>
      <c r="G224">
        <v>8</v>
      </c>
      <c r="H224">
        <v>7</v>
      </c>
      <c r="I224" s="32">
        <f t="shared" si="29"/>
        <v>1</v>
      </c>
      <c r="J224">
        <v>8</v>
      </c>
      <c r="K224">
        <v>8</v>
      </c>
      <c r="L224" s="32">
        <f t="shared" si="30"/>
        <v>0</v>
      </c>
      <c r="M224">
        <v>6</v>
      </c>
      <c r="N224">
        <v>7</v>
      </c>
      <c r="O224" s="32">
        <f t="shared" si="31"/>
        <v>1</v>
      </c>
      <c r="P224">
        <v>7</v>
      </c>
      <c r="Q224">
        <v>7</v>
      </c>
      <c r="R224" s="32">
        <f t="shared" si="32"/>
        <v>0</v>
      </c>
      <c r="S224">
        <v>6</v>
      </c>
      <c r="T224">
        <v>6</v>
      </c>
      <c r="U224" s="32">
        <f t="shared" si="33"/>
        <v>0</v>
      </c>
      <c r="V224">
        <v>7</v>
      </c>
      <c r="W224">
        <v>7</v>
      </c>
      <c r="X224" s="32">
        <f t="shared" si="34"/>
        <v>0</v>
      </c>
      <c r="Y224">
        <v>7</v>
      </c>
      <c r="Z224">
        <v>7</v>
      </c>
      <c r="AA224" s="32">
        <f t="shared" si="35"/>
        <v>0</v>
      </c>
    </row>
    <row r="225" spans="1:27" x14ac:dyDescent="0.45">
      <c r="A225">
        <v>6</v>
      </c>
      <c r="B225">
        <v>7</v>
      </c>
      <c r="C225" s="32">
        <f t="shared" si="27"/>
        <v>1</v>
      </c>
      <c r="D225">
        <v>6</v>
      </c>
      <c r="E225">
        <v>8</v>
      </c>
      <c r="F225" s="32">
        <f t="shared" si="28"/>
        <v>2</v>
      </c>
      <c r="G225">
        <v>8</v>
      </c>
      <c r="H225">
        <v>7</v>
      </c>
      <c r="I225" s="32">
        <f t="shared" si="29"/>
        <v>1</v>
      </c>
      <c r="J225">
        <v>8</v>
      </c>
      <c r="K225">
        <v>8</v>
      </c>
      <c r="L225" s="32">
        <f t="shared" si="30"/>
        <v>0</v>
      </c>
      <c r="M225">
        <v>6</v>
      </c>
      <c r="N225">
        <v>7</v>
      </c>
      <c r="O225" s="32">
        <f t="shared" si="31"/>
        <v>1</v>
      </c>
      <c r="P225">
        <v>7</v>
      </c>
      <c r="Q225">
        <v>7</v>
      </c>
      <c r="R225" s="32">
        <f t="shared" si="32"/>
        <v>0</v>
      </c>
      <c r="S225">
        <v>6</v>
      </c>
      <c r="T225">
        <v>6</v>
      </c>
      <c r="U225" s="32">
        <f t="shared" si="33"/>
        <v>0</v>
      </c>
      <c r="V225">
        <v>7</v>
      </c>
      <c r="W225">
        <v>7</v>
      </c>
      <c r="X225" s="32">
        <f t="shared" si="34"/>
        <v>0</v>
      </c>
      <c r="Y225">
        <v>7</v>
      </c>
      <c r="Z225">
        <v>7</v>
      </c>
      <c r="AA225" s="32">
        <f t="shared" si="35"/>
        <v>0</v>
      </c>
    </row>
    <row r="226" spans="1:27" x14ac:dyDescent="0.45">
      <c r="A226">
        <v>6</v>
      </c>
      <c r="B226">
        <v>7</v>
      </c>
      <c r="C226" s="32">
        <f t="shared" si="27"/>
        <v>1</v>
      </c>
      <c r="D226">
        <v>6</v>
      </c>
      <c r="E226">
        <v>8</v>
      </c>
      <c r="F226" s="32">
        <f t="shared" si="28"/>
        <v>2</v>
      </c>
      <c r="G226">
        <v>8</v>
      </c>
      <c r="H226">
        <v>7</v>
      </c>
      <c r="I226" s="32">
        <f t="shared" si="29"/>
        <v>1</v>
      </c>
      <c r="J226">
        <v>8</v>
      </c>
      <c r="K226">
        <v>8</v>
      </c>
      <c r="L226" s="32">
        <f t="shared" si="30"/>
        <v>0</v>
      </c>
      <c r="M226">
        <v>6</v>
      </c>
      <c r="N226">
        <v>7</v>
      </c>
      <c r="O226" s="32">
        <f t="shared" si="31"/>
        <v>1</v>
      </c>
      <c r="P226">
        <v>7</v>
      </c>
      <c r="Q226">
        <v>7</v>
      </c>
      <c r="R226" s="32">
        <f t="shared" si="32"/>
        <v>0</v>
      </c>
      <c r="S226">
        <v>6</v>
      </c>
      <c r="T226">
        <v>6</v>
      </c>
      <c r="U226" s="32">
        <f t="shared" si="33"/>
        <v>0</v>
      </c>
      <c r="V226">
        <v>7</v>
      </c>
      <c r="W226">
        <v>7</v>
      </c>
      <c r="X226" s="32">
        <f t="shared" si="34"/>
        <v>0</v>
      </c>
      <c r="Y226">
        <v>7</v>
      </c>
      <c r="Z226">
        <v>7</v>
      </c>
      <c r="AA226" s="32">
        <f t="shared" si="35"/>
        <v>0</v>
      </c>
    </row>
    <row r="227" spans="1:27" x14ac:dyDescent="0.45">
      <c r="A227">
        <v>6</v>
      </c>
      <c r="B227">
        <v>7</v>
      </c>
      <c r="C227" s="32">
        <f t="shared" si="27"/>
        <v>1</v>
      </c>
      <c r="D227">
        <v>6</v>
      </c>
      <c r="E227">
        <v>8</v>
      </c>
      <c r="F227" s="32">
        <f t="shared" si="28"/>
        <v>2</v>
      </c>
      <c r="G227">
        <v>8</v>
      </c>
      <c r="H227">
        <v>7</v>
      </c>
      <c r="I227" s="32">
        <f t="shared" si="29"/>
        <v>1</v>
      </c>
      <c r="J227">
        <v>8</v>
      </c>
      <c r="K227">
        <v>8</v>
      </c>
      <c r="L227" s="32">
        <f t="shared" si="30"/>
        <v>0</v>
      </c>
      <c r="M227">
        <v>6</v>
      </c>
      <c r="N227">
        <v>7</v>
      </c>
      <c r="O227" s="32">
        <f t="shared" si="31"/>
        <v>1</v>
      </c>
      <c r="P227">
        <v>7</v>
      </c>
      <c r="Q227">
        <v>7</v>
      </c>
      <c r="R227" s="32">
        <f t="shared" si="32"/>
        <v>0</v>
      </c>
      <c r="S227">
        <v>6</v>
      </c>
      <c r="T227">
        <v>6</v>
      </c>
      <c r="U227" s="32">
        <f t="shared" si="33"/>
        <v>0</v>
      </c>
      <c r="V227">
        <v>7</v>
      </c>
      <c r="W227">
        <v>7</v>
      </c>
      <c r="X227" s="32">
        <f t="shared" si="34"/>
        <v>0</v>
      </c>
      <c r="Y227">
        <v>7</v>
      </c>
      <c r="Z227">
        <v>7</v>
      </c>
      <c r="AA227" s="32">
        <f t="shared" si="35"/>
        <v>0</v>
      </c>
    </row>
    <row r="228" spans="1:27" x14ac:dyDescent="0.45">
      <c r="A228">
        <v>6</v>
      </c>
      <c r="B228">
        <v>7</v>
      </c>
      <c r="C228" s="32">
        <f t="shared" si="27"/>
        <v>1</v>
      </c>
      <c r="D228">
        <v>6</v>
      </c>
      <c r="E228">
        <v>8</v>
      </c>
      <c r="F228" s="32">
        <f t="shared" si="28"/>
        <v>2</v>
      </c>
      <c r="G228">
        <v>8</v>
      </c>
      <c r="H228">
        <v>7</v>
      </c>
      <c r="I228" s="32">
        <f t="shared" si="29"/>
        <v>1</v>
      </c>
      <c r="J228">
        <v>8</v>
      </c>
      <c r="K228">
        <v>8</v>
      </c>
      <c r="L228" s="32">
        <f t="shared" si="30"/>
        <v>0</v>
      </c>
      <c r="M228">
        <v>6</v>
      </c>
      <c r="N228">
        <v>7</v>
      </c>
      <c r="O228" s="32">
        <f t="shared" si="31"/>
        <v>1</v>
      </c>
      <c r="P228">
        <v>7</v>
      </c>
      <c r="Q228">
        <v>7</v>
      </c>
      <c r="R228" s="32">
        <f t="shared" si="32"/>
        <v>0</v>
      </c>
      <c r="S228">
        <v>6</v>
      </c>
      <c r="T228">
        <v>6</v>
      </c>
      <c r="U228" s="32">
        <f t="shared" si="33"/>
        <v>0</v>
      </c>
      <c r="V228">
        <v>7</v>
      </c>
      <c r="W228">
        <v>7</v>
      </c>
      <c r="X228" s="32">
        <f t="shared" si="34"/>
        <v>0</v>
      </c>
      <c r="Y228">
        <v>7</v>
      </c>
      <c r="Z228">
        <v>7</v>
      </c>
      <c r="AA228" s="32">
        <f t="shared" si="35"/>
        <v>0</v>
      </c>
    </row>
    <row r="229" spans="1:27" x14ac:dyDescent="0.45">
      <c r="A229">
        <v>6</v>
      </c>
      <c r="B229">
        <v>7</v>
      </c>
      <c r="C229" s="32">
        <f t="shared" si="27"/>
        <v>1</v>
      </c>
      <c r="D229">
        <v>6</v>
      </c>
      <c r="E229">
        <v>8</v>
      </c>
      <c r="F229" s="32">
        <f t="shared" si="28"/>
        <v>2</v>
      </c>
      <c r="G229">
        <v>8</v>
      </c>
      <c r="H229">
        <v>7</v>
      </c>
      <c r="I229" s="32">
        <f t="shared" si="29"/>
        <v>1</v>
      </c>
      <c r="J229">
        <v>8</v>
      </c>
      <c r="K229">
        <v>8</v>
      </c>
      <c r="L229" s="32">
        <f t="shared" si="30"/>
        <v>0</v>
      </c>
      <c r="M229">
        <v>6</v>
      </c>
      <c r="N229">
        <v>7</v>
      </c>
      <c r="O229" s="32">
        <f t="shared" si="31"/>
        <v>1</v>
      </c>
      <c r="P229">
        <v>7</v>
      </c>
      <c r="Q229">
        <v>7</v>
      </c>
      <c r="R229" s="32">
        <f t="shared" si="32"/>
        <v>0</v>
      </c>
      <c r="S229">
        <v>6</v>
      </c>
      <c r="T229">
        <v>6</v>
      </c>
      <c r="U229" s="32">
        <f t="shared" si="33"/>
        <v>0</v>
      </c>
      <c r="V229">
        <v>7</v>
      </c>
      <c r="W229">
        <v>7</v>
      </c>
      <c r="X229" s="32">
        <f t="shared" si="34"/>
        <v>0</v>
      </c>
      <c r="Y229">
        <v>7</v>
      </c>
      <c r="Z229">
        <v>7</v>
      </c>
      <c r="AA229" s="32">
        <f t="shared" si="35"/>
        <v>0</v>
      </c>
    </row>
    <row r="230" spans="1:27" x14ac:dyDescent="0.45">
      <c r="A230">
        <v>6</v>
      </c>
      <c r="B230">
        <v>7</v>
      </c>
      <c r="C230" s="32">
        <f t="shared" si="27"/>
        <v>1</v>
      </c>
      <c r="D230">
        <v>6</v>
      </c>
      <c r="E230">
        <v>8</v>
      </c>
      <c r="F230" s="32">
        <f t="shared" si="28"/>
        <v>2</v>
      </c>
      <c r="G230">
        <v>8</v>
      </c>
      <c r="H230">
        <v>7</v>
      </c>
      <c r="I230" s="32">
        <f t="shared" si="29"/>
        <v>1</v>
      </c>
      <c r="J230">
        <v>8</v>
      </c>
      <c r="K230">
        <v>8</v>
      </c>
      <c r="L230" s="32">
        <f t="shared" si="30"/>
        <v>0</v>
      </c>
      <c r="M230">
        <v>6</v>
      </c>
      <c r="N230">
        <v>7</v>
      </c>
      <c r="O230" s="32">
        <f t="shared" si="31"/>
        <v>1</v>
      </c>
      <c r="P230">
        <v>7</v>
      </c>
      <c r="Q230">
        <v>7</v>
      </c>
      <c r="R230" s="32">
        <f t="shared" si="32"/>
        <v>0</v>
      </c>
      <c r="S230">
        <v>6</v>
      </c>
      <c r="T230">
        <v>6</v>
      </c>
      <c r="U230" s="32">
        <f t="shared" si="33"/>
        <v>0</v>
      </c>
      <c r="V230">
        <v>7</v>
      </c>
      <c r="W230">
        <v>7</v>
      </c>
      <c r="X230" s="32">
        <f t="shared" si="34"/>
        <v>0</v>
      </c>
      <c r="Y230">
        <v>7</v>
      </c>
      <c r="Z230">
        <v>7</v>
      </c>
      <c r="AA230" s="32">
        <f t="shared" si="35"/>
        <v>0</v>
      </c>
    </row>
    <row r="231" spans="1:27" x14ac:dyDescent="0.45">
      <c r="A231">
        <v>6</v>
      </c>
      <c r="B231">
        <v>7</v>
      </c>
      <c r="C231" s="32">
        <f t="shared" si="27"/>
        <v>1</v>
      </c>
      <c r="D231">
        <v>6</v>
      </c>
      <c r="E231">
        <v>8</v>
      </c>
      <c r="F231" s="32">
        <f t="shared" si="28"/>
        <v>2</v>
      </c>
      <c r="G231">
        <v>8</v>
      </c>
      <c r="H231">
        <v>7</v>
      </c>
      <c r="I231" s="32">
        <f t="shared" si="29"/>
        <v>1</v>
      </c>
      <c r="J231">
        <v>8</v>
      </c>
      <c r="K231">
        <v>8</v>
      </c>
      <c r="L231" s="32">
        <f t="shared" si="30"/>
        <v>0</v>
      </c>
      <c r="M231">
        <v>6</v>
      </c>
      <c r="N231">
        <v>7</v>
      </c>
      <c r="O231" s="32">
        <f t="shared" si="31"/>
        <v>1</v>
      </c>
      <c r="P231">
        <v>7</v>
      </c>
      <c r="Q231">
        <v>7</v>
      </c>
      <c r="R231" s="32">
        <f t="shared" si="32"/>
        <v>0</v>
      </c>
      <c r="S231">
        <v>6</v>
      </c>
      <c r="T231">
        <v>6</v>
      </c>
      <c r="U231" s="32">
        <f t="shared" si="33"/>
        <v>0</v>
      </c>
      <c r="V231">
        <v>7</v>
      </c>
      <c r="W231">
        <v>7</v>
      </c>
      <c r="X231" s="32">
        <f t="shared" si="34"/>
        <v>0</v>
      </c>
      <c r="Y231">
        <v>7</v>
      </c>
      <c r="Z231">
        <v>8</v>
      </c>
      <c r="AA231" s="32">
        <f t="shared" si="35"/>
        <v>1</v>
      </c>
    </row>
    <row r="232" spans="1:27" x14ac:dyDescent="0.45">
      <c r="A232">
        <v>6</v>
      </c>
      <c r="B232">
        <v>7</v>
      </c>
      <c r="C232" s="32">
        <f t="shared" si="27"/>
        <v>1</v>
      </c>
      <c r="D232">
        <v>6</v>
      </c>
      <c r="E232">
        <v>8</v>
      </c>
      <c r="F232" s="32">
        <f t="shared" si="28"/>
        <v>2</v>
      </c>
      <c r="G232">
        <v>8</v>
      </c>
      <c r="H232">
        <v>7</v>
      </c>
      <c r="I232" s="32">
        <f t="shared" si="29"/>
        <v>1</v>
      </c>
      <c r="J232">
        <v>8</v>
      </c>
      <c r="K232">
        <v>8</v>
      </c>
      <c r="L232" s="32">
        <f t="shared" si="30"/>
        <v>0</v>
      </c>
      <c r="M232">
        <v>6</v>
      </c>
      <c r="N232">
        <v>7</v>
      </c>
      <c r="O232" s="32">
        <f t="shared" si="31"/>
        <v>1</v>
      </c>
      <c r="P232">
        <v>7</v>
      </c>
      <c r="Q232">
        <v>7</v>
      </c>
      <c r="R232" s="32">
        <f t="shared" si="32"/>
        <v>0</v>
      </c>
      <c r="S232">
        <v>6</v>
      </c>
      <c r="T232">
        <v>6</v>
      </c>
      <c r="U232" s="32">
        <f t="shared" si="33"/>
        <v>0</v>
      </c>
      <c r="V232">
        <v>7</v>
      </c>
      <c r="W232">
        <v>7</v>
      </c>
      <c r="X232" s="32">
        <f t="shared" si="34"/>
        <v>0</v>
      </c>
      <c r="Y232">
        <v>7</v>
      </c>
      <c r="Z232">
        <v>8</v>
      </c>
      <c r="AA232" s="32">
        <f t="shared" si="35"/>
        <v>1</v>
      </c>
    </row>
    <row r="233" spans="1:27" x14ac:dyDescent="0.45">
      <c r="A233">
        <v>6</v>
      </c>
      <c r="B233">
        <v>7</v>
      </c>
      <c r="C233" s="32">
        <f t="shared" si="27"/>
        <v>1</v>
      </c>
      <c r="D233">
        <v>6</v>
      </c>
      <c r="E233">
        <v>8</v>
      </c>
      <c r="F233" s="32">
        <f t="shared" si="28"/>
        <v>2</v>
      </c>
      <c r="G233">
        <v>8</v>
      </c>
      <c r="H233">
        <v>7</v>
      </c>
      <c r="I233" s="32">
        <f t="shared" si="29"/>
        <v>1</v>
      </c>
      <c r="J233">
        <v>8</v>
      </c>
      <c r="K233">
        <v>8</v>
      </c>
      <c r="L233" s="32">
        <f t="shared" si="30"/>
        <v>0</v>
      </c>
      <c r="M233">
        <v>6</v>
      </c>
      <c r="N233">
        <v>7</v>
      </c>
      <c r="O233" s="32">
        <f t="shared" si="31"/>
        <v>1</v>
      </c>
      <c r="P233">
        <v>7</v>
      </c>
      <c r="Q233">
        <v>7</v>
      </c>
      <c r="R233" s="32">
        <f t="shared" si="32"/>
        <v>0</v>
      </c>
      <c r="S233">
        <v>6</v>
      </c>
      <c r="T233">
        <v>6</v>
      </c>
      <c r="U233" s="32">
        <f t="shared" si="33"/>
        <v>0</v>
      </c>
      <c r="V233">
        <v>7</v>
      </c>
      <c r="W233">
        <v>7</v>
      </c>
      <c r="X233" s="32">
        <f t="shared" si="34"/>
        <v>0</v>
      </c>
      <c r="Y233">
        <v>7</v>
      </c>
      <c r="Z233">
        <v>8</v>
      </c>
      <c r="AA233" s="32">
        <f t="shared" si="35"/>
        <v>1</v>
      </c>
    </row>
    <row r="234" spans="1:27" x14ac:dyDescent="0.45">
      <c r="A234">
        <v>6</v>
      </c>
      <c r="B234">
        <v>7</v>
      </c>
      <c r="C234" s="32">
        <f t="shared" si="27"/>
        <v>1</v>
      </c>
      <c r="D234">
        <v>6</v>
      </c>
      <c r="E234">
        <v>8</v>
      </c>
      <c r="F234" s="32">
        <f t="shared" si="28"/>
        <v>2</v>
      </c>
      <c r="G234">
        <v>8</v>
      </c>
      <c r="H234">
        <v>7</v>
      </c>
      <c r="I234" s="32">
        <f t="shared" si="29"/>
        <v>1</v>
      </c>
      <c r="J234">
        <v>8</v>
      </c>
      <c r="K234">
        <v>8</v>
      </c>
      <c r="L234" s="32">
        <f t="shared" si="30"/>
        <v>0</v>
      </c>
      <c r="M234">
        <v>6</v>
      </c>
      <c r="N234">
        <v>7</v>
      </c>
      <c r="O234" s="32">
        <f t="shared" si="31"/>
        <v>1</v>
      </c>
      <c r="P234">
        <v>7</v>
      </c>
      <c r="Q234">
        <v>7</v>
      </c>
      <c r="R234" s="32">
        <f t="shared" si="32"/>
        <v>0</v>
      </c>
      <c r="S234">
        <v>6</v>
      </c>
      <c r="T234">
        <v>6</v>
      </c>
      <c r="U234" s="32">
        <f t="shared" si="33"/>
        <v>0</v>
      </c>
      <c r="V234">
        <v>7</v>
      </c>
      <c r="W234">
        <v>7</v>
      </c>
      <c r="X234" s="32">
        <f t="shared" si="34"/>
        <v>0</v>
      </c>
      <c r="Y234">
        <v>7</v>
      </c>
      <c r="Z234">
        <v>8</v>
      </c>
      <c r="AA234" s="32">
        <f t="shared" si="35"/>
        <v>1</v>
      </c>
    </row>
    <row r="235" spans="1:27" x14ac:dyDescent="0.45">
      <c r="A235">
        <v>6</v>
      </c>
      <c r="B235">
        <v>7</v>
      </c>
      <c r="C235" s="32">
        <f t="shared" si="27"/>
        <v>1</v>
      </c>
      <c r="D235">
        <v>6</v>
      </c>
      <c r="E235">
        <v>8</v>
      </c>
      <c r="F235" s="32">
        <f t="shared" si="28"/>
        <v>2</v>
      </c>
      <c r="G235">
        <v>8</v>
      </c>
      <c r="H235">
        <v>7</v>
      </c>
      <c r="I235" s="32">
        <f t="shared" si="29"/>
        <v>1</v>
      </c>
      <c r="J235">
        <v>8</v>
      </c>
      <c r="K235">
        <v>8</v>
      </c>
      <c r="L235" s="32">
        <f t="shared" si="30"/>
        <v>0</v>
      </c>
      <c r="M235">
        <v>6</v>
      </c>
      <c r="N235">
        <v>7</v>
      </c>
      <c r="O235" s="32">
        <f t="shared" si="31"/>
        <v>1</v>
      </c>
      <c r="P235">
        <v>7</v>
      </c>
      <c r="Q235">
        <v>7</v>
      </c>
      <c r="R235" s="32">
        <f t="shared" si="32"/>
        <v>0</v>
      </c>
      <c r="S235">
        <v>6</v>
      </c>
      <c r="T235">
        <v>6</v>
      </c>
      <c r="U235" s="32">
        <f t="shared" si="33"/>
        <v>0</v>
      </c>
      <c r="V235">
        <v>7</v>
      </c>
      <c r="W235">
        <v>7</v>
      </c>
      <c r="X235" s="32">
        <f t="shared" si="34"/>
        <v>0</v>
      </c>
      <c r="Y235">
        <v>7</v>
      </c>
      <c r="Z235">
        <v>8</v>
      </c>
      <c r="AA235" s="32">
        <f t="shared" si="35"/>
        <v>1</v>
      </c>
    </row>
    <row r="236" spans="1:27" x14ac:dyDescent="0.45">
      <c r="A236">
        <v>6</v>
      </c>
      <c r="B236">
        <v>7</v>
      </c>
      <c r="C236" s="32">
        <f t="shared" si="27"/>
        <v>1</v>
      </c>
      <c r="D236">
        <v>6</v>
      </c>
      <c r="E236">
        <v>8</v>
      </c>
      <c r="F236" s="32">
        <f t="shared" si="28"/>
        <v>2</v>
      </c>
      <c r="G236">
        <v>8</v>
      </c>
      <c r="H236">
        <v>7</v>
      </c>
      <c r="I236" s="32">
        <f t="shared" si="29"/>
        <v>1</v>
      </c>
      <c r="J236">
        <v>8</v>
      </c>
      <c r="K236">
        <v>8</v>
      </c>
      <c r="L236" s="32">
        <f t="shared" si="30"/>
        <v>0</v>
      </c>
      <c r="M236">
        <v>6</v>
      </c>
      <c r="N236">
        <v>7</v>
      </c>
      <c r="O236" s="32">
        <f t="shared" si="31"/>
        <v>1</v>
      </c>
      <c r="P236">
        <v>7</v>
      </c>
      <c r="Q236">
        <v>7</v>
      </c>
      <c r="R236" s="32">
        <f t="shared" si="32"/>
        <v>0</v>
      </c>
      <c r="S236">
        <v>6</v>
      </c>
      <c r="T236">
        <v>6</v>
      </c>
      <c r="U236" s="32">
        <f t="shared" si="33"/>
        <v>0</v>
      </c>
      <c r="V236">
        <v>7</v>
      </c>
      <c r="W236">
        <v>7</v>
      </c>
      <c r="X236" s="32">
        <f t="shared" si="34"/>
        <v>0</v>
      </c>
      <c r="Y236">
        <v>7</v>
      </c>
      <c r="Z236">
        <v>8</v>
      </c>
      <c r="AA236" s="32">
        <f t="shared" si="35"/>
        <v>1</v>
      </c>
    </row>
    <row r="237" spans="1:27" x14ac:dyDescent="0.45">
      <c r="A237">
        <v>6</v>
      </c>
      <c r="B237">
        <v>8</v>
      </c>
      <c r="C237" s="32">
        <f t="shared" si="27"/>
        <v>2</v>
      </c>
      <c r="D237">
        <v>6</v>
      </c>
      <c r="E237">
        <v>8</v>
      </c>
      <c r="F237" s="32">
        <f t="shared" si="28"/>
        <v>2</v>
      </c>
      <c r="G237">
        <v>8</v>
      </c>
      <c r="H237">
        <v>7</v>
      </c>
      <c r="I237" s="32">
        <f t="shared" si="29"/>
        <v>1</v>
      </c>
      <c r="J237">
        <v>8</v>
      </c>
      <c r="K237">
        <v>8</v>
      </c>
      <c r="L237" s="32">
        <f t="shared" si="30"/>
        <v>0</v>
      </c>
      <c r="M237">
        <v>7</v>
      </c>
      <c r="N237">
        <v>7</v>
      </c>
      <c r="O237" s="32">
        <f t="shared" si="31"/>
        <v>0</v>
      </c>
      <c r="P237">
        <v>7</v>
      </c>
      <c r="Q237">
        <v>7</v>
      </c>
      <c r="R237" s="32">
        <f t="shared" si="32"/>
        <v>0</v>
      </c>
      <c r="S237">
        <v>6</v>
      </c>
      <c r="T237">
        <v>6</v>
      </c>
      <c r="U237" s="32">
        <f t="shared" si="33"/>
        <v>0</v>
      </c>
      <c r="V237">
        <v>7</v>
      </c>
      <c r="W237">
        <v>7</v>
      </c>
      <c r="X237" s="32">
        <f t="shared" si="34"/>
        <v>0</v>
      </c>
      <c r="Y237">
        <v>7</v>
      </c>
      <c r="Z237">
        <v>8</v>
      </c>
      <c r="AA237" s="32">
        <f t="shared" si="35"/>
        <v>1</v>
      </c>
    </row>
    <row r="238" spans="1:27" x14ac:dyDescent="0.45">
      <c r="A238">
        <v>6</v>
      </c>
      <c r="B238">
        <v>8</v>
      </c>
      <c r="C238" s="32">
        <f t="shared" si="27"/>
        <v>2</v>
      </c>
      <c r="D238">
        <v>6</v>
      </c>
      <c r="E238">
        <v>8</v>
      </c>
      <c r="F238" s="32">
        <f t="shared" si="28"/>
        <v>2</v>
      </c>
      <c r="G238">
        <v>8</v>
      </c>
      <c r="H238">
        <v>7</v>
      </c>
      <c r="I238" s="32">
        <f t="shared" si="29"/>
        <v>1</v>
      </c>
      <c r="J238">
        <v>8</v>
      </c>
      <c r="K238">
        <v>8</v>
      </c>
      <c r="L238" s="32">
        <f t="shared" si="30"/>
        <v>0</v>
      </c>
      <c r="M238">
        <v>7</v>
      </c>
      <c r="N238">
        <v>7</v>
      </c>
      <c r="O238" s="32">
        <f t="shared" si="31"/>
        <v>0</v>
      </c>
      <c r="P238">
        <v>7</v>
      </c>
      <c r="Q238">
        <v>7</v>
      </c>
      <c r="R238" s="32">
        <f t="shared" si="32"/>
        <v>0</v>
      </c>
      <c r="S238">
        <v>6</v>
      </c>
      <c r="T238">
        <v>7</v>
      </c>
      <c r="U238" s="32">
        <f t="shared" si="33"/>
        <v>1</v>
      </c>
      <c r="V238">
        <v>7</v>
      </c>
      <c r="W238">
        <v>7</v>
      </c>
      <c r="X238" s="32">
        <f t="shared" si="34"/>
        <v>0</v>
      </c>
      <c r="Y238">
        <v>7</v>
      </c>
      <c r="Z238">
        <v>8</v>
      </c>
      <c r="AA238" s="32">
        <f t="shared" si="35"/>
        <v>1</v>
      </c>
    </row>
    <row r="239" spans="1:27" x14ac:dyDescent="0.45">
      <c r="A239">
        <v>6</v>
      </c>
      <c r="B239">
        <v>8</v>
      </c>
      <c r="C239" s="32">
        <f t="shared" si="27"/>
        <v>2</v>
      </c>
      <c r="D239">
        <v>6</v>
      </c>
      <c r="E239">
        <v>8</v>
      </c>
      <c r="F239" s="32">
        <f t="shared" si="28"/>
        <v>2</v>
      </c>
      <c r="G239">
        <v>8</v>
      </c>
      <c r="H239">
        <v>7</v>
      </c>
      <c r="I239" s="32">
        <f t="shared" si="29"/>
        <v>1</v>
      </c>
      <c r="J239">
        <v>8</v>
      </c>
      <c r="K239">
        <v>8</v>
      </c>
      <c r="L239" s="32">
        <f t="shared" si="30"/>
        <v>0</v>
      </c>
      <c r="M239">
        <v>7</v>
      </c>
      <c r="N239">
        <v>7</v>
      </c>
      <c r="O239" s="32">
        <f t="shared" si="31"/>
        <v>0</v>
      </c>
      <c r="P239">
        <v>7</v>
      </c>
      <c r="Q239">
        <v>7</v>
      </c>
      <c r="R239" s="32">
        <f t="shared" si="32"/>
        <v>0</v>
      </c>
      <c r="S239">
        <v>6</v>
      </c>
      <c r="T239">
        <v>7</v>
      </c>
      <c r="U239" s="32">
        <f t="shared" si="33"/>
        <v>1</v>
      </c>
      <c r="V239">
        <v>7</v>
      </c>
      <c r="W239">
        <v>7</v>
      </c>
      <c r="X239" s="32">
        <f t="shared" si="34"/>
        <v>0</v>
      </c>
      <c r="Y239">
        <v>7</v>
      </c>
      <c r="Z239">
        <v>8</v>
      </c>
      <c r="AA239" s="32">
        <f t="shared" si="35"/>
        <v>1</v>
      </c>
    </row>
    <row r="240" spans="1:27" x14ac:dyDescent="0.45">
      <c r="A240">
        <v>6</v>
      </c>
      <c r="B240">
        <v>8</v>
      </c>
      <c r="C240" s="32">
        <f t="shared" si="27"/>
        <v>2</v>
      </c>
      <c r="D240">
        <v>6</v>
      </c>
      <c r="E240">
        <v>8</v>
      </c>
      <c r="F240" s="32">
        <f t="shared" si="28"/>
        <v>2</v>
      </c>
      <c r="G240">
        <v>8</v>
      </c>
      <c r="H240">
        <v>7</v>
      </c>
      <c r="I240" s="32">
        <f t="shared" si="29"/>
        <v>1</v>
      </c>
      <c r="J240">
        <v>8</v>
      </c>
      <c r="K240">
        <v>8</v>
      </c>
      <c r="L240" s="32">
        <f t="shared" si="30"/>
        <v>0</v>
      </c>
      <c r="M240">
        <v>7</v>
      </c>
      <c r="N240">
        <v>7</v>
      </c>
      <c r="O240" s="32">
        <f t="shared" si="31"/>
        <v>0</v>
      </c>
      <c r="P240">
        <v>7</v>
      </c>
      <c r="Q240">
        <v>7</v>
      </c>
      <c r="R240" s="32">
        <f t="shared" si="32"/>
        <v>0</v>
      </c>
      <c r="S240">
        <v>6</v>
      </c>
      <c r="T240">
        <v>7</v>
      </c>
      <c r="U240" s="32">
        <f t="shared" si="33"/>
        <v>1</v>
      </c>
      <c r="V240">
        <v>7</v>
      </c>
      <c r="W240">
        <v>7</v>
      </c>
      <c r="X240" s="32">
        <f t="shared" si="34"/>
        <v>0</v>
      </c>
      <c r="Y240">
        <v>7</v>
      </c>
      <c r="Z240">
        <v>8</v>
      </c>
      <c r="AA240" s="32">
        <f t="shared" si="35"/>
        <v>1</v>
      </c>
    </row>
    <row r="241" spans="1:27" x14ac:dyDescent="0.45">
      <c r="A241">
        <v>6</v>
      </c>
      <c r="B241">
        <v>8</v>
      </c>
      <c r="C241" s="32">
        <f t="shared" si="27"/>
        <v>2</v>
      </c>
      <c r="D241">
        <v>6</v>
      </c>
      <c r="E241">
        <v>8</v>
      </c>
      <c r="F241" s="32">
        <f t="shared" si="28"/>
        <v>2</v>
      </c>
      <c r="G241">
        <v>8</v>
      </c>
      <c r="H241">
        <v>7</v>
      </c>
      <c r="I241" s="32">
        <f t="shared" si="29"/>
        <v>1</v>
      </c>
      <c r="J241">
        <v>8</v>
      </c>
      <c r="K241">
        <v>8</v>
      </c>
      <c r="L241" s="32">
        <f t="shared" si="30"/>
        <v>0</v>
      </c>
      <c r="M241">
        <v>7</v>
      </c>
      <c r="N241">
        <v>7</v>
      </c>
      <c r="O241" s="32">
        <f t="shared" si="31"/>
        <v>0</v>
      </c>
      <c r="P241">
        <v>7</v>
      </c>
      <c r="Q241">
        <v>7</v>
      </c>
      <c r="R241" s="32">
        <f t="shared" si="32"/>
        <v>0</v>
      </c>
      <c r="S241">
        <v>6</v>
      </c>
      <c r="T241">
        <v>7</v>
      </c>
      <c r="U241" s="32">
        <f t="shared" si="33"/>
        <v>1</v>
      </c>
      <c r="V241">
        <v>7</v>
      </c>
      <c r="W241">
        <v>7</v>
      </c>
      <c r="X241" s="32">
        <f t="shared" si="34"/>
        <v>0</v>
      </c>
      <c r="Y241">
        <v>7</v>
      </c>
      <c r="Z241">
        <v>8</v>
      </c>
      <c r="AA241" s="32">
        <f t="shared" si="35"/>
        <v>1</v>
      </c>
    </row>
    <row r="242" spans="1:27" x14ac:dyDescent="0.45">
      <c r="A242">
        <v>6</v>
      </c>
      <c r="B242">
        <v>8</v>
      </c>
      <c r="C242" s="32">
        <f t="shared" si="27"/>
        <v>2</v>
      </c>
      <c r="D242">
        <v>6</v>
      </c>
      <c r="E242">
        <v>8</v>
      </c>
      <c r="F242" s="32">
        <f t="shared" si="28"/>
        <v>2</v>
      </c>
      <c r="G242">
        <v>8</v>
      </c>
      <c r="H242">
        <v>7</v>
      </c>
      <c r="I242" s="32">
        <f t="shared" si="29"/>
        <v>1</v>
      </c>
      <c r="J242">
        <v>8</v>
      </c>
      <c r="K242">
        <v>8</v>
      </c>
      <c r="L242" s="32">
        <f t="shared" si="30"/>
        <v>0</v>
      </c>
      <c r="M242">
        <v>7</v>
      </c>
      <c r="N242">
        <v>7</v>
      </c>
      <c r="O242" s="32">
        <f t="shared" si="31"/>
        <v>0</v>
      </c>
      <c r="P242">
        <v>7</v>
      </c>
      <c r="Q242">
        <v>7</v>
      </c>
      <c r="R242" s="32">
        <f t="shared" si="32"/>
        <v>0</v>
      </c>
      <c r="S242">
        <v>6</v>
      </c>
      <c r="T242">
        <v>7</v>
      </c>
      <c r="U242" s="32">
        <f t="shared" si="33"/>
        <v>1</v>
      </c>
      <c r="V242">
        <v>7</v>
      </c>
      <c r="W242">
        <v>7</v>
      </c>
      <c r="X242" s="32">
        <f t="shared" si="34"/>
        <v>0</v>
      </c>
      <c r="Y242">
        <v>7</v>
      </c>
      <c r="Z242">
        <v>8</v>
      </c>
      <c r="AA242" s="32">
        <f t="shared" si="35"/>
        <v>1</v>
      </c>
    </row>
    <row r="243" spans="1:27" x14ac:dyDescent="0.45">
      <c r="A243">
        <v>6</v>
      </c>
      <c r="B243">
        <v>8</v>
      </c>
      <c r="C243" s="32">
        <f t="shared" si="27"/>
        <v>2</v>
      </c>
      <c r="D243">
        <v>6</v>
      </c>
      <c r="E243">
        <v>8</v>
      </c>
      <c r="F243" s="32">
        <f t="shared" si="28"/>
        <v>2</v>
      </c>
      <c r="G243">
        <v>8</v>
      </c>
      <c r="H243">
        <v>7</v>
      </c>
      <c r="I243" s="32">
        <f t="shared" si="29"/>
        <v>1</v>
      </c>
      <c r="J243">
        <v>8</v>
      </c>
      <c r="K243">
        <v>8</v>
      </c>
      <c r="L243" s="32">
        <f t="shared" si="30"/>
        <v>0</v>
      </c>
      <c r="M243">
        <v>7</v>
      </c>
      <c r="N243">
        <v>7</v>
      </c>
      <c r="O243" s="32">
        <f t="shared" si="31"/>
        <v>0</v>
      </c>
      <c r="P243">
        <v>7</v>
      </c>
      <c r="Q243">
        <v>7</v>
      </c>
      <c r="R243" s="32">
        <f t="shared" si="32"/>
        <v>0</v>
      </c>
      <c r="S243">
        <v>6</v>
      </c>
      <c r="T243">
        <v>7</v>
      </c>
      <c r="U243" s="32">
        <f t="shared" si="33"/>
        <v>1</v>
      </c>
      <c r="V243">
        <v>7</v>
      </c>
      <c r="W243">
        <v>7</v>
      </c>
      <c r="X243" s="32">
        <f t="shared" si="34"/>
        <v>0</v>
      </c>
      <c r="Y243">
        <v>7</v>
      </c>
      <c r="Z243">
        <v>8</v>
      </c>
      <c r="AA243" s="32">
        <f t="shared" si="35"/>
        <v>1</v>
      </c>
    </row>
    <row r="244" spans="1:27" x14ac:dyDescent="0.45">
      <c r="A244">
        <v>6</v>
      </c>
      <c r="B244">
        <v>8</v>
      </c>
      <c r="C244" s="32">
        <f t="shared" si="27"/>
        <v>2</v>
      </c>
      <c r="D244">
        <v>6</v>
      </c>
      <c r="E244">
        <v>8</v>
      </c>
      <c r="F244" s="32">
        <f t="shared" si="28"/>
        <v>2</v>
      </c>
      <c r="G244">
        <v>8</v>
      </c>
      <c r="H244">
        <v>7</v>
      </c>
      <c r="I244" s="32">
        <f t="shared" si="29"/>
        <v>1</v>
      </c>
      <c r="J244">
        <v>8</v>
      </c>
      <c r="K244">
        <v>8</v>
      </c>
      <c r="L244" s="32">
        <f t="shared" si="30"/>
        <v>0</v>
      </c>
      <c r="M244">
        <v>7</v>
      </c>
      <c r="N244">
        <v>7</v>
      </c>
      <c r="O244" s="32">
        <f t="shared" si="31"/>
        <v>0</v>
      </c>
      <c r="P244">
        <v>7</v>
      </c>
      <c r="Q244">
        <v>7</v>
      </c>
      <c r="R244" s="32">
        <f t="shared" si="32"/>
        <v>0</v>
      </c>
      <c r="S244">
        <v>6</v>
      </c>
      <c r="T244">
        <v>7</v>
      </c>
      <c r="U244" s="32">
        <f t="shared" si="33"/>
        <v>1</v>
      </c>
      <c r="V244">
        <v>7</v>
      </c>
      <c r="W244">
        <v>7</v>
      </c>
      <c r="X244" s="32">
        <f t="shared" si="34"/>
        <v>0</v>
      </c>
      <c r="Y244">
        <v>7</v>
      </c>
      <c r="Z244">
        <v>8</v>
      </c>
      <c r="AA244" s="32">
        <f t="shared" si="35"/>
        <v>1</v>
      </c>
    </row>
    <row r="245" spans="1:27" x14ac:dyDescent="0.45">
      <c r="A245">
        <v>6</v>
      </c>
      <c r="B245">
        <v>8</v>
      </c>
      <c r="C245" s="32">
        <f t="shared" si="27"/>
        <v>2</v>
      </c>
      <c r="D245">
        <v>6</v>
      </c>
      <c r="E245">
        <v>8</v>
      </c>
      <c r="F245" s="32">
        <f t="shared" si="28"/>
        <v>2</v>
      </c>
      <c r="G245">
        <v>8</v>
      </c>
      <c r="H245">
        <v>7</v>
      </c>
      <c r="I245" s="32">
        <f t="shared" si="29"/>
        <v>1</v>
      </c>
      <c r="J245">
        <v>8</v>
      </c>
      <c r="K245">
        <v>8</v>
      </c>
      <c r="L245" s="32">
        <f t="shared" si="30"/>
        <v>0</v>
      </c>
      <c r="M245">
        <v>7</v>
      </c>
      <c r="N245">
        <v>7</v>
      </c>
      <c r="O245" s="32">
        <f t="shared" si="31"/>
        <v>0</v>
      </c>
      <c r="P245">
        <v>7</v>
      </c>
      <c r="Q245">
        <v>7</v>
      </c>
      <c r="R245" s="32">
        <f t="shared" si="32"/>
        <v>0</v>
      </c>
      <c r="S245">
        <v>6</v>
      </c>
      <c r="T245">
        <v>7</v>
      </c>
      <c r="U245" s="32">
        <f t="shared" si="33"/>
        <v>1</v>
      </c>
      <c r="V245">
        <v>7</v>
      </c>
      <c r="W245">
        <v>7</v>
      </c>
      <c r="X245" s="32">
        <f t="shared" si="34"/>
        <v>0</v>
      </c>
      <c r="Y245">
        <v>7</v>
      </c>
      <c r="Z245">
        <v>8</v>
      </c>
      <c r="AA245" s="32">
        <f t="shared" si="35"/>
        <v>1</v>
      </c>
    </row>
    <row r="246" spans="1:27" x14ac:dyDescent="0.45">
      <c r="A246">
        <v>6</v>
      </c>
      <c r="B246">
        <v>8</v>
      </c>
      <c r="C246" s="32">
        <f t="shared" si="27"/>
        <v>2</v>
      </c>
      <c r="D246">
        <v>6</v>
      </c>
      <c r="E246">
        <v>8</v>
      </c>
      <c r="F246" s="32">
        <f t="shared" si="28"/>
        <v>2</v>
      </c>
      <c r="G246">
        <v>8</v>
      </c>
      <c r="H246">
        <v>7</v>
      </c>
      <c r="I246" s="32">
        <f t="shared" si="29"/>
        <v>1</v>
      </c>
      <c r="J246">
        <v>8</v>
      </c>
      <c r="K246">
        <v>8</v>
      </c>
      <c r="L246" s="32">
        <f t="shared" si="30"/>
        <v>0</v>
      </c>
      <c r="M246">
        <v>7</v>
      </c>
      <c r="N246">
        <v>7</v>
      </c>
      <c r="O246" s="32">
        <f t="shared" si="31"/>
        <v>0</v>
      </c>
      <c r="P246">
        <v>7</v>
      </c>
      <c r="Q246">
        <v>7</v>
      </c>
      <c r="R246" s="32">
        <f t="shared" si="32"/>
        <v>0</v>
      </c>
      <c r="S246">
        <v>6</v>
      </c>
      <c r="T246">
        <v>7</v>
      </c>
      <c r="U246" s="32">
        <f t="shared" si="33"/>
        <v>1</v>
      </c>
      <c r="V246">
        <v>7</v>
      </c>
      <c r="W246">
        <v>7</v>
      </c>
      <c r="X246" s="32">
        <f t="shared" si="34"/>
        <v>0</v>
      </c>
      <c r="Y246">
        <v>7</v>
      </c>
      <c r="Z246">
        <v>8</v>
      </c>
      <c r="AA246" s="32">
        <f t="shared" si="35"/>
        <v>1</v>
      </c>
    </row>
    <row r="247" spans="1:27" x14ac:dyDescent="0.45">
      <c r="A247">
        <v>6</v>
      </c>
      <c r="B247">
        <v>8</v>
      </c>
      <c r="C247" s="32">
        <f t="shared" si="27"/>
        <v>2</v>
      </c>
      <c r="D247">
        <v>6</v>
      </c>
      <c r="E247">
        <v>8</v>
      </c>
      <c r="F247" s="32">
        <f t="shared" si="28"/>
        <v>2</v>
      </c>
      <c r="G247">
        <v>8</v>
      </c>
      <c r="H247">
        <v>7</v>
      </c>
      <c r="I247" s="32">
        <f t="shared" si="29"/>
        <v>1</v>
      </c>
      <c r="J247">
        <v>8</v>
      </c>
      <c r="K247">
        <v>8</v>
      </c>
      <c r="L247" s="32">
        <f t="shared" si="30"/>
        <v>0</v>
      </c>
      <c r="M247">
        <v>7</v>
      </c>
      <c r="N247">
        <v>7</v>
      </c>
      <c r="O247" s="32">
        <f t="shared" si="31"/>
        <v>0</v>
      </c>
      <c r="P247">
        <v>7</v>
      </c>
      <c r="Q247">
        <v>7</v>
      </c>
      <c r="R247" s="32">
        <f t="shared" si="32"/>
        <v>0</v>
      </c>
      <c r="S247">
        <v>6</v>
      </c>
      <c r="T247">
        <v>7</v>
      </c>
      <c r="U247" s="32">
        <f t="shared" si="33"/>
        <v>1</v>
      </c>
      <c r="V247">
        <v>7</v>
      </c>
      <c r="W247">
        <v>7</v>
      </c>
      <c r="X247" s="32">
        <f t="shared" si="34"/>
        <v>0</v>
      </c>
      <c r="Y247">
        <v>7</v>
      </c>
      <c r="Z247">
        <v>8</v>
      </c>
      <c r="AA247" s="32">
        <f t="shared" si="35"/>
        <v>1</v>
      </c>
    </row>
    <row r="248" spans="1:27" x14ac:dyDescent="0.45">
      <c r="A248">
        <v>6</v>
      </c>
      <c r="B248">
        <v>8</v>
      </c>
      <c r="C248" s="32">
        <f t="shared" si="27"/>
        <v>2</v>
      </c>
      <c r="D248">
        <v>6</v>
      </c>
      <c r="E248">
        <v>8</v>
      </c>
      <c r="F248" s="32">
        <f t="shared" si="28"/>
        <v>2</v>
      </c>
      <c r="G248">
        <v>8</v>
      </c>
      <c r="H248">
        <v>7</v>
      </c>
      <c r="I248" s="32">
        <f t="shared" si="29"/>
        <v>1</v>
      </c>
      <c r="J248">
        <v>8</v>
      </c>
      <c r="K248">
        <v>8</v>
      </c>
      <c r="L248" s="32">
        <f t="shared" si="30"/>
        <v>0</v>
      </c>
      <c r="M248">
        <v>7</v>
      </c>
      <c r="N248">
        <v>7</v>
      </c>
      <c r="O248" s="32">
        <f t="shared" si="31"/>
        <v>0</v>
      </c>
      <c r="P248">
        <v>7</v>
      </c>
      <c r="Q248">
        <v>7</v>
      </c>
      <c r="R248" s="32">
        <f t="shared" si="32"/>
        <v>0</v>
      </c>
      <c r="S248">
        <v>6</v>
      </c>
      <c r="T248">
        <v>7</v>
      </c>
      <c r="U248" s="32">
        <f t="shared" si="33"/>
        <v>1</v>
      </c>
      <c r="V248">
        <v>7</v>
      </c>
      <c r="W248">
        <v>7</v>
      </c>
      <c r="X248" s="32">
        <f t="shared" si="34"/>
        <v>0</v>
      </c>
      <c r="Y248">
        <v>7</v>
      </c>
      <c r="Z248">
        <v>8</v>
      </c>
      <c r="AA248" s="32">
        <f t="shared" si="35"/>
        <v>1</v>
      </c>
    </row>
    <row r="249" spans="1:27" x14ac:dyDescent="0.45">
      <c r="A249">
        <v>6</v>
      </c>
      <c r="B249">
        <v>8</v>
      </c>
      <c r="C249" s="32">
        <f t="shared" si="27"/>
        <v>2</v>
      </c>
      <c r="D249">
        <v>6</v>
      </c>
      <c r="E249">
        <v>8</v>
      </c>
      <c r="F249" s="32">
        <f t="shared" si="28"/>
        <v>2</v>
      </c>
      <c r="G249">
        <v>8</v>
      </c>
      <c r="H249">
        <v>7</v>
      </c>
      <c r="I249" s="32">
        <f t="shared" si="29"/>
        <v>1</v>
      </c>
      <c r="J249">
        <v>8</v>
      </c>
      <c r="K249">
        <v>8</v>
      </c>
      <c r="L249" s="32">
        <f t="shared" si="30"/>
        <v>0</v>
      </c>
      <c r="M249">
        <v>7</v>
      </c>
      <c r="N249">
        <v>7</v>
      </c>
      <c r="O249" s="32">
        <f t="shared" si="31"/>
        <v>0</v>
      </c>
      <c r="P249">
        <v>7</v>
      </c>
      <c r="Q249">
        <v>7</v>
      </c>
      <c r="R249" s="32">
        <f t="shared" si="32"/>
        <v>0</v>
      </c>
      <c r="S249">
        <v>6</v>
      </c>
      <c r="T249">
        <v>7</v>
      </c>
      <c r="U249" s="32">
        <f t="shared" si="33"/>
        <v>1</v>
      </c>
      <c r="V249">
        <v>7</v>
      </c>
      <c r="W249">
        <v>7</v>
      </c>
      <c r="X249" s="32">
        <f t="shared" si="34"/>
        <v>0</v>
      </c>
      <c r="Y249">
        <v>7</v>
      </c>
      <c r="Z249">
        <v>8</v>
      </c>
      <c r="AA249" s="32">
        <f t="shared" si="35"/>
        <v>1</v>
      </c>
    </row>
    <row r="250" spans="1:27" x14ac:dyDescent="0.45">
      <c r="A250">
        <v>6</v>
      </c>
      <c r="B250">
        <v>8</v>
      </c>
      <c r="C250" s="32">
        <f t="shared" si="27"/>
        <v>2</v>
      </c>
      <c r="D250">
        <v>6</v>
      </c>
      <c r="E250">
        <v>8</v>
      </c>
      <c r="F250" s="32">
        <f t="shared" si="28"/>
        <v>2</v>
      </c>
      <c r="G250">
        <v>8</v>
      </c>
      <c r="H250">
        <v>7</v>
      </c>
      <c r="I250" s="32">
        <f t="shared" si="29"/>
        <v>1</v>
      </c>
      <c r="J250">
        <v>8</v>
      </c>
      <c r="K250">
        <v>8</v>
      </c>
      <c r="L250" s="32">
        <f t="shared" si="30"/>
        <v>0</v>
      </c>
      <c r="M250">
        <v>7</v>
      </c>
      <c r="N250">
        <v>7</v>
      </c>
      <c r="O250" s="32">
        <f t="shared" si="31"/>
        <v>0</v>
      </c>
      <c r="P250">
        <v>7</v>
      </c>
      <c r="Q250">
        <v>8</v>
      </c>
      <c r="R250" s="32">
        <f t="shared" si="32"/>
        <v>1</v>
      </c>
      <c r="S250">
        <v>6</v>
      </c>
      <c r="T250">
        <v>7</v>
      </c>
      <c r="U250" s="32">
        <f t="shared" si="33"/>
        <v>1</v>
      </c>
      <c r="V250">
        <v>7</v>
      </c>
      <c r="W250">
        <v>7</v>
      </c>
      <c r="X250" s="32">
        <f t="shared" si="34"/>
        <v>0</v>
      </c>
      <c r="Y250">
        <v>7</v>
      </c>
      <c r="Z250">
        <v>8</v>
      </c>
      <c r="AA250" s="32">
        <f t="shared" si="35"/>
        <v>1</v>
      </c>
    </row>
    <row r="251" spans="1:27" x14ac:dyDescent="0.45">
      <c r="A251">
        <v>6</v>
      </c>
      <c r="B251">
        <v>8</v>
      </c>
      <c r="C251" s="32">
        <f t="shared" si="27"/>
        <v>2</v>
      </c>
      <c r="D251">
        <v>6</v>
      </c>
      <c r="E251">
        <v>8</v>
      </c>
      <c r="F251" s="32">
        <f t="shared" si="28"/>
        <v>2</v>
      </c>
      <c r="G251">
        <v>8</v>
      </c>
      <c r="H251">
        <v>7</v>
      </c>
      <c r="I251" s="32">
        <f t="shared" si="29"/>
        <v>1</v>
      </c>
      <c r="J251">
        <v>8</v>
      </c>
      <c r="K251">
        <v>8</v>
      </c>
      <c r="L251" s="32">
        <f t="shared" si="30"/>
        <v>0</v>
      </c>
      <c r="M251">
        <v>7</v>
      </c>
      <c r="N251">
        <v>7</v>
      </c>
      <c r="O251" s="32">
        <f t="shared" si="31"/>
        <v>0</v>
      </c>
      <c r="P251">
        <v>7</v>
      </c>
      <c r="Q251">
        <v>8</v>
      </c>
      <c r="R251" s="32">
        <f t="shared" si="32"/>
        <v>1</v>
      </c>
      <c r="S251">
        <v>6</v>
      </c>
      <c r="T251">
        <v>7</v>
      </c>
      <c r="U251" s="32">
        <f t="shared" si="33"/>
        <v>1</v>
      </c>
      <c r="V251">
        <v>7</v>
      </c>
      <c r="W251">
        <v>7</v>
      </c>
      <c r="X251" s="32">
        <f t="shared" si="34"/>
        <v>0</v>
      </c>
      <c r="Y251">
        <v>7</v>
      </c>
      <c r="Z251">
        <v>8</v>
      </c>
      <c r="AA251" s="32">
        <f t="shared" si="35"/>
        <v>1</v>
      </c>
    </row>
    <row r="252" spans="1:27" x14ac:dyDescent="0.45">
      <c r="A252">
        <v>6</v>
      </c>
      <c r="B252">
        <v>8</v>
      </c>
      <c r="C252" s="32">
        <f t="shared" si="27"/>
        <v>2</v>
      </c>
      <c r="D252">
        <v>6</v>
      </c>
      <c r="E252">
        <v>8</v>
      </c>
      <c r="F252" s="32">
        <f t="shared" si="28"/>
        <v>2</v>
      </c>
      <c r="G252">
        <v>8</v>
      </c>
      <c r="H252">
        <v>7</v>
      </c>
      <c r="I252" s="32">
        <f t="shared" si="29"/>
        <v>1</v>
      </c>
      <c r="J252">
        <v>8</v>
      </c>
      <c r="K252">
        <v>8</v>
      </c>
      <c r="L252" s="32">
        <f t="shared" si="30"/>
        <v>0</v>
      </c>
      <c r="M252">
        <v>7</v>
      </c>
      <c r="N252">
        <v>7</v>
      </c>
      <c r="O252" s="32">
        <f t="shared" si="31"/>
        <v>0</v>
      </c>
      <c r="P252">
        <v>7</v>
      </c>
      <c r="Q252">
        <v>8</v>
      </c>
      <c r="R252" s="32">
        <f t="shared" si="32"/>
        <v>1</v>
      </c>
      <c r="S252">
        <v>6</v>
      </c>
      <c r="T252">
        <v>7</v>
      </c>
      <c r="U252" s="32">
        <f t="shared" si="33"/>
        <v>1</v>
      </c>
      <c r="V252">
        <v>7</v>
      </c>
      <c r="W252">
        <v>7</v>
      </c>
      <c r="X252" s="32">
        <f t="shared" si="34"/>
        <v>0</v>
      </c>
      <c r="Y252">
        <v>7</v>
      </c>
      <c r="Z252">
        <v>8</v>
      </c>
      <c r="AA252" s="32">
        <f t="shared" si="35"/>
        <v>1</v>
      </c>
    </row>
    <row r="253" spans="1:27" x14ac:dyDescent="0.45">
      <c r="A253">
        <v>6</v>
      </c>
      <c r="B253">
        <v>8</v>
      </c>
      <c r="C253" s="32">
        <f t="shared" si="27"/>
        <v>2</v>
      </c>
      <c r="D253">
        <v>6</v>
      </c>
      <c r="E253">
        <v>8</v>
      </c>
      <c r="F253" s="32">
        <f t="shared" si="28"/>
        <v>2</v>
      </c>
      <c r="G253">
        <v>8</v>
      </c>
      <c r="H253">
        <v>7</v>
      </c>
      <c r="I253" s="32">
        <f t="shared" si="29"/>
        <v>1</v>
      </c>
      <c r="J253">
        <v>8</v>
      </c>
      <c r="K253">
        <v>8</v>
      </c>
      <c r="L253" s="32">
        <f t="shared" si="30"/>
        <v>0</v>
      </c>
      <c r="M253">
        <v>7</v>
      </c>
      <c r="N253">
        <v>7</v>
      </c>
      <c r="O253" s="32">
        <f t="shared" si="31"/>
        <v>0</v>
      </c>
      <c r="P253">
        <v>7</v>
      </c>
      <c r="Q253">
        <v>8</v>
      </c>
      <c r="R253" s="32">
        <f t="shared" si="32"/>
        <v>1</v>
      </c>
      <c r="S253">
        <v>6</v>
      </c>
      <c r="T253">
        <v>7</v>
      </c>
      <c r="U253" s="32">
        <f t="shared" si="33"/>
        <v>1</v>
      </c>
      <c r="V253">
        <v>7</v>
      </c>
      <c r="W253">
        <v>7</v>
      </c>
      <c r="X253" s="32">
        <f t="shared" si="34"/>
        <v>0</v>
      </c>
      <c r="Y253">
        <v>7</v>
      </c>
      <c r="Z253">
        <v>8</v>
      </c>
      <c r="AA253" s="32">
        <f t="shared" si="35"/>
        <v>1</v>
      </c>
    </row>
    <row r="254" spans="1:27" x14ac:dyDescent="0.45">
      <c r="A254">
        <v>6</v>
      </c>
      <c r="B254">
        <v>8</v>
      </c>
      <c r="C254" s="32">
        <f t="shared" si="27"/>
        <v>2</v>
      </c>
      <c r="D254">
        <v>6</v>
      </c>
      <c r="E254">
        <v>8</v>
      </c>
      <c r="F254" s="32">
        <f t="shared" si="28"/>
        <v>2</v>
      </c>
      <c r="G254">
        <v>8</v>
      </c>
      <c r="H254">
        <v>7</v>
      </c>
      <c r="I254" s="32">
        <f t="shared" si="29"/>
        <v>1</v>
      </c>
      <c r="J254">
        <v>8</v>
      </c>
      <c r="K254">
        <v>8</v>
      </c>
      <c r="L254" s="32">
        <f t="shared" si="30"/>
        <v>0</v>
      </c>
      <c r="M254">
        <v>7</v>
      </c>
      <c r="N254">
        <v>7</v>
      </c>
      <c r="O254" s="32">
        <f t="shared" si="31"/>
        <v>0</v>
      </c>
      <c r="P254">
        <v>7</v>
      </c>
      <c r="Q254">
        <v>8</v>
      </c>
      <c r="R254" s="32">
        <f t="shared" si="32"/>
        <v>1</v>
      </c>
      <c r="S254">
        <v>6</v>
      </c>
      <c r="T254">
        <v>7</v>
      </c>
      <c r="U254" s="32">
        <f t="shared" si="33"/>
        <v>1</v>
      </c>
      <c r="V254">
        <v>7</v>
      </c>
      <c r="W254">
        <v>7</v>
      </c>
      <c r="X254" s="32">
        <f t="shared" si="34"/>
        <v>0</v>
      </c>
      <c r="Y254">
        <v>7</v>
      </c>
      <c r="Z254">
        <v>8</v>
      </c>
      <c r="AA254" s="32">
        <f t="shared" si="35"/>
        <v>1</v>
      </c>
    </row>
    <row r="255" spans="1:27" x14ac:dyDescent="0.45">
      <c r="A255">
        <v>6</v>
      </c>
      <c r="B255">
        <v>8</v>
      </c>
      <c r="C255" s="32">
        <f t="shared" si="27"/>
        <v>2</v>
      </c>
      <c r="D255">
        <v>6</v>
      </c>
      <c r="E255">
        <v>8</v>
      </c>
      <c r="F255" s="32">
        <f t="shared" si="28"/>
        <v>2</v>
      </c>
      <c r="G255">
        <v>8</v>
      </c>
      <c r="H255">
        <v>7</v>
      </c>
      <c r="I255" s="32">
        <f t="shared" si="29"/>
        <v>1</v>
      </c>
      <c r="J255">
        <v>8</v>
      </c>
      <c r="K255">
        <v>8</v>
      </c>
      <c r="L255" s="32">
        <f t="shared" si="30"/>
        <v>0</v>
      </c>
      <c r="M255">
        <v>7</v>
      </c>
      <c r="N255">
        <v>7</v>
      </c>
      <c r="O255" s="32">
        <f t="shared" si="31"/>
        <v>0</v>
      </c>
      <c r="P255">
        <v>7</v>
      </c>
      <c r="Q255">
        <v>8</v>
      </c>
      <c r="R255" s="32">
        <f t="shared" si="32"/>
        <v>1</v>
      </c>
      <c r="S255">
        <v>6</v>
      </c>
      <c r="T255">
        <v>7</v>
      </c>
      <c r="U255" s="32">
        <f t="shared" si="33"/>
        <v>1</v>
      </c>
      <c r="V255">
        <v>7</v>
      </c>
      <c r="W255">
        <v>7</v>
      </c>
      <c r="X255" s="32">
        <f t="shared" si="34"/>
        <v>0</v>
      </c>
      <c r="Y255">
        <v>7</v>
      </c>
      <c r="Z255">
        <v>8</v>
      </c>
      <c r="AA255" s="32">
        <f t="shared" si="35"/>
        <v>1</v>
      </c>
    </row>
    <row r="256" spans="1:27" x14ac:dyDescent="0.45">
      <c r="A256">
        <v>6</v>
      </c>
      <c r="B256">
        <v>8</v>
      </c>
      <c r="C256" s="32">
        <f t="shared" si="27"/>
        <v>2</v>
      </c>
      <c r="D256">
        <v>6</v>
      </c>
      <c r="E256">
        <v>8</v>
      </c>
      <c r="F256" s="32">
        <f t="shared" si="28"/>
        <v>2</v>
      </c>
      <c r="G256">
        <v>8</v>
      </c>
      <c r="H256">
        <v>7</v>
      </c>
      <c r="I256" s="32">
        <f t="shared" si="29"/>
        <v>1</v>
      </c>
      <c r="J256">
        <v>8</v>
      </c>
      <c r="K256">
        <v>8</v>
      </c>
      <c r="L256" s="32">
        <f t="shared" si="30"/>
        <v>0</v>
      </c>
      <c r="M256">
        <v>7</v>
      </c>
      <c r="N256">
        <v>7</v>
      </c>
      <c r="O256" s="32">
        <f t="shared" si="31"/>
        <v>0</v>
      </c>
      <c r="P256">
        <v>7</v>
      </c>
      <c r="Q256">
        <v>8</v>
      </c>
      <c r="R256" s="32">
        <f t="shared" si="32"/>
        <v>1</v>
      </c>
      <c r="S256">
        <v>6</v>
      </c>
      <c r="T256">
        <v>7</v>
      </c>
      <c r="U256" s="32">
        <f t="shared" si="33"/>
        <v>1</v>
      </c>
      <c r="V256">
        <v>7</v>
      </c>
      <c r="W256">
        <v>7</v>
      </c>
      <c r="X256" s="32">
        <f t="shared" si="34"/>
        <v>0</v>
      </c>
      <c r="Y256">
        <v>7</v>
      </c>
      <c r="Z256">
        <v>8</v>
      </c>
      <c r="AA256" s="32">
        <f t="shared" si="35"/>
        <v>1</v>
      </c>
    </row>
    <row r="257" spans="1:27" x14ac:dyDescent="0.45">
      <c r="A257">
        <v>6</v>
      </c>
      <c r="B257">
        <v>8</v>
      </c>
      <c r="C257" s="32">
        <f t="shared" si="27"/>
        <v>2</v>
      </c>
      <c r="D257">
        <v>6</v>
      </c>
      <c r="E257">
        <v>8</v>
      </c>
      <c r="F257" s="32">
        <f t="shared" si="28"/>
        <v>2</v>
      </c>
      <c r="G257">
        <v>8</v>
      </c>
      <c r="H257">
        <v>7</v>
      </c>
      <c r="I257" s="32">
        <f t="shared" si="29"/>
        <v>1</v>
      </c>
      <c r="J257">
        <v>8</v>
      </c>
      <c r="K257">
        <v>8</v>
      </c>
      <c r="L257" s="32">
        <f t="shared" si="30"/>
        <v>0</v>
      </c>
      <c r="M257">
        <v>7</v>
      </c>
      <c r="N257">
        <v>7</v>
      </c>
      <c r="O257" s="32">
        <f t="shared" si="31"/>
        <v>0</v>
      </c>
      <c r="P257">
        <v>7</v>
      </c>
      <c r="Q257">
        <v>8</v>
      </c>
      <c r="R257" s="32">
        <f t="shared" si="32"/>
        <v>1</v>
      </c>
      <c r="S257">
        <v>6</v>
      </c>
      <c r="T257">
        <v>7</v>
      </c>
      <c r="U257" s="32">
        <f t="shared" si="33"/>
        <v>1</v>
      </c>
      <c r="V257">
        <v>7</v>
      </c>
      <c r="W257">
        <v>7</v>
      </c>
      <c r="X257" s="32">
        <f t="shared" si="34"/>
        <v>0</v>
      </c>
      <c r="Y257">
        <v>7</v>
      </c>
      <c r="Z257">
        <v>8</v>
      </c>
      <c r="AA257" s="32">
        <f t="shared" si="35"/>
        <v>1</v>
      </c>
    </row>
    <row r="258" spans="1:27" x14ac:dyDescent="0.45">
      <c r="A258">
        <v>6</v>
      </c>
      <c r="B258">
        <v>8</v>
      </c>
      <c r="C258" s="32">
        <f t="shared" si="27"/>
        <v>2</v>
      </c>
      <c r="D258">
        <v>6</v>
      </c>
      <c r="E258">
        <v>8</v>
      </c>
      <c r="F258" s="32">
        <f t="shared" si="28"/>
        <v>2</v>
      </c>
      <c r="G258">
        <v>8</v>
      </c>
      <c r="H258">
        <v>7</v>
      </c>
      <c r="I258" s="32">
        <f t="shared" si="29"/>
        <v>1</v>
      </c>
      <c r="J258">
        <v>8</v>
      </c>
      <c r="K258">
        <v>8</v>
      </c>
      <c r="L258" s="32">
        <f t="shared" si="30"/>
        <v>0</v>
      </c>
      <c r="M258">
        <v>7</v>
      </c>
      <c r="N258">
        <v>7</v>
      </c>
      <c r="O258" s="32">
        <f t="shared" si="31"/>
        <v>0</v>
      </c>
      <c r="P258">
        <v>7</v>
      </c>
      <c r="Q258">
        <v>8</v>
      </c>
      <c r="R258" s="32">
        <f t="shared" si="32"/>
        <v>1</v>
      </c>
      <c r="S258">
        <v>6</v>
      </c>
      <c r="T258">
        <v>7</v>
      </c>
      <c r="U258" s="32">
        <f t="shared" si="33"/>
        <v>1</v>
      </c>
      <c r="V258">
        <v>7</v>
      </c>
      <c r="W258">
        <v>7</v>
      </c>
      <c r="X258" s="32">
        <f t="shared" si="34"/>
        <v>0</v>
      </c>
      <c r="Y258">
        <v>8</v>
      </c>
      <c r="Z258">
        <v>8</v>
      </c>
      <c r="AA258" s="32">
        <f t="shared" si="35"/>
        <v>0</v>
      </c>
    </row>
    <row r="259" spans="1:27" x14ac:dyDescent="0.45">
      <c r="A259">
        <v>6</v>
      </c>
      <c r="B259">
        <v>8</v>
      </c>
      <c r="C259" s="32">
        <f t="shared" ref="C259:C322" si="36">ABS(B259-A259)</f>
        <v>2</v>
      </c>
      <c r="D259">
        <v>6</v>
      </c>
      <c r="E259">
        <v>8</v>
      </c>
      <c r="F259" s="32">
        <f t="shared" ref="F259:F322" si="37">ABS(E259-D259)</f>
        <v>2</v>
      </c>
      <c r="G259">
        <v>8</v>
      </c>
      <c r="H259">
        <v>7</v>
      </c>
      <c r="I259" s="32">
        <f t="shared" ref="I259:I322" si="38">ABS(H259-G259)</f>
        <v>1</v>
      </c>
      <c r="J259">
        <v>8</v>
      </c>
      <c r="K259">
        <v>8</v>
      </c>
      <c r="L259" s="32">
        <f t="shared" ref="L259:L322" si="39">ABS(K259-J259)</f>
        <v>0</v>
      </c>
      <c r="M259">
        <v>7</v>
      </c>
      <c r="N259">
        <v>7</v>
      </c>
      <c r="O259" s="32">
        <f t="shared" ref="O259:O322" si="40">ABS(N259-M259)</f>
        <v>0</v>
      </c>
      <c r="P259">
        <v>7</v>
      </c>
      <c r="Q259">
        <v>8</v>
      </c>
      <c r="R259" s="32">
        <f t="shared" ref="R259:R322" si="41">ABS(Q259-P259)</f>
        <v>1</v>
      </c>
      <c r="S259">
        <v>6</v>
      </c>
      <c r="T259">
        <v>7</v>
      </c>
      <c r="U259" s="32">
        <f t="shared" ref="U259:U322" si="42">ABS(T259-S259)</f>
        <v>1</v>
      </c>
      <c r="V259">
        <v>7</v>
      </c>
      <c r="W259">
        <v>7</v>
      </c>
      <c r="X259" s="32">
        <f t="shared" ref="X259:X322" si="43">ABS(W259-V259)</f>
        <v>0</v>
      </c>
      <c r="Y259">
        <v>8</v>
      </c>
      <c r="Z259">
        <v>8</v>
      </c>
      <c r="AA259" s="32">
        <f t="shared" ref="AA259:AA322" si="44">ABS(Z259-Y259)</f>
        <v>0</v>
      </c>
    </row>
    <row r="260" spans="1:27" x14ac:dyDescent="0.45">
      <c r="A260">
        <v>6</v>
      </c>
      <c r="B260">
        <v>8</v>
      </c>
      <c r="C260" s="32">
        <f t="shared" si="36"/>
        <v>2</v>
      </c>
      <c r="D260">
        <v>6</v>
      </c>
      <c r="E260">
        <v>8</v>
      </c>
      <c r="F260" s="32">
        <f t="shared" si="37"/>
        <v>2</v>
      </c>
      <c r="G260">
        <v>8</v>
      </c>
      <c r="H260">
        <v>7</v>
      </c>
      <c r="I260" s="32">
        <f t="shared" si="38"/>
        <v>1</v>
      </c>
      <c r="J260">
        <v>8</v>
      </c>
      <c r="K260">
        <v>8</v>
      </c>
      <c r="L260" s="32">
        <f t="shared" si="39"/>
        <v>0</v>
      </c>
      <c r="M260">
        <v>7</v>
      </c>
      <c r="N260">
        <v>7</v>
      </c>
      <c r="O260" s="32">
        <f t="shared" si="40"/>
        <v>0</v>
      </c>
      <c r="P260">
        <v>7</v>
      </c>
      <c r="Q260">
        <v>8</v>
      </c>
      <c r="R260" s="32">
        <f t="shared" si="41"/>
        <v>1</v>
      </c>
      <c r="S260">
        <v>6</v>
      </c>
      <c r="T260">
        <v>7</v>
      </c>
      <c r="U260" s="32">
        <f t="shared" si="42"/>
        <v>1</v>
      </c>
      <c r="V260">
        <v>7</v>
      </c>
      <c r="W260">
        <v>7</v>
      </c>
      <c r="X260" s="32">
        <f t="shared" si="43"/>
        <v>0</v>
      </c>
      <c r="Y260">
        <v>8</v>
      </c>
      <c r="Z260">
        <v>8</v>
      </c>
      <c r="AA260" s="32">
        <f t="shared" si="44"/>
        <v>0</v>
      </c>
    </row>
    <row r="261" spans="1:27" x14ac:dyDescent="0.45">
      <c r="A261">
        <v>6</v>
      </c>
      <c r="B261">
        <v>8</v>
      </c>
      <c r="C261" s="32">
        <f t="shared" si="36"/>
        <v>2</v>
      </c>
      <c r="D261">
        <v>6</v>
      </c>
      <c r="E261">
        <v>8</v>
      </c>
      <c r="F261" s="32">
        <f t="shared" si="37"/>
        <v>2</v>
      </c>
      <c r="G261">
        <v>8</v>
      </c>
      <c r="H261">
        <v>7</v>
      </c>
      <c r="I261" s="32">
        <f t="shared" si="38"/>
        <v>1</v>
      </c>
      <c r="J261">
        <v>8</v>
      </c>
      <c r="K261">
        <v>8</v>
      </c>
      <c r="L261" s="32">
        <f t="shared" si="39"/>
        <v>0</v>
      </c>
      <c r="M261">
        <v>7</v>
      </c>
      <c r="N261">
        <v>7</v>
      </c>
      <c r="O261" s="32">
        <f t="shared" si="40"/>
        <v>0</v>
      </c>
      <c r="P261">
        <v>7</v>
      </c>
      <c r="Q261">
        <v>8</v>
      </c>
      <c r="R261" s="32">
        <f t="shared" si="41"/>
        <v>1</v>
      </c>
      <c r="S261">
        <v>6</v>
      </c>
      <c r="T261">
        <v>7</v>
      </c>
      <c r="U261" s="32">
        <f t="shared" si="42"/>
        <v>1</v>
      </c>
      <c r="V261">
        <v>7</v>
      </c>
      <c r="W261">
        <v>7</v>
      </c>
      <c r="X261" s="32">
        <f t="shared" si="43"/>
        <v>0</v>
      </c>
      <c r="Y261">
        <v>8</v>
      </c>
      <c r="Z261">
        <v>8</v>
      </c>
      <c r="AA261" s="32">
        <f t="shared" si="44"/>
        <v>0</v>
      </c>
    </row>
    <row r="262" spans="1:27" x14ac:dyDescent="0.45">
      <c r="A262">
        <v>6</v>
      </c>
      <c r="B262">
        <v>8</v>
      </c>
      <c r="C262" s="32">
        <f t="shared" si="36"/>
        <v>2</v>
      </c>
      <c r="D262">
        <v>6</v>
      </c>
      <c r="E262">
        <v>8</v>
      </c>
      <c r="F262" s="32">
        <f t="shared" si="37"/>
        <v>2</v>
      </c>
      <c r="G262">
        <v>8</v>
      </c>
      <c r="H262">
        <v>8</v>
      </c>
      <c r="I262" s="32">
        <f t="shared" si="38"/>
        <v>0</v>
      </c>
      <c r="J262">
        <v>8</v>
      </c>
      <c r="K262">
        <v>8</v>
      </c>
      <c r="L262" s="32">
        <f t="shared" si="39"/>
        <v>0</v>
      </c>
      <c r="M262">
        <v>7</v>
      </c>
      <c r="N262">
        <v>7</v>
      </c>
      <c r="O262" s="32">
        <f t="shared" si="40"/>
        <v>0</v>
      </c>
      <c r="P262">
        <v>7</v>
      </c>
      <c r="Q262">
        <v>8</v>
      </c>
      <c r="R262" s="32">
        <f t="shared" si="41"/>
        <v>1</v>
      </c>
      <c r="S262">
        <v>6</v>
      </c>
      <c r="T262">
        <v>7</v>
      </c>
      <c r="U262" s="32">
        <f t="shared" si="42"/>
        <v>1</v>
      </c>
      <c r="V262">
        <v>7</v>
      </c>
      <c r="W262">
        <v>7</v>
      </c>
      <c r="X262" s="32">
        <f t="shared" si="43"/>
        <v>0</v>
      </c>
      <c r="Y262">
        <v>8</v>
      </c>
      <c r="Z262">
        <v>8</v>
      </c>
      <c r="AA262" s="32">
        <f t="shared" si="44"/>
        <v>0</v>
      </c>
    </row>
    <row r="263" spans="1:27" x14ac:dyDescent="0.45">
      <c r="A263">
        <v>6</v>
      </c>
      <c r="B263">
        <v>8</v>
      </c>
      <c r="C263" s="32">
        <f t="shared" si="36"/>
        <v>2</v>
      </c>
      <c r="D263">
        <v>6</v>
      </c>
      <c r="E263">
        <v>8</v>
      </c>
      <c r="F263" s="32">
        <f t="shared" si="37"/>
        <v>2</v>
      </c>
      <c r="G263">
        <v>8</v>
      </c>
      <c r="H263">
        <v>8</v>
      </c>
      <c r="I263" s="32">
        <f t="shared" si="38"/>
        <v>0</v>
      </c>
      <c r="J263">
        <v>8</v>
      </c>
      <c r="K263">
        <v>8</v>
      </c>
      <c r="L263" s="32">
        <f t="shared" si="39"/>
        <v>0</v>
      </c>
      <c r="M263">
        <v>7</v>
      </c>
      <c r="N263">
        <v>7</v>
      </c>
      <c r="O263" s="32">
        <f t="shared" si="40"/>
        <v>0</v>
      </c>
      <c r="P263">
        <v>7</v>
      </c>
      <c r="Q263">
        <v>8</v>
      </c>
      <c r="R263" s="32">
        <f t="shared" si="41"/>
        <v>1</v>
      </c>
      <c r="S263">
        <v>6</v>
      </c>
      <c r="T263">
        <v>7</v>
      </c>
      <c r="U263" s="32">
        <f t="shared" si="42"/>
        <v>1</v>
      </c>
      <c r="V263">
        <v>7</v>
      </c>
      <c r="W263">
        <v>7</v>
      </c>
      <c r="X263" s="32">
        <f t="shared" si="43"/>
        <v>0</v>
      </c>
      <c r="Y263">
        <v>8</v>
      </c>
      <c r="Z263">
        <v>8</v>
      </c>
      <c r="AA263" s="32">
        <f t="shared" si="44"/>
        <v>0</v>
      </c>
    </row>
    <row r="264" spans="1:27" x14ac:dyDescent="0.45">
      <c r="A264">
        <v>6</v>
      </c>
      <c r="B264">
        <v>8</v>
      </c>
      <c r="C264" s="32">
        <f t="shared" si="36"/>
        <v>2</v>
      </c>
      <c r="D264">
        <v>6</v>
      </c>
      <c r="E264">
        <v>8</v>
      </c>
      <c r="F264" s="32">
        <f t="shared" si="37"/>
        <v>2</v>
      </c>
      <c r="G264">
        <v>8</v>
      </c>
      <c r="H264">
        <v>8</v>
      </c>
      <c r="I264" s="32">
        <f t="shared" si="38"/>
        <v>0</v>
      </c>
      <c r="J264">
        <v>8</v>
      </c>
      <c r="K264">
        <v>8</v>
      </c>
      <c r="L264" s="32">
        <f t="shared" si="39"/>
        <v>0</v>
      </c>
      <c r="M264">
        <v>7</v>
      </c>
      <c r="N264">
        <v>7</v>
      </c>
      <c r="O264" s="32">
        <f t="shared" si="40"/>
        <v>0</v>
      </c>
      <c r="P264">
        <v>7</v>
      </c>
      <c r="Q264">
        <v>8</v>
      </c>
      <c r="R264" s="32">
        <f t="shared" si="41"/>
        <v>1</v>
      </c>
      <c r="S264">
        <v>6</v>
      </c>
      <c r="T264">
        <v>7</v>
      </c>
      <c r="U264" s="32">
        <f t="shared" si="42"/>
        <v>1</v>
      </c>
      <c r="V264">
        <v>7</v>
      </c>
      <c r="W264">
        <v>7</v>
      </c>
      <c r="X264" s="32">
        <f t="shared" si="43"/>
        <v>0</v>
      </c>
      <c r="Y264">
        <v>8</v>
      </c>
      <c r="Z264">
        <v>8</v>
      </c>
      <c r="AA264" s="32">
        <f t="shared" si="44"/>
        <v>0</v>
      </c>
    </row>
    <row r="265" spans="1:27" x14ac:dyDescent="0.45">
      <c r="A265">
        <v>6</v>
      </c>
      <c r="B265">
        <v>8</v>
      </c>
      <c r="C265" s="32">
        <f t="shared" si="36"/>
        <v>2</v>
      </c>
      <c r="D265">
        <v>6</v>
      </c>
      <c r="E265">
        <v>8</v>
      </c>
      <c r="F265" s="32">
        <f t="shared" si="37"/>
        <v>2</v>
      </c>
      <c r="G265">
        <v>8</v>
      </c>
      <c r="H265">
        <v>8</v>
      </c>
      <c r="I265" s="32">
        <f t="shared" si="38"/>
        <v>0</v>
      </c>
      <c r="J265">
        <v>8</v>
      </c>
      <c r="K265">
        <v>8</v>
      </c>
      <c r="L265" s="32">
        <f t="shared" si="39"/>
        <v>0</v>
      </c>
      <c r="M265">
        <v>7</v>
      </c>
      <c r="N265">
        <v>7</v>
      </c>
      <c r="O265" s="32">
        <f t="shared" si="40"/>
        <v>0</v>
      </c>
      <c r="P265">
        <v>7</v>
      </c>
      <c r="Q265">
        <v>8</v>
      </c>
      <c r="R265" s="32">
        <f t="shared" si="41"/>
        <v>1</v>
      </c>
      <c r="S265">
        <v>6</v>
      </c>
      <c r="T265">
        <v>7</v>
      </c>
      <c r="U265" s="32">
        <f t="shared" si="42"/>
        <v>1</v>
      </c>
      <c r="V265">
        <v>7</v>
      </c>
      <c r="W265">
        <v>7</v>
      </c>
      <c r="X265" s="32">
        <f t="shared" si="43"/>
        <v>0</v>
      </c>
      <c r="Y265">
        <v>8</v>
      </c>
      <c r="Z265">
        <v>8</v>
      </c>
      <c r="AA265" s="32">
        <f t="shared" si="44"/>
        <v>0</v>
      </c>
    </row>
    <row r="266" spans="1:27" x14ac:dyDescent="0.45">
      <c r="A266">
        <v>6</v>
      </c>
      <c r="B266">
        <v>8</v>
      </c>
      <c r="C266" s="32">
        <f t="shared" si="36"/>
        <v>2</v>
      </c>
      <c r="D266">
        <v>6</v>
      </c>
      <c r="E266">
        <v>8</v>
      </c>
      <c r="F266" s="32">
        <f t="shared" si="37"/>
        <v>2</v>
      </c>
      <c r="G266">
        <v>8</v>
      </c>
      <c r="H266">
        <v>8</v>
      </c>
      <c r="I266" s="32">
        <f t="shared" si="38"/>
        <v>0</v>
      </c>
      <c r="J266">
        <v>8</v>
      </c>
      <c r="K266">
        <v>8</v>
      </c>
      <c r="L266" s="32">
        <f t="shared" si="39"/>
        <v>0</v>
      </c>
      <c r="M266">
        <v>7</v>
      </c>
      <c r="N266">
        <v>7</v>
      </c>
      <c r="O266" s="32">
        <f t="shared" si="40"/>
        <v>0</v>
      </c>
      <c r="P266">
        <v>7</v>
      </c>
      <c r="Q266">
        <v>8</v>
      </c>
      <c r="R266" s="32">
        <f t="shared" si="41"/>
        <v>1</v>
      </c>
      <c r="S266">
        <v>6</v>
      </c>
      <c r="T266">
        <v>7</v>
      </c>
      <c r="U266" s="32">
        <f t="shared" si="42"/>
        <v>1</v>
      </c>
      <c r="V266">
        <v>7</v>
      </c>
      <c r="W266">
        <v>7</v>
      </c>
      <c r="X266" s="32">
        <f t="shared" si="43"/>
        <v>0</v>
      </c>
      <c r="Y266">
        <v>8</v>
      </c>
      <c r="Z266">
        <v>8</v>
      </c>
      <c r="AA266" s="32">
        <f t="shared" si="44"/>
        <v>0</v>
      </c>
    </row>
    <row r="267" spans="1:27" x14ac:dyDescent="0.45">
      <c r="A267">
        <v>6</v>
      </c>
      <c r="B267">
        <v>8</v>
      </c>
      <c r="C267" s="32">
        <f t="shared" si="36"/>
        <v>2</v>
      </c>
      <c r="D267">
        <v>6</v>
      </c>
      <c r="E267">
        <v>8</v>
      </c>
      <c r="F267" s="32">
        <f t="shared" si="37"/>
        <v>2</v>
      </c>
      <c r="G267">
        <v>8</v>
      </c>
      <c r="H267">
        <v>8</v>
      </c>
      <c r="I267" s="32">
        <f t="shared" si="38"/>
        <v>0</v>
      </c>
      <c r="J267">
        <v>8</v>
      </c>
      <c r="K267">
        <v>8</v>
      </c>
      <c r="L267" s="32">
        <f t="shared" si="39"/>
        <v>0</v>
      </c>
      <c r="M267">
        <v>7</v>
      </c>
      <c r="N267">
        <v>7</v>
      </c>
      <c r="O267" s="32">
        <f t="shared" si="40"/>
        <v>0</v>
      </c>
      <c r="P267">
        <v>7</v>
      </c>
      <c r="Q267">
        <v>8</v>
      </c>
      <c r="R267" s="32">
        <f t="shared" si="41"/>
        <v>1</v>
      </c>
      <c r="S267">
        <v>6</v>
      </c>
      <c r="T267">
        <v>7</v>
      </c>
      <c r="U267" s="32">
        <f t="shared" si="42"/>
        <v>1</v>
      </c>
      <c r="V267">
        <v>7</v>
      </c>
      <c r="W267">
        <v>7</v>
      </c>
      <c r="X267" s="32">
        <f t="shared" si="43"/>
        <v>0</v>
      </c>
      <c r="Y267">
        <v>8</v>
      </c>
      <c r="Z267">
        <v>8</v>
      </c>
      <c r="AA267" s="32">
        <f t="shared" si="44"/>
        <v>0</v>
      </c>
    </row>
    <row r="268" spans="1:27" x14ac:dyDescent="0.45">
      <c r="A268">
        <v>6</v>
      </c>
      <c r="B268">
        <v>8</v>
      </c>
      <c r="C268" s="32">
        <f t="shared" si="36"/>
        <v>2</v>
      </c>
      <c r="D268">
        <v>6</v>
      </c>
      <c r="E268">
        <v>8</v>
      </c>
      <c r="F268" s="32">
        <f t="shared" si="37"/>
        <v>2</v>
      </c>
      <c r="G268">
        <v>8</v>
      </c>
      <c r="H268">
        <v>8</v>
      </c>
      <c r="I268" s="32">
        <f t="shared" si="38"/>
        <v>0</v>
      </c>
      <c r="J268">
        <v>8</v>
      </c>
      <c r="K268">
        <v>8</v>
      </c>
      <c r="L268" s="32">
        <f t="shared" si="39"/>
        <v>0</v>
      </c>
      <c r="M268">
        <v>7</v>
      </c>
      <c r="N268">
        <v>7</v>
      </c>
      <c r="O268" s="32">
        <f t="shared" si="40"/>
        <v>0</v>
      </c>
      <c r="P268">
        <v>7</v>
      </c>
      <c r="Q268">
        <v>8</v>
      </c>
      <c r="R268" s="32">
        <f t="shared" si="41"/>
        <v>1</v>
      </c>
      <c r="S268">
        <v>6</v>
      </c>
      <c r="T268">
        <v>7</v>
      </c>
      <c r="U268" s="32">
        <f t="shared" si="42"/>
        <v>1</v>
      </c>
      <c r="V268">
        <v>7</v>
      </c>
      <c r="W268">
        <v>7</v>
      </c>
      <c r="X268" s="32">
        <f t="shared" si="43"/>
        <v>0</v>
      </c>
      <c r="Y268">
        <v>8</v>
      </c>
      <c r="Z268">
        <v>8</v>
      </c>
      <c r="AA268" s="32">
        <f t="shared" si="44"/>
        <v>0</v>
      </c>
    </row>
    <row r="269" spans="1:27" x14ac:dyDescent="0.45">
      <c r="A269">
        <v>6</v>
      </c>
      <c r="B269">
        <v>8</v>
      </c>
      <c r="C269" s="32">
        <f t="shared" si="36"/>
        <v>2</v>
      </c>
      <c r="D269">
        <v>6</v>
      </c>
      <c r="E269">
        <v>8</v>
      </c>
      <c r="F269" s="32">
        <f t="shared" si="37"/>
        <v>2</v>
      </c>
      <c r="G269">
        <v>8</v>
      </c>
      <c r="H269">
        <v>8</v>
      </c>
      <c r="I269" s="32">
        <f t="shared" si="38"/>
        <v>0</v>
      </c>
      <c r="J269">
        <v>8</v>
      </c>
      <c r="K269">
        <v>8</v>
      </c>
      <c r="L269" s="32">
        <f t="shared" si="39"/>
        <v>0</v>
      </c>
      <c r="M269">
        <v>7</v>
      </c>
      <c r="N269">
        <v>7</v>
      </c>
      <c r="O269" s="32">
        <f t="shared" si="40"/>
        <v>0</v>
      </c>
      <c r="P269">
        <v>7</v>
      </c>
      <c r="Q269">
        <v>8</v>
      </c>
      <c r="R269" s="32">
        <f t="shared" si="41"/>
        <v>1</v>
      </c>
      <c r="S269">
        <v>6</v>
      </c>
      <c r="T269">
        <v>7</v>
      </c>
      <c r="U269" s="32">
        <f t="shared" si="42"/>
        <v>1</v>
      </c>
      <c r="V269">
        <v>7</v>
      </c>
      <c r="W269">
        <v>7</v>
      </c>
      <c r="X269" s="32">
        <f t="shared" si="43"/>
        <v>0</v>
      </c>
      <c r="Y269">
        <v>8</v>
      </c>
      <c r="Z269">
        <v>8</v>
      </c>
      <c r="AA269" s="32">
        <f t="shared" si="44"/>
        <v>0</v>
      </c>
    </row>
    <row r="270" spans="1:27" x14ac:dyDescent="0.45">
      <c r="A270">
        <v>6</v>
      </c>
      <c r="B270">
        <v>8</v>
      </c>
      <c r="C270" s="32">
        <f t="shared" si="36"/>
        <v>2</v>
      </c>
      <c r="D270">
        <v>6</v>
      </c>
      <c r="E270">
        <v>8</v>
      </c>
      <c r="F270" s="32">
        <f t="shared" si="37"/>
        <v>2</v>
      </c>
      <c r="G270">
        <v>8</v>
      </c>
      <c r="H270">
        <v>8</v>
      </c>
      <c r="I270" s="32">
        <f t="shared" si="38"/>
        <v>0</v>
      </c>
      <c r="J270">
        <v>8</v>
      </c>
      <c r="K270">
        <v>8</v>
      </c>
      <c r="L270" s="32">
        <f t="shared" si="39"/>
        <v>0</v>
      </c>
      <c r="M270">
        <v>7</v>
      </c>
      <c r="N270">
        <v>7</v>
      </c>
      <c r="O270" s="32">
        <f t="shared" si="40"/>
        <v>0</v>
      </c>
      <c r="P270">
        <v>7</v>
      </c>
      <c r="Q270">
        <v>8</v>
      </c>
      <c r="R270" s="32">
        <f t="shared" si="41"/>
        <v>1</v>
      </c>
      <c r="S270">
        <v>6</v>
      </c>
      <c r="T270">
        <v>7</v>
      </c>
      <c r="U270" s="32">
        <f t="shared" si="42"/>
        <v>1</v>
      </c>
      <c r="V270">
        <v>7</v>
      </c>
      <c r="W270">
        <v>7</v>
      </c>
      <c r="X270" s="32">
        <f t="shared" si="43"/>
        <v>0</v>
      </c>
      <c r="Y270">
        <v>8</v>
      </c>
      <c r="Z270">
        <v>8</v>
      </c>
      <c r="AA270" s="32">
        <f t="shared" si="44"/>
        <v>0</v>
      </c>
    </row>
    <row r="271" spans="1:27" x14ac:dyDescent="0.45">
      <c r="A271">
        <v>6</v>
      </c>
      <c r="B271">
        <v>8</v>
      </c>
      <c r="C271" s="32">
        <f t="shared" si="36"/>
        <v>2</v>
      </c>
      <c r="D271">
        <v>6</v>
      </c>
      <c r="E271">
        <v>8</v>
      </c>
      <c r="F271" s="32">
        <f t="shared" si="37"/>
        <v>2</v>
      </c>
      <c r="G271">
        <v>8</v>
      </c>
      <c r="H271">
        <v>8</v>
      </c>
      <c r="I271" s="32">
        <f t="shared" si="38"/>
        <v>0</v>
      </c>
      <c r="J271">
        <v>8</v>
      </c>
      <c r="K271">
        <v>8</v>
      </c>
      <c r="L271" s="32">
        <f t="shared" si="39"/>
        <v>0</v>
      </c>
      <c r="M271">
        <v>7</v>
      </c>
      <c r="N271">
        <v>7</v>
      </c>
      <c r="O271" s="32">
        <f t="shared" si="40"/>
        <v>0</v>
      </c>
      <c r="P271">
        <v>7</v>
      </c>
      <c r="Q271">
        <v>8</v>
      </c>
      <c r="R271" s="32">
        <f t="shared" si="41"/>
        <v>1</v>
      </c>
      <c r="S271">
        <v>6</v>
      </c>
      <c r="T271">
        <v>7</v>
      </c>
      <c r="U271" s="32">
        <f t="shared" si="42"/>
        <v>1</v>
      </c>
      <c r="V271">
        <v>7</v>
      </c>
      <c r="W271">
        <v>7</v>
      </c>
      <c r="X271" s="32">
        <f t="shared" si="43"/>
        <v>0</v>
      </c>
      <c r="Y271">
        <v>8</v>
      </c>
      <c r="Z271">
        <v>8</v>
      </c>
      <c r="AA271" s="32">
        <f t="shared" si="44"/>
        <v>0</v>
      </c>
    </row>
    <row r="272" spans="1:27" x14ac:dyDescent="0.45">
      <c r="A272">
        <v>6</v>
      </c>
      <c r="B272">
        <v>8</v>
      </c>
      <c r="C272" s="32">
        <f t="shared" si="36"/>
        <v>2</v>
      </c>
      <c r="D272">
        <v>6</v>
      </c>
      <c r="E272">
        <v>8</v>
      </c>
      <c r="F272" s="32">
        <f t="shared" si="37"/>
        <v>2</v>
      </c>
      <c r="G272">
        <v>8</v>
      </c>
      <c r="H272">
        <v>8</v>
      </c>
      <c r="I272" s="32">
        <f t="shared" si="38"/>
        <v>0</v>
      </c>
      <c r="J272">
        <v>8</v>
      </c>
      <c r="K272">
        <v>8</v>
      </c>
      <c r="L272" s="32">
        <f t="shared" si="39"/>
        <v>0</v>
      </c>
      <c r="M272">
        <v>7</v>
      </c>
      <c r="N272">
        <v>7</v>
      </c>
      <c r="O272" s="32">
        <f t="shared" si="40"/>
        <v>0</v>
      </c>
      <c r="P272">
        <v>7</v>
      </c>
      <c r="Q272">
        <v>8</v>
      </c>
      <c r="R272" s="32">
        <f t="shared" si="41"/>
        <v>1</v>
      </c>
      <c r="S272">
        <v>6</v>
      </c>
      <c r="T272">
        <v>7</v>
      </c>
      <c r="U272" s="32">
        <f t="shared" si="42"/>
        <v>1</v>
      </c>
      <c r="V272">
        <v>7</v>
      </c>
      <c r="W272">
        <v>7</v>
      </c>
      <c r="X272" s="32">
        <f t="shared" si="43"/>
        <v>0</v>
      </c>
      <c r="Y272">
        <v>8</v>
      </c>
      <c r="Z272">
        <v>8</v>
      </c>
      <c r="AA272" s="32">
        <f t="shared" si="44"/>
        <v>0</v>
      </c>
    </row>
    <row r="273" spans="1:27" x14ac:dyDescent="0.45">
      <c r="A273">
        <v>6</v>
      </c>
      <c r="B273">
        <v>8</v>
      </c>
      <c r="C273" s="32">
        <f t="shared" si="36"/>
        <v>2</v>
      </c>
      <c r="D273">
        <v>6</v>
      </c>
      <c r="E273">
        <v>8</v>
      </c>
      <c r="F273" s="32">
        <f t="shared" si="37"/>
        <v>2</v>
      </c>
      <c r="G273">
        <v>8</v>
      </c>
      <c r="H273">
        <v>8</v>
      </c>
      <c r="I273" s="32">
        <f t="shared" si="38"/>
        <v>0</v>
      </c>
      <c r="J273">
        <v>8</v>
      </c>
      <c r="K273">
        <v>8</v>
      </c>
      <c r="L273" s="32">
        <f t="shared" si="39"/>
        <v>0</v>
      </c>
      <c r="M273">
        <v>7</v>
      </c>
      <c r="N273">
        <v>7</v>
      </c>
      <c r="O273" s="32">
        <f t="shared" si="40"/>
        <v>0</v>
      </c>
      <c r="P273">
        <v>7</v>
      </c>
      <c r="Q273">
        <v>8</v>
      </c>
      <c r="R273" s="32">
        <f t="shared" si="41"/>
        <v>1</v>
      </c>
      <c r="S273">
        <v>6</v>
      </c>
      <c r="T273">
        <v>7</v>
      </c>
      <c r="U273" s="32">
        <f t="shared" si="42"/>
        <v>1</v>
      </c>
      <c r="V273">
        <v>7</v>
      </c>
      <c r="W273">
        <v>7</v>
      </c>
      <c r="X273" s="32">
        <f t="shared" si="43"/>
        <v>0</v>
      </c>
      <c r="Y273">
        <v>8</v>
      </c>
      <c r="Z273">
        <v>8</v>
      </c>
      <c r="AA273" s="32">
        <f t="shared" si="44"/>
        <v>0</v>
      </c>
    </row>
    <row r="274" spans="1:27" x14ac:dyDescent="0.45">
      <c r="A274">
        <v>6</v>
      </c>
      <c r="B274">
        <v>8</v>
      </c>
      <c r="C274" s="32">
        <f t="shared" si="36"/>
        <v>2</v>
      </c>
      <c r="D274">
        <v>6</v>
      </c>
      <c r="E274">
        <v>8</v>
      </c>
      <c r="F274" s="32">
        <f t="shared" si="37"/>
        <v>2</v>
      </c>
      <c r="G274">
        <v>8</v>
      </c>
      <c r="H274">
        <v>8</v>
      </c>
      <c r="I274" s="32">
        <f t="shared" si="38"/>
        <v>0</v>
      </c>
      <c r="J274">
        <v>8</v>
      </c>
      <c r="K274">
        <v>8</v>
      </c>
      <c r="L274" s="32">
        <f t="shared" si="39"/>
        <v>0</v>
      </c>
      <c r="M274">
        <v>7</v>
      </c>
      <c r="N274">
        <v>7</v>
      </c>
      <c r="O274" s="32">
        <f t="shared" si="40"/>
        <v>0</v>
      </c>
      <c r="P274">
        <v>7</v>
      </c>
      <c r="Q274">
        <v>8</v>
      </c>
      <c r="R274" s="32">
        <f t="shared" si="41"/>
        <v>1</v>
      </c>
      <c r="S274">
        <v>6</v>
      </c>
      <c r="T274">
        <v>7</v>
      </c>
      <c r="U274" s="32">
        <f t="shared" si="42"/>
        <v>1</v>
      </c>
      <c r="V274">
        <v>7</v>
      </c>
      <c r="W274">
        <v>7</v>
      </c>
      <c r="X274" s="32">
        <f t="shared" si="43"/>
        <v>0</v>
      </c>
      <c r="Y274">
        <v>8</v>
      </c>
      <c r="Z274">
        <v>8</v>
      </c>
      <c r="AA274" s="32">
        <f t="shared" si="44"/>
        <v>0</v>
      </c>
    </row>
    <row r="275" spans="1:27" x14ac:dyDescent="0.45">
      <c r="A275">
        <v>6</v>
      </c>
      <c r="B275">
        <v>8</v>
      </c>
      <c r="C275" s="32">
        <f t="shared" si="36"/>
        <v>2</v>
      </c>
      <c r="D275">
        <v>6</v>
      </c>
      <c r="E275">
        <v>8</v>
      </c>
      <c r="F275" s="32">
        <f t="shared" si="37"/>
        <v>2</v>
      </c>
      <c r="G275">
        <v>8</v>
      </c>
      <c r="H275">
        <v>8</v>
      </c>
      <c r="I275" s="32">
        <f t="shared" si="38"/>
        <v>0</v>
      </c>
      <c r="J275">
        <v>8</v>
      </c>
      <c r="K275">
        <v>8</v>
      </c>
      <c r="L275" s="32">
        <f t="shared" si="39"/>
        <v>0</v>
      </c>
      <c r="M275">
        <v>7</v>
      </c>
      <c r="N275">
        <v>7</v>
      </c>
      <c r="O275" s="32">
        <f t="shared" si="40"/>
        <v>0</v>
      </c>
      <c r="P275">
        <v>7</v>
      </c>
      <c r="Q275">
        <v>8</v>
      </c>
      <c r="R275" s="32">
        <f t="shared" si="41"/>
        <v>1</v>
      </c>
      <c r="S275">
        <v>6</v>
      </c>
      <c r="T275">
        <v>7</v>
      </c>
      <c r="U275" s="32">
        <f t="shared" si="42"/>
        <v>1</v>
      </c>
      <c r="V275">
        <v>7</v>
      </c>
      <c r="W275">
        <v>7</v>
      </c>
      <c r="X275" s="32">
        <f t="shared" si="43"/>
        <v>0</v>
      </c>
      <c r="Y275">
        <v>8</v>
      </c>
      <c r="Z275">
        <v>8</v>
      </c>
      <c r="AA275" s="32">
        <f t="shared" si="44"/>
        <v>0</v>
      </c>
    </row>
    <row r="276" spans="1:27" x14ac:dyDescent="0.45">
      <c r="A276">
        <v>6</v>
      </c>
      <c r="B276">
        <v>8</v>
      </c>
      <c r="C276" s="32">
        <f t="shared" si="36"/>
        <v>2</v>
      </c>
      <c r="D276">
        <v>6</v>
      </c>
      <c r="E276">
        <v>8</v>
      </c>
      <c r="F276" s="32">
        <f t="shared" si="37"/>
        <v>2</v>
      </c>
      <c r="G276">
        <v>8</v>
      </c>
      <c r="H276">
        <v>8</v>
      </c>
      <c r="I276" s="32">
        <f t="shared" si="38"/>
        <v>0</v>
      </c>
      <c r="J276">
        <v>8</v>
      </c>
      <c r="K276">
        <v>8</v>
      </c>
      <c r="L276" s="32">
        <f t="shared" si="39"/>
        <v>0</v>
      </c>
      <c r="M276">
        <v>7</v>
      </c>
      <c r="N276">
        <v>7</v>
      </c>
      <c r="O276" s="32">
        <f t="shared" si="40"/>
        <v>0</v>
      </c>
      <c r="P276">
        <v>7</v>
      </c>
      <c r="Q276">
        <v>8</v>
      </c>
      <c r="R276" s="32">
        <f t="shared" si="41"/>
        <v>1</v>
      </c>
      <c r="S276">
        <v>6</v>
      </c>
      <c r="T276">
        <v>7</v>
      </c>
      <c r="U276" s="32">
        <f t="shared" si="42"/>
        <v>1</v>
      </c>
      <c r="V276">
        <v>7</v>
      </c>
      <c r="W276">
        <v>7</v>
      </c>
      <c r="X276" s="32">
        <f t="shared" si="43"/>
        <v>0</v>
      </c>
      <c r="Y276">
        <v>8</v>
      </c>
      <c r="Z276">
        <v>8</v>
      </c>
      <c r="AA276" s="32">
        <f t="shared" si="44"/>
        <v>0</v>
      </c>
    </row>
    <row r="277" spans="1:27" x14ac:dyDescent="0.45">
      <c r="A277">
        <v>6</v>
      </c>
      <c r="B277">
        <v>8</v>
      </c>
      <c r="C277" s="32">
        <f t="shared" si="36"/>
        <v>2</v>
      </c>
      <c r="D277">
        <v>6</v>
      </c>
      <c r="E277">
        <v>8</v>
      </c>
      <c r="F277" s="32">
        <f t="shared" si="37"/>
        <v>2</v>
      </c>
      <c r="G277">
        <v>8</v>
      </c>
      <c r="H277">
        <v>8</v>
      </c>
      <c r="I277" s="32">
        <f t="shared" si="38"/>
        <v>0</v>
      </c>
      <c r="J277">
        <v>8</v>
      </c>
      <c r="K277">
        <v>8</v>
      </c>
      <c r="L277" s="32">
        <f t="shared" si="39"/>
        <v>0</v>
      </c>
      <c r="M277">
        <v>7</v>
      </c>
      <c r="N277">
        <v>8</v>
      </c>
      <c r="O277" s="32">
        <f t="shared" si="40"/>
        <v>1</v>
      </c>
      <c r="P277">
        <v>7</v>
      </c>
      <c r="Q277">
        <v>8</v>
      </c>
      <c r="R277" s="32">
        <f t="shared" si="41"/>
        <v>1</v>
      </c>
      <c r="S277">
        <v>6</v>
      </c>
      <c r="T277">
        <v>7</v>
      </c>
      <c r="U277" s="32">
        <f t="shared" si="42"/>
        <v>1</v>
      </c>
      <c r="V277">
        <v>7</v>
      </c>
      <c r="W277">
        <v>7</v>
      </c>
      <c r="X277" s="32">
        <f t="shared" si="43"/>
        <v>0</v>
      </c>
      <c r="Y277">
        <v>8</v>
      </c>
      <c r="Z277">
        <v>8</v>
      </c>
      <c r="AA277" s="32">
        <f t="shared" si="44"/>
        <v>0</v>
      </c>
    </row>
    <row r="278" spans="1:27" x14ac:dyDescent="0.45">
      <c r="A278">
        <v>6</v>
      </c>
      <c r="B278">
        <v>8</v>
      </c>
      <c r="C278" s="32">
        <f t="shared" si="36"/>
        <v>2</v>
      </c>
      <c r="D278">
        <v>6</v>
      </c>
      <c r="E278">
        <v>8</v>
      </c>
      <c r="F278" s="32">
        <f t="shared" si="37"/>
        <v>2</v>
      </c>
      <c r="G278">
        <v>8</v>
      </c>
      <c r="H278">
        <v>8</v>
      </c>
      <c r="I278" s="32">
        <f t="shared" si="38"/>
        <v>0</v>
      </c>
      <c r="J278">
        <v>8</v>
      </c>
      <c r="K278">
        <v>8</v>
      </c>
      <c r="L278" s="32">
        <f t="shared" si="39"/>
        <v>0</v>
      </c>
      <c r="M278">
        <v>7</v>
      </c>
      <c r="N278">
        <v>8</v>
      </c>
      <c r="O278" s="32">
        <f t="shared" si="40"/>
        <v>1</v>
      </c>
      <c r="P278">
        <v>7</v>
      </c>
      <c r="Q278">
        <v>8</v>
      </c>
      <c r="R278" s="32">
        <f t="shared" si="41"/>
        <v>1</v>
      </c>
      <c r="S278">
        <v>6</v>
      </c>
      <c r="T278">
        <v>7</v>
      </c>
      <c r="U278" s="32">
        <f t="shared" si="42"/>
        <v>1</v>
      </c>
      <c r="V278">
        <v>7</v>
      </c>
      <c r="W278">
        <v>7</v>
      </c>
      <c r="X278" s="32">
        <f t="shared" si="43"/>
        <v>0</v>
      </c>
      <c r="Y278">
        <v>8</v>
      </c>
      <c r="Z278">
        <v>8</v>
      </c>
      <c r="AA278" s="32">
        <f t="shared" si="44"/>
        <v>0</v>
      </c>
    </row>
    <row r="279" spans="1:27" x14ac:dyDescent="0.45">
      <c r="A279">
        <v>6</v>
      </c>
      <c r="B279">
        <v>8</v>
      </c>
      <c r="C279" s="32">
        <f t="shared" si="36"/>
        <v>2</v>
      </c>
      <c r="D279">
        <v>6</v>
      </c>
      <c r="E279">
        <v>8</v>
      </c>
      <c r="F279" s="32">
        <f t="shared" si="37"/>
        <v>2</v>
      </c>
      <c r="G279">
        <v>8</v>
      </c>
      <c r="H279">
        <v>8</v>
      </c>
      <c r="I279" s="32">
        <f t="shared" si="38"/>
        <v>0</v>
      </c>
      <c r="J279">
        <v>8</v>
      </c>
      <c r="K279">
        <v>8</v>
      </c>
      <c r="L279" s="32">
        <f t="shared" si="39"/>
        <v>0</v>
      </c>
      <c r="M279">
        <v>7</v>
      </c>
      <c r="N279">
        <v>8</v>
      </c>
      <c r="O279" s="32">
        <f t="shared" si="40"/>
        <v>1</v>
      </c>
      <c r="P279">
        <v>7</v>
      </c>
      <c r="Q279">
        <v>8</v>
      </c>
      <c r="R279" s="32">
        <f t="shared" si="41"/>
        <v>1</v>
      </c>
      <c r="S279">
        <v>6</v>
      </c>
      <c r="T279">
        <v>7</v>
      </c>
      <c r="U279" s="32">
        <f t="shared" si="42"/>
        <v>1</v>
      </c>
      <c r="V279">
        <v>7</v>
      </c>
      <c r="W279">
        <v>7</v>
      </c>
      <c r="X279" s="32">
        <f t="shared" si="43"/>
        <v>0</v>
      </c>
      <c r="Y279">
        <v>8</v>
      </c>
      <c r="Z279">
        <v>8</v>
      </c>
      <c r="AA279" s="32">
        <f t="shared" si="44"/>
        <v>0</v>
      </c>
    </row>
    <row r="280" spans="1:27" x14ac:dyDescent="0.45">
      <c r="A280">
        <v>6</v>
      </c>
      <c r="B280">
        <v>8</v>
      </c>
      <c r="C280" s="32">
        <f t="shared" si="36"/>
        <v>2</v>
      </c>
      <c r="D280">
        <v>6</v>
      </c>
      <c r="E280">
        <v>8</v>
      </c>
      <c r="F280" s="32">
        <f t="shared" si="37"/>
        <v>2</v>
      </c>
      <c r="G280">
        <v>8</v>
      </c>
      <c r="H280">
        <v>8</v>
      </c>
      <c r="I280" s="32">
        <f t="shared" si="38"/>
        <v>0</v>
      </c>
      <c r="J280">
        <v>8</v>
      </c>
      <c r="K280">
        <v>8</v>
      </c>
      <c r="L280" s="32">
        <f t="shared" si="39"/>
        <v>0</v>
      </c>
      <c r="M280">
        <v>7</v>
      </c>
      <c r="N280">
        <v>8</v>
      </c>
      <c r="O280" s="32">
        <f t="shared" si="40"/>
        <v>1</v>
      </c>
      <c r="P280">
        <v>7</v>
      </c>
      <c r="Q280">
        <v>8</v>
      </c>
      <c r="R280" s="32">
        <f t="shared" si="41"/>
        <v>1</v>
      </c>
      <c r="S280">
        <v>6</v>
      </c>
      <c r="T280">
        <v>7</v>
      </c>
      <c r="U280" s="32">
        <f t="shared" si="42"/>
        <v>1</v>
      </c>
      <c r="V280">
        <v>7</v>
      </c>
      <c r="W280">
        <v>7</v>
      </c>
      <c r="X280" s="32">
        <f t="shared" si="43"/>
        <v>0</v>
      </c>
      <c r="Y280">
        <v>8</v>
      </c>
      <c r="Z280">
        <v>8</v>
      </c>
      <c r="AA280" s="32">
        <f t="shared" si="44"/>
        <v>0</v>
      </c>
    </row>
    <row r="281" spans="1:27" x14ac:dyDescent="0.45">
      <c r="A281">
        <v>6</v>
      </c>
      <c r="B281">
        <v>8</v>
      </c>
      <c r="C281" s="32">
        <f t="shared" si="36"/>
        <v>2</v>
      </c>
      <c r="D281">
        <v>6</v>
      </c>
      <c r="E281">
        <v>8</v>
      </c>
      <c r="F281" s="32">
        <f t="shared" si="37"/>
        <v>2</v>
      </c>
      <c r="G281">
        <v>8</v>
      </c>
      <c r="H281">
        <v>8</v>
      </c>
      <c r="I281" s="32">
        <f t="shared" si="38"/>
        <v>0</v>
      </c>
      <c r="J281">
        <v>8</v>
      </c>
      <c r="K281">
        <v>8</v>
      </c>
      <c r="L281" s="32">
        <f t="shared" si="39"/>
        <v>0</v>
      </c>
      <c r="M281">
        <v>7</v>
      </c>
      <c r="N281">
        <v>8</v>
      </c>
      <c r="O281" s="32">
        <f t="shared" si="40"/>
        <v>1</v>
      </c>
      <c r="P281">
        <v>7</v>
      </c>
      <c r="Q281">
        <v>8</v>
      </c>
      <c r="R281" s="32">
        <f t="shared" si="41"/>
        <v>1</v>
      </c>
      <c r="S281">
        <v>6</v>
      </c>
      <c r="T281">
        <v>7</v>
      </c>
      <c r="U281" s="32">
        <f t="shared" si="42"/>
        <v>1</v>
      </c>
      <c r="V281">
        <v>7</v>
      </c>
      <c r="W281">
        <v>7</v>
      </c>
      <c r="X281" s="32">
        <f t="shared" si="43"/>
        <v>0</v>
      </c>
      <c r="Y281">
        <v>8</v>
      </c>
      <c r="Z281">
        <v>8</v>
      </c>
      <c r="AA281" s="32">
        <f t="shared" si="44"/>
        <v>0</v>
      </c>
    </row>
    <row r="282" spans="1:27" x14ac:dyDescent="0.45">
      <c r="A282">
        <v>6</v>
      </c>
      <c r="B282">
        <v>8</v>
      </c>
      <c r="C282" s="32">
        <f t="shared" si="36"/>
        <v>2</v>
      </c>
      <c r="D282">
        <v>6</v>
      </c>
      <c r="E282">
        <v>8</v>
      </c>
      <c r="F282" s="32">
        <f t="shared" si="37"/>
        <v>2</v>
      </c>
      <c r="G282">
        <v>8</v>
      </c>
      <c r="H282">
        <v>8</v>
      </c>
      <c r="I282" s="32">
        <f t="shared" si="38"/>
        <v>0</v>
      </c>
      <c r="J282">
        <v>8</v>
      </c>
      <c r="K282">
        <v>8</v>
      </c>
      <c r="L282" s="32">
        <f t="shared" si="39"/>
        <v>0</v>
      </c>
      <c r="M282">
        <v>7</v>
      </c>
      <c r="N282">
        <v>8</v>
      </c>
      <c r="O282" s="32">
        <f t="shared" si="40"/>
        <v>1</v>
      </c>
      <c r="P282">
        <v>7</v>
      </c>
      <c r="Q282">
        <v>8</v>
      </c>
      <c r="R282" s="32">
        <f t="shared" si="41"/>
        <v>1</v>
      </c>
      <c r="S282">
        <v>6</v>
      </c>
      <c r="T282">
        <v>7</v>
      </c>
      <c r="U282" s="32">
        <f t="shared" si="42"/>
        <v>1</v>
      </c>
      <c r="V282">
        <v>7</v>
      </c>
      <c r="W282">
        <v>7</v>
      </c>
      <c r="X282" s="32">
        <f t="shared" si="43"/>
        <v>0</v>
      </c>
      <c r="Y282">
        <v>8</v>
      </c>
      <c r="Z282">
        <v>8</v>
      </c>
      <c r="AA282" s="32">
        <f t="shared" si="44"/>
        <v>0</v>
      </c>
    </row>
    <row r="283" spans="1:27" x14ac:dyDescent="0.45">
      <c r="A283">
        <v>6</v>
      </c>
      <c r="B283">
        <v>8</v>
      </c>
      <c r="C283" s="32">
        <f t="shared" si="36"/>
        <v>2</v>
      </c>
      <c r="D283">
        <v>6</v>
      </c>
      <c r="E283">
        <v>8</v>
      </c>
      <c r="F283" s="32">
        <f t="shared" si="37"/>
        <v>2</v>
      </c>
      <c r="G283">
        <v>8</v>
      </c>
      <c r="H283">
        <v>8</v>
      </c>
      <c r="I283" s="32">
        <f t="shared" si="38"/>
        <v>0</v>
      </c>
      <c r="J283">
        <v>8</v>
      </c>
      <c r="K283">
        <v>8</v>
      </c>
      <c r="L283" s="32">
        <f t="shared" si="39"/>
        <v>0</v>
      </c>
      <c r="M283">
        <v>7</v>
      </c>
      <c r="N283">
        <v>8</v>
      </c>
      <c r="O283" s="32">
        <f t="shared" si="40"/>
        <v>1</v>
      </c>
      <c r="P283">
        <v>7</v>
      </c>
      <c r="Q283">
        <v>8</v>
      </c>
      <c r="R283" s="32">
        <f t="shared" si="41"/>
        <v>1</v>
      </c>
      <c r="S283">
        <v>6</v>
      </c>
      <c r="T283">
        <v>7</v>
      </c>
      <c r="U283" s="32">
        <f t="shared" si="42"/>
        <v>1</v>
      </c>
      <c r="V283">
        <v>7</v>
      </c>
      <c r="W283">
        <v>8</v>
      </c>
      <c r="X283" s="32">
        <f t="shared" si="43"/>
        <v>1</v>
      </c>
      <c r="Y283">
        <v>8</v>
      </c>
      <c r="Z283">
        <v>8</v>
      </c>
      <c r="AA283" s="32">
        <f t="shared" si="44"/>
        <v>0</v>
      </c>
    </row>
    <row r="284" spans="1:27" x14ac:dyDescent="0.45">
      <c r="A284">
        <v>6</v>
      </c>
      <c r="B284">
        <v>8</v>
      </c>
      <c r="C284" s="32">
        <f t="shared" si="36"/>
        <v>2</v>
      </c>
      <c r="D284">
        <v>6</v>
      </c>
      <c r="E284">
        <v>8</v>
      </c>
      <c r="F284" s="32">
        <f t="shared" si="37"/>
        <v>2</v>
      </c>
      <c r="G284">
        <v>8</v>
      </c>
      <c r="H284">
        <v>8</v>
      </c>
      <c r="I284" s="32">
        <f t="shared" si="38"/>
        <v>0</v>
      </c>
      <c r="J284">
        <v>8</v>
      </c>
      <c r="K284">
        <v>8</v>
      </c>
      <c r="L284" s="32">
        <f t="shared" si="39"/>
        <v>0</v>
      </c>
      <c r="M284">
        <v>7</v>
      </c>
      <c r="N284">
        <v>8</v>
      </c>
      <c r="O284" s="32">
        <f t="shared" si="40"/>
        <v>1</v>
      </c>
      <c r="P284">
        <v>7</v>
      </c>
      <c r="Q284">
        <v>8</v>
      </c>
      <c r="R284" s="32">
        <f t="shared" si="41"/>
        <v>1</v>
      </c>
      <c r="S284">
        <v>6</v>
      </c>
      <c r="T284">
        <v>7</v>
      </c>
      <c r="U284" s="32">
        <f t="shared" si="42"/>
        <v>1</v>
      </c>
      <c r="V284">
        <v>7</v>
      </c>
      <c r="W284">
        <v>8</v>
      </c>
      <c r="X284" s="32">
        <f t="shared" si="43"/>
        <v>1</v>
      </c>
      <c r="Y284">
        <v>8</v>
      </c>
      <c r="Z284">
        <v>8</v>
      </c>
      <c r="AA284" s="32">
        <f t="shared" si="44"/>
        <v>0</v>
      </c>
    </row>
    <row r="285" spans="1:27" x14ac:dyDescent="0.45">
      <c r="A285">
        <v>6</v>
      </c>
      <c r="B285">
        <v>8</v>
      </c>
      <c r="C285" s="32">
        <f t="shared" si="36"/>
        <v>2</v>
      </c>
      <c r="D285">
        <v>6</v>
      </c>
      <c r="E285">
        <v>8</v>
      </c>
      <c r="F285" s="32">
        <f t="shared" si="37"/>
        <v>2</v>
      </c>
      <c r="G285">
        <v>8</v>
      </c>
      <c r="H285">
        <v>8</v>
      </c>
      <c r="I285" s="32">
        <f t="shared" si="38"/>
        <v>0</v>
      </c>
      <c r="J285">
        <v>8</v>
      </c>
      <c r="K285">
        <v>8</v>
      </c>
      <c r="L285" s="32">
        <f t="shared" si="39"/>
        <v>0</v>
      </c>
      <c r="M285">
        <v>7</v>
      </c>
      <c r="N285">
        <v>8</v>
      </c>
      <c r="O285" s="32">
        <f t="shared" si="40"/>
        <v>1</v>
      </c>
      <c r="P285">
        <v>7</v>
      </c>
      <c r="Q285">
        <v>8</v>
      </c>
      <c r="R285" s="32">
        <f t="shared" si="41"/>
        <v>1</v>
      </c>
      <c r="S285">
        <v>6</v>
      </c>
      <c r="T285">
        <v>7</v>
      </c>
      <c r="U285" s="32">
        <f t="shared" si="42"/>
        <v>1</v>
      </c>
      <c r="V285">
        <v>7</v>
      </c>
      <c r="W285">
        <v>8</v>
      </c>
      <c r="X285" s="32">
        <f t="shared" si="43"/>
        <v>1</v>
      </c>
      <c r="Y285">
        <v>8</v>
      </c>
      <c r="Z285">
        <v>8</v>
      </c>
      <c r="AA285" s="32">
        <f t="shared" si="44"/>
        <v>0</v>
      </c>
    </row>
    <row r="286" spans="1:27" x14ac:dyDescent="0.45">
      <c r="A286">
        <v>6</v>
      </c>
      <c r="B286">
        <v>8</v>
      </c>
      <c r="C286" s="32">
        <f t="shared" si="36"/>
        <v>2</v>
      </c>
      <c r="D286">
        <v>6</v>
      </c>
      <c r="E286">
        <v>8</v>
      </c>
      <c r="F286" s="32">
        <f t="shared" si="37"/>
        <v>2</v>
      </c>
      <c r="G286">
        <v>8</v>
      </c>
      <c r="H286">
        <v>8</v>
      </c>
      <c r="I286" s="32">
        <f t="shared" si="38"/>
        <v>0</v>
      </c>
      <c r="J286">
        <v>8</v>
      </c>
      <c r="K286">
        <v>8</v>
      </c>
      <c r="L286" s="32">
        <f t="shared" si="39"/>
        <v>0</v>
      </c>
      <c r="M286">
        <v>7</v>
      </c>
      <c r="N286">
        <v>8</v>
      </c>
      <c r="O286" s="32">
        <f t="shared" si="40"/>
        <v>1</v>
      </c>
      <c r="P286">
        <v>7</v>
      </c>
      <c r="Q286">
        <v>8</v>
      </c>
      <c r="R286" s="32">
        <f t="shared" si="41"/>
        <v>1</v>
      </c>
      <c r="S286">
        <v>6</v>
      </c>
      <c r="T286">
        <v>7</v>
      </c>
      <c r="U286" s="32">
        <f t="shared" si="42"/>
        <v>1</v>
      </c>
      <c r="V286">
        <v>7</v>
      </c>
      <c r="W286">
        <v>8</v>
      </c>
      <c r="X286" s="32">
        <f t="shared" si="43"/>
        <v>1</v>
      </c>
      <c r="Y286">
        <v>8</v>
      </c>
      <c r="Z286">
        <v>8</v>
      </c>
      <c r="AA286" s="32">
        <f t="shared" si="44"/>
        <v>0</v>
      </c>
    </row>
    <row r="287" spans="1:27" x14ac:dyDescent="0.45">
      <c r="A287">
        <v>6</v>
      </c>
      <c r="B287">
        <v>8</v>
      </c>
      <c r="C287" s="32">
        <f t="shared" si="36"/>
        <v>2</v>
      </c>
      <c r="D287">
        <v>6</v>
      </c>
      <c r="E287">
        <v>8</v>
      </c>
      <c r="F287" s="32">
        <f t="shared" si="37"/>
        <v>2</v>
      </c>
      <c r="G287">
        <v>8</v>
      </c>
      <c r="H287">
        <v>8</v>
      </c>
      <c r="I287" s="32">
        <f t="shared" si="38"/>
        <v>0</v>
      </c>
      <c r="J287">
        <v>8</v>
      </c>
      <c r="K287">
        <v>8</v>
      </c>
      <c r="L287" s="32">
        <f t="shared" si="39"/>
        <v>0</v>
      </c>
      <c r="M287">
        <v>7</v>
      </c>
      <c r="N287">
        <v>8</v>
      </c>
      <c r="O287" s="32">
        <f t="shared" si="40"/>
        <v>1</v>
      </c>
      <c r="P287">
        <v>7</v>
      </c>
      <c r="Q287">
        <v>8</v>
      </c>
      <c r="R287" s="32">
        <f t="shared" si="41"/>
        <v>1</v>
      </c>
      <c r="S287">
        <v>6</v>
      </c>
      <c r="T287">
        <v>7</v>
      </c>
      <c r="U287" s="32">
        <f t="shared" si="42"/>
        <v>1</v>
      </c>
      <c r="V287">
        <v>7</v>
      </c>
      <c r="W287">
        <v>8</v>
      </c>
      <c r="X287" s="32">
        <f t="shared" si="43"/>
        <v>1</v>
      </c>
      <c r="Y287">
        <v>8</v>
      </c>
      <c r="Z287">
        <v>8</v>
      </c>
      <c r="AA287" s="32">
        <f t="shared" si="44"/>
        <v>0</v>
      </c>
    </row>
    <row r="288" spans="1:27" x14ac:dyDescent="0.45">
      <c r="A288">
        <v>6</v>
      </c>
      <c r="B288">
        <v>8</v>
      </c>
      <c r="C288" s="32">
        <f t="shared" si="36"/>
        <v>2</v>
      </c>
      <c r="D288">
        <v>6</v>
      </c>
      <c r="E288">
        <v>8</v>
      </c>
      <c r="F288" s="32">
        <f t="shared" si="37"/>
        <v>2</v>
      </c>
      <c r="G288">
        <v>8</v>
      </c>
      <c r="H288">
        <v>8</v>
      </c>
      <c r="I288" s="32">
        <f t="shared" si="38"/>
        <v>0</v>
      </c>
      <c r="J288">
        <v>8</v>
      </c>
      <c r="K288">
        <v>8</v>
      </c>
      <c r="L288" s="32">
        <f t="shared" si="39"/>
        <v>0</v>
      </c>
      <c r="M288">
        <v>7</v>
      </c>
      <c r="N288">
        <v>8</v>
      </c>
      <c r="O288" s="32">
        <f t="shared" si="40"/>
        <v>1</v>
      </c>
      <c r="P288">
        <v>7</v>
      </c>
      <c r="Q288">
        <v>8</v>
      </c>
      <c r="R288" s="32">
        <f t="shared" si="41"/>
        <v>1</v>
      </c>
      <c r="S288">
        <v>6</v>
      </c>
      <c r="T288">
        <v>7</v>
      </c>
      <c r="U288" s="32">
        <f t="shared" si="42"/>
        <v>1</v>
      </c>
      <c r="V288">
        <v>7</v>
      </c>
      <c r="W288">
        <v>8</v>
      </c>
      <c r="X288" s="32">
        <f t="shared" si="43"/>
        <v>1</v>
      </c>
      <c r="Y288">
        <v>8</v>
      </c>
      <c r="Z288">
        <v>8</v>
      </c>
      <c r="AA288" s="32">
        <f t="shared" si="44"/>
        <v>0</v>
      </c>
    </row>
    <row r="289" spans="1:27" x14ac:dyDescent="0.45">
      <c r="A289">
        <v>6</v>
      </c>
      <c r="B289">
        <v>8</v>
      </c>
      <c r="C289" s="32">
        <f t="shared" si="36"/>
        <v>2</v>
      </c>
      <c r="D289">
        <v>6</v>
      </c>
      <c r="E289">
        <v>8</v>
      </c>
      <c r="F289" s="32">
        <f t="shared" si="37"/>
        <v>2</v>
      </c>
      <c r="G289">
        <v>8</v>
      </c>
      <c r="H289">
        <v>8</v>
      </c>
      <c r="I289" s="32">
        <f t="shared" si="38"/>
        <v>0</v>
      </c>
      <c r="J289">
        <v>8</v>
      </c>
      <c r="K289">
        <v>8</v>
      </c>
      <c r="L289" s="32">
        <f t="shared" si="39"/>
        <v>0</v>
      </c>
      <c r="M289">
        <v>7</v>
      </c>
      <c r="N289">
        <v>8</v>
      </c>
      <c r="O289" s="32">
        <f t="shared" si="40"/>
        <v>1</v>
      </c>
      <c r="P289">
        <v>7</v>
      </c>
      <c r="Q289">
        <v>8</v>
      </c>
      <c r="R289" s="32">
        <f t="shared" si="41"/>
        <v>1</v>
      </c>
      <c r="S289">
        <v>6</v>
      </c>
      <c r="T289">
        <v>7</v>
      </c>
      <c r="U289" s="32">
        <f t="shared" si="42"/>
        <v>1</v>
      </c>
      <c r="V289">
        <v>7</v>
      </c>
      <c r="W289">
        <v>8</v>
      </c>
      <c r="X289" s="32">
        <f t="shared" si="43"/>
        <v>1</v>
      </c>
      <c r="Y289">
        <v>8</v>
      </c>
      <c r="Z289">
        <v>8</v>
      </c>
      <c r="AA289" s="32">
        <f t="shared" si="44"/>
        <v>0</v>
      </c>
    </row>
    <row r="290" spans="1:27" x14ac:dyDescent="0.45">
      <c r="A290">
        <v>6</v>
      </c>
      <c r="B290">
        <v>8</v>
      </c>
      <c r="C290" s="32">
        <f t="shared" si="36"/>
        <v>2</v>
      </c>
      <c r="D290">
        <v>6</v>
      </c>
      <c r="E290">
        <v>8</v>
      </c>
      <c r="F290" s="32">
        <f t="shared" si="37"/>
        <v>2</v>
      </c>
      <c r="G290">
        <v>8</v>
      </c>
      <c r="H290">
        <v>8</v>
      </c>
      <c r="I290" s="32">
        <f t="shared" si="38"/>
        <v>0</v>
      </c>
      <c r="J290">
        <v>8</v>
      </c>
      <c r="K290">
        <v>8</v>
      </c>
      <c r="L290" s="32">
        <f t="shared" si="39"/>
        <v>0</v>
      </c>
      <c r="M290">
        <v>7</v>
      </c>
      <c r="N290">
        <v>8</v>
      </c>
      <c r="O290" s="32">
        <f t="shared" si="40"/>
        <v>1</v>
      </c>
      <c r="P290">
        <v>7</v>
      </c>
      <c r="Q290">
        <v>8</v>
      </c>
      <c r="R290" s="32">
        <f t="shared" si="41"/>
        <v>1</v>
      </c>
      <c r="S290">
        <v>6</v>
      </c>
      <c r="T290">
        <v>7</v>
      </c>
      <c r="U290" s="32">
        <f t="shared" si="42"/>
        <v>1</v>
      </c>
      <c r="V290">
        <v>7</v>
      </c>
      <c r="W290">
        <v>8</v>
      </c>
      <c r="X290" s="32">
        <f t="shared" si="43"/>
        <v>1</v>
      </c>
      <c r="Y290">
        <v>8</v>
      </c>
      <c r="Z290">
        <v>8</v>
      </c>
      <c r="AA290" s="32">
        <f t="shared" si="44"/>
        <v>0</v>
      </c>
    </row>
    <row r="291" spans="1:27" x14ac:dyDescent="0.45">
      <c r="A291">
        <v>6</v>
      </c>
      <c r="B291">
        <v>8</v>
      </c>
      <c r="C291" s="32">
        <f t="shared" si="36"/>
        <v>2</v>
      </c>
      <c r="D291">
        <v>6</v>
      </c>
      <c r="E291">
        <v>8</v>
      </c>
      <c r="F291" s="32">
        <f t="shared" si="37"/>
        <v>2</v>
      </c>
      <c r="G291">
        <v>8</v>
      </c>
      <c r="H291">
        <v>8</v>
      </c>
      <c r="I291" s="32">
        <f t="shared" si="38"/>
        <v>0</v>
      </c>
      <c r="J291">
        <v>8</v>
      </c>
      <c r="K291">
        <v>8</v>
      </c>
      <c r="L291" s="32">
        <f t="shared" si="39"/>
        <v>0</v>
      </c>
      <c r="M291">
        <v>7</v>
      </c>
      <c r="N291">
        <v>8</v>
      </c>
      <c r="O291" s="32">
        <f t="shared" si="40"/>
        <v>1</v>
      </c>
      <c r="P291">
        <v>7</v>
      </c>
      <c r="Q291">
        <v>8</v>
      </c>
      <c r="R291" s="32">
        <f t="shared" si="41"/>
        <v>1</v>
      </c>
      <c r="S291">
        <v>6</v>
      </c>
      <c r="T291">
        <v>8</v>
      </c>
      <c r="U291" s="32">
        <f t="shared" si="42"/>
        <v>2</v>
      </c>
      <c r="V291">
        <v>7</v>
      </c>
      <c r="W291">
        <v>8</v>
      </c>
      <c r="X291" s="32">
        <f t="shared" si="43"/>
        <v>1</v>
      </c>
      <c r="Y291">
        <v>8</v>
      </c>
      <c r="Z291">
        <v>8</v>
      </c>
      <c r="AA291" s="32">
        <f t="shared" si="44"/>
        <v>0</v>
      </c>
    </row>
    <row r="292" spans="1:27" x14ac:dyDescent="0.45">
      <c r="A292">
        <v>6</v>
      </c>
      <c r="B292">
        <v>8</v>
      </c>
      <c r="C292" s="32">
        <f t="shared" si="36"/>
        <v>2</v>
      </c>
      <c r="D292">
        <v>6</v>
      </c>
      <c r="E292">
        <v>8</v>
      </c>
      <c r="F292" s="32">
        <f t="shared" si="37"/>
        <v>2</v>
      </c>
      <c r="G292">
        <v>8</v>
      </c>
      <c r="H292">
        <v>8</v>
      </c>
      <c r="I292" s="32">
        <f t="shared" si="38"/>
        <v>0</v>
      </c>
      <c r="J292">
        <v>8</v>
      </c>
      <c r="K292">
        <v>8</v>
      </c>
      <c r="L292" s="32">
        <f t="shared" si="39"/>
        <v>0</v>
      </c>
      <c r="M292">
        <v>7</v>
      </c>
      <c r="N292">
        <v>8</v>
      </c>
      <c r="O292" s="32">
        <f t="shared" si="40"/>
        <v>1</v>
      </c>
      <c r="P292">
        <v>7</v>
      </c>
      <c r="Q292">
        <v>8</v>
      </c>
      <c r="R292" s="32">
        <f t="shared" si="41"/>
        <v>1</v>
      </c>
      <c r="S292">
        <v>6</v>
      </c>
      <c r="T292">
        <v>8</v>
      </c>
      <c r="U292" s="32">
        <f t="shared" si="42"/>
        <v>2</v>
      </c>
      <c r="V292">
        <v>7</v>
      </c>
      <c r="W292">
        <v>8</v>
      </c>
      <c r="X292" s="32">
        <f t="shared" si="43"/>
        <v>1</v>
      </c>
      <c r="Y292">
        <v>8</v>
      </c>
      <c r="Z292">
        <v>8</v>
      </c>
      <c r="AA292" s="32">
        <f t="shared" si="44"/>
        <v>0</v>
      </c>
    </row>
    <row r="293" spans="1:27" x14ac:dyDescent="0.45">
      <c r="A293">
        <v>6</v>
      </c>
      <c r="B293">
        <v>8</v>
      </c>
      <c r="C293" s="32">
        <f t="shared" si="36"/>
        <v>2</v>
      </c>
      <c r="D293">
        <v>6</v>
      </c>
      <c r="E293">
        <v>8</v>
      </c>
      <c r="F293" s="32">
        <f t="shared" si="37"/>
        <v>2</v>
      </c>
      <c r="G293">
        <v>8</v>
      </c>
      <c r="H293">
        <v>8</v>
      </c>
      <c r="I293" s="32">
        <f t="shared" si="38"/>
        <v>0</v>
      </c>
      <c r="J293">
        <v>8</v>
      </c>
      <c r="K293">
        <v>8</v>
      </c>
      <c r="L293" s="32">
        <f t="shared" si="39"/>
        <v>0</v>
      </c>
      <c r="M293">
        <v>7</v>
      </c>
      <c r="N293">
        <v>8</v>
      </c>
      <c r="O293" s="32">
        <f t="shared" si="40"/>
        <v>1</v>
      </c>
      <c r="P293">
        <v>7</v>
      </c>
      <c r="Q293">
        <v>8</v>
      </c>
      <c r="R293" s="32">
        <f t="shared" si="41"/>
        <v>1</v>
      </c>
      <c r="S293">
        <v>6</v>
      </c>
      <c r="T293">
        <v>8</v>
      </c>
      <c r="U293" s="32">
        <f t="shared" si="42"/>
        <v>2</v>
      </c>
      <c r="V293">
        <v>7</v>
      </c>
      <c r="W293">
        <v>8</v>
      </c>
      <c r="X293" s="32">
        <f t="shared" si="43"/>
        <v>1</v>
      </c>
      <c r="Y293">
        <v>8</v>
      </c>
      <c r="Z293">
        <v>8</v>
      </c>
      <c r="AA293" s="32">
        <f t="shared" si="44"/>
        <v>0</v>
      </c>
    </row>
    <row r="294" spans="1:27" x14ac:dyDescent="0.45">
      <c r="A294">
        <v>6</v>
      </c>
      <c r="B294">
        <v>8</v>
      </c>
      <c r="C294" s="32">
        <f t="shared" si="36"/>
        <v>2</v>
      </c>
      <c r="D294">
        <v>6</v>
      </c>
      <c r="E294">
        <v>8</v>
      </c>
      <c r="F294" s="32">
        <f t="shared" si="37"/>
        <v>2</v>
      </c>
      <c r="G294">
        <v>8</v>
      </c>
      <c r="H294">
        <v>8</v>
      </c>
      <c r="I294" s="32">
        <f t="shared" si="38"/>
        <v>0</v>
      </c>
      <c r="J294">
        <v>8</v>
      </c>
      <c r="K294">
        <v>8</v>
      </c>
      <c r="L294" s="32">
        <f t="shared" si="39"/>
        <v>0</v>
      </c>
      <c r="M294">
        <v>7</v>
      </c>
      <c r="N294">
        <v>8</v>
      </c>
      <c r="O294" s="32">
        <f t="shared" si="40"/>
        <v>1</v>
      </c>
      <c r="P294">
        <v>7</v>
      </c>
      <c r="Q294">
        <v>8</v>
      </c>
      <c r="R294" s="32">
        <f t="shared" si="41"/>
        <v>1</v>
      </c>
      <c r="S294">
        <v>6</v>
      </c>
      <c r="T294">
        <v>8</v>
      </c>
      <c r="U294" s="32">
        <f t="shared" si="42"/>
        <v>2</v>
      </c>
      <c r="V294">
        <v>7</v>
      </c>
      <c r="W294">
        <v>8</v>
      </c>
      <c r="X294" s="32">
        <f t="shared" si="43"/>
        <v>1</v>
      </c>
      <c r="Y294">
        <v>8</v>
      </c>
      <c r="Z294">
        <v>8</v>
      </c>
      <c r="AA294" s="32">
        <f t="shared" si="44"/>
        <v>0</v>
      </c>
    </row>
    <row r="295" spans="1:27" x14ac:dyDescent="0.45">
      <c r="A295">
        <v>6</v>
      </c>
      <c r="B295">
        <v>8</v>
      </c>
      <c r="C295" s="32">
        <f t="shared" si="36"/>
        <v>2</v>
      </c>
      <c r="D295">
        <v>6</v>
      </c>
      <c r="E295">
        <v>8</v>
      </c>
      <c r="F295" s="32">
        <f t="shared" si="37"/>
        <v>2</v>
      </c>
      <c r="G295">
        <v>8</v>
      </c>
      <c r="H295">
        <v>8</v>
      </c>
      <c r="I295" s="32">
        <f t="shared" si="38"/>
        <v>0</v>
      </c>
      <c r="J295">
        <v>8</v>
      </c>
      <c r="K295">
        <v>8</v>
      </c>
      <c r="L295" s="32">
        <f t="shared" si="39"/>
        <v>0</v>
      </c>
      <c r="M295">
        <v>7</v>
      </c>
      <c r="N295">
        <v>8</v>
      </c>
      <c r="O295" s="32">
        <f t="shared" si="40"/>
        <v>1</v>
      </c>
      <c r="P295">
        <v>7</v>
      </c>
      <c r="Q295">
        <v>8</v>
      </c>
      <c r="R295" s="32">
        <f t="shared" si="41"/>
        <v>1</v>
      </c>
      <c r="S295">
        <v>6</v>
      </c>
      <c r="T295">
        <v>8</v>
      </c>
      <c r="U295" s="32">
        <f t="shared" si="42"/>
        <v>2</v>
      </c>
      <c r="V295">
        <v>7</v>
      </c>
      <c r="W295">
        <v>8</v>
      </c>
      <c r="X295" s="32">
        <f t="shared" si="43"/>
        <v>1</v>
      </c>
      <c r="Y295">
        <v>8</v>
      </c>
      <c r="Z295">
        <v>8</v>
      </c>
      <c r="AA295" s="32">
        <f t="shared" si="44"/>
        <v>0</v>
      </c>
    </row>
    <row r="296" spans="1:27" x14ac:dyDescent="0.45">
      <c r="A296">
        <v>6</v>
      </c>
      <c r="B296">
        <v>8</v>
      </c>
      <c r="C296" s="32">
        <f t="shared" si="36"/>
        <v>2</v>
      </c>
      <c r="D296">
        <v>6</v>
      </c>
      <c r="E296">
        <v>8</v>
      </c>
      <c r="F296" s="32">
        <f t="shared" si="37"/>
        <v>2</v>
      </c>
      <c r="G296">
        <v>8</v>
      </c>
      <c r="H296">
        <v>8</v>
      </c>
      <c r="I296" s="32">
        <f t="shared" si="38"/>
        <v>0</v>
      </c>
      <c r="J296">
        <v>9</v>
      </c>
      <c r="K296">
        <v>8</v>
      </c>
      <c r="L296" s="32">
        <f t="shared" si="39"/>
        <v>1</v>
      </c>
      <c r="M296">
        <v>7</v>
      </c>
      <c r="N296">
        <v>8</v>
      </c>
      <c r="O296" s="32">
        <f t="shared" si="40"/>
        <v>1</v>
      </c>
      <c r="P296">
        <v>7</v>
      </c>
      <c r="Q296">
        <v>8</v>
      </c>
      <c r="R296" s="32">
        <f t="shared" si="41"/>
        <v>1</v>
      </c>
      <c r="S296">
        <v>6</v>
      </c>
      <c r="T296">
        <v>8</v>
      </c>
      <c r="U296" s="32">
        <f t="shared" si="42"/>
        <v>2</v>
      </c>
      <c r="V296">
        <v>7</v>
      </c>
      <c r="W296">
        <v>8</v>
      </c>
      <c r="X296" s="32">
        <f t="shared" si="43"/>
        <v>1</v>
      </c>
      <c r="Y296">
        <v>8</v>
      </c>
      <c r="Z296">
        <v>8</v>
      </c>
      <c r="AA296" s="32">
        <f t="shared" si="44"/>
        <v>0</v>
      </c>
    </row>
    <row r="297" spans="1:27" x14ac:dyDescent="0.45">
      <c r="A297">
        <v>6</v>
      </c>
      <c r="B297">
        <v>8</v>
      </c>
      <c r="C297" s="32">
        <f t="shared" si="36"/>
        <v>2</v>
      </c>
      <c r="D297">
        <v>6</v>
      </c>
      <c r="E297">
        <v>8</v>
      </c>
      <c r="F297" s="32">
        <f t="shared" si="37"/>
        <v>2</v>
      </c>
      <c r="G297">
        <v>8</v>
      </c>
      <c r="H297">
        <v>8</v>
      </c>
      <c r="I297" s="32">
        <f t="shared" si="38"/>
        <v>0</v>
      </c>
      <c r="J297">
        <v>9</v>
      </c>
      <c r="K297">
        <v>8</v>
      </c>
      <c r="L297" s="32">
        <f t="shared" si="39"/>
        <v>1</v>
      </c>
      <c r="M297">
        <v>7</v>
      </c>
      <c r="N297">
        <v>8</v>
      </c>
      <c r="O297" s="32">
        <f t="shared" si="40"/>
        <v>1</v>
      </c>
      <c r="P297">
        <v>8</v>
      </c>
      <c r="Q297">
        <v>8</v>
      </c>
      <c r="R297" s="32">
        <f t="shared" si="41"/>
        <v>0</v>
      </c>
      <c r="S297">
        <v>6</v>
      </c>
      <c r="T297">
        <v>8</v>
      </c>
      <c r="U297" s="32">
        <f t="shared" si="42"/>
        <v>2</v>
      </c>
      <c r="V297">
        <v>7</v>
      </c>
      <c r="W297">
        <v>8</v>
      </c>
      <c r="X297" s="32">
        <f t="shared" si="43"/>
        <v>1</v>
      </c>
      <c r="Y297">
        <v>8</v>
      </c>
      <c r="Z297">
        <v>8</v>
      </c>
      <c r="AA297" s="32">
        <f t="shared" si="44"/>
        <v>0</v>
      </c>
    </row>
    <row r="298" spans="1:27" x14ac:dyDescent="0.45">
      <c r="A298">
        <v>6</v>
      </c>
      <c r="B298">
        <v>8</v>
      </c>
      <c r="C298" s="32">
        <f t="shared" si="36"/>
        <v>2</v>
      </c>
      <c r="D298">
        <v>6</v>
      </c>
      <c r="E298">
        <v>8</v>
      </c>
      <c r="F298" s="32">
        <f t="shared" si="37"/>
        <v>2</v>
      </c>
      <c r="G298">
        <v>8</v>
      </c>
      <c r="H298">
        <v>8</v>
      </c>
      <c r="I298" s="32">
        <f t="shared" si="38"/>
        <v>0</v>
      </c>
      <c r="J298">
        <v>9</v>
      </c>
      <c r="K298">
        <v>8</v>
      </c>
      <c r="L298" s="32">
        <f t="shared" si="39"/>
        <v>1</v>
      </c>
      <c r="M298">
        <v>7</v>
      </c>
      <c r="N298">
        <v>8</v>
      </c>
      <c r="O298" s="32">
        <f t="shared" si="40"/>
        <v>1</v>
      </c>
      <c r="P298">
        <v>8</v>
      </c>
      <c r="Q298">
        <v>8</v>
      </c>
      <c r="R298" s="32">
        <f t="shared" si="41"/>
        <v>0</v>
      </c>
      <c r="S298">
        <v>6</v>
      </c>
      <c r="T298">
        <v>8</v>
      </c>
      <c r="U298" s="32">
        <f t="shared" si="42"/>
        <v>2</v>
      </c>
      <c r="V298">
        <v>7</v>
      </c>
      <c r="W298">
        <v>8</v>
      </c>
      <c r="X298" s="32">
        <f t="shared" si="43"/>
        <v>1</v>
      </c>
      <c r="Y298">
        <v>8</v>
      </c>
      <c r="Z298">
        <v>8</v>
      </c>
      <c r="AA298" s="32">
        <f t="shared" si="44"/>
        <v>0</v>
      </c>
    </row>
    <row r="299" spans="1:27" x14ac:dyDescent="0.45">
      <c r="A299">
        <v>6</v>
      </c>
      <c r="B299">
        <v>8</v>
      </c>
      <c r="C299" s="32">
        <f t="shared" si="36"/>
        <v>2</v>
      </c>
      <c r="D299">
        <v>6</v>
      </c>
      <c r="E299">
        <v>8</v>
      </c>
      <c r="F299" s="32">
        <f t="shared" si="37"/>
        <v>2</v>
      </c>
      <c r="G299">
        <v>8</v>
      </c>
      <c r="H299">
        <v>8</v>
      </c>
      <c r="I299" s="32">
        <f t="shared" si="38"/>
        <v>0</v>
      </c>
      <c r="J299">
        <v>9</v>
      </c>
      <c r="K299">
        <v>8</v>
      </c>
      <c r="L299" s="32">
        <f t="shared" si="39"/>
        <v>1</v>
      </c>
      <c r="M299">
        <v>7</v>
      </c>
      <c r="N299">
        <v>8</v>
      </c>
      <c r="O299" s="32">
        <f t="shared" si="40"/>
        <v>1</v>
      </c>
      <c r="P299">
        <v>8</v>
      </c>
      <c r="Q299">
        <v>8</v>
      </c>
      <c r="R299" s="32">
        <f t="shared" si="41"/>
        <v>0</v>
      </c>
      <c r="S299">
        <v>6</v>
      </c>
      <c r="T299">
        <v>8</v>
      </c>
      <c r="U299" s="32">
        <f t="shared" si="42"/>
        <v>2</v>
      </c>
      <c r="V299">
        <v>7</v>
      </c>
      <c r="W299">
        <v>8</v>
      </c>
      <c r="X299" s="32">
        <f t="shared" si="43"/>
        <v>1</v>
      </c>
      <c r="Y299">
        <v>8</v>
      </c>
      <c r="Z299">
        <v>8</v>
      </c>
      <c r="AA299" s="32">
        <f t="shared" si="44"/>
        <v>0</v>
      </c>
    </row>
    <row r="300" spans="1:27" x14ac:dyDescent="0.45">
      <c r="A300">
        <v>6</v>
      </c>
      <c r="B300">
        <v>8</v>
      </c>
      <c r="C300" s="32">
        <f t="shared" si="36"/>
        <v>2</v>
      </c>
      <c r="D300">
        <v>6</v>
      </c>
      <c r="E300">
        <v>8</v>
      </c>
      <c r="F300" s="32">
        <f t="shared" si="37"/>
        <v>2</v>
      </c>
      <c r="G300">
        <v>8</v>
      </c>
      <c r="H300">
        <v>8</v>
      </c>
      <c r="I300" s="32">
        <f t="shared" si="38"/>
        <v>0</v>
      </c>
      <c r="J300">
        <v>9</v>
      </c>
      <c r="K300">
        <v>8</v>
      </c>
      <c r="L300" s="32">
        <f t="shared" si="39"/>
        <v>1</v>
      </c>
      <c r="M300">
        <v>7</v>
      </c>
      <c r="N300">
        <v>8</v>
      </c>
      <c r="O300" s="32">
        <f t="shared" si="40"/>
        <v>1</v>
      </c>
      <c r="P300">
        <v>8</v>
      </c>
      <c r="Q300">
        <v>8</v>
      </c>
      <c r="R300" s="32">
        <f t="shared" si="41"/>
        <v>0</v>
      </c>
      <c r="S300">
        <v>6</v>
      </c>
      <c r="T300">
        <v>8</v>
      </c>
      <c r="U300" s="32">
        <f t="shared" si="42"/>
        <v>2</v>
      </c>
      <c r="V300">
        <v>7</v>
      </c>
      <c r="W300">
        <v>8</v>
      </c>
      <c r="X300" s="32">
        <f t="shared" si="43"/>
        <v>1</v>
      </c>
      <c r="Y300">
        <v>8</v>
      </c>
      <c r="Z300">
        <v>8</v>
      </c>
      <c r="AA300" s="32">
        <f t="shared" si="44"/>
        <v>0</v>
      </c>
    </row>
    <row r="301" spans="1:27" x14ac:dyDescent="0.45">
      <c r="A301">
        <v>6</v>
      </c>
      <c r="B301">
        <v>8</v>
      </c>
      <c r="C301" s="32">
        <f t="shared" si="36"/>
        <v>2</v>
      </c>
      <c r="D301">
        <v>6</v>
      </c>
      <c r="E301">
        <v>8</v>
      </c>
      <c r="F301" s="32">
        <f t="shared" si="37"/>
        <v>2</v>
      </c>
      <c r="G301">
        <v>8</v>
      </c>
      <c r="H301">
        <v>8</v>
      </c>
      <c r="I301" s="32">
        <f t="shared" si="38"/>
        <v>0</v>
      </c>
      <c r="J301">
        <v>9</v>
      </c>
      <c r="K301">
        <v>8</v>
      </c>
      <c r="L301" s="32">
        <f t="shared" si="39"/>
        <v>1</v>
      </c>
      <c r="M301">
        <v>7</v>
      </c>
      <c r="N301">
        <v>8</v>
      </c>
      <c r="O301" s="32">
        <f t="shared" si="40"/>
        <v>1</v>
      </c>
      <c r="P301">
        <v>8</v>
      </c>
      <c r="Q301">
        <v>8</v>
      </c>
      <c r="R301" s="32">
        <f t="shared" si="41"/>
        <v>0</v>
      </c>
      <c r="S301">
        <v>6</v>
      </c>
      <c r="T301">
        <v>8</v>
      </c>
      <c r="U301" s="32">
        <f t="shared" si="42"/>
        <v>2</v>
      </c>
      <c r="V301">
        <v>7</v>
      </c>
      <c r="W301">
        <v>8</v>
      </c>
      <c r="X301" s="32">
        <f t="shared" si="43"/>
        <v>1</v>
      </c>
      <c r="Y301">
        <v>8</v>
      </c>
      <c r="Z301">
        <v>8</v>
      </c>
      <c r="AA301" s="32">
        <f t="shared" si="44"/>
        <v>0</v>
      </c>
    </row>
    <row r="302" spans="1:27" x14ac:dyDescent="0.45">
      <c r="A302">
        <v>6</v>
      </c>
      <c r="B302">
        <v>8</v>
      </c>
      <c r="C302" s="32">
        <f t="shared" si="36"/>
        <v>2</v>
      </c>
      <c r="D302">
        <v>6</v>
      </c>
      <c r="E302">
        <v>8</v>
      </c>
      <c r="F302" s="32">
        <f t="shared" si="37"/>
        <v>2</v>
      </c>
      <c r="G302">
        <v>8</v>
      </c>
      <c r="H302">
        <v>8</v>
      </c>
      <c r="I302" s="32">
        <f t="shared" si="38"/>
        <v>0</v>
      </c>
      <c r="J302">
        <v>9</v>
      </c>
      <c r="K302">
        <v>8</v>
      </c>
      <c r="L302" s="32">
        <f t="shared" si="39"/>
        <v>1</v>
      </c>
      <c r="M302">
        <v>7</v>
      </c>
      <c r="N302">
        <v>8</v>
      </c>
      <c r="O302" s="32">
        <f t="shared" si="40"/>
        <v>1</v>
      </c>
      <c r="P302">
        <v>8</v>
      </c>
      <c r="Q302">
        <v>8</v>
      </c>
      <c r="R302" s="32">
        <f t="shared" si="41"/>
        <v>0</v>
      </c>
      <c r="S302">
        <v>6</v>
      </c>
      <c r="T302">
        <v>8</v>
      </c>
      <c r="U302" s="32">
        <f t="shared" si="42"/>
        <v>2</v>
      </c>
      <c r="V302">
        <v>7</v>
      </c>
      <c r="W302">
        <v>8</v>
      </c>
      <c r="X302" s="32">
        <f t="shared" si="43"/>
        <v>1</v>
      </c>
      <c r="Y302">
        <v>8</v>
      </c>
      <c r="Z302">
        <v>8</v>
      </c>
      <c r="AA302" s="32">
        <f t="shared" si="44"/>
        <v>0</v>
      </c>
    </row>
    <row r="303" spans="1:27" x14ac:dyDescent="0.45">
      <c r="A303">
        <v>6</v>
      </c>
      <c r="B303">
        <v>8</v>
      </c>
      <c r="C303" s="32">
        <f t="shared" si="36"/>
        <v>2</v>
      </c>
      <c r="D303">
        <v>6</v>
      </c>
      <c r="E303">
        <v>8</v>
      </c>
      <c r="F303" s="32">
        <f t="shared" si="37"/>
        <v>2</v>
      </c>
      <c r="G303">
        <v>8</v>
      </c>
      <c r="H303">
        <v>8</v>
      </c>
      <c r="I303" s="32">
        <f t="shared" si="38"/>
        <v>0</v>
      </c>
      <c r="J303">
        <v>9</v>
      </c>
      <c r="K303">
        <v>9</v>
      </c>
      <c r="L303" s="32">
        <f t="shared" si="39"/>
        <v>0</v>
      </c>
      <c r="M303">
        <v>7</v>
      </c>
      <c r="N303">
        <v>8</v>
      </c>
      <c r="O303" s="32">
        <f t="shared" si="40"/>
        <v>1</v>
      </c>
      <c r="P303">
        <v>8</v>
      </c>
      <c r="Q303">
        <v>8</v>
      </c>
      <c r="R303" s="32">
        <f t="shared" si="41"/>
        <v>0</v>
      </c>
      <c r="S303">
        <v>6</v>
      </c>
      <c r="T303">
        <v>8</v>
      </c>
      <c r="U303" s="32">
        <f t="shared" si="42"/>
        <v>2</v>
      </c>
      <c r="V303">
        <v>7</v>
      </c>
      <c r="W303">
        <v>8</v>
      </c>
      <c r="X303" s="32">
        <f t="shared" si="43"/>
        <v>1</v>
      </c>
      <c r="Y303">
        <v>8</v>
      </c>
      <c r="Z303">
        <v>8</v>
      </c>
      <c r="AA303" s="32">
        <f t="shared" si="44"/>
        <v>0</v>
      </c>
    </row>
    <row r="304" spans="1:27" x14ac:dyDescent="0.45">
      <c r="A304">
        <v>6</v>
      </c>
      <c r="B304">
        <v>8</v>
      </c>
      <c r="C304" s="32">
        <f t="shared" si="36"/>
        <v>2</v>
      </c>
      <c r="D304">
        <v>6</v>
      </c>
      <c r="E304">
        <v>9</v>
      </c>
      <c r="F304" s="32">
        <f t="shared" si="37"/>
        <v>3</v>
      </c>
      <c r="G304">
        <v>8</v>
      </c>
      <c r="H304">
        <v>8</v>
      </c>
      <c r="I304" s="32">
        <f t="shared" si="38"/>
        <v>0</v>
      </c>
      <c r="J304">
        <v>9</v>
      </c>
      <c r="K304">
        <v>9</v>
      </c>
      <c r="L304" s="32">
        <f t="shared" si="39"/>
        <v>0</v>
      </c>
      <c r="M304">
        <v>7</v>
      </c>
      <c r="N304">
        <v>8</v>
      </c>
      <c r="O304" s="32">
        <f t="shared" si="40"/>
        <v>1</v>
      </c>
      <c r="P304">
        <v>8</v>
      </c>
      <c r="Q304">
        <v>8</v>
      </c>
      <c r="R304" s="32">
        <f t="shared" si="41"/>
        <v>0</v>
      </c>
      <c r="S304">
        <v>6</v>
      </c>
      <c r="T304">
        <v>8</v>
      </c>
      <c r="U304" s="32">
        <f t="shared" si="42"/>
        <v>2</v>
      </c>
      <c r="V304">
        <v>7</v>
      </c>
      <c r="W304">
        <v>8</v>
      </c>
      <c r="X304" s="32">
        <f t="shared" si="43"/>
        <v>1</v>
      </c>
      <c r="Y304">
        <v>8</v>
      </c>
      <c r="Z304">
        <v>8</v>
      </c>
      <c r="AA304" s="32">
        <f t="shared" si="44"/>
        <v>0</v>
      </c>
    </row>
    <row r="305" spans="1:27" x14ac:dyDescent="0.45">
      <c r="A305">
        <v>6</v>
      </c>
      <c r="B305">
        <v>8</v>
      </c>
      <c r="C305" s="32">
        <f t="shared" si="36"/>
        <v>2</v>
      </c>
      <c r="D305">
        <v>6</v>
      </c>
      <c r="E305">
        <v>9</v>
      </c>
      <c r="F305" s="32">
        <f t="shared" si="37"/>
        <v>3</v>
      </c>
      <c r="G305">
        <v>8</v>
      </c>
      <c r="H305">
        <v>8</v>
      </c>
      <c r="I305" s="32">
        <f t="shared" si="38"/>
        <v>0</v>
      </c>
      <c r="J305">
        <v>9</v>
      </c>
      <c r="K305">
        <v>9</v>
      </c>
      <c r="L305" s="32">
        <f t="shared" si="39"/>
        <v>0</v>
      </c>
      <c r="M305">
        <v>7</v>
      </c>
      <c r="N305">
        <v>8</v>
      </c>
      <c r="O305" s="32">
        <f t="shared" si="40"/>
        <v>1</v>
      </c>
      <c r="P305">
        <v>8</v>
      </c>
      <c r="Q305">
        <v>8</v>
      </c>
      <c r="R305" s="32">
        <f t="shared" si="41"/>
        <v>0</v>
      </c>
      <c r="S305">
        <v>6</v>
      </c>
      <c r="T305">
        <v>8</v>
      </c>
      <c r="U305" s="32">
        <f t="shared" si="42"/>
        <v>2</v>
      </c>
      <c r="V305">
        <v>7</v>
      </c>
      <c r="W305">
        <v>8</v>
      </c>
      <c r="X305" s="32">
        <f t="shared" si="43"/>
        <v>1</v>
      </c>
      <c r="Y305">
        <v>8</v>
      </c>
      <c r="Z305">
        <v>8</v>
      </c>
      <c r="AA305" s="32">
        <f t="shared" si="44"/>
        <v>0</v>
      </c>
    </row>
    <row r="306" spans="1:27" x14ac:dyDescent="0.45">
      <c r="A306">
        <v>6</v>
      </c>
      <c r="B306">
        <v>8</v>
      </c>
      <c r="C306" s="32">
        <f t="shared" si="36"/>
        <v>2</v>
      </c>
      <c r="D306">
        <v>6</v>
      </c>
      <c r="E306">
        <v>9</v>
      </c>
      <c r="F306" s="32">
        <f t="shared" si="37"/>
        <v>3</v>
      </c>
      <c r="G306">
        <v>8</v>
      </c>
      <c r="H306">
        <v>8</v>
      </c>
      <c r="I306" s="32">
        <f t="shared" si="38"/>
        <v>0</v>
      </c>
      <c r="J306">
        <v>9</v>
      </c>
      <c r="K306">
        <v>9</v>
      </c>
      <c r="L306" s="32">
        <f t="shared" si="39"/>
        <v>0</v>
      </c>
      <c r="M306">
        <v>7</v>
      </c>
      <c r="N306">
        <v>8</v>
      </c>
      <c r="O306" s="32">
        <f t="shared" si="40"/>
        <v>1</v>
      </c>
      <c r="P306">
        <v>8</v>
      </c>
      <c r="Q306">
        <v>8</v>
      </c>
      <c r="R306" s="32">
        <f t="shared" si="41"/>
        <v>0</v>
      </c>
      <c r="S306">
        <v>6</v>
      </c>
      <c r="T306">
        <v>8</v>
      </c>
      <c r="U306" s="32">
        <f t="shared" si="42"/>
        <v>2</v>
      </c>
      <c r="V306">
        <v>7</v>
      </c>
      <c r="W306">
        <v>8</v>
      </c>
      <c r="X306" s="32">
        <f t="shared" si="43"/>
        <v>1</v>
      </c>
      <c r="Y306">
        <v>8</v>
      </c>
      <c r="Z306">
        <v>8</v>
      </c>
      <c r="AA306" s="32">
        <f t="shared" si="44"/>
        <v>0</v>
      </c>
    </row>
    <row r="307" spans="1:27" x14ac:dyDescent="0.45">
      <c r="A307">
        <v>6</v>
      </c>
      <c r="B307">
        <v>8</v>
      </c>
      <c r="C307" s="32">
        <f t="shared" si="36"/>
        <v>2</v>
      </c>
      <c r="D307">
        <v>6</v>
      </c>
      <c r="E307">
        <v>9</v>
      </c>
      <c r="F307" s="32">
        <f t="shared" si="37"/>
        <v>3</v>
      </c>
      <c r="G307">
        <v>8</v>
      </c>
      <c r="H307">
        <v>8</v>
      </c>
      <c r="I307" s="32">
        <f t="shared" si="38"/>
        <v>0</v>
      </c>
      <c r="J307">
        <v>9</v>
      </c>
      <c r="K307">
        <v>9</v>
      </c>
      <c r="L307" s="32">
        <f t="shared" si="39"/>
        <v>0</v>
      </c>
      <c r="M307">
        <v>7</v>
      </c>
      <c r="N307">
        <v>8</v>
      </c>
      <c r="O307" s="32">
        <f t="shared" si="40"/>
        <v>1</v>
      </c>
      <c r="P307">
        <v>8</v>
      </c>
      <c r="Q307">
        <v>8</v>
      </c>
      <c r="R307" s="32">
        <f t="shared" si="41"/>
        <v>0</v>
      </c>
      <c r="S307">
        <v>6</v>
      </c>
      <c r="T307">
        <v>8</v>
      </c>
      <c r="U307" s="32">
        <f t="shared" si="42"/>
        <v>2</v>
      </c>
      <c r="V307">
        <v>7</v>
      </c>
      <c r="W307">
        <v>8</v>
      </c>
      <c r="X307" s="32">
        <f t="shared" si="43"/>
        <v>1</v>
      </c>
      <c r="Y307">
        <v>8</v>
      </c>
      <c r="Z307">
        <v>8</v>
      </c>
      <c r="AA307" s="32">
        <f t="shared" si="44"/>
        <v>0</v>
      </c>
    </row>
    <row r="308" spans="1:27" x14ac:dyDescent="0.45">
      <c r="A308">
        <v>6</v>
      </c>
      <c r="B308">
        <v>8</v>
      </c>
      <c r="C308" s="32">
        <f t="shared" si="36"/>
        <v>2</v>
      </c>
      <c r="D308">
        <v>6</v>
      </c>
      <c r="E308">
        <v>9</v>
      </c>
      <c r="F308" s="32">
        <f t="shared" si="37"/>
        <v>3</v>
      </c>
      <c r="G308">
        <v>8</v>
      </c>
      <c r="H308">
        <v>8</v>
      </c>
      <c r="I308" s="32">
        <f t="shared" si="38"/>
        <v>0</v>
      </c>
      <c r="J308">
        <v>9</v>
      </c>
      <c r="K308">
        <v>9</v>
      </c>
      <c r="L308" s="32">
        <f t="shared" si="39"/>
        <v>0</v>
      </c>
      <c r="M308">
        <v>7</v>
      </c>
      <c r="N308">
        <v>8</v>
      </c>
      <c r="O308" s="32">
        <f t="shared" si="40"/>
        <v>1</v>
      </c>
      <c r="P308">
        <v>8</v>
      </c>
      <c r="Q308">
        <v>8</v>
      </c>
      <c r="R308" s="32">
        <f t="shared" si="41"/>
        <v>0</v>
      </c>
      <c r="S308">
        <v>6</v>
      </c>
      <c r="T308">
        <v>8</v>
      </c>
      <c r="U308" s="32">
        <f t="shared" si="42"/>
        <v>2</v>
      </c>
      <c r="V308">
        <v>7</v>
      </c>
      <c r="W308">
        <v>8</v>
      </c>
      <c r="X308" s="32">
        <f t="shared" si="43"/>
        <v>1</v>
      </c>
      <c r="Y308">
        <v>8</v>
      </c>
      <c r="Z308">
        <v>8</v>
      </c>
      <c r="AA308" s="32">
        <f t="shared" si="44"/>
        <v>0</v>
      </c>
    </row>
    <row r="309" spans="1:27" x14ac:dyDescent="0.45">
      <c r="A309">
        <v>6</v>
      </c>
      <c r="B309">
        <v>8</v>
      </c>
      <c r="C309" s="32">
        <f t="shared" si="36"/>
        <v>2</v>
      </c>
      <c r="D309">
        <v>6</v>
      </c>
      <c r="E309">
        <v>9</v>
      </c>
      <c r="F309" s="32">
        <f t="shared" si="37"/>
        <v>3</v>
      </c>
      <c r="G309">
        <v>8</v>
      </c>
      <c r="H309">
        <v>8</v>
      </c>
      <c r="I309" s="32">
        <f t="shared" si="38"/>
        <v>0</v>
      </c>
      <c r="J309">
        <v>9</v>
      </c>
      <c r="K309">
        <v>9</v>
      </c>
      <c r="L309" s="32">
        <f t="shared" si="39"/>
        <v>0</v>
      </c>
      <c r="M309">
        <v>7</v>
      </c>
      <c r="N309">
        <v>8</v>
      </c>
      <c r="O309" s="32">
        <f t="shared" si="40"/>
        <v>1</v>
      </c>
      <c r="P309">
        <v>8</v>
      </c>
      <c r="Q309">
        <v>8</v>
      </c>
      <c r="R309" s="32">
        <f t="shared" si="41"/>
        <v>0</v>
      </c>
      <c r="S309">
        <v>6</v>
      </c>
      <c r="T309">
        <v>8</v>
      </c>
      <c r="U309" s="32">
        <f t="shared" si="42"/>
        <v>2</v>
      </c>
      <c r="V309">
        <v>7</v>
      </c>
      <c r="W309">
        <v>8</v>
      </c>
      <c r="X309" s="32">
        <f t="shared" si="43"/>
        <v>1</v>
      </c>
      <c r="Y309">
        <v>8</v>
      </c>
      <c r="Z309">
        <v>8</v>
      </c>
      <c r="AA309" s="32">
        <f t="shared" si="44"/>
        <v>0</v>
      </c>
    </row>
    <row r="310" spans="1:27" x14ac:dyDescent="0.45">
      <c r="A310">
        <v>6</v>
      </c>
      <c r="B310">
        <v>8</v>
      </c>
      <c r="C310" s="32">
        <f t="shared" si="36"/>
        <v>2</v>
      </c>
      <c r="D310">
        <v>6</v>
      </c>
      <c r="E310">
        <v>9</v>
      </c>
      <c r="F310" s="32">
        <f t="shared" si="37"/>
        <v>3</v>
      </c>
      <c r="G310">
        <v>8</v>
      </c>
      <c r="H310">
        <v>8</v>
      </c>
      <c r="I310" s="32">
        <f t="shared" si="38"/>
        <v>0</v>
      </c>
      <c r="J310">
        <v>9</v>
      </c>
      <c r="K310">
        <v>9</v>
      </c>
      <c r="L310" s="32">
        <f t="shared" si="39"/>
        <v>0</v>
      </c>
      <c r="M310">
        <v>7</v>
      </c>
      <c r="N310">
        <v>8</v>
      </c>
      <c r="O310" s="32">
        <f t="shared" si="40"/>
        <v>1</v>
      </c>
      <c r="P310">
        <v>8</v>
      </c>
      <c r="Q310">
        <v>8</v>
      </c>
      <c r="R310" s="32">
        <f t="shared" si="41"/>
        <v>0</v>
      </c>
      <c r="S310">
        <v>6</v>
      </c>
      <c r="T310">
        <v>8</v>
      </c>
      <c r="U310" s="32">
        <f t="shared" si="42"/>
        <v>2</v>
      </c>
      <c r="V310">
        <v>7</v>
      </c>
      <c r="W310">
        <v>8</v>
      </c>
      <c r="X310" s="32">
        <f t="shared" si="43"/>
        <v>1</v>
      </c>
      <c r="Y310">
        <v>8</v>
      </c>
      <c r="Z310">
        <v>8</v>
      </c>
      <c r="AA310" s="32">
        <f t="shared" si="44"/>
        <v>0</v>
      </c>
    </row>
    <row r="311" spans="1:27" x14ac:dyDescent="0.45">
      <c r="A311">
        <v>6</v>
      </c>
      <c r="B311">
        <v>8</v>
      </c>
      <c r="C311" s="32">
        <f t="shared" si="36"/>
        <v>2</v>
      </c>
      <c r="D311">
        <v>6</v>
      </c>
      <c r="E311">
        <v>9</v>
      </c>
      <c r="F311" s="32">
        <f t="shared" si="37"/>
        <v>3</v>
      </c>
      <c r="G311">
        <v>8</v>
      </c>
      <c r="H311">
        <v>8</v>
      </c>
      <c r="I311" s="32">
        <f t="shared" si="38"/>
        <v>0</v>
      </c>
      <c r="J311">
        <v>9</v>
      </c>
      <c r="K311">
        <v>9</v>
      </c>
      <c r="L311" s="32">
        <f t="shared" si="39"/>
        <v>0</v>
      </c>
      <c r="M311">
        <v>7</v>
      </c>
      <c r="N311">
        <v>8</v>
      </c>
      <c r="O311" s="32">
        <f t="shared" si="40"/>
        <v>1</v>
      </c>
      <c r="P311">
        <v>8</v>
      </c>
      <c r="Q311">
        <v>8</v>
      </c>
      <c r="R311" s="32">
        <f t="shared" si="41"/>
        <v>0</v>
      </c>
      <c r="S311">
        <v>6</v>
      </c>
      <c r="T311">
        <v>8</v>
      </c>
      <c r="U311" s="32">
        <f t="shared" si="42"/>
        <v>2</v>
      </c>
      <c r="V311">
        <v>7</v>
      </c>
      <c r="W311">
        <v>8</v>
      </c>
      <c r="X311" s="32">
        <f t="shared" si="43"/>
        <v>1</v>
      </c>
      <c r="Y311">
        <v>8</v>
      </c>
      <c r="Z311">
        <v>8</v>
      </c>
      <c r="AA311" s="32">
        <f t="shared" si="44"/>
        <v>0</v>
      </c>
    </row>
    <row r="312" spans="1:27" x14ac:dyDescent="0.45">
      <c r="A312">
        <v>6</v>
      </c>
      <c r="B312">
        <v>8</v>
      </c>
      <c r="C312" s="32">
        <f t="shared" si="36"/>
        <v>2</v>
      </c>
      <c r="D312">
        <v>6</v>
      </c>
      <c r="E312">
        <v>9</v>
      </c>
      <c r="F312" s="32">
        <f t="shared" si="37"/>
        <v>3</v>
      </c>
      <c r="G312">
        <v>8</v>
      </c>
      <c r="H312">
        <v>8</v>
      </c>
      <c r="I312" s="32">
        <f t="shared" si="38"/>
        <v>0</v>
      </c>
      <c r="J312">
        <v>9</v>
      </c>
      <c r="K312">
        <v>9</v>
      </c>
      <c r="L312" s="32">
        <f t="shared" si="39"/>
        <v>0</v>
      </c>
      <c r="M312">
        <v>7</v>
      </c>
      <c r="N312">
        <v>8</v>
      </c>
      <c r="O312" s="32">
        <f t="shared" si="40"/>
        <v>1</v>
      </c>
      <c r="P312">
        <v>8</v>
      </c>
      <c r="Q312">
        <v>8</v>
      </c>
      <c r="R312" s="32">
        <f t="shared" si="41"/>
        <v>0</v>
      </c>
      <c r="S312">
        <v>6</v>
      </c>
      <c r="T312">
        <v>8</v>
      </c>
      <c r="U312" s="32">
        <f t="shared" si="42"/>
        <v>2</v>
      </c>
      <c r="V312">
        <v>7</v>
      </c>
      <c r="W312">
        <v>8</v>
      </c>
      <c r="X312" s="32">
        <f t="shared" si="43"/>
        <v>1</v>
      </c>
      <c r="Y312">
        <v>8</v>
      </c>
      <c r="Z312">
        <v>8</v>
      </c>
      <c r="AA312" s="32">
        <f t="shared" si="44"/>
        <v>0</v>
      </c>
    </row>
    <row r="313" spans="1:27" x14ac:dyDescent="0.45">
      <c r="A313">
        <v>6</v>
      </c>
      <c r="B313">
        <v>8</v>
      </c>
      <c r="C313" s="32">
        <f t="shared" si="36"/>
        <v>2</v>
      </c>
      <c r="D313">
        <v>6</v>
      </c>
      <c r="E313">
        <v>9</v>
      </c>
      <c r="F313" s="32">
        <f t="shared" si="37"/>
        <v>3</v>
      </c>
      <c r="G313">
        <v>8</v>
      </c>
      <c r="H313">
        <v>8</v>
      </c>
      <c r="I313" s="32">
        <f t="shared" si="38"/>
        <v>0</v>
      </c>
      <c r="J313">
        <v>9</v>
      </c>
      <c r="K313">
        <v>9</v>
      </c>
      <c r="L313" s="32">
        <f t="shared" si="39"/>
        <v>0</v>
      </c>
      <c r="M313">
        <v>7</v>
      </c>
      <c r="N313">
        <v>8</v>
      </c>
      <c r="O313" s="32">
        <f t="shared" si="40"/>
        <v>1</v>
      </c>
      <c r="P313">
        <v>8</v>
      </c>
      <c r="Q313">
        <v>8</v>
      </c>
      <c r="R313" s="32">
        <f t="shared" si="41"/>
        <v>0</v>
      </c>
      <c r="S313">
        <v>6</v>
      </c>
      <c r="T313">
        <v>8</v>
      </c>
      <c r="U313" s="32">
        <f t="shared" si="42"/>
        <v>2</v>
      </c>
      <c r="V313">
        <v>7</v>
      </c>
      <c r="W313">
        <v>8</v>
      </c>
      <c r="X313" s="32">
        <f t="shared" si="43"/>
        <v>1</v>
      </c>
      <c r="Y313">
        <v>8</v>
      </c>
      <c r="Z313">
        <v>8</v>
      </c>
      <c r="AA313" s="32">
        <f t="shared" si="44"/>
        <v>0</v>
      </c>
    </row>
    <row r="314" spans="1:27" x14ac:dyDescent="0.45">
      <c r="A314">
        <v>6</v>
      </c>
      <c r="B314">
        <v>8</v>
      </c>
      <c r="C314" s="32">
        <f t="shared" si="36"/>
        <v>2</v>
      </c>
      <c r="D314">
        <v>6</v>
      </c>
      <c r="E314">
        <v>9</v>
      </c>
      <c r="F314" s="32">
        <f t="shared" si="37"/>
        <v>3</v>
      </c>
      <c r="G314">
        <v>8</v>
      </c>
      <c r="H314">
        <v>8</v>
      </c>
      <c r="I314" s="32">
        <f t="shared" si="38"/>
        <v>0</v>
      </c>
      <c r="J314">
        <v>9</v>
      </c>
      <c r="K314">
        <v>9</v>
      </c>
      <c r="L314" s="32">
        <f t="shared" si="39"/>
        <v>0</v>
      </c>
      <c r="M314">
        <v>7</v>
      </c>
      <c r="N314">
        <v>8</v>
      </c>
      <c r="O314" s="32">
        <f t="shared" si="40"/>
        <v>1</v>
      </c>
      <c r="P314">
        <v>8</v>
      </c>
      <c r="Q314">
        <v>8</v>
      </c>
      <c r="R314" s="32">
        <f t="shared" si="41"/>
        <v>0</v>
      </c>
      <c r="S314">
        <v>6</v>
      </c>
      <c r="T314">
        <v>8</v>
      </c>
      <c r="U314" s="32">
        <f t="shared" si="42"/>
        <v>2</v>
      </c>
      <c r="V314">
        <v>7</v>
      </c>
      <c r="W314">
        <v>8</v>
      </c>
      <c r="X314" s="32">
        <f t="shared" si="43"/>
        <v>1</v>
      </c>
      <c r="Y314">
        <v>8</v>
      </c>
      <c r="Z314">
        <v>8</v>
      </c>
      <c r="AA314" s="32">
        <f t="shared" si="44"/>
        <v>0</v>
      </c>
    </row>
    <row r="315" spans="1:27" x14ac:dyDescent="0.45">
      <c r="A315">
        <v>6</v>
      </c>
      <c r="B315">
        <v>8</v>
      </c>
      <c r="C315" s="32">
        <f t="shared" si="36"/>
        <v>2</v>
      </c>
      <c r="D315">
        <v>6</v>
      </c>
      <c r="E315">
        <v>9</v>
      </c>
      <c r="F315" s="32">
        <f t="shared" si="37"/>
        <v>3</v>
      </c>
      <c r="G315">
        <v>8</v>
      </c>
      <c r="H315">
        <v>8</v>
      </c>
      <c r="I315" s="32">
        <f t="shared" si="38"/>
        <v>0</v>
      </c>
      <c r="J315">
        <v>9</v>
      </c>
      <c r="K315">
        <v>9</v>
      </c>
      <c r="L315" s="32">
        <f t="shared" si="39"/>
        <v>0</v>
      </c>
      <c r="M315">
        <v>7</v>
      </c>
      <c r="N315">
        <v>8</v>
      </c>
      <c r="O315" s="32">
        <f t="shared" si="40"/>
        <v>1</v>
      </c>
      <c r="P315">
        <v>8</v>
      </c>
      <c r="Q315">
        <v>8</v>
      </c>
      <c r="R315" s="32">
        <f t="shared" si="41"/>
        <v>0</v>
      </c>
      <c r="S315">
        <v>6</v>
      </c>
      <c r="T315">
        <v>8</v>
      </c>
      <c r="U315" s="32">
        <f t="shared" si="42"/>
        <v>2</v>
      </c>
      <c r="V315">
        <v>7</v>
      </c>
      <c r="W315">
        <v>8</v>
      </c>
      <c r="X315" s="32">
        <f t="shared" si="43"/>
        <v>1</v>
      </c>
      <c r="Y315">
        <v>8</v>
      </c>
      <c r="Z315">
        <v>8</v>
      </c>
      <c r="AA315" s="32">
        <f t="shared" si="44"/>
        <v>0</v>
      </c>
    </row>
    <row r="316" spans="1:27" x14ac:dyDescent="0.45">
      <c r="A316">
        <v>6</v>
      </c>
      <c r="B316">
        <v>9</v>
      </c>
      <c r="C316" s="32">
        <f t="shared" si="36"/>
        <v>3</v>
      </c>
      <c r="D316">
        <v>6</v>
      </c>
      <c r="E316">
        <v>9</v>
      </c>
      <c r="F316" s="32">
        <f t="shared" si="37"/>
        <v>3</v>
      </c>
      <c r="G316">
        <v>8</v>
      </c>
      <c r="H316">
        <v>8</v>
      </c>
      <c r="I316" s="32">
        <f t="shared" si="38"/>
        <v>0</v>
      </c>
      <c r="J316">
        <v>9</v>
      </c>
      <c r="K316">
        <v>9</v>
      </c>
      <c r="L316" s="32">
        <f t="shared" si="39"/>
        <v>0</v>
      </c>
      <c r="M316">
        <v>7</v>
      </c>
      <c r="N316">
        <v>8</v>
      </c>
      <c r="O316" s="32">
        <f t="shared" si="40"/>
        <v>1</v>
      </c>
      <c r="P316">
        <v>8</v>
      </c>
      <c r="Q316">
        <v>8</v>
      </c>
      <c r="R316" s="32">
        <f t="shared" si="41"/>
        <v>0</v>
      </c>
      <c r="S316">
        <v>7</v>
      </c>
      <c r="T316">
        <v>8</v>
      </c>
      <c r="U316" s="32">
        <f t="shared" si="42"/>
        <v>1</v>
      </c>
      <c r="V316">
        <v>7</v>
      </c>
      <c r="W316">
        <v>8</v>
      </c>
      <c r="X316" s="32">
        <f t="shared" si="43"/>
        <v>1</v>
      </c>
      <c r="Y316">
        <v>8</v>
      </c>
      <c r="Z316">
        <v>8</v>
      </c>
      <c r="AA316" s="32">
        <f t="shared" si="44"/>
        <v>0</v>
      </c>
    </row>
    <row r="317" spans="1:27" x14ac:dyDescent="0.45">
      <c r="A317">
        <v>6</v>
      </c>
      <c r="B317">
        <v>9</v>
      </c>
      <c r="C317" s="32">
        <f t="shared" si="36"/>
        <v>3</v>
      </c>
      <c r="D317">
        <v>6</v>
      </c>
      <c r="E317">
        <v>9</v>
      </c>
      <c r="F317" s="32">
        <f t="shared" si="37"/>
        <v>3</v>
      </c>
      <c r="G317">
        <v>8</v>
      </c>
      <c r="H317">
        <v>8</v>
      </c>
      <c r="I317" s="32">
        <f t="shared" si="38"/>
        <v>0</v>
      </c>
      <c r="J317">
        <v>9</v>
      </c>
      <c r="K317">
        <v>9</v>
      </c>
      <c r="L317" s="32">
        <f t="shared" si="39"/>
        <v>0</v>
      </c>
      <c r="M317">
        <v>7</v>
      </c>
      <c r="N317">
        <v>8</v>
      </c>
      <c r="O317" s="32">
        <f t="shared" si="40"/>
        <v>1</v>
      </c>
      <c r="P317">
        <v>8</v>
      </c>
      <c r="Q317">
        <v>8</v>
      </c>
      <c r="R317" s="32">
        <f t="shared" si="41"/>
        <v>0</v>
      </c>
      <c r="S317">
        <v>7</v>
      </c>
      <c r="T317">
        <v>8</v>
      </c>
      <c r="U317" s="32">
        <f t="shared" si="42"/>
        <v>1</v>
      </c>
      <c r="V317">
        <v>7</v>
      </c>
      <c r="W317">
        <v>8</v>
      </c>
      <c r="X317" s="32">
        <f t="shared" si="43"/>
        <v>1</v>
      </c>
      <c r="Y317">
        <v>8</v>
      </c>
      <c r="Z317">
        <v>8</v>
      </c>
      <c r="AA317" s="32">
        <f t="shared" si="44"/>
        <v>0</v>
      </c>
    </row>
    <row r="318" spans="1:27" x14ac:dyDescent="0.45">
      <c r="A318">
        <v>6</v>
      </c>
      <c r="B318">
        <v>9</v>
      </c>
      <c r="C318" s="32">
        <f t="shared" si="36"/>
        <v>3</v>
      </c>
      <c r="D318">
        <v>6</v>
      </c>
      <c r="E318">
        <v>9</v>
      </c>
      <c r="F318" s="32">
        <f t="shared" si="37"/>
        <v>3</v>
      </c>
      <c r="G318">
        <v>8</v>
      </c>
      <c r="H318">
        <v>8</v>
      </c>
      <c r="I318" s="32">
        <f t="shared" si="38"/>
        <v>0</v>
      </c>
      <c r="J318">
        <v>9</v>
      </c>
      <c r="K318">
        <v>9</v>
      </c>
      <c r="L318" s="32">
        <f t="shared" si="39"/>
        <v>0</v>
      </c>
      <c r="M318">
        <v>7</v>
      </c>
      <c r="N318">
        <v>8</v>
      </c>
      <c r="O318" s="32">
        <f t="shared" si="40"/>
        <v>1</v>
      </c>
      <c r="P318">
        <v>8</v>
      </c>
      <c r="Q318">
        <v>8</v>
      </c>
      <c r="R318" s="32">
        <f t="shared" si="41"/>
        <v>0</v>
      </c>
      <c r="S318">
        <v>7</v>
      </c>
      <c r="T318">
        <v>8</v>
      </c>
      <c r="U318" s="32">
        <f t="shared" si="42"/>
        <v>1</v>
      </c>
      <c r="V318">
        <v>7</v>
      </c>
      <c r="W318">
        <v>8</v>
      </c>
      <c r="X318" s="32">
        <f t="shared" si="43"/>
        <v>1</v>
      </c>
      <c r="Y318">
        <v>8</v>
      </c>
      <c r="Z318">
        <v>8</v>
      </c>
      <c r="AA318" s="32">
        <f t="shared" si="44"/>
        <v>0</v>
      </c>
    </row>
    <row r="319" spans="1:27" x14ac:dyDescent="0.45">
      <c r="A319">
        <v>6</v>
      </c>
      <c r="B319">
        <v>9</v>
      </c>
      <c r="C319" s="32">
        <f t="shared" si="36"/>
        <v>3</v>
      </c>
      <c r="D319">
        <v>7</v>
      </c>
      <c r="E319">
        <v>9</v>
      </c>
      <c r="F319" s="32">
        <f t="shared" si="37"/>
        <v>2</v>
      </c>
      <c r="G319">
        <v>8</v>
      </c>
      <c r="H319">
        <v>8</v>
      </c>
      <c r="I319" s="32">
        <f t="shared" si="38"/>
        <v>0</v>
      </c>
      <c r="J319">
        <v>9</v>
      </c>
      <c r="K319">
        <v>9</v>
      </c>
      <c r="L319" s="32">
        <f t="shared" si="39"/>
        <v>0</v>
      </c>
      <c r="M319">
        <v>7</v>
      </c>
      <c r="N319">
        <v>8</v>
      </c>
      <c r="O319" s="32">
        <f t="shared" si="40"/>
        <v>1</v>
      </c>
      <c r="P319">
        <v>8</v>
      </c>
      <c r="Q319">
        <v>8</v>
      </c>
      <c r="R319" s="32">
        <f t="shared" si="41"/>
        <v>0</v>
      </c>
      <c r="S319">
        <v>7</v>
      </c>
      <c r="T319">
        <v>8</v>
      </c>
      <c r="U319" s="32">
        <f t="shared" si="42"/>
        <v>1</v>
      </c>
      <c r="V319">
        <v>7</v>
      </c>
      <c r="W319">
        <v>8</v>
      </c>
      <c r="X319" s="32">
        <f t="shared" si="43"/>
        <v>1</v>
      </c>
      <c r="Y319">
        <v>8</v>
      </c>
      <c r="Z319">
        <v>9</v>
      </c>
      <c r="AA319" s="32">
        <f t="shared" si="44"/>
        <v>1</v>
      </c>
    </row>
    <row r="320" spans="1:27" x14ac:dyDescent="0.45">
      <c r="A320">
        <v>6</v>
      </c>
      <c r="B320">
        <v>9</v>
      </c>
      <c r="C320" s="32">
        <f t="shared" si="36"/>
        <v>3</v>
      </c>
      <c r="D320">
        <v>7</v>
      </c>
      <c r="E320">
        <v>9</v>
      </c>
      <c r="F320" s="32">
        <f t="shared" si="37"/>
        <v>2</v>
      </c>
      <c r="G320">
        <v>8</v>
      </c>
      <c r="H320">
        <v>8</v>
      </c>
      <c r="I320" s="32">
        <f t="shared" si="38"/>
        <v>0</v>
      </c>
      <c r="J320">
        <v>9</v>
      </c>
      <c r="K320">
        <v>9</v>
      </c>
      <c r="L320" s="32">
        <f t="shared" si="39"/>
        <v>0</v>
      </c>
      <c r="M320">
        <v>7</v>
      </c>
      <c r="N320">
        <v>8</v>
      </c>
      <c r="O320" s="32">
        <f t="shared" si="40"/>
        <v>1</v>
      </c>
      <c r="P320">
        <v>8</v>
      </c>
      <c r="Q320">
        <v>9</v>
      </c>
      <c r="R320" s="32">
        <f t="shared" si="41"/>
        <v>1</v>
      </c>
      <c r="S320">
        <v>7</v>
      </c>
      <c r="T320">
        <v>8</v>
      </c>
      <c r="U320" s="32">
        <f t="shared" si="42"/>
        <v>1</v>
      </c>
      <c r="V320">
        <v>7</v>
      </c>
      <c r="W320">
        <v>8</v>
      </c>
      <c r="X320" s="32">
        <f t="shared" si="43"/>
        <v>1</v>
      </c>
      <c r="Y320">
        <v>8</v>
      </c>
      <c r="Z320">
        <v>9</v>
      </c>
      <c r="AA320" s="32">
        <f t="shared" si="44"/>
        <v>1</v>
      </c>
    </row>
    <row r="321" spans="1:27" x14ac:dyDescent="0.45">
      <c r="A321">
        <v>6</v>
      </c>
      <c r="B321">
        <v>9</v>
      </c>
      <c r="C321" s="32">
        <f t="shared" si="36"/>
        <v>3</v>
      </c>
      <c r="D321">
        <v>7</v>
      </c>
      <c r="E321">
        <v>9</v>
      </c>
      <c r="F321" s="32">
        <f t="shared" si="37"/>
        <v>2</v>
      </c>
      <c r="G321">
        <v>8</v>
      </c>
      <c r="H321">
        <v>8</v>
      </c>
      <c r="I321" s="32">
        <f t="shared" si="38"/>
        <v>0</v>
      </c>
      <c r="J321">
        <v>9</v>
      </c>
      <c r="K321">
        <v>9</v>
      </c>
      <c r="L321" s="32">
        <f t="shared" si="39"/>
        <v>0</v>
      </c>
      <c r="M321">
        <v>7</v>
      </c>
      <c r="N321">
        <v>8</v>
      </c>
      <c r="O321" s="32">
        <f t="shared" si="40"/>
        <v>1</v>
      </c>
      <c r="P321">
        <v>8</v>
      </c>
      <c r="Q321">
        <v>9</v>
      </c>
      <c r="R321" s="32">
        <f t="shared" si="41"/>
        <v>1</v>
      </c>
      <c r="S321">
        <v>7</v>
      </c>
      <c r="T321">
        <v>8</v>
      </c>
      <c r="U321" s="32">
        <f t="shared" si="42"/>
        <v>1</v>
      </c>
      <c r="V321">
        <v>7</v>
      </c>
      <c r="W321">
        <v>8</v>
      </c>
      <c r="X321" s="32">
        <f t="shared" si="43"/>
        <v>1</v>
      </c>
      <c r="Y321">
        <v>8</v>
      </c>
      <c r="Z321">
        <v>9</v>
      </c>
      <c r="AA321" s="32">
        <f t="shared" si="44"/>
        <v>1</v>
      </c>
    </row>
    <row r="322" spans="1:27" x14ac:dyDescent="0.45">
      <c r="A322">
        <v>6</v>
      </c>
      <c r="B322">
        <v>9</v>
      </c>
      <c r="C322" s="32">
        <f t="shared" si="36"/>
        <v>3</v>
      </c>
      <c r="D322">
        <v>7</v>
      </c>
      <c r="E322">
        <v>9</v>
      </c>
      <c r="F322" s="32">
        <f t="shared" si="37"/>
        <v>2</v>
      </c>
      <c r="G322">
        <v>8</v>
      </c>
      <c r="H322">
        <v>8</v>
      </c>
      <c r="I322" s="32">
        <f t="shared" si="38"/>
        <v>0</v>
      </c>
      <c r="J322">
        <v>9</v>
      </c>
      <c r="K322">
        <v>9</v>
      </c>
      <c r="L322" s="32">
        <f t="shared" si="39"/>
        <v>0</v>
      </c>
      <c r="M322">
        <v>7</v>
      </c>
      <c r="N322">
        <v>8</v>
      </c>
      <c r="O322" s="32">
        <f t="shared" si="40"/>
        <v>1</v>
      </c>
      <c r="P322">
        <v>8</v>
      </c>
      <c r="Q322">
        <v>9</v>
      </c>
      <c r="R322" s="32">
        <f t="shared" si="41"/>
        <v>1</v>
      </c>
      <c r="S322">
        <v>7</v>
      </c>
      <c r="T322">
        <v>8</v>
      </c>
      <c r="U322" s="32">
        <f t="shared" si="42"/>
        <v>1</v>
      </c>
      <c r="V322">
        <v>7</v>
      </c>
      <c r="W322">
        <v>8</v>
      </c>
      <c r="X322" s="32">
        <f t="shared" si="43"/>
        <v>1</v>
      </c>
      <c r="Y322">
        <v>8</v>
      </c>
      <c r="Z322">
        <v>9</v>
      </c>
      <c r="AA322" s="32">
        <f t="shared" si="44"/>
        <v>1</v>
      </c>
    </row>
    <row r="323" spans="1:27" x14ac:dyDescent="0.45">
      <c r="A323">
        <v>6</v>
      </c>
      <c r="B323">
        <v>9</v>
      </c>
      <c r="C323" s="32">
        <f t="shared" ref="C323:C386" si="45">ABS(B323-A323)</f>
        <v>3</v>
      </c>
      <c r="D323">
        <v>7</v>
      </c>
      <c r="E323">
        <v>9</v>
      </c>
      <c r="F323" s="32">
        <f t="shared" ref="F323:F386" si="46">ABS(E323-D323)</f>
        <v>2</v>
      </c>
      <c r="G323">
        <v>8</v>
      </c>
      <c r="H323">
        <v>8</v>
      </c>
      <c r="I323" s="32">
        <f t="shared" ref="I323:I386" si="47">ABS(H323-G323)</f>
        <v>0</v>
      </c>
      <c r="J323">
        <v>9</v>
      </c>
      <c r="K323">
        <v>9</v>
      </c>
      <c r="L323" s="32">
        <f t="shared" ref="L323:L386" si="48">ABS(K323-J323)</f>
        <v>0</v>
      </c>
      <c r="M323">
        <v>7</v>
      </c>
      <c r="N323">
        <v>8</v>
      </c>
      <c r="O323" s="32">
        <f t="shared" ref="O323:O386" si="49">ABS(N323-M323)</f>
        <v>1</v>
      </c>
      <c r="P323">
        <v>8</v>
      </c>
      <c r="Q323">
        <v>9</v>
      </c>
      <c r="R323" s="32">
        <f t="shared" ref="R323:R386" si="50">ABS(Q323-P323)</f>
        <v>1</v>
      </c>
      <c r="S323">
        <v>7</v>
      </c>
      <c r="T323">
        <v>8</v>
      </c>
      <c r="U323" s="32">
        <f t="shared" ref="U323:U386" si="51">ABS(T323-S323)</f>
        <v>1</v>
      </c>
      <c r="V323">
        <v>7</v>
      </c>
      <c r="W323">
        <v>8</v>
      </c>
      <c r="X323" s="32">
        <f t="shared" ref="X323:X386" si="52">ABS(W323-V323)</f>
        <v>1</v>
      </c>
      <c r="Y323">
        <v>8</v>
      </c>
      <c r="Z323">
        <v>9</v>
      </c>
      <c r="AA323" s="32">
        <f t="shared" ref="AA323:AA386" si="53">ABS(Z323-Y323)</f>
        <v>1</v>
      </c>
    </row>
    <row r="324" spans="1:27" x14ac:dyDescent="0.45">
      <c r="A324">
        <v>6</v>
      </c>
      <c r="B324">
        <v>9</v>
      </c>
      <c r="C324" s="32">
        <f t="shared" si="45"/>
        <v>3</v>
      </c>
      <c r="D324">
        <v>7</v>
      </c>
      <c r="E324">
        <v>9</v>
      </c>
      <c r="F324" s="32">
        <f t="shared" si="46"/>
        <v>2</v>
      </c>
      <c r="G324">
        <v>8</v>
      </c>
      <c r="H324">
        <v>8</v>
      </c>
      <c r="I324" s="32">
        <f t="shared" si="47"/>
        <v>0</v>
      </c>
      <c r="J324">
        <v>9</v>
      </c>
      <c r="K324">
        <v>9</v>
      </c>
      <c r="L324" s="32">
        <f t="shared" si="48"/>
        <v>0</v>
      </c>
      <c r="M324">
        <v>7</v>
      </c>
      <c r="N324">
        <v>8</v>
      </c>
      <c r="O324" s="32">
        <f t="shared" si="49"/>
        <v>1</v>
      </c>
      <c r="P324">
        <v>8</v>
      </c>
      <c r="Q324">
        <v>9</v>
      </c>
      <c r="R324" s="32">
        <f t="shared" si="50"/>
        <v>1</v>
      </c>
      <c r="S324">
        <v>7</v>
      </c>
      <c r="T324">
        <v>8</v>
      </c>
      <c r="U324" s="32">
        <f t="shared" si="51"/>
        <v>1</v>
      </c>
      <c r="V324">
        <v>7</v>
      </c>
      <c r="W324">
        <v>8</v>
      </c>
      <c r="X324" s="32">
        <f t="shared" si="52"/>
        <v>1</v>
      </c>
      <c r="Y324">
        <v>8</v>
      </c>
      <c r="Z324">
        <v>9</v>
      </c>
      <c r="AA324" s="32">
        <f t="shared" si="53"/>
        <v>1</v>
      </c>
    </row>
    <row r="325" spans="1:27" x14ac:dyDescent="0.45">
      <c r="A325">
        <v>6</v>
      </c>
      <c r="B325">
        <v>9</v>
      </c>
      <c r="C325" s="32">
        <f t="shared" si="45"/>
        <v>3</v>
      </c>
      <c r="D325">
        <v>7</v>
      </c>
      <c r="E325">
        <v>9</v>
      </c>
      <c r="F325" s="32">
        <f t="shared" si="46"/>
        <v>2</v>
      </c>
      <c r="G325">
        <v>8</v>
      </c>
      <c r="H325">
        <v>8</v>
      </c>
      <c r="I325" s="32">
        <f t="shared" si="47"/>
        <v>0</v>
      </c>
      <c r="J325">
        <v>9</v>
      </c>
      <c r="K325">
        <v>9</v>
      </c>
      <c r="L325" s="32">
        <f t="shared" si="48"/>
        <v>0</v>
      </c>
      <c r="M325">
        <v>7</v>
      </c>
      <c r="N325">
        <v>8</v>
      </c>
      <c r="O325" s="32">
        <f t="shared" si="49"/>
        <v>1</v>
      </c>
      <c r="P325">
        <v>8</v>
      </c>
      <c r="Q325">
        <v>9</v>
      </c>
      <c r="R325" s="32">
        <f t="shared" si="50"/>
        <v>1</v>
      </c>
      <c r="S325">
        <v>7</v>
      </c>
      <c r="T325">
        <v>8</v>
      </c>
      <c r="U325" s="32">
        <f t="shared" si="51"/>
        <v>1</v>
      </c>
      <c r="V325">
        <v>7</v>
      </c>
      <c r="W325">
        <v>8</v>
      </c>
      <c r="X325" s="32">
        <f t="shared" si="52"/>
        <v>1</v>
      </c>
      <c r="Y325">
        <v>8</v>
      </c>
      <c r="Z325">
        <v>9</v>
      </c>
      <c r="AA325" s="32">
        <f t="shared" si="53"/>
        <v>1</v>
      </c>
    </row>
    <row r="326" spans="1:27" x14ac:dyDescent="0.45">
      <c r="A326">
        <v>6</v>
      </c>
      <c r="B326">
        <v>9</v>
      </c>
      <c r="C326" s="32">
        <f t="shared" si="45"/>
        <v>3</v>
      </c>
      <c r="D326">
        <v>7</v>
      </c>
      <c r="E326">
        <v>9</v>
      </c>
      <c r="F326" s="32">
        <f t="shared" si="46"/>
        <v>2</v>
      </c>
      <c r="G326">
        <v>8</v>
      </c>
      <c r="H326">
        <v>8</v>
      </c>
      <c r="I326" s="32">
        <f t="shared" si="47"/>
        <v>0</v>
      </c>
      <c r="J326">
        <v>9</v>
      </c>
      <c r="K326">
        <v>9</v>
      </c>
      <c r="L326" s="32">
        <f t="shared" si="48"/>
        <v>0</v>
      </c>
      <c r="M326">
        <v>7</v>
      </c>
      <c r="N326">
        <v>8</v>
      </c>
      <c r="O326" s="32">
        <f t="shared" si="49"/>
        <v>1</v>
      </c>
      <c r="P326">
        <v>8</v>
      </c>
      <c r="Q326">
        <v>9</v>
      </c>
      <c r="R326" s="32">
        <f t="shared" si="50"/>
        <v>1</v>
      </c>
      <c r="S326">
        <v>7</v>
      </c>
      <c r="T326">
        <v>8</v>
      </c>
      <c r="U326" s="32">
        <f t="shared" si="51"/>
        <v>1</v>
      </c>
      <c r="V326">
        <v>7</v>
      </c>
      <c r="W326">
        <v>8</v>
      </c>
      <c r="X326" s="32">
        <f t="shared" si="52"/>
        <v>1</v>
      </c>
      <c r="Y326">
        <v>8</v>
      </c>
      <c r="Z326">
        <v>9</v>
      </c>
      <c r="AA326" s="32">
        <f t="shared" si="53"/>
        <v>1</v>
      </c>
    </row>
    <row r="327" spans="1:27" x14ac:dyDescent="0.45">
      <c r="A327">
        <v>6</v>
      </c>
      <c r="B327">
        <v>9</v>
      </c>
      <c r="C327" s="32">
        <f t="shared" si="45"/>
        <v>3</v>
      </c>
      <c r="D327">
        <v>7</v>
      </c>
      <c r="E327">
        <v>9</v>
      </c>
      <c r="F327" s="32">
        <f t="shared" si="46"/>
        <v>2</v>
      </c>
      <c r="G327">
        <v>8</v>
      </c>
      <c r="H327">
        <v>8</v>
      </c>
      <c r="I327" s="32">
        <f t="shared" si="47"/>
        <v>0</v>
      </c>
      <c r="J327">
        <v>9</v>
      </c>
      <c r="K327">
        <v>9</v>
      </c>
      <c r="L327" s="32">
        <f t="shared" si="48"/>
        <v>0</v>
      </c>
      <c r="M327">
        <v>7</v>
      </c>
      <c r="N327">
        <v>8</v>
      </c>
      <c r="O327" s="32">
        <f t="shared" si="49"/>
        <v>1</v>
      </c>
      <c r="P327">
        <v>8</v>
      </c>
      <c r="Q327">
        <v>9</v>
      </c>
      <c r="R327" s="32">
        <f t="shared" si="50"/>
        <v>1</v>
      </c>
      <c r="S327">
        <v>7</v>
      </c>
      <c r="T327">
        <v>8</v>
      </c>
      <c r="U327" s="32">
        <f t="shared" si="51"/>
        <v>1</v>
      </c>
      <c r="V327">
        <v>7</v>
      </c>
      <c r="W327">
        <v>8</v>
      </c>
      <c r="X327" s="32">
        <f t="shared" si="52"/>
        <v>1</v>
      </c>
      <c r="Y327">
        <v>8</v>
      </c>
      <c r="Z327">
        <v>9</v>
      </c>
      <c r="AA327" s="32">
        <f t="shared" si="53"/>
        <v>1</v>
      </c>
    </row>
    <row r="328" spans="1:27" x14ac:dyDescent="0.45">
      <c r="A328">
        <v>6</v>
      </c>
      <c r="B328">
        <v>9</v>
      </c>
      <c r="C328" s="32">
        <f t="shared" si="45"/>
        <v>3</v>
      </c>
      <c r="D328">
        <v>7</v>
      </c>
      <c r="E328">
        <v>9</v>
      </c>
      <c r="F328" s="32">
        <f t="shared" si="46"/>
        <v>2</v>
      </c>
      <c r="G328">
        <v>8</v>
      </c>
      <c r="H328">
        <v>8</v>
      </c>
      <c r="I328" s="32">
        <f t="shared" si="47"/>
        <v>0</v>
      </c>
      <c r="J328">
        <v>9</v>
      </c>
      <c r="K328">
        <v>9</v>
      </c>
      <c r="L328" s="32">
        <f t="shared" si="48"/>
        <v>0</v>
      </c>
      <c r="M328">
        <v>7</v>
      </c>
      <c r="N328">
        <v>8</v>
      </c>
      <c r="O328" s="32">
        <f t="shared" si="49"/>
        <v>1</v>
      </c>
      <c r="P328">
        <v>8</v>
      </c>
      <c r="Q328">
        <v>9</v>
      </c>
      <c r="R328" s="32">
        <f t="shared" si="50"/>
        <v>1</v>
      </c>
      <c r="S328">
        <v>7</v>
      </c>
      <c r="T328">
        <v>8</v>
      </c>
      <c r="U328" s="32">
        <f t="shared" si="51"/>
        <v>1</v>
      </c>
      <c r="V328">
        <v>7</v>
      </c>
      <c r="W328">
        <v>8</v>
      </c>
      <c r="X328" s="32">
        <f t="shared" si="52"/>
        <v>1</v>
      </c>
      <c r="Y328">
        <v>8</v>
      </c>
      <c r="Z328">
        <v>9</v>
      </c>
      <c r="AA328" s="32">
        <f t="shared" si="53"/>
        <v>1</v>
      </c>
    </row>
    <row r="329" spans="1:27" x14ac:dyDescent="0.45">
      <c r="A329">
        <v>6</v>
      </c>
      <c r="B329">
        <v>9</v>
      </c>
      <c r="C329" s="32">
        <f t="shared" si="45"/>
        <v>3</v>
      </c>
      <c r="D329">
        <v>7</v>
      </c>
      <c r="E329">
        <v>9</v>
      </c>
      <c r="F329" s="32">
        <f t="shared" si="46"/>
        <v>2</v>
      </c>
      <c r="G329">
        <v>8</v>
      </c>
      <c r="H329">
        <v>8</v>
      </c>
      <c r="I329" s="32">
        <f t="shared" si="47"/>
        <v>0</v>
      </c>
      <c r="J329">
        <v>9</v>
      </c>
      <c r="K329">
        <v>9</v>
      </c>
      <c r="L329" s="32">
        <f t="shared" si="48"/>
        <v>0</v>
      </c>
      <c r="M329">
        <v>7</v>
      </c>
      <c r="N329">
        <v>8</v>
      </c>
      <c r="O329" s="32">
        <f t="shared" si="49"/>
        <v>1</v>
      </c>
      <c r="P329">
        <v>8</v>
      </c>
      <c r="Q329">
        <v>9</v>
      </c>
      <c r="R329" s="32">
        <f t="shared" si="50"/>
        <v>1</v>
      </c>
      <c r="S329">
        <v>7</v>
      </c>
      <c r="T329">
        <v>8</v>
      </c>
      <c r="U329" s="32">
        <f t="shared" si="51"/>
        <v>1</v>
      </c>
      <c r="V329">
        <v>7</v>
      </c>
      <c r="W329">
        <v>8</v>
      </c>
      <c r="X329" s="32">
        <f t="shared" si="52"/>
        <v>1</v>
      </c>
      <c r="Y329">
        <v>8</v>
      </c>
      <c r="Z329">
        <v>9</v>
      </c>
      <c r="AA329" s="32">
        <f t="shared" si="53"/>
        <v>1</v>
      </c>
    </row>
    <row r="330" spans="1:27" x14ac:dyDescent="0.45">
      <c r="A330">
        <v>6</v>
      </c>
      <c r="B330">
        <v>9</v>
      </c>
      <c r="C330" s="32">
        <f t="shared" si="45"/>
        <v>3</v>
      </c>
      <c r="D330">
        <v>7</v>
      </c>
      <c r="E330">
        <v>9</v>
      </c>
      <c r="F330" s="32">
        <f t="shared" si="46"/>
        <v>2</v>
      </c>
      <c r="G330">
        <v>8</v>
      </c>
      <c r="H330">
        <v>8</v>
      </c>
      <c r="I330" s="32">
        <f t="shared" si="47"/>
        <v>0</v>
      </c>
      <c r="J330">
        <v>9</v>
      </c>
      <c r="K330">
        <v>9</v>
      </c>
      <c r="L330" s="32">
        <f t="shared" si="48"/>
        <v>0</v>
      </c>
      <c r="M330">
        <v>7</v>
      </c>
      <c r="N330">
        <v>8</v>
      </c>
      <c r="O330" s="32">
        <f t="shared" si="49"/>
        <v>1</v>
      </c>
      <c r="P330">
        <v>8</v>
      </c>
      <c r="Q330">
        <v>9</v>
      </c>
      <c r="R330" s="32">
        <f t="shared" si="50"/>
        <v>1</v>
      </c>
      <c r="S330">
        <v>7</v>
      </c>
      <c r="T330">
        <v>8</v>
      </c>
      <c r="U330" s="32">
        <f t="shared" si="51"/>
        <v>1</v>
      </c>
      <c r="V330">
        <v>7</v>
      </c>
      <c r="W330">
        <v>8</v>
      </c>
      <c r="X330" s="32">
        <f t="shared" si="52"/>
        <v>1</v>
      </c>
      <c r="Y330">
        <v>8</v>
      </c>
      <c r="Z330">
        <v>9</v>
      </c>
      <c r="AA330" s="32">
        <f t="shared" si="53"/>
        <v>1</v>
      </c>
    </row>
    <row r="331" spans="1:27" x14ac:dyDescent="0.45">
      <c r="A331">
        <v>6</v>
      </c>
      <c r="B331">
        <v>9</v>
      </c>
      <c r="C331" s="32">
        <f t="shared" si="45"/>
        <v>3</v>
      </c>
      <c r="D331">
        <v>7</v>
      </c>
      <c r="E331">
        <v>9</v>
      </c>
      <c r="F331" s="32">
        <f t="shared" si="46"/>
        <v>2</v>
      </c>
      <c r="G331">
        <v>8</v>
      </c>
      <c r="H331">
        <v>8</v>
      </c>
      <c r="I331" s="32">
        <f t="shared" si="47"/>
        <v>0</v>
      </c>
      <c r="J331">
        <v>9</v>
      </c>
      <c r="K331">
        <v>9</v>
      </c>
      <c r="L331" s="32">
        <f t="shared" si="48"/>
        <v>0</v>
      </c>
      <c r="M331">
        <v>7</v>
      </c>
      <c r="N331">
        <v>8</v>
      </c>
      <c r="O331" s="32">
        <f t="shared" si="49"/>
        <v>1</v>
      </c>
      <c r="P331">
        <v>8</v>
      </c>
      <c r="Q331">
        <v>9</v>
      </c>
      <c r="R331" s="32">
        <f t="shared" si="50"/>
        <v>1</v>
      </c>
      <c r="S331">
        <v>7</v>
      </c>
      <c r="T331">
        <v>8</v>
      </c>
      <c r="U331" s="32">
        <f t="shared" si="51"/>
        <v>1</v>
      </c>
      <c r="V331">
        <v>7</v>
      </c>
      <c r="W331">
        <v>8</v>
      </c>
      <c r="X331" s="32">
        <f t="shared" si="52"/>
        <v>1</v>
      </c>
      <c r="Y331">
        <v>8</v>
      </c>
      <c r="Z331">
        <v>9</v>
      </c>
      <c r="AA331" s="32">
        <f t="shared" si="53"/>
        <v>1</v>
      </c>
    </row>
    <row r="332" spans="1:27" x14ac:dyDescent="0.45">
      <c r="A332">
        <v>6</v>
      </c>
      <c r="B332">
        <v>9</v>
      </c>
      <c r="C332" s="32">
        <f t="shared" si="45"/>
        <v>3</v>
      </c>
      <c r="D332">
        <v>7</v>
      </c>
      <c r="E332">
        <v>9</v>
      </c>
      <c r="F332" s="32">
        <f t="shared" si="46"/>
        <v>2</v>
      </c>
      <c r="G332">
        <v>8</v>
      </c>
      <c r="H332">
        <v>8</v>
      </c>
      <c r="I332" s="32">
        <f t="shared" si="47"/>
        <v>0</v>
      </c>
      <c r="J332">
        <v>9</v>
      </c>
      <c r="K332">
        <v>9</v>
      </c>
      <c r="L332" s="32">
        <f t="shared" si="48"/>
        <v>0</v>
      </c>
      <c r="M332">
        <v>7</v>
      </c>
      <c r="N332">
        <v>8</v>
      </c>
      <c r="O332" s="32">
        <f t="shared" si="49"/>
        <v>1</v>
      </c>
      <c r="P332">
        <v>8</v>
      </c>
      <c r="Q332">
        <v>9</v>
      </c>
      <c r="R332" s="32">
        <f t="shared" si="50"/>
        <v>1</v>
      </c>
      <c r="S332">
        <v>7</v>
      </c>
      <c r="T332">
        <v>8</v>
      </c>
      <c r="U332" s="32">
        <f t="shared" si="51"/>
        <v>1</v>
      </c>
      <c r="V332">
        <v>7</v>
      </c>
      <c r="W332">
        <v>8</v>
      </c>
      <c r="X332" s="32">
        <f t="shared" si="52"/>
        <v>1</v>
      </c>
      <c r="Y332">
        <v>8</v>
      </c>
      <c r="Z332">
        <v>9</v>
      </c>
      <c r="AA332" s="32">
        <f t="shared" si="53"/>
        <v>1</v>
      </c>
    </row>
    <row r="333" spans="1:27" x14ac:dyDescent="0.45">
      <c r="A333">
        <v>6</v>
      </c>
      <c r="B333">
        <v>9</v>
      </c>
      <c r="C333" s="32">
        <f t="shared" si="45"/>
        <v>3</v>
      </c>
      <c r="D333">
        <v>7</v>
      </c>
      <c r="E333">
        <v>9</v>
      </c>
      <c r="F333" s="32">
        <f t="shared" si="46"/>
        <v>2</v>
      </c>
      <c r="G333">
        <v>8</v>
      </c>
      <c r="H333">
        <v>9</v>
      </c>
      <c r="I333" s="32">
        <f t="shared" si="47"/>
        <v>1</v>
      </c>
      <c r="J333">
        <v>9</v>
      </c>
      <c r="K333">
        <v>9</v>
      </c>
      <c r="L333" s="32">
        <f t="shared" si="48"/>
        <v>0</v>
      </c>
      <c r="M333">
        <v>7</v>
      </c>
      <c r="N333">
        <v>9</v>
      </c>
      <c r="O333" s="32">
        <f t="shared" si="49"/>
        <v>2</v>
      </c>
      <c r="P333">
        <v>8</v>
      </c>
      <c r="Q333">
        <v>9</v>
      </c>
      <c r="R333" s="32">
        <f t="shared" si="50"/>
        <v>1</v>
      </c>
      <c r="S333">
        <v>7</v>
      </c>
      <c r="T333">
        <v>8</v>
      </c>
      <c r="U333" s="32">
        <f t="shared" si="51"/>
        <v>1</v>
      </c>
      <c r="V333">
        <v>7</v>
      </c>
      <c r="W333">
        <v>8</v>
      </c>
      <c r="X333" s="32">
        <f t="shared" si="52"/>
        <v>1</v>
      </c>
      <c r="Y333">
        <v>8</v>
      </c>
      <c r="Z333">
        <v>9</v>
      </c>
      <c r="AA333" s="32">
        <f t="shared" si="53"/>
        <v>1</v>
      </c>
    </row>
    <row r="334" spans="1:27" x14ac:dyDescent="0.45">
      <c r="A334">
        <v>6</v>
      </c>
      <c r="B334">
        <v>9</v>
      </c>
      <c r="C334" s="32">
        <f t="shared" si="45"/>
        <v>3</v>
      </c>
      <c r="D334">
        <v>7</v>
      </c>
      <c r="E334">
        <v>9</v>
      </c>
      <c r="F334" s="32">
        <f t="shared" si="46"/>
        <v>2</v>
      </c>
      <c r="G334">
        <v>8</v>
      </c>
      <c r="H334">
        <v>9</v>
      </c>
      <c r="I334" s="32">
        <f t="shared" si="47"/>
        <v>1</v>
      </c>
      <c r="J334">
        <v>9</v>
      </c>
      <c r="K334">
        <v>9</v>
      </c>
      <c r="L334" s="32">
        <f t="shared" si="48"/>
        <v>0</v>
      </c>
      <c r="M334">
        <v>7</v>
      </c>
      <c r="N334">
        <v>9</v>
      </c>
      <c r="O334" s="32">
        <f t="shared" si="49"/>
        <v>2</v>
      </c>
      <c r="P334">
        <v>8</v>
      </c>
      <c r="Q334">
        <v>9</v>
      </c>
      <c r="R334" s="32">
        <f t="shared" si="50"/>
        <v>1</v>
      </c>
      <c r="S334">
        <v>7</v>
      </c>
      <c r="T334">
        <v>8</v>
      </c>
      <c r="U334" s="32">
        <f t="shared" si="51"/>
        <v>1</v>
      </c>
      <c r="V334">
        <v>7</v>
      </c>
      <c r="W334">
        <v>8</v>
      </c>
      <c r="X334" s="32">
        <f t="shared" si="52"/>
        <v>1</v>
      </c>
      <c r="Y334">
        <v>8</v>
      </c>
      <c r="Z334">
        <v>9</v>
      </c>
      <c r="AA334" s="32">
        <f t="shared" si="53"/>
        <v>1</v>
      </c>
    </row>
    <row r="335" spans="1:27" x14ac:dyDescent="0.45">
      <c r="A335">
        <v>6</v>
      </c>
      <c r="B335">
        <v>9</v>
      </c>
      <c r="C335" s="32">
        <f t="shared" si="45"/>
        <v>3</v>
      </c>
      <c r="D335">
        <v>7</v>
      </c>
      <c r="E335">
        <v>9</v>
      </c>
      <c r="F335" s="32">
        <f t="shared" si="46"/>
        <v>2</v>
      </c>
      <c r="G335">
        <v>8</v>
      </c>
      <c r="H335">
        <v>9</v>
      </c>
      <c r="I335" s="32">
        <f t="shared" si="47"/>
        <v>1</v>
      </c>
      <c r="J335">
        <v>9</v>
      </c>
      <c r="K335">
        <v>9</v>
      </c>
      <c r="L335" s="32">
        <f t="shared" si="48"/>
        <v>0</v>
      </c>
      <c r="M335">
        <v>7</v>
      </c>
      <c r="N335">
        <v>9</v>
      </c>
      <c r="O335" s="32">
        <f t="shared" si="49"/>
        <v>2</v>
      </c>
      <c r="P335">
        <v>8</v>
      </c>
      <c r="Q335">
        <v>9</v>
      </c>
      <c r="R335" s="32">
        <f t="shared" si="50"/>
        <v>1</v>
      </c>
      <c r="S335">
        <v>7</v>
      </c>
      <c r="T335">
        <v>8</v>
      </c>
      <c r="U335" s="32">
        <f t="shared" si="51"/>
        <v>1</v>
      </c>
      <c r="V335">
        <v>7</v>
      </c>
      <c r="W335">
        <v>8</v>
      </c>
      <c r="X335" s="32">
        <f t="shared" si="52"/>
        <v>1</v>
      </c>
      <c r="Y335">
        <v>8</v>
      </c>
      <c r="Z335">
        <v>9</v>
      </c>
      <c r="AA335" s="32">
        <f t="shared" si="53"/>
        <v>1</v>
      </c>
    </row>
    <row r="336" spans="1:27" x14ac:dyDescent="0.45">
      <c r="A336">
        <v>6</v>
      </c>
      <c r="B336">
        <v>9</v>
      </c>
      <c r="C336" s="32">
        <f t="shared" si="45"/>
        <v>3</v>
      </c>
      <c r="D336">
        <v>7</v>
      </c>
      <c r="E336">
        <v>9</v>
      </c>
      <c r="F336" s="32">
        <f t="shared" si="46"/>
        <v>2</v>
      </c>
      <c r="G336">
        <v>8</v>
      </c>
      <c r="H336">
        <v>9</v>
      </c>
      <c r="I336" s="32">
        <f t="shared" si="47"/>
        <v>1</v>
      </c>
      <c r="J336">
        <v>9</v>
      </c>
      <c r="K336">
        <v>9</v>
      </c>
      <c r="L336" s="32">
        <f t="shared" si="48"/>
        <v>0</v>
      </c>
      <c r="M336">
        <v>7</v>
      </c>
      <c r="N336">
        <v>9</v>
      </c>
      <c r="O336" s="32">
        <f t="shared" si="49"/>
        <v>2</v>
      </c>
      <c r="P336">
        <v>8</v>
      </c>
      <c r="Q336">
        <v>9</v>
      </c>
      <c r="R336" s="32">
        <f t="shared" si="50"/>
        <v>1</v>
      </c>
      <c r="S336">
        <v>7</v>
      </c>
      <c r="T336">
        <v>8</v>
      </c>
      <c r="U336" s="32">
        <f t="shared" si="51"/>
        <v>1</v>
      </c>
      <c r="V336">
        <v>7</v>
      </c>
      <c r="W336">
        <v>8</v>
      </c>
      <c r="X336" s="32">
        <f t="shared" si="52"/>
        <v>1</v>
      </c>
      <c r="Y336">
        <v>8</v>
      </c>
      <c r="Z336">
        <v>9</v>
      </c>
      <c r="AA336" s="32">
        <f t="shared" si="53"/>
        <v>1</v>
      </c>
    </row>
    <row r="337" spans="1:27" x14ac:dyDescent="0.45">
      <c r="A337">
        <v>6</v>
      </c>
      <c r="B337">
        <v>9</v>
      </c>
      <c r="C337" s="32">
        <f t="shared" si="45"/>
        <v>3</v>
      </c>
      <c r="D337">
        <v>7</v>
      </c>
      <c r="E337">
        <v>9</v>
      </c>
      <c r="F337" s="32">
        <f t="shared" si="46"/>
        <v>2</v>
      </c>
      <c r="G337">
        <v>8</v>
      </c>
      <c r="H337">
        <v>9</v>
      </c>
      <c r="I337" s="32">
        <f t="shared" si="47"/>
        <v>1</v>
      </c>
      <c r="J337">
        <v>9</v>
      </c>
      <c r="K337">
        <v>9</v>
      </c>
      <c r="L337" s="32">
        <f t="shared" si="48"/>
        <v>0</v>
      </c>
      <c r="M337">
        <v>7</v>
      </c>
      <c r="N337">
        <v>9</v>
      </c>
      <c r="O337" s="32">
        <f t="shared" si="49"/>
        <v>2</v>
      </c>
      <c r="P337">
        <v>8</v>
      </c>
      <c r="Q337">
        <v>9</v>
      </c>
      <c r="R337" s="32">
        <f t="shared" si="50"/>
        <v>1</v>
      </c>
      <c r="S337">
        <v>7</v>
      </c>
      <c r="T337">
        <v>8</v>
      </c>
      <c r="U337" s="32">
        <f t="shared" si="51"/>
        <v>1</v>
      </c>
      <c r="V337">
        <v>7</v>
      </c>
      <c r="W337">
        <v>8</v>
      </c>
      <c r="X337" s="32">
        <f t="shared" si="52"/>
        <v>1</v>
      </c>
      <c r="Y337">
        <v>8</v>
      </c>
      <c r="Z337">
        <v>9</v>
      </c>
      <c r="AA337" s="32">
        <f t="shared" si="53"/>
        <v>1</v>
      </c>
    </row>
    <row r="338" spans="1:27" x14ac:dyDescent="0.45">
      <c r="A338">
        <v>6</v>
      </c>
      <c r="B338">
        <v>9</v>
      </c>
      <c r="C338" s="32">
        <f t="shared" si="45"/>
        <v>3</v>
      </c>
      <c r="D338">
        <v>7</v>
      </c>
      <c r="E338">
        <v>9</v>
      </c>
      <c r="F338" s="32">
        <f t="shared" si="46"/>
        <v>2</v>
      </c>
      <c r="G338">
        <v>8</v>
      </c>
      <c r="H338">
        <v>9</v>
      </c>
      <c r="I338" s="32">
        <f t="shared" si="47"/>
        <v>1</v>
      </c>
      <c r="J338">
        <v>9</v>
      </c>
      <c r="K338">
        <v>9</v>
      </c>
      <c r="L338" s="32">
        <f t="shared" si="48"/>
        <v>0</v>
      </c>
      <c r="M338">
        <v>7</v>
      </c>
      <c r="N338">
        <v>9</v>
      </c>
      <c r="O338" s="32">
        <f t="shared" si="49"/>
        <v>2</v>
      </c>
      <c r="P338">
        <v>8</v>
      </c>
      <c r="Q338">
        <v>9</v>
      </c>
      <c r="R338" s="32">
        <f t="shared" si="50"/>
        <v>1</v>
      </c>
      <c r="S338">
        <v>7</v>
      </c>
      <c r="T338">
        <v>8</v>
      </c>
      <c r="U338" s="32">
        <f t="shared" si="51"/>
        <v>1</v>
      </c>
      <c r="V338">
        <v>7</v>
      </c>
      <c r="W338">
        <v>8</v>
      </c>
      <c r="X338" s="32">
        <f t="shared" si="52"/>
        <v>1</v>
      </c>
      <c r="Y338">
        <v>8</v>
      </c>
      <c r="Z338">
        <v>9</v>
      </c>
      <c r="AA338" s="32">
        <f t="shared" si="53"/>
        <v>1</v>
      </c>
    </row>
    <row r="339" spans="1:27" x14ac:dyDescent="0.45">
      <c r="A339">
        <v>6</v>
      </c>
      <c r="B339">
        <v>9</v>
      </c>
      <c r="C339" s="32">
        <f t="shared" si="45"/>
        <v>3</v>
      </c>
      <c r="D339">
        <v>7</v>
      </c>
      <c r="E339">
        <v>9</v>
      </c>
      <c r="F339" s="32">
        <f t="shared" si="46"/>
        <v>2</v>
      </c>
      <c r="G339">
        <v>8</v>
      </c>
      <c r="H339">
        <v>9</v>
      </c>
      <c r="I339" s="32">
        <f t="shared" si="47"/>
        <v>1</v>
      </c>
      <c r="J339">
        <v>9</v>
      </c>
      <c r="K339">
        <v>9</v>
      </c>
      <c r="L339" s="32">
        <f t="shared" si="48"/>
        <v>0</v>
      </c>
      <c r="M339">
        <v>7</v>
      </c>
      <c r="N339">
        <v>9</v>
      </c>
      <c r="O339" s="32">
        <f t="shared" si="49"/>
        <v>2</v>
      </c>
      <c r="P339">
        <v>8</v>
      </c>
      <c r="Q339">
        <v>9</v>
      </c>
      <c r="R339" s="32">
        <f t="shared" si="50"/>
        <v>1</v>
      </c>
      <c r="S339">
        <v>7</v>
      </c>
      <c r="T339">
        <v>8</v>
      </c>
      <c r="U339" s="32">
        <f t="shared" si="51"/>
        <v>1</v>
      </c>
      <c r="V339">
        <v>7</v>
      </c>
      <c r="W339">
        <v>8</v>
      </c>
      <c r="X339" s="32">
        <f t="shared" si="52"/>
        <v>1</v>
      </c>
      <c r="Y339">
        <v>8</v>
      </c>
      <c r="Z339">
        <v>9</v>
      </c>
      <c r="AA339" s="32">
        <f t="shared" si="53"/>
        <v>1</v>
      </c>
    </row>
    <row r="340" spans="1:27" x14ac:dyDescent="0.45">
      <c r="A340">
        <v>6</v>
      </c>
      <c r="B340">
        <v>9</v>
      </c>
      <c r="C340" s="32">
        <f t="shared" si="45"/>
        <v>3</v>
      </c>
      <c r="D340">
        <v>7</v>
      </c>
      <c r="E340">
        <v>9</v>
      </c>
      <c r="F340" s="32">
        <f t="shared" si="46"/>
        <v>2</v>
      </c>
      <c r="G340">
        <v>8</v>
      </c>
      <c r="H340">
        <v>9</v>
      </c>
      <c r="I340" s="32">
        <f t="shared" si="47"/>
        <v>1</v>
      </c>
      <c r="J340">
        <v>9</v>
      </c>
      <c r="K340">
        <v>9</v>
      </c>
      <c r="L340" s="32">
        <f t="shared" si="48"/>
        <v>0</v>
      </c>
      <c r="M340">
        <v>7</v>
      </c>
      <c r="N340">
        <v>9</v>
      </c>
      <c r="O340" s="32">
        <f t="shared" si="49"/>
        <v>2</v>
      </c>
      <c r="P340">
        <v>8</v>
      </c>
      <c r="Q340">
        <v>9</v>
      </c>
      <c r="R340" s="32">
        <f t="shared" si="50"/>
        <v>1</v>
      </c>
      <c r="S340">
        <v>7</v>
      </c>
      <c r="T340">
        <v>8</v>
      </c>
      <c r="U340" s="32">
        <f t="shared" si="51"/>
        <v>1</v>
      </c>
      <c r="V340">
        <v>7</v>
      </c>
      <c r="W340">
        <v>8</v>
      </c>
      <c r="X340" s="32">
        <f t="shared" si="52"/>
        <v>1</v>
      </c>
      <c r="Y340">
        <v>8</v>
      </c>
      <c r="Z340">
        <v>9</v>
      </c>
      <c r="AA340" s="32">
        <f t="shared" si="53"/>
        <v>1</v>
      </c>
    </row>
    <row r="341" spans="1:27" x14ac:dyDescent="0.45">
      <c r="A341">
        <v>6</v>
      </c>
      <c r="B341">
        <v>9</v>
      </c>
      <c r="C341" s="32">
        <f t="shared" si="45"/>
        <v>3</v>
      </c>
      <c r="D341">
        <v>7</v>
      </c>
      <c r="E341">
        <v>9</v>
      </c>
      <c r="F341" s="32">
        <f t="shared" si="46"/>
        <v>2</v>
      </c>
      <c r="G341">
        <v>8</v>
      </c>
      <c r="H341">
        <v>9</v>
      </c>
      <c r="I341" s="32">
        <f t="shared" si="47"/>
        <v>1</v>
      </c>
      <c r="J341">
        <v>9</v>
      </c>
      <c r="K341">
        <v>9</v>
      </c>
      <c r="L341" s="32">
        <f t="shared" si="48"/>
        <v>0</v>
      </c>
      <c r="M341">
        <v>7</v>
      </c>
      <c r="N341">
        <v>9</v>
      </c>
      <c r="O341" s="32">
        <f t="shared" si="49"/>
        <v>2</v>
      </c>
      <c r="P341">
        <v>8</v>
      </c>
      <c r="Q341">
        <v>9</v>
      </c>
      <c r="R341" s="32">
        <f t="shared" si="50"/>
        <v>1</v>
      </c>
      <c r="S341">
        <v>7</v>
      </c>
      <c r="T341">
        <v>9</v>
      </c>
      <c r="U341" s="32">
        <f t="shared" si="51"/>
        <v>2</v>
      </c>
      <c r="V341">
        <v>7</v>
      </c>
      <c r="W341">
        <v>8</v>
      </c>
      <c r="X341" s="32">
        <f t="shared" si="52"/>
        <v>1</v>
      </c>
      <c r="Y341">
        <v>8</v>
      </c>
      <c r="Z341">
        <v>9</v>
      </c>
      <c r="AA341" s="32">
        <f t="shared" si="53"/>
        <v>1</v>
      </c>
    </row>
    <row r="342" spans="1:27" x14ac:dyDescent="0.45">
      <c r="A342">
        <v>7</v>
      </c>
      <c r="B342">
        <v>9</v>
      </c>
      <c r="C342" s="32">
        <f t="shared" si="45"/>
        <v>2</v>
      </c>
      <c r="D342">
        <v>7</v>
      </c>
      <c r="E342">
        <v>9</v>
      </c>
      <c r="F342" s="32">
        <f t="shared" si="46"/>
        <v>2</v>
      </c>
      <c r="G342">
        <v>8</v>
      </c>
      <c r="H342">
        <v>9</v>
      </c>
      <c r="I342" s="32">
        <f t="shared" si="47"/>
        <v>1</v>
      </c>
      <c r="J342">
        <v>9</v>
      </c>
      <c r="K342">
        <v>9</v>
      </c>
      <c r="L342" s="32">
        <f t="shared" si="48"/>
        <v>0</v>
      </c>
      <c r="M342">
        <v>7</v>
      </c>
      <c r="N342">
        <v>9</v>
      </c>
      <c r="O342" s="32">
        <f t="shared" si="49"/>
        <v>2</v>
      </c>
      <c r="P342">
        <v>8</v>
      </c>
      <c r="Q342">
        <v>9</v>
      </c>
      <c r="R342" s="32">
        <f t="shared" si="50"/>
        <v>1</v>
      </c>
      <c r="S342">
        <v>7</v>
      </c>
      <c r="T342">
        <v>9</v>
      </c>
      <c r="U342" s="32">
        <f t="shared" si="51"/>
        <v>2</v>
      </c>
      <c r="V342">
        <v>7</v>
      </c>
      <c r="W342">
        <v>8</v>
      </c>
      <c r="X342" s="32">
        <f t="shared" si="52"/>
        <v>1</v>
      </c>
      <c r="Y342">
        <v>8</v>
      </c>
      <c r="Z342">
        <v>9</v>
      </c>
      <c r="AA342" s="32">
        <f t="shared" si="53"/>
        <v>1</v>
      </c>
    </row>
    <row r="343" spans="1:27" x14ac:dyDescent="0.45">
      <c r="A343">
        <v>7</v>
      </c>
      <c r="B343">
        <v>9</v>
      </c>
      <c r="C343" s="32">
        <f t="shared" si="45"/>
        <v>2</v>
      </c>
      <c r="D343">
        <v>7</v>
      </c>
      <c r="E343">
        <v>9</v>
      </c>
      <c r="F343" s="32">
        <f t="shared" si="46"/>
        <v>2</v>
      </c>
      <c r="G343">
        <v>8</v>
      </c>
      <c r="H343">
        <v>9</v>
      </c>
      <c r="I343" s="32">
        <f t="shared" si="47"/>
        <v>1</v>
      </c>
      <c r="J343">
        <v>9</v>
      </c>
      <c r="K343">
        <v>9</v>
      </c>
      <c r="L343" s="32">
        <f t="shared" si="48"/>
        <v>0</v>
      </c>
      <c r="M343">
        <v>7</v>
      </c>
      <c r="N343">
        <v>9</v>
      </c>
      <c r="O343" s="32">
        <f t="shared" si="49"/>
        <v>2</v>
      </c>
      <c r="P343">
        <v>8</v>
      </c>
      <c r="Q343">
        <v>9</v>
      </c>
      <c r="R343" s="32">
        <f t="shared" si="50"/>
        <v>1</v>
      </c>
      <c r="S343">
        <v>7</v>
      </c>
      <c r="T343">
        <v>9</v>
      </c>
      <c r="U343" s="32">
        <f t="shared" si="51"/>
        <v>2</v>
      </c>
      <c r="V343">
        <v>7</v>
      </c>
      <c r="W343">
        <v>8</v>
      </c>
      <c r="X343" s="32">
        <f t="shared" si="52"/>
        <v>1</v>
      </c>
      <c r="Y343">
        <v>8</v>
      </c>
      <c r="Z343">
        <v>9</v>
      </c>
      <c r="AA343" s="32">
        <f t="shared" si="53"/>
        <v>1</v>
      </c>
    </row>
    <row r="344" spans="1:27" x14ac:dyDescent="0.45">
      <c r="A344">
        <v>7</v>
      </c>
      <c r="B344">
        <v>9</v>
      </c>
      <c r="C344" s="32">
        <f t="shared" si="45"/>
        <v>2</v>
      </c>
      <c r="D344">
        <v>7</v>
      </c>
      <c r="E344">
        <v>9</v>
      </c>
      <c r="F344" s="32">
        <f t="shared" si="46"/>
        <v>2</v>
      </c>
      <c r="G344">
        <v>8</v>
      </c>
      <c r="H344">
        <v>9</v>
      </c>
      <c r="I344" s="32">
        <f t="shared" si="47"/>
        <v>1</v>
      </c>
      <c r="J344">
        <v>9</v>
      </c>
      <c r="K344">
        <v>9</v>
      </c>
      <c r="L344" s="32">
        <f t="shared" si="48"/>
        <v>0</v>
      </c>
      <c r="M344">
        <v>7</v>
      </c>
      <c r="N344">
        <v>9</v>
      </c>
      <c r="O344" s="32">
        <f t="shared" si="49"/>
        <v>2</v>
      </c>
      <c r="P344">
        <v>8</v>
      </c>
      <c r="Q344">
        <v>9</v>
      </c>
      <c r="R344" s="32">
        <f t="shared" si="50"/>
        <v>1</v>
      </c>
      <c r="S344">
        <v>7</v>
      </c>
      <c r="T344">
        <v>9</v>
      </c>
      <c r="U344" s="32">
        <f t="shared" si="51"/>
        <v>2</v>
      </c>
      <c r="V344">
        <v>7</v>
      </c>
      <c r="W344">
        <v>8</v>
      </c>
      <c r="X344" s="32">
        <f t="shared" si="52"/>
        <v>1</v>
      </c>
      <c r="Y344">
        <v>8</v>
      </c>
      <c r="Z344">
        <v>9</v>
      </c>
      <c r="AA344" s="32">
        <f t="shared" si="53"/>
        <v>1</v>
      </c>
    </row>
    <row r="345" spans="1:27" x14ac:dyDescent="0.45">
      <c r="A345">
        <v>7</v>
      </c>
      <c r="B345">
        <v>9</v>
      </c>
      <c r="C345" s="32">
        <f t="shared" si="45"/>
        <v>2</v>
      </c>
      <c r="D345">
        <v>7</v>
      </c>
      <c r="E345">
        <v>9</v>
      </c>
      <c r="F345" s="32">
        <f t="shared" si="46"/>
        <v>2</v>
      </c>
      <c r="G345">
        <v>8</v>
      </c>
      <c r="H345">
        <v>9</v>
      </c>
      <c r="I345" s="32">
        <f t="shared" si="47"/>
        <v>1</v>
      </c>
      <c r="J345">
        <v>9</v>
      </c>
      <c r="K345">
        <v>9</v>
      </c>
      <c r="L345" s="32">
        <f t="shared" si="48"/>
        <v>0</v>
      </c>
      <c r="M345">
        <v>7</v>
      </c>
      <c r="N345">
        <v>9</v>
      </c>
      <c r="O345" s="32">
        <f t="shared" si="49"/>
        <v>2</v>
      </c>
      <c r="P345">
        <v>8</v>
      </c>
      <c r="Q345">
        <v>9</v>
      </c>
      <c r="R345" s="32">
        <f t="shared" si="50"/>
        <v>1</v>
      </c>
      <c r="S345">
        <v>7</v>
      </c>
      <c r="T345">
        <v>9</v>
      </c>
      <c r="U345" s="32">
        <f t="shared" si="51"/>
        <v>2</v>
      </c>
      <c r="V345">
        <v>7</v>
      </c>
      <c r="W345">
        <v>9</v>
      </c>
      <c r="X345" s="32">
        <f t="shared" si="52"/>
        <v>2</v>
      </c>
      <c r="Y345">
        <v>8</v>
      </c>
      <c r="Z345">
        <v>9</v>
      </c>
      <c r="AA345" s="32">
        <f t="shared" si="53"/>
        <v>1</v>
      </c>
    </row>
    <row r="346" spans="1:27" x14ac:dyDescent="0.45">
      <c r="A346">
        <v>7</v>
      </c>
      <c r="B346">
        <v>9</v>
      </c>
      <c r="C346" s="32">
        <f t="shared" si="45"/>
        <v>2</v>
      </c>
      <c r="D346">
        <v>7</v>
      </c>
      <c r="E346">
        <v>9</v>
      </c>
      <c r="F346" s="32">
        <f t="shared" si="46"/>
        <v>2</v>
      </c>
      <c r="G346">
        <v>8</v>
      </c>
      <c r="H346">
        <v>9</v>
      </c>
      <c r="I346" s="32">
        <f t="shared" si="47"/>
        <v>1</v>
      </c>
      <c r="J346">
        <v>9</v>
      </c>
      <c r="K346">
        <v>9</v>
      </c>
      <c r="L346" s="32">
        <f t="shared" si="48"/>
        <v>0</v>
      </c>
      <c r="M346">
        <v>7</v>
      </c>
      <c r="N346">
        <v>9</v>
      </c>
      <c r="O346" s="32">
        <f t="shared" si="49"/>
        <v>2</v>
      </c>
      <c r="P346">
        <v>8</v>
      </c>
      <c r="Q346">
        <v>9</v>
      </c>
      <c r="R346" s="32">
        <f t="shared" si="50"/>
        <v>1</v>
      </c>
      <c r="S346">
        <v>7</v>
      </c>
      <c r="T346">
        <v>9</v>
      </c>
      <c r="U346" s="32">
        <f t="shared" si="51"/>
        <v>2</v>
      </c>
      <c r="V346">
        <v>7</v>
      </c>
      <c r="W346">
        <v>9</v>
      </c>
      <c r="X346" s="32">
        <f t="shared" si="52"/>
        <v>2</v>
      </c>
      <c r="Y346">
        <v>8</v>
      </c>
      <c r="Z346">
        <v>10</v>
      </c>
      <c r="AA346" s="32">
        <f t="shared" si="53"/>
        <v>2</v>
      </c>
    </row>
    <row r="347" spans="1:27" x14ac:dyDescent="0.45">
      <c r="A347">
        <v>7</v>
      </c>
      <c r="B347">
        <v>9</v>
      </c>
      <c r="C347" s="32">
        <f t="shared" si="45"/>
        <v>2</v>
      </c>
      <c r="D347">
        <v>7</v>
      </c>
      <c r="E347">
        <v>9</v>
      </c>
      <c r="F347" s="32">
        <f t="shared" si="46"/>
        <v>2</v>
      </c>
      <c r="G347">
        <v>8</v>
      </c>
      <c r="H347">
        <v>9</v>
      </c>
      <c r="I347" s="32">
        <f t="shared" si="47"/>
        <v>1</v>
      </c>
      <c r="J347">
        <v>9</v>
      </c>
      <c r="K347">
        <v>9</v>
      </c>
      <c r="L347" s="32">
        <f t="shared" si="48"/>
        <v>0</v>
      </c>
      <c r="M347">
        <v>7</v>
      </c>
      <c r="N347">
        <v>9</v>
      </c>
      <c r="O347" s="32">
        <f t="shared" si="49"/>
        <v>2</v>
      </c>
      <c r="P347">
        <v>8</v>
      </c>
      <c r="Q347">
        <v>9</v>
      </c>
      <c r="R347" s="32">
        <f t="shared" si="50"/>
        <v>1</v>
      </c>
      <c r="S347">
        <v>7</v>
      </c>
      <c r="T347">
        <v>9</v>
      </c>
      <c r="U347" s="32">
        <f t="shared" si="51"/>
        <v>2</v>
      </c>
      <c r="V347">
        <v>7</v>
      </c>
      <c r="W347">
        <v>9</v>
      </c>
      <c r="X347" s="32">
        <f t="shared" si="52"/>
        <v>2</v>
      </c>
      <c r="Y347">
        <v>8</v>
      </c>
      <c r="Z347">
        <v>10</v>
      </c>
      <c r="AA347" s="32">
        <f t="shared" si="53"/>
        <v>2</v>
      </c>
    </row>
    <row r="348" spans="1:27" x14ac:dyDescent="0.45">
      <c r="A348">
        <v>7</v>
      </c>
      <c r="B348">
        <v>9</v>
      </c>
      <c r="C348" s="32">
        <f t="shared" si="45"/>
        <v>2</v>
      </c>
      <c r="D348">
        <v>7</v>
      </c>
      <c r="E348">
        <v>9</v>
      </c>
      <c r="F348" s="32">
        <f t="shared" si="46"/>
        <v>2</v>
      </c>
      <c r="G348">
        <v>8</v>
      </c>
      <c r="H348">
        <v>9</v>
      </c>
      <c r="I348" s="32">
        <f t="shared" si="47"/>
        <v>1</v>
      </c>
      <c r="J348">
        <v>9</v>
      </c>
      <c r="K348">
        <v>9</v>
      </c>
      <c r="L348" s="32">
        <f t="shared" si="48"/>
        <v>0</v>
      </c>
      <c r="M348">
        <v>7</v>
      </c>
      <c r="N348">
        <v>9</v>
      </c>
      <c r="O348" s="32">
        <f t="shared" si="49"/>
        <v>2</v>
      </c>
      <c r="P348">
        <v>8</v>
      </c>
      <c r="Q348">
        <v>9</v>
      </c>
      <c r="R348" s="32">
        <f t="shared" si="50"/>
        <v>1</v>
      </c>
      <c r="S348">
        <v>7</v>
      </c>
      <c r="T348">
        <v>9</v>
      </c>
      <c r="U348" s="32">
        <f t="shared" si="51"/>
        <v>2</v>
      </c>
      <c r="V348">
        <v>7</v>
      </c>
      <c r="W348">
        <v>9</v>
      </c>
      <c r="X348" s="32">
        <f t="shared" si="52"/>
        <v>2</v>
      </c>
      <c r="Y348">
        <v>8</v>
      </c>
      <c r="Z348">
        <v>10</v>
      </c>
      <c r="AA348" s="32">
        <f t="shared" si="53"/>
        <v>2</v>
      </c>
    </row>
    <row r="349" spans="1:27" x14ac:dyDescent="0.45">
      <c r="A349">
        <v>7</v>
      </c>
      <c r="B349">
        <v>10</v>
      </c>
      <c r="C349" s="32">
        <f t="shared" si="45"/>
        <v>3</v>
      </c>
      <c r="D349">
        <v>7</v>
      </c>
      <c r="E349">
        <v>9</v>
      </c>
      <c r="F349" s="32">
        <f t="shared" si="46"/>
        <v>2</v>
      </c>
      <c r="G349">
        <v>8</v>
      </c>
      <c r="H349">
        <v>9</v>
      </c>
      <c r="I349" s="32">
        <f t="shared" si="47"/>
        <v>1</v>
      </c>
      <c r="J349">
        <v>9</v>
      </c>
      <c r="K349">
        <v>9</v>
      </c>
      <c r="L349" s="32">
        <f t="shared" si="48"/>
        <v>0</v>
      </c>
      <c r="M349">
        <v>7</v>
      </c>
      <c r="N349">
        <v>9</v>
      </c>
      <c r="O349" s="32">
        <f t="shared" si="49"/>
        <v>2</v>
      </c>
      <c r="P349">
        <v>8</v>
      </c>
      <c r="Q349">
        <v>9</v>
      </c>
      <c r="R349" s="32">
        <f t="shared" si="50"/>
        <v>1</v>
      </c>
      <c r="S349">
        <v>7</v>
      </c>
      <c r="T349">
        <v>9</v>
      </c>
      <c r="U349" s="32">
        <f t="shared" si="51"/>
        <v>2</v>
      </c>
      <c r="V349">
        <v>7</v>
      </c>
      <c r="W349">
        <v>9</v>
      </c>
      <c r="X349" s="32">
        <f t="shared" si="52"/>
        <v>2</v>
      </c>
      <c r="Y349">
        <v>8</v>
      </c>
      <c r="Z349">
        <v>10</v>
      </c>
      <c r="AA349" s="32">
        <f t="shared" si="53"/>
        <v>2</v>
      </c>
    </row>
    <row r="350" spans="1:27" x14ac:dyDescent="0.45">
      <c r="A350">
        <v>7</v>
      </c>
      <c r="B350">
        <v>10</v>
      </c>
      <c r="C350" s="32">
        <f t="shared" si="45"/>
        <v>3</v>
      </c>
      <c r="D350">
        <v>7</v>
      </c>
      <c r="E350">
        <v>9</v>
      </c>
      <c r="F350" s="32">
        <f t="shared" si="46"/>
        <v>2</v>
      </c>
      <c r="G350">
        <v>8</v>
      </c>
      <c r="H350">
        <v>9</v>
      </c>
      <c r="I350" s="32">
        <f t="shared" si="47"/>
        <v>1</v>
      </c>
      <c r="J350">
        <v>9</v>
      </c>
      <c r="K350">
        <v>9</v>
      </c>
      <c r="L350" s="32">
        <f t="shared" si="48"/>
        <v>0</v>
      </c>
      <c r="M350">
        <v>7</v>
      </c>
      <c r="N350">
        <v>9</v>
      </c>
      <c r="O350" s="32">
        <f t="shared" si="49"/>
        <v>2</v>
      </c>
      <c r="P350">
        <v>8</v>
      </c>
      <c r="Q350">
        <v>9</v>
      </c>
      <c r="R350" s="32">
        <f t="shared" si="50"/>
        <v>1</v>
      </c>
      <c r="S350">
        <v>7</v>
      </c>
      <c r="T350">
        <v>9</v>
      </c>
      <c r="U350" s="32">
        <f t="shared" si="51"/>
        <v>2</v>
      </c>
      <c r="V350">
        <v>8</v>
      </c>
      <c r="W350">
        <v>9</v>
      </c>
      <c r="X350" s="32">
        <f t="shared" si="52"/>
        <v>1</v>
      </c>
      <c r="Y350">
        <v>8</v>
      </c>
      <c r="Z350">
        <v>10</v>
      </c>
      <c r="AA350" s="32">
        <f t="shared" si="53"/>
        <v>2</v>
      </c>
    </row>
    <row r="351" spans="1:27" x14ac:dyDescent="0.45">
      <c r="A351">
        <v>7</v>
      </c>
      <c r="B351">
        <v>10</v>
      </c>
      <c r="C351" s="32">
        <f t="shared" si="45"/>
        <v>3</v>
      </c>
      <c r="D351">
        <v>7</v>
      </c>
      <c r="E351">
        <v>9</v>
      </c>
      <c r="F351" s="32">
        <f t="shared" si="46"/>
        <v>2</v>
      </c>
      <c r="G351">
        <v>8</v>
      </c>
      <c r="H351">
        <v>9</v>
      </c>
      <c r="I351" s="32">
        <f t="shared" si="47"/>
        <v>1</v>
      </c>
      <c r="J351">
        <v>9</v>
      </c>
      <c r="K351">
        <v>9</v>
      </c>
      <c r="L351" s="32">
        <f t="shared" si="48"/>
        <v>0</v>
      </c>
      <c r="M351">
        <v>7</v>
      </c>
      <c r="N351">
        <v>9</v>
      </c>
      <c r="O351" s="32">
        <f t="shared" si="49"/>
        <v>2</v>
      </c>
      <c r="P351">
        <v>8</v>
      </c>
      <c r="Q351">
        <v>9</v>
      </c>
      <c r="R351" s="32">
        <f t="shared" si="50"/>
        <v>1</v>
      </c>
      <c r="S351">
        <v>7</v>
      </c>
      <c r="T351">
        <v>9</v>
      </c>
      <c r="U351" s="32">
        <f t="shared" si="51"/>
        <v>2</v>
      </c>
      <c r="V351">
        <v>8</v>
      </c>
      <c r="W351">
        <v>9</v>
      </c>
      <c r="X351" s="32">
        <f t="shared" si="52"/>
        <v>1</v>
      </c>
      <c r="Y351">
        <v>8</v>
      </c>
      <c r="Z351">
        <v>10</v>
      </c>
      <c r="AA351" s="32">
        <f t="shared" si="53"/>
        <v>2</v>
      </c>
    </row>
    <row r="352" spans="1:27" x14ac:dyDescent="0.45">
      <c r="A352">
        <v>7</v>
      </c>
      <c r="B352">
        <v>10</v>
      </c>
      <c r="C352" s="32">
        <f t="shared" si="45"/>
        <v>3</v>
      </c>
      <c r="D352">
        <v>7</v>
      </c>
      <c r="E352">
        <v>10</v>
      </c>
      <c r="F352" s="32">
        <f t="shared" si="46"/>
        <v>3</v>
      </c>
      <c r="G352">
        <v>8</v>
      </c>
      <c r="H352">
        <v>9</v>
      </c>
      <c r="I352" s="32">
        <f t="shared" si="47"/>
        <v>1</v>
      </c>
      <c r="J352">
        <v>9</v>
      </c>
      <c r="K352">
        <v>9</v>
      </c>
      <c r="L352" s="32">
        <f t="shared" si="48"/>
        <v>0</v>
      </c>
      <c r="M352">
        <v>7</v>
      </c>
      <c r="N352">
        <v>9</v>
      </c>
      <c r="O352" s="32">
        <f t="shared" si="49"/>
        <v>2</v>
      </c>
      <c r="P352">
        <v>8</v>
      </c>
      <c r="Q352">
        <v>9</v>
      </c>
      <c r="R352" s="32">
        <f t="shared" si="50"/>
        <v>1</v>
      </c>
      <c r="S352">
        <v>7</v>
      </c>
      <c r="T352">
        <v>9</v>
      </c>
      <c r="U352" s="32">
        <f t="shared" si="51"/>
        <v>2</v>
      </c>
      <c r="V352">
        <v>8</v>
      </c>
      <c r="W352">
        <v>9</v>
      </c>
      <c r="X352" s="32">
        <f t="shared" si="52"/>
        <v>1</v>
      </c>
      <c r="Y352">
        <v>8</v>
      </c>
      <c r="Z352">
        <v>10</v>
      </c>
      <c r="AA352" s="32">
        <f t="shared" si="53"/>
        <v>2</v>
      </c>
    </row>
    <row r="353" spans="1:27" x14ac:dyDescent="0.45">
      <c r="A353">
        <v>7</v>
      </c>
      <c r="B353">
        <v>10</v>
      </c>
      <c r="C353" s="32">
        <f t="shared" si="45"/>
        <v>3</v>
      </c>
      <c r="D353">
        <v>7</v>
      </c>
      <c r="E353">
        <v>10</v>
      </c>
      <c r="F353" s="32">
        <f t="shared" si="46"/>
        <v>3</v>
      </c>
      <c r="G353">
        <v>8</v>
      </c>
      <c r="H353">
        <v>9</v>
      </c>
      <c r="I353" s="32">
        <f t="shared" si="47"/>
        <v>1</v>
      </c>
      <c r="J353">
        <v>9</v>
      </c>
      <c r="K353">
        <v>9</v>
      </c>
      <c r="L353" s="32">
        <f t="shared" si="48"/>
        <v>0</v>
      </c>
      <c r="M353">
        <v>7</v>
      </c>
      <c r="N353">
        <v>9</v>
      </c>
      <c r="O353" s="32">
        <f t="shared" si="49"/>
        <v>2</v>
      </c>
      <c r="P353">
        <v>8</v>
      </c>
      <c r="Q353">
        <v>9</v>
      </c>
      <c r="R353" s="32">
        <f t="shared" si="50"/>
        <v>1</v>
      </c>
      <c r="S353">
        <v>7</v>
      </c>
      <c r="T353">
        <v>9</v>
      </c>
      <c r="U353" s="32">
        <f t="shared" si="51"/>
        <v>2</v>
      </c>
      <c r="V353">
        <v>8</v>
      </c>
      <c r="W353">
        <v>9</v>
      </c>
      <c r="X353" s="32">
        <f t="shared" si="52"/>
        <v>1</v>
      </c>
      <c r="Y353">
        <v>8</v>
      </c>
      <c r="Z353">
        <v>10</v>
      </c>
      <c r="AA353" s="32">
        <f t="shared" si="53"/>
        <v>2</v>
      </c>
    </row>
    <row r="354" spans="1:27" x14ac:dyDescent="0.45">
      <c r="A354">
        <v>7</v>
      </c>
      <c r="B354">
        <v>10</v>
      </c>
      <c r="C354" s="32">
        <f t="shared" si="45"/>
        <v>3</v>
      </c>
      <c r="D354">
        <v>7</v>
      </c>
      <c r="E354">
        <v>10</v>
      </c>
      <c r="F354" s="32">
        <f t="shared" si="46"/>
        <v>3</v>
      </c>
      <c r="G354">
        <v>8</v>
      </c>
      <c r="H354">
        <v>9</v>
      </c>
      <c r="I354" s="32">
        <f t="shared" si="47"/>
        <v>1</v>
      </c>
      <c r="J354">
        <v>9</v>
      </c>
      <c r="K354">
        <v>9</v>
      </c>
      <c r="L354" s="32">
        <f t="shared" si="48"/>
        <v>0</v>
      </c>
      <c r="M354">
        <v>7</v>
      </c>
      <c r="N354">
        <v>9</v>
      </c>
      <c r="O354" s="32">
        <f t="shared" si="49"/>
        <v>2</v>
      </c>
      <c r="P354">
        <v>8</v>
      </c>
      <c r="Q354">
        <v>9</v>
      </c>
      <c r="R354" s="32">
        <f t="shared" si="50"/>
        <v>1</v>
      </c>
      <c r="S354">
        <v>7</v>
      </c>
      <c r="T354">
        <v>9</v>
      </c>
      <c r="U354" s="32">
        <f t="shared" si="51"/>
        <v>2</v>
      </c>
      <c r="V354">
        <v>8</v>
      </c>
      <c r="W354">
        <v>9</v>
      </c>
      <c r="X354" s="32">
        <f t="shared" si="52"/>
        <v>1</v>
      </c>
      <c r="Y354">
        <v>8</v>
      </c>
      <c r="Z354">
        <v>10</v>
      </c>
      <c r="AA354" s="32">
        <f t="shared" si="53"/>
        <v>2</v>
      </c>
    </row>
    <row r="355" spans="1:27" x14ac:dyDescent="0.45">
      <c r="A355">
        <v>7</v>
      </c>
      <c r="B355">
        <v>10</v>
      </c>
      <c r="C355" s="32">
        <f t="shared" si="45"/>
        <v>3</v>
      </c>
      <c r="D355">
        <v>7</v>
      </c>
      <c r="E355">
        <v>10</v>
      </c>
      <c r="F355" s="32">
        <f t="shared" si="46"/>
        <v>3</v>
      </c>
      <c r="G355">
        <v>8</v>
      </c>
      <c r="H355">
        <v>9</v>
      </c>
      <c r="I355" s="32">
        <f t="shared" si="47"/>
        <v>1</v>
      </c>
      <c r="J355">
        <v>9</v>
      </c>
      <c r="K355">
        <v>9</v>
      </c>
      <c r="L355" s="32">
        <f t="shared" si="48"/>
        <v>0</v>
      </c>
      <c r="M355">
        <v>7</v>
      </c>
      <c r="N355">
        <v>9</v>
      </c>
      <c r="O355" s="32">
        <f t="shared" si="49"/>
        <v>2</v>
      </c>
      <c r="P355">
        <v>8</v>
      </c>
      <c r="Q355">
        <v>9</v>
      </c>
      <c r="R355" s="32">
        <f t="shared" si="50"/>
        <v>1</v>
      </c>
      <c r="S355">
        <v>7</v>
      </c>
      <c r="T355">
        <v>9</v>
      </c>
      <c r="U355" s="32">
        <f t="shared" si="51"/>
        <v>2</v>
      </c>
      <c r="V355">
        <v>8</v>
      </c>
      <c r="W355">
        <v>9</v>
      </c>
      <c r="X355" s="32">
        <f t="shared" si="52"/>
        <v>1</v>
      </c>
      <c r="Y355">
        <v>8</v>
      </c>
      <c r="Z355">
        <v>10</v>
      </c>
      <c r="AA355" s="32">
        <f t="shared" si="53"/>
        <v>2</v>
      </c>
    </row>
    <row r="356" spans="1:27" x14ac:dyDescent="0.45">
      <c r="A356">
        <v>7</v>
      </c>
      <c r="B356">
        <v>10</v>
      </c>
      <c r="C356" s="32">
        <f t="shared" si="45"/>
        <v>3</v>
      </c>
      <c r="D356">
        <v>7</v>
      </c>
      <c r="E356">
        <v>10</v>
      </c>
      <c r="F356" s="32">
        <f t="shared" si="46"/>
        <v>3</v>
      </c>
      <c r="G356">
        <v>8</v>
      </c>
      <c r="H356">
        <v>9</v>
      </c>
      <c r="I356" s="32">
        <f t="shared" si="47"/>
        <v>1</v>
      </c>
      <c r="J356">
        <v>9</v>
      </c>
      <c r="K356">
        <v>9</v>
      </c>
      <c r="L356" s="32">
        <f t="shared" si="48"/>
        <v>0</v>
      </c>
      <c r="M356">
        <v>7</v>
      </c>
      <c r="N356">
        <v>9</v>
      </c>
      <c r="O356" s="32">
        <f t="shared" si="49"/>
        <v>2</v>
      </c>
      <c r="P356">
        <v>8</v>
      </c>
      <c r="Q356">
        <v>9</v>
      </c>
      <c r="R356" s="32">
        <f t="shared" si="50"/>
        <v>1</v>
      </c>
      <c r="S356">
        <v>7</v>
      </c>
      <c r="T356">
        <v>9</v>
      </c>
      <c r="U356" s="32">
        <f t="shared" si="51"/>
        <v>2</v>
      </c>
      <c r="V356">
        <v>8</v>
      </c>
      <c r="W356">
        <v>9</v>
      </c>
      <c r="X356" s="32">
        <f t="shared" si="52"/>
        <v>1</v>
      </c>
      <c r="Y356">
        <v>8</v>
      </c>
      <c r="Z356">
        <v>10</v>
      </c>
      <c r="AA356" s="32">
        <f t="shared" si="53"/>
        <v>2</v>
      </c>
    </row>
    <row r="357" spans="1:27" x14ac:dyDescent="0.45">
      <c r="A357">
        <v>7</v>
      </c>
      <c r="B357">
        <v>10</v>
      </c>
      <c r="C357" s="32">
        <f t="shared" si="45"/>
        <v>3</v>
      </c>
      <c r="D357">
        <v>7</v>
      </c>
      <c r="E357">
        <v>10</v>
      </c>
      <c r="F357" s="32">
        <f t="shared" si="46"/>
        <v>3</v>
      </c>
      <c r="G357">
        <v>8</v>
      </c>
      <c r="H357">
        <v>9</v>
      </c>
      <c r="I357" s="32">
        <f t="shared" si="47"/>
        <v>1</v>
      </c>
      <c r="J357">
        <v>9</v>
      </c>
      <c r="K357">
        <v>9</v>
      </c>
      <c r="L357" s="32">
        <f t="shared" si="48"/>
        <v>0</v>
      </c>
      <c r="M357">
        <v>7</v>
      </c>
      <c r="N357">
        <v>9</v>
      </c>
      <c r="O357" s="32">
        <f t="shared" si="49"/>
        <v>2</v>
      </c>
      <c r="P357">
        <v>8</v>
      </c>
      <c r="Q357">
        <v>10</v>
      </c>
      <c r="R357" s="32">
        <f t="shared" si="50"/>
        <v>2</v>
      </c>
      <c r="S357">
        <v>7</v>
      </c>
      <c r="T357">
        <v>9</v>
      </c>
      <c r="U357" s="32">
        <f t="shared" si="51"/>
        <v>2</v>
      </c>
      <c r="V357">
        <v>8</v>
      </c>
      <c r="W357">
        <v>9</v>
      </c>
      <c r="X357" s="32">
        <f t="shared" si="52"/>
        <v>1</v>
      </c>
      <c r="Y357">
        <v>8</v>
      </c>
      <c r="Z357">
        <v>10</v>
      </c>
      <c r="AA357" s="32">
        <f t="shared" si="53"/>
        <v>2</v>
      </c>
    </row>
    <row r="358" spans="1:27" x14ac:dyDescent="0.45">
      <c r="A358">
        <v>7</v>
      </c>
      <c r="B358">
        <v>10</v>
      </c>
      <c r="C358" s="32">
        <f t="shared" si="45"/>
        <v>3</v>
      </c>
      <c r="D358">
        <v>7</v>
      </c>
      <c r="E358">
        <v>10</v>
      </c>
      <c r="F358" s="32">
        <f t="shared" si="46"/>
        <v>3</v>
      </c>
      <c r="G358">
        <v>8</v>
      </c>
      <c r="H358">
        <v>9</v>
      </c>
      <c r="I358" s="32">
        <f t="shared" si="47"/>
        <v>1</v>
      </c>
      <c r="J358">
        <v>9</v>
      </c>
      <c r="K358">
        <v>9</v>
      </c>
      <c r="L358" s="32">
        <f t="shared" si="48"/>
        <v>0</v>
      </c>
      <c r="M358">
        <v>7</v>
      </c>
      <c r="N358">
        <v>9</v>
      </c>
      <c r="O358" s="32">
        <f t="shared" si="49"/>
        <v>2</v>
      </c>
      <c r="P358">
        <v>8</v>
      </c>
      <c r="Q358">
        <v>10</v>
      </c>
      <c r="R358" s="32">
        <f t="shared" si="50"/>
        <v>2</v>
      </c>
      <c r="S358">
        <v>7</v>
      </c>
      <c r="T358">
        <v>9</v>
      </c>
      <c r="U358" s="32">
        <f t="shared" si="51"/>
        <v>2</v>
      </c>
      <c r="V358">
        <v>8</v>
      </c>
      <c r="W358">
        <v>9</v>
      </c>
      <c r="X358" s="32">
        <f t="shared" si="52"/>
        <v>1</v>
      </c>
      <c r="Y358">
        <v>8</v>
      </c>
      <c r="Z358">
        <v>10</v>
      </c>
      <c r="AA358" s="32">
        <f t="shared" si="53"/>
        <v>2</v>
      </c>
    </row>
    <row r="359" spans="1:27" x14ac:dyDescent="0.45">
      <c r="A359">
        <v>7</v>
      </c>
      <c r="B359">
        <v>10</v>
      </c>
      <c r="C359" s="32">
        <f t="shared" si="45"/>
        <v>3</v>
      </c>
      <c r="D359">
        <v>7</v>
      </c>
      <c r="E359">
        <v>10</v>
      </c>
      <c r="F359" s="32">
        <f t="shared" si="46"/>
        <v>3</v>
      </c>
      <c r="G359">
        <v>8</v>
      </c>
      <c r="H359">
        <v>9</v>
      </c>
      <c r="I359" s="32">
        <f t="shared" si="47"/>
        <v>1</v>
      </c>
      <c r="J359">
        <v>9</v>
      </c>
      <c r="K359">
        <v>9</v>
      </c>
      <c r="L359" s="32">
        <f t="shared" si="48"/>
        <v>0</v>
      </c>
      <c r="M359">
        <v>7</v>
      </c>
      <c r="N359">
        <v>9</v>
      </c>
      <c r="O359" s="32">
        <f t="shared" si="49"/>
        <v>2</v>
      </c>
      <c r="P359">
        <v>8</v>
      </c>
      <c r="Q359">
        <v>10</v>
      </c>
      <c r="R359" s="32">
        <f t="shared" si="50"/>
        <v>2</v>
      </c>
      <c r="S359">
        <v>7</v>
      </c>
      <c r="T359">
        <v>9</v>
      </c>
      <c r="U359" s="32">
        <f t="shared" si="51"/>
        <v>2</v>
      </c>
      <c r="V359">
        <v>8</v>
      </c>
      <c r="W359">
        <v>9</v>
      </c>
      <c r="X359" s="32">
        <f t="shared" si="52"/>
        <v>1</v>
      </c>
      <c r="Y359">
        <v>8</v>
      </c>
      <c r="Z359">
        <v>10</v>
      </c>
      <c r="AA359" s="32">
        <f t="shared" si="53"/>
        <v>2</v>
      </c>
    </row>
    <row r="360" spans="1:27" x14ac:dyDescent="0.45">
      <c r="A360">
        <v>7</v>
      </c>
      <c r="B360">
        <v>10</v>
      </c>
      <c r="C360" s="32">
        <f t="shared" si="45"/>
        <v>3</v>
      </c>
      <c r="D360">
        <v>7</v>
      </c>
      <c r="E360">
        <v>10</v>
      </c>
      <c r="F360" s="32">
        <f t="shared" si="46"/>
        <v>3</v>
      </c>
      <c r="G360">
        <v>8</v>
      </c>
      <c r="H360">
        <v>9</v>
      </c>
      <c r="I360" s="32">
        <f t="shared" si="47"/>
        <v>1</v>
      </c>
      <c r="J360">
        <v>9</v>
      </c>
      <c r="K360">
        <v>9</v>
      </c>
      <c r="L360" s="32">
        <f t="shared" si="48"/>
        <v>0</v>
      </c>
      <c r="M360">
        <v>7</v>
      </c>
      <c r="N360">
        <v>9</v>
      </c>
      <c r="O360" s="32">
        <f t="shared" si="49"/>
        <v>2</v>
      </c>
      <c r="P360">
        <v>8</v>
      </c>
      <c r="Q360">
        <v>10</v>
      </c>
      <c r="R360" s="32">
        <f t="shared" si="50"/>
        <v>2</v>
      </c>
      <c r="S360">
        <v>7</v>
      </c>
      <c r="T360">
        <v>9</v>
      </c>
      <c r="U360" s="32">
        <f t="shared" si="51"/>
        <v>2</v>
      </c>
      <c r="V360">
        <v>8</v>
      </c>
      <c r="W360">
        <v>9</v>
      </c>
      <c r="X360" s="32">
        <f t="shared" si="52"/>
        <v>1</v>
      </c>
      <c r="Y360">
        <v>8</v>
      </c>
      <c r="Z360">
        <v>10</v>
      </c>
      <c r="AA360" s="32">
        <f t="shared" si="53"/>
        <v>2</v>
      </c>
    </row>
    <row r="361" spans="1:27" x14ac:dyDescent="0.45">
      <c r="A361">
        <v>7</v>
      </c>
      <c r="B361">
        <v>10</v>
      </c>
      <c r="C361" s="32">
        <f t="shared" si="45"/>
        <v>3</v>
      </c>
      <c r="D361">
        <v>7</v>
      </c>
      <c r="E361">
        <v>10</v>
      </c>
      <c r="F361" s="32">
        <f t="shared" si="46"/>
        <v>3</v>
      </c>
      <c r="G361">
        <v>8</v>
      </c>
      <c r="H361">
        <v>9</v>
      </c>
      <c r="I361" s="32">
        <f t="shared" si="47"/>
        <v>1</v>
      </c>
      <c r="J361">
        <v>9</v>
      </c>
      <c r="K361">
        <v>9</v>
      </c>
      <c r="L361" s="32">
        <f t="shared" si="48"/>
        <v>0</v>
      </c>
      <c r="M361">
        <v>7</v>
      </c>
      <c r="N361">
        <v>9</v>
      </c>
      <c r="O361" s="32">
        <f t="shared" si="49"/>
        <v>2</v>
      </c>
      <c r="P361">
        <v>8</v>
      </c>
      <c r="Q361">
        <v>10</v>
      </c>
      <c r="R361" s="32">
        <f t="shared" si="50"/>
        <v>2</v>
      </c>
      <c r="S361">
        <v>7</v>
      </c>
      <c r="T361">
        <v>9</v>
      </c>
      <c r="U361" s="32">
        <f t="shared" si="51"/>
        <v>2</v>
      </c>
      <c r="V361">
        <v>8</v>
      </c>
      <c r="W361">
        <v>9</v>
      </c>
      <c r="X361" s="32">
        <f t="shared" si="52"/>
        <v>1</v>
      </c>
      <c r="Y361">
        <v>8</v>
      </c>
      <c r="Z361">
        <v>10</v>
      </c>
      <c r="AA361" s="32">
        <f t="shared" si="53"/>
        <v>2</v>
      </c>
    </row>
    <row r="362" spans="1:27" x14ac:dyDescent="0.45">
      <c r="A362">
        <v>7</v>
      </c>
      <c r="B362">
        <v>10</v>
      </c>
      <c r="C362" s="32">
        <f t="shared" si="45"/>
        <v>3</v>
      </c>
      <c r="D362">
        <v>7</v>
      </c>
      <c r="E362">
        <v>10</v>
      </c>
      <c r="F362" s="32">
        <f t="shared" si="46"/>
        <v>3</v>
      </c>
      <c r="G362">
        <v>8</v>
      </c>
      <c r="H362">
        <v>9</v>
      </c>
      <c r="I362" s="32">
        <f t="shared" si="47"/>
        <v>1</v>
      </c>
      <c r="J362">
        <v>9</v>
      </c>
      <c r="K362">
        <v>9</v>
      </c>
      <c r="L362" s="32">
        <f t="shared" si="48"/>
        <v>0</v>
      </c>
      <c r="M362">
        <v>7</v>
      </c>
      <c r="N362">
        <v>9</v>
      </c>
      <c r="O362" s="32">
        <f t="shared" si="49"/>
        <v>2</v>
      </c>
      <c r="P362">
        <v>8</v>
      </c>
      <c r="Q362">
        <v>10</v>
      </c>
      <c r="R362" s="32">
        <f t="shared" si="50"/>
        <v>2</v>
      </c>
      <c r="S362">
        <v>7</v>
      </c>
      <c r="T362">
        <v>9</v>
      </c>
      <c r="U362" s="32">
        <f t="shared" si="51"/>
        <v>2</v>
      </c>
      <c r="V362">
        <v>8</v>
      </c>
      <c r="W362">
        <v>9</v>
      </c>
      <c r="X362" s="32">
        <f t="shared" si="52"/>
        <v>1</v>
      </c>
      <c r="Y362">
        <v>8</v>
      </c>
      <c r="Z362">
        <v>10</v>
      </c>
      <c r="AA362" s="32">
        <f t="shared" si="53"/>
        <v>2</v>
      </c>
    </row>
    <row r="363" spans="1:27" x14ac:dyDescent="0.45">
      <c r="A363">
        <v>7</v>
      </c>
      <c r="B363">
        <v>10</v>
      </c>
      <c r="C363" s="32">
        <f t="shared" si="45"/>
        <v>3</v>
      </c>
      <c r="D363">
        <v>7</v>
      </c>
      <c r="E363">
        <v>10</v>
      </c>
      <c r="F363" s="32">
        <f t="shared" si="46"/>
        <v>3</v>
      </c>
      <c r="G363">
        <v>8</v>
      </c>
      <c r="H363">
        <v>9</v>
      </c>
      <c r="I363" s="32">
        <f t="shared" si="47"/>
        <v>1</v>
      </c>
      <c r="J363">
        <v>9</v>
      </c>
      <c r="K363">
        <v>9</v>
      </c>
      <c r="L363" s="32">
        <f t="shared" si="48"/>
        <v>0</v>
      </c>
      <c r="M363">
        <v>7</v>
      </c>
      <c r="N363">
        <v>9</v>
      </c>
      <c r="O363" s="32">
        <f t="shared" si="49"/>
        <v>2</v>
      </c>
      <c r="P363">
        <v>8</v>
      </c>
      <c r="Q363">
        <v>10</v>
      </c>
      <c r="R363" s="32">
        <f t="shared" si="50"/>
        <v>2</v>
      </c>
      <c r="S363">
        <v>7</v>
      </c>
      <c r="T363">
        <v>9</v>
      </c>
      <c r="U363" s="32">
        <f t="shared" si="51"/>
        <v>2</v>
      </c>
      <c r="V363">
        <v>8</v>
      </c>
      <c r="W363">
        <v>9</v>
      </c>
      <c r="X363" s="32">
        <f t="shared" si="52"/>
        <v>1</v>
      </c>
      <c r="Y363">
        <v>8</v>
      </c>
      <c r="Z363">
        <v>10</v>
      </c>
      <c r="AA363" s="32">
        <f t="shared" si="53"/>
        <v>2</v>
      </c>
    </row>
    <row r="364" spans="1:27" x14ac:dyDescent="0.45">
      <c r="A364">
        <v>7</v>
      </c>
      <c r="B364">
        <v>10</v>
      </c>
      <c r="C364" s="32">
        <f t="shared" si="45"/>
        <v>3</v>
      </c>
      <c r="D364">
        <v>7</v>
      </c>
      <c r="E364">
        <v>10</v>
      </c>
      <c r="F364" s="32">
        <f t="shared" si="46"/>
        <v>3</v>
      </c>
      <c r="G364">
        <v>8</v>
      </c>
      <c r="H364">
        <v>9</v>
      </c>
      <c r="I364" s="32">
        <f t="shared" si="47"/>
        <v>1</v>
      </c>
      <c r="J364">
        <v>9</v>
      </c>
      <c r="K364">
        <v>10</v>
      </c>
      <c r="L364" s="32">
        <f t="shared" si="48"/>
        <v>1</v>
      </c>
      <c r="M364">
        <v>7</v>
      </c>
      <c r="N364">
        <v>10</v>
      </c>
      <c r="O364" s="32">
        <f t="shared" si="49"/>
        <v>3</v>
      </c>
      <c r="P364">
        <v>8</v>
      </c>
      <c r="Q364">
        <v>10</v>
      </c>
      <c r="R364" s="32">
        <f t="shared" si="50"/>
        <v>2</v>
      </c>
      <c r="S364">
        <v>7</v>
      </c>
      <c r="T364">
        <v>9</v>
      </c>
      <c r="U364" s="32">
        <f t="shared" si="51"/>
        <v>2</v>
      </c>
      <c r="V364">
        <v>8</v>
      </c>
      <c r="W364">
        <v>9</v>
      </c>
      <c r="X364" s="32">
        <f t="shared" si="52"/>
        <v>1</v>
      </c>
      <c r="Y364">
        <v>8</v>
      </c>
      <c r="Z364">
        <v>10</v>
      </c>
      <c r="AA364" s="32">
        <f t="shared" si="53"/>
        <v>2</v>
      </c>
    </row>
    <row r="365" spans="1:27" x14ac:dyDescent="0.45">
      <c r="A365">
        <v>7</v>
      </c>
      <c r="B365">
        <v>10</v>
      </c>
      <c r="C365" s="32">
        <f t="shared" si="45"/>
        <v>3</v>
      </c>
      <c r="D365">
        <v>7</v>
      </c>
      <c r="E365">
        <v>10</v>
      </c>
      <c r="F365" s="32">
        <f t="shared" si="46"/>
        <v>3</v>
      </c>
      <c r="G365">
        <v>8</v>
      </c>
      <c r="H365">
        <v>9</v>
      </c>
      <c r="I365" s="32">
        <f t="shared" si="47"/>
        <v>1</v>
      </c>
      <c r="J365">
        <v>9</v>
      </c>
      <c r="K365">
        <v>10</v>
      </c>
      <c r="L365" s="32">
        <f t="shared" si="48"/>
        <v>1</v>
      </c>
      <c r="M365">
        <v>7</v>
      </c>
      <c r="N365">
        <v>10</v>
      </c>
      <c r="O365" s="32">
        <f t="shared" si="49"/>
        <v>3</v>
      </c>
      <c r="P365">
        <v>8</v>
      </c>
      <c r="Q365">
        <v>10</v>
      </c>
      <c r="R365" s="32">
        <f t="shared" si="50"/>
        <v>2</v>
      </c>
      <c r="S365">
        <v>7</v>
      </c>
      <c r="T365">
        <v>9</v>
      </c>
      <c r="U365" s="32">
        <f t="shared" si="51"/>
        <v>2</v>
      </c>
      <c r="V365">
        <v>8</v>
      </c>
      <c r="W365">
        <v>9</v>
      </c>
      <c r="X365" s="32">
        <f t="shared" si="52"/>
        <v>1</v>
      </c>
      <c r="Y365">
        <v>8</v>
      </c>
      <c r="Z365">
        <v>10</v>
      </c>
      <c r="AA365" s="32">
        <f t="shared" si="53"/>
        <v>2</v>
      </c>
    </row>
    <row r="366" spans="1:27" x14ac:dyDescent="0.45">
      <c r="A366">
        <v>7</v>
      </c>
      <c r="B366">
        <v>10</v>
      </c>
      <c r="C366" s="32">
        <f t="shared" si="45"/>
        <v>3</v>
      </c>
      <c r="D366">
        <v>7</v>
      </c>
      <c r="E366">
        <v>10</v>
      </c>
      <c r="F366" s="32">
        <f t="shared" si="46"/>
        <v>3</v>
      </c>
      <c r="G366">
        <v>8</v>
      </c>
      <c r="H366">
        <v>9</v>
      </c>
      <c r="I366" s="32">
        <f t="shared" si="47"/>
        <v>1</v>
      </c>
      <c r="J366">
        <v>9</v>
      </c>
      <c r="K366">
        <v>10</v>
      </c>
      <c r="L366" s="32">
        <f t="shared" si="48"/>
        <v>1</v>
      </c>
      <c r="M366">
        <v>7</v>
      </c>
      <c r="N366">
        <v>10</v>
      </c>
      <c r="O366" s="32">
        <f t="shared" si="49"/>
        <v>3</v>
      </c>
      <c r="P366">
        <v>8</v>
      </c>
      <c r="Q366">
        <v>10</v>
      </c>
      <c r="R366" s="32">
        <f t="shared" si="50"/>
        <v>2</v>
      </c>
      <c r="S366">
        <v>7</v>
      </c>
      <c r="T366">
        <v>9</v>
      </c>
      <c r="U366" s="32">
        <f t="shared" si="51"/>
        <v>2</v>
      </c>
      <c r="V366">
        <v>8</v>
      </c>
      <c r="W366">
        <v>9</v>
      </c>
      <c r="X366" s="32">
        <f t="shared" si="52"/>
        <v>1</v>
      </c>
      <c r="Y366">
        <v>8</v>
      </c>
      <c r="Z366">
        <v>10</v>
      </c>
      <c r="AA366" s="32">
        <f t="shared" si="53"/>
        <v>2</v>
      </c>
    </row>
    <row r="367" spans="1:27" x14ac:dyDescent="0.45">
      <c r="A367">
        <v>7</v>
      </c>
      <c r="B367">
        <v>10</v>
      </c>
      <c r="C367" s="32">
        <f t="shared" si="45"/>
        <v>3</v>
      </c>
      <c r="D367">
        <v>7</v>
      </c>
      <c r="E367">
        <v>10</v>
      </c>
      <c r="F367" s="32">
        <f t="shared" si="46"/>
        <v>3</v>
      </c>
      <c r="G367">
        <v>8</v>
      </c>
      <c r="H367">
        <v>9</v>
      </c>
      <c r="I367" s="32">
        <f t="shared" si="47"/>
        <v>1</v>
      </c>
      <c r="J367">
        <v>9</v>
      </c>
      <c r="K367">
        <v>10</v>
      </c>
      <c r="L367" s="32">
        <f t="shared" si="48"/>
        <v>1</v>
      </c>
      <c r="M367">
        <v>7</v>
      </c>
      <c r="N367">
        <v>10</v>
      </c>
      <c r="O367" s="32">
        <f t="shared" si="49"/>
        <v>3</v>
      </c>
      <c r="P367">
        <v>8</v>
      </c>
      <c r="Q367">
        <v>10</v>
      </c>
      <c r="R367" s="32">
        <f t="shared" si="50"/>
        <v>2</v>
      </c>
      <c r="S367">
        <v>7</v>
      </c>
      <c r="T367">
        <v>10</v>
      </c>
      <c r="U367" s="32">
        <f t="shared" si="51"/>
        <v>3</v>
      </c>
      <c r="V367">
        <v>8</v>
      </c>
      <c r="W367">
        <v>9</v>
      </c>
      <c r="X367" s="32">
        <f t="shared" si="52"/>
        <v>1</v>
      </c>
      <c r="Y367">
        <v>8</v>
      </c>
      <c r="Z367">
        <v>10</v>
      </c>
      <c r="AA367" s="32">
        <f t="shared" si="53"/>
        <v>2</v>
      </c>
    </row>
    <row r="368" spans="1:27" x14ac:dyDescent="0.45">
      <c r="A368">
        <v>7</v>
      </c>
      <c r="B368">
        <v>10</v>
      </c>
      <c r="C368" s="32">
        <f t="shared" si="45"/>
        <v>3</v>
      </c>
      <c r="D368">
        <v>7</v>
      </c>
      <c r="E368">
        <v>10</v>
      </c>
      <c r="F368" s="32">
        <f t="shared" si="46"/>
        <v>3</v>
      </c>
      <c r="G368">
        <v>8</v>
      </c>
      <c r="H368">
        <v>9</v>
      </c>
      <c r="I368" s="32">
        <f t="shared" si="47"/>
        <v>1</v>
      </c>
      <c r="J368">
        <v>9</v>
      </c>
      <c r="K368">
        <v>10</v>
      </c>
      <c r="L368" s="32">
        <f t="shared" si="48"/>
        <v>1</v>
      </c>
      <c r="M368">
        <v>7</v>
      </c>
      <c r="N368">
        <v>10</v>
      </c>
      <c r="O368" s="32">
        <f t="shared" si="49"/>
        <v>3</v>
      </c>
      <c r="P368">
        <v>8</v>
      </c>
      <c r="Q368">
        <v>10</v>
      </c>
      <c r="R368" s="32">
        <f t="shared" si="50"/>
        <v>2</v>
      </c>
      <c r="S368">
        <v>7</v>
      </c>
      <c r="T368">
        <v>10</v>
      </c>
      <c r="U368" s="32">
        <f t="shared" si="51"/>
        <v>3</v>
      </c>
      <c r="V368">
        <v>8</v>
      </c>
      <c r="W368">
        <v>9</v>
      </c>
      <c r="X368" s="32">
        <f t="shared" si="52"/>
        <v>1</v>
      </c>
      <c r="Y368">
        <v>8</v>
      </c>
      <c r="Z368">
        <v>10</v>
      </c>
      <c r="AA368" s="32">
        <f t="shared" si="53"/>
        <v>2</v>
      </c>
    </row>
    <row r="369" spans="1:27" x14ac:dyDescent="0.45">
      <c r="A369">
        <v>7</v>
      </c>
      <c r="B369">
        <v>10</v>
      </c>
      <c r="C369" s="32">
        <f t="shared" si="45"/>
        <v>3</v>
      </c>
      <c r="D369">
        <v>7</v>
      </c>
      <c r="E369">
        <v>10</v>
      </c>
      <c r="F369" s="32">
        <f t="shared" si="46"/>
        <v>3</v>
      </c>
      <c r="G369">
        <v>8</v>
      </c>
      <c r="H369">
        <v>10</v>
      </c>
      <c r="I369" s="32">
        <f t="shared" si="47"/>
        <v>2</v>
      </c>
      <c r="J369">
        <v>9</v>
      </c>
      <c r="K369">
        <v>10</v>
      </c>
      <c r="L369" s="32">
        <f t="shared" si="48"/>
        <v>1</v>
      </c>
      <c r="M369">
        <v>7</v>
      </c>
      <c r="N369">
        <v>10</v>
      </c>
      <c r="O369" s="32">
        <f t="shared" si="49"/>
        <v>3</v>
      </c>
      <c r="P369">
        <v>8</v>
      </c>
      <c r="Q369">
        <v>10</v>
      </c>
      <c r="R369" s="32">
        <f t="shared" si="50"/>
        <v>2</v>
      </c>
      <c r="S369">
        <v>7</v>
      </c>
      <c r="T369">
        <v>10</v>
      </c>
      <c r="U369" s="32">
        <f t="shared" si="51"/>
        <v>3</v>
      </c>
      <c r="V369">
        <v>8</v>
      </c>
      <c r="W369">
        <v>9</v>
      </c>
      <c r="X369" s="32">
        <f t="shared" si="52"/>
        <v>1</v>
      </c>
      <c r="Y369">
        <v>8</v>
      </c>
      <c r="Z369">
        <v>10</v>
      </c>
      <c r="AA369" s="32">
        <f t="shared" si="53"/>
        <v>2</v>
      </c>
    </row>
    <row r="370" spans="1:27" x14ac:dyDescent="0.45">
      <c r="A370">
        <v>7</v>
      </c>
      <c r="B370">
        <v>10</v>
      </c>
      <c r="C370" s="32">
        <f t="shared" si="45"/>
        <v>3</v>
      </c>
      <c r="D370">
        <v>7</v>
      </c>
      <c r="E370">
        <v>10</v>
      </c>
      <c r="F370" s="32">
        <f t="shared" si="46"/>
        <v>3</v>
      </c>
      <c r="G370">
        <v>8</v>
      </c>
      <c r="H370">
        <v>10</v>
      </c>
      <c r="I370" s="32">
        <f t="shared" si="47"/>
        <v>2</v>
      </c>
      <c r="J370">
        <v>9</v>
      </c>
      <c r="K370">
        <v>10</v>
      </c>
      <c r="L370" s="32">
        <f t="shared" si="48"/>
        <v>1</v>
      </c>
      <c r="M370">
        <v>7</v>
      </c>
      <c r="N370">
        <v>10</v>
      </c>
      <c r="O370" s="32">
        <f t="shared" si="49"/>
        <v>3</v>
      </c>
      <c r="P370">
        <v>8</v>
      </c>
      <c r="Q370">
        <v>10</v>
      </c>
      <c r="R370" s="32">
        <f t="shared" si="50"/>
        <v>2</v>
      </c>
      <c r="S370">
        <v>7</v>
      </c>
      <c r="T370">
        <v>10</v>
      </c>
      <c r="U370" s="32">
        <f t="shared" si="51"/>
        <v>3</v>
      </c>
      <c r="V370">
        <v>8</v>
      </c>
      <c r="W370">
        <v>10</v>
      </c>
      <c r="X370" s="32">
        <f t="shared" si="52"/>
        <v>2</v>
      </c>
      <c r="Y370">
        <v>8</v>
      </c>
      <c r="Z370">
        <v>10</v>
      </c>
      <c r="AA370" s="32">
        <f t="shared" si="53"/>
        <v>2</v>
      </c>
    </row>
    <row r="371" spans="1:27" x14ac:dyDescent="0.45">
      <c r="A371">
        <v>7</v>
      </c>
      <c r="B371">
        <v>10</v>
      </c>
      <c r="C371" s="32">
        <f t="shared" si="45"/>
        <v>3</v>
      </c>
      <c r="D371">
        <v>7</v>
      </c>
      <c r="E371">
        <v>10</v>
      </c>
      <c r="F371" s="32">
        <f t="shared" si="46"/>
        <v>3</v>
      </c>
      <c r="G371">
        <v>8</v>
      </c>
      <c r="H371">
        <v>10</v>
      </c>
      <c r="I371" s="32">
        <f t="shared" si="47"/>
        <v>2</v>
      </c>
      <c r="J371">
        <v>9</v>
      </c>
      <c r="K371">
        <v>10</v>
      </c>
      <c r="L371" s="32">
        <f t="shared" si="48"/>
        <v>1</v>
      </c>
      <c r="M371">
        <v>7</v>
      </c>
      <c r="N371">
        <v>10</v>
      </c>
      <c r="O371" s="32">
        <f t="shared" si="49"/>
        <v>3</v>
      </c>
      <c r="P371">
        <v>8</v>
      </c>
      <c r="Q371">
        <v>10</v>
      </c>
      <c r="R371" s="32">
        <f t="shared" si="50"/>
        <v>2</v>
      </c>
      <c r="S371">
        <v>7</v>
      </c>
      <c r="T371">
        <v>10</v>
      </c>
      <c r="U371" s="32">
        <f t="shared" si="51"/>
        <v>3</v>
      </c>
      <c r="V371">
        <v>8</v>
      </c>
      <c r="W371">
        <v>10</v>
      </c>
      <c r="X371" s="32">
        <f t="shared" si="52"/>
        <v>2</v>
      </c>
      <c r="Y371">
        <v>8</v>
      </c>
      <c r="Z371">
        <v>10</v>
      </c>
      <c r="AA371" s="32">
        <f t="shared" si="53"/>
        <v>2</v>
      </c>
    </row>
    <row r="372" spans="1:27" x14ac:dyDescent="0.45">
      <c r="A372">
        <v>7</v>
      </c>
      <c r="B372">
        <v>10</v>
      </c>
      <c r="C372" s="32">
        <f t="shared" si="45"/>
        <v>3</v>
      </c>
      <c r="D372">
        <v>7</v>
      </c>
      <c r="E372">
        <v>10</v>
      </c>
      <c r="F372" s="32">
        <f t="shared" si="46"/>
        <v>3</v>
      </c>
      <c r="G372">
        <v>8</v>
      </c>
      <c r="H372">
        <v>10</v>
      </c>
      <c r="I372" s="32">
        <f t="shared" si="47"/>
        <v>2</v>
      </c>
      <c r="J372">
        <v>9</v>
      </c>
      <c r="K372">
        <v>10</v>
      </c>
      <c r="L372" s="32">
        <f t="shared" si="48"/>
        <v>1</v>
      </c>
      <c r="M372">
        <v>7</v>
      </c>
      <c r="N372">
        <v>10</v>
      </c>
      <c r="O372" s="32">
        <f t="shared" si="49"/>
        <v>3</v>
      </c>
      <c r="P372">
        <v>8</v>
      </c>
      <c r="Q372">
        <v>10</v>
      </c>
      <c r="R372" s="32">
        <f t="shared" si="50"/>
        <v>2</v>
      </c>
      <c r="S372">
        <v>7</v>
      </c>
      <c r="T372">
        <v>10</v>
      </c>
      <c r="U372" s="32">
        <f t="shared" si="51"/>
        <v>3</v>
      </c>
      <c r="V372">
        <v>8</v>
      </c>
      <c r="W372">
        <v>10</v>
      </c>
      <c r="X372" s="32">
        <f t="shared" si="52"/>
        <v>2</v>
      </c>
      <c r="Y372">
        <v>8</v>
      </c>
      <c r="Z372">
        <v>10</v>
      </c>
      <c r="AA372" s="32">
        <f t="shared" si="53"/>
        <v>2</v>
      </c>
    </row>
    <row r="373" spans="1:27" x14ac:dyDescent="0.45">
      <c r="A373">
        <v>7</v>
      </c>
      <c r="B373">
        <v>10</v>
      </c>
      <c r="C373" s="32">
        <f t="shared" si="45"/>
        <v>3</v>
      </c>
      <c r="D373">
        <v>7</v>
      </c>
      <c r="E373">
        <v>10</v>
      </c>
      <c r="F373" s="32">
        <f t="shared" si="46"/>
        <v>3</v>
      </c>
      <c r="G373">
        <v>8</v>
      </c>
      <c r="H373">
        <v>10</v>
      </c>
      <c r="I373" s="32">
        <f t="shared" si="47"/>
        <v>2</v>
      </c>
      <c r="J373">
        <v>9</v>
      </c>
      <c r="K373">
        <v>10</v>
      </c>
      <c r="L373" s="32">
        <f t="shared" si="48"/>
        <v>1</v>
      </c>
      <c r="M373">
        <v>7</v>
      </c>
      <c r="N373">
        <v>10</v>
      </c>
      <c r="O373" s="32">
        <f t="shared" si="49"/>
        <v>3</v>
      </c>
      <c r="P373">
        <v>8</v>
      </c>
      <c r="Q373">
        <v>10</v>
      </c>
      <c r="R373" s="32">
        <f t="shared" si="50"/>
        <v>2</v>
      </c>
      <c r="S373">
        <v>7</v>
      </c>
      <c r="T373">
        <v>10</v>
      </c>
      <c r="U373" s="32">
        <f t="shared" si="51"/>
        <v>3</v>
      </c>
      <c r="V373">
        <v>8</v>
      </c>
      <c r="W373">
        <v>10</v>
      </c>
      <c r="X373" s="32">
        <f t="shared" si="52"/>
        <v>2</v>
      </c>
      <c r="Y373">
        <v>8</v>
      </c>
      <c r="Z373">
        <v>10</v>
      </c>
      <c r="AA373" s="32">
        <f t="shared" si="53"/>
        <v>2</v>
      </c>
    </row>
    <row r="374" spans="1:27" x14ac:dyDescent="0.45">
      <c r="A374">
        <v>7</v>
      </c>
      <c r="B374">
        <v>10</v>
      </c>
      <c r="C374" s="32">
        <f t="shared" si="45"/>
        <v>3</v>
      </c>
      <c r="D374">
        <v>7</v>
      </c>
      <c r="E374">
        <v>10</v>
      </c>
      <c r="F374" s="32">
        <f t="shared" si="46"/>
        <v>3</v>
      </c>
      <c r="G374">
        <v>8</v>
      </c>
      <c r="H374">
        <v>10</v>
      </c>
      <c r="I374" s="32">
        <f t="shared" si="47"/>
        <v>2</v>
      </c>
      <c r="J374">
        <v>9</v>
      </c>
      <c r="K374">
        <v>10</v>
      </c>
      <c r="L374" s="32">
        <f t="shared" si="48"/>
        <v>1</v>
      </c>
      <c r="M374">
        <v>7</v>
      </c>
      <c r="N374">
        <v>10</v>
      </c>
      <c r="O374" s="32">
        <f t="shared" si="49"/>
        <v>3</v>
      </c>
      <c r="P374">
        <v>8</v>
      </c>
      <c r="Q374">
        <v>10</v>
      </c>
      <c r="R374" s="32">
        <f t="shared" si="50"/>
        <v>2</v>
      </c>
      <c r="S374">
        <v>7</v>
      </c>
      <c r="T374">
        <v>10</v>
      </c>
      <c r="U374" s="32">
        <f t="shared" si="51"/>
        <v>3</v>
      </c>
      <c r="V374">
        <v>8</v>
      </c>
      <c r="W374">
        <v>10</v>
      </c>
      <c r="X374" s="32">
        <f t="shared" si="52"/>
        <v>2</v>
      </c>
      <c r="Y374">
        <v>8</v>
      </c>
      <c r="Z374">
        <v>10</v>
      </c>
      <c r="AA374" s="32">
        <f t="shared" si="53"/>
        <v>2</v>
      </c>
    </row>
    <row r="375" spans="1:27" x14ac:dyDescent="0.45">
      <c r="A375">
        <v>7</v>
      </c>
      <c r="B375">
        <v>10</v>
      </c>
      <c r="C375" s="32">
        <f t="shared" si="45"/>
        <v>3</v>
      </c>
      <c r="D375">
        <v>7</v>
      </c>
      <c r="E375">
        <v>10</v>
      </c>
      <c r="F375" s="32">
        <f t="shared" si="46"/>
        <v>3</v>
      </c>
      <c r="G375">
        <v>8</v>
      </c>
      <c r="H375">
        <v>10</v>
      </c>
      <c r="I375" s="32">
        <f t="shared" si="47"/>
        <v>2</v>
      </c>
      <c r="J375">
        <v>9</v>
      </c>
      <c r="K375">
        <v>10</v>
      </c>
      <c r="L375" s="32">
        <f t="shared" si="48"/>
        <v>1</v>
      </c>
      <c r="M375">
        <v>7</v>
      </c>
      <c r="N375">
        <v>10</v>
      </c>
      <c r="O375" s="32">
        <f t="shared" si="49"/>
        <v>3</v>
      </c>
      <c r="P375">
        <v>8</v>
      </c>
      <c r="Q375">
        <v>10</v>
      </c>
      <c r="R375" s="32">
        <f t="shared" si="50"/>
        <v>2</v>
      </c>
      <c r="S375">
        <v>7</v>
      </c>
      <c r="T375">
        <v>10</v>
      </c>
      <c r="U375" s="32">
        <f t="shared" si="51"/>
        <v>3</v>
      </c>
      <c r="V375">
        <v>8</v>
      </c>
      <c r="W375">
        <v>10</v>
      </c>
      <c r="X375" s="32">
        <f t="shared" si="52"/>
        <v>2</v>
      </c>
      <c r="Y375">
        <v>8</v>
      </c>
      <c r="Z375">
        <v>10</v>
      </c>
      <c r="AA375" s="32">
        <f t="shared" si="53"/>
        <v>2</v>
      </c>
    </row>
    <row r="376" spans="1:27" x14ac:dyDescent="0.45">
      <c r="A376">
        <v>7</v>
      </c>
      <c r="B376">
        <v>10</v>
      </c>
      <c r="C376" s="32">
        <f t="shared" si="45"/>
        <v>3</v>
      </c>
      <c r="D376">
        <v>7</v>
      </c>
      <c r="E376">
        <v>10</v>
      </c>
      <c r="F376" s="32">
        <f t="shared" si="46"/>
        <v>3</v>
      </c>
      <c r="G376">
        <v>8</v>
      </c>
      <c r="H376">
        <v>10</v>
      </c>
      <c r="I376" s="32">
        <f t="shared" si="47"/>
        <v>2</v>
      </c>
      <c r="J376">
        <v>9</v>
      </c>
      <c r="K376">
        <v>10</v>
      </c>
      <c r="L376" s="32">
        <f t="shared" si="48"/>
        <v>1</v>
      </c>
      <c r="M376">
        <v>8</v>
      </c>
      <c r="N376">
        <v>10</v>
      </c>
      <c r="O376" s="32">
        <f t="shared" si="49"/>
        <v>2</v>
      </c>
      <c r="P376">
        <v>8</v>
      </c>
      <c r="Q376">
        <v>10</v>
      </c>
      <c r="R376" s="32">
        <f t="shared" si="50"/>
        <v>2</v>
      </c>
      <c r="S376">
        <v>7</v>
      </c>
      <c r="T376">
        <v>10</v>
      </c>
      <c r="U376" s="32">
        <f t="shared" si="51"/>
        <v>3</v>
      </c>
      <c r="V376">
        <v>8</v>
      </c>
      <c r="W376">
        <v>10</v>
      </c>
      <c r="X376" s="32">
        <f t="shared" si="52"/>
        <v>2</v>
      </c>
      <c r="Y376">
        <v>8</v>
      </c>
      <c r="Z376">
        <v>10</v>
      </c>
      <c r="AA376" s="32">
        <f t="shared" si="53"/>
        <v>2</v>
      </c>
    </row>
    <row r="377" spans="1:27" x14ac:dyDescent="0.45">
      <c r="A377">
        <v>7</v>
      </c>
      <c r="B377">
        <v>10</v>
      </c>
      <c r="C377" s="32">
        <f t="shared" si="45"/>
        <v>3</v>
      </c>
      <c r="D377">
        <v>7</v>
      </c>
      <c r="E377">
        <v>10</v>
      </c>
      <c r="F377" s="32">
        <f t="shared" si="46"/>
        <v>3</v>
      </c>
      <c r="G377">
        <v>8</v>
      </c>
      <c r="H377">
        <v>10</v>
      </c>
      <c r="I377" s="32">
        <f t="shared" si="47"/>
        <v>2</v>
      </c>
      <c r="J377">
        <v>9</v>
      </c>
      <c r="K377">
        <v>10</v>
      </c>
      <c r="L377" s="32">
        <f t="shared" si="48"/>
        <v>1</v>
      </c>
      <c r="M377">
        <v>8</v>
      </c>
      <c r="N377">
        <v>10</v>
      </c>
      <c r="O377" s="32">
        <f t="shared" si="49"/>
        <v>2</v>
      </c>
      <c r="P377">
        <v>8</v>
      </c>
      <c r="Q377">
        <v>10</v>
      </c>
      <c r="R377" s="32">
        <f t="shared" si="50"/>
        <v>2</v>
      </c>
      <c r="S377">
        <v>7</v>
      </c>
      <c r="T377">
        <v>10</v>
      </c>
      <c r="U377" s="32">
        <f t="shared" si="51"/>
        <v>3</v>
      </c>
      <c r="V377">
        <v>8</v>
      </c>
      <c r="W377">
        <v>10</v>
      </c>
      <c r="X377" s="32">
        <f t="shared" si="52"/>
        <v>2</v>
      </c>
      <c r="Y377">
        <v>9</v>
      </c>
      <c r="Z377">
        <v>10</v>
      </c>
      <c r="AA377" s="32">
        <f t="shared" si="53"/>
        <v>1</v>
      </c>
    </row>
    <row r="378" spans="1:27" x14ac:dyDescent="0.45">
      <c r="A378">
        <v>7</v>
      </c>
      <c r="B378">
        <v>10</v>
      </c>
      <c r="C378" s="32">
        <f t="shared" si="45"/>
        <v>3</v>
      </c>
      <c r="D378">
        <v>7</v>
      </c>
      <c r="E378">
        <v>10</v>
      </c>
      <c r="F378" s="32">
        <f t="shared" si="46"/>
        <v>3</v>
      </c>
      <c r="G378">
        <v>8</v>
      </c>
      <c r="H378">
        <v>10</v>
      </c>
      <c r="I378" s="32">
        <f t="shared" si="47"/>
        <v>2</v>
      </c>
      <c r="J378">
        <v>9</v>
      </c>
      <c r="K378">
        <v>10</v>
      </c>
      <c r="L378" s="32">
        <f t="shared" si="48"/>
        <v>1</v>
      </c>
      <c r="M378">
        <v>8</v>
      </c>
      <c r="N378">
        <v>10</v>
      </c>
      <c r="O378" s="32">
        <f t="shared" si="49"/>
        <v>2</v>
      </c>
      <c r="P378">
        <v>8</v>
      </c>
      <c r="Q378">
        <v>10</v>
      </c>
      <c r="R378" s="32">
        <f t="shared" si="50"/>
        <v>2</v>
      </c>
      <c r="S378">
        <v>7</v>
      </c>
      <c r="T378">
        <v>10</v>
      </c>
      <c r="U378" s="32">
        <f t="shared" si="51"/>
        <v>3</v>
      </c>
      <c r="V378">
        <v>8</v>
      </c>
      <c r="W378">
        <v>10</v>
      </c>
      <c r="X378" s="32">
        <f t="shared" si="52"/>
        <v>2</v>
      </c>
      <c r="Y378">
        <v>9</v>
      </c>
      <c r="Z378">
        <v>10</v>
      </c>
      <c r="AA378" s="32">
        <f t="shared" si="53"/>
        <v>1</v>
      </c>
    </row>
    <row r="379" spans="1:27" x14ac:dyDescent="0.45">
      <c r="A379">
        <v>7</v>
      </c>
      <c r="B379">
        <v>10</v>
      </c>
      <c r="C379" s="32">
        <f t="shared" si="45"/>
        <v>3</v>
      </c>
      <c r="D379">
        <v>7</v>
      </c>
      <c r="E379">
        <v>10</v>
      </c>
      <c r="F379" s="32">
        <f t="shared" si="46"/>
        <v>3</v>
      </c>
      <c r="G379">
        <v>8</v>
      </c>
      <c r="H379">
        <v>10</v>
      </c>
      <c r="I379" s="32">
        <f t="shared" si="47"/>
        <v>2</v>
      </c>
      <c r="J379">
        <v>9</v>
      </c>
      <c r="K379">
        <v>10</v>
      </c>
      <c r="L379" s="32">
        <f t="shared" si="48"/>
        <v>1</v>
      </c>
      <c r="M379">
        <v>8</v>
      </c>
      <c r="N379">
        <v>10</v>
      </c>
      <c r="O379" s="32">
        <f t="shared" si="49"/>
        <v>2</v>
      </c>
      <c r="P379">
        <v>8</v>
      </c>
      <c r="Q379">
        <v>10</v>
      </c>
      <c r="R379" s="32">
        <f t="shared" si="50"/>
        <v>2</v>
      </c>
      <c r="S379">
        <v>7</v>
      </c>
      <c r="T379">
        <v>10</v>
      </c>
      <c r="U379" s="32">
        <f t="shared" si="51"/>
        <v>3</v>
      </c>
      <c r="V379">
        <v>8</v>
      </c>
      <c r="W379">
        <v>10</v>
      </c>
      <c r="X379" s="32">
        <f t="shared" si="52"/>
        <v>2</v>
      </c>
      <c r="Y379">
        <v>9</v>
      </c>
      <c r="Z379">
        <v>10</v>
      </c>
      <c r="AA379" s="32">
        <f t="shared" si="53"/>
        <v>1</v>
      </c>
    </row>
    <row r="380" spans="1:27" x14ac:dyDescent="0.45">
      <c r="A380">
        <v>7</v>
      </c>
      <c r="B380">
        <v>10</v>
      </c>
      <c r="C380" s="32">
        <f t="shared" si="45"/>
        <v>3</v>
      </c>
      <c r="D380">
        <v>7</v>
      </c>
      <c r="E380">
        <v>10</v>
      </c>
      <c r="F380" s="32">
        <f t="shared" si="46"/>
        <v>3</v>
      </c>
      <c r="G380">
        <v>8</v>
      </c>
      <c r="H380">
        <v>10</v>
      </c>
      <c r="I380" s="32">
        <f t="shared" si="47"/>
        <v>2</v>
      </c>
      <c r="J380">
        <v>9</v>
      </c>
      <c r="K380">
        <v>10</v>
      </c>
      <c r="L380" s="32">
        <f t="shared" si="48"/>
        <v>1</v>
      </c>
      <c r="M380">
        <v>8</v>
      </c>
      <c r="N380">
        <v>10</v>
      </c>
      <c r="O380" s="32">
        <f t="shared" si="49"/>
        <v>2</v>
      </c>
      <c r="P380">
        <v>8</v>
      </c>
      <c r="Q380">
        <v>10</v>
      </c>
      <c r="R380" s="32">
        <f t="shared" si="50"/>
        <v>2</v>
      </c>
      <c r="S380">
        <v>7</v>
      </c>
      <c r="T380">
        <v>10</v>
      </c>
      <c r="U380" s="32">
        <f t="shared" si="51"/>
        <v>3</v>
      </c>
      <c r="V380">
        <v>8</v>
      </c>
      <c r="W380">
        <v>10</v>
      </c>
      <c r="X380" s="32">
        <f t="shared" si="52"/>
        <v>2</v>
      </c>
      <c r="Y380">
        <v>9</v>
      </c>
      <c r="Z380">
        <v>10</v>
      </c>
      <c r="AA380" s="32">
        <f t="shared" si="53"/>
        <v>1</v>
      </c>
    </row>
    <row r="381" spans="1:27" x14ac:dyDescent="0.45">
      <c r="A381">
        <v>7</v>
      </c>
      <c r="B381">
        <v>10</v>
      </c>
      <c r="C381" s="32">
        <f t="shared" si="45"/>
        <v>3</v>
      </c>
      <c r="D381">
        <v>7</v>
      </c>
      <c r="E381">
        <v>10</v>
      </c>
      <c r="F381" s="32">
        <f t="shared" si="46"/>
        <v>3</v>
      </c>
      <c r="G381">
        <v>8</v>
      </c>
      <c r="H381">
        <v>10</v>
      </c>
      <c r="I381" s="32">
        <f t="shared" si="47"/>
        <v>2</v>
      </c>
      <c r="J381">
        <v>9</v>
      </c>
      <c r="K381">
        <v>10</v>
      </c>
      <c r="L381" s="32">
        <f t="shared" si="48"/>
        <v>1</v>
      </c>
      <c r="M381">
        <v>8</v>
      </c>
      <c r="N381">
        <v>10</v>
      </c>
      <c r="O381" s="32">
        <f t="shared" si="49"/>
        <v>2</v>
      </c>
      <c r="P381">
        <v>8</v>
      </c>
      <c r="Q381">
        <v>10</v>
      </c>
      <c r="R381" s="32">
        <f t="shared" si="50"/>
        <v>2</v>
      </c>
      <c r="S381">
        <v>7</v>
      </c>
      <c r="T381">
        <v>10</v>
      </c>
      <c r="U381" s="32">
        <f t="shared" si="51"/>
        <v>3</v>
      </c>
      <c r="V381">
        <v>8</v>
      </c>
      <c r="W381">
        <v>10</v>
      </c>
      <c r="X381" s="32">
        <f t="shared" si="52"/>
        <v>2</v>
      </c>
      <c r="Y381">
        <v>9</v>
      </c>
      <c r="Z381">
        <v>10</v>
      </c>
      <c r="AA381" s="32">
        <f t="shared" si="53"/>
        <v>1</v>
      </c>
    </row>
    <row r="382" spans="1:27" x14ac:dyDescent="0.45">
      <c r="A382">
        <v>7</v>
      </c>
      <c r="B382">
        <v>10</v>
      </c>
      <c r="C382" s="32">
        <f t="shared" si="45"/>
        <v>3</v>
      </c>
      <c r="D382">
        <v>7</v>
      </c>
      <c r="E382">
        <v>10</v>
      </c>
      <c r="F382" s="32">
        <f t="shared" si="46"/>
        <v>3</v>
      </c>
      <c r="G382">
        <v>8</v>
      </c>
      <c r="H382">
        <v>10</v>
      </c>
      <c r="I382" s="32">
        <f t="shared" si="47"/>
        <v>2</v>
      </c>
      <c r="J382">
        <v>9</v>
      </c>
      <c r="K382">
        <v>10</v>
      </c>
      <c r="L382" s="32">
        <f t="shared" si="48"/>
        <v>1</v>
      </c>
      <c r="M382">
        <v>8</v>
      </c>
      <c r="N382">
        <v>10</v>
      </c>
      <c r="O382" s="32">
        <f t="shared" si="49"/>
        <v>2</v>
      </c>
      <c r="P382">
        <v>8</v>
      </c>
      <c r="Q382">
        <v>10</v>
      </c>
      <c r="R382" s="32">
        <f t="shared" si="50"/>
        <v>2</v>
      </c>
      <c r="S382">
        <v>7</v>
      </c>
      <c r="T382">
        <v>10</v>
      </c>
      <c r="U382" s="32">
        <f t="shared" si="51"/>
        <v>3</v>
      </c>
      <c r="V382">
        <v>8</v>
      </c>
      <c r="W382">
        <v>10</v>
      </c>
      <c r="X382" s="32">
        <f t="shared" si="52"/>
        <v>2</v>
      </c>
      <c r="Y382">
        <v>9</v>
      </c>
      <c r="Z382">
        <v>10</v>
      </c>
      <c r="AA382" s="32">
        <f t="shared" si="53"/>
        <v>1</v>
      </c>
    </row>
    <row r="383" spans="1:27" x14ac:dyDescent="0.45">
      <c r="A383">
        <v>7</v>
      </c>
      <c r="B383">
        <v>10</v>
      </c>
      <c r="C383" s="32">
        <f t="shared" si="45"/>
        <v>3</v>
      </c>
      <c r="D383">
        <v>7</v>
      </c>
      <c r="E383">
        <v>10</v>
      </c>
      <c r="F383" s="32">
        <f t="shared" si="46"/>
        <v>3</v>
      </c>
      <c r="G383">
        <v>8</v>
      </c>
      <c r="H383">
        <v>10</v>
      </c>
      <c r="I383" s="32">
        <f t="shared" si="47"/>
        <v>2</v>
      </c>
      <c r="J383">
        <v>9</v>
      </c>
      <c r="K383">
        <v>10</v>
      </c>
      <c r="L383" s="32">
        <f t="shared" si="48"/>
        <v>1</v>
      </c>
      <c r="M383">
        <v>8</v>
      </c>
      <c r="N383">
        <v>10</v>
      </c>
      <c r="O383" s="32">
        <f t="shared" si="49"/>
        <v>2</v>
      </c>
      <c r="P383">
        <v>8</v>
      </c>
      <c r="Q383">
        <v>10</v>
      </c>
      <c r="R383" s="32">
        <f t="shared" si="50"/>
        <v>2</v>
      </c>
      <c r="S383">
        <v>7</v>
      </c>
      <c r="T383">
        <v>10</v>
      </c>
      <c r="U383" s="32">
        <f t="shared" si="51"/>
        <v>3</v>
      </c>
      <c r="V383">
        <v>8</v>
      </c>
      <c r="W383">
        <v>10</v>
      </c>
      <c r="X383" s="32">
        <f t="shared" si="52"/>
        <v>2</v>
      </c>
      <c r="Y383">
        <v>9</v>
      </c>
      <c r="Z383">
        <v>10</v>
      </c>
      <c r="AA383" s="32">
        <f t="shared" si="53"/>
        <v>1</v>
      </c>
    </row>
    <row r="384" spans="1:27" x14ac:dyDescent="0.45">
      <c r="A384">
        <v>7</v>
      </c>
      <c r="B384">
        <v>10</v>
      </c>
      <c r="C384" s="32">
        <f t="shared" si="45"/>
        <v>3</v>
      </c>
      <c r="D384">
        <v>7</v>
      </c>
      <c r="E384">
        <v>10</v>
      </c>
      <c r="F384" s="32">
        <f t="shared" si="46"/>
        <v>3</v>
      </c>
      <c r="G384">
        <v>8</v>
      </c>
      <c r="H384">
        <v>10</v>
      </c>
      <c r="I384" s="32">
        <f t="shared" si="47"/>
        <v>2</v>
      </c>
      <c r="J384">
        <v>9</v>
      </c>
      <c r="K384">
        <v>10</v>
      </c>
      <c r="L384" s="32">
        <f t="shared" si="48"/>
        <v>1</v>
      </c>
      <c r="M384">
        <v>8</v>
      </c>
      <c r="N384">
        <v>10</v>
      </c>
      <c r="O384" s="32">
        <f t="shared" si="49"/>
        <v>2</v>
      </c>
      <c r="P384">
        <v>8</v>
      </c>
      <c r="Q384">
        <v>10</v>
      </c>
      <c r="R384" s="32">
        <f t="shared" si="50"/>
        <v>2</v>
      </c>
      <c r="S384">
        <v>7</v>
      </c>
      <c r="T384">
        <v>10</v>
      </c>
      <c r="U384" s="32">
        <f t="shared" si="51"/>
        <v>3</v>
      </c>
      <c r="V384">
        <v>8</v>
      </c>
      <c r="W384">
        <v>10</v>
      </c>
      <c r="X384" s="32">
        <f t="shared" si="52"/>
        <v>2</v>
      </c>
      <c r="Y384">
        <v>9</v>
      </c>
      <c r="Z384">
        <v>10</v>
      </c>
      <c r="AA384" s="32">
        <f t="shared" si="53"/>
        <v>1</v>
      </c>
    </row>
    <row r="385" spans="1:27" x14ac:dyDescent="0.45">
      <c r="A385">
        <v>7</v>
      </c>
      <c r="B385">
        <v>10</v>
      </c>
      <c r="C385" s="32">
        <f t="shared" si="45"/>
        <v>3</v>
      </c>
      <c r="D385">
        <v>7</v>
      </c>
      <c r="E385">
        <v>10</v>
      </c>
      <c r="F385" s="32">
        <f t="shared" si="46"/>
        <v>3</v>
      </c>
      <c r="G385">
        <v>8</v>
      </c>
      <c r="H385">
        <v>10</v>
      </c>
      <c r="I385" s="32">
        <f t="shared" si="47"/>
        <v>2</v>
      </c>
      <c r="J385">
        <v>9</v>
      </c>
      <c r="K385">
        <v>10</v>
      </c>
      <c r="L385" s="32">
        <f t="shared" si="48"/>
        <v>1</v>
      </c>
      <c r="M385">
        <v>8</v>
      </c>
      <c r="N385">
        <v>10</v>
      </c>
      <c r="O385" s="32">
        <f t="shared" si="49"/>
        <v>2</v>
      </c>
      <c r="P385">
        <v>8</v>
      </c>
      <c r="Q385">
        <v>10</v>
      </c>
      <c r="R385" s="32">
        <f t="shared" si="50"/>
        <v>2</v>
      </c>
      <c r="S385">
        <v>7</v>
      </c>
      <c r="T385">
        <v>10</v>
      </c>
      <c r="U385" s="32">
        <f t="shared" si="51"/>
        <v>3</v>
      </c>
      <c r="V385">
        <v>8</v>
      </c>
      <c r="W385">
        <v>10</v>
      </c>
      <c r="X385" s="32">
        <f t="shared" si="52"/>
        <v>2</v>
      </c>
      <c r="Y385">
        <v>9</v>
      </c>
      <c r="Z385">
        <v>10</v>
      </c>
      <c r="AA385" s="32">
        <f t="shared" si="53"/>
        <v>1</v>
      </c>
    </row>
    <row r="386" spans="1:27" x14ac:dyDescent="0.45">
      <c r="A386">
        <v>7</v>
      </c>
      <c r="B386">
        <v>10</v>
      </c>
      <c r="C386" s="32">
        <f t="shared" si="45"/>
        <v>3</v>
      </c>
      <c r="D386">
        <v>7</v>
      </c>
      <c r="E386">
        <v>10</v>
      </c>
      <c r="F386" s="32">
        <f t="shared" si="46"/>
        <v>3</v>
      </c>
      <c r="G386">
        <v>8</v>
      </c>
      <c r="H386">
        <v>10</v>
      </c>
      <c r="I386" s="32">
        <f t="shared" si="47"/>
        <v>2</v>
      </c>
      <c r="J386">
        <v>9</v>
      </c>
      <c r="K386">
        <v>10</v>
      </c>
      <c r="L386" s="32">
        <f t="shared" si="48"/>
        <v>1</v>
      </c>
      <c r="M386">
        <v>8</v>
      </c>
      <c r="N386">
        <v>10</v>
      </c>
      <c r="O386" s="32">
        <f t="shared" si="49"/>
        <v>2</v>
      </c>
      <c r="P386">
        <v>8</v>
      </c>
      <c r="Q386">
        <v>10</v>
      </c>
      <c r="R386" s="32">
        <f t="shared" si="50"/>
        <v>2</v>
      </c>
      <c r="S386">
        <v>7</v>
      </c>
      <c r="T386">
        <v>10</v>
      </c>
      <c r="U386" s="32">
        <f t="shared" si="51"/>
        <v>3</v>
      </c>
      <c r="V386">
        <v>8</v>
      </c>
      <c r="W386">
        <v>10</v>
      </c>
      <c r="X386" s="32">
        <f t="shared" si="52"/>
        <v>2</v>
      </c>
      <c r="Y386">
        <v>9</v>
      </c>
      <c r="Z386">
        <v>10</v>
      </c>
      <c r="AA386" s="32">
        <f t="shared" si="53"/>
        <v>1</v>
      </c>
    </row>
    <row r="387" spans="1:27" x14ac:dyDescent="0.45">
      <c r="A387">
        <v>7</v>
      </c>
      <c r="B387">
        <v>10</v>
      </c>
      <c r="C387" s="32">
        <f t="shared" ref="C387:C404" si="54">ABS(B387-A387)</f>
        <v>3</v>
      </c>
      <c r="D387">
        <v>7</v>
      </c>
      <c r="E387">
        <v>10</v>
      </c>
      <c r="F387" s="32">
        <f t="shared" ref="F387:F404" si="55">ABS(E387-D387)</f>
        <v>3</v>
      </c>
      <c r="G387">
        <v>8</v>
      </c>
      <c r="H387">
        <v>10</v>
      </c>
      <c r="I387" s="32">
        <f t="shared" ref="I387:I404" si="56">ABS(H387-G387)</f>
        <v>2</v>
      </c>
      <c r="J387">
        <v>9</v>
      </c>
      <c r="K387">
        <v>10</v>
      </c>
      <c r="L387" s="32">
        <f t="shared" ref="L387:L404" si="57">ABS(K387-J387)</f>
        <v>1</v>
      </c>
      <c r="M387">
        <v>8</v>
      </c>
      <c r="N387">
        <v>10</v>
      </c>
      <c r="O387" s="32">
        <f t="shared" ref="O387:O404" si="58">ABS(N387-M387)</f>
        <v>2</v>
      </c>
      <c r="P387">
        <v>8</v>
      </c>
      <c r="Q387">
        <v>10</v>
      </c>
      <c r="R387" s="32">
        <f t="shared" ref="R387:R404" si="59">ABS(Q387-P387)</f>
        <v>2</v>
      </c>
      <c r="S387">
        <v>7</v>
      </c>
      <c r="T387">
        <v>10</v>
      </c>
      <c r="U387" s="32">
        <f t="shared" ref="U387:U404" si="60">ABS(T387-S387)</f>
        <v>3</v>
      </c>
      <c r="V387">
        <v>8</v>
      </c>
      <c r="W387">
        <v>10</v>
      </c>
      <c r="X387" s="32">
        <f t="shared" ref="X387:X404" si="61">ABS(W387-V387)</f>
        <v>2</v>
      </c>
      <c r="Y387">
        <v>9</v>
      </c>
      <c r="Z387">
        <v>10</v>
      </c>
      <c r="AA387" s="32">
        <f t="shared" ref="AA387:AA404" si="62">ABS(Z387-Y387)</f>
        <v>1</v>
      </c>
    </row>
    <row r="388" spans="1:27" x14ac:dyDescent="0.45">
      <c r="A388">
        <v>7</v>
      </c>
      <c r="B388">
        <v>10</v>
      </c>
      <c r="C388" s="32">
        <f t="shared" si="54"/>
        <v>3</v>
      </c>
      <c r="D388">
        <v>7</v>
      </c>
      <c r="E388">
        <v>10</v>
      </c>
      <c r="F388" s="32">
        <f t="shared" si="55"/>
        <v>3</v>
      </c>
      <c r="G388">
        <v>8</v>
      </c>
      <c r="H388">
        <v>10</v>
      </c>
      <c r="I388" s="32">
        <f t="shared" si="56"/>
        <v>2</v>
      </c>
      <c r="J388">
        <v>9</v>
      </c>
      <c r="K388">
        <v>10</v>
      </c>
      <c r="L388" s="32">
        <f t="shared" si="57"/>
        <v>1</v>
      </c>
      <c r="M388">
        <v>8</v>
      </c>
      <c r="N388">
        <v>10</v>
      </c>
      <c r="O388" s="32">
        <f t="shared" si="58"/>
        <v>2</v>
      </c>
      <c r="P388">
        <v>8</v>
      </c>
      <c r="Q388">
        <v>10</v>
      </c>
      <c r="R388" s="32">
        <f t="shared" si="59"/>
        <v>2</v>
      </c>
      <c r="S388">
        <v>7</v>
      </c>
      <c r="T388">
        <v>10</v>
      </c>
      <c r="U388" s="32">
        <f t="shared" si="60"/>
        <v>3</v>
      </c>
      <c r="V388">
        <v>8</v>
      </c>
      <c r="W388">
        <v>10</v>
      </c>
      <c r="X388" s="32">
        <f t="shared" si="61"/>
        <v>2</v>
      </c>
      <c r="Y388">
        <v>9</v>
      </c>
      <c r="Z388">
        <v>10</v>
      </c>
      <c r="AA388" s="32">
        <f t="shared" si="62"/>
        <v>1</v>
      </c>
    </row>
    <row r="389" spans="1:27" x14ac:dyDescent="0.45">
      <c r="A389">
        <v>7</v>
      </c>
      <c r="B389">
        <v>10</v>
      </c>
      <c r="C389" s="32">
        <f t="shared" si="54"/>
        <v>3</v>
      </c>
      <c r="D389">
        <v>7</v>
      </c>
      <c r="E389">
        <v>10</v>
      </c>
      <c r="F389" s="32">
        <f t="shared" si="55"/>
        <v>3</v>
      </c>
      <c r="G389">
        <v>9</v>
      </c>
      <c r="H389">
        <v>10</v>
      </c>
      <c r="I389" s="32">
        <f t="shared" si="56"/>
        <v>1</v>
      </c>
      <c r="J389">
        <v>9</v>
      </c>
      <c r="K389">
        <v>10</v>
      </c>
      <c r="L389" s="32">
        <f t="shared" si="57"/>
        <v>1</v>
      </c>
      <c r="M389">
        <v>8</v>
      </c>
      <c r="N389">
        <v>10</v>
      </c>
      <c r="O389" s="32">
        <f t="shared" si="58"/>
        <v>2</v>
      </c>
      <c r="P389">
        <v>8</v>
      </c>
      <c r="Q389">
        <v>10</v>
      </c>
      <c r="R389" s="32">
        <f t="shared" si="59"/>
        <v>2</v>
      </c>
      <c r="S389">
        <v>7</v>
      </c>
      <c r="T389">
        <v>10</v>
      </c>
      <c r="U389" s="32">
        <f t="shared" si="60"/>
        <v>3</v>
      </c>
      <c r="V389">
        <v>8</v>
      </c>
      <c r="W389">
        <v>10</v>
      </c>
      <c r="X389" s="32">
        <f t="shared" si="61"/>
        <v>2</v>
      </c>
      <c r="Y389">
        <v>9</v>
      </c>
      <c r="Z389">
        <v>10</v>
      </c>
      <c r="AA389" s="32">
        <f t="shared" si="62"/>
        <v>1</v>
      </c>
    </row>
    <row r="390" spans="1:27" x14ac:dyDescent="0.45">
      <c r="A390">
        <v>7</v>
      </c>
      <c r="B390">
        <v>10</v>
      </c>
      <c r="C390" s="32">
        <f t="shared" si="54"/>
        <v>3</v>
      </c>
      <c r="D390">
        <v>7</v>
      </c>
      <c r="E390">
        <v>10</v>
      </c>
      <c r="F390" s="32">
        <f t="shared" si="55"/>
        <v>3</v>
      </c>
      <c r="G390">
        <v>9</v>
      </c>
      <c r="H390">
        <v>10</v>
      </c>
      <c r="I390" s="32">
        <f t="shared" si="56"/>
        <v>1</v>
      </c>
      <c r="J390">
        <v>9</v>
      </c>
      <c r="K390">
        <v>10</v>
      </c>
      <c r="L390" s="32">
        <f t="shared" si="57"/>
        <v>1</v>
      </c>
      <c r="M390">
        <v>8</v>
      </c>
      <c r="N390">
        <v>10</v>
      </c>
      <c r="O390" s="32">
        <f t="shared" si="58"/>
        <v>2</v>
      </c>
      <c r="P390">
        <v>8</v>
      </c>
      <c r="Q390">
        <v>10</v>
      </c>
      <c r="R390" s="32">
        <f t="shared" si="59"/>
        <v>2</v>
      </c>
      <c r="S390">
        <v>7</v>
      </c>
      <c r="T390">
        <v>10</v>
      </c>
      <c r="U390" s="32">
        <f t="shared" si="60"/>
        <v>3</v>
      </c>
      <c r="V390">
        <v>8</v>
      </c>
      <c r="W390">
        <v>10</v>
      </c>
      <c r="X390" s="32">
        <f t="shared" si="61"/>
        <v>2</v>
      </c>
      <c r="Y390">
        <v>9</v>
      </c>
      <c r="Z390">
        <v>10</v>
      </c>
      <c r="AA390" s="32">
        <f t="shared" si="62"/>
        <v>1</v>
      </c>
    </row>
    <row r="391" spans="1:27" x14ac:dyDescent="0.45">
      <c r="A391">
        <v>7</v>
      </c>
      <c r="B391">
        <v>10</v>
      </c>
      <c r="C391" s="32">
        <f t="shared" si="54"/>
        <v>3</v>
      </c>
      <c r="D391">
        <v>7</v>
      </c>
      <c r="E391">
        <v>10</v>
      </c>
      <c r="F391" s="32">
        <f t="shared" si="55"/>
        <v>3</v>
      </c>
      <c r="G391">
        <v>9</v>
      </c>
      <c r="H391">
        <v>10</v>
      </c>
      <c r="I391" s="32">
        <f t="shared" si="56"/>
        <v>1</v>
      </c>
      <c r="J391">
        <v>9</v>
      </c>
      <c r="K391">
        <v>10</v>
      </c>
      <c r="L391" s="32">
        <f t="shared" si="57"/>
        <v>1</v>
      </c>
      <c r="M391">
        <v>8</v>
      </c>
      <c r="N391">
        <v>10</v>
      </c>
      <c r="O391" s="32">
        <f t="shared" si="58"/>
        <v>2</v>
      </c>
      <c r="P391">
        <v>8</v>
      </c>
      <c r="Q391">
        <v>10</v>
      </c>
      <c r="R391" s="32">
        <f t="shared" si="59"/>
        <v>2</v>
      </c>
      <c r="S391">
        <v>7</v>
      </c>
      <c r="T391">
        <v>10</v>
      </c>
      <c r="U391" s="32">
        <f t="shared" si="60"/>
        <v>3</v>
      </c>
      <c r="V391">
        <v>8</v>
      </c>
      <c r="W391">
        <v>10</v>
      </c>
      <c r="X391" s="32">
        <f t="shared" si="61"/>
        <v>2</v>
      </c>
      <c r="Y391">
        <v>9</v>
      </c>
      <c r="Z391">
        <v>10</v>
      </c>
      <c r="AA391" s="32">
        <f t="shared" si="62"/>
        <v>1</v>
      </c>
    </row>
    <row r="392" spans="1:27" x14ac:dyDescent="0.45">
      <c r="A392">
        <v>7</v>
      </c>
      <c r="B392">
        <v>10</v>
      </c>
      <c r="C392" s="32">
        <f t="shared" si="54"/>
        <v>3</v>
      </c>
      <c r="D392">
        <v>7</v>
      </c>
      <c r="E392">
        <v>10</v>
      </c>
      <c r="F392" s="32">
        <f t="shared" si="55"/>
        <v>3</v>
      </c>
      <c r="G392">
        <v>9</v>
      </c>
      <c r="H392">
        <v>10</v>
      </c>
      <c r="I392" s="32">
        <f t="shared" si="56"/>
        <v>1</v>
      </c>
      <c r="J392">
        <v>9</v>
      </c>
      <c r="K392">
        <v>10</v>
      </c>
      <c r="L392" s="32">
        <f t="shared" si="57"/>
        <v>1</v>
      </c>
      <c r="M392">
        <v>8</v>
      </c>
      <c r="N392">
        <v>10</v>
      </c>
      <c r="O392" s="32">
        <f t="shared" si="58"/>
        <v>2</v>
      </c>
      <c r="P392">
        <v>8</v>
      </c>
      <c r="Q392">
        <v>10</v>
      </c>
      <c r="R392" s="32">
        <f t="shared" si="59"/>
        <v>2</v>
      </c>
      <c r="S392">
        <v>7</v>
      </c>
      <c r="T392">
        <v>10</v>
      </c>
      <c r="U392" s="32">
        <f t="shared" si="60"/>
        <v>3</v>
      </c>
      <c r="V392">
        <v>8</v>
      </c>
      <c r="W392">
        <v>10</v>
      </c>
      <c r="X392" s="32">
        <f t="shared" si="61"/>
        <v>2</v>
      </c>
      <c r="Y392">
        <v>9</v>
      </c>
      <c r="Z392">
        <v>10</v>
      </c>
      <c r="AA392" s="32">
        <f t="shared" si="62"/>
        <v>1</v>
      </c>
    </row>
    <row r="393" spans="1:27" x14ac:dyDescent="0.45">
      <c r="A393">
        <v>7</v>
      </c>
      <c r="B393">
        <v>10</v>
      </c>
      <c r="C393" s="32">
        <f t="shared" si="54"/>
        <v>3</v>
      </c>
      <c r="D393">
        <v>7</v>
      </c>
      <c r="E393">
        <v>10</v>
      </c>
      <c r="F393" s="32">
        <f t="shared" si="55"/>
        <v>3</v>
      </c>
      <c r="G393">
        <v>9</v>
      </c>
      <c r="H393">
        <v>10</v>
      </c>
      <c r="I393" s="32">
        <f t="shared" si="56"/>
        <v>1</v>
      </c>
      <c r="J393">
        <v>9</v>
      </c>
      <c r="K393">
        <v>10</v>
      </c>
      <c r="L393" s="32">
        <f t="shared" si="57"/>
        <v>1</v>
      </c>
      <c r="M393">
        <v>8</v>
      </c>
      <c r="N393">
        <v>10</v>
      </c>
      <c r="O393" s="32">
        <f t="shared" si="58"/>
        <v>2</v>
      </c>
      <c r="P393">
        <v>8</v>
      </c>
      <c r="Q393">
        <v>10</v>
      </c>
      <c r="R393" s="32">
        <f t="shared" si="59"/>
        <v>2</v>
      </c>
      <c r="S393">
        <v>7</v>
      </c>
      <c r="T393">
        <v>10</v>
      </c>
      <c r="U393" s="32">
        <f t="shared" si="60"/>
        <v>3</v>
      </c>
      <c r="V393">
        <v>8</v>
      </c>
      <c r="W393">
        <v>10</v>
      </c>
      <c r="X393" s="32">
        <f t="shared" si="61"/>
        <v>2</v>
      </c>
      <c r="Y393">
        <v>9</v>
      </c>
      <c r="Z393">
        <v>10</v>
      </c>
      <c r="AA393" s="32">
        <f t="shared" si="62"/>
        <v>1</v>
      </c>
    </row>
    <row r="394" spans="1:27" x14ac:dyDescent="0.45">
      <c r="A394">
        <v>7</v>
      </c>
      <c r="B394">
        <v>10</v>
      </c>
      <c r="C394" s="32">
        <f t="shared" si="54"/>
        <v>3</v>
      </c>
      <c r="D394">
        <v>7</v>
      </c>
      <c r="E394">
        <v>10</v>
      </c>
      <c r="F394" s="32">
        <f t="shared" si="55"/>
        <v>3</v>
      </c>
      <c r="G394">
        <v>9</v>
      </c>
      <c r="H394">
        <v>10</v>
      </c>
      <c r="I394" s="32">
        <f t="shared" si="56"/>
        <v>1</v>
      </c>
      <c r="J394">
        <v>9</v>
      </c>
      <c r="K394">
        <v>10</v>
      </c>
      <c r="L394" s="32">
        <f t="shared" si="57"/>
        <v>1</v>
      </c>
      <c r="M394">
        <v>8</v>
      </c>
      <c r="N394">
        <v>10</v>
      </c>
      <c r="O394" s="32">
        <f t="shared" si="58"/>
        <v>2</v>
      </c>
      <c r="P394">
        <v>8</v>
      </c>
      <c r="Q394">
        <v>10</v>
      </c>
      <c r="R394" s="32">
        <f t="shared" si="59"/>
        <v>2</v>
      </c>
      <c r="S394">
        <v>7</v>
      </c>
      <c r="T394">
        <v>10</v>
      </c>
      <c r="U394" s="32">
        <f t="shared" si="60"/>
        <v>3</v>
      </c>
      <c r="V394">
        <v>8</v>
      </c>
      <c r="W394">
        <v>10</v>
      </c>
      <c r="X394" s="32">
        <f t="shared" si="61"/>
        <v>2</v>
      </c>
      <c r="Y394">
        <v>9</v>
      </c>
      <c r="Z394">
        <v>10</v>
      </c>
      <c r="AA394" s="32">
        <f t="shared" si="62"/>
        <v>1</v>
      </c>
    </row>
    <row r="395" spans="1:27" x14ac:dyDescent="0.45">
      <c r="A395">
        <v>7</v>
      </c>
      <c r="B395">
        <v>10</v>
      </c>
      <c r="C395" s="32">
        <f t="shared" si="54"/>
        <v>3</v>
      </c>
      <c r="D395">
        <v>7</v>
      </c>
      <c r="E395">
        <v>10</v>
      </c>
      <c r="F395" s="32">
        <f t="shared" si="55"/>
        <v>3</v>
      </c>
      <c r="G395">
        <v>9</v>
      </c>
      <c r="H395">
        <v>10</v>
      </c>
      <c r="I395" s="32">
        <f t="shared" si="56"/>
        <v>1</v>
      </c>
      <c r="J395">
        <v>9</v>
      </c>
      <c r="K395">
        <v>10</v>
      </c>
      <c r="L395" s="32">
        <f t="shared" si="57"/>
        <v>1</v>
      </c>
      <c r="M395">
        <v>8</v>
      </c>
      <c r="N395">
        <v>10</v>
      </c>
      <c r="O395" s="32">
        <f t="shared" si="58"/>
        <v>2</v>
      </c>
      <c r="P395">
        <v>8</v>
      </c>
      <c r="Q395">
        <v>10</v>
      </c>
      <c r="R395" s="32">
        <f t="shared" si="59"/>
        <v>2</v>
      </c>
      <c r="S395">
        <v>7</v>
      </c>
      <c r="T395">
        <v>10</v>
      </c>
      <c r="U395" s="32">
        <f t="shared" si="60"/>
        <v>3</v>
      </c>
      <c r="V395">
        <v>8</v>
      </c>
      <c r="W395">
        <v>10</v>
      </c>
      <c r="X395" s="32">
        <f t="shared" si="61"/>
        <v>2</v>
      </c>
      <c r="Y395">
        <v>9</v>
      </c>
      <c r="Z395">
        <v>10</v>
      </c>
      <c r="AA395" s="32">
        <f t="shared" si="62"/>
        <v>1</v>
      </c>
    </row>
    <row r="396" spans="1:27" x14ac:dyDescent="0.45">
      <c r="A396">
        <v>7</v>
      </c>
      <c r="B396">
        <v>10</v>
      </c>
      <c r="C396" s="32">
        <f t="shared" si="54"/>
        <v>3</v>
      </c>
      <c r="D396">
        <v>7</v>
      </c>
      <c r="E396">
        <v>10</v>
      </c>
      <c r="F396" s="32">
        <f t="shared" si="55"/>
        <v>3</v>
      </c>
      <c r="G396">
        <v>9</v>
      </c>
      <c r="H396">
        <v>10</v>
      </c>
      <c r="I396" s="32">
        <f t="shared" si="56"/>
        <v>1</v>
      </c>
      <c r="J396">
        <v>9</v>
      </c>
      <c r="K396">
        <v>10</v>
      </c>
      <c r="L396" s="32">
        <f t="shared" si="57"/>
        <v>1</v>
      </c>
      <c r="M396">
        <v>8</v>
      </c>
      <c r="N396">
        <v>10</v>
      </c>
      <c r="O396" s="32">
        <f t="shared" si="58"/>
        <v>2</v>
      </c>
      <c r="P396">
        <v>8</v>
      </c>
      <c r="Q396">
        <v>10</v>
      </c>
      <c r="R396" s="32">
        <f t="shared" si="59"/>
        <v>2</v>
      </c>
      <c r="S396">
        <v>7</v>
      </c>
      <c r="T396">
        <v>10</v>
      </c>
      <c r="U396" s="32">
        <f t="shared" si="60"/>
        <v>3</v>
      </c>
      <c r="V396">
        <v>8</v>
      </c>
      <c r="W396">
        <v>10</v>
      </c>
      <c r="X396" s="32">
        <f t="shared" si="61"/>
        <v>2</v>
      </c>
      <c r="Y396">
        <v>9</v>
      </c>
      <c r="Z396">
        <v>10</v>
      </c>
      <c r="AA396" s="32">
        <f t="shared" si="62"/>
        <v>1</v>
      </c>
    </row>
    <row r="397" spans="1:27" x14ac:dyDescent="0.45">
      <c r="A397">
        <v>7</v>
      </c>
      <c r="B397">
        <v>10</v>
      </c>
      <c r="C397" s="32">
        <f t="shared" si="54"/>
        <v>3</v>
      </c>
      <c r="D397">
        <v>7</v>
      </c>
      <c r="E397">
        <v>10</v>
      </c>
      <c r="F397" s="32">
        <f t="shared" si="55"/>
        <v>3</v>
      </c>
      <c r="G397">
        <v>9</v>
      </c>
      <c r="H397">
        <v>10</v>
      </c>
      <c r="I397" s="32">
        <f t="shared" si="56"/>
        <v>1</v>
      </c>
      <c r="J397">
        <v>9</v>
      </c>
      <c r="K397">
        <v>10</v>
      </c>
      <c r="L397" s="32">
        <f t="shared" si="57"/>
        <v>1</v>
      </c>
      <c r="M397">
        <v>8</v>
      </c>
      <c r="N397">
        <v>10</v>
      </c>
      <c r="O397" s="32">
        <f t="shared" si="58"/>
        <v>2</v>
      </c>
      <c r="P397">
        <v>9</v>
      </c>
      <c r="Q397">
        <v>10</v>
      </c>
      <c r="R397" s="32">
        <f t="shared" si="59"/>
        <v>1</v>
      </c>
      <c r="S397">
        <v>7</v>
      </c>
      <c r="T397">
        <v>10</v>
      </c>
      <c r="U397" s="32">
        <f t="shared" si="60"/>
        <v>3</v>
      </c>
      <c r="V397">
        <v>8</v>
      </c>
      <c r="W397">
        <v>10</v>
      </c>
      <c r="X397" s="32">
        <f t="shared" si="61"/>
        <v>2</v>
      </c>
      <c r="Y397">
        <v>9</v>
      </c>
      <c r="Z397">
        <v>10</v>
      </c>
      <c r="AA397" s="32">
        <f t="shared" si="62"/>
        <v>1</v>
      </c>
    </row>
    <row r="398" spans="1:27" x14ac:dyDescent="0.45">
      <c r="A398">
        <v>7</v>
      </c>
      <c r="B398">
        <v>10</v>
      </c>
      <c r="C398" s="32">
        <f t="shared" si="54"/>
        <v>3</v>
      </c>
      <c r="D398">
        <v>7</v>
      </c>
      <c r="E398">
        <v>10</v>
      </c>
      <c r="F398" s="32">
        <f t="shared" si="55"/>
        <v>3</v>
      </c>
      <c r="G398">
        <v>9</v>
      </c>
      <c r="H398">
        <v>10</v>
      </c>
      <c r="I398" s="32">
        <f t="shared" si="56"/>
        <v>1</v>
      </c>
      <c r="J398">
        <v>9</v>
      </c>
      <c r="K398">
        <v>10</v>
      </c>
      <c r="L398" s="32">
        <f t="shared" si="57"/>
        <v>1</v>
      </c>
      <c r="M398">
        <v>8</v>
      </c>
      <c r="N398">
        <v>10</v>
      </c>
      <c r="O398" s="32">
        <f t="shared" si="58"/>
        <v>2</v>
      </c>
      <c r="P398">
        <v>9</v>
      </c>
      <c r="Q398">
        <v>10</v>
      </c>
      <c r="R398" s="32">
        <f t="shared" si="59"/>
        <v>1</v>
      </c>
      <c r="S398">
        <v>7</v>
      </c>
      <c r="T398">
        <v>10</v>
      </c>
      <c r="U398" s="32">
        <f t="shared" si="60"/>
        <v>3</v>
      </c>
      <c r="V398">
        <v>8</v>
      </c>
      <c r="W398">
        <v>10</v>
      </c>
      <c r="X398" s="32">
        <f t="shared" si="61"/>
        <v>2</v>
      </c>
      <c r="Y398">
        <v>9</v>
      </c>
      <c r="Z398">
        <v>10</v>
      </c>
      <c r="AA398" s="32">
        <f t="shared" si="62"/>
        <v>1</v>
      </c>
    </row>
    <row r="399" spans="1:27" x14ac:dyDescent="0.45">
      <c r="A399">
        <v>7</v>
      </c>
      <c r="B399">
        <v>10</v>
      </c>
      <c r="C399" s="32">
        <f t="shared" si="54"/>
        <v>3</v>
      </c>
      <c r="D399">
        <v>7</v>
      </c>
      <c r="E399">
        <v>10</v>
      </c>
      <c r="F399" s="32">
        <f t="shared" si="55"/>
        <v>3</v>
      </c>
      <c r="G399">
        <v>9</v>
      </c>
      <c r="H399">
        <v>10</v>
      </c>
      <c r="I399" s="32">
        <f t="shared" si="56"/>
        <v>1</v>
      </c>
      <c r="J399">
        <v>9</v>
      </c>
      <c r="K399">
        <v>10</v>
      </c>
      <c r="L399" s="32">
        <f t="shared" si="57"/>
        <v>1</v>
      </c>
      <c r="M399">
        <v>9</v>
      </c>
      <c r="N399">
        <v>10</v>
      </c>
      <c r="O399" s="32">
        <f t="shared" si="58"/>
        <v>1</v>
      </c>
      <c r="P399">
        <v>9</v>
      </c>
      <c r="Q399">
        <v>10</v>
      </c>
      <c r="R399" s="32">
        <f t="shared" si="59"/>
        <v>1</v>
      </c>
      <c r="S399">
        <v>8</v>
      </c>
      <c r="T399">
        <v>10</v>
      </c>
      <c r="U399" s="32">
        <f t="shared" si="60"/>
        <v>2</v>
      </c>
      <c r="V399">
        <v>8</v>
      </c>
      <c r="W399">
        <v>10</v>
      </c>
      <c r="X399" s="32">
        <f t="shared" si="61"/>
        <v>2</v>
      </c>
      <c r="Y399">
        <v>9</v>
      </c>
      <c r="Z399">
        <v>10</v>
      </c>
      <c r="AA399" s="32">
        <f t="shared" si="62"/>
        <v>1</v>
      </c>
    </row>
    <row r="400" spans="1:27" x14ac:dyDescent="0.45">
      <c r="A400">
        <v>7</v>
      </c>
      <c r="B400">
        <v>10</v>
      </c>
      <c r="C400" s="32">
        <f t="shared" si="54"/>
        <v>3</v>
      </c>
      <c r="D400">
        <v>7</v>
      </c>
      <c r="E400">
        <v>10</v>
      </c>
      <c r="F400" s="32">
        <f t="shared" si="55"/>
        <v>3</v>
      </c>
      <c r="G400">
        <v>9</v>
      </c>
      <c r="H400">
        <v>10</v>
      </c>
      <c r="I400" s="32">
        <f t="shared" si="56"/>
        <v>1</v>
      </c>
      <c r="J400">
        <v>9</v>
      </c>
      <c r="K400">
        <v>10</v>
      </c>
      <c r="L400" s="32">
        <f t="shared" si="57"/>
        <v>1</v>
      </c>
      <c r="M400">
        <v>9</v>
      </c>
      <c r="N400">
        <v>10</v>
      </c>
      <c r="O400" s="32">
        <f t="shared" si="58"/>
        <v>1</v>
      </c>
      <c r="P400">
        <v>9</v>
      </c>
      <c r="Q400">
        <v>10</v>
      </c>
      <c r="R400" s="32">
        <f t="shared" si="59"/>
        <v>1</v>
      </c>
      <c r="S400">
        <v>8</v>
      </c>
      <c r="T400">
        <v>10</v>
      </c>
      <c r="U400" s="32">
        <f t="shared" si="60"/>
        <v>2</v>
      </c>
      <c r="V400">
        <v>9</v>
      </c>
      <c r="W400">
        <v>10</v>
      </c>
      <c r="X400" s="32">
        <f t="shared" si="61"/>
        <v>1</v>
      </c>
      <c r="Y400">
        <v>9</v>
      </c>
      <c r="Z400">
        <v>10</v>
      </c>
      <c r="AA400" s="32">
        <f t="shared" si="62"/>
        <v>1</v>
      </c>
    </row>
    <row r="401" spans="1:27" x14ac:dyDescent="0.45">
      <c r="A401">
        <v>7</v>
      </c>
      <c r="B401">
        <v>10</v>
      </c>
      <c r="C401" s="32">
        <f t="shared" si="54"/>
        <v>3</v>
      </c>
      <c r="D401">
        <v>7</v>
      </c>
      <c r="E401">
        <v>10</v>
      </c>
      <c r="F401" s="32">
        <f t="shared" si="55"/>
        <v>3</v>
      </c>
      <c r="G401">
        <v>9</v>
      </c>
      <c r="H401">
        <v>10</v>
      </c>
      <c r="I401" s="32">
        <f t="shared" si="56"/>
        <v>1</v>
      </c>
      <c r="J401">
        <v>9</v>
      </c>
      <c r="K401">
        <v>10</v>
      </c>
      <c r="L401" s="32">
        <f t="shared" si="57"/>
        <v>1</v>
      </c>
      <c r="M401">
        <v>9</v>
      </c>
      <c r="N401">
        <v>10</v>
      </c>
      <c r="O401" s="32">
        <f t="shared" si="58"/>
        <v>1</v>
      </c>
      <c r="P401">
        <v>9</v>
      </c>
      <c r="Q401">
        <v>10</v>
      </c>
      <c r="R401" s="32">
        <f t="shared" si="59"/>
        <v>1</v>
      </c>
      <c r="S401">
        <v>8</v>
      </c>
      <c r="T401">
        <v>10</v>
      </c>
      <c r="U401" s="32">
        <f t="shared" si="60"/>
        <v>2</v>
      </c>
      <c r="V401">
        <v>9</v>
      </c>
      <c r="W401">
        <v>10</v>
      </c>
      <c r="X401" s="32">
        <f t="shared" si="61"/>
        <v>1</v>
      </c>
      <c r="Y401">
        <v>9</v>
      </c>
      <c r="Z401">
        <v>10</v>
      </c>
      <c r="AA401" s="32">
        <f t="shared" si="62"/>
        <v>1</v>
      </c>
    </row>
    <row r="402" spans="1:27" x14ac:dyDescent="0.45">
      <c r="A402">
        <v>7</v>
      </c>
      <c r="B402">
        <v>10</v>
      </c>
      <c r="C402" s="32">
        <f t="shared" si="54"/>
        <v>3</v>
      </c>
      <c r="D402">
        <v>8</v>
      </c>
      <c r="E402">
        <v>10</v>
      </c>
      <c r="F402" s="32">
        <f t="shared" si="55"/>
        <v>2</v>
      </c>
      <c r="G402">
        <v>9</v>
      </c>
      <c r="H402">
        <v>10</v>
      </c>
      <c r="I402" s="32">
        <f t="shared" si="56"/>
        <v>1</v>
      </c>
      <c r="J402">
        <v>9</v>
      </c>
      <c r="K402">
        <v>10</v>
      </c>
      <c r="L402" s="32">
        <f t="shared" si="57"/>
        <v>1</v>
      </c>
      <c r="M402">
        <v>9</v>
      </c>
      <c r="N402">
        <v>10</v>
      </c>
      <c r="O402" s="32">
        <f t="shared" si="58"/>
        <v>1</v>
      </c>
      <c r="P402">
        <v>9</v>
      </c>
      <c r="Q402">
        <v>10</v>
      </c>
      <c r="R402" s="32">
        <f t="shared" si="59"/>
        <v>1</v>
      </c>
      <c r="S402">
        <v>8</v>
      </c>
      <c r="T402">
        <v>10</v>
      </c>
      <c r="U402" s="32">
        <f t="shared" si="60"/>
        <v>2</v>
      </c>
      <c r="V402">
        <v>9</v>
      </c>
      <c r="W402">
        <v>10</v>
      </c>
      <c r="X402" s="32">
        <f t="shared" si="61"/>
        <v>1</v>
      </c>
      <c r="Y402">
        <v>9</v>
      </c>
      <c r="Z402">
        <v>10</v>
      </c>
      <c r="AA402" s="32">
        <f t="shared" si="62"/>
        <v>1</v>
      </c>
    </row>
    <row r="403" spans="1:27" x14ac:dyDescent="0.45">
      <c r="A403">
        <v>8</v>
      </c>
      <c r="B403">
        <v>10</v>
      </c>
      <c r="C403" s="32">
        <f t="shared" si="54"/>
        <v>2</v>
      </c>
      <c r="D403">
        <v>8</v>
      </c>
      <c r="E403">
        <v>10</v>
      </c>
      <c r="F403" s="32">
        <f t="shared" si="55"/>
        <v>2</v>
      </c>
      <c r="G403">
        <v>9</v>
      </c>
      <c r="H403">
        <v>10</v>
      </c>
      <c r="I403" s="32">
        <f t="shared" si="56"/>
        <v>1</v>
      </c>
      <c r="J403">
        <v>9</v>
      </c>
      <c r="K403">
        <v>10</v>
      </c>
      <c r="L403" s="32">
        <f t="shared" si="57"/>
        <v>1</v>
      </c>
      <c r="M403">
        <v>9</v>
      </c>
      <c r="N403">
        <v>10</v>
      </c>
      <c r="O403" s="32">
        <f t="shared" si="58"/>
        <v>1</v>
      </c>
      <c r="P403">
        <v>9</v>
      </c>
      <c r="Q403">
        <v>10</v>
      </c>
      <c r="R403" s="32">
        <f t="shared" si="59"/>
        <v>1</v>
      </c>
      <c r="S403">
        <v>8</v>
      </c>
      <c r="T403">
        <v>10</v>
      </c>
      <c r="U403" s="32">
        <f t="shared" si="60"/>
        <v>2</v>
      </c>
      <c r="V403">
        <v>9</v>
      </c>
      <c r="W403">
        <v>10</v>
      </c>
      <c r="X403" s="32">
        <f t="shared" si="61"/>
        <v>1</v>
      </c>
      <c r="Y403">
        <v>9</v>
      </c>
      <c r="Z403">
        <v>10</v>
      </c>
      <c r="AA403" s="32">
        <f t="shared" si="62"/>
        <v>1</v>
      </c>
    </row>
    <row r="404" spans="1:27" x14ac:dyDescent="0.45">
      <c r="A404">
        <v>8</v>
      </c>
      <c r="B404" s="36">
        <v>10</v>
      </c>
      <c r="C404" s="32">
        <f t="shared" si="54"/>
        <v>2</v>
      </c>
      <c r="D404">
        <v>8</v>
      </c>
      <c r="E404">
        <v>10</v>
      </c>
      <c r="F404" s="32">
        <f t="shared" si="55"/>
        <v>2</v>
      </c>
      <c r="G404">
        <v>9</v>
      </c>
      <c r="H404">
        <v>10</v>
      </c>
      <c r="I404" s="32">
        <f t="shared" si="56"/>
        <v>1</v>
      </c>
      <c r="J404">
        <v>9</v>
      </c>
      <c r="K404">
        <v>10</v>
      </c>
      <c r="L404" s="32">
        <f t="shared" si="57"/>
        <v>1</v>
      </c>
      <c r="M404">
        <v>9</v>
      </c>
      <c r="N404">
        <v>10</v>
      </c>
      <c r="O404" s="32">
        <f t="shared" si="58"/>
        <v>1</v>
      </c>
      <c r="P404">
        <v>9</v>
      </c>
      <c r="Q404">
        <v>10</v>
      </c>
      <c r="R404" s="32">
        <f t="shared" si="59"/>
        <v>1</v>
      </c>
      <c r="S404">
        <v>8</v>
      </c>
      <c r="T404">
        <v>10</v>
      </c>
      <c r="U404" s="32">
        <f t="shared" si="60"/>
        <v>2</v>
      </c>
      <c r="V404">
        <v>9</v>
      </c>
      <c r="W404">
        <v>10</v>
      </c>
      <c r="X404" s="32">
        <f t="shared" si="61"/>
        <v>1</v>
      </c>
      <c r="Y404">
        <v>9</v>
      </c>
      <c r="Z404">
        <v>10</v>
      </c>
      <c r="AA404" s="32">
        <f t="shared" si="62"/>
        <v>1</v>
      </c>
    </row>
    <row r="405" spans="1:27" x14ac:dyDescent="0.45">
      <c r="C405">
        <f>AVERAGE(C2:C404)</f>
        <v>1.4143920595533499</v>
      </c>
      <c r="F405">
        <f>AVERAGE(F2:F404)</f>
        <v>1.6401985111662531</v>
      </c>
      <c r="I405">
        <f>AVERAGE(I2:I404)</f>
        <v>1.9255583126550868</v>
      </c>
      <c r="L405">
        <f>AVERAGE(L2:L404)</f>
        <v>0.75682382133995041</v>
      </c>
      <c r="O405">
        <f>AVERAGE(O2:O404)</f>
        <v>0.88089330024813894</v>
      </c>
      <c r="R405">
        <f>AVERAGE(R2:R404)</f>
        <v>1.1017369727047146</v>
      </c>
      <c r="U405">
        <f>AVERAGE(U2:U404)</f>
        <v>1.2382133995037221</v>
      </c>
      <c r="X405">
        <f>AVERAGE(X2:X404)</f>
        <v>0.794044665012407</v>
      </c>
      <c r="AA405">
        <f>AVERAGE(AA2:AA404)</f>
        <v>0.66253101736972708</v>
      </c>
    </row>
  </sheetData>
  <sortState xmlns:xlrd2="http://schemas.microsoft.com/office/spreadsheetml/2017/richdata2" ref="Y2:Y404">
    <sortCondition ref="Y2:Y404"/>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68"/>
  <sheetViews>
    <sheetView workbookViewId="0">
      <selection activeCell="D13" sqref="D13"/>
    </sheetView>
  </sheetViews>
  <sheetFormatPr defaultRowHeight="14.25" x14ac:dyDescent="0.45"/>
  <cols>
    <col min="1" max="1" width="8.9296875" bestFit="1" customWidth="1"/>
    <col min="2" max="2" width="10" customWidth="1"/>
    <col min="3" max="3" width="12.53125" customWidth="1"/>
    <col min="4" max="4" width="17.19921875" customWidth="1"/>
    <col min="5" max="5" width="13.33203125" bestFit="1" customWidth="1"/>
    <col min="6" max="6" width="15.06640625" customWidth="1"/>
    <col min="7" max="7" width="17.06640625" bestFit="1" customWidth="1"/>
    <col min="8" max="8" width="16.73046875" bestFit="1" customWidth="1"/>
    <col min="9" max="9" width="17.265625" bestFit="1" customWidth="1"/>
    <col min="10" max="10" width="12.86328125" bestFit="1" customWidth="1"/>
    <col min="11" max="11" width="12.53125" bestFit="1" customWidth="1"/>
    <col min="12" max="12" width="13.06640625" bestFit="1" customWidth="1"/>
  </cols>
  <sheetData>
    <row r="1" spans="1:13" x14ac:dyDescent="0.45">
      <c r="A1" s="1" t="s">
        <v>4</v>
      </c>
      <c r="B1" s="1" t="s">
        <v>5</v>
      </c>
      <c r="C1" s="1" t="s">
        <v>6</v>
      </c>
      <c r="D1" s="5" t="s">
        <v>35</v>
      </c>
      <c r="E1" s="5" t="s">
        <v>199</v>
      </c>
      <c r="F1" s="5" t="s">
        <v>198</v>
      </c>
      <c r="G1" s="1" t="s">
        <v>7</v>
      </c>
      <c r="H1" s="1" t="s">
        <v>8</v>
      </c>
      <c r="I1" s="1" t="s">
        <v>9</v>
      </c>
      <c r="J1" s="1" t="s">
        <v>10</v>
      </c>
      <c r="K1" s="1" t="s">
        <v>11</v>
      </c>
      <c r="L1" s="1" t="s">
        <v>12</v>
      </c>
    </row>
    <row r="2" spans="1:13" x14ac:dyDescent="0.45">
      <c r="A2" s="4" t="s">
        <v>13</v>
      </c>
      <c r="B2" s="33">
        <f>step3_combined_data!U405</f>
        <v>1.8436724565756824</v>
      </c>
      <c r="C2" s="15">
        <f>CM_REPORT!E7</f>
        <v>0.40694789081885857</v>
      </c>
      <c r="D2" s="24">
        <f>CM_REPORT!E8</f>
        <v>-5.4638101912182407E-2</v>
      </c>
      <c r="E2" s="34">
        <f>(ABS(J2-G2)+ABS(K2-H2)+ABS(L2-I2))/2</f>
        <v>0.26302729528535984</v>
      </c>
      <c r="F2" s="37">
        <f>EMD!C405</f>
        <v>1.4143920595533499</v>
      </c>
      <c r="G2" s="15">
        <f>step3_combined_data!T406/step3_combined_data!T409</f>
        <v>0.13647642679900746</v>
      </c>
      <c r="H2" s="15">
        <f>step3_combined_data!T407/step3_combined_data!T409</f>
        <v>0.4466501240694789</v>
      </c>
      <c r="I2" s="15">
        <f>step3_combined_data!T408/step3_combined_data!T409</f>
        <v>0.41687344913151364</v>
      </c>
      <c r="J2" s="15">
        <f>step3_combined_data!R406/step3_combined_data!R409</f>
        <v>1.2406947890818859E-2</v>
      </c>
      <c r="K2" s="15">
        <f>step3_combined_data!R407/step3_combined_data!R409</f>
        <v>0.70967741935483875</v>
      </c>
      <c r="L2" s="15">
        <f>step3_combined_data!R408/step3_combined_data!R409</f>
        <v>0.27791563275434245</v>
      </c>
      <c r="M2" s="25">
        <f>J2+K2+L2</f>
        <v>1</v>
      </c>
    </row>
    <row r="3" spans="1:13" x14ac:dyDescent="0.45">
      <c r="A3" s="4" t="s">
        <v>14</v>
      </c>
      <c r="B3" s="33">
        <f>step3_combined_data!Z405</f>
        <v>1.8163771712158809</v>
      </c>
      <c r="C3" s="15">
        <f>CM_REPORT!E16</f>
        <v>0.4640198511166253</v>
      </c>
      <c r="D3" s="24">
        <f>CM_REPORT!E17</f>
        <v>4.5702751319845726E-2</v>
      </c>
      <c r="E3" s="34">
        <f t="shared" ref="E3:E10" si="0">(ABS(J3-G3)+ABS(K3-H3)+ABS(L3-I3))/2</f>
        <v>0.16129032258064516</v>
      </c>
      <c r="F3" s="37">
        <f>EMD!F405</f>
        <v>1.6401985111662531</v>
      </c>
      <c r="G3" s="15">
        <f>step3_combined_data!Y406/step3_combined_data!Y409</f>
        <v>0.11166253101736973</v>
      </c>
      <c r="H3" s="15">
        <f>step3_combined_data!Y407/step3_combined_data!Y409</f>
        <v>0.41191066997518611</v>
      </c>
      <c r="I3" s="15">
        <f>step3_combined_data!Y408/step3_combined_data!Y409</f>
        <v>0.47642679900744417</v>
      </c>
      <c r="J3" s="15">
        <f>step3_combined_data!W406/step3_combined_data!W409</f>
        <v>0</v>
      </c>
      <c r="K3" s="15">
        <f>step3_combined_data!W407/step3_combined_data!W409</f>
        <v>0.57320099255583123</v>
      </c>
      <c r="L3" s="15">
        <f>step3_combined_data!W408/step3_combined_data!W409</f>
        <v>0.42679900744416871</v>
      </c>
      <c r="M3" s="25">
        <f t="shared" ref="M3:M10" si="1">J3+K3+L3</f>
        <v>1</v>
      </c>
    </row>
    <row r="4" spans="1:13" x14ac:dyDescent="0.45">
      <c r="A4" s="4" t="s">
        <v>15</v>
      </c>
      <c r="B4" s="33">
        <f>step3_combined_data!AE405</f>
        <v>2.4466501240694791</v>
      </c>
      <c r="C4" s="15">
        <f>CM_REPORT!E26</f>
        <v>0.41687344913151364</v>
      </c>
      <c r="D4" s="24">
        <f>CM_REPORT!E27</f>
        <v>5.9884078042129654E-2</v>
      </c>
      <c r="E4" s="34">
        <f t="shared" si="0"/>
        <v>0.26302729528535973</v>
      </c>
      <c r="F4" s="37">
        <f>EMD!I405</f>
        <v>1.9255583126550868</v>
      </c>
      <c r="G4" s="15">
        <f>step3_combined_data!AD406/step3_combined_data!AD409</f>
        <v>0.20595533498759305</v>
      </c>
      <c r="H4" s="15">
        <f>step3_combined_data!AD407/step3_combined_data!AD409</f>
        <v>0.43920595533498757</v>
      </c>
      <c r="I4" s="15">
        <f>step3_combined_data!AD408/step3_combined_data!AD409</f>
        <v>0.35483870967741937</v>
      </c>
      <c r="J4" s="15">
        <f>step3_combined_data!AB406/step3_combined_data!AB409</f>
        <v>1.488833746898263E-2</v>
      </c>
      <c r="K4" s="15">
        <f>step3_combined_data!AB407/step3_combined_data!AB409</f>
        <v>0.36724565756823824</v>
      </c>
      <c r="L4" s="15">
        <f>step3_combined_data!AB408/step3_combined_data!AB409</f>
        <v>0.6178660049627791</v>
      </c>
      <c r="M4" s="25">
        <f t="shared" si="1"/>
        <v>1</v>
      </c>
    </row>
    <row r="5" spans="1:13" x14ac:dyDescent="0.45">
      <c r="A5" s="4" t="s">
        <v>16</v>
      </c>
      <c r="B5" s="33">
        <f>step3_combined_data!AJ405</f>
        <v>1.6823821339950371</v>
      </c>
      <c r="C5" s="15">
        <f>CM_REPORT!E36</f>
        <v>0.45161290322580644</v>
      </c>
      <c r="D5" s="24">
        <f>CM_REPORT!E37</f>
        <v>-4.828735007522391E-2</v>
      </c>
      <c r="E5" s="34">
        <f t="shared" si="0"/>
        <v>0.17121588089330025</v>
      </c>
      <c r="F5" s="37">
        <f>EMD!L405</f>
        <v>0.75682382133995041</v>
      </c>
      <c r="G5" s="15">
        <f>step3_combined_data!AI406/step3_combined_data!AI409</f>
        <v>5.2109181141439205E-2</v>
      </c>
      <c r="H5" s="15">
        <f>step3_combined_data!AI407/step3_combined_data!AI409</f>
        <v>0.45905707196029777</v>
      </c>
      <c r="I5" s="15">
        <f>step3_combined_data!AI408/step3_combined_data!AI409</f>
        <v>0.48883374689826303</v>
      </c>
      <c r="J5" s="15">
        <f>step3_combined_data!AG406/step3_combined_data!AG409</f>
        <v>7.4441687344913151E-3</v>
      </c>
      <c r="K5" s="15">
        <f>step3_combined_data!AG407/step3_combined_data!AG409</f>
        <v>0.33250620347394538</v>
      </c>
      <c r="L5" s="15">
        <f>step3_combined_data!AG408/step3_combined_data!AG409</f>
        <v>0.66004962779156329</v>
      </c>
      <c r="M5" s="25">
        <f t="shared" si="1"/>
        <v>1</v>
      </c>
    </row>
    <row r="6" spans="1:13" x14ac:dyDescent="0.45">
      <c r="A6" s="4" t="s">
        <v>17</v>
      </c>
      <c r="B6" s="33">
        <f>step3_combined_data!AO405</f>
        <v>2.032258064516129</v>
      </c>
      <c r="C6" s="15">
        <f>CM_REPORT!E46</f>
        <v>0.4466501240694789</v>
      </c>
      <c r="D6" s="24">
        <f>CM_REPORT!E47</f>
        <v>-2.2196799421883139E-2</v>
      </c>
      <c r="E6" s="34">
        <f t="shared" si="0"/>
        <v>0.11910669975186106</v>
      </c>
      <c r="F6" s="37">
        <f>EMD!O405</f>
        <v>0.88089330024813894</v>
      </c>
      <c r="G6" s="15">
        <f>step3_combined_data!AN406/step3_combined_data!AN409</f>
        <v>0.14143920595533499</v>
      </c>
      <c r="H6" s="15">
        <f>step3_combined_data!AN407/step3_combined_data!AN409</f>
        <v>0.54094292803970223</v>
      </c>
      <c r="I6" s="15">
        <f>step3_combined_data!AN408/step3_combined_data!AN409</f>
        <v>0.31761786600496278</v>
      </c>
      <c r="J6" s="15">
        <f>step3_combined_data!AL406/step3_combined_data!AL409</f>
        <v>2.2332506203473945E-2</v>
      </c>
      <c r="K6" s="15">
        <f>step3_combined_data!AL407/step3_combined_data!AL409</f>
        <v>0.64764267990074442</v>
      </c>
      <c r="L6" s="15">
        <f>step3_combined_data!AL408/step3_combined_data!AL409</f>
        <v>0.33002481389578164</v>
      </c>
      <c r="M6" s="25">
        <f t="shared" si="1"/>
        <v>1</v>
      </c>
    </row>
    <row r="7" spans="1:13" x14ac:dyDescent="0.45">
      <c r="A7" s="4" t="s">
        <v>18</v>
      </c>
      <c r="B7" s="33">
        <f>step3_combined_data!AT405</f>
        <v>2.0942928039702231</v>
      </c>
      <c r="C7" s="15">
        <f>CM_REPORT!E56</f>
        <v>0.42431761786600497</v>
      </c>
      <c r="D7" s="24">
        <f>CM_REPORT!E57</f>
        <v>9.1293406659646806E-3</v>
      </c>
      <c r="E7" s="34">
        <f t="shared" si="0"/>
        <v>0.23325062034739455</v>
      </c>
      <c r="F7" s="37">
        <f>EMD!R405</f>
        <v>1.1017369727047146</v>
      </c>
      <c r="G7" s="15">
        <f>step3_combined_data!AS406/step3_combined_data!AS409</f>
        <v>0.17369727047146402</v>
      </c>
      <c r="H7" s="15">
        <f>step3_combined_data!AS407/step3_combined_data!AS409</f>
        <v>0.44168734491315137</v>
      </c>
      <c r="I7" s="15">
        <f>step3_combined_data!AS408/step3_combined_data!AS409</f>
        <v>0.38461538461538464</v>
      </c>
      <c r="J7" s="15">
        <f>step3_combined_data!AQ406/step3_combined_data!AQ409</f>
        <v>1.7369727047146403E-2</v>
      </c>
      <c r="K7" s="15">
        <f>step3_combined_data!AQ407/step3_combined_data!AQ409</f>
        <v>0.67493796526054595</v>
      </c>
      <c r="L7" s="15">
        <f>step3_combined_data!AQ408/step3_combined_data!AQ409</f>
        <v>0.30769230769230771</v>
      </c>
      <c r="M7" s="25">
        <f t="shared" si="1"/>
        <v>1</v>
      </c>
    </row>
    <row r="8" spans="1:13" x14ac:dyDescent="0.45">
      <c r="A8" s="4" t="s">
        <v>19</v>
      </c>
      <c r="B8" s="33">
        <f>step3_combined_data!AY405</f>
        <v>2.2481389578163773</v>
      </c>
      <c r="C8" s="15">
        <f>CM_REPORT!E66</f>
        <v>0.4466501240694789</v>
      </c>
      <c r="D8" s="24">
        <f>CM_REPORT!E67</f>
        <v>-9.375463424694902E-2</v>
      </c>
      <c r="E8" s="34">
        <f t="shared" si="0"/>
        <v>0.27791563275434245</v>
      </c>
      <c r="F8" s="37">
        <f>EMD!U405</f>
        <v>1.2382133995037221</v>
      </c>
      <c r="G8" s="15">
        <f>step3_combined_data!AX406/step3_combined_data!AX409</f>
        <v>0.17866004962779156</v>
      </c>
      <c r="H8" s="15">
        <f>step3_combined_data!AX407/step3_combined_data!AX409</f>
        <v>0.53846153846153844</v>
      </c>
      <c r="I8" s="15">
        <f>step3_combined_data!AX408/step3_combined_data!AX409</f>
        <v>0.28287841191066998</v>
      </c>
      <c r="J8" s="15">
        <f>step3_combined_data!AV406/step3_combined_data!AV409</f>
        <v>4.2183622828784122E-2</v>
      </c>
      <c r="K8" s="15">
        <f>step3_combined_data!AV407/step3_combined_data!AV409</f>
        <v>0.81637717121588094</v>
      </c>
      <c r="L8" s="15">
        <f>step3_combined_data!AV408/step3_combined_data!AV409</f>
        <v>0.14143920595533499</v>
      </c>
      <c r="M8" s="25">
        <f t="shared" si="1"/>
        <v>1</v>
      </c>
    </row>
    <row r="9" spans="1:13" x14ac:dyDescent="0.45">
      <c r="A9" s="4" t="s">
        <v>20</v>
      </c>
      <c r="B9" s="33">
        <f>step3_combined_data!BD405</f>
        <v>1.8635235732009925</v>
      </c>
      <c r="C9" s="15">
        <f>CM_REPORT!E75</f>
        <v>0.5508684863523573</v>
      </c>
      <c r="D9" s="24">
        <f>CM_REPORT!E76</f>
        <v>4.3274818695362476E-2</v>
      </c>
      <c r="E9" s="34">
        <f t="shared" si="0"/>
        <v>0.2779156327543425</v>
      </c>
      <c r="F9" s="37">
        <f>EMD!X405</f>
        <v>0.794044665012407</v>
      </c>
      <c r="G9" s="15">
        <f>step3_combined_data!BC406/step3_combined_data!BC409</f>
        <v>0.11414392059553349</v>
      </c>
      <c r="H9" s="15">
        <f>step3_combined_data!BC407/step3_combined_data!BC409</f>
        <v>0.5831265508684863</v>
      </c>
      <c r="I9" s="15">
        <f>step3_combined_data!BC408/step3_combined_data!BC409</f>
        <v>0.30272952853598017</v>
      </c>
      <c r="J9" s="15">
        <f>step3_combined_data!BA406/step3_combined_data!BA409</f>
        <v>4.9627791563275438E-2</v>
      </c>
      <c r="K9" s="15">
        <f>step3_combined_data!BA407/step3_combined_data!BA409</f>
        <v>0.86104218362282881</v>
      </c>
      <c r="L9" s="15">
        <f>step3_combined_data!BA408/step3_combined_data!BA409</f>
        <v>8.9330024813895778E-2</v>
      </c>
      <c r="M9" s="25">
        <f t="shared" si="1"/>
        <v>1</v>
      </c>
    </row>
    <row r="10" spans="1:13" x14ac:dyDescent="0.45">
      <c r="A10" s="4" t="s">
        <v>21</v>
      </c>
      <c r="B10" s="33">
        <f>step3_combined_data!BI405</f>
        <v>1.9255583126550868</v>
      </c>
      <c r="C10" s="15">
        <f>CM_REPORT!E85</f>
        <v>0.44278606965174128</v>
      </c>
      <c r="D10" s="24">
        <f>CM_REPORT!E86</f>
        <v>-2.4279586975624275E-2</v>
      </c>
      <c r="E10" s="34">
        <f t="shared" si="0"/>
        <v>0.16288902880140244</v>
      </c>
      <c r="F10" s="37">
        <f>EMD!AA405</f>
        <v>0.66253101736972708</v>
      </c>
      <c r="G10" s="15">
        <f>step3_combined_data!BH406/step3_combined_data!BH409</f>
        <v>8.6848635235732011E-2</v>
      </c>
      <c r="H10" s="15">
        <f>step3_combined_data!BH407/step3_combined_data!BH409</f>
        <v>0.4813895781637717</v>
      </c>
      <c r="I10" s="15">
        <f>step3_combined_data!BH408/step3_combined_data!BH409</f>
        <v>0.4317617866004963</v>
      </c>
      <c r="J10" s="15">
        <f>step3_combined_data!BF406/step3_combined_data!BF409</f>
        <v>2.4875621890547265E-2</v>
      </c>
      <c r="K10" s="15">
        <f>step3_combined_data!BF407/step3_combined_data!BF409</f>
        <v>0.64427860696517414</v>
      </c>
      <c r="L10" s="15">
        <f>step3_combined_data!BF408/step3_combined_data!BF409</f>
        <v>0.3308457711442786</v>
      </c>
      <c r="M10" s="25">
        <f t="shared" si="1"/>
        <v>1</v>
      </c>
    </row>
    <row r="13" spans="1:13" x14ac:dyDescent="0.45">
      <c r="C13" s="29"/>
      <c r="E13" s="27" t="s">
        <v>38</v>
      </c>
      <c r="F13" t="s">
        <v>167</v>
      </c>
      <c r="G13" s="29" t="s">
        <v>168</v>
      </c>
    </row>
    <row r="14" spans="1:13" x14ac:dyDescent="0.45">
      <c r="C14" s="25"/>
      <c r="E14" s="28" t="s">
        <v>165</v>
      </c>
      <c r="F14">
        <v>159</v>
      </c>
      <c r="G14" s="25">
        <f>GETPIVOTDATA("Giới tính của bạn:",$E$13,"Giới tính của bạn:","Male")/GETPIVOTDATA("Giới tính của bạn:",$E$13)</f>
        <v>0.39454094292803971</v>
      </c>
    </row>
    <row r="15" spans="1:13" x14ac:dyDescent="0.45">
      <c r="C15" s="25"/>
      <c r="E15" s="28" t="s">
        <v>166</v>
      </c>
      <c r="F15">
        <v>244</v>
      </c>
      <c r="G15" s="25">
        <f>GETPIVOTDATA("Giới tính của bạn:",$E$13,"Giới tính của bạn:","Female")/GETPIVOTDATA("Giới tính của bạn:",$E$13)</f>
        <v>0.60545905707196035</v>
      </c>
    </row>
    <row r="16" spans="1:13" x14ac:dyDescent="0.45">
      <c r="C16" s="25"/>
      <c r="E16" s="28" t="s">
        <v>34</v>
      </c>
      <c r="F16">
        <v>403</v>
      </c>
      <c r="G16" s="25">
        <f>G14+G15</f>
        <v>1</v>
      </c>
    </row>
    <row r="19" spans="3:7" x14ac:dyDescent="0.45">
      <c r="C19" s="29"/>
      <c r="E19" s="27" t="s">
        <v>39</v>
      </c>
      <c r="F19" t="s">
        <v>209</v>
      </c>
    </row>
    <row r="20" spans="3:7" x14ac:dyDescent="0.45">
      <c r="C20" s="25"/>
      <c r="E20" s="28" t="s">
        <v>188</v>
      </c>
      <c r="F20">
        <v>55</v>
      </c>
      <c r="G20" s="38">
        <f>GETPIVOTDATA("Độ tuổi của bạn:",$E$19,"Độ tuổi của bạn:","18 - 24")/GETPIVOTDATA("Độ tuổi của bạn:",$E$19)</f>
        <v>0.13647642679900746</v>
      </c>
    </row>
    <row r="21" spans="3:7" x14ac:dyDescent="0.45">
      <c r="C21" s="25"/>
      <c r="E21" s="28" t="s">
        <v>81</v>
      </c>
      <c r="F21">
        <v>79</v>
      </c>
      <c r="G21" s="38">
        <f>GETPIVOTDATA("Độ tuổi của bạn:",$E$19,"Độ tuổi của bạn:","25 - 29")/GETPIVOTDATA("Độ tuổi của bạn:",$E$19)</f>
        <v>0.19602977667493796</v>
      </c>
    </row>
    <row r="22" spans="3:7" x14ac:dyDescent="0.45">
      <c r="C22" s="25"/>
      <c r="E22" s="28" t="s">
        <v>73</v>
      </c>
      <c r="F22">
        <v>132</v>
      </c>
      <c r="G22" s="38">
        <f>GETPIVOTDATA("Độ tuổi của bạn:",$E$19,"Độ tuổi của bạn:","30 - 39")/GETPIVOTDATA("Độ tuổi của bạn:",$E$19)</f>
        <v>0.32754342431761785</v>
      </c>
    </row>
    <row r="23" spans="3:7" x14ac:dyDescent="0.45">
      <c r="E23" s="28" t="s">
        <v>79</v>
      </c>
      <c r="F23">
        <v>79</v>
      </c>
      <c r="G23" s="38">
        <f>GETPIVOTDATA("Độ tuổi của bạn:",$E$19,"Độ tuổi của bạn:","40 - 49")/GETPIVOTDATA("Độ tuổi của bạn:",$E$19)</f>
        <v>0.19602977667493796</v>
      </c>
    </row>
    <row r="24" spans="3:7" x14ac:dyDescent="0.45">
      <c r="E24" s="28" t="s">
        <v>190</v>
      </c>
      <c r="F24">
        <v>31</v>
      </c>
      <c r="G24" s="38">
        <f>GETPIVOTDATA("Độ tuổi của bạn:",$E$19,"Độ tuổi của bạn:","50 - 54")/GETPIVOTDATA("Độ tuổi của bạn:",$E$19)</f>
        <v>7.6923076923076927E-2</v>
      </c>
    </row>
    <row r="25" spans="3:7" x14ac:dyDescent="0.45">
      <c r="C25" s="29"/>
      <c r="E25" s="28" t="s">
        <v>192</v>
      </c>
      <c r="F25">
        <v>27</v>
      </c>
      <c r="G25" s="38">
        <f>GETPIVOTDATA("Độ tuổi của bạn:",$E$19,"Độ tuổi của bạn:","55 - 64")/GETPIVOTDATA("Độ tuổi của bạn:",$E$19)</f>
        <v>6.699751861042183E-2</v>
      </c>
    </row>
    <row r="26" spans="3:7" x14ac:dyDescent="0.45">
      <c r="C26" s="25"/>
      <c r="E26" s="28" t="s">
        <v>34</v>
      </c>
      <c r="F26">
        <v>403</v>
      </c>
      <c r="G26" s="38">
        <f>SUM(G20:G25)</f>
        <v>0.99999999999999989</v>
      </c>
    </row>
    <row r="27" spans="3:7" x14ac:dyDescent="0.45">
      <c r="C27" s="25"/>
    </row>
    <row r="28" spans="3:7" x14ac:dyDescent="0.45">
      <c r="C28" s="25"/>
    </row>
    <row r="29" spans="3:7" x14ac:dyDescent="0.45">
      <c r="E29" s="27" t="s">
        <v>40</v>
      </c>
      <c r="F29" t="s">
        <v>210</v>
      </c>
      <c r="G29" s="29" t="s">
        <v>168</v>
      </c>
    </row>
    <row r="30" spans="3:7" x14ac:dyDescent="0.45">
      <c r="E30" s="28" t="s">
        <v>80</v>
      </c>
      <c r="F30">
        <v>14</v>
      </c>
      <c r="G30" s="38">
        <f>GETPIVOTDATA("Khu vực bạn đang sinh sống:",$E$29,"Khu vực bạn đang sinh sống:","Nông thôn")/GETPIVOTDATA("Khu vực bạn đang sinh sống:",$E$29)</f>
        <v>3.4739454094292806E-2</v>
      </c>
    </row>
    <row r="31" spans="3:7" x14ac:dyDescent="0.45">
      <c r="C31" s="29"/>
      <c r="E31" s="28" t="s">
        <v>74</v>
      </c>
      <c r="F31">
        <v>389</v>
      </c>
      <c r="G31" s="38">
        <f>GETPIVOTDATA("Khu vực bạn đang sinh sống:",$E$29,"Khu vực bạn đang sinh sống:","Thành thị")/GETPIVOTDATA("Khu vực bạn đang sinh sống:",$E$29)</f>
        <v>0.9652605459057072</v>
      </c>
    </row>
    <row r="32" spans="3:7" x14ac:dyDescent="0.45">
      <c r="C32" s="25"/>
      <c r="E32" s="28" t="s">
        <v>34</v>
      </c>
      <c r="F32">
        <v>403</v>
      </c>
      <c r="G32" s="25">
        <f>G30+G31</f>
        <v>1</v>
      </c>
    </row>
    <row r="33" spans="3:7" x14ac:dyDescent="0.45">
      <c r="C33" s="25"/>
    </row>
    <row r="34" spans="3:7" x14ac:dyDescent="0.45">
      <c r="C34" s="25"/>
    </row>
    <row r="35" spans="3:7" x14ac:dyDescent="0.45">
      <c r="C35" s="25"/>
      <c r="E35" s="27" t="s">
        <v>41</v>
      </c>
      <c r="F35" t="s">
        <v>211</v>
      </c>
    </row>
    <row r="36" spans="3:7" x14ac:dyDescent="0.45">
      <c r="C36" s="25"/>
      <c r="E36" s="28" t="s">
        <v>189</v>
      </c>
      <c r="F36">
        <v>8</v>
      </c>
      <c r="G36" s="38">
        <f>GETPIVOTDATA("Trình độ học vấn cao nhất:",$E$35,"Trình độ học vấn cao nhất:","Cao đẳng")/GETPIVOTDATA("Trình độ học vấn cao nhất:",$E$35)</f>
        <v>1.9851116625310174E-2</v>
      </c>
    </row>
    <row r="37" spans="3:7" x14ac:dyDescent="0.45">
      <c r="C37" s="25"/>
      <c r="E37" s="28" t="s">
        <v>77</v>
      </c>
      <c r="F37">
        <v>274</v>
      </c>
      <c r="G37" s="38">
        <f>GETPIVOTDATA("Trình độ học vấn cao nhất:",$E$35,"Trình độ học vấn cao nhất:","Đại học")/GETPIVOTDATA("Trình độ học vấn cao nhất:",$E$35)</f>
        <v>0.67990074441687343</v>
      </c>
    </row>
    <row r="38" spans="3:7" x14ac:dyDescent="0.45">
      <c r="C38" s="25"/>
      <c r="E38" s="28" t="s">
        <v>75</v>
      </c>
      <c r="F38">
        <v>117</v>
      </c>
      <c r="G38" s="38">
        <f>GETPIVOTDATA("Trình độ học vấn cao nhất:",$E$35,"Trình độ học vấn cao nhất:","Sau Đại học")/GETPIVOTDATA("Trình độ học vấn cao nhất:",$E$35)</f>
        <v>0.29032258064516131</v>
      </c>
    </row>
    <row r="39" spans="3:7" x14ac:dyDescent="0.45">
      <c r="E39" s="28" t="s">
        <v>191</v>
      </c>
      <c r="F39">
        <v>4</v>
      </c>
      <c r="G39" s="38">
        <f>GETPIVOTDATA("Trình độ học vấn cao nhất:",$E$35,"Trình độ học vấn cao nhất:","Trung học phổ thông")/GETPIVOTDATA("Trình độ học vấn cao nhất:",$E$35)</f>
        <v>9.9255583126550868E-3</v>
      </c>
    </row>
    <row r="40" spans="3:7" x14ac:dyDescent="0.45">
      <c r="E40" s="28" t="s">
        <v>34</v>
      </c>
      <c r="F40">
        <v>403</v>
      </c>
      <c r="G40" s="25">
        <f>SUM(G36:G39)</f>
        <v>0.99999999999999989</v>
      </c>
    </row>
    <row r="41" spans="3:7" x14ac:dyDescent="0.45">
      <c r="C41" s="29"/>
    </row>
    <row r="42" spans="3:7" x14ac:dyDescent="0.45">
      <c r="C42" s="25"/>
    </row>
    <row r="43" spans="3:7" x14ac:dyDescent="0.45">
      <c r="C43" s="25"/>
      <c r="E43" s="27" t="s">
        <v>42</v>
      </c>
      <c r="F43" t="s">
        <v>212</v>
      </c>
    </row>
    <row r="44" spans="3:7" x14ac:dyDescent="0.45">
      <c r="C44" s="25"/>
      <c r="E44" s="28" t="s">
        <v>196</v>
      </c>
      <c r="F44">
        <v>9</v>
      </c>
      <c r="G44" s="38">
        <f>GETPIVOTDATA("Tình trạng việc làm chính:",$E$43,"Tình trạng việc làm chính:","Khác (Về hưu, nội trợ, sinh viên)")/GETPIVOTDATA("Tình trạng việc làm chính:",$E$43)</f>
        <v>2.2332506203473945E-2</v>
      </c>
    </row>
    <row r="45" spans="3:7" x14ac:dyDescent="0.45">
      <c r="C45" s="25"/>
      <c r="E45" s="28" t="s">
        <v>99</v>
      </c>
      <c r="F45">
        <v>377</v>
      </c>
      <c r="G45" s="38">
        <f>GETPIVOTDATA("Tình trạng việc làm chính:",$E$43,"Tình trạng việc làm chính:","Khu vực chính thức (Có Hợp đồng lao động, đóng BHXH)")/GETPIVOTDATA("Tình trạng việc làm chính:",$E$43)</f>
        <v>0.93548387096774188</v>
      </c>
    </row>
    <row r="46" spans="3:7" x14ac:dyDescent="0.45">
      <c r="C46" s="25"/>
      <c r="E46" s="28" t="s">
        <v>102</v>
      </c>
      <c r="F46">
        <v>17</v>
      </c>
      <c r="G46" s="38">
        <f>GETPIVOTDATA("Tình trạng việc làm chính:",$E$43,"Tình trạng việc làm chính:","Khu vực phi chính thức (Lao động tự do, không có HĐLĐ)")/GETPIVOTDATA("Tình trạng việc làm chính:",$E$43)</f>
        <v>4.2183622828784122E-2</v>
      </c>
    </row>
    <row r="47" spans="3:7" x14ac:dyDescent="0.45">
      <c r="E47" s="28" t="s">
        <v>34</v>
      </c>
      <c r="F47">
        <v>403</v>
      </c>
      <c r="G47" s="38">
        <f>SUM(G44:G46)</f>
        <v>0.99999999999999989</v>
      </c>
    </row>
    <row r="50" spans="5:7" x14ac:dyDescent="0.45">
      <c r="E50" s="27" t="s">
        <v>214</v>
      </c>
      <c r="F50" t="s">
        <v>213</v>
      </c>
    </row>
    <row r="51" spans="5:7" x14ac:dyDescent="0.45">
      <c r="E51" s="28" t="s">
        <v>193</v>
      </c>
      <c r="F51">
        <v>41</v>
      </c>
      <c r="G51"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TNCN)","Dưới 12 triệu VNĐ")/GETPIVOTDATA("Thu nhập bình quân tháng theo Hợp đồng lao động của bạn là bao nhiêu? (Vui lòng điền tổng thu nhập trước khi khấu trừ các loại Bảo hiểm (BHXH, BHYT, BHTN) và Thuế TNCN)",$E$50)</f>
        <v>0.10173697270471464</v>
      </c>
    </row>
    <row r="52" spans="5:7" x14ac:dyDescent="0.45">
      <c r="E52" s="28" t="s">
        <v>107</v>
      </c>
      <c r="F52">
        <v>35</v>
      </c>
      <c r="G52"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TNCN)","Trên 102 triệu VNĐ")/GETPIVOTDATA("Thu nhập bình quân tháng theo Hợp đồng lao động của bạn là bao nhiêu? (Vui lòng điền tổng thu nhập trước khi khấu trừ các loại Bảo hiểm (BHXH, BHYT, BHTN) và Thuế TNCN)",$E$50)</f>
        <v>8.6848635235732011E-2</v>
      </c>
    </row>
    <row r="53" spans="5:7" x14ac:dyDescent="0.45">
      <c r="E53" s="28" t="s">
        <v>103</v>
      </c>
      <c r="F53">
        <v>79</v>
      </c>
      <c r="G53"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12 - 18 triệu VNĐ")/GETPIVOTDATA("Thu nhập bình quân tháng theo Hợp đồng lao động của bạn là bao nhiêu? (Vui lòng điền tổng thu nhập trước khi khấu trừ các loại Bảo hiểm (BHXH, BHYT, BHTN) và Thuế TNCN)",$E$50)</f>
        <v>0.19602977667493796</v>
      </c>
    </row>
    <row r="54" spans="5:7" x14ac:dyDescent="0.45">
      <c r="E54" s="28" t="s">
        <v>195</v>
      </c>
      <c r="F54">
        <v>41</v>
      </c>
      <c r="G54"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18 - 23 triệu VNĐ")/GETPIVOTDATA("Thu nhập bình quân tháng theo Hợp đồng lao động của bạn là bao nhiêu? (Vui lòng điền tổng thu nhập trước khi khấu trừ các loại Bảo hiểm (BHXH, BHYT, BHTN) và Thuế TNCN)",$E$50)</f>
        <v>0.10173697270471464</v>
      </c>
    </row>
    <row r="55" spans="5:7" x14ac:dyDescent="0.45">
      <c r="E55" s="28" t="s">
        <v>100</v>
      </c>
      <c r="F55">
        <v>53</v>
      </c>
      <c r="G55"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23 - 32 triệu VNĐ")/GETPIVOTDATA("Thu nhập bình quân tháng theo Hợp đồng lao động của bạn là bao nhiêu? (Vui lòng điền tổng thu nhập trước khi khấu trừ các loại Bảo hiểm (BHXH, BHYT, BHTN) và Thuế TNCN)",$E$50)</f>
        <v>0.13151364764267989</v>
      </c>
    </row>
    <row r="56" spans="5:7" x14ac:dyDescent="0.45">
      <c r="E56" s="28" t="s">
        <v>108</v>
      </c>
      <c r="F56">
        <v>53</v>
      </c>
      <c r="G56"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32 - 48 triệu VNĐ")/GETPIVOTDATA("Thu nhập bình quân tháng theo Hợp đồng lao động của bạn là bao nhiêu? (Vui lòng điền tổng thu nhập trước khi khấu trừ các loại Bảo hiểm (BHXH, BHYT, BHTN) và Thuế TNCN)",$E$50)</f>
        <v>0.13151364764267989</v>
      </c>
    </row>
    <row r="57" spans="5:7" x14ac:dyDescent="0.45">
      <c r="E57" s="28" t="s">
        <v>110</v>
      </c>
      <c r="F57">
        <v>62</v>
      </c>
      <c r="G57"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48 - 70 triệu VNĐ")/GETPIVOTDATA("Thu nhập bình quân tháng theo Hợp đồng lao động của bạn là bao nhiêu? (Vui lòng điền tổng thu nhập trước khi khấu trừ các loại Bảo hiểm (BHXH, BHYT, BHTN) và Thuế TNCN)",$E$50)</f>
        <v>0.15384615384615385</v>
      </c>
    </row>
    <row r="58" spans="5:7" x14ac:dyDescent="0.45">
      <c r="E58" s="28" t="s">
        <v>106</v>
      </c>
      <c r="F58">
        <v>39</v>
      </c>
      <c r="G58"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70 - 102 triệu VNĐ")/GETPIVOTDATA("Thu nhập bình quân tháng theo Hợp đồng lao động của bạn là bao nhiêu? (Vui lòng điền tổng thu nhập trước khi khấu trừ các loại Bảo hiểm (BHXH, BHYT, BHTN) và Thuế TNCN)",$E$50)</f>
        <v>9.6774193548387094E-2</v>
      </c>
    </row>
    <row r="59" spans="5:7" x14ac:dyDescent="0.45">
      <c r="E59" s="28" t="s">
        <v>34</v>
      </c>
      <c r="F59">
        <v>403</v>
      </c>
      <c r="G59" s="38">
        <f>SUM(G51:G58)</f>
        <v>1</v>
      </c>
    </row>
    <row r="62" spans="5:7" x14ac:dyDescent="0.45">
      <c r="E62" s="27" t="s">
        <v>42</v>
      </c>
      <c r="F62" t="s">
        <v>215</v>
      </c>
    </row>
    <row r="63" spans="5:7" x14ac:dyDescent="0.45">
      <c r="E63" s="28" t="s">
        <v>109</v>
      </c>
      <c r="F63">
        <v>153</v>
      </c>
      <c r="G63" s="38">
        <f>GETPIVOTDATA("Số người phụ thuộc (con nhỏ, cha mẹ già...) đủ điều kiện giảm trừ gia cảnh:",$E$62,"Số người phụ thuộc (con nhỏ, cha mẹ già...) đủ điều kiện giảm trừ gia cảnh:","0 người")/GETPIVOTDATA("Số người phụ thuộc (con nhỏ, cha mẹ già...) đủ điều kiện giảm trừ gia cảnh:",$E$62)</f>
        <v>0.37965260545905705</v>
      </c>
    </row>
    <row r="64" spans="5:7" x14ac:dyDescent="0.45">
      <c r="E64" s="28" t="s">
        <v>101</v>
      </c>
      <c r="F64">
        <v>79</v>
      </c>
      <c r="G64" s="38">
        <f>GETPIVOTDATA("Số người phụ thuộc (con nhỏ, cha mẹ già...) đủ điều kiện giảm trừ gia cảnh:",$E$62,"Số người phụ thuộc (con nhỏ, cha mẹ già...) đủ điều kiện giảm trừ gia cảnh:","1 người")/GETPIVOTDATA("Số người phụ thuộc (con nhỏ, cha mẹ già...) đủ điều kiện giảm trừ gia cảnh:",$E$62)</f>
        <v>0.19602977667493796</v>
      </c>
    </row>
    <row r="65" spans="5:7" x14ac:dyDescent="0.45">
      <c r="E65" s="28" t="s">
        <v>104</v>
      </c>
      <c r="F65">
        <v>88</v>
      </c>
      <c r="G65" s="38">
        <f>GETPIVOTDATA("Số người phụ thuộc (con nhỏ, cha mẹ già...) đủ điều kiện giảm trừ gia cảnh:",$E$62,"Số người phụ thuộc (con nhỏ, cha mẹ già...) đủ điều kiện giảm trừ gia cảnh:","2 người")/GETPIVOTDATA("Số người phụ thuộc (con nhỏ, cha mẹ già...) đủ điều kiện giảm trừ gia cảnh:",$E$62)</f>
        <v>0.21836228287841192</v>
      </c>
    </row>
    <row r="66" spans="5:7" x14ac:dyDescent="0.45">
      <c r="E66" s="28" t="s">
        <v>105</v>
      </c>
      <c r="F66">
        <v>45</v>
      </c>
      <c r="G66" s="38">
        <f>GETPIVOTDATA("Số người phụ thuộc (con nhỏ, cha mẹ già...) đủ điều kiện giảm trừ gia cảnh:",$E$62,"Số người phụ thuộc (con nhỏ, cha mẹ già...) đủ điều kiện giảm trừ gia cảnh:","3 người")/GETPIVOTDATA("Số người phụ thuộc (con nhỏ, cha mẹ già...) đủ điều kiện giảm trừ gia cảnh:",$E$62)</f>
        <v>0.11166253101736973</v>
      </c>
    </row>
    <row r="67" spans="5:7" x14ac:dyDescent="0.45">
      <c r="E67" s="28" t="s">
        <v>194</v>
      </c>
      <c r="F67">
        <v>38</v>
      </c>
      <c r="G67" s="38">
        <f>GETPIVOTDATA("Số người phụ thuộc (con nhỏ, cha mẹ già...) đủ điều kiện giảm trừ gia cảnh:",$E$62,"Số người phụ thuộc (con nhỏ, cha mẹ già...) đủ điều kiện giảm trừ gia cảnh:","4 người trở lên")/GETPIVOTDATA("Số người phụ thuộc (con nhỏ, cha mẹ già...) đủ điều kiện giảm trừ gia cảnh:",$E$62)</f>
        <v>9.4292803970223327E-2</v>
      </c>
    </row>
    <row r="68" spans="5:7" x14ac:dyDescent="0.45">
      <c r="E68" s="28" t="s">
        <v>34</v>
      </c>
      <c r="F68">
        <v>403</v>
      </c>
      <c r="G68" s="38">
        <f>SUM(G63:G67)</f>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BE655-95C4-471B-9EC9-F76FA853AAF6}">
  <dimension ref="A1:K86"/>
  <sheetViews>
    <sheetView workbookViewId="0">
      <selection activeCell="E86" sqref="E86"/>
    </sheetView>
  </sheetViews>
  <sheetFormatPr defaultRowHeight="14.25" x14ac:dyDescent="0.45"/>
  <cols>
    <col min="2" max="2" width="16.73046875" bestFit="1" customWidth="1"/>
  </cols>
  <sheetData>
    <row r="1" spans="1:11" x14ac:dyDescent="0.45">
      <c r="A1" s="40" t="s">
        <v>22</v>
      </c>
      <c r="B1" s="40"/>
      <c r="C1" s="39" t="s">
        <v>23</v>
      </c>
      <c r="D1" s="39"/>
      <c r="E1" s="39"/>
      <c r="F1" s="1" t="s">
        <v>34</v>
      </c>
    </row>
    <row r="2" spans="1:11" x14ac:dyDescent="0.45">
      <c r="A2" s="40"/>
      <c r="B2" s="40"/>
      <c r="C2" s="1" t="s">
        <v>1</v>
      </c>
      <c r="D2" s="1" t="s">
        <v>2</v>
      </c>
      <c r="E2" s="1" t="s">
        <v>3</v>
      </c>
      <c r="F2" s="4"/>
    </row>
    <row r="3" spans="1:11" x14ac:dyDescent="0.45">
      <c r="A3" s="39" t="s">
        <v>24</v>
      </c>
      <c r="B3" s="1" t="s">
        <v>1</v>
      </c>
      <c r="C3" s="3">
        <f>CM_ENF1!B2</f>
        <v>2</v>
      </c>
      <c r="D3" s="4">
        <f>CM_ENF1!C2</f>
        <v>1</v>
      </c>
      <c r="E3" s="4">
        <f>CM_ENF1!D2</f>
        <v>2</v>
      </c>
      <c r="F3" s="6">
        <f>SUM(C3:E3)</f>
        <v>5</v>
      </c>
    </row>
    <row r="4" spans="1:11" x14ac:dyDescent="0.45">
      <c r="A4" s="39"/>
      <c r="B4" s="1" t="s">
        <v>2</v>
      </c>
      <c r="C4" s="4">
        <f>CM_ENF1!B3</f>
        <v>38</v>
      </c>
      <c r="D4" s="3">
        <f>CM_ENF1!C3</f>
        <v>122</v>
      </c>
      <c r="E4" s="4">
        <f>CM_ENF1!D3</f>
        <v>126</v>
      </c>
      <c r="F4" s="6">
        <f t="shared" ref="F4:F5" si="0">SUM(C4:E4)</f>
        <v>286</v>
      </c>
    </row>
    <row r="5" spans="1:11" x14ac:dyDescent="0.45">
      <c r="A5" s="39"/>
      <c r="B5" s="1" t="s">
        <v>3</v>
      </c>
      <c r="C5" s="4">
        <f>CM_ENF1!B4</f>
        <v>15</v>
      </c>
      <c r="D5" s="4">
        <f>CM_ENF1!C4</f>
        <v>57</v>
      </c>
      <c r="E5" s="3">
        <f>CM_ENF1!D4</f>
        <v>40</v>
      </c>
      <c r="F5" s="6">
        <f t="shared" si="0"/>
        <v>112</v>
      </c>
      <c r="G5" s="26" t="s">
        <v>36</v>
      </c>
      <c r="H5" s="26" t="s">
        <v>164</v>
      </c>
      <c r="I5" s="26" t="s">
        <v>162</v>
      </c>
      <c r="J5" s="26" t="s">
        <v>163</v>
      </c>
    </row>
    <row r="6" spans="1:11" x14ac:dyDescent="0.45">
      <c r="A6" s="2"/>
      <c r="B6" s="1" t="s">
        <v>34</v>
      </c>
      <c r="C6" s="6">
        <f>SUM(C3:C5)</f>
        <v>55</v>
      </c>
      <c r="D6" s="6">
        <f>SUM(D3:D5)</f>
        <v>180</v>
      </c>
      <c r="E6" s="6">
        <f>SUM(E3:E5)</f>
        <v>168</v>
      </c>
      <c r="F6" s="6">
        <f>SUM(C6:E6)</f>
        <v>403</v>
      </c>
      <c r="G6" s="8">
        <f>C3+D4+E5</f>
        <v>164</v>
      </c>
      <c r="H6" s="8">
        <f>(C6*F3)+(D6*F4)+(E6*F5)</f>
        <v>70571</v>
      </c>
      <c r="I6" s="8">
        <f>(C6^2)+(D6^2)+(E6^2)</f>
        <v>63649</v>
      </c>
      <c r="J6" s="8">
        <f>(F3^2)+(F4^2)+(F5^2)</f>
        <v>94365</v>
      </c>
      <c r="K6" s="10"/>
    </row>
    <row r="7" spans="1:11" x14ac:dyDescent="0.45">
      <c r="A7" s="4"/>
      <c r="B7" s="5" t="s">
        <v>25</v>
      </c>
      <c r="C7" s="6"/>
      <c r="D7" s="6"/>
      <c r="E7" s="16">
        <f>(C3+D4+E5)/F6</f>
        <v>0.40694789081885857</v>
      </c>
      <c r="F7" s="4"/>
    </row>
    <row r="8" spans="1:11" x14ac:dyDescent="0.45">
      <c r="A8" s="4"/>
      <c r="B8" s="5" t="s">
        <v>35</v>
      </c>
      <c r="C8" s="4"/>
      <c r="D8" s="4"/>
      <c r="E8" s="9">
        <f>(G6*F6-H6)/SQRT((F6^2-I6)*(F6^2-J6))</f>
        <v>-5.4638101912182407E-2</v>
      </c>
      <c r="F8" s="4"/>
    </row>
    <row r="10" spans="1:11" x14ac:dyDescent="0.45">
      <c r="A10" s="40" t="s">
        <v>26</v>
      </c>
      <c r="B10" s="40"/>
      <c r="C10" s="39" t="s">
        <v>23</v>
      </c>
      <c r="D10" s="39"/>
      <c r="E10" s="39"/>
      <c r="F10" s="1" t="s">
        <v>34</v>
      </c>
    </row>
    <row r="11" spans="1:11" x14ac:dyDescent="0.45">
      <c r="A11" s="40"/>
      <c r="B11" s="40"/>
      <c r="C11" s="1" t="s">
        <v>1</v>
      </c>
      <c r="D11" s="1" t="s">
        <v>2</v>
      </c>
      <c r="E11" s="1" t="s">
        <v>3</v>
      </c>
      <c r="F11" s="4"/>
    </row>
    <row r="12" spans="1:11" x14ac:dyDescent="0.45">
      <c r="A12" s="39" t="s">
        <v>24</v>
      </c>
      <c r="B12" s="1" t="s">
        <v>1</v>
      </c>
      <c r="C12" s="3">
        <f>CM_ENF2!B2</f>
        <v>0</v>
      </c>
      <c r="D12" s="4">
        <f>CM_ENF2!C2</f>
        <v>0</v>
      </c>
      <c r="E12" s="4">
        <f>CM_ENF2!D2</f>
        <v>0</v>
      </c>
      <c r="F12" s="6">
        <f>SUM(C12:E12)</f>
        <v>0</v>
      </c>
    </row>
    <row r="13" spans="1:11" x14ac:dyDescent="0.45">
      <c r="A13" s="39"/>
      <c r="B13" s="1" t="s">
        <v>2</v>
      </c>
      <c r="C13" s="4">
        <f>CM_ENF2!B3</f>
        <v>26</v>
      </c>
      <c r="D13" s="3">
        <f>CM_ENF2!C3</f>
        <v>100</v>
      </c>
      <c r="E13" s="4">
        <f>CM_ENF2!D3</f>
        <v>105</v>
      </c>
      <c r="F13" s="6">
        <f t="shared" ref="F13:F14" si="1">SUM(C13:E13)</f>
        <v>231</v>
      </c>
    </row>
    <row r="14" spans="1:11" x14ac:dyDescent="0.45">
      <c r="A14" s="39"/>
      <c r="B14" s="1" t="s">
        <v>3</v>
      </c>
      <c r="C14" s="4">
        <f>CM_ENF2!B4</f>
        <v>19</v>
      </c>
      <c r="D14" s="4">
        <f>CM_ENF2!C4</f>
        <v>66</v>
      </c>
      <c r="E14" s="3">
        <f>CM_ENF2!D4</f>
        <v>87</v>
      </c>
      <c r="F14" s="6">
        <f t="shared" si="1"/>
        <v>172</v>
      </c>
      <c r="G14" s="26" t="s">
        <v>36</v>
      </c>
      <c r="H14" s="26" t="s">
        <v>164</v>
      </c>
      <c r="I14" s="26" t="s">
        <v>162</v>
      </c>
      <c r="J14" s="26" t="s">
        <v>163</v>
      </c>
    </row>
    <row r="15" spans="1:11" x14ac:dyDescent="0.45">
      <c r="A15" s="2"/>
      <c r="B15" s="1" t="s">
        <v>34</v>
      </c>
      <c r="C15" s="6">
        <f>SUM(C12:C14)</f>
        <v>45</v>
      </c>
      <c r="D15" s="6">
        <f>SUM(D12:D14)</f>
        <v>166</v>
      </c>
      <c r="E15" s="6">
        <f>SUM(E12:E14)</f>
        <v>192</v>
      </c>
      <c r="F15" s="6">
        <f>SUM(C15:E15)</f>
        <v>403</v>
      </c>
      <c r="G15" s="8">
        <f>C12+D13+E14</f>
        <v>187</v>
      </c>
      <c r="H15" s="8">
        <f>(C15*F12)+(D15*F13)+(E15*F14)</f>
        <v>71370</v>
      </c>
      <c r="I15" s="8">
        <f>(C15^2)+(D15^2)+(E15^2)</f>
        <v>66445</v>
      </c>
      <c r="J15" s="8">
        <f>(F12^2)+(F13^2)+(F14^2)</f>
        <v>82945</v>
      </c>
      <c r="K15" s="10"/>
    </row>
    <row r="16" spans="1:11" x14ac:dyDescent="0.45">
      <c r="A16" s="4"/>
      <c r="B16" s="5" t="s">
        <v>25</v>
      </c>
      <c r="C16" s="6"/>
      <c r="D16" s="6"/>
      <c r="E16" s="16">
        <f>(C12+D13+E14)/F15</f>
        <v>0.4640198511166253</v>
      </c>
      <c r="F16" s="4"/>
    </row>
    <row r="17" spans="1:11" x14ac:dyDescent="0.45">
      <c r="A17" s="4"/>
      <c r="B17" s="5" t="s">
        <v>35</v>
      </c>
      <c r="C17" s="4"/>
      <c r="D17" s="4"/>
      <c r="E17" s="9">
        <f>(G15*F15-H15)/SQRT((F15^2-I15)*(F15^2-J15))</f>
        <v>4.5702751319845726E-2</v>
      </c>
      <c r="F17" s="4"/>
    </row>
    <row r="20" spans="1:11" x14ac:dyDescent="0.45">
      <c r="A20" s="40" t="s">
        <v>27</v>
      </c>
      <c r="B20" s="40"/>
      <c r="C20" s="39" t="s">
        <v>23</v>
      </c>
      <c r="D20" s="39"/>
      <c r="E20" s="39"/>
      <c r="F20" s="1" t="s">
        <v>34</v>
      </c>
    </row>
    <row r="21" spans="1:11" x14ac:dyDescent="0.45">
      <c r="A21" s="40"/>
      <c r="B21" s="40"/>
      <c r="C21" s="1" t="s">
        <v>1</v>
      </c>
      <c r="D21" s="1" t="s">
        <v>2</v>
      </c>
      <c r="E21" s="1" t="s">
        <v>3</v>
      </c>
      <c r="F21" s="4"/>
    </row>
    <row r="22" spans="1:11" x14ac:dyDescent="0.45">
      <c r="A22" s="39" t="s">
        <v>24</v>
      </c>
      <c r="B22" s="1" t="s">
        <v>1</v>
      </c>
      <c r="C22" s="3">
        <f>CM_FAC1!B2</f>
        <v>1</v>
      </c>
      <c r="D22" s="4">
        <f>CM_FAC1!C2</f>
        <v>2</v>
      </c>
      <c r="E22" s="4">
        <f>CM_FAC1!D2</f>
        <v>3</v>
      </c>
      <c r="F22" s="6">
        <f>SUM(C22:E22)</f>
        <v>6</v>
      </c>
    </row>
    <row r="23" spans="1:11" x14ac:dyDescent="0.45">
      <c r="A23" s="39"/>
      <c r="B23" s="1" t="s">
        <v>2</v>
      </c>
      <c r="C23" s="4">
        <f>CM_FAC1!B3</f>
        <v>29</v>
      </c>
      <c r="D23" s="3">
        <f>CM_FAC1!C3</f>
        <v>73</v>
      </c>
      <c r="E23" s="4">
        <f>CM_FAC1!D3</f>
        <v>46</v>
      </c>
      <c r="F23" s="6">
        <f t="shared" ref="F23:F24" si="2">SUM(C23:E23)</f>
        <v>148</v>
      </c>
    </row>
    <row r="24" spans="1:11" x14ac:dyDescent="0.45">
      <c r="A24" s="39"/>
      <c r="B24" s="1" t="s">
        <v>3</v>
      </c>
      <c r="C24" s="4">
        <f>CM_FAC1!B4</f>
        <v>53</v>
      </c>
      <c r="D24" s="4">
        <f>CM_FAC1!C4</f>
        <v>102</v>
      </c>
      <c r="E24" s="3">
        <f>CM_FAC1!D4</f>
        <v>94</v>
      </c>
      <c r="F24" s="6">
        <f t="shared" si="2"/>
        <v>249</v>
      </c>
      <c r="G24" s="26" t="s">
        <v>36</v>
      </c>
      <c r="H24" s="26" t="s">
        <v>164</v>
      </c>
      <c r="I24" s="26" t="s">
        <v>162</v>
      </c>
      <c r="J24" s="26" t="s">
        <v>163</v>
      </c>
    </row>
    <row r="25" spans="1:11" x14ac:dyDescent="0.45">
      <c r="A25" s="2"/>
      <c r="B25" s="1" t="s">
        <v>34</v>
      </c>
      <c r="C25" s="6">
        <f>SUM(C22:C24)</f>
        <v>83</v>
      </c>
      <c r="D25" s="6">
        <f>SUM(D22:D24)</f>
        <v>177</v>
      </c>
      <c r="E25" s="6">
        <f>SUM(E22:E24)</f>
        <v>143</v>
      </c>
      <c r="F25" s="6">
        <f>SUM(C25:E25)</f>
        <v>403</v>
      </c>
      <c r="G25" s="8">
        <f>C22+D23+E24</f>
        <v>168</v>
      </c>
      <c r="H25" s="8">
        <f>(C25*F22)+(D25*F23)+(E25*F24)</f>
        <v>62301</v>
      </c>
      <c r="I25" s="8">
        <f>(C25^2)+(D25^2)+(E25^2)</f>
        <v>58667</v>
      </c>
      <c r="J25" s="8">
        <f>(F22^2)+(F23^2)+(F24^2)</f>
        <v>83941</v>
      </c>
      <c r="K25" s="10"/>
    </row>
    <row r="26" spans="1:11" x14ac:dyDescent="0.45">
      <c r="A26" s="4"/>
      <c r="B26" s="5" t="s">
        <v>25</v>
      </c>
      <c r="C26" s="6"/>
      <c r="D26" s="6"/>
      <c r="E26" s="16">
        <f>(C22+D23+E24)/F25</f>
        <v>0.41687344913151364</v>
      </c>
      <c r="F26" s="4"/>
    </row>
    <row r="27" spans="1:11" x14ac:dyDescent="0.45">
      <c r="A27" s="4"/>
      <c r="B27" s="5" t="s">
        <v>35</v>
      </c>
      <c r="C27" s="4"/>
      <c r="D27" s="4"/>
      <c r="E27" s="9">
        <f>(G25*F25-H25)/SQRT((F25^2-I25)*(F25^2-J25))</f>
        <v>5.9884078042129654E-2</v>
      </c>
      <c r="F27" s="4"/>
    </row>
    <row r="30" spans="1:11" x14ac:dyDescent="0.45">
      <c r="A30" s="40" t="s">
        <v>28</v>
      </c>
      <c r="B30" s="40"/>
      <c r="C30" s="39" t="s">
        <v>23</v>
      </c>
      <c r="D30" s="39"/>
      <c r="E30" s="39"/>
      <c r="F30" s="1" t="s">
        <v>34</v>
      </c>
    </row>
    <row r="31" spans="1:11" x14ac:dyDescent="0.45">
      <c r="A31" s="40"/>
      <c r="B31" s="40"/>
      <c r="C31" s="1" t="s">
        <v>1</v>
      </c>
      <c r="D31" s="1" t="s">
        <v>2</v>
      </c>
      <c r="E31" s="1" t="s">
        <v>3</v>
      </c>
      <c r="F31" s="4"/>
    </row>
    <row r="32" spans="1:11" x14ac:dyDescent="0.45">
      <c r="A32" s="39" t="s">
        <v>24</v>
      </c>
      <c r="B32" s="1" t="s">
        <v>1</v>
      </c>
      <c r="C32" s="3">
        <f>CM_FAC2!B2</f>
        <v>0</v>
      </c>
      <c r="D32" s="4">
        <f>CM_FAC2!C2</f>
        <v>2</v>
      </c>
      <c r="E32" s="4">
        <f>CM_FAC2!D2</f>
        <v>1</v>
      </c>
      <c r="F32" s="6">
        <f>SUM(C32:E32)</f>
        <v>3</v>
      </c>
    </row>
    <row r="33" spans="1:11" x14ac:dyDescent="0.45">
      <c r="A33" s="39"/>
      <c r="B33" s="1" t="s">
        <v>2</v>
      </c>
      <c r="C33" s="4">
        <f>CM_FAC2!B3</f>
        <v>4</v>
      </c>
      <c r="D33" s="3">
        <f>CM_FAC2!C3</f>
        <v>58</v>
      </c>
      <c r="E33" s="4">
        <f>CM_FAC2!D3</f>
        <v>72</v>
      </c>
      <c r="F33" s="6">
        <f t="shared" ref="F33:F34" si="3">SUM(C33:E33)</f>
        <v>134</v>
      </c>
    </row>
    <row r="34" spans="1:11" x14ac:dyDescent="0.45">
      <c r="A34" s="39"/>
      <c r="B34" s="1" t="s">
        <v>3</v>
      </c>
      <c r="C34" s="4">
        <f>CM_FAC2!B4</f>
        <v>17</v>
      </c>
      <c r="D34" s="4">
        <f>CM_FAC2!C4</f>
        <v>125</v>
      </c>
      <c r="E34" s="3">
        <f>CM_FAC2!D4</f>
        <v>124</v>
      </c>
      <c r="F34" s="6">
        <f t="shared" si="3"/>
        <v>266</v>
      </c>
      <c r="G34" s="26" t="s">
        <v>36</v>
      </c>
      <c r="H34" s="26" t="s">
        <v>164</v>
      </c>
      <c r="I34" s="26" t="s">
        <v>162</v>
      </c>
      <c r="J34" s="26" t="s">
        <v>163</v>
      </c>
    </row>
    <row r="35" spans="1:11" x14ac:dyDescent="0.45">
      <c r="A35" s="2"/>
      <c r="B35" s="1" t="s">
        <v>34</v>
      </c>
      <c r="C35" s="6">
        <f>SUM(C32:C34)</f>
        <v>21</v>
      </c>
      <c r="D35" s="6">
        <f>SUM(D32:D34)</f>
        <v>185</v>
      </c>
      <c r="E35" s="6">
        <f>SUM(E32:E34)</f>
        <v>197</v>
      </c>
      <c r="F35" s="6">
        <f>SUM(C35:E35)</f>
        <v>403</v>
      </c>
      <c r="G35" s="8">
        <f>C32+D33+E34</f>
        <v>182</v>
      </c>
      <c r="H35" s="8">
        <f>(C35*F32)+(D35*F33)+(E35*F34)</f>
        <v>77255</v>
      </c>
      <c r="I35" s="8">
        <f>(C35^2)+(D35^2)+(E35^2)</f>
        <v>73475</v>
      </c>
      <c r="J35" s="8">
        <f>(F32^2)+(F33^2)+(F34^2)</f>
        <v>88721</v>
      </c>
      <c r="K35" s="10"/>
    </row>
    <row r="36" spans="1:11" x14ac:dyDescent="0.45">
      <c r="A36" s="4"/>
      <c r="B36" s="5" t="s">
        <v>25</v>
      </c>
      <c r="C36" s="6"/>
      <c r="D36" s="6"/>
      <c r="E36" s="16">
        <f>(C32+D33+E34)/F35</f>
        <v>0.45161290322580644</v>
      </c>
      <c r="F36" s="4"/>
    </row>
    <row r="37" spans="1:11" x14ac:dyDescent="0.45">
      <c r="A37" s="4"/>
      <c r="B37" s="5" t="s">
        <v>35</v>
      </c>
      <c r="C37" s="4"/>
      <c r="D37" s="4"/>
      <c r="E37" s="9">
        <f>(G35*F35-H35)/SQRT((F35^2-I35)*(F35^2-J35))</f>
        <v>-4.828735007522391E-2</v>
      </c>
      <c r="F37" s="4"/>
    </row>
    <row r="40" spans="1:11" x14ac:dyDescent="0.45">
      <c r="A40" s="40" t="s">
        <v>29</v>
      </c>
      <c r="B40" s="40"/>
      <c r="C40" s="39" t="s">
        <v>23</v>
      </c>
      <c r="D40" s="39"/>
      <c r="E40" s="39"/>
      <c r="F40" s="1" t="s">
        <v>34</v>
      </c>
    </row>
    <row r="41" spans="1:11" x14ac:dyDescent="0.45">
      <c r="A41" s="40"/>
      <c r="B41" s="40"/>
      <c r="C41" s="1" t="s">
        <v>1</v>
      </c>
      <c r="D41" s="1" t="s">
        <v>2</v>
      </c>
      <c r="E41" s="1" t="s">
        <v>3</v>
      </c>
      <c r="F41" s="4"/>
    </row>
    <row r="42" spans="1:11" x14ac:dyDescent="0.45">
      <c r="A42" s="39" t="s">
        <v>24</v>
      </c>
      <c r="B42" s="1" t="s">
        <v>1</v>
      </c>
      <c r="C42" s="3">
        <f>CM_TRU1!B2</f>
        <v>1</v>
      </c>
      <c r="D42" s="4">
        <f>CM_TRU1!C2</f>
        <v>4</v>
      </c>
      <c r="E42" s="4">
        <f>CM_TRU1!D2</f>
        <v>4</v>
      </c>
      <c r="F42" s="6">
        <f>SUM(C42:E42)</f>
        <v>9</v>
      </c>
    </row>
    <row r="43" spans="1:11" x14ac:dyDescent="0.45">
      <c r="A43" s="39"/>
      <c r="B43" s="1" t="s">
        <v>2</v>
      </c>
      <c r="C43" s="4">
        <f>CM_TRU1!B3</f>
        <v>34</v>
      </c>
      <c r="D43" s="3">
        <f>CM_TRU1!C3</f>
        <v>141</v>
      </c>
      <c r="E43" s="4">
        <f>CM_TRU1!D3</f>
        <v>86</v>
      </c>
      <c r="F43" s="6">
        <f t="shared" ref="F43:F44" si="4">SUM(C43:E43)</f>
        <v>261</v>
      </c>
    </row>
    <row r="44" spans="1:11" x14ac:dyDescent="0.45">
      <c r="A44" s="39"/>
      <c r="B44" s="1" t="s">
        <v>3</v>
      </c>
      <c r="C44" s="4">
        <f>CM_TRU1!B4</f>
        <v>22</v>
      </c>
      <c r="D44" s="4">
        <f>CM_TRU1!C4</f>
        <v>73</v>
      </c>
      <c r="E44" s="3">
        <f>CM_TRU1!D4</f>
        <v>38</v>
      </c>
      <c r="F44" s="6">
        <f t="shared" si="4"/>
        <v>133</v>
      </c>
      <c r="G44" s="26" t="s">
        <v>36</v>
      </c>
      <c r="H44" s="26" t="s">
        <v>164</v>
      </c>
      <c r="I44" s="26" t="s">
        <v>162</v>
      </c>
      <c r="J44" s="26" t="s">
        <v>163</v>
      </c>
    </row>
    <row r="45" spans="1:11" x14ac:dyDescent="0.45">
      <c r="A45" s="2"/>
      <c r="B45" s="1" t="s">
        <v>34</v>
      </c>
      <c r="C45" s="6">
        <f>SUM(C42:C44)</f>
        <v>57</v>
      </c>
      <c r="D45" s="6">
        <f>SUM(D42:D44)</f>
        <v>218</v>
      </c>
      <c r="E45" s="6">
        <f>SUM(E42:E44)</f>
        <v>128</v>
      </c>
      <c r="F45" s="6">
        <f>SUM(C45:E45)</f>
        <v>403</v>
      </c>
      <c r="G45" s="8">
        <f>C42+D43+E44</f>
        <v>180</v>
      </c>
      <c r="H45" s="8">
        <f>(C45*F42)+(D45*F43)+(E45*F44)</f>
        <v>74435</v>
      </c>
      <c r="I45" s="8">
        <f>(C45^2)+(D45^2)+(E45^2)</f>
        <v>67157</v>
      </c>
      <c r="J45" s="8">
        <f>(F42^2)+(F43^2)+(F44^2)</f>
        <v>85891</v>
      </c>
      <c r="K45" s="10"/>
    </row>
    <row r="46" spans="1:11" x14ac:dyDescent="0.45">
      <c r="A46" s="4"/>
      <c r="B46" s="5" t="s">
        <v>25</v>
      </c>
      <c r="C46" s="6"/>
      <c r="D46" s="6"/>
      <c r="E46" s="16">
        <f>(C42+D43+E44)/F45</f>
        <v>0.4466501240694789</v>
      </c>
      <c r="F46" s="4"/>
    </row>
    <row r="47" spans="1:11" x14ac:dyDescent="0.45">
      <c r="A47" s="4"/>
      <c r="B47" s="5" t="s">
        <v>35</v>
      </c>
      <c r="C47" s="4"/>
      <c r="D47" s="4"/>
      <c r="E47" s="9">
        <f>(G45*F45-H45)/SQRT((F45^2-I45)*(F45^2-J45))</f>
        <v>-2.2196799421883139E-2</v>
      </c>
      <c r="F47" s="4"/>
    </row>
    <row r="50" spans="1:11" x14ac:dyDescent="0.45">
      <c r="A50" s="40" t="s">
        <v>30</v>
      </c>
      <c r="B50" s="40"/>
      <c r="C50" s="39" t="s">
        <v>23</v>
      </c>
      <c r="D50" s="39"/>
      <c r="E50" s="39"/>
      <c r="F50" s="1" t="s">
        <v>34</v>
      </c>
    </row>
    <row r="51" spans="1:11" x14ac:dyDescent="0.45">
      <c r="A51" s="40"/>
      <c r="B51" s="40"/>
      <c r="C51" s="1" t="s">
        <v>1</v>
      </c>
      <c r="D51" s="1" t="s">
        <v>2</v>
      </c>
      <c r="E51" s="1" t="s">
        <v>3</v>
      </c>
      <c r="F51" s="4"/>
    </row>
    <row r="52" spans="1:11" x14ac:dyDescent="0.45">
      <c r="A52" s="39" t="s">
        <v>24</v>
      </c>
      <c r="B52" s="1" t="s">
        <v>1</v>
      </c>
      <c r="C52" s="3">
        <f>CM_TRU2!B2</f>
        <v>1</v>
      </c>
      <c r="D52" s="4">
        <f>CM_TRU2!C2</f>
        <v>3</v>
      </c>
      <c r="E52" s="4">
        <f>CM_TRU2!D2</f>
        <v>3</v>
      </c>
      <c r="F52" s="6">
        <f>SUM(C52:E52)</f>
        <v>7</v>
      </c>
    </row>
    <row r="53" spans="1:11" x14ac:dyDescent="0.45">
      <c r="A53" s="39"/>
      <c r="B53" s="1" t="s">
        <v>2</v>
      </c>
      <c r="C53" s="4">
        <f>CM_TRU2!B3</f>
        <v>44</v>
      </c>
      <c r="D53" s="3">
        <f>CM_TRU2!C3</f>
        <v>123</v>
      </c>
      <c r="E53" s="4">
        <f>CM_TRU2!D3</f>
        <v>105</v>
      </c>
      <c r="F53" s="6">
        <f t="shared" ref="F53:F54" si="5">SUM(C53:E53)</f>
        <v>272</v>
      </c>
    </row>
    <row r="54" spans="1:11" x14ac:dyDescent="0.45">
      <c r="A54" s="39"/>
      <c r="B54" s="1" t="s">
        <v>3</v>
      </c>
      <c r="C54" s="4">
        <f>CM_TRU2!B4</f>
        <v>25</v>
      </c>
      <c r="D54" s="4">
        <f>CM_TRU2!C4</f>
        <v>52</v>
      </c>
      <c r="E54" s="3">
        <f>CM_TRU2!D4</f>
        <v>47</v>
      </c>
      <c r="F54" s="6">
        <f t="shared" si="5"/>
        <v>124</v>
      </c>
      <c r="G54" s="26" t="s">
        <v>36</v>
      </c>
      <c r="H54" s="26" t="s">
        <v>164</v>
      </c>
      <c r="I54" s="26" t="s">
        <v>162</v>
      </c>
      <c r="J54" s="26" t="s">
        <v>163</v>
      </c>
    </row>
    <row r="55" spans="1:11" x14ac:dyDescent="0.45">
      <c r="A55" s="2"/>
      <c r="B55" s="1" t="s">
        <v>34</v>
      </c>
      <c r="C55" s="6">
        <f>SUM(C52:C54)</f>
        <v>70</v>
      </c>
      <c r="D55" s="6">
        <f>SUM(D52:D54)</f>
        <v>178</v>
      </c>
      <c r="E55" s="6">
        <f>SUM(E52:E54)</f>
        <v>155</v>
      </c>
      <c r="F55" s="6">
        <f>SUM(C55:E55)</f>
        <v>403</v>
      </c>
      <c r="G55" s="8">
        <f>C52+D53+E54</f>
        <v>171</v>
      </c>
      <c r="H55" s="8">
        <f>(C55*F52)+(D55*F53)+(E55*F54)</f>
        <v>68126</v>
      </c>
      <c r="I55" s="8">
        <f>(C55^2)+(D55^2)+(E55^2)</f>
        <v>60609</v>
      </c>
      <c r="J55" s="8">
        <f>(F52^2)+(F53^2)+(F54^2)</f>
        <v>89409</v>
      </c>
      <c r="K55" s="10"/>
    </row>
    <row r="56" spans="1:11" x14ac:dyDescent="0.45">
      <c r="A56" s="4"/>
      <c r="B56" s="5" t="s">
        <v>25</v>
      </c>
      <c r="C56" s="6"/>
      <c r="D56" s="6"/>
      <c r="E56" s="16">
        <f>(C52+D53+E54)/F55</f>
        <v>0.42431761786600497</v>
      </c>
      <c r="F56" s="4"/>
    </row>
    <row r="57" spans="1:11" x14ac:dyDescent="0.45">
      <c r="A57" s="4"/>
      <c r="B57" s="5" t="s">
        <v>35</v>
      </c>
      <c r="C57" s="4"/>
      <c r="D57" s="4"/>
      <c r="E57" s="9">
        <f>(G55*F55-H55)/SQRT((F55^2-I55)*(F55^2-J55))</f>
        <v>9.1293406659646806E-3</v>
      </c>
      <c r="F57" s="4"/>
    </row>
    <row r="60" spans="1:11" x14ac:dyDescent="0.45">
      <c r="A60" s="40" t="s">
        <v>31</v>
      </c>
      <c r="B60" s="40"/>
      <c r="C60" s="39" t="s">
        <v>23</v>
      </c>
      <c r="D60" s="39"/>
      <c r="E60" s="39"/>
      <c r="F60" s="1" t="s">
        <v>34</v>
      </c>
    </row>
    <row r="61" spans="1:11" x14ac:dyDescent="0.45">
      <c r="A61" s="40"/>
      <c r="B61" s="40"/>
      <c r="C61" s="13" t="s">
        <v>1</v>
      </c>
      <c r="D61" s="1" t="s">
        <v>2</v>
      </c>
      <c r="E61" s="1" t="s">
        <v>3</v>
      </c>
      <c r="F61" s="4"/>
    </row>
    <row r="62" spans="1:11" x14ac:dyDescent="0.45">
      <c r="A62" s="39" t="s">
        <v>24</v>
      </c>
      <c r="B62" s="11" t="s">
        <v>1</v>
      </c>
      <c r="C62" s="3">
        <f>CM_TRU3!B2</f>
        <v>1</v>
      </c>
      <c r="D62">
        <f>CM_TRU3!C2</f>
        <v>11</v>
      </c>
      <c r="E62">
        <f>CM_TRU3!D2</f>
        <v>5</v>
      </c>
      <c r="F62" s="6">
        <f>SUM(C62:E62)</f>
        <v>17</v>
      </c>
    </row>
    <row r="63" spans="1:11" x14ac:dyDescent="0.45">
      <c r="A63" s="39"/>
      <c r="B63" s="1" t="s">
        <v>2</v>
      </c>
      <c r="C63">
        <f>CM_TRU3!B3</f>
        <v>59</v>
      </c>
      <c r="D63" s="3">
        <f>CM_TRU3!C3</f>
        <v>170</v>
      </c>
      <c r="E63">
        <f>CM_TRU3!D3</f>
        <v>100</v>
      </c>
      <c r="F63" s="6">
        <f t="shared" ref="F63:F64" si="6">SUM(C63:E63)</f>
        <v>329</v>
      </c>
    </row>
    <row r="64" spans="1:11" x14ac:dyDescent="0.45">
      <c r="A64" s="39"/>
      <c r="B64" s="1" t="s">
        <v>3</v>
      </c>
      <c r="C64">
        <f>CM_TRU3!B4</f>
        <v>12</v>
      </c>
      <c r="D64">
        <f>CM_TRU3!C4</f>
        <v>36</v>
      </c>
      <c r="E64" s="3">
        <f>CM_TRU3!D4</f>
        <v>9</v>
      </c>
      <c r="F64" s="12">
        <f t="shared" si="6"/>
        <v>57</v>
      </c>
      <c r="G64" s="26" t="s">
        <v>36</v>
      </c>
      <c r="H64" s="26" t="s">
        <v>164</v>
      </c>
      <c r="I64" s="26" t="s">
        <v>162</v>
      </c>
      <c r="J64" s="26" t="s">
        <v>163</v>
      </c>
    </row>
    <row r="65" spans="1:11" x14ac:dyDescent="0.45">
      <c r="A65" s="2"/>
      <c r="B65" s="1" t="s">
        <v>34</v>
      </c>
      <c r="C65" s="6">
        <f>SUM(C62:C64)</f>
        <v>72</v>
      </c>
      <c r="D65" s="6">
        <f>SUM(D62:D64)</f>
        <v>217</v>
      </c>
      <c r="E65" s="14">
        <f>SUM(E62:E64)</f>
        <v>114</v>
      </c>
      <c r="F65" s="6">
        <f>SUM(C65:E65)</f>
        <v>403</v>
      </c>
      <c r="G65" s="8">
        <f>C62+D63+E64</f>
        <v>180</v>
      </c>
      <c r="H65" s="8">
        <f>(C65*F62)+(D65*F63)+(E65*F64)</f>
        <v>79115</v>
      </c>
      <c r="I65" s="8">
        <f>(C65^2)+(D65^2)+(E65^2)</f>
        <v>65269</v>
      </c>
      <c r="J65" s="8">
        <f>(F62^2)+(F63^2)+(F64^2)</f>
        <v>111779</v>
      </c>
      <c r="K65" s="10"/>
    </row>
    <row r="66" spans="1:11" x14ac:dyDescent="0.45">
      <c r="A66" s="4"/>
      <c r="B66" s="5" t="s">
        <v>25</v>
      </c>
      <c r="C66" s="6"/>
      <c r="D66" s="6"/>
      <c r="E66" s="16">
        <f>(C62+D63+E64)/F65</f>
        <v>0.4466501240694789</v>
      </c>
      <c r="F66" s="4"/>
    </row>
    <row r="67" spans="1:11" x14ac:dyDescent="0.45">
      <c r="A67" s="4"/>
      <c r="B67" s="5" t="s">
        <v>35</v>
      </c>
      <c r="C67" s="4"/>
      <c r="D67" s="4"/>
      <c r="E67" s="9">
        <f>(G65*F65-H65)/SQRT((F65^2-I65)*(F65^2-J65))</f>
        <v>-9.375463424694902E-2</v>
      </c>
      <c r="F67" s="4"/>
    </row>
    <row r="69" spans="1:11" x14ac:dyDescent="0.45">
      <c r="A69" s="40" t="s">
        <v>32</v>
      </c>
      <c r="B69" s="40"/>
      <c r="C69" s="39" t="s">
        <v>23</v>
      </c>
      <c r="D69" s="39"/>
      <c r="E69" s="39"/>
      <c r="F69" s="1" t="s">
        <v>34</v>
      </c>
    </row>
    <row r="70" spans="1:11" x14ac:dyDescent="0.45">
      <c r="A70" s="40"/>
      <c r="B70" s="40"/>
      <c r="C70" s="1" t="s">
        <v>1</v>
      </c>
      <c r="D70" s="1" t="s">
        <v>2</v>
      </c>
      <c r="E70" s="1" t="s">
        <v>3</v>
      </c>
      <c r="F70" s="4"/>
    </row>
    <row r="71" spans="1:11" x14ac:dyDescent="0.45">
      <c r="A71" s="39" t="s">
        <v>24</v>
      </c>
      <c r="B71" s="1" t="s">
        <v>1</v>
      </c>
      <c r="C71" s="3">
        <f>CM_TRU4!B2</f>
        <v>4</v>
      </c>
      <c r="D71" s="4">
        <f>CM_TRU4!C2</f>
        <v>36</v>
      </c>
      <c r="E71" s="4">
        <f>CM_TRU4!D2</f>
        <v>6</v>
      </c>
      <c r="F71" s="6">
        <f>SUM(C71:E71)</f>
        <v>46</v>
      </c>
    </row>
    <row r="72" spans="1:11" x14ac:dyDescent="0.45">
      <c r="A72" s="39"/>
      <c r="B72" s="1" t="s">
        <v>2</v>
      </c>
      <c r="C72" s="4">
        <f>CM_TRU4!B3</f>
        <v>7</v>
      </c>
      <c r="D72" s="3">
        <f>CM_TRU4!C3</f>
        <v>208</v>
      </c>
      <c r="E72" s="4">
        <f>CM_TRU4!D3</f>
        <v>20</v>
      </c>
      <c r="F72" s="6">
        <f t="shared" ref="F72:F73" si="7">SUM(C72:E72)</f>
        <v>235</v>
      </c>
    </row>
    <row r="73" spans="1:11" x14ac:dyDescent="0.45">
      <c r="A73" s="39"/>
      <c r="B73" s="1" t="s">
        <v>3</v>
      </c>
      <c r="C73" s="4">
        <f>CM_TRU4!B4</f>
        <v>9</v>
      </c>
      <c r="D73" s="4">
        <f>CM_TRU4!C4</f>
        <v>103</v>
      </c>
      <c r="E73" s="3">
        <f>CM_TRU4!D4</f>
        <v>10</v>
      </c>
      <c r="F73" s="6">
        <f t="shared" si="7"/>
        <v>122</v>
      </c>
      <c r="G73" s="26" t="s">
        <v>36</v>
      </c>
      <c r="H73" s="26" t="s">
        <v>164</v>
      </c>
      <c r="I73" s="26" t="s">
        <v>162</v>
      </c>
      <c r="J73" s="26" t="s">
        <v>163</v>
      </c>
    </row>
    <row r="74" spans="1:11" x14ac:dyDescent="0.45">
      <c r="A74" s="2"/>
      <c r="B74" s="1" t="s">
        <v>34</v>
      </c>
      <c r="C74" s="6">
        <f>SUM(C71:C73)</f>
        <v>20</v>
      </c>
      <c r="D74" s="6">
        <f>SUM(D71:D73)</f>
        <v>347</v>
      </c>
      <c r="E74" s="6">
        <f>SUM(E71:E73)</f>
        <v>36</v>
      </c>
      <c r="F74" s="6">
        <f>SUM(C74:E74)</f>
        <v>403</v>
      </c>
      <c r="G74" s="8">
        <f>C71+D72+E73</f>
        <v>222</v>
      </c>
      <c r="H74" s="8">
        <f>(C74*F71)+(D74*F72)+(E74*F73)</f>
        <v>86857</v>
      </c>
      <c r="I74" s="8">
        <f>(C74^2)+(D74^2)+(E74^2)</f>
        <v>122105</v>
      </c>
      <c r="J74" s="8">
        <f>(F71^2)+(F72^2)+(F73^2)</f>
        <v>72225</v>
      </c>
      <c r="K74" s="10"/>
    </row>
    <row r="75" spans="1:11" x14ac:dyDescent="0.45">
      <c r="A75" s="4"/>
      <c r="B75" s="5" t="s">
        <v>25</v>
      </c>
      <c r="C75" s="6"/>
      <c r="D75" s="6"/>
      <c r="E75" s="16">
        <f>(C71+D72+E73)/F74</f>
        <v>0.5508684863523573</v>
      </c>
      <c r="F75" s="4"/>
    </row>
    <row r="76" spans="1:11" x14ac:dyDescent="0.45">
      <c r="A76" s="4"/>
      <c r="B76" s="5" t="s">
        <v>35</v>
      </c>
      <c r="C76" s="4"/>
      <c r="D76" s="4"/>
      <c r="E76" s="9">
        <f>(G74*F74-H74)/SQRT((F74^2-I74)*(F74^2-J74))</f>
        <v>4.3274818695362476E-2</v>
      </c>
      <c r="F76" s="4"/>
    </row>
    <row r="79" spans="1:11" x14ac:dyDescent="0.45">
      <c r="A79" s="40" t="s">
        <v>33</v>
      </c>
      <c r="B79" s="40"/>
      <c r="C79" s="39" t="s">
        <v>23</v>
      </c>
      <c r="D79" s="39"/>
      <c r="E79" s="39"/>
      <c r="F79" s="1" t="s">
        <v>34</v>
      </c>
    </row>
    <row r="80" spans="1:11" x14ac:dyDescent="0.45">
      <c r="A80" s="40"/>
      <c r="B80" s="40"/>
      <c r="C80" s="1" t="s">
        <v>1</v>
      </c>
      <c r="D80" s="1" t="s">
        <v>2</v>
      </c>
      <c r="E80" s="1" t="s">
        <v>3</v>
      </c>
      <c r="F80" s="4"/>
    </row>
    <row r="81" spans="1:11" x14ac:dyDescent="0.45">
      <c r="A81" s="39" t="s">
        <v>24</v>
      </c>
      <c r="B81" s="1" t="s">
        <v>1</v>
      </c>
      <c r="C81" s="7">
        <f>CM_OUT1!B2</f>
        <v>0</v>
      </c>
      <c r="D81">
        <f>CM_OUT1!C2</f>
        <v>4</v>
      </c>
      <c r="E81">
        <f>CM_OUT1!D2</f>
        <v>6</v>
      </c>
      <c r="F81" s="6">
        <f>SUM(C81:E81)</f>
        <v>10</v>
      </c>
    </row>
    <row r="82" spans="1:11" x14ac:dyDescent="0.45">
      <c r="A82" s="39"/>
      <c r="B82" s="1" t="s">
        <v>2</v>
      </c>
      <c r="C82">
        <f>CM_OUT1!B3</f>
        <v>24</v>
      </c>
      <c r="D82" s="7">
        <f>CM_OUT1!C3</f>
        <v>123</v>
      </c>
      <c r="E82">
        <f>CM_OUT1!D3</f>
        <v>112</v>
      </c>
      <c r="F82" s="6">
        <f t="shared" ref="F82:F83" si="8">SUM(C82:E82)</f>
        <v>259</v>
      </c>
    </row>
    <row r="83" spans="1:11" x14ac:dyDescent="0.45">
      <c r="A83" s="39"/>
      <c r="B83" s="1" t="s">
        <v>3</v>
      </c>
      <c r="C83">
        <f>CM_OUT1!B4</f>
        <v>11</v>
      </c>
      <c r="D83">
        <f>CM_OUT1!C4</f>
        <v>67</v>
      </c>
      <c r="E83" s="7">
        <f>CM_OUT1!D4</f>
        <v>55</v>
      </c>
      <c r="F83" s="6">
        <f t="shared" si="8"/>
        <v>133</v>
      </c>
      <c r="G83" s="26" t="s">
        <v>36</v>
      </c>
      <c r="H83" s="26" t="s">
        <v>164</v>
      </c>
      <c r="I83" s="26" t="s">
        <v>162</v>
      </c>
      <c r="J83" s="26" t="s">
        <v>163</v>
      </c>
    </row>
    <row r="84" spans="1:11" x14ac:dyDescent="0.45">
      <c r="A84" s="2"/>
      <c r="B84" s="1" t="s">
        <v>34</v>
      </c>
      <c r="C84" s="6">
        <f>SUM(C81:C83)</f>
        <v>35</v>
      </c>
      <c r="D84" s="6">
        <f>SUM(D81:D83)</f>
        <v>194</v>
      </c>
      <c r="E84" s="6">
        <f>SUM(E81:E83)</f>
        <v>173</v>
      </c>
      <c r="F84" s="6">
        <f>SUM(C84:E84)</f>
        <v>402</v>
      </c>
      <c r="G84" s="8">
        <f>C81+D82+E83</f>
        <v>178</v>
      </c>
      <c r="H84" s="8">
        <f>(C84*F81)+(D84*F82)+(E84*F83)</f>
        <v>73605</v>
      </c>
      <c r="I84" s="8">
        <f>(C84^2)+(D84^2)+(E84^2)</f>
        <v>68790</v>
      </c>
      <c r="J84" s="8">
        <f>(F81^2)+(F82^2)+(F83^2)</f>
        <v>84870</v>
      </c>
      <c r="K84" s="10"/>
    </row>
    <row r="85" spans="1:11" x14ac:dyDescent="0.45">
      <c r="A85" s="4"/>
      <c r="B85" s="5" t="s">
        <v>25</v>
      </c>
      <c r="C85" s="6"/>
      <c r="D85" s="6"/>
      <c r="E85" s="16">
        <f>(C81+D82+E83)/F84</f>
        <v>0.44278606965174128</v>
      </c>
      <c r="F85" s="4"/>
    </row>
    <row r="86" spans="1:11" x14ac:dyDescent="0.45">
      <c r="A86" s="4"/>
      <c r="B86" s="5" t="s">
        <v>35</v>
      </c>
      <c r="C86" s="4"/>
      <c r="D86" s="4"/>
      <c r="E86" s="9">
        <f>(G84*F84-H84)/SQRT((F84^2-I84)*(F84^2-J84))</f>
        <v>-2.4279586975624275E-2</v>
      </c>
      <c r="F86" s="4"/>
    </row>
  </sheetData>
  <mergeCells count="27">
    <mergeCell ref="A52:A54"/>
    <mergeCell ref="A60:B61"/>
    <mergeCell ref="C60:E60"/>
    <mergeCell ref="A62:A64"/>
    <mergeCell ref="A69:B70"/>
    <mergeCell ref="C69:E69"/>
    <mergeCell ref="A1:B2"/>
    <mergeCell ref="C1:E1"/>
    <mergeCell ref="A3:A5"/>
    <mergeCell ref="A10:B11"/>
    <mergeCell ref="C10:E10"/>
    <mergeCell ref="A71:A73"/>
    <mergeCell ref="A79:B80"/>
    <mergeCell ref="C79:E79"/>
    <mergeCell ref="A81:A83"/>
    <mergeCell ref="A12:A14"/>
    <mergeCell ref="A20:B21"/>
    <mergeCell ref="C20:E20"/>
    <mergeCell ref="A22:A24"/>
    <mergeCell ref="A30:B31"/>
    <mergeCell ref="C30:E30"/>
    <mergeCell ref="A32:A34"/>
    <mergeCell ref="A40:B41"/>
    <mergeCell ref="C40:E40"/>
    <mergeCell ref="A42:A44"/>
    <mergeCell ref="A50:B51"/>
    <mergeCell ref="C50:E5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workbookViewId="0">
      <selection activeCell="D5" sqref="D5"/>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COUNTIFS(step3_combined_data!$T$2:$T$404,"Oppose", step3_combined_data!$R$2:$R$404,"Oppose")</f>
        <v>2</v>
      </c>
      <c r="C2" s="4">
        <f>COUNTIFS(step3_combined_data!$T$2:$T$404,"Neutral", step3_combined_data!$R$2:$R$404,"Oppose")</f>
        <v>1</v>
      </c>
      <c r="D2" s="4">
        <f>COUNTIFS(step3_combined_data!$T$2:$T$404,"Support", step3_combined_data!$R$2:$R$404,"Oppose")</f>
        <v>2</v>
      </c>
    </row>
    <row r="3" spans="1:4" x14ac:dyDescent="0.45">
      <c r="A3" s="1" t="s">
        <v>2</v>
      </c>
      <c r="B3" s="4">
        <f>COUNTIFS(step3_combined_data!$T$2:$T$404,"Oppose", step3_combined_data!$R$2:$R$404,"Neutral")</f>
        <v>38</v>
      </c>
      <c r="C3" s="4">
        <f>COUNTIFS(step3_combined_data!$T$2:$T$404,"Neutral", step3_combined_data!$R$2:$R$404,"Neutral")</f>
        <v>122</v>
      </c>
      <c r="D3" s="4">
        <f>COUNTIFS(step3_combined_data!$T$2:$T$404,"Support", step3_combined_data!$R$2:$R$404,"Neutral")</f>
        <v>126</v>
      </c>
    </row>
    <row r="4" spans="1:4" x14ac:dyDescent="0.45">
      <c r="A4" s="1" t="s">
        <v>3</v>
      </c>
      <c r="B4" s="4">
        <f>COUNTIFS(step3_combined_data!$T$2:$T$404,"Oppose", step3_combined_data!$R$2:$R$404,"Support")</f>
        <v>15</v>
      </c>
      <c r="C4" s="4">
        <f>COUNTIFS(step3_combined_data!$T$2:$T$404,"Neutral", step3_combined_data!$R$2:$R$404,"Support")</f>
        <v>57</v>
      </c>
      <c r="D4" s="4">
        <f>COUNTIFS(step3_combined_data!$T$2:$T$404,"Support", step3_combined_data!$R$2:$R$404,"Support")</f>
        <v>40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
  <sheetViews>
    <sheetView workbookViewId="0">
      <selection activeCell="E2" sqref="E2"/>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COUNTIFS(step3_combined_data!$Y$2:$Y$404,"Oppose", step3_combined_data!$W$2:$W$404,"Oppose")</f>
        <v>0</v>
      </c>
      <c r="C2" s="4">
        <f>COUNTIFS(step3_combined_data!$Y$2:$Y$404,"Neutral", step3_combined_data!$W$2:$W$404,"Oppose")</f>
        <v>0</v>
      </c>
      <c r="D2" s="4">
        <f>COUNTIFS(step3_combined_data!$Y$2:$Y$404,"Support", step3_combined_data!$W$2:$W$404,"Oppose")</f>
        <v>0</v>
      </c>
    </row>
    <row r="3" spans="1:4" x14ac:dyDescent="0.45">
      <c r="A3" s="1" t="s">
        <v>2</v>
      </c>
      <c r="B3" s="4">
        <f>COUNTIFS(step3_combined_data!$Y$2:$Y$404,"Oppose", step3_combined_data!$W$2:$W$404,"Neutral")</f>
        <v>26</v>
      </c>
      <c r="C3" s="4">
        <f>COUNTIFS(step3_combined_data!$Y$2:$Y$404,"Neutral", step3_combined_data!$W$2:$W$404,"Neutral")</f>
        <v>100</v>
      </c>
      <c r="D3" s="4">
        <f>COUNTIFS(step3_combined_data!$Y$2:$Y$404,"Support", step3_combined_data!$W$2:$W$404,"Neutral")</f>
        <v>105</v>
      </c>
    </row>
    <row r="4" spans="1:4" x14ac:dyDescent="0.45">
      <c r="A4" s="1" t="s">
        <v>3</v>
      </c>
      <c r="B4" s="4">
        <f>COUNTIFS(step3_combined_data!$Y$2:$Y$404,"Oppose", step3_combined_data!$W$2:$W$404,"Support")</f>
        <v>19</v>
      </c>
      <c r="C4" s="4">
        <f>COUNTIFS(step3_combined_data!$Y$2:$Y$404,"Neutral", step3_combined_data!$W$2:$W$404,"Support")</f>
        <v>66</v>
      </c>
      <c r="D4" s="4">
        <f>COUNTIFS(step3_combined_data!$Y$2:$Y$404,"Support", step3_combined_data!$W$2:$W$404,"Support")</f>
        <v>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workbookViewId="0">
      <selection activeCell="B2" sqref="B2:D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COUNTIFS(step3_combined_data!$AD$2:$AD$404,"Oppose", step3_combined_data!$AB$2:$AB$404,"Oppose")</f>
        <v>1</v>
      </c>
      <c r="C2" s="4">
        <f>COUNTIFS(step3_combined_data!$AD$2:$AD$404,"Neutral", step3_combined_data!$AB$2:$AB$404,"Oppose")</f>
        <v>2</v>
      </c>
      <c r="D2" s="4">
        <f>COUNTIFS(step3_combined_data!$AD$2:$AD$404,"Support", step3_combined_data!$AB$2:$AB$404,"Oppose")</f>
        <v>3</v>
      </c>
    </row>
    <row r="3" spans="1:4" x14ac:dyDescent="0.45">
      <c r="A3" s="1" t="s">
        <v>2</v>
      </c>
      <c r="B3" s="4">
        <f>COUNTIFS(step3_combined_data!$AD$2:$AD$404,"Oppose", step3_combined_data!$AB$2:$AB$404,"Neutral")</f>
        <v>29</v>
      </c>
      <c r="C3" s="4">
        <f>COUNTIFS(step3_combined_data!$AD$2:$AD$404,"Neutral", step3_combined_data!$AB$2:$AB$404,"Neutral")</f>
        <v>73</v>
      </c>
      <c r="D3" s="4">
        <f>COUNTIFS(step3_combined_data!$AD$2:$AD$404,"Support", step3_combined_data!$AB$2:$AB$404,"Neutral")</f>
        <v>46</v>
      </c>
    </row>
    <row r="4" spans="1:4" x14ac:dyDescent="0.45">
      <c r="A4" s="1" t="s">
        <v>3</v>
      </c>
      <c r="B4" s="4">
        <f>COUNTIFS(step3_combined_data!$AD$2:$AD$404,"Oppose", step3_combined_data!$AB$2:$AB$404,"Support")</f>
        <v>53</v>
      </c>
      <c r="C4" s="4">
        <f>COUNTIFS(step3_combined_data!$AD$2:$AD$404,"Neutral", step3_combined_data!$AB$2:$AB$404,"Support")</f>
        <v>102</v>
      </c>
      <c r="D4" s="4">
        <f>COUNTIFS(step3_combined_data!$AD$2:$AD$404,"Support", step3_combined_data!$AB$2:$AB$404,"Support")</f>
        <v>94</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election activeCell="B2" sqref="B2:D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COUNTIFS(step3_combined_data!$AI$2:$AI$404,"Oppose", step3_combined_data!$AG$2:$AG$404,"Oppose")</f>
        <v>0</v>
      </c>
      <c r="C2" s="4">
        <f>COUNTIFS(step3_combined_data!$AI$2:$AI$404,"Neutral", step3_combined_data!$AG$2:$AG$404,"Oppose")</f>
        <v>2</v>
      </c>
      <c r="D2" s="4">
        <f>COUNTIFS(step3_combined_data!$AI$2:$AI$404,"Support", step3_combined_data!$AG$2:$AG$404,"Oppose")</f>
        <v>1</v>
      </c>
    </row>
    <row r="3" spans="1:4" x14ac:dyDescent="0.45">
      <c r="A3" s="1" t="s">
        <v>2</v>
      </c>
      <c r="B3" s="4">
        <f>COUNTIFS(step3_combined_data!$AI$2:$AI$404,"Oppose", step3_combined_data!$AG$2:$AG$404,"Neutral")</f>
        <v>4</v>
      </c>
      <c r="C3" s="4">
        <f>COUNTIFS(step3_combined_data!$AI$2:$AI$404,"Neutral", step3_combined_data!$AG$2:$AG$404,"Neutral")</f>
        <v>58</v>
      </c>
      <c r="D3" s="4">
        <f>COUNTIFS(step3_combined_data!$AI$2:$AI$404,"Support", step3_combined_data!$AG$2:$AG$404,"Neutral")</f>
        <v>72</v>
      </c>
    </row>
    <row r="4" spans="1:4" x14ac:dyDescent="0.45">
      <c r="A4" s="1" t="s">
        <v>3</v>
      </c>
      <c r="B4" s="4">
        <f>COUNTIFS(step3_combined_data!$AI$2:$AI$404,"Oppose", step3_combined_data!$AG$2:$AG$404,"Support")</f>
        <v>17</v>
      </c>
      <c r="C4" s="4">
        <f>COUNTIFS(step3_combined_data!$AI$2:$AI$404,"Neutral", step3_combined_data!$AG$2:$AG$404,"Support")</f>
        <v>125</v>
      </c>
      <c r="D4" s="4">
        <f>COUNTIFS(step3_combined_data!$AI$2:$AI$404,"Support", step3_combined_data!$AG$2:$AG$404,"Support")</f>
        <v>124</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COUNTIFS(step3_combined_data!$AN$2:$AN$404,"Oppose", step3_combined_data!$AL$2:$AL$404,"Oppose")</f>
        <v>1</v>
      </c>
      <c r="C2" s="4">
        <f>COUNTIFS(step3_combined_data!$AN$2:$AN$404,"Neutral", step3_combined_data!$AL$2:$AL$404,"Oppose")</f>
        <v>4</v>
      </c>
      <c r="D2" s="4">
        <f>COUNTIFS(step3_combined_data!$AN$2:$AN$404,"Support", step3_combined_data!$AL$2:$AL$404,"Oppose")</f>
        <v>4</v>
      </c>
    </row>
    <row r="3" spans="1:4" x14ac:dyDescent="0.45">
      <c r="A3" s="1" t="s">
        <v>2</v>
      </c>
      <c r="B3" s="4">
        <f>COUNTIFS(step3_combined_data!$AN$2:$AN$404,"Oppose", step3_combined_data!$AL$2:$AL$404,"Neutral")</f>
        <v>34</v>
      </c>
      <c r="C3" s="4">
        <f>COUNTIFS(step3_combined_data!$AN$2:$AN$404,"Neutral", step3_combined_data!$AL$2:$AL$404,"Neutral")</f>
        <v>141</v>
      </c>
      <c r="D3" s="4">
        <f>COUNTIFS(step3_combined_data!$AN$2:$AN$404,"Support", step3_combined_data!$AL$2:$AL$404,"Neutral")</f>
        <v>86</v>
      </c>
    </row>
    <row r="4" spans="1:4" x14ac:dyDescent="0.45">
      <c r="A4" s="1" t="s">
        <v>3</v>
      </c>
      <c r="B4" s="4">
        <f>COUNTIFS(step3_combined_data!$AN$2:$AN$404,"Oppose", step3_combined_data!$AL$2:$AL$404,"Support")</f>
        <v>22</v>
      </c>
      <c r="C4" s="4">
        <f>COUNTIFS(step3_combined_data!$AN$2:$AN$404,"Neutral", step3_combined_data!$AL$2:$AL$404,"Support")</f>
        <v>73</v>
      </c>
      <c r="D4" s="4">
        <f>COUNTIFS(step3_combined_data!$AN$2:$AN$404,"Support", step3_combined_data!$AL$2:$AL$404,"Support")</f>
        <v>38</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COUNTIFS(step3_combined_data!$AS$2:$AS$404,"Oppose", step3_combined_data!$AQ$2:$AQ$404,"Oppose")</f>
        <v>1</v>
      </c>
      <c r="C2" s="4">
        <f>COUNTIFS(step3_combined_data!$AS$2:$AS$404,"Neutral", step3_combined_data!$AQ$2:$AQ$404,"Oppose")</f>
        <v>3</v>
      </c>
      <c r="D2" s="4">
        <f>COUNTIFS(step3_combined_data!$AS$2:$AS$404,"Support", step3_combined_data!$AQ$2:$AQ$404,"Oppose")</f>
        <v>3</v>
      </c>
    </row>
    <row r="3" spans="1:4" x14ac:dyDescent="0.45">
      <c r="A3" s="1" t="s">
        <v>2</v>
      </c>
      <c r="B3" s="4">
        <f>COUNTIFS(step3_combined_data!$AS$2:$AS$404,"Oppose", step3_combined_data!$AQ$2:$AQ$404,"Neutral")</f>
        <v>44</v>
      </c>
      <c r="C3" s="4">
        <f>COUNTIFS(step3_combined_data!$AS$2:$AS$404,"Neutral", step3_combined_data!$AQ$2:$AQ$404,"Neutral")</f>
        <v>123</v>
      </c>
      <c r="D3" s="4">
        <f>COUNTIFS(step3_combined_data!$AS$2:$AS$404,"Support", step3_combined_data!$AQ$2:$AQ$404,"Neutral")</f>
        <v>105</v>
      </c>
    </row>
    <row r="4" spans="1:4" x14ac:dyDescent="0.45">
      <c r="A4" s="1" t="s">
        <v>3</v>
      </c>
      <c r="B4" s="4">
        <f>COUNTIFS(step3_combined_data!$AS$2:$AS$404,"Oppose", step3_combined_data!$AQ$2:$AQ$404,"Support")</f>
        <v>25</v>
      </c>
      <c r="C4" s="4">
        <f>COUNTIFS(step3_combined_data!$AS$2:$AS$404,"Neutral", step3_combined_data!$AQ$2:$AQ$404,"Support")</f>
        <v>52</v>
      </c>
      <c r="D4" s="4">
        <f>COUNTIFS(step3_combined_data!$AS$2:$AS$404,"Support", step3_combined_data!$AQ$2:$AQ$404,"Support")</f>
        <v>47</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COUNTIFS(step3_combined_data!$AX$2:$AX$404,"Oppose", step3_combined_data!$AV$2:$AV$404,"Oppose")</f>
        <v>1</v>
      </c>
      <c r="C2" s="4">
        <f>COUNTIFS(step3_combined_data!$AX$2:$AX$404,"Neutral", step3_combined_data!$AV$2:$AV$404,"Oppose")</f>
        <v>11</v>
      </c>
      <c r="D2" s="4">
        <f>COUNTIFS(step3_combined_data!$AX$2:$AX$404,"Support", step3_combined_data!$AV$2:$AV$404,"Oppose")</f>
        <v>5</v>
      </c>
    </row>
    <row r="3" spans="1:4" x14ac:dyDescent="0.45">
      <c r="A3" s="1" t="s">
        <v>2</v>
      </c>
      <c r="B3" s="4">
        <f>COUNTIFS(step3_combined_data!$AX$2:$AX$404,"Oppose", step3_combined_data!$AV$2:$AV$404,"Neutral")</f>
        <v>59</v>
      </c>
      <c r="C3" s="4">
        <f>COUNTIFS(step3_combined_data!$AX$2:$AX$404,"Neutral", step3_combined_data!$AV$2:$AV$404,"Neutral")</f>
        <v>170</v>
      </c>
      <c r="D3" s="4">
        <f>COUNTIFS(step3_combined_data!$AX$2:$AX$404,"Support", step3_combined_data!$AV$2:$AV$404,"Neutral")</f>
        <v>100</v>
      </c>
    </row>
    <row r="4" spans="1:4" x14ac:dyDescent="0.45">
      <c r="A4" s="1" t="s">
        <v>3</v>
      </c>
      <c r="B4" s="4">
        <f>COUNTIFS(step3_combined_data!$AX$2:$AX$404,"Oppose", step3_combined_data!$AV$2:$AV$404,"Support")</f>
        <v>12</v>
      </c>
      <c r="C4" s="4">
        <f>COUNTIFS(step3_combined_data!$AX$2:$AX$404,"Neutral", step3_combined_data!$AV$2:$AV$404,"Support")</f>
        <v>36</v>
      </c>
      <c r="D4" s="4">
        <f>COUNTIFS(step3_combined_data!$AX$2:$AX$404,"Support", step3_combined_data!$AV$2:$AV$404,"Support")</f>
        <v>9</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COUNTIFS(step3_combined_data!$BA$2:$BA$404,"Oppose", step3_combined_data!$BC$2:$BC$404,"Oppose")</f>
        <v>4</v>
      </c>
      <c r="C2" s="4">
        <f>COUNTIFS(step3_combined_data!$BA$2:$BA$404,"Neutral", step3_combined_data!$BC$2:$BC$404,"Oppose")</f>
        <v>36</v>
      </c>
      <c r="D2" s="4">
        <f>COUNTIFS(step3_combined_data!$BA$2:$BA$404,"Support", step3_combined_data!$BC$2:$BC$404,"Oppose")</f>
        <v>6</v>
      </c>
    </row>
    <row r="3" spans="1:4" x14ac:dyDescent="0.45">
      <c r="A3" s="1" t="s">
        <v>2</v>
      </c>
      <c r="B3" s="4">
        <f>COUNTIFS(step3_combined_data!$BA$2:$BA$404,"Oppose", step3_combined_data!$BC$2:$BC$404,"Neutral")</f>
        <v>7</v>
      </c>
      <c r="C3" s="4">
        <f>COUNTIFS(step3_combined_data!$BA$2:$BA$404,"Neutral", step3_combined_data!$BC$2:$BC$404,"Neutral")</f>
        <v>208</v>
      </c>
      <c r="D3" s="4">
        <f>COUNTIFS(step3_combined_data!$BA$2:$BA$404,"Support", step3_combined_data!$BC$2:$BC$404,"Neutral")</f>
        <v>20</v>
      </c>
    </row>
    <row r="4" spans="1:4" x14ac:dyDescent="0.45">
      <c r="A4" s="1" t="s">
        <v>3</v>
      </c>
      <c r="B4" s="4">
        <f>COUNTIFS(step3_combined_data!$BA$2:$BA$404,"Oppose", step3_combined_data!$BC$2:$BC$404,"Support")</f>
        <v>9</v>
      </c>
      <c r="C4" s="4">
        <f>COUNTIFS(step3_combined_data!$BA$2:$BA$404,"Neutral", step3_combined_data!$BC$2:$BC$404,"Support")</f>
        <v>103</v>
      </c>
      <c r="D4" s="4">
        <f>COUNTIFS(step3_combined_data!$BA$2:$BA$404,"Support", step3_combined_data!$BC$2:$BC$404,"Support")</f>
        <v>10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COUNTIFS(step3_combined_data!$BH$2:$BH$404,"Oppose", step3_combined_data!$BF$2:$BF$404,"Oppose")</f>
        <v>0</v>
      </c>
      <c r="C2" s="4">
        <f>COUNTIFS(step3_combined_data!$BH$2:$BH$404,"Neutral", step3_combined_data!$BF$2:$BF$404,"Oppose")</f>
        <v>4</v>
      </c>
      <c r="D2" s="4">
        <f>COUNTIFS(step3_combined_data!$BH$2:$BH$404,"Support", step3_combined_data!$BF$2:$BF$404,"Oppose")</f>
        <v>6</v>
      </c>
    </row>
    <row r="3" spans="1:4" x14ac:dyDescent="0.45">
      <c r="A3" s="1" t="s">
        <v>2</v>
      </c>
      <c r="B3" s="4">
        <f>COUNTIFS(step3_combined_data!$BH$2:$BH$404,"Oppose", step3_combined_data!$BF$2:$BF$404,"Neutral")</f>
        <v>24</v>
      </c>
      <c r="C3" s="4">
        <f>COUNTIFS(step3_combined_data!$BH$2:$BH$404,"Neutral", step3_combined_data!$BF$2:$BF$404,"Neutral")</f>
        <v>123</v>
      </c>
      <c r="D3" s="4">
        <f>COUNTIFS(step3_combined_data!$BH$2:$BH$404,"Support", step3_combined_data!$BF$2:$BF$404,"Neutral")</f>
        <v>112</v>
      </c>
    </row>
    <row r="4" spans="1:4" x14ac:dyDescent="0.45">
      <c r="A4" s="1" t="s">
        <v>3</v>
      </c>
      <c r="B4" s="4">
        <f>COUNTIFS(step3_combined_data!$BH$2:$BH$404,"Oppose", step3_combined_data!$BF$2:$BF$404,"Support")</f>
        <v>11</v>
      </c>
      <c r="C4" s="4">
        <f>COUNTIFS(step3_combined_data!$BH$2:$BH$404,"Neutral", step3_combined_data!$BF$2:$BF$404,"Support")</f>
        <v>67</v>
      </c>
      <c r="D4" s="4">
        <f>COUNTIFS(step3_combined_data!$BH$2:$BH$404,"Support", step3_combined_data!$BF$2:$BF$404,"Support")</f>
        <v>55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81ACCC-8CB7-4DA7-B1DC-559BBAE466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step3_calibration</vt:lpstr>
      <vt:lpstr>survey_responses</vt:lpstr>
      <vt:lpstr>step3_combined_data</vt:lpstr>
      <vt:lpstr>AIx</vt:lpstr>
      <vt:lpstr>Insights</vt:lpstr>
      <vt:lpstr>EMD</vt:lpstr>
      <vt:lpstr>SUMMARY_REPORT</vt:lpstr>
      <vt:lpstr>CM_REPORT</vt:lpstr>
      <vt:lpstr>CM_ENF1</vt:lpstr>
      <vt:lpstr>CM_ENF2</vt:lpstr>
      <vt:lpstr>CM_FAC1</vt:lpstr>
      <vt:lpstr>CM_FAC2</vt:lpstr>
      <vt:lpstr>CM_TRU1</vt:lpstr>
      <vt:lpstr>CM_TRU2</vt:lpstr>
      <vt:lpstr>CM_TRU3</vt:lpstr>
      <vt:lpstr>CM_TRU4</vt:lpstr>
      <vt:lpstr>CM_OUT1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MPP26-170LM Pham Binh Phuong Duy</cp:lastModifiedBy>
  <dcterms:created xsi:type="dcterms:W3CDTF">2026-01-02T17:02:25Z</dcterms:created>
  <dcterms:modified xsi:type="dcterms:W3CDTF">2026-02-03T04:39:19Z</dcterms:modified>
</cp:coreProperties>
</file>